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8D5D7049-B01E-4762-880F-F6ED8515494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Как пользоваться" sheetId="1" r:id="rId1"/>
    <sheet name="Акты" sheetId="2" r:id="rId2"/>
    <sheet name="Ввод" sheetId="3" r:id="rId3"/>
    <sheet name="Оплаты" sheetId="4" r:id="rId4"/>
    <sheet name="Расчёт" sheetId="5" r:id="rId5"/>
    <sheet name="Проверки" sheetId="6" r:id="rId6"/>
    <sheet name="Интервалы" sheetId="7" r:id="rId7"/>
    <sheet name="По дням" sheetId="8" r:id="rId8"/>
  </sheets>
  <calcPr calcId="191029"/>
</workbook>
</file>

<file path=xl/calcChain.xml><?xml version="1.0" encoding="utf-8"?>
<calcChain xmlns="http://schemas.openxmlformats.org/spreadsheetml/2006/main">
  <c r="J3" i="8" l="1"/>
  <c r="E3" i="8"/>
  <c r="A3" i="8"/>
  <c r="G2" i="8"/>
  <c r="D2" i="8"/>
  <c r="C2" i="8"/>
  <c r="B2" i="8"/>
  <c r="A2" i="8"/>
  <c r="E2" i="8" s="1"/>
  <c r="C15" i="6"/>
  <c r="C13" i="6"/>
  <c r="C12" i="6"/>
  <c r="C11" i="6"/>
  <c r="C10" i="6"/>
  <c r="C8" i="6"/>
  <c r="C6" i="6"/>
  <c r="C5" i="6"/>
  <c r="C4" i="6"/>
  <c r="C2" i="6"/>
  <c r="P18" i="5"/>
  <c r="M18" i="5"/>
  <c r="O18" i="5" s="1"/>
  <c r="M17" i="5"/>
  <c r="P17" i="5" s="1"/>
  <c r="N16" i="5"/>
  <c r="M16" i="5"/>
  <c r="Q16" i="5" s="1"/>
  <c r="P15" i="5"/>
  <c r="O15" i="5"/>
  <c r="N15" i="5"/>
  <c r="M15" i="5"/>
  <c r="Q15" i="5" s="1"/>
  <c r="P14" i="5"/>
  <c r="M14" i="5"/>
  <c r="O14" i="5" s="1"/>
  <c r="M13" i="5"/>
  <c r="P13" i="5" s="1"/>
  <c r="N12" i="5"/>
  <c r="M12" i="5"/>
  <c r="Q12" i="5" s="1"/>
  <c r="P11" i="5"/>
  <c r="O11" i="5"/>
  <c r="N11" i="5"/>
  <c r="M11" i="5"/>
  <c r="Q11" i="5" s="1"/>
  <c r="P10" i="5"/>
  <c r="M10" i="5"/>
  <c r="O10" i="5" s="1"/>
  <c r="M9" i="5"/>
  <c r="P9" i="5" s="1"/>
  <c r="O8" i="5"/>
  <c r="N8" i="5"/>
  <c r="M8" i="5"/>
  <c r="Q8" i="5" s="1"/>
  <c r="P7" i="5"/>
  <c r="O7" i="5"/>
  <c r="N7" i="5"/>
  <c r="M7" i="5"/>
  <c r="Q7" i="5" s="1"/>
  <c r="E505" i="4"/>
  <c r="A513" i="7" s="1"/>
  <c r="E504" i="4"/>
  <c r="A512" i="7" s="1"/>
  <c r="E503" i="4"/>
  <c r="A511" i="7" s="1"/>
  <c r="E502" i="4"/>
  <c r="A510" i="7" s="1"/>
  <c r="E501" i="4"/>
  <c r="A509" i="7" s="1"/>
  <c r="E500" i="4"/>
  <c r="A508" i="7" s="1"/>
  <c r="E499" i="4"/>
  <c r="A507" i="7" s="1"/>
  <c r="E498" i="4"/>
  <c r="A506" i="7" s="1"/>
  <c r="E497" i="4"/>
  <c r="A505" i="7" s="1"/>
  <c r="E496" i="4"/>
  <c r="A504" i="7" s="1"/>
  <c r="E495" i="4"/>
  <c r="A503" i="7" s="1"/>
  <c r="E494" i="4"/>
  <c r="A502" i="7" s="1"/>
  <c r="E493" i="4"/>
  <c r="A501" i="7" s="1"/>
  <c r="E492" i="4"/>
  <c r="A500" i="7" s="1"/>
  <c r="E491" i="4"/>
  <c r="A499" i="7" s="1"/>
  <c r="E490" i="4"/>
  <c r="A498" i="7" s="1"/>
  <c r="E489" i="4"/>
  <c r="A497" i="7" s="1"/>
  <c r="E488" i="4"/>
  <c r="A496" i="7" s="1"/>
  <c r="E487" i="4"/>
  <c r="A495" i="7" s="1"/>
  <c r="E486" i="4"/>
  <c r="A494" i="7" s="1"/>
  <c r="E485" i="4"/>
  <c r="A493" i="7" s="1"/>
  <c r="E484" i="4"/>
  <c r="A492" i="7" s="1"/>
  <c r="E483" i="4"/>
  <c r="A491" i="7" s="1"/>
  <c r="E482" i="4"/>
  <c r="A490" i="7" s="1"/>
  <c r="E481" i="4"/>
  <c r="A489" i="7" s="1"/>
  <c r="E480" i="4"/>
  <c r="A488" i="7" s="1"/>
  <c r="E479" i="4"/>
  <c r="A487" i="7" s="1"/>
  <c r="E478" i="4"/>
  <c r="A486" i="7" s="1"/>
  <c r="E477" i="4"/>
  <c r="A485" i="7" s="1"/>
  <c r="E476" i="4"/>
  <c r="A484" i="7" s="1"/>
  <c r="E475" i="4"/>
  <c r="A483" i="7" s="1"/>
  <c r="E474" i="4"/>
  <c r="A482" i="7" s="1"/>
  <c r="E473" i="4"/>
  <c r="A481" i="7" s="1"/>
  <c r="E472" i="4"/>
  <c r="A480" i="7" s="1"/>
  <c r="E471" i="4"/>
  <c r="A479" i="7" s="1"/>
  <c r="E470" i="4"/>
  <c r="A478" i="7" s="1"/>
  <c r="E469" i="4"/>
  <c r="A477" i="7" s="1"/>
  <c r="E468" i="4"/>
  <c r="A476" i="7" s="1"/>
  <c r="E467" i="4"/>
  <c r="A475" i="7" s="1"/>
  <c r="E466" i="4"/>
  <c r="A474" i="7" s="1"/>
  <c r="E465" i="4"/>
  <c r="A473" i="7" s="1"/>
  <c r="E464" i="4"/>
  <c r="A472" i="7" s="1"/>
  <c r="E463" i="4"/>
  <c r="A471" i="7" s="1"/>
  <c r="E462" i="4"/>
  <c r="A470" i="7" s="1"/>
  <c r="E461" i="4"/>
  <c r="A469" i="7" s="1"/>
  <c r="E460" i="4"/>
  <c r="A468" i="7" s="1"/>
  <c r="E459" i="4"/>
  <c r="A467" i="7" s="1"/>
  <c r="E458" i="4"/>
  <c r="A466" i="7" s="1"/>
  <c r="E457" i="4"/>
  <c r="A465" i="7" s="1"/>
  <c r="E456" i="4"/>
  <c r="A464" i="7" s="1"/>
  <c r="E455" i="4"/>
  <c r="A463" i="7" s="1"/>
  <c r="E454" i="4"/>
  <c r="A462" i="7" s="1"/>
  <c r="E453" i="4"/>
  <c r="A461" i="7" s="1"/>
  <c r="E452" i="4"/>
  <c r="A460" i="7" s="1"/>
  <c r="E451" i="4"/>
  <c r="A459" i="7" s="1"/>
  <c r="E450" i="4"/>
  <c r="A458" i="7" s="1"/>
  <c r="E449" i="4"/>
  <c r="A457" i="7" s="1"/>
  <c r="E448" i="4"/>
  <c r="A456" i="7" s="1"/>
  <c r="E447" i="4"/>
  <c r="A455" i="7" s="1"/>
  <c r="E446" i="4"/>
  <c r="A454" i="7" s="1"/>
  <c r="E445" i="4"/>
  <c r="A453" i="7" s="1"/>
  <c r="E444" i="4"/>
  <c r="A452" i="7" s="1"/>
  <c r="E443" i="4"/>
  <c r="A451" i="7" s="1"/>
  <c r="E442" i="4"/>
  <c r="A450" i="7" s="1"/>
  <c r="E441" i="4"/>
  <c r="A449" i="7" s="1"/>
  <c r="E440" i="4"/>
  <c r="A448" i="7" s="1"/>
  <c r="E439" i="4"/>
  <c r="A447" i="7" s="1"/>
  <c r="E438" i="4"/>
  <c r="A446" i="7" s="1"/>
  <c r="E437" i="4"/>
  <c r="A445" i="7" s="1"/>
  <c r="E436" i="4"/>
  <c r="A444" i="7" s="1"/>
  <c r="E435" i="4"/>
  <c r="A443" i="7" s="1"/>
  <c r="E434" i="4"/>
  <c r="A442" i="7" s="1"/>
  <c r="E433" i="4"/>
  <c r="A441" i="7" s="1"/>
  <c r="E432" i="4"/>
  <c r="A440" i="7" s="1"/>
  <c r="E431" i="4"/>
  <c r="A439" i="7" s="1"/>
  <c r="E430" i="4"/>
  <c r="A438" i="7" s="1"/>
  <c r="E429" i="4"/>
  <c r="A437" i="7" s="1"/>
  <c r="E428" i="4"/>
  <c r="A436" i="7" s="1"/>
  <c r="E427" i="4"/>
  <c r="A435" i="7" s="1"/>
  <c r="E426" i="4"/>
  <c r="A434" i="7" s="1"/>
  <c r="E425" i="4"/>
  <c r="A433" i="7" s="1"/>
  <c r="E424" i="4"/>
  <c r="A432" i="7" s="1"/>
  <c r="E423" i="4"/>
  <c r="A431" i="7" s="1"/>
  <c r="E422" i="4"/>
  <c r="A430" i="7" s="1"/>
  <c r="E421" i="4"/>
  <c r="A429" i="7" s="1"/>
  <c r="E420" i="4"/>
  <c r="A428" i="7" s="1"/>
  <c r="E419" i="4"/>
  <c r="A427" i="7" s="1"/>
  <c r="E418" i="4"/>
  <c r="A426" i="7" s="1"/>
  <c r="E417" i="4"/>
  <c r="A425" i="7" s="1"/>
  <c r="E416" i="4"/>
  <c r="A424" i="7" s="1"/>
  <c r="E415" i="4"/>
  <c r="A423" i="7" s="1"/>
  <c r="E414" i="4"/>
  <c r="A422" i="7" s="1"/>
  <c r="E413" i="4"/>
  <c r="A421" i="7" s="1"/>
  <c r="E412" i="4"/>
  <c r="A420" i="7" s="1"/>
  <c r="E411" i="4"/>
  <c r="A419" i="7" s="1"/>
  <c r="E410" i="4"/>
  <c r="A418" i="7" s="1"/>
  <c r="E409" i="4"/>
  <c r="A417" i="7" s="1"/>
  <c r="E408" i="4"/>
  <c r="A416" i="7" s="1"/>
  <c r="E407" i="4"/>
  <c r="A415" i="7" s="1"/>
  <c r="E406" i="4"/>
  <c r="A414" i="7" s="1"/>
  <c r="E405" i="4"/>
  <c r="A413" i="7" s="1"/>
  <c r="E404" i="4"/>
  <c r="A412" i="7" s="1"/>
  <c r="E403" i="4"/>
  <c r="A411" i="7" s="1"/>
  <c r="E402" i="4"/>
  <c r="A410" i="7" s="1"/>
  <c r="E401" i="4"/>
  <c r="A409" i="7" s="1"/>
  <c r="E400" i="4"/>
  <c r="A408" i="7" s="1"/>
  <c r="E399" i="4"/>
  <c r="A407" i="7" s="1"/>
  <c r="E398" i="4"/>
  <c r="A406" i="7" s="1"/>
  <c r="E397" i="4"/>
  <c r="A405" i="7" s="1"/>
  <c r="E396" i="4"/>
  <c r="A404" i="7" s="1"/>
  <c r="E395" i="4"/>
  <c r="A403" i="7" s="1"/>
  <c r="E394" i="4"/>
  <c r="A402" i="7" s="1"/>
  <c r="E393" i="4"/>
  <c r="A401" i="7" s="1"/>
  <c r="E392" i="4"/>
  <c r="A400" i="7" s="1"/>
  <c r="E391" i="4"/>
  <c r="A399" i="7" s="1"/>
  <c r="E390" i="4"/>
  <c r="A398" i="7" s="1"/>
  <c r="E389" i="4"/>
  <c r="A397" i="7" s="1"/>
  <c r="E388" i="4"/>
  <c r="A396" i="7" s="1"/>
  <c r="E387" i="4"/>
  <c r="A395" i="7" s="1"/>
  <c r="E386" i="4"/>
  <c r="A394" i="7" s="1"/>
  <c r="E385" i="4"/>
  <c r="A393" i="7" s="1"/>
  <c r="E384" i="4"/>
  <c r="A392" i="7" s="1"/>
  <c r="E383" i="4"/>
  <c r="A391" i="7" s="1"/>
  <c r="E382" i="4"/>
  <c r="A390" i="7" s="1"/>
  <c r="E381" i="4"/>
  <c r="A389" i="7" s="1"/>
  <c r="E380" i="4"/>
  <c r="A388" i="7" s="1"/>
  <c r="E379" i="4"/>
  <c r="A387" i="7" s="1"/>
  <c r="E378" i="4"/>
  <c r="A386" i="7" s="1"/>
  <c r="E377" i="4"/>
  <c r="A385" i="7" s="1"/>
  <c r="E376" i="4"/>
  <c r="A384" i="7" s="1"/>
  <c r="E375" i="4"/>
  <c r="A383" i="7" s="1"/>
  <c r="E374" i="4"/>
  <c r="A382" i="7" s="1"/>
  <c r="E373" i="4"/>
  <c r="A381" i="7" s="1"/>
  <c r="E372" i="4"/>
  <c r="A380" i="7" s="1"/>
  <c r="E371" i="4"/>
  <c r="A379" i="7" s="1"/>
  <c r="E370" i="4"/>
  <c r="A378" i="7" s="1"/>
  <c r="E369" i="4"/>
  <c r="A377" i="7" s="1"/>
  <c r="E368" i="4"/>
  <c r="A376" i="7" s="1"/>
  <c r="E367" i="4"/>
  <c r="A375" i="7" s="1"/>
  <c r="E366" i="4"/>
  <c r="A374" i="7" s="1"/>
  <c r="E365" i="4"/>
  <c r="A373" i="7" s="1"/>
  <c r="E364" i="4"/>
  <c r="A372" i="7" s="1"/>
  <c r="E363" i="4"/>
  <c r="A371" i="7" s="1"/>
  <c r="E362" i="4"/>
  <c r="A370" i="7" s="1"/>
  <c r="E361" i="4"/>
  <c r="A369" i="7" s="1"/>
  <c r="E360" i="4"/>
  <c r="A368" i="7" s="1"/>
  <c r="E359" i="4"/>
  <c r="A367" i="7" s="1"/>
  <c r="E358" i="4"/>
  <c r="A366" i="7" s="1"/>
  <c r="E357" i="4"/>
  <c r="A365" i="7" s="1"/>
  <c r="E356" i="4"/>
  <c r="A364" i="7" s="1"/>
  <c r="E355" i="4"/>
  <c r="A363" i="7" s="1"/>
  <c r="E354" i="4"/>
  <c r="A362" i="7" s="1"/>
  <c r="E353" i="4"/>
  <c r="A361" i="7" s="1"/>
  <c r="E352" i="4"/>
  <c r="A360" i="7" s="1"/>
  <c r="E351" i="4"/>
  <c r="A359" i="7" s="1"/>
  <c r="E350" i="4"/>
  <c r="A358" i="7" s="1"/>
  <c r="E349" i="4"/>
  <c r="A357" i="7" s="1"/>
  <c r="E348" i="4"/>
  <c r="A356" i="7" s="1"/>
  <c r="E347" i="4"/>
  <c r="A355" i="7" s="1"/>
  <c r="E346" i="4"/>
  <c r="A354" i="7" s="1"/>
  <c r="E345" i="4"/>
  <c r="A353" i="7" s="1"/>
  <c r="E344" i="4"/>
  <c r="A352" i="7" s="1"/>
  <c r="E343" i="4"/>
  <c r="A351" i="7" s="1"/>
  <c r="E342" i="4"/>
  <c r="A350" i="7" s="1"/>
  <c r="E341" i="4"/>
  <c r="A349" i="7" s="1"/>
  <c r="E340" i="4"/>
  <c r="A348" i="7" s="1"/>
  <c r="E339" i="4"/>
  <c r="A347" i="7" s="1"/>
  <c r="E338" i="4"/>
  <c r="A346" i="7" s="1"/>
  <c r="E337" i="4"/>
  <c r="A345" i="7" s="1"/>
  <c r="E336" i="4"/>
  <c r="A344" i="7" s="1"/>
  <c r="E335" i="4"/>
  <c r="A343" i="7" s="1"/>
  <c r="E334" i="4"/>
  <c r="A342" i="7" s="1"/>
  <c r="E333" i="4"/>
  <c r="A341" i="7" s="1"/>
  <c r="E332" i="4"/>
  <c r="A340" i="7" s="1"/>
  <c r="E331" i="4"/>
  <c r="A339" i="7" s="1"/>
  <c r="E330" i="4"/>
  <c r="A338" i="7" s="1"/>
  <c r="E329" i="4"/>
  <c r="A337" i="7" s="1"/>
  <c r="E328" i="4"/>
  <c r="A336" i="7" s="1"/>
  <c r="E327" i="4"/>
  <c r="A335" i="7" s="1"/>
  <c r="E326" i="4"/>
  <c r="A334" i="7" s="1"/>
  <c r="E325" i="4"/>
  <c r="A333" i="7" s="1"/>
  <c r="E324" i="4"/>
  <c r="A332" i="7" s="1"/>
  <c r="E323" i="4"/>
  <c r="A331" i="7" s="1"/>
  <c r="E322" i="4"/>
  <c r="A330" i="7" s="1"/>
  <c r="E321" i="4"/>
  <c r="A329" i="7" s="1"/>
  <c r="E320" i="4"/>
  <c r="A328" i="7" s="1"/>
  <c r="E319" i="4"/>
  <c r="A327" i="7" s="1"/>
  <c r="E318" i="4"/>
  <c r="A326" i="7" s="1"/>
  <c r="E317" i="4"/>
  <c r="A325" i="7" s="1"/>
  <c r="E316" i="4"/>
  <c r="A324" i="7" s="1"/>
  <c r="E315" i="4"/>
  <c r="A323" i="7" s="1"/>
  <c r="E314" i="4"/>
  <c r="A322" i="7" s="1"/>
  <c r="E313" i="4"/>
  <c r="A321" i="7" s="1"/>
  <c r="E312" i="4"/>
  <c r="A320" i="7" s="1"/>
  <c r="E311" i="4"/>
  <c r="A319" i="7" s="1"/>
  <c r="E310" i="4"/>
  <c r="A318" i="7" s="1"/>
  <c r="E309" i="4"/>
  <c r="A317" i="7" s="1"/>
  <c r="E308" i="4"/>
  <c r="A316" i="7" s="1"/>
  <c r="E307" i="4"/>
  <c r="A315" i="7" s="1"/>
  <c r="E306" i="4"/>
  <c r="A314" i="7" s="1"/>
  <c r="E305" i="4"/>
  <c r="A313" i="7" s="1"/>
  <c r="E304" i="4"/>
  <c r="A312" i="7" s="1"/>
  <c r="E303" i="4"/>
  <c r="A311" i="7" s="1"/>
  <c r="E302" i="4"/>
  <c r="A310" i="7" s="1"/>
  <c r="E301" i="4"/>
  <c r="A309" i="7" s="1"/>
  <c r="E300" i="4"/>
  <c r="A308" i="7" s="1"/>
  <c r="E299" i="4"/>
  <c r="A307" i="7" s="1"/>
  <c r="E298" i="4"/>
  <c r="A306" i="7" s="1"/>
  <c r="E297" i="4"/>
  <c r="A305" i="7" s="1"/>
  <c r="E296" i="4"/>
  <c r="A304" i="7" s="1"/>
  <c r="E295" i="4"/>
  <c r="A303" i="7" s="1"/>
  <c r="E294" i="4"/>
  <c r="A302" i="7" s="1"/>
  <c r="E293" i="4"/>
  <c r="A301" i="7" s="1"/>
  <c r="E292" i="4"/>
  <c r="A300" i="7" s="1"/>
  <c r="E291" i="4"/>
  <c r="A299" i="7" s="1"/>
  <c r="E290" i="4"/>
  <c r="A298" i="7" s="1"/>
  <c r="E289" i="4"/>
  <c r="A297" i="7" s="1"/>
  <c r="E288" i="4"/>
  <c r="A296" i="7" s="1"/>
  <c r="E287" i="4"/>
  <c r="A295" i="7" s="1"/>
  <c r="E286" i="4"/>
  <c r="A294" i="7" s="1"/>
  <c r="E285" i="4"/>
  <c r="A293" i="7" s="1"/>
  <c r="E284" i="4"/>
  <c r="A292" i="7" s="1"/>
  <c r="E283" i="4"/>
  <c r="A291" i="7" s="1"/>
  <c r="E282" i="4"/>
  <c r="A290" i="7" s="1"/>
  <c r="E281" i="4"/>
  <c r="A289" i="7" s="1"/>
  <c r="E280" i="4"/>
  <c r="A288" i="7" s="1"/>
  <c r="E279" i="4"/>
  <c r="A287" i="7" s="1"/>
  <c r="E278" i="4"/>
  <c r="A286" i="7" s="1"/>
  <c r="E277" i="4"/>
  <c r="A285" i="7" s="1"/>
  <c r="E276" i="4"/>
  <c r="A284" i="7" s="1"/>
  <c r="E275" i="4"/>
  <c r="A283" i="7" s="1"/>
  <c r="E274" i="4"/>
  <c r="A282" i="7" s="1"/>
  <c r="E273" i="4"/>
  <c r="A281" i="7" s="1"/>
  <c r="E272" i="4"/>
  <c r="A280" i="7" s="1"/>
  <c r="E271" i="4"/>
  <c r="A279" i="7" s="1"/>
  <c r="E270" i="4"/>
  <c r="A278" i="7" s="1"/>
  <c r="E269" i="4"/>
  <c r="A277" i="7" s="1"/>
  <c r="E268" i="4"/>
  <c r="A276" i="7" s="1"/>
  <c r="E267" i="4"/>
  <c r="A275" i="7" s="1"/>
  <c r="E266" i="4"/>
  <c r="A274" i="7" s="1"/>
  <c r="E265" i="4"/>
  <c r="A273" i="7" s="1"/>
  <c r="E264" i="4"/>
  <c r="A272" i="7" s="1"/>
  <c r="E263" i="4"/>
  <c r="A271" i="7" s="1"/>
  <c r="E262" i="4"/>
  <c r="A270" i="7" s="1"/>
  <c r="E261" i="4"/>
  <c r="A269" i="7" s="1"/>
  <c r="E260" i="4"/>
  <c r="A268" i="7" s="1"/>
  <c r="E259" i="4"/>
  <c r="A267" i="7" s="1"/>
  <c r="E258" i="4"/>
  <c r="A266" i="7" s="1"/>
  <c r="E257" i="4"/>
  <c r="A265" i="7" s="1"/>
  <c r="E256" i="4"/>
  <c r="A264" i="7" s="1"/>
  <c r="E255" i="4"/>
  <c r="A263" i="7" s="1"/>
  <c r="E254" i="4"/>
  <c r="A262" i="7" s="1"/>
  <c r="E253" i="4"/>
  <c r="A261" i="7" s="1"/>
  <c r="E252" i="4"/>
  <c r="A260" i="7" s="1"/>
  <c r="E251" i="4"/>
  <c r="A259" i="7" s="1"/>
  <c r="E250" i="4"/>
  <c r="A258" i="7" s="1"/>
  <c r="E249" i="4"/>
  <c r="A257" i="7" s="1"/>
  <c r="E248" i="4"/>
  <c r="A256" i="7" s="1"/>
  <c r="E247" i="4"/>
  <c r="A255" i="7" s="1"/>
  <c r="E246" i="4"/>
  <c r="A254" i="7" s="1"/>
  <c r="E245" i="4"/>
  <c r="A253" i="7" s="1"/>
  <c r="E244" i="4"/>
  <c r="A252" i="7" s="1"/>
  <c r="E243" i="4"/>
  <c r="A251" i="7" s="1"/>
  <c r="E242" i="4"/>
  <c r="A250" i="7" s="1"/>
  <c r="E241" i="4"/>
  <c r="A249" i="7" s="1"/>
  <c r="E240" i="4"/>
  <c r="A248" i="7" s="1"/>
  <c r="E239" i="4"/>
  <c r="A247" i="7" s="1"/>
  <c r="E238" i="4"/>
  <c r="A246" i="7" s="1"/>
  <c r="E237" i="4"/>
  <c r="A245" i="7" s="1"/>
  <c r="E236" i="4"/>
  <c r="A244" i="7" s="1"/>
  <c r="E235" i="4"/>
  <c r="A243" i="7" s="1"/>
  <c r="E234" i="4"/>
  <c r="A242" i="7" s="1"/>
  <c r="E233" i="4"/>
  <c r="A241" i="7" s="1"/>
  <c r="E232" i="4"/>
  <c r="A240" i="7" s="1"/>
  <c r="E231" i="4"/>
  <c r="A239" i="7" s="1"/>
  <c r="E230" i="4"/>
  <c r="A238" i="7" s="1"/>
  <c r="E229" i="4"/>
  <c r="A237" i="7" s="1"/>
  <c r="E228" i="4"/>
  <c r="A236" i="7" s="1"/>
  <c r="E227" i="4"/>
  <c r="A235" i="7" s="1"/>
  <c r="E226" i="4"/>
  <c r="A234" i="7" s="1"/>
  <c r="E225" i="4"/>
  <c r="A233" i="7" s="1"/>
  <c r="E224" i="4"/>
  <c r="A232" i="7" s="1"/>
  <c r="E223" i="4"/>
  <c r="A231" i="7" s="1"/>
  <c r="E222" i="4"/>
  <c r="A230" i="7" s="1"/>
  <c r="E221" i="4"/>
  <c r="A229" i="7" s="1"/>
  <c r="E220" i="4"/>
  <c r="A228" i="7" s="1"/>
  <c r="E219" i="4"/>
  <c r="A227" i="7" s="1"/>
  <c r="E218" i="4"/>
  <c r="A226" i="7" s="1"/>
  <c r="E217" i="4"/>
  <c r="A225" i="7" s="1"/>
  <c r="E216" i="4"/>
  <c r="A224" i="7" s="1"/>
  <c r="E215" i="4"/>
  <c r="A223" i="7" s="1"/>
  <c r="E214" i="4"/>
  <c r="A222" i="7" s="1"/>
  <c r="E213" i="4"/>
  <c r="A221" i="7" s="1"/>
  <c r="E212" i="4"/>
  <c r="A220" i="7" s="1"/>
  <c r="E211" i="4"/>
  <c r="A219" i="7" s="1"/>
  <c r="E210" i="4"/>
  <c r="A218" i="7" s="1"/>
  <c r="E209" i="4"/>
  <c r="A217" i="7" s="1"/>
  <c r="E208" i="4"/>
  <c r="A216" i="7" s="1"/>
  <c r="E207" i="4"/>
  <c r="A215" i="7" s="1"/>
  <c r="E206" i="4"/>
  <c r="A214" i="7" s="1"/>
  <c r="E205" i="4"/>
  <c r="A213" i="7" s="1"/>
  <c r="E204" i="4"/>
  <c r="A212" i="7" s="1"/>
  <c r="E203" i="4"/>
  <c r="A211" i="7" s="1"/>
  <c r="E202" i="4"/>
  <c r="A210" i="7" s="1"/>
  <c r="E201" i="4"/>
  <c r="A209" i="7" s="1"/>
  <c r="E200" i="4"/>
  <c r="A208" i="7" s="1"/>
  <c r="E199" i="4"/>
  <c r="A207" i="7" s="1"/>
  <c r="E198" i="4"/>
  <c r="A206" i="7" s="1"/>
  <c r="E197" i="4"/>
  <c r="A205" i="7" s="1"/>
  <c r="E196" i="4"/>
  <c r="A204" i="7" s="1"/>
  <c r="E195" i="4"/>
  <c r="A203" i="7" s="1"/>
  <c r="E194" i="4"/>
  <c r="A202" i="7" s="1"/>
  <c r="E193" i="4"/>
  <c r="A201" i="7" s="1"/>
  <c r="E192" i="4"/>
  <c r="A200" i="7" s="1"/>
  <c r="E191" i="4"/>
  <c r="A199" i="7" s="1"/>
  <c r="E190" i="4"/>
  <c r="A198" i="7" s="1"/>
  <c r="E189" i="4"/>
  <c r="A197" i="7" s="1"/>
  <c r="E188" i="4"/>
  <c r="A196" i="7" s="1"/>
  <c r="E187" i="4"/>
  <c r="A195" i="7" s="1"/>
  <c r="E186" i="4"/>
  <c r="A194" i="7" s="1"/>
  <c r="E185" i="4"/>
  <c r="A193" i="7" s="1"/>
  <c r="E184" i="4"/>
  <c r="A192" i="7" s="1"/>
  <c r="E183" i="4"/>
  <c r="A191" i="7" s="1"/>
  <c r="E182" i="4"/>
  <c r="A190" i="7" s="1"/>
  <c r="E181" i="4"/>
  <c r="A189" i="7" s="1"/>
  <c r="E180" i="4"/>
  <c r="A188" i="7" s="1"/>
  <c r="E179" i="4"/>
  <c r="A187" i="7" s="1"/>
  <c r="E178" i="4"/>
  <c r="A186" i="7" s="1"/>
  <c r="E177" i="4"/>
  <c r="A185" i="7" s="1"/>
  <c r="E176" i="4"/>
  <c r="A184" i="7" s="1"/>
  <c r="E175" i="4"/>
  <c r="A183" i="7" s="1"/>
  <c r="E174" i="4"/>
  <c r="A182" i="7" s="1"/>
  <c r="E173" i="4"/>
  <c r="A181" i="7" s="1"/>
  <c r="E172" i="4"/>
  <c r="A180" i="7" s="1"/>
  <c r="E171" i="4"/>
  <c r="A179" i="7" s="1"/>
  <c r="E170" i="4"/>
  <c r="A178" i="7" s="1"/>
  <c r="E169" i="4"/>
  <c r="A177" i="7" s="1"/>
  <c r="E168" i="4"/>
  <c r="A176" i="7" s="1"/>
  <c r="E167" i="4"/>
  <c r="A175" i="7" s="1"/>
  <c r="E166" i="4"/>
  <c r="A174" i="7" s="1"/>
  <c r="E165" i="4"/>
  <c r="A173" i="7" s="1"/>
  <c r="E164" i="4"/>
  <c r="A172" i="7" s="1"/>
  <c r="E163" i="4"/>
  <c r="A171" i="7" s="1"/>
  <c r="E162" i="4"/>
  <c r="A170" i="7" s="1"/>
  <c r="E161" i="4"/>
  <c r="A169" i="7" s="1"/>
  <c r="E160" i="4"/>
  <c r="A168" i="7" s="1"/>
  <c r="E159" i="4"/>
  <c r="A167" i="7" s="1"/>
  <c r="E158" i="4"/>
  <c r="A166" i="7" s="1"/>
  <c r="E157" i="4"/>
  <c r="A165" i="7" s="1"/>
  <c r="E156" i="4"/>
  <c r="A164" i="7" s="1"/>
  <c r="E155" i="4"/>
  <c r="A163" i="7" s="1"/>
  <c r="E154" i="4"/>
  <c r="A162" i="7" s="1"/>
  <c r="E153" i="4"/>
  <c r="A161" i="7" s="1"/>
  <c r="E152" i="4"/>
  <c r="A160" i="7" s="1"/>
  <c r="E151" i="4"/>
  <c r="A159" i="7" s="1"/>
  <c r="E150" i="4"/>
  <c r="A158" i="7" s="1"/>
  <c r="E149" i="4"/>
  <c r="A157" i="7" s="1"/>
  <c r="E148" i="4"/>
  <c r="A156" i="7" s="1"/>
  <c r="E147" i="4"/>
  <c r="A155" i="7" s="1"/>
  <c r="E146" i="4"/>
  <c r="A154" i="7" s="1"/>
  <c r="E145" i="4"/>
  <c r="A153" i="7" s="1"/>
  <c r="E144" i="4"/>
  <c r="A152" i="7" s="1"/>
  <c r="E143" i="4"/>
  <c r="A151" i="7" s="1"/>
  <c r="E142" i="4"/>
  <c r="A150" i="7" s="1"/>
  <c r="E141" i="4"/>
  <c r="A149" i="7" s="1"/>
  <c r="E140" i="4"/>
  <c r="A148" i="7" s="1"/>
  <c r="E139" i="4"/>
  <c r="A147" i="7" s="1"/>
  <c r="E138" i="4"/>
  <c r="A146" i="7" s="1"/>
  <c r="E137" i="4"/>
  <c r="A145" i="7" s="1"/>
  <c r="E136" i="4"/>
  <c r="A144" i="7" s="1"/>
  <c r="E135" i="4"/>
  <c r="A143" i="7" s="1"/>
  <c r="E134" i="4"/>
  <c r="A142" i="7" s="1"/>
  <c r="E133" i="4"/>
  <c r="A141" i="7" s="1"/>
  <c r="E132" i="4"/>
  <c r="A140" i="7" s="1"/>
  <c r="E131" i="4"/>
  <c r="A139" i="7" s="1"/>
  <c r="E130" i="4"/>
  <c r="A138" i="7" s="1"/>
  <c r="E129" i="4"/>
  <c r="A137" i="7" s="1"/>
  <c r="E128" i="4"/>
  <c r="A136" i="7" s="1"/>
  <c r="E127" i="4"/>
  <c r="A135" i="7" s="1"/>
  <c r="E126" i="4"/>
  <c r="A134" i="7" s="1"/>
  <c r="E125" i="4"/>
  <c r="A133" i="7" s="1"/>
  <c r="E124" i="4"/>
  <c r="A132" i="7" s="1"/>
  <c r="E123" i="4"/>
  <c r="A131" i="7" s="1"/>
  <c r="E122" i="4"/>
  <c r="A130" i="7" s="1"/>
  <c r="E121" i="4"/>
  <c r="A129" i="7" s="1"/>
  <c r="E120" i="4"/>
  <c r="A128" i="7" s="1"/>
  <c r="E119" i="4"/>
  <c r="A127" i="7" s="1"/>
  <c r="E118" i="4"/>
  <c r="A126" i="7" s="1"/>
  <c r="E117" i="4"/>
  <c r="A125" i="7" s="1"/>
  <c r="E116" i="4"/>
  <c r="A124" i="7" s="1"/>
  <c r="E115" i="4"/>
  <c r="A123" i="7" s="1"/>
  <c r="E114" i="4"/>
  <c r="A122" i="7" s="1"/>
  <c r="E113" i="4"/>
  <c r="A121" i="7" s="1"/>
  <c r="E112" i="4"/>
  <c r="A120" i="7" s="1"/>
  <c r="E111" i="4"/>
  <c r="A119" i="7" s="1"/>
  <c r="E110" i="4"/>
  <c r="A118" i="7" s="1"/>
  <c r="E109" i="4"/>
  <c r="A117" i="7" s="1"/>
  <c r="E108" i="4"/>
  <c r="A116" i="7" s="1"/>
  <c r="E107" i="4"/>
  <c r="A115" i="7" s="1"/>
  <c r="E106" i="4"/>
  <c r="A114" i="7" s="1"/>
  <c r="E105" i="4"/>
  <c r="A113" i="7" s="1"/>
  <c r="E104" i="4"/>
  <c r="A112" i="7" s="1"/>
  <c r="E103" i="4"/>
  <c r="A111" i="7" s="1"/>
  <c r="E102" i="4"/>
  <c r="A110" i="7" s="1"/>
  <c r="E101" i="4"/>
  <c r="A109" i="7" s="1"/>
  <c r="E100" i="4"/>
  <c r="A108" i="7" s="1"/>
  <c r="E99" i="4"/>
  <c r="A107" i="7" s="1"/>
  <c r="E98" i="4"/>
  <c r="A106" i="7" s="1"/>
  <c r="E97" i="4"/>
  <c r="A105" i="7" s="1"/>
  <c r="E96" i="4"/>
  <c r="A104" i="7" s="1"/>
  <c r="E95" i="4"/>
  <c r="A103" i="7" s="1"/>
  <c r="E94" i="4"/>
  <c r="A102" i="7" s="1"/>
  <c r="E93" i="4"/>
  <c r="A101" i="7" s="1"/>
  <c r="E92" i="4"/>
  <c r="A100" i="7" s="1"/>
  <c r="E91" i="4"/>
  <c r="A99" i="7" s="1"/>
  <c r="E90" i="4"/>
  <c r="A98" i="7" s="1"/>
  <c r="E89" i="4"/>
  <c r="A97" i="7" s="1"/>
  <c r="E88" i="4"/>
  <c r="A96" i="7" s="1"/>
  <c r="E87" i="4"/>
  <c r="A95" i="7" s="1"/>
  <c r="E86" i="4"/>
  <c r="A94" i="7" s="1"/>
  <c r="E85" i="4"/>
  <c r="A93" i="7" s="1"/>
  <c r="E84" i="4"/>
  <c r="A92" i="7" s="1"/>
  <c r="E83" i="4"/>
  <c r="A91" i="7" s="1"/>
  <c r="E82" i="4"/>
  <c r="A90" i="7" s="1"/>
  <c r="E81" i="4"/>
  <c r="A89" i="7" s="1"/>
  <c r="E80" i="4"/>
  <c r="A88" i="7" s="1"/>
  <c r="E79" i="4"/>
  <c r="A87" i="7" s="1"/>
  <c r="E78" i="4"/>
  <c r="A86" i="7" s="1"/>
  <c r="E77" i="4"/>
  <c r="A85" i="7" s="1"/>
  <c r="E76" i="4"/>
  <c r="A84" i="7" s="1"/>
  <c r="E75" i="4"/>
  <c r="A83" i="7" s="1"/>
  <c r="E74" i="4"/>
  <c r="A82" i="7" s="1"/>
  <c r="E73" i="4"/>
  <c r="A81" i="7" s="1"/>
  <c r="E72" i="4"/>
  <c r="A80" i="7" s="1"/>
  <c r="E71" i="4"/>
  <c r="A79" i="7" s="1"/>
  <c r="E70" i="4"/>
  <c r="A78" i="7" s="1"/>
  <c r="E69" i="4"/>
  <c r="A77" i="7" s="1"/>
  <c r="E68" i="4"/>
  <c r="A76" i="7" s="1"/>
  <c r="E67" i="4"/>
  <c r="A75" i="7" s="1"/>
  <c r="E66" i="4"/>
  <c r="A74" i="7" s="1"/>
  <c r="E65" i="4"/>
  <c r="A73" i="7" s="1"/>
  <c r="E64" i="4"/>
  <c r="A72" i="7" s="1"/>
  <c r="E63" i="4"/>
  <c r="A71" i="7" s="1"/>
  <c r="E62" i="4"/>
  <c r="A70" i="7" s="1"/>
  <c r="E61" i="4"/>
  <c r="A69" i="7" s="1"/>
  <c r="E60" i="4"/>
  <c r="A68" i="7" s="1"/>
  <c r="E59" i="4"/>
  <c r="A67" i="7" s="1"/>
  <c r="E58" i="4"/>
  <c r="A66" i="7" s="1"/>
  <c r="E57" i="4"/>
  <c r="A65" i="7" s="1"/>
  <c r="E56" i="4"/>
  <c r="A64" i="7" s="1"/>
  <c r="E55" i="4"/>
  <c r="A63" i="7" s="1"/>
  <c r="E54" i="4"/>
  <c r="A62" i="7" s="1"/>
  <c r="E53" i="4"/>
  <c r="A61" i="7" s="1"/>
  <c r="E52" i="4"/>
  <c r="A60" i="7" s="1"/>
  <c r="E51" i="4"/>
  <c r="A59" i="7" s="1"/>
  <c r="E50" i="4"/>
  <c r="A58" i="7" s="1"/>
  <c r="E49" i="4"/>
  <c r="A57" i="7" s="1"/>
  <c r="E48" i="4"/>
  <c r="A56" i="7" s="1"/>
  <c r="E47" i="4"/>
  <c r="A55" i="7" s="1"/>
  <c r="E46" i="4"/>
  <c r="A54" i="7" s="1"/>
  <c r="E45" i="4"/>
  <c r="A53" i="7" s="1"/>
  <c r="E44" i="4"/>
  <c r="A52" i="7" s="1"/>
  <c r="E43" i="4"/>
  <c r="A51" i="7" s="1"/>
  <c r="E42" i="4"/>
  <c r="A50" i="7" s="1"/>
  <c r="E41" i="4"/>
  <c r="A49" i="7" s="1"/>
  <c r="E40" i="4"/>
  <c r="A48" i="7" s="1"/>
  <c r="E39" i="4"/>
  <c r="A47" i="7" s="1"/>
  <c r="E38" i="4"/>
  <c r="A46" i="7" s="1"/>
  <c r="E37" i="4"/>
  <c r="A45" i="7" s="1"/>
  <c r="E36" i="4"/>
  <c r="A44" i="7" s="1"/>
  <c r="E35" i="4"/>
  <c r="A43" i="7" s="1"/>
  <c r="E34" i="4"/>
  <c r="A42" i="7" s="1"/>
  <c r="E33" i="4"/>
  <c r="A41" i="7" s="1"/>
  <c r="E32" i="4"/>
  <c r="A40" i="7" s="1"/>
  <c r="E31" i="4"/>
  <c r="A39" i="7" s="1"/>
  <c r="E30" i="4"/>
  <c r="A38" i="7" s="1"/>
  <c r="E29" i="4"/>
  <c r="A37" i="7" s="1"/>
  <c r="E28" i="4"/>
  <c r="A36" i="7" s="1"/>
  <c r="E27" i="4"/>
  <c r="A35" i="7" s="1"/>
  <c r="E26" i="4"/>
  <c r="A34" i="7" s="1"/>
  <c r="E25" i="4"/>
  <c r="A33" i="7" s="1"/>
  <c r="E24" i="4"/>
  <c r="A32" i="7" s="1"/>
  <c r="E23" i="4"/>
  <c r="A31" i="7" s="1"/>
  <c r="E22" i="4"/>
  <c r="A30" i="7" s="1"/>
  <c r="E21" i="4"/>
  <c r="A29" i="7" s="1"/>
  <c r="E20" i="4"/>
  <c r="A28" i="7" s="1"/>
  <c r="E19" i="4"/>
  <c r="A27" i="7" s="1"/>
  <c r="E18" i="4"/>
  <c r="A26" i="7" s="1"/>
  <c r="E17" i="4"/>
  <c r="A25" i="7" s="1"/>
  <c r="E16" i="4"/>
  <c r="A24" i="7" s="1"/>
  <c r="E15" i="4"/>
  <c r="A23" i="7" s="1"/>
  <c r="E14" i="4"/>
  <c r="A22" i="7" s="1"/>
  <c r="E13" i="4"/>
  <c r="A21" i="7" s="1"/>
  <c r="E12" i="4"/>
  <c r="A20" i="7" s="1"/>
  <c r="E11" i="4"/>
  <c r="A19" i="7" s="1"/>
  <c r="E10" i="4"/>
  <c r="A18" i="7" s="1"/>
  <c r="E9" i="4"/>
  <c r="A17" i="7" s="1"/>
  <c r="E8" i="4"/>
  <c r="A16" i="7" s="1"/>
  <c r="E7" i="4"/>
  <c r="A15" i="7" s="1"/>
  <c r="E6" i="4"/>
  <c r="B3" i="4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H31" i="3"/>
  <c r="D31" i="3"/>
  <c r="C31" i="3"/>
  <c r="H30" i="3"/>
  <c r="D30" i="3"/>
  <c r="C30" i="3"/>
  <c r="H29" i="3"/>
  <c r="D29" i="3"/>
  <c r="C29" i="3"/>
  <c r="H28" i="3"/>
  <c r="D28" i="3"/>
  <c r="C28" i="3"/>
  <c r="H27" i="3"/>
  <c r="D27" i="3"/>
  <c r="C27" i="3"/>
  <c r="H26" i="3"/>
  <c r="D26" i="3"/>
  <c r="C26" i="3"/>
  <c r="H25" i="3"/>
  <c r="D25" i="3"/>
  <c r="C25" i="3"/>
  <c r="H24" i="3"/>
  <c r="D24" i="3"/>
  <c r="C24" i="3"/>
  <c r="H23" i="3"/>
  <c r="D23" i="3"/>
  <c r="C23" i="3"/>
  <c r="H22" i="3"/>
  <c r="D22" i="3"/>
  <c r="C22" i="3"/>
  <c r="H21" i="3"/>
  <c r="D21" i="3"/>
  <c r="C21" i="3"/>
  <c r="H20" i="3"/>
  <c r="D20" i="3"/>
  <c r="C20" i="3"/>
  <c r="H19" i="3"/>
  <c r="D19" i="3"/>
  <c r="C19" i="3"/>
  <c r="H18" i="3"/>
  <c r="D18" i="3"/>
  <c r="C18" i="3"/>
  <c r="H17" i="3"/>
  <c r="D17" i="3"/>
  <c r="C17" i="3"/>
  <c r="H16" i="3"/>
  <c r="D16" i="3"/>
  <c r="C16" i="3"/>
  <c r="H15" i="3"/>
  <c r="D15" i="3"/>
  <c r="C15" i="3"/>
  <c r="H14" i="3"/>
  <c r="D14" i="3"/>
  <c r="C14" i="3"/>
  <c r="H13" i="3"/>
  <c r="D13" i="3"/>
  <c r="C13" i="3"/>
  <c r="H12" i="3"/>
  <c r="C14" i="6" s="1"/>
  <c r="D12" i="3"/>
  <c r="C12" i="3"/>
  <c r="H16" i="2"/>
  <c r="A13" i="7" s="1"/>
  <c r="G16" i="2"/>
  <c r="H15" i="2"/>
  <c r="A12" i="7" s="1"/>
  <c r="G15" i="2"/>
  <c r="H14" i="2"/>
  <c r="A11" i="7" s="1"/>
  <c r="G14" i="2"/>
  <c r="H13" i="2"/>
  <c r="A10" i="7" s="1"/>
  <c r="G13" i="2"/>
  <c r="H12" i="2"/>
  <c r="A9" i="7" s="1"/>
  <c r="G12" i="2"/>
  <c r="H11" i="2"/>
  <c r="A8" i="7" s="1"/>
  <c r="G11" i="2"/>
  <c r="H10" i="2"/>
  <c r="A7" i="7" s="1"/>
  <c r="G10" i="2"/>
  <c r="H9" i="2"/>
  <c r="A6" i="7" s="1"/>
  <c r="G9" i="2"/>
  <c r="H8" i="2"/>
  <c r="A5" i="7" s="1"/>
  <c r="G8" i="2"/>
  <c r="H7" i="2"/>
  <c r="A4" i="7" s="1"/>
  <c r="G7" i="2"/>
  <c r="H6" i="2"/>
  <c r="A3" i="7" s="1"/>
  <c r="G6" i="2"/>
  <c r="H5" i="2"/>
  <c r="G5" i="2"/>
  <c r="G147" i="7" l="1"/>
  <c r="C147" i="7"/>
  <c r="D147" i="7"/>
  <c r="B147" i="7"/>
  <c r="E147" i="7"/>
  <c r="D159" i="7"/>
  <c r="G159" i="7"/>
  <c r="C159" i="7"/>
  <c r="E159" i="7"/>
  <c r="B159" i="7"/>
  <c r="D171" i="7"/>
  <c r="G171" i="7"/>
  <c r="C171" i="7"/>
  <c r="E171" i="7"/>
  <c r="B171" i="7"/>
  <c r="D199" i="7"/>
  <c r="C199" i="7"/>
  <c r="G199" i="7"/>
  <c r="B199" i="7"/>
  <c r="E199" i="7"/>
  <c r="D211" i="7"/>
  <c r="G211" i="7"/>
  <c r="B211" i="7"/>
  <c r="E211" i="7"/>
  <c r="C211" i="7"/>
  <c r="D223" i="7"/>
  <c r="E223" i="7"/>
  <c r="G223" i="7"/>
  <c r="C223" i="7"/>
  <c r="B223" i="7"/>
  <c r="D235" i="7"/>
  <c r="E235" i="7"/>
  <c r="C235" i="7"/>
  <c r="B235" i="7"/>
  <c r="G235" i="7"/>
  <c r="D247" i="7"/>
  <c r="C247" i="7"/>
  <c r="G247" i="7"/>
  <c r="B247" i="7"/>
  <c r="E247" i="7"/>
  <c r="D259" i="7"/>
  <c r="G259" i="7"/>
  <c r="B259" i="7"/>
  <c r="C259" i="7"/>
  <c r="E259" i="7"/>
  <c r="D271" i="7"/>
  <c r="E271" i="7"/>
  <c r="B271" i="7"/>
  <c r="G271" i="7"/>
  <c r="C271" i="7"/>
  <c r="D283" i="7"/>
  <c r="E283" i="7"/>
  <c r="C283" i="7"/>
  <c r="G283" i="7"/>
  <c r="B283" i="7"/>
  <c r="D295" i="7"/>
  <c r="C295" i="7"/>
  <c r="G295" i="7"/>
  <c r="B295" i="7"/>
  <c r="E295" i="7"/>
  <c r="D315" i="7"/>
  <c r="E315" i="7"/>
  <c r="C315" i="7"/>
  <c r="G315" i="7"/>
  <c r="B315" i="7"/>
  <c r="D343" i="7"/>
  <c r="C343" i="7"/>
  <c r="G343" i="7"/>
  <c r="B343" i="7"/>
  <c r="E343" i="7"/>
  <c r="D391" i="7"/>
  <c r="C391" i="7"/>
  <c r="G391" i="7"/>
  <c r="B391" i="7"/>
  <c r="E391" i="7"/>
  <c r="D451" i="7"/>
  <c r="G451" i="7"/>
  <c r="C451" i="7"/>
  <c r="E451" i="7"/>
  <c r="B451" i="7"/>
  <c r="D463" i="7"/>
  <c r="G463" i="7"/>
  <c r="C463" i="7"/>
  <c r="E463" i="7"/>
  <c r="B463" i="7"/>
  <c r="D475" i="7"/>
  <c r="G475" i="7"/>
  <c r="C475" i="7"/>
  <c r="E475" i="7"/>
  <c r="B475" i="7"/>
  <c r="D487" i="7"/>
  <c r="G487" i="7"/>
  <c r="C487" i="7"/>
  <c r="B487" i="7"/>
  <c r="E487" i="7"/>
  <c r="D495" i="7"/>
  <c r="G495" i="7"/>
  <c r="C495" i="7"/>
  <c r="E495" i="7"/>
  <c r="B495" i="7"/>
  <c r="D507" i="7"/>
  <c r="G507" i="7"/>
  <c r="C507" i="7"/>
  <c r="E507" i="7"/>
  <c r="B507" i="7"/>
  <c r="Q9" i="5"/>
  <c r="Q13" i="5"/>
  <c r="Q17" i="5"/>
  <c r="Q19" i="5" s="1"/>
  <c r="B28" i="7"/>
  <c r="C28" i="7"/>
  <c r="G28" i="7"/>
  <c r="E28" i="7"/>
  <c r="D28" i="7"/>
  <c r="B36" i="7"/>
  <c r="E36" i="7"/>
  <c r="D36" i="7"/>
  <c r="C36" i="7"/>
  <c r="G36" i="7"/>
  <c r="B48" i="7"/>
  <c r="D48" i="7"/>
  <c r="C48" i="7"/>
  <c r="G48" i="7"/>
  <c r="E48" i="7"/>
  <c r="B76" i="7"/>
  <c r="C76" i="7"/>
  <c r="G76" i="7"/>
  <c r="E76" i="7"/>
  <c r="D76" i="7"/>
  <c r="B92" i="7"/>
  <c r="C92" i="7"/>
  <c r="G92" i="7"/>
  <c r="E92" i="7"/>
  <c r="D92" i="7"/>
  <c r="B96" i="7"/>
  <c r="D96" i="7"/>
  <c r="C96" i="7"/>
  <c r="G96" i="7"/>
  <c r="E96" i="7"/>
  <c r="B104" i="7"/>
  <c r="G104" i="7"/>
  <c r="E104" i="7"/>
  <c r="D104" i="7"/>
  <c r="C104" i="7"/>
  <c r="B108" i="7"/>
  <c r="C108" i="7"/>
  <c r="G108" i="7"/>
  <c r="E108" i="7"/>
  <c r="D108" i="7"/>
  <c r="B112" i="7"/>
  <c r="D112" i="7"/>
  <c r="C112" i="7"/>
  <c r="G112" i="7"/>
  <c r="E112" i="7"/>
  <c r="B116" i="7"/>
  <c r="E116" i="7"/>
  <c r="D116" i="7"/>
  <c r="C116" i="7"/>
  <c r="G116" i="7"/>
  <c r="B120" i="7"/>
  <c r="G120" i="7"/>
  <c r="E120" i="7"/>
  <c r="D120" i="7"/>
  <c r="C120" i="7"/>
  <c r="B124" i="7"/>
  <c r="C124" i="7"/>
  <c r="G124" i="7"/>
  <c r="E124" i="7"/>
  <c r="D124" i="7"/>
  <c r="B128" i="7"/>
  <c r="D128" i="7"/>
  <c r="C128" i="7"/>
  <c r="G128" i="7"/>
  <c r="E128" i="7"/>
  <c r="B132" i="7"/>
  <c r="E132" i="7"/>
  <c r="D132" i="7"/>
  <c r="C132" i="7"/>
  <c r="G132" i="7"/>
  <c r="B136" i="7"/>
  <c r="G136" i="7"/>
  <c r="E136" i="7"/>
  <c r="D136" i="7"/>
  <c r="C136" i="7"/>
  <c r="B140" i="7"/>
  <c r="C140" i="7"/>
  <c r="G140" i="7"/>
  <c r="E140" i="7"/>
  <c r="D140" i="7"/>
  <c r="B144" i="7"/>
  <c r="D144" i="7"/>
  <c r="C144" i="7"/>
  <c r="G144" i="7"/>
  <c r="E144" i="7"/>
  <c r="B148" i="7"/>
  <c r="E148" i="7"/>
  <c r="D148" i="7"/>
  <c r="C148" i="7"/>
  <c r="G148" i="7"/>
  <c r="G152" i="7"/>
  <c r="C152" i="7"/>
  <c r="B152" i="7"/>
  <c r="D152" i="7"/>
  <c r="E152" i="7"/>
  <c r="G156" i="7"/>
  <c r="C156" i="7"/>
  <c r="B156" i="7"/>
  <c r="E156" i="7"/>
  <c r="D156" i="7"/>
  <c r="G160" i="7"/>
  <c r="C160" i="7"/>
  <c r="B160" i="7"/>
  <c r="D160" i="7"/>
  <c r="E160" i="7"/>
  <c r="G164" i="7"/>
  <c r="C164" i="7"/>
  <c r="B164" i="7"/>
  <c r="E164" i="7"/>
  <c r="D164" i="7"/>
  <c r="G168" i="7"/>
  <c r="C168" i="7"/>
  <c r="B168" i="7"/>
  <c r="D168" i="7"/>
  <c r="E168" i="7"/>
  <c r="G172" i="7"/>
  <c r="C172" i="7"/>
  <c r="B172" i="7"/>
  <c r="E172" i="7"/>
  <c r="D172" i="7"/>
  <c r="G176" i="7"/>
  <c r="C176" i="7"/>
  <c r="B176" i="7"/>
  <c r="D176" i="7"/>
  <c r="E176" i="7"/>
  <c r="G180" i="7"/>
  <c r="C180" i="7"/>
  <c r="B180" i="7"/>
  <c r="E180" i="7"/>
  <c r="D180" i="7"/>
  <c r="G184" i="7"/>
  <c r="C184" i="7"/>
  <c r="E184" i="7"/>
  <c r="D184" i="7"/>
  <c r="B184" i="7"/>
  <c r="G188" i="7"/>
  <c r="C188" i="7"/>
  <c r="E188" i="7"/>
  <c r="B188" i="7"/>
  <c r="D188" i="7"/>
  <c r="G192" i="7"/>
  <c r="C192" i="7"/>
  <c r="B192" i="7"/>
  <c r="E192" i="7"/>
  <c r="D192" i="7"/>
  <c r="G196" i="7"/>
  <c r="C196" i="7"/>
  <c r="D196" i="7"/>
  <c r="B196" i="7"/>
  <c r="E196" i="7"/>
  <c r="G200" i="7"/>
  <c r="C200" i="7"/>
  <c r="E200" i="7"/>
  <c r="D200" i="7"/>
  <c r="B200" i="7"/>
  <c r="G204" i="7"/>
  <c r="C204" i="7"/>
  <c r="E204" i="7"/>
  <c r="D204" i="7"/>
  <c r="B204" i="7"/>
  <c r="G208" i="7"/>
  <c r="C208" i="7"/>
  <c r="B208" i="7"/>
  <c r="D208" i="7"/>
  <c r="E208" i="7"/>
  <c r="G212" i="7"/>
  <c r="C212" i="7"/>
  <c r="D212" i="7"/>
  <c r="B212" i="7"/>
  <c r="E212" i="7"/>
  <c r="G216" i="7"/>
  <c r="C216" i="7"/>
  <c r="E216" i="7"/>
  <c r="D216" i="7"/>
  <c r="B216" i="7"/>
  <c r="G220" i="7"/>
  <c r="C220" i="7"/>
  <c r="E220" i="7"/>
  <c r="B220" i="7"/>
  <c r="D220" i="7"/>
  <c r="G224" i="7"/>
  <c r="C224" i="7"/>
  <c r="B224" i="7"/>
  <c r="E224" i="7"/>
  <c r="D224" i="7"/>
  <c r="G228" i="7"/>
  <c r="C228" i="7"/>
  <c r="D228" i="7"/>
  <c r="B228" i="7"/>
  <c r="E228" i="7"/>
  <c r="G232" i="7"/>
  <c r="C232" i="7"/>
  <c r="E232" i="7"/>
  <c r="D232" i="7"/>
  <c r="B232" i="7"/>
  <c r="G236" i="7"/>
  <c r="C236" i="7"/>
  <c r="E236" i="7"/>
  <c r="D236" i="7"/>
  <c r="B236" i="7"/>
  <c r="G240" i="7"/>
  <c r="C240" i="7"/>
  <c r="B240" i="7"/>
  <c r="D240" i="7"/>
  <c r="E240" i="7"/>
  <c r="G244" i="7"/>
  <c r="C244" i="7"/>
  <c r="D244" i="7"/>
  <c r="B244" i="7"/>
  <c r="E244" i="7"/>
  <c r="G248" i="7"/>
  <c r="C248" i="7"/>
  <c r="E248" i="7"/>
  <c r="D248" i="7"/>
  <c r="B248" i="7"/>
  <c r="G252" i="7"/>
  <c r="C252" i="7"/>
  <c r="E252" i="7"/>
  <c r="B252" i="7"/>
  <c r="D252" i="7"/>
  <c r="G256" i="7"/>
  <c r="C256" i="7"/>
  <c r="B256" i="7"/>
  <c r="E256" i="7"/>
  <c r="D256" i="7"/>
  <c r="G260" i="7"/>
  <c r="C260" i="7"/>
  <c r="D260" i="7"/>
  <c r="B260" i="7"/>
  <c r="E260" i="7"/>
  <c r="G264" i="7"/>
  <c r="C264" i="7"/>
  <c r="E264" i="7"/>
  <c r="D264" i="7"/>
  <c r="B264" i="7"/>
  <c r="G268" i="7"/>
  <c r="C268" i="7"/>
  <c r="E268" i="7"/>
  <c r="D268" i="7"/>
  <c r="B268" i="7"/>
  <c r="G272" i="7"/>
  <c r="C272" i="7"/>
  <c r="B272" i="7"/>
  <c r="D272" i="7"/>
  <c r="E272" i="7"/>
  <c r="G276" i="7"/>
  <c r="C276" i="7"/>
  <c r="D276" i="7"/>
  <c r="B276" i="7"/>
  <c r="E276" i="7"/>
  <c r="G280" i="7"/>
  <c r="C280" i="7"/>
  <c r="E280" i="7"/>
  <c r="D280" i="7"/>
  <c r="B280" i="7"/>
  <c r="G284" i="7"/>
  <c r="C284" i="7"/>
  <c r="E284" i="7"/>
  <c r="B284" i="7"/>
  <c r="D284" i="7"/>
  <c r="G288" i="7"/>
  <c r="C288" i="7"/>
  <c r="B288" i="7"/>
  <c r="E288" i="7"/>
  <c r="D288" i="7"/>
  <c r="G292" i="7"/>
  <c r="C292" i="7"/>
  <c r="D292" i="7"/>
  <c r="B292" i="7"/>
  <c r="E292" i="7"/>
  <c r="G296" i="7"/>
  <c r="C296" i="7"/>
  <c r="E296" i="7"/>
  <c r="D296" i="7"/>
  <c r="B296" i="7"/>
  <c r="G300" i="7"/>
  <c r="C300" i="7"/>
  <c r="E300" i="7"/>
  <c r="D300" i="7"/>
  <c r="B300" i="7"/>
  <c r="G304" i="7"/>
  <c r="C304" i="7"/>
  <c r="B304" i="7"/>
  <c r="D304" i="7"/>
  <c r="E304" i="7"/>
  <c r="G308" i="7"/>
  <c r="C308" i="7"/>
  <c r="D308" i="7"/>
  <c r="B308" i="7"/>
  <c r="E308" i="7"/>
  <c r="G312" i="7"/>
  <c r="C312" i="7"/>
  <c r="E312" i="7"/>
  <c r="D312" i="7"/>
  <c r="B312" i="7"/>
  <c r="G316" i="7"/>
  <c r="C316" i="7"/>
  <c r="E316" i="7"/>
  <c r="B316" i="7"/>
  <c r="D316" i="7"/>
  <c r="G320" i="7"/>
  <c r="C320" i="7"/>
  <c r="B320" i="7"/>
  <c r="E320" i="7"/>
  <c r="D320" i="7"/>
  <c r="G324" i="7"/>
  <c r="C324" i="7"/>
  <c r="D324" i="7"/>
  <c r="B324" i="7"/>
  <c r="E324" i="7"/>
  <c r="G328" i="7"/>
  <c r="C328" i="7"/>
  <c r="E328" i="7"/>
  <c r="D328" i="7"/>
  <c r="B328" i="7"/>
  <c r="G332" i="7"/>
  <c r="C332" i="7"/>
  <c r="E332" i="7"/>
  <c r="D332" i="7"/>
  <c r="B332" i="7"/>
  <c r="G336" i="7"/>
  <c r="C336" i="7"/>
  <c r="B336" i="7"/>
  <c r="D336" i="7"/>
  <c r="E336" i="7"/>
  <c r="G340" i="7"/>
  <c r="C340" i="7"/>
  <c r="D340" i="7"/>
  <c r="B340" i="7"/>
  <c r="E340" i="7"/>
  <c r="G344" i="7"/>
  <c r="C344" i="7"/>
  <c r="E344" i="7"/>
  <c r="D344" i="7"/>
  <c r="B344" i="7"/>
  <c r="G348" i="7"/>
  <c r="C348" i="7"/>
  <c r="E348" i="7"/>
  <c r="B348" i="7"/>
  <c r="D348" i="7"/>
  <c r="G352" i="7"/>
  <c r="C352" i="7"/>
  <c r="B352" i="7"/>
  <c r="E352" i="7"/>
  <c r="D352" i="7"/>
  <c r="G356" i="7"/>
  <c r="C356" i="7"/>
  <c r="D356" i="7"/>
  <c r="B356" i="7"/>
  <c r="E356" i="7"/>
  <c r="G360" i="7"/>
  <c r="C360" i="7"/>
  <c r="E360" i="7"/>
  <c r="D360" i="7"/>
  <c r="B360" i="7"/>
  <c r="G364" i="7"/>
  <c r="C364" i="7"/>
  <c r="E364" i="7"/>
  <c r="D364" i="7"/>
  <c r="B364" i="7"/>
  <c r="G368" i="7"/>
  <c r="C368" i="7"/>
  <c r="B368" i="7"/>
  <c r="D368" i="7"/>
  <c r="E368" i="7"/>
  <c r="G372" i="7"/>
  <c r="C372" i="7"/>
  <c r="D372" i="7"/>
  <c r="B372" i="7"/>
  <c r="E372" i="7"/>
  <c r="G376" i="7"/>
  <c r="C376" i="7"/>
  <c r="E376" i="7"/>
  <c r="D376" i="7"/>
  <c r="B376" i="7"/>
  <c r="G380" i="7"/>
  <c r="C380" i="7"/>
  <c r="E380" i="7"/>
  <c r="B380" i="7"/>
  <c r="D380" i="7"/>
  <c r="G384" i="7"/>
  <c r="C384" i="7"/>
  <c r="B384" i="7"/>
  <c r="E384" i="7"/>
  <c r="D384" i="7"/>
  <c r="G388" i="7"/>
  <c r="C388" i="7"/>
  <c r="D388" i="7"/>
  <c r="B388" i="7"/>
  <c r="E388" i="7"/>
  <c r="G392" i="7"/>
  <c r="C392" i="7"/>
  <c r="E392" i="7"/>
  <c r="D392" i="7"/>
  <c r="B392" i="7"/>
  <c r="G396" i="7"/>
  <c r="C396" i="7"/>
  <c r="E396" i="7"/>
  <c r="D396" i="7"/>
  <c r="B396" i="7"/>
  <c r="G400" i="7"/>
  <c r="C400" i="7"/>
  <c r="B400" i="7"/>
  <c r="D400" i="7"/>
  <c r="E400" i="7"/>
  <c r="G404" i="7"/>
  <c r="C404" i="7"/>
  <c r="D404" i="7"/>
  <c r="B404" i="7"/>
  <c r="E404" i="7"/>
  <c r="G408" i="7"/>
  <c r="C408" i="7"/>
  <c r="E408" i="7"/>
  <c r="D408" i="7"/>
  <c r="B408" i="7"/>
  <c r="G412" i="7"/>
  <c r="C412" i="7"/>
  <c r="E412" i="7"/>
  <c r="B412" i="7"/>
  <c r="D412" i="7"/>
  <c r="G416" i="7"/>
  <c r="C416" i="7"/>
  <c r="B416" i="7"/>
  <c r="E416" i="7"/>
  <c r="D416" i="7"/>
  <c r="G420" i="7"/>
  <c r="C420" i="7"/>
  <c r="D420" i="7"/>
  <c r="B420" i="7"/>
  <c r="E420" i="7"/>
  <c r="G424" i="7"/>
  <c r="C424" i="7"/>
  <c r="E424" i="7"/>
  <c r="D424" i="7"/>
  <c r="B424" i="7"/>
  <c r="G428" i="7"/>
  <c r="C428" i="7"/>
  <c r="E428" i="7"/>
  <c r="D428" i="7"/>
  <c r="B428" i="7"/>
  <c r="G432" i="7"/>
  <c r="C432" i="7"/>
  <c r="B432" i="7"/>
  <c r="E432" i="7"/>
  <c r="D432" i="7"/>
  <c r="G436" i="7"/>
  <c r="C436" i="7"/>
  <c r="B436" i="7"/>
  <c r="D436" i="7"/>
  <c r="E436" i="7"/>
  <c r="G440" i="7"/>
  <c r="C440" i="7"/>
  <c r="B440" i="7"/>
  <c r="E440" i="7"/>
  <c r="D440" i="7"/>
  <c r="G444" i="7"/>
  <c r="C444" i="7"/>
  <c r="B444" i="7"/>
  <c r="D444" i="7"/>
  <c r="E444" i="7"/>
  <c r="G448" i="7"/>
  <c r="C448" i="7"/>
  <c r="B448" i="7"/>
  <c r="E448" i="7"/>
  <c r="D448" i="7"/>
  <c r="G452" i="7"/>
  <c r="C452" i="7"/>
  <c r="B452" i="7"/>
  <c r="D452" i="7"/>
  <c r="E452" i="7"/>
  <c r="G456" i="7"/>
  <c r="C456" i="7"/>
  <c r="B456" i="7"/>
  <c r="E456" i="7"/>
  <c r="D456" i="7"/>
  <c r="G460" i="7"/>
  <c r="C460" i="7"/>
  <c r="B460" i="7"/>
  <c r="D460" i="7"/>
  <c r="E460" i="7"/>
  <c r="G464" i="7"/>
  <c r="C464" i="7"/>
  <c r="B464" i="7"/>
  <c r="E464" i="7"/>
  <c r="D464" i="7"/>
  <c r="G468" i="7"/>
  <c r="C468" i="7"/>
  <c r="B468" i="7"/>
  <c r="D468" i="7"/>
  <c r="E468" i="7"/>
  <c r="G472" i="7"/>
  <c r="C472" i="7"/>
  <c r="B472" i="7"/>
  <c r="E472" i="7"/>
  <c r="D472" i="7"/>
  <c r="G476" i="7"/>
  <c r="C476" i="7"/>
  <c r="B476" i="7"/>
  <c r="D476" i="7"/>
  <c r="E476" i="7"/>
  <c r="G480" i="7"/>
  <c r="C480" i="7"/>
  <c r="B480" i="7"/>
  <c r="E480" i="7"/>
  <c r="D480" i="7"/>
  <c r="G484" i="7"/>
  <c r="C484" i="7"/>
  <c r="B484" i="7"/>
  <c r="D484" i="7"/>
  <c r="E484" i="7"/>
  <c r="G488" i="7"/>
  <c r="C488" i="7"/>
  <c r="B488" i="7"/>
  <c r="E488" i="7"/>
  <c r="D488" i="7"/>
  <c r="G492" i="7"/>
  <c r="C492" i="7"/>
  <c r="B492" i="7"/>
  <c r="D492" i="7"/>
  <c r="E492" i="7"/>
  <c r="G496" i="7"/>
  <c r="C496" i="7"/>
  <c r="B496" i="7"/>
  <c r="E496" i="7"/>
  <c r="D496" i="7"/>
  <c r="G500" i="7"/>
  <c r="C500" i="7"/>
  <c r="B500" i="7"/>
  <c r="D500" i="7"/>
  <c r="E500" i="7"/>
  <c r="G504" i="7"/>
  <c r="C504" i="7"/>
  <c r="B504" i="7"/>
  <c r="E504" i="7"/>
  <c r="D504" i="7"/>
  <c r="G508" i="7"/>
  <c r="C508" i="7"/>
  <c r="B508" i="7"/>
  <c r="D508" i="7"/>
  <c r="E508" i="7"/>
  <c r="G512" i="7"/>
  <c r="C512" i="7"/>
  <c r="B512" i="7"/>
  <c r="E512" i="7"/>
  <c r="D512" i="7"/>
  <c r="N9" i="5"/>
  <c r="Q10" i="5"/>
  <c r="O12" i="5"/>
  <c r="N13" i="5"/>
  <c r="Q14" i="5"/>
  <c r="O16" i="5"/>
  <c r="N17" i="5"/>
  <c r="Q18" i="5"/>
  <c r="G15" i="7"/>
  <c r="C15" i="7"/>
  <c r="B15" i="7"/>
  <c r="E15" i="7"/>
  <c r="D15" i="7"/>
  <c r="G35" i="7"/>
  <c r="C35" i="7"/>
  <c r="D35" i="7"/>
  <c r="B35" i="7"/>
  <c r="E35" i="7"/>
  <c r="G39" i="7"/>
  <c r="C39" i="7"/>
  <c r="E39" i="7"/>
  <c r="D39" i="7"/>
  <c r="B39" i="7"/>
  <c r="G43" i="7"/>
  <c r="C43" i="7"/>
  <c r="E43" i="7"/>
  <c r="D43" i="7"/>
  <c r="B43" i="7"/>
  <c r="G47" i="7"/>
  <c r="C47" i="7"/>
  <c r="B47" i="7"/>
  <c r="E47" i="7"/>
  <c r="D47" i="7"/>
  <c r="G51" i="7"/>
  <c r="C51" i="7"/>
  <c r="D51" i="7"/>
  <c r="B51" i="7"/>
  <c r="E51" i="7"/>
  <c r="G55" i="7"/>
  <c r="C55" i="7"/>
  <c r="E55" i="7"/>
  <c r="D55" i="7"/>
  <c r="B55" i="7"/>
  <c r="G59" i="7"/>
  <c r="C59" i="7"/>
  <c r="E59" i="7"/>
  <c r="D59" i="7"/>
  <c r="B59" i="7"/>
  <c r="G63" i="7"/>
  <c r="C63" i="7"/>
  <c r="B63" i="7"/>
  <c r="E63" i="7"/>
  <c r="D63" i="7"/>
  <c r="G67" i="7"/>
  <c r="C67" i="7"/>
  <c r="D67" i="7"/>
  <c r="B67" i="7"/>
  <c r="E67" i="7"/>
  <c r="G71" i="7"/>
  <c r="C71" i="7"/>
  <c r="E71" i="7"/>
  <c r="D71" i="7"/>
  <c r="B71" i="7"/>
  <c r="G75" i="7"/>
  <c r="C75" i="7"/>
  <c r="E75" i="7"/>
  <c r="D75" i="7"/>
  <c r="B75" i="7"/>
  <c r="G79" i="7"/>
  <c r="C79" i="7"/>
  <c r="B79" i="7"/>
  <c r="E79" i="7"/>
  <c r="D79" i="7"/>
  <c r="G83" i="7"/>
  <c r="C83" i="7"/>
  <c r="D83" i="7"/>
  <c r="B83" i="7"/>
  <c r="E83" i="7"/>
  <c r="G91" i="7"/>
  <c r="C91" i="7"/>
  <c r="E91" i="7"/>
  <c r="D91" i="7"/>
  <c r="B91" i="7"/>
  <c r="G99" i="7"/>
  <c r="C99" i="7"/>
  <c r="D99" i="7"/>
  <c r="B99" i="7"/>
  <c r="E99" i="7"/>
  <c r="G107" i="7"/>
  <c r="C107" i="7"/>
  <c r="E107" i="7"/>
  <c r="D107" i="7"/>
  <c r="B107" i="7"/>
  <c r="G119" i="7"/>
  <c r="C119" i="7"/>
  <c r="E119" i="7"/>
  <c r="D119" i="7"/>
  <c r="B119" i="7"/>
  <c r="G127" i="7"/>
  <c r="C127" i="7"/>
  <c r="B127" i="7"/>
  <c r="E127" i="7"/>
  <c r="D127" i="7"/>
  <c r="G131" i="7"/>
  <c r="C131" i="7"/>
  <c r="D131" i="7"/>
  <c r="B131" i="7"/>
  <c r="E131" i="7"/>
  <c r="G143" i="7"/>
  <c r="C143" i="7"/>
  <c r="B143" i="7"/>
  <c r="E143" i="7"/>
  <c r="D143" i="7"/>
  <c r="D155" i="7"/>
  <c r="G155" i="7"/>
  <c r="C155" i="7"/>
  <c r="E155" i="7"/>
  <c r="B155" i="7"/>
  <c r="D163" i="7"/>
  <c r="G163" i="7"/>
  <c r="C163" i="7"/>
  <c r="E163" i="7"/>
  <c r="B163" i="7"/>
  <c r="D179" i="7"/>
  <c r="G179" i="7"/>
  <c r="C179" i="7"/>
  <c r="E179" i="7"/>
  <c r="B179" i="7"/>
  <c r="D183" i="7"/>
  <c r="G183" i="7"/>
  <c r="C183" i="7"/>
  <c r="E183" i="7"/>
  <c r="B183" i="7"/>
  <c r="D191" i="7"/>
  <c r="E191" i="7"/>
  <c r="G191" i="7"/>
  <c r="C191" i="7"/>
  <c r="B191" i="7"/>
  <c r="D203" i="7"/>
  <c r="E203" i="7"/>
  <c r="C203" i="7"/>
  <c r="B203" i="7"/>
  <c r="G203" i="7"/>
  <c r="D215" i="7"/>
  <c r="C215" i="7"/>
  <c r="G215" i="7"/>
  <c r="B215" i="7"/>
  <c r="E215" i="7"/>
  <c r="D227" i="7"/>
  <c r="G227" i="7"/>
  <c r="B227" i="7"/>
  <c r="C227" i="7"/>
  <c r="E227" i="7"/>
  <c r="D239" i="7"/>
  <c r="E239" i="7"/>
  <c r="B239" i="7"/>
  <c r="G239" i="7"/>
  <c r="C239" i="7"/>
  <c r="D255" i="7"/>
  <c r="E255" i="7"/>
  <c r="G255" i="7"/>
  <c r="C255" i="7"/>
  <c r="B255" i="7"/>
  <c r="D267" i="7"/>
  <c r="E267" i="7"/>
  <c r="C267" i="7"/>
  <c r="B267" i="7"/>
  <c r="G267" i="7"/>
  <c r="D279" i="7"/>
  <c r="C279" i="7"/>
  <c r="G279" i="7"/>
  <c r="B279" i="7"/>
  <c r="E279" i="7"/>
  <c r="D291" i="7"/>
  <c r="G291" i="7"/>
  <c r="B291" i="7"/>
  <c r="C291" i="7"/>
  <c r="E291" i="7"/>
  <c r="D303" i="7"/>
  <c r="E303" i="7"/>
  <c r="B303" i="7"/>
  <c r="G303" i="7"/>
  <c r="C303" i="7"/>
  <c r="D311" i="7"/>
  <c r="C311" i="7"/>
  <c r="G311" i="7"/>
  <c r="B311" i="7"/>
  <c r="E311" i="7"/>
  <c r="D323" i="7"/>
  <c r="G323" i="7"/>
  <c r="B323" i="7"/>
  <c r="C323" i="7"/>
  <c r="E323" i="7"/>
  <c r="D331" i="7"/>
  <c r="E331" i="7"/>
  <c r="C331" i="7"/>
  <c r="B331" i="7"/>
  <c r="G331" i="7"/>
  <c r="D339" i="7"/>
  <c r="G339" i="7"/>
  <c r="B339" i="7"/>
  <c r="E339" i="7"/>
  <c r="C339" i="7"/>
  <c r="D351" i="7"/>
  <c r="E351" i="7"/>
  <c r="G351" i="7"/>
  <c r="C351" i="7"/>
  <c r="B351" i="7"/>
  <c r="D359" i="7"/>
  <c r="C359" i="7"/>
  <c r="G359" i="7"/>
  <c r="B359" i="7"/>
  <c r="E359" i="7"/>
  <c r="D367" i="7"/>
  <c r="E367" i="7"/>
  <c r="B367" i="7"/>
  <c r="G367" i="7"/>
  <c r="C367" i="7"/>
  <c r="D375" i="7"/>
  <c r="C375" i="7"/>
  <c r="G375" i="7"/>
  <c r="B375" i="7"/>
  <c r="E375" i="7"/>
  <c r="D383" i="7"/>
  <c r="E383" i="7"/>
  <c r="G383" i="7"/>
  <c r="C383" i="7"/>
  <c r="B383" i="7"/>
  <c r="D395" i="7"/>
  <c r="E395" i="7"/>
  <c r="C395" i="7"/>
  <c r="B395" i="7"/>
  <c r="G395" i="7"/>
  <c r="D403" i="7"/>
  <c r="G403" i="7"/>
  <c r="B403" i="7"/>
  <c r="E403" i="7"/>
  <c r="C403" i="7"/>
  <c r="D411" i="7"/>
  <c r="E411" i="7"/>
  <c r="C411" i="7"/>
  <c r="G411" i="7"/>
  <c r="B411" i="7"/>
  <c r="D419" i="7"/>
  <c r="G419" i="7"/>
  <c r="B419" i="7"/>
  <c r="C419" i="7"/>
  <c r="E419" i="7"/>
  <c r="D427" i="7"/>
  <c r="E427" i="7"/>
  <c r="C427" i="7"/>
  <c r="B427" i="7"/>
  <c r="G427" i="7"/>
  <c r="D435" i="7"/>
  <c r="G435" i="7"/>
  <c r="C435" i="7"/>
  <c r="E435" i="7"/>
  <c r="B435" i="7"/>
  <c r="D443" i="7"/>
  <c r="G443" i="7"/>
  <c r="C443" i="7"/>
  <c r="E443" i="7"/>
  <c r="B443" i="7"/>
  <c r="D455" i="7"/>
  <c r="G455" i="7"/>
  <c r="C455" i="7"/>
  <c r="B455" i="7"/>
  <c r="E455" i="7"/>
  <c r="D459" i="7"/>
  <c r="G459" i="7"/>
  <c r="C459" i="7"/>
  <c r="E459" i="7"/>
  <c r="B459" i="7"/>
  <c r="D467" i="7"/>
  <c r="G467" i="7"/>
  <c r="C467" i="7"/>
  <c r="E467" i="7"/>
  <c r="B467" i="7"/>
  <c r="D471" i="7"/>
  <c r="G471" i="7"/>
  <c r="C471" i="7"/>
  <c r="B471" i="7"/>
  <c r="E471" i="7"/>
  <c r="D479" i="7"/>
  <c r="G479" i="7"/>
  <c r="C479" i="7"/>
  <c r="E479" i="7"/>
  <c r="B479" i="7"/>
  <c r="D483" i="7"/>
  <c r="G483" i="7"/>
  <c r="C483" i="7"/>
  <c r="E483" i="7"/>
  <c r="B483" i="7"/>
  <c r="D491" i="7"/>
  <c r="G491" i="7"/>
  <c r="C491" i="7"/>
  <c r="E491" i="7"/>
  <c r="B491" i="7"/>
  <c r="D499" i="7"/>
  <c r="G499" i="7"/>
  <c r="C499" i="7"/>
  <c r="E499" i="7"/>
  <c r="B499" i="7"/>
  <c r="D503" i="7"/>
  <c r="G503" i="7"/>
  <c r="C503" i="7"/>
  <c r="B503" i="7"/>
  <c r="E503" i="7"/>
  <c r="D511" i="7"/>
  <c r="G511" i="7"/>
  <c r="C511" i="7"/>
  <c r="E511" i="7"/>
  <c r="B511" i="7"/>
  <c r="G3" i="7"/>
  <c r="C3" i="7"/>
  <c r="D3" i="7"/>
  <c r="B3" i="7"/>
  <c r="E3" i="7"/>
  <c r="E5" i="7"/>
  <c r="G5" i="7"/>
  <c r="B5" i="7"/>
  <c r="D5" i="7"/>
  <c r="C5" i="7"/>
  <c r="G7" i="7"/>
  <c r="C7" i="7"/>
  <c r="E7" i="7"/>
  <c r="D7" i="7"/>
  <c r="B7" i="7"/>
  <c r="E9" i="7"/>
  <c r="C9" i="7"/>
  <c r="G9" i="7"/>
  <c r="B9" i="7"/>
  <c r="D9" i="7"/>
  <c r="G11" i="7"/>
  <c r="C11" i="7"/>
  <c r="E11" i="7"/>
  <c r="D11" i="7"/>
  <c r="B11" i="7"/>
  <c r="E13" i="7"/>
  <c r="D13" i="7"/>
  <c r="C13" i="7"/>
  <c r="G13" i="7"/>
  <c r="B13" i="7"/>
  <c r="B16" i="7"/>
  <c r="D16" i="7"/>
  <c r="C16" i="7"/>
  <c r="G16" i="7"/>
  <c r="E16" i="7"/>
  <c r="B20" i="7"/>
  <c r="E20" i="7"/>
  <c r="D20" i="7"/>
  <c r="C20" i="7"/>
  <c r="G20" i="7"/>
  <c r="B24" i="7"/>
  <c r="G24" i="7"/>
  <c r="E24" i="7"/>
  <c r="D24" i="7"/>
  <c r="C24" i="7"/>
  <c r="B32" i="7"/>
  <c r="D32" i="7"/>
  <c r="C32" i="7"/>
  <c r="G32" i="7"/>
  <c r="E32" i="7"/>
  <c r="B40" i="7"/>
  <c r="G40" i="7"/>
  <c r="E40" i="7"/>
  <c r="D40" i="7"/>
  <c r="C40" i="7"/>
  <c r="B44" i="7"/>
  <c r="C44" i="7"/>
  <c r="G44" i="7"/>
  <c r="E44" i="7"/>
  <c r="D44" i="7"/>
  <c r="B52" i="7"/>
  <c r="E52" i="7"/>
  <c r="D52" i="7"/>
  <c r="C52" i="7"/>
  <c r="G52" i="7"/>
  <c r="B56" i="7"/>
  <c r="G56" i="7"/>
  <c r="E56" i="7"/>
  <c r="D56" i="7"/>
  <c r="C56" i="7"/>
  <c r="B60" i="7"/>
  <c r="C60" i="7"/>
  <c r="G60" i="7"/>
  <c r="E60" i="7"/>
  <c r="D60" i="7"/>
  <c r="B64" i="7"/>
  <c r="D64" i="7"/>
  <c r="C64" i="7"/>
  <c r="G64" i="7"/>
  <c r="E64" i="7"/>
  <c r="B68" i="7"/>
  <c r="E68" i="7"/>
  <c r="D68" i="7"/>
  <c r="C68" i="7"/>
  <c r="G68" i="7"/>
  <c r="B72" i="7"/>
  <c r="G72" i="7"/>
  <c r="E72" i="7"/>
  <c r="D72" i="7"/>
  <c r="C72" i="7"/>
  <c r="B80" i="7"/>
  <c r="D80" i="7"/>
  <c r="C80" i="7"/>
  <c r="G80" i="7"/>
  <c r="E80" i="7"/>
  <c r="B84" i="7"/>
  <c r="E84" i="7"/>
  <c r="D84" i="7"/>
  <c r="C84" i="7"/>
  <c r="G84" i="7"/>
  <c r="B88" i="7"/>
  <c r="G88" i="7"/>
  <c r="E88" i="7"/>
  <c r="D88" i="7"/>
  <c r="C88" i="7"/>
  <c r="B100" i="7"/>
  <c r="E100" i="7"/>
  <c r="D100" i="7"/>
  <c r="C100" i="7"/>
  <c r="G100" i="7"/>
  <c r="C7" i="6"/>
  <c r="E17" i="7"/>
  <c r="D17" i="7"/>
  <c r="C17" i="7"/>
  <c r="G17" i="7"/>
  <c r="B17" i="7"/>
  <c r="E21" i="7"/>
  <c r="G21" i="7"/>
  <c r="B21" i="7"/>
  <c r="D21" i="7"/>
  <c r="C21" i="7"/>
  <c r="E25" i="7"/>
  <c r="C25" i="7"/>
  <c r="G25" i="7"/>
  <c r="B25" i="7"/>
  <c r="D25" i="7"/>
  <c r="E29" i="7"/>
  <c r="D29" i="7"/>
  <c r="C29" i="7"/>
  <c r="G29" i="7"/>
  <c r="B29" i="7"/>
  <c r="E33" i="7"/>
  <c r="D33" i="7"/>
  <c r="C33" i="7"/>
  <c r="B33" i="7"/>
  <c r="G33" i="7"/>
  <c r="E37" i="7"/>
  <c r="G37" i="7"/>
  <c r="B37" i="7"/>
  <c r="D37" i="7"/>
  <c r="C37" i="7"/>
  <c r="E41" i="7"/>
  <c r="C41" i="7"/>
  <c r="G41" i="7"/>
  <c r="B41" i="7"/>
  <c r="D41" i="7"/>
  <c r="E45" i="7"/>
  <c r="D45" i="7"/>
  <c r="C45" i="7"/>
  <c r="G45" i="7"/>
  <c r="B45" i="7"/>
  <c r="E49" i="7"/>
  <c r="D49" i="7"/>
  <c r="C49" i="7"/>
  <c r="G49" i="7"/>
  <c r="B49" i="7"/>
  <c r="E53" i="7"/>
  <c r="G53" i="7"/>
  <c r="B53" i="7"/>
  <c r="D53" i="7"/>
  <c r="C53" i="7"/>
  <c r="E57" i="7"/>
  <c r="C57" i="7"/>
  <c r="G57" i="7"/>
  <c r="B57" i="7"/>
  <c r="D57" i="7"/>
  <c r="E61" i="7"/>
  <c r="D61" i="7"/>
  <c r="C61" i="7"/>
  <c r="G61" i="7"/>
  <c r="B61" i="7"/>
  <c r="E65" i="7"/>
  <c r="D65" i="7"/>
  <c r="C65" i="7"/>
  <c r="G65" i="7"/>
  <c r="B65" i="7"/>
  <c r="E69" i="7"/>
  <c r="G69" i="7"/>
  <c r="B69" i="7"/>
  <c r="D69" i="7"/>
  <c r="C69" i="7"/>
  <c r="E73" i="7"/>
  <c r="C73" i="7"/>
  <c r="G73" i="7"/>
  <c r="B73" i="7"/>
  <c r="D73" i="7"/>
  <c r="E77" i="7"/>
  <c r="D77" i="7"/>
  <c r="C77" i="7"/>
  <c r="G77" i="7"/>
  <c r="B77" i="7"/>
  <c r="E81" i="7"/>
  <c r="D81" i="7"/>
  <c r="C81" i="7"/>
  <c r="G81" i="7"/>
  <c r="B81" i="7"/>
  <c r="E85" i="7"/>
  <c r="G85" i="7"/>
  <c r="B85" i="7"/>
  <c r="D85" i="7"/>
  <c r="C85" i="7"/>
  <c r="E89" i="7"/>
  <c r="C89" i="7"/>
  <c r="G89" i="7"/>
  <c r="B89" i="7"/>
  <c r="D89" i="7"/>
  <c r="E93" i="7"/>
  <c r="D93" i="7"/>
  <c r="C93" i="7"/>
  <c r="G93" i="7"/>
  <c r="B93" i="7"/>
  <c r="E97" i="7"/>
  <c r="D97" i="7"/>
  <c r="C97" i="7"/>
  <c r="B97" i="7"/>
  <c r="G97" i="7"/>
  <c r="E101" i="7"/>
  <c r="G101" i="7"/>
  <c r="B101" i="7"/>
  <c r="D101" i="7"/>
  <c r="C101" i="7"/>
  <c r="E105" i="7"/>
  <c r="C105" i="7"/>
  <c r="G105" i="7"/>
  <c r="B105" i="7"/>
  <c r="D105" i="7"/>
  <c r="E109" i="7"/>
  <c r="D109" i="7"/>
  <c r="C109" i="7"/>
  <c r="G109" i="7"/>
  <c r="B109" i="7"/>
  <c r="E113" i="7"/>
  <c r="D113" i="7"/>
  <c r="C113" i="7"/>
  <c r="G113" i="7"/>
  <c r="B113" i="7"/>
  <c r="E117" i="7"/>
  <c r="G117" i="7"/>
  <c r="B117" i="7"/>
  <c r="D117" i="7"/>
  <c r="C117" i="7"/>
  <c r="E121" i="7"/>
  <c r="C121" i="7"/>
  <c r="G121" i="7"/>
  <c r="B121" i="7"/>
  <c r="D121" i="7"/>
  <c r="E125" i="7"/>
  <c r="D125" i="7"/>
  <c r="C125" i="7"/>
  <c r="G125" i="7"/>
  <c r="B125" i="7"/>
  <c r="E129" i="7"/>
  <c r="D129" i="7"/>
  <c r="C129" i="7"/>
  <c r="G129" i="7"/>
  <c r="B129" i="7"/>
  <c r="E133" i="7"/>
  <c r="G133" i="7"/>
  <c r="B133" i="7"/>
  <c r="D133" i="7"/>
  <c r="C133" i="7"/>
  <c r="E137" i="7"/>
  <c r="C137" i="7"/>
  <c r="G137" i="7"/>
  <c r="B137" i="7"/>
  <c r="D137" i="7"/>
  <c r="E141" i="7"/>
  <c r="D141" i="7"/>
  <c r="C141" i="7"/>
  <c r="G141" i="7"/>
  <c r="B141" i="7"/>
  <c r="E145" i="7"/>
  <c r="D145" i="7"/>
  <c r="C145" i="7"/>
  <c r="G145" i="7"/>
  <c r="B145" i="7"/>
  <c r="E149" i="7"/>
  <c r="G149" i="7"/>
  <c r="B149" i="7"/>
  <c r="D149" i="7"/>
  <c r="C149" i="7"/>
  <c r="B153" i="7"/>
  <c r="E153" i="7"/>
  <c r="C153" i="7"/>
  <c r="G153" i="7"/>
  <c r="D153" i="7"/>
  <c r="B157" i="7"/>
  <c r="E157" i="7"/>
  <c r="G157" i="7"/>
  <c r="D157" i="7"/>
  <c r="C157" i="7"/>
  <c r="B161" i="7"/>
  <c r="E161" i="7"/>
  <c r="C161" i="7"/>
  <c r="G161" i="7"/>
  <c r="D161" i="7"/>
  <c r="B165" i="7"/>
  <c r="E165" i="7"/>
  <c r="G165" i="7"/>
  <c r="D165" i="7"/>
  <c r="C165" i="7"/>
  <c r="B169" i="7"/>
  <c r="E169" i="7"/>
  <c r="C169" i="7"/>
  <c r="G169" i="7"/>
  <c r="D169" i="7"/>
  <c r="B173" i="7"/>
  <c r="E173" i="7"/>
  <c r="G173" i="7"/>
  <c r="D173" i="7"/>
  <c r="C173" i="7"/>
  <c r="B177" i="7"/>
  <c r="E177" i="7"/>
  <c r="C177" i="7"/>
  <c r="G177" i="7"/>
  <c r="D177" i="7"/>
  <c r="B181" i="7"/>
  <c r="E181" i="7"/>
  <c r="G181" i="7"/>
  <c r="D181" i="7"/>
  <c r="C181" i="7"/>
  <c r="B185" i="7"/>
  <c r="G185" i="7"/>
  <c r="E185" i="7"/>
  <c r="D185" i="7"/>
  <c r="C185" i="7"/>
  <c r="B189" i="7"/>
  <c r="C189" i="7"/>
  <c r="G189" i="7"/>
  <c r="D189" i="7"/>
  <c r="E189" i="7"/>
  <c r="B193" i="7"/>
  <c r="D193" i="7"/>
  <c r="C193" i="7"/>
  <c r="G193" i="7"/>
  <c r="E193" i="7"/>
  <c r="B197" i="7"/>
  <c r="E197" i="7"/>
  <c r="D197" i="7"/>
  <c r="G197" i="7"/>
  <c r="C197" i="7"/>
  <c r="B201" i="7"/>
  <c r="G201" i="7"/>
  <c r="E201" i="7"/>
  <c r="C201" i="7"/>
  <c r="D201" i="7"/>
  <c r="B205" i="7"/>
  <c r="C205" i="7"/>
  <c r="G205" i="7"/>
  <c r="E205" i="7"/>
  <c r="D205" i="7"/>
  <c r="B209" i="7"/>
  <c r="D209" i="7"/>
  <c r="C209" i="7"/>
  <c r="E209" i="7"/>
  <c r="G209" i="7"/>
  <c r="B213" i="7"/>
  <c r="E213" i="7"/>
  <c r="D213" i="7"/>
  <c r="G213" i="7"/>
  <c r="C213" i="7"/>
  <c r="B217" i="7"/>
  <c r="G217" i="7"/>
  <c r="E217" i="7"/>
  <c r="D217" i="7"/>
  <c r="C217" i="7"/>
  <c r="B221" i="7"/>
  <c r="C221" i="7"/>
  <c r="G221" i="7"/>
  <c r="D221" i="7"/>
  <c r="E221" i="7"/>
  <c r="B225" i="7"/>
  <c r="D225" i="7"/>
  <c r="C225" i="7"/>
  <c r="G225" i="7"/>
  <c r="E225" i="7"/>
  <c r="B229" i="7"/>
  <c r="E229" i="7"/>
  <c r="D229" i="7"/>
  <c r="G229" i="7"/>
  <c r="C229" i="7"/>
  <c r="B233" i="7"/>
  <c r="G233" i="7"/>
  <c r="E233" i="7"/>
  <c r="C233" i="7"/>
  <c r="D233" i="7"/>
  <c r="B237" i="7"/>
  <c r="C237" i="7"/>
  <c r="G237" i="7"/>
  <c r="E237" i="7"/>
  <c r="D237" i="7"/>
  <c r="B241" i="7"/>
  <c r="D241" i="7"/>
  <c r="C241" i="7"/>
  <c r="E241" i="7"/>
  <c r="G241" i="7"/>
  <c r="B245" i="7"/>
  <c r="E245" i="7"/>
  <c r="D245" i="7"/>
  <c r="G245" i="7"/>
  <c r="C245" i="7"/>
  <c r="B249" i="7"/>
  <c r="G249" i="7"/>
  <c r="E249" i="7"/>
  <c r="D249" i="7"/>
  <c r="C249" i="7"/>
  <c r="B253" i="7"/>
  <c r="C253" i="7"/>
  <c r="G253" i="7"/>
  <c r="D253" i="7"/>
  <c r="E253" i="7"/>
  <c r="B257" i="7"/>
  <c r="D257" i="7"/>
  <c r="C257" i="7"/>
  <c r="G257" i="7"/>
  <c r="E257" i="7"/>
  <c r="B261" i="7"/>
  <c r="E261" i="7"/>
  <c r="D261" i="7"/>
  <c r="G261" i="7"/>
  <c r="C261" i="7"/>
  <c r="B265" i="7"/>
  <c r="G265" i="7"/>
  <c r="E265" i="7"/>
  <c r="C265" i="7"/>
  <c r="D265" i="7"/>
  <c r="B269" i="7"/>
  <c r="C269" i="7"/>
  <c r="G269" i="7"/>
  <c r="E269" i="7"/>
  <c r="D269" i="7"/>
  <c r="B273" i="7"/>
  <c r="D273" i="7"/>
  <c r="C273" i="7"/>
  <c r="E273" i="7"/>
  <c r="G273" i="7"/>
  <c r="B277" i="7"/>
  <c r="E277" i="7"/>
  <c r="D277" i="7"/>
  <c r="G277" i="7"/>
  <c r="C277" i="7"/>
  <c r="B281" i="7"/>
  <c r="G281" i="7"/>
  <c r="E281" i="7"/>
  <c r="D281" i="7"/>
  <c r="C281" i="7"/>
  <c r="B285" i="7"/>
  <c r="C285" i="7"/>
  <c r="G285" i="7"/>
  <c r="D285" i="7"/>
  <c r="E285" i="7"/>
  <c r="B289" i="7"/>
  <c r="D289" i="7"/>
  <c r="C289" i="7"/>
  <c r="G289" i="7"/>
  <c r="E289" i="7"/>
  <c r="B293" i="7"/>
  <c r="E293" i="7"/>
  <c r="D293" i="7"/>
  <c r="G293" i="7"/>
  <c r="C293" i="7"/>
  <c r="B297" i="7"/>
  <c r="G297" i="7"/>
  <c r="E297" i="7"/>
  <c r="C297" i="7"/>
  <c r="D297" i="7"/>
  <c r="B301" i="7"/>
  <c r="C301" i="7"/>
  <c r="G301" i="7"/>
  <c r="E301" i="7"/>
  <c r="D301" i="7"/>
  <c r="B305" i="7"/>
  <c r="D305" i="7"/>
  <c r="C305" i="7"/>
  <c r="E305" i="7"/>
  <c r="G305" i="7"/>
  <c r="B309" i="7"/>
  <c r="E309" i="7"/>
  <c r="D309" i="7"/>
  <c r="G309" i="7"/>
  <c r="C309" i="7"/>
  <c r="B313" i="7"/>
  <c r="G313" i="7"/>
  <c r="E313" i="7"/>
  <c r="D313" i="7"/>
  <c r="C313" i="7"/>
  <c r="B317" i="7"/>
  <c r="C317" i="7"/>
  <c r="G317" i="7"/>
  <c r="D317" i="7"/>
  <c r="E317" i="7"/>
  <c r="B321" i="7"/>
  <c r="D321" i="7"/>
  <c r="C321" i="7"/>
  <c r="G321" i="7"/>
  <c r="E321" i="7"/>
  <c r="B325" i="7"/>
  <c r="E325" i="7"/>
  <c r="D325" i="7"/>
  <c r="G325" i="7"/>
  <c r="C325" i="7"/>
  <c r="B329" i="7"/>
  <c r="G329" i="7"/>
  <c r="E329" i="7"/>
  <c r="C329" i="7"/>
  <c r="D329" i="7"/>
  <c r="B333" i="7"/>
  <c r="C333" i="7"/>
  <c r="G333" i="7"/>
  <c r="E333" i="7"/>
  <c r="D333" i="7"/>
  <c r="B337" i="7"/>
  <c r="D337" i="7"/>
  <c r="C337" i="7"/>
  <c r="E337" i="7"/>
  <c r="G337" i="7"/>
  <c r="B341" i="7"/>
  <c r="E341" i="7"/>
  <c r="D341" i="7"/>
  <c r="G341" i="7"/>
  <c r="C341" i="7"/>
  <c r="B345" i="7"/>
  <c r="G345" i="7"/>
  <c r="E345" i="7"/>
  <c r="D345" i="7"/>
  <c r="C345" i="7"/>
  <c r="B349" i="7"/>
  <c r="C349" i="7"/>
  <c r="G349" i="7"/>
  <c r="D349" i="7"/>
  <c r="E349" i="7"/>
  <c r="B353" i="7"/>
  <c r="D353" i="7"/>
  <c r="C353" i="7"/>
  <c r="G353" i="7"/>
  <c r="E353" i="7"/>
  <c r="B357" i="7"/>
  <c r="E357" i="7"/>
  <c r="D357" i="7"/>
  <c r="G357" i="7"/>
  <c r="C357" i="7"/>
  <c r="B361" i="7"/>
  <c r="G361" i="7"/>
  <c r="E361" i="7"/>
  <c r="C361" i="7"/>
  <c r="D361" i="7"/>
  <c r="B365" i="7"/>
  <c r="C365" i="7"/>
  <c r="G365" i="7"/>
  <c r="E365" i="7"/>
  <c r="D365" i="7"/>
  <c r="B369" i="7"/>
  <c r="D369" i="7"/>
  <c r="C369" i="7"/>
  <c r="E369" i="7"/>
  <c r="G369" i="7"/>
  <c r="B373" i="7"/>
  <c r="E373" i="7"/>
  <c r="D373" i="7"/>
  <c r="G373" i="7"/>
  <c r="C373" i="7"/>
  <c r="B377" i="7"/>
  <c r="G377" i="7"/>
  <c r="E377" i="7"/>
  <c r="D377" i="7"/>
  <c r="C377" i="7"/>
  <c r="B381" i="7"/>
  <c r="C381" i="7"/>
  <c r="G381" i="7"/>
  <c r="D381" i="7"/>
  <c r="E381" i="7"/>
  <c r="B385" i="7"/>
  <c r="D385" i="7"/>
  <c r="C385" i="7"/>
  <c r="G385" i="7"/>
  <c r="E385" i="7"/>
  <c r="B389" i="7"/>
  <c r="E389" i="7"/>
  <c r="D389" i="7"/>
  <c r="G389" i="7"/>
  <c r="C389" i="7"/>
  <c r="B393" i="7"/>
  <c r="G393" i="7"/>
  <c r="E393" i="7"/>
  <c r="C393" i="7"/>
  <c r="D393" i="7"/>
  <c r="B397" i="7"/>
  <c r="C397" i="7"/>
  <c r="G397" i="7"/>
  <c r="E397" i="7"/>
  <c r="D397" i="7"/>
  <c r="B401" i="7"/>
  <c r="D401" i="7"/>
  <c r="C401" i="7"/>
  <c r="E401" i="7"/>
  <c r="G401" i="7"/>
  <c r="B405" i="7"/>
  <c r="E405" i="7"/>
  <c r="D405" i="7"/>
  <c r="G405" i="7"/>
  <c r="C405" i="7"/>
  <c r="B409" i="7"/>
  <c r="G409" i="7"/>
  <c r="E409" i="7"/>
  <c r="D409" i="7"/>
  <c r="C409" i="7"/>
  <c r="B413" i="7"/>
  <c r="C413" i="7"/>
  <c r="G413" i="7"/>
  <c r="D413" i="7"/>
  <c r="E413" i="7"/>
  <c r="B417" i="7"/>
  <c r="D417" i="7"/>
  <c r="C417" i="7"/>
  <c r="G417" i="7"/>
  <c r="E417" i="7"/>
  <c r="B421" i="7"/>
  <c r="E421" i="7"/>
  <c r="D421" i="7"/>
  <c r="G421" i="7"/>
  <c r="C421" i="7"/>
  <c r="B425" i="7"/>
  <c r="G425" i="7"/>
  <c r="E425" i="7"/>
  <c r="C425" i="7"/>
  <c r="D425" i="7"/>
  <c r="B429" i="7"/>
  <c r="E429" i="7"/>
  <c r="C429" i="7"/>
  <c r="G429" i="7"/>
  <c r="D429" i="7"/>
  <c r="B433" i="7"/>
  <c r="E433" i="7"/>
  <c r="G433" i="7"/>
  <c r="D433" i="7"/>
  <c r="C433" i="7"/>
  <c r="B437" i="7"/>
  <c r="E437" i="7"/>
  <c r="C437" i="7"/>
  <c r="D437" i="7"/>
  <c r="G437" i="7"/>
  <c r="B441" i="7"/>
  <c r="E441" i="7"/>
  <c r="G441" i="7"/>
  <c r="D441" i="7"/>
  <c r="C441" i="7"/>
  <c r="B445" i="7"/>
  <c r="E445" i="7"/>
  <c r="C445" i="7"/>
  <c r="G445" i="7"/>
  <c r="D445" i="7"/>
  <c r="B449" i="7"/>
  <c r="E449" i="7"/>
  <c r="G449" i="7"/>
  <c r="D449" i="7"/>
  <c r="C449" i="7"/>
  <c r="B453" i="7"/>
  <c r="E453" i="7"/>
  <c r="C453" i="7"/>
  <c r="D453" i="7"/>
  <c r="G453" i="7"/>
  <c r="B457" i="7"/>
  <c r="E457" i="7"/>
  <c r="G457" i="7"/>
  <c r="D457" i="7"/>
  <c r="C457" i="7"/>
  <c r="B461" i="7"/>
  <c r="E461" i="7"/>
  <c r="C461" i="7"/>
  <c r="G461" i="7"/>
  <c r="D461" i="7"/>
  <c r="B465" i="7"/>
  <c r="E465" i="7"/>
  <c r="G465" i="7"/>
  <c r="D465" i="7"/>
  <c r="C465" i="7"/>
  <c r="B469" i="7"/>
  <c r="E469" i="7"/>
  <c r="C469" i="7"/>
  <c r="D469" i="7"/>
  <c r="G469" i="7"/>
  <c r="B473" i="7"/>
  <c r="E473" i="7"/>
  <c r="G473" i="7"/>
  <c r="D473" i="7"/>
  <c r="C473" i="7"/>
  <c r="B477" i="7"/>
  <c r="E477" i="7"/>
  <c r="C477" i="7"/>
  <c r="G477" i="7"/>
  <c r="D477" i="7"/>
  <c r="B481" i="7"/>
  <c r="E481" i="7"/>
  <c r="G481" i="7"/>
  <c r="D481" i="7"/>
  <c r="C481" i="7"/>
  <c r="B485" i="7"/>
  <c r="E485" i="7"/>
  <c r="C485" i="7"/>
  <c r="D485" i="7"/>
  <c r="G485" i="7"/>
  <c r="B489" i="7"/>
  <c r="E489" i="7"/>
  <c r="G489" i="7"/>
  <c r="D489" i="7"/>
  <c r="C489" i="7"/>
  <c r="B493" i="7"/>
  <c r="E493" i="7"/>
  <c r="C493" i="7"/>
  <c r="G493" i="7"/>
  <c r="D493" i="7"/>
  <c r="B497" i="7"/>
  <c r="E497" i="7"/>
  <c r="G497" i="7"/>
  <c r="D497" i="7"/>
  <c r="C497" i="7"/>
  <c r="B501" i="7"/>
  <c r="E501" i="7"/>
  <c r="C501" i="7"/>
  <c r="D501" i="7"/>
  <c r="G501" i="7"/>
  <c r="B505" i="7"/>
  <c r="E505" i="7"/>
  <c r="G505" i="7"/>
  <c r="D505" i="7"/>
  <c r="C505" i="7"/>
  <c r="B509" i="7"/>
  <c r="E509" i="7"/>
  <c r="C509" i="7"/>
  <c r="G509" i="7"/>
  <c r="D509" i="7"/>
  <c r="B513" i="7"/>
  <c r="E513" i="7"/>
  <c r="G513" i="7"/>
  <c r="D513" i="7"/>
  <c r="C513" i="7"/>
  <c r="P8" i="5"/>
  <c r="P19" i="5" s="1"/>
  <c r="O9" i="5"/>
  <c r="N10" i="5"/>
  <c r="P12" i="5"/>
  <c r="O13" i="5"/>
  <c r="N14" i="5"/>
  <c r="P16" i="5"/>
  <c r="O17" i="5"/>
  <c r="N18" i="5"/>
  <c r="G19" i="7"/>
  <c r="C19" i="7"/>
  <c r="D19" i="7"/>
  <c r="B19" i="7"/>
  <c r="E19" i="7"/>
  <c r="G23" i="7"/>
  <c r="C23" i="7"/>
  <c r="E23" i="7"/>
  <c r="D23" i="7"/>
  <c r="B23" i="7"/>
  <c r="G27" i="7"/>
  <c r="C27" i="7"/>
  <c r="E27" i="7"/>
  <c r="D27" i="7"/>
  <c r="B27" i="7"/>
  <c r="G31" i="7"/>
  <c r="C31" i="7"/>
  <c r="B31" i="7"/>
  <c r="E31" i="7"/>
  <c r="D31" i="7"/>
  <c r="G87" i="7"/>
  <c r="C87" i="7"/>
  <c r="E87" i="7"/>
  <c r="D87" i="7"/>
  <c r="B87" i="7"/>
  <c r="G95" i="7"/>
  <c r="C95" i="7"/>
  <c r="B95" i="7"/>
  <c r="E95" i="7"/>
  <c r="D95" i="7"/>
  <c r="G103" i="7"/>
  <c r="C103" i="7"/>
  <c r="E103" i="7"/>
  <c r="D103" i="7"/>
  <c r="B103" i="7"/>
  <c r="G111" i="7"/>
  <c r="C111" i="7"/>
  <c r="B111" i="7"/>
  <c r="E111" i="7"/>
  <c r="D111" i="7"/>
  <c r="G115" i="7"/>
  <c r="C115" i="7"/>
  <c r="D115" i="7"/>
  <c r="B115" i="7"/>
  <c r="E115" i="7"/>
  <c r="G123" i="7"/>
  <c r="C123" i="7"/>
  <c r="E123" i="7"/>
  <c r="D123" i="7"/>
  <c r="B123" i="7"/>
  <c r="G135" i="7"/>
  <c r="C135" i="7"/>
  <c r="E135" i="7"/>
  <c r="D135" i="7"/>
  <c r="B135" i="7"/>
  <c r="G139" i="7"/>
  <c r="C139" i="7"/>
  <c r="E139" i="7"/>
  <c r="D139" i="7"/>
  <c r="B139" i="7"/>
  <c r="D151" i="7"/>
  <c r="G151" i="7"/>
  <c r="C151" i="7"/>
  <c r="E151" i="7"/>
  <c r="B151" i="7"/>
  <c r="D167" i="7"/>
  <c r="G167" i="7"/>
  <c r="C167" i="7"/>
  <c r="E167" i="7"/>
  <c r="B167" i="7"/>
  <c r="D175" i="7"/>
  <c r="G175" i="7"/>
  <c r="C175" i="7"/>
  <c r="E175" i="7"/>
  <c r="B175" i="7"/>
  <c r="D187" i="7"/>
  <c r="E187" i="7"/>
  <c r="C187" i="7"/>
  <c r="G187" i="7"/>
  <c r="B187" i="7"/>
  <c r="D195" i="7"/>
  <c r="G195" i="7"/>
  <c r="B195" i="7"/>
  <c r="C195" i="7"/>
  <c r="E195" i="7"/>
  <c r="D207" i="7"/>
  <c r="E207" i="7"/>
  <c r="B207" i="7"/>
  <c r="G207" i="7"/>
  <c r="C207" i="7"/>
  <c r="D219" i="7"/>
  <c r="E219" i="7"/>
  <c r="C219" i="7"/>
  <c r="G219" i="7"/>
  <c r="B219" i="7"/>
  <c r="D231" i="7"/>
  <c r="C231" i="7"/>
  <c r="G231" i="7"/>
  <c r="B231" i="7"/>
  <c r="E231" i="7"/>
  <c r="D243" i="7"/>
  <c r="G243" i="7"/>
  <c r="B243" i="7"/>
  <c r="E243" i="7"/>
  <c r="C243" i="7"/>
  <c r="D251" i="7"/>
  <c r="E251" i="7"/>
  <c r="C251" i="7"/>
  <c r="G251" i="7"/>
  <c r="B251" i="7"/>
  <c r="D263" i="7"/>
  <c r="C263" i="7"/>
  <c r="G263" i="7"/>
  <c r="B263" i="7"/>
  <c r="E263" i="7"/>
  <c r="D275" i="7"/>
  <c r="G275" i="7"/>
  <c r="B275" i="7"/>
  <c r="E275" i="7"/>
  <c r="C275" i="7"/>
  <c r="D287" i="7"/>
  <c r="E287" i="7"/>
  <c r="G287" i="7"/>
  <c r="C287" i="7"/>
  <c r="B287" i="7"/>
  <c r="D299" i="7"/>
  <c r="E299" i="7"/>
  <c r="C299" i="7"/>
  <c r="B299" i="7"/>
  <c r="G299" i="7"/>
  <c r="D307" i="7"/>
  <c r="G307" i="7"/>
  <c r="B307" i="7"/>
  <c r="E307" i="7"/>
  <c r="C307" i="7"/>
  <c r="D319" i="7"/>
  <c r="E319" i="7"/>
  <c r="G319" i="7"/>
  <c r="C319" i="7"/>
  <c r="B319" i="7"/>
  <c r="D327" i="7"/>
  <c r="C327" i="7"/>
  <c r="G327" i="7"/>
  <c r="B327" i="7"/>
  <c r="E327" i="7"/>
  <c r="D335" i="7"/>
  <c r="E335" i="7"/>
  <c r="B335" i="7"/>
  <c r="G335" i="7"/>
  <c r="C335" i="7"/>
  <c r="D347" i="7"/>
  <c r="E347" i="7"/>
  <c r="C347" i="7"/>
  <c r="G347" i="7"/>
  <c r="B347" i="7"/>
  <c r="D355" i="7"/>
  <c r="G355" i="7"/>
  <c r="B355" i="7"/>
  <c r="C355" i="7"/>
  <c r="E355" i="7"/>
  <c r="D363" i="7"/>
  <c r="E363" i="7"/>
  <c r="C363" i="7"/>
  <c r="B363" i="7"/>
  <c r="G363" i="7"/>
  <c r="D371" i="7"/>
  <c r="G371" i="7"/>
  <c r="B371" i="7"/>
  <c r="E371" i="7"/>
  <c r="C371" i="7"/>
  <c r="D379" i="7"/>
  <c r="E379" i="7"/>
  <c r="C379" i="7"/>
  <c r="G379" i="7"/>
  <c r="B379" i="7"/>
  <c r="D387" i="7"/>
  <c r="G387" i="7"/>
  <c r="B387" i="7"/>
  <c r="C387" i="7"/>
  <c r="E387" i="7"/>
  <c r="D399" i="7"/>
  <c r="E399" i="7"/>
  <c r="B399" i="7"/>
  <c r="G399" i="7"/>
  <c r="C399" i="7"/>
  <c r="D407" i="7"/>
  <c r="C407" i="7"/>
  <c r="G407" i="7"/>
  <c r="B407" i="7"/>
  <c r="E407" i="7"/>
  <c r="D415" i="7"/>
  <c r="E415" i="7"/>
  <c r="G415" i="7"/>
  <c r="C415" i="7"/>
  <c r="B415" i="7"/>
  <c r="D423" i="7"/>
  <c r="C423" i="7"/>
  <c r="G423" i="7"/>
  <c r="B423" i="7"/>
  <c r="E423" i="7"/>
  <c r="D431" i="7"/>
  <c r="G431" i="7"/>
  <c r="C431" i="7"/>
  <c r="E431" i="7"/>
  <c r="B431" i="7"/>
  <c r="D439" i="7"/>
  <c r="G439" i="7"/>
  <c r="C439" i="7"/>
  <c r="B439" i="7"/>
  <c r="E439" i="7"/>
  <c r="D447" i="7"/>
  <c r="G447" i="7"/>
  <c r="C447" i="7"/>
  <c r="E447" i="7"/>
  <c r="B447" i="7"/>
  <c r="C3" i="6"/>
  <c r="A2" i="7"/>
  <c r="B4" i="7"/>
  <c r="E4" i="7"/>
  <c r="D4" i="7"/>
  <c r="C4" i="7"/>
  <c r="G4" i="7"/>
  <c r="D6" i="7"/>
  <c r="C6" i="7"/>
  <c r="G6" i="7"/>
  <c r="B6" i="7"/>
  <c r="E6" i="7"/>
  <c r="B8" i="7"/>
  <c r="G8" i="7"/>
  <c r="E8" i="7"/>
  <c r="D8" i="7"/>
  <c r="C8" i="7"/>
  <c r="D10" i="7"/>
  <c r="E10" i="7"/>
  <c r="C10" i="7"/>
  <c r="G10" i="7"/>
  <c r="B10" i="7"/>
  <c r="B12" i="7"/>
  <c r="C12" i="7"/>
  <c r="G12" i="7"/>
  <c r="E12" i="7"/>
  <c r="D12" i="7"/>
  <c r="A14" i="7"/>
  <c r="C9" i="6"/>
  <c r="D18" i="7"/>
  <c r="G18" i="7"/>
  <c r="B18" i="7"/>
  <c r="E18" i="7"/>
  <c r="C18" i="7"/>
  <c r="D22" i="7"/>
  <c r="C22" i="7"/>
  <c r="G22" i="7"/>
  <c r="B22" i="7"/>
  <c r="E22" i="7"/>
  <c r="D26" i="7"/>
  <c r="E26" i="7"/>
  <c r="C26" i="7"/>
  <c r="G26" i="7"/>
  <c r="B26" i="7"/>
  <c r="D30" i="7"/>
  <c r="E30" i="7"/>
  <c r="C30" i="7"/>
  <c r="G30" i="7"/>
  <c r="B30" i="7"/>
  <c r="D34" i="7"/>
  <c r="G34" i="7"/>
  <c r="B34" i="7"/>
  <c r="E34" i="7"/>
  <c r="C34" i="7"/>
  <c r="D38" i="7"/>
  <c r="C38" i="7"/>
  <c r="G38" i="7"/>
  <c r="B38" i="7"/>
  <c r="E38" i="7"/>
  <c r="D42" i="7"/>
  <c r="E42" i="7"/>
  <c r="C42" i="7"/>
  <c r="G42" i="7"/>
  <c r="B42" i="7"/>
  <c r="D46" i="7"/>
  <c r="E46" i="7"/>
  <c r="C46" i="7"/>
  <c r="G46" i="7"/>
  <c r="B46" i="7"/>
  <c r="D50" i="7"/>
  <c r="G50" i="7"/>
  <c r="B50" i="7"/>
  <c r="E50" i="7"/>
  <c r="C50" i="7"/>
  <c r="D54" i="7"/>
  <c r="C54" i="7"/>
  <c r="G54" i="7"/>
  <c r="B54" i="7"/>
  <c r="E54" i="7"/>
  <c r="D58" i="7"/>
  <c r="E58" i="7"/>
  <c r="C58" i="7"/>
  <c r="G58" i="7"/>
  <c r="B58" i="7"/>
  <c r="D62" i="7"/>
  <c r="E62" i="7"/>
  <c r="C62" i="7"/>
  <c r="G62" i="7"/>
  <c r="B62" i="7"/>
  <c r="D66" i="7"/>
  <c r="G66" i="7"/>
  <c r="B66" i="7"/>
  <c r="E66" i="7"/>
  <c r="C66" i="7"/>
  <c r="D70" i="7"/>
  <c r="C70" i="7"/>
  <c r="G70" i="7"/>
  <c r="B70" i="7"/>
  <c r="E70" i="7"/>
  <c r="D74" i="7"/>
  <c r="E74" i="7"/>
  <c r="C74" i="7"/>
  <c r="G74" i="7"/>
  <c r="B74" i="7"/>
  <c r="D78" i="7"/>
  <c r="E78" i="7"/>
  <c r="C78" i="7"/>
  <c r="B78" i="7"/>
  <c r="G78" i="7"/>
  <c r="D82" i="7"/>
  <c r="G82" i="7"/>
  <c r="B82" i="7"/>
  <c r="E82" i="7"/>
  <c r="C82" i="7"/>
  <c r="D86" i="7"/>
  <c r="C86" i="7"/>
  <c r="G86" i="7"/>
  <c r="B86" i="7"/>
  <c r="E86" i="7"/>
  <c r="D90" i="7"/>
  <c r="E90" i="7"/>
  <c r="C90" i="7"/>
  <c r="G90" i="7"/>
  <c r="B90" i="7"/>
  <c r="D94" i="7"/>
  <c r="E94" i="7"/>
  <c r="C94" i="7"/>
  <c r="G94" i="7"/>
  <c r="B94" i="7"/>
  <c r="D98" i="7"/>
  <c r="G98" i="7"/>
  <c r="B98" i="7"/>
  <c r="E98" i="7"/>
  <c r="C98" i="7"/>
  <c r="D102" i="7"/>
  <c r="C102" i="7"/>
  <c r="G102" i="7"/>
  <c r="B102" i="7"/>
  <c r="E102" i="7"/>
  <c r="D106" i="7"/>
  <c r="E106" i="7"/>
  <c r="C106" i="7"/>
  <c r="G106" i="7"/>
  <c r="B106" i="7"/>
  <c r="D110" i="7"/>
  <c r="E110" i="7"/>
  <c r="C110" i="7"/>
  <c r="G110" i="7"/>
  <c r="B110" i="7"/>
  <c r="D114" i="7"/>
  <c r="G114" i="7"/>
  <c r="B114" i="7"/>
  <c r="E114" i="7"/>
  <c r="C114" i="7"/>
  <c r="D118" i="7"/>
  <c r="C118" i="7"/>
  <c r="G118" i="7"/>
  <c r="B118" i="7"/>
  <c r="E118" i="7"/>
  <c r="D122" i="7"/>
  <c r="E122" i="7"/>
  <c r="C122" i="7"/>
  <c r="G122" i="7"/>
  <c r="B122" i="7"/>
  <c r="D126" i="7"/>
  <c r="E126" i="7"/>
  <c r="C126" i="7"/>
  <c r="G126" i="7"/>
  <c r="B126" i="7"/>
  <c r="D130" i="7"/>
  <c r="G130" i="7"/>
  <c r="B130" i="7"/>
  <c r="E130" i="7"/>
  <c r="C130" i="7"/>
  <c r="D134" i="7"/>
  <c r="C134" i="7"/>
  <c r="G134" i="7"/>
  <c r="B134" i="7"/>
  <c r="E134" i="7"/>
  <c r="D138" i="7"/>
  <c r="E138" i="7"/>
  <c r="C138" i="7"/>
  <c r="G138" i="7"/>
  <c r="B138" i="7"/>
  <c r="D142" i="7"/>
  <c r="E142" i="7"/>
  <c r="C142" i="7"/>
  <c r="B142" i="7"/>
  <c r="G142" i="7"/>
  <c r="D146" i="7"/>
  <c r="G146" i="7"/>
  <c r="B146" i="7"/>
  <c r="E146" i="7"/>
  <c r="C146" i="7"/>
  <c r="E150" i="7"/>
  <c r="D150" i="7"/>
  <c r="C150" i="7"/>
  <c r="B150" i="7"/>
  <c r="G150" i="7"/>
  <c r="E154" i="7"/>
  <c r="D154" i="7"/>
  <c r="B154" i="7"/>
  <c r="G154" i="7"/>
  <c r="C154" i="7"/>
  <c r="E158" i="7"/>
  <c r="D158" i="7"/>
  <c r="C158" i="7"/>
  <c r="B158" i="7"/>
  <c r="G158" i="7"/>
  <c r="E162" i="7"/>
  <c r="D162" i="7"/>
  <c r="B162" i="7"/>
  <c r="G162" i="7"/>
  <c r="C162" i="7"/>
  <c r="E166" i="7"/>
  <c r="D166" i="7"/>
  <c r="C166" i="7"/>
  <c r="B166" i="7"/>
  <c r="G166" i="7"/>
  <c r="E170" i="7"/>
  <c r="D170" i="7"/>
  <c r="B170" i="7"/>
  <c r="G170" i="7"/>
  <c r="C170" i="7"/>
  <c r="E174" i="7"/>
  <c r="D174" i="7"/>
  <c r="C174" i="7"/>
  <c r="B174" i="7"/>
  <c r="G174" i="7"/>
  <c r="E178" i="7"/>
  <c r="D178" i="7"/>
  <c r="B178" i="7"/>
  <c r="G178" i="7"/>
  <c r="C178" i="7"/>
  <c r="E182" i="7"/>
  <c r="D182" i="7"/>
  <c r="C182" i="7"/>
  <c r="B182" i="7"/>
  <c r="G182" i="7"/>
  <c r="E186" i="7"/>
  <c r="C186" i="7"/>
  <c r="G186" i="7"/>
  <c r="B186" i="7"/>
  <c r="D186" i="7"/>
  <c r="E190" i="7"/>
  <c r="D190" i="7"/>
  <c r="C190" i="7"/>
  <c r="B190" i="7"/>
  <c r="G190" i="7"/>
  <c r="E194" i="7"/>
  <c r="D194" i="7"/>
  <c r="B194" i="7"/>
  <c r="G194" i="7"/>
  <c r="C194" i="7"/>
  <c r="E198" i="7"/>
  <c r="G198" i="7"/>
  <c r="B198" i="7"/>
  <c r="D198" i="7"/>
  <c r="C198" i="7"/>
  <c r="E202" i="7"/>
  <c r="C202" i="7"/>
  <c r="G202" i="7"/>
  <c r="B202" i="7"/>
  <c r="D202" i="7"/>
  <c r="E206" i="7"/>
  <c r="D206" i="7"/>
  <c r="C206" i="7"/>
  <c r="G206" i="7"/>
  <c r="B206" i="7"/>
  <c r="E210" i="7"/>
  <c r="D210" i="7"/>
  <c r="G210" i="7"/>
  <c r="C210" i="7"/>
  <c r="B210" i="7"/>
  <c r="E214" i="7"/>
  <c r="G214" i="7"/>
  <c r="B214" i="7"/>
  <c r="C214" i="7"/>
  <c r="D214" i="7"/>
  <c r="E218" i="7"/>
  <c r="C218" i="7"/>
  <c r="G218" i="7"/>
  <c r="B218" i="7"/>
  <c r="D218" i="7"/>
  <c r="E222" i="7"/>
  <c r="D222" i="7"/>
  <c r="C222" i="7"/>
  <c r="B222" i="7"/>
  <c r="G222" i="7"/>
  <c r="E226" i="7"/>
  <c r="D226" i="7"/>
  <c r="B226" i="7"/>
  <c r="G226" i="7"/>
  <c r="C226" i="7"/>
  <c r="E230" i="7"/>
  <c r="G230" i="7"/>
  <c r="B230" i="7"/>
  <c r="D230" i="7"/>
  <c r="C230" i="7"/>
  <c r="E234" i="7"/>
  <c r="C234" i="7"/>
  <c r="G234" i="7"/>
  <c r="B234" i="7"/>
  <c r="D234" i="7"/>
  <c r="E238" i="7"/>
  <c r="D238" i="7"/>
  <c r="C238" i="7"/>
  <c r="G238" i="7"/>
  <c r="B238" i="7"/>
  <c r="E242" i="7"/>
  <c r="D242" i="7"/>
  <c r="G242" i="7"/>
  <c r="C242" i="7"/>
  <c r="B242" i="7"/>
  <c r="E246" i="7"/>
  <c r="G246" i="7"/>
  <c r="B246" i="7"/>
  <c r="C246" i="7"/>
  <c r="D246" i="7"/>
  <c r="E250" i="7"/>
  <c r="C250" i="7"/>
  <c r="G250" i="7"/>
  <c r="B250" i="7"/>
  <c r="D250" i="7"/>
  <c r="E254" i="7"/>
  <c r="D254" i="7"/>
  <c r="C254" i="7"/>
  <c r="B254" i="7"/>
  <c r="G254" i="7"/>
  <c r="E258" i="7"/>
  <c r="D258" i="7"/>
  <c r="B258" i="7"/>
  <c r="G258" i="7"/>
  <c r="C258" i="7"/>
  <c r="E262" i="7"/>
  <c r="G262" i="7"/>
  <c r="B262" i="7"/>
  <c r="D262" i="7"/>
  <c r="C262" i="7"/>
  <c r="E266" i="7"/>
  <c r="C266" i="7"/>
  <c r="G266" i="7"/>
  <c r="B266" i="7"/>
  <c r="D266" i="7"/>
  <c r="E270" i="7"/>
  <c r="D270" i="7"/>
  <c r="C270" i="7"/>
  <c r="G270" i="7"/>
  <c r="B270" i="7"/>
  <c r="E274" i="7"/>
  <c r="D274" i="7"/>
  <c r="G274" i="7"/>
  <c r="C274" i="7"/>
  <c r="B274" i="7"/>
  <c r="E278" i="7"/>
  <c r="G278" i="7"/>
  <c r="B278" i="7"/>
  <c r="C278" i="7"/>
  <c r="D278" i="7"/>
  <c r="E282" i="7"/>
  <c r="C282" i="7"/>
  <c r="G282" i="7"/>
  <c r="B282" i="7"/>
  <c r="D282" i="7"/>
  <c r="E286" i="7"/>
  <c r="D286" i="7"/>
  <c r="C286" i="7"/>
  <c r="B286" i="7"/>
  <c r="G286" i="7"/>
  <c r="E290" i="7"/>
  <c r="D290" i="7"/>
  <c r="B290" i="7"/>
  <c r="G290" i="7"/>
  <c r="C290" i="7"/>
  <c r="E294" i="7"/>
  <c r="G294" i="7"/>
  <c r="B294" i="7"/>
  <c r="D294" i="7"/>
  <c r="C294" i="7"/>
  <c r="E298" i="7"/>
  <c r="C298" i="7"/>
  <c r="G298" i="7"/>
  <c r="B298" i="7"/>
  <c r="D298" i="7"/>
  <c r="E302" i="7"/>
  <c r="D302" i="7"/>
  <c r="C302" i="7"/>
  <c r="G302" i="7"/>
  <c r="B302" i="7"/>
  <c r="E306" i="7"/>
  <c r="D306" i="7"/>
  <c r="G306" i="7"/>
  <c r="C306" i="7"/>
  <c r="B306" i="7"/>
  <c r="E310" i="7"/>
  <c r="G310" i="7"/>
  <c r="B310" i="7"/>
  <c r="C310" i="7"/>
  <c r="D310" i="7"/>
  <c r="E314" i="7"/>
  <c r="C314" i="7"/>
  <c r="G314" i="7"/>
  <c r="B314" i="7"/>
  <c r="D314" i="7"/>
  <c r="E318" i="7"/>
  <c r="D318" i="7"/>
  <c r="C318" i="7"/>
  <c r="B318" i="7"/>
  <c r="G318" i="7"/>
  <c r="E322" i="7"/>
  <c r="D322" i="7"/>
  <c r="B322" i="7"/>
  <c r="G322" i="7"/>
  <c r="C322" i="7"/>
  <c r="E326" i="7"/>
  <c r="G326" i="7"/>
  <c r="B326" i="7"/>
  <c r="D326" i="7"/>
  <c r="C326" i="7"/>
  <c r="E330" i="7"/>
  <c r="C330" i="7"/>
  <c r="G330" i="7"/>
  <c r="B330" i="7"/>
  <c r="D330" i="7"/>
  <c r="E334" i="7"/>
  <c r="D334" i="7"/>
  <c r="C334" i="7"/>
  <c r="G334" i="7"/>
  <c r="B334" i="7"/>
  <c r="E338" i="7"/>
  <c r="D338" i="7"/>
  <c r="G338" i="7"/>
  <c r="C338" i="7"/>
  <c r="B338" i="7"/>
  <c r="E342" i="7"/>
  <c r="G342" i="7"/>
  <c r="B342" i="7"/>
  <c r="C342" i="7"/>
  <c r="D342" i="7"/>
  <c r="E346" i="7"/>
  <c r="C346" i="7"/>
  <c r="G346" i="7"/>
  <c r="B346" i="7"/>
  <c r="D346" i="7"/>
  <c r="E350" i="7"/>
  <c r="D350" i="7"/>
  <c r="C350" i="7"/>
  <c r="B350" i="7"/>
  <c r="G350" i="7"/>
  <c r="E354" i="7"/>
  <c r="D354" i="7"/>
  <c r="B354" i="7"/>
  <c r="G354" i="7"/>
  <c r="C354" i="7"/>
  <c r="E358" i="7"/>
  <c r="G358" i="7"/>
  <c r="B358" i="7"/>
  <c r="D358" i="7"/>
  <c r="C358" i="7"/>
  <c r="E362" i="7"/>
  <c r="C362" i="7"/>
  <c r="G362" i="7"/>
  <c r="B362" i="7"/>
  <c r="D362" i="7"/>
  <c r="E366" i="7"/>
  <c r="D366" i="7"/>
  <c r="C366" i="7"/>
  <c r="G366" i="7"/>
  <c r="B366" i="7"/>
  <c r="E370" i="7"/>
  <c r="D370" i="7"/>
  <c r="G370" i="7"/>
  <c r="C370" i="7"/>
  <c r="B370" i="7"/>
  <c r="E374" i="7"/>
  <c r="G374" i="7"/>
  <c r="B374" i="7"/>
  <c r="C374" i="7"/>
  <c r="D374" i="7"/>
  <c r="E378" i="7"/>
  <c r="C378" i="7"/>
  <c r="G378" i="7"/>
  <c r="B378" i="7"/>
  <c r="D378" i="7"/>
  <c r="E382" i="7"/>
  <c r="D382" i="7"/>
  <c r="C382" i="7"/>
  <c r="B382" i="7"/>
  <c r="G382" i="7"/>
  <c r="E386" i="7"/>
  <c r="D386" i="7"/>
  <c r="B386" i="7"/>
  <c r="G386" i="7"/>
  <c r="C386" i="7"/>
  <c r="E390" i="7"/>
  <c r="G390" i="7"/>
  <c r="B390" i="7"/>
  <c r="D390" i="7"/>
  <c r="C390" i="7"/>
  <c r="E394" i="7"/>
  <c r="C394" i="7"/>
  <c r="G394" i="7"/>
  <c r="B394" i="7"/>
  <c r="D394" i="7"/>
  <c r="E398" i="7"/>
  <c r="D398" i="7"/>
  <c r="C398" i="7"/>
  <c r="G398" i="7"/>
  <c r="B398" i="7"/>
  <c r="E402" i="7"/>
  <c r="D402" i="7"/>
  <c r="G402" i="7"/>
  <c r="C402" i="7"/>
  <c r="B402" i="7"/>
  <c r="E406" i="7"/>
  <c r="G406" i="7"/>
  <c r="B406" i="7"/>
  <c r="C406" i="7"/>
  <c r="D406" i="7"/>
  <c r="E410" i="7"/>
  <c r="C410" i="7"/>
  <c r="G410" i="7"/>
  <c r="B410" i="7"/>
  <c r="D410" i="7"/>
  <c r="E414" i="7"/>
  <c r="D414" i="7"/>
  <c r="C414" i="7"/>
  <c r="B414" i="7"/>
  <c r="G414" i="7"/>
  <c r="E418" i="7"/>
  <c r="D418" i="7"/>
  <c r="B418" i="7"/>
  <c r="G418" i="7"/>
  <c r="C418" i="7"/>
  <c r="E422" i="7"/>
  <c r="G422" i="7"/>
  <c r="B422" i="7"/>
  <c r="D422" i="7"/>
  <c r="C422" i="7"/>
  <c r="E426" i="7"/>
  <c r="C426" i="7"/>
  <c r="G426" i="7"/>
  <c r="B426" i="7"/>
  <c r="D426" i="7"/>
  <c r="E430" i="7"/>
  <c r="D430" i="7"/>
  <c r="B430" i="7"/>
  <c r="G430" i="7"/>
  <c r="C430" i="7"/>
  <c r="E434" i="7"/>
  <c r="D434" i="7"/>
  <c r="C434" i="7"/>
  <c r="G434" i="7"/>
  <c r="B434" i="7"/>
  <c r="E438" i="7"/>
  <c r="D438" i="7"/>
  <c r="B438" i="7"/>
  <c r="G438" i="7"/>
  <c r="C438" i="7"/>
  <c r="E442" i="7"/>
  <c r="D442" i="7"/>
  <c r="C442" i="7"/>
  <c r="G442" i="7"/>
  <c r="B442" i="7"/>
  <c r="E446" i="7"/>
  <c r="D446" i="7"/>
  <c r="B446" i="7"/>
  <c r="G446" i="7"/>
  <c r="C446" i="7"/>
  <c r="E450" i="7"/>
  <c r="D450" i="7"/>
  <c r="C450" i="7"/>
  <c r="G450" i="7"/>
  <c r="B450" i="7"/>
  <c r="E454" i="7"/>
  <c r="D454" i="7"/>
  <c r="B454" i="7"/>
  <c r="G454" i="7"/>
  <c r="C454" i="7"/>
  <c r="E458" i="7"/>
  <c r="D458" i="7"/>
  <c r="C458" i="7"/>
  <c r="G458" i="7"/>
  <c r="B458" i="7"/>
  <c r="E462" i="7"/>
  <c r="D462" i="7"/>
  <c r="B462" i="7"/>
  <c r="G462" i="7"/>
  <c r="C462" i="7"/>
  <c r="E466" i="7"/>
  <c r="D466" i="7"/>
  <c r="C466" i="7"/>
  <c r="G466" i="7"/>
  <c r="B466" i="7"/>
  <c r="E470" i="7"/>
  <c r="D470" i="7"/>
  <c r="B470" i="7"/>
  <c r="G470" i="7"/>
  <c r="C470" i="7"/>
  <c r="E474" i="7"/>
  <c r="D474" i="7"/>
  <c r="C474" i="7"/>
  <c r="G474" i="7"/>
  <c r="B474" i="7"/>
  <c r="E478" i="7"/>
  <c r="D478" i="7"/>
  <c r="B478" i="7"/>
  <c r="G478" i="7"/>
  <c r="C478" i="7"/>
  <c r="E482" i="7"/>
  <c r="D482" i="7"/>
  <c r="C482" i="7"/>
  <c r="G482" i="7"/>
  <c r="B482" i="7"/>
  <c r="E486" i="7"/>
  <c r="D486" i="7"/>
  <c r="B486" i="7"/>
  <c r="G486" i="7"/>
  <c r="C486" i="7"/>
  <c r="E490" i="7"/>
  <c r="D490" i="7"/>
  <c r="C490" i="7"/>
  <c r="G490" i="7"/>
  <c r="B490" i="7"/>
  <c r="E494" i="7"/>
  <c r="D494" i="7"/>
  <c r="B494" i="7"/>
  <c r="G494" i="7"/>
  <c r="C494" i="7"/>
  <c r="E498" i="7"/>
  <c r="D498" i="7"/>
  <c r="C498" i="7"/>
  <c r="G498" i="7"/>
  <c r="B498" i="7"/>
  <c r="E502" i="7"/>
  <c r="D502" i="7"/>
  <c r="B502" i="7"/>
  <c r="G502" i="7"/>
  <c r="C502" i="7"/>
  <c r="E506" i="7"/>
  <c r="D506" i="7"/>
  <c r="C506" i="7"/>
  <c r="G506" i="7"/>
  <c r="B506" i="7"/>
  <c r="E510" i="7"/>
  <c r="D510" i="7"/>
  <c r="B510" i="7"/>
  <c r="G510" i="7"/>
  <c r="C510" i="7"/>
  <c r="C3" i="8"/>
  <c r="G3" i="8"/>
  <c r="B3" i="8"/>
  <c r="A4" i="8"/>
  <c r="D3" i="8"/>
  <c r="I506" i="7" l="1"/>
  <c r="H506" i="7"/>
  <c r="F506" i="7"/>
  <c r="H138" i="7"/>
  <c r="I138" i="7"/>
  <c r="F138" i="7"/>
  <c r="H74" i="7"/>
  <c r="I74" i="7"/>
  <c r="F74" i="7"/>
  <c r="H58" i="7"/>
  <c r="I58" i="7"/>
  <c r="F58" i="7"/>
  <c r="H42" i="7"/>
  <c r="I42" i="7"/>
  <c r="F42" i="7"/>
  <c r="H34" i="7"/>
  <c r="F34" i="7"/>
  <c r="I34" i="7"/>
  <c r="H423" i="7"/>
  <c r="I423" i="7"/>
  <c r="F423" i="7"/>
  <c r="H347" i="7"/>
  <c r="I347" i="7"/>
  <c r="F347" i="7"/>
  <c r="H231" i="7"/>
  <c r="I231" i="7"/>
  <c r="F231" i="7"/>
  <c r="F417" i="7"/>
  <c r="I417" i="7"/>
  <c r="H417" i="7"/>
  <c r="F385" i="7"/>
  <c r="I385" i="7"/>
  <c r="H385" i="7"/>
  <c r="F297" i="7"/>
  <c r="I297" i="7"/>
  <c r="H297" i="7"/>
  <c r="F265" i="7"/>
  <c r="I265" i="7"/>
  <c r="H265" i="7"/>
  <c r="F233" i="7"/>
  <c r="I233" i="7"/>
  <c r="H233" i="7"/>
  <c r="F185" i="7"/>
  <c r="H185" i="7"/>
  <c r="I185" i="7"/>
  <c r="H471" i="7"/>
  <c r="I471" i="7"/>
  <c r="F471" i="7"/>
  <c r="H339" i="7"/>
  <c r="F339" i="7"/>
  <c r="I339" i="7"/>
  <c r="F75" i="7"/>
  <c r="I75" i="7"/>
  <c r="H75" i="7"/>
  <c r="F43" i="7"/>
  <c r="I43" i="7"/>
  <c r="H43" i="7"/>
  <c r="F480" i="7"/>
  <c r="H480" i="7"/>
  <c r="I480" i="7"/>
  <c r="F448" i="7"/>
  <c r="H448" i="7"/>
  <c r="I448" i="7"/>
  <c r="F432" i="7"/>
  <c r="H432" i="7"/>
  <c r="I432" i="7"/>
  <c r="H384" i="7"/>
  <c r="F384" i="7"/>
  <c r="I384" i="7"/>
  <c r="H368" i="7"/>
  <c r="F368" i="7"/>
  <c r="I368" i="7"/>
  <c r="H336" i="7"/>
  <c r="F336" i="7"/>
  <c r="I336" i="7"/>
  <c r="H304" i="7"/>
  <c r="F304" i="7"/>
  <c r="I304" i="7"/>
  <c r="H256" i="7"/>
  <c r="F256" i="7"/>
  <c r="I256" i="7"/>
  <c r="H240" i="7"/>
  <c r="F240" i="7"/>
  <c r="I240" i="7"/>
  <c r="H224" i="7"/>
  <c r="F224" i="7"/>
  <c r="I224" i="7"/>
  <c r="H192" i="7"/>
  <c r="F192" i="7"/>
  <c r="I192" i="7"/>
  <c r="F160" i="7"/>
  <c r="I160" i="7"/>
  <c r="H160" i="7"/>
  <c r="F96" i="7"/>
  <c r="I96" i="7"/>
  <c r="H96" i="7"/>
  <c r="H451" i="7"/>
  <c r="F451" i="7"/>
  <c r="I451" i="7"/>
  <c r="H271" i="7"/>
  <c r="F271" i="7"/>
  <c r="I271" i="7"/>
  <c r="I470" i="7"/>
  <c r="H470" i="7"/>
  <c r="F470" i="7"/>
  <c r="I454" i="7"/>
  <c r="H454" i="7"/>
  <c r="F454" i="7"/>
  <c r="I438" i="7"/>
  <c r="H438" i="7"/>
  <c r="F438" i="7"/>
  <c r="I426" i="7"/>
  <c r="H426" i="7"/>
  <c r="F426" i="7"/>
  <c r="I394" i="7"/>
  <c r="H394" i="7"/>
  <c r="F394" i="7"/>
  <c r="I346" i="7"/>
  <c r="H346" i="7"/>
  <c r="F346" i="7"/>
  <c r="I298" i="7"/>
  <c r="H298" i="7"/>
  <c r="F298" i="7"/>
  <c r="I282" i="7"/>
  <c r="H282" i="7"/>
  <c r="F282" i="7"/>
  <c r="I266" i="7"/>
  <c r="H266" i="7"/>
  <c r="F266" i="7"/>
  <c r="I250" i="7"/>
  <c r="H250" i="7"/>
  <c r="F250" i="7"/>
  <c r="I234" i="7"/>
  <c r="H234" i="7"/>
  <c r="F234" i="7"/>
  <c r="I218" i="7"/>
  <c r="H218" i="7"/>
  <c r="F218" i="7"/>
  <c r="I202" i="7"/>
  <c r="H202" i="7"/>
  <c r="F202" i="7"/>
  <c r="I186" i="7"/>
  <c r="H186" i="7"/>
  <c r="F186" i="7"/>
  <c r="F188" i="7"/>
  <c r="I188" i="7"/>
  <c r="H188" i="7"/>
  <c r="F144" i="7"/>
  <c r="I144" i="7"/>
  <c r="H144" i="7"/>
  <c r="F120" i="7"/>
  <c r="I120" i="7"/>
  <c r="H120" i="7"/>
  <c r="F112" i="7"/>
  <c r="I112" i="7"/>
  <c r="H112" i="7"/>
  <c r="H343" i="7"/>
  <c r="I343" i="7"/>
  <c r="F343" i="7"/>
  <c r="H223" i="7"/>
  <c r="F223" i="7"/>
  <c r="I223" i="7"/>
  <c r="I498" i="7"/>
  <c r="H498" i="7"/>
  <c r="F498" i="7"/>
  <c r="I450" i="7"/>
  <c r="H450" i="7"/>
  <c r="F450" i="7"/>
  <c r="I418" i="7"/>
  <c r="F418" i="7"/>
  <c r="H418" i="7"/>
  <c r="I382" i="7"/>
  <c r="H382" i="7"/>
  <c r="F382" i="7"/>
  <c r="I354" i="7"/>
  <c r="F354" i="7"/>
  <c r="H354" i="7"/>
  <c r="I322" i="7"/>
  <c r="F322" i="7"/>
  <c r="H322" i="7"/>
  <c r="I290" i="7"/>
  <c r="F290" i="7"/>
  <c r="H290" i="7"/>
  <c r="I258" i="7"/>
  <c r="F258" i="7"/>
  <c r="H258" i="7"/>
  <c r="I254" i="7"/>
  <c r="H254" i="7"/>
  <c r="F254" i="7"/>
  <c r="H102" i="7"/>
  <c r="I102" i="7"/>
  <c r="F102" i="7"/>
  <c r="H86" i="7"/>
  <c r="I86" i="7"/>
  <c r="F86" i="7"/>
  <c r="H78" i="7"/>
  <c r="F78" i="7"/>
  <c r="I78" i="7"/>
  <c r="H54" i="7"/>
  <c r="I54" i="7"/>
  <c r="F54" i="7"/>
  <c r="H38" i="7"/>
  <c r="I38" i="7"/>
  <c r="F38" i="7"/>
  <c r="H22" i="7"/>
  <c r="I22" i="7"/>
  <c r="F22" i="7"/>
  <c r="I510" i="7"/>
  <c r="H510" i="7"/>
  <c r="F510" i="7"/>
  <c r="I494" i="7"/>
  <c r="H494" i="7"/>
  <c r="F494" i="7"/>
  <c r="I478" i="7"/>
  <c r="H478" i="7"/>
  <c r="F478" i="7"/>
  <c r="I462" i="7"/>
  <c r="H462" i="7"/>
  <c r="F462" i="7"/>
  <c r="I446" i="7"/>
  <c r="H446" i="7"/>
  <c r="F446" i="7"/>
  <c r="I430" i="7"/>
  <c r="H430" i="7"/>
  <c r="F430" i="7"/>
  <c r="I422" i="7"/>
  <c r="F422" i="7"/>
  <c r="H422" i="7"/>
  <c r="I406" i="7"/>
  <c r="F406" i="7"/>
  <c r="H406" i="7"/>
  <c r="I402" i="7"/>
  <c r="F402" i="7"/>
  <c r="H402" i="7"/>
  <c r="I398" i="7"/>
  <c r="H398" i="7"/>
  <c r="F398" i="7"/>
  <c r="I390" i="7"/>
  <c r="F390" i="7"/>
  <c r="H390" i="7"/>
  <c r="I374" i="7"/>
  <c r="F374" i="7"/>
  <c r="H374" i="7"/>
  <c r="I370" i="7"/>
  <c r="F370" i="7"/>
  <c r="H370" i="7"/>
  <c r="I366" i="7"/>
  <c r="H366" i="7"/>
  <c r="F366" i="7"/>
  <c r="I358" i="7"/>
  <c r="F358" i="7"/>
  <c r="H358" i="7"/>
  <c r="I342" i="7"/>
  <c r="F342" i="7"/>
  <c r="H342" i="7"/>
  <c r="I338" i="7"/>
  <c r="F338" i="7"/>
  <c r="H338" i="7"/>
  <c r="I334" i="7"/>
  <c r="H334" i="7"/>
  <c r="F334" i="7"/>
  <c r="I326" i="7"/>
  <c r="F326" i="7"/>
  <c r="H326" i="7"/>
  <c r="I310" i="7"/>
  <c r="F310" i="7"/>
  <c r="H310" i="7"/>
  <c r="I306" i="7"/>
  <c r="F306" i="7"/>
  <c r="H306" i="7"/>
  <c r="I302" i="7"/>
  <c r="H302" i="7"/>
  <c r="F302" i="7"/>
  <c r="I294" i="7"/>
  <c r="F294" i="7"/>
  <c r="H294" i="7"/>
  <c r="I278" i="7"/>
  <c r="F278" i="7"/>
  <c r="H278" i="7"/>
  <c r="I274" i="7"/>
  <c r="F274" i="7"/>
  <c r="H274" i="7"/>
  <c r="I270" i="7"/>
  <c r="H270" i="7"/>
  <c r="F270" i="7"/>
  <c r="I262" i="7"/>
  <c r="F262" i="7"/>
  <c r="H262" i="7"/>
  <c r="I246" i="7"/>
  <c r="F246" i="7"/>
  <c r="H246" i="7"/>
  <c r="I242" i="7"/>
  <c r="F242" i="7"/>
  <c r="H242" i="7"/>
  <c r="I238" i="7"/>
  <c r="H238" i="7"/>
  <c r="F238" i="7"/>
  <c r="I230" i="7"/>
  <c r="F230" i="7"/>
  <c r="H230" i="7"/>
  <c r="I214" i="7"/>
  <c r="F214" i="7"/>
  <c r="H214" i="7"/>
  <c r="I210" i="7"/>
  <c r="F210" i="7"/>
  <c r="H210" i="7"/>
  <c r="I206" i="7"/>
  <c r="H206" i="7"/>
  <c r="F206" i="7"/>
  <c r="I198" i="7"/>
  <c r="F198" i="7"/>
  <c r="H198" i="7"/>
  <c r="H126" i="7"/>
  <c r="F126" i="7"/>
  <c r="I126" i="7"/>
  <c r="H110" i="7"/>
  <c r="F110" i="7"/>
  <c r="I110" i="7"/>
  <c r="H94" i="7"/>
  <c r="F94" i="7"/>
  <c r="I94" i="7"/>
  <c r="H62" i="7"/>
  <c r="F62" i="7"/>
  <c r="I62" i="7"/>
  <c r="H46" i="7"/>
  <c r="F46" i="7"/>
  <c r="I46" i="7"/>
  <c r="H30" i="7"/>
  <c r="F30" i="7"/>
  <c r="I30" i="7"/>
  <c r="D14" i="7"/>
  <c r="E14" i="7"/>
  <c r="C14" i="7"/>
  <c r="B14" i="7"/>
  <c r="G14" i="7"/>
  <c r="H439" i="7"/>
  <c r="I439" i="7"/>
  <c r="F439" i="7"/>
  <c r="H371" i="7"/>
  <c r="F371" i="7"/>
  <c r="I371" i="7"/>
  <c r="H327" i="7"/>
  <c r="I327" i="7"/>
  <c r="F327" i="7"/>
  <c r="H287" i="7"/>
  <c r="F287" i="7"/>
  <c r="I287" i="7"/>
  <c r="H187" i="7"/>
  <c r="I187" i="7"/>
  <c r="F187" i="7"/>
  <c r="H167" i="7"/>
  <c r="I167" i="7"/>
  <c r="F167" i="7"/>
  <c r="I135" i="7"/>
  <c r="H135" i="7"/>
  <c r="F135" i="7"/>
  <c r="I103" i="7"/>
  <c r="H103" i="7"/>
  <c r="F103" i="7"/>
  <c r="F27" i="7"/>
  <c r="I27" i="7"/>
  <c r="H27" i="7"/>
  <c r="F505" i="7"/>
  <c r="I505" i="7"/>
  <c r="H505" i="7"/>
  <c r="F489" i="7"/>
  <c r="I489" i="7"/>
  <c r="H489" i="7"/>
  <c r="F473" i="7"/>
  <c r="I473" i="7"/>
  <c r="H473" i="7"/>
  <c r="F457" i="7"/>
  <c r="I457" i="7"/>
  <c r="H457" i="7"/>
  <c r="F441" i="7"/>
  <c r="I441" i="7"/>
  <c r="H441" i="7"/>
  <c r="F421" i="7"/>
  <c r="I421" i="7"/>
  <c r="H421" i="7"/>
  <c r="F405" i="7"/>
  <c r="I405" i="7"/>
  <c r="H405" i="7"/>
  <c r="F401" i="7"/>
  <c r="I401" i="7"/>
  <c r="H401" i="7"/>
  <c r="F389" i="7"/>
  <c r="I389" i="7"/>
  <c r="H389" i="7"/>
  <c r="F373" i="7"/>
  <c r="I373" i="7"/>
  <c r="H373" i="7"/>
  <c r="F369" i="7"/>
  <c r="I369" i="7"/>
  <c r="H369" i="7"/>
  <c r="F357" i="7"/>
  <c r="I357" i="7"/>
  <c r="H357" i="7"/>
  <c r="F341" i="7"/>
  <c r="I341" i="7"/>
  <c r="H341" i="7"/>
  <c r="F337" i="7"/>
  <c r="I337" i="7"/>
  <c r="H337" i="7"/>
  <c r="F325" i="7"/>
  <c r="I325" i="7"/>
  <c r="H325" i="7"/>
  <c r="F309" i="7"/>
  <c r="I309" i="7"/>
  <c r="H309" i="7"/>
  <c r="F305" i="7"/>
  <c r="I305" i="7"/>
  <c r="H305" i="7"/>
  <c r="F293" i="7"/>
  <c r="I293" i="7"/>
  <c r="H293" i="7"/>
  <c r="F277" i="7"/>
  <c r="I277" i="7"/>
  <c r="H277" i="7"/>
  <c r="F273" i="7"/>
  <c r="I273" i="7"/>
  <c r="H273" i="7"/>
  <c r="F261" i="7"/>
  <c r="I261" i="7"/>
  <c r="H261" i="7"/>
  <c r="F245" i="7"/>
  <c r="I245" i="7"/>
  <c r="H245" i="7"/>
  <c r="F241" i="7"/>
  <c r="I241" i="7"/>
  <c r="H241" i="7"/>
  <c r="F229" i="7"/>
  <c r="I229" i="7"/>
  <c r="H229" i="7"/>
  <c r="F213" i="7"/>
  <c r="I213" i="7"/>
  <c r="H213" i="7"/>
  <c r="F209" i="7"/>
  <c r="I209" i="7"/>
  <c r="H209" i="7"/>
  <c r="F197" i="7"/>
  <c r="I197" i="7"/>
  <c r="H197" i="7"/>
  <c r="I137" i="7"/>
  <c r="H137" i="7"/>
  <c r="F137" i="7"/>
  <c r="I121" i="7"/>
  <c r="H121" i="7"/>
  <c r="F121" i="7"/>
  <c r="I105" i="7"/>
  <c r="H105" i="7"/>
  <c r="F105" i="7"/>
  <c r="I97" i="7"/>
  <c r="F97" i="7"/>
  <c r="H97" i="7"/>
  <c r="I89" i="7"/>
  <c r="H89" i="7"/>
  <c r="F89" i="7"/>
  <c r="I73" i="7"/>
  <c r="H73" i="7"/>
  <c r="F73" i="7"/>
  <c r="I57" i="7"/>
  <c r="H57" i="7"/>
  <c r="F57" i="7"/>
  <c r="I41" i="7"/>
  <c r="H41" i="7"/>
  <c r="F41" i="7"/>
  <c r="I33" i="7"/>
  <c r="F33" i="7"/>
  <c r="H33" i="7"/>
  <c r="I25" i="7"/>
  <c r="H25" i="7"/>
  <c r="F25" i="7"/>
  <c r="F84" i="7"/>
  <c r="I84" i="7"/>
  <c r="H84" i="7"/>
  <c r="F40" i="7"/>
  <c r="I40" i="7"/>
  <c r="H40" i="7"/>
  <c r="F20" i="7"/>
  <c r="I20" i="7"/>
  <c r="H20" i="7"/>
  <c r="H503" i="7"/>
  <c r="I503" i="7"/>
  <c r="F503" i="7"/>
  <c r="H479" i="7"/>
  <c r="I479" i="7"/>
  <c r="F479" i="7"/>
  <c r="H455" i="7"/>
  <c r="I455" i="7"/>
  <c r="F455" i="7"/>
  <c r="H427" i="7"/>
  <c r="I427" i="7"/>
  <c r="F427" i="7"/>
  <c r="H419" i="7"/>
  <c r="F419" i="7"/>
  <c r="I419" i="7"/>
  <c r="H395" i="7"/>
  <c r="I395" i="7"/>
  <c r="F395" i="7"/>
  <c r="H375" i="7"/>
  <c r="I375" i="7"/>
  <c r="F375" i="7"/>
  <c r="H367" i="7"/>
  <c r="F367" i="7"/>
  <c r="I367" i="7"/>
  <c r="H255" i="7"/>
  <c r="F255" i="7"/>
  <c r="I255" i="7"/>
  <c r="H239" i="7"/>
  <c r="F239" i="7"/>
  <c r="I239" i="7"/>
  <c r="H179" i="7"/>
  <c r="I179" i="7"/>
  <c r="F179" i="7"/>
  <c r="H143" i="7"/>
  <c r="F143" i="7"/>
  <c r="I143" i="7"/>
  <c r="F107" i="7"/>
  <c r="I107" i="7"/>
  <c r="H107" i="7"/>
  <c r="H79" i="7"/>
  <c r="F79" i="7"/>
  <c r="I79" i="7"/>
  <c r="H63" i="7"/>
  <c r="F63" i="7"/>
  <c r="I63" i="7"/>
  <c r="H47" i="7"/>
  <c r="F47" i="7"/>
  <c r="I47" i="7"/>
  <c r="H15" i="7"/>
  <c r="F15" i="7"/>
  <c r="I15" i="7"/>
  <c r="F500" i="7"/>
  <c r="I500" i="7"/>
  <c r="H500" i="7"/>
  <c r="F484" i="7"/>
  <c r="I484" i="7"/>
  <c r="H484" i="7"/>
  <c r="F468" i="7"/>
  <c r="I468" i="7"/>
  <c r="H468" i="7"/>
  <c r="F452" i="7"/>
  <c r="I452" i="7"/>
  <c r="H452" i="7"/>
  <c r="F436" i="7"/>
  <c r="I436" i="7"/>
  <c r="H436" i="7"/>
  <c r="I420" i="7"/>
  <c r="H420" i="7"/>
  <c r="F420" i="7"/>
  <c r="I404" i="7"/>
  <c r="H404" i="7"/>
  <c r="F404" i="7"/>
  <c r="I388" i="7"/>
  <c r="H388" i="7"/>
  <c r="F388" i="7"/>
  <c r="I372" i="7"/>
  <c r="H372" i="7"/>
  <c r="F372" i="7"/>
  <c r="I356" i="7"/>
  <c r="H356" i="7"/>
  <c r="F356" i="7"/>
  <c r="I340" i="7"/>
  <c r="H340" i="7"/>
  <c r="F340" i="7"/>
  <c r="I324" i="7"/>
  <c r="H324" i="7"/>
  <c r="F324" i="7"/>
  <c r="I308" i="7"/>
  <c r="H308" i="7"/>
  <c r="F308" i="7"/>
  <c r="I292" i="7"/>
  <c r="H292" i="7"/>
  <c r="F292" i="7"/>
  <c r="I276" i="7"/>
  <c r="H276" i="7"/>
  <c r="F276" i="7"/>
  <c r="I260" i="7"/>
  <c r="H260" i="7"/>
  <c r="F260" i="7"/>
  <c r="I244" i="7"/>
  <c r="H244" i="7"/>
  <c r="F244" i="7"/>
  <c r="I228" i="7"/>
  <c r="H228" i="7"/>
  <c r="F228" i="7"/>
  <c r="I212" i="7"/>
  <c r="H212" i="7"/>
  <c r="F212" i="7"/>
  <c r="I196" i="7"/>
  <c r="H196" i="7"/>
  <c r="F196" i="7"/>
  <c r="F180" i="7"/>
  <c r="H180" i="7"/>
  <c r="I180" i="7"/>
  <c r="F164" i="7"/>
  <c r="H164" i="7"/>
  <c r="I164" i="7"/>
  <c r="F148" i="7"/>
  <c r="I148" i="7"/>
  <c r="H148" i="7"/>
  <c r="F140" i="7"/>
  <c r="H140" i="7"/>
  <c r="I140" i="7"/>
  <c r="F132" i="7"/>
  <c r="I132" i="7"/>
  <c r="H132" i="7"/>
  <c r="F124" i="7"/>
  <c r="H124" i="7"/>
  <c r="I124" i="7"/>
  <c r="F116" i="7"/>
  <c r="I116" i="7"/>
  <c r="H116" i="7"/>
  <c r="F108" i="7"/>
  <c r="H108" i="7"/>
  <c r="I108" i="7"/>
  <c r="F76" i="7"/>
  <c r="H76" i="7"/>
  <c r="I76" i="7"/>
  <c r="F48" i="7"/>
  <c r="I48" i="7"/>
  <c r="H48" i="7"/>
  <c r="F36" i="7"/>
  <c r="I36" i="7"/>
  <c r="H36" i="7"/>
  <c r="H507" i="7"/>
  <c r="I507" i="7"/>
  <c r="F507" i="7"/>
  <c r="H463" i="7"/>
  <c r="I463" i="7"/>
  <c r="F463" i="7"/>
  <c r="H295" i="7"/>
  <c r="I295" i="7"/>
  <c r="F295" i="7"/>
  <c r="H283" i="7"/>
  <c r="I283" i="7"/>
  <c r="F283" i="7"/>
  <c r="H259" i="7"/>
  <c r="F259" i="7"/>
  <c r="I259" i="7"/>
  <c r="H247" i="7"/>
  <c r="I247" i="7"/>
  <c r="F247" i="7"/>
  <c r="H211" i="7"/>
  <c r="F211" i="7"/>
  <c r="I211" i="7"/>
  <c r="H199" i="7"/>
  <c r="I199" i="7"/>
  <c r="F199" i="7"/>
  <c r="I458" i="7"/>
  <c r="H458" i="7"/>
  <c r="F458" i="7"/>
  <c r="I442" i="7"/>
  <c r="H442" i="7"/>
  <c r="F442" i="7"/>
  <c r="I170" i="7"/>
  <c r="H170" i="7"/>
  <c r="F170" i="7"/>
  <c r="I154" i="7"/>
  <c r="H154" i="7"/>
  <c r="F154" i="7"/>
  <c r="H146" i="7"/>
  <c r="F146" i="7"/>
  <c r="I146" i="7"/>
  <c r="H130" i="7"/>
  <c r="F130" i="7"/>
  <c r="I130" i="7"/>
  <c r="H114" i="7"/>
  <c r="F114" i="7"/>
  <c r="I114" i="7"/>
  <c r="H90" i="7"/>
  <c r="I90" i="7"/>
  <c r="F90" i="7"/>
  <c r="H82" i="7"/>
  <c r="F82" i="7"/>
  <c r="I82" i="7"/>
  <c r="H66" i="7"/>
  <c r="F66" i="7"/>
  <c r="I66" i="7"/>
  <c r="H26" i="7"/>
  <c r="I26" i="7"/>
  <c r="F26" i="7"/>
  <c r="H431" i="7"/>
  <c r="I431" i="7"/>
  <c r="F431" i="7"/>
  <c r="H319" i="7"/>
  <c r="F319" i="7"/>
  <c r="I319" i="7"/>
  <c r="H299" i="7"/>
  <c r="I299" i="7"/>
  <c r="F299" i="7"/>
  <c r="H243" i="7"/>
  <c r="F243" i="7"/>
  <c r="I243" i="7"/>
  <c r="H219" i="7"/>
  <c r="I219" i="7"/>
  <c r="F219" i="7"/>
  <c r="H195" i="7"/>
  <c r="F195" i="7"/>
  <c r="I195" i="7"/>
  <c r="H151" i="7"/>
  <c r="I151" i="7"/>
  <c r="F151" i="7"/>
  <c r="F425" i="7"/>
  <c r="I425" i="7"/>
  <c r="H425" i="7"/>
  <c r="F409" i="7"/>
  <c r="H409" i="7"/>
  <c r="I409" i="7"/>
  <c r="F393" i="7"/>
  <c r="I393" i="7"/>
  <c r="H393" i="7"/>
  <c r="F377" i="7"/>
  <c r="H377" i="7"/>
  <c r="I377" i="7"/>
  <c r="F345" i="7"/>
  <c r="H345" i="7"/>
  <c r="I345" i="7"/>
  <c r="F329" i="7"/>
  <c r="I329" i="7"/>
  <c r="H329" i="7"/>
  <c r="F321" i="7"/>
  <c r="I321" i="7"/>
  <c r="H321" i="7"/>
  <c r="F313" i="7"/>
  <c r="H313" i="7"/>
  <c r="I313" i="7"/>
  <c r="F193" i="7"/>
  <c r="I193" i="7"/>
  <c r="H193" i="7"/>
  <c r="F181" i="7"/>
  <c r="I181" i="7"/>
  <c r="H181" i="7"/>
  <c r="F161" i="7"/>
  <c r="I161" i="7"/>
  <c r="H161" i="7"/>
  <c r="I81" i="7"/>
  <c r="F81" i="7"/>
  <c r="H81" i="7"/>
  <c r="I49" i="7"/>
  <c r="F49" i="7"/>
  <c r="H49" i="7"/>
  <c r="I17" i="7"/>
  <c r="F17" i="7"/>
  <c r="H17" i="7"/>
  <c r="F64" i="7"/>
  <c r="I64" i="7"/>
  <c r="H64" i="7"/>
  <c r="F56" i="7"/>
  <c r="I56" i="7"/>
  <c r="H56" i="7"/>
  <c r="I7" i="7"/>
  <c r="H7" i="7"/>
  <c r="F7" i="7"/>
  <c r="H499" i="7"/>
  <c r="F499" i="7"/>
  <c r="I499" i="7"/>
  <c r="H163" i="7"/>
  <c r="I163" i="7"/>
  <c r="F163" i="7"/>
  <c r="F59" i="7"/>
  <c r="I59" i="7"/>
  <c r="H59" i="7"/>
  <c r="H416" i="7"/>
  <c r="F416" i="7"/>
  <c r="I416" i="7"/>
  <c r="I490" i="7"/>
  <c r="H490" i="7"/>
  <c r="F490" i="7"/>
  <c r="I474" i="7"/>
  <c r="H474" i="7"/>
  <c r="F474" i="7"/>
  <c r="I182" i="7"/>
  <c r="H182" i="7"/>
  <c r="F182" i="7"/>
  <c r="I166" i="7"/>
  <c r="H166" i="7"/>
  <c r="F166" i="7"/>
  <c r="I150" i="7"/>
  <c r="H150" i="7"/>
  <c r="F150" i="7"/>
  <c r="H122" i="7"/>
  <c r="I122" i="7"/>
  <c r="F122" i="7"/>
  <c r="H106" i="7"/>
  <c r="I106" i="7"/>
  <c r="F106" i="7"/>
  <c r="H98" i="7"/>
  <c r="F98" i="7"/>
  <c r="I98" i="7"/>
  <c r="H50" i="7"/>
  <c r="F50" i="7"/>
  <c r="I50" i="7"/>
  <c r="H18" i="7"/>
  <c r="F18" i="7"/>
  <c r="I18" i="7"/>
  <c r="F4" i="7"/>
  <c r="I4" i="7"/>
  <c r="H4" i="7"/>
  <c r="H379" i="7"/>
  <c r="I379" i="7"/>
  <c r="F379" i="7"/>
  <c r="F123" i="7"/>
  <c r="I123" i="7"/>
  <c r="H123" i="7"/>
  <c r="H95" i="7"/>
  <c r="F95" i="7"/>
  <c r="I95" i="7"/>
  <c r="I23" i="7"/>
  <c r="H23" i="7"/>
  <c r="F23" i="7"/>
  <c r="F361" i="7"/>
  <c r="I361" i="7"/>
  <c r="H361" i="7"/>
  <c r="F353" i="7"/>
  <c r="I353" i="7"/>
  <c r="H353" i="7"/>
  <c r="F289" i="7"/>
  <c r="I289" i="7"/>
  <c r="H289" i="7"/>
  <c r="F281" i="7"/>
  <c r="H281" i="7"/>
  <c r="I281" i="7"/>
  <c r="F257" i="7"/>
  <c r="I257" i="7"/>
  <c r="H257" i="7"/>
  <c r="F249" i="7"/>
  <c r="H249" i="7"/>
  <c r="I249" i="7"/>
  <c r="F225" i="7"/>
  <c r="I225" i="7"/>
  <c r="H225" i="7"/>
  <c r="F217" i="7"/>
  <c r="H217" i="7"/>
  <c r="I217" i="7"/>
  <c r="F201" i="7"/>
  <c r="I201" i="7"/>
  <c r="H201" i="7"/>
  <c r="F177" i="7"/>
  <c r="I177" i="7"/>
  <c r="H177" i="7"/>
  <c r="F165" i="7"/>
  <c r="I165" i="7"/>
  <c r="H165" i="7"/>
  <c r="I145" i="7"/>
  <c r="F145" i="7"/>
  <c r="H145" i="7"/>
  <c r="I129" i="7"/>
  <c r="F129" i="7"/>
  <c r="H129" i="7"/>
  <c r="I113" i="7"/>
  <c r="F113" i="7"/>
  <c r="H113" i="7"/>
  <c r="I65" i="7"/>
  <c r="F65" i="7"/>
  <c r="H65" i="7"/>
  <c r="F72" i="7"/>
  <c r="I72" i="7"/>
  <c r="H72" i="7"/>
  <c r="I5" i="7"/>
  <c r="F5" i="7"/>
  <c r="H5" i="7"/>
  <c r="H443" i="7"/>
  <c r="I443" i="7"/>
  <c r="F443" i="7"/>
  <c r="H267" i="7"/>
  <c r="I267" i="7"/>
  <c r="F267" i="7"/>
  <c r="H191" i="7"/>
  <c r="F191" i="7"/>
  <c r="I191" i="7"/>
  <c r="I131" i="7"/>
  <c r="H131" i="7"/>
  <c r="F131" i="7"/>
  <c r="I99" i="7"/>
  <c r="H99" i="7"/>
  <c r="F99" i="7"/>
  <c r="F512" i="7"/>
  <c r="H512" i="7"/>
  <c r="I512" i="7"/>
  <c r="F496" i="7"/>
  <c r="H496" i="7"/>
  <c r="I496" i="7"/>
  <c r="F464" i="7"/>
  <c r="H464" i="7"/>
  <c r="I464" i="7"/>
  <c r="H400" i="7"/>
  <c r="F400" i="7"/>
  <c r="I400" i="7"/>
  <c r="H352" i="7"/>
  <c r="F352" i="7"/>
  <c r="I352" i="7"/>
  <c r="H320" i="7"/>
  <c r="F320" i="7"/>
  <c r="I320" i="7"/>
  <c r="H288" i="7"/>
  <c r="F288" i="7"/>
  <c r="I288" i="7"/>
  <c r="H272" i="7"/>
  <c r="F272" i="7"/>
  <c r="I272" i="7"/>
  <c r="H208" i="7"/>
  <c r="F208" i="7"/>
  <c r="I208" i="7"/>
  <c r="F176" i="7"/>
  <c r="I176" i="7"/>
  <c r="H176" i="7"/>
  <c r="H495" i="7"/>
  <c r="I495" i="7"/>
  <c r="F495" i="7"/>
  <c r="H391" i="7"/>
  <c r="I391" i="7"/>
  <c r="F391" i="7"/>
  <c r="I147" i="7"/>
  <c r="H147" i="7"/>
  <c r="F147" i="7"/>
  <c r="D4" i="8"/>
  <c r="A5" i="8"/>
  <c r="C4" i="8"/>
  <c r="B4" i="8"/>
  <c r="G4" i="8"/>
  <c r="E4" i="8"/>
  <c r="I502" i="7"/>
  <c r="H502" i="7"/>
  <c r="F502" i="7"/>
  <c r="I486" i="7"/>
  <c r="H486" i="7"/>
  <c r="F486" i="7"/>
  <c r="I410" i="7"/>
  <c r="H410" i="7"/>
  <c r="F410" i="7"/>
  <c r="I378" i="7"/>
  <c r="H378" i="7"/>
  <c r="F378" i="7"/>
  <c r="I362" i="7"/>
  <c r="H362" i="7"/>
  <c r="F362" i="7"/>
  <c r="I330" i="7"/>
  <c r="H330" i="7"/>
  <c r="F330" i="7"/>
  <c r="I314" i="7"/>
  <c r="H314" i="7"/>
  <c r="F314" i="7"/>
  <c r="F8" i="7"/>
  <c r="I8" i="7"/>
  <c r="H8" i="7"/>
  <c r="H6" i="7"/>
  <c r="I6" i="7"/>
  <c r="F6" i="7"/>
  <c r="D2" i="7"/>
  <c r="G2" i="7"/>
  <c r="B2" i="7"/>
  <c r="E2" i="7"/>
  <c r="C2" i="7"/>
  <c r="H415" i="7"/>
  <c r="F415" i="7"/>
  <c r="I415" i="7"/>
  <c r="H387" i="7"/>
  <c r="F387" i="7"/>
  <c r="I387" i="7"/>
  <c r="H363" i="7"/>
  <c r="I363" i="7"/>
  <c r="F363" i="7"/>
  <c r="H355" i="7"/>
  <c r="F355" i="7"/>
  <c r="I355" i="7"/>
  <c r="H335" i="7"/>
  <c r="F335" i="7"/>
  <c r="I335" i="7"/>
  <c r="H275" i="7"/>
  <c r="F275" i="7"/>
  <c r="I275" i="7"/>
  <c r="H263" i="7"/>
  <c r="I263" i="7"/>
  <c r="F263" i="7"/>
  <c r="H251" i="7"/>
  <c r="I251" i="7"/>
  <c r="F251" i="7"/>
  <c r="H207" i="7"/>
  <c r="F207" i="7"/>
  <c r="I207" i="7"/>
  <c r="I115" i="7"/>
  <c r="H115" i="7"/>
  <c r="F115" i="7"/>
  <c r="I87" i="7"/>
  <c r="H87" i="7"/>
  <c r="F87" i="7"/>
  <c r="I19" i="7"/>
  <c r="H19" i="7"/>
  <c r="F19" i="7"/>
  <c r="F513" i="7"/>
  <c r="I513" i="7"/>
  <c r="H513" i="7"/>
  <c r="F509" i="7"/>
  <c r="I509" i="7"/>
  <c r="H509" i="7"/>
  <c r="F497" i="7"/>
  <c r="I497" i="7"/>
  <c r="H497" i="7"/>
  <c r="F493" i="7"/>
  <c r="I493" i="7"/>
  <c r="H493" i="7"/>
  <c r="F481" i="7"/>
  <c r="I481" i="7"/>
  <c r="H481" i="7"/>
  <c r="F477" i="7"/>
  <c r="I477" i="7"/>
  <c r="H477" i="7"/>
  <c r="F465" i="7"/>
  <c r="I465" i="7"/>
  <c r="H465" i="7"/>
  <c r="F461" i="7"/>
  <c r="I461" i="7"/>
  <c r="H461" i="7"/>
  <c r="F449" i="7"/>
  <c r="I449" i="7"/>
  <c r="H449" i="7"/>
  <c r="F445" i="7"/>
  <c r="I445" i="7"/>
  <c r="H445" i="7"/>
  <c r="F433" i="7"/>
  <c r="I433" i="7"/>
  <c r="H433" i="7"/>
  <c r="F429" i="7"/>
  <c r="I429" i="7"/>
  <c r="H429" i="7"/>
  <c r="I149" i="7"/>
  <c r="F149" i="7"/>
  <c r="H149" i="7"/>
  <c r="I141" i="7"/>
  <c r="H141" i="7"/>
  <c r="F141" i="7"/>
  <c r="I133" i="7"/>
  <c r="F133" i="7"/>
  <c r="H133" i="7"/>
  <c r="I125" i="7"/>
  <c r="H125" i="7"/>
  <c r="F125" i="7"/>
  <c r="I117" i="7"/>
  <c r="F117" i="7"/>
  <c r="H117" i="7"/>
  <c r="I109" i="7"/>
  <c r="H109" i="7"/>
  <c r="F109" i="7"/>
  <c r="I101" i="7"/>
  <c r="F101" i="7"/>
  <c r="H101" i="7"/>
  <c r="I93" i="7"/>
  <c r="H93" i="7"/>
  <c r="F93" i="7"/>
  <c r="I85" i="7"/>
  <c r="F85" i="7"/>
  <c r="H85" i="7"/>
  <c r="I77" i="7"/>
  <c r="H77" i="7"/>
  <c r="F77" i="7"/>
  <c r="I69" i="7"/>
  <c r="F69" i="7"/>
  <c r="H69" i="7"/>
  <c r="I61" i="7"/>
  <c r="H61" i="7"/>
  <c r="F61" i="7"/>
  <c r="I53" i="7"/>
  <c r="F53" i="7"/>
  <c r="H53" i="7"/>
  <c r="I45" i="7"/>
  <c r="H45" i="7"/>
  <c r="F45" i="7"/>
  <c r="I37" i="7"/>
  <c r="F37" i="7"/>
  <c r="H37" i="7"/>
  <c r="I29" i="7"/>
  <c r="H29" i="7"/>
  <c r="F29" i="7"/>
  <c r="I21" i="7"/>
  <c r="F21" i="7"/>
  <c r="H21" i="7"/>
  <c r="F100" i="7"/>
  <c r="I100" i="7"/>
  <c r="H100" i="7"/>
  <c r="F88" i="7"/>
  <c r="I88" i="7"/>
  <c r="H88" i="7"/>
  <c r="F80" i="7"/>
  <c r="I80" i="7"/>
  <c r="H80" i="7"/>
  <c r="F44" i="7"/>
  <c r="H44" i="7"/>
  <c r="I44" i="7"/>
  <c r="F24" i="7"/>
  <c r="I24" i="7"/>
  <c r="H24" i="7"/>
  <c r="F16" i="7"/>
  <c r="I16" i="7"/>
  <c r="H16" i="7"/>
  <c r="I9" i="7"/>
  <c r="H9" i="7"/>
  <c r="F9" i="7"/>
  <c r="H491" i="7"/>
  <c r="I491" i="7"/>
  <c r="F491" i="7"/>
  <c r="H467" i="7"/>
  <c r="F467" i="7"/>
  <c r="I467" i="7"/>
  <c r="H435" i="7"/>
  <c r="F435" i="7"/>
  <c r="I435" i="7"/>
  <c r="H403" i="7"/>
  <c r="F403" i="7"/>
  <c r="I403" i="7"/>
  <c r="H359" i="7"/>
  <c r="I359" i="7"/>
  <c r="F359" i="7"/>
  <c r="H291" i="7"/>
  <c r="F291" i="7"/>
  <c r="I291" i="7"/>
  <c r="H279" i="7"/>
  <c r="I279" i="7"/>
  <c r="F279" i="7"/>
  <c r="H203" i="7"/>
  <c r="I203" i="7"/>
  <c r="F203" i="7"/>
  <c r="H155" i="7"/>
  <c r="I155" i="7"/>
  <c r="F155" i="7"/>
  <c r="H127" i="7"/>
  <c r="F127" i="7"/>
  <c r="I127" i="7"/>
  <c r="F91" i="7"/>
  <c r="I91" i="7"/>
  <c r="H91" i="7"/>
  <c r="I71" i="7"/>
  <c r="H71" i="7"/>
  <c r="F71" i="7"/>
  <c r="I55" i="7"/>
  <c r="H55" i="7"/>
  <c r="F55" i="7"/>
  <c r="I39" i="7"/>
  <c r="H39" i="7"/>
  <c r="F39" i="7"/>
  <c r="F508" i="7"/>
  <c r="I508" i="7"/>
  <c r="H508" i="7"/>
  <c r="F492" i="7"/>
  <c r="I492" i="7"/>
  <c r="H492" i="7"/>
  <c r="F476" i="7"/>
  <c r="I476" i="7"/>
  <c r="H476" i="7"/>
  <c r="F460" i="7"/>
  <c r="I460" i="7"/>
  <c r="H460" i="7"/>
  <c r="F444" i="7"/>
  <c r="I444" i="7"/>
  <c r="H444" i="7"/>
  <c r="F428" i="7"/>
  <c r="H428" i="7"/>
  <c r="I428" i="7"/>
  <c r="F412" i="7"/>
  <c r="I412" i="7"/>
  <c r="H412" i="7"/>
  <c r="F396" i="7"/>
  <c r="H396" i="7"/>
  <c r="I396" i="7"/>
  <c r="F380" i="7"/>
  <c r="I380" i="7"/>
  <c r="H380" i="7"/>
  <c r="F364" i="7"/>
  <c r="H364" i="7"/>
  <c r="I364" i="7"/>
  <c r="F348" i="7"/>
  <c r="I348" i="7"/>
  <c r="H348" i="7"/>
  <c r="F332" i="7"/>
  <c r="H332" i="7"/>
  <c r="I332" i="7"/>
  <c r="F316" i="7"/>
  <c r="I316" i="7"/>
  <c r="H316" i="7"/>
  <c r="F300" i="7"/>
  <c r="H300" i="7"/>
  <c r="I300" i="7"/>
  <c r="F284" i="7"/>
  <c r="I284" i="7"/>
  <c r="H284" i="7"/>
  <c r="F268" i="7"/>
  <c r="H268" i="7"/>
  <c r="I268" i="7"/>
  <c r="F252" i="7"/>
  <c r="I252" i="7"/>
  <c r="H252" i="7"/>
  <c r="F236" i="7"/>
  <c r="H236" i="7"/>
  <c r="I236" i="7"/>
  <c r="F220" i="7"/>
  <c r="I220" i="7"/>
  <c r="H220" i="7"/>
  <c r="F204" i="7"/>
  <c r="H204" i="7"/>
  <c r="I204" i="7"/>
  <c r="F172" i="7"/>
  <c r="H172" i="7"/>
  <c r="I172" i="7"/>
  <c r="F156" i="7"/>
  <c r="H156" i="7"/>
  <c r="I156" i="7"/>
  <c r="F136" i="7"/>
  <c r="I136" i="7"/>
  <c r="H136" i="7"/>
  <c r="F128" i="7"/>
  <c r="I128" i="7"/>
  <c r="H128" i="7"/>
  <c r="F104" i="7"/>
  <c r="I104" i="7"/>
  <c r="H104" i="7"/>
  <c r="H487" i="7"/>
  <c r="I487" i="7"/>
  <c r="F487" i="7"/>
  <c r="H315" i="7"/>
  <c r="I315" i="7"/>
  <c r="F315" i="7"/>
  <c r="H171" i="7"/>
  <c r="I171" i="7"/>
  <c r="F171" i="7"/>
  <c r="I482" i="7"/>
  <c r="H482" i="7"/>
  <c r="F482" i="7"/>
  <c r="I466" i="7"/>
  <c r="H466" i="7"/>
  <c r="F466" i="7"/>
  <c r="I434" i="7"/>
  <c r="H434" i="7"/>
  <c r="F434" i="7"/>
  <c r="I414" i="7"/>
  <c r="H414" i="7"/>
  <c r="F414" i="7"/>
  <c r="I386" i="7"/>
  <c r="F386" i="7"/>
  <c r="H386" i="7"/>
  <c r="I350" i="7"/>
  <c r="H350" i="7"/>
  <c r="F350" i="7"/>
  <c r="I318" i="7"/>
  <c r="H318" i="7"/>
  <c r="F318" i="7"/>
  <c r="I286" i="7"/>
  <c r="H286" i="7"/>
  <c r="F286" i="7"/>
  <c r="I226" i="7"/>
  <c r="F226" i="7"/>
  <c r="H226" i="7"/>
  <c r="I222" i="7"/>
  <c r="H222" i="7"/>
  <c r="F222" i="7"/>
  <c r="I194" i="7"/>
  <c r="F194" i="7"/>
  <c r="H194" i="7"/>
  <c r="I190" i="7"/>
  <c r="H190" i="7"/>
  <c r="F190" i="7"/>
  <c r="I178" i="7"/>
  <c r="H178" i="7"/>
  <c r="F178" i="7"/>
  <c r="I174" i="7"/>
  <c r="H174" i="7"/>
  <c r="F174" i="7"/>
  <c r="I162" i="7"/>
  <c r="H162" i="7"/>
  <c r="F162" i="7"/>
  <c r="I158" i="7"/>
  <c r="H158" i="7"/>
  <c r="F158" i="7"/>
  <c r="H142" i="7"/>
  <c r="F142" i="7"/>
  <c r="I142" i="7"/>
  <c r="H134" i="7"/>
  <c r="I134" i="7"/>
  <c r="F134" i="7"/>
  <c r="H118" i="7"/>
  <c r="I118" i="7"/>
  <c r="F118" i="7"/>
  <c r="H70" i="7"/>
  <c r="I70" i="7"/>
  <c r="F70" i="7"/>
  <c r="F12" i="7"/>
  <c r="H12" i="7"/>
  <c r="I12" i="7"/>
  <c r="H10" i="7"/>
  <c r="I10" i="7"/>
  <c r="F10" i="7"/>
  <c r="H447" i="7"/>
  <c r="I447" i="7"/>
  <c r="F447" i="7"/>
  <c r="H407" i="7"/>
  <c r="I407" i="7"/>
  <c r="F407" i="7"/>
  <c r="H399" i="7"/>
  <c r="F399" i="7"/>
  <c r="I399" i="7"/>
  <c r="H307" i="7"/>
  <c r="F307" i="7"/>
  <c r="I307" i="7"/>
  <c r="H175" i="7"/>
  <c r="I175" i="7"/>
  <c r="F175" i="7"/>
  <c r="F139" i="7"/>
  <c r="I139" i="7"/>
  <c r="H139" i="7"/>
  <c r="H111" i="7"/>
  <c r="F111" i="7"/>
  <c r="I111" i="7"/>
  <c r="H31" i="7"/>
  <c r="F31" i="7"/>
  <c r="I31" i="7"/>
  <c r="F501" i="7"/>
  <c r="I501" i="7"/>
  <c r="H501" i="7"/>
  <c r="F485" i="7"/>
  <c r="I485" i="7"/>
  <c r="H485" i="7"/>
  <c r="F469" i="7"/>
  <c r="I469" i="7"/>
  <c r="H469" i="7"/>
  <c r="F453" i="7"/>
  <c r="I453" i="7"/>
  <c r="H453" i="7"/>
  <c r="F437" i="7"/>
  <c r="I437" i="7"/>
  <c r="H437" i="7"/>
  <c r="F413" i="7"/>
  <c r="H413" i="7"/>
  <c r="I413" i="7"/>
  <c r="F397" i="7"/>
  <c r="H397" i="7"/>
  <c r="I397" i="7"/>
  <c r="F381" i="7"/>
  <c r="H381" i="7"/>
  <c r="I381" i="7"/>
  <c r="F365" i="7"/>
  <c r="H365" i="7"/>
  <c r="I365" i="7"/>
  <c r="F349" i="7"/>
  <c r="H349" i="7"/>
  <c r="I349" i="7"/>
  <c r="F333" i="7"/>
  <c r="H333" i="7"/>
  <c r="I333" i="7"/>
  <c r="F317" i="7"/>
  <c r="H317" i="7"/>
  <c r="I317" i="7"/>
  <c r="F301" i="7"/>
  <c r="H301" i="7"/>
  <c r="I301" i="7"/>
  <c r="F285" i="7"/>
  <c r="H285" i="7"/>
  <c r="I285" i="7"/>
  <c r="F269" i="7"/>
  <c r="H269" i="7"/>
  <c r="I269" i="7"/>
  <c r="F253" i="7"/>
  <c r="H253" i="7"/>
  <c r="I253" i="7"/>
  <c r="F237" i="7"/>
  <c r="H237" i="7"/>
  <c r="I237" i="7"/>
  <c r="F221" i="7"/>
  <c r="H221" i="7"/>
  <c r="I221" i="7"/>
  <c r="F205" i="7"/>
  <c r="H205" i="7"/>
  <c r="I205" i="7"/>
  <c r="F189" i="7"/>
  <c r="H189" i="7"/>
  <c r="I189" i="7"/>
  <c r="F173" i="7"/>
  <c r="I173" i="7"/>
  <c r="H173" i="7"/>
  <c r="F169" i="7"/>
  <c r="I169" i="7"/>
  <c r="H169" i="7"/>
  <c r="F157" i="7"/>
  <c r="I157" i="7"/>
  <c r="H157" i="7"/>
  <c r="F153" i="7"/>
  <c r="I153" i="7"/>
  <c r="H153" i="7"/>
  <c r="F68" i="7"/>
  <c r="I68" i="7"/>
  <c r="H68" i="7"/>
  <c r="F60" i="7"/>
  <c r="H60" i="7"/>
  <c r="I60" i="7"/>
  <c r="F52" i="7"/>
  <c r="I52" i="7"/>
  <c r="H52" i="7"/>
  <c r="F32" i="7"/>
  <c r="I32" i="7"/>
  <c r="H32" i="7"/>
  <c r="I13" i="7"/>
  <c r="H13" i="7"/>
  <c r="F13" i="7"/>
  <c r="F11" i="7"/>
  <c r="I11" i="7"/>
  <c r="H11" i="7"/>
  <c r="I3" i="7"/>
  <c r="H3" i="7"/>
  <c r="F3" i="7"/>
  <c r="H511" i="7"/>
  <c r="I511" i="7"/>
  <c r="F511" i="7"/>
  <c r="H483" i="7"/>
  <c r="F483" i="7"/>
  <c r="I483" i="7"/>
  <c r="H459" i="7"/>
  <c r="I459" i="7"/>
  <c r="F459" i="7"/>
  <c r="H411" i="7"/>
  <c r="I411" i="7"/>
  <c r="F411" i="7"/>
  <c r="H383" i="7"/>
  <c r="F383" i="7"/>
  <c r="I383" i="7"/>
  <c r="H351" i="7"/>
  <c r="F351" i="7"/>
  <c r="I351" i="7"/>
  <c r="H331" i="7"/>
  <c r="I331" i="7"/>
  <c r="F331" i="7"/>
  <c r="H323" i="7"/>
  <c r="F323" i="7"/>
  <c r="I323" i="7"/>
  <c r="H311" i="7"/>
  <c r="I311" i="7"/>
  <c r="F311" i="7"/>
  <c r="H303" i="7"/>
  <c r="F303" i="7"/>
  <c r="I303" i="7"/>
  <c r="H227" i="7"/>
  <c r="F227" i="7"/>
  <c r="I227" i="7"/>
  <c r="H215" i="7"/>
  <c r="I215" i="7"/>
  <c r="F215" i="7"/>
  <c r="H183" i="7"/>
  <c r="I183" i="7"/>
  <c r="F183" i="7"/>
  <c r="I119" i="7"/>
  <c r="H119" i="7"/>
  <c r="F119" i="7"/>
  <c r="I83" i="7"/>
  <c r="H83" i="7"/>
  <c r="F83" i="7"/>
  <c r="I67" i="7"/>
  <c r="H67" i="7"/>
  <c r="F67" i="7"/>
  <c r="I51" i="7"/>
  <c r="H51" i="7"/>
  <c r="F51" i="7"/>
  <c r="I35" i="7"/>
  <c r="H35" i="7"/>
  <c r="F35" i="7"/>
  <c r="F504" i="7"/>
  <c r="H504" i="7"/>
  <c r="I504" i="7"/>
  <c r="F488" i="7"/>
  <c r="H488" i="7"/>
  <c r="I488" i="7"/>
  <c r="F472" i="7"/>
  <c r="H472" i="7"/>
  <c r="I472" i="7"/>
  <c r="F456" i="7"/>
  <c r="H456" i="7"/>
  <c r="I456" i="7"/>
  <c r="F440" i="7"/>
  <c r="H440" i="7"/>
  <c r="I440" i="7"/>
  <c r="I424" i="7"/>
  <c r="H424" i="7"/>
  <c r="F424" i="7"/>
  <c r="I408" i="7"/>
  <c r="F408" i="7"/>
  <c r="H408" i="7"/>
  <c r="I392" i="7"/>
  <c r="H392" i="7"/>
  <c r="F392" i="7"/>
  <c r="I376" i="7"/>
  <c r="F376" i="7"/>
  <c r="H376" i="7"/>
  <c r="I360" i="7"/>
  <c r="H360" i="7"/>
  <c r="F360" i="7"/>
  <c r="I344" i="7"/>
  <c r="F344" i="7"/>
  <c r="H344" i="7"/>
  <c r="I328" i="7"/>
  <c r="H328" i="7"/>
  <c r="F328" i="7"/>
  <c r="I312" i="7"/>
  <c r="F312" i="7"/>
  <c r="H312" i="7"/>
  <c r="I296" i="7"/>
  <c r="H296" i="7"/>
  <c r="F296" i="7"/>
  <c r="I280" i="7"/>
  <c r="F280" i="7"/>
  <c r="H280" i="7"/>
  <c r="I264" i="7"/>
  <c r="H264" i="7"/>
  <c r="F264" i="7"/>
  <c r="I248" i="7"/>
  <c r="F248" i="7"/>
  <c r="H248" i="7"/>
  <c r="I232" i="7"/>
  <c r="H232" i="7"/>
  <c r="F232" i="7"/>
  <c r="I216" i="7"/>
  <c r="F216" i="7"/>
  <c r="H216" i="7"/>
  <c r="I200" i="7"/>
  <c r="H200" i="7"/>
  <c r="F200" i="7"/>
  <c r="I184" i="7"/>
  <c r="F184" i="7"/>
  <c r="H184" i="7"/>
  <c r="F168" i="7"/>
  <c r="I168" i="7"/>
  <c r="H168" i="7"/>
  <c r="F152" i="7"/>
  <c r="I152" i="7"/>
  <c r="H152" i="7"/>
  <c r="F92" i="7"/>
  <c r="H92" i="7"/>
  <c r="I92" i="7"/>
  <c r="F28" i="7"/>
  <c r="H28" i="7"/>
  <c r="I28" i="7"/>
  <c r="H475" i="7"/>
  <c r="I475" i="7"/>
  <c r="F475" i="7"/>
  <c r="H235" i="7"/>
  <c r="I235" i="7"/>
  <c r="F235" i="7"/>
  <c r="H159" i="7"/>
  <c r="I159" i="7"/>
  <c r="F159" i="7"/>
  <c r="G5" i="8" l="1"/>
  <c r="B5" i="8"/>
  <c r="E5" i="8"/>
  <c r="D5" i="8"/>
  <c r="C5" i="8"/>
  <c r="A6" i="8"/>
  <c r="H14" i="7"/>
  <c r="F14" i="7"/>
  <c r="I14" i="7"/>
  <c r="H2" i="7"/>
  <c r="K516" i="5"/>
  <c r="F2" i="7"/>
  <c r="K515" i="5"/>
  <c r="K518" i="5"/>
  <c r="K514" i="5"/>
  <c r="K510" i="5"/>
  <c r="K506" i="5"/>
  <c r="K502" i="5"/>
  <c r="K498" i="5"/>
  <c r="K494" i="5"/>
  <c r="K490" i="5"/>
  <c r="K486" i="5"/>
  <c r="K482" i="5"/>
  <c r="K478" i="5"/>
  <c r="K474" i="5"/>
  <c r="K470" i="5"/>
  <c r="K466" i="5"/>
  <c r="K462" i="5"/>
  <c r="K458" i="5"/>
  <c r="K454" i="5"/>
  <c r="K450" i="5"/>
  <c r="K446" i="5"/>
  <c r="K442" i="5"/>
  <c r="K438" i="5"/>
  <c r="K434" i="5"/>
  <c r="K430" i="5"/>
  <c r="K426" i="5"/>
  <c r="K422" i="5"/>
  <c r="K418" i="5"/>
  <c r="K414" i="5"/>
  <c r="K410" i="5"/>
  <c r="K406" i="5"/>
  <c r="K402" i="5"/>
  <c r="K398" i="5"/>
  <c r="K394" i="5"/>
  <c r="K390" i="5"/>
  <c r="K386" i="5"/>
  <c r="K382" i="5"/>
  <c r="K378" i="5"/>
  <c r="K374" i="5"/>
  <c r="K370" i="5"/>
  <c r="K366" i="5"/>
  <c r="K362" i="5"/>
  <c r="K358" i="5"/>
  <c r="K354" i="5"/>
  <c r="K350" i="5"/>
  <c r="K346" i="5"/>
  <c r="K342" i="5"/>
  <c r="K338" i="5"/>
  <c r="K334" i="5"/>
  <c r="K330" i="5"/>
  <c r="K326" i="5"/>
  <c r="K322" i="5"/>
  <c r="K318" i="5"/>
  <c r="K314" i="5"/>
  <c r="K310" i="5"/>
  <c r="K306" i="5"/>
  <c r="K302" i="5"/>
  <c r="K298" i="5"/>
  <c r="K294" i="5"/>
  <c r="K290" i="5"/>
  <c r="K286" i="5"/>
  <c r="K282" i="5"/>
  <c r="K278" i="5"/>
  <c r="K274" i="5"/>
  <c r="K270" i="5"/>
  <c r="K266" i="5"/>
  <c r="K262" i="5"/>
  <c r="K258" i="5"/>
  <c r="K254" i="5"/>
  <c r="K250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517" i="5"/>
  <c r="K513" i="5"/>
  <c r="K509" i="5"/>
  <c r="K505" i="5"/>
  <c r="K501" i="5"/>
  <c r="K497" i="5"/>
  <c r="K493" i="5"/>
  <c r="K489" i="5"/>
  <c r="K485" i="5"/>
  <c r="K481" i="5"/>
  <c r="K477" i="5"/>
  <c r="K473" i="5"/>
  <c r="K469" i="5"/>
  <c r="K465" i="5"/>
  <c r="K461" i="5"/>
  <c r="K457" i="5"/>
  <c r="K453" i="5"/>
  <c r="K449" i="5"/>
  <c r="K445" i="5"/>
  <c r="K441" i="5"/>
  <c r="K437" i="5"/>
  <c r="K433" i="5"/>
  <c r="K429" i="5"/>
  <c r="K425" i="5"/>
  <c r="K421" i="5"/>
  <c r="K417" i="5"/>
  <c r="K413" i="5"/>
  <c r="K409" i="5"/>
  <c r="K405" i="5"/>
  <c r="K401" i="5"/>
  <c r="K397" i="5"/>
  <c r="K393" i="5"/>
  <c r="K389" i="5"/>
  <c r="K385" i="5"/>
  <c r="K381" i="5"/>
  <c r="K377" i="5"/>
  <c r="K373" i="5"/>
  <c r="K369" i="5"/>
  <c r="K365" i="5"/>
  <c r="K361" i="5"/>
  <c r="K357" i="5"/>
  <c r="K353" i="5"/>
  <c r="K349" i="5"/>
  <c r="K345" i="5"/>
  <c r="K341" i="5"/>
  <c r="K337" i="5"/>
  <c r="K333" i="5"/>
  <c r="K329" i="5"/>
  <c r="K325" i="5"/>
  <c r="K321" i="5"/>
  <c r="K317" i="5"/>
  <c r="K313" i="5"/>
  <c r="K309" i="5"/>
  <c r="K305" i="5"/>
  <c r="K301" i="5"/>
  <c r="K297" i="5"/>
  <c r="K293" i="5"/>
  <c r="K289" i="5"/>
  <c r="K285" i="5"/>
  <c r="K281" i="5"/>
  <c r="K277" i="5"/>
  <c r="K273" i="5"/>
  <c r="K269" i="5"/>
  <c r="K265" i="5"/>
  <c r="K261" i="5"/>
  <c r="K257" i="5"/>
  <c r="K253" i="5"/>
  <c r="K249" i="5"/>
  <c r="K512" i="5"/>
  <c r="K508" i="5"/>
  <c r="K504" i="5"/>
  <c r="K500" i="5"/>
  <c r="K496" i="5"/>
  <c r="K492" i="5"/>
  <c r="K488" i="5"/>
  <c r="K484" i="5"/>
  <c r="K480" i="5"/>
  <c r="K476" i="5"/>
  <c r="K472" i="5"/>
  <c r="K468" i="5"/>
  <c r="K464" i="5"/>
  <c r="K460" i="5"/>
  <c r="K456" i="5"/>
  <c r="K452" i="5"/>
  <c r="K448" i="5"/>
  <c r="K444" i="5"/>
  <c r="K440" i="5"/>
  <c r="K436" i="5"/>
  <c r="K432" i="5"/>
  <c r="K428" i="5"/>
  <c r="K424" i="5"/>
  <c r="K420" i="5"/>
  <c r="K416" i="5"/>
  <c r="K412" i="5"/>
  <c r="K408" i="5"/>
  <c r="K404" i="5"/>
  <c r="K400" i="5"/>
  <c r="K396" i="5"/>
  <c r="K392" i="5"/>
  <c r="K388" i="5"/>
  <c r="K384" i="5"/>
  <c r="K380" i="5"/>
  <c r="K376" i="5"/>
  <c r="K372" i="5"/>
  <c r="K368" i="5"/>
  <c r="K364" i="5"/>
  <c r="K360" i="5"/>
  <c r="K356" i="5"/>
  <c r="K352" i="5"/>
  <c r="K348" i="5"/>
  <c r="K344" i="5"/>
  <c r="K340" i="5"/>
  <c r="K336" i="5"/>
  <c r="K332" i="5"/>
  <c r="K328" i="5"/>
  <c r="K324" i="5"/>
  <c r="K320" i="5"/>
  <c r="K316" i="5"/>
  <c r="K312" i="5"/>
  <c r="K308" i="5"/>
  <c r="K304" i="5"/>
  <c r="K300" i="5"/>
  <c r="K296" i="5"/>
  <c r="K292" i="5"/>
  <c r="K288" i="5"/>
  <c r="K284" i="5"/>
  <c r="K280" i="5"/>
  <c r="K276" i="5"/>
  <c r="K272" i="5"/>
  <c r="K268" i="5"/>
  <c r="K264" i="5"/>
  <c r="K260" i="5"/>
  <c r="K256" i="5"/>
  <c r="K252" i="5"/>
  <c r="K248" i="5"/>
  <c r="I2" i="7"/>
  <c r="K511" i="5"/>
  <c r="K495" i="5"/>
  <c r="K479" i="5"/>
  <c r="K463" i="5"/>
  <c r="K447" i="5"/>
  <c r="K431" i="5"/>
  <c r="K415" i="5"/>
  <c r="K399" i="5"/>
  <c r="K383" i="5"/>
  <c r="K367" i="5"/>
  <c r="K351" i="5"/>
  <c r="K335" i="5"/>
  <c r="K319" i="5"/>
  <c r="K303" i="5"/>
  <c r="K287" i="5"/>
  <c r="K271" i="5"/>
  <c r="K255" i="5"/>
  <c r="K507" i="5"/>
  <c r="K491" i="5"/>
  <c r="K475" i="5"/>
  <c r="K459" i="5"/>
  <c r="K443" i="5"/>
  <c r="K427" i="5"/>
  <c r="K411" i="5"/>
  <c r="K395" i="5"/>
  <c r="K379" i="5"/>
  <c r="K363" i="5"/>
  <c r="K347" i="5"/>
  <c r="K499" i="5"/>
  <c r="K483" i="5"/>
  <c r="K467" i="5"/>
  <c r="K451" i="5"/>
  <c r="K435" i="5"/>
  <c r="K419" i="5"/>
  <c r="K403" i="5"/>
  <c r="K387" i="5"/>
  <c r="K371" i="5"/>
  <c r="K355" i="5"/>
  <c r="K339" i="5"/>
  <c r="K323" i="5"/>
  <c r="K307" i="5"/>
  <c r="K291" i="5"/>
  <c r="K275" i="5"/>
  <c r="K259" i="5"/>
  <c r="K455" i="5"/>
  <c r="K391" i="5"/>
  <c r="K331" i="5"/>
  <c r="K299" i="5"/>
  <c r="K267" i="5"/>
  <c r="K251" i="5"/>
  <c r="K141" i="5"/>
  <c r="K139" i="5"/>
  <c r="K137" i="5"/>
  <c r="K135" i="5"/>
  <c r="K133" i="5"/>
  <c r="K131" i="5"/>
  <c r="K129" i="5"/>
  <c r="K127" i="5"/>
  <c r="K125" i="5"/>
  <c r="K123" i="5"/>
  <c r="K121" i="5"/>
  <c r="K119" i="5"/>
  <c r="K117" i="5"/>
  <c r="K115" i="5"/>
  <c r="K113" i="5"/>
  <c r="K111" i="5"/>
  <c r="K109" i="5"/>
  <c r="K107" i="5"/>
  <c r="K105" i="5"/>
  <c r="K103" i="5"/>
  <c r="K101" i="5"/>
  <c r="K99" i="5"/>
  <c r="K97" i="5"/>
  <c r="K95" i="5"/>
  <c r="K93" i="5"/>
  <c r="K91" i="5"/>
  <c r="K89" i="5"/>
  <c r="K87" i="5"/>
  <c r="K85" i="5"/>
  <c r="K83" i="5"/>
  <c r="K81" i="5"/>
  <c r="K79" i="5"/>
  <c r="K77" i="5"/>
  <c r="K76" i="5"/>
  <c r="K73" i="5"/>
  <c r="K72" i="5"/>
  <c r="K71" i="5"/>
  <c r="K70" i="5"/>
  <c r="K69" i="5"/>
  <c r="K68" i="5"/>
  <c r="K67" i="5"/>
  <c r="K66" i="5"/>
  <c r="K65" i="5"/>
  <c r="K64" i="5"/>
  <c r="K63" i="5"/>
  <c r="K62" i="5"/>
  <c r="K503" i="5"/>
  <c r="K439" i="5"/>
  <c r="K375" i="5"/>
  <c r="K327" i="5"/>
  <c r="K295" i="5"/>
  <c r="K263" i="5"/>
  <c r="K247" i="5"/>
  <c r="K487" i="5"/>
  <c r="K423" i="5"/>
  <c r="K359" i="5"/>
  <c r="K315" i="5"/>
  <c r="K283" i="5"/>
  <c r="K142" i="5"/>
  <c r="K140" i="5"/>
  <c r="K138" i="5"/>
  <c r="K136" i="5"/>
  <c r="K134" i="5"/>
  <c r="K132" i="5"/>
  <c r="K130" i="5"/>
  <c r="K128" i="5"/>
  <c r="K126" i="5"/>
  <c r="K124" i="5"/>
  <c r="K122" i="5"/>
  <c r="K120" i="5"/>
  <c r="K118" i="5"/>
  <c r="K116" i="5"/>
  <c r="K114" i="5"/>
  <c r="K112" i="5"/>
  <c r="K110" i="5"/>
  <c r="K108" i="5"/>
  <c r="K106" i="5"/>
  <c r="K104" i="5"/>
  <c r="K102" i="5"/>
  <c r="K100" i="5"/>
  <c r="K98" i="5"/>
  <c r="K96" i="5"/>
  <c r="K94" i="5"/>
  <c r="K92" i="5"/>
  <c r="K90" i="5"/>
  <c r="K88" i="5"/>
  <c r="K86" i="5"/>
  <c r="K84" i="5"/>
  <c r="K82" i="5"/>
  <c r="K80" i="5"/>
  <c r="K78" i="5"/>
  <c r="K74" i="5"/>
  <c r="K471" i="5"/>
  <c r="K407" i="5"/>
  <c r="K343" i="5"/>
  <c r="K311" i="5"/>
  <c r="K279" i="5"/>
  <c r="K52" i="5"/>
  <c r="K48" i="5"/>
  <c r="K44" i="5"/>
  <c r="K40" i="5"/>
  <c r="K18" i="5"/>
  <c r="K14" i="5"/>
  <c r="K10" i="5"/>
  <c r="K60" i="5"/>
  <c r="K58" i="5"/>
  <c r="K56" i="5"/>
  <c r="K51" i="5"/>
  <c r="K47" i="5"/>
  <c r="K43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7" i="5"/>
  <c r="K13" i="5"/>
  <c r="K9" i="5"/>
  <c r="K61" i="5"/>
  <c r="K57" i="5"/>
  <c r="K55" i="5"/>
  <c r="K53" i="5"/>
  <c r="K49" i="5"/>
  <c r="K45" i="5"/>
  <c r="K41" i="5"/>
  <c r="K19" i="5"/>
  <c r="K15" i="5"/>
  <c r="K11" i="5"/>
  <c r="K7" i="5"/>
  <c r="K75" i="5"/>
  <c r="K54" i="5"/>
  <c r="K50" i="5"/>
  <c r="K46" i="5"/>
  <c r="K42" i="5"/>
  <c r="K16" i="5"/>
  <c r="K12" i="5"/>
  <c r="K8" i="5"/>
  <c r="K59" i="5"/>
  <c r="J19" i="5" l="1"/>
  <c r="F19" i="5"/>
  <c r="B19" i="5"/>
  <c r="I19" i="5"/>
  <c r="E19" i="5"/>
  <c r="A19" i="5"/>
  <c r="L19" i="5"/>
  <c r="H19" i="5"/>
  <c r="D19" i="5"/>
  <c r="G19" i="5"/>
  <c r="C19" i="5"/>
  <c r="L25" i="5"/>
  <c r="H25" i="5"/>
  <c r="D25" i="5"/>
  <c r="G25" i="5"/>
  <c r="C25" i="5"/>
  <c r="A25" i="5"/>
  <c r="J25" i="5"/>
  <c r="F25" i="5"/>
  <c r="B25" i="5"/>
  <c r="I25" i="5"/>
  <c r="E25" i="5"/>
  <c r="L47" i="5"/>
  <c r="H47" i="5"/>
  <c r="D47" i="5"/>
  <c r="G47" i="5"/>
  <c r="B47" i="5"/>
  <c r="F47" i="5"/>
  <c r="A47" i="5"/>
  <c r="I47" i="5"/>
  <c r="C47" i="5"/>
  <c r="J47" i="5"/>
  <c r="E47" i="5"/>
  <c r="J82" i="5"/>
  <c r="F82" i="5"/>
  <c r="B82" i="5"/>
  <c r="I82" i="5"/>
  <c r="E82" i="5"/>
  <c r="A82" i="5"/>
  <c r="G82" i="5"/>
  <c r="C82" i="5"/>
  <c r="H82" i="5"/>
  <c r="D82" i="5"/>
  <c r="L82" i="5"/>
  <c r="J114" i="5"/>
  <c r="F114" i="5"/>
  <c r="B114" i="5"/>
  <c r="I114" i="5"/>
  <c r="E114" i="5"/>
  <c r="A114" i="5"/>
  <c r="G114" i="5"/>
  <c r="L114" i="5"/>
  <c r="D114" i="5"/>
  <c r="C114" i="5"/>
  <c r="H114" i="5"/>
  <c r="J315" i="5"/>
  <c r="F315" i="5"/>
  <c r="B315" i="5"/>
  <c r="I315" i="5"/>
  <c r="D315" i="5"/>
  <c r="H315" i="5"/>
  <c r="C315" i="5"/>
  <c r="L315" i="5"/>
  <c r="G315" i="5"/>
  <c r="A315" i="5"/>
  <c r="E315" i="5"/>
  <c r="J375" i="5"/>
  <c r="F375" i="5"/>
  <c r="B375" i="5"/>
  <c r="I375" i="5"/>
  <c r="D375" i="5"/>
  <c r="H375" i="5"/>
  <c r="C375" i="5"/>
  <c r="L375" i="5"/>
  <c r="G375" i="5"/>
  <c r="A375" i="5"/>
  <c r="E375" i="5"/>
  <c r="J77" i="5"/>
  <c r="I77" i="5"/>
  <c r="E77" i="5"/>
  <c r="A77" i="5"/>
  <c r="D77" i="5"/>
  <c r="G77" i="5"/>
  <c r="B77" i="5"/>
  <c r="L77" i="5"/>
  <c r="F77" i="5"/>
  <c r="C77" i="5"/>
  <c r="H77" i="5"/>
  <c r="J101" i="5"/>
  <c r="F101" i="5"/>
  <c r="B101" i="5"/>
  <c r="I101" i="5"/>
  <c r="E101" i="5"/>
  <c r="A101" i="5"/>
  <c r="C101" i="5"/>
  <c r="G101" i="5"/>
  <c r="L101" i="5"/>
  <c r="D101" i="5"/>
  <c r="H101" i="5"/>
  <c r="J133" i="5"/>
  <c r="F133" i="5"/>
  <c r="B133" i="5"/>
  <c r="I133" i="5"/>
  <c r="E133" i="5"/>
  <c r="A133" i="5"/>
  <c r="C133" i="5"/>
  <c r="H133" i="5"/>
  <c r="G133" i="5"/>
  <c r="L133" i="5"/>
  <c r="D133" i="5"/>
  <c r="J339" i="5"/>
  <c r="F339" i="5"/>
  <c r="B339" i="5"/>
  <c r="I339" i="5"/>
  <c r="D339" i="5"/>
  <c r="H339" i="5"/>
  <c r="C339" i="5"/>
  <c r="L339" i="5"/>
  <c r="G339" i="5"/>
  <c r="A339" i="5"/>
  <c r="E339" i="5"/>
  <c r="J427" i="5"/>
  <c r="F427" i="5"/>
  <c r="B427" i="5"/>
  <c r="I427" i="5"/>
  <c r="D427" i="5"/>
  <c r="H427" i="5"/>
  <c r="C427" i="5"/>
  <c r="L427" i="5"/>
  <c r="G427" i="5"/>
  <c r="A427" i="5"/>
  <c r="E427" i="5"/>
  <c r="J479" i="5"/>
  <c r="F479" i="5"/>
  <c r="B479" i="5"/>
  <c r="I479" i="5"/>
  <c r="D479" i="5"/>
  <c r="H479" i="5"/>
  <c r="C479" i="5"/>
  <c r="L479" i="5"/>
  <c r="G479" i="5"/>
  <c r="A479" i="5"/>
  <c r="E479" i="5"/>
  <c r="J296" i="5"/>
  <c r="F296" i="5"/>
  <c r="B296" i="5"/>
  <c r="H296" i="5"/>
  <c r="C296" i="5"/>
  <c r="L296" i="5"/>
  <c r="G296" i="5"/>
  <c r="A296" i="5"/>
  <c r="E296" i="5"/>
  <c r="I296" i="5"/>
  <c r="D296" i="5"/>
  <c r="J360" i="5"/>
  <c r="F360" i="5"/>
  <c r="B360" i="5"/>
  <c r="H360" i="5"/>
  <c r="C360" i="5"/>
  <c r="L360" i="5"/>
  <c r="G360" i="5"/>
  <c r="A360" i="5"/>
  <c r="E360" i="5"/>
  <c r="I360" i="5"/>
  <c r="D360" i="5"/>
  <c r="J424" i="5"/>
  <c r="F424" i="5"/>
  <c r="B424" i="5"/>
  <c r="H424" i="5"/>
  <c r="C424" i="5"/>
  <c r="L424" i="5"/>
  <c r="G424" i="5"/>
  <c r="A424" i="5"/>
  <c r="E424" i="5"/>
  <c r="I424" i="5"/>
  <c r="D424" i="5"/>
  <c r="J488" i="5"/>
  <c r="F488" i="5"/>
  <c r="B488" i="5"/>
  <c r="H488" i="5"/>
  <c r="C488" i="5"/>
  <c r="L488" i="5"/>
  <c r="G488" i="5"/>
  <c r="A488" i="5"/>
  <c r="E488" i="5"/>
  <c r="I488" i="5"/>
  <c r="D488" i="5"/>
  <c r="J285" i="5"/>
  <c r="F285" i="5"/>
  <c r="B285" i="5"/>
  <c r="L285" i="5"/>
  <c r="G285" i="5"/>
  <c r="A285" i="5"/>
  <c r="E285" i="5"/>
  <c r="I285" i="5"/>
  <c r="D285" i="5"/>
  <c r="H285" i="5"/>
  <c r="C285" i="5"/>
  <c r="J349" i="5"/>
  <c r="F349" i="5"/>
  <c r="B349" i="5"/>
  <c r="L349" i="5"/>
  <c r="G349" i="5"/>
  <c r="A349" i="5"/>
  <c r="E349" i="5"/>
  <c r="I349" i="5"/>
  <c r="D349" i="5"/>
  <c r="H349" i="5"/>
  <c r="C349" i="5"/>
  <c r="J397" i="5"/>
  <c r="F397" i="5"/>
  <c r="B397" i="5"/>
  <c r="L397" i="5"/>
  <c r="G397" i="5"/>
  <c r="A397" i="5"/>
  <c r="E397" i="5"/>
  <c r="I397" i="5"/>
  <c r="D397" i="5"/>
  <c r="H397" i="5"/>
  <c r="C397" i="5"/>
  <c r="J461" i="5"/>
  <c r="F461" i="5"/>
  <c r="B461" i="5"/>
  <c r="L461" i="5"/>
  <c r="G461" i="5"/>
  <c r="A461" i="5"/>
  <c r="E461" i="5"/>
  <c r="I461" i="5"/>
  <c r="D461" i="5"/>
  <c r="H461" i="5"/>
  <c r="C461" i="5"/>
  <c r="J493" i="5"/>
  <c r="F493" i="5"/>
  <c r="B493" i="5"/>
  <c r="L493" i="5"/>
  <c r="G493" i="5"/>
  <c r="A493" i="5"/>
  <c r="E493" i="5"/>
  <c r="I493" i="5"/>
  <c r="D493" i="5"/>
  <c r="H493" i="5"/>
  <c r="C493" i="5"/>
  <c r="G144" i="5"/>
  <c r="C144" i="5"/>
  <c r="J144" i="5"/>
  <c r="F144" i="5"/>
  <c r="B144" i="5"/>
  <c r="I144" i="5"/>
  <c r="E144" i="5"/>
  <c r="A144" i="5"/>
  <c r="L144" i="5"/>
  <c r="H144" i="5"/>
  <c r="D144" i="5"/>
  <c r="G152" i="5"/>
  <c r="C152" i="5"/>
  <c r="J152" i="5"/>
  <c r="F152" i="5"/>
  <c r="B152" i="5"/>
  <c r="I152" i="5"/>
  <c r="E152" i="5"/>
  <c r="A152" i="5"/>
  <c r="L152" i="5"/>
  <c r="H152" i="5"/>
  <c r="D152" i="5"/>
  <c r="G160" i="5"/>
  <c r="C160" i="5"/>
  <c r="J160" i="5"/>
  <c r="F160" i="5"/>
  <c r="B160" i="5"/>
  <c r="I160" i="5"/>
  <c r="E160" i="5"/>
  <c r="A160" i="5"/>
  <c r="L160" i="5"/>
  <c r="H160" i="5"/>
  <c r="D160" i="5"/>
  <c r="G168" i="5"/>
  <c r="C168" i="5"/>
  <c r="J168" i="5"/>
  <c r="F168" i="5"/>
  <c r="B168" i="5"/>
  <c r="I168" i="5"/>
  <c r="E168" i="5"/>
  <c r="A168" i="5"/>
  <c r="L168" i="5"/>
  <c r="H168" i="5"/>
  <c r="D168" i="5"/>
  <c r="G176" i="5"/>
  <c r="C176" i="5"/>
  <c r="J176" i="5"/>
  <c r="F176" i="5"/>
  <c r="B176" i="5"/>
  <c r="I176" i="5"/>
  <c r="E176" i="5"/>
  <c r="A176" i="5"/>
  <c r="L176" i="5"/>
  <c r="H176" i="5"/>
  <c r="D176" i="5"/>
  <c r="G184" i="5"/>
  <c r="C184" i="5"/>
  <c r="J184" i="5"/>
  <c r="F184" i="5"/>
  <c r="B184" i="5"/>
  <c r="I184" i="5"/>
  <c r="E184" i="5"/>
  <c r="A184" i="5"/>
  <c r="L184" i="5"/>
  <c r="H184" i="5"/>
  <c r="D184" i="5"/>
  <c r="G188" i="5"/>
  <c r="C188" i="5"/>
  <c r="J188" i="5"/>
  <c r="F188" i="5"/>
  <c r="B188" i="5"/>
  <c r="I188" i="5"/>
  <c r="E188" i="5"/>
  <c r="A188" i="5"/>
  <c r="L188" i="5"/>
  <c r="H188" i="5"/>
  <c r="D188" i="5"/>
  <c r="G196" i="5"/>
  <c r="C196" i="5"/>
  <c r="J196" i="5"/>
  <c r="F196" i="5"/>
  <c r="B196" i="5"/>
  <c r="I196" i="5"/>
  <c r="E196" i="5"/>
  <c r="A196" i="5"/>
  <c r="L196" i="5"/>
  <c r="H196" i="5"/>
  <c r="D196" i="5"/>
  <c r="G200" i="5"/>
  <c r="C200" i="5"/>
  <c r="J200" i="5"/>
  <c r="F200" i="5"/>
  <c r="B200" i="5"/>
  <c r="I200" i="5"/>
  <c r="E200" i="5"/>
  <c r="A200" i="5"/>
  <c r="L200" i="5"/>
  <c r="H200" i="5"/>
  <c r="D200" i="5"/>
  <c r="G204" i="5"/>
  <c r="C204" i="5"/>
  <c r="J204" i="5"/>
  <c r="F204" i="5"/>
  <c r="B204" i="5"/>
  <c r="I204" i="5"/>
  <c r="E204" i="5"/>
  <c r="A204" i="5"/>
  <c r="L204" i="5"/>
  <c r="H204" i="5"/>
  <c r="D204" i="5"/>
  <c r="G208" i="5"/>
  <c r="C208" i="5"/>
  <c r="J208" i="5"/>
  <c r="F208" i="5"/>
  <c r="B208" i="5"/>
  <c r="I208" i="5"/>
  <c r="E208" i="5"/>
  <c r="A208" i="5"/>
  <c r="L208" i="5"/>
  <c r="H208" i="5"/>
  <c r="D208" i="5"/>
  <c r="G212" i="5"/>
  <c r="C212" i="5"/>
  <c r="J212" i="5"/>
  <c r="F212" i="5"/>
  <c r="B212" i="5"/>
  <c r="I212" i="5"/>
  <c r="E212" i="5"/>
  <c r="A212" i="5"/>
  <c r="L212" i="5"/>
  <c r="H212" i="5"/>
  <c r="D212" i="5"/>
  <c r="G216" i="5"/>
  <c r="C216" i="5"/>
  <c r="J216" i="5"/>
  <c r="F216" i="5"/>
  <c r="B216" i="5"/>
  <c r="I216" i="5"/>
  <c r="E216" i="5"/>
  <c r="A216" i="5"/>
  <c r="L216" i="5"/>
  <c r="H216" i="5"/>
  <c r="D216" i="5"/>
  <c r="G220" i="5"/>
  <c r="C220" i="5"/>
  <c r="J220" i="5"/>
  <c r="F220" i="5"/>
  <c r="B220" i="5"/>
  <c r="I220" i="5"/>
  <c r="E220" i="5"/>
  <c r="A220" i="5"/>
  <c r="L220" i="5"/>
  <c r="H220" i="5"/>
  <c r="D220" i="5"/>
  <c r="G224" i="5"/>
  <c r="C224" i="5"/>
  <c r="J224" i="5"/>
  <c r="F224" i="5"/>
  <c r="B224" i="5"/>
  <c r="I224" i="5"/>
  <c r="E224" i="5"/>
  <c r="A224" i="5"/>
  <c r="L224" i="5"/>
  <c r="H224" i="5"/>
  <c r="D224" i="5"/>
  <c r="G228" i="5"/>
  <c r="C228" i="5"/>
  <c r="J228" i="5"/>
  <c r="F228" i="5"/>
  <c r="B228" i="5"/>
  <c r="I228" i="5"/>
  <c r="E228" i="5"/>
  <c r="A228" i="5"/>
  <c r="L228" i="5"/>
  <c r="H228" i="5"/>
  <c r="D228" i="5"/>
  <c r="G232" i="5"/>
  <c r="C232" i="5"/>
  <c r="J232" i="5"/>
  <c r="F232" i="5"/>
  <c r="B232" i="5"/>
  <c r="I232" i="5"/>
  <c r="E232" i="5"/>
  <c r="A232" i="5"/>
  <c r="L232" i="5"/>
  <c r="H232" i="5"/>
  <c r="D232" i="5"/>
  <c r="G236" i="5"/>
  <c r="C236" i="5"/>
  <c r="J236" i="5"/>
  <c r="F236" i="5"/>
  <c r="B236" i="5"/>
  <c r="I236" i="5"/>
  <c r="E236" i="5"/>
  <c r="A236" i="5"/>
  <c r="L236" i="5"/>
  <c r="H236" i="5"/>
  <c r="D236" i="5"/>
  <c r="G240" i="5"/>
  <c r="C240" i="5"/>
  <c r="J240" i="5"/>
  <c r="F240" i="5"/>
  <c r="B240" i="5"/>
  <c r="I240" i="5"/>
  <c r="E240" i="5"/>
  <c r="A240" i="5"/>
  <c r="L240" i="5"/>
  <c r="H240" i="5"/>
  <c r="D240" i="5"/>
  <c r="G244" i="5"/>
  <c r="C244" i="5"/>
  <c r="J244" i="5"/>
  <c r="F244" i="5"/>
  <c r="B244" i="5"/>
  <c r="I244" i="5"/>
  <c r="E244" i="5"/>
  <c r="A244" i="5"/>
  <c r="L244" i="5"/>
  <c r="H244" i="5"/>
  <c r="D244" i="5"/>
  <c r="J254" i="5"/>
  <c r="F254" i="5"/>
  <c r="B254" i="5"/>
  <c r="E254" i="5"/>
  <c r="I254" i="5"/>
  <c r="D254" i="5"/>
  <c r="H254" i="5"/>
  <c r="C254" i="5"/>
  <c r="L254" i="5"/>
  <c r="G254" i="5"/>
  <c r="A254" i="5"/>
  <c r="J270" i="5"/>
  <c r="F270" i="5"/>
  <c r="B270" i="5"/>
  <c r="E270" i="5"/>
  <c r="I270" i="5"/>
  <c r="D270" i="5"/>
  <c r="H270" i="5"/>
  <c r="C270" i="5"/>
  <c r="A270" i="5"/>
  <c r="G270" i="5"/>
  <c r="L270" i="5"/>
  <c r="J286" i="5"/>
  <c r="F286" i="5"/>
  <c r="B286" i="5"/>
  <c r="E286" i="5"/>
  <c r="I286" i="5"/>
  <c r="D286" i="5"/>
  <c r="H286" i="5"/>
  <c r="C286" i="5"/>
  <c r="A286" i="5"/>
  <c r="G286" i="5"/>
  <c r="L286" i="5"/>
  <c r="J302" i="5"/>
  <c r="F302" i="5"/>
  <c r="B302" i="5"/>
  <c r="E302" i="5"/>
  <c r="I302" i="5"/>
  <c r="D302" i="5"/>
  <c r="H302" i="5"/>
  <c r="C302" i="5"/>
  <c r="A302" i="5"/>
  <c r="G302" i="5"/>
  <c r="L302" i="5"/>
  <c r="J318" i="5"/>
  <c r="F318" i="5"/>
  <c r="B318" i="5"/>
  <c r="E318" i="5"/>
  <c r="I318" i="5"/>
  <c r="D318" i="5"/>
  <c r="H318" i="5"/>
  <c r="C318" i="5"/>
  <c r="A318" i="5"/>
  <c r="G318" i="5"/>
  <c r="L318" i="5"/>
  <c r="J334" i="5"/>
  <c r="F334" i="5"/>
  <c r="B334" i="5"/>
  <c r="E334" i="5"/>
  <c r="I334" i="5"/>
  <c r="D334" i="5"/>
  <c r="H334" i="5"/>
  <c r="C334" i="5"/>
  <c r="A334" i="5"/>
  <c r="G334" i="5"/>
  <c r="L334" i="5"/>
  <c r="J350" i="5"/>
  <c r="F350" i="5"/>
  <c r="B350" i="5"/>
  <c r="E350" i="5"/>
  <c r="I350" i="5"/>
  <c r="D350" i="5"/>
  <c r="H350" i="5"/>
  <c r="C350" i="5"/>
  <c r="A350" i="5"/>
  <c r="G350" i="5"/>
  <c r="L350" i="5"/>
  <c r="J366" i="5"/>
  <c r="F366" i="5"/>
  <c r="B366" i="5"/>
  <c r="E366" i="5"/>
  <c r="I366" i="5"/>
  <c r="D366" i="5"/>
  <c r="H366" i="5"/>
  <c r="C366" i="5"/>
  <c r="A366" i="5"/>
  <c r="G366" i="5"/>
  <c r="L366" i="5"/>
  <c r="J382" i="5"/>
  <c r="F382" i="5"/>
  <c r="B382" i="5"/>
  <c r="E382" i="5"/>
  <c r="I382" i="5"/>
  <c r="D382" i="5"/>
  <c r="H382" i="5"/>
  <c r="C382" i="5"/>
  <c r="A382" i="5"/>
  <c r="G382" i="5"/>
  <c r="L382" i="5"/>
  <c r="J398" i="5"/>
  <c r="F398" i="5"/>
  <c r="B398" i="5"/>
  <c r="E398" i="5"/>
  <c r="I398" i="5"/>
  <c r="D398" i="5"/>
  <c r="H398" i="5"/>
  <c r="C398" i="5"/>
  <c r="A398" i="5"/>
  <c r="G398" i="5"/>
  <c r="L398" i="5"/>
  <c r="J414" i="5"/>
  <c r="F414" i="5"/>
  <c r="B414" i="5"/>
  <c r="E414" i="5"/>
  <c r="I414" i="5"/>
  <c r="D414" i="5"/>
  <c r="H414" i="5"/>
  <c r="C414" i="5"/>
  <c r="A414" i="5"/>
  <c r="G414" i="5"/>
  <c r="L414" i="5"/>
  <c r="J430" i="5"/>
  <c r="F430" i="5"/>
  <c r="B430" i="5"/>
  <c r="E430" i="5"/>
  <c r="I430" i="5"/>
  <c r="D430" i="5"/>
  <c r="H430" i="5"/>
  <c r="C430" i="5"/>
  <c r="A430" i="5"/>
  <c r="G430" i="5"/>
  <c r="L430" i="5"/>
  <c r="J446" i="5"/>
  <c r="F446" i="5"/>
  <c r="B446" i="5"/>
  <c r="E446" i="5"/>
  <c r="I446" i="5"/>
  <c r="D446" i="5"/>
  <c r="H446" i="5"/>
  <c r="C446" i="5"/>
  <c r="A446" i="5"/>
  <c r="G446" i="5"/>
  <c r="L446" i="5"/>
  <c r="J462" i="5"/>
  <c r="F462" i="5"/>
  <c r="B462" i="5"/>
  <c r="E462" i="5"/>
  <c r="I462" i="5"/>
  <c r="D462" i="5"/>
  <c r="H462" i="5"/>
  <c r="C462" i="5"/>
  <c r="A462" i="5"/>
  <c r="G462" i="5"/>
  <c r="L462" i="5"/>
  <c r="J478" i="5"/>
  <c r="F478" i="5"/>
  <c r="B478" i="5"/>
  <c r="E478" i="5"/>
  <c r="I478" i="5"/>
  <c r="D478" i="5"/>
  <c r="H478" i="5"/>
  <c r="C478" i="5"/>
  <c r="A478" i="5"/>
  <c r="G478" i="5"/>
  <c r="L478" i="5"/>
  <c r="J494" i="5"/>
  <c r="F494" i="5"/>
  <c r="B494" i="5"/>
  <c r="E494" i="5"/>
  <c r="I494" i="5"/>
  <c r="D494" i="5"/>
  <c r="H494" i="5"/>
  <c r="C494" i="5"/>
  <c r="A494" i="5"/>
  <c r="G494" i="5"/>
  <c r="L494" i="5"/>
  <c r="J510" i="5"/>
  <c r="F510" i="5"/>
  <c r="B510" i="5"/>
  <c r="E510" i="5"/>
  <c r="I510" i="5"/>
  <c r="D510" i="5"/>
  <c r="H510" i="5"/>
  <c r="C510" i="5"/>
  <c r="A510" i="5"/>
  <c r="G510" i="5"/>
  <c r="L510" i="5"/>
  <c r="I75" i="5"/>
  <c r="E75" i="5"/>
  <c r="A75" i="5"/>
  <c r="L75" i="5"/>
  <c r="G75" i="5"/>
  <c r="B75" i="5"/>
  <c r="J75" i="5"/>
  <c r="D75" i="5"/>
  <c r="H75" i="5"/>
  <c r="C75" i="5"/>
  <c r="F75" i="5"/>
  <c r="L21" i="5"/>
  <c r="H21" i="5"/>
  <c r="D21" i="5"/>
  <c r="G21" i="5"/>
  <c r="C21" i="5"/>
  <c r="E21" i="5"/>
  <c r="J21" i="5"/>
  <c r="F21" i="5"/>
  <c r="B21" i="5"/>
  <c r="I21" i="5"/>
  <c r="A21" i="5"/>
  <c r="L33" i="5"/>
  <c r="H33" i="5"/>
  <c r="D33" i="5"/>
  <c r="G33" i="5"/>
  <c r="C33" i="5"/>
  <c r="E33" i="5"/>
  <c r="J33" i="5"/>
  <c r="F33" i="5"/>
  <c r="B33" i="5"/>
  <c r="I33" i="5"/>
  <c r="A33" i="5"/>
  <c r="J279" i="5"/>
  <c r="F279" i="5"/>
  <c r="B279" i="5"/>
  <c r="I279" i="5"/>
  <c r="D279" i="5"/>
  <c r="H279" i="5"/>
  <c r="C279" i="5"/>
  <c r="L279" i="5"/>
  <c r="G279" i="5"/>
  <c r="A279" i="5"/>
  <c r="E279" i="5"/>
  <c r="J90" i="5"/>
  <c r="F90" i="5"/>
  <c r="B90" i="5"/>
  <c r="I90" i="5"/>
  <c r="E90" i="5"/>
  <c r="A90" i="5"/>
  <c r="G90" i="5"/>
  <c r="C90" i="5"/>
  <c r="H90" i="5"/>
  <c r="D90" i="5"/>
  <c r="L90" i="5"/>
  <c r="J122" i="5"/>
  <c r="F122" i="5"/>
  <c r="B122" i="5"/>
  <c r="I122" i="5"/>
  <c r="E122" i="5"/>
  <c r="A122" i="5"/>
  <c r="G122" i="5"/>
  <c r="L122" i="5"/>
  <c r="D122" i="5"/>
  <c r="C122" i="5"/>
  <c r="H122" i="5"/>
  <c r="G67" i="5"/>
  <c r="C67" i="5"/>
  <c r="I67" i="5"/>
  <c r="E67" i="5"/>
  <c r="A67" i="5"/>
  <c r="L67" i="5"/>
  <c r="H67" i="5"/>
  <c r="D67" i="5"/>
  <c r="J67" i="5"/>
  <c r="B67" i="5"/>
  <c r="F67" i="5"/>
  <c r="J93" i="5"/>
  <c r="F93" i="5"/>
  <c r="B93" i="5"/>
  <c r="I93" i="5"/>
  <c r="E93" i="5"/>
  <c r="A93" i="5"/>
  <c r="C93" i="5"/>
  <c r="G93" i="5"/>
  <c r="L93" i="5"/>
  <c r="D93" i="5"/>
  <c r="H93" i="5"/>
  <c r="J117" i="5"/>
  <c r="F117" i="5"/>
  <c r="B117" i="5"/>
  <c r="I117" i="5"/>
  <c r="E117" i="5"/>
  <c r="A117" i="5"/>
  <c r="C117" i="5"/>
  <c r="H117" i="5"/>
  <c r="G117" i="5"/>
  <c r="L117" i="5"/>
  <c r="D117" i="5"/>
  <c r="J331" i="5"/>
  <c r="F331" i="5"/>
  <c r="B331" i="5"/>
  <c r="I331" i="5"/>
  <c r="D331" i="5"/>
  <c r="H331" i="5"/>
  <c r="C331" i="5"/>
  <c r="L331" i="5"/>
  <c r="G331" i="5"/>
  <c r="A331" i="5"/>
  <c r="E331" i="5"/>
  <c r="J467" i="5"/>
  <c r="F467" i="5"/>
  <c r="B467" i="5"/>
  <c r="I467" i="5"/>
  <c r="D467" i="5"/>
  <c r="H467" i="5"/>
  <c r="C467" i="5"/>
  <c r="L467" i="5"/>
  <c r="G467" i="5"/>
  <c r="A467" i="5"/>
  <c r="E467" i="5"/>
  <c r="J287" i="5"/>
  <c r="F287" i="5"/>
  <c r="B287" i="5"/>
  <c r="I287" i="5"/>
  <c r="D287" i="5"/>
  <c r="H287" i="5"/>
  <c r="C287" i="5"/>
  <c r="L287" i="5"/>
  <c r="G287" i="5"/>
  <c r="A287" i="5"/>
  <c r="E287" i="5"/>
  <c r="J248" i="5"/>
  <c r="F248" i="5"/>
  <c r="B248" i="5"/>
  <c r="H248" i="5"/>
  <c r="C248" i="5"/>
  <c r="L248" i="5"/>
  <c r="G248" i="5"/>
  <c r="A248" i="5"/>
  <c r="E248" i="5"/>
  <c r="D248" i="5"/>
  <c r="I248" i="5"/>
  <c r="J312" i="5"/>
  <c r="F312" i="5"/>
  <c r="B312" i="5"/>
  <c r="H312" i="5"/>
  <c r="C312" i="5"/>
  <c r="L312" i="5"/>
  <c r="G312" i="5"/>
  <c r="A312" i="5"/>
  <c r="E312" i="5"/>
  <c r="I312" i="5"/>
  <c r="D312" i="5"/>
  <c r="J376" i="5"/>
  <c r="F376" i="5"/>
  <c r="B376" i="5"/>
  <c r="H376" i="5"/>
  <c r="C376" i="5"/>
  <c r="L376" i="5"/>
  <c r="G376" i="5"/>
  <c r="A376" i="5"/>
  <c r="E376" i="5"/>
  <c r="I376" i="5"/>
  <c r="D376" i="5"/>
  <c r="J440" i="5"/>
  <c r="F440" i="5"/>
  <c r="B440" i="5"/>
  <c r="H440" i="5"/>
  <c r="C440" i="5"/>
  <c r="L440" i="5"/>
  <c r="G440" i="5"/>
  <c r="A440" i="5"/>
  <c r="E440" i="5"/>
  <c r="I440" i="5"/>
  <c r="D440" i="5"/>
  <c r="J504" i="5"/>
  <c r="F504" i="5"/>
  <c r="B504" i="5"/>
  <c r="H504" i="5"/>
  <c r="C504" i="5"/>
  <c r="L504" i="5"/>
  <c r="G504" i="5"/>
  <c r="A504" i="5"/>
  <c r="E504" i="5"/>
  <c r="I504" i="5"/>
  <c r="D504" i="5"/>
  <c r="J301" i="5"/>
  <c r="F301" i="5"/>
  <c r="B301" i="5"/>
  <c r="L301" i="5"/>
  <c r="G301" i="5"/>
  <c r="A301" i="5"/>
  <c r="E301" i="5"/>
  <c r="I301" i="5"/>
  <c r="D301" i="5"/>
  <c r="H301" i="5"/>
  <c r="C301" i="5"/>
  <c r="J365" i="5"/>
  <c r="F365" i="5"/>
  <c r="B365" i="5"/>
  <c r="L365" i="5"/>
  <c r="G365" i="5"/>
  <c r="A365" i="5"/>
  <c r="E365" i="5"/>
  <c r="I365" i="5"/>
  <c r="D365" i="5"/>
  <c r="H365" i="5"/>
  <c r="C365" i="5"/>
  <c r="J413" i="5"/>
  <c r="F413" i="5"/>
  <c r="B413" i="5"/>
  <c r="L413" i="5"/>
  <c r="G413" i="5"/>
  <c r="A413" i="5"/>
  <c r="E413" i="5"/>
  <c r="I413" i="5"/>
  <c r="D413" i="5"/>
  <c r="H413" i="5"/>
  <c r="C413" i="5"/>
  <c r="J477" i="5"/>
  <c r="F477" i="5"/>
  <c r="B477" i="5"/>
  <c r="L477" i="5"/>
  <c r="G477" i="5"/>
  <c r="A477" i="5"/>
  <c r="E477" i="5"/>
  <c r="I477" i="5"/>
  <c r="D477" i="5"/>
  <c r="H477" i="5"/>
  <c r="C477" i="5"/>
  <c r="J509" i="5"/>
  <c r="F509" i="5"/>
  <c r="B509" i="5"/>
  <c r="L509" i="5"/>
  <c r="G509" i="5"/>
  <c r="A509" i="5"/>
  <c r="E509" i="5"/>
  <c r="I509" i="5"/>
  <c r="D509" i="5"/>
  <c r="H509" i="5"/>
  <c r="C509" i="5"/>
  <c r="G148" i="5"/>
  <c r="C148" i="5"/>
  <c r="J148" i="5"/>
  <c r="F148" i="5"/>
  <c r="B148" i="5"/>
  <c r="I148" i="5"/>
  <c r="E148" i="5"/>
  <c r="A148" i="5"/>
  <c r="L148" i="5"/>
  <c r="H148" i="5"/>
  <c r="D148" i="5"/>
  <c r="G156" i="5"/>
  <c r="C156" i="5"/>
  <c r="J156" i="5"/>
  <c r="F156" i="5"/>
  <c r="B156" i="5"/>
  <c r="I156" i="5"/>
  <c r="E156" i="5"/>
  <c r="A156" i="5"/>
  <c r="L156" i="5"/>
  <c r="H156" i="5"/>
  <c r="D156" i="5"/>
  <c r="G164" i="5"/>
  <c r="C164" i="5"/>
  <c r="J164" i="5"/>
  <c r="F164" i="5"/>
  <c r="B164" i="5"/>
  <c r="I164" i="5"/>
  <c r="E164" i="5"/>
  <c r="A164" i="5"/>
  <c r="L164" i="5"/>
  <c r="H164" i="5"/>
  <c r="D164" i="5"/>
  <c r="G172" i="5"/>
  <c r="C172" i="5"/>
  <c r="J172" i="5"/>
  <c r="F172" i="5"/>
  <c r="B172" i="5"/>
  <c r="I172" i="5"/>
  <c r="E172" i="5"/>
  <c r="A172" i="5"/>
  <c r="L172" i="5"/>
  <c r="H172" i="5"/>
  <c r="D172" i="5"/>
  <c r="G180" i="5"/>
  <c r="C180" i="5"/>
  <c r="J180" i="5"/>
  <c r="F180" i="5"/>
  <c r="B180" i="5"/>
  <c r="I180" i="5"/>
  <c r="E180" i="5"/>
  <c r="A180" i="5"/>
  <c r="L180" i="5"/>
  <c r="H180" i="5"/>
  <c r="D180" i="5"/>
  <c r="G192" i="5"/>
  <c r="C192" i="5"/>
  <c r="J192" i="5"/>
  <c r="F192" i="5"/>
  <c r="B192" i="5"/>
  <c r="I192" i="5"/>
  <c r="E192" i="5"/>
  <c r="A192" i="5"/>
  <c r="L192" i="5"/>
  <c r="H192" i="5"/>
  <c r="D192" i="5"/>
  <c r="I8" i="5"/>
  <c r="E8" i="5"/>
  <c r="A8" i="5"/>
  <c r="L8" i="5"/>
  <c r="H8" i="5"/>
  <c r="D8" i="5"/>
  <c r="J8" i="5"/>
  <c r="F8" i="5"/>
  <c r="B8" i="5"/>
  <c r="G8" i="5"/>
  <c r="C8" i="5"/>
  <c r="L46" i="5"/>
  <c r="H46" i="5"/>
  <c r="D46" i="5"/>
  <c r="I46" i="5"/>
  <c r="C46" i="5"/>
  <c r="G46" i="5"/>
  <c r="B46" i="5"/>
  <c r="J46" i="5"/>
  <c r="E46" i="5"/>
  <c r="F46" i="5"/>
  <c r="A46" i="5"/>
  <c r="J7" i="5"/>
  <c r="F7" i="5"/>
  <c r="B7" i="5"/>
  <c r="I7" i="5"/>
  <c r="E7" i="5"/>
  <c r="A7" i="5"/>
  <c r="G7" i="5"/>
  <c r="C7" i="5"/>
  <c r="L7" i="5"/>
  <c r="H7" i="5"/>
  <c r="D7" i="5"/>
  <c r="L41" i="5"/>
  <c r="H41" i="5"/>
  <c r="D41" i="5"/>
  <c r="J41" i="5"/>
  <c r="E41" i="5"/>
  <c r="I41" i="5"/>
  <c r="C41" i="5"/>
  <c r="F41" i="5"/>
  <c r="A41" i="5"/>
  <c r="G41" i="5"/>
  <c r="B41" i="5"/>
  <c r="I55" i="5"/>
  <c r="E55" i="5"/>
  <c r="L55" i="5"/>
  <c r="H55" i="5"/>
  <c r="D55" i="5"/>
  <c r="J55" i="5"/>
  <c r="B55" i="5"/>
  <c r="G55" i="5"/>
  <c r="A55" i="5"/>
  <c r="C55" i="5"/>
  <c r="F55" i="5"/>
  <c r="L13" i="5"/>
  <c r="H13" i="5"/>
  <c r="D13" i="5"/>
  <c r="G13" i="5"/>
  <c r="C13" i="5"/>
  <c r="J13" i="5"/>
  <c r="F13" i="5"/>
  <c r="B13" i="5"/>
  <c r="I13" i="5"/>
  <c r="E13" i="5"/>
  <c r="A13" i="5"/>
  <c r="L22" i="5"/>
  <c r="H22" i="5"/>
  <c r="D22" i="5"/>
  <c r="G22" i="5"/>
  <c r="C22" i="5"/>
  <c r="I22" i="5"/>
  <c r="J22" i="5"/>
  <c r="F22" i="5"/>
  <c r="B22" i="5"/>
  <c r="E22" i="5"/>
  <c r="A22" i="5"/>
  <c r="L26" i="5"/>
  <c r="H26" i="5"/>
  <c r="D26" i="5"/>
  <c r="G26" i="5"/>
  <c r="C26" i="5"/>
  <c r="I26" i="5"/>
  <c r="A26" i="5"/>
  <c r="J26" i="5"/>
  <c r="F26" i="5"/>
  <c r="B26" i="5"/>
  <c r="E26" i="5"/>
  <c r="L30" i="5"/>
  <c r="H30" i="5"/>
  <c r="D30" i="5"/>
  <c r="G30" i="5"/>
  <c r="C30" i="5"/>
  <c r="E30" i="5"/>
  <c r="A30" i="5"/>
  <c r="J30" i="5"/>
  <c r="F30" i="5"/>
  <c r="B30" i="5"/>
  <c r="I30" i="5"/>
  <c r="L34" i="5"/>
  <c r="H34" i="5"/>
  <c r="D34" i="5"/>
  <c r="G34" i="5"/>
  <c r="C34" i="5"/>
  <c r="E34" i="5"/>
  <c r="A34" i="5"/>
  <c r="J34" i="5"/>
  <c r="F34" i="5"/>
  <c r="B34" i="5"/>
  <c r="I34" i="5"/>
  <c r="L38" i="5"/>
  <c r="H38" i="5"/>
  <c r="D38" i="5"/>
  <c r="G38" i="5"/>
  <c r="C38" i="5"/>
  <c r="I38" i="5"/>
  <c r="E38" i="5"/>
  <c r="A38" i="5"/>
  <c r="J38" i="5"/>
  <c r="F38" i="5"/>
  <c r="B38" i="5"/>
  <c r="L51" i="5"/>
  <c r="H51" i="5"/>
  <c r="D51" i="5"/>
  <c r="G51" i="5"/>
  <c r="B51" i="5"/>
  <c r="F51" i="5"/>
  <c r="A51" i="5"/>
  <c r="I51" i="5"/>
  <c r="C51" i="5"/>
  <c r="J51" i="5"/>
  <c r="E51" i="5"/>
  <c r="G10" i="5"/>
  <c r="C10" i="5"/>
  <c r="J10" i="5"/>
  <c r="F10" i="5"/>
  <c r="B10" i="5"/>
  <c r="L10" i="5"/>
  <c r="H10" i="5"/>
  <c r="D10" i="5"/>
  <c r="I10" i="5"/>
  <c r="E10" i="5"/>
  <c r="A10" i="5"/>
  <c r="L44" i="5"/>
  <c r="H44" i="5"/>
  <c r="D44" i="5"/>
  <c r="F44" i="5"/>
  <c r="A44" i="5"/>
  <c r="J44" i="5"/>
  <c r="E44" i="5"/>
  <c r="G44" i="5"/>
  <c r="B44" i="5"/>
  <c r="I44" i="5"/>
  <c r="C44" i="5"/>
  <c r="J311" i="5"/>
  <c r="F311" i="5"/>
  <c r="B311" i="5"/>
  <c r="I311" i="5"/>
  <c r="D311" i="5"/>
  <c r="H311" i="5"/>
  <c r="C311" i="5"/>
  <c r="L311" i="5"/>
  <c r="G311" i="5"/>
  <c r="A311" i="5"/>
  <c r="E311" i="5"/>
  <c r="I74" i="5"/>
  <c r="E74" i="5"/>
  <c r="H74" i="5"/>
  <c r="C74" i="5"/>
  <c r="F74" i="5"/>
  <c r="A74" i="5"/>
  <c r="J74" i="5"/>
  <c r="D74" i="5"/>
  <c r="L74" i="5"/>
  <c r="G74" i="5"/>
  <c r="B74" i="5"/>
  <c r="J84" i="5"/>
  <c r="F84" i="5"/>
  <c r="B84" i="5"/>
  <c r="I84" i="5"/>
  <c r="E84" i="5"/>
  <c r="A84" i="5"/>
  <c r="G84" i="5"/>
  <c r="C84" i="5"/>
  <c r="H84" i="5"/>
  <c r="D84" i="5"/>
  <c r="L84" i="5"/>
  <c r="J92" i="5"/>
  <c r="F92" i="5"/>
  <c r="B92" i="5"/>
  <c r="I92" i="5"/>
  <c r="E92" i="5"/>
  <c r="A92" i="5"/>
  <c r="G92" i="5"/>
  <c r="C92" i="5"/>
  <c r="H92" i="5"/>
  <c r="D92" i="5"/>
  <c r="L92" i="5"/>
  <c r="J100" i="5"/>
  <c r="F100" i="5"/>
  <c r="B100" i="5"/>
  <c r="I100" i="5"/>
  <c r="E100" i="5"/>
  <c r="A100" i="5"/>
  <c r="G100" i="5"/>
  <c r="C100" i="5"/>
  <c r="H100" i="5"/>
  <c r="D100" i="5"/>
  <c r="L100" i="5"/>
  <c r="J108" i="5"/>
  <c r="F108" i="5"/>
  <c r="B108" i="5"/>
  <c r="I108" i="5"/>
  <c r="E108" i="5"/>
  <c r="A108" i="5"/>
  <c r="G108" i="5"/>
  <c r="C108" i="5"/>
  <c r="H108" i="5"/>
  <c r="D108" i="5"/>
  <c r="L108" i="5"/>
  <c r="J116" i="5"/>
  <c r="F116" i="5"/>
  <c r="B116" i="5"/>
  <c r="I116" i="5"/>
  <c r="E116" i="5"/>
  <c r="A116" i="5"/>
  <c r="G116" i="5"/>
  <c r="L116" i="5"/>
  <c r="D116" i="5"/>
  <c r="C116" i="5"/>
  <c r="H116" i="5"/>
  <c r="J124" i="5"/>
  <c r="F124" i="5"/>
  <c r="B124" i="5"/>
  <c r="I124" i="5"/>
  <c r="E124" i="5"/>
  <c r="A124" i="5"/>
  <c r="G124" i="5"/>
  <c r="L124" i="5"/>
  <c r="D124" i="5"/>
  <c r="C124" i="5"/>
  <c r="H124" i="5"/>
  <c r="J132" i="5"/>
  <c r="F132" i="5"/>
  <c r="B132" i="5"/>
  <c r="I132" i="5"/>
  <c r="E132" i="5"/>
  <c r="A132" i="5"/>
  <c r="G132" i="5"/>
  <c r="L132" i="5"/>
  <c r="D132" i="5"/>
  <c r="C132" i="5"/>
  <c r="H132" i="5"/>
  <c r="J140" i="5"/>
  <c r="F140" i="5"/>
  <c r="B140" i="5"/>
  <c r="I140" i="5"/>
  <c r="E140" i="5"/>
  <c r="A140" i="5"/>
  <c r="G140" i="5"/>
  <c r="L140" i="5"/>
  <c r="D140" i="5"/>
  <c r="C140" i="5"/>
  <c r="H140" i="5"/>
  <c r="J359" i="5"/>
  <c r="F359" i="5"/>
  <c r="B359" i="5"/>
  <c r="I359" i="5"/>
  <c r="D359" i="5"/>
  <c r="H359" i="5"/>
  <c r="C359" i="5"/>
  <c r="L359" i="5"/>
  <c r="G359" i="5"/>
  <c r="A359" i="5"/>
  <c r="E359" i="5"/>
  <c r="J263" i="5"/>
  <c r="F263" i="5"/>
  <c r="B263" i="5"/>
  <c r="I263" i="5"/>
  <c r="D263" i="5"/>
  <c r="H263" i="5"/>
  <c r="C263" i="5"/>
  <c r="L263" i="5"/>
  <c r="G263" i="5"/>
  <c r="A263" i="5"/>
  <c r="E263" i="5"/>
  <c r="J439" i="5"/>
  <c r="F439" i="5"/>
  <c r="B439" i="5"/>
  <c r="I439" i="5"/>
  <c r="D439" i="5"/>
  <c r="H439" i="5"/>
  <c r="C439" i="5"/>
  <c r="L439" i="5"/>
  <c r="G439" i="5"/>
  <c r="A439" i="5"/>
  <c r="E439" i="5"/>
  <c r="G64" i="5"/>
  <c r="C64" i="5"/>
  <c r="I64" i="5"/>
  <c r="E64" i="5"/>
  <c r="A64" i="5"/>
  <c r="L64" i="5"/>
  <c r="H64" i="5"/>
  <c r="D64" i="5"/>
  <c r="B64" i="5"/>
  <c r="F64" i="5"/>
  <c r="J64" i="5"/>
  <c r="G68" i="5"/>
  <c r="C68" i="5"/>
  <c r="I68" i="5"/>
  <c r="E68" i="5"/>
  <c r="A68" i="5"/>
  <c r="L68" i="5"/>
  <c r="H68" i="5"/>
  <c r="D68" i="5"/>
  <c r="B68" i="5"/>
  <c r="F68" i="5"/>
  <c r="J68" i="5"/>
  <c r="G72" i="5"/>
  <c r="C72" i="5"/>
  <c r="I72" i="5"/>
  <c r="E72" i="5"/>
  <c r="A72" i="5"/>
  <c r="L72" i="5"/>
  <c r="H72" i="5"/>
  <c r="D72" i="5"/>
  <c r="B72" i="5"/>
  <c r="F72" i="5"/>
  <c r="J72" i="5"/>
  <c r="J79" i="5"/>
  <c r="F79" i="5"/>
  <c r="B79" i="5"/>
  <c r="I79" i="5"/>
  <c r="E79" i="5"/>
  <c r="A79" i="5"/>
  <c r="C79" i="5"/>
  <c r="G79" i="5"/>
  <c r="L79" i="5"/>
  <c r="D79" i="5"/>
  <c r="H79" i="5"/>
  <c r="J87" i="5"/>
  <c r="F87" i="5"/>
  <c r="B87" i="5"/>
  <c r="I87" i="5"/>
  <c r="E87" i="5"/>
  <c r="A87" i="5"/>
  <c r="C87" i="5"/>
  <c r="G87" i="5"/>
  <c r="L87" i="5"/>
  <c r="D87" i="5"/>
  <c r="H87" i="5"/>
  <c r="J95" i="5"/>
  <c r="F95" i="5"/>
  <c r="B95" i="5"/>
  <c r="I95" i="5"/>
  <c r="E95" i="5"/>
  <c r="A95" i="5"/>
  <c r="C95" i="5"/>
  <c r="G95" i="5"/>
  <c r="L95" i="5"/>
  <c r="D95" i="5"/>
  <c r="H95" i="5"/>
  <c r="J103" i="5"/>
  <c r="F103" i="5"/>
  <c r="B103" i="5"/>
  <c r="I103" i="5"/>
  <c r="E103" i="5"/>
  <c r="A103" i="5"/>
  <c r="C103" i="5"/>
  <c r="G103" i="5"/>
  <c r="L103" i="5"/>
  <c r="D103" i="5"/>
  <c r="H103" i="5"/>
  <c r="J111" i="5"/>
  <c r="F111" i="5"/>
  <c r="B111" i="5"/>
  <c r="I111" i="5"/>
  <c r="E111" i="5"/>
  <c r="A111" i="5"/>
  <c r="C111" i="5"/>
  <c r="G111" i="5"/>
  <c r="L111" i="5"/>
  <c r="D111" i="5"/>
  <c r="H111" i="5"/>
  <c r="J119" i="5"/>
  <c r="F119" i="5"/>
  <c r="B119" i="5"/>
  <c r="I119" i="5"/>
  <c r="E119" i="5"/>
  <c r="A119" i="5"/>
  <c r="C119" i="5"/>
  <c r="H119" i="5"/>
  <c r="G119" i="5"/>
  <c r="L119" i="5"/>
  <c r="D119" i="5"/>
  <c r="J127" i="5"/>
  <c r="F127" i="5"/>
  <c r="B127" i="5"/>
  <c r="I127" i="5"/>
  <c r="E127" i="5"/>
  <c r="A127" i="5"/>
  <c r="C127" i="5"/>
  <c r="H127" i="5"/>
  <c r="G127" i="5"/>
  <c r="L127" i="5"/>
  <c r="D127" i="5"/>
  <c r="J135" i="5"/>
  <c r="F135" i="5"/>
  <c r="B135" i="5"/>
  <c r="I135" i="5"/>
  <c r="E135" i="5"/>
  <c r="A135" i="5"/>
  <c r="C135" i="5"/>
  <c r="H135" i="5"/>
  <c r="G135" i="5"/>
  <c r="L135" i="5"/>
  <c r="D135" i="5"/>
  <c r="J251" i="5"/>
  <c r="F251" i="5"/>
  <c r="B251" i="5"/>
  <c r="I251" i="5"/>
  <c r="D251" i="5"/>
  <c r="H251" i="5"/>
  <c r="C251" i="5"/>
  <c r="L251" i="5"/>
  <c r="G251" i="5"/>
  <c r="A251" i="5"/>
  <c r="E251" i="5"/>
  <c r="J391" i="5"/>
  <c r="F391" i="5"/>
  <c r="B391" i="5"/>
  <c r="I391" i="5"/>
  <c r="D391" i="5"/>
  <c r="H391" i="5"/>
  <c r="C391" i="5"/>
  <c r="L391" i="5"/>
  <c r="G391" i="5"/>
  <c r="A391" i="5"/>
  <c r="E391" i="5"/>
  <c r="J291" i="5"/>
  <c r="F291" i="5"/>
  <c r="B291" i="5"/>
  <c r="I291" i="5"/>
  <c r="D291" i="5"/>
  <c r="H291" i="5"/>
  <c r="C291" i="5"/>
  <c r="L291" i="5"/>
  <c r="G291" i="5"/>
  <c r="A291" i="5"/>
  <c r="E291" i="5"/>
  <c r="J355" i="5"/>
  <c r="F355" i="5"/>
  <c r="B355" i="5"/>
  <c r="I355" i="5"/>
  <c r="D355" i="5"/>
  <c r="H355" i="5"/>
  <c r="C355" i="5"/>
  <c r="L355" i="5"/>
  <c r="G355" i="5"/>
  <c r="A355" i="5"/>
  <c r="E355" i="5"/>
  <c r="J419" i="5"/>
  <c r="F419" i="5"/>
  <c r="B419" i="5"/>
  <c r="I419" i="5"/>
  <c r="D419" i="5"/>
  <c r="H419" i="5"/>
  <c r="C419" i="5"/>
  <c r="L419" i="5"/>
  <c r="G419" i="5"/>
  <c r="A419" i="5"/>
  <c r="E419" i="5"/>
  <c r="J483" i="5"/>
  <c r="F483" i="5"/>
  <c r="B483" i="5"/>
  <c r="I483" i="5"/>
  <c r="D483" i="5"/>
  <c r="H483" i="5"/>
  <c r="C483" i="5"/>
  <c r="L483" i="5"/>
  <c r="G483" i="5"/>
  <c r="A483" i="5"/>
  <c r="E483" i="5"/>
  <c r="J379" i="5"/>
  <c r="F379" i="5"/>
  <c r="B379" i="5"/>
  <c r="I379" i="5"/>
  <c r="D379" i="5"/>
  <c r="H379" i="5"/>
  <c r="C379" i="5"/>
  <c r="L379" i="5"/>
  <c r="G379" i="5"/>
  <c r="A379" i="5"/>
  <c r="E379" i="5"/>
  <c r="J443" i="5"/>
  <c r="F443" i="5"/>
  <c r="B443" i="5"/>
  <c r="I443" i="5"/>
  <c r="D443" i="5"/>
  <c r="H443" i="5"/>
  <c r="C443" i="5"/>
  <c r="L443" i="5"/>
  <c r="G443" i="5"/>
  <c r="A443" i="5"/>
  <c r="E443" i="5"/>
  <c r="J507" i="5"/>
  <c r="F507" i="5"/>
  <c r="B507" i="5"/>
  <c r="I507" i="5"/>
  <c r="D507" i="5"/>
  <c r="H507" i="5"/>
  <c r="C507" i="5"/>
  <c r="L507" i="5"/>
  <c r="G507" i="5"/>
  <c r="A507" i="5"/>
  <c r="E507" i="5"/>
  <c r="J303" i="5"/>
  <c r="F303" i="5"/>
  <c r="B303" i="5"/>
  <c r="I303" i="5"/>
  <c r="D303" i="5"/>
  <c r="H303" i="5"/>
  <c r="C303" i="5"/>
  <c r="L303" i="5"/>
  <c r="G303" i="5"/>
  <c r="A303" i="5"/>
  <c r="E303" i="5"/>
  <c r="J367" i="5"/>
  <c r="F367" i="5"/>
  <c r="B367" i="5"/>
  <c r="I367" i="5"/>
  <c r="D367" i="5"/>
  <c r="H367" i="5"/>
  <c r="C367" i="5"/>
  <c r="L367" i="5"/>
  <c r="G367" i="5"/>
  <c r="A367" i="5"/>
  <c r="E367" i="5"/>
  <c r="J431" i="5"/>
  <c r="F431" i="5"/>
  <c r="B431" i="5"/>
  <c r="I431" i="5"/>
  <c r="D431" i="5"/>
  <c r="H431" i="5"/>
  <c r="C431" i="5"/>
  <c r="L431" i="5"/>
  <c r="G431" i="5"/>
  <c r="A431" i="5"/>
  <c r="E431" i="5"/>
  <c r="J495" i="5"/>
  <c r="F495" i="5"/>
  <c r="B495" i="5"/>
  <c r="I495" i="5"/>
  <c r="D495" i="5"/>
  <c r="H495" i="5"/>
  <c r="C495" i="5"/>
  <c r="L495" i="5"/>
  <c r="G495" i="5"/>
  <c r="A495" i="5"/>
  <c r="E495" i="5"/>
  <c r="J252" i="5"/>
  <c r="F252" i="5"/>
  <c r="B252" i="5"/>
  <c r="H252" i="5"/>
  <c r="C252" i="5"/>
  <c r="L252" i="5"/>
  <c r="G252" i="5"/>
  <c r="A252" i="5"/>
  <c r="E252" i="5"/>
  <c r="I252" i="5"/>
  <c r="D252" i="5"/>
  <c r="J268" i="5"/>
  <c r="F268" i="5"/>
  <c r="B268" i="5"/>
  <c r="H268" i="5"/>
  <c r="C268" i="5"/>
  <c r="L268" i="5"/>
  <c r="G268" i="5"/>
  <c r="A268" i="5"/>
  <c r="E268" i="5"/>
  <c r="D268" i="5"/>
  <c r="I268" i="5"/>
  <c r="J284" i="5"/>
  <c r="F284" i="5"/>
  <c r="B284" i="5"/>
  <c r="H284" i="5"/>
  <c r="C284" i="5"/>
  <c r="L284" i="5"/>
  <c r="G284" i="5"/>
  <c r="A284" i="5"/>
  <c r="E284" i="5"/>
  <c r="D284" i="5"/>
  <c r="I284" i="5"/>
  <c r="J300" i="5"/>
  <c r="F300" i="5"/>
  <c r="B300" i="5"/>
  <c r="H300" i="5"/>
  <c r="C300" i="5"/>
  <c r="L300" i="5"/>
  <c r="G300" i="5"/>
  <c r="A300" i="5"/>
  <c r="E300" i="5"/>
  <c r="D300" i="5"/>
  <c r="I300" i="5"/>
  <c r="J316" i="5"/>
  <c r="F316" i="5"/>
  <c r="B316" i="5"/>
  <c r="H316" i="5"/>
  <c r="C316" i="5"/>
  <c r="L316" i="5"/>
  <c r="G316" i="5"/>
  <c r="A316" i="5"/>
  <c r="E316" i="5"/>
  <c r="D316" i="5"/>
  <c r="I316" i="5"/>
  <c r="J332" i="5"/>
  <c r="F332" i="5"/>
  <c r="B332" i="5"/>
  <c r="H332" i="5"/>
  <c r="C332" i="5"/>
  <c r="L332" i="5"/>
  <c r="G332" i="5"/>
  <c r="A332" i="5"/>
  <c r="E332" i="5"/>
  <c r="D332" i="5"/>
  <c r="I332" i="5"/>
  <c r="J348" i="5"/>
  <c r="F348" i="5"/>
  <c r="B348" i="5"/>
  <c r="H348" i="5"/>
  <c r="C348" i="5"/>
  <c r="L348" i="5"/>
  <c r="G348" i="5"/>
  <c r="A348" i="5"/>
  <c r="E348" i="5"/>
  <c r="D348" i="5"/>
  <c r="I348" i="5"/>
  <c r="J364" i="5"/>
  <c r="F364" i="5"/>
  <c r="B364" i="5"/>
  <c r="H364" i="5"/>
  <c r="C364" i="5"/>
  <c r="L364" i="5"/>
  <c r="G364" i="5"/>
  <c r="A364" i="5"/>
  <c r="E364" i="5"/>
  <c r="D364" i="5"/>
  <c r="I364" i="5"/>
  <c r="J380" i="5"/>
  <c r="F380" i="5"/>
  <c r="B380" i="5"/>
  <c r="H380" i="5"/>
  <c r="C380" i="5"/>
  <c r="L380" i="5"/>
  <c r="G380" i="5"/>
  <c r="A380" i="5"/>
  <c r="E380" i="5"/>
  <c r="D380" i="5"/>
  <c r="I380" i="5"/>
  <c r="J396" i="5"/>
  <c r="F396" i="5"/>
  <c r="B396" i="5"/>
  <c r="H396" i="5"/>
  <c r="C396" i="5"/>
  <c r="L396" i="5"/>
  <c r="G396" i="5"/>
  <c r="A396" i="5"/>
  <c r="E396" i="5"/>
  <c r="D396" i="5"/>
  <c r="I396" i="5"/>
  <c r="J412" i="5"/>
  <c r="F412" i="5"/>
  <c r="B412" i="5"/>
  <c r="H412" i="5"/>
  <c r="C412" i="5"/>
  <c r="L412" i="5"/>
  <c r="G412" i="5"/>
  <c r="A412" i="5"/>
  <c r="E412" i="5"/>
  <c r="D412" i="5"/>
  <c r="I412" i="5"/>
  <c r="J428" i="5"/>
  <c r="F428" i="5"/>
  <c r="B428" i="5"/>
  <c r="H428" i="5"/>
  <c r="C428" i="5"/>
  <c r="L428" i="5"/>
  <c r="G428" i="5"/>
  <c r="A428" i="5"/>
  <c r="E428" i="5"/>
  <c r="D428" i="5"/>
  <c r="I428" i="5"/>
  <c r="J444" i="5"/>
  <c r="F444" i="5"/>
  <c r="B444" i="5"/>
  <c r="H444" i="5"/>
  <c r="C444" i="5"/>
  <c r="L444" i="5"/>
  <c r="G444" i="5"/>
  <c r="A444" i="5"/>
  <c r="E444" i="5"/>
  <c r="D444" i="5"/>
  <c r="I444" i="5"/>
  <c r="J460" i="5"/>
  <c r="F460" i="5"/>
  <c r="B460" i="5"/>
  <c r="H460" i="5"/>
  <c r="C460" i="5"/>
  <c r="L460" i="5"/>
  <c r="G460" i="5"/>
  <c r="A460" i="5"/>
  <c r="E460" i="5"/>
  <c r="D460" i="5"/>
  <c r="I460" i="5"/>
  <c r="J476" i="5"/>
  <c r="F476" i="5"/>
  <c r="B476" i="5"/>
  <c r="H476" i="5"/>
  <c r="C476" i="5"/>
  <c r="L476" i="5"/>
  <c r="G476" i="5"/>
  <c r="A476" i="5"/>
  <c r="E476" i="5"/>
  <c r="D476" i="5"/>
  <c r="I476" i="5"/>
  <c r="J492" i="5"/>
  <c r="F492" i="5"/>
  <c r="B492" i="5"/>
  <c r="H492" i="5"/>
  <c r="C492" i="5"/>
  <c r="L492" i="5"/>
  <c r="G492" i="5"/>
  <c r="A492" i="5"/>
  <c r="E492" i="5"/>
  <c r="D492" i="5"/>
  <c r="I492" i="5"/>
  <c r="J508" i="5"/>
  <c r="F508" i="5"/>
  <c r="B508" i="5"/>
  <c r="H508" i="5"/>
  <c r="C508" i="5"/>
  <c r="L508" i="5"/>
  <c r="G508" i="5"/>
  <c r="A508" i="5"/>
  <c r="E508" i="5"/>
  <c r="D508" i="5"/>
  <c r="I508" i="5"/>
  <c r="J257" i="5"/>
  <c r="F257" i="5"/>
  <c r="B257" i="5"/>
  <c r="L257" i="5"/>
  <c r="G257" i="5"/>
  <c r="A257" i="5"/>
  <c r="E257" i="5"/>
  <c r="I257" i="5"/>
  <c r="D257" i="5"/>
  <c r="H257" i="5"/>
  <c r="C257" i="5"/>
  <c r="J273" i="5"/>
  <c r="F273" i="5"/>
  <c r="B273" i="5"/>
  <c r="L273" i="5"/>
  <c r="G273" i="5"/>
  <c r="A273" i="5"/>
  <c r="E273" i="5"/>
  <c r="I273" i="5"/>
  <c r="D273" i="5"/>
  <c r="H273" i="5"/>
  <c r="C273" i="5"/>
  <c r="J289" i="5"/>
  <c r="F289" i="5"/>
  <c r="B289" i="5"/>
  <c r="L289" i="5"/>
  <c r="G289" i="5"/>
  <c r="A289" i="5"/>
  <c r="E289" i="5"/>
  <c r="I289" i="5"/>
  <c r="D289" i="5"/>
  <c r="H289" i="5"/>
  <c r="C289" i="5"/>
  <c r="J305" i="5"/>
  <c r="F305" i="5"/>
  <c r="B305" i="5"/>
  <c r="L305" i="5"/>
  <c r="G305" i="5"/>
  <c r="A305" i="5"/>
  <c r="E305" i="5"/>
  <c r="I305" i="5"/>
  <c r="D305" i="5"/>
  <c r="H305" i="5"/>
  <c r="C305" i="5"/>
  <c r="J321" i="5"/>
  <c r="F321" i="5"/>
  <c r="B321" i="5"/>
  <c r="L321" i="5"/>
  <c r="G321" i="5"/>
  <c r="A321" i="5"/>
  <c r="E321" i="5"/>
  <c r="I321" i="5"/>
  <c r="D321" i="5"/>
  <c r="H321" i="5"/>
  <c r="C321" i="5"/>
  <c r="J337" i="5"/>
  <c r="F337" i="5"/>
  <c r="B337" i="5"/>
  <c r="L337" i="5"/>
  <c r="G337" i="5"/>
  <c r="A337" i="5"/>
  <c r="E337" i="5"/>
  <c r="I337" i="5"/>
  <c r="D337" i="5"/>
  <c r="H337" i="5"/>
  <c r="C337" i="5"/>
  <c r="J353" i="5"/>
  <c r="F353" i="5"/>
  <c r="B353" i="5"/>
  <c r="L353" i="5"/>
  <c r="G353" i="5"/>
  <c r="A353" i="5"/>
  <c r="E353" i="5"/>
  <c r="I353" i="5"/>
  <c r="D353" i="5"/>
  <c r="H353" i="5"/>
  <c r="C353" i="5"/>
  <c r="J369" i="5"/>
  <c r="F369" i="5"/>
  <c r="B369" i="5"/>
  <c r="L369" i="5"/>
  <c r="G369" i="5"/>
  <c r="A369" i="5"/>
  <c r="E369" i="5"/>
  <c r="I369" i="5"/>
  <c r="D369" i="5"/>
  <c r="H369" i="5"/>
  <c r="C369" i="5"/>
  <c r="J385" i="5"/>
  <c r="F385" i="5"/>
  <c r="B385" i="5"/>
  <c r="L385" i="5"/>
  <c r="G385" i="5"/>
  <c r="A385" i="5"/>
  <c r="E385" i="5"/>
  <c r="I385" i="5"/>
  <c r="D385" i="5"/>
  <c r="H385" i="5"/>
  <c r="C385" i="5"/>
  <c r="J401" i="5"/>
  <c r="F401" i="5"/>
  <c r="B401" i="5"/>
  <c r="L401" i="5"/>
  <c r="G401" i="5"/>
  <c r="A401" i="5"/>
  <c r="E401" i="5"/>
  <c r="I401" i="5"/>
  <c r="D401" i="5"/>
  <c r="H401" i="5"/>
  <c r="C401" i="5"/>
  <c r="J417" i="5"/>
  <c r="F417" i="5"/>
  <c r="B417" i="5"/>
  <c r="L417" i="5"/>
  <c r="G417" i="5"/>
  <c r="A417" i="5"/>
  <c r="E417" i="5"/>
  <c r="I417" i="5"/>
  <c r="D417" i="5"/>
  <c r="H417" i="5"/>
  <c r="C417" i="5"/>
  <c r="J433" i="5"/>
  <c r="F433" i="5"/>
  <c r="B433" i="5"/>
  <c r="L433" i="5"/>
  <c r="G433" i="5"/>
  <c r="A433" i="5"/>
  <c r="E433" i="5"/>
  <c r="I433" i="5"/>
  <c r="D433" i="5"/>
  <c r="H433" i="5"/>
  <c r="C433" i="5"/>
  <c r="J449" i="5"/>
  <c r="F449" i="5"/>
  <c r="B449" i="5"/>
  <c r="L449" i="5"/>
  <c r="G449" i="5"/>
  <c r="A449" i="5"/>
  <c r="E449" i="5"/>
  <c r="I449" i="5"/>
  <c r="D449" i="5"/>
  <c r="H449" i="5"/>
  <c r="C449" i="5"/>
  <c r="J465" i="5"/>
  <c r="F465" i="5"/>
  <c r="B465" i="5"/>
  <c r="L465" i="5"/>
  <c r="G465" i="5"/>
  <c r="A465" i="5"/>
  <c r="E465" i="5"/>
  <c r="I465" i="5"/>
  <c r="D465" i="5"/>
  <c r="H465" i="5"/>
  <c r="C465" i="5"/>
  <c r="J481" i="5"/>
  <c r="F481" i="5"/>
  <c r="B481" i="5"/>
  <c r="L481" i="5"/>
  <c r="G481" i="5"/>
  <c r="A481" i="5"/>
  <c r="E481" i="5"/>
  <c r="I481" i="5"/>
  <c r="D481" i="5"/>
  <c r="H481" i="5"/>
  <c r="C481" i="5"/>
  <c r="J497" i="5"/>
  <c r="F497" i="5"/>
  <c r="B497" i="5"/>
  <c r="L497" i="5"/>
  <c r="G497" i="5"/>
  <c r="A497" i="5"/>
  <c r="E497" i="5"/>
  <c r="I497" i="5"/>
  <c r="D497" i="5"/>
  <c r="H497" i="5"/>
  <c r="C497" i="5"/>
  <c r="J513" i="5"/>
  <c r="F513" i="5"/>
  <c r="B513" i="5"/>
  <c r="L513" i="5"/>
  <c r="G513" i="5"/>
  <c r="A513" i="5"/>
  <c r="E513" i="5"/>
  <c r="I513" i="5"/>
  <c r="D513" i="5"/>
  <c r="H513" i="5"/>
  <c r="C513" i="5"/>
  <c r="G145" i="5"/>
  <c r="C145" i="5"/>
  <c r="J145" i="5"/>
  <c r="F145" i="5"/>
  <c r="B145" i="5"/>
  <c r="I145" i="5"/>
  <c r="E145" i="5"/>
  <c r="A145" i="5"/>
  <c r="D145" i="5"/>
  <c r="L145" i="5"/>
  <c r="H145" i="5"/>
  <c r="G149" i="5"/>
  <c r="C149" i="5"/>
  <c r="J149" i="5"/>
  <c r="F149" i="5"/>
  <c r="B149" i="5"/>
  <c r="I149" i="5"/>
  <c r="E149" i="5"/>
  <c r="A149" i="5"/>
  <c r="D149" i="5"/>
  <c r="L149" i="5"/>
  <c r="H149" i="5"/>
  <c r="G153" i="5"/>
  <c r="C153" i="5"/>
  <c r="J153" i="5"/>
  <c r="F153" i="5"/>
  <c r="B153" i="5"/>
  <c r="I153" i="5"/>
  <c r="E153" i="5"/>
  <c r="A153" i="5"/>
  <c r="D153" i="5"/>
  <c r="L153" i="5"/>
  <c r="H153" i="5"/>
  <c r="G157" i="5"/>
  <c r="C157" i="5"/>
  <c r="J157" i="5"/>
  <c r="F157" i="5"/>
  <c r="B157" i="5"/>
  <c r="I157" i="5"/>
  <c r="E157" i="5"/>
  <c r="A157" i="5"/>
  <c r="D157" i="5"/>
  <c r="L157" i="5"/>
  <c r="H157" i="5"/>
  <c r="G161" i="5"/>
  <c r="C161" i="5"/>
  <c r="J161" i="5"/>
  <c r="F161" i="5"/>
  <c r="B161" i="5"/>
  <c r="I161" i="5"/>
  <c r="E161" i="5"/>
  <c r="A161" i="5"/>
  <c r="D161" i="5"/>
  <c r="L161" i="5"/>
  <c r="H161" i="5"/>
  <c r="G165" i="5"/>
  <c r="C165" i="5"/>
  <c r="J165" i="5"/>
  <c r="F165" i="5"/>
  <c r="B165" i="5"/>
  <c r="I165" i="5"/>
  <c r="E165" i="5"/>
  <c r="A165" i="5"/>
  <c r="D165" i="5"/>
  <c r="L165" i="5"/>
  <c r="H165" i="5"/>
  <c r="G169" i="5"/>
  <c r="C169" i="5"/>
  <c r="J169" i="5"/>
  <c r="F169" i="5"/>
  <c r="B169" i="5"/>
  <c r="I169" i="5"/>
  <c r="E169" i="5"/>
  <c r="A169" i="5"/>
  <c r="D169" i="5"/>
  <c r="L169" i="5"/>
  <c r="H169" i="5"/>
  <c r="G173" i="5"/>
  <c r="C173" i="5"/>
  <c r="J173" i="5"/>
  <c r="F173" i="5"/>
  <c r="B173" i="5"/>
  <c r="I173" i="5"/>
  <c r="E173" i="5"/>
  <c r="A173" i="5"/>
  <c r="D173" i="5"/>
  <c r="L173" i="5"/>
  <c r="H173" i="5"/>
  <c r="G177" i="5"/>
  <c r="C177" i="5"/>
  <c r="J177" i="5"/>
  <c r="F177" i="5"/>
  <c r="B177" i="5"/>
  <c r="I177" i="5"/>
  <c r="E177" i="5"/>
  <c r="A177" i="5"/>
  <c r="D177" i="5"/>
  <c r="L177" i="5"/>
  <c r="H177" i="5"/>
  <c r="G181" i="5"/>
  <c r="C181" i="5"/>
  <c r="J181" i="5"/>
  <c r="F181" i="5"/>
  <c r="B181" i="5"/>
  <c r="I181" i="5"/>
  <c r="E181" i="5"/>
  <c r="A181" i="5"/>
  <c r="D181" i="5"/>
  <c r="L181" i="5"/>
  <c r="H181" i="5"/>
  <c r="G185" i="5"/>
  <c r="C185" i="5"/>
  <c r="J185" i="5"/>
  <c r="F185" i="5"/>
  <c r="B185" i="5"/>
  <c r="I185" i="5"/>
  <c r="E185" i="5"/>
  <c r="A185" i="5"/>
  <c r="D185" i="5"/>
  <c r="L185" i="5"/>
  <c r="H185" i="5"/>
  <c r="G189" i="5"/>
  <c r="C189" i="5"/>
  <c r="J189" i="5"/>
  <c r="F189" i="5"/>
  <c r="B189" i="5"/>
  <c r="I189" i="5"/>
  <c r="E189" i="5"/>
  <c r="A189" i="5"/>
  <c r="D189" i="5"/>
  <c r="L189" i="5"/>
  <c r="H189" i="5"/>
  <c r="G193" i="5"/>
  <c r="C193" i="5"/>
  <c r="J193" i="5"/>
  <c r="F193" i="5"/>
  <c r="B193" i="5"/>
  <c r="I193" i="5"/>
  <c r="E193" i="5"/>
  <c r="A193" i="5"/>
  <c r="D193" i="5"/>
  <c r="L193" i="5"/>
  <c r="H193" i="5"/>
  <c r="G197" i="5"/>
  <c r="C197" i="5"/>
  <c r="J197" i="5"/>
  <c r="F197" i="5"/>
  <c r="B197" i="5"/>
  <c r="I197" i="5"/>
  <c r="E197" i="5"/>
  <c r="A197" i="5"/>
  <c r="D197" i="5"/>
  <c r="L197" i="5"/>
  <c r="H197" i="5"/>
  <c r="G201" i="5"/>
  <c r="C201" i="5"/>
  <c r="J201" i="5"/>
  <c r="F201" i="5"/>
  <c r="B201" i="5"/>
  <c r="I201" i="5"/>
  <c r="E201" i="5"/>
  <c r="A201" i="5"/>
  <c r="D201" i="5"/>
  <c r="L201" i="5"/>
  <c r="H201" i="5"/>
  <c r="G205" i="5"/>
  <c r="C205" i="5"/>
  <c r="J205" i="5"/>
  <c r="F205" i="5"/>
  <c r="B205" i="5"/>
  <c r="I205" i="5"/>
  <c r="E205" i="5"/>
  <c r="A205" i="5"/>
  <c r="D205" i="5"/>
  <c r="L205" i="5"/>
  <c r="H205" i="5"/>
  <c r="G209" i="5"/>
  <c r="C209" i="5"/>
  <c r="J209" i="5"/>
  <c r="F209" i="5"/>
  <c r="B209" i="5"/>
  <c r="I209" i="5"/>
  <c r="E209" i="5"/>
  <c r="A209" i="5"/>
  <c r="D209" i="5"/>
  <c r="L209" i="5"/>
  <c r="H209" i="5"/>
  <c r="G213" i="5"/>
  <c r="C213" i="5"/>
  <c r="J213" i="5"/>
  <c r="F213" i="5"/>
  <c r="B213" i="5"/>
  <c r="I213" i="5"/>
  <c r="E213" i="5"/>
  <c r="A213" i="5"/>
  <c r="D213" i="5"/>
  <c r="L213" i="5"/>
  <c r="H213" i="5"/>
  <c r="G217" i="5"/>
  <c r="C217" i="5"/>
  <c r="J217" i="5"/>
  <c r="F217" i="5"/>
  <c r="B217" i="5"/>
  <c r="I217" i="5"/>
  <c r="E217" i="5"/>
  <c r="A217" i="5"/>
  <c r="D217" i="5"/>
  <c r="L217" i="5"/>
  <c r="H217" i="5"/>
  <c r="G221" i="5"/>
  <c r="C221" i="5"/>
  <c r="J221" i="5"/>
  <c r="F221" i="5"/>
  <c r="B221" i="5"/>
  <c r="I221" i="5"/>
  <c r="E221" i="5"/>
  <c r="A221" i="5"/>
  <c r="D221" i="5"/>
  <c r="L221" i="5"/>
  <c r="H221" i="5"/>
  <c r="G225" i="5"/>
  <c r="C225" i="5"/>
  <c r="J225" i="5"/>
  <c r="F225" i="5"/>
  <c r="B225" i="5"/>
  <c r="I225" i="5"/>
  <c r="E225" i="5"/>
  <c r="A225" i="5"/>
  <c r="D225" i="5"/>
  <c r="L225" i="5"/>
  <c r="H225" i="5"/>
  <c r="G229" i="5"/>
  <c r="C229" i="5"/>
  <c r="J229" i="5"/>
  <c r="F229" i="5"/>
  <c r="B229" i="5"/>
  <c r="I229" i="5"/>
  <c r="E229" i="5"/>
  <c r="A229" i="5"/>
  <c r="D229" i="5"/>
  <c r="L229" i="5"/>
  <c r="H229" i="5"/>
  <c r="G233" i="5"/>
  <c r="C233" i="5"/>
  <c r="J233" i="5"/>
  <c r="F233" i="5"/>
  <c r="B233" i="5"/>
  <c r="I233" i="5"/>
  <c r="E233" i="5"/>
  <c r="A233" i="5"/>
  <c r="D233" i="5"/>
  <c r="L233" i="5"/>
  <c r="H233" i="5"/>
  <c r="G237" i="5"/>
  <c r="C237" i="5"/>
  <c r="J237" i="5"/>
  <c r="F237" i="5"/>
  <c r="B237" i="5"/>
  <c r="I237" i="5"/>
  <c r="E237" i="5"/>
  <c r="A237" i="5"/>
  <c r="D237" i="5"/>
  <c r="L237" i="5"/>
  <c r="H237" i="5"/>
  <c r="G241" i="5"/>
  <c r="C241" i="5"/>
  <c r="J241" i="5"/>
  <c r="F241" i="5"/>
  <c r="B241" i="5"/>
  <c r="I241" i="5"/>
  <c r="E241" i="5"/>
  <c r="A241" i="5"/>
  <c r="D241" i="5"/>
  <c r="L241" i="5"/>
  <c r="H241" i="5"/>
  <c r="G245" i="5"/>
  <c r="C245" i="5"/>
  <c r="J245" i="5"/>
  <c r="F245" i="5"/>
  <c r="B245" i="5"/>
  <c r="I245" i="5"/>
  <c r="E245" i="5"/>
  <c r="A245" i="5"/>
  <c r="D245" i="5"/>
  <c r="L245" i="5"/>
  <c r="H245" i="5"/>
  <c r="J258" i="5"/>
  <c r="F258" i="5"/>
  <c r="B258" i="5"/>
  <c r="E258" i="5"/>
  <c r="I258" i="5"/>
  <c r="D258" i="5"/>
  <c r="H258" i="5"/>
  <c r="C258" i="5"/>
  <c r="A258" i="5"/>
  <c r="L258" i="5"/>
  <c r="G258" i="5"/>
  <c r="J274" i="5"/>
  <c r="F274" i="5"/>
  <c r="B274" i="5"/>
  <c r="E274" i="5"/>
  <c r="I274" i="5"/>
  <c r="D274" i="5"/>
  <c r="H274" i="5"/>
  <c r="C274" i="5"/>
  <c r="A274" i="5"/>
  <c r="L274" i="5"/>
  <c r="G274" i="5"/>
  <c r="J290" i="5"/>
  <c r="F290" i="5"/>
  <c r="B290" i="5"/>
  <c r="E290" i="5"/>
  <c r="I290" i="5"/>
  <c r="D290" i="5"/>
  <c r="H290" i="5"/>
  <c r="C290" i="5"/>
  <c r="A290" i="5"/>
  <c r="L290" i="5"/>
  <c r="G290" i="5"/>
  <c r="J306" i="5"/>
  <c r="F306" i="5"/>
  <c r="B306" i="5"/>
  <c r="E306" i="5"/>
  <c r="I306" i="5"/>
  <c r="D306" i="5"/>
  <c r="H306" i="5"/>
  <c r="C306" i="5"/>
  <c r="A306" i="5"/>
  <c r="L306" i="5"/>
  <c r="G306" i="5"/>
  <c r="J322" i="5"/>
  <c r="F322" i="5"/>
  <c r="B322" i="5"/>
  <c r="E322" i="5"/>
  <c r="I322" i="5"/>
  <c r="D322" i="5"/>
  <c r="H322" i="5"/>
  <c r="C322" i="5"/>
  <c r="A322" i="5"/>
  <c r="L322" i="5"/>
  <c r="G322" i="5"/>
  <c r="J338" i="5"/>
  <c r="F338" i="5"/>
  <c r="B338" i="5"/>
  <c r="E338" i="5"/>
  <c r="I338" i="5"/>
  <c r="D338" i="5"/>
  <c r="H338" i="5"/>
  <c r="C338" i="5"/>
  <c r="L338" i="5"/>
  <c r="A338" i="5"/>
  <c r="G338" i="5"/>
  <c r="J354" i="5"/>
  <c r="F354" i="5"/>
  <c r="B354" i="5"/>
  <c r="E354" i="5"/>
  <c r="I354" i="5"/>
  <c r="D354" i="5"/>
  <c r="H354" i="5"/>
  <c r="C354" i="5"/>
  <c r="L354" i="5"/>
  <c r="A354" i="5"/>
  <c r="G354" i="5"/>
  <c r="J370" i="5"/>
  <c r="F370" i="5"/>
  <c r="B370" i="5"/>
  <c r="E370" i="5"/>
  <c r="I370" i="5"/>
  <c r="D370" i="5"/>
  <c r="H370" i="5"/>
  <c r="C370" i="5"/>
  <c r="L370" i="5"/>
  <c r="A370" i="5"/>
  <c r="G370" i="5"/>
  <c r="J386" i="5"/>
  <c r="F386" i="5"/>
  <c r="B386" i="5"/>
  <c r="E386" i="5"/>
  <c r="I386" i="5"/>
  <c r="D386" i="5"/>
  <c r="H386" i="5"/>
  <c r="C386" i="5"/>
  <c r="L386" i="5"/>
  <c r="A386" i="5"/>
  <c r="G386" i="5"/>
  <c r="J402" i="5"/>
  <c r="F402" i="5"/>
  <c r="B402" i="5"/>
  <c r="E402" i="5"/>
  <c r="I402" i="5"/>
  <c r="D402" i="5"/>
  <c r="H402" i="5"/>
  <c r="C402" i="5"/>
  <c r="L402" i="5"/>
  <c r="A402" i="5"/>
  <c r="G402" i="5"/>
  <c r="J418" i="5"/>
  <c r="F418" i="5"/>
  <c r="B418" i="5"/>
  <c r="E418" i="5"/>
  <c r="I418" i="5"/>
  <c r="D418" i="5"/>
  <c r="H418" i="5"/>
  <c r="C418" i="5"/>
  <c r="L418" i="5"/>
  <c r="A418" i="5"/>
  <c r="G418" i="5"/>
  <c r="J434" i="5"/>
  <c r="F434" i="5"/>
  <c r="B434" i="5"/>
  <c r="E434" i="5"/>
  <c r="I434" i="5"/>
  <c r="D434" i="5"/>
  <c r="H434" i="5"/>
  <c r="C434" i="5"/>
  <c r="L434" i="5"/>
  <c r="A434" i="5"/>
  <c r="G434" i="5"/>
  <c r="J450" i="5"/>
  <c r="F450" i="5"/>
  <c r="B450" i="5"/>
  <c r="E450" i="5"/>
  <c r="I450" i="5"/>
  <c r="D450" i="5"/>
  <c r="H450" i="5"/>
  <c r="C450" i="5"/>
  <c r="L450" i="5"/>
  <c r="A450" i="5"/>
  <c r="G450" i="5"/>
  <c r="J466" i="5"/>
  <c r="F466" i="5"/>
  <c r="B466" i="5"/>
  <c r="E466" i="5"/>
  <c r="I466" i="5"/>
  <c r="D466" i="5"/>
  <c r="H466" i="5"/>
  <c r="C466" i="5"/>
  <c r="L466" i="5"/>
  <c r="A466" i="5"/>
  <c r="G466" i="5"/>
  <c r="J482" i="5"/>
  <c r="F482" i="5"/>
  <c r="B482" i="5"/>
  <c r="E482" i="5"/>
  <c r="I482" i="5"/>
  <c r="D482" i="5"/>
  <c r="H482" i="5"/>
  <c r="C482" i="5"/>
  <c r="L482" i="5"/>
  <c r="A482" i="5"/>
  <c r="G482" i="5"/>
  <c r="J498" i="5"/>
  <c r="F498" i="5"/>
  <c r="B498" i="5"/>
  <c r="E498" i="5"/>
  <c r="I498" i="5"/>
  <c r="D498" i="5"/>
  <c r="H498" i="5"/>
  <c r="C498" i="5"/>
  <c r="L498" i="5"/>
  <c r="A498" i="5"/>
  <c r="G498" i="5"/>
  <c r="J514" i="5"/>
  <c r="F514" i="5"/>
  <c r="B514" i="5"/>
  <c r="E514" i="5"/>
  <c r="I514" i="5"/>
  <c r="D514" i="5"/>
  <c r="H514" i="5"/>
  <c r="C514" i="5"/>
  <c r="L514" i="5"/>
  <c r="A514" i="5"/>
  <c r="G514" i="5"/>
  <c r="J516" i="5"/>
  <c r="F516" i="5"/>
  <c r="B516" i="5"/>
  <c r="I516" i="5"/>
  <c r="D516" i="5"/>
  <c r="E516" i="5"/>
  <c r="L516" i="5"/>
  <c r="C516" i="5"/>
  <c r="H516" i="5"/>
  <c r="A516" i="5"/>
  <c r="G516" i="5"/>
  <c r="A7" i="8"/>
  <c r="D6" i="8"/>
  <c r="C6" i="8"/>
  <c r="G6" i="8"/>
  <c r="E6" i="8"/>
  <c r="B6" i="8"/>
  <c r="I59" i="5"/>
  <c r="E59" i="5"/>
  <c r="A59" i="5"/>
  <c r="L59" i="5"/>
  <c r="H59" i="5"/>
  <c r="D59" i="5"/>
  <c r="J59" i="5"/>
  <c r="B59" i="5"/>
  <c r="G59" i="5"/>
  <c r="C59" i="5"/>
  <c r="F59" i="5"/>
  <c r="L53" i="5"/>
  <c r="H53" i="5"/>
  <c r="D53" i="5"/>
  <c r="J53" i="5"/>
  <c r="E53" i="5"/>
  <c r="I53" i="5"/>
  <c r="C53" i="5"/>
  <c r="F53" i="5"/>
  <c r="A53" i="5"/>
  <c r="G53" i="5"/>
  <c r="B53" i="5"/>
  <c r="L29" i="5"/>
  <c r="H29" i="5"/>
  <c r="D29" i="5"/>
  <c r="G29" i="5"/>
  <c r="C29" i="5"/>
  <c r="E29" i="5"/>
  <c r="A29" i="5"/>
  <c r="J29" i="5"/>
  <c r="F29" i="5"/>
  <c r="B29" i="5"/>
  <c r="I29" i="5"/>
  <c r="I60" i="5"/>
  <c r="E60" i="5"/>
  <c r="A60" i="5"/>
  <c r="L60" i="5"/>
  <c r="H60" i="5"/>
  <c r="D60" i="5"/>
  <c r="F60" i="5"/>
  <c r="C60" i="5"/>
  <c r="G60" i="5"/>
  <c r="J60" i="5"/>
  <c r="B60" i="5"/>
  <c r="J471" i="5"/>
  <c r="F471" i="5"/>
  <c r="B471" i="5"/>
  <c r="I471" i="5"/>
  <c r="D471" i="5"/>
  <c r="H471" i="5"/>
  <c r="C471" i="5"/>
  <c r="L471" i="5"/>
  <c r="G471" i="5"/>
  <c r="A471" i="5"/>
  <c r="E471" i="5"/>
  <c r="J106" i="5"/>
  <c r="F106" i="5"/>
  <c r="B106" i="5"/>
  <c r="I106" i="5"/>
  <c r="E106" i="5"/>
  <c r="A106" i="5"/>
  <c r="G106" i="5"/>
  <c r="C106" i="5"/>
  <c r="H106" i="5"/>
  <c r="D106" i="5"/>
  <c r="L106" i="5"/>
  <c r="J138" i="5"/>
  <c r="F138" i="5"/>
  <c r="B138" i="5"/>
  <c r="I138" i="5"/>
  <c r="E138" i="5"/>
  <c r="A138" i="5"/>
  <c r="G138" i="5"/>
  <c r="L138" i="5"/>
  <c r="D138" i="5"/>
  <c r="C138" i="5"/>
  <c r="H138" i="5"/>
  <c r="J247" i="5"/>
  <c r="F247" i="5"/>
  <c r="B247" i="5"/>
  <c r="I247" i="5"/>
  <c r="D247" i="5"/>
  <c r="H247" i="5"/>
  <c r="C247" i="5"/>
  <c r="L247" i="5"/>
  <c r="G247" i="5"/>
  <c r="A247" i="5"/>
  <c r="E247" i="5"/>
  <c r="G71" i="5"/>
  <c r="C71" i="5"/>
  <c r="I71" i="5"/>
  <c r="E71" i="5"/>
  <c r="A71" i="5"/>
  <c r="L71" i="5"/>
  <c r="H71" i="5"/>
  <c r="D71" i="5"/>
  <c r="J71" i="5"/>
  <c r="B71" i="5"/>
  <c r="F71" i="5"/>
  <c r="J109" i="5"/>
  <c r="F109" i="5"/>
  <c r="B109" i="5"/>
  <c r="I109" i="5"/>
  <c r="E109" i="5"/>
  <c r="A109" i="5"/>
  <c r="C109" i="5"/>
  <c r="G109" i="5"/>
  <c r="L109" i="5"/>
  <c r="D109" i="5"/>
  <c r="H109" i="5"/>
  <c r="J141" i="5"/>
  <c r="F141" i="5"/>
  <c r="B141" i="5"/>
  <c r="I141" i="5"/>
  <c r="E141" i="5"/>
  <c r="A141" i="5"/>
  <c r="C141" i="5"/>
  <c r="H141" i="5"/>
  <c r="G141" i="5"/>
  <c r="L141" i="5"/>
  <c r="D141" i="5"/>
  <c r="J403" i="5"/>
  <c r="F403" i="5"/>
  <c r="B403" i="5"/>
  <c r="I403" i="5"/>
  <c r="D403" i="5"/>
  <c r="H403" i="5"/>
  <c r="C403" i="5"/>
  <c r="L403" i="5"/>
  <c r="G403" i="5"/>
  <c r="A403" i="5"/>
  <c r="E403" i="5"/>
  <c r="J491" i="5"/>
  <c r="F491" i="5"/>
  <c r="B491" i="5"/>
  <c r="I491" i="5"/>
  <c r="D491" i="5"/>
  <c r="H491" i="5"/>
  <c r="C491" i="5"/>
  <c r="L491" i="5"/>
  <c r="G491" i="5"/>
  <c r="A491" i="5"/>
  <c r="E491" i="5"/>
  <c r="J415" i="5"/>
  <c r="F415" i="5"/>
  <c r="B415" i="5"/>
  <c r="I415" i="5"/>
  <c r="D415" i="5"/>
  <c r="H415" i="5"/>
  <c r="C415" i="5"/>
  <c r="L415" i="5"/>
  <c r="G415" i="5"/>
  <c r="A415" i="5"/>
  <c r="E415" i="5"/>
  <c r="J280" i="5"/>
  <c r="F280" i="5"/>
  <c r="B280" i="5"/>
  <c r="H280" i="5"/>
  <c r="C280" i="5"/>
  <c r="L280" i="5"/>
  <c r="G280" i="5"/>
  <c r="A280" i="5"/>
  <c r="E280" i="5"/>
  <c r="I280" i="5"/>
  <c r="D280" i="5"/>
  <c r="J344" i="5"/>
  <c r="F344" i="5"/>
  <c r="B344" i="5"/>
  <c r="H344" i="5"/>
  <c r="C344" i="5"/>
  <c r="L344" i="5"/>
  <c r="G344" i="5"/>
  <c r="A344" i="5"/>
  <c r="E344" i="5"/>
  <c r="I344" i="5"/>
  <c r="D344" i="5"/>
  <c r="J408" i="5"/>
  <c r="F408" i="5"/>
  <c r="B408" i="5"/>
  <c r="H408" i="5"/>
  <c r="C408" i="5"/>
  <c r="L408" i="5"/>
  <c r="G408" i="5"/>
  <c r="A408" i="5"/>
  <c r="E408" i="5"/>
  <c r="I408" i="5"/>
  <c r="D408" i="5"/>
  <c r="J472" i="5"/>
  <c r="F472" i="5"/>
  <c r="B472" i="5"/>
  <c r="H472" i="5"/>
  <c r="C472" i="5"/>
  <c r="L472" i="5"/>
  <c r="G472" i="5"/>
  <c r="A472" i="5"/>
  <c r="E472" i="5"/>
  <c r="I472" i="5"/>
  <c r="D472" i="5"/>
  <c r="J269" i="5"/>
  <c r="F269" i="5"/>
  <c r="B269" i="5"/>
  <c r="L269" i="5"/>
  <c r="G269" i="5"/>
  <c r="A269" i="5"/>
  <c r="E269" i="5"/>
  <c r="I269" i="5"/>
  <c r="D269" i="5"/>
  <c r="H269" i="5"/>
  <c r="C269" i="5"/>
  <c r="J333" i="5"/>
  <c r="F333" i="5"/>
  <c r="B333" i="5"/>
  <c r="L333" i="5"/>
  <c r="G333" i="5"/>
  <c r="A333" i="5"/>
  <c r="E333" i="5"/>
  <c r="I333" i="5"/>
  <c r="D333" i="5"/>
  <c r="H333" i="5"/>
  <c r="C333" i="5"/>
  <c r="J429" i="5"/>
  <c r="F429" i="5"/>
  <c r="B429" i="5"/>
  <c r="L429" i="5"/>
  <c r="G429" i="5"/>
  <c r="A429" i="5"/>
  <c r="E429" i="5"/>
  <c r="I429" i="5"/>
  <c r="D429" i="5"/>
  <c r="H429" i="5"/>
  <c r="C429" i="5"/>
  <c r="I12" i="5"/>
  <c r="E12" i="5"/>
  <c r="A12" i="5"/>
  <c r="L12" i="5"/>
  <c r="H12" i="5"/>
  <c r="D12" i="5"/>
  <c r="G12" i="5"/>
  <c r="C12" i="5"/>
  <c r="J12" i="5"/>
  <c r="F12" i="5"/>
  <c r="B12" i="5"/>
  <c r="L50" i="5"/>
  <c r="H50" i="5"/>
  <c r="D50" i="5"/>
  <c r="I50" i="5"/>
  <c r="C50" i="5"/>
  <c r="G50" i="5"/>
  <c r="B50" i="5"/>
  <c r="J50" i="5"/>
  <c r="E50" i="5"/>
  <c r="F50" i="5"/>
  <c r="A50" i="5"/>
  <c r="J11" i="5"/>
  <c r="F11" i="5"/>
  <c r="B11" i="5"/>
  <c r="I11" i="5"/>
  <c r="E11" i="5"/>
  <c r="A11" i="5"/>
  <c r="L11" i="5"/>
  <c r="H11" i="5"/>
  <c r="D11" i="5"/>
  <c r="G11" i="5"/>
  <c r="C11" i="5"/>
  <c r="L45" i="5"/>
  <c r="H45" i="5"/>
  <c r="D45" i="5"/>
  <c r="J45" i="5"/>
  <c r="E45" i="5"/>
  <c r="I45" i="5"/>
  <c r="C45" i="5"/>
  <c r="F45" i="5"/>
  <c r="A45" i="5"/>
  <c r="G45" i="5"/>
  <c r="B45" i="5"/>
  <c r="I57" i="5"/>
  <c r="E57" i="5"/>
  <c r="A57" i="5"/>
  <c r="L57" i="5"/>
  <c r="H57" i="5"/>
  <c r="D57" i="5"/>
  <c r="J57" i="5"/>
  <c r="B57" i="5"/>
  <c r="G57" i="5"/>
  <c r="C57" i="5"/>
  <c r="F57" i="5"/>
  <c r="L17" i="5"/>
  <c r="H17" i="5"/>
  <c r="D17" i="5"/>
  <c r="G17" i="5"/>
  <c r="C17" i="5"/>
  <c r="I17" i="5"/>
  <c r="E17" i="5"/>
  <c r="A17" i="5"/>
  <c r="J17" i="5"/>
  <c r="F17" i="5"/>
  <c r="B17" i="5"/>
  <c r="L23" i="5"/>
  <c r="H23" i="5"/>
  <c r="D23" i="5"/>
  <c r="G23" i="5"/>
  <c r="C23" i="5"/>
  <c r="J23" i="5"/>
  <c r="F23" i="5"/>
  <c r="B23" i="5"/>
  <c r="I23" i="5"/>
  <c r="E23" i="5"/>
  <c r="A23" i="5"/>
  <c r="L27" i="5"/>
  <c r="H27" i="5"/>
  <c r="D27" i="5"/>
  <c r="G27" i="5"/>
  <c r="C27" i="5"/>
  <c r="E27" i="5"/>
  <c r="J27" i="5"/>
  <c r="F27" i="5"/>
  <c r="B27" i="5"/>
  <c r="I27" i="5"/>
  <c r="A27" i="5"/>
  <c r="L31" i="5"/>
  <c r="H31" i="5"/>
  <c r="D31" i="5"/>
  <c r="G31" i="5"/>
  <c r="C31" i="5"/>
  <c r="E31" i="5"/>
  <c r="A31" i="5"/>
  <c r="J31" i="5"/>
  <c r="F31" i="5"/>
  <c r="B31" i="5"/>
  <c r="I31" i="5"/>
  <c r="L35" i="5"/>
  <c r="H35" i="5"/>
  <c r="D35" i="5"/>
  <c r="G35" i="5"/>
  <c r="C35" i="5"/>
  <c r="I35" i="5"/>
  <c r="E35" i="5"/>
  <c r="A35" i="5"/>
  <c r="J35" i="5"/>
  <c r="F35" i="5"/>
  <c r="B35" i="5"/>
  <c r="L39" i="5"/>
  <c r="H39" i="5"/>
  <c r="D39" i="5"/>
  <c r="G39" i="5"/>
  <c r="C39" i="5"/>
  <c r="E39" i="5"/>
  <c r="A39" i="5"/>
  <c r="J39" i="5"/>
  <c r="F39" i="5"/>
  <c r="B39" i="5"/>
  <c r="I39" i="5"/>
  <c r="I56" i="5"/>
  <c r="E56" i="5"/>
  <c r="A56" i="5"/>
  <c r="L56" i="5"/>
  <c r="H56" i="5"/>
  <c r="D56" i="5"/>
  <c r="F56" i="5"/>
  <c r="C56" i="5"/>
  <c r="G56" i="5"/>
  <c r="J56" i="5"/>
  <c r="B56" i="5"/>
  <c r="G14" i="5"/>
  <c r="C14" i="5"/>
  <c r="J14" i="5"/>
  <c r="F14" i="5"/>
  <c r="B14" i="5"/>
  <c r="I14" i="5"/>
  <c r="E14" i="5"/>
  <c r="A14" i="5"/>
  <c r="L14" i="5"/>
  <c r="H14" i="5"/>
  <c r="D14" i="5"/>
  <c r="L48" i="5"/>
  <c r="H48" i="5"/>
  <c r="D48" i="5"/>
  <c r="F48" i="5"/>
  <c r="A48" i="5"/>
  <c r="J48" i="5"/>
  <c r="E48" i="5"/>
  <c r="G48" i="5"/>
  <c r="B48" i="5"/>
  <c r="I48" i="5"/>
  <c r="C48" i="5"/>
  <c r="J343" i="5"/>
  <c r="F343" i="5"/>
  <c r="B343" i="5"/>
  <c r="I343" i="5"/>
  <c r="D343" i="5"/>
  <c r="H343" i="5"/>
  <c r="C343" i="5"/>
  <c r="L343" i="5"/>
  <c r="G343" i="5"/>
  <c r="A343" i="5"/>
  <c r="E343" i="5"/>
  <c r="J78" i="5"/>
  <c r="F78" i="5"/>
  <c r="B78" i="5"/>
  <c r="I78" i="5"/>
  <c r="E78" i="5"/>
  <c r="A78" i="5"/>
  <c r="G78" i="5"/>
  <c r="C78" i="5"/>
  <c r="H78" i="5"/>
  <c r="L78" i="5"/>
  <c r="D78" i="5"/>
  <c r="J86" i="5"/>
  <c r="F86" i="5"/>
  <c r="B86" i="5"/>
  <c r="I86" i="5"/>
  <c r="E86" i="5"/>
  <c r="A86" i="5"/>
  <c r="G86" i="5"/>
  <c r="C86" i="5"/>
  <c r="H86" i="5"/>
  <c r="L86" i="5"/>
  <c r="D86" i="5"/>
  <c r="J94" i="5"/>
  <c r="F94" i="5"/>
  <c r="B94" i="5"/>
  <c r="I94" i="5"/>
  <c r="E94" i="5"/>
  <c r="A94" i="5"/>
  <c r="G94" i="5"/>
  <c r="C94" i="5"/>
  <c r="H94" i="5"/>
  <c r="L94" i="5"/>
  <c r="D94" i="5"/>
  <c r="J102" i="5"/>
  <c r="F102" i="5"/>
  <c r="B102" i="5"/>
  <c r="I102" i="5"/>
  <c r="E102" i="5"/>
  <c r="A102" i="5"/>
  <c r="G102" i="5"/>
  <c r="C102" i="5"/>
  <c r="H102" i="5"/>
  <c r="L102" i="5"/>
  <c r="D102" i="5"/>
  <c r="J110" i="5"/>
  <c r="F110" i="5"/>
  <c r="B110" i="5"/>
  <c r="I110" i="5"/>
  <c r="E110" i="5"/>
  <c r="A110" i="5"/>
  <c r="G110" i="5"/>
  <c r="C110" i="5"/>
  <c r="H110" i="5"/>
  <c r="L110" i="5"/>
  <c r="D110" i="5"/>
  <c r="J118" i="5"/>
  <c r="F118" i="5"/>
  <c r="B118" i="5"/>
  <c r="I118" i="5"/>
  <c r="E118" i="5"/>
  <c r="A118" i="5"/>
  <c r="G118" i="5"/>
  <c r="L118" i="5"/>
  <c r="D118" i="5"/>
  <c r="C118" i="5"/>
  <c r="H118" i="5"/>
  <c r="J126" i="5"/>
  <c r="F126" i="5"/>
  <c r="B126" i="5"/>
  <c r="I126" i="5"/>
  <c r="E126" i="5"/>
  <c r="A126" i="5"/>
  <c r="G126" i="5"/>
  <c r="L126" i="5"/>
  <c r="D126" i="5"/>
  <c r="C126" i="5"/>
  <c r="H126" i="5"/>
  <c r="J134" i="5"/>
  <c r="F134" i="5"/>
  <c r="B134" i="5"/>
  <c r="I134" i="5"/>
  <c r="E134" i="5"/>
  <c r="A134" i="5"/>
  <c r="G134" i="5"/>
  <c r="L134" i="5"/>
  <c r="D134" i="5"/>
  <c r="C134" i="5"/>
  <c r="H134" i="5"/>
  <c r="J142" i="5"/>
  <c r="F142" i="5"/>
  <c r="B142" i="5"/>
  <c r="I142" i="5"/>
  <c r="E142" i="5"/>
  <c r="A142" i="5"/>
  <c r="G142" i="5"/>
  <c r="L142" i="5"/>
  <c r="D142" i="5"/>
  <c r="C142" i="5"/>
  <c r="H142" i="5"/>
  <c r="J423" i="5"/>
  <c r="F423" i="5"/>
  <c r="B423" i="5"/>
  <c r="I423" i="5"/>
  <c r="D423" i="5"/>
  <c r="H423" i="5"/>
  <c r="C423" i="5"/>
  <c r="L423" i="5"/>
  <c r="G423" i="5"/>
  <c r="A423" i="5"/>
  <c r="E423" i="5"/>
  <c r="J295" i="5"/>
  <c r="F295" i="5"/>
  <c r="B295" i="5"/>
  <c r="I295" i="5"/>
  <c r="D295" i="5"/>
  <c r="H295" i="5"/>
  <c r="C295" i="5"/>
  <c r="L295" i="5"/>
  <c r="G295" i="5"/>
  <c r="A295" i="5"/>
  <c r="E295" i="5"/>
  <c r="J503" i="5"/>
  <c r="F503" i="5"/>
  <c r="B503" i="5"/>
  <c r="I503" i="5"/>
  <c r="D503" i="5"/>
  <c r="H503" i="5"/>
  <c r="C503" i="5"/>
  <c r="L503" i="5"/>
  <c r="G503" i="5"/>
  <c r="A503" i="5"/>
  <c r="E503" i="5"/>
  <c r="G65" i="5"/>
  <c r="C65" i="5"/>
  <c r="I65" i="5"/>
  <c r="E65" i="5"/>
  <c r="A65" i="5"/>
  <c r="L65" i="5"/>
  <c r="H65" i="5"/>
  <c r="D65" i="5"/>
  <c r="F65" i="5"/>
  <c r="B65" i="5"/>
  <c r="J65" i="5"/>
  <c r="G69" i="5"/>
  <c r="C69" i="5"/>
  <c r="I69" i="5"/>
  <c r="E69" i="5"/>
  <c r="A69" i="5"/>
  <c r="L69" i="5"/>
  <c r="H69" i="5"/>
  <c r="D69" i="5"/>
  <c r="F69" i="5"/>
  <c r="B69" i="5"/>
  <c r="J69" i="5"/>
  <c r="G73" i="5"/>
  <c r="C73" i="5"/>
  <c r="I73" i="5"/>
  <c r="E73" i="5"/>
  <c r="A73" i="5"/>
  <c r="L73" i="5"/>
  <c r="H73" i="5"/>
  <c r="D73" i="5"/>
  <c r="F73" i="5"/>
  <c r="B73" i="5"/>
  <c r="J73" i="5"/>
  <c r="J81" i="5"/>
  <c r="F81" i="5"/>
  <c r="B81" i="5"/>
  <c r="I81" i="5"/>
  <c r="E81" i="5"/>
  <c r="A81" i="5"/>
  <c r="C81" i="5"/>
  <c r="G81" i="5"/>
  <c r="L81" i="5"/>
  <c r="D81" i="5"/>
  <c r="H81" i="5"/>
  <c r="J89" i="5"/>
  <c r="F89" i="5"/>
  <c r="B89" i="5"/>
  <c r="I89" i="5"/>
  <c r="E89" i="5"/>
  <c r="A89" i="5"/>
  <c r="C89" i="5"/>
  <c r="G89" i="5"/>
  <c r="L89" i="5"/>
  <c r="D89" i="5"/>
  <c r="H89" i="5"/>
  <c r="J97" i="5"/>
  <c r="F97" i="5"/>
  <c r="B97" i="5"/>
  <c r="I97" i="5"/>
  <c r="E97" i="5"/>
  <c r="A97" i="5"/>
  <c r="C97" i="5"/>
  <c r="G97" i="5"/>
  <c r="L97" i="5"/>
  <c r="D97" i="5"/>
  <c r="H97" i="5"/>
  <c r="J105" i="5"/>
  <c r="F105" i="5"/>
  <c r="B105" i="5"/>
  <c r="I105" i="5"/>
  <c r="E105" i="5"/>
  <c r="A105" i="5"/>
  <c r="C105" i="5"/>
  <c r="G105" i="5"/>
  <c r="L105" i="5"/>
  <c r="D105" i="5"/>
  <c r="H105" i="5"/>
  <c r="J113" i="5"/>
  <c r="F113" i="5"/>
  <c r="B113" i="5"/>
  <c r="I113" i="5"/>
  <c r="E113" i="5"/>
  <c r="A113" i="5"/>
  <c r="C113" i="5"/>
  <c r="H113" i="5"/>
  <c r="G113" i="5"/>
  <c r="L113" i="5"/>
  <c r="D113" i="5"/>
  <c r="J121" i="5"/>
  <c r="F121" i="5"/>
  <c r="B121" i="5"/>
  <c r="I121" i="5"/>
  <c r="E121" i="5"/>
  <c r="A121" i="5"/>
  <c r="C121" i="5"/>
  <c r="H121" i="5"/>
  <c r="G121" i="5"/>
  <c r="L121" i="5"/>
  <c r="D121" i="5"/>
  <c r="J129" i="5"/>
  <c r="F129" i="5"/>
  <c r="B129" i="5"/>
  <c r="I129" i="5"/>
  <c r="E129" i="5"/>
  <c r="A129" i="5"/>
  <c r="C129" i="5"/>
  <c r="H129" i="5"/>
  <c r="G129" i="5"/>
  <c r="L129" i="5"/>
  <c r="D129" i="5"/>
  <c r="J137" i="5"/>
  <c r="F137" i="5"/>
  <c r="B137" i="5"/>
  <c r="I137" i="5"/>
  <c r="E137" i="5"/>
  <c r="A137" i="5"/>
  <c r="C137" i="5"/>
  <c r="H137" i="5"/>
  <c r="G137" i="5"/>
  <c r="L137" i="5"/>
  <c r="D137" i="5"/>
  <c r="J267" i="5"/>
  <c r="F267" i="5"/>
  <c r="B267" i="5"/>
  <c r="I267" i="5"/>
  <c r="D267" i="5"/>
  <c r="H267" i="5"/>
  <c r="C267" i="5"/>
  <c r="L267" i="5"/>
  <c r="G267" i="5"/>
  <c r="A267" i="5"/>
  <c r="E267" i="5"/>
  <c r="J455" i="5"/>
  <c r="F455" i="5"/>
  <c r="B455" i="5"/>
  <c r="I455" i="5"/>
  <c r="D455" i="5"/>
  <c r="H455" i="5"/>
  <c r="C455" i="5"/>
  <c r="L455" i="5"/>
  <c r="G455" i="5"/>
  <c r="A455" i="5"/>
  <c r="E455" i="5"/>
  <c r="J307" i="5"/>
  <c r="F307" i="5"/>
  <c r="B307" i="5"/>
  <c r="I307" i="5"/>
  <c r="D307" i="5"/>
  <c r="H307" i="5"/>
  <c r="C307" i="5"/>
  <c r="L307" i="5"/>
  <c r="G307" i="5"/>
  <c r="A307" i="5"/>
  <c r="E307" i="5"/>
  <c r="J371" i="5"/>
  <c r="F371" i="5"/>
  <c r="B371" i="5"/>
  <c r="I371" i="5"/>
  <c r="D371" i="5"/>
  <c r="H371" i="5"/>
  <c r="C371" i="5"/>
  <c r="L371" i="5"/>
  <c r="G371" i="5"/>
  <c r="A371" i="5"/>
  <c r="E371" i="5"/>
  <c r="J435" i="5"/>
  <c r="F435" i="5"/>
  <c r="B435" i="5"/>
  <c r="I435" i="5"/>
  <c r="D435" i="5"/>
  <c r="H435" i="5"/>
  <c r="C435" i="5"/>
  <c r="L435" i="5"/>
  <c r="G435" i="5"/>
  <c r="A435" i="5"/>
  <c r="E435" i="5"/>
  <c r="J499" i="5"/>
  <c r="F499" i="5"/>
  <c r="B499" i="5"/>
  <c r="I499" i="5"/>
  <c r="D499" i="5"/>
  <c r="H499" i="5"/>
  <c r="C499" i="5"/>
  <c r="L499" i="5"/>
  <c r="G499" i="5"/>
  <c r="A499" i="5"/>
  <c r="E499" i="5"/>
  <c r="J395" i="5"/>
  <c r="F395" i="5"/>
  <c r="B395" i="5"/>
  <c r="I395" i="5"/>
  <c r="D395" i="5"/>
  <c r="H395" i="5"/>
  <c r="C395" i="5"/>
  <c r="L395" i="5"/>
  <c r="G395" i="5"/>
  <c r="A395" i="5"/>
  <c r="E395" i="5"/>
  <c r="J459" i="5"/>
  <c r="F459" i="5"/>
  <c r="B459" i="5"/>
  <c r="I459" i="5"/>
  <c r="D459" i="5"/>
  <c r="H459" i="5"/>
  <c r="C459" i="5"/>
  <c r="L459" i="5"/>
  <c r="G459" i="5"/>
  <c r="A459" i="5"/>
  <c r="E459" i="5"/>
  <c r="J255" i="5"/>
  <c r="F255" i="5"/>
  <c r="B255" i="5"/>
  <c r="I255" i="5"/>
  <c r="D255" i="5"/>
  <c r="H255" i="5"/>
  <c r="C255" i="5"/>
  <c r="L255" i="5"/>
  <c r="G255" i="5"/>
  <c r="A255" i="5"/>
  <c r="E255" i="5"/>
  <c r="J319" i="5"/>
  <c r="F319" i="5"/>
  <c r="B319" i="5"/>
  <c r="I319" i="5"/>
  <c r="D319" i="5"/>
  <c r="H319" i="5"/>
  <c r="C319" i="5"/>
  <c r="L319" i="5"/>
  <c r="G319" i="5"/>
  <c r="A319" i="5"/>
  <c r="E319" i="5"/>
  <c r="J383" i="5"/>
  <c r="F383" i="5"/>
  <c r="B383" i="5"/>
  <c r="I383" i="5"/>
  <c r="D383" i="5"/>
  <c r="H383" i="5"/>
  <c r="C383" i="5"/>
  <c r="L383" i="5"/>
  <c r="G383" i="5"/>
  <c r="A383" i="5"/>
  <c r="E383" i="5"/>
  <c r="J447" i="5"/>
  <c r="F447" i="5"/>
  <c r="B447" i="5"/>
  <c r="I447" i="5"/>
  <c r="D447" i="5"/>
  <c r="H447" i="5"/>
  <c r="C447" i="5"/>
  <c r="L447" i="5"/>
  <c r="G447" i="5"/>
  <c r="A447" i="5"/>
  <c r="E447" i="5"/>
  <c r="J511" i="5"/>
  <c r="F511" i="5"/>
  <c r="B511" i="5"/>
  <c r="I511" i="5"/>
  <c r="D511" i="5"/>
  <c r="H511" i="5"/>
  <c r="C511" i="5"/>
  <c r="L511" i="5"/>
  <c r="G511" i="5"/>
  <c r="A511" i="5"/>
  <c r="E511" i="5"/>
  <c r="J256" i="5"/>
  <c r="F256" i="5"/>
  <c r="B256" i="5"/>
  <c r="H256" i="5"/>
  <c r="C256" i="5"/>
  <c r="L256" i="5"/>
  <c r="G256" i="5"/>
  <c r="A256" i="5"/>
  <c r="E256" i="5"/>
  <c r="I256" i="5"/>
  <c r="D256" i="5"/>
  <c r="J272" i="5"/>
  <c r="F272" i="5"/>
  <c r="B272" i="5"/>
  <c r="H272" i="5"/>
  <c r="C272" i="5"/>
  <c r="L272" i="5"/>
  <c r="G272" i="5"/>
  <c r="A272" i="5"/>
  <c r="E272" i="5"/>
  <c r="D272" i="5"/>
  <c r="I272" i="5"/>
  <c r="J288" i="5"/>
  <c r="F288" i="5"/>
  <c r="B288" i="5"/>
  <c r="H288" i="5"/>
  <c r="C288" i="5"/>
  <c r="L288" i="5"/>
  <c r="G288" i="5"/>
  <c r="A288" i="5"/>
  <c r="E288" i="5"/>
  <c r="D288" i="5"/>
  <c r="I288" i="5"/>
  <c r="J304" i="5"/>
  <c r="F304" i="5"/>
  <c r="B304" i="5"/>
  <c r="H304" i="5"/>
  <c r="C304" i="5"/>
  <c r="L304" i="5"/>
  <c r="G304" i="5"/>
  <c r="A304" i="5"/>
  <c r="E304" i="5"/>
  <c r="D304" i="5"/>
  <c r="I304" i="5"/>
  <c r="J320" i="5"/>
  <c r="F320" i="5"/>
  <c r="B320" i="5"/>
  <c r="H320" i="5"/>
  <c r="C320" i="5"/>
  <c r="L320" i="5"/>
  <c r="G320" i="5"/>
  <c r="A320" i="5"/>
  <c r="E320" i="5"/>
  <c r="D320" i="5"/>
  <c r="I320" i="5"/>
  <c r="J336" i="5"/>
  <c r="F336" i="5"/>
  <c r="B336" i="5"/>
  <c r="H336" i="5"/>
  <c r="C336" i="5"/>
  <c r="L336" i="5"/>
  <c r="G336" i="5"/>
  <c r="A336" i="5"/>
  <c r="E336" i="5"/>
  <c r="D336" i="5"/>
  <c r="I336" i="5"/>
  <c r="J352" i="5"/>
  <c r="F352" i="5"/>
  <c r="B352" i="5"/>
  <c r="H352" i="5"/>
  <c r="C352" i="5"/>
  <c r="L352" i="5"/>
  <c r="G352" i="5"/>
  <c r="A352" i="5"/>
  <c r="E352" i="5"/>
  <c r="D352" i="5"/>
  <c r="I352" i="5"/>
  <c r="J368" i="5"/>
  <c r="F368" i="5"/>
  <c r="B368" i="5"/>
  <c r="H368" i="5"/>
  <c r="C368" i="5"/>
  <c r="L368" i="5"/>
  <c r="G368" i="5"/>
  <c r="A368" i="5"/>
  <c r="E368" i="5"/>
  <c r="D368" i="5"/>
  <c r="I368" i="5"/>
  <c r="J384" i="5"/>
  <c r="F384" i="5"/>
  <c r="B384" i="5"/>
  <c r="H384" i="5"/>
  <c r="C384" i="5"/>
  <c r="L384" i="5"/>
  <c r="G384" i="5"/>
  <c r="A384" i="5"/>
  <c r="E384" i="5"/>
  <c r="D384" i="5"/>
  <c r="I384" i="5"/>
  <c r="J400" i="5"/>
  <c r="F400" i="5"/>
  <c r="B400" i="5"/>
  <c r="H400" i="5"/>
  <c r="C400" i="5"/>
  <c r="L400" i="5"/>
  <c r="G400" i="5"/>
  <c r="A400" i="5"/>
  <c r="E400" i="5"/>
  <c r="D400" i="5"/>
  <c r="I400" i="5"/>
  <c r="J416" i="5"/>
  <c r="F416" i="5"/>
  <c r="B416" i="5"/>
  <c r="H416" i="5"/>
  <c r="C416" i="5"/>
  <c r="L416" i="5"/>
  <c r="G416" i="5"/>
  <c r="A416" i="5"/>
  <c r="E416" i="5"/>
  <c r="D416" i="5"/>
  <c r="I416" i="5"/>
  <c r="J432" i="5"/>
  <c r="F432" i="5"/>
  <c r="B432" i="5"/>
  <c r="H432" i="5"/>
  <c r="C432" i="5"/>
  <c r="L432" i="5"/>
  <c r="G432" i="5"/>
  <c r="A432" i="5"/>
  <c r="E432" i="5"/>
  <c r="D432" i="5"/>
  <c r="I432" i="5"/>
  <c r="J448" i="5"/>
  <c r="F448" i="5"/>
  <c r="B448" i="5"/>
  <c r="H448" i="5"/>
  <c r="C448" i="5"/>
  <c r="L448" i="5"/>
  <c r="G448" i="5"/>
  <c r="A448" i="5"/>
  <c r="E448" i="5"/>
  <c r="D448" i="5"/>
  <c r="I448" i="5"/>
  <c r="J464" i="5"/>
  <c r="F464" i="5"/>
  <c r="B464" i="5"/>
  <c r="H464" i="5"/>
  <c r="C464" i="5"/>
  <c r="L464" i="5"/>
  <c r="G464" i="5"/>
  <c r="A464" i="5"/>
  <c r="E464" i="5"/>
  <c r="D464" i="5"/>
  <c r="I464" i="5"/>
  <c r="J480" i="5"/>
  <c r="F480" i="5"/>
  <c r="B480" i="5"/>
  <c r="H480" i="5"/>
  <c r="C480" i="5"/>
  <c r="L480" i="5"/>
  <c r="G480" i="5"/>
  <c r="A480" i="5"/>
  <c r="E480" i="5"/>
  <c r="D480" i="5"/>
  <c r="I480" i="5"/>
  <c r="J496" i="5"/>
  <c r="F496" i="5"/>
  <c r="B496" i="5"/>
  <c r="H496" i="5"/>
  <c r="C496" i="5"/>
  <c r="L496" i="5"/>
  <c r="G496" i="5"/>
  <c r="A496" i="5"/>
  <c r="E496" i="5"/>
  <c r="D496" i="5"/>
  <c r="I496" i="5"/>
  <c r="J512" i="5"/>
  <c r="F512" i="5"/>
  <c r="B512" i="5"/>
  <c r="H512" i="5"/>
  <c r="C512" i="5"/>
  <c r="L512" i="5"/>
  <c r="G512" i="5"/>
  <c r="A512" i="5"/>
  <c r="E512" i="5"/>
  <c r="D512" i="5"/>
  <c r="I512" i="5"/>
  <c r="J261" i="5"/>
  <c r="F261" i="5"/>
  <c r="B261" i="5"/>
  <c r="L261" i="5"/>
  <c r="G261" i="5"/>
  <c r="A261" i="5"/>
  <c r="E261" i="5"/>
  <c r="I261" i="5"/>
  <c r="D261" i="5"/>
  <c r="C261" i="5"/>
  <c r="H261" i="5"/>
  <c r="J277" i="5"/>
  <c r="F277" i="5"/>
  <c r="B277" i="5"/>
  <c r="L277" i="5"/>
  <c r="G277" i="5"/>
  <c r="A277" i="5"/>
  <c r="E277" i="5"/>
  <c r="I277" i="5"/>
  <c r="D277" i="5"/>
  <c r="C277" i="5"/>
  <c r="H277" i="5"/>
  <c r="J293" i="5"/>
  <c r="F293" i="5"/>
  <c r="B293" i="5"/>
  <c r="L293" i="5"/>
  <c r="G293" i="5"/>
  <c r="A293" i="5"/>
  <c r="E293" i="5"/>
  <c r="I293" i="5"/>
  <c r="D293" i="5"/>
  <c r="C293" i="5"/>
  <c r="H293" i="5"/>
  <c r="J309" i="5"/>
  <c r="F309" i="5"/>
  <c r="B309" i="5"/>
  <c r="L309" i="5"/>
  <c r="G309" i="5"/>
  <c r="A309" i="5"/>
  <c r="E309" i="5"/>
  <c r="I309" i="5"/>
  <c r="D309" i="5"/>
  <c r="C309" i="5"/>
  <c r="H309" i="5"/>
  <c r="J325" i="5"/>
  <c r="F325" i="5"/>
  <c r="B325" i="5"/>
  <c r="L325" i="5"/>
  <c r="G325" i="5"/>
  <c r="A325" i="5"/>
  <c r="E325" i="5"/>
  <c r="I325" i="5"/>
  <c r="D325" i="5"/>
  <c r="C325" i="5"/>
  <c r="H325" i="5"/>
  <c r="J341" i="5"/>
  <c r="F341" i="5"/>
  <c r="B341" i="5"/>
  <c r="L341" i="5"/>
  <c r="G341" i="5"/>
  <c r="A341" i="5"/>
  <c r="E341" i="5"/>
  <c r="I341" i="5"/>
  <c r="D341" i="5"/>
  <c r="C341" i="5"/>
  <c r="H341" i="5"/>
  <c r="J357" i="5"/>
  <c r="F357" i="5"/>
  <c r="B357" i="5"/>
  <c r="L357" i="5"/>
  <c r="G357" i="5"/>
  <c r="A357" i="5"/>
  <c r="E357" i="5"/>
  <c r="I357" i="5"/>
  <c r="D357" i="5"/>
  <c r="C357" i="5"/>
  <c r="H357" i="5"/>
  <c r="J373" i="5"/>
  <c r="F373" i="5"/>
  <c r="B373" i="5"/>
  <c r="L373" i="5"/>
  <c r="G373" i="5"/>
  <c r="A373" i="5"/>
  <c r="E373" i="5"/>
  <c r="I373" i="5"/>
  <c r="D373" i="5"/>
  <c r="C373" i="5"/>
  <c r="H373" i="5"/>
  <c r="J389" i="5"/>
  <c r="F389" i="5"/>
  <c r="B389" i="5"/>
  <c r="L389" i="5"/>
  <c r="G389" i="5"/>
  <c r="A389" i="5"/>
  <c r="E389" i="5"/>
  <c r="I389" i="5"/>
  <c r="D389" i="5"/>
  <c r="C389" i="5"/>
  <c r="H389" i="5"/>
  <c r="J405" i="5"/>
  <c r="F405" i="5"/>
  <c r="B405" i="5"/>
  <c r="L405" i="5"/>
  <c r="G405" i="5"/>
  <c r="A405" i="5"/>
  <c r="E405" i="5"/>
  <c r="I405" i="5"/>
  <c r="D405" i="5"/>
  <c r="C405" i="5"/>
  <c r="H405" i="5"/>
  <c r="J421" i="5"/>
  <c r="F421" i="5"/>
  <c r="B421" i="5"/>
  <c r="L421" i="5"/>
  <c r="G421" i="5"/>
  <c r="A421" i="5"/>
  <c r="E421" i="5"/>
  <c r="I421" i="5"/>
  <c r="D421" i="5"/>
  <c r="C421" i="5"/>
  <c r="H421" i="5"/>
  <c r="J437" i="5"/>
  <c r="F437" i="5"/>
  <c r="B437" i="5"/>
  <c r="L437" i="5"/>
  <c r="G437" i="5"/>
  <c r="A437" i="5"/>
  <c r="E437" i="5"/>
  <c r="I437" i="5"/>
  <c r="D437" i="5"/>
  <c r="C437" i="5"/>
  <c r="H437" i="5"/>
  <c r="J453" i="5"/>
  <c r="F453" i="5"/>
  <c r="B453" i="5"/>
  <c r="L453" i="5"/>
  <c r="G453" i="5"/>
  <c r="A453" i="5"/>
  <c r="E453" i="5"/>
  <c r="I453" i="5"/>
  <c r="D453" i="5"/>
  <c r="C453" i="5"/>
  <c r="H453" i="5"/>
  <c r="J469" i="5"/>
  <c r="F469" i="5"/>
  <c r="B469" i="5"/>
  <c r="L469" i="5"/>
  <c r="G469" i="5"/>
  <c r="A469" i="5"/>
  <c r="E469" i="5"/>
  <c r="I469" i="5"/>
  <c r="D469" i="5"/>
  <c r="C469" i="5"/>
  <c r="H469" i="5"/>
  <c r="J485" i="5"/>
  <c r="F485" i="5"/>
  <c r="B485" i="5"/>
  <c r="L485" i="5"/>
  <c r="G485" i="5"/>
  <c r="A485" i="5"/>
  <c r="E485" i="5"/>
  <c r="I485" i="5"/>
  <c r="D485" i="5"/>
  <c r="C485" i="5"/>
  <c r="H485" i="5"/>
  <c r="J501" i="5"/>
  <c r="F501" i="5"/>
  <c r="B501" i="5"/>
  <c r="L501" i="5"/>
  <c r="G501" i="5"/>
  <c r="A501" i="5"/>
  <c r="E501" i="5"/>
  <c r="I501" i="5"/>
  <c r="D501" i="5"/>
  <c r="C501" i="5"/>
  <c r="H501" i="5"/>
  <c r="J517" i="5"/>
  <c r="F517" i="5"/>
  <c r="B517" i="5"/>
  <c r="I517" i="5"/>
  <c r="D517" i="5"/>
  <c r="H517" i="5"/>
  <c r="C517" i="5"/>
  <c r="L517" i="5"/>
  <c r="A517" i="5"/>
  <c r="G517" i="5"/>
  <c r="E517" i="5"/>
  <c r="G146" i="5"/>
  <c r="C146" i="5"/>
  <c r="J146" i="5"/>
  <c r="F146" i="5"/>
  <c r="B146" i="5"/>
  <c r="I146" i="5"/>
  <c r="E146" i="5"/>
  <c r="A146" i="5"/>
  <c r="H146" i="5"/>
  <c r="D146" i="5"/>
  <c r="L146" i="5"/>
  <c r="G150" i="5"/>
  <c r="C150" i="5"/>
  <c r="J150" i="5"/>
  <c r="F150" i="5"/>
  <c r="B150" i="5"/>
  <c r="I150" i="5"/>
  <c r="E150" i="5"/>
  <c r="A150" i="5"/>
  <c r="H150" i="5"/>
  <c r="D150" i="5"/>
  <c r="L150" i="5"/>
  <c r="G154" i="5"/>
  <c r="C154" i="5"/>
  <c r="J154" i="5"/>
  <c r="F154" i="5"/>
  <c r="B154" i="5"/>
  <c r="I154" i="5"/>
  <c r="E154" i="5"/>
  <c r="A154" i="5"/>
  <c r="H154" i="5"/>
  <c r="D154" i="5"/>
  <c r="L154" i="5"/>
  <c r="G158" i="5"/>
  <c r="C158" i="5"/>
  <c r="J158" i="5"/>
  <c r="F158" i="5"/>
  <c r="B158" i="5"/>
  <c r="I158" i="5"/>
  <c r="E158" i="5"/>
  <c r="A158" i="5"/>
  <c r="H158" i="5"/>
  <c r="D158" i="5"/>
  <c r="L158" i="5"/>
  <c r="G162" i="5"/>
  <c r="C162" i="5"/>
  <c r="J162" i="5"/>
  <c r="F162" i="5"/>
  <c r="B162" i="5"/>
  <c r="I162" i="5"/>
  <c r="E162" i="5"/>
  <c r="A162" i="5"/>
  <c r="H162" i="5"/>
  <c r="D162" i="5"/>
  <c r="L162" i="5"/>
  <c r="G166" i="5"/>
  <c r="C166" i="5"/>
  <c r="J166" i="5"/>
  <c r="F166" i="5"/>
  <c r="B166" i="5"/>
  <c r="I166" i="5"/>
  <c r="E166" i="5"/>
  <c r="A166" i="5"/>
  <c r="H166" i="5"/>
  <c r="D166" i="5"/>
  <c r="L166" i="5"/>
  <c r="G170" i="5"/>
  <c r="C170" i="5"/>
  <c r="J170" i="5"/>
  <c r="F170" i="5"/>
  <c r="B170" i="5"/>
  <c r="I170" i="5"/>
  <c r="E170" i="5"/>
  <c r="A170" i="5"/>
  <c r="H170" i="5"/>
  <c r="D170" i="5"/>
  <c r="L170" i="5"/>
  <c r="G174" i="5"/>
  <c r="C174" i="5"/>
  <c r="J174" i="5"/>
  <c r="F174" i="5"/>
  <c r="B174" i="5"/>
  <c r="I174" i="5"/>
  <c r="E174" i="5"/>
  <c r="A174" i="5"/>
  <c r="H174" i="5"/>
  <c r="D174" i="5"/>
  <c r="L174" i="5"/>
  <c r="G178" i="5"/>
  <c r="C178" i="5"/>
  <c r="J178" i="5"/>
  <c r="F178" i="5"/>
  <c r="B178" i="5"/>
  <c r="I178" i="5"/>
  <c r="E178" i="5"/>
  <c r="A178" i="5"/>
  <c r="H178" i="5"/>
  <c r="D178" i="5"/>
  <c r="L178" i="5"/>
  <c r="G182" i="5"/>
  <c r="C182" i="5"/>
  <c r="J182" i="5"/>
  <c r="F182" i="5"/>
  <c r="B182" i="5"/>
  <c r="I182" i="5"/>
  <c r="E182" i="5"/>
  <c r="A182" i="5"/>
  <c r="H182" i="5"/>
  <c r="D182" i="5"/>
  <c r="L182" i="5"/>
  <c r="G186" i="5"/>
  <c r="C186" i="5"/>
  <c r="J186" i="5"/>
  <c r="F186" i="5"/>
  <c r="B186" i="5"/>
  <c r="I186" i="5"/>
  <c r="E186" i="5"/>
  <c r="A186" i="5"/>
  <c r="H186" i="5"/>
  <c r="D186" i="5"/>
  <c r="L186" i="5"/>
  <c r="G190" i="5"/>
  <c r="C190" i="5"/>
  <c r="J190" i="5"/>
  <c r="F190" i="5"/>
  <c r="B190" i="5"/>
  <c r="I190" i="5"/>
  <c r="E190" i="5"/>
  <c r="A190" i="5"/>
  <c r="H190" i="5"/>
  <c r="D190" i="5"/>
  <c r="L190" i="5"/>
  <c r="G194" i="5"/>
  <c r="C194" i="5"/>
  <c r="J194" i="5"/>
  <c r="F194" i="5"/>
  <c r="B194" i="5"/>
  <c r="I194" i="5"/>
  <c r="E194" i="5"/>
  <c r="A194" i="5"/>
  <c r="H194" i="5"/>
  <c r="D194" i="5"/>
  <c r="L194" i="5"/>
  <c r="G198" i="5"/>
  <c r="C198" i="5"/>
  <c r="J198" i="5"/>
  <c r="F198" i="5"/>
  <c r="B198" i="5"/>
  <c r="I198" i="5"/>
  <c r="E198" i="5"/>
  <c r="A198" i="5"/>
  <c r="H198" i="5"/>
  <c r="D198" i="5"/>
  <c r="L198" i="5"/>
  <c r="G202" i="5"/>
  <c r="C202" i="5"/>
  <c r="J202" i="5"/>
  <c r="F202" i="5"/>
  <c r="B202" i="5"/>
  <c r="I202" i="5"/>
  <c r="E202" i="5"/>
  <c r="A202" i="5"/>
  <c r="H202" i="5"/>
  <c r="D202" i="5"/>
  <c r="L202" i="5"/>
  <c r="G206" i="5"/>
  <c r="C206" i="5"/>
  <c r="J206" i="5"/>
  <c r="F206" i="5"/>
  <c r="B206" i="5"/>
  <c r="I206" i="5"/>
  <c r="E206" i="5"/>
  <c r="A206" i="5"/>
  <c r="H206" i="5"/>
  <c r="D206" i="5"/>
  <c r="L206" i="5"/>
  <c r="G210" i="5"/>
  <c r="C210" i="5"/>
  <c r="J210" i="5"/>
  <c r="F210" i="5"/>
  <c r="B210" i="5"/>
  <c r="I210" i="5"/>
  <c r="E210" i="5"/>
  <c r="A210" i="5"/>
  <c r="H210" i="5"/>
  <c r="D210" i="5"/>
  <c r="L210" i="5"/>
  <c r="G214" i="5"/>
  <c r="C214" i="5"/>
  <c r="J214" i="5"/>
  <c r="F214" i="5"/>
  <c r="B214" i="5"/>
  <c r="I214" i="5"/>
  <c r="E214" i="5"/>
  <c r="A214" i="5"/>
  <c r="H214" i="5"/>
  <c r="D214" i="5"/>
  <c r="L214" i="5"/>
  <c r="G218" i="5"/>
  <c r="C218" i="5"/>
  <c r="J218" i="5"/>
  <c r="F218" i="5"/>
  <c r="B218" i="5"/>
  <c r="I218" i="5"/>
  <c r="E218" i="5"/>
  <c r="A218" i="5"/>
  <c r="H218" i="5"/>
  <c r="D218" i="5"/>
  <c r="L218" i="5"/>
  <c r="G222" i="5"/>
  <c r="C222" i="5"/>
  <c r="J222" i="5"/>
  <c r="F222" i="5"/>
  <c r="B222" i="5"/>
  <c r="I222" i="5"/>
  <c r="E222" i="5"/>
  <c r="A222" i="5"/>
  <c r="H222" i="5"/>
  <c r="D222" i="5"/>
  <c r="L222" i="5"/>
  <c r="G226" i="5"/>
  <c r="C226" i="5"/>
  <c r="J226" i="5"/>
  <c r="F226" i="5"/>
  <c r="B226" i="5"/>
  <c r="I226" i="5"/>
  <c r="E226" i="5"/>
  <c r="A226" i="5"/>
  <c r="H226" i="5"/>
  <c r="D226" i="5"/>
  <c r="L226" i="5"/>
  <c r="G230" i="5"/>
  <c r="C230" i="5"/>
  <c r="J230" i="5"/>
  <c r="F230" i="5"/>
  <c r="B230" i="5"/>
  <c r="I230" i="5"/>
  <c r="E230" i="5"/>
  <c r="A230" i="5"/>
  <c r="H230" i="5"/>
  <c r="D230" i="5"/>
  <c r="L230" i="5"/>
  <c r="G234" i="5"/>
  <c r="C234" i="5"/>
  <c r="J234" i="5"/>
  <c r="F234" i="5"/>
  <c r="B234" i="5"/>
  <c r="I234" i="5"/>
  <c r="E234" i="5"/>
  <c r="A234" i="5"/>
  <c r="H234" i="5"/>
  <c r="D234" i="5"/>
  <c r="L234" i="5"/>
  <c r="G238" i="5"/>
  <c r="C238" i="5"/>
  <c r="J238" i="5"/>
  <c r="F238" i="5"/>
  <c r="B238" i="5"/>
  <c r="I238" i="5"/>
  <c r="E238" i="5"/>
  <c r="A238" i="5"/>
  <c r="H238" i="5"/>
  <c r="D238" i="5"/>
  <c r="L238" i="5"/>
  <c r="G242" i="5"/>
  <c r="C242" i="5"/>
  <c r="J242" i="5"/>
  <c r="F242" i="5"/>
  <c r="B242" i="5"/>
  <c r="I242" i="5"/>
  <c r="E242" i="5"/>
  <c r="A242" i="5"/>
  <c r="H242" i="5"/>
  <c r="D242" i="5"/>
  <c r="L242" i="5"/>
  <c r="G246" i="5"/>
  <c r="C246" i="5"/>
  <c r="J246" i="5"/>
  <c r="F246" i="5"/>
  <c r="B246" i="5"/>
  <c r="I246" i="5"/>
  <c r="E246" i="5"/>
  <c r="A246" i="5"/>
  <c r="H246" i="5"/>
  <c r="D246" i="5"/>
  <c r="L246" i="5"/>
  <c r="J262" i="5"/>
  <c r="F262" i="5"/>
  <c r="B262" i="5"/>
  <c r="E262" i="5"/>
  <c r="I262" i="5"/>
  <c r="D262" i="5"/>
  <c r="H262" i="5"/>
  <c r="C262" i="5"/>
  <c r="L262" i="5"/>
  <c r="G262" i="5"/>
  <c r="A262" i="5"/>
  <c r="J278" i="5"/>
  <c r="F278" i="5"/>
  <c r="B278" i="5"/>
  <c r="E278" i="5"/>
  <c r="I278" i="5"/>
  <c r="D278" i="5"/>
  <c r="H278" i="5"/>
  <c r="C278" i="5"/>
  <c r="L278" i="5"/>
  <c r="G278" i="5"/>
  <c r="A278" i="5"/>
  <c r="J294" i="5"/>
  <c r="F294" i="5"/>
  <c r="B294" i="5"/>
  <c r="E294" i="5"/>
  <c r="I294" i="5"/>
  <c r="D294" i="5"/>
  <c r="H294" i="5"/>
  <c r="C294" i="5"/>
  <c r="L294" i="5"/>
  <c r="G294" i="5"/>
  <c r="A294" i="5"/>
  <c r="J310" i="5"/>
  <c r="F310" i="5"/>
  <c r="B310" i="5"/>
  <c r="E310" i="5"/>
  <c r="I310" i="5"/>
  <c r="D310" i="5"/>
  <c r="H310" i="5"/>
  <c r="C310" i="5"/>
  <c r="L310" i="5"/>
  <c r="G310" i="5"/>
  <c r="A310" i="5"/>
  <c r="J326" i="5"/>
  <c r="F326" i="5"/>
  <c r="B326" i="5"/>
  <c r="E326" i="5"/>
  <c r="I326" i="5"/>
  <c r="D326" i="5"/>
  <c r="H326" i="5"/>
  <c r="C326" i="5"/>
  <c r="L326" i="5"/>
  <c r="G326" i="5"/>
  <c r="A326" i="5"/>
  <c r="J342" i="5"/>
  <c r="F342" i="5"/>
  <c r="B342" i="5"/>
  <c r="E342" i="5"/>
  <c r="I342" i="5"/>
  <c r="D342" i="5"/>
  <c r="H342" i="5"/>
  <c r="C342" i="5"/>
  <c r="L342" i="5"/>
  <c r="G342" i="5"/>
  <c r="A342" i="5"/>
  <c r="J358" i="5"/>
  <c r="F358" i="5"/>
  <c r="B358" i="5"/>
  <c r="E358" i="5"/>
  <c r="I358" i="5"/>
  <c r="D358" i="5"/>
  <c r="H358" i="5"/>
  <c r="C358" i="5"/>
  <c r="L358" i="5"/>
  <c r="G358" i="5"/>
  <c r="A358" i="5"/>
  <c r="J374" i="5"/>
  <c r="F374" i="5"/>
  <c r="B374" i="5"/>
  <c r="E374" i="5"/>
  <c r="I374" i="5"/>
  <c r="D374" i="5"/>
  <c r="H374" i="5"/>
  <c r="C374" i="5"/>
  <c r="L374" i="5"/>
  <c r="G374" i="5"/>
  <c r="A374" i="5"/>
  <c r="J390" i="5"/>
  <c r="F390" i="5"/>
  <c r="B390" i="5"/>
  <c r="E390" i="5"/>
  <c r="I390" i="5"/>
  <c r="D390" i="5"/>
  <c r="H390" i="5"/>
  <c r="C390" i="5"/>
  <c r="L390" i="5"/>
  <c r="G390" i="5"/>
  <c r="A390" i="5"/>
  <c r="J406" i="5"/>
  <c r="F406" i="5"/>
  <c r="B406" i="5"/>
  <c r="E406" i="5"/>
  <c r="I406" i="5"/>
  <c r="D406" i="5"/>
  <c r="H406" i="5"/>
  <c r="C406" i="5"/>
  <c r="L406" i="5"/>
  <c r="G406" i="5"/>
  <c r="A406" i="5"/>
  <c r="J422" i="5"/>
  <c r="F422" i="5"/>
  <c r="B422" i="5"/>
  <c r="E422" i="5"/>
  <c r="I422" i="5"/>
  <c r="D422" i="5"/>
  <c r="H422" i="5"/>
  <c r="C422" i="5"/>
  <c r="L422" i="5"/>
  <c r="G422" i="5"/>
  <c r="A422" i="5"/>
  <c r="J438" i="5"/>
  <c r="F438" i="5"/>
  <c r="B438" i="5"/>
  <c r="E438" i="5"/>
  <c r="I438" i="5"/>
  <c r="D438" i="5"/>
  <c r="H438" i="5"/>
  <c r="C438" i="5"/>
  <c r="L438" i="5"/>
  <c r="G438" i="5"/>
  <c r="A438" i="5"/>
  <c r="J454" i="5"/>
  <c r="F454" i="5"/>
  <c r="B454" i="5"/>
  <c r="E454" i="5"/>
  <c r="I454" i="5"/>
  <c r="D454" i="5"/>
  <c r="H454" i="5"/>
  <c r="C454" i="5"/>
  <c r="L454" i="5"/>
  <c r="G454" i="5"/>
  <c r="A454" i="5"/>
  <c r="J470" i="5"/>
  <c r="F470" i="5"/>
  <c r="B470" i="5"/>
  <c r="E470" i="5"/>
  <c r="I470" i="5"/>
  <c r="D470" i="5"/>
  <c r="H470" i="5"/>
  <c r="C470" i="5"/>
  <c r="L470" i="5"/>
  <c r="G470" i="5"/>
  <c r="A470" i="5"/>
  <c r="J486" i="5"/>
  <c r="F486" i="5"/>
  <c r="B486" i="5"/>
  <c r="E486" i="5"/>
  <c r="I486" i="5"/>
  <c r="D486" i="5"/>
  <c r="H486" i="5"/>
  <c r="C486" i="5"/>
  <c r="L486" i="5"/>
  <c r="G486" i="5"/>
  <c r="A486" i="5"/>
  <c r="J502" i="5"/>
  <c r="F502" i="5"/>
  <c r="B502" i="5"/>
  <c r="E502" i="5"/>
  <c r="I502" i="5"/>
  <c r="D502" i="5"/>
  <c r="H502" i="5"/>
  <c r="C502" i="5"/>
  <c r="L502" i="5"/>
  <c r="G502" i="5"/>
  <c r="A502" i="5"/>
  <c r="J518" i="5"/>
  <c r="F518" i="5"/>
  <c r="B518" i="5"/>
  <c r="H518" i="5"/>
  <c r="C518" i="5"/>
  <c r="L518" i="5"/>
  <c r="G518" i="5"/>
  <c r="A518" i="5"/>
  <c r="I518" i="5"/>
  <c r="E518" i="5"/>
  <c r="D518" i="5"/>
  <c r="L42" i="5"/>
  <c r="H42" i="5"/>
  <c r="D42" i="5"/>
  <c r="I42" i="5"/>
  <c r="C42" i="5"/>
  <c r="G42" i="5"/>
  <c r="B42" i="5"/>
  <c r="J42" i="5"/>
  <c r="E42" i="5"/>
  <c r="F42" i="5"/>
  <c r="A42" i="5"/>
  <c r="L9" i="5"/>
  <c r="H9" i="5"/>
  <c r="D9" i="5"/>
  <c r="G9" i="5"/>
  <c r="C9" i="5"/>
  <c r="A9" i="5"/>
  <c r="J9" i="5"/>
  <c r="F9" i="5"/>
  <c r="B9" i="5"/>
  <c r="I9" i="5"/>
  <c r="E9" i="5"/>
  <c r="L37" i="5"/>
  <c r="H37" i="5"/>
  <c r="D37" i="5"/>
  <c r="G37" i="5"/>
  <c r="C37" i="5"/>
  <c r="I37" i="5"/>
  <c r="E37" i="5"/>
  <c r="A37" i="5"/>
  <c r="J37" i="5"/>
  <c r="F37" i="5"/>
  <c r="B37" i="5"/>
  <c r="L40" i="5"/>
  <c r="H40" i="5"/>
  <c r="D40" i="5"/>
  <c r="F40" i="5"/>
  <c r="A40" i="5"/>
  <c r="J40" i="5"/>
  <c r="E40" i="5"/>
  <c r="G40" i="5"/>
  <c r="B40" i="5"/>
  <c r="I40" i="5"/>
  <c r="C40" i="5"/>
  <c r="J98" i="5"/>
  <c r="F98" i="5"/>
  <c r="B98" i="5"/>
  <c r="I98" i="5"/>
  <c r="E98" i="5"/>
  <c r="A98" i="5"/>
  <c r="G98" i="5"/>
  <c r="C98" i="5"/>
  <c r="H98" i="5"/>
  <c r="D98" i="5"/>
  <c r="L98" i="5"/>
  <c r="J130" i="5"/>
  <c r="F130" i="5"/>
  <c r="B130" i="5"/>
  <c r="I130" i="5"/>
  <c r="E130" i="5"/>
  <c r="A130" i="5"/>
  <c r="G130" i="5"/>
  <c r="L130" i="5"/>
  <c r="D130" i="5"/>
  <c r="C130" i="5"/>
  <c r="H130" i="5"/>
  <c r="G63" i="5"/>
  <c r="C63" i="5"/>
  <c r="I63" i="5"/>
  <c r="E63" i="5"/>
  <c r="A63" i="5"/>
  <c r="L63" i="5"/>
  <c r="H63" i="5"/>
  <c r="D63" i="5"/>
  <c r="J63" i="5"/>
  <c r="B63" i="5"/>
  <c r="F63" i="5"/>
  <c r="J85" i="5"/>
  <c r="F85" i="5"/>
  <c r="B85" i="5"/>
  <c r="I85" i="5"/>
  <c r="E85" i="5"/>
  <c r="A85" i="5"/>
  <c r="C85" i="5"/>
  <c r="G85" i="5"/>
  <c r="L85" i="5"/>
  <c r="D85" i="5"/>
  <c r="H85" i="5"/>
  <c r="J125" i="5"/>
  <c r="F125" i="5"/>
  <c r="B125" i="5"/>
  <c r="I125" i="5"/>
  <c r="E125" i="5"/>
  <c r="A125" i="5"/>
  <c r="C125" i="5"/>
  <c r="H125" i="5"/>
  <c r="G125" i="5"/>
  <c r="L125" i="5"/>
  <c r="D125" i="5"/>
  <c r="J275" i="5"/>
  <c r="F275" i="5"/>
  <c r="B275" i="5"/>
  <c r="I275" i="5"/>
  <c r="D275" i="5"/>
  <c r="H275" i="5"/>
  <c r="C275" i="5"/>
  <c r="L275" i="5"/>
  <c r="G275" i="5"/>
  <c r="A275" i="5"/>
  <c r="E275" i="5"/>
  <c r="J363" i="5"/>
  <c r="F363" i="5"/>
  <c r="B363" i="5"/>
  <c r="I363" i="5"/>
  <c r="D363" i="5"/>
  <c r="H363" i="5"/>
  <c r="C363" i="5"/>
  <c r="L363" i="5"/>
  <c r="G363" i="5"/>
  <c r="A363" i="5"/>
  <c r="E363" i="5"/>
  <c r="J351" i="5"/>
  <c r="F351" i="5"/>
  <c r="B351" i="5"/>
  <c r="I351" i="5"/>
  <c r="D351" i="5"/>
  <c r="H351" i="5"/>
  <c r="C351" i="5"/>
  <c r="L351" i="5"/>
  <c r="G351" i="5"/>
  <c r="A351" i="5"/>
  <c r="E351" i="5"/>
  <c r="J264" i="5"/>
  <c r="F264" i="5"/>
  <c r="B264" i="5"/>
  <c r="H264" i="5"/>
  <c r="C264" i="5"/>
  <c r="L264" i="5"/>
  <c r="G264" i="5"/>
  <c r="A264" i="5"/>
  <c r="E264" i="5"/>
  <c r="I264" i="5"/>
  <c r="D264" i="5"/>
  <c r="J328" i="5"/>
  <c r="F328" i="5"/>
  <c r="B328" i="5"/>
  <c r="H328" i="5"/>
  <c r="C328" i="5"/>
  <c r="L328" i="5"/>
  <c r="G328" i="5"/>
  <c r="A328" i="5"/>
  <c r="E328" i="5"/>
  <c r="I328" i="5"/>
  <c r="D328" i="5"/>
  <c r="J392" i="5"/>
  <c r="F392" i="5"/>
  <c r="B392" i="5"/>
  <c r="H392" i="5"/>
  <c r="C392" i="5"/>
  <c r="L392" i="5"/>
  <c r="G392" i="5"/>
  <c r="A392" i="5"/>
  <c r="E392" i="5"/>
  <c r="I392" i="5"/>
  <c r="D392" i="5"/>
  <c r="J456" i="5"/>
  <c r="F456" i="5"/>
  <c r="B456" i="5"/>
  <c r="H456" i="5"/>
  <c r="C456" i="5"/>
  <c r="L456" i="5"/>
  <c r="G456" i="5"/>
  <c r="A456" i="5"/>
  <c r="E456" i="5"/>
  <c r="I456" i="5"/>
  <c r="D456" i="5"/>
  <c r="J253" i="5"/>
  <c r="F253" i="5"/>
  <c r="B253" i="5"/>
  <c r="L253" i="5"/>
  <c r="G253" i="5"/>
  <c r="A253" i="5"/>
  <c r="E253" i="5"/>
  <c r="I253" i="5"/>
  <c r="D253" i="5"/>
  <c r="H253" i="5"/>
  <c r="C253" i="5"/>
  <c r="J317" i="5"/>
  <c r="F317" i="5"/>
  <c r="B317" i="5"/>
  <c r="L317" i="5"/>
  <c r="G317" i="5"/>
  <c r="A317" i="5"/>
  <c r="E317" i="5"/>
  <c r="I317" i="5"/>
  <c r="D317" i="5"/>
  <c r="H317" i="5"/>
  <c r="C317" i="5"/>
  <c r="J381" i="5"/>
  <c r="F381" i="5"/>
  <c r="B381" i="5"/>
  <c r="L381" i="5"/>
  <c r="G381" i="5"/>
  <c r="A381" i="5"/>
  <c r="E381" i="5"/>
  <c r="I381" i="5"/>
  <c r="D381" i="5"/>
  <c r="H381" i="5"/>
  <c r="C381" i="5"/>
  <c r="J445" i="5"/>
  <c r="F445" i="5"/>
  <c r="B445" i="5"/>
  <c r="L445" i="5"/>
  <c r="G445" i="5"/>
  <c r="A445" i="5"/>
  <c r="E445" i="5"/>
  <c r="I445" i="5"/>
  <c r="D445" i="5"/>
  <c r="H445" i="5"/>
  <c r="C445" i="5"/>
  <c r="I16" i="5"/>
  <c r="E16" i="5"/>
  <c r="A16" i="5"/>
  <c r="L16" i="5"/>
  <c r="H16" i="5"/>
  <c r="D16" i="5"/>
  <c r="G16" i="5"/>
  <c r="C16" i="5"/>
  <c r="J16" i="5"/>
  <c r="F16" i="5"/>
  <c r="B16" i="5"/>
  <c r="L54" i="5"/>
  <c r="H54" i="5"/>
  <c r="D54" i="5"/>
  <c r="I54" i="5"/>
  <c r="C54" i="5"/>
  <c r="G54" i="5"/>
  <c r="B54" i="5"/>
  <c r="J54" i="5"/>
  <c r="E54" i="5"/>
  <c r="F54" i="5"/>
  <c r="A54" i="5"/>
  <c r="J15" i="5"/>
  <c r="F15" i="5"/>
  <c r="B15" i="5"/>
  <c r="I15" i="5"/>
  <c r="E15" i="5"/>
  <c r="A15" i="5"/>
  <c r="G15" i="5"/>
  <c r="C15" i="5"/>
  <c r="L15" i="5"/>
  <c r="H15" i="5"/>
  <c r="D15" i="5"/>
  <c r="L49" i="5"/>
  <c r="H49" i="5"/>
  <c r="D49" i="5"/>
  <c r="J49" i="5"/>
  <c r="E49" i="5"/>
  <c r="I49" i="5"/>
  <c r="C49" i="5"/>
  <c r="F49" i="5"/>
  <c r="A49" i="5"/>
  <c r="G49" i="5"/>
  <c r="B49" i="5"/>
  <c r="I61" i="5"/>
  <c r="E61" i="5"/>
  <c r="A61" i="5"/>
  <c r="L61" i="5"/>
  <c r="H61" i="5"/>
  <c r="D61" i="5"/>
  <c r="J61" i="5"/>
  <c r="B61" i="5"/>
  <c r="G61" i="5"/>
  <c r="C61" i="5"/>
  <c r="F61" i="5"/>
  <c r="L20" i="5"/>
  <c r="H20" i="5"/>
  <c r="D20" i="5"/>
  <c r="G20" i="5"/>
  <c r="C20" i="5"/>
  <c r="I20" i="5"/>
  <c r="A20" i="5"/>
  <c r="J20" i="5"/>
  <c r="F20" i="5"/>
  <c r="B20" i="5"/>
  <c r="E20" i="5"/>
  <c r="L24" i="5"/>
  <c r="H24" i="5"/>
  <c r="D24" i="5"/>
  <c r="G24" i="5"/>
  <c r="C24" i="5"/>
  <c r="A24" i="5"/>
  <c r="J24" i="5"/>
  <c r="F24" i="5"/>
  <c r="B24" i="5"/>
  <c r="I24" i="5"/>
  <c r="E24" i="5"/>
  <c r="L28" i="5"/>
  <c r="H28" i="5"/>
  <c r="D28" i="5"/>
  <c r="G28" i="5"/>
  <c r="C28" i="5"/>
  <c r="E28" i="5"/>
  <c r="J28" i="5"/>
  <c r="F28" i="5"/>
  <c r="B28" i="5"/>
  <c r="I28" i="5"/>
  <c r="A28" i="5"/>
  <c r="L32" i="5"/>
  <c r="H32" i="5"/>
  <c r="D32" i="5"/>
  <c r="G32" i="5"/>
  <c r="C32" i="5"/>
  <c r="I32" i="5"/>
  <c r="A32" i="5"/>
  <c r="J32" i="5"/>
  <c r="F32" i="5"/>
  <c r="B32" i="5"/>
  <c r="E32" i="5"/>
  <c r="L36" i="5"/>
  <c r="H36" i="5"/>
  <c r="D36" i="5"/>
  <c r="G36" i="5"/>
  <c r="C36" i="5"/>
  <c r="I36" i="5"/>
  <c r="E36" i="5"/>
  <c r="J36" i="5"/>
  <c r="F36" i="5"/>
  <c r="B36" i="5"/>
  <c r="A36" i="5"/>
  <c r="L43" i="5"/>
  <c r="H43" i="5"/>
  <c r="D43" i="5"/>
  <c r="G43" i="5"/>
  <c r="B43" i="5"/>
  <c r="F43" i="5"/>
  <c r="A43" i="5"/>
  <c r="I43" i="5"/>
  <c r="C43" i="5"/>
  <c r="J43" i="5"/>
  <c r="E43" i="5"/>
  <c r="I58" i="5"/>
  <c r="E58" i="5"/>
  <c r="A58" i="5"/>
  <c r="L58" i="5"/>
  <c r="H58" i="5"/>
  <c r="D58" i="5"/>
  <c r="F58" i="5"/>
  <c r="C58" i="5"/>
  <c r="G58" i="5"/>
  <c r="J58" i="5"/>
  <c r="B58" i="5"/>
  <c r="G18" i="5"/>
  <c r="C18" i="5"/>
  <c r="J18" i="5"/>
  <c r="F18" i="5"/>
  <c r="B18" i="5"/>
  <c r="I18" i="5"/>
  <c r="E18" i="5"/>
  <c r="A18" i="5"/>
  <c r="L18" i="5"/>
  <c r="H18" i="5"/>
  <c r="D18" i="5"/>
  <c r="L52" i="5"/>
  <c r="H52" i="5"/>
  <c r="D52" i="5"/>
  <c r="F52" i="5"/>
  <c r="A52" i="5"/>
  <c r="J52" i="5"/>
  <c r="E52" i="5"/>
  <c r="G52" i="5"/>
  <c r="B52" i="5"/>
  <c r="I52" i="5"/>
  <c r="C52" i="5"/>
  <c r="J407" i="5"/>
  <c r="F407" i="5"/>
  <c r="B407" i="5"/>
  <c r="I407" i="5"/>
  <c r="D407" i="5"/>
  <c r="H407" i="5"/>
  <c r="C407" i="5"/>
  <c r="L407" i="5"/>
  <c r="G407" i="5"/>
  <c r="A407" i="5"/>
  <c r="E407" i="5"/>
  <c r="J80" i="5"/>
  <c r="F80" i="5"/>
  <c r="B80" i="5"/>
  <c r="I80" i="5"/>
  <c r="E80" i="5"/>
  <c r="A80" i="5"/>
  <c r="G80" i="5"/>
  <c r="C80" i="5"/>
  <c r="H80" i="5"/>
  <c r="L80" i="5"/>
  <c r="D80" i="5"/>
  <c r="J88" i="5"/>
  <c r="F88" i="5"/>
  <c r="B88" i="5"/>
  <c r="I88" i="5"/>
  <c r="E88" i="5"/>
  <c r="A88" i="5"/>
  <c r="G88" i="5"/>
  <c r="C88" i="5"/>
  <c r="H88" i="5"/>
  <c r="L88" i="5"/>
  <c r="D88" i="5"/>
  <c r="J96" i="5"/>
  <c r="F96" i="5"/>
  <c r="B96" i="5"/>
  <c r="I96" i="5"/>
  <c r="E96" i="5"/>
  <c r="A96" i="5"/>
  <c r="G96" i="5"/>
  <c r="C96" i="5"/>
  <c r="H96" i="5"/>
  <c r="L96" i="5"/>
  <c r="D96" i="5"/>
  <c r="J104" i="5"/>
  <c r="F104" i="5"/>
  <c r="B104" i="5"/>
  <c r="I104" i="5"/>
  <c r="E104" i="5"/>
  <c r="A104" i="5"/>
  <c r="G104" i="5"/>
  <c r="C104" i="5"/>
  <c r="H104" i="5"/>
  <c r="L104" i="5"/>
  <c r="D104" i="5"/>
  <c r="J112" i="5"/>
  <c r="F112" i="5"/>
  <c r="B112" i="5"/>
  <c r="I112" i="5"/>
  <c r="E112" i="5"/>
  <c r="A112" i="5"/>
  <c r="G112" i="5"/>
  <c r="L112" i="5"/>
  <c r="C112" i="5"/>
  <c r="H112" i="5"/>
  <c r="D112" i="5"/>
  <c r="J120" i="5"/>
  <c r="F120" i="5"/>
  <c r="B120" i="5"/>
  <c r="I120" i="5"/>
  <c r="E120" i="5"/>
  <c r="A120" i="5"/>
  <c r="G120" i="5"/>
  <c r="L120" i="5"/>
  <c r="D120" i="5"/>
  <c r="C120" i="5"/>
  <c r="H120" i="5"/>
  <c r="J128" i="5"/>
  <c r="F128" i="5"/>
  <c r="B128" i="5"/>
  <c r="I128" i="5"/>
  <c r="E128" i="5"/>
  <c r="A128" i="5"/>
  <c r="G128" i="5"/>
  <c r="L128" i="5"/>
  <c r="D128" i="5"/>
  <c r="C128" i="5"/>
  <c r="H128" i="5"/>
  <c r="J136" i="5"/>
  <c r="F136" i="5"/>
  <c r="B136" i="5"/>
  <c r="I136" i="5"/>
  <c r="E136" i="5"/>
  <c r="A136" i="5"/>
  <c r="G136" i="5"/>
  <c r="L136" i="5"/>
  <c r="D136" i="5"/>
  <c r="C136" i="5"/>
  <c r="H136" i="5"/>
  <c r="J283" i="5"/>
  <c r="F283" i="5"/>
  <c r="B283" i="5"/>
  <c r="I283" i="5"/>
  <c r="D283" i="5"/>
  <c r="H283" i="5"/>
  <c r="C283" i="5"/>
  <c r="L283" i="5"/>
  <c r="G283" i="5"/>
  <c r="A283" i="5"/>
  <c r="E283" i="5"/>
  <c r="J487" i="5"/>
  <c r="F487" i="5"/>
  <c r="B487" i="5"/>
  <c r="I487" i="5"/>
  <c r="D487" i="5"/>
  <c r="H487" i="5"/>
  <c r="C487" i="5"/>
  <c r="L487" i="5"/>
  <c r="G487" i="5"/>
  <c r="A487" i="5"/>
  <c r="E487" i="5"/>
  <c r="J327" i="5"/>
  <c r="F327" i="5"/>
  <c r="B327" i="5"/>
  <c r="I327" i="5"/>
  <c r="D327" i="5"/>
  <c r="H327" i="5"/>
  <c r="C327" i="5"/>
  <c r="L327" i="5"/>
  <c r="G327" i="5"/>
  <c r="A327" i="5"/>
  <c r="E327" i="5"/>
  <c r="G62" i="5"/>
  <c r="C62" i="5"/>
  <c r="I62" i="5"/>
  <c r="E62" i="5"/>
  <c r="A62" i="5"/>
  <c r="L62" i="5"/>
  <c r="H62" i="5"/>
  <c r="D62" i="5"/>
  <c r="J62" i="5"/>
  <c r="F62" i="5"/>
  <c r="B62" i="5"/>
  <c r="G66" i="5"/>
  <c r="C66" i="5"/>
  <c r="I66" i="5"/>
  <c r="E66" i="5"/>
  <c r="A66" i="5"/>
  <c r="L66" i="5"/>
  <c r="H66" i="5"/>
  <c r="D66" i="5"/>
  <c r="J66" i="5"/>
  <c r="F66" i="5"/>
  <c r="B66" i="5"/>
  <c r="G70" i="5"/>
  <c r="C70" i="5"/>
  <c r="I70" i="5"/>
  <c r="E70" i="5"/>
  <c r="A70" i="5"/>
  <c r="L70" i="5"/>
  <c r="H70" i="5"/>
  <c r="D70" i="5"/>
  <c r="J70" i="5"/>
  <c r="F70" i="5"/>
  <c r="B70" i="5"/>
  <c r="I76" i="5"/>
  <c r="E76" i="5"/>
  <c r="A76" i="5"/>
  <c r="F76" i="5"/>
  <c r="H76" i="5"/>
  <c r="C76" i="5"/>
  <c r="L76" i="5"/>
  <c r="G76" i="5"/>
  <c r="B76" i="5"/>
  <c r="J76" i="5"/>
  <c r="D76" i="5"/>
  <c r="J83" i="5"/>
  <c r="F83" i="5"/>
  <c r="B83" i="5"/>
  <c r="I83" i="5"/>
  <c r="E83" i="5"/>
  <c r="A83" i="5"/>
  <c r="C83" i="5"/>
  <c r="G83" i="5"/>
  <c r="L83" i="5"/>
  <c r="D83" i="5"/>
  <c r="H83" i="5"/>
  <c r="J91" i="5"/>
  <c r="F91" i="5"/>
  <c r="B91" i="5"/>
  <c r="I91" i="5"/>
  <c r="E91" i="5"/>
  <c r="A91" i="5"/>
  <c r="C91" i="5"/>
  <c r="G91" i="5"/>
  <c r="L91" i="5"/>
  <c r="D91" i="5"/>
  <c r="H91" i="5"/>
  <c r="J99" i="5"/>
  <c r="F99" i="5"/>
  <c r="B99" i="5"/>
  <c r="I99" i="5"/>
  <c r="E99" i="5"/>
  <c r="A99" i="5"/>
  <c r="C99" i="5"/>
  <c r="G99" i="5"/>
  <c r="L99" i="5"/>
  <c r="D99" i="5"/>
  <c r="H99" i="5"/>
  <c r="J107" i="5"/>
  <c r="F107" i="5"/>
  <c r="B107" i="5"/>
  <c r="I107" i="5"/>
  <c r="E107" i="5"/>
  <c r="A107" i="5"/>
  <c r="C107" i="5"/>
  <c r="G107" i="5"/>
  <c r="L107" i="5"/>
  <c r="D107" i="5"/>
  <c r="H107" i="5"/>
  <c r="J115" i="5"/>
  <c r="F115" i="5"/>
  <c r="B115" i="5"/>
  <c r="I115" i="5"/>
  <c r="E115" i="5"/>
  <c r="A115" i="5"/>
  <c r="C115" i="5"/>
  <c r="H115" i="5"/>
  <c r="G115" i="5"/>
  <c r="L115" i="5"/>
  <c r="D115" i="5"/>
  <c r="J123" i="5"/>
  <c r="F123" i="5"/>
  <c r="B123" i="5"/>
  <c r="I123" i="5"/>
  <c r="E123" i="5"/>
  <c r="A123" i="5"/>
  <c r="C123" i="5"/>
  <c r="H123" i="5"/>
  <c r="G123" i="5"/>
  <c r="L123" i="5"/>
  <c r="D123" i="5"/>
  <c r="J131" i="5"/>
  <c r="F131" i="5"/>
  <c r="B131" i="5"/>
  <c r="I131" i="5"/>
  <c r="E131" i="5"/>
  <c r="A131" i="5"/>
  <c r="C131" i="5"/>
  <c r="H131" i="5"/>
  <c r="G131" i="5"/>
  <c r="L131" i="5"/>
  <c r="D131" i="5"/>
  <c r="J139" i="5"/>
  <c r="F139" i="5"/>
  <c r="B139" i="5"/>
  <c r="I139" i="5"/>
  <c r="E139" i="5"/>
  <c r="A139" i="5"/>
  <c r="C139" i="5"/>
  <c r="H139" i="5"/>
  <c r="G139" i="5"/>
  <c r="L139" i="5"/>
  <c r="D139" i="5"/>
  <c r="J299" i="5"/>
  <c r="F299" i="5"/>
  <c r="B299" i="5"/>
  <c r="I299" i="5"/>
  <c r="D299" i="5"/>
  <c r="H299" i="5"/>
  <c r="C299" i="5"/>
  <c r="L299" i="5"/>
  <c r="G299" i="5"/>
  <c r="A299" i="5"/>
  <c r="E299" i="5"/>
  <c r="J259" i="5"/>
  <c r="F259" i="5"/>
  <c r="B259" i="5"/>
  <c r="I259" i="5"/>
  <c r="D259" i="5"/>
  <c r="H259" i="5"/>
  <c r="C259" i="5"/>
  <c r="L259" i="5"/>
  <c r="G259" i="5"/>
  <c r="A259" i="5"/>
  <c r="E259" i="5"/>
  <c r="J323" i="5"/>
  <c r="F323" i="5"/>
  <c r="B323" i="5"/>
  <c r="I323" i="5"/>
  <c r="D323" i="5"/>
  <c r="H323" i="5"/>
  <c r="C323" i="5"/>
  <c r="L323" i="5"/>
  <c r="G323" i="5"/>
  <c r="A323" i="5"/>
  <c r="E323" i="5"/>
  <c r="J387" i="5"/>
  <c r="F387" i="5"/>
  <c r="B387" i="5"/>
  <c r="I387" i="5"/>
  <c r="D387" i="5"/>
  <c r="H387" i="5"/>
  <c r="C387" i="5"/>
  <c r="L387" i="5"/>
  <c r="G387" i="5"/>
  <c r="A387" i="5"/>
  <c r="E387" i="5"/>
  <c r="J451" i="5"/>
  <c r="F451" i="5"/>
  <c r="B451" i="5"/>
  <c r="I451" i="5"/>
  <c r="D451" i="5"/>
  <c r="H451" i="5"/>
  <c r="C451" i="5"/>
  <c r="L451" i="5"/>
  <c r="G451" i="5"/>
  <c r="A451" i="5"/>
  <c r="E451" i="5"/>
  <c r="J347" i="5"/>
  <c r="F347" i="5"/>
  <c r="B347" i="5"/>
  <c r="I347" i="5"/>
  <c r="D347" i="5"/>
  <c r="H347" i="5"/>
  <c r="C347" i="5"/>
  <c r="L347" i="5"/>
  <c r="G347" i="5"/>
  <c r="A347" i="5"/>
  <c r="E347" i="5"/>
  <c r="J411" i="5"/>
  <c r="F411" i="5"/>
  <c r="B411" i="5"/>
  <c r="I411" i="5"/>
  <c r="D411" i="5"/>
  <c r="H411" i="5"/>
  <c r="C411" i="5"/>
  <c r="L411" i="5"/>
  <c r="G411" i="5"/>
  <c r="A411" i="5"/>
  <c r="E411" i="5"/>
  <c r="J475" i="5"/>
  <c r="F475" i="5"/>
  <c r="B475" i="5"/>
  <c r="I475" i="5"/>
  <c r="D475" i="5"/>
  <c r="H475" i="5"/>
  <c r="C475" i="5"/>
  <c r="L475" i="5"/>
  <c r="G475" i="5"/>
  <c r="A475" i="5"/>
  <c r="E475" i="5"/>
  <c r="J271" i="5"/>
  <c r="F271" i="5"/>
  <c r="B271" i="5"/>
  <c r="I271" i="5"/>
  <c r="D271" i="5"/>
  <c r="H271" i="5"/>
  <c r="C271" i="5"/>
  <c r="L271" i="5"/>
  <c r="G271" i="5"/>
  <c r="A271" i="5"/>
  <c r="E271" i="5"/>
  <c r="J335" i="5"/>
  <c r="F335" i="5"/>
  <c r="B335" i="5"/>
  <c r="I335" i="5"/>
  <c r="D335" i="5"/>
  <c r="H335" i="5"/>
  <c r="C335" i="5"/>
  <c r="L335" i="5"/>
  <c r="G335" i="5"/>
  <c r="A335" i="5"/>
  <c r="E335" i="5"/>
  <c r="J399" i="5"/>
  <c r="F399" i="5"/>
  <c r="B399" i="5"/>
  <c r="I399" i="5"/>
  <c r="D399" i="5"/>
  <c r="H399" i="5"/>
  <c r="C399" i="5"/>
  <c r="L399" i="5"/>
  <c r="G399" i="5"/>
  <c r="A399" i="5"/>
  <c r="E399" i="5"/>
  <c r="J463" i="5"/>
  <c r="F463" i="5"/>
  <c r="B463" i="5"/>
  <c r="I463" i="5"/>
  <c r="D463" i="5"/>
  <c r="H463" i="5"/>
  <c r="C463" i="5"/>
  <c r="L463" i="5"/>
  <c r="G463" i="5"/>
  <c r="A463" i="5"/>
  <c r="E463" i="5"/>
  <c r="J260" i="5"/>
  <c r="F260" i="5"/>
  <c r="B260" i="5"/>
  <c r="H260" i="5"/>
  <c r="C260" i="5"/>
  <c r="L260" i="5"/>
  <c r="G260" i="5"/>
  <c r="A260" i="5"/>
  <c r="E260" i="5"/>
  <c r="I260" i="5"/>
  <c r="D260" i="5"/>
  <c r="J276" i="5"/>
  <c r="F276" i="5"/>
  <c r="B276" i="5"/>
  <c r="H276" i="5"/>
  <c r="C276" i="5"/>
  <c r="L276" i="5"/>
  <c r="G276" i="5"/>
  <c r="A276" i="5"/>
  <c r="E276" i="5"/>
  <c r="I276" i="5"/>
  <c r="D276" i="5"/>
  <c r="J292" i="5"/>
  <c r="F292" i="5"/>
  <c r="B292" i="5"/>
  <c r="H292" i="5"/>
  <c r="C292" i="5"/>
  <c r="L292" i="5"/>
  <c r="G292" i="5"/>
  <c r="A292" i="5"/>
  <c r="E292" i="5"/>
  <c r="I292" i="5"/>
  <c r="D292" i="5"/>
  <c r="J308" i="5"/>
  <c r="F308" i="5"/>
  <c r="B308" i="5"/>
  <c r="H308" i="5"/>
  <c r="C308" i="5"/>
  <c r="L308" i="5"/>
  <c r="G308" i="5"/>
  <c r="A308" i="5"/>
  <c r="E308" i="5"/>
  <c r="I308" i="5"/>
  <c r="D308" i="5"/>
  <c r="J324" i="5"/>
  <c r="F324" i="5"/>
  <c r="B324" i="5"/>
  <c r="H324" i="5"/>
  <c r="C324" i="5"/>
  <c r="L324" i="5"/>
  <c r="G324" i="5"/>
  <c r="A324" i="5"/>
  <c r="E324" i="5"/>
  <c r="I324" i="5"/>
  <c r="D324" i="5"/>
  <c r="J340" i="5"/>
  <c r="F340" i="5"/>
  <c r="B340" i="5"/>
  <c r="H340" i="5"/>
  <c r="C340" i="5"/>
  <c r="L340" i="5"/>
  <c r="G340" i="5"/>
  <c r="A340" i="5"/>
  <c r="E340" i="5"/>
  <c r="I340" i="5"/>
  <c r="D340" i="5"/>
  <c r="J356" i="5"/>
  <c r="F356" i="5"/>
  <c r="B356" i="5"/>
  <c r="H356" i="5"/>
  <c r="C356" i="5"/>
  <c r="L356" i="5"/>
  <c r="G356" i="5"/>
  <c r="A356" i="5"/>
  <c r="E356" i="5"/>
  <c r="I356" i="5"/>
  <c r="D356" i="5"/>
  <c r="J372" i="5"/>
  <c r="F372" i="5"/>
  <c r="B372" i="5"/>
  <c r="H372" i="5"/>
  <c r="C372" i="5"/>
  <c r="L372" i="5"/>
  <c r="G372" i="5"/>
  <c r="A372" i="5"/>
  <c r="E372" i="5"/>
  <c r="I372" i="5"/>
  <c r="D372" i="5"/>
  <c r="J388" i="5"/>
  <c r="F388" i="5"/>
  <c r="B388" i="5"/>
  <c r="H388" i="5"/>
  <c r="C388" i="5"/>
  <c r="L388" i="5"/>
  <c r="G388" i="5"/>
  <c r="A388" i="5"/>
  <c r="E388" i="5"/>
  <c r="I388" i="5"/>
  <c r="D388" i="5"/>
  <c r="J404" i="5"/>
  <c r="F404" i="5"/>
  <c r="B404" i="5"/>
  <c r="H404" i="5"/>
  <c r="C404" i="5"/>
  <c r="L404" i="5"/>
  <c r="G404" i="5"/>
  <c r="A404" i="5"/>
  <c r="E404" i="5"/>
  <c r="I404" i="5"/>
  <c r="D404" i="5"/>
  <c r="J420" i="5"/>
  <c r="F420" i="5"/>
  <c r="B420" i="5"/>
  <c r="H420" i="5"/>
  <c r="C420" i="5"/>
  <c r="L420" i="5"/>
  <c r="G420" i="5"/>
  <c r="A420" i="5"/>
  <c r="E420" i="5"/>
  <c r="I420" i="5"/>
  <c r="D420" i="5"/>
  <c r="J436" i="5"/>
  <c r="F436" i="5"/>
  <c r="B436" i="5"/>
  <c r="H436" i="5"/>
  <c r="C436" i="5"/>
  <c r="L436" i="5"/>
  <c r="G436" i="5"/>
  <c r="A436" i="5"/>
  <c r="E436" i="5"/>
  <c r="I436" i="5"/>
  <c r="D436" i="5"/>
  <c r="J452" i="5"/>
  <c r="F452" i="5"/>
  <c r="B452" i="5"/>
  <c r="H452" i="5"/>
  <c r="C452" i="5"/>
  <c r="L452" i="5"/>
  <c r="G452" i="5"/>
  <c r="A452" i="5"/>
  <c r="E452" i="5"/>
  <c r="I452" i="5"/>
  <c r="D452" i="5"/>
  <c r="J468" i="5"/>
  <c r="F468" i="5"/>
  <c r="B468" i="5"/>
  <c r="H468" i="5"/>
  <c r="C468" i="5"/>
  <c r="L468" i="5"/>
  <c r="G468" i="5"/>
  <c r="A468" i="5"/>
  <c r="E468" i="5"/>
  <c r="I468" i="5"/>
  <c r="D468" i="5"/>
  <c r="J484" i="5"/>
  <c r="F484" i="5"/>
  <c r="B484" i="5"/>
  <c r="H484" i="5"/>
  <c r="C484" i="5"/>
  <c r="L484" i="5"/>
  <c r="G484" i="5"/>
  <c r="A484" i="5"/>
  <c r="E484" i="5"/>
  <c r="I484" i="5"/>
  <c r="D484" i="5"/>
  <c r="J500" i="5"/>
  <c r="F500" i="5"/>
  <c r="B500" i="5"/>
  <c r="H500" i="5"/>
  <c r="C500" i="5"/>
  <c r="L500" i="5"/>
  <c r="G500" i="5"/>
  <c r="A500" i="5"/>
  <c r="E500" i="5"/>
  <c r="I500" i="5"/>
  <c r="D500" i="5"/>
  <c r="J249" i="5"/>
  <c r="F249" i="5"/>
  <c r="B249" i="5"/>
  <c r="L249" i="5"/>
  <c r="G249" i="5"/>
  <c r="A249" i="5"/>
  <c r="E249" i="5"/>
  <c r="I249" i="5"/>
  <c r="D249" i="5"/>
  <c r="H249" i="5"/>
  <c r="C249" i="5"/>
  <c r="J265" i="5"/>
  <c r="F265" i="5"/>
  <c r="B265" i="5"/>
  <c r="L265" i="5"/>
  <c r="G265" i="5"/>
  <c r="A265" i="5"/>
  <c r="E265" i="5"/>
  <c r="I265" i="5"/>
  <c r="D265" i="5"/>
  <c r="C265" i="5"/>
  <c r="H265" i="5"/>
  <c r="J281" i="5"/>
  <c r="F281" i="5"/>
  <c r="B281" i="5"/>
  <c r="L281" i="5"/>
  <c r="G281" i="5"/>
  <c r="A281" i="5"/>
  <c r="E281" i="5"/>
  <c r="I281" i="5"/>
  <c r="D281" i="5"/>
  <c r="C281" i="5"/>
  <c r="H281" i="5"/>
  <c r="J297" i="5"/>
  <c r="F297" i="5"/>
  <c r="B297" i="5"/>
  <c r="L297" i="5"/>
  <c r="G297" i="5"/>
  <c r="A297" i="5"/>
  <c r="E297" i="5"/>
  <c r="I297" i="5"/>
  <c r="D297" i="5"/>
  <c r="C297" i="5"/>
  <c r="H297" i="5"/>
  <c r="J313" i="5"/>
  <c r="F313" i="5"/>
  <c r="B313" i="5"/>
  <c r="L313" i="5"/>
  <c r="G313" i="5"/>
  <c r="A313" i="5"/>
  <c r="E313" i="5"/>
  <c r="I313" i="5"/>
  <c r="D313" i="5"/>
  <c r="C313" i="5"/>
  <c r="H313" i="5"/>
  <c r="J329" i="5"/>
  <c r="F329" i="5"/>
  <c r="B329" i="5"/>
  <c r="L329" i="5"/>
  <c r="G329" i="5"/>
  <c r="A329" i="5"/>
  <c r="E329" i="5"/>
  <c r="I329" i="5"/>
  <c r="D329" i="5"/>
  <c r="C329" i="5"/>
  <c r="H329" i="5"/>
  <c r="J345" i="5"/>
  <c r="F345" i="5"/>
  <c r="B345" i="5"/>
  <c r="L345" i="5"/>
  <c r="G345" i="5"/>
  <c r="A345" i="5"/>
  <c r="E345" i="5"/>
  <c r="I345" i="5"/>
  <c r="D345" i="5"/>
  <c r="C345" i="5"/>
  <c r="H345" i="5"/>
  <c r="J361" i="5"/>
  <c r="F361" i="5"/>
  <c r="B361" i="5"/>
  <c r="L361" i="5"/>
  <c r="G361" i="5"/>
  <c r="A361" i="5"/>
  <c r="E361" i="5"/>
  <c r="I361" i="5"/>
  <c r="D361" i="5"/>
  <c r="C361" i="5"/>
  <c r="H361" i="5"/>
  <c r="J377" i="5"/>
  <c r="F377" i="5"/>
  <c r="B377" i="5"/>
  <c r="L377" i="5"/>
  <c r="G377" i="5"/>
  <c r="A377" i="5"/>
  <c r="E377" i="5"/>
  <c r="I377" i="5"/>
  <c r="D377" i="5"/>
  <c r="C377" i="5"/>
  <c r="H377" i="5"/>
  <c r="J393" i="5"/>
  <c r="F393" i="5"/>
  <c r="B393" i="5"/>
  <c r="L393" i="5"/>
  <c r="G393" i="5"/>
  <c r="A393" i="5"/>
  <c r="E393" i="5"/>
  <c r="I393" i="5"/>
  <c r="D393" i="5"/>
  <c r="C393" i="5"/>
  <c r="H393" i="5"/>
  <c r="J409" i="5"/>
  <c r="F409" i="5"/>
  <c r="B409" i="5"/>
  <c r="L409" i="5"/>
  <c r="G409" i="5"/>
  <c r="A409" i="5"/>
  <c r="E409" i="5"/>
  <c r="I409" i="5"/>
  <c r="D409" i="5"/>
  <c r="C409" i="5"/>
  <c r="H409" i="5"/>
  <c r="J425" i="5"/>
  <c r="F425" i="5"/>
  <c r="B425" i="5"/>
  <c r="L425" i="5"/>
  <c r="G425" i="5"/>
  <c r="A425" i="5"/>
  <c r="E425" i="5"/>
  <c r="I425" i="5"/>
  <c r="D425" i="5"/>
  <c r="C425" i="5"/>
  <c r="H425" i="5"/>
  <c r="J441" i="5"/>
  <c r="F441" i="5"/>
  <c r="B441" i="5"/>
  <c r="L441" i="5"/>
  <c r="G441" i="5"/>
  <c r="A441" i="5"/>
  <c r="E441" i="5"/>
  <c r="I441" i="5"/>
  <c r="D441" i="5"/>
  <c r="C441" i="5"/>
  <c r="H441" i="5"/>
  <c r="J457" i="5"/>
  <c r="F457" i="5"/>
  <c r="B457" i="5"/>
  <c r="L457" i="5"/>
  <c r="G457" i="5"/>
  <c r="A457" i="5"/>
  <c r="E457" i="5"/>
  <c r="I457" i="5"/>
  <c r="D457" i="5"/>
  <c r="C457" i="5"/>
  <c r="H457" i="5"/>
  <c r="J473" i="5"/>
  <c r="F473" i="5"/>
  <c r="B473" i="5"/>
  <c r="L473" i="5"/>
  <c r="G473" i="5"/>
  <c r="A473" i="5"/>
  <c r="E473" i="5"/>
  <c r="I473" i="5"/>
  <c r="D473" i="5"/>
  <c r="C473" i="5"/>
  <c r="H473" i="5"/>
  <c r="J489" i="5"/>
  <c r="F489" i="5"/>
  <c r="B489" i="5"/>
  <c r="L489" i="5"/>
  <c r="G489" i="5"/>
  <c r="A489" i="5"/>
  <c r="E489" i="5"/>
  <c r="I489" i="5"/>
  <c r="D489" i="5"/>
  <c r="C489" i="5"/>
  <c r="H489" i="5"/>
  <c r="J505" i="5"/>
  <c r="F505" i="5"/>
  <c r="B505" i="5"/>
  <c r="L505" i="5"/>
  <c r="G505" i="5"/>
  <c r="A505" i="5"/>
  <c r="E505" i="5"/>
  <c r="I505" i="5"/>
  <c r="D505" i="5"/>
  <c r="C505" i="5"/>
  <c r="H505" i="5"/>
  <c r="J143" i="5"/>
  <c r="F143" i="5"/>
  <c r="B143" i="5"/>
  <c r="I143" i="5"/>
  <c r="E143" i="5"/>
  <c r="A143" i="5"/>
  <c r="L143" i="5"/>
  <c r="C143" i="5"/>
  <c r="H143" i="5"/>
  <c r="G143" i="5"/>
  <c r="D143" i="5"/>
  <c r="G147" i="5"/>
  <c r="C147" i="5"/>
  <c r="J147" i="5"/>
  <c r="F147" i="5"/>
  <c r="B147" i="5"/>
  <c r="I147" i="5"/>
  <c r="E147" i="5"/>
  <c r="A147" i="5"/>
  <c r="L147" i="5"/>
  <c r="H147" i="5"/>
  <c r="D147" i="5"/>
  <c r="G151" i="5"/>
  <c r="C151" i="5"/>
  <c r="J151" i="5"/>
  <c r="F151" i="5"/>
  <c r="B151" i="5"/>
  <c r="I151" i="5"/>
  <c r="E151" i="5"/>
  <c r="A151" i="5"/>
  <c r="L151" i="5"/>
  <c r="H151" i="5"/>
  <c r="D151" i="5"/>
  <c r="G155" i="5"/>
  <c r="C155" i="5"/>
  <c r="J155" i="5"/>
  <c r="F155" i="5"/>
  <c r="B155" i="5"/>
  <c r="I155" i="5"/>
  <c r="E155" i="5"/>
  <c r="A155" i="5"/>
  <c r="L155" i="5"/>
  <c r="H155" i="5"/>
  <c r="D155" i="5"/>
  <c r="G159" i="5"/>
  <c r="C159" i="5"/>
  <c r="J159" i="5"/>
  <c r="F159" i="5"/>
  <c r="B159" i="5"/>
  <c r="I159" i="5"/>
  <c r="E159" i="5"/>
  <c r="A159" i="5"/>
  <c r="L159" i="5"/>
  <c r="H159" i="5"/>
  <c r="D159" i="5"/>
  <c r="G163" i="5"/>
  <c r="C163" i="5"/>
  <c r="J163" i="5"/>
  <c r="F163" i="5"/>
  <c r="B163" i="5"/>
  <c r="I163" i="5"/>
  <c r="E163" i="5"/>
  <c r="A163" i="5"/>
  <c r="L163" i="5"/>
  <c r="H163" i="5"/>
  <c r="D163" i="5"/>
  <c r="G167" i="5"/>
  <c r="C167" i="5"/>
  <c r="J167" i="5"/>
  <c r="F167" i="5"/>
  <c r="B167" i="5"/>
  <c r="I167" i="5"/>
  <c r="E167" i="5"/>
  <c r="A167" i="5"/>
  <c r="L167" i="5"/>
  <c r="H167" i="5"/>
  <c r="D167" i="5"/>
  <c r="G171" i="5"/>
  <c r="C171" i="5"/>
  <c r="J171" i="5"/>
  <c r="F171" i="5"/>
  <c r="B171" i="5"/>
  <c r="I171" i="5"/>
  <c r="E171" i="5"/>
  <c r="A171" i="5"/>
  <c r="L171" i="5"/>
  <c r="H171" i="5"/>
  <c r="D171" i="5"/>
  <c r="G175" i="5"/>
  <c r="C175" i="5"/>
  <c r="J175" i="5"/>
  <c r="F175" i="5"/>
  <c r="B175" i="5"/>
  <c r="I175" i="5"/>
  <c r="E175" i="5"/>
  <c r="A175" i="5"/>
  <c r="L175" i="5"/>
  <c r="H175" i="5"/>
  <c r="D175" i="5"/>
  <c r="G179" i="5"/>
  <c r="C179" i="5"/>
  <c r="J179" i="5"/>
  <c r="F179" i="5"/>
  <c r="B179" i="5"/>
  <c r="I179" i="5"/>
  <c r="E179" i="5"/>
  <c r="A179" i="5"/>
  <c r="L179" i="5"/>
  <c r="H179" i="5"/>
  <c r="D179" i="5"/>
  <c r="G183" i="5"/>
  <c r="C183" i="5"/>
  <c r="J183" i="5"/>
  <c r="F183" i="5"/>
  <c r="B183" i="5"/>
  <c r="I183" i="5"/>
  <c r="E183" i="5"/>
  <c r="A183" i="5"/>
  <c r="L183" i="5"/>
  <c r="H183" i="5"/>
  <c r="D183" i="5"/>
  <c r="G187" i="5"/>
  <c r="C187" i="5"/>
  <c r="J187" i="5"/>
  <c r="F187" i="5"/>
  <c r="B187" i="5"/>
  <c r="I187" i="5"/>
  <c r="E187" i="5"/>
  <c r="A187" i="5"/>
  <c r="L187" i="5"/>
  <c r="H187" i="5"/>
  <c r="D187" i="5"/>
  <c r="G191" i="5"/>
  <c r="C191" i="5"/>
  <c r="J191" i="5"/>
  <c r="F191" i="5"/>
  <c r="B191" i="5"/>
  <c r="I191" i="5"/>
  <c r="E191" i="5"/>
  <c r="A191" i="5"/>
  <c r="L191" i="5"/>
  <c r="H191" i="5"/>
  <c r="D191" i="5"/>
  <c r="G195" i="5"/>
  <c r="C195" i="5"/>
  <c r="J195" i="5"/>
  <c r="F195" i="5"/>
  <c r="B195" i="5"/>
  <c r="I195" i="5"/>
  <c r="E195" i="5"/>
  <c r="A195" i="5"/>
  <c r="L195" i="5"/>
  <c r="H195" i="5"/>
  <c r="D195" i="5"/>
  <c r="G199" i="5"/>
  <c r="C199" i="5"/>
  <c r="J199" i="5"/>
  <c r="F199" i="5"/>
  <c r="B199" i="5"/>
  <c r="I199" i="5"/>
  <c r="E199" i="5"/>
  <c r="A199" i="5"/>
  <c r="L199" i="5"/>
  <c r="H199" i="5"/>
  <c r="D199" i="5"/>
  <c r="G203" i="5"/>
  <c r="C203" i="5"/>
  <c r="J203" i="5"/>
  <c r="F203" i="5"/>
  <c r="B203" i="5"/>
  <c r="I203" i="5"/>
  <c r="E203" i="5"/>
  <c r="A203" i="5"/>
  <c r="L203" i="5"/>
  <c r="H203" i="5"/>
  <c r="D203" i="5"/>
  <c r="G207" i="5"/>
  <c r="C207" i="5"/>
  <c r="J207" i="5"/>
  <c r="F207" i="5"/>
  <c r="B207" i="5"/>
  <c r="I207" i="5"/>
  <c r="E207" i="5"/>
  <c r="A207" i="5"/>
  <c r="L207" i="5"/>
  <c r="H207" i="5"/>
  <c r="D207" i="5"/>
  <c r="G211" i="5"/>
  <c r="C211" i="5"/>
  <c r="J211" i="5"/>
  <c r="F211" i="5"/>
  <c r="B211" i="5"/>
  <c r="I211" i="5"/>
  <c r="E211" i="5"/>
  <c r="A211" i="5"/>
  <c r="L211" i="5"/>
  <c r="H211" i="5"/>
  <c r="D211" i="5"/>
  <c r="G215" i="5"/>
  <c r="C215" i="5"/>
  <c r="J215" i="5"/>
  <c r="F215" i="5"/>
  <c r="B215" i="5"/>
  <c r="I215" i="5"/>
  <c r="E215" i="5"/>
  <c r="A215" i="5"/>
  <c r="L215" i="5"/>
  <c r="H215" i="5"/>
  <c r="D215" i="5"/>
  <c r="G219" i="5"/>
  <c r="C219" i="5"/>
  <c r="J219" i="5"/>
  <c r="F219" i="5"/>
  <c r="B219" i="5"/>
  <c r="I219" i="5"/>
  <c r="E219" i="5"/>
  <c r="A219" i="5"/>
  <c r="L219" i="5"/>
  <c r="H219" i="5"/>
  <c r="D219" i="5"/>
  <c r="G223" i="5"/>
  <c r="C223" i="5"/>
  <c r="J223" i="5"/>
  <c r="F223" i="5"/>
  <c r="B223" i="5"/>
  <c r="I223" i="5"/>
  <c r="E223" i="5"/>
  <c r="A223" i="5"/>
  <c r="L223" i="5"/>
  <c r="H223" i="5"/>
  <c r="D223" i="5"/>
  <c r="G227" i="5"/>
  <c r="C227" i="5"/>
  <c r="J227" i="5"/>
  <c r="F227" i="5"/>
  <c r="B227" i="5"/>
  <c r="I227" i="5"/>
  <c r="E227" i="5"/>
  <c r="A227" i="5"/>
  <c r="L227" i="5"/>
  <c r="H227" i="5"/>
  <c r="D227" i="5"/>
  <c r="G231" i="5"/>
  <c r="C231" i="5"/>
  <c r="J231" i="5"/>
  <c r="F231" i="5"/>
  <c r="B231" i="5"/>
  <c r="I231" i="5"/>
  <c r="E231" i="5"/>
  <c r="A231" i="5"/>
  <c r="L231" i="5"/>
  <c r="H231" i="5"/>
  <c r="D231" i="5"/>
  <c r="G235" i="5"/>
  <c r="C235" i="5"/>
  <c r="J235" i="5"/>
  <c r="F235" i="5"/>
  <c r="B235" i="5"/>
  <c r="I235" i="5"/>
  <c r="E235" i="5"/>
  <c r="A235" i="5"/>
  <c r="L235" i="5"/>
  <c r="H235" i="5"/>
  <c r="D235" i="5"/>
  <c r="G239" i="5"/>
  <c r="C239" i="5"/>
  <c r="J239" i="5"/>
  <c r="F239" i="5"/>
  <c r="B239" i="5"/>
  <c r="I239" i="5"/>
  <c r="E239" i="5"/>
  <c r="A239" i="5"/>
  <c r="L239" i="5"/>
  <c r="H239" i="5"/>
  <c r="D239" i="5"/>
  <c r="G243" i="5"/>
  <c r="C243" i="5"/>
  <c r="J243" i="5"/>
  <c r="F243" i="5"/>
  <c r="B243" i="5"/>
  <c r="I243" i="5"/>
  <c r="E243" i="5"/>
  <c r="A243" i="5"/>
  <c r="L243" i="5"/>
  <c r="H243" i="5"/>
  <c r="D243" i="5"/>
  <c r="J250" i="5"/>
  <c r="F250" i="5"/>
  <c r="B250" i="5"/>
  <c r="E250" i="5"/>
  <c r="I250" i="5"/>
  <c r="D250" i="5"/>
  <c r="H250" i="5"/>
  <c r="C250" i="5"/>
  <c r="A250" i="5"/>
  <c r="L250" i="5"/>
  <c r="G250" i="5"/>
  <c r="J266" i="5"/>
  <c r="F266" i="5"/>
  <c r="B266" i="5"/>
  <c r="E266" i="5"/>
  <c r="I266" i="5"/>
  <c r="D266" i="5"/>
  <c r="H266" i="5"/>
  <c r="C266" i="5"/>
  <c r="G266" i="5"/>
  <c r="L266" i="5"/>
  <c r="A266" i="5"/>
  <c r="J282" i="5"/>
  <c r="F282" i="5"/>
  <c r="B282" i="5"/>
  <c r="E282" i="5"/>
  <c r="I282" i="5"/>
  <c r="D282" i="5"/>
  <c r="H282" i="5"/>
  <c r="C282" i="5"/>
  <c r="G282" i="5"/>
  <c r="L282" i="5"/>
  <c r="A282" i="5"/>
  <c r="J298" i="5"/>
  <c r="F298" i="5"/>
  <c r="B298" i="5"/>
  <c r="E298" i="5"/>
  <c r="I298" i="5"/>
  <c r="D298" i="5"/>
  <c r="H298" i="5"/>
  <c r="C298" i="5"/>
  <c r="G298" i="5"/>
  <c r="L298" i="5"/>
  <c r="A298" i="5"/>
  <c r="J314" i="5"/>
  <c r="F314" i="5"/>
  <c r="B314" i="5"/>
  <c r="E314" i="5"/>
  <c r="I314" i="5"/>
  <c r="D314" i="5"/>
  <c r="H314" i="5"/>
  <c r="C314" i="5"/>
  <c r="G314" i="5"/>
  <c r="L314" i="5"/>
  <c r="A314" i="5"/>
  <c r="J330" i="5"/>
  <c r="F330" i="5"/>
  <c r="B330" i="5"/>
  <c r="E330" i="5"/>
  <c r="I330" i="5"/>
  <c r="D330" i="5"/>
  <c r="H330" i="5"/>
  <c r="C330" i="5"/>
  <c r="G330" i="5"/>
  <c r="L330" i="5"/>
  <c r="A330" i="5"/>
  <c r="J346" i="5"/>
  <c r="F346" i="5"/>
  <c r="B346" i="5"/>
  <c r="E346" i="5"/>
  <c r="I346" i="5"/>
  <c r="D346" i="5"/>
  <c r="H346" i="5"/>
  <c r="C346" i="5"/>
  <c r="G346" i="5"/>
  <c r="A346" i="5"/>
  <c r="L346" i="5"/>
  <c r="J362" i="5"/>
  <c r="F362" i="5"/>
  <c r="B362" i="5"/>
  <c r="E362" i="5"/>
  <c r="I362" i="5"/>
  <c r="D362" i="5"/>
  <c r="H362" i="5"/>
  <c r="C362" i="5"/>
  <c r="G362" i="5"/>
  <c r="A362" i="5"/>
  <c r="L362" i="5"/>
  <c r="J378" i="5"/>
  <c r="F378" i="5"/>
  <c r="B378" i="5"/>
  <c r="E378" i="5"/>
  <c r="I378" i="5"/>
  <c r="D378" i="5"/>
  <c r="H378" i="5"/>
  <c r="C378" i="5"/>
  <c r="G378" i="5"/>
  <c r="A378" i="5"/>
  <c r="L378" i="5"/>
  <c r="J394" i="5"/>
  <c r="F394" i="5"/>
  <c r="B394" i="5"/>
  <c r="E394" i="5"/>
  <c r="I394" i="5"/>
  <c r="D394" i="5"/>
  <c r="H394" i="5"/>
  <c r="C394" i="5"/>
  <c r="G394" i="5"/>
  <c r="A394" i="5"/>
  <c r="L394" i="5"/>
  <c r="J410" i="5"/>
  <c r="F410" i="5"/>
  <c r="B410" i="5"/>
  <c r="E410" i="5"/>
  <c r="I410" i="5"/>
  <c r="D410" i="5"/>
  <c r="H410" i="5"/>
  <c r="C410" i="5"/>
  <c r="G410" i="5"/>
  <c r="A410" i="5"/>
  <c r="L410" i="5"/>
  <c r="J426" i="5"/>
  <c r="F426" i="5"/>
  <c r="B426" i="5"/>
  <c r="E426" i="5"/>
  <c r="I426" i="5"/>
  <c r="D426" i="5"/>
  <c r="H426" i="5"/>
  <c r="C426" i="5"/>
  <c r="G426" i="5"/>
  <c r="A426" i="5"/>
  <c r="L426" i="5"/>
  <c r="J442" i="5"/>
  <c r="F442" i="5"/>
  <c r="B442" i="5"/>
  <c r="E442" i="5"/>
  <c r="I442" i="5"/>
  <c r="D442" i="5"/>
  <c r="H442" i="5"/>
  <c r="C442" i="5"/>
  <c r="G442" i="5"/>
  <c r="A442" i="5"/>
  <c r="L442" i="5"/>
  <c r="J458" i="5"/>
  <c r="F458" i="5"/>
  <c r="B458" i="5"/>
  <c r="E458" i="5"/>
  <c r="I458" i="5"/>
  <c r="D458" i="5"/>
  <c r="H458" i="5"/>
  <c r="C458" i="5"/>
  <c r="G458" i="5"/>
  <c r="A458" i="5"/>
  <c r="L458" i="5"/>
  <c r="J474" i="5"/>
  <c r="F474" i="5"/>
  <c r="B474" i="5"/>
  <c r="E474" i="5"/>
  <c r="I474" i="5"/>
  <c r="D474" i="5"/>
  <c r="H474" i="5"/>
  <c r="C474" i="5"/>
  <c r="G474" i="5"/>
  <c r="A474" i="5"/>
  <c r="L474" i="5"/>
  <c r="J490" i="5"/>
  <c r="F490" i="5"/>
  <c r="B490" i="5"/>
  <c r="E490" i="5"/>
  <c r="I490" i="5"/>
  <c r="D490" i="5"/>
  <c r="H490" i="5"/>
  <c r="C490" i="5"/>
  <c r="G490" i="5"/>
  <c r="A490" i="5"/>
  <c r="L490" i="5"/>
  <c r="J506" i="5"/>
  <c r="F506" i="5"/>
  <c r="B506" i="5"/>
  <c r="E506" i="5"/>
  <c r="I506" i="5"/>
  <c r="D506" i="5"/>
  <c r="H506" i="5"/>
  <c r="C506" i="5"/>
  <c r="G506" i="5"/>
  <c r="A506" i="5"/>
  <c r="L506" i="5"/>
  <c r="J515" i="5"/>
  <c r="F515" i="5"/>
  <c r="B515" i="5"/>
  <c r="I515" i="5"/>
  <c r="D515" i="5"/>
  <c r="H515" i="5"/>
  <c r="C515" i="5"/>
  <c r="G515" i="5"/>
  <c r="A515" i="5"/>
  <c r="E515" i="5"/>
  <c r="L515" i="5"/>
  <c r="C18" i="6" l="1"/>
  <c r="E7" i="8"/>
  <c r="A8" i="8"/>
  <c r="D7" i="8"/>
  <c r="C7" i="8"/>
  <c r="B7" i="8"/>
  <c r="G7" i="8"/>
  <c r="G8" i="8" l="1"/>
  <c r="B8" i="8"/>
  <c r="E8" i="8"/>
  <c r="A9" i="8"/>
  <c r="D8" i="8"/>
  <c r="C8" i="8"/>
  <c r="C9" i="8" l="1"/>
  <c r="G9" i="8"/>
  <c r="B9" i="8"/>
  <c r="E9" i="8"/>
  <c r="A10" i="8"/>
  <c r="D9" i="8"/>
  <c r="A11" i="8" l="1"/>
  <c r="D10" i="8"/>
  <c r="C10" i="8"/>
  <c r="B10" i="8"/>
  <c r="G10" i="8"/>
  <c r="E10" i="8"/>
  <c r="E11" i="8" l="1"/>
  <c r="A12" i="8"/>
  <c r="D11" i="8"/>
  <c r="G11" i="8"/>
  <c r="C11" i="8"/>
  <c r="B11" i="8"/>
  <c r="G12" i="8" l="1"/>
  <c r="B12" i="8"/>
  <c r="E12" i="8"/>
  <c r="A13" i="8"/>
  <c r="D12" i="8"/>
  <c r="C12" i="8"/>
  <c r="C13" i="8" l="1"/>
  <c r="G13" i="8"/>
  <c r="B13" i="8"/>
  <c r="E13" i="8"/>
  <c r="D13" i="8"/>
  <c r="A14" i="8"/>
  <c r="A15" i="8" l="1"/>
  <c r="D14" i="8"/>
  <c r="C14" i="8"/>
  <c r="G14" i="8"/>
  <c r="E14" i="8"/>
  <c r="B14" i="8"/>
  <c r="E15" i="8" l="1"/>
  <c r="A16" i="8"/>
  <c r="D15" i="8"/>
  <c r="C15" i="8"/>
  <c r="B15" i="8"/>
  <c r="G15" i="8"/>
  <c r="G16" i="8" l="1"/>
  <c r="B16" i="8"/>
  <c r="E16" i="8"/>
  <c r="D16" i="8"/>
  <c r="C16" i="8"/>
  <c r="A17" i="8"/>
  <c r="C17" i="8" l="1"/>
  <c r="G17" i="8"/>
  <c r="B17" i="8"/>
  <c r="E17" i="8"/>
  <c r="A18" i="8"/>
  <c r="D17" i="8"/>
  <c r="A19" i="8" l="1"/>
  <c r="D18" i="8"/>
  <c r="C18" i="8"/>
  <c r="B18" i="8"/>
  <c r="G18" i="8"/>
  <c r="E18" i="8"/>
  <c r="E19" i="8" l="1"/>
  <c r="A20" i="8"/>
  <c r="D19" i="8"/>
  <c r="G19" i="8"/>
  <c r="C19" i="8"/>
  <c r="B19" i="8"/>
  <c r="G20" i="8" l="1"/>
  <c r="B20" i="8"/>
  <c r="E20" i="8"/>
  <c r="A21" i="8"/>
  <c r="D20" i="8"/>
  <c r="C20" i="8"/>
  <c r="C21" i="8" l="1"/>
  <c r="G21" i="8"/>
  <c r="B21" i="8"/>
  <c r="A22" i="8"/>
  <c r="E21" i="8"/>
  <c r="D21" i="8"/>
  <c r="A23" i="8" l="1"/>
  <c r="D22" i="8"/>
  <c r="C22" i="8"/>
  <c r="G22" i="8"/>
  <c r="E22" i="8"/>
  <c r="B22" i="8"/>
  <c r="E23" i="8" l="1"/>
  <c r="A24" i="8"/>
  <c r="D23" i="8"/>
  <c r="C23" i="8"/>
  <c r="B23" i="8"/>
  <c r="G23" i="8"/>
  <c r="G24" i="8" l="1"/>
  <c r="B24" i="8"/>
  <c r="E24" i="8"/>
  <c r="A25" i="8"/>
  <c r="D24" i="8"/>
  <c r="C24" i="8"/>
  <c r="C25" i="8" l="1"/>
  <c r="G25" i="8"/>
  <c r="B25" i="8"/>
  <c r="E25" i="8"/>
  <c r="A26" i="8"/>
  <c r="D25" i="8"/>
  <c r="A27" i="8" l="1"/>
  <c r="D26" i="8"/>
  <c r="C26" i="8"/>
  <c r="B26" i="8"/>
  <c r="G26" i="8"/>
  <c r="E26" i="8"/>
  <c r="E27" i="8" l="1"/>
  <c r="A28" i="8"/>
  <c r="D27" i="8"/>
  <c r="G27" i="8"/>
  <c r="C27" i="8"/>
  <c r="B27" i="8"/>
  <c r="G28" i="8" l="1"/>
  <c r="B28" i="8"/>
  <c r="E28" i="8"/>
  <c r="A29" i="8"/>
  <c r="D28" i="8"/>
  <c r="C28" i="8"/>
  <c r="C29" i="8" l="1"/>
  <c r="G29" i="8"/>
  <c r="B29" i="8"/>
  <c r="E29" i="8"/>
  <c r="D29" i="8"/>
  <c r="A30" i="8"/>
  <c r="A31" i="8" l="1"/>
  <c r="D30" i="8"/>
  <c r="C30" i="8"/>
  <c r="G30" i="8"/>
  <c r="E30" i="8"/>
  <c r="B30" i="8"/>
  <c r="E31" i="8" l="1"/>
  <c r="A32" i="8"/>
  <c r="D31" i="8"/>
  <c r="C31" i="8"/>
  <c r="B31" i="8"/>
  <c r="G31" i="8"/>
  <c r="G32" i="8" l="1"/>
  <c r="B32" i="8"/>
  <c r="E32" i="8"/>
  <c r="D32" i="8"/>
  <c r="C32" i="8"/>
  <c r="A33" i="8"/>
  <c r="C33" i="8" l="1"/>
  <c r="G33" i="8"/>
  <c r="B33" i="8"/>
  <c r="E33" i="8"/>
  <c r="A34" i="8"/>
  <c r="D33" i="8"/>
  <c r="A35" i="8" l="1"/>
  <c r="D34" i="8"/>
  <c r="C34" i="8"/>
  <c r="B34" i="8"/>
  <c r="G34" i="8"/>
  <c r="E34" i="8"/>
  <c r="E35" i="8" l="1"/>
  <c r="A36" i="8"/>
  <c r="D35" i="8"/>
  <c r="G35" i="8"/>
  <c r="C35" i="8"/>
  <c r="B35" i="8"/>
  <c r="G36" i="8" l="1"/>
  <c r="B36" i="8"/>
  <c r="E36" i="8"/>
  <c r="A37" i="8"/>
  <c r="D36" i="8"/>
  <c r="C36" i="8"/>
  <c r="C37" i="8" l="1"/>
  <c r="G37" i="8"/>
  <c r="B37" i="8"/>
  <c r="A38" i="8"/>
  <c r="E37" i="8"/>
  <c r="D37" i="8"/>
  <c r="A39" i="8" l="1"/>
  <c r="D38" i="8"/>
  <c r="C38" i="8"/>
  <c r="G38" i="8"/>
  <c r="E38" i="8"/>
  <c r="B38" i="8"/>
  <c r="E39" i="8" l="1"/>
  <c r="A40" i="8"/>
  <c r="D39" i="8"/>
  <c r="C39" i="8"/>
  <c r="B39" i="8"/>
  <c r="G39" i="8"/>
  <c r="G40" i="8" l="1"/>
  <c r="B40" i="8"/>
  <c r="E40" i="8"/>
  <c r="A41" i="8"/>
  <c r="D40" i="8"/>
  <c r="C40" i="8"/>
  <c r="C41" i="8" l="1"/>
  <c r="G41" i="8"/>
  <c r="B41" i="8"/>
  <c r="E41" i="8"/>
  <c r="A42" i="8"/>
  <c r="D41" i="8"/>
  <c r="A43" i="8" l="1"/>
  <c r="D42" i="8"/>
  <c r="C42" i="8"/>
  <c r="B42" i="8"/>
  <c r="G42" i="8"/>
  <c r="E42" i="8"/>
  <c r="E43" i="8" l="1"/>
  <c r="A44" i="8"/>
  <c r="D43" i="8"/>
  <c r="G43" i="8"/>
  <c r="C43" i="8"/>
  <c r="B43" i="8"/>
  <c r="G44" i="8" l="1"/>
  <c r="B44" i="8"/>
  <c r="E44" i="8"/>
  <c r="A45" i="8"/>
  <c r="D44" i="8"/>
  <c r="C44" i="8"/>
  <c r="C45" i="8" l="1"/>
  <c r="G45" i="8"/>
  <c r="B45" i="8"/>
  <c r="E45" i="8"/>
  <c r="D45" i="8"/>
  <c r="A46" i="8"/>
  <c r="A47" i="8" l="1"/>
  <c r="D46" i="8"/>
  <c r="C46" i="8"/>
  <c r="G46" i="8"/>
  <c r="E46" i="8"/>
  <c r="B46" i="8"/>
  <c r="E47" i="8" l="1"/>
  <c r="A48" i="8"/>
  <c r="D47" i="8"/>
  <c r="C47" i="8"/>
  <c r="B47" i="8"/>
  <c r="G47" i="8"/>
  <c r="G48" i="8" l="1"/>
  <c r="B48" i="8"/>
  <c r="E48" i="8"/>
  <c r="D48" i="8"/>
  <c r="C48" i="8"/>
  <c r="A49" i="8"/>
  <c r="C49" i="8" l="1"/>
  <c r="G49" i="8"/>
  <c r="B49" i="8"/>
  <c r="E49" i="8"/>
  <c r="A50" i="8"/>
  <c r="D49" i="8"/>
  <c r="A51" i="8" l="1"/>
  <c r="D50" i="8"/>
  <c r="C50" i="8"/>
  <c r="B50" i="8"/>
  <c r="G50" i="8"/>
  <c r="E50" i="8"/>
  <c r="E51" i="8" l="1"/>
  <c r="A52" i="8"/>
  <c r="D51" i="8"/>
  <c r="G51" i="8"/>
  <c r="C51" i="8"/>
  <c r="B51" i="8"/>
  <c r="G52" i="8" l="1"/>
  <c r="B52" i="8"/>
  <c r="E52" i="8"/>
  <c r="A53" i="8"/>
  <c r="D52" i="8"/>
  <c r="C52" i="8"/>
  <c r="C53" i="8" l="1"/>
  <c r="G53" i="8"/>
  <c r="B53" i="8"/>
  <c r="A54" i="8"/>
  <c r="E53" i="8"/>
  <c r="D53" i="8"/>
  <c r="A55" i="8" l="1"/>
  <c r="D54" i="8"/>
  <c r="C54" i="8"/>
  <c r="G54" i="8"/>
  <c r="E54" i="8"/>
  <c r="B54" i="8"/>
  <c r="E55" i="8" l="1"/>
  <c r="A56" i="8"/>
  <c r="D55" i="8"/>
  <c r="C55" i="8"/>
  <c r="B55" i="8"/>
  <c r="G55" i="8"/>
  <c r="G56" i="8" l="1"/>
  <c r="B56" i="8"/>
  <c r="E56" i="8"/>
  <c r="A57" i="8"/>
  <c r="D56" i="8"/>
  <c r="C56" i="8"/>
  <c r="C57" i="8" l="1"/>
  <c r="G57" i="8"/>
  <c r="B57" i="8"/>
  <c r="E57" i="8"/>
  <c r="A58" i="8"/>
  <c r="D57" i="8"/>
  <c r="A59" i="8" l="1"/>
  <c r="D58" i="8"/>
  <c r="C58" i="8"/>
  <c r="B58" i="8"/>
  <c r="G58" i="8"/>
  <c r="E58" i="8"/>
  <c r="E59" i="8" l="1"/>
  <c r="A60" i="8"/>
  <c r="D59" i="8"/>
  <c r="G59" i="8"/>
  <c r="C59" i="8"/>
  <c r="B59" i="8"/>
  <c r="G60" i="8" l="1"/>
  <c r="B60" i="8"/>
  <c r="E60" i="8"/>
  <c r="A61" i="8"/>
  <c r="D60" i="8"/>
  <c r="C60" i="8"/>
  <c r="C61" i="8" l="1"/>
  <c r="G61" i="8"/>
  <c r="B61" i="8"/>
  <c r="E61" i="8"/>
  <c r="D61" i="8"/>
  <c r="A62" i="8"/>
  <c r="A63" i="8" l="1"/>
  <c r="D62" i="8"/>
  <c r="C62" i="8"/>
  <c r="G62" i="8"/>
  <c r="E62" i="8"/>
  <c r="B62" i="8"/>
  <c r="E63" i="8" l="1"/>
  <c r="A64" i="8"/>
  <c r="D63" i="8"/>
  <c r="C63" i="8"/>
  <c r="B63" i="8"/>
  <c r="G63" i="8"/>
  <c r="G64" i="8" l="1"/>
  <c r="B64" i="8"/>
  <c r="E64" i="8"/>
  <c r="D64" i="8"/>
  <c r="C64" i="8"/>
  <c r="A65" i="8"/>
  <c r="C65" i="8" l="1"/>
  <c r="G65" i="8"/>
  <c r="B65" i="8"/>
  <c r="E65" i="8"/>
  <c r="A66" i="8"/>
  <c r="D65" i="8"/>
  <c r="A67" i="8" l="1"/>
  <c r="D66" i="8"/>
  <c r="C66" i="8"/>
  <c r="B66" i="8"/>
  <c r="G66" i="8"/>
  <c r="E66" i="8"/>
  <c r="E67" i="8" l="1"/>
  <c r="A68" i="8"/>
  <c r="D67" i="8"/>
  <c r="G67" i="8"/>
  <c r="C67" i="8"/>
  <c r="B67" i="8"/>
  <c r="G68" i="8" l="1"/>
  <c r="B68" i="8"/>
  <c r="E68" i="8"/>
  <c r="A69" i="8"/>
  <c r="D68" i="8"/>
  <c r="C68" i="8"/>
  <c r="C69" i="8" l="1"/>
  <c r="G69" i="8"/>
  <c r="B69" i="8"/>
  <c r="A70" i="8"/>
  <c r="E69" i="8"/>
  <c r="D69" i="8"/>
  <c r="A71" i="8" l="1"/>
  <c r="D70" i="8"/>
  <c r="C70" i="8"/>
  <c r="G70" i="8"/>
  <c r="E70" i="8"/>
  <c r="B70" i="8"/>
  <c r="E71" i="8" l="1"/>
  <c r="A72" i="8"/>
  <c r="D71" i="8"/>
  <c r="C71" i="8"/>
  <c r="B71" i="8"/>
  <c r="G71" i="8"/>
  <c r="G72" i="8" l="1"/>
  <c r="B72" i="8"/>
  <c r="E72" i="8"/>
  <c r="A73" i="8"/>
  <c r="D72" i="8"/>
  <c r="C72" i="8"/>
  <c r="C73" i="8" l="1"/>
  <c r="G73" i="8"/>
  <c r="B73" i="8"/>
  <c r="E73" i="8"/>
  <c r="A74" i="8"/>
  <c r="D73" i="8"/>
  <c r="A75" i="8" l="1"/>
  <c r="D74" i="8"/>
  <c r="C74" i="8"/>
  <c r="B74" i="8"/>
  <c r="G74" i="8"/>
  <c r="E74" i="8"/>
  <c r="E75" i="8" l="1"/>
  <c r="A76" i="8"/>
  <c r="D75" i="8"/>
  <c r="G75" i="8"/>
  <c r="C75" i="8"/>
  <c r="B75" i="8"/>
  <c r="G76" i="8" l="1"/>
  <c r="B76" i="8"/>
  <c r="E76" i="8"/>
  <c r="A77" i="8"/>
  <c r="D76" i="8"/>
  <c r="C76" i="8"/>
  <c r="C77" i="8" l="1"/>
  <c r="G77" i="8"/>
  <c r="B77" i="8"/>
  <c r="E77" i="8"/>
  <c r="D77" i="8"/>
  <c r="A78" i="8"/>
  <c r="A79" i="8" l="1"/>
  <c r="D78" i="8"/>
  <c r="C78" i="8"/>
  <c r="G78" i="8"/>
  <c r="E78" i="8"/>
  <c r="B78" i="8"/>
  <c r="E79" i="8" l="1"/>
  <c r="A80" i="8"/>
  <c r="D79" i="8"/>
  <c r="C79" i="8"/>
  <c r="B79" i="8"/>
  <c r="G79" i="8"/>
  <c r="G80" i="8" l="1"/>
  <c r="B80" i="8"/>
  <c r="E80" i="8"/>
  <c r="D80" i="8"/>
  <c r="C80" i="8"/>
  <c r="A81" i="8"/>
  <c r="C81" i="8" l="1"/>
  <c r="G81" i="8"/>
  <c r="B81" i="8"/>
  <c r="E81" i="8"/>
  <c r="A82" i="8"/>
  <c r="D81" i="8"/>
  <c r="A83" i="8" l="1"/>
  <c r="D82" i="8"/>
  <c r="C82" i="8"/>
  <c r="B82" i="8"/>
  <c r="G82" i="8"/>
  <c r="E82" i="8"/>
  <c r="E83" i="8" l="1"/>
  <c r="A84" i="8"/>
  <c r="D83" i="8"/>
  <c r="G83" i="8"/>
  <c r="C83" i="8"/>
  <c r="B83" i="8"/>
  <c r="G84" i="8" l="1"/>
  <c r="B84" i="8"/>
  <c r="E84" i="8"/>
  <c r="A85" i="8"/>
  <c r="D84" i="8"/>
  <c r="C84" i="8"/>
  <c r="C85" i="8" l="1"/>
  <c r="G85" i="8"/>
  <c r="B85" i="8"/>
  <c r="A86" i="8"/>
  <c r="E85" i="8"/>
  <c r="D85" i="8"/>
  <c r="A87" i="8" l="1"/>
  <c r="D86" i="8"/>
  <c r="C86" i="8"/>
  <c r="G86" i="8"/>
  <c r="E86" i="8"/>
  <c r="B86" i="8"/>
  <c r="E87" i="8" l="1"/>
  <c r="A88" i="8"/>
  <c r="D87" i="8"/>
  <c r="C87" i="8"/>
  <c r="B87" i="8"/>
  <c r="G87" i="8"/>
  <c r="G88" i="8" l="1"/>
  <c r="B88" i="8"/>
  <c r="E88" i="8"/>
  <c r="A89" i="8"/>
  <c r="D88" i="8"/>
  <c r="C88" i="8"/>
  <c r="C89" i="8" l="1"/>
  <c r="G89" i="8"/>
  <c r="B89" i="8"/>
  <c r="E89" i="8"/>
  <c r="A90" i="8"/>
  <c r="D89" i="8"/>
  <c r="A91" i="8" l="1"/>
  <c r="D90" i="8"/>
  <c r="C90" i="8"/>
  <c r="B90" i="8"/>
  <c r="G90" i="8"/>
  <c r="E90" i="8"/>
  <c r="E91" i="8" l="1"/>
  <c r="A92" i="8"/>
  <c r="D91" i="8"/>
  <c r="G91" i="8"/>
  <c r="C91" i="8"/>
  <c r="B91" i="8"/>
  <c r="G92" i="8" l="1"/>
  <c r="B92" i="8"/>
  <c r="E92" i="8"/>
  <c r="A93" i="8"/>
  <c r="D92" i="8"/>
  <c r="C92" i="8"/>
  <c r="C93" i="8" l="1"/>
  <c r="G93" i="8"/>
  <c r="B93" i="8"/>
  <c r="E93" i="8"/>
  <c r="D93" i="8"/>
  <c r="A94" i="8"/>
  <c r="A95" i="8" l="1"/>
  <c r="D94" i="8"/>
  <c r="C94" i="8"/>
  <c r="G94" i="8"/>
  <c r="E94" i="8"/>
  <c r="B94" i="8"/>
  <c r="E95" i="8" l="1"/>
  <c r="A96" i="8"/>
  <c r="D95" i="8"/>
  <c r="C95" i="8"/>
  <c r="B95" i="8"/>
  <c r="G95" i="8"/>
  <c r="G96" i="8" l="1"/>
  <c r="B96" i="8"/>
  <c r="E96" i="8"/>
  <c r="D96" i="8"/>
  <c r="C96" i="8"/>
  <c r="A97" i="8"/>
  <c r="C97" i="8" l="1"/>
  <c r="G97" i="8"/>
  <c r="B97" i="8"/>
  <c r="E97" i="8"/>
  <c r="A98" i="8"/>
  <c r="D97" i="8"/>
  <c r="A99" i="8" l="1"/>
  <c r="D98" i="8"/>
  <c r="C98" i="8"/>
  <c r="B98" i="8"/>
  <c r="G98" i="8"/>
  <c r="E98" i="8"/>
  <c r="E99" i="8" l="1"/>
  <c r="A100" i="8"/>
  <c r="D99" i="8"/>
  <c r="G99" i="8"/>
  <c r="C99" i="8"/>
  <c r="B99" i="8"/>
  <c r="G100" i="8" l="1"/>
  <c r="B100" i="8"/>
  <c r="E100" i="8"/>
  <c r="A101" i="8"/>
  <c r="D100" i="8"/>
  <c r="C100" i="8"/>
  <c r="C101" i="8" l="1"/>
  <c r="G101" i="8"/>
  <c r="B101" i="8"/>
  <c r="A102" i="8"/>
  <c r="E101" i="8"/>
  <c r="D101" i="8"/>
  <c r="A103" i="8" l="1"/>
  <c r="D102" i="8"/>
  <c r="C102" i="8"/>
  <c r="G102" i="8"/>
  <c r="E102" i="8"/>
  <c r="B102" i="8"/>
  <c r="E103" i="8" l="1"/>
  <c r="A104" i="8"/>
  <c r="D103" i="8"/>
  <c r="C103" i="8"/>
  <c r="B103" i="8"/>
  <c r="G103" i="8"/>
  <c r="G104" i="8" l="1"/>
  <c r="B104" i="8"/>
  <c r="E104" i="8"/>
  <c r="A105" i="8"/>
  <c r="D104" i="8"/>
  <c r="C104" i="8"/>
  <c r="C105" i="8" l="1"/>
  <c r="G105" i="8"/>
  <c r="B105" i="8"/>
  <c r="E105" i="8"/>
  <c r="A106" i="8"/>
  <c r="D105" i="8"/>
  <c r="A107" i="8" l="1"/>
  <c r="D106" i="8"/>
  <c r="C106" i="8"/>
  <c r="B106" i="8"/>
  <c r="G106" i="8"/>
  <c r="E106" i="8"/>
  <c r="E107" i="8" l="1"/>
  <c r="A108" i="8"/>
  <c r="D107" i="8"/>
  <c r="G107" i="8"/>
  <c r="C107" i="8"/>
  <c r="B107" i="8"/>
  <c r="G108" i="8" l="1"/>
  <c r="B108" i="8"/>
  <c r="E108" i="8"/>
  <c r="A109" i="8"/>
  <c r="D108" i="8"/>
  <c r="C108" i="8"/>
  <c r="C109" i="8" l="1"/>
  <c r="G109" i="8"/>
  <c r="B109" i="8"/>
  <c r="E109" i="8"/>
  <c r="D109" i="8"/>
  <c r="A110" i="8"/>
  <c r="A111" i="8" l="1"/>
  <c r="D110" i="8"/>
  <c r="C110" i="8"/>
  <c r="G110" i="8"/>
  <c r="E110" i="8"/>
  <c r="B110" i="8"/>
  <c r="E111" i="8" l="1"/>
  <c r="A112" i="8"/>
  <c r="D111" i="8"/>
  <c r="C111" i="8"/>
  <c r="B111" i="8"/>
  <c r="G111" i="8"/>
  <c r="G112" i="8" l="1"/>
  <c r="B112" i="8"/>
  <c r="E112" i="8"/>
  <c r="D112" i="8"/>
  <c r="C112" i="8"/>
  <c r="A113" i="8"/>
  <c r="C113" i="8" l="1"/>
  <c r="G113" i="8"/>
  <c r="B113" i="8"/>
  <c r="E113" i="8"/>
  <c r="A114" i="8"/>
  <c r="D113" i="8"/>
  <c r="A115" i="8" l="1"/>
  <c r="D114" i="8"/>
  <c r="C114" i="8"/>
  <c r="B114" i="8"/>
  <c r="G114" i="8"/>
  <c r="E114" i="8"/>
  <c r="E115" i="8" l="1"/>
  <c r="A116" i="8"/>
  <c r="D115" i="8"/>
  <c r="G115" i="8"/>
  <c r="C115" i="8"/>
  <c r="B115" i="8"/>
  <c r="G116" i="8" l="1"/>
  <c r="B116" i="8"/>
  <c r="E116" i="8"/>
  <c r="A117" i="8"/>
  <c r="D116" i="8"/>
  <c r="C116" i="8"/>
  <c r="C117" i="8" l="1"/>
  <c r="G117" i="8"/>
  <c r="B117" i="8"/>
  <c r="A118" i="8"/>
  <c r="E117" i="8"/>
  <c r="D117" i="8"/>
  <c r="A119" i="8" l="1"/>
  <c r="D118" i="8"/>
  <c r="C118" i="8"/>
  <c r="G118" i="8"/>
  <c r="E118" i="8"/>
  <c r="B118" i="8"/>
  <c r="E119" i="8" l="1"/>
  <c r="A120" i="8"/>
  <c r="D119" i="8"/>
  <c r="C119" i="8"/>
  <c r="B119" i="8"/>
  <c r="G119" i="8"/>
  <c r="G120" i="8" l="1"/>
  <c r="B120" i="8"/>
  <c r="E120" i="8"/>
  <c r="A121" i="8"/>
  <c r="D120" i="8"/>
  <c r="C120" i="8"/>
  <c r="C121" i="8" l="1"/>
  <c r="G121" i="8"/>
  <c r="B121" i="8"/>
  <c r="E121" i="8"/>
  <c r="A122" i="8"/>
  <c r="D121" i="8"/>
  <c r="A123" i="8" l="1"/>
  <c r="D122" i="8"/>
  <c r="C122" i="8"/>
  <c r="B122" i="8"/>
  <c r="G122" i="8"/>
  <c r="E122" i="8"/>
  <c r="E123" i="8" l="1"/>
  <c r="A124" i="8"/>
  <c r="D123" i="8"/>
  <c r="G123" i="8"/>
  <c r="C123" i="8"/>
  <c r="B123" i="8"/>
  <c r="G124" i="8" l="1"/>
  <c r="B124" i="8"/>
  <c r="E124" i="8"/>
  <c r="A125" i="8"/>
  <c r="D124" i="8"/>
  <c r="C124" i="8"/>
  <c r="C125" i="8" l="1"/>
  <c r="G125" i="8"/>
  <c r="B125" i="8"/>
  <c r="E125" i="8"/>
  <c r="D125" i="8"/>
  <c r="A126" i="8"/>
  <c r="A127" i="8" l="1"/>
  <c r="D126" i="8"/>
  <c r="C126" i="8"/>
  <c r="G126" i="8"/>
  <c r="E126" i="8"/>
  <c r="B126" i="8"/>
  <c r="E127" i="8" l="1"/>
  <c r="A128" i="8"/>
  <c r="D127" i="8"/>
  <c r="C127" i="8"/>
  <c r="B127" i="8"/>
  <c r="G127" i="8"/>
  <c r="G128" i="8" l="1"/>
  <c r="B128" i="8"/>
  <c r="E128" i="8"/>
  <c r="D128" i="8"/>
  <c r="C128" i="8"/>
  <c r="A129" i="8"/>
  <c r="C129" i="8" l="1"/>
  <c r="G129" i="8"/>
  <c r="B129" i="8"/>
  <c r="E129" i="8"/>
  <c r="A130" i="8"/>
  <c r="D129" i="8"/>
  <c r="A131" i="8" l="1"/>
  <c r="D130" i="8"/>
  <c r="C130" i="8"/>
  <c r="B130" i="8"/>
  <c r="G130" i="8"/>
  <c r="E130" i="8"/>
  <c r="E131" i="8" l="1"/>
  <c r="A132" i="8"/>
  <c r="D131" i="8"/>
  <c r="G131" i="8"/>
  <c r="C131" i="8"/>
  <c r="B131" i="8"/>
  <c r="G132" i="8" l="1"/>
  <c r="B132" i="8"/>
  <c r="E132" i="8"/>
  <c r="A133" i="8"/>
  <c r="D132" i="8"/>
  <c r="C132" i="8"/>
  <c r="C133" i="8" l="1"/>
  <c r="G133" i="8"/>
  <c r="B133" i="8"/>
  <c r="A134" i="8"/>
  <c r="E133" i="8"/>
  <c r="D133" i="8"/>
  <c r="A135" i="8" l="1"/>
  <c r="D134" i="8"/>
  <c r="C134" i="8"/>
  <c r="G134" i="8"/>
  <c r="E134" i="8"/>
  <c r="B134" i="8"/>
  <c r="E135" i="8" l="1"/>
  <c r="A136" i="8"/>
  <c r="D135" i="8"/>
  <c r="C135" i="8"/>
  <c r="B135" i="8"/>
  <c r="G135" i="8"/>
  <c r="G136" i="8" l="1"/>
  <c r="B136" i="8"/>
  <c r="E136" i="8"/>
  <c r="A137" i="8"/>
  <c r="D136" i="8"/>
  <c r="C136" i="8"/>
  <c r="C137" i="8" l="1"/>
  <c r="G137" i="8"/>
  <c r="B137" i="8"/>
  <c r="E137" i="8"/>
  <c r="A138" i="8"/>
  <c r="D137" i="8"/>
  <c r="A139" i="8" l="1"/>
  <c r="D138" i="8"/>
  <c r="C138" i="8"/>
  <c r="B138" i="8"/>
  <c r="G138" i="8"/>
  <c r="E138" i="8"/>
  <c r="E139" i="8" l="1"/>
  <c r="A140" i="8"/>
  <c r="D139" i="8"/>
  <c r="G139" i="8"/>
  <c r="C139" i="8"/>
  <c r="B139" i="8"/>
  <c r="G140" i="8" l="1"/>
  <c r="B140" i="8"/>
  <c r="E140" i="8"/>
  <c r="A141" i="8"/>
  <c r="D140" i="8"/>
  <c r="C140" i="8"/>
  <c r="C141" i="8" l="1"/>
  <c r="G141" i="8"/>
  <c r="B141" i="8"/>
  <c r="E141" i="8"/>
  <c r="D141" i="8"/>
  <c r="A142" i="8"/>
  <c r="A143" i="8" l="1"/>
  <c r="D142" i="8"/>
  <c r="C142" i="8"/>
  <c r="G142" i="8"/>
  <c r="E142" i="8"/>
  <c r="B142" i="8"/>
  <c r="E143" i="8" l="1"/>
  <c r="A144" i="8"/>
  <c r="D143" i="8"/>
  <c r="C143" i="8"/>
  <c r="B143" i="8"/>
  <c r="G143" i="8"/>
  <c r="G144" i="8" l="1"/>
  <c r="B144" i="8"/>
  <c r="E144" i="8"/>
  <c r="D144" i="8"/>
  <c r="C144" i="8"/>
  <c r="A145" i="8"/>
  <c r="C145" i="8" l="1"/>
  <c r="G145" i="8"/>
  <c r="B145" i="8"/>
  <c r="E145" i="8"/>
  <c r="A146" i="8"/>
  <c r="D145" i="8"/>
  <c r="A147" i="8" l="1"/>
  <c r="D146" i="8"/>
  <c r="C146" i="8"/>
  <c r="B146" i="8"/>
  <c r="G146" i="8"/>
  <c r="E146" i="8"/>
  <c r="E147" i="8" l="1"/>
  <c r="A148" i="8"/>
  <c r="D147" i="8"/>
  <c r="G147" i="8"/>
  <c r="C147" i="8"/>
  <c r="B147" i="8"/>
  <c r="G148" i="8" l="1"/>
  <c r="B148" i="8"/>
  <c r="E148" i="8"/>
  <c r="A149" i="8"/>
  <c r="D148" i="8"/>
  <c r="C148" i="8"/>
  <c r="C149" i="8" l="1"/>
  <c r="G149" i="8"/>
  <c r="B149" i="8"/>
  <c r="A150" i="8"/>
  <c r="E149" i="8"/>
  <c r="D149" i="8"/>
  <c r="A151" i="8" l="1"/>
  <c r="D150" i="8"/>
  <c r="C150" i="8"/>
  <c r="G150" i="8"/>
  <c r="E150" i="8"/>
  <c r="B150" i="8"/>
  <c r="E151" i="8" l="1"/>
  <c r="A152" i="8"/>
  <c r="D151" i="8"/>
  <c r="C151" i="8"/>
  <c r="B151" i="8"/>
  <c r="G151" i="8"/>
  <c r="G152" i="8" l="1"/>
  <c r="B152" i="8"/>
  <c r="E152" i="8"/>
  <c r="A153" i="8"/>
  <c r="D152" i="8"/>
  <c r="C152" i="8"/>
  <c r="C153" i="8" l="1"/>
  <c r="G153" i="8"/>
  <c r="B153" i="8"/>
  <c r="E153" i="8"/>
  <c r="A154" i="8"/>
  <c r="D153" i="8"/>
  <c r="A155" i="8" l="1"/>
  <c r="D154" i="8"/>
  <c r="C154" i="8"/>
  <c r="B154" i="8"/>
  <c r="G154" i="8"/>
  <c r="E154" i="8"/>
  <c r="E155" i="8" l="1"/>
  <c r="A156" i="8"/>
  <c r="D155" i="8"/>
  <c r="G155" i="8"/>
  <c r="C155" i="8"/>
  <c r="B155" i="8"/>
  <c r="G156" i="8" l="1"/>
  <c r="B156" i="8"/>
  <c r="E156" i="8"/>
  <c r="D156" i="8"/>
  <c r="C156" i="8"/>
  <c r="A157" i="8"/>
  <c r="D157" i="8" l="1"/>
  <c r="A158" i="8"/>
  <c r="C157" i="8"/>
  <c r="G157" i="8"/>
  <c r="E157" i="8"/>
  <c r="B157" i="8"/>
  <c r="G158" i="8" l="1"/>
  <c r="B158" i="8"/>
  <c r="E158" i="8"/>
  <c r="A159" i="8"/>
  <c r="D158" i="8"/>
  <c r="C158" i="8"/>
  <c r="D159" i="8" l="1"/>
  <c r="A160" i="8"/>
  <c r="C159" i="8"/>
  <c r="B159" i="8"/>
  <c r="G159" i="8"/>
  <c r="E159" i="8"/>
  <c r="G160" i="8" l="1"/>
  <c r="B160" i="8"/>
  <c r="E160" i="8"/>
  <c r="D160" i="8"/>
  <c r="C160" i="8"/>
  <c r="A161" i="8"/>
  <c r="D161" i="8" l="1"/>
  <c r="A162" i="8"/>
  <c r="C161" i="8"/>
  <c r="G161" i="8"/>
  <c r="E161" i="8"/>
  <c r="B161" i="8"/>
  <c r="G162" i="8" l="1"/>
  <c r="B162" i="8"/>
  <c r="E162" i="8"/>
  <c r="A163" i="8"/>
  <c r="D162" i="8"/>
  <c r="C162" i="8"/>
  <c r="D163" i="8" l="1"/>
  <c r="A164" i="8"/>
  <c r="C163" i="8"/>
  <c r="B163" i="8"/>
  <c r="G163" i="8"/>
  <c r="E163" i="8"/>
  <c r="G164" i="8" l="1"/>
  <c r="B164" i="8"/>
  <c r="E164" i="8"/>
  <c r="D164" i="8"/>
  <c r="C164" i="8"/>
  <c r="A165" i="8"/>
  <c r="D165" i="8" l="1"/>
  <c r="A166" i="8"/>
  <c r="C165" i="8"/>
  <c r="G165" i="8"/>
  <c r="E165" i="8"/>
  <c r="B165" i="8"/>
  <c r="G166" i="8" l="1"/>
  <c r="B166" i="8"/>
  <c r="E166" i="8"/>
  <c r="A167" i="8"/>
  <c r="D166" i="8"/>
  <c r="C166" i="8"/>
  <c r="D167" i="8" l="1"/>
  <c r="A168" i="8"/>
  <c r="C167" i="8"/>
  <c r="B167" i="8"/>
  <c r="G167" i="8"/>
  <c r="E167" i="8"/>
  <c r="G168" i="8" l="1"/>
  <c r="B168" i="8"/>
  <c r="E168" i="8"/>
  <c r="D168" i="8"/>
  <c r="C168" i="8"/>
  <c r="A169" i="8"/>
  <c r="D169" i="8" l="1"/>
  <c r="A170" i="8"/>
  <c r="C169" i="8"/>
  <c r="G169" i="8"/>
  <c r="E169" i="8"/>
  <c r="B169" i="8"/>
  <c r="G170" i="8" l="1"/>
  <c r="B170" i="8"/>
  <c r="E170" i="8"/>
  <c r="A171" i="8"/>
  <c r="D170" i="8"/>
  <c r="C170" i="8"/>
  <c r="D171" i="8" l="1"/>
  <c r="A172" i="8"/>
  <c r="C171" i="8"/>
  <c r="B171" i="8"/>
  <c r="G171" i="8"/>
  <c r="E171" i="8"/>
  <c r="G172" i="8" l="1"/>
  <c r="B172" i="8"/>
  <c r="E172" i="8"/>
  <c r="D172" i="8"/>
  <c r="C172" i="8"/>
  <c r="A173" i="8"/>
  <c r="D173" i="8" l="1"/>
  <c r="A174" i="8"/>
  <c r="C173" i="8"/>
  <c r="G173" i="8"/>
  <c r="E173" i="8"/>
  <c r="B173" i="8"/>
  <c r="G174" i="8" l="1"/>
  <c r="B174" i="8"/>
  <c r="E174" i="8"/>
  <c r="A175" i="8"/>
  <c r="D174" i="8"/>
  <c r="C174" i="8"/>
  <c r="D175" i="8" l="1"/>
  <c r="A176" i="8"/>
  <c r="C175" i="8"/>
  <c r="B175" i="8"/>
  <c r="G175" i="8"/>
  <c r="E175" i="8"/>
  <c r="G176" i="8" l="1"/>
  <c r="B176" i="8"/>
  <c r="E176" i="8"/>
  <c r="D176" i="8"/>
  <c r="C176" i="8"/>
  <c r="A177" i="8"/>
  <c r="D177" i="8" l="1"/>
  <c r="A178" i="8"/>
  <c r="C177" i="8"/>
  <c r="G177" i="8"/>
  <c r="E177" i="8"/>
  <c r="B177" i="8"/>
  <c r="G178" i="8" l="1"/>
  <c r="B178" i="8"/>
  <c r="E178" i="8"/>
  <c r="A179" i="8"/>
  <c r="D178" i="8"/>
  <c r="C178" i="8"/>
  <c r="D179" i="8" l="1"/>
  <c r="A180" i="8"/>
  <c r="C179" i="8"/>
  <c r="B179" i="8"/>
  <c r="G179" i="8"/>
  <c r="E179" i="8"/>
  <c r="G180" i="8" l="1"/>
  <c r="B180" i="8"/>
  <c r="E180" i="8"/>
  <c r="D180" i="8"/>
  <c r="C180" i="8"/>
  <c r="A181" i="8"/>
  <c r="D181" i="8" l="1"/>
  <c r="A182" i="8"/>
  <c r="C181" i="8"/>
  <c r="G181" i="8"/>
  <c r="E181" i="8"/>
  <c r="B181" i="8"/>
  <c r="G182" i="8" l="1"/>
  <c r="B182" i="8"/>
  <c r="E182" i="8"/>
  <c r="A183" i="8"/>
  <c r="D182" i="8"/>
  <c r="C182" i="8"/>
  <c r="D183" i="8" l="1"/>
  <c r="A184" i="8"/>
  <c r="C183" i="8"/>
  <c r="B183" i="8"/>
  <c r="G183" i="8"/>
  <c r="E183" i="8"/>
  <c r="G184" i="8" l="1"/>
  <c r="B184" i="8"/>
  <c r="E184" i="8"/>
  <c r="D184" i="8"/>
  <c r="C184" i="8"/>
  <c r="A185" i="8"/>
  <c r="D185" i="8" l="1"/>
  <c r="A186" i="8"/>
  <c r="C185" i="8"/>
  <c r="G185" i="8"/>
  <c r="E185" i="8"/>
  <c r="B185" i="8"/>
  <c r="G186" i="8" l="1"/>
  <c r="B186" i="8"/>
  <c r="E186" i="8"/>
  <c r="A187" i="8"/>
  <c r="D186" i="8"/>
  <c r="C186" i="8"/>
  <c r="D187" i="8" l="1"/>
  <c r="A188" i="8"/>
  <c r="C187" i="8"/>
  <c r="B187" i="8"/>
  <c r="G187" i="8"/>
  <c r="E187" i="8"/>
  <c r="G188" i="8" l="1"/>
  <c r="B188" i="8"/>
  <c r="E188" i="8"/>
  <c r="D188" i="8"/>
  <c r="C188" i="8"/>
  <c r="A189" i="8"/>
  <c r="D189" i="8" l="1"/>
  <c r="A190" i="8"/>
  <c r="C189" i="8"/>
  <c r="G189" i="8"/>
  <c r="E189" i="8"/>
  <c r="B189" i="8"/>
  <c r="G190" i="8" l="1"/>
  <c r="B190" i="8"/>
  <c r="E190" i="8"/>
  <c r="A191" i="8"/>
  <c r="D190" i="8"/>
  <c r="C190" i="8"/>
  <c r="D191" i="8" l="1"/>
  <c r="A192" i="8"/>
  <c r="C191" i="8"/>
  <c r="B191" i="8"/>
  <c r="G191" i="8"/>
  <c r="E191" i="8"/>
  <c r="G192" i="8" l="1"/>
  <c r="B192" i="8"/>
  <c r="E192" i="8"/>
  <c r="D192" i="8"/>
  <c r="C192" i="8"/>
  <c r="A193" i="8"/>
  <c r="D193" i="8" l="1"/>
  <c r="A194" i="8"/>
  <c r="C193" i="8"/>
  <c r="G193" i="8"/>
  <c r="E193" i="8"/>
  <c r="B193" i="8"/>
  <c r="G194" i="8" l="1"/>
  <c r="B194" i="8"/>
  <c r="E194" i="8"/>
  <c r="A195" i="8"/>
  <c r="D194" i="8"/>
  <c r="C194" i="8"/>
  <c r="D195" i="8" l="1"/>
  <c r="A196" i="8"/>
  <c r="C195" i="8"/>
  <c r="B195" i="8"/>
  <c r="G195" i="8"/>
  <c r="E195" i="8"/>
  <c r="G196" i="8" l="1"/>
  <c r="B196" i="8"/>
  <c r="E196" i="8"/>
  <c r="D196" i="8"/>
  <c r="C196" i="8"/>
  <c r="A197" i="8"/>
  <c r="D197" i="8" l="1"/>
  <c r="A198" i="8"/>
  <c r="C197" i="8"/>
  <c r="G197" i="8"/>
  <c r="E197" i="8"/>
  <c r="B197" i="8"/>
  <c r="G198" i="8" l="1"/>
  <c r="B198" i="8"/>
  <c r="E198" i="8"/>
  <c r="A199" i="8"/>
  <c r="D198" i="8"/>
  <c r="C198" i="8"/>
  <c r="D199" i="8" l="1"/>
  <c r="A200" i="8"/>
  <c r="C199" i="8"/>
  <c r="B199" i="8"/>
  <c r="G199" i="8"/>
  <c r="E199" i="8"/>
  <c r="G200" i="8" l="1"/>
  <c r="B200" i="8"/>
  <c r="E200" i="8"/>
  <c r="D200" i="8"/>
  <c r="C200" i="8"/>
  <c r="A201" i="8"/>
  <c r="D201" i="8" l="1"/>
  <c r="A202" i="8"/>
  <c r="C201" i="8"/>
  <c r="G201" i="8"/>
  <c r="E201" i="8"/>
  <c r="B201" i="8"/>
  <c r="G202" i="8" l="1"/>
  <c r="B202" i="8"/>
  <c r="E202" i="8"/>
  <c r="A203" i="8"/>
  <c r="D202" i="8"/>
  <c r="C202" i="8"/>
  <c r="D203" i="8" l="1"/>
  <c r="A204" i="8"/>
  <c r="C203" i="8"/>
  <c r="B203" i="8"/>
  <c r="G203" i="8"/>
  <c r="E203" i="8"/>
  <c r="G204" i="8" l="1"/>
  <c r="B204" i="8"/>
  <c r="E204" i="8"/>
  <c r="D204" i="8"/>
  <c r="C204" i="8"/>
  <c r="A205" i="8"/>
  <c r="D205" i="8" l="1"/>
  <c r="A206" i="8"/>
  <c r="C205" i="8"/>
  <c r="G205" i="8"/>
  <c r="E205" i="8"/>
  <c r="B205" i="8"/>
  <c r="G206" i="8" l="1"/>
  <c r="B206" i="8"/>
  <c r="E206" i="8"/>
  <c r="A207" i="8"/>
  <c r="D206" i="8"/>
  <c r="C206" i="8"/>
  <c r="D207" i="8" l="1"/>
  <c r="A208" i="8"/>
  <c r="C207" i="8"/>
  <c r="B207" i="8"/>
  <c r="G207" i="8"/>
  <c r="E207" i="8"/>
  <c r="G208" i="8" l="1"/>
  <c r="B208" i="8"/>
  <c r="E208" i="8"/>
  <c r="D208" i="8"/>
  <c r="C208" i="8"/>
  <c r="A209" i="8"/>
  <c r="D209" i="8" l="1"/>
  <c r="A210" i="8"/>
  <c r="C209" i="8"/>
  <c r="G209" i="8"/>
  <c r="E209" i="8"/>
  <c r="B209" i="8"/>
  <c r="G210" i="8" l="1"/>
  <c r="B210" i="8"/>
  <c r="E210" i="8"/>
  <c r="A211" i="8"/>
  <c r="D210" i="8"/>
  <c r="C210" i="8"/>
  <c r="D211" i="8" l="1"/>
  <c r="A212" i="8"/>
  <c r="C211" i="8"/>
  <c r="B211" i="8"/>
  <c r="G211" i="8"/>
  <c r="E211" i="8"/>
  <c r="G212" i="8" l="1"/>
  <c r="B212" i="8"/>
  <c r="E212" i="8"/>
  <c r="D212" i="8"/>
  <c r="C212" i="8"/>
  <c r="A213" i="8"/>
  <c r="D213" i="8" l="1"/>
  <c r="A214" i="8"/>
  <c r="C213" i="8"/>
  <c r="G213" i="8"/>
  <c r="E213" i="8"/>
  <c r="B213" i="8"/>
  <c r="G214" i="8" l="1"/>
  <c r="B214" i="8"/>
  <c r="E214" i="8"/>
  <c r="A215" i="8"/>
  <c r="D214" i="8"/>
  <c r="C214" i="8"/>
  <c r="D215" i="8" l="1"/>
  <c r="A216" i="8"/>
  <c r="C215" i="8"/>
  <c r="B215" i="8"/>
  <c r="G215" i="8"/>
  <c r="E215" i="8"/>
  <c r="G216" i="8" l="1"/>
  <c r="B216" i="8"/>
  <c r="E216" i="8"/>
  <c r="D216" i="8"/>
  <c r="C216" i="8"/>
  <c r="A217" i="8"/>
  <c r="D217" i="8" l="1"/>
  <c r="A218" i="8"/>
  <c r="C217" i="8"/>
  <c r="G217" i="8"/>
  <c r="E217" i="8"/>
  <c r="B217" i="8"/>
  <c r="G218" i="8" l="1"/>
  <c r="B218" i="8"/>
  <c r="E218" i="8"/>
  <c r="A219" i="8"/>
  <c r="D218" i="8"/>
  <c r="C218" i="8"/>
  <c r="D219" i="8" l="1"/>
  <c r="A220" i="8"/>
  <c r="C219" i="8"/>
  <c r="B219" i="8"/>
  <c r="G219" i="8"/>
  <c r="E219" i="8"/>
  <c r="G220" i="8" l="1"/>
  <c r="B220" i="8"/>
  <c r="E220" i="8"/>
  <c r="D220" i="8"/>
  <c r="C220" i="8"/>
  <c r="A221" i="8"/>
  <c r="D221" i="8" l="1"/>
  <c r="A222" i="8"/>
  <c r="C221" i="8"/>
  <c r="G221" i="8"/>
  <c r="E221" i="8"/>
  <c r="B221" i="8"/>
  <c r="G222" i="8" l="1"/>
  <c r="B222" i="8"/>
  <c r="E222" i="8"/>
  <c r="A223" i="8"/>
  <c r="D222" i="8"/>
  <c r="C222" i="8"/>
  <c r="D223" i="8" l="1"/>
  <c r="A224" i="8"/>
  <c r="C223" i="8"/>
  <c r="B223" i="8"/>
  <c r="G223" i="8"/>
  <c r="E223" i="8"/>
  <c r="G224" i="8" l="1"/>
  <c r="B224" i="8"/>
  <c r="E224" i="8"/>
  <c r="D224" i="8"/>
  <c r="C224" i="8"/>
  <c r="A225" i="8"/>
  <c r="D225" i="8" l="1"/>
  <c r="A226" i="8"/>
  <c r="C225" i="8"/>
  <c r="G225" i="8"/>
  <c r="E225" i="8"/>
  <c r="B225" i="8"/>
  <c r="G226" i="8" l="1"/>
  <c r="B226" i="8"/>
  <c r="E226" i="8"/>
  <c r="A227" i="8"/>
  <c r="D226" i="8"/>
  <c r="C226" i="8"/>
  <c r="D227" i="8" l="1"/>
  <c r="A228" i="8"/>
  <c r="C227" i="8"/>
  <c r="B227" i="8"/>
  <c r="G227" i="8"/>
  <c r="E227" i="8"/>
  <c r="G228" i="8" l="1"/>
  <c r="B228" i="8"/>
  <c r="E228" i="8"/>
  <c r="D228" i="8"/>
  <c r="C228" i="8"/>
  <c r="A229" i="8"/>
  <c r="D229" i="8" l="1"/>
  <c r="A230" i="8"/>
  <c r="C229" i="8"/>
  <c r="G229" i="8"/>
  <c r="E229" i="8"/>
  <c r="B229" i="8"/>
  <c r="G230" i="8" l="1"/>
  <c r="B230" i="8"/>
  <c r="E230" i="8"/>
  <c r="A231" i="8"/>
  <c r="D230" i="8"/>
  <c r="C230" i="8"/>
  <c r="D231" i="8" l="1"/>
  <c r="A232" i="8"/>
  <c r="C231" i="8"/>
  <c r="B231" i="8"/>
  <c r="G231" i="8"/>
  <c r="E231" i="8"/>
  <c r="G232" i="8" l="1"/>
  <c r="B232" i="8"/>
  <c r="E232" i="8"/>
  <c r="D232" i="8"/>
  <c r="C232" i="8"/>
  <c r="A233" i="8"/>
  <c r="D233" i="8" l="1"/>
  <c r="A234" i="8"/>
  <c r="C233" i="8"/>
  <c r="G233" i="8"/>
  <c r="E233" i="8"/>
  <c r="B233" i="8"/>
  <c r="G234" i="8" l="1"/>
  <c r="B234" i="8"/>
  <c r="E234" i="8"/>
  <c r="A235" i="8"/>
  <c r="D234" i="8"/>
  <c r="C234" i="8"/>
  <c r="D235" i="8" l="1"/>
  <c r="A236" i="8"/>
  <c r="C235" i="8"/>
  <c r="B235" i="8"/>
  <c r="G235" i="8"/>
  <c r="E235" i="8"/>
  <c r="G236" i="8" l="1"/>
  <c r="B236" i="8"/>
  <c r="E236" i="8"/>
  <c r="D236" i="8"/>
  <c r="C236" i="8"/>
  <c r="A237" i="8"/>
  <c r="D237" i="8" l="1"/>
  <c r="A238" i="8"/>
  <c r="C237" i="8"/>
  <c r="G237" i="8"/>
  <c r="E237" i="8"/>
  <c r="B237" i="8"/>
  <c r="G238" i="8" l="1"/>
  <c r="B238" i="8"/>
  <c r="E238" i="8"/>
  <c r="A239" i="8"/>
  <c r="D238" i="8"/>
  <c r="C238" i="8"/>
  <c r="D239" i="8" l="1"/>
  <c r="A240" i="8"/>
  <c r="C239" i="8"/>
  <c r="B239" i="8"/>
  <c r="G239" i="8"/>
  <c r="E239" i="8"/>
  <c r="G240" i="8" l="1"/>
  <c r="B240" i="8"/>
  <c r="E240" i="8"/>
  <c r="D240" i="8"/>
  <c r="C240" i="8"/>
  <c r="A241" i="8"/>
  <c r="D241" i="8" l="1"/>
  <c r="A242" i="8"/>
  <c r="C241" i="8"/>
  <c r="G241" i="8"/>
  <c r="E241" i="8"/>
  <c r="B241" i="8"/>
  <c r="G242" i="8" l="1"/>
  <c r="B242" i="8"/>
  <c r="E242" i="8"/>
  <c r="A243" i="8"/>
  <c r="D242" i="8"/>
  <c r="C242" i="8"/>
  <c r="D243" i="8" l="1"/>
  <c r="A244" i="8"/>
  <c r="C243" i="8"/>
  <c r="B243" i="8"/>
  <c r="G243" i="8"/>
  <c r="E243" i="8"/>
  <c r="G244" i="8" l="1"/>
  <c r="B244" i="8"/>
  <c r="E244" i="8"/>
  <c r="D244" i="8"/>
  <c r="C244" i="8"/>
  <c r="A245" i="8"/>
  <c r="D245" i="8" l="1"/>
  <c r="A246" i="8"/>
  <c r="C245" i="8"/>
  <c r="G245" i="8"/>
  <c r="E245" i="8"/>
  <c r="B245" i="8"/>
  <c r="G246" i="8" l="1"/>
  <c r="B246" i="8"/>
  <c r="E246" i="8"/>
  <c r="A247" i="8"/>
  <c r="D246" i="8"/>
  <c r="C246" i="8"/>
  <c r="D247" i="8" l="1"/>
  <c r="A248" i="8"/>
  <c r="C247" i="8"/>
  <c r="B247" i="8"/>
  <c r="G247" i="8"/>
  <c r="E247" i="8"/>
  <c r="G248" i="8" l="1"/>
  <c r="B248" i="8"/>
  <c r="E248" i="8"/>
  <c r="D248" i="8"/>
  <c r="C248" i="8"/>
  <c r="A249" i="8"/>
  <c r="D249" i="8" l="1"/>
  <c r="A250" i="8"/>
  <c r="C249" i="8"/>
  <c r="G249" i="8"/>
  <c r="E249" i="8"/>
  <c r="B249" i="8"/>
  <c r="G250" i="8" l="1"/>
  <c r="B250" i="8"/>
  <c r="E250" i="8"/>
  <c r="A251" i="8"/>
  <c r="D250" i="8"/>
  <c r="C250" i="8"/>
  <c r="D251" i="8" l="1"/>
  <c r="A252" i="8"/>
  <c r="C251" i="8"/>
  <c r="B251" i="8"/>
  <c r="G251" i="8"/>
  <c r="E251" i="8"/>
  <c r="G252" i="8" l="1"/>
  <c r="B252" i="8"/>
  <c r="E252" i="8"/>
  <c r="D252" i="8"/>
  <c r="C252" i="8"/>
  <c r="A253" i="8"/>
  <c r="D253" i="8" l="1"/>
  <c r="A254" i="8"/>
  <c r="C253" i="8"/>
  <c r="G253" i="8"/>
  <c r="E253" i="8"/>
  <c r="B253" i="8"/>
  <c r="G254" i="8" l="1"/>
  <c r="B254" i="8"/>
  <c r="E254" i="8"/>
  <c r="A255" i="8"/>
  <c r="D254" i="8"/>
  <c r="C254" i="8"/>
  <c r="D255" i="8" l="1"/>
  <c r="A256" i="8"/>
  <c r="C255" i="8"/>
  <c r="B255" i="8"/>
  <c r="G255" i="8"/>
  <c r="E255" i="8"/>
  <c r="G256" i="8" l="1"/>
  <c r="B256" i="8"/>
  <c r="E256" i="8"/>
  <c r="D256" i="8"/>
  <c r="C256" i="8"/>
  <c r="A257" i="8"/>
  <c r="D257" i="8" l="1"/>
  <c r="A258" i="8"/>
  <c r="C257" i="8"/>
  <c r="G257" i="8"/>
  <c r="E257" i="8"/>
  <c r="B257" i="8"/>
  <c r="G258" i="8" l="1"/>
  <c r="B258" i="8"/>
  <c r="E258" i="8"/>
  <c r="A259" i="8"/>
  <c r="D258" i="8"/>
  <c r="C258" i="8"/>
  <c r="D259" i="8" l="1"/>
  <c r="A260" i="8"/>
  <c r="C259" i="8"/>
  <c r="B259" i="8"/>
  <c r="G259" i="8"/>
  <c r="E259" i="8"/>
  <c r="G260" i="8" l="1"/>
  <c r="B260" i="8"/>
  <c r="E260" i="8"/>
  <c r="D260" i="8"/>
  <c r="C260" i="8"/>
  <c r="A261" i="8"/>
  <c r="D261" i="8" l="1"/>
  <c r="A262" i="8"/>
  <c r="C261" i="8"/>
  <c r="G261" i="8"/>
  <c r="E261" i="8"/>
  <c r="B261" i="8"/>
  <c r="G262" i="8" l="1"/>
  <c r="B262" i="8"/>
  <c r="E262" i="8"/>
  <c r="A263" i="8"/>
  <c r="D262" i="8"/>
  <c r="C262" i="8"/>
  <c r="D263" i="8" l="1"/>
  <c r="A264" i="8"/>
  <c r="C263" i="8"/>
  <c r="B263" i="8"/>
  <c r="G263" i="8"/>
  <c r="E263" i="8"/>
  <c r="G264" i="8" l="1"/>
  <c r="B264" i="8"/>
  <c r="E264" i="8"/>
  <c r="D264" i="8"/>
  <c r="C264" i="8"/>
  <c r="A265" i="8"/>
  <c r="D265" i="8" l="1"/>
  <c r="A266" i="8"/>
  <c r="C265" i="8"/>
  <c r="G265" i="8"/>
  <c r="E265" i="8"/>
  <c r="B265" i="8"/>
  <c r="G266" i="8" l="1"/>
  <c r="B266" i="8"/>
  <c r="E266" i="8"/>
  <c r="A267" i="8"/>
  <c r="D266" i="8"/>
  <c r="C266" i="8"/>
  <c r="D267" i="8" l="1"/>
  <c r="A268" i="8"/>
  <c r="C267" i="8"/>
  <c r="B267" i="8"/>
  <c r="G267" i="8"/>
  <c r="E267" i="8"/>
  <c r="G268" i="8" l="1"/>
  <c r="B268" i="8"/>
  <c r="E268" i="8"/>
  <c r="D268" i="8"/>
  <c r="C268" i="8"/>
  <c r="A269" i="8"/>
  <c r="D269" i="8" l="1"/>
  <c r="A270" i="8"/>
  <c r="C269" i="8"/>
  <c r="G269" i="8"/>
  <c r="E269" i="8"/>
  <c r="B269" i="8"/>
  <c r="G270" i="8" l="1"/>
  <c r="B270" i="8"/>
  <c r="E270" i="8"/>
  <c r="A271" i="8"/>
  <c r="D270" i="8"/>
  <c r="C270" i="8"/>
  <c r="D271" i="8" l="1"/>
  <c r="A272" i="8"/>
  <c r="C271" i="8"/>
  <c r="B271" i="8"/>
  <c r="G271" i="8"/>
  <c r="E271" i="8"/>
  <c r="G272" i="8" l="1"/>
  <c r="B272" i="8"/>
  <c r="E272" i="8"/>
  <c r="D272" i="8"/>
  <c r="C272" i="8"/>
  <c r="A273" i="8"/>
  <c r="D273" i="8" l="1"/>
  <c r="A274" i="8"/>
  <c r="C273" i="8"/>
  <c r="G273" i="8"/>
  <c r="E273" i="8"/>
  <c r="B273" i="8"/>
  <c r="G274" i="8" l="1"/>
  <c r="B274" i="8"/>
  <c r="E274" i="8"/>
  <c r="A275" i="8"/>
  <c r="D274" i="8"/>
  <c r="C274" i="8"/>
  <c r="D275" i="8" l="1"/>
  <c r="A276" i="8"/>
  <c r="C275" i="8"/>
  <c r="B275" i="8"/>
  <c r="G275" i="8"/>
  <c r="E275" i="8"/>
  <c r="G276" i="8" l="1"/>
  <c r="B276" i="8"/>
  <c r="E276" i="8"/>
  <c r="D276" i="8"/>
  <c r="C276" i="8"/>
  <c r="A277" i="8"/>
  <c r="D277" i="8" l="1"/>
  <c r="A278" i="8"/>
  <c r="C277" i="8"/>
  <c r="G277" i="8"/>
  <c r="E277" i="8"/>
  <c r="B277" i="8"/>
  <c r="G278" i="8" l="1"/>
  <c r="B278" i="8"/>
  <c r="E278" i="8"/>
  <c r="A279" i="8"/>
  <c r="D278" i="8"/>
  <c r="C278" i="8"/>
  <c r="D279" i="8" l="1"/>
  <c r="A280" i="8"/>
  <c r="C279" i="8"/>
  <c r="B279" i="8"/>
  <c r="G279" i="8"/>
  <c r="E279" i="8"/>
  <c r="G280" i="8" l="1"/>
  <c r="B280" i="8"/>
  <c r="E280" i="8"/>
  <c r="D280" i="8"/>
  <c r="C280" i="8"/>
  <c r="A281" i="8"/>
  <c r="D281" i="8" l="1"/>
  <c r="A282" i="8"/>
  <c r="C281" i="8"/>
  <c r="G281" i="8"/>
  <c r="E281" i="8"/>
  <c r="B281" i="8"/>
  <c r="G282" i="8" l="1"/>
  <c r="B282" i="8"/>
  <c r="E282" i="8"/>
  <c r="A283" i="8"/>
  <c r="D282" i="8"/>
  <c r="C282" i="8"/>
  <c r="D283" i="8" l="1"/>
  <c r="A284" i="8"/>
  <c r="C283" i="8"/>
  <c r="B283" i="8"/>
  <c r="G283" i="8"/>
  <c r="E283" i="8"/>
  <c r="G284" i="8" l="1"/>
  <c r="B284" i="8"/>
  <c r="E284" i="8"/>
  <c r="D284" i="8"/>
  <c r="C284" i="8"/>
  <c r="A285" i="8"/>
  <c r="D285" i="8" l="1"/>
  <c r="A286" i="8"/>
  <c r="C285" i="8"/>
  <c r="G285" i="8"/>
  <c r="E285" i="8"/>
  <c r="B285" i="8"/>
  <c r="G286" i="8" l="1"/>
  <c r="B286" i="8"/>
  <c r="E286" i="8"/>
  <c r="A287" i="8"/>
  <c r="D286" i="8"/>
  <c r="C286" i="8"/>
  <c r="D287" i="8" l="1"/>
  <c r="A288" i="8"/>
  <c r="C287" i="8"/>
  <c r="B287" i="8"/>
  <c r="G287" i="8"/>
  <c r="E287" i="8"/>
  <c r="G288" i="8" l="1"/>
  <c r="B288" i="8"/>
  <c r="E288" i="8"/>
  <c r="D288" i="8"/>
  <c r="C288" i="8"/>
  <c r="A289" i="8"/>
  <c r="D289" i="8" l="1"/>
  <c r="A290" i="8"/>
  <c r="C289" i="8"/>
  <c r="G289" i="8"/>
  <c r="E289" i="8"/>
  <c r="B289" i="8"/>
  <c r="G290" i="8" l="1"/>
  <c r="B290" i="8"/>
  <c r="E290" i="8"/>
  <c r="A291" i="8"/>
  <c r="D290" i="8"/>
  <c r="C290" i="8"/>
  <c r="D291" i="8" l="1"/>
  <c r="A292" i="8"/>
  <c r="C291" i="8"/>
  <c r="B291" i="8"/>
  <c r="G291" i="8"/>
  <c r="E291" i="8"/>
  <c r="G292" i="8" l="1"/>
  <c r="B292" i="8"/>
  <c r="E292" i="8"/>
  <c r="D292" i="8"/>
  <c r="C292" i="8"/>
  <c r="A293" i="8"/>
  <c r="D293" i="8" l="1"/>
  <c r="A294" i="8"/>
  <c r="C293" i="8"/>
  <c r="G293" i="8"/>
  <c r="E293" i="8"/>
  <c r="B293" i="8"/>
  <c r="G294" i="8" l="1"/>
  <c r="B294" i="8"/>
  <c r="E294" i="8"/>
  <c r="A295" i="8"/>
  <c r="D294" i="8"/>
  <c r="C294" i="8"/>
  <c r="D295" i="8" l="1"/>
  <c r="A296" i="8"/>
  <c r="C295" i="8"/>
  <c r="B295" i="8"/>
  <c r="G295" i="8"/>
  <c r="E295" i="8"/>
  <c r="G296" i="8" l="1"/>
  <c r="B296" i="8"/>
  <c r="E296" i="8"/>
  <c r="D296" i="8"/>
  <c r="C296" i="8"/>
  <c r="A297" i="8"/>
  <c r="D297" i="8" l="1"/>
  <c r="A298" i="8"/>
  <c r="C297" i="8"/>
  <c r="G297" i="8"/>
  <c r="E297" i="8"/>
  <c r="B297" i="8"/>
  <c r="G298" i="8" l="1"/>
  <c r="B298" i="8"/>
  <c r="E298" i="8"/>
  <c r="A299" i="8"/>
  <c r="D298" i="8"/>
  <c r="C298" i="8"/>
  <c r="D299" i="8" l="1"/>
  <c r="A300" i="8"/>
  <c r="C299" i="8"/>
  <c r="B299" i="8"/>
  <c r="G299" i="8"/>
  <c r="E299" i="8"/>
  <c r="G300" i="8" l="1"/>
  <c r="B300" i="8"/>
  <c r="E300" i="8"/>
  <c r="D300" i="8"/>
  <c r="C300" i="8"/>
  <c r="A301" i="8"/>
  <c r="D301" i="8" l="1"/>
  <c r="A302" i="8"/>
  <c r="C301" i="8"/>
  <c r="G301" i="8"/>
  <c r="E301" i="8"/>
  <c r="B301" i="8"/>
  <c r="G302" i="8" l="1"/>
  <c r="B302" i="8"/>
  <c r="E302" i="8"/>
  <c r="A303" i="8"/>
  <c r="D302" i="8"/>
  <c r="C302" i="8"/>
  <c r="D303" i="8" l="1"/>
  <c r="A304" i="8"/>
  <c r="C303" i="8"/>
  <c r="B303" i="8"/>
  <c r="G303" i="8"/>
  <c r="E303" i="8"/>
  <c r="G304" i="8" l="1"/>
  <c r="B304" i="8"/>
  <c r="E304" i="8"/>
  <c r="D304" i="8"/>
  <c r="C304" i="8"/>
  <c r="A305" i="8"/>
  <c r="D305" i="8" l="1"/>
  <c r="A306" i="8"/>
  <c r="C305" i="8"/>
  <c r="G305" i="8"/>
  <c r="E305" i="8"/>
  <c r="B305" i="8"/>
  <c r="G306" i="8" l="1"/>
  <c r="B306" i="8"/>
  <c r="E306" i="8"/>
  <c r="A307" i="8"/>
  <c r="D306" i="8"/>
  <c r="C306" i="8"/>
  <c r="D307" i="8" l="1"/>
  <c r="A308" i="8"/>
  <c r="C307" i="8"/>
  <c r="B307" i="8"/>
  <c r="G307" i="8"/>
  <c r="E307" i="8"/>
  <c r="G308" i="8" l="1"/>
  <c r="B308" i="8"/>
  <c r="E308" i="8"/>
  <c r="D308" i="8"/>
  <c r="C308" i="8"/>
  <c r="A309" i="8"/>
  <c r="D309" i="8" l="1"/>
  <c r="A310" i="8"/>
  <c r="C309" i="8"/>
  <c r="G309" i="8"/>
  <c r="E309" i="8"/>
  <c r="B309" i="8"/>
  <c r="G310" i="8" l="1"/>
  <c r="B310" i="8"/>
  <c r="E310" i="8"/>
  <c r="A311" i="8"/>
  <c r="D310" i="8"/>
  <c r="C310" i="8"/>
  <c r="D311" i="8" l="1"/>
  <c r="A312" i="8"/>
  <c r="C311" i="8"/>
  <c r="B311" i="8"/>
  <c r="G311" i="8"/>
  <c r="E311" i="8"/>
  <c r="G312" i="8" l="1"/>
  <c r="B312" i="8"/>
  <c r="E312" i="8"/>
  <c r="D312" i="8"/>
  <c r="C312" i="8"/>
  <c r="A313" i="8"/>
  <c r="D313" i="8" l="1"/>
  <c r="A314" i="8"/>
  <c r="C313" i="8"/>
  <c r="G313" i="8"/>
  <c r="E313" i="8"/>
  <c r="B313" i="8"/>
  <c r="G314" i="8" l="1"/>
  <c r="B314" i="8"/>
  <c r="E314" i="8"/>
  <c r="A315" i="8"/>
  <c r="D314" i="8"/>
  <c r="C314" i="8"/>
  <c r="D315" i="8" l="1"/>
  <c r="A316" i="8"/>
  <c r="C315" i="8"/>
  <c r="B315" i="8"/>
  <c r="G315" i="8"/>
  <c r="E315" i="8"/>
  <c r="G316" i="8" l="1"/>
  <c r="B316" i="8"/>
  <c r="E316" i="8"/>
  <c r="D316" i="8"/>
  <c r="C316" i="8"/>
  <c r="A317" i="8"/>
  <c r="D317" i="8" l="1"/>
  <c r="A318" i="8"/>
  <c r="C317" i="8"/>
  <c r="G317" i="8"/>
  <c r="E317" i="8"/>
  <c r="B317" i="8"/>
  <c r="G318" i="8" l="1"/>
  <c r="B318" i="8"/>
  <c r="E318" i="8"/>
  <c r="A319" i="8"/>
  <c r="D318" i="8"/>
  <c r="C318" i="8"/>
  <c r="D319" i="8" l="1"/>
  <c r="A320" i="8"/>
  <c r="C319" i="8"/>
  <c r="B319" i="8"/>
  <c r="G319" i="8"/>
  <c r="E319" i="8"/>
  <c r="G320" i="8" l="1"/>
  <c r="B320" i="8"/>
  <c r="E320" i="8"/>
  <c r="D320" i="8"/>
  <c r="C320" i="8"/>
  <c r="A321" i="8"/>
  <c r="D321" i="8" l="1"/>
  <c r="A322" i="8"/>
  <c r="C321" i="8"/>
  <c r="G321" i="8"/>
  <c r="E321" i="8"/>
  <c r="B321" i="8"/>
  <c r="G322" i="8" l="1"/>
  <c r="B322" i="8"/>
  <c r="E322" i="8"/>
  <c r="A323" i="8"/>
  <c r="D322" i="8"/>
  <c r="C322" i="8"/>
  <c r="D323" i="8" l="1"/>
  <c r="A324" i="8"/>
  <c r="C323" i="8"/>
  <c r="B323" i="8"/>
  <c r="G323" i="8"/>
  <c r="E323" i="8"/>
  <c r="G324" i="8" l="1"/>
  <c r="B324" i="8"/>
  <c r="E324" i="8"/>
  <c r="D324" i="8"/>
  <c r="C324" i="8"/>
  <c r="A325" i="8"/>
  <c r="D325" i="8" l="1"/>
  <c r="A326" i="8"/>
  <c r="C325" i="8"/>
  <c r="G325" i="8"/>
  <c r="E325" i="8"/>
  <c r="B325" i="8"/>
  <c r="G326" i="8" l="1"/>
  <c r="B326" i="8"/>
  <c r="E326" i="8"/>
  <c r="A327" i="8"/>
  <c r="D326" i="8"/>
  <c r="C326" i="8"/>
  <c r="D327" i="8" l="1"/>
  <c r="A328" i="8"/>
  <c r="C327" i="8"/>
  <c r="B327" i="8"/>
  <c r="G327" i="8"/>
  <c r="E327" i="8"/>
  <c r="G328" i="8" l="1"/>
  <c r="B328" i="8"/>
  <c r="E328" i="8"/>
  <c r="D328" i="8"/>
  <c r="C328" i="8"/>
  <c r="A329" i="8"/>
  <c r="D329" i="8" l="1"/>
  <c r="A330" i="8"/>
  <c r="C329" i="8"/>
  <c r="G329" i="8"/>
  <c r="E329" i="8"/>
  <c r="B329" i="8"/>
  <c r="G330" i="8" l="1"/>
  <c r="B330" i="8"/>
  <c r="E330" i="8"/>
  <c r="A331" i="8"/>
  <c r="D330" i="8"/>
  <c r="C330" i="8"/>
  <c r="D331" i="8" l="1"/>
  <c r="A332" i="8"/>
  <c r="C331" i="8"/>
  <c r="B331" i="8"/>
  <c r="G331" i="8"/>
  <c r="E331" i="8"/>
  <c r="G332" i="8" l="1"/>
  <c r="B332" i="8"/>
  <c r="E332" i="8"/>
  <c r="D332" i="8"/>
  <c r="C332" i="8"/>
  <c r="A333" i="8"/>
  <c r="D333" i="8" l="1"/>
  <c r="A334" i="8"/>
  <c r="C333" i="8"/>
  <c r="G333" i="8"/>
  <c r="E333" i="8"/>
  <c r="B333" i="8"/>
  <c r="G334" i="8" l="1"/>
  <c r="B334" i="8"/>
  <c r="E334" i="8"/>
  <c r="A335" i="8"/>
  <c r="D334" i="8"/>
  <c r="C334" i="8"/>
  <c r="D335" i="8" l="1"/>
  <c r="A336" i="8"/>
  <c r="C335" i="8"/>
  <c r="B335" i="8"/>
  <c r="G335" i="8"/>
  <c r="E335" i="8"/>
  <c r="G336" i="8" l="1"/>
  <c r="B336" i="8"/>
  <c r="E336" i="8"/>
  <c r="D336" i="8"/>
  <c r="C336" i="8"/>
  <c r="A337" i="8"/>
  <c r="D337" i="8" l="1"/>
  <c r="A338" i="8"/>
  <c r="C337" i="8"/>
  <c r="G337" i="8"/>
  <c r="E337" i="8"/>
  <c r="B337" i="8"/>
  <c r="G338" i="8" l="1"/>
  <c r="B338" i="8"/>
  <c r="E338" i="8"/>
  <c r="A339" i="8"/>
  <c r="D338" i="8"/>
  <c r="C338" i="8"/>
  <c r="D339" i="8" l="1"/>
  <c r="A340" i="8"/>
  <c r="C339" i="8"/>
  <c r="B339" i="8"/>
  <c r="G339" i="8"/>
  <c r="E339" i="8"/>
  <c r="G340" i="8" l="1"/>
  <c r="B340" i="8"/>
  <c r="E340" i="8"/>
  <c r="D340" i="8"/>
  <c r="C340" i="8"/>
  <c r="A341" i="8"/>
  <c r="D341" i="8" l="1"/>
  <c r="A342" i="8"/>
  <c r="C341" i="8"/>
  <c r="G341" i="8"/>
  <c r="E341" i="8"/>
  <c r="B341" i="8"/>
  <c r="G342" i="8" l="1"/>
  <c r="B342" i="8"/>
  <c r="E342" i="8"/>
  <c r="A343" i="8"/>
  <c r="D342" i="8"/>
  <c r="C342" i="8"/>
  <c r="D343" i="8" l="1"/>
  <c r="A344" i="8"/>
  <c r="C343" i="8"/>
  <c r="B343" i="8"/>
  <c r="G343" i="8"/>
  <c r="E343" i="8"/>
  <c r="G344" i="8" l="1"/>
  <c r="B344" i="8"/>
  <c r="E344" i="8"/>
  <c r="D344" i="8"/>
  <c r="C344" i="8"/>
  <c r="A345" i="8"/>
  <c r="D345" i="8" l="1"/>
  <c r="A346" i="8"/>
  <c r="C345" i="8"/>
  <c r="G345" i="8"/>
  <c r="E345" i="8"/>
  <c r="B345" i="8"/>
  <c r="G346" i="8" l="1"/>
  <c r="B346" i="8"/>
  <c r="E346" i="8"/>
  <c r="A347" i="8"/>
  <c r="D346" i="8"/>
  <c r="C346" i="8"/>
  <c r="D347" i="8" l="1"/>
  <c r="A348" i="8"/>
  <c r="C347" i="8"/>
  <c r="B347" i="8"/>
  <c r="G347" i="8"/>
  <c r="E347" i="8"/>
  <c r="G348" i="8" l="1"/>
  <c r="B348" i="8"/>
  <c r="E348" i="8"/>
  <c r="D348" i="8"/>
  <c r="C348" i="8"/>
  <c r="A349" i="8"/>
  <c r="D349" i="8" l="1"/>
  <c r="A350" i="8"/>
  <c r="C349" i="8"/>
  <c r="G349" i="8"/>
  <c r="E349" i="8"/>
  <c r="B349" i="8"/>
  <c r="G350" i="8" l="1"/>
  <c r="B350" i="8"/>
  <c r="E350" i="8"/>
  <c r="A351" i="8"/>
  <c r="D350" i="8"/>
  <c r="C350" i="8"/>
  <c r="D351" i="8" l="1"/>
  <c r="A352" i="8"/>
  <c r="C351" i="8"/>
  <c r="B351" i="8"/>
  <c r="G351" i="8"/>
  <c r="E351" i="8"/>
  <c r="G352" i="8" l="1"/>
  <c r="B352" i="8"/>
  <c r="E352" i="8"/>
  <c r="D352" i="8"/>
  <c r="C352" i="8"/>
  <c r="A353" i="8"/>
  <c r="D353" i="8" l="1"/>
  <c r="A354" i="8"/>
  <c r="C353" i="8"/>
  <c r="G353" i="8"/>
  <c r="E353" i="8"/>
  <c r="B353" i="8"/>
  <c r="G354" i="8" l="1"/>
  <c r="B354" i="8"/>
  <c r="E354" i="8"/>
  <c r="A355" i="8"/>
  <c r="D354" i="8"/>
  <c r="C354" i="8"/>
  <c r="D355" i="8" l="1"/>
  <c r="A356" i="8"/>
  <c r="C355" i="8"/>
  <c r="B355" i="8"/>
  <c r="G355" i="8"/>
  <c r="E355" i="8"/>
  <c r="G356" i="8" l="1"/>
  <c r="B356" i="8"/>
  <c r="E356" i="8"/>
  <c r="D356" i="8"/>
  <c r="C356" i="8"/>
  <c r="A357" i="8"/>
  <c r="D357" i="8" l="1"/>
  <c r="A358" i="8"/>
  <c r="C357" i="8"/>
  <c r="G357" i="8"/>
  <c r="E357" i="8"/>
  <c r="B357" i="8"/>
  <c r="G358" i="8" l="1"/>
  <c r="B358" i="8"/>
  <c r="E358" i="8"/>
  <c r="A359" i="8"/>
  <c r="D358" i="8"/>
  <c r="C358" i="8"/>
  <c r="D359" i="8" l="1"/>
  <c r="A360" i="8"/>
  <c r="C359" i="8"/>
  <c r="B359" i="8"/>
  <c r="G359" i="8"/>
  <c r="E359" i="8"/>
  <c r="G360" i="8" l="1"/>
  <c r="B360" i="8"/>
  <c r="E360" i="8"/>
  <c r="D360" i="8"/>
  <c r="C360" i="8"/>
  <c r="A361" i="8"/>
  <c r="D361" i="8" l="1"/>
  <c r="A362" i="8"/>
  <c r="C361" i="8"/>
  <c r="G361" i="8"/>
  <c r="E361" i="8"/>
  <c r="B361" i="8"/>
  <c r="G362" i="8" l="1"/>
  <c r="B362" i="8"/>
  <c r="E362" i="8"/>
  <c r="A363" i="8"/>
  <c r="D362" i="8"/>
  <c r="C362" i="8"/>
  <c r="D363" i="8" l="1"/>
  <c r="A364" i="8"/>
  <c r="C363" i="8"/>
  <c r="B363" i="8"/>
  <c r="G363" i="8"/>
  <c r="E363" i="8"/>
  <c r="G364" i="8" l="1"/>
  <c r="B364" i="8"/>
  <c r="E364" i="8"/>
  <c r="D364" i="8"/>
  <c r="C364" i="8"/>
  <c r="A365" i="8"/>
  <c r="D365" i="8" l="1"/>
  <c r="A366" i="8"/>
  <c r="C365" i="8"/>
  <c r="G365" i="8"/>
  <c r="E365" i="8"/>
  <c r="B365" i="8"/>
  <c r="G366" i="8" l="1"/>
  <c r="B366" i="8"/>
  <c r="E366" i="8"/>
  <c r="A367" i="8"/>
  <c r="D366" i="8"/>
  <c r="C366" i="8"/>
  <c r="D367" i="8" l="1"/>
  <c r="A368" i="8"/>
  <c r="C367" i="8"/>
  <c r="B367" i="8"/>
  <c r="G367" i="8"/>
  <c r="E367" i="8"/>
  <c r="G368" i="8" l="1"/>
  <c r="B368" i="8"/>
  <c r="E368" i="8"/>
  <c r="D368" i="8"/>
  <c r="C368" i="8"/>
  <c r="A369" i="8"/>
  <c r="D369" i="8" l="1"/>
  <c r="A370" i="8"/>
  <c r="C369" i="8"/>
  <c r="G369" i="8"/>
  <c r="E369" i="8"/>
  <c r="B369" i="8"/>
  <c r="G370" i="8" l="1"/>
  <c r="B370" i="8"/>
  <c r="E370" i="8"/>
  <c r="A371" i="8"/>
  <c r="D370" i="8"/>
  <c r="C370" i="8"/>
  <c r="D371" i="8" l="1"/>
  <c r="A372" i="8"/>
  <c r="C371" i="8"/>
  <c r="B371" i="8"/>
  <c r="G371" i="8"/>
  <c r="E371" i="8"/>
  <c r="G372" i="8" l="1"/>
  <c r="B372" i="8"/>
  <c r="E372" i="8"/>
  <c r="D372" i="8"/>
  <c r="C372" i="8"/>
  <c r="A373" i="8"/>
  <c r="D373" i="8" l="1"/>
  <c r="A374" i="8"/>
  <c r="C373" i="8"/>
  <c r="G373" i="8"/>
  <c r="E373" i="8"/>
  <c r="B373" i="8"/>
  <c r="G374" i="8" l="1"/>
  <c r="B374" i="8"/>
  <c r="E374" i="8"/>
  <c r="A375" i="8"/>
  <c r="D374" i="8"/>
  <c r="C374" i="8"/>
  <c r="D375" i="8" l="1"/>
  <c r="A376" i="8"/>
  <c r="C375" i="8"/>
  <c r="B375" i="8"/>
  <c r="G375" i="8"/>
  <c r="E375" i="8"/>
  <c r="G376" i="8" l="1"/>
  <c r="B376" i="8"/>
  <c r="E376" i="8"/>
  <c r="D376" i="8"/>
  <c r="C376" i="8"/>
  <c r="A377" i="8"/>
  <c r="D377" i="8" l="1"/>
  <c r="A378" i="8"/>
  <c r="C377" i="8"/>
  <c r="G377" i="8"/>
  <c r="E377" i="8"/>
  <c r="B377" i="8"/>
  <c r="G378" i="8" l="1"/>
  <c r="B378" i="8"/>
  <c r="E378" i="8"/>
  <c r="A379" i="8"/>
  <c r="D378" i="8"/>
  <c r="C378" i="8"/>
  <c r="D379" i="8" l="1"/>
  <c r="A380" i="8"/>
  <c r="C379" i="8"/>
  <c r="B379" i="8"/>
  <c r="G379" i="8"/>
  <c r="E379" i="8"/>
  <c r="G380" i="8" l="1"/>
  <c r="B380" i="8"/>
  <c r="E380" i="8"/>
  <c r="D380" i="8"/>
  <c r="C380" i="8"/>
  <c r="A381" i="8"/>
  <c r="D381" i="8" l="1"/>
  <c r="A382" i="8"/>
  <c r="C381" i="8"/>
  <c r="G381" i="8"/>
  <c r="E381" i="8"/>
  <c r="B381" i="8"/>
  <c r="G382" i="8" l="1"/>
  <c r="B382" i="8"/>
  <c r="E382" i="8"/>
  <c r="A383" i="8"/>
  <c r="D382" i="8"/>
  <c r="C382" i="8"/>
  <c r="D383" i="8" l="1"/>
  <c r="A384" i="8"/>
  <c r="C383" i="8"/>
  <c r="B383" i="8"/>
  <c r="G383" i="8"/>
  <c r="E383" i="8"/>
  <c r="G384" i="8" l="1"/>
  <c r="B384" i="8"/>
  <c r="E384" i="8"/>
  <c r="D384" i="8"/>
  <c r="C384" i="8"/>
  <c r="A385" i="8"/>
  <c r="D385" i="8" l="1"/>
  <c r="A386" i="8"/>
  <c r="C385" i="8"/>
  <c r="G385" i="8"/>
  <c r="E385" i="8"/>
  <c r="B385" i="8"/>
  <c r="G386" i="8" l="1"/>
  <c r="B386" i="8"/>
  <c r="E386" i="8"/>
  <c r="A387" i="8"/>
  <c r="D386" i="8"/>
  <c r="C386" i="8"/>
  <c r="D387" i="8" l="1"/>
  <c r="A388" i="8"/>
  <c r="C387" i="8"/>
  <c r="B387" i="8"/>
  <c r="G387" i="8"/>
  <c r="E387" i="8"/>
  <c r="G388" i="8" l="1"/>
  <c r="B388" i="8"/>
  <c r="E388" i="8"/>
  <c r="D388" i="8"/>
  <c r="C388" i="8"/>
  <c r="A389" i="8"/>
  <c r="D389" i="8" l="1"/>
  <c r="A390" i="8"/>
  <c r="C389" i="8"/>
  <c r="G389" i="8"/>
  <c r="E389" i="8"/>
  <c r="B389" i="8"/>
  <c r="G390" i="8" l="1"/>
  <c r="B390" i="8"/>
  <c r="E390" i="8"/>
  <c r="A391" i="8"/>
  <c r="D390" i="8"/>
  <c r="C390" i="8"/>
  <c r="D391" i="8" l="1"/>
  <c r="A392" i="8"/>
  <c r="C391" i="8"/>
  <c r="B391" i="8"/>
  <c r="G391" i="8"/>
  <c r="E391" i="8"/>
  <c r="G392" i="8" l="1"/>
  <c r="B392" i="8"/>
  <c r="E392" i="8"/>
  <c r="D392" i="8"/>
  <c r="C392" i="8"/>
  <c r="A393" i="8"/>
  <c r="D393" i="8" l="1"/>
  <c r="A394" i="8"/>
  <c r="C393" i="8"/>
  <c r="G393" i="8"/>
  <c r="E393" i="8"/>
  <c r="B393" i="8"/>
  <c r="G394" i="8" l="1"/>
  <c r="B394" i="8"/>
  <c r="E394" i="8"/>
  <c r="A395" i="8"/>
  <c r="D394" i="8"/>
  <c r="C394" i="8"/>
  <c r="D395" i="8" l="1"/>
  <c r="A396" i="8"/>
  <c r="C395" i="8"/>
  <c r="B395" i="8"/>
  <c r="G395" i="8"/>
  <c r="E395" i="8"/>
  <c r="G396" i="8" l="1"/>
  <c r="B396" i="8"/>
  <c r="E396" i="8"/>
  <c r="D396" i="8"/>
  <c r="C396" i="8"/>
  <c r="A397" i="8"/>
  <c r="D397" i="8" l="1"/>
  <c r="A398" i="8"/>
  <c r="C397" i="8"/>
  <c r="G397" i="8"/>
  <c r="E397" i="8"/>
  <c r="B397" i="8"/>
  <c r="G398" i="8" l="1"/>
  <c r="B398" i="8"/>
  <c r="E398" i="8"/>
  <c r="A399" i="8"/>
  <c r="D398" i="8"/>
  <c r="C398" i="8"/>
  <c r="D399" i="8" l="1"/>
  <c r="A400" i="8"/>
  <c r="C399" i="8"/>
  <c r="B399" i="8"/>
  <c r="G399" i="8"/>
  <c r="E399" i="8"/>
  <c r="G400" i="8" l="1"/>
  <c r="B400" i="8"/>
  <c r="E400" i="8"/>
  <c r="D400" i="8"/>
  <c r="C400" i="8"/>
  <c r="A401" i="8"/>
  <c r="D401" i="8" l="1"/>
  <c r="A402" i="8"/>
  <c r="C401" i="8"/>
  <c r="G401" i="8"/>
  <c r="E401" i="8"/>
  <c r="B401" i="8"/>
  <c r="G402" i="8" l="1"/>
  <c r="B402" i="8"/>
  <c r="E402" i="8"/>
  <c r="A403" i="8"/>
  <c r="D402" i="8"/>
  <c r="C402" i="8"/>
  <c r="D403" i="8" l="1"/>
  <c r="A404" i="8"/>
  <c r="C403" i="8"/>
  <c r="B403" i="8"/>
  <c r="G403" i="8"/>
  <c r="E403" i="8"/>
  <c r="G404" i="8" l="1"/>
  <c r="B404" i="8"/>
  <c r="E404" i="8"/>
  <c r="D404" i="8"/>
  <c r="C404" i="8"/>
  <c r="A405" i="8"/>
  <c r="D405" i="8" l="1"/>
  <c r="A406" i="8"/>
  <c r="C405" i="8"/>
  <c r="G405" i="8"/>
  <c r="E405" i="8"/>
  <c r="B405" i="8"/>
  <c r="G406" i="8" l="1"/>
  <c r="B406" i="8"/>
  <c r="E406" i="8"/>
  <c r="A407" i="8"/>
  <c r="D406" i="8"/>
  <c r="C406" i="8"/>
  <c r="D407" i="8" l="1"/>
  <c r="A408" i="8"/>
  <c r="C407" i="8"/>
  <c r="B407" i="8"/>
  <c r="G407" i="8"/>
  <c r="E407" i="8"/>
  <c r="G408" i="8" l="1"/>
  <c r="B408" i="8"/>
  <c r="E408" i="8"/>
  <c r="D408" i="8"/>
  <c r="C408" i="8"/>
  <c r="A409" i="8"/>
  <c r="D409" i="8" l="1"/>
  <c r="A410" i="8"/>
  <c r="C409" i="8"/>
  <c r="G409" i="8"/>
  <c r="E409" i="8"/>
  <c r="B409" i="8"/>
  <c r="G410" i="8" l="1"/>
  <c r="B410" i="8"/>
  <c r="E410" i="8"/>
  <c r="A411" i="8"/>
  <c r="D410" i="8"/>
  <c r="C410" i="8"/>
  <c r="D411" i="8" l="1"/>
  <c r="A412" i="8"/>
  <c r="C411" i="8"/>
  <c r="B411" i="8"/>
  <c r="G411" i="8"/>
  <c r="E411" i="8"/>
  <c r="G412" i="8" l="1"/>
  <c r="B412" i="8"/>
  <c r="E412" i="8"/>
  <c r="D412" i="8"/>
  <c r="C412" i="8"/>
  <c r="A413" i="8"/>
  <c r="D413" i="8" l="1"/>
  <c r="A414" i="8"/>
  <c r="C413" i="8"/>
  <c r="G413" i="8"/>
  <c r="E413" i="8"/>
  <c r="B413" i="8"/>
  <c r="G414" i="8" l="1"/>
  <c r="B414" i="8"/>
  <c r="E414" i="8"/>
  <c r="A415" i="8"/>
  <c r="D414" i="8"/>
  <c r="C414" i="8"/>
  <c r="D415" i="8" l="1"/>
  <c r="A416" i="8"/>
  <c r="C415" i="8"/>
  <c r="B415" i="8"/>
  <c r="G415" i="8"/>
  <c r="E415" i="8"/>
  <c r="G416" i="8" l="1"/>
  <c r="B416" i="8"/>
  <c r="E416" i="8"/>
  <c r="D416" i="8"/>
  <c r="C416" i="8"/>
  <c r="A417" i="8"/>
  <c r="D417" i="8" l="1"/>
  <c r="A418" i="8"/>
  <c r="C417" i="8"/>
  <c r="G417" i="8"/>
  <c r="E417" i="8"/>
  <c r="B417" i="8"/>
  <c r="G418" i="8" l="1"/>
  <c r="B418" i="8"/>
  <c r="E418" i="8"/>
  <c r="A419" i="8"/>
  <c r="D418" i="8"/>
  <c r="C418" i="8"/>
  <c r="D419" i="8" l="1"/>
  <c r="A420" i="8"/>
  <c r="C419" i="8"/>
  <c r="B419" i="8"/>
  <c r="G419" i="8"/>
  <c r="E419" i="8"/>
  <c r="G420" i="8" l="1"/>
  <c r="B420" i="8"/>
  <c r="E420" i="8"/>
  <c r="D420" i="8"/>
  <c r="C420" i="8"/>
  <c r="A421" i="8"/>
  <c r="D421" i="8" l="1"/>
  <c r="A422" i="8"/>
  <c r="C421" i="8"/>
  <c r="G421" i="8"/>
  <c r="E421" i="8"/>
  <c r="B421" i="8"/>
  <c r="G422" i="8" l="1"/>
  <c r="B422" i="8"/>
  <c r="E422" i="8"/>
  <c r="A423" i="8"/>
  <c r="D422" i="8"/>
  <c r="C422" i="8"/>
  <c r="D423" i="8" l="1"/>
  <c r="A424" i="8"/>
  <c r="C423" i="8"/>
  <c r="B423" i="8"/>
  <c r="G423" i="8"/>
  <c r="E423" i="8"/>
  <c r="G424" i="8" l="1"/>
  <c r="B424" i="8"/>
  <c r="E424" i="8"/>
  <c r="D424" i="8"/>
  <c r="C424" i="8"/>
  <c r="A425" i="8"/>
  <c r="D425" i="8" l="1"/>
  <c r="A426" i="8"/>
  <c r="C425" i="8"/>
  <c r="G425" i="8"/>
  <c r="E425" i="8"/>
  <c r="B425" i="8"/>
  <c r="G426" i="8" l="1"/>
  <c r="B426" i="8"/>
  <c r="E426" i="8"/>
  <c r="A427" i="8"/>
  <c r="D426" i="8"/>
  <c r="C426" i="8"/>
  <c r="D427" i="8" l="1"/>
  <c r="A428" i="8"/>
  <c r="C427" i="8"/>
  <c r="B427" i="8"/>
  <c r="G427" i="8"/>
  <c r="E427" i="8"/>
  <c r="G428" i="8" l="1"/>
  <c r="B428" i="8"/>
  <c r="E428" i="8"/>
  <c r="D428" i="8"/>
  <c r="C428" i="8"/>
  <c r="A429" i="8"/>
  <c r="D429" i="8" l="1"/>
  <c r="A430" i="8"/>
  <c r="C429" i="8"/>
  <c r="G429" i="8"/>
  <c r="E429" i="8"/>
  <c r="B429" i="8"/>
  <c r="G430" i="8" l="1"/>
  <c r="B430" i="8"/>
  <c r="E430" i="8"/>
  <c r="A431" i="8"/>
  <c r="D430" i="8"/>
  <c r="C430" i="8"/>
  <c r="D431" i="8" l="1"/>
  <c r="A432" i="8"/>
  <c r="C431" i="8"/>
  <c r="B431" i="8"/>
  <c r="G431" i="8"/>
  <c r="E431" i="8"/>
  <c r="G432" i="8" l="1"/>
  <c r="B432" i="8"/>
  <c r="E432" i="8"/>
  <c r="D432" i="8"/>
  <c r="C432" i="8"/>
  <c r="A433" i="8"/>
  <c r="D433" i="8" l="1"/>
  <c r="A434" i="8"/>
  <c r="C433" i="8"/>
  <c r="G433" i="8"/>
  <c r="E433" i="8"/>
  <c r="B433" i="8"/>
  <c r="G434" i="8" l="1"/>
  <c r="B434" i="8"/>
  <c r="E434" i="8"/>
  <c r="A435" i="8"/>
  <c r="D434" i="8"/>
  <c r="C434" i="8"/>
  <c r="D435" i="8" l="1"/>
  <c r="A436" i="8"/>
  <c r="C435" i="8"/>
  <c r="B435" i="8"/>
  <c r="G435" i="8"/>
  <c r="E435" i="8"/>
  <c r="G436" i="8" l="1"/>
  <c r="B436" i="8"/>
  <c r="E436" i="8"/>
  <c r="D436" i="8"/>
  <c r="C436" i="8"/>
  <c r="A437" i="8"/>
  <c r="D437" i="8" l="1"/>
  <c r="A438" i="8"/>
  <c r="C437" i="8"/>
  <c r="G437" i="8"/>
  <c r="E437" i="8"/>
  <c r="B437" i="8"/>
  <c r="G438" i="8" l="1"/>
  <c r="B438" i="8"/>
  <c r="E438" i="8"/>
  <c r="A439" i="8"/>
  <c r="D438" i="8"/>
  <c r="C438" i="8"/>
  <c r="D439" i="8" l="1"/>
  <c r="A440" i="8"/>
  <c r="C439" i="8"/>
  <c r="B439" i="8"/>
  <c r="G439" i="8"/>
  <c r="E439" i="8"/>
  <c r="G440" i="8" l="1"/>
  <c r="B440" i="8"/>
  <c r="E440" i="8"/>
  <c r="D440" i="8"/>
  <c r="C440" i="8"/>
  <c r="A441" i="8"/>
  <c r="D441" i="8" l="1"/>
  <c r="A442" i="8"/>
  <c r="C441" i="8"/>
  <c r="G441" i="8"/>
  <c r="E441" i="8"/>
  <c r="B441" i="8"/>
  <c r="G442" i="8" l="1"/>
  <c r="B442" i="8"/>
  <c r="E442" i="8"/>
  <c r="A443" i="8"/>
  <c r="D442" i="8"/>
  <c r="C442" i="8"/>
  <c r="D443" i="8" l="1"/>
  <c r="A444" i="8"/>
  <c r="C443" i="8"/>
  <c r="B443" i="8"/>
  <c r="G443" i="8"/>
  <c r="E443" i="8"/>
  <c r="G444" i="8" l="1"/>
  <c r="B444" i="8"/>
  <c r="E444" i="8"/>
  <c r="D444" i="8"/>
  <c r="C444" i="8"/>
  <c r="A445" i="8"/>
  <c r="D445" i="8" l="1"/>
  <c r="A446" i="8"/>
  <c r="C445" i="8"/>
  <c r="G445" i="8"/>
  <c r="E445" i="8"/>
  <c r="B445" i="8"/>
  <c r="G446" i="8" l="1"/>
  <c r="B446" i="8"/>
  <c r="E446" i="8"/>
  <c r="A447" i="8"/>
  <c r="D446" i="8"/>
  <c r="C446" i="8"/>
  <c r="D447" i="8" l="1"/>
  <c r="A448" i="8"/>
  <c r="C447" i="8"/>
  <c r="B447" i="8"/>
  <c r="G447" i="8"/>
  <c r="E447" i="8"/>
  <c r="G448" i="8" l="1"/>
  <c r="B448" i="8"/>
  <c r="E448" i="8"/>
  <c r="D448" i="8"/>
  <c r="C448" i="8"/>
  <c r="A449" i="8"/>
  <c r="D449" i="8" l="1"/>
  <c r="A450" i="8"/>
  <c r="C449" i="8"/>
  <c r="G449" i="8"/>
  <c r="E449" i="8"/>
  <c r="B449" i="8"/>
  <c r="G450" i="8" l="1"/>
  <c r="B450" i="8"/>
  <c r="E450" i="8"/>
  <c r="A451" i="8"/>
  <c r="D450" i="8"/>
  <c r="C450" i="8"/>
  <c r="D451" i="8" l="1"/>
  <c r="A452" i="8"/>
  <c r="C451" i="8"/>
  <c r="B451" i="8"/>
  <c r="G451" i="8"/>
  <c r="E451" i="8"/>
  <c r="G452" i="8" l="1"/>
  <c r="B452" i="8"/>
  <c r="E452" i="8"/>
  <c r="D452" i="8"/>
  <c r="C452" i="8"/>
  <c r="A453" i="8"/>
  <c r="D453" i="8" l="1"/>
  <c r="A454" i="8"/>
  <c r="C453" i="8"/>
  <c r="G453" i="8"/>
  <c r="E453" i="8"/>
  <c r="B453" i="8"/>
  <c r="G454" i="8" l="1"/>
  <c r="B454" i="8"/>
  <c r="E454" i="8"/>
  <c r="A455" i="8"/>
  <c r="D454" i="8"/>
  <c r="C454" i="8"/>
  <c r="D455" i="8" l="1"/>
  <c r="A456" i="8"/>
  <c r="C455" i="8"/>
  <c r="B455" i="8"/>
  <c r="G455" i="8"/>
  <c r="E455" i="8"/>
  <c r="G456" i="8" l="1"/>
  <c r="B456" i="8"/>
  <c r="E456" i="8"/>
  <c r="D456" i="8"/>
  <c r="C456" i="8"/>
  <c r="A457" i="8"/>
  <c r="D457" i="8" l="1"/>
  <c r="A458" i="8"/>
  <c r="C457" i="8"/>
  <c r="G457" i="8"/>
  <c r="E457" i="8"/>
  <c r="B457" i="8"/>
  <c r="G458" i="8" l="1"/>
  <c r="B458" i="8"/>
  <c r="E458" i="8"/>
  <c r="A459" i="8"/>
  <c r="D458" i="8"/>
  <c r="C458" i="8"/>
  <c r="D459" i="8" l="1"/>
  <c r="A460" i="8"/>
  <c r="C459" i="8"/>
  <c r="B459" i="8"/>
  <c r="G459" i="8"/>
  <c r="E459" i="8"/>
  <c r="G460" i="8" l="1"/>
  <c r="B460" i="8"/>
  <c r="E460" i="8"/>
  <c r="D460" i="8"/>
  <c r="C460" i="8"/>
  <c r="A461" i="8"/>
  <c r="D461" i="8" l="1"/>
  <c r="A462" i="8"/>
  <c r="C461" i="8"/>
  <c r="G461" i="8"/>
  <c r="E461" i="8"/>
  <c r="B461" i="8"/>
  <c r="G462" i="8" l="1"/>
  <c r="B462" i="8"/>
  <c r="E462" i="8"/>
  <c r="A463" i="8"/>
  <c r="D462" i="8"/>
  <c r="C462" i="8"/>
  <c r="D463" i="8" l="1"/>
  <c r="A464" i="8"/>
  <c r="C463" i="8"/>
  <c r="B463" i="8"/>
  <c r="G463" i="8"/>
  <c r="E463" i="8"/>
  <c r="G464" i="8" l="1"/>
  <c r="B464" i="8"/>
  <c r="E464" i="8"/>
  <c r="D464" i="8"/>
  <c r="C464" i="8"/>
  <c r="A465" i="8"/>
  <c r="D465" i="8" l="1"/>
  <c r="A466" i="8"/>
  <c r="C465" i="8"/>
  <c r="G465" i="8"/>
  <c r="E465" i="8"/>
  <c r="B465" i="8"/>
  <c r="G466" i="8" l="1"/>
  <c r="B466" i="8"/>
  <c r="E466" i="8"/>
  <c r="A467" i="8"/>
  <c r="D466" i="8"/>
  <c r="C466" i="8"/>
  <c r="D467" i="8" l="1"/>
  <c r="A468" i="8"/>
  <c r="C467" i="8"/>
  <c r="B467" i="8"/>
  <c r="G467" i="8"/>
  <c r="E467" i="8"/>
  <c r="G468" i="8" l="1"/>
  <c r="B468" i="8"/>
  <c r="E468" i="8"/>
  <c r="D468" i="8"/>
  <c r="C468" i="8"/>
  <c r="A469" i="8"/>
  <c r="D469" i="8" l="1"/>
  <c r="A470" i="8"/>
  <c r="C469" i="8"/>
  <c r="G469" i="8"/>
  <c r="E469" i="8"/>
  <c r="B469" i="8"/>
  <c r="G470" i="8" l="1"/>
  <c r="B470" i="8"/>
  <c r="E470" i="8"/>
  <c r="A471" i="8"/>
  <c r="D470" i="8"/>
  <c r="C470" i="8"/>
  <c r="D471" i="8" l="1"/>
  <c r="A472" i="8"/>
  <c r="C471" i="8"/>
  <c r="B471" i="8"/>
  <c r="G471" i="8"/>
  <c r="E471" i="8"/>
  <c r="G472" i="8" l="1"/>
  <c r="B472" i="8"/>
  <c r="E472" i="8"/>
  <c r="D472" i="8"/>
  <c r="C472" i="8"/>
  <c r="A473" i="8"/>
  <c r="D473" i="8" l="1"/>
  <c r="A474" i="8"/>
  <c r="C473" i="8"/>
  <c r="G473" i="8"/>
  <c r="E473" i="8"/>
  <c r="B473" i="8"/>
  <c r="G474" i="8" l="1"/>
  <c r="B474" i="8"/>
  <c r="E474" i="8"/>
  <c r="A475" i="8"/>
  <c r="D474" i="8"/>
  <c r="C474" i="8"/>
  <c r="D475" i="8" l="1"/>
  <c r="A476" i="8"/>
  <c r="C475" i="8"/>
  <c r="B475" i="8"/>
  <c r="G475" i="8"/>
  <c r="E475" i="8"/>
  <c r="G476" i="8" l="1"/>
  <c r="B476" i="8"/>
  <c r="E476" i="8"/>
  <c r="D476" i="8"/>
  <c r="C476" i="8"/>
  <c r="A477" i="8"/>
  <c r="D477" i="8" l="1"/>
  <c r="A478" i="8"/>
  <c r="C477" i="8"/>
  <c r="G477" i="8"/>
  <c r="E477" i="8"/>
  <c r="B477" i="8"/>
  <c r="G478" i="8" l="1"/>
  <c r="B478" i="8"/>
  <c r="E478" i="8"/>
  <c r="A479" i="8"/>
  <c r="D478" i="8"/>
  <c r="C478" i="8"/>
  <c r="D479" i="8" l="1"/>
  <c r="A480" i="8"/>
  <c r="C479" i="8"/>
  <c r="B479" i="8"/>
  <c r="G479" i="8"/>
  <c r="E479" i="8"/>
  <c r="G480" i="8" l="1"/>
  <c r="B480" i="8"/>
  <c r="E480" i="8"/>
  <c r="D480" i="8"/>
  <c r="C480" i="8"/>
  <c r="A481" i="8"/>
  <c r="D481" i="8" l="1"/>
  <c r="A482" i="8"/>
  <c r="C481" i="8"/>
  <c r="G481" i="8"/>
  <c r="E481" i="8"/>
  <c r="B481" i="8"/>
  <c r="G482" i="8" l="1"/>
  <c r="B482" i="8"/>
  <c r="E482" i="8"/>
  <c r="A483" i="8"/>
  <c r="D482" i="8"/>
  <c r="C482" i="8"/>
  <c r="D483" i="8" l="1"/>
  <c r="A484" i="8"/>
  <c r="C483" i="8"/>
  <c r="B483" i="8"/>
  <c r="G483" i="8"/>
  <c r="E483" i="8"/>
  <c r="G484" i="8" l="1"/>
  <c r="B484" i="8"/>
  <c r="E484" i="8"/>
  <c r="D484" i="8"/>
  <c r="C484" i="8"/>
  <c r="A485" i="8"/>
  <c r="D485" i="8" l="1"/>
  <c r="A486" i="8"/>
  <c r="C485" i="8"/>
  <c r="G485" i="8"/>
  <c r="E485" i="8"/>
  <c r="B485" i="8"/>
  <c r="G486" i="8" l="1"/>
  <c r="B486" i="8"/>
  <c r="E486" i="8"/>
  <c r="A487" i="8"/>
  <c r="D486" i="8"/>
  <c r="C486" i="8"/>
  <c r="D487" i="8" l="1"/>
  <c r="A488" i="8"/>
  <c r="C487" i="8"/>
  <c r="B487" i="8"/>
  <c r="G487" i="8"/>
  <c r="E487" i="8"/>
  <c r="G488" i="8" l="1"/>
  <c r="B488" i="8"/>
  <c r="E488" i="8"/>
  <c r="D488" i="8"/>
  <c r="C488" i="8"/>
  <c r="A489" i="8"/>
  <c r="D489" i="8" l="1"/>
  <c r="A490" i="8"/>
  <c r="C489" i="8"/>
  <c r="G489" i="8"/>
  <c r="E489" i="8"/>
  <c r="B489" i="8"/>
  <c r="G490" i="8" l="1"/>
  <c r="B490" i="8"/>
  <c r="E490" i="8"/>
  <c r="A491" i="8"/>
  <c r="D490" i="8"/>
  <c r="C490" i="8"/>
  <c r="D491" i="8" l="1"/>
  <c r="A492" i="8"/>
  <c r="C491" i="8"/>
  <c r="B491" i="8"/>
  <c r="G491" i="8"/>
  <c r="E491" i="8"/>
  <c r="G492" i="8" l="1"/>
  <c r="B492" i="8"/>
  <c r="E492" i="8"/>
  <c r="D492" i="8"/>
  <c r="C492" i="8"/>
  <c r="A493" i="8"/>
  <c r="D493" i="8" l="1"/>
  <c r="A494" i="8"/>
  <c r="C493" i="8"/>
  <c r="G493" i="8"/>
  <c r="E493" i="8"/>
  <c r="B493" i="8"/>
  <c r="G494" i="8" l="1"/>
  <c r="B494" i="8"/>
  <c r="E494" i="8"/>
  <c r="A495" i="8"/>
  <c r="D494" i="8"/>
  <c r="C494" i="8"/>
  <c r="D495" i="8" l="1"/>
  <c r="A496" i="8"/>
  <c r="C495" i="8"/>
  <c r="B495" i="8"/>
  <c r="G495" i="8"/>
  <c r="E495" i="8"/>
  <c r="G496" i="8" l="1"/>
  <c r="B496" i="8"/>
  <c r="E496" i="8"/>
  <c r="D496" i="8"/>
  <c r="C496" i="8"/>
  <c r="A497" i="8"/>
  <c r="D497" i="8" l="1"/>
  <c r="A498" i="8"/>
  <c r="C497" i="8"/>
  <c r="G497" i="8"/>
  <c r="E497" i="8"/>
  <c r="B497" i="8"/>
  <c r="G498" i="8" l="1"/>
  <c r="B498" i="8"/>
  <c r="E498" i="8"/>
  <c r="A499" i="8"/>
  <c r="D498" i="8"/>
  <c r="C498" i="8"/>
  <c r="D499" i="8" l="1"/>
  <c r="A500" i="8"/>
  <c r="C499" i="8"/>
  <c r="B499" i="8"/>
  <c r="G499" i="8"/>
  <c r="E499" i="8"/>
  <c r="G500" i="8" l="1"/>
  <c r="B500" i="8"/>
  <c r="E500" i="8"/>
  <c r="D500" i="8"/>
  <c r="C500" i="8"/>
  <c r="A501" i="8"/>
  <c r="D501" i="8" l="1"/>
  <c r="A502" i="8"/>
  <c r="C501" i="8"/>
  <c r="G501" i="8"/>
  <c r="E501" i="8"/>
  <c r="B501" i="8"/>
  <c r="G502" i="8" l="1"/>
  <c r="B502" i="8"/>
  <c r="E502" i="8"/>
  <c r="A503" i="8"/>
  <c r="D502" i="8"/>
  <c r="C502" i="8"/>
  <c r="D503" i="8" l="1"/>
  <c r="A504" i="8"/>
  <c r="C503" i="8"/>
  <c r="B503" i="8"/>
  <c r="G503" i="8"/>
  <c r="E503" i="8"/>
  <c r="G504" i="8" l="1"/>
  <c r="B504" i="8"/>
  <c r="E504" i="8"/>
  <c r="D504" i="8"/>
  <c r="C504" i="8"/>
  <c r="A505" i="8"/>
  <c r="D505" i="8" l="1"/>
  <c r="A506" i="8"/>
  <c r="C505" i="8"/>
  <c r="G505" i="8"/>
  <c r="E505" i="8"/>
  <c r="B505" i="8"/>
  <c r="G506" i="8" l="1"/>
  <c r="B506" i="8"/>
  <c r="E506" i="8"/>
  <c r="A507" i="8"/>
  <c r="D506" i="8"/>
  <c r="C506" i="8"/>
  <c r="D507" i="8" l="1"/>
  <c r="A508" i="8"/>
  <c r="C507" i="8"/>
  <c r="B507" i="8"/>
  <c r="G507" i="8"/>
  <c r="E507" i="8"/>
  <c r="G508" i="8" l="1"/>
  <c r="B508" i="8"/>
  <c r="E508" i="8"/>
  <c r="D508" i="8"/>
  <c r="C508" i="8"/>
  <c r="A509" i="8"/>
  <c r="D509" i="8" l="1"/>
  <c r="A510" i="8"/>
  <c r="C509" i="8"/>
  <c r="G509" i="8"/>
  <c r="E509" i="8"/>
  <c r="B509" i="8"/>
  <c r="G510" i="8" l="1"/>
  <c r="B510" i="8"/>
  <c r="E510" i="8"/>
  <c r="A511" i="8"/>
  <c r="D510" i="8"/>
  <c r="C510" i="8"/>
  <c r="D511" i="8" l="1"/>
  <c r="A512" i="8"/>
  <c r="C511" i="8"/>
  <c r="B511" i="8"/>
  <c r="G511" i="8"/>
  <c r="E511" i="8"/>
  <c r="G512" i="8" l="1"/>
  <c r="B512" i="8"/>
  <c r="E512" i="8"/>
  <c r="D512" i="8"/>
  <c r="C512" i="8"/>
  <c r="A513" i="8"/>
  <c r="D513" i="8" l="1"/>
  <c r="A514" i="8"/>
  <c r="C513" i="8"/>
  <c r="G513" i="8"/>
  <c r="E513" i="8"/>
  <c r="B513" i="8"/>
  <c r="G514" i="8" l="1"/>
  <c r="B514" i="8"/>
  <c r="E514" i="8"/>
  <c r="A515" i="8"/>
  <c r="D514" i="8"/>
  <c r="C514" i="8"/>
  <c r="D515" i="8" l="1"/>
  <c r="A516" i="8"/>
  <c r="C515" i="8"/>
  <c r="B515" i="8"/>
  <c r="G515" i="8"/>
  <c r="E515" i="8"/>
  <c r="G516" i="8" l="1"/>
  <c r="B516" i="8"/>
  <c r="E516" i="8"/>
  <c r="D516" i="8"/>
  <c r="C516" i="8"/>
  <c r="A517" i="8"/>
  <c r="D517" i="8" l="1"/>
  <c r="A518" i="8"/>
  <c r="C517" i="8"/>
  <c r="G517" i="8"/>
  <c r="E517" i="8"/>
  <c r="B517" i="8"/>
  <c r="G518" i="8" l="1"/>
  <c r="B518" i="8"/>
  <c r="E518" i="8"/>
  <c r="A519" i="8"/>
  <c r="D518" i="8"/>
  <c r="C518" i="8"/>
  <c r="D519" i="8" l="1"/>
  <c r="A520" i="8"/>
  <c r="C519" i="8"/>
  <c r="B519" i="8"/>
  <c r="G519" i="8"/>
  <c r="E519" i="8"/>
  <c r="G520" i="8" l="1"/>
  <c r="B520" i="8"/>
  <c r="E520" i="8"/>
  <c r="D520" i="8"/>
  <c r="C520" i="8"/>
  <c r="A521" i="8"/>
  <c r="D521" i="8" l="1"/>
  <c r="A522" i="8"/>
  <c r="C521" i="8"/>
  <c r="G521" i="8"/>
  <c r="E521" i="8"/>
  <c r="B521" i="8"/>
  <c r="G522" i="8" l="1"/>
  <c r="B522" i="8"/>
  <c r="E522" i="8"/>
  <c r="A523" i="8"/>
  <c r="D522" i="8"/>
  <c r="C522" i="8"/>
  <c r="D523" i="8" l="1"/>
  <c r="A524" i="8"/>
  <c r="C523" i="8"/>
  <c r="B523" i="8"/>
  <c r="G523" i="8"/>
  <c r="E523" i="8"/>
  <c r="G524" i="8" l="1"/>
  <c r="B524" i="8"/>
  <c r="E524" i="8"/>
  <c r="D524" i="8"/>
  <c r="C524" i="8"/>
  <c r="A525" i="8"/>
  <c r="D525" i="8" l="1"/>
  <c r="A526" i="8"/>
  <c r="C525" i="8"/>
  <c r="G525" i="8"/>
  <c r="E525" i="8"/>
  <c r="B525" i="8"/>
  <c r="G526" i="8" l="1"/>
  <c r="B526" i="8"/>
  <c r="E526" i="8"/>
  <c r="A527" i="8"/>
  <c r="D526" i="8"/>
  <c r="C526" i="8"/>
  <c r="D527" i="8" l="1"/>
  <c r="A528" i="8"/>
  <c r="C527" i="8"/>
  <c r="B527" i="8"/>
  <c r="G527" i="8"/>
  <c r="E527" i="8"/>
  <c r="G528" i="8" l="1"/>
  <c r="B528" i="8"/>
  <c r="E528" i="8"/>
  <c r="D528" i="8"/>
  <c r="C528" i="8"/>
  <c r="A529" i="8"/>
  <c r="D529" i="8" l="1"/>
  <c r="A530" i="8"/>
  <c r="C529" i="8"/>
  <c r="G529" i="8"/>
  <c r="E529" i="8"/>
  <c r="B529" i="8"/>
  <c r="G530" i="8" l="1"/>
  <c r="B530" i="8"/>
  <c r="E530" i="8"/>
  <c r="A531" i="8"/>
  <c r="D530" i="8"/>
  <c r="C530" i="8"/>
  <c r="D531" i="8" l="1"/>
  <c r="A532" i="8"/>
  <c r="C531" i="8"/>
  <c r="B531" i="8"/>
  <c r="G531" i="8"/>
  <c r="E531" i="8"/>
  <c r="G532" i="8" l="1"/>
  <c r="B532" i="8"/>
  <c r="E532" i="8"/>
  <c r="D532" i="8"/>
  <c r="C532" i="8"/>
  <c r="A533" i="8"/>
  <c r="D533" i="8" l="1"/>
  <c r="A534" i="8"/>
  <c r="C533" i="8"/>
  <c r="G533" i="8"/>
  <c r="E533" i="8"/>
  <c r="B533" i="8"/>
  <c r="G534" i="8" l="1"/>
  <c r="B534" i="8"/>
  <c r="E534" i="8"/>
  <c r="A535" i="8"/>
  <c r="D534" i="8"/>
  <c r="C534" i="8"/>
  <c r="D535" i="8" l="1"/>
  <c r="A536" i="8"/>
  <c r="C535" i="8"/>
  <c r="B535" i="8"/>
  <c r="G535" i="8"/>
  <c r="E535" i="8"/>
  <c r="G536" i="8" l="1"/>
  <c r="B536" i="8"/>
  <c r="E536" i="8"/>
  <c r="D536" i="8"/>
  <c r="C536" i="8"/>
  <c r="A537" i="8"/>
  <c r="D537" i="8" l="1"/>
  <c r="A538" i="8"/>
  <c r="C537" i="8"/>
  <c r="G537" i="8"/>
  <c r="E537" i="8"/>
  <c r="B537" i="8"/>
  <c r="G538" i="8" l="1"/>
  <c r="B538" i="8"/>
  <c r="E538" i="8"/>
  <c r="A539" i="8"/>
  <c r="D538" i="8"/>
  <c r="C538" i="8"/>
  <c r="D539" i="8" l="1"/>
  <c r="A540" i="8"/>
  <c r="C539" i="8"/>
  <c r="B539" i="8"/>
  <c r="G539" i="8"/>
  <c r="E539" i="8"/>
  <c r="G540" i="8" l="1"/>
  <c r="B540" i="8"/>
  <c r="E540" i="8"/>
  <c r="D540" i="8"/>
  <c r="C540" i="8"/>
  <c r="A541" i="8"/>
  <c r="D541" i="8" l="1"/>
  <c r="A542" i="8"/>
  <c r="C541" i="8"/>
  <c r="G541" i="8"/>
  <c r="E541" i="8"/>
  <c r="B541" i="8"/>
  <c r="G542" i="8" l="1"/>
  <c r="B542" i="8"/>
  <c r="E542" i="8"/>
  <c r="A543" i="8"/>
  <c r="D542" i="8"/>
  <c r="C542" i="8"/>
  <c r="D543" i="8" l="1"/>
  <c r="A544" i="8"/>
  <c r="C543" i="8"/>
  <c r="B543" i="8"/>
  <c r="G543" i="8"/>
  <c r="E543" i="8"/>
  <c r="G544" i="8" l="1"/>
  <c r="B544" i="8"/>
  <c r="E544" i="8"/>
  <c r="D544" i="8"/>
  <c r="C544" i="8"/>
  <c r="A545" i="8"/>
  <c r="D545" i="8" l="1"/>
  <c r="A546" i="8"/>
  <c r="C545" i="8"/>
  <c r="G545" i="8"/>
  <c r="E545" i="8"/>
  <c r="B545" i="8"/>
  <c r="G546" i="8" l="1"/>
  <c r="B546" i="8"/>
  <c r="E546" i="8"/>
  <c r="A547" i="8"/>
  <c r="D546" i="8"/>
  <c r="C546" i="8"/>
  <c r="D547" i="8" l="1"/>
  <c r="A548" i="8"/>
  <c r="C547" i="8"/>
  <c r="B547" i="8"/>
  <c r="G547" i="8"/>
  <c r="E547" i="8"/>
  <c r="G548" i="8" l="1"/>
  <c r="B548" i="8"/>
  <c r="E548" i="8"/>
  <c r="D548" i="8"/>
  <c r="C548" i="8"/>
  <c r="A549" i="8"/>
  <c r="D549" i="8" l="1"/>
  <c r="A550" i="8"/>
  <c r="C549" i="8"/>
  <c r="G549" i="8"/>
  <c r="E549" i="8"/>
  <c r="B549" i="8"/>
  <c r="G550" i="8" l="1"/>
  <c r="B550" i="8"/>
  <c r="E550" i="8"/>
  <c r="A551" i="8"/>
  <c r="D550" i="8"/>
  <c r="C550" i="8"/>
  <c r="D551" i="8" l="1"/>
  <c r="A552" i="8"/>
  <c r="C551" i="8"/>
  <c r="B551" i="8"/>
  <c r="G551" i="8"/>
  <c r="E551" i="8"/>
  <c r="G552" i="8" l="1"/>
  <c r="B552" i="8"/>
  <c r="E552" i="8"/>
  <c r="D552" i="8"/>
  <c r="C552" i="8"/>
  <c r="A553" i="8"/>
  <c r="D553" i="8" l="1"/>
  <c r="A554" i="8"/>
  <c r="C553" i="8"/>
  <c r="G553" i="8"/>
  <c r="E553" i="8"/>
  <c r="B553" i="8"/>
  <c r="G554" i="8" l="1"/>
  <c r="B554" i="8"/>
  <c r="E554" i="8"/>
  <c r="A555" i="8"/>
  <c r="D554" i="8"/>
  <c r="C554" i="8"/>
  <c r="D555" i="8" l="1"/>
  <c r="A556" i="8"/>
  <c r="C555" i="8"/>
  <c r="B555" i="8"/>
  <c r="G555" i="8"/>
  <c r="E555" i="8"/>
  <c r="G556" i="8" l="1"/>
  <c r="B556" i="8"/>
  <c r="E556" i="8"/>
  <c r="D556" i="8"/>
  <c r="C556" i="8"/>
  <c r="A557" i="8"/>
  <c r="D557" i="8" l="1"/>
  <c r="A558" i="8"/>
  <c r="C557" i="8"/>
  <c r="G557" i="8"/>
  <c r="E557" i="8"/>
  <c r="B557" i="8"/>
  <c r="G558" i="8" l="1"/>
  <c r="B558" i="8"/>
  <c r="E558" i="8"/>
  <c r="A559" i="8"/>
  <c r="D558" i="8"/>
  <c r="C558" i="8"/>
  <c r="D559" i="8" l="1"/>
  <c r="A560" i="8"/>
  <c r="C559" i="8"/>
  <c r="B559" i="8"/>
  <c r="G559" i="8"/>
  <c r="E559" i="8"/>
  <c r="G560" i="8" l="1"/>
  <c r="B560" i="8"/>
  <c r="E560" i="8"/>
  <c r="D560" i="8"/>
  <c r="C560" i="8"/>
  <c r="A561" i="8"/>
  <c r="D561" i="8" l="1"/>
  <c r="A562" i="8"/>
  <c r="C561" i="8"/>
  <c r="G561" i="8"/>
  <c r="E561" i="8"/>
  <c r="B561" i="8"/>
  <c r="G562" i="8" l="1"/>
  <c r="B562" i="8"/>
  <c r="E562" i="8"/>
  <c r="A563" i="8"/>
  <c r="D562" i="8"/>
  <c r="C562" i="8"/>
  <c r="D563" i="8" l="1"/>
  <c r="A564" i="8"/>
  <c r="C563" i="8"/>
  <c r="B563" i="8"/>
  <c r="G563" i="8"/>
  <c r="E563" i="8"/>
  <c r="G564" i="8" l="1"/>
  <c r="B564" i="8"/>
  <c r="E564" i="8"/>
  <c r="D564" i="8"/>
  <c r="C564" i="8"/>
  <c r="A565" i="8"/>
  <c r="D565" i="8" l="1"/>
  <c r="A566" i="8"/>
  <c r="C565" i="8"/>
  <c r="G565" i="8"/>
  <c r="E565" i="8"/>
  <c r="B565" i="8"/>
  <c r="G566" i="8" l="1"/>
  <c r="B566" i="8"/>
  <c r="E566" i="8"/>
  <c r="A567" i="8"/>
  <c r="D566" i="8"/>
  <c r="C566" i="8"/>
  <c r="D567" i="8" l="1"/>
  <c r="A568" i="8"/>
  <c r="C567" i="8"/>
  <c r="B567" i="8"/>
  <c r="G567" i="8"/>
  <c r="E567" i="8"/>
  <c r="G568" i="8" l="1"/>
  <c r="B568" i="8"/>
  <c r="E568" i="8"/>
  <c r="D568" i="8"/>
  <c r="C568" i="8"/>
  <c r="A569" i="8"/>
  <c r="D569" i="8" l="1"/>
  <c r="A570" i="8"/>
  <c r="C569" i="8"/>
  <c r="G569" i="8"/>
  <c r="E569" i="8"/>
  <c r="B569" i="8"/>
  <c r="G570" i="8" l="1"/>
  <c r="B570" i="8"/>
  <c r="E570" i="8"/>
  <c r="A571" i="8"/>
  <c r="D570" i="8"/>
  <c r="C570" i="8"/>
  <c r="D571" i="8" l="1"/>
  <c r="A572" i="8"/>
  <c r="C571" i="8"/>
  <c r="B571" i="8"/>
  <c r="G571" i="8"/>
  <c r="E571" i="8"/>
  <c r="G572" i="8" l="1"/>
  <c r="B572" i="8"/>
  <c r="E572" i="8"/>
  <c r="D572" i="8"/>
  <c r="C572" i="8"/>
  <c r="A573" i="8"/>
  <c r="D573" i="8" l="1"/>
  <c r="A574" i="8"/>
  <c r="C573" i="8"/>
  <c r="G573" i="8"/>
  <c r="E573" i="8"/>
  <c r="B573" i="8"/>
  <c r="G574" i="8" l="1"/>
  <c r="B574" i="8"/>
  <c r="E574" i="8"/>
  <c r="A575" i="8"/>
  <c r="D574" i="8"/>
  <c r="C574" i="8"/>
  <c r="D575" i="8" l="1"/>
  <c r="A576" i="8"/>
  <c r="C575" i="8"/>
  <c r="B575" i="8"/>
  <c r="G575" i="8"/>
  <c r="E575" i="8"/>
  <c r="G576" i="8" l="1"/>
  <c r="B576" i="8"/>
  <c r="E576" i="8"/>
  <c r="D576" i="8"/>
  <c r="C576" i="8"/>
  <c r="A577" i="8"/>
  <c r="D577" i="8" l="1"/>
  <c r="A578" i="8"/>
  <c r="C577" i="8"/>
  <c r="G577" i="8"/>
  <c r="E577" i="8"/>
  <c r="B577" i="8"/>
  <c r="G578" i="8" l="1"/>
  <c r="B578" i="8"/>
  <c r="E578" i="8"/>
  <c r="A579" i="8"/>
  <c r="D578" i="8"/>
  <c r="C578" i="8"/>
  <c r="D579" i="8" l="1"/>
  <c r="A580" i="8"/>
  <c r="C579" i="8"/>
  <c r="B579" i="8"/>
  <c r="G579" i="8"/>
  <c r="E579" i="8"/>
  <c r="G580" i="8" l="1"/>
  <c r="B580" i="8"/>
  <c r="E580" i="8"/>
  <c r="D580" i="8"/>
  <c r="C580" i="8"/>
  <c r="A581" i="8"/>
  <c r="D581" i="8" l="1"/>
  <c r="A582" i="8"/>
  <c r="C581" i="8"/>
  <c r="G581" i="8"/>
  <c r="E581" i="8"/>
  <c r="B581" i="8"/>
  <c r="G582" i="8" l="1"/>
  <c r="B582" i="8"/>
  <c r="E582" i="8"/>
  <c r="A583" i="8"/>
  <c r="D582" i="8"/>
  <c r="C582" i="8"/>
  <c r="D583" i="8" l="1"/>
  <c r="A584" i="8"/>
  <c r="C583" i="8"/>
  <c r="B583" i="8"/>
  <c r="G583" i="8"/>
  <c r="E583" i="8"/>
  <c r="G584" i="8" l="1"/>
  <c r="B584" i="8"/>
  <c r="E584" i="8"/>
  <c r="D584" i="8"/>
  <c r="C584" i="8"/>
  <c r="A585" i="8"/>
  <c r="D585" i="8" l="1"/>
  <c r="A586" i="8"/>
  <c r="C585" i="8"/>
  <c r="G585" i="8"/>
  <c r="E585" i="8"/>
  <c r="B585" i="8"/>
  <c r="G586" i="8" l="1"/>
  <c r="B586" i="8"/>
  <c r="E586" i="8"/>
  <c r="A587" i="8"/>
  <c r="D586" i="8"/>
  <c r="C586" i="8"/>
  <c r="D587" i="8" l="1"/>
  <c r="A588" i="8"/>
  <c r="C587" i="8"/>
  <c r="B587" i="8"/>
  <c r="G587" i="8"/>
  <c r="E587" i="8"/>
  <c r="G588" i="8" l="1"/>
  <c r="B588" i="8"/>
  <c r="E588" i="8"/>
  <c r="D588" i="8"/>
  <c r="C588" i="8"/>
  <c r="A589" i="8"/>
  <c r="D589" i="8" l="1"/>
  <c r="A590" i="8"/>
  <c r="C589" i="8"/>
  <c r="G589" i="8"/>
  <c r="E589" i="8"/>
  <c r="B589" i="8"/>
  <c r="G590" i="8" l="1"/>
  <c r="B590" i="8"/>
  <c r="E590" i="8"/>
  <c r="A591" i="8"/>
  <c r="D590" i="8"/>
  <c r="C590" i="8"/>
  <c r="D591" i="8" l="1"/>
  <c r="A592" i="8"/>
  <c r="C591" i="8"/>
  <c r="B591" i="8"/>
  <c r="G591" i="8"/>
  <c r="E591" i="8"/>
  <c r="G592" i="8" l="1"/>
  <c r="B592" i="8"/>
  <c r="E592" i="8"/>
  <c r="D592" i="8"/>
  <c r="C592" i="8"/>
  <c r="A593" i="8"/>
  <c r="D593" i="8" l="1"/>
  <c r="A594" i="8"/>
  <c r="C593" i="8"/>
  <c r="G593" i="8"/>
  <c r="E593" i="8"/>
  <c r="B593" i="8"/>
  <c r="G594" i="8" l="1"/>
  <c r="B594" i="8"/>
  <c r="E594" i="8"/>
  <c r="A595" i="8"/>
  <c r="D594" i="8"/>
  <c r="C594" i="8"/>
  <c r="D595" i="8" l="1"/>
  <c r="A596" i="8"/>
  <c r="C595" i="8"/>
  <c r="B595" i="8"/>
  <c r="G595" i="8"/>
  <c r="E595" i="8"/>
  <c r="G596" i="8" l="1"/>
  <c r="B596" i="8"/>
  <c r="E596" i="8"/>
  <c r="D596" i="8"/>
  <c r="C596" i="8"/>
  <c r="A597" i="8"/>
  <c r="D597" i="8" l="1"/>
  <c r="A598" i="8"/>
  <c r="C597" i="8"/>
  <c r="G597" i="8"/>
  <c r="E597" i="8"/>
  <c r="B597" i="8"/>
  <c r="G598" i="8" l="1"/>
  <c r="B598" i="8"/>
  <c r="E598" i="8"/>
  <c r="A599" i="8"/>
  <c r="D598" i="8"/>
  <c r="C598" i="8"/>
  <c r="D599" i="8" l="1"/>
  <c r="A600" i="8"/>
  <c r="C599" i="8"/>
  <c r="B599" i="8"/>
  <c r="G599" i="8"/>
  <c r="E599" i="8"/>
  <c r="G600" i="8" l="1"/>
  <c r="B600" i="8"/>
  <c r="E600" i="8"/>
  <c r="D600" i="8"/>
  <c r="C600" i="8"/>
  <c r="A601" i="8"/>
  <c r="D601" i="8" l="1"/>
  <c r="A602" i="8"/>
  <c r="C601" i="8"/>
  <c r="G601" i="8"/>
  <c r="E601" i="8"/>
  <c r="B601" i="8"/>
  <c r="G602" i="8" l="1"/>
  <c r="B602" i="8"/>
  <c r="E602" i="8"/>
  <c r="A603" i="8"/>
  <c r="D602" i="8"/>
  <c r="C602" i="8"/>
  <c r="D603" i="8" l="1"/>
  <c r="A604" i="8"/>
  <c r="C603" i="8"/>
  <c r="B603" i="8"/>
  <c r="G603" i="8"/>
  <c r="E603" i="8"/>
  <c r="G604" i="8" l="1"/>
  <c r="B604" i="8"/>
  <c r="E604" i="8"/>
  <c r="D604" i="8"/>
  <c r="C604" i="8"/>
  <c r="A605" i="8"/>
  <c r="D605" i="8" l="1"/>
  <c r="A606" i="8"/>
  <c r="C605" i="8"/>
  <c r="G605" i="8"/>
  <c r="E605" i="8"/>
  <c r="B605" i="8"/>
  <c r="G606" i="8" l="1"/>
  <c r="B606" i="8"/>
  <c r="E606" i="8"/>
  <c r="A607" i="8"/>
  <c r="D606" i="8"/>
  <c r="C606" i="8"/>
  <c r="D607" i="8" l="1"/>
  <c r="A608" i="8"/>
  <c r="C607" i="8"/>
  <c r="B607" i="8"/>
  <c r="G607" i="8"/>
  <c r="E607" i="8"/>
  <c r="G608" i="8" l="1"/>
  <c r="B608" i="8"/>
  <c r="E608" i="8"/>
  <c r="D608" i="8"/>
  <c r="C608" i="8"/>
  <c r="A609" i="8"/>
  <c r="D609" i="8" l="1"/>
  <c r="A610" i="8"/>
  <c r="C609" i="8"/>
  <c r="G609" i="8"/>
  <c r="E609" i="8"/>
  <c r="B609" i="8"/>
  <c r="G610" i="8" l="1"/>
  <c r="B610" i="8"/>
  <c r="E610" i="8"/>
  <c r="A611" i="8"/>
  <c r="D610" i="8"/>
  <c r="C610" i="8"/>
  <c r="D611" i="8" l="1"/>
  <c r="A612" i="8"/>
  <c r="C611" i="8"/>
  <c r="B611" i="8"/>
  <c r="G611" i="8"/>
  <c r="E611" i="8"/>
  <c r="G612" i="8" l="1"/>
  <c r="B612" i="8"/>
  <c r="E612" i="8"/>
  <c r="D612" i="8"/>
  <c r="C612" i="8"/>
  <c r="A613" i="8"/>
  <c r="D613" i="8" l="1"/>
  <c r="A614" i="8"/>
  <c r="C613" i="8"/>
  <c r="G613" i="8"/>
  <c r="E613" i="8"/>
  <c r="B613" i="8"/>
  <c r="G614" i="8" l="1"/>
  <c r="B614" i="8"/>
  <c r="E614" i="8"/>
  <c r="A615" i="8"/>
  <c r="D614" i="8"/>
  <c r="C614" i="8"/>
  <c r="D615" i="8" l="1"/>
  <c r="A616" i="8"/>
  <c r="C615" i="8"/>
  <c r="B615" i="8"/>
  <c r="G615" i="8"/>
  <c r="E615" i="8"/>
  <c r="G616" i="8" l="1"/>
  <c r="B616" i="8"/>
  <c r="E616" i="8"/>
  <c r="D616" i="8"/>
  <c r="C616" i="8"/>
  <c r="A617" i="8"/>
  <c r="D617" i="8" l="1"/>
  <c r="A618" i="8"/>
  <c r="C617" i="8"/>
  <c r="G617" i="8"/>
  <c r="E617" i="8"/>
  <c r="B617" i="8"/>
  <c r="G618" i="8" l="1"/>
  <c r="B618" i="8"/>
  <c r="E618" i="8"/>
  <c r="A619" i="8"/>
  <c r="D618" i="8"/>
  <c r="C618" i="8"/>
  <c r="D619" i="8" l="1"/>
  <c r="A620" i="8"/>
  <c r="C619" i="8"/>
  <c r="B619" i="8"/>
  <c r="G619" i="8"/>
  <c r="E619" i="8"/>
  <c r="G620" i="8" l="1"/>
  <c r="B620" i="8"/>
  <c r="E620" i="8"/>
  <c r="D620" i="8"/>
  <c r="C620" i="8"/>
  <c r="A621" i="8"/>
  <c r="D621" i="8" l="1"/>
  <c r="A622" i="8"/>
  <c r="C621" i="8"/>
  <c r="G621" i="8"/>
  <c r="E621" i="8"/>
  <c r="B621" i="8"/>
  <c r="G622" i="8" l="1"/>
  <c r="B622" i="8"/>
  <c r="E622" i="8"/>
  <c r="A623" i="8"/>
  <c r="D622" i="8"/>
  <c r="C622" i="8"/>
  <c r="D623" i="8" l="1"/>
  <c r="A624" i="8"/>
  <c r="C623" i="8"/>
  <c r="B623" i="8"/>
  <c r="G623" i="8"/>
  <c r="E623" i="8"/>
  <c r="G624" i="8" l="1"/>
  <c r="B624" i="8"/>
  <c r="E624" i="8"/>
  <c r="D624" i="8"/>
  <c r="C624" i="8"/>
  <c r="A625" i="8"/>
  <c r="D625" i="8" l="1"/>
  <c r="A626" i="8"/>
  <c r="C625" i="8"/>
  <c r="G625" i="8"/>
  <c r="E625" i="8"/>
  <c r="B625" i="8"/>
  <c r="G626" i="8" l="1"/>
  <c r="B626" i="8"/>
  <c r="E626" i="8"/>
  <c r="A627" i="8"/>
  <c r="D626" i="8"/>
  <c r="C626" i="8"/>
  <c r="D627" i="8" l="1"/>
  <c r="A628" i="8"/>
  <c r="C627" i="8"/>
  <c r="B627" i="8"/>
  <c r="G627" i="8"/>
  <c r="E627" i="8"/>
  <c r="G628" i="8" l="1"/>
  <c r="B628" i="8"/>
  <c r="E628" i="8"/>
  <c r="D628" i="8"/>
  <c r="C628" i="8"/>
  <c r="A629" i="8"/>
  <c r="D629" i="8" l="1"/>
  <c r="A630" i="8"/>
  <c r="C629" i="8"/>
  <c r="G629" i="8"/>
  <c r="E629" i="8"/>
  <c r="B629" i="8"/>
  <c r="G630" i="8" l="1"/>
  <c r="B630" i="8"/>
  <c r="E630" i="8"/>
  <c r="A631" i="8"/>
  <c r="D630" i="8"/>
  <c r="C630" i="8"/>
  <c r="D631" i="8" l="1"/>
  <c r="A632" i="8"/>
  <c r="C631" i="8"/>
  <c r="B631" i="8"/>
  <c r="G631" i="8"/>
  <c r="E631" i="8"/>
  <c r="G632" i="8" l="1"/>
  <c r="B632" i="8"/>
  <c r="E632" i="8"/>
  <c r="D632" i="8"/>
  <c r="C632" i="8"/>
  <c r="A633" i="8"/>
  <c r="D633" i="8" l="1"/>
  <c r="A634" i="8"/>
  <c r="C633" i="8"/>
  <c r="G633" i="8"/>
  <c r="E633" i="8"/>
  <c r="B633" i="8"/>
  <c r="G634" i="8" l="1"/>
  <c r="B634" i="8"/>
  <c r="E634" i="8"/>
  <c r="A635" i="8"/>
  <c r="D634" i="8"/>
  <c r="C634" i="8"/>
  <c r="D635" i="8" l="1"/>
  <c r="A636" i="8"/>
  <c r="C635" i="8"/>
  <c r="B635" i="8"/>
  <c r="G635" i="8"/>
  <c r="E635" i="8"/>
  <c r="G636" i="8" l="1"/>
  <c r="B636" i="8"/>
  <c r="E636" i="8"/>
  <c r="D636" i="8"/>
  <c r="C636" i="8"/>
  <c r="A637" i="8"/>
  <c r="D637" i="8" l="1"/>
  <c r="A638" i="8"/>
  <c r="C637" i="8"/>
  <c r="G637" i="8"/>
  <c r="E637" i="8"/>
  <c r="B637" i="8"/>
  <c r="G638" i="8" l="1"/>
  <c r="B638" i="8"/>
  <c r="E638" i="8"/>
  <c r="A639" i="8"/>
  <c r="D638" i="8"/>
  <c r="C638" i="8"/>
  <c r="D639" i="8" l="1"/>
  <c r="A640" i="8"/>
  <c r="C639" i="8"/>
  <c r="B639" i="8"/>
  <c r="G639" i="8"/>
  <c r="E639" i="8"/>
  <c r="G640" i="8" l="1"/>
  <c r="B640" i="8"/>
  <c r="E640" i="8"/>
  <c r="D640" i="8"/>
  <c r="C640" i="8"/>
  <c r="A641" i="8"/>
  <c r="D641" i="8" l="1"/>
  <c r="A642" i="8"/>
  <c r="C641" i="8"/>
  <c r="G641" i="8"/>
  <c r="E641" i="8"/>
  <c r="B641" i="8"/>
  <c r="G642" i="8" l="1"/>
  <c r="B642" i="8"/>
  <c r="E642" i="8"/>
  <c r="A643" i="8"/>
  <c r="D642" i="8"/>
  <c r="C642" i="8"/>
  <c r="D643" i="8" l="1"/>
  <c r="A644" i="8"/>
  <c r="C643" i="8"/>
  <c r="B643" i="8"/>
  <c r="G643" i="8"/>
  <c r="E643" i="8"/>
  <c r="G644" i="8" l="1"/>
  <c r="B644" i="8"/>
  <c r="E644" i="8"/>
  <c r="D644" i="8"/>
  <c r="C644" i="8"/>
  <c r="A645" i="8"/>
  <c r="D645" i="8" l="1"/>
  <c r="A646" i="8"/>
  <c r="C645" i="8"/>
  <c r="G645" i="8"/>
  <c r="E645" i="8"/>
  <c r="B645" i="8"/>
  <c r="G646" i="8" l="1"/>
  <c r="B646" i="8"/>
  <c r="E646" i="8"/>
  <c r="A647" i="8"/>
  <c r="D646" i="8"/>
  <c r="C646" i="8"/>
  <c r="D647" i="8" l="1"/>
  <c r="A648" i="8"/>
  <c r="C647" i="8"/>
  <c r="B647" i="8"/>
  <c r="G647" i="8"/>
  <c r="E647" i="8"/>
  <c r="G648" i="8" l="1"/>
  <c r="B648" i="8"/>
  <c r="E648" i="8"/>
  <c r="D648" i="8"/>
  <c r="C648" i="8"/>
  <c r="A649" i="8"/>
  <c r="D649" i="8" l="1"/>
  <c r="A650" i="8"/>
  <c r="C649" i="8"/>
  <c r="G649" i="8"/>
  <c r="E649" i="8"/>
  <c r="B649" i="8"/>
  <c r="G650" i="8" l="1"/>
  <c r="B650" i="8"/>
  <c r="E650" i="8"/>
  <c r="A651" i="8"/>
  <c r="D650" i="8"/>
  <c r="C650" i="8"/>
  <c r="D651" i="8" l="1"/>
  <c r="A652" i="8"/>
  <c r="C651" i="8"/>
  <c r="B651" i="8"/>
  <c r="G651" i="8"/>
  <c r="E651" i="8"/>
  <c r="G652" i="8" l="1"/>
  <c r="B652" i="8"/>
  <c r="E652" i="8"/>
  <c r="D652" i="8"/>
  <c r="C652" i="8"/>
  <c r="A653" i="8"/>
  <c r="D653" i="8" l="1"/>
  <c r="A654" i="8"/>
  <c r="C653" i="8"/>
  <c r="G653" i="8"/>
  <c r="E653" i="8"/>
  <c r="B653" i="8"/>
  <c r="G654" i="8" l="1"/>
  <c r="B654" i="8"/>
  <c r="E654" i="8"/>
  <c r="A655" i="8"/>
  <c r="D654" i="8"/>
  <c r="C654" i="8"/>
  <c r="D655" i="8" l="1"/>
  <c r="A656" i="8"/>
  <c r="C655" i="8"/>
  <c r="B655" i="8"/>
  <c r="G655" i="8"/>
  <c r="E655" i="8"/>
  <c r="G656" i="8" l="1"/>
  <c r="B656" i="8"/>
  <c r="E656" i="8"/>
  <c r="D656" i="8"/>
  <c r="C656" i="8"/>
  <c r="A657" i="8"/>
  <c r="D657" i="8" l="1"/>
  <c r="A658" i="8"/>
  <c r="C657" i="8"/>
  <c r="G657" i="8"/>
  <c r="E657" i="8"/>
  <c r="B657" i="8"/>
  <c r="G658" i="8" l="1"/>
  <c r="B658" i="8"/>
  <c r="E658" i="8"/>
  <c r="A659" i="8"/>
  <c r="D658" i="8"/>
  <c r="C658" i="8"/>
  <c r="D659" i="8" l="1"/>
  <c r="A660" i="8"/>
  <c r="C659" i="8"/>
  <c r="B659" i="8"/>
  <c r="G659" i="8"/>
  <c r="E659" i="8"/>
  <c r="G660" i="8" l="1"/>
  <c r="B660" i="8"/>
  <c r="E660" i="8"/>
  <c r="D660" i="8"/>
  <c r="C660" i="8"/>
  <c r="A661" i="8"/>
  <c r="D661" i="8" l="1"/>
  <c r="A662" i="8"/>
  <c r="C661" i="8"/>
  <c r="G661" i="8"/>
  <c r="E661" i="8"/>
  <c r="B661" i="8"/>
  <c r="G662" i="8" l="1"/>
  <c r="B662" i="8"/>
  <c r="E662" i="8"/>
  <c r="A663" i="8"/>
  <c r="D662" i="8"/>
  <c r="C662" i="8"/>
  <c r="D663" i="8" l="1"/>
  <c r="A664" i="8"/>
  <c r="C663" i="8"/>
  <c r="B663" i="8"/>
  <c r="G663" i="8"/>
  <c r="E663" i="8"/>
  <c r="G664" i="8" l="1"/>
  <c r="B664" i="8"/>
  <c r="E664" i="8"/>
  <c r="D664" i="8"/>
  <c r="C664" i="8"/>
  <c r="A665" i="8"/>
  <c r="D665" i="8" l="1"/>
  <c r="A666" i="8"/>
  <c r="C665" i="8"/>
  <c r="G665" i="8"/>
  <c r="E665" i="8"/>
  <c r="B665" i="8"/>
  <c r="G666" i="8" l="1"/>
  <c r="B666" i="8"/>
  <c r="E666" i="8"/>
  <c r="A667" i="8"/>
  <c r="D666" i="8"/>
  <c r="C666" i="8"/>
  <c r="D667" i="8" l="1"/>
  <c r="A668" i="8"/>
  <c r="C667" i="8"/>
  <c r="B667" i="8"/>
  <c r="G667" i="8"/>
  <c r="E667" i="8"/>
  <c r="G668" i="8" l="1"/>
  <c r="B668" i="8"/>
  <c r="E668" i="8"/>
  <c r="D668" i="8"/>
  <c r="C668" i="8"/>
  <c r="A669" i="8"/>
  <c r="D669" i="8" l="1"/>
  <c r="A670" i="8"/>
  <c r="C669" i="8"/>
  <c r="G669" i="8"/>
  <c r="E669" i="8"/>
  <c r="B669" i="8"/>
  <c r="G670" i="8" l="1"/>
  <c r="B670" i="8"/>
  <c r="E670" i="8"/>
  <c r="A671" i="8"/>
  <c r="D670" i="8"/>
  <c r="C670" i="8"/>
  <c r="D671" i="8" l="1"/>
  <c r="A672" i="8"/>
  <c r="C671" i="8"/>
  <c r="B671" i="8"/>
  <c r="G671" i="8"/>
  <c r="E671" i="8"/>
  <c r="G672" i="8" l="1"/>
  <c r="B672" i="8"/>
  <c r="E672" i="8"/>
  <c r="D672" i="8"/>
  <c r="C672" i="8"/>
  <c r="A673" i="8"/>
  <c r="D673" i="8" l="1"/>
  <c r="A674" i="8"/>
  <c r="C673" i="8"/>
  <c r="G673" i="8"/>
  <c r="E673" i="8"/>
  <c r="B673" i="8"/>
  <c r="G674" i="8" l="1"/>
  <c r="B674" i="8"/>
  <c r="E674" i="8"/>
  <c r="A675" i="8"/>
  <c r="D674" i="8"/>
  <c r="C674" i="8"/>
  <c r="D675" i="8" l="1"/>
  <c r="A676" i="8"/>
  <c r="C675" i="8"/>
  <c r="B675" i="8"/>
  <c r="G675" i="8"/>
  <c r="E675" i="8"/>
  <c r="G676" i="8" l="1"/>
  <c r="B676" i="8"/>
  <c r="E676" i="8"/>
  <c r="D676" i="8"/>
  <c r="C676" i="8"/>
  <c r="A677" i="8"/>
  <c r="D677" i="8" l="1"/>
  <c r="A678" i="8"/>
  <c r="C677" i="8"/>
  <c r="G677" i="8"/>
  <c r="E677" i="8"/>
  <c r="B677" i="8"/>
  <c r="G678" i="8" l="1"/>
  <c r="B678" i="8"/>
  <c r="E678" i="8"/>
  <c r="A679" i="8"/>
  <c r="D678" i="8"/>
  <c r="C678" i="8"/>
  <c r="D679" i="8" l="1"/>
  <c r="A680" i="8"/>
  <c r="C679" i="8"/>
  <c r="B679" i="8"/>
  <c r="G679" i="8"/>
  <c r="E679" i="8"/>
  <c r="G680" i="8" l="1"/>
  <c r="B680" i="8"/>
  <c r="E680" i="8"/>
  <c r="D680" i="8"/>
  <c r="C680" i="8"/>
  <c r="A681" i="8"/>
  <c r="D681" i="8" l="1"/>
  <c r="A682" i="8"/>
  <c r="C681" i="8"/>
  <c r="G681" i="8"/>
  <c r="E681" i="8"/>
  <c r="B681" i="8"/>
  <c r="G682" i="8" l="1"/>
  <c r="B682" i="8"/>
  <c r="E682" i="8"/>
  <c r="A683" i="8"/>
  <c r="D682" i="8"/>
  <c r="C682" i="8"/>
  <c r="D683" i="8" l="1"/>
  <c r="A684" i="8"/>
  <c r="C683" i="8"/>
  <c r="B683" i="8"/>
  <c r="G683" i="8"/>
  <c r="E683" i="8"/>
  <c r="G684" i="8" l="1"/>
  <c r="B684" i="8"/>
  <c r="E684" i="8"/>
  <c r="D684" i="8"/>
  <c r="C684" i="8"/>
  <c r="A685" i="8"/>
  <c r="D685" i="8" l="1"/>
  <c r="A686" i="8"/>
  <c r="C685" i="8"/>
  <c r="G685" i="8"/>
  <c r="E685" i="8"/>
  <c r="B685" i="8"/>
  <c r="G686" i="8" l="1"/>
  <c r="B686" i="8"/>
  <c r="E686" i="8"/>
  <c r="A687" i="8"/>
  <c r="D686" i="8"/>
  <c r="C686" i="8"/>
  <c r="D687" i="8" l="1"/>
  <c r="A688" i="8"/>
  <c r="C687" i="8"/>
  <c r="B687" i="8"/>
  <c r="G687" i="8"/>
  <c r="E687" i="8"/>
  <c r="G688" i="8" l="1"/>
  <c r="B688" i="8"/>
  <c r="E688" i="8"/>
  <c r="D688" i="8"/>
  <c r="C688" i="8"/>
  <c r="A689" i="8"/>
  <c r="D689" i="8" l="1"/>
  <c r="A690" i="8"/>
  <c r="C689" i="8"/>
  <c r="G689" i="8"/>
  <c r="E689" i="8"/>
  <c r="B689" i="8"/>
  <c r="G690" i="8" l="1"/>
  <c r="B690" i="8"/>
  <c r="E690" i="8"/>
  <c r="A691" i="8"/>
  <c r="D690" i="8"/>
  <c r="C690" i="8"/>
  <c r="D691" i="8" l="1"/>
  <c r="A692" i="8"/>
  <c r="C691" i="8"/>
  <c r="B691" i="8"/>
  <c r="G691" i="8"/>
  <c r="E691" i="8"/>
  <c r="G692" i="8" l="1"/>
  <c r="B692" i="8"/>
  <c r="E692" i="8"/>
  <c r="D692" i="8"/>
  <c r="C692" i="8"/>
  <c r="A693" i="8"/>
  <c r="D693" i="8" l="1"/>
  <c r="A694" i="8"/>
  <c r="C693" i="8"/>
  <c r="G693" i="8"/>
  <c r="E693" i="8"/>
  <c r="B693" i="8"/>
  <c r="G694" i="8" l="1"/>
  <c r="B694" i="8"/>
  <c r="E694" i="8"/>
  <c r="A695" i="8"/>
  <c r="D694" i="8"/>
  <c r="C694" i="8"/>
  <c r="D695" i="8" l="1"/>
  <c r="A696" i="8"/>
  <c r="C695" i="8"/>
  <c r="B695" i="8"/>
  <c r="G695" i="8"/>
  <c r="E695" i="8"/>
  <c r="G696" i="8" l="1"/>
  <c r="B696" i="8"/>
  <c r="E696" i="8"/>
  <c r="D696" i="8"/>
  <c r="C696" i="8"/>
  <c r="A697" i="8"/>
  <c r="D697" i="8" l="1"/>
  <c r="A698" i="8"/>
  <c r="C697" i="8"/>
  <c r="G697" i="8"/>
  <c r="E697" i="8"/>
  <c r="B697" i="8"/>
  <c r="G698" i="8" l="1"/>
  <c r="B698" i="8"/>
  <c r="E698" i="8"/>
  <c r="A699" i="8"/>
  <c r="D698" i="8"/>
  <c r="C698" i="8"/>
  <c r="D699" i="8" l="1"/>
  <c r="A700" i="8"/>
  <c r="C699" i="8"/>
  <c r="B699" i="8"/>
  <c r="G699" i="8"/>
  <c r="E699" i="8"/>
  <c r="G700" i="8" l="1"/>
  <c r="B700" i="8"/>
  <c r="E700" i="8"/>
  <c r="D700" i="8"/>
  <c r="C700" i="8"/>
  <c r="A701" i="8"/>
  <c r="D701" i="8" l="1"/>
  <c r="A702" i="8"/>
  <c r="C701" i="8"/>
  <c r="G701" i="8"/>
  <c r="E701" i="8"/>
  <c r="B701" i="8"/>
  <c r="G702" i="8" l="1"/>
  <c r="B702" i="8"/>
  <c r="E702" i="8"/>
  <c r="A703" i="8"/>
  <c r="D702" i="8"/>
  <c r="C702" i="8"/>
  <c r="D703" i="8" l="1"/>
  <c r="A704" i="8"/>
  <c r="C703" i="8"/>
  <c r="B703" i="8"/>
  <c r="G703" i="8"/>
  <c r="E703" i="8"/>
  <c r="G704" i="8" l="1"/>
  <c r="B704" i="8"/>
  <c r="E704" i="8"/>
  <c r="D704" i="8"/>
  <c r="C704" i="8"/>
  <c r="A705" i="8"/>
  <c r="D705" i="8" l="1"/>
  <c r="A706" i="8"/>
  <c r="C705" i="8"/>
  <c r="G705" i="8"/>
  <c r="E705" i="8"/>
  <c r="B705" i="8"/>
  <c r="G706" i="8" l="1"/>
  <c r="B706" i="8"/>
  <c r="E706" i="8"/>
  <c r="A707" i="8"/>
  <c r="D706" i="8"/>
  <c r="C706" i="8"/>
  <c r="D707" i="8" l="1"/>
  <c r="A708" i="8"/>
  <c r="C707" i="8"/>
  <c r="B707" i="8"/>
  <c r="G707" i="8"/>
  <c r="E707" i="8"/>
  <c r="G708" i="8" l="1"/>
  <c r="B708" i="8"/>
  <c r="E708" i="8"/>
  <c r="D708" i="8"/>
  <c r="C708" i="8"/>
  <c r="A709" i="8"/>
  <c r="D709" i="8" l="1"/>
  <c r="A710" i="8"/>
  <c r="C709" i="8"/>
  <c r="G709" i="8"/>
  <c r="E709" i="8"/>
  <c r="B709" i="8"/>
  <c r="G710" i="8" l="1"/>
  <c r="B710" i="8"/>
  <c r="E710" i="8"/>
  <c r="A711" i="8"/>
  <c r="D710" i="8"/>
  <c r="C710" i="8"/>
  <c r="D711" i="8" l="1"/>
  <c r="A712" i="8"/>
  <c r="C711" i="8"/>
  <c r="B711" i="8"/>
  <c r="G711" i="8"/>
  <c r="E711" i="8"/>
  <c r="G712" i="8" l="1"/>
  <c r="B712" i="8"/>
  <c r="E712" i="8"/>
  <c r="D712" i="8"/>
  <c r="C712" i="8"/>
  <c r="A713" i="8"/>
  <c r="D713" i="8" l="1"/>
  <c r="A714" i="8"/>
  <c r="C713" i="8"/>
  <c r="G713" i="8"/>
  <c r="E713" i="8"/>
  <c r="B713" i="8"/>
  <c r="G714" i="8" l="1"/>
  <c r="B714" i="8"/>
  <c r="E714" i="8"/>
  <c r="A715" i="8"/>
  <c r="D714" i="8"/>
  <c r="C714" i="8"/>
  <c r="D715" i="8" l="1"/>
  <c r="A716" i="8"/>
  <c r="C715" i="8"/>
  <c r="B715" i="8"/>
  <c r="G715" i="8"/>
  <c r="E715" i="8"/>
  <c r="G716" i="8" l="1"/>
  <c r="B716" i="8"/>
  <c r="E716" i="8"/>
  <c r="D716" i="8"/>
  <c r="C716" i="8"/>
  <c r="A717" i="8"/>
  <c r="D717" i="8" l="1"/>
  <c r="A718" i="8"/>
  <c r="C717" i="8"/>
  <c r="G717" i="8"/>
  <c r="E717" i="8"/>
  <c r="B717" i="8"/>
  <c r="G718" i="8" l="1"/>
  <c r="B718" i="8"/>
  <c r="E718" i="8"/>
  <c r="A719" i="8"/>
  <c r="D718" i="8"/>
  <c r="C718" i="8"/>
  <c r="D719" i="8" l="1"/>
  <c r="A720" i="8"/>
  <c r="C719" i="8"/>
  <c r="B719" i="8"/>
  <c r="G719" i="8"/>
  <c r="E719" i="8"/>
  <c r="G720" i="8" l="1"/>
  <c r="B720" i="8"/>
  <c r="E720" i="8"/>
  <c r="D720" i="8"/>
  <c r="C720" i="8"/>
  <c r="A721" i="8"/>
  <c r="D721" i="8" l="1"/>
  <c r="A722" i="8"/>
  <c r="C721" i="8"/>
  <c r="G721" i="8"/>
  <c r="E721" i="8"/>
  <c r="B721" i="8"/>
  <c r="G722" i="8" l="1"/>
  <c r="B722" i="8"/>
  <c r="E722" i="8"/>
  <c r="A723" i="8"/>
  <c r="D722" i="8"/>
  <c r="C722" i="8"/>
  <c r="D723" i="8" l="1"/>
  <c r="A724" i="8"/>
  <c r="C723" i="8"/>
  <c r="B723" i="8"/>
  <c r="G723" i="8"/>
  <c r="E723" i="8"/>
  <c r="G724" i="8" l="1"/>
  <c r="B724" i="8"/>
  <c r="E724" i="8"/>
  <c r="D724" i="8"/>
  <c r="C724" i="8"/>
  <c r="A725" i="8"/>
  <c r="D725" i="8" l="1"/>
  <c r="A726" i="8"/>
  <c r="C725" i="8"/>
  <c r="G725" i="8"/>
  <c r="E725" i="8"/>
  <c r="B725" i="8"/>
  <c r="G726" i="8" l="1"/>
  <c r="B726" i="8"/>
  <c r="E726" i="8"/>
  <c r="A727" i="8"/>
  <c r="D726" i="8"/>
  <c r="C726" i="8"/>
  <c r="D727" i="8" l="1"/>
  <c r="A728" i="8"/>
  <c r="C727" i="8"/>
  <c r="B727" i="8"/>
  <c r="G727" i="8"/>
  <c r="E727" i="8"/>
  <c r="G728" i="8" l="1"/>
  <c r="B728" i="8"/>
  <c r="E728" i="8"/>
  <c r="D728" i="8"/>
  <c r="C728" i="8"/>
  <c r="A729" i="8"/>
  <c r="D729" i="8" l="1"/>
  <c r="A730" i="8"/>
  <c r="C729" i="8"/>
  <c r="G729" i="8"/>
  <c r="E729" i="8"/>
  <c r="B729" i="8"/>
  <c r="G730" i="8" l="1"/>
  <c r="B730" i="8"/>
  <c r="E730" i="8"/>
  <c r="A731" i="8"/>
  <c r="D730" i="8"/>
  <c r="C730" i="8"/>
  <c r="D731" i="8" l="1"/>
  <c r="A732" i="8"/>
  <c r="C731" i="8"/>
  <c r="B731" i="8"/>
  <c r="G731" i="8"/>
  <c r="E731" i="8"/>
  <c r="G732" i="8" l="1"/>
  <c r="B732" i="8"/>
  <c r="E732" i="8"/>
  <c r="D732" i="8"/>
  <c r="C732" i="8"/>
  <c r="A733" i="8"/>
  <c r="D733" i="8" l="1"/>
  <c r="A734" i="8"/>
  <c r="C733" i="8"/>
  <c r="G733" i="8"/>
  <c r="E733" i="8"/>
  <c r="B733" i="8"/>
  <c r="G734" i="8" l="1"/>
  <c r="B734" i="8"/>
  <c r="E734" i="8"/>
  <c r="A735" i="8"/>
  <c r="D734" i="8"/>
  <c r="C734" i="8"/>
  <c r="D735" i="8" l="1"/>
  <c r="A736" i="8"/>
  <c r="C735" i="8"/>
  <c r="B735" i="8"/>
  <c r="G735" i="8"/>
  <c r="E735" i="8"/>
  <c r="G736" i="8" l="1"/>
  <c r="B736" i="8"/>
  <c r="E736" i="8"/>
  <c r="D736" i="8"/>
  <c r="C736" i="8"/>
  <c r="A737" i="8"/>
  <c r="D737" i="8" l="1"/>
  <c r="A738" i="8"/>
  <c r="C737" i="8"/>
  <c r="G737" i="8"/>
  <c r="E737" i="8"/>
  <c r="B737" i="8"/>
  <c r="G738" i="8" l="1"/>
  <c r="B738" i="8"/>
  <c r="E738" i="8"/>
  <c r="A739" i="8"/>
  <c r="D738" i="8"/>
  <c r="C738" i="8"/>
  <c r="D739" i="8" l="1"/>
  <c r="A740" i="8"/>
  <c r="C739" i="8"/>
  <c r="B739" i="8"/>
  <c r="G739" i="8"/>
  <c r="E739" i="8"/>
  <c r="G740" i="8" l="1"/>
  <c r="B740" i="8"/>
  <c r="E740" i="8"/>
  <c r="D740" i="8"/>
  <c r="C740" i="8"/>
  <c r="A741" i="8"/>
  <c r="D741" i="8" l="1"/>
  <c r="A742" i="8"/>
  <c r="C741" i="8"/>
  <c r="G741" i="8"/>
  <c r="E741" i="8"/>
  <c r="B741" i="8"/>
  <c r="G742" i="8" l="1"/>
  <c r="B742" i="8"/>
  <c r="E742" i="8"/>
  <c r="A743" i="8"/>
  <c r="D742" i="8"/>
  <c r="C742" i="8"/>
  <c r="D743" i="8" l="1"/>
  <c r="A744" i="8"/>
  <c r="C743" i="8"/>
  <c r="B743" i="8"/>
  <c r="G743" i="8"/>
  <c r="E743" i="8"/>
  <c r="G744" i="8" l="1"/>
  <c r="B744" i="8"/>
  <c r="E744" i="8"/>
  <c r="D744" i="8"/>
  <c r="C744" i="8"/>
  <c r="A745" i="8"/>
  <c r="D745" i="8" l="1"/>
  <c r="A746" i="8"/>
  <c r="C745" i="8"/>
  <c r="G745" i="8"/>
  <c r="E745" i="8"/>
  <c r="B745" i="8"/>
  <c r="G746" i="8" l="1"/>
  <c r="B746" i="8"/>
  <c r="E746" i="8"/>
  <c r="A747" i="8"/>
  <c r="D746" i="8"/>
  <c r="C746" i="8"/>
  <c r="D747" i="8" l="1"/>
  <c r="A748" i="8"/>
  <c r="C747" i="8"/>
  <c r="B747" i="8"/>
  <c r="G747" i="8"/>
  <c r="E747" i="8"/>
  <c r="G748" i="8" l="1"/>
  <c r="B748" i="8"/>
  <c r="E748" i="8"/>
  <c r="D748" i="8"/>
  <c r="C748" i="8"/>
  <c r="A749" i="8"/>
  <c r="D749" i="8" l="1"/>
  <c r="A750" i="8"/>
  <c r="C749" i="8"/>
  <c r="G749" i="8"/>
  <c r="E749" i="8"/>
  <c r="B749" i="8"/>
  <c r="G750" i="8" l="1"/>
  <c r="B750" i="8"/>
  <c r="E750" i="8"/>
  <c r="A751" i="8"/>
  <c r="D750" i="8"/>
  <c r="C750" i="8"/>
  <c r="D751" i="8" l="1"/>
  <c r="A752" i="8"/>
  <c r="C751" i="8"/>
  <c r="B751" i="8"/>
  <c r="G751" i="8"/>
  <c r="E751" i="8"/>
  <c r="G752" i="8" l="1"/>
  <c r="B752" i="8"/>
  <c r="E752" i="8"/>
  <c r="D752" i="8"/>
  <c r="C752" i="8"/>
  <c r="A753" i="8"/>
  <c r="D753" i="8" l="1"/>
  <c r="A754" i="8"/>
  <c r="C753" i="8"/>
  <c r="G753" i="8"/>
  <c r="E753" i="8"/>
  <c r="B753" i="8"/>
  <c r="G754" i="8" l="1"/>
  <c r="B754" i="8"/>
  <c r="E754" i="8"/>
  <c r="A755" i="8"/>
  <c r="D754" i="8"/>
  <c r="C754" i="8"/>
  <c r="D755" i="8" l="1"/>
  <c r="A756" i="8"/>
  <c r="C755" i="8"/>
  <c r="B755" i="8"/>
  <c r="G755" i="8"/>
  <c r="E755" i="8"/>
  <c r="G756" i="8" l="1"/>
  <c r="B756" i="8"/>
  <c r="E756" i="8"/>
  <c r="D756" i="8"/>
  <c r="C756" i="8"/>
  <c r="A757" i="8"/>
  <c r="D757" i="8" l="1"/>
  <c r="A758" i="8"/>
  <c r="C757" i="8"/>
  <c r="G757" i="8"/>
  <c r="E757" i="8"/>
  <c r="B757" i="8"/>
  <c r="G758" i="8" l="1"/>
  <c r="B758" i="8"/>
  <c r="E758" i="8"/>
  <c r="A759" i="8"/>
  <c r="D758" i="8"/>
  <c r="C758" i="8"/>
  <c r="D759" i="8" l="1"/>
  <c r="A760" i="8"/>
  <c r="C759" i="8"/>
  <c r="B759" i="8"/>
  <c r="G759" i="8"/>
  <c r="E759" i="8"/>
  <c r="G760" i="8" l="1"/>
  <c r="B760" i="8"/>
  <c r="E760" i="8"/>
  <c r="D760" i="8"/>
  <c r="C760" i="8"/>
  <c r="A761" i="8"/>
  <c r="D761" i="8" l="1"/>
  <c r="A762" i="8"/>
  <c r="C761" i="8"/>
  <c r="G761" i="8"/>
  <c r="E761" i="8"/>
  <c r="B761" i="8"/>
  <c r="G762" i="8" l="1"/>
  <c r="B762" i="8"/>
  <c r="E762" i="8"/>
  <c r="A763" i="8"/>
  <c r="D762" i="8"/>
  <c r="C762" i="8"/>
  <c r="D763" i="8" l="1"/>
  <c r="A764" i="8"/>
  <c r="C763" i="8"/>
  <c r="B763" i="8"/>
  <c r="G763" i="8"/>
  <c r="E763" i="8"/>
  <c r="G764" i="8" l="1"/>
  <c r="B764" i="8"/>
  <c r="E764" i="8"/>
  <c r="D764" i="8"/>
  <c r="C764" i="8"/>
  <c r="A765" i="8"/>
  <c r="D765" i="8" l="1"/>
  <c r="A766" i="8"/>
  <c r="C765" i="8"/>
  <c r="G765" i="8"/>
  <c r="E765" i="8"/>
  <c r="B765" i="8"/>
  <c r="G766" i="8" l="1"/>
  <c r="B766" i="8"/>
  <c r="E766" i="8"/>
  <c r="A767" i="8"/>
  <c r="D766" i="8"/>
  <c r="C766" i="8"/>
  <c r="D767" i="8" l="1"/>
  <c r="A768" i="8"/>
  <c r="C767" i="8"/>
  <c r="B767" i="8"/>
  <c r="G767" i="8"/>
  <c r="E767" i="8"/>
  <c r="G768" i="8" l="1"/>
  <c r="B768" i="8"/>
  <c r="E768" i="8"/>
  <c r="D768" i="8"/>
  <c r="C768" i="8"/>
  <c r="A769" i="8"/>
  <c r="D769" i="8" l="1"/>
  <c r="A770" i="8"/>
  <c r="C769" i="8"/>
  <c r="G769" i="8"/>
  <c r="E769" i="8"/>
  <c r="B769" i="8"/>
  <c r="G770" i="8" l="1"/>
  <c r="B770" i="8"/>
  <c r="E770" i="8"/>
  <c r="A771" i="8"/>
  <c r="D770" i="8"/>
  <c r="C770" i="8"/>
  <c r="D771" i="8" l="1"/>
  <c r="A772" i="8"/>
  <c r="C771" i="8"/>
  <c r="B771" i="8"/>
  <c r="G771" i="8"/>
  <c r="E771" i="8"/>
  <c r="G772" i="8" l="1"/>
  <c r="B772" i="8"/>
  <c r="E772" i="8"/>
  <c r="D772" i="8"/>
  <c r="C772" i="8"/>
  <c r="A773" i="8"/>
  <c r="D773" i="8" l="1"/>
  <c r="A774" i="8"/>
  <c r="C773" i="8"/>
  <c r="G773" i="8"/>
  <c r="E773" i="8"/>
  <c r="B773" i="8"/>
  <c r="G774" i="8" l="1"/>
  <c r="B774" i="8"/>
  <c r="E774" i="8"/>
  <c r="A775" i="8"/>
  <c r="D774" i="8"/>
  <c r="C774" i="8"/>
  <c r="G775" i="8" l="1"/>
  <c r="B775" i="8"/>
  <c r="E775" i="8"/>
  <c r="D775" i="8"/>
  <c r="C775" i="8"/>
  <c r="A776" i="8"/>
  <c r="D776" i="8" l="1"/>
  <c r="E776" i="8"/>
  <c r="C776" i="8"/>
  <c r="A777" i="8"/>
  <c r="G776" i="8"/>
  <c r="B776" i="8"/>
  <c r="G777" i="8" l="1"/>
  <c r="B777" i="8"/>
  <c r="D777" i="8"/>
  <c r="C777" i="8"/>
  <c r="A778" i="8"/>
  <c r="E777" i="8"/>
  <c r="D778" i="8" l="1"/>
  <c r="C778" i="8"/>
  <c r="A779" i="8"/>
  <c r="B778" i="8"/>
  <c r="G778" i="8"/>
  <c r="E778" i="8"/>
  <c r="G779" i="8" l="1"/>
  <c r="B779" i="8"/>
  <c r="C779" i="8"/>
  <c r="A780" i="8"/>
  <c r="E779" i="8"/>
  <c r="D779" i="8"/>
  <c r="D780" i="8" l="1"/>
  <c r="A781" i="8"/>
  <c r="B780" i="8"/>
  <c r="G780" i="8"/>
  <c r="E780" i="8"/>
  <c r="C780" i="8"/>
  <c r="G781" i="8" l="1"/>
  <c r="B781" i="8"/>
  <c r="A782" i="8"/>
  <c r="E781" i="8"/>
  <c r="D781" i="8"/>
  <c r="C781" i="8"/>
  <c r="D782" i="8" l="1"/>
  <c r="G782" i="8"/>
  <c r="E782" i="8"/>
  <c r="C782" i="8"/>
  <c r="B782" i="8"/>
  <c r="A783" i="8"/>
  <c r="G783" i="8" l="1"/>
  <c r="B783" i="8"/>
  <c r="E783" i="8"/>
  <c r="D783" i="8"/>
  <c r="A784" i="8"/>
  <c r="C783" i="8"/>
  <c r="D784" i="8" l="1"/>
  <c r="E784" i="8"/>
  <c r="C784" i="8"/>
  <c r="B784" i="8"/>
  <c r="A785" i="8"/>
  <c r="G784" i="8"/>
  <c r="G785" i="8" l="1"/>
  <c r="B785" i="8"/>
  <c r="D785" i="8"/>
  <c r="C785" i="8"/>
  <c r="A786" i="8"/>
  <c r="E785" i="8"/>
  <c r="D786" i="8" l="1"/>
  <c r="C786" i="8"/>
  <c r="A787" i="8"/>
  <c r="B786" i="8"/>
  <c r="G786" i="8"/>
  <c r="E786" i="8"/>
  <c r="G787" i="8" l="1"/>
  <c r="B787" i="8"/>
  <c r="C787" i="8"/>
  <c r="A788" i="8"/>
  <c r="E787" i="8"/>
  <c r="D787" i="8"/>
  <c r="D788" i="8" l="1"/>
  <c r="A789" i="8"/>
  <c r="B788" i="8"/>
  <c r="G788" i="8"/>
  <c r="E788" i="8"/>
  <c r="C788" i="8"/>
  <c r="G789" i="8" l="1"/>
  <c r="B789" i="8"/>
  <c r="A790" i="8"/>
  <c r="E789" i="8"/>
  <c r="D789" i="8"/>
  <c r="C789" i="8"/>
  <c r="D790" i="8" l="1"/>
  <c r="G790" i="8"/>
  <c r="E790" i="8"/>
  <c r="A791" i="8"/>
  <c r="C790" i="8"/>
  <c r="B790" i="8"/>
  <c r="G791" i="8" l="1"/>
  <c r="B791" i="8"/>
  <c r="E791" i="8"/>
  <c r="D791" i="8"/>
  <c r="C791" i="8"/>
  <c r="A792" i="8"/>
  <c r="D792" i="8" l="1"/>
  <c r="E792" i="8"/>
  <c r="C792" i="8"/>
  <c r="A793" i="8"/>
  <c r="G792" i="8"/>
  <c r="B792" i="8"/>
  <c r="G793" i="8" l="1"/>
  <c r="B793" i="8"/>
  <c r="D793" i="8"/>
  <c r="C793" i="8"/>
  <c r="A794" i="8"/>
  <c r="E793" i="8"/>
  <c r="D794" i="8" l="1"/>
  <c r="C794" i="8"/>
  <c r="A795" i="8"/>
  <c r="B794" i="8"/>
  <c r="G794" i="8"/>
  <c r="E794" i="8"/>
  <c r="G795" i="8" l="1"/>
  <c r="B795" i="8"/>
  <c r="C795" i="8"/>
  <c r="A796" i="8"/>
  <c r="E795" i="8"/>
  <c r="D795" i="8"/>
  <c r="D796" i="8" l="1"/>
  <c r="A797" i="8"/>
  <c r="B796" i="8"/>
  <c r="G796" i="8"/>
  <c r="E796" i="8"/>
  <c r="C796" i="8"/>
  <c r="G797" i="8" l="1"/>
  <c r="B797" i="8"/>
  <c r="A798" i="8"/>
  <c r="E797" i="8"/>
  <c r="D797" i="8"/>
  <c r="C797" i="8"/>
  <c r="D798" i="8" l="1"/>
  <c r="G798" i="8"/>
  <c r="E798" i="8"/>
  <c r="C798" i="8"/>
  <c r="B798" i="8"/>
  <c r="A799" i="8"/>
  <c r="G799" i="8" l="1"/>
  <c r="B799" i="8"/>
  <c r="E799" i="8"/>
  <c r="D799" i="8"/>
  <c r="A800" i="8"/>
  <c r="C799" i="8"/>
  <c r="D800" i="8" l="1"/>
  <c r="E800" i="8"/>
  <c r="C800" i="8"/>
  <c r="B800" i="8"/>
  <c r="A801" i="8"/>
  <c r="G800" i="8"/>
  <c r="G801" i="8" l="1"/>
  <c r="B801" i="8"/>
  <c r="D801" i="8"/>
  <c r="C801" i="8"/>
  <c r="A802" i="8"/>
  <c r="E801" i="8"/>
  <c r="D802" i="8" l="1"/>
  <c r="C802" i="8"/>
  <c r="A803" i="8"/>
  <c r="B802" i="8"/>
  <c r="G802" i="8"/>
  <c r="E802" i="8"/>
  <c r="G803" i="8" l="1"/>
  <c r="B803" i="8"/>
  <c r="C803" i="8"/>
  <c r="A804" i="8"/>
  <c r="E803" i="8"/>
  <c r="D803" i="8"/>
  <c r="D804" i="8" l="1"/>
  <c r="A805" i="8"/>
  <c r="B804" i="8"/>
  <c r="G804" i="8"/>
  <c r="E804" i="8"/>
  <c r="C804" i="8"/>
  <c r="G805" i="8" l="1"/>
  <c r="B805" i="8"/>
  <c r="A806" i="8"/>
  <c r="E805" i="8"/>
  <c r="D805" i="8"/>
  <c r="C805" i="8"/>
  <c r="D806" i="8" l="1"/>
  <c r="G806" i="8"/>
  <c r="E806" i="8"/>
  <c r="A807" i="8"/>
  <c r="C806" i="8"/>
  <c r="B806" i="8"/>
  <c r="G807" i="8" l="1"/>
  <c r="B807" i="8"/>
  <c r="E807" i="8"/>
  <c r="D807" i="8"/>
  <c r="C807" i="8"/>
  <c r="A808" i="8"/>
  <c r="D808" i="8" l="1"/>
  <c r="E808" i="8"/>
  <c r="C808" i="8"/>
  <c r="A809" i="8"/>
  <c r="G808" i="8"/>
  <c r="B808" i="8"/>
  <c r="G809" i="8" l="1"/>
  <c r="B809" i="8"/>
  <c r="D809" i="8"/>
  <c r="C809" i="8"/>
  <c r="A810" i="8"/>
  <c r="E809" i="8"/>
  <c r="D810" i="8" l="1"/>
  <c r="A811" i="8"/>
  <c r="C810" i="8"/>
  <c r="B810" i="8"/>
  <c r="G810" i="8"/>
  <c r="E810" i="8"/>
  <c r="G811" i="8" l="1"/>
  <c r="B811" i="8"/>
  <c r="E811" i="8"/>
  <c r="D811" i="8"/>
  <c r="C811" i="8"/>
  <c r="A812" i="8"/>
  <c r="D812" i="8" l="1"/>
  <c r="A813" i="8"/>
  <c r="C812" i="8"/>
  <c r="G812" i="8"/>
  <c r="E812" i="8"/>
  <c r="B812" i="8"/>
  <c r="G813" i="8" l="1"/>
  <c r="B813" i="8"/>
  <c r="E813" i="8"/>
  <c r="A814" i="8"/>
  <c r="D813" i="8"/>
  <c r="C813" i="8"/>
  <c r="D814" i="8" l="1"/>
  <c r="A815" i="8"/>
  <c r="C814" i="8"/>
  <c r="B814" i="8"/>
  <c r="G814" i="8"/>
  <c r="E814" i="8"/>
  <c r="G815" i="8" l="1"/>
  <c r="B815" i="8"/>
  <c r="E815" i="8"/>
  <c r="D815" i="8"/>
  <c r="C815" i="8"/>
  <c r="A816" i="8"/>
  <c r="D816" i="8" l="1"/>
  <c r="A817" i="8"/>
  <c r="C816" i="8"/>
  <c r="G816" i="8"/>
  <c r="E816" i="8"/>
  <c r="B816" i="8"/>
  <c r="G817" i="8" l="1"/>
  <c r="B817" i="8"/>
  <c r="E817" i="8"/>
  <c r="A818" i="8"/>
  <c r="D817" i="8"/>
  <c r="C817" i="8"/>
  <c r="D818" i="8" l="1"/>
  <c r="A819" i="8"/>
  <c r="C818" i="8"/>
  <c r="B818" i="8"/>
  <c r="G818" i="8"/>
  <c r="E818" i="8"/>
  <c r="G819" i="8" l="1"/>
  <c r="B819" i="8"/>
  <c r="E819" i="8"/>
  <c r="D819" i="8"/>
  <c r="C819" i="8"/>
  <c r="A820" i="8"/>
  <c r="D820" i="8" l="1"/>
  <c r="A821" i="8"/>
  <c r="C820" i="8"/>
  <c r="G820" i="8"/>
  <c r="E820" i="8"/>
  <c r="B820" i="8"/>
  <c r="G821" i="8" l="1"/>
  <c r="B821" i="8"/>
  <c r="E821" i="8"/>
  <c r="A822" i="8"/>
  <c r="D821" i="8"/>
  <c r="C821" i="8"/>
  <c r="D822" i="8" l="1"/>
  <c r="A823" i="8"/>
  <c r="C822" i="8"/>
  <c r="B822" i="8"/>
  <c r="G822" i="8"/>
  <c r="E822" i="8"/>
  <c r="G823" i="8" l="1"/>
  <c r="B823" i="8"/>
  <c r="E823" i="8"/>
  <c r="D823" i="8"/>
  <c r="C823" i="8"/>
  <c r="A824" i="8"/>
  <c r="D824" i="8" l="1"/>
  <c r="A825" i="8"/>
  <c r="C824" i="8"/>
  <c r="G824" i="8"/>
  <c r="E824" i="8"/>
  <c r="B824" i="8"/>
  <c r="G825" i="8" l="1"/>
  <c r="B825" i="8"/>
  <c r="E825" i="8"/>
  <c r="A826" i="8"/>
  <c r="D825" i="8"/>
  <c r="C825" i="8"/>
  <c r="D826" i="8" l="1"/>
  <c r="A827" i="8"/>
  <c r="C826" i="8"/>
  <c r="B826" i="8"/>
  <c r="G826" i="8"/>
  <c r="E826" i="8"/>
  <c r="G827" i="8" l="1"/>
  <c r="B827" i="8"/>
  <c r="E827" i="8"/>
  <c r="D827" i="8"/>
  <c r="C827" i="8"/>
  <c r="A828" i="8"/>
  <c r="D828" i="8" l="1"/>
  <c r="A829" i="8"/>
  <c r="C828" i="8"/>
  <c r="G828" i="8"/>
  <c r="E828" i="8"/>
  <c r="B828" i="8"/>
  <c r="G829" i="8" l="1"/>
  <c r="B829" i="8"/>
  <c r="E829" i="8"/>
  <c r="A830" i="8"/>
  <c r="D829" i="8"/>
  <c r="C829" i="8"/>
  <c r="D830" i="8" l="1"/>
  <c r="A831" i="8"/>
  <c r="C830" i="8"/>
  <c r="B830" i="8"/>
  <c r="G830" i="8"/>
  <c r="E830" i="8"/>
  <c r="G831" i="8" l="1"/>
  <c r="B831" i="8"/>
  <c r="E831" i="8"/>
  <c r="D831" i="8"/>
  <c r="C831" i="8"/>
  <c r="A832" i="8"/>
  <c r="D832" i="8" l="1"/>
  <c r="A833" i="8"/>
  <c r="C832" i="8"/>
  <c r="G832" i="8"/>
  <c r="E832" i="8"/>
  <c r="B832" i="8"/>
  <c r="G833" i="8" l="1"/>
  <c r="B833" i="8"/>
  <c r="E833" i="8"/>
  <c r="A834" i="8"/>
  <c r="D833" i="8"/>
  <c r="C833" i="8"/>
  <c r="D834" i="8" l="1"/>
  <c r="A835" i="8"/>
  <c r="C834" i="8"/>
  <c r="B834" i="8"/>
  <c r="G834" i="8"/>
  <c r="E834" i="8"/>
  <c r="G835" i="8" l="1"/>
  <c r="B835" i="8"/>
  <c r="E835" i="8"/>
  <c r="D835" i="8"/>
  <c r="C835" i="8"/>
  <c r="A836" i="8"/>
  <c r="D836" i="8" l="1"/>
  <c r="A837" i="8"/>
  <c r="C836" i="8"/>
  <c r="G836" i="8"/>
  <c r="E836" i="8"/>
  <c r="B836" i="8"/>
  <c r="G837" i="8" l="1"/>
  <c r="B837" i="8"/>
  <c r="E837" i="8"/>
  <c r="A838" i="8"/>
  <c r="D837" i="8"/>
  <c r="C837" i="8"/>
  <c r="D838" i="8" l="1"/>
  <c r="A839" i="8"/>
  <c r="C838" i="8"/>
  <c r="B838" i="8"/>
  <c r="G838" i="8"/>
  <c r="E838" i="8"/>
  <c r="G839" i="8" l="1"/>
  <c r="B839" i="8"/>
  <c r="E839" i="8"/>
  <c r="D839" i="8"/>
  <c r="C839" i="8"/>
  <c r="A840" i="8"/>
  <c r="D840" i="8" l="1"/>
  <c r="A841" i="8"/>
  <c r="C840" i="8"/>
  <c r="G840" i="8"/>
  <c r="E840" i="8"/>
  <c r="B840" i="8"/>
  <c r="G841" i="8" l="1"/>
  <c r="B841" i="8"/>
  <c r="E841" i="8"/>
  <c r="A842" i="8"/>
  <c r="D841" i="8"/>
  <c r="C841" i="8"/>
  <c r="D842" i="8" l="1"/>
  <c r="A843" i="8"/>
  <c r="C842" i="8"/>
  <c r="B842" i="8"/>
  <c r="G842" i="8"/>
  <c r="E842" i="8"/>
  <c r="G843" i="8" l="1"/>
  <c r="B843" i="8"/>
  <c r="E843" i="8"/>
  <c r="D843" i="8"/>
  <c r="C843" i="8"/>
  <c r="A844" i="8"/>
  <c r="D844" i="8" l="1"/>
  <c r="A845" i="8"/>
  <c r="C844" i="8"/>
  <c r="G844" i="8"/>
  <c r="E844" i="8"/>
  <c r="B844" i="8"/>
  <c r="G845" i="8" l="1"/>
  <c r="B845" i="8"/>
  <c r="E845" i="8"/>
  <c r="A846" i="8"/>
  <c r="D845" i="8"/>
  <c r="C845" i="8"/>
  <c r="D846" i="8" l="1"/>
  <c r="A847" i="8"/>
  <c r="C846" i="8"/>
  <c r="B846" i="8"/>
  <c r="G846" i="8"/>
  <c r="E846" i="8"/>
  <c r="G847" i="8" l="1"/>
  <c r="B847" i="8"/>
  <c r="E847" i="8"/>
  <c r="D847" i="8"/>
  <c r="C847" i="8"/>
  <c r="A848" i="8"/>
  <c r="D848" i="8" l="1"/>
  <c r="A849" i="8"/>
  <c r="C848" i="8"/>
  <c r="G848" i="8"/>
  <c r="E848" i="8"/>
  <c r="B848" i="8"/>
  <c r="G849" i="8" l="1"/>
  <c r="B849" i="8"/>
  <c r="E849" i="8"/>
  <c r="A850" i="8"/>
  <c r="D849" i="8"/>
  <c r="C849" i="8"/>
  <c r="D850" i="8" l="1"/>
  <c r="A851" i="8"/>
  <c r="C850" i="8"/>
  <c r="B850" i="8"/>
  <c r="G850" i="8"/>
  <c r="E850" i="8"/>
  <c r="G851" i="8" l="1"/>
  <c r="B851" i="8"/>
  <c r="E851" i="8"/>
  <c r="D851" i="8"/>
  <c r="C851" i="8"/>
  <c r="A852" i="8"/>
  <c r="D852" i="8" l="1"/>
  <c r="A853" i="8"/>
  <c r="C852" i="8"/>
  <c r="G852" i="8"/>
  <c r="E852" i="8"/>
  <c r="B852" i="8"/>
  <c r="G853" i="8" l="1"/>
  <c r="B853" i="8"/>
  <c r="E853" i="8"/>
  <c r="A854" i="8"/>
  <c r="D853" i="8"/>
  <c r="C853" i="8"/>
  <c r="D854" i="8" l="1"/>
  <c r="A855" i="8"/>
  <c r="C854" i="8"/>
  <c r="B854" i="8"/>
  <c r="G854" i="8"/>
  <c r="E854" i="8"/>
  <c r="G855" i="8" l="1"/>
  <c r="B855" i="8"/>
  <c r="E855" i="8"/>
  <c r="D855" i="8"/>
  <c r="C855" i="8"/>
  <c r="A856" i="8"/>
  <c r="D856" i="8" l="1"/>
  <c r="A857" i="8"/>
  <c r="C856" i="8"/>
  <c r="G856" i="8"/>
  <c r="E856" i="8"/>
  <c r="B856" i="8"/>
  <c r="G857" i="8" l="1"/>
  <c r="B857" i="8"/>
  <c r="E857" i="8"/>
  <c r="A858" i="8"/>
  <c r="D857" i="8"/>
  <c r="C857" i="8"/>
  <c r="D858" i="8" l="1"/>
  <c r="A859" i="8"/>
  <c r="C858" i="8"/>
  <c r="B858" i="8"/>
  <c r="G858" i="8"/>
  <c r="E858" i="8"/>
  <c r="G859" i="8" l="1"/>
  <c r="B859" i="8"/>
  <c r="E859" i="8"/>
  <c r="D859" i="8"/>
  <c r="C859" i="8"/>
  <c r="A860" i="8"/>
  <c r="D860" i="8" l="1"/>
  <c r="A861" i="8"/>
  <c r="C860" i="8"/>
  <c r="G860" i="8"/>
  <c r="E860" i="8"/>
  <c r="B860" i="8"/>
  <c r="G861" i="8" l="1"/>
  <c r="B861" i="8"/>
  <c r="E861" i="8"/>
  <c r="A862" i="8"/>
  <c r="D861" i="8"/>
  <c r="C861" i="8"/>
  <c r="D862" i="8" l="1"/>
  <c r="A863" i="8"/>
  <c r="C862" i="8"/>
  <c r="B862" i="8"/>
  <c r="G862" i="8"/>
  <c r="E862" i="8"/>
  <c r="G863" i="8" l="1"/>
  <c r="B863" i="8"/>
  <c r="E863" i="8"/>
  <c r="D863" i="8"/>
  <c r="C863" i="8"/>
  <c r="A864" i="8"/>
  <c r="D864" i="8" l="1"/>
  <c r="A865" i="8"/>
  <c r="C864" i="8"/>
  <c r="G864" i="8"/>
  <c r="E864" i="8"/>
  <c r="B864" i="8"/>
  <c r="G865" i="8" l="1"/>
  <c r="B865" i="8"/>
  <c r="E865" i="8"/>
  <c r="A866" i="8"/>
  <c r="D865" i="8"/>
  <c r="C865" i="8"/>
  <c r="D866" i="8" l="1"/>
  <c r="A867" i="8"/>
  <c r="C866" i="8"/>
  <c r="B866" i="8"/>
  <c r="G866" i="8"/>
  <c r="E866" i="8"/>
  <c r="G867" i="8" l="1"/>
  <c r="B867" i="8"/>
  <c r="E867" i="8"/>
  <c r="D867" i="8"/>
  <c r="C867" i="8"/>
  <c r="A868" i="8"/>
  <c r="D868" i="8" l="1"/>
  <c r="A869" i="8"/>
  <c r="C868" i="8"/>
  <c r="G868" i="8"/>
  <c r="E868" i="8"/>
  <c r="B868" i="8"/>
  <c r="G869" i="8" l="1"/>
  <c r="B869" i="8"/>
  <c r="E869" i="8"/>
  <c r="A870" i="8"/>
  <c r="D869" i="8"/>
  <c r="C869" i="8"/>
  <c r="D870" i="8" l="1"/>
  <c r="A871" i="8"/>
  <c r="C870" i="8"/>
  <c r="B870" i="8"/>
  <c r="G870" i="8"/>
  <c r="E870" i="8"/>
  <c r="G871" i="8" l="1"/>
  <c r="B871" i="8"/>
  <c r="E871" i="8"/>
  <c r="D871" i="8"/>
  <c r="C871" i="8"/>
  <c r="A872" i="8"/>
  <c r="D872" i="8" l="1"/>
  <c r="A873" i="8"/>
  <c r="C872" i="8"/>
  <c r="G872" i="8"/>
  <c r="E872" i="8"/>
  <c r="B872" i="8"/>
  <c r="G873" i="8" l="1"/>
  <c r="B873" i="8"/>
  <c r="E873" i="8"/>
  <c r="A874" i="8"/>
  <c r="D873" i="8"/>
  <c r="C873" i="8"/>
  <c r="D874" i="8" l="1"/>
  <c r="A875" i="8"/>
  <c r="C874" i="8"/>
  <c r="B874" i="8"/>
  <c r="G874" i="8"/>
  <c r="E874" i="8"/>
  <c r="G875" i="8" l="1"/>
  <c r="B875" i="8"/>
  <c r="E875" i="8"/>
  <c r="D875" i="8"/>
  <c r="C875" i="8"/>
  <c r="A876" i="8"/>
  <c r="D876" i="8" l="1"/>
  <c r="A877" i="8"/>
  <c r="C876" i="8"/>
  <c r="G876" i="8"/>
  <c r="E876" i="8"/>
  <c r="B876" i="8"/>
  <c r="G877" i="8" l="1"/>
  <c r="B877" i="8"/>
  <c r="E877" i="8"/>
  <c r="A878" i="8"/>
  <c r="D877" i="8"/>
  <c r="C877" i="8"/>
  <c r="D878" i="8" l="1"/>
  <c r="A879" i="8"/>
  <c r="C878" i="8"/>
  <c r="B878" i="8"/>
  <c r="G878" i="8"/>
  <c r="E878" i="8"/>
  <c r="G879" i="8" l="1"/>
  <c r="B879" i="8"/>
  <c r="E879" i="8"/>
  <c r="D879" i="8"/>
  <c r="C879" i="8"/>
  <c r="A880" i="8"/>
  <c r="D880" i="8" l="1"/>
  <c r="A881" i="8"/>
  <c r="C880" i="8"/>
  <c r="G880" i="8"/>
  <c r="E880" i="8"/>
  <c r="B880" i="8"/>
  <c r="G881" i="8" l="1"/>
  <c r="B881" i="8"/>
  <c r="E881" i="8"/>
  <c r="A882" i="8"/>
  <c r="D881" i="8"/>
  <c r="C881" i="8"/>
  <c r="D882" i="8" l="1"/>
  <c r="A883" i="8"/>
  <c r="C882" i="8"/>
  <c r="B882" i="8"/>
  <c r="G882" i="8"/>
  <c r="E882" i="8"/>
  <c r="G883" i="8" l="1"/>
  <c r="B883" i="8"/>
  <c r="E883" i="8"/>
  <c r="D883" i="8"/>
  <c r="C883" i="8"/>
  <c r="A884" i="8"/>
  <c r="D884" i="8" l="1"/>
  <c r="A885" i="8"/>
  <c r="C884" i="8"/>
  <c r="G884" i="8"/>
  <c r="E884" i="8"/>
  <c r="B884" i="8"/>
  <c r="G885" i="8" l="1"/>
  <c r="B885" i="8"/>
  <c r="E885" i="8"/>
  <c r="A886" i="8"/>
  <c r="D885" i="8"/>
  <c r="C885" i="8"/>
  <c r="D886" i="8" l="1"/>
  <c r="A887" i="8"/>
  <c r="C886" i="8"/>
  <c r="B886" i="8"/>
  <c r="G886" i="8"/>
  <c r="E886" i="8"/>
  <c r="G887" i="8" l="1"/>
  <c r="B887" i="8"/>
  <c r="E887" i="8"/>
  <c r="D887" i="8"/>
  <c r="C887" i="8"/>
  <c r="A888" i="8"/>
  <c r="D888" i="8" l="1"/>
  <c r="A889" i="8"/>
  <c r="C888" i="8"/>
  <c r="G888" i="8"/>
  <c r="E888" i="8"/>
  <c r="B888" i="8"/>
  <c r="G889" i="8" l="1"/>
  <c r="B889" i="8"/>
  <c r="E889" i="8"/>
  <c r="A890" i="8"/>
  <c r="D889" i="8"/>
  <c r="C889" i="8"/>
  <c r="D890" i="8" l="1"/>
  <c r="A891" i="8"/>
  <c r="C890" i="8"/>
  <c r="B890" i="8"/>
  <c r="G890" i="8"/>
  <c r="E890" i="8"/>
  <c r="G891" i="8" l="1"/>
  <c r="B891" i="8"/>
  <c r="E891" i="8"/>
  <c r="D891" i="8"/>
  <c r="C891" i="8"/>
  <c r="A892" i="8"/>
  <c r="D892" i="8" l="1"/>
  <c r="A893" i="8"/>
  <c r="C892" i="8"/>
  <c r="G892" i="8"/>
  <c r="E892" i="8"/>
  <c r="B892" i="8"/>
  <c r="G893" i="8" l="1"/>
  <c r="B893" i="8"/>
  <c r="E893" i="8"/>
  <c r="A894" i="8"/>
  <c r="D893" i="8"/>
  <c r="C893" i="8"/>
  <c r="D894" i="8" l="1"/>
  <c r="A895" i="8"/>
  <c r="C894" i="8"/>
  <c r="B894" i="8"/>
  <c r="G894" i="8"/>
  <c r="E894" i="8"/>
  <c r="G895" i="8" l="1"/>
  <c r="B895" i="8"/>
  <c r="E895" i="8"/>
  <c r="D895" i="8"/>
  <c r="C895" i="8"/>
  <c r="A896" i="8"/>
  <c r="D896" i="8" l="1"/>
  <c r="A897" i="8"/>
  <c r="C896" i="8"/>
  <c r="G896" i="8"/>
  <c r="E896" i="8"/>
  <c r="B896" i="8"/>
  <c r="G897" i="8" l="1"/>
  <c r="B897" i="8"/>
  <c r="E897" i="8"/>
  <c r="A898" i="8"/>
  <c r="D897" i="8"/>
  <c r="C897" i="8"/>
  <c r="D898" i="8" l="1"/>
  <c r="A899" i="8"/>
  <c r="C898" i="8"/>
  <c r="B898" i="8"/>
  <c r="G898" i="8"/>
  <c r="E898" i="8"/>
  <c r="G899" i="8" l="1"/>
  <c r="B899" i="8"/>
  <c r="E899" i="8"/>
  <c r="D899" i="8"/>
  <c r="C899" i="8"/>
  <c r="A900" i="8"/>
  <c r="D900" i="8" l="1"/>
  <c r="A901" i="8"/>
  <c r="C900" i="8"/>
  <c r="G900" i="8"/>
  <c r="E900" i="8"/>
  <c r="B900" i="8"/>
  <c r="G901" i="8" l="1"/>
  <c r="B901" i="8"/>
  <c r="E901" i="8"/>
  <c r="A902" i="8"/>
  <c r="D901" i="8"/>
  <c r="C901" i="8"/>
  <c r="D902" i="8" l="1"/>
  <c r="A903" i="8"/>
  <c r="C902" i="8"/>
  <c r="B902" i="8"/>
  <c r="G902" i="8"/>
  <c r="E902" i="8"/>
  <c r="G903" i="8" l="1"/>
  <c r="B903" i="8"/>
  <c r="E903" i="8"/>
  <c r="D903" i="8"/>
  <c r="C903" i="8"/>
  <c r="A904" i="8"/>
  <c r="D904" i="8" l="1"/>
  <c r="A905" i="8"/>
  <c r="C904" i="8"/>
  <c r="G904" i="8"/>
  <c r="E904" i="8"/>
  <c r="B904" i="8"/>
  <c r="G905" i="8" l="1"/>
  <c r="B905" i="8"/>
  <c r="E905" i="8"/>
  <c r="A906" i="8"/>
  <c r="D905" i="8"/>
  <c r="C905" i="8"/>
  <c r="D906" i="8" l="1"/>
  <c r="A907" i="8"/>
  <c r="C906" i="8"/>
  <c r="B906" i="8"/>
  <c r="G906" i="8"/>
  <c r="E906" i="8"/>
  <c r="G907" i="8" l="1"/>
  <c r="B907" i="8"/>
  <c r="E907" i="8"/>
  <c r="D907" i="8"/>
  <c r="C907" i="8"/>
  <c r="A908" i="8"/>
  <c r="D908" i="8" l="1"/>
  <c r="A909" i="8"/>
  <c r="C908" i="8"/>
  <c r="G908" i="8"/>
  <c r="E908" i="8"/>
  <c r="B908" i="8"/>
  <c r="G909" i="8" l="1"/>
  <c r="B909" i="8"/>
  <c r="E909" i="8"/>
  <c r="A910" i="8"/>
  <c r="D909" i="8"/>
  <c r="C909" i="8"/>
  <c r="D910" i="8" l="1"/>
  <c r="A911" i="8"/>
  <c r="C910" i="8"/>
  <c r="B910" i="8"/>
  <c r="G910" i="8"/>
  <c r="E910" i="8"/>
  <c r="G911" i="8" l="1"/>
  <c r="B911" i="8"/>
  <c r="E911" i="8"/>
  <c r="D911" i="8"/>
  <c r="C911" i="8"/>
  <c r="A912" i="8"/>
  <c r="D912" i="8" l="1"/>
  <c r="A913" i="8"/>
  <c r="C912" i="8"/>
  <c r="G912" i="8"/>
  <c r="E912" i="8"/>
  <c r="B912" i="8"/>
  <c r="G913" i="8" l="1"/>
  <c r="B913" i="8"/>
  <c r="E913" i="8"/>
  <c r="A914" i="8"/>
  <c r="D913" i="8"/>
  <c r="C913" i="8"/>
  <c r="D914" i="8" l="1"/>
  <c r="A915" i="8"/>
  <c r="C914" i="8"/>
  <c r="B914" i="8"/>
  <c r="G914" i="8"/>
  <c r="E914" i="8"/>
  <c r="G915" i="8" l="1"/>
  <c r="B915" i="8"/>
  <c r="E915" i="8"/>
  <c r="D915" i="8"/>
  <c r="C915" i="8"/>
  <c r="A916" i="8"/>
  <c r="D916" i="8" l="1"/>
  <c r="A917" i="8"/>
  <c r="C916" i="8"/>
  <c r="G916" i="8"/>
  <c r="E916" i="8"/>
  <c r="B916" i="8"/>
  <c r="G917" i="8" l="1"/>
  <c r="B917" i="8"/>
  <c r="E917" i="8"/>
  <c r="A918" i="8"/>
  <c r="D917" i="8"/>
  <c r="C917" i="8"/>
  <c r="D918" i="8" l="1"/>
  <c r="A919" i="8"/>
  <c r="C918" i="8"/>
  <c r="B918" i="8"/>
  <c r="G918" i="8"/>
  <c r="E918" i="8"/>
  <c r="G919" i="8" l="1"/>
  <c r="B919" i="8"/>
  <c r="E919" i="8"/>
  <c r="D919" i="8"/>
  <c r="C919" i="8"/>
  <c r="A920" i="8"/>
  <c r="D920" i="8" l="1"/>
  <c r="A921" i="8"/>
  <c r="C920" i="8"/>
  <c r="G920" i="8"/>
  <c r="E920" i="8"/>
  <c r="B920" i="8"/>
  <c r="G921" i="8" l="1"/>
  <c r="B921" i="8"/>
  <c r="E921" i="8"/>
  <c r="A922" i="8"/>
  <c r="D921" i="8"/>
  <c r="C921" i="8"/>
  <c r="D922" i="8" l="1"/>
  <c r="A923" i="8"/>
  <c r="C922" i="8"/>
  <c r="B922" i="8"/>
  <c r="G922" i="8"/>
  <c r="E922" i="8"/>
  <c r="G923" i="8" l="1"/>
  <c r="B923" i="8"/>
  <c r="E923" i="8"/>
  <c r="D923" i="8"/>
  <c r="C923" i="8"/>
  <c r="A924" i="8"/>
  <c r="D924" i="8" l="1"/>
  <c r="A925" i="8"/>
  <c r="C924" i="8"/>
  <c r="G924" i="8"/>
  <c r="E924" i="8"/>
  <c r="B924" i="8"/>
  <c r="G925" i="8" l="1"/>
  <c r="B925" i="8"/>
  <c r="E925" i="8"/>
  <c r="A926" i="8"/>
  <c r="D925" i="8"/>
  <c r="C925" i="8"/>
  <c r="D926" i="8" l="1"/>
  <c r="A927" i="8"/>
  <c r="C926" i="8"/>
  <c r="B926" i="8"/>
  <c r="G926" i="8"/>
  <c r="E926" i="8"/>
  <c r="G927" i="8" l="1"/>
  <c r="B927" i="8"/>
  <c r="E927" i="8"/>
  <c r="D927" i="8"/>
  <c r="C927" i="8"/>
  <c r="A928" i="8"/>
  <c r="D928" i="8" l="1"/>
  <c r="A929" i="8"/>
  <c r="C928" i="8"/>
  <c r="G928" i="8"/>
  <c r="E928" i="8"/>
  <c r="B928" i="8"/>
  <c r="G929" i="8" l="1"/>
  <c r="B929" i="8"/>
  <c r="E929" i="8"/>
  <c r="A930" i="8"/>
  <c r="D929" i="8"/>
  <c r="C929" i="8"/>
  <c r="D930" i="8" l="1"/>
  <c r="A931" i="8"/>
  <c r="C930" i="8"/>
  <c r="B930" i="8"/>
  <c r="G930" i="8"/>
  <c r="E930" i="8"/>
  <c r="G931" i="8" l="1"/>
  <c r="B931" i="8"/>
  <c r="E931" i="8"/>
  <c r="D931" i="8"/>
  <c r="C931" i="8"/>
  <c r="A932" i="8"/>
  <c r="D932" i="8" l="1"/>
  <c r="A933" i="8"/>
  <c r="C932" i="8"/>
  <c r="G932" i="8"/>
  <c r="E932" i="8"/>
  <c r="B932" i="8"/>
  <c r="G933" i="8" l="1"/>
  <c r="B933" i="8"/>
  <c r="E933" i="8"/>
  <c r="A934" i="8"/>
  <c r="D933" i="8"/>
  <c r="C933" i="8"/>
  <c r="D934" i="8" l="1"/>
  <c r="A935" i="8"/>
  <c r="C934" i="8"/>
  <c r="B934" i="8"/>
  <c r="G934" i="8"/>
  <c r="E934" i="8"/>
  <c r="G935" i="8" l="1"/>
  <c r="B935" i="8"/>
  <c r="E935" i="8"/>
  <c r="D935" i="8"/>
  <c r="C935" i="8"/>
  <c r="A936" i="8"/>
  <c r="D936" i="8" l="1"/>
  <c r="A937" i="8"/>
  <c r="C936" i="8"/>
  <c r="G936" i="8"/>
  <c r="E936" i="8"/>
  <c r="B936" i="8"/>
  <c r="G937" i="8" l="1"/>
  <c r="B937" i="8"/>
  <c r="E937" i="8"/>
  <c r="A938" i="8"/>
  <c r="D937" i="8"/>
  <c r="C937" i="8"/>
  <c r="D938" i="8" l="1"/>
  <c r="A939" i="8"/>
  <c r="C938" i="8"/>
  <c r="B938" i="8"/>
  <c r="G938" i="8"/>
  <c r="E938" i="8"/>
  <c r="G939" i="8" l="1"/>
  <c r="B939" i="8"/>
  <c r="E939" i="8"/>
  <c r="D939" i="8"/>
  <c r="C939" i="8"/>
  <c r="A940" i="8"/>
  <c r="D940" i="8" l="1"/>
  <c r="A941" i="8"/>
  <c r="C940" i="8"/>
  <c r="G940" i="8"/>
  <c r="E940" i="8"/>
  <c r="B940" i="8"/>
  <c r="G941" i="8" l="1"/>
  <c r="B941" i="8"/>
  <c r="E941" i="8"/>
  <c r="A942" i="8"/>
  <c r="D941" i="8"/>
  <c r="C941" i="8"/>
  <c r="D942" i="8" l="1"/>
  <c r="A943" i="8"/>
  <c r="C942" i="8"/>
  <c r="B942" i="8"/>
  <c r="G942" i="8"/>
  <c r="E942" i="8"/>
  <c r="G943" i="8" l="1"/>
  <c r="B943" i="8"/>
  <c r="E943" i="8"/>
  <c r="D943" i="8"/>
  <c r="C943" i="8"/>
  <c r="A944" i="8"/>
  <c r="D944" i="8" l="1"/>
  <c r="A945" i="8"/>
  <c r="C944" i="8"/>
  <c r="G944" i="8"/>
  <c r="E944" i="8"/>
  <c r="B944" i="8"/>
  <c r="G945" i="8" l="1"/>
  <c r="B945" i="8"/>
  <c r="E945" i="8"/>
  <c r="A946" i="8"/>
  <c r="D945" i="8"/>
  <c r="C945" i="8"/>
  <c r="D946" i="8" l="1"/>
  <c r="A947" i="8"/>
  <c r="C946" i="8"/>
  <c r="B946" i="8"/>
  <c r="G946" i="8"/>
  <c r="E946" i="8"/>
  <c r="G947" i="8" l="1"/>
  <c r="B947" i="8"/>
  <c r="E947" i="8"/>
  <c r="D947" i="8"/>
  <c r="C947" i="8"/>
  <c r="A948" i="8"/>
  <c r="D948" i="8" l="1"/>
  <c r="A949" i="8"/>
  <c r="C948" i="8"/>
  <c r="G948" i="8"/>
  <c r="E948" i="8"/>
  <c r="B948" i="8"/>
  <c r="G949" i="8" l="1"/>
  <c r="B949" i="8"/>
  <c r="E949" i="8"/>
  <c r="A950" i="8"/>
  <c r="D949" i="8"/>
  <c r="C949" i="8"/>
  <c r="D950" i="8" l="1"/>
  <c r="A951" i="8"/>
  <c r="C950" i="8"/>
  <c r="B950" i="8"/>
  <c r="G950" i="8"/>
  <c r="E950" i="8"/>
  <c r="G951" i="8" l="1"/>
  <c r="B951" i="8"/>
  <c r="E951" i="8"/>
  <c r="D951" i="8"/>
  <c r="C951" i="8"/>
  <c r="A952" i="8"/>
  <c r="D952" i="8" l="1"/>
  <c r="A953" i="8"/>
  <c r="C952" i="8"/>
  <c r="G952" i="8"/>
  <c r="E952" i="8"/>
  <c r="B952" i="8"/>
  <c r="G953" i="8" l="1"/>
  <c r="B953" i="8"/>
  <c r="E953" i="8"/>
  <c r="A954" i="8"/>
  <c r="D953" i="8"/>
  <c r="C953" i="8"/>
  <c r="D954" i="8" l="1"/>
  <c r="A955" i="8"/>
  <c r="C954" i="8"/>
  <c r="B954" i="8"/>
  <c r="G954" i="8"/>
  <c r="E954" i="8"/>
  <c r="G955" i="8" l="1"/>
  <c r="B955" i="8"/>
  <c r="E955" i="8"/>
  <c r="D955" i="8"/>
  <c r="C955" i="8"/>
  <c r="A956" i="8"/>
  <c r="D956" i="8" l="1"/>
  <c r="A957" i="8"/>
  <c r="C956" i="8"/>
  <c r="G956" i="8"/>
  <c r="E956" i="8"/>
  <c r="B956" i="8"/>
  <c r="G957" i="8" l="1"/>
  <c r="B957" i="8"/>
  <c r="E957" i="8"/>
  <c r="A958" i="8"/>
  <c r="D957" i="8"/>
  <c r="C957" i="8"/>
  <c r="D958" i="8" l="1"/>
  <c r="A959" i="8"/>
  <c r="C958" i="8"/>
  <c r="B958" i="8"/>
  <c r="G958" i="8"/>
  <c r="E958" i="8"/>
  <c r="G959" i="8" l="1"/>
  <c r="B959" i="8"/>
  <c r="E959" i="8"/>
  <c r="D959" i="8"/>
  <c r="C959" i="8"/>
  <c r="A960" i="8"/>
  <c r="D960" i="8" l="1"/>
  <c r="A961" i="8"/>
  <c r="C960" i="8"/>
  <c r="G960" i="8"/>
  <c r="E960" i="8"/>
  <c r="B960" i="8"/>
  <c r="G961" i="8" l="1"/>
  <c r="B961" i="8"/>
  <c r="E961" i="8"/>
  <c r="A962" i="8"/>
  <c r="D961" i="8"/>
  <c r="C961" i="8"/>
  <c r="D962" i="8" l="1"/>
  <c r="A963" i="8"/>
  <c r="C962" i="8"/>
  <c r="B962" i="8"/>
  <c r="G962" i="8"/>
  <c r="E962" i="8"/>
  <c r="G963" i="8" l="1"/>
  <c r="B963" i="8"/>
  <c r="E963" i="8"/>
  <c r="D963" i="8"/>
  <c r="C963" i="8"/>
  <c r="A964" i="8"/>
  <c r="D964" i="8" l="1"/>
  <c r="A965" i="8"/>
  <c r="C964" i="8"/>
  <c r="G964" i="8"/>
  <c r="E964" i="8"/>
  <c r="B964" i="8"/>
  <c r="G965" i="8" l="1"/>
  <c r="B965" i="8"/>
  <c r="E965" i="8"/>
  <c r="A966" i="8"/>
  <c r="D965" i="8"/>
  <c r="C965" i="8"/>
  <c r="D966" i="8" l="1"/>
  <c r="A967" i="8"/>
  <c r="C966" i="8"/>
  <c r="B966" i="8"/>
  <c r="G966" i="8"/>
  <c r="E966" i="8"/>
  <c r="G967" i="8" l="1"/>
  <c r="B967" i="8"/>
  <c r="E967" i="8"/>
  <c r="D967" i="8"/>
  <c r="C967" i="8"/>
  <c r="A968" i="8"/>
  <c r="D968" i="8" l="1"/>
  <c r="A969" i="8"/>
  <c r="C968" i="8"/>
  <c r="G968" i="8"/>
  <c r="E968" i="8"/>
  <c r="B968" i="8"/>
  <c r="G969" i="8" l="1"/>
  <c r="B969" i="8"/>
  <c r="E969" i="8"/>
  <c r="A970" i="8"/>
  <c r="D969" i="8"/>
  <c r="C969" i="8"/>
  <c r="D970" i="8" l="1"/>
  <c r="A971" i="8"/>
  <c r="C970" i="8"/>
  <c r="B970" i="8"/>
  <c r="G970" i="8"/>
  <c r="E970" i="8"/>
  <c r="G971" i="8" l="1"/>
  <c r="B971" i="8"/>
  <c r="E971" i="8"/>
  <c r="D971" i="8"/>
  <c r="C971" i="8"/>
  <c r="A972" i="8"/>
  <c r="D972" i="8" l="1"/>
  <c r="A973" i="8"/>
  <c r="C972" i="8"/>
  <c r="G972" i="8"/>
  <c r="E972" i="8"/>
  <c r="B972" i="8"/>
  <c r="G973" i="8" l="1"/>
  <c r="B973" i="8"/>
  <c r="E973" i="8"/>
  <c r="A974" i="8"/>
  <c r="D973" i="8"/>
  <c r="C973" i="8"/>
  <c r="D974" i="8" l="1"/>
  <c r="A975" i="8"/>
  <c r="C974" i="8"/>
  <c r="B974" i="8"/>
  <c r="G974" i="8"/>
  <c r="E974" i="8"/>
  <c r="G975" i="8" l="1"/>
  <c r="B975" i="8"/>
  <c r="E975" i="8"/>
  <c r="D975" i="8"/>
  <c r="C975" i="8"/>
  <c r="A976" i="8"/>
  <c r="D976" i="8" l="1"/>
  <c r="A977" i="8"/>
  <c r="C976" i="8"/>
  <c r="G976" i="8"/>
  <c r="E976" i="8"/>
  <c r="B976" i="8"/>
  <c r="G977" i="8" l="1"/>
  <c r="B977" i="8"/>
  <c r="E977" i="8"/>
  <c r="A978" i="8"/>
  <c r="D977" i="8"/>
  <c r="C977" i="8"/>
  <c r="D978" i="8" l="1"/>
  <c r="A979" i="8"/>
  <c r="C978" i="8"/>
  <c r="B978" i="8"/>
  <c r="G978" i="8"/>
  <c r="E978" i="8"/>
  <c r="G979" i="8" l="1"/>
  <c r="B979" i="8"/>
  <c r="E979" i="8"/>
  <c r="D979" i="8"/>
  <c r="C979" i="8"/>
  <c r="A980" i="8"/>
  <c r="D980" i="8" l="1"/>
  <c r="A981" i="8"/>
  <c r="C980" i="8"/>
  <c r="G980" i="8"/>
  <c r="E980" i="8"/>
  <c r="B980" i="8"/>
  <c r="G981" i="8" l="1"/>
  <c r="B981" i="8"/>
  <c r="E981" i="8"/>
  <c r="A982" i="8"/>
  <c r="D981" i="8"/>
  <c r="C981" i="8"/>
  <c r="D982" i="8" l="1"/>
  <c r="A983" i="8"/>
  <c r="C982" i="8"/>
  <c r="B982" i="8"/>
  <c r="G982" i="8"/>
  <c r="E982" i="8"/>
  <c r="G983" i="8" l="1"/>
  <c r="B983" i="8"/>
  <c r="E983" i="8"/>
  <c r="D983" i="8"/>
  <c r="C983" i="8"/>
  <c r="A984" i="8"/>
  <c r="D984" i="8" l="1"/>
  <c r="A985" i="8"/>
  <c r="C984" i="8"/>
  <c r="G984" i="8"/>
  <c r="E984" i="8"/>
  <c r="B984" i="8"/>
  <c r="G985" i="8" l="1"/>
  <c r="B985" i="8"/>
  <c r="E985" i="8"/>
  <c r="A986" i="8"/>
  <c r="D985" i="8"/>
  <c r="C985" i="8"/>
  <c r="D986" i="8" l="1"/>
  <c r="A987" i="8"/>
  <c r="C986" i="8"/>
  <c r="B986" i="8"/>
  <c r="G986" i="8"/>
  <c r="E986" i="8"/>
  <c r="G987" i="8" l="1"/>
  <c r="B987" i="8"/>
  <c r="E987" i="8"/>
  <c r="D987" i="8"/>
  <c r="C987" i="8"/>
  <c r="A988" i="8"/>
  <c r="D988" i="8" l="1"/>
  <c r="A989" i="8"/>
  <c r="C988" i="8"/>
  <c r="G988" i="8"/>
  <c r="E988" i="8"/>
  <c r="B988" i="8"/>
  <c r="G989" i="8" l="1"/>
  <c r="B989" i="8"/>
  <c r="E989" i="8"/>
  <c r="A990" i="8"/>
  <c r="D989" i="8"/>
  <c r="C989" i="8"/>
  <c r="D990" i="8" l="1"/>
  <c r="A991" i="8"/>
  <c r="C990" i="8"/>
  <c r="B990" i="8"/>
  <c r="G990" i="8"/>
  <c r="E990" i="8"/>
  <c r="G991" i="8" l="1"/>
  <c r="B991" i="8"/>
  <c r="E991" i="8"/>
  <c r="D991" i="8"/>
  <c r="C991" i="8"/>
  <c r="A992" i="8"/>
  <c r="D992" i="8" l="1"/>
  <c r="A993" i="8"/>
  <c r="C992" i="8"/>
  <c r="G992" i="8"/>
  <c r="E992" i="8"/>
  <c r="B992" i="8"/>
  <c r="G993" i="8" l="1"/>
  <c r="B993" i="8"/>
  <c r="E993" i="8"/>
  <c r="A994" i="8"/>
  <c r="D993" i="8"/>
  <c r="C993" i="8"/>
  <c r="D994" i="8" l="1"/>
  <c r="A995" i="8"/>
  <c r="C994" i="8"/>
  <c r="B994" i="8"/>
  <c r="G994" i="8"/>
  <c r="E994" i="8"/>
  <c r="G995" i="8" l="1"/>
  <c r="B995" i="8"/>
  <c r="E995" i="8"/>
  <c r="D995" i="8"/>
  <c r="C995" i="8"/>
  <c r="A996" i="8"/>
  <c r="D996" i="8" l="1"/>
  <c r="A997" i="8"/>
  <c r="C996" i="8"/>
  <c r="G996" i="8"/>
  <c r="E996" i="8"/>
  <c r="B996" i="8"/>
  <c r="G997" i="8" l="1"/>
  <c r="B997" i="8"/>
  <c r="E997" i="8"/>
  <c r="A998" i="8"/>
  <c r="D997" i="8"/>
  <c r="C997" i="8"/>
  <c r="D998" i="8" l="1"/>
  <c r="A999" i="8"/>
  <c r="C998" i="8"/>
  <c r="B998" i="8"/>
  <c r="G998" i="8"/>
  <c r="E998" i="8"/>
  <c r="G999" i="8" l="1"/>
  <c r="B999" i="8"/>
  <c r="E999" i="8"/>
  <c r="D999" i="8"/>
  <c r="C999" i="8"/>
  <c r="A1000" i="8"/>
  <c r="D1000" i="8" l="1"/>
  <c r="A1001" i="8"/>
  <c r="C1000" i="8"/>
  <c r="G1000" i="8"/>
  <c r="E1000" i="8"/>
  <c r="B1000" i="8"/>
  <c r="G1001" i="8" l="1"/>
  <c r="B1001" i="8"/>
  <c r="E1001" i="8"/>
  <c r="A1002" i="8"/>
  <c r="D1001" i="8"/>
  <c r="C1001" i="8"/>
  <c r="D1002" i="8" l="1"/>
  <c r="A1003" i="8"/>
  <c r="C1002" i="8"/>
  <c r="B1002" i="8"/>
  <c r="G1002" i="8"/>
  <c r="E1002" i="8"/>
  <c r="G1003" i="8" l="1"/>
  <c r="B1003" i="8"/>
  <c r="E1003" i="8"/>
  <c r="D1003" i="8"/>
  <c r="C1003" i="8"/>
  <c r="A1004" i="8"/>
  <c r="D1004" i="8" l="1"/>
  <c r="A1005" i="8"/>
  <c r="C1004" i="8"/>
  <c r="G1004" i="8"/>
  <c r="E1004" i="8"/>
  <c r="B1004" i="8"/>
  <c r="G1005" i="8" l="1"/>
  <c r="B1005" i="8"/>
  <c r="E1005" i="8"/>
  <c r="A1006" i="8"/>
  <c r="D1005" i="8"/>
  <c r="C1005" i="8"/>
  <c r="D1006" i="8" l="1"/>
  <c r="A1007" i="8"/>
  <c r="C1006" i="8"/>
  <c r="B1006" i="8"/>
  <c r="G1006" i="8"/>
  <c r="E1006" i="8"/>
  <c r="G1007" i="8" l="1"/>
  <c r="B1007" i="8"/>
  <c r="E1007" i="8"/>
  <c r="D1007" i="8"/>
  <c r="C1007" i="8"/>
  <c r="A1008" i="8"/>
  <c r="D1008" i="8" l="1"/>
  <c r="A1009" i="8"/>
  <c r="C1008" i="8"/>
  <c r="G1008" i="8"/>
  <c r="E1008" i="8"/>
  <c r="B1008" i="8"/>
  <c r="G1009" i="8" l="1"/>
  <c r="B1009" i="8"/>
  <c r="E1009" i="8"/>
  <c r="A1010" i="8"/>
  <c r="D1009" i="8"/>
  <c r="C1009" i="8"/>
  <c r="D1010" i="8" l="1"/>
  <c r="A1011" i="8"/>
  <c r="C1010" i="8"/>
  <c r="B1010" i="8"/>
  <c r="G1010" i="8"/>
  <c r="E1010" i="8"/>
  <c r="G1011" i="8" l="1"/>
  <c r="B1011" i="8"/>
  <c r="E1011" i="8"/>
  <c r="D1011" i="8"/>
  <c r="C1011" i="8"/>
  <c r="A1012" i="8"/>
  <c r="D1012" i="8" l="1"/>
  <c r="A1013" i="8"/>
  <c r="C1012" i="8"/>
  <c r="G1012" i="8"/>
  <c r="E1012" i="8"/>
  <c r="B1012" i="8"/>
  <c r="G1013" i="8" l="1"/>
  <c r="B1013" i="8"/>
  <c r="E1013" i="8"/>
  <c r="A1014" i="8"/>
  <c r="D1013" i="8"/>
  <c r="C1013" i="8"/>
  <c r="D1014" i="8" l="1"/>
  <c r="A1015" i="8"/>
  <c r="C1014" i="8"/>
  <c r="B1014" i="8"/>
  <c r="G1014" i="8"/>
  <c r="E1014" i="8"/>
  <c r="G1015" i="8" l="1"/>
  <c r="B1015" i="8"/>
  <c r="E1015" i="8"/>
  <c r="D1015" i="8"/>
  <c r="C1015" i="8"/>
  <c r="A1016" i="8"/>
  <c r="D1016" i="8" l="1"/>
  <c r="A1017" i="8"/>
  <c r="C1016" i="8"/>
  <c r="G1016" i="8"/>
  <c r="E1016" i="8"/>
  <c r="B1016" i="8"/>
  <c r="G1017" i="8" l="1"/>
  <c r="B1017" i="8"/>
  <c r="E1017" i="8"/>
  <c r="A1018" i="8"/>
  <c r="D1017" i="8"/>
  <c r="C1017" i="8"/>
  <c r="D1018" i="8" l="1"/>
  <c r="A1019" i="8"/>
  <c r="C1018" i="8"/>
  <c r="B1018" i="8"/>
  <c r="G1018" i="8"/>
  <c r="E1018" i="8"/>
  <c r="G1019" i="8" l="1"/>
  <c r="B1019" i="8"/>
  <c r="E1019" i="8"/>
  <c r="D1019" i="8"/>
  <c r="C1019" i="8"/>
  <c r="A1020" i="8"/>
  <c r="D1020" i="8" l="1"/>
  <c r="A1021" i="8"/>
  <c r="C1020" i="8"/>
  <c r="G1020" i="8"/>
  <c r="E1020" i="8"/>
  <c r="B1020" i="8"/>
  <c r="G1021" i="8" l="1"/>
  <c r="B1021" i="8"/>
  <c r="E1021" i="8"/>
  <c r="A1022" i="8"/>
  <c r="D1021" i="8"/>
  <c r="C1021" i="8"/>
  <c r="D1022" i="8" l="1"/>
  <c r="A1023" i="8"/>
  <c r="C1022" i="8"/>
  <c r="B1022" i="8"/>
  <c r="G1022" i="8"/>
  <c r="E1022" i="8"/>
  <c r="G1023" i="8" l="1"/>
  <c r="B1023" i="8"/>
  <c r="E1023" i="8"/>
  <c r="D1023" i="8"/>
  <c r="C1023" i="8"/>
  <c r="A1024" i="8"/>
  <c r="D1024" i="8" l="1"/>
  <c r="A1025" i="8"/>
  <c r="C1024" i="8"/>
  <c r="G1024" i="8"/>
  <c r="E1024" i="8"/>
  <c r="B1024" i="8"/>
  <c r="G1025" i="8" l="1"/>
  <c r="B1025" i="8"/>
  <c r="E1025" i="8"/>
  <c r="A1026" i="8"/>
  <c r="D1025" i="8"/>
  <c r="C1025" i="8"/>
  <c r="D1026" i="8" l="1"/>
  <c r="A1027" i="8"/>
  <c r="C1026" i="8"/>
  <c r="B1026" i="8"/>
  <c r="G1026" i="8"/>
  <c r="E1026" i="8"/>
  <c r="G1027" i="8" l="1"/>
  <c r="B1027" i="8"/>
  <c r="E1027" i="8"/>
  <c r="D1027" i="8"/>
  <c r="C1027" i="8"/>
  <c r="A1028" i="8"/>
  <c r="D1028" i="8" l="1"/>
  <c r="A1029" i="8"/>
  <c r="C1028" i="8"/>
  <c r="G1028" i="8"/>
  <c r="E1028" i="8"/>
  <c r="B1028" i="8"/>
  <c r="G1029" i="8" l="1"/>
  <c r="B1029" i="8"/>
  <c r="E1029" i="8"/>
  <c r="A1030" i="8"/>
  <c r="D1029" i="8"/>
  <c r="C1029" i="8"/>
  <c r="D1030" i="8" l="1"/>
  <c r="A1031" i="8"/>
  <c r="C1030" i="8"/>
  <c r="B1030" i="8"/>
  <c r="G1030" i="8"/>
  <c r="E1030" i="8"/>
  <c r="G1031" i="8" l="1"/>
  <c r="B1031" i="8"/>
  <c r="E1031" i="8"/>
  <c r="D1031" i="8"/>
  <c r="C1031" i="8"/>
  <c r="A1032" i="8"/>
  <c r="D1032" i="8" l="1"/>
  <c r="A1033" i="8"/>
  <c r="C1032" i="8"/>
  <c r="G1032" i="8"/>
  <c r="E1032" i="8"/>
  <c r="B1032" i="8"/>
  <c r="G1033" i="8" l="1"/>
  <c r="B1033" i="8"/>
  <c r="E1033" i="8"/>
  <c r="A1034" i="8"/>
  <c r="D1033" i="8"/>
  <c r="C1033" i="8"/>
  <c r="D1034" i="8" l="1"/>
  <c r="A1035" i="8"/>
  <c r="C1034" i="8"/>
  <c r="B1034" i="8"/>
  <c r="G1034" i="8"/>
  <c r="E1034" i="8"/>
  <c r="G1035" i="8" l="1"/>
  <c r="B1035" i="8"/>
  <c r="E1035" i="8"/>
  <c r="D1035" i="8"/>
  <c r="C1035" i="8"/>
  <c r="A1036" i="8"/>
  <c r="D1036" i="8" l="1"/>
  <c r="A1037" i="8"/>
  <c r="C1036" i="8"/>
  <c r="G1036" i="8"/>
  <c r="E1036" i="8"/>
  <c r="B1036" i="8"/>
  <c r="G1037" i="8" l="1"/>
  <c r="B1037" i="8"/>
  <c r="E1037" i="8"/>
  <c r="A1038" i="8"/>
  <c r="D1037" i="8"/>
  <c r="C1037" i="8"/>
  <c r="D1038" i="8" l="1"/>
  <c r="A1039" i="8"/>
  <c r="C1038" i="8"/>
  <c r="B1038" i="8"/>
  <c r="G1038" i="8"/>
  <c r="E1038" i="8"/>
  <c r="G1039" i="8" l="1"/>
  <c r="B1039" i="8"/>
  <c r="E1039" i="8"/>
  <c r="D1039" i="8"/>
  <c r="C1039" i="8"/>
  <c r="A1040" i="8"/>
  <c r="D1040" i="8" l="1"/>
  <c r="A1041" i="8"/>
  <c r="C1040" i="8"/>
  <c r="G1040" i="8"/>
  <c r="E1040" i="8"/>
  <c r="B1040" i="8"/>
  <c r="G1041" i="8" l="1"/>
  <c r="B1041" i="8"/>
  <c r="E1041" i="8"/>
  <c r="A1042" i="8"/>
  <c r="D1041" i="8"/>
  <c r="C1041" i="8"/>
  <c r="D1042" i="8" l="1"/>
  <c r="A1043" i="8"/>
  <c r="C1042" i="8"/>
  <c r="B1042" i="8"/>
  <c r="G1042" i="8"/>
  <c r="E1042" i="8"/>
  <c r="G1043" i="8" l="1"/>
  <c r="B1043" i="8"/>
  <c r="E1043" i="8"/>
  <c r="D1043" i="8"/>
  <c r="C1043" i="8"/>
  <c r="A1044" i="8"/>
  <c r="D1044" i="8" l="1"/>
  <c r="A1045" i="8"/>
  <c r="C1044" i="8"/>
  <c r="G1044" i="8"/>
  <c r="E1044" i="8"/>
  <c r="B1044" i="8"/>
  <c r="G1045" i="8" l="1"/>
  <c r="B1045" i="8"/>
  <c r="E1045" i="8"/>
  <c r="A1046" i="8"/>
  <c r="D1045" i="8"/>
  <c r="C1045" i="8"/>
  <c r="D1046" i="8" l="1"/>
  <c r="A1047" i="8"/>
  <c r="C1046" i="8"/>
  <c r="B1046" i="8"/>
  <c r="G1046" i="8"/>
  <c r="E1046" i="8"/>
  <c r="G1047" i="8" l="1"/>
  <c r="B1047" i="8"/>
  <c r="E1047" i="8"/>
  <c r="D1047" i="8"/>
  <c r="C1047" i="8"/>
  <c r="A1048" i="8"/>
  <c r="D1048" i="8" l="1"/>
  <c r="A1049" i="8"/>
  <c r="C1048" i="8"/>
  <c r="G1048" i="8"/>
  <c r="E1048" i="8"/>
  <c r="B1048" i="8"/>
  <c r="G1049" i="8" l="1"/>
  <c r="B1049" i="8"/>
  <c r="E1049" i="8"/>
  <c r="A1050" i="8"/>
  <c r="D1049" i="8"/>
  <c r="C1049" i="8"/>
  <c r="D1050" i="8" l="1"/>
  <c r="A1051" i="8"/>
  <c r="C1050" i="8"/>
  <c r="B1050" i="8"/>
  <c r="G1050" i="8"/>
  <c r="E1050" i="8"/>
  <c r="G1051" i="8" l="1"/>
  <c r="B1051" i="8"/>
  <c r="E1051" i="8"/>
  <c r="D1051" i="8"/>
  <c r="C1051" i="8"/>
  <c r="A1052" i="8"/>
  <c r="D1052" i="8" l="1"/>
  <c r="A1053" i="8"/>
  <c r="C1052" i="8"/>
  <c r="G1052" i="8"/>
  <c r="E1052" i="8"/>
  <c r="B1052" i="8"/>
  <c r="G1053" i="8" l="1"/>
  <c r="B1053" i="8"/>
  <c r="E1053" i="8"/>
  <c r="A1054" i="8"/>
  <c r="D1053" i="8"/>
  <c r="C1053" i="8"/>
  <c r="D1054" i="8" l="1"/>
  <c r="A1055" i="8"/>
  <c r="C1054" i="8"/>
  <c r="B1054" i="8"/>
  <c r="G1054" i="8"/>
  <c r="E1054" i="8"/>
  <c r="G1055" i="8" l="1"/>
  <c r="B1055" i="8"/>
  <c r="E1055" i="8"/>
  <c r="D1055" i="8"/>
  <c r="C1055" i="8"/>
  <c r="A1056" i="8"/>
  <c r="D1056" i="8" l="1"/>
  <c r="A1057" i="8"/>
  <c r="C1056" i="8"/>
  <c r="G1056" i="8"/>
  <c r="E1056" i="8"/>
  <c r="B1056" i="8"/>
  <c r="G1057" i="8" l="1"/>
  <c r="B1057" i="8"/>
  <c r="E1057" i="8"/>
  <c r="A1058" i="8"/>
  <c r="D1057" i="8"/>
  <c r="C1057" i="8"/>
  <c r="D1058" i="8" l="1"/>
  <c r="A1059" i="8"/>
  <c r="C1058" i="8"/>
  <c r="B1058" i="8"/>
  <c r="G1058" i="8"/>
  <c r="E1058" i="8"/>
  <c r="G1059" i="8" l="1"/>
  <c r="B1059" i="8"/>
  <c r="E1059" i="8"/>
  <c r="D1059" i="8"/>
  <c r="C1059" i="8"/>
  <c r="A1060" i="8"/>
  <c r="D1060" i="8" l="1"/>
  <c r="A1061" i="8"/>
  <c r="C1060" i="8"/>
  <c r="G1060" i="8"/>
  <c r="E1060" i="8"/>
  <c r="B1060" i="8"/>
  <c r="G1061" i="8" l="1"/>
  <c r="B1061" i="8"/>
  <c r="E1061" i="8"/>
  <c r="A1062" i="8"/>
  <c r="D1061" i="8"/>
  <c r="C1061" i="8"/>
  <c r="D1062" i="8" l="1"/>
  <c r="A1063" i="8"/>
  <c r="C1062" i="8"/>
  <c r="B1062" i="8"/>
  <c r="G1062" i="8"/>
  <c r="E1062" i="8"/>
  <c r="G1063" i="8" l="1"/>
  <c r="B1063" i="8"/>
  <c r="E1063" i="8"/>
  <c r="D1063" i="8"/>
  <c r="C1063" i="8"/>
  <c r="A1064" i="8"/>
  <c r="D1064" i="8" l="1"/>
  <c r="A1065" i="8"/>
  <c r="C1064" i="8"/>
  <c r="G1064" i="8"/>
  <c r="E1064" i="8"/>
  <c r="B1064" i="8"/>
  <c r="G1065" i="8" l="1"/>
  <c r="B1065" i="8"/>
  <c r="E1065" i="8"/>
  <c r="A1066" i="8"/>
  <c r="D1065" i="8"/>
  <c r="C1065" i="8"/>
  <c r="D1066" i="8" l="1"/>
  <c r="A1067" i="8"/>
  <c r="C1066" i="8"/>
  <c r="B1066" i="8"/>
  <c r="G1066" i="8"/>
  <c r="E1066" i="8"/>
  <c r="G1067" i="8" l="1"/>
  <c r="B1067" i="8"/>
  <c r="E1067" i="8"/>
  <c r="D1067" i="8"/>
  <c r="C1067" i="8"/>
  <c r="A1068" i="8"/>
  <c r="D1068" i="8" l="1"/>
  <c r="A1069" i="8"/>
  <c r="C1068" i="8"/>
  <c r="G1068" i="8"/>
  <c r="E1068" i="8"/>
  <c r="B1068" i="8"/>
  <c r="G1069" i="8" l="1"/>
  <c r="B1069" i="8"/>
  <c r="E1069" i="8"/>
  <c r="A1070" i="8"/>
  <c r="D1069" i="8"/>
  <c r="C1069" i="8"/>
  <c r="D1070" i="8" l="1"/>
  <c r="A1071" i="8"/>
  <c r="C1070" i="8"/>
  <c r="B1070" i="8"/>
  <c r="G1070" i="8"/>
  <c r="E1070" i="8"/>
  <c r="G1071" i="8" l="1"/>
  <c r="B1071" i="8"/>
  <c r="E1071" i="8"/>
  <c r="D1071" i="8"/>
  <c r="C1071" i="8"/>
  <c r="A1072" i="8"/>
  <c r="D1072" i="8" l="1"/>
  <c r="A1073" i="8"/>
  <c r="C1072" i="8"/>
  <c r="G1072" i="8"/>
  <c r="E1072" i="8"/>
  <c r="B1072" i="8"/>
  <c r="G1073" i="8" l="1"/>
  <c r="B1073" i="8"/>
  <c r="E1073" i="8"/>
  <c r="A1074" i="8"/>
  <c r="D1073" i="8"/>
  <c r="C1073" i="8"/>
  <c r="D1074" i="8" l="1"/>
  <c r="A1075" i="8"/>
  <c r="C1074" i="8"/>
  <c r="B1074" i="8"/>
  <c r="G1074" i="8"/>
  <c r="E1074" i="8"/>
  <c r="G1075" i="8" l="1"/>
  <c r="B1075" i="8"/>
  <c r="E1075" i="8"/>
  <c r="D1075" i="8"/>
  <c r="C1075" i="8"/>
  <c r="A1076" i="8"/>
  <c r="D1076" i="8" l="1"/>
  <c r="A1077" i="8"/>
  <c r="C1076" i="8"/>
  <c r="G1076" i="8"/>
  <c r="E1076" i="8"/>
  <c r="B1076" i="8"/>
  <c r="G1077" i="8" l="1"/>
  <c r="B1077" i="8"/>
  <c r="E1077" i="8"/>
  <c r="A1078" i="8"/>
  <c r="D1077" i="8"/>
  <c r="C1077" i="8"/>
  <c r="D1078" i="8" l="1"/>
  <c r="A1079" i="8"/>
  <c r="C1078" i="8"/>
  <c r="B1078" i="8"/>
  <c r="G1078" i="8"/>
  <c r="E1078" i="8"/>
  <c r="G1079" i="8" l="1"/>
  <c r="B1079" i="8"/>
  <c r="E1079" i="8"/>
  <c r="D1079" i="8"/>
  <c r="C1079" i="8"/>
  <c r="A1080" i="8"/>
  <c r="D1080" i="8" l="1"/>
  <c r="A1081" i="8"/>
  <c r="C1080" i="8"/>
  <c r="G1080" i="8"/>
  <c r="E1080" i="8"/>
  <c r="B1080" i="8"/>
  <c r="G1081" i="8" l="1"/>
  <c r="B1081" i="8"/>
  <c r="E1081" i="8"/>
  <c r="A1082" i="8"/>
  <c r="D1081" i="8"/>
  <c r="C1081" i="8"/>
  <c r="D1082" i="8" l="1"/>
  <c r="A1083" i="8"/>
  <c r="C1082" i="8"/>
  <c r="B1082" i="8"/>
  <c r="G1082" i="8"/>
  <c r="E1082" i="8"/>
  <c r="G1083" i="8" l="1"/>
  <c r="B1083" i="8"/>
  <c r="E1083" i="8"/>
  <c r="D1083" i="8"/>
  <c r="C1083" i="8"/>
  <c r="A1084" i="8"/>
  <c r="D1084" i="8" l="1"/>
  <c r="A1085" i="8"/>
  <c r="C1084" i="8"/>
  <c r="G1084" i="8"/>
  <c r="E1084" i="8"/>
  <c r="B1084" i="8"/>
  <c r="G1085" i="8" l="1"/>
  <c r="B1085" i="8"/>
  <c r="E1085" i="8"/>
  <c r="A1086" i="8"/>
  <c r="D1085" i="8"/>
  <c r="C1085" i="8"/>
  <c r="D1086" i="8" l="1"/>
  <c r="A1087" i="8"/>
  <c r="C1086" i="8"/>
  <c r="B1086" i="8"/>
  <c r="G1086" i="8"/>
  <c r="E1086" i="8"/>
  <c r="G1087" i="8" l="1"/>
  <c r="B1087" i="8"/>
  <c r="E1087" i="8"/>
  <c r="D1087" i="8"/>
  <c r="C1087" i="8"/>
  <c r="A1088" i="8"/>
  <c r="D1088" i="8" l="1"/>
  <c r="A1089" i="8"/>
  <c r="C1088" i="8"/>
  <c r="G1088" i="8"/>
  <c r="E1088" i="8"/>
  <c r="B1088" i="8"/>
  <c r="G1089" i="8" l="1"/>
  <c r="B1089" i="8"/>
  <c r="E1089" i="8"/>
  <c r="A1090" i="8"/>
  <c r="D1089" i="8"/>
  <c r="C1089" i="8"/>
  <c r="D1090" i="8" l="1"/>
  <c r="A1091" i="8"/>
  <c r="C1090" i="8"/>
  <c r="B1090" i="8"/>
  <c r="G1090" i="8"/>
  <c r="E1090" i="8"/>
  <c r="G1091" i="8" l="1"/>
  <c r="B1091" i="8"/>
  <c r="E1091" i="8"/>
  <c r="D1091" i="8"/>
  <c r="C1091" i="8"/>
  <c r="A1092" i="8"/>
  <c r="D1092" i="8" l="1"/>
  <c r="A1093" i="8"/>
  <c r="C1092" i="8"/>
  <c r="G1092" i="8"/>
  <c r="E1092" i="8"/>
  <c r="B1092" i="8"/>
  <c r="G1093" i="8" l="1"/>
  <c r="B1093" i="8"/>
  <c r="E1093" i="8"/>
  <c r="A1094" i="8"/>
  <c r="D1093" i="8"/>
  <c r="C1093" i="8"/>
  <c r="D1094" i="8" l="1"/>
  <c r="A1095" i="8"/>
  <c r="C1094" i="8"/>
  <c r="B1094" i="8"/>
  <c r="G1094" i="8"/>
  <c r="E1094" i="8"/>
  <c r="G1095" i="8" l="1"/>
  <c r="B1095" i="8"/>
  <c r="E1095" i="8"/>
  <c r="D1095" i="8"/>
  <c r="C1095" i="8"/>
  <c r="A1096" i="8"/>
  <c r="D1096" i="8" l="1"/>
  <c r="A1097" i="8"/>
  <c r="C1096" i="8"/>
  <c r="G1096" i="8"/>
  <c r="E1096" i="8"/>
  <c r="B1096" i="8"/>
  <c r="G1097" i="8" l="1"/>
  <c r="B1097" i="8"/>
  <c r="E1097" i="8"/>
  <c r="A1098" i="8"/>
  <c r="D1097" i="8"/>
  <c r="C1097" i="8"/>
  <c r="D1098" i="8" l="1"/>
  <c r="A1099" i="8"/>
  <c r="C1098" i="8"/>
  <c r="B1098" i="8"/>
  <c r="G1098" i="8"/>
  <c r="E1098" i="8"/>
  <c r="G1099" i="8" l="1"/>
  <c r="B1099" i="8"/>
  <c r="E1099" i="8"/>
  <c r="D1099" i="8"/>
  <c r="C1099" i="8"/>
  <c r="A1100" i="8"/>
  <c r="D1100" i="8" l="1"/>
  <c r="A1101" i="8"/>
  <c r="C1100" i="8"/>
  <c r="G1100" i="8"/>
  <c r="E1100" i="8"/>
  <c r="B1100" i="8"/>
  <c r="G1101" i="8" l="1"/>
  <c r="B1101" i="8"/>
  <c r="E1101" i="8"/>
  <c r="A1102" i="8"/>
  <c r="D1101" i="8"/>
  <c r="C1101" i="8"/>
  <c r="D1102" i="8" l="1"/>
  <c r="A1103" i="8"/>
  <c r="C1102" i="8"/>
  <c r="B1102" i="8"/>
  <c r="G1102" i="8"/>
  <c r="E1102" i="8"/>
  <c r="G1103" i="8" l="1"/>
  <c r="B1103" i="8"/>
  <c r="E1103" i="8"/>
  <c r="D1103" i="8"/>
  <c r="C1103" i="8"/>
  <c r="A1104" i="8"/>
  <c r="D1104" i="8" l="1"/>
  <c r="A1105" i="8"/>
  <c r="C1104" i="8"/>
  <c r="G1104" i="8"/>
  <c r="E1104" i="8"/>
  <c r="B1104" i="8"/>
  <c r="G1105" i="8" l="1"/>
  <c r="B1105" i="8"/>
  <c r="E1105" i="8"/>
  <c r="A1106" i="8"/>
  <c r="D1105" i="8"/>
  <c r="C1105" i="8"/>
  <c r="D1106" i="8" l="1"/>
  <c r="A1107" i="8"/>
  <c r="C1106" i="8"/>
  <c r="B1106" i="8"/>
  <c r="G1106" i="8"/>
  <c r="E1106" i="8"/>
  <c r="G1107" i="8" l="1"/>
  <c r="B1107" i="8"/>
  <c r="E1107" i="8"/>
  <c r="D1107" i="8"/>
  <c r="C1107" i="8"/>
  <c r="A1108" i="8"/>
  <c r="D1108" i="8" l="1"/>
  <c r="A1109" i="8"/>
  <c r="C1108" i="8"/>
  <c r="G1108" i="8"/>
  <c r="E1108" i="8"/>
  <c r="B1108" i="8"/>
  <c r="G1109" i="8" l="1"/>
  <c r="B1109" i="8"/>
  <c r="E1109" i="8"/>
  <c r="A1110" i="8"/>
  <c r="D1109" i="8"/>
  <c r="C1109" i="8"/>
  <c r="D1110" i="8" l="1"/>
  <c r="A1111" i="8"/>
  <c r="C1110" i="8"/>
  <c r="B1110" i="8"/>
  <c r="G1110" i="8"/>
  <c r="E1110" i="8"/>
  <c r="G1111" i="8" l="1"/>
  <c r="B1111" i="8"/>
  <c r="E1111" i="8"/>
  <c r="D1111" i="8"/>
  <c r="C1111" i="8"/>
  <c r="A1112" i="8"/>
  <c r="D1112" i="8" l="1"/>
  <c r="A1113" i="8"/>
  <c r="C1112" i="8"/>
  <c r="G1112" i="8"/>
  <c r="E1112" i="8"/>
  <c r="B1112" i="8"/>
  <c r="G1113" i="8" l="1"/>
  <c r="B1113" i="8"/>
  <c r="E1113" i="8"/>
  <c r="A1114" i="8"/>
  <c r="D1113" i="8"/>
  <c r="C1113" i="8"/>
  <c r="D1114" i="8" l="1"/>
  <c r="A1115" i="8"/>
  <c r="C1114" i="8"/>
  <c r="B1114" i="8"/>
  <c r="G1114" i="8"/>
  <c r="E1114" i="8"/>
  <c r="G1115" i="8" l="1"/>
  <c r="B1115" i="8"/>
  <c r="E1115" i="8"/>
  <c r="D1115" i="8"/>
  <c r="C1115" i="8"/>
  <c r="A1116" i="8"/>
  <c r="D1116" i="8" l="1"/>
  <c r="A1117" i="8"/>
  <c r="C1116" i="8"/>
  <c r="G1116" i="8"/>
  <c r="E1116" i="8"/>
  <c r="B1116" i="8"/>
  <c r="G1117" i="8" l="1"/>
  <c r="B1117" i="8"/>
  <c r="E1117" i="8"/>
  <c r="A1118" i="8"/>
  <c r="D1117" i="8"/>
  <c r="C1117" i="8"/>
  <c r="D1118" i="8" l="1"/>
  <c r="A1119" i="8"/>
  <c r="C1118" i="8"/>
  <c r="B1118" i="8"/>
  <c r="G1118" i="8"/>
  <c r="E1118" i="8"/>
  <c r="G1119" i="8" l="1"/>
  <c r="B1119" i="8"/>
  <c r="E1119" i="8"/>
  <c r="D1119" i="8"/>
  <c r="C1119" i="8"/>
  <c r="A1120" i="8"/>
  <c r="D1120" i="8" l="1"/>
  <c r="A1121" i="8"/>
  <c r="C1120" i="8"/>
  <c r="G1120" i="8"/>
  <c r="E1120" i="8"/>
  <c r="B1120" i="8"/>
  <c r="G1121" i="8" l="1"/>
  <c r="B1121" i="8"/>
  <c r="E1121" i="8"/>
  <c r="A1122" i="8"/>
  <c r="D1121" i="8"/>
  <c r="C1121" i="8"/>
  <c r="D1122" i="8" l="1"/>
  <c r="A1123" i="8"/>
  <c r="C1122" i="8"/>
  <c r="B1122" i="8"/>
  <c r="G1122" i="8"/>
  <c r="E1122" i="8"/>
  <c r="G1123" i="8" l="1"/>
  <c r="B1123" i="8"/>
  <c r="E1123" i="8"/>
  <c r="D1123" i="8"/>
  <c r="C1123" i="8"/>
  <c r="A1124" i="8"/>
  <c r="D1124" i="8" l="1"/>
  <c r="A1125" i="8"/>
  <c r="C1124" i="8"/>
  <c r="G1124" i="8"/>
  <c r="E1124" i="8"/>
  <c r="B1124" i="8"/>
  <c r="G1125" i="8" l="1"/>
  <c r="B1125" i="8"/>
  <c r="E1125" i="8"/>
  <c r="A1126" i="8"/>
  <c r="D1125" i="8"/>
  <c r="C1125" i="8"/>
  <c r="D1126" i="8" l="1"/>
  <c r="A1127" i="8"/>
  <c r="C1126" i="8"/>
  <c r="B1126" i="8"/>
  <c r="G1126" i="8"/>
  <c r="E1126" i="8"/>
  <c r="G1127" i="8" l="1"/>
  <c r="B1127" i="8"/>
  <c r="E1127" i="8"/>
  <c r="D1127" i="8"/>
  <c r="C1127" i="8"/>
  <c r="A1128" i="8"/>
  <c r="D1128" i="8" l="1"/>
  <c r="A1129" i="8"/>
  <c r="C1128" i="8"/>
  <c r="G1128" i="8"/>
  <c r="E1128" i="8"/>
  <c r="B1128" i="8"/>
  <c r="G1129" i="8" l="1"/>
  <c r="B1129" i="8"/>
  <c r="E1129" i="8"/>
  <c r="A1130" i="8"/>
  <c r="D1129" i="8"/>
  <c r="C1129" i="8"/>
  <c r="D1130" i="8" l="1"/>
  <c r="A1131" i="8"/>
  <c r="C1130" i="8"/>
  <c r="B1130" i="8"/>
  <c r="G1130" i="8"/>
  <c r="E1130" i="8"/>
  <c r="G1131" i="8" l="1"/>
  <c r="B1131" i="8"/>
  <c r="E1131" i="8"/>
  <c r="D1131" i="8"/>
  <c r="C1131" i="8"/>
  <c r="A1132" i="8"/>
  <c r="D1132" i="8" l="1"/>
  <c r="A1133" i="8"/>
  <c r="C1132" i="8"/>
  <c r="G1132" i="8"/>
  <c r="E1132" i="8"/>
  <c r="B1132" i="8"/>
  <c r="G1133" i="8" l="1"/>
  <c r="B1133" i="8"/>
  <c r="E1133" i="8"/>
  <c r="A1134" i="8"/>
  <c r="D1133" i="8"/>
  <c r="C1133" i="8"/>
  <c r="D1134" i="8" l="1"/>
  <c r="A1135" i="8"/>
  <c r="C1134" i="8"/>
  <c r="B1134" i="8"/>
  <c r="G1134" i="8"/>
  <c r="E1134" i="8"/>
  <c r="G1135" i="8" l="1"/>
  <c r="B1135" i="8"/>
  <c r="E1135" i="8"/>
  <c r="D1135" i="8"/>
  <c r="C1135" i="8"/>
  <c r="A1136" i="8"/>
  <c r="D1136" i="8" l="1"/>
  <c r="A1137" i="8"/>
  <c r="C1136" i="8"/>
  <c r="G1136" i="8"/>
  <c r="E1136" i="8"/>
  <c r="B1136" i="8"/>
  <c r="G1137" i="8" l="1"/>
  <c r="B1137" i="8"/>
  <c r="E1137" i="8"/>
  <c r="A1138" i="8"/>
  <c r="D1137" i="8"/>
  <c r="C1137" i="8"/>
  <c r="D1138" i="8" l="1"/>
  <c r="A1139" i="8"/>
  <c r="C1138" i="8"/>
  <c r="B1138" i="8"/>
  <c r="G1138" i="8"/>
  <c r="E1138" i="8"/>
  <c r="G1139" i="8" l="1"/>
  <c r="B1139" i="8"/>
  <c r="E1139" i="8"/>
  <c r="D1139" i="8"/>
  <c r="C1139" i="8"/>
  <c r="A1140" i="8"/>
  <c r="D1140" i="8" l="1"/>
  <c r="A1141" i="8"/>
  <c r="C1140" i="8"/>
  <c r="G1140" i="8"/>
  <c r="E1140" i="8"/>
  <c r="B1140" i="8"/>
  <c r="G1141" i="8" l="1"/>
  <c r="B1141" i="8"/>
  <c r="E1141" i="8"/>
  <c r="A1142" i="8"/>
  <c r="D1141" i="8"/>
  <c r="C1141" i="8"/>
  <c r="D1142" i="8" l="1"/>
  <c r="A1143" i="8"/>
  <c r="C1142" i="8"/>
  <c r="B1142" i="8"/>
  <c r="G1142" i="8"/>
  <c r="E1142" i="8"/>
  <c r="G1143" i="8" l="1"/>
  <c r="B1143" i="8"/>
  <c r="E1143" i="8"/>
  <c r="D1143" i="8"/>
  <c r="C1143" i="8"/>
  <c r="A1144" i="8"/>
  <c r="D1144" i="8" l="1"/>
  <c r="A1145" i="8"/>
  <c r="C1144" i="8"/>
  <c r="G1144" i="8"/>
  <c r="E1144" i="8"/>
  <c r="B1144" i="8"/>
  <c r="G1145" i="8" l="1"/>
  <c r="B1145" i="8"/>
  <c r="E1145" i="8"/>
  <c r="A1146" i="8"/>
  <c r="D1145" i="8"/>
  <c r="C1145" i="8"/>
  <c r="D1146" i="8" l="1"/>
  <c r="A1147" i="8"/>
  <c r="C1146" i="8"/>
  <c r="B1146" i="8"/>
  <c r="G1146" i="8"/>
  <c r="E1146" i="8"/>
  <c r="G1147" i="8" l="1"/>
  <c r="B1147" i="8"/>
  <c r="E1147" i="8"/>
  <c r="D1147" i="8"/>
  <c r="C1147" i="8"/>
  <c r="A1148" i="8"/>
  <c r="D1148" i="8" l="1"/>
  <c r="A1149" i="8"/>
  <c r="C1148" i="8"/>
  <c r="G1148" i="8"/>
  <c r="E1148" i="8"/>
  <c r="B1148" i="8"/>
  <c r="G1149" i="8" l="1"/>
  <c r="B1149" i="8"/>
  <c r="E1149" i="8"/>
  <c r="A1150" i="8"/>
  <c r="D1149" i="8"/>
  <c r="C1149" i="8"/>
  <c r="D1150" i="8" l="1"/>
  <c r="A1151" i="8"/>
  <c r="C1150" i="8"/>
  <c r="B1150" i="8"/>
  <c r="G1150" i="8"/>
  <c r="E1150" i="8"/>
  <c r="G1151" i="8" l="1"/>
  <c r="B1151" i="8"/>
  <c r="E1151" i="8"/>
  <c r="D1151" i="8"/>
  <c r="C1151" i="8"/>
  <c r="A1152" i="8"/>
  <c r="D1152" i="8" l="1"/>
  <c r="A1153" i="8"/>
  <c r="C1152" i="8"/>
  <c r="G1152" i="8"/>
  <c r="E1152" i="8"/>
  <c r="B1152" i="8"/>
  <c r="G1153" i="8" l="1"/>
  <c r="B1153" i="8"/>
  <c r="E1153" i="8"/>
  <c r="A1154" i="8"/>
  <c r="D1153" i="8"/>
  <c r="C1153" i="8"/>
  <c r="D1154" i="8" l="1"/>
  <c r="A1155" i="8"/>
  <c r="C1154" i="8"/>
  <c r="B1154" i="8"/>
  <c r="G1154" i="8"/>
  <c r="E1154" i="8"/>
  <c r="G1155" i="8" l="1"/>
  <c r="B1155" i="8"/>
  <c r="E1155" i="8"/>
  <c r="D1155" i="8"/>
  <c r="C1155" i="8"/>
  <c r="A1156" i="8"/>
  <c r="D1156" i="8" l="1"/>
  <c r="A1157" i="8"/>
  <c r="C1156" i="8"/>
  <c r="G1156" i="8"/>
  <c r="E1156" i="8"/>
  <c r="B1156" i="8"/>
  <c r="G1157" i="8" l="1"/>
  <c r="B1157" i="8"/>
  <c r="E1157" i="8"/>
  <c r="A1158" i="8"/>
  <c r="D1157" i="8"/>
  <c r="C1157" i="8"/>
  <c r="D1158" i="8" l="1"/>
  <c r="A1159" i="8"/>
  <c r="C1158" i="8"/>
  <c r="B1158" i="8"/>
  <c r="G1158" i="8"/>
  <c r="E1158" i="8"/>
  <c r="G1159" i="8" l="1"/>
  <c r="B1159" i="8"/>
  <c r="E1159" i="8"/>
  <c r="D1159" i="8"/>
  <c r="C1159" i="8"/>
  <c r="A1160" i="8"/>
  <c r="D1160" i="8" l="1"/>
  <c r="A1161" i="8"/>
  <c r="C1160" i="8"/>
  <c r="G1160" i="8"/>
  <c r="E1160" i="8"/>
  <c r="B1160" i="8"/>
  <c r="G1161" i="8" l="1"/>
  <c r="B1161" i="8"/>
  <c r="E1161" i="8"/>
  <c r="A1162" i="8"/>
  <c r="D1161" i="8"/>
  <c r="C1161" i="8"/>
  <c r="D1162" i="8" l="1"/>
  <c r="A1163" i="8"/>
  <c r="C1162" i="8"/>
  <c r="B1162" i="8"/>
  <c r="G1162" i="8"/>
  <c r="E1162" i="8"/>
  <c r="G1163" i="8" l="1"/>
  <c r="B1163" i="8"/>
  <c r="E1163" i="8"/>
  <c r="D1163" i="8"/>
  <c r="C1163" i="8"/>
  <c r="A1164" i="8"/>
  <c r="D1164" i="8" l="1"/>
  <c r="A1165" i="8"/>
  <c r="C1164" i="8"/>
  <c r="G1164" i="8"/>
  <c r="E1164" i="8"/>
  <c r="B1164" i="8"/>
  <c r="G1165" i="8" l="1"/>
  <c r="B1165" i="8"/>
  <c r="E1165" i="8"/>
  <c r="A1166" i="8"/>
  <c r="D1165" i="8"/>
  <c r="C1165" i="8"/>
  <c r="D1166" i="8" l="1"/>
  <c r="A1167" i="8"/>
  <c r="C1166" i="8"/>
  <c r="B1166" i="8"/>
  <c r="G1166" i="8"/>
  <c r="E1166" i="8"/>
  <c r="G1167" i="8" l="1"/>
  <c r="B1167" i="8"/>
  <c r="E1167" i="8"/>
  <c r="D1167" i="8"/>
  <c r="C1167" i="8"/>
  <c r="A1168" i="8"/>
  <c r="D1168" i="8" l="1"/>
  <c r="A1169" i="8"/>
  <c r="C1168" i="8"/>
  <c r="G1168" i="8"/>
  <c r="E1168" i="8"/>
  <c r="B1168" i="8"/>
  <c r="G1169" i="8" l="1"/>
  <c r="B1169" i="8"/>
  <c r="E1169" i="8"/>
  <c r="A1170" i="8"/>
  <c r="D1169" i="8"/>
  <c r="C1169" i="8"/>
  <c r="D1170" i="8" l="1"/>
  <c r="A1171" i="8"/>
  <c r="C1170" i="8"/>
  <c r="B1170" i="8"/>
  <c r="G1170" i="8"/>
  <c r="E1170" i="8"/>
  <c r="G1171" i="8" l="1"/>
  <c r="B1171" i="8"/>
  <c r="E1171" i="8"/>
  <c r="D1171" i="8"/>
  <c r="C1171" i="8"/>
  <c r="A1172" i="8"/>
  <c r="D1172" i="8" l="1"/>
  <c r="A1173" i="8"/>
  <c r="C1172" i="8"/>
  <c r="G1172" i="8"/>
  <c r="E1172" i="8"/>
  <c r="B1172" i="8"/>
  <c r="G1173" i="8" l="1"/>
  <c r="B1173" i="8"/>
  <c r="E1173" i="8"/>
  <c r="A1174" i="8"/>
  <c r="D1173" i="8"/>
  <c r="C1173" i="8"/>
  <c r="D1174" i="8" l="1"/>
  <c r="A1175" i="8"/>
  <c r="C1174" i="8"/>
  <c r="B1174" i="8"/>
  <c r="G1174" i="8"/>
  <c r="E1174" i="8"/>
  <c r="G1175" i="8" l="1"/>
  <c r="B1175" i="8"/>
  <c r="E1175" i="8"/>
  <c r="D1175" i="8"/>
  <c r="C1175" i="8"/>
  <c r="A1176" i="8"/>
  <c r="D1176" i="8" l="1"/>
  <c r="A1177" i="8"/>
  <c r="C1176" i="8"/>
  <c r="G1176" i="8"/>
  <c r="E1176" i="8"/>
  <c r="B1176" i="8"/>
  <c r="G1177" i="8" l="1"/>
  <c r="B1177" i="8"/>
  <c r="E1177" i="8"/>
  <c r="A1178" i="8"/>
  <c r="D1177" i="8"/>
  <c r="C1177" i="8"/>
  <c r="D1178" i="8" l="1"/>
  <c r="A1179" i="8"/>
  <c r="C1178" i="8"/>
  <c r="B1178" i="8"/>
  <c r="G1178" i="8"/>
  <c r="E1178" i="8"/>
  <c r="G1179" i="8" l="1"/>
  <c r="B1179" i="8"/>
  <c r="E1179" i="8"/>
  <c r="D1179" i="8"/>
  <c r="C1179" i="8"/>
  <c r="A1180" i="8"/>
  <c r="D1180" i="8" l="1"/>
  <c r="A1181" i="8"/>
  <c r="C1180" i="8"/>
  <c r="G1180" i="8"/>
  <c r="E1180" i="8"/>
  <c r="B1180" i="8"/>
  <c r="G1181" i="8" l="1"/>
  <c r="B1181" i="8"/>
  <c r="E1181" i="8"/>
  <c r="A1182" i="8"/>
  <c r="D1181" i="8"/>
  <c r="C1181" i="8"/>
  <c r="D1182" i="8" l="1"/>
  <c r="A1183" i="8"/>
  <c r="C1182" i="8"/>
  <c r="B1182" i="8"/>
  <c r="G1182" i="8"/>
  <c r="E1182" i="8"/>
  <c r="G1183" i="8" l="1"/>
  <c r="B1183" i="8"/>
  <c r="E1183" i="8"/>
  <c r="D1183" i="8"/>
  <c r="C1183" i="8"/>
  <c r="A1184" i="8"/>
  <c r="D1184" i="8" l="1"/>
  <c r="A1185" i="8"/>
  <c r="C1184" i="8"/>
  <c r="G1184" i="8"/>
  <c r="E1184" i="8"/>
  <c r="B1184" i="8"/>
  <c r="G1185" i="8" l="1"/>
  <c r="B1185" i="8"/>
  <c r="E1185" i="8"/>
  <c r="A1186" i="8"/>
  <c r="D1185" i="8"/>
  <c r="C1185" i="8"/>
  <c r="D1186" i="8" l="1"/>
  <c r="A1187" i="8"/>
  <c r="C1186" i="8"/>
  <c r="B1186" i="8"/>
  <c r="G1186" i="8"/>
  <c r="E1186" i="8"/>
  <c r="G1187" i="8" l="1"/>
  <c r="B1187" i="8"/>
  <c r="E1187" i="8"/>
  <c r="D1187" i="8"/>
  <c r="C1187" i="8"/>
  <c r="A1188" i="8"/>
  <c r="D1188" i="8" l="1"/>
  <c r="A1189" i="8"/>
  <c r="C1188" i="8"/>
  <c r="G1188" i="8"/>
  <c r="E1188" i="8"/>
  <c r="B1188" i="8"/>
  <c r="G1189" i="8" l="1"/>
  <c r="B1189" i="8"/>
  <c r="E1189" i="8"/>
  <c r="A1190" i="8"/>
  <c r="D1189" i="8"/>
  <c r="C1189" i="8"/>
  <c r="D1190" i="8" l="1"/>
  <c r="A1191" i="8"/>
  <c r="C1190" i="8"/>
  <c r="B1190" i="8"/>
  <c r="G1190" i="8"/>
  <c r="E1190" i="8"/>
  <c r="G1191" i="8" l="1"/>
  <c r="B1191" i="8"/>
  <c r="E1191" i="8"/>
  <c r="D1191" i="8"/>
  <c r="C1191" i="8"/>
  <c r="A1192" i="8"/>
  <c r="D1192" i="8" l="1"/>
  <c r="A1193" i="8"/>
  <c r="C1192" i="8"/>
  <c r="G1192" i="8"/>
  <c r="E1192" i="8"/>
  <c r="B1192" i="8"/>
  <c r="G1193" i="8" l="1"/>
  <c r="B1193" i="8"/>
  <c r="E1193" i="8"/>
  <c r="A1194" i="8"/>
  <c r="D1193" i="8"/>
  <c r="C1193" i="8"/>
  <c r="D1194" i="8" l="1"/>
  <c r="A1195" i="8"/>
  <c r="C1194" i="8"/>
  <c r="B1194" i="8"/>
  <c r="G1194" i="8"/>
  <c r="E1194" i="8"/>
  <c r="G1195" i="8" l="1"/>
  <c r="B1195" i="8"/>
  <c r="E1195" i="8"/>
  <c r="D1195" i="8"/>
  <c r="C1195" i="8"/>
  <c r="A1196" i="8"/>
  <c r="D1196" i="8" l="1"/>
  <c r="A1197" i="8"/>
  <c r="C1196" i="8"/>
  <c r="G1196" i="8"/>
  <c r="E1196" i="8"/>
  <c r="B1196" i="8"/>
  <c r="G1197" i="8" l="1"/>
  <c r="B1197" i="8"/>
  <c r="E1197" i="8"/>
  <c r="A1198" i="8"/>
  <c r="D1197" i="8"/>
  <c r="C1197" i="8"/>
  <c r="D1198" i="8" l="1"/>
  <c r="A1199" i="8"/>
  <c r="C1198" i="8"/>
  <c r="B1198" i="8"/>
  <c r="G1198" i="8"/>
  <c r="E1198" i="8"/>
  <c r="G1199" i="8" l="1"/>
  <c r="B1199" i="8"/>
  <c r="E1199" i="8"/>
  <c r="D1199" i="8"/>
  <c r="C1199" i="8"/>
  <c r="A1200" i="8"/>
  <c r="D1200" i="8" l="1"/>
  <c r="A1201" i="8"/>
  <c r="C1200" i="8"/>
  <c r="G1200" i="8"/>
  <c r="E1200" i="8"/>
  <c r="B1200" i="8"/>
  <c r="G1201" i="8" l="1"/>
  <c r="B1201" i="8"/>
  <c r="E1201" i="8"/>
  <c r="A1202" i="8"/>
  <c r="D1201" i="8"/>
  <c r="C1201" i="8"/>
  <c r="D1202" i="8" l="1"/>
  <c r="A1203" i="8"/>
  <c r="C1202" i="8"/>
  <c r="B1202" i="8"/>
  <c r="G1202" i="8"/>
  <c r="E1202" i="8"/>
  <c r="G1203" i="8" l="1"/>
  <c r="B1203" i="8"/>
  <c r="E1203" i="8"/>
  <c r="D1203" i="8"/>
  <c r="C1203" i="8"/>
  <c r="A1204" i="8"/>
  <c r="D1204" i="8" l="1"/>
  <c r="A1205" i="8"/>
  <c r="C1204" i="8"/>
  <c r="G1204" i="8"/>
  <c r="E1204" i="8"/>
  <c r="B1204" i="8"/>
  <c r="G1205" i="8" l="1"/>
  <c r="B1205" i="8"/>
  <c r="E1205" i="8"/>
  <c r="A1206" i="8"/>
  <c r="D1205" i="8"/>
  <c r="C1205" i="8"/>
  <c r="D1206" i="8" l="1"/>
  <c r="A1207" i="8"/>
  <c r="C1206" i="8"/>
  <c r="B1206" i="8"/>
  <c r="G1206" i="8"/>
  <c r="E1206" i="8"/>
  <c r="G1207" i="8" l="1"/>
  <c r="B1207" i="8"/>
  <c r="E1207" i="8"/>
  <c r="D1207" i="8"/>
  <c r="C1207" i="8"/>
  <c r="A1208" i="8"/>
  <c r="D1208" i="8" l="1"/>
  <c r="A1209" i="8"/>
  <c r="C1208" i="8"/>
  <c r="G1208" i="8"/>
  <c r="E1208" i="8"/>
  <c r="B1208" i="8"/>
  <c r="G1209" i="8" l="1"/>
  <c r="B1209" i="8"/>
  <c r="E1209" i="8"/>
  <c r="A1210" i="8"/>
  <c r="D1209" i="8"/>
  <c r="C1209" i="8"/>
  <c r="D1210" i="8" l="1"/>
  <c r="A1211" i="8"/>
  <c r="C1210" i="8"/>
  <c r="B1210" i="8"/>
  <c r="G1210" i="8"/>
  <c r="E1210" i="8"/>
  <c r="G1211" i="8" l="1"/>
  <c r="B1211" i="8"/>
  <c r="E1211" i="8"/>
  <c r="D1211" i="8"/>
  <c r="C1211" i="8"/>
  <c r="A1212" i="8"/>
  <c r="D1212" i="8" l="1"/>
  <c r="A1213" i="8"/>
  <c r="C1212" i="8"/>
  <c r="G1212" i="8"/>
  <c r="E1212" i="8"/>
  <c r="B1212" i="8"/>
  <c r="G1213" i="8" l="1"/>
  <c r="B1213" i="8"/>
  <c r="E1213" i="8"/>
  <c r="A1214" i="8"/>
  <c r="D1213" i="8"/>
  <c r="C1213" i="8"/>
  <c r="D1214" i="8" l="1"/>
  <c r="A1215" i="8"/>
  <c r="C1214" i="8"/>
  <c r="B1214" i="8"/>
  <c r="G1214" i="8"/>
  <c r="E1214" i="8"/>
  <c r="G1215" i="8" l="1"/>
  <c r="B1215" i="8"/>
  <c r="E1215" i="8"/>
  <c r="D1215" i="8"/>
  <c r="C1215" i="8"/>
  <c r="A1216" i="8"/>
  <c r="D1216" i="8" l="1"/>
  <c r="A1217" i="8"/>
  <c r="C1216" i="8"/>
  <c r="G1216" i="8"/>
  <c r="E1216" i="8"/>
  <c r="B1216" i="8"/>
  <c r="G1217" i="8" l="1"/>
  <c r="B1217" i="8"/>
  <c r="E1217" i="8"/>
  <c r="A1218" i="8"/>
  <c r="D1217" i="8"/>
  <c r="C1217" i="8"/>
  <c r="D1218" i="8" l="1"/>
  <c r="A1219" i="8"/>
  <c r="C1218" i="8"/>
  <c r="B1218" i="8"/>
  <c r="G1218" i="8"/>
  <c r="E1218" i="8"/>
  <c r="G1219" i="8" l="1"/>
  <c r="B1219" i="8"/>
  <c r="E1219" i="8"/>
  <c r="D1219" i="8"/>
  <c r="C1219" i="8"/>
  <c r="A1220" i="8"/>
  <c r="D1220" i="8" l="1"/>
  <c r="A1221" i="8"/>
  <c r="C1220" i="8"/>
  <c r="G1220" i="8"/>
  <c r="E1220" i="8"/>
  <c r="B1220" i="8"/>
  <c r="G1221" i="8" l="1"/>
  <c r="B1221" i="8"/>
  <c r="E1221" i="8"/>
  <c r="A1222" i="8"/>
  <c r="D1221" i="8"/>
  <c r="C1221" i="8"/>
  <c r="D1222" i="8" l="1"/>
  <c r="A1223" i="8"/>
  <c r="C1222" i="8"/>
  <c r="B1222" i="8"/>
  <c r="G1222" i="8"/>
  <c r="E1222" i="8"/>
  <c r="G1223" i="8" l="1"/>
  <c r="B1223" i="8"/>
  <c r="E1223" i="8"/>
  <c r="D1223" i="8"/>
  <c r="C1223" i="8"/>
  <c r="A1224" i="8"/>
  <c r="D1224" i="8" l="1"/>
  <c r="A1225" i="8"/>
  <c r="C1224" i="8"/>
  <c r="G1224" i="8"/>
  <c r="E1224" i="8"/>
  <c r="B1224" i="8"/>
  <c r="G1225" i="8" l="1"/>
  <c r="B1225" i="8"/>
  <c r="E1225" i="8"/>
  <c r="A1226" i="8"/>
  <c r="D1225" i="8"/>
  <c r="C1225" i="8"/>
  <c r="D1226" i="8" l="1"/>
  <c r="A1227" i="8"/>
  <c r="C1226" i="8"/>
  <c r="B1226" i="8"/>
  <c r="G1226" i="8"/>
  <c r="E1226" i="8"/>
  <c r="G1227" i="8" l="1"/>
  <c r="B1227" i="8"/>
  <c r="E1227" i="8"/>
  <c r="D1227" i="8"/>
  <c r="C1227" i="8"/>
  <c r="A1228" i="8"/>
  <c r="D1228" i="8" l="1"/>
  <c r="A1229" i="8"/>
  <c r="C1228" i="8"/>
  <c r="G1228" i="8"/>
  <c r="E1228" i="8"/>
  <c r="B1228" i="8"/>
  <c r="G1229" i="8" l="1"/>
  <c r="B1229" i="8"/>
  <c r="E1229" i="8"/>
  <c r="A1230" i="8"/>
  <c r="D1229" i="8"/>
  <c r="C1229" i="8"/>
  <c r="D1230" i="8" l="1"/>
  <c r="A1231" i="8"/>
  <c r="C1230" i="8"/>
  <c r="B1230" i="8"/>
  <c r="G1230" i="8"/>
  <c r="E1230" i="8"/>
  <c r="G1231" i="8" l="1"/>
  <c r="B1231" i="8"/>
  <c r="E1231" i="8"/>
  <c r="D1231" i="8"/>
  <c r="C1231" i="8"/>
  <c r="A1232" i="8"/>
  <c r="D1232" i="8" l="1"/>
  <c r="A1233" i="8"/>
  <c r="C1232" i="8"/>
  <c r="G1232" i="8"/>
  <c r="E1232" i="8"/>
  <c r="B1232" i="8"/>
  <c r="G1233" i="8" l="1"/>
  <c r="B1233" i="8"/>
  <c r="E1233" i="8"/>
  <c r="A1234" i="8"/>
  <c r="D1233" i="8"/>
  <c r="C1233" i="8"/>
  <c r="D1234" i="8" l="1"/>
  <c r="A1235" i="8"/>
  <c r="C1234" i="8"/>
  <c r="B1234" i="8"/>
  <c r="G1234" i="8"/>
  <c r="E1234" i="8"/>
  <c r="G1235" i="8" l="1"/>
  <c r="B1235" i="8"/>
  <c r="E1235" i="8"/>
  <c r="D1235" i="8"/>
  <c r="C1235" i="8"/>
  <c r="A1236" i="8"/>
  <c r="D1236" i="8" l="1"/>
  <c r="A1237" i="8"/>
  <c r="C1236" i="8"/>
  <c r="G1236" i="8"/>
  <c r="E1236" i="8"/>
  <c r="B1236" i="8"/>
  <c r="G1237" i="8" l="1"/>
  <c r="B1237" i="8"/>
  <c r="E1237" i="8"/>
  <c r="A1238" i="8"/>
  <c r="D1237" i="8"/>
  <c r="C1237" i="8"/>
  <c r="D1238" i="8" l="1"/>
  <c r="A1239" i="8"/>
  <c r="C1238" i="8"/>
  <c r="B1238" i="8"/>
  <c r="G1238" i="8"/>
  <c r="E1238" i="8"/>
  <c r="G1239" i="8" l="1"/>
  <c r="B1239" i="8"/>
  <c r="E1239" i="8"/>
  <c r="D1239" i="8"/>
  <c r="C1239" i="8"/>
  <c r="A1240" i="8"/>
  <c r="D1240" i="8" l="1"/>
  <c r="A1241" i="8"/>
  <c r="C1240" i="8"/>
  <c r="G1240" i="8"/>
  <c r="E1240" i="8"/>
  <c r="B1240" i="8"/>
  <c r="G1241" i="8" l="1"/>
  <c r="B1241" i="8"/>
  <c r="E1241" i="8"/>
  <c r="A1242" i="8"/>
  <c r="D1241" i="8"/>
  <c r="C1241" i="8"/>
  <c r="D1242" i="8" l="1"/>
  <c r="A1243" i="8"/>
  <c r="C1242" i="8"/>
  <c r="B1242" i="8"/>
  <c r="G1242" i="8"/>
  <c r="E1242" i="8"/>
  <c r="G1243" i="8" l="1"/>
  <c r="B1243" i="8"/>
  <c r="E1243" i="8"/>
  <c r="D1243" i="8"/>
  <c r="C1243" i="8"/>
  <c r="A1244" i="8"/>
  <c r="D1244" i="8" l="1"/>
  <c r="A1245" i="8"/>
  <c r="C1244" i="8"/>
  <c r="G1244" i="8"/>
  <c r="E1244" i="8"/>
  <c r="B1244" i="8"/>
  <c r="G1245" i="8" l="1"/>
  <c r="B1245" i="8"/>
  <c r="E1245" i="8"/>
  <c r="A1246" i="8"/>
  <c r="D1245" i="8"/>
  <c r="C1245" i="8"/>
  <c r="D1246" i="8" l="1"/>
  <c r="A1247" i="8"/>
  <c r="C1246" i="8"/>
  <c r="B1246" i="8"/>
  <c r="G1246" i="8"/>
  <c r="E1246" i="8"/>
  <c r="G1247" i="8" l="1"/>
  <c r="B1247" i="8"/>
  <c r="E1247" i="8"/>
  <c r="D1247" i="8"/>
  <c r="C1247" i="8"/>
  <c r="A1248" i="8"/>
  <c r="D1248" i="8" l="1"/>
  <c r="A1249" i="8"/>
  <c r="C1248" i="8"/>
  <c r="G1248" i="8"/>
  <c r="E1248" i="8"/>
  <c r="B1248" i="8"/>
  <c r="G1249" i="8" l="1"/>
  <c r="B1249" i="8"/>
  <c r="E1249" i="8"/>
  <c r="A1250" i="8"/>
  <c r="D1249" i="8"/>
  <c r="C1249" i="8"/>
  <c r="D1250" i="8" l="1"/>
  <c r="A1251" i="8"/>
  <c r="C1250" i="8"/>
  <c r="B1250" i="8"/>
  <c r="G1250" i="8"/>
  <c r="E1250" i="8"/>
  <c r="G1251" i="8" l="1"/>
  <c r="B1251" i="8"/>
  <c r="E1251" i="8"/>
  <c r="D1251" i="8"/>
  <c r="C1251" i="8"/>
  <c r="A1252" i="8"/>
  <c r="D1252" i="8" l="1"/>
  <c r="A1253" i="8"/>
  <c r="C1252" i="8"/>
  <c r="G1252" i="8"/>
  <c r="E1252" i="8"/>
  <c r="B1252" i="8"/>
  <c r="G1253" i="8" l="1"/>
  <c r="B1253" i="8"/>
  <c r="E1253" i="8"/>
  <c r="A1254" i="8"/>
  <c r="D1253" i="8"/>
  <c r="C1253" i="8"/>
  <c r="D1254" i="8" l="1"/>
  <c r="A1255" i="8"/>
  <c r="C1254" i="8"/>
  <c r="B1254" i="8"/>
  <c r="G1254" i="8"/>
  <c r="E1254" i="8"/>
  <c r="G1255" i="8" l="1"/>
  <c r="B1255" i="8"/>
  <c r="E1255" i="8"/>
  <c r="D1255" i="8"/>
  <c r="C1255" i="8"/>
  <c r="A1256" i="8"/>
  <c r="D1256" i="8" l="1"/>
  <c r="A1257" i="8"/>
  <c r="C1256" i="8"/>
  <c r="G1256" i="8"/>
  <c r="E1256" i="8"/>
  <c r="B1256" i="8"/>
  <c r="G1257" i="8" l="1"/>
  <c r="B1257" i="8"/>
  <c r="E1257" i="8"/>
  <c r="A1258" i="8"/>
  <c r="D1257" i="8"/>
  <c r="C1257" i="8"/>
  <c r="D1258" i="8" l="1"/>
  <c r="A1259" i="8"/>
  <c r="C1258" i="8"/>
  <c r="B1258" i="8"/>
  <c r="G1258" i="8"/>
  <c r="E1258" i="8"/>
  <c r="G1259" i="8" l="1"/>
  <c r="B1259" i="8"/>
  <c r="E1259" i="8"/>
  <c r="D1259" i="8"/>
  <c r="C1259" i="8"/>
  <c r="A1260" i="8"/>
  <c r="D1260" i="8" l="1"/>
  <c r="A1261" i="8"/>
  <c r="C1260" i="8"/>
  <c r="G1260" i="8"/>
  <c r="E1260" i="8"/>
  <c r="B1260" i="8"/>
  <c r="G1261" i="8" l="1"/>
  <c r="B1261" i="8"/>
  <c r="E1261" i="8"/>
  <c r="A1262" i="8"/>
  <c r="D1261" i="8"/>
  <c r="C1261" i="8"/>
  <c r="D1262" i="8" l="1"/>
  <c r="A1263" i="8"/>
  <c r="C1262" i="8"/>
  <c r="B1262" i="8"/>
  <c r="G1262" i="8"/>
  <c r="E1262" i="8"/>
  <c r="G1263" i="8" l="1"/>
  <c r="B1263" i="8"/>
  <c r="E1263" i="8"/>
  <c r="D1263" i="8"/>
  <c r="C1263" i="8"/>
  <c r="A1264" i="8"/>
  <c r="D1264" i="8" l="1"/>
  <c r="A1265" i="8"/>
  <c r="C1264" i="8"/>
  <c r="G1264" i="8"/>
  <c r="E1264" i="8"/>
  <c r="B1264" i="8"/>
  <c r="G1265" i="8" l="1"/>
  <c r="B1265" i="8"/>
  <c r="E1265" i="8"/>
  <c r="A1266" i="8"/>
  <c r="D1265" i="8"/>
  <c r="C1265" i="8"/>
  <c r="D1266" i="8" l="1"/>
  <c r="A1267" i="8"/>
  <c r="C1266" i="8"/>
  <c r="B1266" i="8"/>
  <c r="G1266" i="8"/>
  <c r="E1266" i="8"/>
  <c r="G1267" i="8" l="1"/>
  <c r="B1267" i="8"/>
  <c r="E1267" i="8"/>
  <c r="D1267" i="8"/>
  <c r="C1267" i="8"/>
  <c r="A1268" i="8"/>
  <c r="D1268" i="8" l="1"/>
  <c r="A1269" i="8"/>
  <c r="C1268" i="8"/>
  <c r="G1268" i="8"/>
  <c r="E1268" i="8"/>
  <c r="B1268" i="8"/>
  <c r="G1269" i="8" l="1"/>
  <c r="B1269" i="8"/>
  <c r="E1269" i="8"/>
  <c r="A1270" i="8"/>
  <c r="D1269" i="8"/>
  <c r="C1269" i="8"/>
  <c r="D1270" i="8" l="1"/>
  <c r="A1271" i="8"/>
  <c r="C1270" i="8"/>
  <c r="B1270" i="8"/>
  <c r="G1270" i="8"/>
  <c r="E1270" i="8"/>
  <c r="G1271" i="8" l="1"/>
  <c r="B1271" i="8"/>
  <c r="E1271" i="8"/>
  <c r="D1271" i="8"/>
  <c r="C1271" i="8"/>
  <c r="A1272" i="8"/>
  <c r="D1272" i="8" l="1"/>
  <c r="A1273" i="8"/>
  <c r="C1272" i="8"/>
  <c r="G1272" i="8"/>
  <c r="E1272" i="8"/>
  <c r="B1272" i="8"/>
  <c r="G1273" i="8" l="1"/>
  <c r="B1273" i="8"/>
  <c r="E1273" i="8"/>
  <c r="A1274" i="8"/>
  <c r="D1273" i="8"/>
  <c r="C1273" i="8"/>
  <c r="D1274" i="8" l="1"/>
  <c r="A1275" i="8"/>
  <c r="C1274" i="8"/>
  <c r="B1274" i="8"/>
  <c r="G1274" i="8"/>
  <c r="E1274" i="8"/>
  <c r="G1275" i="8" l="1"/>
  <c r="B1275" i="8"/>
  <c r="E1275" i="8"/>
  <c r="D1275" i="8"/>
  <c r="C1275" i="8"/>
  <c r="A1276" i="8"/>
  <c r="D1276" i="8" l="1"/>
  <c r="A1277" i="8"/>
  <c r="C1276" i="8"/>
  <c r="G1276" i="8"/>
  <c r="E1276" i="8"/>
  <c r="B1276" i="8"/>
  <c r="G1277" i="8" l="1"/>
  <c r="B1277" i="8"/>
  <c r="E1277" i="8"/>
  <c r="A1278" i="8"/>
  <c r="D1277" i="8"/>
  <c r="C1277" i="8"/>
  <c r="D1278" i="8" l="1"/>
  <c r="A1279" i="8"/>
  <c r="C1278" i="8"/>
  <c r="B1278" i="8"/>
  <c r="G1278" i="8"/>
  <c r="E1278" i="8"/>
  <c r="G1279" i="8" l="1"/>
  <c r="B1279" i="8"/>
  <c r="E1279" i="8"/>
  <c r="D1279" i="8"/>
  <c r="C1279" i="8"/>
  <c r="A1280" i="8"/>
  <c r="D1280" i="8" l="1"/>
  <c r="A1281" i="8"/>
  <c r="C1280" i="8"/>
  <c r="G1280" i="8"/>
  <c r="E1280" i="8"/>
  <c r="B1280" i="8"/>
  <c r="G1281" i="8" l="1"/>
  <c r="B1281" i="8"/>
  <c r="E1281" i="8"/>
  <c r="A1282" i="8"/>
  <c r="D1281" i="8"/>
  <c r="C1281" i="8"/>
  <c r="D1282" i="8" l="1"/>
  <c r="A1283" i="8"/>
  <c r="C1282" i="8"/>
  <c r="B1282" i="8"/>
  <c r="G1282" i="8"/>
  <c r="E1282" i="8"/>
  <c r="G1283" i="8" l="1"/>
  <c r="B1283" i="8"/>
  <c r="E1283" i="8"/>
  <c r="D1283" i="8"/>
  <c r="C1283" i="8"/>
  <c r="A1284" i="8"/>
  <c r="D1284" i="8" l="1"/>
  <c r="A1285" i="8"/>
  <c r="C1284" i="8"/>
  <c r="G1284" i="8"/>
  <c r="E1284" i="8"/>
  <c r="B1284" i="8"/>
  <c r="G1285" i="8" l="1"/>
  <c r="B1285" i="8"/>
  <c r="E1285" i="8"/>
  <c r="A1286" i="8"/>
  <c r="D1285" i="8"/>
  <c r="C1285" i="8"/>
  <c r="D1286" i="8" l="1"/>
  <c r="A1287" i="8"/>
  <c r="C1286" i="8"/>
  <c r="B1286" i="8"/>
  <c r="G1286" i="8"/>
  <c r="E1286" i="8"/>
  <c r="G1287" i="8" l="1"/>
  <c r="B1287" i="8"/>
  <c r="E1287" i="8"/>
  <c r="D1287" i="8"/>
  <c r="C1287" i="8"/>
  <c r="A1288" i="8"/>
  <c r="D1288" i="8" l="1"/>
  <c r="A1289" i="8"/>
  <c r="C1288" i="8"/>
  <c r="G1288" i="8"/>
  <c r="E1288" i="8"/>
  <c r="B1288" i="8"/>
  <c r="G1289" i="8" l="1"/>
  <c r="B1289" i="8"/>
  <c r="E1289" i="8"/>
  <c r="A1290" i="8"/>
  <c r="D1289" i="8"/>
  <c r="C1289" i="8"/>
  <c r="D1290" i="8" l="1"/>
  <c r="A1291" i="8"/>
  <c r="C1290" i="8"/>
  <c r="B1290" i="8"/>
  <c r="G1290" i="8"/>
  <c r="E1290" i="8"/>
  <c r="G1291" i="8" l="1"/>
  <c r="B1291" i="8"/>
  <c r="E1291" i="8"/>
  <c r="D1291" i="8"/>
  <c r="C1291" i="8"/>
  <c r="A1292" i="8"/>
  <c r="D1292" i="8" l="1"/>
  <c r="A1293" i="8"/>
  <c r="C1292" i="8"/>
  <c r="G1292" i="8"/>
  <c r="E1292" i="8"/>
  <c r="B1292" i="8"/>
  <c r="G1293" i="8" l="1"/>
  <c r="B1293" i="8"/>
  <c r="E1293" i="8"/>
  <c r="A1294" i="8"/>
  <c r="D1293" i="8"/>
  <c r="C1293" i="8"/>
  <c r="D1294" i="8" l="1"/>
  <c r="A1295" i="8"/>
  <c r="C1294" i="8"/>
  <c r="B1294" i="8"/>
  <c r="G1294" i="8"/>
  <c r="E1294" i="8"/>
  <c r="G1295" i="8" l="1"/>
  <c r="B1295" i="8"/>
  <c r="E1295" i="8"/>
  <c r="D1295" i="8"/>
  <c r="C1295" i="8"/>
  <c r="A1296" i="8"/>
  <c r="D1296" i="8" l="1"/>
  <c r="A1297" i="8"/>
  <c r="C1296" i="8"/>
  <c r="G1296" i="8"/>
  <c r="E1296" i="8"/>
  <c r="B1296" i="8"/>
  <c r="G1297" i="8" l="1"/>
  <c r="B1297" i="8"/>
  <c r="E1297" i="8"/>
  <c r="A1298" i="8"/>
  <c r="D1297" i="8"/>
  <c r="C1297" i="8"/>
  <c r="D1298" i="8" l="1"/>
  <c r="A1299" i="8"/>
  <c r="C1298" i="8"/>
  <c r="B1298" i="8"/>
  <c r="G1298" i="8"/>
  <c r="E1298" i="8"/>
  <c r="G1299" i="8" l="1"/>
  <c r="B1299" i="8"/>
  <c r="E1299" i="8"/>
  <c r="D1299" i="8"/>
  <c r="C1299" i="8"/>
  <c r="A1300" i="8"/>
  <c r="D1300" i="8" l="1"/>
  <c r="A1301" i="8"/>
  <c r="C1300" i="8"/>
  <c r="G1300" i="8"/>
  <c r="E1300" i="8"/>
  <c r="B1300" i="8"/>
  <c r="G1301" i="8" l="1"/>
  <c r="B1301" i="8"/>
  <c r="E1301" i="8"/>
  <c r="A1302" i="8"/>
  <c r="D1301" i="8"/>
  <c r="C1301" i="8"/>
  <c r="D1302" i="8" l="1"/>
  <c r="A1303" i="8"/>
  <c r="C1302" i="8"/>
  <c r="B1302" i="8"/>
  <c r="G1302" i="8"/>
  <c r="E1302" i="8"/>
  <c r="G1303" i="8" l="1"/>
  <c r="B1303" i="8"/>
  <c r="E1303" i="8"/>
  <c r="D1303" i="8"/>
  <c r="C1303" i="8"/>
  <c r="A1304" i="8"/>
  <c r="D1304" i="8" l="1"/>
  <c r="A1305" i="8"/>
  <c r="C1304" i="8"/>
  <c r="G1304" i="8"/>
  <c r="E1304" i="8"/>
  <c r="B1304" i="8"/>
  <c r="G1305" i="8" l="1"/>
  <c r="B1305" i="8"/>
  <c r="E1305" i="8"/>
  <c r="A1306" i="8"/>
  <c r="D1305" i="8"/>
  <c r="C1305" i="8"/>
  <c r="D1306" i="8" l="1"/>
  <c r="A1307" i="8"/>
  <c r="C1306" i="8"/>
  <c r="B1306" i="8"/>
  <c r="G1306" i="8"/>
  <c r="E1306" i="8"/>
  <c r="G1307" i="8" l="1"/>
  <c r="B1307" i="8"/>
  <c r="E1307" i="8"/>
  <c r="D1307" i="8"/>
  <c r="C1307" i="8"/>
  <c r="A1308" i="8"/>
  <c r="D1308" i="8" l="1"/>
  <c r="A1309" i="8"/>
  <c r="C1308" i="8"/>
  <c r="G1308" i="8"/>
  <c r="E1308" i="8"/>
  <c r="B1308" i="8"/>
  <c r="G1309" i="8" l="1"/>
  <c r="B1309" i="8"/>
  <c r="E1309" i="8"/>
  <c r="A1310" i="8"/>
  <c r="D1309" i="8"/>
  <c r="C1309" i="8"/>
  <c r="D1310" i="8" l="1"/>
  <c r="A1311" i="8"/>
  <c r="C1310" i="8"/>
  <c r="B1310" i="8"/>
  <c r="G1310" i="8"/>
  <c r="E1310" i="8"/>
  <c r="G1311" i="8" l="1"/>
  <c r="B1311" i="8"/>
  <c r="E1311" i="8"/>
  <c r="D1311" i="8"/>
  <c r="C1311" i="8"/>
  <c r="A1312" i="8"/>
  <c r="D1312" i="8" l="1"/>
  <c r="A1313" i="8"/>
  <c r="C1312" i="8"/>
  <c r="G1312" i="8"/>
  <c r="E1312" i="8"/>
  <c r="B1312" i="8"/>
  <c r="G1313" i="8" l="1"/>
  <c r="B1313" i="8"/>
  <c r="E1313" i="8"/>
  <c r="A1314" i="8"/>
  <c r="D1313" i="8"/>
  <c r="C1313" i="8"/>
  <c r="D1314" i="8" l="1"/>
  <c r="A1315" i="8"/>
  <c r="C1314" i="8"/>
  <c r="B1314" i="8"/>
  <c r="G1314" i="8"/>
  <c r="E1314" i="8"/>
  <c r="G1315" i="8" l="1"/>
  <c r="B1315" i="8"/>
  <c r="E1315" i="8"/>
  <c r="D1315" i="8"/>
  <c r="C1315" i="8"/>
  <c r="A1316" i="8"/>
  <c r="D1316" i="8" l="1"/>
  <c r="A1317" i="8"/>
  <c r="C1316" i="8"/>
  <c r="G1316" i="8"/>
  <c r="E1316" i="8"/>
  <c r="B1316" i="8"/>
  <c r="G1317" i="8" l="1"/>
  <c r="B1317" i="8"/>
  <c r="E1317" i="8"/>
  <c r="A1318" i="8"/>
  <c r="D1317" i="8"/>
  <c r="C1317" i="8"/>
  <c r="D1318" i="8" l="1"/>
  <c r="A1319" i="8"/>
  <c r="C1318" i="8"/>
  <c r="B1318" i="8"/>
  <c r="G1318" i="8"/>
  <c r="E1318" i="8"/>
  <c r="G1319" i="8" l="1"/>
  <c r="B1319" i="8"/>
  <c r="E1319" i="8"/>
  <c r="D1319" i="8"/>
  <c r="C1319" i="8"/>
  <c r="A1320" i="8"/>
  <c r="D1320" i="8" l="1"/>
  <c r="A1321" i="8"/>
  <c r="C1320" i="8"/>
  <c r="G1320" i="8"/>
  <c r="E1320" i="8"/>
  <c r="B1320" i="8"/>
  <c r="G1321" i="8" l="1"/>
  <c r="B1321" i="8"/>
  <c r="E1321" i="8"/>
  <c r="A1322" i="8"/>
  <c r="D1321" i="8"/>
  <c r="C1321" i="8"/>
  <c r="D1322" i="8" l="1"/>
  <c r="A1323" i="8"/>
  <c r="C1322" i="8"/>
  <c r="B1322" i="8"/>
  <c r="G1322" i="8"/>
  <c r="E1322" i="8"/>
  <c r="G1323" i="8" l="1"/>
  <c r="B1323" i="8"/>
  <c r="E1323" i="8"/>
  <c r="D1323" i="8"/>
  <c r="C1323" i="8"/>
  <c r="A1324" i="8"/>
  <c r="D1324" i="8" l="1"/>
  <c r="A1325" i="8"/>
  <c r="C1324" i="8"/>
  <c r="G1324" i="8"/>
  <c r="E1324" i="8"/>
  <c r="B1324" i="8"/>
  <c r="G1325" i="8" l="1"/>
  <c r="B1325" i="8"/>
  <c r="E1325" i="8"/>
  <c r="A1326" i="8"/>
  <c r="D1325" i="8"/>
  <c r="C1325" i="8"/>
  <c r="D1326" i="8" l="1"/>
  <c r="A1327" i="8"/>
  <c r="C1326" i="8"/>
  <c r="B1326" i="8"/>
  <c r="G1326" i="8"/>
  <c r="E1326" i="8"/>
  <c r="G1327" i="8" l="1"/>
  <c r="B1327" i="8"/>
  <c r="E1327" i="8"/>
  <c r="D1327" i="8"/>
  <c r="C1327" i="8"/>
  <c r="A1328" i="8"/>
  <c r="D1328" i="8" l="1"/>
  <c r="A1329" i="8"/>
  <c r="C1328" i="8"/>
  <c r="G1328" i="8"/>
  <c r="E1328" i="8"/>
  <c r="B1328" i="8"/>
  <c r="G1329" i="8" l="1"/>
  <c r="B1329" i="8"/>
  <c r="E1329" i="8"/>
  <c r="A1330" i="8"/>
  <c r="D1329" i="8"/>
  <c r="C1329" i="8"/>
  <c r="D1330" i="8" l="1"/>
  <c r="A1331" i="8"/>
  <c r="C1330" i="8"/>
  <c r="B1330" i="8"/>
  <c r="G1330" i="8"/>
  <c r="E1330" i="8"/>
  <c r="G1331" i="8" l="1"/>
  <c r="B1331" i="8"/>
  <c r="E1331" i="8"/>
  <c r="D1331" i="8"/>
  <c r="C1331" i="8"/>
  <c r="A1332" i="8"/>
  <c r="D1332" i="8" l="1"/>
  <c r="A1333" i="8"/>
  <c r="C1332" i="8"/>
  <c r="G1332" i="8"/>
  <c r="E1332" i="8"/>
  <c r="B1332" i="8"/>
  <c r="G1333" i="8" l="1"/>
  <c r="B1333" i="8"/>
  <c r="E1333" i="8"/>
  <c r="A1334" i="8"/>
  <c r="D1333" i="8"/>
  <c r="C1333" i="8"/>
  <c r="D1334" i="8" l="1"/>
  <c r="A1335" i="8"/>
  <c r="C1334" i="8"/>
  <c r="B1334" i="8"/>
  <c r="G1334" i="8"/>
  <c r="E1334" i="8"/>
  <c r="G1335" i="8" l="1"/>
  <c r="B1335" i="8"/>
  <c r="E1335" i="8"/>
  <c r="D1335" i="8"/>
  <c r="C1335" i="8"/>
  <c r="A1336" i="8"/>
  <c r="D1336" i="8" l="1"/>
  <c r="A1337" i="8"/>
  <c r="C1336" i="8"/>
  <c r="G1336" i="8"/>
  <c r="E1336" i="8"/>
  <c r="B1336" i="8"/>
  <c r="G1337" i="8" l="1"/>
  <c r="B1337" i="8"/>
  <c r="E1337" i="8"/>
  <c r="A1338" i="8"/>
  <c r="D1337" i="8"/>
  <c r="C1337" i="8"/>
  <c r="D1338" i="8" l="1"/>
  <c r="A1339" i="8"/>
  <c r="C1338" i="8"/>
  <c r="B1338" i="8"/>
  <c r="G1338" i="8"/>
  <c r="E1338" i="8"/>
  <c r="G1339" i="8" l="1"/>
  <c r="B1339" i="8"/>
  <c r="E1339" i="8"/>
  <c r="D1339" i="8"/>
  <c r="C1339" i="8"/>
  <c r="A1340" i="8"/>
  <c r="D1340" i="8" l="1"/>
  <c r="A1341" i="8"/>
  <c r="C1340" i="8"/>
  <c r="G1340" i="8"/>
  <c r="E1340" i="8"/>
  <c r="B1340" i="8"/>
  <c r="G1341" i="8" l="1"/>
  <c r="B1341" i="8"/>
  <c r="E1341" i="8"/>
  <c r="A1342" i="8"/>
  <c r="D1341" i="8"/>
  <c r="C1341" i="8"/>
  <c r="D1342" i="8" l="1"/>
  <c r="A1343" i="8"/>
  <c r="C1342" i="8"/>
  <c r="B1342" i="8"/>
  <c r="G1342" i="8"/>
  <c r="E1342" i="8"/>
  <c r="G1343" i="8" l="1"/>
  <c r="B1343" i="8"/>
  <c r="E1343" i="8"/>
  <c r="D1343" i="8"/>
  <c r="C1343" i="8"/>
  <c r="A1344" i="8"/>
  <c r="D1344" i="8" l="1"/>
  <c r="A1345" i="8"/>
  <c r="C1344" i="8"/>
  <c r="G1344" i="8"/>
  <c r="E1344" i="8"/>
  <c r="B1344" i="8"/>
  <c r="G1345" i="8" l="1"/>
  <c r="B1345" i="8"/>
  <c r="E1345" i="8"/>
  <c r="A1346" i="8"/>
  <c r="D1345" i="8"/>
  <c r="C1345" i="8"/>
  <c r="D1346" i="8" l="1"/>
  <c r="A1347" i="8"/>
  <c r="C1346" i="8"/>
  <c r="B1346" i="8"/>
  <c r="G1346" i="8"/>
  <c r="E1346" i="8"/>
  <c r="G1347" i="8" l="1"/>
  <c r="B1347" i="8"/>
  <c r="E1347" i="8"/>
  <c r="D1347" i="8"/>
  <c r="C1347" i="8"/>
  <c r="A1348" i="8"/>
  <c r="D1348" i="8" l="1"/>
  <c r="A1349" i="8"/>
  <c r="C1348" i="8"/>
  <c r="G1348" i="8"/>
  <c r="E1348" i="8"/>
  <c r="B1348" i="8"/>
  <c r="G1349" i="8" l="1"/>
  <c r="B1349" i="8"/>
  <c r="E1349" i="8"/>
  <c r="A1350" i="8"/>
  <c r="D1349" i="8"/>
  <c r="C1349" i="8"/>
  <c r="D1350" i="8" l="1"/>
  <c r="A1351" i="8"/>
  <c r="C1350" i="8"/>
  <c r="B1350" i="8"/>
  <c r="G1350" i="8"/>
  <c r="E1350" i="8"/>
  <c r="G1351" i="8" l="1"/>
  <c r="B1351" i="8"/>
  <c r="E1351" i="8"/>
  <c r="D1351" i="8"/>
  <c r="C1351" i="8"/>
  <c r="A1352" i="8"/>
  <c r="D1352" i="8" l="1"/>
  <c r="A1353" i="8"/>
  <c r="C1352" i="8"/>
  <c r="G1352" i="8"/>
  <c r="E1352" i="8"/>
  <c r="B1352" i="8"/>
  <c r="G1353" i="8" l="1"/>
  <c r="B1353" i="8"/>
  <c r="E1353" i="8"/>
  <c r="A1354" i="8"/>
  <c r="D1353" i="8"/>
  <c r="C1353" i="8"/>
  <c r="D1354" i="8" l="1"/>
  <c r="A1355" i="8"/>
  <c r="C1354" i="8"/>
  <c r="B1354" i="8"/>
  <c r="G1354" i="8"/>
  <c r="E1354" i="8"/>
  <c r="G1355" i="8" l="1"/>
  <c r="B1355" i="8"/>
  <c r="E1355" i="8"/>
  <c r="D1355" i="8"/>
  <c r="C1355" i="8"/>
  <c r="A1356" i="8"/>
  <c r="D1356" i="8" l="1"/>
  <c r="A1357" i="8"/>
  <c r="C1356" i="8"/>
  <c r="G1356" i="8"/>
  <c r="E1356" i="8"/>
  <c r="B1356" i="8"/>
  <c r="G1357" i="8" l="1"/>
  <c r="B1357" i="8"/>
  <c r="E1357" i="8"/>
  <c r="A1358" i="8"/>
  <c r="D1357" i="8"/>
  <c r="C1357" i="8"/>
  <c r="D1358" i="8" l="1"/>
  <c r="A1359" i="8"/>
  <c r="C1358" i="8"/>
  <c r="B1358" i="8"/>
  <c r="G1358" i="8"/>
  <c r="E1358" i="8"/>
  <c r="G1359" i="8" l="1"/>
  <c r="B1359" i="8"/>
  <c r="E1359" i="8"/>
  <c r="D1359" i="8"/>
  <c r="C1359" i="8"/>
  <c r="A1360" i="8"/>
  <c r="D1360" i="8" l="1"/>
  <c r="A1361" i="8"/>
  <c r="C1360" i="8"/>
  <c r="G1360" i="8"/>
  <c r="E1360" i="8"/>
  <c r="B1360" i="8"/>
  <c r="G1361" i="8" l="1"/>
  <c r="B1361" i="8"/>
  <c r="E1361" i="8"/>
  <c r="A1362" i="8"/>
  <c r="D1361" i="8"/>
  <c r="C1361" i="8"/>
  <c r="D1362" i="8" l="1"/>
  <c r="A1363" i="8"/>
  <c r="C1362" i="8"/>
  <c r="B1362" i="8"/>
  <c r="G1362" i="8"/>
  <c r="E1362" i="8"/>
  <c r="G1363" i="8" l="1"/>
  <c r="B1363" i="8"/>
  <c r="E1363" i="8"/>
  <c r="D1363" i="8"/>
  <c r="C1363" i="8"/>
  <c r="A1364" i="8"/>
  <c r="D1364" i="8" l="1"/>
  <c r="A1365" i="8"/>
  <c r="C1364" i="8"/>
  <c r="G1364" i="8"/>
  <c r="E1364" i="8"/>
  <c r="B1364" i="8"/>
  <c r="G1365" i="8" l="1"/>
  <c r="B1365" i="8"/>
  <c r="E1365" i="8"/>
  <c r="A1366" i="8"/>
  <c r="D1365" i="8"/>
  <c r="C1365" i="8"/>
  <c r="D1366" i="8" l="1"/>
  <c r="A1367" i="8"/>
  <c r="C1366" i="8"/>
  <c r="B1366" i="8"/>
  <c r="G1366" i="8"/>
  <c r="E1366" i="8"/>
  <c r="G1367" i="8" l="1"/>
  <c r="B1367" i="8"/>
  <c r="E1367" i="8"/>
  <c r="D1367" i="8"/>
  <c r="C1367" i="8"/>
  <c r="A1368" i="8"/>
  <c r="D1368" i="8" l="1"/>
  <c r="A1369" i="8"/>
  <c r="C1368" i="8"/>
  <c r="G1368" i="8"/>
  <c r="E1368" i="8"/>
  <c r="B1368" i="8"/>
  <c r="G1369" i="8" l="1"/>
  <c r="B1369" i="8"/>
  <c r="E1369" i="8"/>
  <c r="A1370" i="8"/>
  <c r="D1369" i="8"/>
  <c r="C1369" i="8"/>
  <c r="D1370" i="8" l="1"/>
  <c r="A1371" i="8"/>
  <c r="C1370" i="8"/>
  <c r="B1370" i="8"/>
  <c r="G1370" i="8"/>
  <c r="E1370" i="8"/>
  <c r="G1371" i="8" l="1"/>
  <c r="B1371" i="8"/>
  <c r="E1371" i="8"/>
  <c r="D1371" i="8"/>
  <c r="C1371" i="8"/>
  <c r="A1372" i="8"/>
  <c r="D1372" i="8" l="1"/>
  <c r="A1373" i="8"/>
  <c r="C1372" i="8"/>
  <c r="G1372" i="8"/>
  <c r="E1372" i="8"/>
  <c r="B1372" i="8"/>
  <c r="G1373" i="8" l="1"/>
  <c r="B1373" i="8"/>
  <c r="E1373" i="8"/>
  <c r="A1374" i="8"/>
  <c r="D1373" i="8"/>
  <c r="C1373" i="8"/>
  <c r="D1374" i="8" l="1"/>
  <c r="A1375" i="8"/>
  <c r="C1374" i="8"/>
  <c r="B1374" i="8"/>
  <c r="G1374" i="8"/>
  <c r="E1374" i="8"/>
  <c r="G1375" i="8" l="1"/>
  <c r="B1375" i="8"/>
  <c r="E1375" i="8"/>
  <c r="D1375" i="8"/>
  <c r="C1375" i="8"/>
  <c r="A1376" i="8"/>
  <c r="D1376" i="8" l="1"/>
  <c r="A1377" i="8"/>
  <c r="C1376" i="8"/>
  <c r="G1376" i="8"/>
  <c r="E1376" i="8"/>
  <c r="B1376" i="8"/>
  <c r="G1377" i="8" l="1"/>
  <c r="B1377" i="8"/>
  <c r="E1377" i="8"/>
  <c r="A1378" i="8"/>
  <c r="D1377" i="8"/>
  <c r="C1377" i="8"/>
  <c r="D1378" i="8" l="1"/>
  <c r="A1379" i="8"/>
  <c r="C1378" i="8"/>
  <c r="B1378" i="8"/>
  <c r="G1378" i="8"/>
  <c r="E1378" i="8"/>
  <c r="G1379" i="8" l="1"/>
  <c r="B1379" i="8"/>
  <c r="E1379" i="8"/>
  <c r="D1379" i="8"/>
  <c r="C1379" i="8"/>
  <c r="A1380" i="8"/>
  <c r="D1380" i="8" l="1"/>
  <c r="A1381" i="8"/>
  <c r="C1380" i="8"/>
  <c r="G1380" i="8"/>
  <c r="E1380" i="8"/>
  <c r="B1380" i="8"/>
  <c r="G1381" i="8" l="1"/>
  <c r="B1381" i="8"/>
  <c r="E1381" i="8"/>
  <c r="A1382" i="8"/>
  <c r="D1381" i="8"/>
  <c r="C1381" i="8"/>
  <c r="D1382" i="8" l="1"/>
  <c r="A1383" i="8"/>
  <c r="C1382" i="8"/>
  <c r="B1382" i="8"/>
  <c r="G1382" i="8"/>
  <c r="E1382" i="8"/>
  <c r="G1383" i="8" l="1"/>
  <c r="B1383" i="8"/>
  <c r="E1383" i="8"/>
  <c r="D1383" i="8"/>
  <c r="C1383" i="8"/>
  <c r="A1384" i="8"/>
  <c r="D1384" i="8" l="1"/>
  <c r="A1385" i="8"/>
  <c r="C1384" i="8"/>
  <c r="G1384" i="8"/>
  <c r="E1384" i="8"/>
  <c r="B1384" i="8"/>
  <c r="G1385" i="8" l="1"/>
  <c r="B1385" i="8"/>
  <c r="E1385" i="8"/>
  <c r="A1386" i="8"/>
  <c r="D1385" i="8"/>
  <c r="C1385" i="8"/>
  <c r="D1386" i="8" l="1"/>
  <c r="A1387" i="8"/>
  <c r="C1386" i="8"/>
  <c r="B1386" i="8"/>
  <c r="G1386" i="8"/>
  <c r="E1386" i="8"/>
  <c r="G1387" i="8" l="1"/>
  <c r="B1387" i="8"/>
  <c r="E1387" i="8"/>
  <c r="D1387" i="8"/>
  <c r="C1387" i="8"/>
  <c r="A1388" i="8"/>
  <c r="D1388" i="8" l="1"/>
  <c r="A1389" i="8"/>
  <c r="C1388" i="8"/>
  <c r="G1388" i="8"/>
  <c r="E1388" i="8"/>
  <c r="B1388" i="8"/>
  <c r="G1389" i="8" l="1"/>
  <c r="B1389" i="8"/>
  <c r="E1389" i="8"/>
  <c r="A1390" i="8"/>
  <c r="D1389" i="8"/>
  <c r="C1389" i="8"/>
  <c r="D1390" i="8" l="1"/>
  <c r="A1391" i="8"/>
  <c r="C1390" i="8"/>
  <c r="B1390" i="8"/>
  <c r="G1390" i="8"/>
  <c r="E1390" i="8"/>
  <c r="G1391" i="8" l="1"/>
  <c r="B1391" i="8"/>
  <c r="E1391" i="8"/>
  <c r="D1391" i="8"/>
  <c r="C1391" i="8"/>
  <c r="A1392" i="8"/>
  <c r="D1392" i="8" l="1"/>
  <c r="A1393" i="8"/>
  <c r="C1392" i="8"/>
  <c r="G1392" i="8"/>
  <c r="E1392" i="8"/>
  <c r="B1392" i="8"/>
  <c r="G1393" i="8" l="1"/>
  <c r="B1393" i="8"/>
  <c r="E1393" i="8"/>
  <c r="A1394" i="8"/>
  <c r="D1393" i="8"/>
  <c r="C1393" i="8"/>
  <c r="D1394" i="8" l="1"/>
  <c r="A1395" i="8"/>
  <c r="C1394" i="8"/>
  <c r="B1394" i="8"/>
  <c r="G1394" i="8"/>
  <c r="E1394" i="8"/>
  <c r="G1395" i="8" l="1"/>
  <c r="B1395" i="8"/>
  <c r="E1395" i="8"/>
  <c r="D1395" i="8"/>
  <c r="C1395" i="8"/>
  <c r="A1396" i="8"/>
  <c r="D1396" i="8" l="1"/>
  <c r="A1397" i="8"/>
  <c r="C1396" i="8"/>
  <c r="G1396" i="8"/>
  <c r="E1396" i="8"/>
  <c r="B1396" i="8"/>
  <c r="G1397" i="8" l="1"/>
  <c r="B1397" i="8"/>
  <c r="E1397" i="8"/>
  <c r="A1398" i="8"/>
  <c r="D1397" i="8"/>
  <c r="C1397" i="8"/>
  <c r="D1398" i="8" l="1"/>
  <c r="A1399" i="8"/>
  <c r="C1398" i="8"/>
  <c r="B1398" i="8"/>
  <c r="G1398" i="8"/>
  <c r="E1398" i="8"/>
  <c r="G1399" i="8" l="1"/>
  <c r="B1399" i="8"/>
  <c r="E1399" i="8"/>
  <c r="D1399" i="8"/>
  <c r="C1399" i="8"/>
  <c r="A1400" i="8"/>
  <c r="D1400" i="8" l="1"/>
  <c r="A1401" i="8"/>
  <c r="C1400" i="8"/>
  <c r="G1400" i="8"/>
  <c r="E1400" i="8"/>
  <c r="B1400" i="8"/>
  <c r="G1401" i="8" l="1"/>
  <c r="B1401" i="8"/>
  <c r="E1401" i="8"/>
  <c r="A1402" i="8"/>
  <c r="D1401" i="8"/>
  <c r="C1401" i="8"/>
  <c r="D1402" i="8" l="1"/>
  <c r="A1403" i="8"/>
  <c r="C1402" i="8"/>
  <c r="B1402" i="8"/>
  <c r="G1402" i="8"/>
  <c r="E1402" i="8"/>
  <c r="G1403" i="8" l="1"/>
  <c r="B1403" i="8"/>
  <c r="E1403" i="8"/>
  <c r="D1403" i="8"/>
  <c r="C1403" i="8"/>
  <c r="A1404" i="8"/>
  <c r="D1404" i="8" l="1"/>
  <c r="A1405" i="8"/>
  <c r="C1404" i="8"/>
  <c r="G1404" i="8"/>
  <c r="E1404" i="8"/>
  <c r="B1404" i="8"/>
  <c r="G1405" i="8" l="1"/>
  <c r="B1405" i="8"/>
  <c r="E1405" i="8"/>
  <c r="A1406" i="8"/>
  <c r="D1405" i="8"/>
  <c r="C1405" i="8"/>
  <c r="D1406" i="8" l="1"/>
  <c r="A1407" i="8"/>
  <c r="C1406" i="8"/>
  <c r="B1406" i="8"/>
  <c r="G1406" i="8"/>
  <c r="E1406" i="8"/>
  <c r="G1407" i="8" l="1"/>
  <c r="B1407" i="8"/>
  <c r="E1407" i="8"/>
  <c r="D1407" i="8"/>
  <c r="C1407" i="8"/>
  <c r="A1408" i="8"/>
  <c r="D1408" i="8" l="1"/>
  <c r="A1409" i="8"/>
  <c r="C1408" i="8"/>
  <c r="G1408" i="8"/>
  <c r="E1408" i="8"/>
  <c r="B1408" i="8"/>
  <c r="G1409" i="8" l="1"/>
  <c r="B1409" i="8"/>
  <c r="E1409" i="8"/>
  <c r="A1410" i="8"/>
  <c r="D1409" i="8"/>
  <c r="C1409" i="8"/>
  <c r="D1410" i="8" l="1"/>
  <c r="A1411" i="8"/>
  <c r="C1410" i="8"/>
  <c r="B1410" i="8"/>
  <c r="G1410" i="8"/>
  <c r="E1410" i="8"/>
  <c r="G1411" i="8" l="1"/>
  <c r="B1411" i="8"/>
  <c r="E1411" i="8"/>
  <c r="D1411" i="8"/>
  <c r="C1411" i="8"/>
  <c r="A1412" i="8"/>
  <c r="D1412" i="8" l="1"/>
  <c r="A1413" i="8"/>
  <c r="C1412" i="8"/>
  <c r="G1412" i="8"/>
  <c r="E1412" i="8"/>
  <c r="B1412" i="8"/>
  <c r="G1413" i="8" l="1"/>
  <c r="B1413" i="8"/>
  <c r="E1413" i="8"/>
  <c r="A1414" i="8"/>
  <c r="D1413" i="8"/>
  <c r="C1413" i="8"/>
  <c r="D1414" i="8" l="1"/>
  <c r="A1415" i="8"/>
  <c r="C1414" i="8"/>
  <c r="B1414" i="8"/>
  <c r="G1414" i="8"/>
  <c r="E1414" i="8"/>
  <c r="G1415" i="8" l="1"/>
  <c r="B1415" i="8"/>
  <c r="E1415" i="8"/>
  <c r="D1415" i="8"/>
  <c r="C1415" i="8"/>
  <c r="A1416" i="8"/>
  <c r="D1416" i="8" l="1"/>
  <c r="A1417" i="8"/>
  <c r="C1416" i="8"/>
  <c r="G1416" i="8"/>
  <c r="E1416" i="8"/>
  <c r="B1416" i="8"/>
  <c r="G1417" i="8" l="1"/>
  <c r="B1417" i="8"/>
  <c r="E1417" i="8"/>
  <c r="A1418" i="8"/>
  <c r="D1417" i="8"/>
  <c r="C1417" i="8"/>
  <c r="D1418" i="8" l="1"/>
  <c r="A1419" i="8"/>
  <c r="C1418" i="8"/>
  <c r="B1418" i="8"/>
  <c r="G1418" i="8"/>
  <c r="E1418" i="8"/>
  <c r="G1419" i="8" l="1"/>
  <c r="B1419" i="8"/>
  <c r="E1419" i="8"/>
  <c r="D1419" i="8"/>
  <c r="C1419" i="8"/>
  <c r="A1420" i="8"/>
  <c r="D1420" i="8" l="1"/>
  <c r="A1421" i="8"/>
  <c r="C1420" i="8"/>
  <c r="G1420" i="8"/>
  <c r="E1420" i="8"/>
  <c r="B1420" i="8"/>
  <c r="G1421" i="8" l="1"/>
  <c r="B1421" i="8"/>
  <c r="E1421" i="8"/>
  <c r="A1422" i="8"/>
  <c r="D1421" i="8"/>
  <c r="C1421" i="8"/>
  <c r="D1422" i="8" l="1"/>
  <c r="A1423" i="8"/>
  <c r="C1422" i="8"/>
  <c r="B1422" i="8"/>
  <c r="G1422" i="8"/>
  <c r="E1422" i="8"/>
  <c r="G1423" i="8" l="1"/>
  <c r="B1423" i="8"/>
  <c r="E1423" i="8"/>
  <c r="D1423" i="8"/>
  <c r="C1423" i="8"/>
  <c r="A1424" i="8"/>
  <c r="D1424" i="8" l="1"/>
  <c r="A1425" i="8"/>
  <c r="C1424" i="8"/>
  <c r="G1424" i="8"/>
  <c r="E1424" i="8"/>
  <c r="B1424" i="8"/>
  <c r="G1425" i="8" l="1"/>
  <c r="B1425" i="8"/>
  <c r="E1425" i="8"/>
  <c r="A1426" i="8"/>
  <c r="D1425" i="8"/>
  <c r="C1425" i="8"/>
  <c r="D1426" i="8" l="1"/>
  <c r="A1427" i="8"/>
  <c r="C1426" i="8"/>
  <c r="B1426" i="8"/>
  <c r="G1426" i="8"/>
  <c r="E1426" i="8"/>
  <c r="G1427" i="8" l="1"/>
  <c r="B1427" i="8"/>
  <c r="E1427" i="8"/>
  <c r="D1427" i="8"/>
  <c r="C1427" i="8"/>
  <c r="A1428" i="8"/>
  <c r="D1428" i="8" l="1"/>
  <c r="A1429" i="8"/>
  <c r="C1428" i="8"/>
  <c r="G1428" i="8"/>
  <c r="E1428" i="8"/>
  <c r="B1428" i="8"/>
  <c r="G1429" i="8" l="1"/>
  <c r="B1429" i="8"/>
  <c r="E1429" i="8"/>
  <c r="A1430" i="8"/>
  <c r="D1429" i="8"/>
  <c r="C1429" i="8"/>
  <c r="D1430" i="8" l="1"/>
  <c r="A1431" i="8"/>
  <c r="C1430" i="8"/>
  <c r="B1430" i="8"/>
  <c r="G1430" i="8"/>
  <c r="E1430" i="8"/>
  <c r="G1431" i="8" l="1"/>
  <c r="B1431" i="8"/>
  <c r="E1431" i="8"/>
  <c r="D1431" i="8"/>
  <c r="C1431" i="8"/>
  <c r="A1432" i="8"/>
  <c r="D1432" i="8" l="1"/>
  <c r="A1433" i="8"/>
  <c r="C1432" i="8"/>
  <c r="G1432" i="8"/>
  <c r="E1432" i="8"/>
  <c r="B1432" i="8"/>
  <c r="G1433" i="8" l="1"/>
  <c r="B1433" i="8"/>
  <c r="E1433" i="8"/>
  <c r="A1434" i="8"/>
  <c r="D1433" i="8"/>
  <c r="C1433" i="8"/>
  <c r="D1434" i="8" l="1"/>
  <c r="A1435" i="8"/>
  <c r="C1434" i="8"/>
  <c r="B1434" i="8"/>
  <c r="G1434" i="8"/>
  <c r="E1434" i="8"/>
  <c r="G1435" i="8" l="1"/>
  <c r="B1435" i="8"/>
  <c r="E1435" i="8"/>
  <c r="D1435" i="8"/>
  <c r="C1435" i="8"/>
  <c r="A1436" i="8"/>
  <c r="D1436" i="8" l="1"/>
  <c r="A1437" i="8"/>
  <c r="C1436" i="8"/>
  <c r="G1436" i="8"/>
  <c r="E1436" i="8"/>
  <c r="B1436" i="8"/>
  <c r="G1437" i="8" l="1"/>
  <c r="B1437" i="8"/>
  <c r="E1437" i="8"/>
  <c r="A1438" i="8"/>
  <c r="D1437" i="8"/>
  <c r="C1437" i="8"/>
  <c r="D1438" i="8" l="1"/>
  <c r="A1439" i="8"/>
  <c r="C1438" i="8"/>
  <c r="B1438" i="8"/>
  <c r="G1438" i="8"/>
  <c r="E1438" i="8"/>
  <c r="G1439" i="8" l="1"/>
  <c r="B1439" i="8"/>
  <c r="E1439" i="8"/>
  <c r="D1439" i="8"/>
  <c r="C1439" i="8"/>
  <c r="A1440" i="8"/>
  <c r="D1440" i="8" l="1"/>
  <c r="A1441" i="8"/>
  <c r="C1440" i="8"/>
  <c r="G1440" i="8"/>
  <c r="E1440" i="8"/>
  <c r="B1440" i="8"/>
  <c r="G1441" i="8" l="1"/>
  <c r="B1441" i="8"/>
  <c r="E1441" i="8"/>
  <c r="A1442" i="8"/>
  <c r="D1441" i="8"/>
  <c r="C1441" i="8"/>
  <c r="D1442" i="8" l="1"/>
  <c r="A1443" i="8"/>
  <c r="C1442" i="8"/>
  <c r="B1442" i="8"/>
  <c r="G1442" i="8"/>
  <c r="E1442" i="8"/>
  <c r="G1443" i="8" l="1"/>
  <c r="B1443" i="8"/>
  <c r="E1443" i="8"/>
  <c r="D1443" i="8"/>
  <c r="C1443" i="8"/>
  <c r="A1444" i="8"/>
  <c r="D1444" i="8" l="1"/>
  <c r="A1445" i="8"/>
  <c r="C1444" i="8"/>
  <c r="G1444" i="8"/>
  <c r="E1444" i="8"/>
  <c r="B1444" i="8"/>
  <c r="G1445" i="8" l="1"/>
  <c r="B1445" i="8"/>
  <c r="E1445" i="8"/>
  <c r="A1446" i="8"/>
  <c r="D1445" i="8"/>
  <c r="C1445" i="8"/>
  <c r="D1446" i="8" l="1"/>
  <c r="A1447" i="8"/>
  <c r="C1446" i="8"/>
  <c r="B1446" i="8"/>
  <c r="G1446" i="8"/>
  <c r="E1446" i="8"/>
  <c r="G1447" i="8" l="1"/>
  <c r="B1447" i="8"/>
  <c r="E1447" i="8"/>
  <c r="D1447" i="8"/>
  <c r="C1447" i="8"/>
  <c r="A1448" i="8"/>
  <c r="D1448" i="8" l="1"/>
  <c r="A1449" i="8"/>
  <c r="C1448" i="8"/>
  <c r="G1448" i="8"/>
  <c r="E1448" i="8"/>
  <c r="B1448" i="8"/>
  <c r="G1449" i="8" l="1"/>
  <c r="B1449" i="8"/>
  <c r="E1449" i="8"/>
  <c r="A1450" i="8"/>
  <c r="D1449" i="8"/>
  <c r="C1449" i="8"/>
  <c r="D1450" i="8" l="1"/>
  <c r="A1451" i="8"/>
  <c r="C1450" i="8"/>
  <c r="B1450" i="8"/>
  <c r="G1450" i="8"/>
  <c r="E1450" i="8"/>
  <c r="G1451" i="8" l="1"/>
  <c r="B1451" i="8"/>
  <c r="E1451" i="8"/>
  <c r="D1451" i="8"/>
  <c r="C1451" i="8"/>
  <c r="A1452" i="8"/>
  <c r="A1453" i="8" l="1"/>
  <c r="D1452" i="8"/>
  <c r="C1452" i="8"/>
  <c r="G1452" i="8"/>
  <c r="E1452" i="8"/>
  <c r="B1452" i="8"/>
  <c r="E1453" i="8" l="1"/>
  <c r="C1453" i="8"/>
  <c r="A1454" i="8"/>
  <c r="B1453" i="8"/>
  <c r="G1453" i="8"/>
  <c r="D1453" i="8"/>
  <c r="A1455" i="8" l="1"/>
  <c r="C1454" i="8"/>
  <c r="G1454" i="8"/>
  <c r="B1454" i="8"/>
  <c r="D1454" i="8"/>
  <c r="E1454" i="8"/>
  <c r="E1455" i="8" l="1"/>
  <c r="D1455" i="8"/>
  <c r="G1455" i="8"/>
  <c r="C1455" i="8"/>
  <c r="B1455" i="8"/>
  <c r="A1456" i="8"/>
  <c r="A1457" i="8" l="1"/>
  <c r="C1456" i="8"/>
  <c r="G1456" i="8"/>
  <c r="B1456" i="8"/>
  <c r="E1456" i="8"/>
  <c r="D1456" i="8"/>
  <c r="E1457" i="8" l="1"/>
  <c r="D1457" i="8"/>
  <c r="B1457" i="8"/>
  <c r="A1458" i="8"/>
  <c r="G1457" i="8"/>
  <c r="C1457" i="8"/>
  <c r="A1459" i="8" l="1"/>
  <c r="C1458" i="8"/>
  <c r="G1458" i="8"/>
  <c r="B1458" i="8"/>
  <c r="D1458" i="8"/>
  <c r="E1458" i="8"/>
  <c r="E1459" i="8" l="1"/>
  <c r="D1459" i="8"/>
  <c r="G1459" i="8"/>
  <c r="C1459" i="8"/>
  <c r="A1460" i="8"/>
  <c r="B1459" i="8"/>
  <c r="A1461" i="8" l="1"/>
  <c r="C1460" i="8"/>
  <c r="G1460" i="8"/>
  <c r="B1460" i="8"/>
  <c r="E1460" i="8"/>
  <c r="D1460" i="8"/>
  <c r="E1461" i="8" l="1"/>
  <c r="D1461" i="8"/>
  <c r="B1461" i="8"/>
  <c r="A1462" i="8"/>
  <c r="G1461" i="8"/>
  <c r="C1461" i="8"/>
  <c r="A1463" i="8" l="1"/>
  <c r="C1462" i="8"/>
  <c r="G1462" i="8"/>
  <c r="B1462" i="8"/>
  <c r="D1462" i="8"/>
  <c r="E1462" i="8"/>
  <c r="E1463" i="8" l="1"/>
  <c r="D1463" i="8"/>
  <c r="G1463" i="8"/>
  <c r="C1463" i="8"/>
  <c r="B1463" i="8"/>
  <c r="A1464" i="8"/>
  <c r="A1465" i="8" l="1"/>
  <c r="C1464" i="8"/>
  <c r="G1464" i="8"/>
  <c r="B1464" i="8"/>
  <c r="E1464" i="8"/>
  <c r="D1464" i="8"/>
  <c r="E1465" i="8" l="1"/>
  <c r="D1465" i="8"/>
  <c r="B1465" i="8"/>
  <c r="A1466" i="8"/>
  <c r="G1465" i="8"/>
  <c r="C1465" i="8"/>
  <c r="A1467" i="8" l="1"/>
  <c r="C1466" i="8"/>
  <c r="G1466" i="8"/>
  <c r="B1466" i="8"/>
  <c r="D1466" i="8"/>
  <c r="E1466" i="8"/>
  <c r="E1467" i="8" l="1"/>
  <c r="D1467" i="8"/>
  <c r="G1467" i="8"/>
  <c r="C1467" i="8"/>
  <c r="A1468" i="8"/>
  <c r="B1467" i="8"/>
  <c r="A1469" i="8" l="1"/>
  <c r="C1468" i="8"/>
  <c r="G1468" i="8"/>
  <c r="B1468" i="8"/>
  <c r="E1468" i="8"/>
  <c r="D1468" i="8"/>
  <c r="E1469" i="8" l="1"/>
  <c r="D1469" i="8"/>
  <c r="B1469" i="8"/>
  <c r="A1470" i="8"/>
  <c r="G1469" i="8"/>
  <c r="C1469" i="8"/>
  <c r="A1471" i="8" l="1"/>
  <c r="C1470" i="8"/>
  <c r="G1470" i="8"/>
  <c r="B1470" i="8"/>
  <c r="E1470" i="8"/>
  <c r="D1470" i="8"/>
  <c r="E1471" i="8" l="1"/>
  <c r="D1471" i="8"/>
  <c r="A1472" i="8"/>
  <c r="C1471" i="8"/>
  <c r="G1471" i="8"/>
  <c r="B1471" i="8"/>
  <c r="A1473" i="8" l="1"/>
  <c r="C1472" i="8"/>
  <c r="G1472" i="8"/>
  <c r="B1472" i="8"/>
  <c r="E1472" i="8"/>
  <c r="D1472" i="8"/>
  <c r="E1473" i="8" l="1"/>
  <c r="D1473" i="8"/>
  <c r="A1474" i="8"/>
  <c r="C1473" i="8"/>
  <c r="B1473" i="8"/>
  <c r="G1473" i="8"/>
  <c r="A1475" i="8" l="1"/>
  <c r="C1474" i="8"/>
  <c r="G1474" i="8"/>
  <c r="B1474" i="8"/>
  <c r="E1474" i="8"/>
  <c r="D1474" i="8"/>
  <c r="E1475" i="8" l="1"/>
  <c r="D1475" i="8"/>
  <c r="A1476" i="8"/>
  <c r="C1475" i="8"/>
  <c r="G1475" i="8"/>
  <c r="B1475" i="8"/>
  <c r="A1477" i="8" l="1"/>
  <c r="C1476" i="8"/>
  <c r="G1476" i="8"/>
  <c r="B1476" i="8"/>
  <c r="E1476" i="8"/>
  <c r="D1476" i="8"/>
  <c r="E1477" i="8" l="1"/>
  <c r="D1477" i="8"/>
  <c r="A1478" i="8"/>
  <c r="C1477" i="8"/>
  <c r="G1477" i="8"/>
  <c r="B1477" i="8"/>
  <c r="A1479" i="8" l="1"/>
  <c r="C1478" i="8"/>
  <c r="G1478" i="8"/>
  <c r="B1478" i="8"/>
  <c r="E1478" i="8"/>
  <c r="D1478" i="8"/>
  <c r="E1479" i="8" l="1"/>
  <c r="D1479" i="8"/>
  <c r="A1480" i="8"/>
  <c r="C1479" i="8"/>
  <c r="G1479" i="8"/>
  <c r="B1479" i="8"/>
  <c r="A1481" i="8" l="1"/>
  <c r="C1480" i="8"/>
  <c r="G1480" i="8"/>
  <c r="B1480" i="8"/>
  <c r="E1480" i="8"/>
  <c r="D1480" i="8"/>
  <c r="E1481" i="8" l="1"/>
  <c r="D1481" i="8"/>
  <c r="A1482" i="8"/>
  <c r="C1481" i="8"/>
  <c r="B1481" i="8"/>
  <c r="G1481" i="8"/>
  <c r="A1483" i="8" l="1"/>
  <c r="C1482" i="8"/>
  <c r="G1482" i="8"/>
  <c r="B1482" i="8"/>
  <c r="E1482" i="8"/>
  <c r="D1482" i="8"/>
  <c r="E1483" i="8" l="1"/>
  <c r="D1483" i="8"/>
  <c r="A1484" i="8"/>
  <c r="C1483" i="8"/>
  <c r="G1483" i="8"/>
  <c r="B1483" i="8"/>
  <c r="A1485" i="8" l="1"/>
  <c r="C1484" i="8"/>
  <c r="G1484" i="8"/>
  <c r="B1484" i="8"/>
  <c r="E1484" i="8"/>
  <c r="D1484" i="8"/>
  <c r="E1485" i="8" l="1"/>
  <c r="D1485" i="8"/>
  <c r="A1486" i="8"/>
  <c r="C1485" i="8"/>
  <c r="G1485" i="8"/>
  <c r="B1485" i="8"/>
  <c r="A1487" i="8" l="1"/>
  <c r="C1486" i="8"/>
  <c r="G1486" i="8"/>
  <c r="B1486" i="8"/>
  <c r="E1486" i="8"/>
  <c r="D1486" i="8"/>
  <c r="E1487" i="8" l="1"/>
  <c r="D1487" i="8"/>
  <c r="A1488" i="8"/>
  <c r="C1487" i="8"/>
  <c r="G1487" i="8"/>
  <c r="B1487" i="8"/>
  <c r="A1489" i="8" l="1"/>
  <c r="C1488" i="8"/>
  <c r="G1488" i="8"/>
  <c r="B1488" i="8"/>
  <c r="E1488" i="8"/>
  <c r="D1488" i="8"/>
  <c r="E1489" i="8" l="1"/>
  <c r="D1489" i="8"/>
  <c r="A1490" i="8"/>
  <c r="C1489" i="8"/>
  <c r="B1489" i="8"/>
  <c r="G1489" i="8"/>
  <c r="A1491" i="8" l="1"/>
  <c r="C1490" i="8"/>
  <c r="G1490" i="8"/>
  <c r="B1490" i="8"/>
  <c r="E1490" i="8"/>
  <c r="D1490" i="8"/>
  <c r="E1491" i="8" l="1"/>
  <c r="D1491" i="8"/>
  <c r="A1492" i="8"/>
  <c r="C1491" i="8"/>
  <c r="G1491" i="8"/>
  <c r="B1491" i="8"/>
  <c r="A1493" i="8" l="1"/>
  <c r="C1492" i="8"/>
  <c r="G1492" i="8"/>
  <c r="B1492" i="8"/>
  <c r="E1492" i="8"/>
  <c r="D1492" i="8"/>
  <c r="E1493" i="8" l="1"/>
  <c r="D1493" i="8"/>
  <c r="A1494" i="8"/>
  <c r="C1493" i="8"/>
  <c r="G1493" i="8"/>
  <c r="B1493" i="8"/>
  <c r="A1495" i="8" l="1"/>
  <c r="C1494" i="8"/>
  <c r="G1494" i="8"/>
  <c r="B1494" i="8"/>
  <c r="E1494" i="8"/>
  <c r="D1494" i="8"/>
  <c r="E1495" i="8" l="1"/>
  <c r="D1495" i="8"/>
  <c r="A1496" i="8"/>
  <c r="C1495" i="8"/>
  <c r="G1495" i="8"/>
  <c r="B1495" i="8"/>
  <c r="A1497" i="8" l="1"/>
  <c r="C1496" i="8"/>
  <c r="G1496" i="8"/>
  <c r="B1496" i="8"/>
  <c r="E1496" i="8"/>
  <c r="D1496" i="8"/>
  <c r="E1497" i="8" l="1"/>
  <c r="D1497" i="8"/>
  <c r="A1498" i="8"/>
  <c r="C1497" i="8"/>
  <c r="B1497" i="8"/>
  <c r="G1497" i="8"/>
  <c r="A1499" i="8" l="1"/>
  <c r="C1498" i="8"/>
  <c r="G1498" i="8"/>
  <c r="B1498" i="8"/>
  <c r="E1498" i="8"/>
  <c r="D1498" i="8"/>
  <c r="E1499" i="8" l="1"/>
  <c r="D1499" i="8"/>
  <c r="A1500" i="8"/>
  <c r="C1499" i="8"/>
  <c r="G1499" i="8"/>
  <c r="B1499" i="8"/>
  <c r="A1501" i="8" l="1"/>
  <c r="C1500" i="8"/>
  <c r="G1500" i="8"/>
  <c r="B1500" i="8"/>
  <c r="E1500" i="8"/>
  <c r="D1500" i="8"/>
  <c r="E1501" i="8" l="1"/>
  <c r="D1501" i="8"/>
  <c r="A1502" i="8"/>
  <c r="C1501" i="8"/>
  <c r="G1501" i="8"/>
  <c r="B1501" i="8"/>
  <c r="A1503" i="8" l="1"/>
  <c r="C1502" i="8"/>
  <c r="G1502" i="8"/>
  <c r="B1502" i="8"/>
  <c r="E1502" i="8"/>
  <c r="D1502" i="8"/>
  <c r="E1503" i="8" l="1"/>
  <c r="D1503" i="8"/>
  <c r="A1504" i="8"/>
  <c r="C1503" i="8"/>
  <c r="G1503" i="8"/>
  <c r="B1503" i="8"/>
  <c r="A1505" i="8" l="1"/>
  <c r="C1504" i="8"/>
  <c r="G1504" i="8"/>
  <c r="B1504" i="8"/>
  <c r="E1504" i="8"/>
  <c r="D1504" i="8"/>
  <c r="E1505" i="8" l="1"/>
  <c r="D1505" i="8"/>
  <c r="A1506" i="8"/>
  <c r="C1505" i="8"/>
  <c r="B1505" i="8"/>
  <c r="G1505" i="8"/>
  <c r="A1507" i="8" l="1"/>
  <c r="C1506" i="8"/>
  <c r="G1506" i="8"/>
  <c r="B1506" i="8"/>
  <c r="E1506" i="8"/>
  <c r="D1506" i="8"/>
  <c r="E1507" i="8" l="1"/>
  <c r="D1507" i="8"/>
  <c r="A1508" i="8"/>
  <c r="C1507" i="8"/>
  <c r="G1507" i="8"/>
  <c r="B1507" i="8"/>
  <c r="A1509" i="8" l="1"/>
  <c r="C1508" i="8"/>
  <c r="G1508" i="8"/>
  <c r="B1508" i="8"/>
  <c r="E1508" i="8"/>
  <c r="D1508" i="8"/>
  <c r="E1509" i="8" l="1"/>
  <c r="D1509" i="8"/>
  <c r="A1510" i="8"/>
  <c r="C1509" i="8"/>
  <c r="G1509" i="8"/>
  <c r="B1509" i="8"/>
  <c r="A1511" i="8" l="1"/>
  <c r="C1510" i="8"/>
  <c r="G1510" i="8"/>
  <c r="B1510" i="8"/>
  <c r="E1510" i="8"/>
  <c r="D1510" i="8"/>
  <c r="E1511" i="8" l="1"/>
  <c r="D1511" i="8"/>
  <c r="A1512" i="8"/>
  <c r="C1511" i="8"/>
  <c r="G1511" i="8"/>
  <c r="B1511" i="8"/>
  <c r="A1513" i="8" l="1"/>
  <c r="C1512" i="8"/>
  <c r="G1512" i="8"/>
  <c r="B1512" i="8"/>
  <c r="E1512" i="8"/>
  <c r="D1512" i="8"/>
  <c r="E1513" i="8" l="1"/>
  <c r="D1513" i="8"/>
  <c r="A1514" i="8"/>
  <c r="C1513" i="8"/>
  <c r="B1513" i="8"/>
  <c r="G1513" i="8"/>
  <c r="A1515" i="8" l="1"/>
  <c r="C1514" i="8"/>
  <c r="G1514" i="8"/>
  <c r="B1514" i="8"/>
  <c r="E1514" i="8"/>
  <c r="D1514" i="8"/>
  <c r="E1515" i="8" l="1"/>
  <c r="D1515" i="8"/>
  <c r="A1516" i="8"/>
  <c r="C1515" i="8"/>
  <c r="G1515" i="8"/>
  <c r="B1515" i="8"/>
  <c r="A1517" i="8" l="1"/>
  <c r="C1516" i="8"/>
  <c r="G1516" i="8"/>
  <c r="B1516" i="8"/>
  <c r="E1516" i="8"/>
  <c r="D1516" i="8"/>
  <c r="E1517" i="8" l="1"/>
  <c r="D1517" i="8"/>
  <c r="A1518" i="8"/>
  <c r="C1517" i="8"/>
  <c r="G1517" i="8"/>
  <c r="B1517" i="8"/>
  <c r="A1519" i="8" l="1"/>
  <c r="C1518" i="8"/>
  <c r="G1518" i="8"/>
  <c r="B1518" i="8"/>
  <c r="E1518" i="8"/>
  <c r="D1518" i="8"/>
  <c r="E1519" i="8" l="1"/>
  <c r="D1519" i="8"/>
  <c r="A1520" i="8"/>
  <c r="C1519" i="8"/>
  <c r="G1519" i="8"/>
  <c r="B1519" i="8"/>
  <c r="A1521" i="8" l="1"/>
  <c r="C1520" i="8"/>
  <c r="G1520" i="8"/>
  <c r="B1520" i="8"/>
  <c r="E1520" i="8"/>
  <c r="D1520" i="8"/>
  <c r="E1521" i="8" l="1"/>
  <c r="D1521" i="8"/>
  <c r="A1522" i="8"/>
  <c r="C1521" i="8"/>
  <c r="B1521" i="8"/>
  <c r="G1521" i="8"/>
  <c r="A1523" i="8" l="1"/>
  <c r="C1522" i="8"/>
  <c r="G1522" i="8"/>
  <c r="B1522" i="8"/>
  <c r="E1522" i="8"/>
  <c r="D1522" i="8"/>
  <c r="E1523" i="8" l="1"/>
  <c r="D1523" i="8"/>
  <c r="A1524" i="8"/>
  <c r="C1523" i="8"/>
  <c r="G1523" i="8"/>
  <c r="B1523" i="8"/>
  <c r="A1525" i="8" l="1"/>
  <c r="C1524" i="8"/>
  <c r="G1524" i="8"/>
  <c r="B1524" i="8"/>
  <c r="E1524" i="8"/>
  <c r="D1524" i="8"/>
  <c r="E1525" i="8" l="1"/>
  <c r="D1525" i="8"/>
  <c r="A1526" i="8"/>
  <c r="C1525" i="8"/>
  <c r="G1525" i="8"/>
  <c r="B1525" i="8"/>
  <c r="A1527" i="8" l="1"/>
  <c r="C1526" i="8"/>
  <c r="G1526" i="8"/>
  <c r="B1526" i="8"/>
  <c r="E1526" i="8"/>
  <c r="D1526" i="8"/>
  <c r="E1527" i="8" l="1"/>
  <c r="D1527" i="8"/>
  <c r="A1528" i="8"/>
  <c r="C1527" i="8"/>
  <c r="G1527" i="8"/>
  <c r="B1527" i="8"/>
  <c r="A1529" i="8" l="1"/>
  <c r="C1528" i="8"/>
  <c r="G1528" i="8"/>
  <c r="B1528" i="8"/>
  <c r="E1528" i="8"/>
  <c r="D1528" i="8"/>
  <c r="E1529" i="8" l="1"/>
  <c r="D1529" i="8"/>
  <c r="A1530" i="8"/>
  <c r="C1529" i="8"/>
  <c r="B1529" i="8"/>
  <c r="G1529" i="8"/>
  <c r="A1531" i="8" l="1"/>
  <c r="C1530" i="8"/>
  <c r="G1530" i="8"/>
  <c r="B1530" i="8"/>
  <c r="E1530" i="8"/>
  <c r="D1530" i="8"/>
  <c r="E1531" i="8" l="1"/>
  <c r="D1531" i="8"/>
  <c r="A1532" i="8"/>
  <c r="C1531" i="8"/>
  <c r="G1531" i="8"/>
  <c r="B1531" i="8"/>
  <c r="A1533" i="8" l="1"/>
  <c r="C1532" i="8"/>
  <c r="G1532" i="8"/>
  <c r="B1532" i="8"/>
  <c r="E1532" i="8"/>
  <c r="D1532" i="8"/>
  <c r="E1533" i="8" l="1"/>
  <c r="D1533" i="8"/>
  <c r="A1534" i="8"/>
  <c r="C1533" i="8"/>
  <c r="G1533" i="8"/>
  <c r="B1533" i="8"/>
  <c r="A1535" i="8" l="1"/>
  <c r="C1534" i="8"/>
  <c r="G1534" i="8"/>
  <c r="B1534" i="8"/>
  <c r="E1534" i="8"/>
  <c r="D1534" i="8"/>
  <c r="E1535" i="8" l="1"/>
  <c r="D1535" i="8"/>
  <c r="A1536" i="8"/>
  <c r="C1535" i="8"/>
  <c r="G1535" i="8"/>
  <c r="B1535" i="8"/>
  <c r="A1537" i="8" l="1"/>
  <c r="C1536" i="8"/>
  <c r="G1536" i="8"/>
  <c r="B1536" i="8"/>
  <c r="E1536" i="8"/>
  <c r="D1536" i="8"/>
  <c r="E1537" i="8" l="1"/>
  <c r="D1537" i="8"/>
  <c r="A1538" i="8"/>
  <c r="C1537" i="8"/>
  <c r="B1537" i="8"/>
  <c r="G1537" i="8"/>
  <c r="A1539" i="8" l="1"/>
  <c r="C1538" i="8"/>
  <c r="G1538" i="8"/>
  <c r="B1538" i="8"/>
  <c r="E1538" i="8"/>
  <c r="D1538" i="8"/>
  <c r="E1539" i="8" l="1"/>
  <c r="D1539" i="8"/>
  <c r="A1540" i="8"/>
  <c r="C1539" i="8"/>
  <c r="G1539" i="8"/>
  <c r="B1539" i="8"/>
  <c r="A1541" i="8" l="1"/>
  <c r="C1540" i="8"/>
  <c r="G1540" i="8"/>
  <c r="B1540" i="8"/>
  <c r="E1540" i="8"/>
  <c r="D1540" i="8"/>
  <c r="E1541" i="8" l="1"/>
  <c r="D1541" i="8"/>
  <c r="A1542" i="8"/>
  <c r="C1541" i="8"/>
  <c r="G1541" i="8"/>
  <c r="B1541" i="8"/>
  <c r="A1543" i="8" l="1"/>
  <c r="C1542" i="8"/>
  <c r="G1542" i="8"/>
  <c r="B1542" i="8"/>
  <c r="E1542" i="8"/>
  <c r="D1542" i="8"/>
  <c r="E1543" i="8" l="1"/>
  <c r="D1543" i="8"/>
  <c r="A1544" i="8"/>
  <c r="C1543" i="8"/>
  <c r="G1543" i="8"/>
  <c r="B1543" i="8"/>
  <c r="A1545" i="8" l="1"/>
  <c r="C1544" i="8"/>
  <c r="G1544" i="8"/>
  <c r="B1544" i="8"/>
  <c r="E1544" i="8"/>
  <c r="D1544" i="8"/>
  <c r="E1545" i="8" l="1"/>
  <c r="D1545" i="8"/>
  <c r="A1546" i="8"/>
  <c r="C1545" i="8"/>
  <c r="B1545" i="8"/>
  <c r="G1545" i="8"/>
  <c r="A1547" i="8" l="1"/>
  <c r="C1546" i="8"/>
  <c r="G1546" i="8"/>
  <c r="B1546" i="8"/>
  <c r="E1546" i="8"/>
  <c r="D1546" i="8"/>
  <c r="E1547" i="8" l="1"/>
  <c r="D1547" i="8"/>
  <c r="A1548" i="8"/>
  <c r="C1547" i="8"/>
  <c r="G1547" i="8"/>
  <c r="B1547" i="8"/>
  <c r="A1549" i="8" l="1"/>
  <c r="C1548" i="8"/>
  <c r="G1548" i="8"/>
  <c r="B1548" i="8"/>
  <c r="E1548" i="8"/>
  <c r="D1548" i="8"/>
  <c r="E1549" i="8" l="1"/>
  <c r="D1549" i="8"/>
  <c r="A1550" i="8"/>
  <c r="C1549" i="8"/>
  <c r="G1549" i="8"/>
  <c r="B1549" i="8"/>
  <c r="A1551" i="8" l="1"/>
  <c r="C1550" i="8"/>
  <c r="G1550" i="8"/>
  <c r="B1550" i="8"/>
  <c r="E1550" i="8"/>
  <c r="D1550" i="8"/>
  <c r="E1551" i="8" l="1"/>
  <c r="D1551" i="8"/>
  <c r="A1552" i="8"/>
  <c r="C1551" i="8"/>
  <c r="G1551" i="8"/>
  <c r="B1551" i="8"/>
  <c r="A1553" i="8" l="1"/>
  <c r="C1552" i="8"/>
  <c r="G1552" i="8"/>
  <c r="B1552" i="8"/>
  <c r="E1552" i="8"/>
  <c r="D1552" i="8"/>
  <c r="E1553" i="8" l="1"/>
  <c r="D1553" i="8"/>
  <c r="A1554" i="8"/>
  <c r="C1553" i="8"/>
  <c r="B1553" i="8"/>
  <c r="G1553" i="8"/>
  <c r="A1555" i="8" l="1"/>
  <c r="C1554" i="8"/>
  <c r="G1554" i="8"/>
  <c r="B1554" i="8"/>
  <c r="E1554" i="8"/>
  <c r="D1554" i="8"/>
  <c r="E1555" i="8" l="1"/>
  <c r="D1555" i="8"/>
  <c r="A1556" i="8"/>
  <c r="C1555" i="8"/>
  <c r="G1555" i="8"/>
  <c r="B1555" i="8"/>
  <c r="A1557" i="8" l="1"/>
  <c r="C1556" i="8"/>
  <c r="G1556" i="8"/>
  <c r="B1556" i="8"/>
  <c r="E1556" i="8"/>
  <c r="D1556" i="8"/>
  <c r="E1557" i="8" l="1"/>
  <c r="D1557" i="8"/>
  <c r="A1558" i="8"/>
  <c r="C1557" i="8"/>
  <c r="G1557" i="8"/>
  <c r="B1557" i="8"/>
  <c r="A1559" i="8" l="1"/>
  <c r="C1558" i="8"/>
  <c r="G1558" i="8"/>
  <c r="B1558" i="8"/>
  <c r="E1558" i="8"/>
  <c r="D1558" i="8"/>
  <c r="E1559" i="8" l="1"/>
  <c r="D1559" i="8"/>
  <c r="A1560" i="8"/>
  <c r="C1559" i="8"/>
  <c r="G1559" i="8"/>
  <c r="B1559" i="8"/>
  <c r="A1561" i="8" l="1"/>
  <c r="C1560" i="8"/>
  <c r="G1560" i="8"/>
  <c r="B1560" i="8"/>
  <c r="E1560" i="8"/>
  <c r="D1560" i="8"/>
  <c r="E1561" i="8" l="1"/>
  <c r="D1561" i="8"/>
  <c r="A1562" i="8"/>
  <c r="C1561" i="8"/>
  <c r="B1561" i="8"/>
  <c r="G1561" i="8"/>
  <c r="A1563" i="8" l="1"/>
  <c r="C1562" i="8"/>
  <c r="G1562" i="8"/>
  <c r="B1562" i="8"/>
  <c r="E1562" i="8"/>
  <c r="D1562" i="8"/>
  <c r="E1563" i="8" l="1"/>
  <c r="D1563" i="8"/>
  <c r="A1564" i="8"/>
  <c r="C1563" i="8"/>
  <c r="G1563" i="8"/>
  <c r="B1563" i="8"/>
  <c r="A1565" i="8" l="1"/>
  <c r="C1564" i="8"/>
  <c r="G1564" i="8"/>
  <c r="B1564" i="8"/>
  <c r="E1564" i="8"/>
  <c r="D1564" i="8"/>
  <c r="E1565" i="8" l="1"/>
  <c r="D1565" i="8"/>
  <c r="A1566" i="8"/>
  <c r="C1565" i="8"/>
  <c r="G1565" i="8"/>
  <c r="B1565" i="8"/>
  <c r="A1567" i="8" l="1"/>
  <c r="C1566" i="8"/>
  <c r="G1566" i="8"/>
  <c r="B1566" i="8"/>
  <c r="E1566" i="8"/>
  <c r="D1566" i="8"/>
  <c r="E1567" i="8" l="1"/>
  <c r="D1567" i="8"/>
  <c r="A1568" i="8"/>
  <c r="C1567" i="8"/>
  <c r="G1567" i="8"/>
  <c r="B1567" i="8"/>
  <c r="A1569" i="8" l="1"/>
  <c r="C1568" i="8"/>
  <c r="G1568" i="8"/>
  <c r="B1568" i="8"/>
  <c r="E1568" i="8"/>
  <c r="D1568" i="8"/>
  <c r="E1569" i="8" l="1"/>
  <c r="D1569" i="8"/>
  <c r="A1570" i="8"/>
  <c r="C1569" i="8"/>
  <c r="B1569" i="8"/>
  <c r="G1569" i="8"/>
  <c r="A1571" i="8" l="1"/>
  <c r="C1570" i="8"/>
  <c r="G1570" i="8"/>
  <c r="B1570" i="8"/>
  <c r="E1570" i="8"/>
  <c r="D1570" i="8"/>
  <c r="E1571" i="8" l="1"/>
  <c r="D1571" i="8"/>
  <c r="A1572" i="8"/>
  <c r="C1571" i="8"/>
  <c r="G1571" i="8"/>
  <c r="B1571" i="8"/>
  <c r="A1573" i="8" l="1"/>
  <c r="C1572" i="8"/>
  <c r="G1572" i="8"/>
  <c r="B1572" i="8"/>
  <c r="E1572" i="8"/>
  <c r="D1572" i="8"/>
  <c r="E1573" i="8" l="1"/>
  <c r="D1573" i="8"/>
  <c r="A1574" i="8"/>
  <c r="C1573" i="8"/>
  <c r="G1573" i="8"/>
  <c r="B1573" i="8"/>
  <c r="A1575" i="8" l="1"/>
  <c r="C1574" i="8"/>
  <c r="G1574" i="8"/>
  <c r="B1574" i="8"/>
  <c r="E1574" i="8"/>
  <c r="D1574" i="8"/>
  <c r="E1575" i="8" l="1"/>
  <c r="D1575" i="8"/>
  <c r="A1576" i="8"/>
  <c r="C1575" i="8"/>
  <c r="G1575" i="8"/>
  <c r="B1575" i="8"/>
  <c r="A1577" i="8" l="1"/>
  <c r="C1576" i="8"/>
  <c r="G1576" i="8"/>
  <c r="B1576" i="8"/>
  <c r="E1576" i="8"/>
  <c r="D1576" i="8"/>
  <c r="E1577" i="8" l="1"/>
  <c r="D1577" i="8"/>
  <c r="A1578" i="8"/>
  <c r="C1577" i="8"/>
  <c r="B1577" i="8"/>
  <c r="G1577" i="8"/>
  <c r="A1579" i="8" l="1"/>
  <c r="C1578" i="8"/>
  <c r="G1578" i="8"/>
  <c r="B1578" i="8"/>
  <c r="E1578" i="8"/>
  <c r="D1578" i="8"/>
  <c r="E1579" i="8" l="1"/>
  <c r="D1579" i="8"/>
  <c r="A1580" i="8"/>
  <c r="C1579" i="8"/>
  <c r="G1579" i="8"/>
  <c r="B1579" i="8"/>
  <c r="A1581" i="8" l="1"/>
  <c r="C1580" i="8"/>
  <c r="G1580" i="8"/>
  <c r="B1580" i="8"/>
  <c r="E1580" i="8"/>
  <c r="D1580" i="8"/>
  <c r="E1581" i="8" l="1"/>
  <c r="D1581" i="8"/>
  <c r="A1582" i="8"/>
  <c r="C1581" i="8"/>
  <c r="G1581" i="8"/>
  <c r="B1581" i="8"/>
  <c r="A1583" i="8" l="1"/>
  <c r="C1582" i="8"/>
  <c r="G1582" i="8"/>
  <c r="B1582" i="8"/>
  <c r="E1582" i="8"/>
  <c r="D1582" i="8"/>
  <c r="E1583" i="8" l="1"/>
  <c r="D1583" i="8"/>
  <c r="A1584" i="8"/>
  <c r="C1583" i="8"/>
  <c r="G1583" i="8"/>
  <c r="B1583" i="8"/>
  <c r="A1585" i="8" l="1"/>
  <c r="C1584" i="8"/>
  <c r="G1584" i="8"/>
  <c r="B1584" i="8"/>
  <c r="E1584" i="8"/>
  <c r="D1584" i="8"/>
  <c r="E1585" i="8" l="1"/>
  <c r="D1585" i="8"/>
  <c r="A1586" i="8"/>
  <c r="C1585" i="8"/>
  <c r="B1585" i="8"/>
  <c r="G1585" i="8"/>
  <c r="A1587" i="8" l="1"/>
  <c r="C1586" i="8"/>
  <c r="G1586" i="8"/>
  <c r="B1586" i="8"/>
  <c r="E1586" i="8"/>
  <c r="D1586" i="8"/>
  <c r="E1587" i="8" l="1"/>
  <c r="D1587" i="8"/>
  <c r="A1588" i="8"/>
  <c r="C1587" i="8"/>
  <c r="G1587" i="8"/>
  <c r="B1587" i="8"/>
  <c r="A1589" i="8" l="1"/>
  <c r="C1588" i="8"/>
  <c r="G1588" i="8"/>
  <c r="B1588" i="8"/>
  <c r="E1588" i="8"/>
  <c r="D1588" i="8"/>
  <c r="E1589" i="8" l="1"/>
  <c r="D1589" i="8"/>
  <c r="A1590" i="8"/>
  <c r="C1589" i="8"/>
  <c r="G1589" i="8"/>
  <c r="B1589" i="8"/>
  <c r="A1591" i="8" l="1"/>
  <c r="C1590" i="8"/>
  <c r="G1590" i="8"/>
  <c r="B1590" i="8"/>
  <c r="E1590" i="8"/>
  <c r="D1590" i="8"/>
  <c r="E1591" i="8" l="1"/>
  <c r="D1591" i="8"/>
  <c r="A1592" i="8"/>
  <c r="C1591" i="8"/>
  <c r="G1591" i="8"/>
  <c r="B1591" i="8"/>
  <c r="A1593" i="8" l="1"/>
  <c r="C1592" i="8"/>
  <c r="G1592" i="8"/>
  <c r="B1592" i="8"/>
  <c r="E1592" i="8"/>
  <c r="D1592" i="8"/>
  <c r="E1593" i="8" l="1"/>
  <c r="D1593" i="8"/>
  <c r="A1594" i="8"/>
  <c r="C1593" i="8"/>
  <c r="B1593" i="8"/>
  <c r="G1593" i="8"/>
  <c r="A1595" i="8" l="1"/>
  <c r="C1594" i="8"/>
  <c r="G1594" i="8"/>
  <c r="B1594" i="8"/>
  <c r="E1594" i="8"/>
  <c r="D1594" i="8"/>
  <c r="E1595" i="8" l="1"/>
  <c r="D1595" i="8"/>
  <c r="A1596" i="8"/>
  <c r="C1595" i="8"/>
  <c r="G1595" i="8"/>
  <c r="B1595" i="8"/>
  <c r="A1597" i="8" l="1"/>
  <c r="C1596" i="8"/>
  <c r="G1596" i="8"/>
  <c r="B1596" i="8"/>
  <c r="E1596" i="8"/>
  <c r="D1596" i="8"/>
  <c r="E1597" i="8" l="1"/>
  <c r="D1597" i="8"/>
  <c r="A1598" i="8"/>
  <c r="C1597" i="8"/>
  <c r="G1597" i="8"/>
  <c r="B1597" i="8"/>
  <c r="A1599" i="8" l="1"/>
  <c r="C1598" i="8"/>
  <c r="G1598" i="8"/>
  <c r="B1598" i="8"/>
  <c r="E1598" i="8"/>
  <c r="D1598" i="8"/>
  <c r="E1599" i="8" l="1"/>
  <c r="D1599" i="8"/>
  <c r="A1600" i="8"/>
  <c r="C1599" i="8"/>
  <c r="G1599" i="8"/>
  <c r="B1599" i="8"/>
  <c r="A1601" i="8" l="1"/>
  <c r="C1600" i="8"/>
  <c r="G1600" i="8"/>
  <c r="B1600" i="8"/>
  <c r="E1600" i="8"/>
  <c r="D1600" i="8"/>
  <c r="E1601" i="8" l="1"/>
  <c r="D1601" i="8"/>
  <c r="A1602" i="8"/>
  <c r="C1601" i="8"/>
  <c r="B1601" i="8"/>
  <c r="G1601" i="8"/>
  <c r="A1603" i="8" l="1"/>
  <c r="C1602" i="8"/>
  <c r="G1602" i="8"/>
  <c r="B1602" i="8"/>
  <c r="E1602" i="8"/>
  <c r="D1602" i="8"/>
  <c r="E1603" i="8" l="1"/>
  <c r="D1603" i="8"/>
  <c r="A1604" i="8"/>
  <c r="C1603" i="8"/>
  <c r="G1603" i="8"/>
  <c r="B1603" i="8"/>
  <c r="A1605" i="8" l="1"/>
  <c r="C1604" i="8"/>
  <c r="G1604" i="8"/>
  <c r="B1604" i="8"/>
  <c r="E1604" i="8"/>
  <c r="D1604" i="8"/>
  <c r="E1605" i="8" l="1"/>
  <c r="D1605" i="8"/>
  <c r="A1606" i="8"/>
  <c r="C1605" i="8"/>
  <c r="G1605" i="8"/>
  <c r="B1605" i="8"/>
  <c r="A1607" i="8" l="1"/>
  <c r="C1606" i="8"/>
  <c r="G1606" i="8"/>
  <c r="B1606" i="8"/>
  <c r="E1606" i="8"/>
  <c r="D1606" i="8"/>
  <c r="E1607" i="8" l="1"/>
  <c r="D1607" i="8"/>
  <c r="A1608" i="8"/>
  <c r="C1607" i="8"/>
  <c r="G1607" i="8"/>
  <c r="B1607" i="8"/>
  <c r="A1609" i="8" l="1"/>
  <c r="C1608" i="8"/>
  <c r="G1608" i="8"/>
  <c r="B1608" i="8"/>
  <c r="E1608" i="8"/>
  <c r="D1608" i="8"/>
  <c r="E1609" i="8" l="1"/>
  <c r="D1609" i="8"/>
  <c r="A1610" i="8"/>
  <c r="C1609" i="8"/>
  <c r="B1609" i="8"/>
  <c r="G1609" i="8"/>
  <c r="A1611" i="8" l="1"/>
  <c r="C1610" i="8"/>
  <c r="G1610" i="8"/>
  <c r="B1610" i="8"/>
  <c r="E1610" i="8"/>
  <c r="D1610" i="8"/>
  <c r="E1611" i="8" l="1"/>
  <c r="D1611" i="8"/>
  <c r="A1612" i="8"/>
  <c r="C1611" i="8"/>
  <c r="G1611" i="8"/>
  <c r="B1611" i="8"/>
  <c r="A1613" i="8" l="1"/>
  <c r="C1612" i="8"/>
  <c r="G1612" i="8"/>
  <c r="B1612" i="8"/>
  <c r="E1612" i="8"/>
  <c r="D1612" i="8"/>
  <c r="E1613" i="8" l="1"/>
  <c r="D1613" i="8"/>
  <c r="A1614" i="8"/>
  <c r="C1613" i="8"/>
  <c r="G1613" i="8"/>
  <c r="B1613" i="8"/>
  <c r="A1615" i="8" l="1"/>
  <c r="C1614" i="8"/>
  <c r="G1614" i="8"/>
  <c r="B1614" i="8"/>
  <c r="E1614" i="8"/>
  <c r="D1614" i="8"/>
  <c r="E1615" i="8" l="1"/>
  <c r="D1615" i="8"/>
  <c r="A1616" i="8"/>
  <c r="C1615" i="8"/>
  <c r="G1615" i="8"/>
  <c r="B1615" i="8"/>
  <c r="A1617" i="8" l="1"/>
  <c r="C1616" i="8"/>
  <c r="G1616" i="8"/>
  <c r="B1616" i="8"/>
  <c r="E1616" i="8"/>
  <c r="D1616" i="8"/>
  <c r="E1617" i="8" l="1"/>
  <c r="D1617" i="8"/>
  <c r="A1618" i="8"/>
  <c r="C1617" i="8"/>
  <c r="B1617" i="8"/>
  <c r="G1617" i="8"/>
  <c r="A1619" i="8" l="1"/>
  <c r="C1618" i="8"/>
  <c r="G1618" i="8"/>
  <c r="B1618" i="8"/>
  <c r="E1618" i="8"/>
  <c r="D1618" i="8"/>
  <c r="E1619" i="8" l="1"/>
  <c r="D1619" i="8"/>
  <c r="A1620" i="8"/>
  <c r="C1619" i="8"/>
  <c r="G1619" i="8"/>
  <c r="B1619" i="8"/>
  <c r="A1621" i="8" l="1"/>
  <c r="C1620" i="8"/>
  <c r="G1620" i="8"/>
  <c r="B1620" i="8"/>
  <c r="E1620" i="8"/>
  <c r="D1620" i="8"/>
  <c r="E1621" i="8" l="1"/>
  <c r="D1621" i="8"/>
  <c r="A1622" i="8"/>
  <c r="C1621" i="8"/>
  <c r="G1621" i="8"/>
  <c r="B1621" i="8"/>
  <c r="A1623" i="8" l="1"/>
  <c r="C1622" i="8"/>
  <c r="G1622" i="8"/>
  <c r="B1622" i="8"/>
  <c r="E1622" i="8"/>
  <c r="D1622" i="8"/>
  <c r="E1623" i="8" l="1"/>
  <c r="D1623" i="8"/>
  <c r="A1624" i="8"/>
  <c r="C1623" i="8"/>
  <c r="G1623" i="8"/>
  <c r="B1623" i="8"/>
  <c r="A1625" i="8" l="1"/>
  <c r="C1624" i="8"/>
  <c r="G1624" i="8"/>
  <c r="B1624" i="8"/>
  <c r="E1624" i="8"/>
  <c r="D1624" i="8"/>
  <c r="E1625" i="8" l="1"/>
  <c r="D1625" i="8"/>
  <c r="A1626" i="8"/>
  <c r="C1625" i="8"/>
  <c r="B1625" i="8"/>
  <c r="G1625" i="8"/>
  <c r="A1627" i="8" l="1"/>
  <c r="C1626" i="8"/>
  <c r="G1626" i="8"/>
  <c r="B1626" i="8"/>
  <c r="E1626" i="8"/>
  <c r="D1626" i="8"/>
  <c r="E1627" i="8" l="1"/>
  <c r="D1627" i="8"/>
  <c r="A1628" i="8"/>
  <c r="C1627" i="8"/>
  <c r="G1627" i="8"/>
  <c r="B1627" i="8"/>
  <c r="A1629" i="8" l="1"/>
  <c r="C1628" i="8"/>
  <c r="G1628" i="8"/>
  <c r="B1628" i="8"/>
  <c r="E1628" i="8"/>
  <c r="D1628" i="8"/>
  <c r="E1629" i="8" l="1"/>
  <c r="D1629" i="8"/>
  <c r="A1630" i="8"/>
  <c r="C1629" i="8"/>
  <c r="G1629" i="8"/>
  <c r="B1629" i="8"/>
  <c r="A1631" i="8" l="1"/>
  <c r="C1630" i="8"/>
  <c r="G1630" i="8"/>
  <c r="B1630" i="8"/>
  <c r="E1630" i="8"/>
  <c r="D1630" i="8"/>
  <c r="E1631" i="8" l="1"/>
  <c r="D1631" i="8"/>
  <c r="A1632" i="8"/>
  <c r="C1631" i="8"/>
  <c r="G1631" i="8"/>
  <c r="B1631" i="8"/>
  <c r="A1633" i="8" l="1"/>
  <c r="C1632" i="8"/>
  <c r="G1632" i="8"/>
  <c r="B1632" i="8"/>
  <c r="E1632" i="8"/>
  <c r="D1632" i="8"/>
  <c r="E1633" i="8" l="1"/>
  <c r="D1633" i="8"/>
  <c r="A1634" i="8"/>
  <c r="C1633" i="8"/>
  <c r="B1633" i="8"/>
  <c r="G1633" i="8"/>
  <c r="A1635" i="8" l="1"/>
  <c r="C1634" i="8"/>
  <c r="G1634" i="8"/>
  <c r="B1634" i="8"/>
  <c r="E1634" i="8"/>
  <c r="D1634" i="8"/>
  <c r="E1635" i="8" l="1"/>
  <c r="D1635" i="8"/>
  <c r="A1636" i="8"/>
  <c r="C1635" i="8"/>
  <c r="G1635" i="8"/>
  <c r="B1635" i="8"/>
  <c r="A1637" i="8" l="1"/>
  <c r="C1636" i="8"/>
  <c r="G1636" i="8"/>
  <c r="B1636" i="8"/>
  <c r="E1636" i="8"/>
  <c r="D1636" i="8"/>
  <c r="E1637" i="8" l="1"/>
  <c r="D1637" i="8"/>
  <c r="A1638" i="8"/>
  <c r="C1637" i="8"/>
  <c r="G1637" i="8"/>
  <c r="B1637" i="8"/>
  <c r="A1639" i="8" l="1"/>
  <c r="C1638" i="8"/>
  <c r="G1638" i="8"/>
  <c r="B1638" i="8"/>
  <c r="E1638" i="8"/>
  <c r="D1638" i="8"/>
  <c r="E1639" i="8" l="1"/>
  <c r="D1639" i="8"/>
  <c r="A1640" i="8"/>
  <c r="C1639" i="8"/>
  <c r="G1639" i="8"/>
  <c r="B1639" i="8"/>
  <c r="A1641" i="8" l="1"/>
  <c r="C1640" i="8"/>
  <c r="G1640" i="8"/>
  <c r="B1640" i="8"/>
  <c r="E1640" i="8"/>
  <c r="D1640" i="8"/>
  <c r="E1641" i="8" l="1"/>
  <c r="D1641" i="8"/>
  <c r="A1642" i="8"/>
  <c r="C1641" i="8"/>
  <c r="B1641" i="8"/>
  <c r="G1641" i="8"/>
  <c r="A1643" i="8" l="1"/>
  <c r="C1642" i="8"/>
  <c r="G1642" i="8"/>
  <c r="B1642" i="8"/>
  <c r="E1642" i="8"/>
  <c r="D1642" i="8"/>
  <c r="E1643" i="8" l="1"/>
  <c r="D1643" i="8"/>
  <c r="A1644" i="8"/>
  <c r="C1643" i="8"/>
  <c r="G1643" i="8"/>
  <c r="B1643" i="8"/>
  <c r="A1645" i="8" l="1"/>
  <c r="C1644" i="8"/>
  <c r="G1644" i="8"/>
  <c r="B1644" i="8"/>
  <c r="E1644" i="8"/>
  <c r="D1644" i="8"/>
  <c r="E1645" i="8" l="1"/>
  <c r="D1645" i="8"/>
  <c r="A1646" i="8"/>
  <c r="C1645" i="8"/>
  <c r="G1645" i="8"/>
  <c r="B1645" i="8"/>
  <c r="A1647" i="8" l="1"/>
  <c r="C1646" i="8"/>
  <c r="G1646" i="8"/>
  <c r="B1646" i="8"/>
  <c r="E1646" i="8"/>
  <c r="D1646" i="8"/>
  <c r="E1647" i="8" l="1"/>
  <c r="D1647" i="8"/>
  <c r="A1648" i="8"/>
  <c r="C1647" i="8"/>
  <c r="G1647" i="8"/>
  <c r="B1647" i="8"/>
  <c r="A1649" i="8" l="1"/>
  <c r="C1648" i="8"/>
  <c r="G1648" i="8"/>
  <c r="B1648" i="8"/>
  <c r="E1648" i="8"/>
  <c r="D1648" i="8"/>
  <c r="E1649" i="8" l="1"/>
  <c r="D1649" i="8"/>
  <c r="A1650" i="8"/>
  <c r="C1649" i="8"/>
  <c r="B1649" i="8"/>
  <c r="G1649" i="8"/>
  <c r="A1651" i="8" l="1"/>
  <c r="C1650" i="8"/>
  <c r="G1650" i="8"/>
  <c r="B1650" i="8"/>
  <c r="E1650" i="8"/>
  <c r="D1650" i="8"/>
  <c r="E1651" i="8" l="1"/>
  <c r="D1651" i="8"/>
  <c r="A1652" i="8"/>
  <c r="C1651" i="8"/>
  <c r="G1651" i="8"/>
  <c r="B1651" i="8"/>
  <c r="A1653" i="8" l="1"/>
  <c r="C1652" i="8"/>
  <c r="G1652" i="8"/>
  <c r="B1652" i="8"/>
  <c r="E1652" i="8"/>
  <c r="D1652" i="8"/>
  <c r="E1653" i="8" l="1"/>
  <c r="D1653" i="8"/>
  <c r="A1654" i="8"/>
  <c r="C1653" i="8"/>
  <c r="G1653" i="8"/>
  <c r="B1653" i="8"/>
  <c r="A1655" i="8" l="1"/>
  <c r="C1654" i="8"/>
  <c r="G1654" i="8"/>
  <c r="B1654" i="8"/>
  <c r="E1654" i="8"/>
  <c r="D1654" i="8"/>
  <c r="E1655" i="8" l="1"/>
  <c r="D1655" i="8"/>
  <c r="A1656" i="8"/>
  <c r="C1655" i="8"/>
  <c r="G1655" i="8"/>
  <c r="B1655" i="8"/>
  <c r="A1657" i="8" l="1"/>
  <c r="C1656" i="8"/>
  <c r="G1656" i="8"/>
  <c r="B1656" i="8"/>
  <c r="E1656" i="8"/>
  <c r="D1656" i="8"/>
  <c r="E1657" i="8" l="1"/>
  <c r="D1657" i="8"/>
  <c r="A1658" i="8"/>
  <c r="C1657" i="8"/>
  <c r="B1657" i="8"/>
  <c r="G1657" i="8"/>
  <c r="A1659" i="8" l="1"/>
  <c r="C1658" i="8"/>
  <c r="G1658" i="8"/>
  <c r="B1658" i="8"/>
  <c r="E1658" i="8"/>
  <c r="D1658" i="8"/>
  <c r="E1659" i="8" l="1"/>
  <c r="D1659" i="8"/>
  <c r="A1660" i="8"/>
  <c r="C1659" i="8"/>
  <c r="G1659" i="8"/>
  <c r="B1659" i="8"/>
  <c r="A1661" i="8" l="1"/>
  <c r="C1660" i="8"/>
  <c r="G1660" i="8"/>
  <c r="B1660" i="8"/>
  <c r="E1660" i="8"/>
  <c r="D1660" i="8"/>
  <c r="E1661" i="8" l="1"/>
  <c r="D1661" i="8"/>
  <c r="A1662" i="8"/>
  <c r="C1661" i="8"/>
  <c r="G1661" i="8"/>
  <c r="B1661" i="8"/>
  <c r="A1663" i="8" l="1"/>
  <c r="C1662" i="8"/>
  <c r="G1662" i="8"/>
  <c r="B1662" i="8"/>
  <c r="E1662" i="8"/>
  <c r="D1662" i="8"/>
  <c r="E1663" i="8" l="1"/>
  <c r="D1663" i="8"/>
  <c r="A1664" i="8"/>
  <c r="C1663" i="8"/>
  <c r="G1663" i="8"/>
  <c r="B1663" i="8"/>
  <c r="A1665" i="8" l="1"/>
  <c r="C1664" i="8"/>
  <c r="G1664" i="8"/>
  <c r="B1664" i="8"/>
  <c r="E1664" i="8"/>
  <c r="D1664" i="8"/>
  <c r="E1665" i="8" l="1"/>
  <c r="D1665" i="8"/>
  <c r="A1666" i="8"/>
  <c r="C1665" i="8"/>
  <c r="B1665" i="8"/>
  <c r="G1665" i="8"/>
  <c r="A1667" i="8" l="1"/>
  <c r="C1666" i="8"/>
  <c r="G1666" i="8"/>
  <c r="B1666" i="8"/>
  <c r="E1666" i="8"/>
  <c r="D1666" i="8"/>
  <c r="E1667" i="8" l="1"/>
  <c r="D1667" i="8"/>
  <c r="A1668" i="8"/>
  <c r="C1667" i="8"/>
  <c r="G1667" i="8"/>
  <c r="B1667" i="8"/>
  <c r="A1669" i="8" l="1"/>
  <c r="C1668" i="8"/>
  <c r="G1668" i="8"/>
  <c r="B1668" i="8"/>
  <c r="E1668" i="8"/>
  <c r="D1668" i="8"/>
  <c r="E1669" i="8" l="1"/>
  <c r="D1669" i="8"/>
  <c r="A1670" i="8"/>
  <c r="C1669" i="8"/>
  <c r="G1669" i="8"/>
  <c r="B1669" i="8"/>
  <c r="A1671" i="8" l="1"/>
  <c r="C1670" i="8"/>
  <c r="G1670" i="8"/>
  <c r="B1670" i="8"/>
  <c r="E1670" i="8"/>
  <c r="D1670" i="8"/>
  <c r="E1671" i="8" l="1"/>
  <c r="D1671" i="8"/>
  <c r="A1672" i="8"/>
  <c r="C1671" i="8"/>
  <c r="G1671" i="8"/>
  <c r="B1671" i="8"/>
  <c r="A1673" i="8" l="1"/>
  <c r="C1672" i="8"/>
  <c r="G1672" i="8"/>
  <c r="B1672" i="8"/>
  <c r="E1672" i="8"/>
  <c r="D1672" i="8"/>
  <c r="E1673" i="8" l="1"/>
  <c r="D1673" i="8"/>
  <c r="A1674" i="8"/>
  <c r="C1673" i="8"/>
  <c r="B1673" i="8"/>
  <c r="G1673" i="8"/>
  <c r="A1675" i="8" l="1"/>
  <c r="C1674" i="8"/>
  <c r="G1674" i="8"/>
  <c r="B1674" i="8"/>
  <c r="E1674" i="8"/>
  <c r="D1674" i="8"/>
  <c r="E1675" i="8" l="1"/>
  <c r="D1675" i="8"/>
  <c r="A1676" i="8"/>
  <c r="C1675" i="8"/>
  <c r="G1675" i="8"/>
  <c r="B1675" i="8"/>
  <c r="A1677" i="8" l="1"/>
  <c r="C1676" i="8"/>
  <c r="G1676" i="8"/>
  <c r="B1676" i="8"/>
  <c r="E1676" i="8"/>
  <c r="D1676" i="8"/>
  <c r="E1677" i="8" l="1"/>
  <c r="D1677" i="8"/>
  <c r="A1678" i="8"/>
  <c r="C1677" i="8"/>
  <c r="G1677" i="8"/>
  <c r="B1677" i="8"/>
  <c r="A1679" i="8" l="1"/>
  <c r="C1678" i="8"/>
  <c r="G1678" i="8"/>
  <c r="B1678" i="8"/>
  <c r="E1678" i="8"/>
  <c r="D1678" i="8"/>
  <c r="E1679" i="8" l="1"/>
  <c r="D1679" i="8"/>
  <c r="A1680" i="8"/>
  <c r="C1679" i="8"/>
  <c r="G1679" i="8"/>
  <c r="B1679" i="8"/>
  <c r="A1681" i="8" l="1"/>
  <c r="C1680" i="8"/>
  <c r="G1680" i="8"/>
  <c r="B1680" i="8"/>
  <c r="E1680" i="8"/>
  <c r="D1680" i="8"/>
  <c r="E1681" i="8" l="1"/>
  <c r="D1681" i="8"/>
  <c r="A1682" i="8"/>
  <c r="C1681" i="8"/>
  <c r="B1681" i="8"/>
  <c r="G1681" i="8"/>
  <c r="A1683" i="8" l="1"/>
  <c r="C1682" i="8"/>
  <c r="G1682" i="8"/>
  <c r="B1682" i="8"/>
  <c r="E1682" i="8"/>
  <c r="D1682" i="8"/>
  <c r="E1683" i="8" l="1"/>
  <c r="D1683" i="8"/>
  <c r="A1684" i="8"/>
  <c r="C1683" i="8"/>
  <c r="G1683" i="8"/>
  <c r="B1683" i="8"/>
  <c r="A1685" i="8" l="1"/>
  <c r="C1684" i="8"/>
  <c r="G1684" i="8"/>
  <c r="B1684" i="8"/>
  <c r="E1684" i="8"/>
  <c r="D1684" i="8"/>
  <c r="E1685" i="8" l="1"/>
  <c r="D1685" i="8"/>
  <c r="A1686" i="8"/>
  <c r="C1685" i="8"/>
  <c r="G1685" i="8"/>
  <c r="B1685" i="8"/>
  <c r="A1687" i="8" l="1"/>
  <c r="C1686" i="8"/>
  <c r="G1686" i="8"/>
  <c r="B1686" i="8"/>
  <c r="E1686" i="8"/>
  <c r="D1686" i="8"/>
  <c r="E1687" i="8" l="1"/>
  <c r="D1687" i="8"/>
  <c r="A1688" i="8"/>
  <c r="C1687" i="8"/>
  <c r="G1687" i="8"/>
  <c r="B1687" i="8"/>
  <c r="A1689" i="8" l="1"/>
  <c r="C1688" i="8"/>
  <c r="G1688" i="8"/>
  <c r="B1688" i="8"/>
  <c r="E1688" i="8"/>
  <c r="D1688" i="8"/>
  <c r="E1689" i="8" l="1"/>
  <c r="D1689" i="8"/>
  <c r="A1690" i="8"/>
  <c r="C1689" i="8"/>
  <c r="B1689" i="8"/>
  <c r="G1689" i="8"/>
  <c r="A1691" i="8" l="1"/>
  <c r="C1690" i="8"/>
  <c r="G1690" i="8"/>
  <c r="B1690" i="8"/>
  <c r="E1690" i="8"/>
  <c r="D1690" i="8"/>
  <c r="E1691" i="8" l="1"/>
  <c r="D1691" i="8"/>
  <c r="A1692" i="8"/>
  <c r="C1691" i="8"/>
  <c r="G1691" i="8"/>
  <c r="B1691" i="8"/>
  <c r="A1693" i="8" l="1"/>
  <c r="C1692" i="8"/>
  <c r="G1692" i="8"/>
  <c r="B1692" i="8"/>
  <c r="E1692" i="8"/>
  <c r="D1692" i="8"/>
  <c r="E1693" i="8" l="1"/>
  <c r="D1693" i="8"/>
  <c r="A1694" i="8"/>
  <c r="C1693" i="8"/>
  <c r="G1693" i="8"/>
  <c r="B1693" i="8"/>
  <c r="A1695" i="8" l="1"/>
  <c r="C1694" i="8"/>
  <c r="G1694" i="8"/>
  <c r="B1694" i="8"/>
  <c r="E1694" i="8"/>
  <c r="D1694" i="8"/>
  <c r="E1695" i="8" l="1"/>
  <c r="D1695" i="8"/>
  <c r="A1696" i="8"/>
  <c r="C1695" i="8"/>
  <c r="G1695" i="8"/>
  <c r="B1695" i="8"/>
  <c r="A1697" i="8" l="1"/>
  <c r="C1696" i="8"/>
  <c r="G1696" i="8"/>
  <c r="B1696" i="8"/>
  <c r="E1696" i="8"/>
  <c r="D1696" i="8"/>
  <c r="E1697" i="8" l="1"/>
  <c r="D1697" i="8"/>
  <c r="A1698" i="8"/>
  <c r="C1697" i="8"/>
  <c r="B1697" i="8"/>
  <c r="G1697" i="8"/>
  <c r="A1699" i="8" l="1"/>
  <c r="C1698" i="8"/>
  <c r="G1698" i="8"/>
  <c r="B1698" i="8"/>
  <c r="E1698" i="8"/>
  <c r="D1698" i="8"/>
  <c r="E1699" i="8" l="1"/>
  <c r="D1699" i="8"/>
  <c r="A1700" i="8"/>
  <c r="C1699" i="8"/>
  <c r="G1699" i="8"/>
  <c r="B1699" i="8"/>
  <c r="A1701" i="8" l="1"/>
  <c r="C1700" i="8"/>
  <c r="G1700" i="8"/>
  <c r="B1700" i="8"/>
  <c r="E1700" i="8"/>
  <c r="D1700" i="8"/>
  <c r="E1701" i="8" l="1"/>
  <c r="D1701" i="8"/>
  <c r="A1702" i="8"/>
  <c r="C1701" i="8"/>
  <c r="G1701" i="8"/>
  <c r="B1701" i="8"/>
  <c r="A1703" i="8" l="1"/>
  <c r="C1702" i="8"/>
  <c r="G1702" i="8"/>
  <c r="B1702" i="8"/>
  <c r="E1702" i="8"/>
  <c r="D1702" i="8"/>
  <c r="E1703" i="8" l="1"/>
  <c r="D1703" i="8"/>
  <c r="A1704" i="8"/>
  <c r="C1703" i="8"/>
  <c r="G1703" i="8"/>
  <c r="B1703" i="8"/>
  <c r="A1705" i="8" l="1"/>
  <c r="C1704" i="8"/>
  <c r="G1704" i="8"/>
  <c r="B1704" i="8"/>
  <c r="E1704" i="8"/>
  <c r="D1704" i="8"/>
  <c r="E1705" i="8" l="1"/>
  <c r="D1705" i="8"/>
  <c r="A1706" i="8"/>
  <c r="C1705" i="8"/>
  <c r="B1705" i="8"/>
  <c r="G1705" i="8"/>
  <c r="A1707" i="8" l="1"/>
  <c r="C1706" i="8"/>
  <c r="G1706" i="8"/>
  <c r="B1706" i="8"/>
  <c r="E1706" i="8"/>
  <c r="D1706" i="8"/>
  <c r="E1707" i="8" l="1"/>
  <c r="D1707" i="8"/>
  <c r="A1708" i="8"/>
  <c r="C1707" i="8"/>
  <c r="G1707" i="8"/>
  <c r="B1707" i="8"/>
  <c r="A1709" i="8" l="1"/>
  <c r="C1708" i="8"/>
  <c r="G1708" i="8"/>
  <c r="B1708" i="8"/>
  <c r="E1708" i="8"/>
  <c r="D1708" i="8"/>
  <c r="E1709" i="8" l="1"/>
  <c r="D1709" i="8"/>
  <c r="A1710" i="8"/>
  <c r="C1709" i="8"/>
  <c r="G1709" i="8"/>
  <c r="B1709" i="8"/>
  <c r="A1711" i="8" l="1"/>
  <c r="C1710" i="8"/>
  <c r="G1710" i="8"/>
  <c r="B1710" i="8"/>
  <c r="E1710" i="8"/>
  <c r="D1710" i="8"/>
  <c r="E1711" i="8" l="1"/>
  <c r="D1711" i="8"/>
  <c r="A1712" i="8"/>
  <c r="C1711" i="8"/>
  <c r="G1711" i="8"/>
  <c r="B1711" i="8"/>
  <c r="A1713" i="8" l="1"/>
  <c r="C1712" i="8"/>
  <c r="G1712" i="8"/>
  <c r="B1712" i="8"/>
  <c r="E1712" i="8"/>
  <c r="D1712" i="8"/>
  <c r="E1713" i="8" l="1"/>
  <c r="D1713" i="8"/>
  <c r="A1714" i="8"/>
  <c r="C1713" i="8"/>
  <c r="B1713" i="8"/>
  <c r="G1713" i="8"/>
  <c r="A1715" i="8" l="1"/>
  <c r="C1714" i="8"/>
  <c r="G1714" i="8"/>
  <c r="B1714" i="8"/>
  <c r="E1714" i="8"/>
  <c r="D1714" i="8"/>
  <c r="E1715" i="8" l="1"/>
  <c r="D1715" i="8"/>
  <c r="A1716" i="8"/>
  <c r="C1715" i="8"/>
  <c r="G1715" i="8"/>
  <c r="B1715" i="8"/>
  <c r="A1717" i="8" l="1"/>
  <c r="C1716" i="8"/>
  <c r="G1716" i="8"/>
  <c r="B1716" i="8"/>
  <c r="E1716" i="8"/>
  <c r="D1716" i="8"/>
  <c r="E1717" i="8" l="1"/>
  <c r="D1717" i="8"/>
  <c r="A1718" i="8"/>
  <c r="C1717" i="8"/>
  <c r="G1717" i="8"/>
  <c r="B1717" i="8"/>
  <c r="A1719" i="8" l="1"/>
  <c r="C1718" i="8"/>
  <c r="G1718" i="8"/>
  <c r="B1718" i="8"/>
  <c r="E1718" i="8"/>
  <c r="D1718" i="8"/>
  <c r="E1719" i="8" l="1"/>
  <c r="D1719" i="8"/>
  <c r="A1720" i="8"/>
  <c r="C1719" i="8"/>
  <c r="G1719" i="8"/>
  <c r="B1719" i="8"/>
  <c r="A1721" i="8" l="1"/>
  <c r="C1720" i="8"/>
  <c r="G1720" i="8"/>
  <c r="B1720" i="8"/>
  <c r="E1720" i="8"/>
  <c r="D1720" i="8"/>
  <c r="E1721" i="8" l="1"/>
  <c r="D1721" i="8"/>
  <c r="A1722" i="8"/>
  <c r="C1721" i="8"/>
  <c r="B1721" i="8"/>
  <c r="G1721" i="8"/>
  <c r="A1723" i="8" l="1"/>
  <c r="C1722" i="8"/>
  <c r="G1722" i="8"/>
  <c r="B1722" i="8"/>
  <c r="E1722" i="8"/>
  <c r="D1722" i="8"/>
  <c r="E1723" i="8" l="1"/>
  <c r="D1723" i="8"/>
  <c r="A1724" i="8"/>
  <c r="C1723" i="8"/>
  <c r="G1723" i="8"/>
  <c r="B1723" i="8"/>
  <c r="A1725" i="8" l="1"/>
  <c r="C1724" i="8"/>
  <c r="G1724" i="8"/>
  <c r="B1724" i="8"/>
  <c r="E1724" i="8"/>
  <c r="D1724" i="8"/>
  <c r="E1725" i="8" l="1"/>
  <c r="D1725" i="8"/>
  <c r="A1726" i="8"/>
  <c r="C1725" i="8"/>
  <c r="G1725" i="8"/>
  <c r="B1725" i="8"/>
  <c r="A1727" i="8" l="1"/>
  <c r="C1726" i="8"/>
  <c r="G1726" i="8"/>
  <c r="B1726" i="8"/>
  <c r="E1726" i="8"/>
  <c r="D1726" i="8"/>
  <c r="E1727" i="8" l="1"/>
  <c r="D1727" i="8"/>
  <c r="A1728" i="8"/>
  <c r="C1727" i="8"/>
  <c r="G1727" i="8"/>
  <c r="B1727" i="8"/>
  <c r="A1729" i="8" l="1"/>
  <c r="C1728" i="8"/>
  <c r="G1728" i="8"/>
  <c r="B1728" i="8"/>
  <c r="E1728" i="8"/>
  <c r="D1728" i="8"/>
  <c r="E1729" i="8" l="1"/>
  <c r="D1729" i="8"/>
  <c r="A1730" i="8"/>
  <c r="C1729" i="8"/>
  <c r="B1729" i="8"/>
  <c r="G1729" i="8"/>
  <c r="A1731" i="8" l="1"/>
  <c r="C1730" i="8"/>
  <c r="G1730" i="8"/>
  <c r="B1730" i="8"/>
  <c r="E1730" i="8"/>
  <c r="D1730" i="8"/>
  <c r="E1731" i="8" l="1"/>
  <c r="D1731" i="8"/>
  <c r="A1732" i="8"/>
  <c r="C1731" i="8"/>
  <c r="G1731" i="8"/>
  <c r="B1731" i="8"/>
  <c r="A1733" i="8" l="1"/>
  <c r="C1732" i="8"/>
  <c r="G1732" i="8"/>
  <c r="B1732" i="8"/>
  <c r="E1732" i="8"/>
  <c r="D1732" i="8"/>
  <c r="E1733" i="8" l="1"/>
  <c r="D1733" i="8"/>
  <c r="A1734" i="8"/>
  <c r="C1733" i="8"/>
  <c r="G1733" i="8"/>
  <c r="B1733" i="8"/>
  <c r="A1735" i="8" l="1"/>
  <c r="C1734" i="8"/>
  <c r="G1734" i="8"/>
  <c r="B1734" i="8"/>
  <c r="E1734" i="8"/>
  <c r="D1734" i="8"/>
  <c r="E1735" i="8" l="1"/>
  <c r="D1735" i="8"/>
  <c r="A1736" i="8"/>
  <c r="C1735" i="8"/>
  <c r="G1735" i="8"/>
  <c r="B1735" i="8"/>
  <c r="A1737" i="8" l="1"/>
  <c r="C1736" i="8"/>
  <c r="G1736" i="8"/>
  <c r="B1736" i="8"/>
  <c r="E1736" i="8"/>
  <c r="D1736" i="8"/>
  <c r="E1737" i="8" l="1"/>
  <c r="D1737" i="8"/>
  <c r="A1738" i="8"/>
  <c r="C1737" i="8"/>
  <c r="B1737" i="8"/>
  <c r="G1737" i="8"/>
  <c r="A1739" i="8" l="1"/>
  <c r="C1738" i="8"/>
  <c r="G1738" i="8"/>
  <c r="B1738" i="8"/>
  <c r="E1738" i="8"/>
  <c r="D1738" i="8"/>
  <c r="E1739" i="8" l="1"/>
  <c r="D1739" i="8"/>
  <c r="A1740" i="8"/>
  <c r="C1739" i="8"/>
  <c r="G1739" i="8"/>
  <c r="B1739" i="8"/>
  <c r="A1741" i="8" l="1"/>
  <c r="C1740" i="8"/>
  <c r="G1740" i="8"/>
  <c r="B1740" i="8"/>
  <c r="E1740" i="8"/>
  <c r="D1740" i="8"/>
  <c r="E1741" i="8" l="1"/>
  <c r="D1741" i="8"/>
  <c r="A1742" i="8"/>
  <c r="C1741" i="8"/>
  <c r="G1741" i="8"/>
  <c r="B1741" i="8"/>
  <c r="A1743" i="8" l="1"/>
  <c r="C1742" i="8"/>
  <c r="G1742" i="8"/>
  <c r="B1742" i="8"/>
  <c r="E1742" i="8"/>
  <c r="D1742" i="8"/>
  <c r="E1743" i="8" l="1"/>
  <c r="D1743" i="8"/>
  <c r="A1744" i="8"/>
  <c r="C1743" i="8"/>
  <c r="G1743" i="8"/>
  <c r="B1743" i="8"/>
  <c r="A1745" i="8" l="1"/>
  <c r="C1744" i="8"/>
  <c r="G1744" i="8"/>
  <c r="B1744" i="8"/>
  <c r="E1744" i="8"/>
  <c r="D1744" i="8"/>
  <c r="E1745" i="8" l="1"/>
  <c r="D1745" i="8"/>
  <c r="A1746" i="8"/>
  <c r="C1745" i="8"/>
  <c r="B1745" i="8"/>
  <c r="G1745" i="8"/>
  <c r="A1747" i="8" l="1"/>
  <c r="C1746" i="8"/>
  <c r="G1746" i="8"/>
  <c r="B1746" i="8"/>
  <c r="E1746" i="8"/>
  <c r="D1746" i="8"/>
  <c r="E1747" i="8" l="1"/>
  <c r="D1747" i="8"/>
  <c r="A1748" i="8"/>
  <c r="C1747" i="8"/>
  <c r="G1747" i="8"/>
  <c r="B1747" i="8"/>
  <c r="A1749" i="8" l="1"/>
  <c r="C1748" i="8"/>
  <c r="G1748" i="8"/>
  <c r="B1748" i="8"/>
  <c r="E1748" i="8"/>
  <c r="D1748" i="8"/>
  <c r="E1749" i="8" l="1"/>
  <c r="D1749" i="8"/>
  <c r="A1750" i="8"/>
  <c r="C1749" i="8"/>
  <c r="G1749" i="8"/>
  <c r="B1749" i="8"/>
  <c r="A1751" i="8" l="1"/>
  <c r="C1750" i="8"/>
  <c r="G1750" i="8"/>
  <c r="B1750" i="8"/>
  <c r="E1750" i="8"/>
  <c r="D1750" i="8"/>
  <c r="E1751" i="8" l="1"/>
  <c r="D1751" i="8"/>
  <c r="A1752" i="8"/>
  <c r="C1751" i="8"/>
  <c r="G1751" i="8"/>
  <c r="B1751" i="8"/>
  <c r="A1753" i="8" l="1"/>
  <c r="C1752" i="8"/>
  <c r="G1752" i="8"/>
  <c r="B1752" i="8"/>
  <c r="E1752" i="8"/>
  <c r="D1752" i="8"/>
  <c r="E1753" i="8" l="1"/>
  <c r="D1753" i="8"/>
  <c r="A1754" i="8"/>
  <c r="C1753" i="8"/>
  <c r="B1753" i="8"/>
  <c r="G1753" i="8"/>
  <c r="A1755" i="8" l="1"/>
  <c r="C1754" i="8"/>
  <c r="G1754" i="8"/>
  <c r="B1754" i="8"/>
  <c r="E1754" i="8"/>
  <c r="D1754" i="8"/>
  <c r="E1755" i="8" l="1"/>
  <c r="D1755" i="8"/>
  <c r="A1756" i="8"/>
  <c r="C1755" i="8"/>
  <c r="G1755" i="8"/>
  <c r="B1755" i="8"/>
  <c r="A1757" i="8" l="1"/>
  <c r="C1756" i="8"/>
  <c r="G1756" i="8"/>
  <c r="B1756" i="8"/>
  <c r="E1756" i="8"/>
  <c r="D1756" i="8"/>
  <c r="E1757" i="8" l="1"/>
  <c r="D1757" i="8"/>
  <c r="A1758" i="8"/>
  <c r="C1757" i="8"/>
  <c r="G1757" i="8"/>
  <c r="B1757" i="8"/>
  <c r="A1759" i="8" l="1"/>
  <c r="C1758" i="8"/>
  <c r="G1758" i="8"/>
  <c r="B1758" i="8"/>
  <c r="E1758" i="8"/>
  <c r="D1758" i="8"/>
  <c r="E1759" i="8" l="1"/>
  <c r="D1759" i="8"/>
  <c r="A1760" i="8"/>
  <c r="C1759" i="8"/>
  <c r="G1759" i="8"/>
  <c r="B1759" i="8"/>
  <c r="A1761" i="8" l="1"/>
  <c r="C1760" i="8"/>
  <c r="G1760" i="8"/>
  <c r="B1760" i="8"/>
  <c r="E1760" i="8"/>
  <c r="D1760" i="8"/>
  <c r="E1761" i="8" l="1"/>
  <c r="D1761" i="8"/>
  <c r="A1762" i="8"/>
  <c r="C1761" i="8"/>
  <c r="B1761" i="8"/>
  <c r="G1761" i="8"/>
  <c r="A1763" i="8" l="1"/>
  <c r="C1762" i="8"/>
  <c r="G1762" i="8"/>
  <c r="B1762" i="8"/>
  <c r="E1762" i="8"/>
  <c r="D1762" i="8"/>
  <c r="E1763" i="8" l="1"/>
  <c r="D1763" i="8"/>
  <c r="A1764" i="8"/>
  <c r="C1763" i="8"/>
  <c r="G1763" i="8"/>
  <c r="B1763" i="8"/>
  <c r="A1765" i="8" l="1"/>
  <c r="C1764" i="8"/>
  <c r="G1764" i="8"/>
  <c r="B1764" i="8"/>
  <c r="E1764" i="8"/>
  <c r="D1764" i="8"/>
  <c r="E1765" i="8" l="1"/>
  <c r="D1765" i="8"/>
  <c r="A1766" i="8"/>
  <c r="C1765" i="8"/>
  <c r="G1765" i="8"/>
  <c r="B1765" i="8"/>
  <c r="A1767" i="8" l="1"/>
  <c r="C1766" i="8"/>
  <c r="G1766" i="8"/>
  <c r="B1766" i="8"/>
  <c r="E1766" i="8"/>
  <c r="D1766" i="8"/>
  <c r="E1767" i="8" l="1"/>
  <c r="D1767" i="8"/>
  <c r="A1768" i="8"/>
  <c r="C1767" i="8"/>
  <c r="G1767" i="8"/>
  <c r="B1767" i="8"/>
  <c r="A1769" i="8" l="1"/>
  <c r="C1768" i="8"/>
  <c r="G1768" i="8"/>
  <c r="B1768" i="8"/>
  <c r="E1768" i="8"/>
  <c r="D1768" i="8"/>
  <c r="E1769" i="8" l="1"/>
  <c r="D1769" i="8"/>
  <c r="A1770" i="8"/>
  <c r="C1769" i="8"/>
  <c r="B1769" i="8"/>
  <c r="G1769" i="8"/>
  <c r="A1771" i="8" l="1"/>
  <c r="C1770" i="8"/>
  <c r="G1770" i="8"/>
  <c r="B1770" i="8"/>
  <c r="E1770" i="8"/>
  <c r="D1770" i="8"/>
  <c r="E1771" i="8" l="1"/>
  <c r="D1771" i="8"/>
  <c r="A1772" i="8"/>
  <c r="C1771" i="8"/>
  <c r="G1771" i="8"/>
  <c r="B1771" i="8"/>
  <c r="A1773" i="8" l="1"/>
  <c r="C1772" i="8"/>
  <c r="G1772" i="8"/>
  <c r="B1772" i="8"/>
  <c r="E1772" i="8"/>
  <c r="D1772" i="8"/>
  <c r="E1773" i="8" l="1"/>
  <c r="D1773" i="8"/>
  <c r="A1774" i="8"/>
  <c r="C1773" i="8"/>
  <c r="G1773" i="8"/>
  <c r="B1773" i="8"/>
  <c r="A1775" i="8" l="1"/>
  <c r="C1774" i="8"/>
  <c r="G1774" i="8"/>
  <c r="B1774" i="8"/>
  <c r="E1774" i="8"/>
  <c r="D1774" i="8"/>
  <c r="E1775" i="8" l="1"/>
  <c r="D1775" i="8"/>
  <c r="A1776" i="8"/>
  <c r="C1775" i="8"/>
  <c r="G1775" i="8"/>
  <c r="B1775" i="8"/>
  <c r="A1777" i="8" l="1"/>
  <c r="C1776" i="8"/>
  <c r="G1776" i="8"/>
  <c r="B1776" i="8"/>
  <c r="E1776" i="8"/>
  <c r="D1776" i="8"/>
  <c r="E1777" i="8" l="1"/>
  <c r="D1777" i="8"/>
  <c r="A1778" i="8"/>
  <c r="C1777" i="8"/>
  <c r="B1777" i="8"/>
  <c r="G1777" i="8"/>
  <c r="A1779" i="8" l="1"/>
  <c r="C1778" i="8"/>
  <c r="G1778" i="8"/>
  <c r="B1778" i="8"/>
  <c r="E1778" i="8"/>
  <c r="D1778" i="8"/>
  <c r="E1779" i="8" l="1"/>
  <c r="D1779" i="8"/>
  <c r="A1780" i="8"/>
  <c r="C1779" i="8"/>
  <c r="G1779" i="8"/>
  <c r="B1779" i="8"/>
  <c r="A1781" i="8" l="1"/>
  <c r="C1780" i="8"/>
  <c r="G1780" i="8"/>
  <c r="B1780" i="8"/>
  <c r="E1780" i="8"/>
  <c r="D1780" i="8"/>
  <c r="E1781" i="8" l="1"/>
  <c r="D1781" i="8"/>
  <c r="A1782" i="8"/>
  <c r="C1781" i="8"/>
  <c r="G1781" i="8"/>
  <c r="B1781" i="8"/>
  <c r="A1783" i="8" l="1"/>
  <c r="C1782" i="8"/>
  <c r="G1782" i="8"/>
  <c r="B1782" i="8"/>
  <c r="E1782" i="8"/>
  <c r="D1782" i="8"/>
  <c r="E1783" i="8" l="1"/>
  <c r="D1783" i="8"/>
  <c r="A1784" i="8"/>
  <c r="C1783" i="8"/>
  <c r="B1783" i="8"/>
  <c r="G1783" i="8"/>
  <c r="A1785" i="8" l="1"/>
  <c r="C1784" i="8"/>
  <c r="G1784" i="8"/>
  <c r="B1784" i="8"/>
  <c r="E1784" i="8"/>
  <c r="D1784" i="8"/>
  <c r="E1785" i="8" l="1"/>
  <c r="D1785" i="8"/>
  <c r="A1786" i="8"/>
  <c r="C1785" i="8"/>
  <c r="G1785" i="8"/>
  <c r="B1785" i="8"/>
  <c r="A1787" i="8" l="1"/>
  <c r="C1786" i="8"/>
  <c r="G1786" i="8"/>
  <c r="B1786" i="8"/>
  <c r="E1786" i="8"/>
  <c r="D1786" i="8"/>
  <c r="E1787" i="8" l="1"/>
  <c r="D1787" i="8"/>
  <c r="A1788" i="8"/>
  <c r="C1787" i="8"/>
  <c r="G1787" i="8"/>
  <c r="B1787" i="8"/>
  <c r="A1789" i="8" l="1"/>
  <c r="C1788" i="8"/>
  <c r="G1788" i="8"/>
  <c r="B1788" i="8"/>
  <c r="E1788" i="8"/>
  <c r="D1788" i="8"/>
  <c r="E1789" i="8" l="1"/>
  <c r="D1789" i="8"/>
  <c r="A1790" i="8"/>
  <c r="C1789" i="8"/>
  <c r="G1789" i="8"/>
  <c r="B1789" i="8"/>
  <c r="A1791" i="8" l="1"/>
  <c r="C1790" i="8"/>
  <c r="G1790" i="8"/>
  <c r="B1790" i="8"/>
  <c r="E1790" i="8"/>
  <c r="D1790" i="8"/>
  <c r="E1791" i="8" l="1"/>
  <c r="D1791" i="8"/>
  <c r="A1792" i="8"/>
  <c r="C1791" i="8"/>
  <c r="B1791" i="8"/>
  <c r="G1791" i="8"/>
  <c r="A1793" i="8" l="1"/>
  <c r="C1792" i="8"/>
  <c r="G1792" i="8"/>
  <c r="B1792" i="8"/>
  <c r="E1792" i="8"/>
  <c r="D1792" i="8"/>
  <c r="E1793" i="8" l="1"/>
  <c r="D1793" i="8"/>
  <c r="A1794" i="8"/>
  <c r="C1793" i="8"/>
  <c r="G1793" i="8"/>
  <c r="B1793" i="8"/>
  <c r="A1795" i="8" l="1"/>
  <c r="C1794" i="8"/>
  <c r="G1794" i="8"/>
  <c r="B1794" i="8"/>
  <c r="E1794" i="8"/>
  <c r="D1794" i="8"/>
  <c r="E1795" i="8" l="1"/>
  <c r="D1795" i="8"/>
  <c r="A1796" i="8"/>
  <c r="C1795" i="8"/>
  <c r="G1795" i="8"/>
  <c r="B1795" i="8"/>
  <c r="A1797" i="8" l="1"/>
  <c r="C1796" i="8"/>
  <c r="G1796" i="8"/>
  <c r="B1796" i="8"/>
  <c r="E1796" i="8"/>
  <c r="D1796" i="8"/>
  <c r="E1797" i="8" l="1"/>
  <c r="D1797" i="8"/>
  <c r="A1798" i="8"/>
  <c r="C1797" i="8"/>
  <c r="G1797" i="8"/>
  <c r="B1797" i="8"/>
  <c r="A1799" i="8" l="1"/>
  <c r="C1798" i="8"/>
  <c r="G1798" i="8"/>
  <c r="B1798" i="8"/>
  <c r="E1798" i="8"/>
  <c r="D1798" i="8"/>
  <c r="E1799" i="8" l="1"/>
  <c r="D1799" i="8"/>
  <c r="A1800" i="8"/>
  <c r="C1799" i="8"/>
  <c r="B1799" i="8"/>
  <c r="G1799" i="8"/>
  <c r="A1801" i="8" l="1"/>
  <c r="C1800" i="8"/>
  <c r="G1800" i="8"/>
  <c r="B1800" i="8"/>
  <c r="E1800" i="8"/>
  <c r="D1800" i="8"/>
  <c r="E1801" i="8" l="1"/>
  <c r="D1801" i="8"/>
  <c r="A1802" i="8"/>
  <c r="C1801" i="8"/>
  <c r="G1801" i="8"/>
  <c r="B1801" i="8"/>
  <c r="A1803" i="8" l="1"/>
  <c r="C1802" i="8"/>
  <c r="G1802" i="8"/>
  <c r="B1802" i="8"/>
  <c r="E1802" i="8"/>
  <c r="D1802" i="8"/>
  <c r="E1803" i="8" l="1"/>
  <c r="D1803" i="8"/>
  <c r="A1804" i="8"/>
  <c r="C1803" i="8"/>
  <c r="G1803" i="8"/>
  <c r="B1803" i="8"/>
  <c r="A1805" i="8" l="1"/>
  <c r="C1804" i="8"/>
  <c r="G1804" i="8"/>
  <c r="B1804" i="8"/>
  <c r="E1804" i="8"/>
  <c r="D1804" i="8"/>
  <c r="E1805" i="8" l="1"/>
  <c r="D1805" i="8"/>
  <c r="A1806" i="8"/>
  <c r="C1805" i="8"/>
  <c r="G1805" i="8"/>
  <c r="B1805" i="8"/>
  <c r="A1807" i="8" l="1"/>
  <c r="C1806" i="8"/>
  <c r="G1806" i="8"/>
  <c r="B1806" i="8"/>
  <c r="E1806" i="8"/>
  <c r="D1806" i="8"/>
  <c r="E1807" i="8" l="1"/>
  <c r="D1807" i="8"/>
  <c r="A1808" i="8"/>
  <c r="C1807" i="8"/>
  <c r="B1807" i="8"/>
  <c r="G1807" i="8"/>
  <c r="A1809" i="8" l="1"/>
  <c r="C1808" i="8"/>
  <c r="G1808" i="8"/>
  <c r="B1808" i="8"/>
  <c r="E1808" i="8"/>
  <c r="D1808" i="8"/>
  <c r="E1809" i="8" l="1"/>
  <c r="D1809" i="8"/>
  <c r="A1810" i="8"/>
  <c r="C1809" i="8"/>
  <c r="G1809" i="8"/>
  <c r="B1809" i="8"/>
  <c r="A1811" i="8" l="1"/>
  <c r="C1810" i="8"/>
  <c r="G1810" i="8"/>
  <c r="B1810" i="8"/>
  <c r="E1810" i="8"/>
  <c r="D1810" i="8"/>
  <c r="E1811" i="8" l="1"/>
  <c r="D1811" i="8"/>
  <c r="A1812" i="8"/>
  <c r="C1811" i="8"/>
  <c r="G1811" i="8"/>
  <c r="B1811" i="8"/>
  <c r="A1813" i="8" l="1"/>
  <c r="C1812" i="8"/>
  <c r="G1812" i="8"/>
  <c r="B1812" i="8"/>
  <c r="E1812" i="8"/>
  <c r="D1812" i="8"/>
  <c r="E1813" i="8" l="1"/>
  <c r="D1813" i="8"/>
  <c r="A1814" i="8"/>
  <c r="C1813" i="8"/>
  <c r="G1813" i="8"/>
  <c r="B1813" i="8"/>
  <c r="A1815" i="8" l="1"/>
  <c r="C1814" i="8"/>
  <c r="G1814" i="8"/>
  <c r="B1814" i="8"/>
  <c r="E1814" i="8"/>
  <c r="D1814" i="8"/>
  <c r="E1815" i="8" l="1"/>
  <c r="D1815" i="8"/>
  <c r="A1816" i="8"/>
  <c r="C1815" i="8"/>
  <c r="B1815" i="8"/>
  <c r="G1815" i="8"/>
  <c r="A1817" i="8" l="1"/>
  <c r="C1816" i="8"/>
  <c r="G1816" i="8"/>
  <c r="B1816" i="8"/>
  <c r="E1816" i="8"/>
  <c r="D1816" i="8"/>
  <c r="E1817" i="8" l="1"/>
  <c r="D1817" i="8"/>
  <c r="A1818" i="8"/>
  <c r="C1817" i="8"/>
  <c r="G1817" i="8"/>
  <c r="B1817" i="8"/>
  <c r="A1819" i="8" l="1"/>
  <c r="C1818" i="8"/>
  <c r="G1818" i="8"/>
  <c r="B1818" i="8"/>
  <c r="E1818" i="8"/>
  <c r="D1818" i="8"/>
  <c r="E1819" i="8" l="1"/>
  <c r="D1819" i="8"/>
  <c r="A1820" i="8"/>
  <c r="C1819" i="8"/>
  <c r="G1819" i="8"/>
  <c r="B1819" i="8"/>
  <c r="A1821" i="8" l="1"/>
  <c r="C1820" i="8"/>
  <c r="G1820" i="8"/>
  <c r="B1820" i="8"/>
  <c r="E1820" i="8"/>
  <c r="D1820" i="8"/>
  <c r="E1821" i="8" l="1"/>
  <c r="D1821" i="8"/>
  <c r="A1822" i="8"/>
  <c r="C1821" i="8"/>
  <c r="G1821" i="8"/>
  <c r="B1821" i="8"/>
  <c r="A1823" i="8" l="1"/>
  <c r="C1822" i="8"/>
  <c r="G1822" i="8"/>
  <c r="B1822" i="8"/>
  <c r="E1822" i="8"/>
  <c r="D1822" i="8"/>
  <c r="E1823" i="8" l="1"/>
  <c r="D1823" i="8"/>
  <c r="A1824" i="8"/>
  <c r="C1823" i="8"/>
  <c r="B1823" i="8"/>
  <c r="G1823" i="8"/>
  <c r="A1825" i="8" l="1"/>
  <c r="C1824" i="8"/>
  <c r="G1824" i="8"/>
  <c r="B1824" i="8"/>
  <c r="E1824" i="8"/>
  <c r="D1824" i="8"/>
  <c r="E1825" i="8" l="1"/>
  <c r="D1825" i="8"/>
  <c r="A1826" i="8"/>
  <c r="C1825" i="8"/>
  <c r="G1825" i="8"/>
  <c r="B1825" i="8"/>
  <c r="A1827" i="8" l="1"/>
  <c r="C1826" i="8"/>
  <c r="G1826" i="8"/>
  <c r="B1826" i="8"/>
  <c r="E1826" i="8"/>
  <c r="D1826" i="8"/>
  <c r="E1827" i="8" l="1"/>
  <c r="D1827" i="8"/>
  <c r="A1828" i="8"/>
  <c r="C1827" i="8"/>
  <c r="G1827" i="8"/>
  <c r="B1827" i="8"/>
  <c r="A1829" i="8" l="1"/>
  <c r="C1828" i="8"/>
  <c r="G1828" i="8"/>
  <c r="B1828" i="8"/>
  <c r="E1828" i="8"/>
  <c r="D1828" i="8"/>
  <c r="E1829" i="8" l="1"/>
  <c r="D1829" i="8"/>
  <c r="A1830" i="8"/>
  <c r="C1829" i="8"/>
  <c r="G1829" i="8"/>
  <c r="B1829" i="8"/>
  <c r="A1831" i="8" l="1"/>
  <c r="C1830" i="8"/>
  <c r="G1830" i="8"/>
  <c r="B1830" i="8"/>
  <c r="E1830" i="8"/>
  <c r="D1830" i="8"/>
  <c r="E1831" i="8" l="1"/>
  <c r="D1831" i="8"/>
  <c r="A1832" i="8"/>
  <c r="C1831" i="8"/>
  <c r="B1831" i="8"/>
  <c r="G1831" i="8"/>
  <c r="A1833" i="8" l="1"/>
  <c r="C1832" i="8"/>
  <c r="G1832" i="8"/>
  <c r="B1832" i="8"/>
  <c r="E1832" i="8"/>
  <c r="D1832" i="8"/>
  <c r="E1833" i="8" l="1"/>
  <c r="D1833" i="8"/>
  <c r="A1834" i="8"/>
  <c r="C1833" i="8"/>
  <c r="G1833" i="8"/>
  <c r="B1833" i="8"/>
  <c r="A1835" i="8" l="1"/>
  <c r="C1834" i="8"/>
  <c r="G1834" i="8"/>
  <c r="B1834" i="8"/>
  <c r="E1834" i="8"/>
  <c r="D1834" i="8"/>
  <c r="E1835" i="8" l="1"/>
  <c r="D1835" i="8"/>
  <c r="A1836" i="8"/>
  <c r="C1835" i="8"/>
  <c r="G1835" i="8"/>
  <c r="B1835" i="8"/>
  <c r="A1837" i="8" l="1"/>
  <c r="C1836" i="8"/>
  <c r="G1836" i="8"/>
  <c r="B1836" i="8"/>
  <c r="E1836" i="8"/>
  <c r="D1836" i="8"/>
  <c r="E1837" i="8" l="1"/>
  <c r="D1837" i="8"/>
  <c r="A1838" i="8"/>
  <c r="C1837" i="8"/>
  <c r="G1837" i="8"/>
  <c r="B1837" i="8"/>
  <c r="A1839" i="8" l="1"/>
  <c r="C1838" i="8"/>
  <c r="G1838" i="8"/>
  <c r="B1838" i="8"/>
  <c r="E1838" i="8"/>
  <c r="D1838" i="8"/>
  <c r="E1839" i="8" l="1"/>
  <c r="D1839" i="8"/>
  <c r="A1840" i="8"/>
  <c r="C1839" i="8"/>
  <c r="B1839" i="8"/>
  <c r="G1839" i="8"/>
  <c r="A1841" i="8" l="1"/>
  <c r="C1840" i="8"/>
  <c r="G1840" i="8"/>
  <c r="B1840" i="8"/>
  <c r="E1840" i="8"/>
  <c r="D1840" i="8"/>
  <c r="E1841" i="8" l="1"/>
  <c r="D1841" i="8"/>
  <c r="A1842" i="8"/>
  <c r="C1841" i="8"/>
  <c r="G1841" i="8"/>
  <c r="B1841" i="8"/>
  <c r="A1843" i="8" l="1"/>
  <c r="C1842" i="8"/>
  <c r="G1842" i="8"/>
  <c r="B1842" i="8"/>
  <c r="E1842" i="8"/>
  <c r="D1842" i="8"/>
  <c r="E1843" i="8" l="1"/>
  <c r="D1843" i="8"/>
  <c r="A1844" i="8"/>
  <c r="C1843" i="8"/>
  <c r="G1843" i="8"/>
  <c r="B1843" i="8"/>
  <c r="A1845" i="8" l="1"/>
  <c r="C1844" i="8"/>
  <c r="G1844" i="8"/>
  <c r="B1844" i="8"/>
  <c r="E1844" i="8"/>
  <c r="D1844" i="8"/>
  <c r="E1845" i="8" l="1"/>
  <c r="D1845" i="8"/>
  <c r="A1846" i="8"/>
  <c r="C1845" i="8"/>
  <c r="G1845" i="8"/>
  <c r="B1845" i="8"/>
  <c r="A1847" i="8" l="1"/>
  <c r="C1846" i="8"/>
  <c r="G1846" i="8"/>
  <c r="B1846" i="8"/>
  <c r="E1846" i="8"/>
  <c r="D1846" i="8"/>
  <c r="E1847" i="8" l="1"/>
  <c r="D1847" i="8"/>
  <c r="A1848" i="8"/>
  <c r="C1847" i="8"/>
  <c r="B1847" i="8"/>
  <c r="G1847" i="8"/>
  <c r="A1849" i="8" l="1"/>
  <c r="C1848" i="8"/>
  <c r="G1848" i="8"/>
  <c r="B1848" i="8"/>
  <c r="E1848" i="8"/>
  <c r="D1848" i="8"/>
  <c r="E1849" i="8" l="1"/>
  <c r="D1849" i="8"/>
  <c r="A1850" i="8"/>
  <c r="C1849" i="8"/>
  <c r="G1849" i="8"/>
  <c r="B1849" i="8"/>
  <c r="A1851" i="8" l="1"/>
  <c r="C1850" i="8"/>
  <c r="G1850" i="8"/>
  <c r="B1850" i="8"/>
  <c r="E1850" i="8"/>
  <c r="D1850" i="8"/>
  <c r="E1851" i="8" l="1"/>
  <c r="D1851" i="8"/>
  <c r="A1852" i="8"/>
  <c r="C1851" i="8"/>
  <c r="G1851" i="8"/>
  <c r="B1851" i="8"/>
  <c r="A1853" i="8" l="1"/>
  <c r="C1852" i="8"/>
  <c r="G1852" i="8"/>
  <c r="B1852" i="8"/>
  <c r="E1852" i="8"/>
  <c r="D1852" i="8"/>
  <c r="E1853" i="8" l="1"/>
  <c r="D1853" i="8"/>
  <c r="A1854" i="8"/>
  <c r="C1853" i="8"/>
  <c r="G1853" i="8"/>
  <c r="B1853" i="8"/>
  <c r="A1855" i="8" l="1"/>
  <c r="C1854" i="8"/>
  <c r="G1854" i="8"/>
  <c r="B1854" i="8"/>
  <c r="E1854" i="8"/>
  <c r="D1854" i="8"/>
  <c r="E1855" i="8" l="1"/>
  <c r="D1855" i="8"/>
  <c r="A1856" i="8"/>
  <c r="C1855" i="8"/>
  <c r="B1855" i="8"/>
  <c r="G1855" i="8"/>
  <c r="A1857" i="8" l="1"/>
  <c r="C1856" i="8"/>
  <c r="G1856" i="8"/>
  <c r="B1856" i="8"/>
  <c r="E1856" i="8"/>
  <c r="D1856" i="8"/>
  <c r="E1857" i="8" l="1"/>
  <c r="D1857" i="8"/>
  <c r="A1858" i="8"/>
  <c r="C1857" i="8"/>
  <c r="G1857" i="8"/>
  <c r="B1857" i="8"/>
  <c r="A1859" i="8" l="1"/>
  <c r="C1858" i="8"/>
  <c r="G1858" i="8"/>
  <c r="B1858" i="8"/>
  <c r="E1858" i="8"/>
  <c r="D1858" i="8"/>
  <c r="E1859" i="8" l="1"/>
  <c r="D1859" i="8"/>
  <c r="A1860" i="8"/>
  <c r="C1859" i="8"/>
  <c r="G1859" i="8"/>
  <c r="B1859" i="8"/>
  <c r="A1861" i="8" l="1"/>
  <c r="C1860" i="8"/>
  <c r="G1860" i="8"/>
  <c r="B1860" i="8"/>
  <c r="E1860" i="8"/>
  <c r="D1860" i="8"/>
  <c r="E1861" i="8" l="1"/>
  <c r="D1861" i="8"/>
  <c r="A1862" i="8"/>
  <c r="C1861" i="8"/>
  <c r="G1861" i="8"/>
  <c r="B1861" i="8"/>
  <c r="A1863" i="8" l="1"/>
  <c r="C1862" i="8"/>
  <c r="G1862" i="8"/>
  <c r="B1862" i="8"/>
  <c r="E1862" i="8"/>
  <c r="D1862" i="8"/>
  <c r="E1863" i="8" l="1"/>
  <c r="D1863" i="8"/>
  <c r="A1864" i="8"/>
  <c r="C1863" i="8"/>
  <c r="B1863" i="8"/>
  <c r="G1863" i="8"/>
  <c r="A1865" i="8" l="1"/>
  <c r="C1864" i="8"/>
  <c r="G1864" i="8"/>
  <c r="B1864" i="8"/>
  <c r="E1864" i="8"/>
  <c r="D1864" i="8"/>
  <c r="E1865" i="8" l="1"/>
  <c r="D1865" i="8"/>
  <c r="A1866" i="8"/>
  <c r="C1865" i="8"/>
  <c r="G1865" i="8"/>
  <c r="B1865" i="8"/>
  <c r="A1867" i="8" l="1"/>
  <c r="C1866" i="8"/>
  <c r="G1866" i="8"/>
  <c r="B1866" i="8"/>
  <c r="E1866" i="8"/>
  <c r="D1866" i="8"/>
  <c r="E1867" i="8" l="1"/>
  <c r="D1867" i="8"/>
  <c r="A1868" i="8"/>
  <c r="C1867" i="8"/>
  <c r="G1867" i="8"/>
  <c r="B1867" i="8"/>
  <c r="A1869" i="8" l="1"/>
  <c r="C1868" i="8"/>
  <c r="G1868" i="8"/>
  <c r="B1868" i="8"/>
  <c r="E1868" i="8"/>
  <c r="D1868" i="8"/>
  <c r="E1869" i="8" l="1"/>
  <c r="D1869" i="8"/>
  <c r="A1870" i="8"/>
  <c r="C1869" i="8"/>
  <c r="G1869" i="8"/>
  <c r="B1869" i="8"/>
  <c r="A1871" i="8" l="1"/>
  <c r="C1870" i="8"/>
  <c r="G1870" i="8"/>
  <c r="B1870" i="8"/>
  <c r="E1870" i="8"/>
  <c r="D1870" i="8"/>
  <c r="E1871" i="8" l="1"/>
  <c r="D1871" i="8"/>
  <c r="A1872" i="8"/>
  <c r="C1871" i="8"/>
  <c r="B1871" i="8"/>
  <c r="G1871" i="8"/>
  <c r="A1873" i="8" l="1"/>
  <c r="C1872" i="8"/>
  <c r="G1872" i="8"/>
  <c r="B1872" i="8"/>
  <c r="E1872" i="8"/>
  <c r="D1872" i="8"/>
  <c r="E1873" i="8" l="1"/>
  <c r="D1873" i="8"/>
  <c r="A1874" i="8"/>
  <c r="C1873" i="8"/>
  <c r="G1873" i="8"/>
  <c r="B1873" i="8"/>
  <c r="A1875" i="8" l="1"/>
  <c r="C1874" i="8"/>
  <c r="G1874" i="8"/>
  <c r="B1874" i="8"/>
  <c r="E1874" i="8"/>
  <c r="D1874" i="8"/>
  <c r="E1875" i="8" l="1"/>
  <c r="D1875" i="8"/>
  <c r="A1876" i="8"/>
  <c r="C1875" i="8"/>
  <c r="G1875" i="8"/>
  <c r="B1875" i="8"/>
  <c r="A1877" i="8" l="1"/>
  <c r="C1876" i="8"/>
  <c r="G1876" i="8"/>
  <c r="B1876" i="8"/>
  <c r="E1876" i="8"/>
  <c r="D1876" i="8"/>
  <c r="E1877" i="8" l="1"/>
  <c r="D1877" i="8"/>
  <c r="A1878" i="8"/>
  <c r="C1877" i="8"/>
  <c r="G1877" i="8"/>
  <c r="B1877" i="8"/>
  <c r="A1879" i="8" l="1"/>
  <c r="C1878" i="8"/>
  <c r="G1878" i="8"/>
  <c r="B1878" i="8"/>
  <c r="E1878" i="8"/>
  <c r="D1878" i="8"/>
  <c r="E1879" i="8" l="1"/>
  <c r="D1879" i="8"/>
  <c r="A1880" i="8"/>
  <c r="C1879" i="8"/>
  <c r="B1879" i="8"/>
  <c r="G1879" i="8"/>
  <c r="A1881" i="8" l="1"/>
  <c r="C1880" i="8"/>
  <c r="G1880" i="8"/>
  <c r="B1880" i="8"/>
  <c r="E1880" i="8"/>
  <c r="D1880" i="8"/>
  <c r="E1881" i="8" l="1"/>
  <c r="D1881" i="8"/>
  <c r="A1882" i="8"/>
  <c r="C1881" i="8"/>
  <c r="G1881" i="8"/>
  <c r="B1881" i="8"/>
  <c r="A1883" i="8" l="1"/>
  <c r="C1882" i="8"/>
  <c r="G1882" i="8"/>
  <c r="B1882" i="8"/>
  <c r="E1882" i="8"/>
  <c r="D1882" i="8"/>
  <c r="E1883" i="8" l="1"/>
  <c r="D1883" i="8"/>
  <c r="A1884" i="8"/>
  <c r="C1883" i="8"/>
  <c r="G1883" i="8"/>
  <c r="B1883" i="8"/>
  <c r="A1885" i="8" l="1"/>
  <c r="C1884" i="8"/>
  <c r="G1884" i="8"/>
  <c r="B1884" i="8"/>
  <c r="E1884" i="8"/>
  <c r="D1884" i="8"/>
  <c r="E1885" i="8" l="1"/>
  <c r="D1885" i="8"/>
  <c r="A1886" i="8"/>
  <c r="C1885" i="8"/>
  <c r="G1885" i="8"/>
  <c r="B1885" i="8"/>
  <c r="A1887" i="8" l="1"/>
  <c r="C1886" i="8"/>
  <c r="G1886" i="8"/>
  <c r="B1886" i="8"/>
  <c r="E1886" i="8"/>
  <c r="D1886" i="8"/>
  <c r="E1887" i="8" l="1"/>
  <c r="D1887" i="8"/>
  <c r="A1888" i="8"/>
  <c r="C1887" i="8"/>
  <c r="B1887" i="8"/>
  <c r="G1887" i="8"/>
  <c r="A1889" i="8" l="1"/>
  <c r="C1888" i="8"/>
  <c r="G1888" i="8"/>
  <c r="B1888" i="8"/>
  <c r="E1888" i="8"/>
  <c r="D1888" i="8"/>
  <c r="E1889" i="8" l="1"/>
  <c r="D1889" i="8"/>
  <c r="A1890" i="8"/>
  <c r="C1889" i="8"/>
  <c r="G1889" i="8"/>
  <c r="B1889" i="8"/>
  <c r="A1891" i="8" l="1"/>
  <c r="C1890" i="8"/>
  <c r="G1890" i="8"/>
  <c r="B1890" i="8"/>
  <c r="E1890" i="8"/>
  <c r="D1890" i="8"/>
  <c r="E1891" i="8" l="1"/>
  <c r="D1891" i="8"/>
  <c r="A1892" i="8"/>
  <c r="C1891" i="8"/>
  <c r="G1891" i="8"/>
  <c r="B1891" i="8"/>
  <c r="A1893" i="8" l="1"/>
  <c r="C1892" i="8"/>
  <c r="G1892" i="8"/>
  <c r="B1892" i="8"/>
  <c r="E1892" i="8"/>
  <c r="D1892" i="8"/>
  <c r="E1893" i="8" l="1"/>
  <c r="D1893" i="8"/>
  <c r="A1894" i="8"/>
  <c r="C1893" i="8"/>
  <c r="G1893" i="8"/>
  <c r="B1893" i="8"/>
  <c r="A1895" i="8" l="1"/>
  <c r="C1894" i="8"/>
  <c r="G1894" i="8"/>
  <c r="B1894" i="8"/>
  <c r="E1894" i="8"/>
  <c r="D1894" i="8"/>
  <c r="E1895" i="8" l="1"/>
  <c r="D1895" i="8"/>
  <c r="A1896" i="8"/>
  <c r="C1895" i="8"/>
  <c r="B1895" i="8"/>
  <c r="G1895" i="8"/>
  <c r="A1897" i="8" l="1"/>
  <c r="C1896" i="8"/>
  <c r="G1896" i="8"/>
  <c r="B1896" i="8"/>
  <c r="E1896" i="8"/>
  <c r="D1896" i="8"/>
  <c r="E1897" i="8" l="1"/>
  <c r="D1897" i="8"/>
  <c r="A1898" i="8"/>
  <c r="C1897" i="8"/>
  <c r="G1897" i="8"/>
  <c r="B1897" i="8"/>
  <c r="A1899" i="8" l="1"/>
  <c r="C1898" i="8"/>
  <c r="G1898" i="8"/>
  <c r="B1898" i="8"/>
  <c r="E1898" i="8"/>
  <c r="D1898" i="8"/>
  <c r="E1899" i="8" l="1"/>
  <c r="D1899" i="8"/>
  <c r="A1900" i="8"/>
  <c r="C1899" i="8"/>
  <c r="G1899" i="8"/>
  <c r="B1899" i="8"/>
  <c r="A1901" i="8" l="1"/>
  <c r="C1900" i="8"/>
  <c r="G1900" i="8"/>
  <c r="B1900" i="8"/>
  <c r="E1900" i="8"/>
  <c r="D1900" i="8"/>
  <c r="E1901" i="8" l="1"/>
  <c r="D1901" i="8"/>
  <c r="A1902" i="8"/>
  <c r="C1901" i="8"/>
  <c r="G1901" i="8"/>
  <c r="B1901" i="8"/>
  <c r="A1903" i="8" l="1"/>
  <c r="C1902" i="8"/>
  <c r="G1902" i="8"/>
  <c r="B1902" i="8"/>
  <c r="E1902" i="8"/>
  <c r="D1902" i="8"/>
  <c r="E1903" i="8" l="1"/>
  <c r="D1903" i="8"/>
  <c r="A1904" i="8"/>
  <c r="C1903" i="8"/>
  <c r="B1903" i="8"/>
  <c r="G1903" i="8"/>
  <c r="A1905" i="8" l="1"/>
  <c r="C1904" i="8"/>
  <c r="G1904" i="8"/>
  <c r="B1904" i="8"/>
  <c r="E1904" i="8"/>
  <c r="D1904" i="8"/>
  <c r="E1905" i="8" l="1"/>
  <c r="D1905" i="8"/>
  <c r="A1906" i="8"/>
  <c r="C1905" i="8"/>
  <c r="G1905" i="8"/>
  <c r="B1905" i="8"/>
  <c r="A1907" i="8" l="1"/>
  <c r="C1906" i="8"/>
  <c r="G1906" i="8"/>
  <c r="B1906" i="8"/>
  <c r="E1906" i="8"/>
  <c r="D1906" i="8"/>
  <c r="E1907" i="8" l="1"/>
  <c r="D1907" i="8"/>
  <c r="A1908" i="8"/>
  <c r="C1907" i="8"/>
  <c r="G1907" i="8"/>
  <c r="B1907" i="8"/>
  <c r="A1909" i="8" l="1"/>
  <c r="C1908" i="8"/>
  <c r="G1908" i="8"/>
  <c r="B1908" i="8"/>
  <c r="E1908" i="8"/>
  <c r="D1908" i="8"/>
  <c r="E1909" i="8" l="1"/>
  <c r="D1909" i="8"/>
  <c r="A1910" i="8"/>
  <c r="C1909" i="8"/>
  <c r="G1909" i="8"/>
  <c r="B1909" i="8"/>
  <c r="A1911" i="8" l="1"/>
  <c r="C1910" i="8"/>
  <c r="G1910" i="8"/>
  <c r="B1910" i="8"/>
  <c r="E1910" i="8"/>
  <c r="D1910" i="8"/>
  <c r="E1911" i="8" l="1"/>
  <c r="D1911" i="8"/>
  <c r="A1912" i="8"/>
  <c r="C1911" i="8"/>
  <c r="B1911" i="8"/>
  <c r="G1911" i="8"/>
  <c r="A1913" i="8" l="1"/>
  <c r="C1912" i="8"/>
  <c r="G1912" i="8"/>
  <c r="B1912" i="8"/>
  <c r="E1912" i="8"/>
  <c r="D1912" i="8"/>
  <c r="E1913" i="8" l="1"/>
  <c r="D1913" i="8"/>
  <c r="A1914" i="8"/>
  <c r="C1913" i="8"/>
  <c r="G1913" i="8"/>
  <c r="B1913" i="8"/>
  <c r="A1915" i="8" l="1"/>
  <c r="C1914" i="8"/>
  <c r="G1914" i="8"/>
  <c r="B1914" i="8"/>
  <c r="E1914" i="8"/>
  <c r="D1914" i="8"/>
  <c r="E1915" i="8" l="1"/>
  <c r="D1915" i="8"/>
  <c r="A1916" i="8"/>
  <c r="C1915" i="8"/>
  <c r="G1915" i="8"/>
  <c r="B1915" i="8"/>
  <c r="A1917" i="8" l="1"/>
  <c r="C1916" i="8"/>
  <c r="G1916" i="8"/>
  <c r="B1916" i="8"/>
  <c r="E1916" i="8"/>
  <c r="D1916" i="8"/>
  <c r="E1917" i="8" l="1"/>
  <c r="D1917" i="8"/>
  <c r="A1918" i="8"/>
  <c r="C1917" i="8"/>
  <c r="G1917" i="8"/>
  <c r="B1917" i="8"/>
  <c r="A1919" i="8" l="1"/>
  <c r="C1918" i="8"/>
  <c r="G1918" i="8"/>
  <c r="B1918" i="8"/>
  <c r="E1918" i="8"/>
  <c r="D1918" i="8"/>
  <c r="E1919" i="8" l="1"/>
  <c r="D1919" i="8"/>
  <c r="A1920" i="8"/>
  <c r="C1919" i="8"/>
  <c r="B1919" i="8"/>
  <c r="G1919" i="8"/>
  <c r="A1921" i="8" l="1"/>
  <c r="C1920" i="8"/>
  <c r="G1920" i="8"/>
  <c r="B1920" i="8"/>
  <c r="E1920" i="8"/>
  <c r="D1920" i="8"/>
  <c r="E1921" i="8" l="1"/>
  <c r="D1921" i="8"/>
  <c r="A1922" i="8"/>
  <c r="C1921" i="8"/>
  <c r="G1921" i="8"/>
  <c r="B1921" i="8"/>
  <c r="A1923" i="8" l="1"/>
  <c r="C1922" i="8"/>
  <c r="G1922" i="8"/>
  <c r="B1922" i="8"/>
  <c r="E1922" i="8"/>
  <c r="D1922" i="8"/>
  <c r="E1923" i="8" l="1"/>
  <c r="D1923" i="8"/>
  <c r="A1924" i="8"/>
  <c r="C1923" i="8"/>
  <c r="G1923" i="8"/>
  <c r="B1923" i="8"/>
  <c r="A1925" i="8" l="1"/>
  <c r="C1924" i="8"/>
  <c r="G1924" i="8"/>
  <c r="B1924" i="8"/>
  <c r="E1924" i="8"/>
  <c r="D1924" i="8"/>
  <c r="E1925" i="8" l="1"/>
  <c r="D1925" i="8"/>
  <c r="A1926" i="8"/>
  <c r="C1925" i="8"/>
  <c r="G1925" i="8"/>
  <c r="B1925" i="8"/>
  <c r="A1927" i="8" l="1"/>
  <c r="C1926" i="8"/>
  <c r="G1926" i="8"/>
  <c r="B1926" i="8"/>
  <c r="E1926" i="8"/>
  <c r="D1926" i="8"/>
  <c r="E1927" i="8" l="1"/>
  <c r="D1927" i="8"/>
  <c r="A1928" i="8"/>
  <c r="C1927" i="8"/>
  <c r="B1927" i="8"/>
  <c r="G1927" i="8"/>
  <c r="A1929" i="8" l="1"/>
  <c r="C1928" i="8"/>
  <c r="G1928" i="8"/>
  <c r="B1928" i="8"/>
  <c r="E1928" i="8"/>
  <c r="D1928" i="8"/>
  <c r="E1929" i="8" l="1"/>
  <c r="D1929" i="8"/>
  <c r="A1930" i="8"/>
  <c r="C1929" i="8"/>
  <c r="G1929" i="8"/>
  <c r="B1929" i="8"/>
  <c r="A1931" i="8" l="1"/>
  <c r="C1930" i="8"/>
  <c r="G1930" i="8"/>
  <c r="B1930" i="8"/>
  <c r="E1930" i="8"/>
  <c r="D1930" i="8"/>
  <c r="E1931" i="8" l="1"/>
  <c r="D1931" i="8"/>
  <c r="A1932" i="8"/>
  <c r="C1931" i="8"/>
  <c r="G1931" i="8"/>
  <c r="B1931" i="8"/>
  <c r="A1933" i="8" l="1"/>
  <c r="C1932" i="8"/>
  <c r="G1932" i="8"/>
  <c r="B1932" i="8"/>
  <c r="E1932" i="8"/>
  <c r="D1932" i="8"/>
  <c r="E1933" i="8" l="1"/>
  <c r="D1933" i="8"/>
  <c r="A1934" i="8"/>
  <c r="C1933" i="8"/>
  <c r="G1933" i="8"/>
  <c r="B1933" i="8"/>
  <c r="A1935" i="8" l="1"/>
  <c r="C1934" i="8"/>
  <c r="G1934" i="8"/>
  <c r="B1934" i="8"/>
  <c r="E1934" i="8"/>
  <c r="D1934" i="8"/>
  <c r="E1935" i="8" l="1"/>
  <c r="D1935" i="8"/>
  <c r="A1936" i="8"/>
  <c r="C1935" i="8"/>
  <c r="B1935" i="8"/>
  <c r="G1935" i="8"/>
  <c r="A1937" i="8" l="1"/>
  <c r="C1936" i="8"/>
  <c r="G1936" i="8"/>
  <c r="B1936" i="8"/>
  <c r="E1936" i="8"/>
  <c r="D1936" i="8"/>
  <c r="E1937" i="8" l="1"/>
  <c r="D1937" i="8"/>
  <c r="A1938" i="8"/>
  <c r="C1937" i="8"/>
  <c r="G1937" i="8"/>
  <c r="B1937" i="8"/>
  <c r="A1939" i="8" l="1"/>
  <c r="C1938" i="8"/>
  <c r="G1938" i="8"/>
  <c r="B1938" i="8"/>
  <c r="E1938" i="8"/>
  <c r="D1938" i="8"/>
  <c r="E1939" i="8" l="1"/>
  <c r="D1939" i="8"/>
  <c r="A1940" i="8"/>
  <c r="C1939" i="8"/>
  <c r="G1939" i="8"/>
  <c r="B1939" i="8"/>
  <c r="A1941" i="8" l="1"/>
  <c r="C1940" i="8"/>
  <c r="G1940" i="8"/>
  <c r="B1940" i="8"/>
  <c r="E1940" i="8"/>
  <c r="D1940" i="8"/>
  <c r="E1941" i="8" l="1"/>
  <c r="D1941" i="8"/>
  <c r="A1942" i="8"/>
  <c r="C1941" i="8"/>
  <c r="G1941" i="8"/>
  <c r="B1941" i="8"/>
  <c r="A1943" i="8" l="1"/>
  <c r="C1942" i="8"/>
  <c r="G1942" i="8"/>
  <c r="B1942" i="8"/>
  <c r="E1942" i="8"/>
  <c r="D1942" i="8"/>
  <c r="E1943" i="8" l="1"/>
  <c r="D1943" i="8"/>
  <c r="A1944" i="8"/>
  <c r="C1943" i="8"/>
  <c r="B1943" i="8"/>
  <c r="G1943" i="8"/>
  <c r="A1945" i="8" l="1"/>
  <c r="C1944" i="8"/>
  <c r="G1944" i="8"/>
  <c r="B1944" i="8"/>
  <c r="E1944" i="8"/>
  <c r="D1944" i="8"/>
  <c r="E1945" i="8" l="1"/>
  <c r="D1945" i="8"/>
  <c r="A1946" i="8"/>
  <c r="C1945" i="8"/>
  <c r="G1945" i="8"/>
  <c r="B1945" i="8"/>
  <c r="A1947" i="8" l="1"/>
  <c r="C1946" i="8"/>
  <c r="G1946" i="8"/>
  <c r="B1946" i="8"/>
  <c r="E1946" i="8"/>
  <c r="D1946" i="8"/>
  <c r="E1947" i="8" l="1"/>
  <c r="D1947" i="8"/>
  <c r="A1948" i="8"/>
  <c r="C1947" i="8"/>
  <c r="G1947" i="8"/>
  <c r="B1947" i="8"/>
  <c r="A1949" i="8" l="1"/>
  <c r="C1948" i="8"/>
  <c r="G1948" i="8"/>
  <c r="B1948" i="8"/>
  <c r="E1948" i="8"/>
  <c r="D1948" i="8"/>
  <c r="E1949" i="8" l="1"/>
  <c r="D1949" i="8"/>
  <c r="A1950" i="8"/>
  <c r="C1949" i="8"/>
  <c r="G1949" i="8"/>
  <c r="B1949" i="8"/>
  <c r="A1951" i="8" l="1"/>
  <c r="C1950" i="8"/>
  <c r="G1950" i="8"/>
  <c r="B1950" i="8"/>
  <c r="E1950" i="8"/>
  <c r="D1950" i="8"/>
  <c r="E1951" i="8" l="1"/>
  <c r="D1951" i="8"/>
  <c r="A1952" i="8"/>
  <c r="C1951" i="8"/>
  <c r="B1951" i="8"/>
  <c r="G1951" i="8"/>
  <c r="A1953" i="8" l="1"/>
  <c r="C1952" i="8"/>
  <c r="G1952" i="8"/>
  <c r="B1952" i="8"/>
  <c r="E1952" i="8"/>
  <c r="D1952" i="8"/>
  <c r="E1953" i="8" l="1"/>
  <c r="D1953" i="8"/>
  <c r="A1954" i="8"/>
  <c r="C1953" i="8"/>
  <c r="G1953" i="8"/>
  <c r="B1953" i="8"/>
  <c r="A1955" i="8" l="1"/>
  <c r="C1954" i="8"/>
  <c r="G1954" i="8"/>
  <c r="B1954" i="8"/>
  <c r="E1954" i="8"/>
  <c r="D1954" i="8"/>
  <c r="E1955" i="8" l="1"/>
  <c r="D1955" i="8"/>
  <c r="A1956" i="8"/>
  <c r="C1955" i="8"/>
  <c r="G1955" i="8"/>
  <c r="B1955" i="8"/>
  <c r="A1957" i="8" l="1"/>
  <c r="C1956" i="8"/>
  <c r="G1956" i="8"/>
  <c r="B1956" i="8"/>
  <c r="E1956" i="8"/>
  <c r="D1956" i="8"/>
  <c r="E1957" i="8" l="1"/>
  <c r="D1957" i="8"/>
  <c r="A1958" i="8"/>
  <c r="C1957" i="8"/>
  <c r="G1957" i="8"/>
  <c r="B1957" i="8"/>
  <c r="A1959" i="8" l="1"/>
  <c r="C1958" i="8"/>
  <c r="G1958" i="8"/>
  <c r="B1958" i="8"/>
  <c r="E1958" i="8"/>
  <c r="D1958" i="8"/>
  <c r="E1959" i="8" l="1"/>
  <c r="D1959" i="8"/>
  <c r="A1960" i="8"/>
  <c r="C1959" i="8"/>
  <c r="B1959" i="8"/>
  <c r="G1959" i="8"/>
  <c r="A1961" i="8" l="1"/>
  <c r="C1960" i="8"/>
  <c r="G1960" i="8"/>
  <c r="B1960" i="8"/>
  <c r="E1960" i="8"/>
  <c r="D1960" i="8"/>
  <c r="E1961" i="8" l="1"/>
  <c r="D1961" i="8"/>
  <c r="A1962" i="8"/>
  <c r="C1961" i="8"/>
  <c r="G1961" i="8"/>
  <c r="B1961" i="8"/>
  <c r="A1963" i="8" l="1"/>
  <c r="C1962" i="8"/>
  <c r="G1962" i="8"/>
  <c r="B1962" i="8"/>
  <c r="E1962" i="8"/>
  <c r="D1962" i="8"/>
  <c r="E1963" i="8" l="1"/>
  <c r="D1963" i="8"/>
  <c r="A1964" i="8"/>
  <c r="C1963" i="8"/>
  <c r="G1963" i="8"/>
  <c r="B1963" i="8"/>
  <c r="A1965" i="8" l="1"/>
  <c r="C1964" i="8"/>
  <c r="G1964" i="8"/>
  <c r="B1964" i="8"/>
  <c r="E1964" i="8"/>
  <c r="D1964" i="8"/>
  <c r="E1965" i="8" l="1"/>
  <c r="D1965" i="8"/>
  <c r="A1966" i="8"/>
  <c r="C1965" i="8"/>
  <c r="G1965" i="8"/>
  <c r="B1965" i="8"/>
  <c r="A1967" i="8" l="1"/>
  <c r="C1966" i="8"/>
  <c r="G1966" i="8"/>
  <c r="B1966" i="8"/>
  <c r="E1966" i="8"/>
  <c r="D1966" i="8"/>
  <c r="E1967" i="8" l="1"/>
  <c r="D1967" i="8"/>
  <c r="A1968" i="8"/>
  <c r="C1967" i="8"/>
  <c r="B1967" i="8"/>
  <c r="G1967" i="8"/>
  <c r="A1969" i="8" l="1"/>
  <c r="C1968" i="8"/>
  <c r="G1968" i="8"/>
  <c r="B1968" i="8"/>
  <c r="E1968" i="8"/>
  <c r="D1968" i="8"/>
  <c r="E1969" i="8" l="1"/>
  <c r="D1969" i="8"/>
  <c r="A1970" i="8"/>
  <c r="C1969" i="8"/>
  <c r="G1969" i="8"/>
  <c r="B1969" i="8"/>
  <c r="A1971" i="8" l="1"/>
  <c r="C1970" i="8"/>
  <c r="G1970" i="8"/>
  <c r="B1970" i="8"/>
  <c r="E1970" i="8"/>
  <c r="D1970" i="8"/>
  <c r="E1971" i="8" l="1"/>
  <c r="D1971" i="8"/>
  <c r="A1972" i="8"/>
  <c r="C1971" i="8"/>
  <c r="G1971" i="8"/>
  <c r="B1971" i="8"/>
  <c r="A1973" i="8" l="1"/>
  <c r="C1972" i="8"/>
  <c r="G1972" i="8"/>
  <c r="B1972" i="8"/>
  <c r="E1972" i="8"/>
  <c r="D1972" i="8"/>
  <c r="E1973" i="8" l="1"/>
  <c r="D1973" i="8"/>
  <c r="A1974" i="8"/>
  <c r="C1973" i="8"/>
  <c r="G1973" i="8"/>
  <c r="B1973" i="8"/>
  <c r="A1975" i="8" l="1"/>
  <c r="C1974" i="8"/>
  <c r="G1974" i="8"/>
  <c r="B1974" i="8"/>
  <c r="E1974" i="8"/>
  <c r="D1974" i="8"/>
  <c r="E1975" i="8" l="1"/>
  <c r="D1975" i="8"/>
  <c r="A1976" i="8"/>
  <c r="C1975" i="8"/>
  <c r="B1975" i="8"/>
  <c r="G1975" i="8"/>
  <c r="A1977" i="8" l="1"/>
  <c r="C1976" i="8"/>
  <c r="G1976" i="8"/>
  <c r="B1976" i="8"/>
  <c r="E1976" i="8"/>
  <c r="D1976" i="8"/>
  <c r="E1977" i="8" l="1"/>
  <c r="D1977" i="8"/>
  <c r="A1978" i="8"/>
  <c r="C1977" i="8"/>
  <c r="G1977" i="8"/>
  <c r="B1977" i="8"/>
  <c r="A1979" i="8" l="1"/>
  <c r="C1978" i="8"/>
  <c r="G1978" i="8"/>
  <c r="B1978" i="8"/>
  <c r="E1978" i="8"/>
  <c r="D1978" i="8"/>
  <c r="E1979" i="8" l="1"/>
  <c r="D1979" i="8"/>
  <c r="A1980" i="8"/>
  <c r="C1979" i="8"/>
  <c r="G1979" i="8"/>
  <c r="B1979" i="8"/>
  <c r="A1981" i="8" l="1"/>
  <c r="C1980" i="8"/>
  <c r="G1980" i="8"/>
  <c r="B1980" i="8"/>
  <c r="E1980" i="8"/>
  <c r="D1980" i="8"/>
  <c r="E1981" i="8" l="1"/>
  <c r="D1981" i="8"/>
  <c r="A1982" i="8"/>
  <c r="C1981" i="8"/>
  <c r="G1981" i="8"/>
  <c r="B1981" i="8"/>
  <c r="A1983" i="8" l="1"/>
  <c r="C1982" i="8"/>
  <c r="G1982" i="8"/>
  <c r="B1982" i="8"/>
  <c r="E1982" i="8"/>
  <c r="D1982" i="8"/>
  <c r="E1983" i="8" l="1"/>
  <c r="D1983" i="8"/>
  <c r="A1984" i="8"/>
  <c r="C1983" i="8"/>
  <c r="B1983" i="8"/>
  <c r="G1983" i="8"/>
  <c r="A1985" i="8" l="1"/>
  <c r="C1984" i="8"/>
  <c r="G1984" i="8"/>
  <c r="B1984" i="8"/>
  <c r="E1984" i="8"/>
  <c r="D1984" i="8"/>
  <c r="E1985" i="8" l="1"/>
  <c r="D1985" i="8"/>
  <c r="A1986" i="8"/>
  <c r="C1985" i="8"/>
  <c r="G1985" i="8"/>
  <c r="B1985" i="8"/>
  <c r="A1987" i="8" l="1"/>
  <c r="C1986" i="8"/>
  <c r="G1986" i="8"/>
  <c r="B1986" i="8"/>
  <c r="E1986" i="8"/>
  <c r="D1986" i="8"/>
  <c r="E1987" i="8" l="1"/>
  <c r="D1987" i="8"/>
  <c r="A1988" i="8"/>
  <c r="C1987" i="8"/>
  <c r="G1987" i="8"/>
  <c r="B1987" i="8"/>
  <c r="A1989" i="8" l="1"/>
  <c r="C1988" i="8"/>
  <c r="G1988" i="8"/>
  <c r="B1988" i="8"/>
  <c r="E1988" i="8"/>
  <c r="D1988" i="8"/>
  <c r="E1989" i="8" l="1"/>
  <c r="D1989" i="8"/>
  <c r="A1990" i="8"/>
  <c r="C1989" i="8"/>
  <c r="G1989" i="8"/>
  <c r="B1989" i="8"/>
  <c r="A1991" i="8" l="1"/>
  <c r="C1990" i="8"/>
  <c r="G1990" i="8"/>
  <c r="B1990" i="8"/>
  <c r="E1990" i="8"/>
  <c r="D1990" i="8"/>
  <c r="E1991" i="8" l="1"/>
  <c r="D1991" i="8"/>
  <c r="A1992" i="8"/>
  <c r="C1991" i="8"/>
  <c r="B1991" i="8"/>
  <c r="G1991" i="8"/>
  <c r="A1993" i="8" l="1"/>
  <c r="C1992" i="8"/>
  <c r="G1992" i="8"/>
  <c r="B1992" i="8"/>
  <c r="E1992" i="8"/>
  <c r="D1992" i="8"/>
  <c r="E1993" i="8" l="1"/>
  <c r="D1993" i="8"/>
  <c r="A1994" i="8"/>
  <c r="C1993" i="8"/>
  <c r="G1993" i="8"/>
  <c r="B1993" i="8"/>
  <c r="A1995" i="8" l="1"/>
  <c r="C1994" i="8"/>
  <c r="G1994" i="8"/>
  <c r="B1994" i="8"/>
  <c r="E1994" i="8"/>
  <c r="D1994" i="8"/>
  <c r="E1995" i="8" l="1"/>
  <c r="D1995" i="8"/>
  <c r="A1996" i="8"/>
  <c r="C1995" i="8"/>
  <c r="G1995" i="8"/>
  <c r="B1995" i="8"/>
  <c r="A1997" i="8" l="1"/>
  <c r="C1996" i="8"/>
  <c r="G1996" i="8"/>
  <c r="B1996" i="8"/>
  <c r="E1996" i="8"/>
  <c r="D1996" i="8"/>
  <c r="E1997" i="8" l="1"/>
  <c r="D1997" i="8"/>
  <c r="A1998" i="8"/>
  <c r="C1997" i="8"/>
  <c r="G1997" i="8"/>
  <c r="B1997" i="8"/>
  <c r="A1999" i="8" l="1"/>
  <c r="C1998" i="8"/>
  <c r="G1998" i="8"/>
  <c r="B1998" i="8"/>
  <c r="E1998" i="8"/>
  <c r="D1998" i="8"/>
  <c r="E1999" i="8" l="1"/>
  <c r="D1999" i="8"/>
  <c r="A2000" i="8"/>
  <c r="C1999" i="8"/>
  <c r="B1999" i="8"/>
  <c r="G1999" i="8"/>
  <c r="A2001" i="8" l="1"/>
  <c r="C2000" i="8"/>
  <c r="G2000" i="8"/>
  <c r="B2000" i="8"/>
  <c r="E2000" i="8"/>
  <c r="D2000" i="8"/>
  <c r="E2001" i="8" l="1"/>
  <c r="D2001" i="8"/>
  <c r="A2002" i="8"/>
  <c r="C2001" i="8"/>
  <c r="G2001" i="8"/>
  <c r="B2001" i="8"/>
  <c r="A2003" i="8" l="1"/>
  <c r="C2002" i="8"/>
  <c r="G2002" i="8"/>
  <c r="B2002" i="8"/>
  <c r="E2002" i="8"/>
  <c r="D2002" i="8"/>
  <c r="E2003" i="8" l="1"/>
  <c r="D2003" i="8"/>
  <c r="A2004" i="8"/>
  <c r="C2003" i="8"/>
  <c r="G2003" i="8"/>
  <c r="B2003" i="8"/>
  <c r="A2005" i="8" l="1"/>
  <c r="C2004" i="8"/>
  <c r="G2004" i="8"/>
  <c r="B2004" i="8"/>
  <c r="E2004" i="8"/>
  <c r="D2004" i="8"/>
  <c r="E2005" i="8" l="1"/>
  <c r="D2005" i="8"/>
  <c r="A2006" i="8"/>
  <c r="C2005" i="8"/>
  <c r="G2005" i="8"/>
  <c r="B2005" i="8"/>
  <c r="A2007" i="8" l="1"/>
  <c r="C2006" i="8"/>
  <c r="G2006" i="8"/>
  <c r="B2006" i="8"/>
  <c r="E2006" i="8"/>
  <c r="D2006" i="8"/>
  <c r="E2007" i="8" l="1"/>
  <c r="D2007" i="8"/>
  <c r="A2008" i="8"/>
  <c r="C2007" i="8"/>
  <c r="B2007" i="8"/>
  <c r="G2007" i="8"/>
  <c r="A2009" i="8" l="1"/>
  <c r="C2008" i="8"/>
  <c r="G2008" i="8"/>
  <c r="B2008" i="8"/>
  <c r="E2008" i="8"/>
  <c r="D2008" i="8"/>
  <c r="E2009" i="8" l="1"/>
  <c r="D2009" i="8"/>
  <c r="A2010" i="8"/>
  <c r="C2009" i="8"/>
  <c r="G2009" i="8"/>
  <c r="B2009" i="8"/>
  <c r="A2011" i="8" l="1"/>
  <c r="C2010" i="8"/>
  <c r="G2010" i="8"/>
  <c r="B2010" i="8"/>
  <c r="E2010" i="8"/>
  <c r="D2010" i="8"/>
  <c r="E2011" i="8" l="1"/>
  <c r="D2011" i="8"/>
  <c r="A2012" i="8"/>
  <c r="C2011" i="8"/>
  <c r="G2011" i="8"/>
  <c r="B2011" i="8"/>
  <c r="A2013" i="8" l="1"/>
  <c r="C2012" i="8"/>
  <c r="G2012" i="8"/>
  <c r="B2012" i="8"/>
  <c r="E2012" i="8"/>
  <c r="D2012" i="8"/>
  <c r="E2013" i="8" l="1"/>
  <c r="D2013" i="8"/>
  <c r="A2014" i="8"/>
  <c r="C2013" i="8"/>
  <c r="G2013" i="8"/>
  <c r="B2013" i="8"/>
  <c r="A2015" i="8" l="1"/>
  <c r="C2014" i="8"/>
  <c r="G2014" i="8"/>
  <c r="B2014" i="8"/>
  <c r="E2014" i="8"/>
  <c r="D2014" i="8"/>
  <c r="E2015" i="8" l="1"/>
  <c r="D2015" i="8"/>
  <c r="A2016" i="8"/>
  <c r="C2015" i="8"/>
  <c r="B2015" i="8"/>
  <c r="G2015" i="8"/>
  <c r="A2017" i="8" l="1"/>
  <c r="C2016" i="8"/>
  <c r="G2016" i="8"/>
  <c r="B2016" i="8"/>
  <c r="E2016" i="8"/>
  <c r="D2016" i="8"/>
  <c r="E2017" i="8" l="1"/>
  <c r="D2017" i="8"/>
  <c r="A2018" i="8"/>
  <c r="C2017" i="8"/>
  <c r="G2017" i="8"/>
  <c r="B2017" i="8"/>
  <c r="A2019" i="8" l="1"/>
  <c r="C2018" i="8"/>
  <c r="G2018" i="8"/>
  <c r="B2018" i="8"/>
  <c r="E2018" i="8"/>
  <c r="D2018" i="8"/>
  <c r="E2019" i="8" l="1"/>
  <c r="D2019" i="8"/>
  <c r="A2020" i="8"/>
  <c r="C2019" i="8"/>
  <c r="G2019" i="8"/>
  <c r="B2019" i="8"/>
  <c r="A2021" i="8" l="1"/>
  <c r="C2020" i="8"/>
  <c r="G2020" i="8"/>
  <c r="B2020" i="8"/>
  <c r="E2020" i="8"/>
  <c r="D2020" i="8"/>
  <c r="E2021" i="8" l="1"/>
  <c r="D2021" i="8"/>
  <c r="A2022" i="8"/>
  <c r="C2021" i="8"/>
  <c r="G2021" i="8"/>
  <c r="B2021" i="8"/>
  <c r="A2023" i="8" l="1"/>
  <c r="C2022" i="8"/>
  <c r="G2022" i="8"/>
  <c r="B2022" i="8"/>
  <c r="E2022" i="8"/>
  <c r="D2022" i="8"/>
  <c r="E2023" i="8" l="1"/>
  <c r="D2023" i="8"/>
  <c r="A2024" i="8"/>
  <c r="C2023" i="8"/>
  <c r="B2023" i="8"/>
  <c r="G2023" i="8"/>
  <c r="A2025" i="8" l="1"/>
  <c r="C2024" i="8"/>
  <c r="G2024" i="8"/>
  <c r="B2024" i="8"/>
  <c r="E2024" i="8"/>
  <c r="D2024" i="8"/>
  <c r="E2025" i="8" l="1"/>
  <c r="D2025" i="8"/>
  <c r="A2026" i="8"/>
  <c r="C2025" i="8"/>
  <c r="G2025" i="8"/>
  <c r="B2025" i="8"/>
  <c r="A2027" i="8" l="1"/>
  <c r="C2026" i="8"/>
  <c r="G2026" i="8"/>
  <c r="B2026" i="8"/>
  <c r="E2026" i="8"/>
  <c r="D2026" i="8"/>
  <c r="E2027" i="8" l="1"/>
  <c r="D2027" i="8"/>
  <c r="A2028" i="8"/>
  <c r="C2027" i="8"/>
  <c r="G2027" i="8"/>
  <c r="B2027" i="8"/>
  <c r="A2029" i="8" l="1"/>
  <c r="C2028" i="8"/>
  <c r="G2028" i="8"/>
  <c r="B2028" i="8"/>
  <c r="E2028" i="8"/>
  <c r="D2028" i="8"/>
  <c r="E2029" i="8" l="1"/>
  <c r="D2029" i="8"/>
  <c r="A2030" i="8"/>
  <c r="C2029" i="8"/>
  <c r="G2029" i="8"/>
  <c r="B2029" i="8"/>
  <c r="A2031" i="8" l="1"/>
  <c r="C2030" i="8"/>
  <c r="G2030" i="8"/>
  <c r="B2030" i="8"/>
  <c r="E2030" i="8"/>
  <c r="D2030" i="8"/>
  <c r="E2031" i="8" l="1"/>
  <c r="D2031" i="8"/>
  <c r="A2032" i="8"/>
  <c r="C2031" i="8"/>
  <c r="B2031" i="8"/>
  <c r="G2031" i="8"/>
  <c r="A2033" i="8" l="1"/>
  <c r="C2032" i="8"/>
  <c r="G2032" i="8"/>
  <c r="B2032" i="8"/>
  <c r="E2032" i="8"/>
  <c r="D2032" i="8"/>
  <c r="E2033" i="8" l="1"/>
  <c r="D2033" i="8"/>
  <c r="A2034" i="8"/>
  <c r="C2033" i="8"/>
  <c r="G2033" i="8"/>
  <c r="B2033" i="8"/>
  <c r="A2035" i="8" l="1"/>
  <c r="C2034" i="8"/>
  <c r="G2034" i="8"/>
  <c r="B2034" i="8"/>
  <c r="E2034" i="8"/>
  <c r="D2034" i="8"/>
  <c r="E2035" i="8" l="1"/>
  <c r="D2035" i="8"/>
  <c r="A2036" i="8"/>
  <c r="C2035" i="8"/>
  <c r="G2035" i="8"/>
  <c r="B2035" i="8"/>
  <c r="A2037" i="8" l="1"/>
  <c r="C2036" i="8"/>
  <c r="G2036" i="8"/>
  <c r="B2036" i="8"/>
  <c r="E2036" i="8"/>
  <c r="D2036" i="8"/>
  <c r="E2037" i="8" l="1"/>
  <c r="D2037" i="8"/>
  <c r="A2038" i="8"/>
  <c r="C2037" i="8"/>
  <c r="G2037" i="8"/>
  <c r="B2037" i="8"/>
  <c r="A2039" i="8" l="1"/>
  <c r="C2038" i="8"/>
  <c r="G2038" i="8"/>
  <c r="B2038" i="8"/>
  <c r="E2038" i="8"/>
  <c r="D2038" i="8"/>
  <c r="E2039" i="8" l="1"/>
  <c r="D2039" i="8"/>
  <c r="A2040" i="8"/>
  <c r="C2039" i="8"/>
  <c r="B2039" i="8"/>
  <c r="G2039" i="8"/>
  <c r="A2041" i="8" l="1"/>
  <c r="C2040" i="8"/>
  <c r="G2040" i="8"/>
  <c r="B2040" i="8"/>
  <c r="E2040" i="8"/>
  <c r="D2040" i="8"/>
  <c r="E2041" i="8" l="1"/>
  <c r="D2041" i="8"/>
  <c r="A2042" i="8"/>
  <c r="C2041" i="8"/>
  <c r="G2041" i="8"/>
  <c r="B2041" i="8"/>
  <c r="A2043" i="8" l="1"/>
  <c r="C2042" i="8"/>
  <c r="G2042" i="8"/>
  <c r="B2042" i="8"/>
  <c r="E2042" i="8"/>
  <c r="D2042" i="8"/>
  <c r="E2043" i="8" l="1"/>
  <c r="D2043" i="8"/>
  <c r="A2044" i="8"/>
  <c r="C2043" i="8"/>
  <c r="G2043" i="8"/>
  <c r="B2043" i="8"/>
  <c r="A2045" i="8" l="1"/>
  <c r="C2044" i="8"/>
  <c r="G2044" i="8"/>
  <c r="B2044" i="8"/>
  <c r="E2044" i="8"/>
  <c r="D2044" i="8"/>
  <c r="E2045" i="8" l="1"/>
  <c r="D2045" i="8"/>
  <c r="A2046" i="8"/>
  <c r="C2045" i="8"/>
  <c r="G2045" i="8"/>
  <c r="B2045" i="8"/>
  <c r="A2047" i="8" l="1"/>
  <c r="C2046" i="8"/>
  <c r="G2046" i="8"/>
  <c r="B2046" i="8"/>
  <c r="E2046" i="8"/>
  <c r="D2046" i="8"/>
  <c r="E2047" i="8" l="1"/>
  <c r="D2047" i="8"/>
  <c r="A2048" i="8"/>
  <c r="C2047" i="8"/>
  <c r="B2047" i="8"/>
  <c r="G2047" i="8"/>
  <c r="A2049" i="8" l="1"/>
  <c r="C2048" i="8"/>
  <c r="G2048" i="8"/>
  <c r="B2048" i="8"/>
  <c r="E2048" i="8"/>
  <c r="D2048" i="8"/>
  <c r="E2049" i="8" l="1"/>
  <c r="D2049" i="8"/>
  <c r="A2050" i="8"/>
  <c r="C2049" i="8"/>
  <c r="G2049" i="8"/>
  <c r="B2049" i="8"/>
  <c r="A2051" i="8" l="1"/>
  <c r="C2050" i="8"/>
  <c r="G2050" i="8"/>
  <c r="B2050" i="8"/>
  <c r="E2050" i="8"/>
  <c r="D2050" i="8"/>
  <c r="E2051" i="8" l="1"/>
  <c r="D2051" i="8"/>
  <c r="A2052" i="8"/>
  <c r="C2051" i="8"/>
  <c r="G2051" i="8"/>
  <c r="B2051" i="8"/>
  <c r="A2053" i="8" l="1"/>
  <c r="C2052" i="8"/>
  <c r="G2052" i="8"/>
  <c r="B2052" i="8"/>
  <c r="E2052" i="8"/>
  <c r="D2052" i="8"/>
  <c r="E2053" i="8" l="1"/>
  <c r="D2053" i="8"/>
  <c r="A2054" i="8"/>
  <c r="C2053" i="8"/>
  <c r="G2053" i="8"/>
  <c r="B2053" i="8"/>
  <c r="A2055" i="8" l="1"/>
  <c r="C2054" i="8"/>
  <c r="G2054" i="8"/>
  <c r="B2054" i="8"/>
  <c r="E2054" i="8"/>
  <c r="D2054" i="8"/>
  <c r="E2055" i="8" l="1"/>
  <c r="D2055" i="8"/>
  <c r="A2056" i="8"/>
  <c r="C2055" i="8"/>
  <c r="B2055" i="8"/>
  <c r="G2055" i="8"/>
  <c r="A2057" i="8" l="1"/>
  <c r="C2056" i="8"/>
  <c r="G2056" i="8"/>
  <c r="B2056" i="8"/>
  <c r="E2056" i="8"/>
  <c r="D2056" i="8"/>
  <c r="E2057" i="8" l="1"/>
  <c r="D2057" i="8"/>
  <c r="A2058" i="8"/>
  <c r="C2057" i="8"/>
  <c r="G2057" i="8"/>
  <c r="B2057" i="8"/>
  <c r="A2059" i="8" l="1"/>
  <c r="C2058" i="8"/>
  <c r="G2058" i="8"/>
  <c r="B2058" i="8"/>
  <c r="E2058" i="8"/>
  <c r="D2058" i="8"/>
  <c r="E2059" i="8" l="1"/>
  <c r="D2059" i="8"/>
  <c r="A2060" i="8"/>
  <c r="C2059" i="8"/>
  <c r="G2059" i="8"/>
  <c r="B2059" i="8"/>
  <c r="A2061" i="8" l="1"/>
  <c r="C2060" i="8"/>
  <c r="G2060" i="8"/>
  <c r="B2060" i="8"/>
  <c r="E2060" i="8"/>
  <c r="D2060" i="8"/>
  <c r="E2061" i="8" l="1"/>
  <c r="D2061" i="8"/>
  <c r="A2062" i="8"/>
  <c r="C2061" i="8"/>
  <c r="G2061" i="8"/>
  <c r="B2061" i="8"/>
  <c r="A2063" i="8" l="1"/>
  <c r="C2062" i="8"/>
  <c r="G2062" i="8"/>
  <c r="B2062" i="8"/>
  <c r="E2062" i="8"/>
  <c r="D2062" i="8"/>
  <c r="E2063" i="8" l="1"/>
  <c r="D2063" i="8"/>
  <c r="A2064" i="8"/>
  <c r="C2063" i="8"/>
  <c r="B2063" i="8"/>
  <c r="G2063" i="8"/>
  <c r="A2065" i="8" l="1"/>
  <c r="C2064" i="8"/>
  <c r="G2064" i="8"/>
  <c r="B2064" i="8"/>
  <c r="E2064" i="8"/>
  <c r="D2064" i="8"/>
  <c r="E2065" i="8" l="1"/>
  <c r="D2065" i="8"/>
  <c r="A2066" i="8"/>
  <c r="C2065" i="8"/>
  <c r="G2065" i="8"/>
  <c r="B2065" i="8"/>
  <c r="A2067" i="8" l="1"/>
  <c r="C2066" i="8"/>
  <c r="G2066" i="8"/>
  <c r="B2066" i="8"/>
  <c r="E2066" i="8"/>
  <c r="D2066" i="8"/>
  <c r="E2067" i="8" l="1"/>
  <c r="D2067" i="8"/>
  <c r="A2068" i="8"/>
  <c r="C2067" i="8"/>
  <c r="G2067" i="8"/>
  <c r="B2067" i="8"/>
  <c r="A2069" i="8" l="1"/>
  <c r="C2068" i="8"/>
  <c r="G2068" i="8"/>
  <c r="B2068" i="8"/>
  <c r="E2068" i="8"/>
  <c r="D2068" i="8"/>
  <c r="E2069" i="8" l="1"/>
  <c r="D2069" i="8"/>
  <c r="A2070" i="8"/>
  <c r="C2069" i="8"/>
  <c r="G2069" i="8"/>
  <c r="B2069" i="8"/>
  <c r="A2071" i="8" l="1"/>
  <c r="C2070" i="8"/>
  <c r="G2070" i="8"/>
  <c r="B2070" i="8"/>
  <c r="E2070" i="8"/>
  <c r="D2070" i="8"/>
  <c r="E2071" i="8" l="1"/>
  <c r="D2071" i="8"/>
  <c r="A2072" i="8"/>
  <c r="C2071" i="8"/>
  <c r="B2071" i="8"/>
  <c r="G2071" i="8"/>
  <c r="A2073" i="8" l="1"/>
  <c r="C2072" i="8"/>
  <c r="G2072" i="8"/>
  <c r="B2072" i="8"/>
  <c r="E2072" i="8"/>
  <c r="D2072" i="8"/>
  <c r="E2073" i="8" l="1"/>
  <c r="D2073" i="8"/>
  <c r="A2074" i="8"/>
  <c r="C2073" i="8"/>
  <c r="G2073" i="8"/>
  <c r="B2073" i="8"/>
  <c r="A2075" i="8" l="1"/>
  <c r="C2074" i="8"/>
  <c r="G2074" i="8"/>
  <c r="B2074" i="8"/>
  <c r="E2074" i="8"/>
  <c r="D2074" i="8"/>
  <c r="E2075" i="8" l="1"/>
  <c r="D2075" i="8"/>
  <c r="A2076" i="8"/>
  <c r="C2075" i="8"/>
  <c r="G2075" i="8"/>
  <c r="B2075" i="8"/>
  <c r="A2077" i="8" l="1"/>
  <c r="C2076" i="8"/>
  <c r="G2076" i="8"/>
  <c r="B2076" i="8"/>
  <c r="E2076" i="8"/>
  <c r="D2076" i="8"/>
  <c r="E2077" i="8" l="1"/>
  <c r="D2077" i="8"/>
  <c r="A2078" i="8"/>
  <c r="C2077" i="8"/>
  <c r="G2077" i="8"/>
  <c r="B2077" i="8"/>
  <c r="A2079" i="8" l="1"/>
  <c r="C2078" i="8"/>
  <c r="G2078" i="8"/>
  <c r="B2078" i="8"/>
  <c r="E2078" i="8"/>
  <c r="D2078" i="8"/>
  <c r="E2079" i="8" l="1"/>
  <c r="D2079" i="8"/>
  <c r="A2080" i="8"/>
  <c r="C2079" i="8"/>
  <c r="B2079" i="8"/>
  <c r="G2079" i="8"/>
  <c r="A2081" i="8" l="1"/>
  <c r="C2080" i="8"/>
  <c r="G2080" i="8"/>
  <c r="B2080" i="8"/>
  <c r="E2080" i="8"/>
  <c r="D2080" i="8"/>
  <c r="E2081" i="8" l="1"/>
  <c r="D2081" i="8"/>
  <c r="A2082" i="8"/>
  <c r="C2081" i="8"/>
  <c r="G2081" i="8"/>
  <c r="B2081" i="8"/>
  <c r="A2083" i="8" l="1"/>
  <c r="C2082" i="8"/>
  <c r="G2082" i="8"/>
  <c r="B2082" i="8"/>
  <c r="E2082" i="8"/>
  <c r="D2082" i="8"/>
  <c r="E2083" i="8" l="1"/>
  <c r="D2083" i="8"/>
  <c r="A2084" i="8"/>
  <c r="C2083" i="8"/>
  <c r="G2083" i="8"/>
  <c r="B2083" i="8"/>
  <c r="A2085" i="8" l="1"/>
  <c r="C2084" i="8"/>
  <c r="G2084" i="8"/>
  <c r="B2084" i="8"/>
  <c r="E2084" i="8"/>
  <c r="D2084" i="8"/>
  <c r="E2085" i="8" l="1"/>
  <c r="D2085" i="8"/>
  <c r="A2086" i="8"/>
  <c r="C2085" i="8"/>
  <c r="G2085" i="8"/>
  <c r="B2085" i="8"/>
  <c r="A2087" i="8" l="1"/>
  <c r="C2086" i="8"/>
  <c r="G2086" i="8"/>
  <c r="B2086" i="8"/>
  <c r="E2086" i="8"/>
  <c r="D2086" i="8"/>
  <c r="E2087" i="8" l="1"/>
  <c r="D2087" i="8"/>
  <c r="A2088" i="8"/>
  <c r="C2087" i="8"/>
  <c r="B2087" i="8"/>
  <c r="G2087" i="8"/>
  <c r="A2089" i="8" l="1"/>
  <c r="C2088" i="8"/>
  <c r="G2088" i="8"/>
  <c r="B2088" i="8"/>
  <c r="E2088" i="8"/>
  <c r="D2088" i="8"/>
  <c r="E2089" i="8" l="1"/>
  <c r="D2089" i="8"/>
  <c r="A2090" i="8"/>
  <c r="C2089" i="8"/>
  <c r="G2089" i="8"/>
  <c r="B2089" i="8"/>
  <c r="A2091" i="8" l="1"/>
  <c r="C2090" i="8"/>
  <c r="G2090" i="8"/>
  <c r="B2090" i="8"/>
  <c r="E2090" i="8"/>
  <c r="D2090" i="8"/>
  <c r="E2091" i="8" l="1"/>
  <c r="D2091" i="8"/>
  <c r="A2092" i="8"/>
  <c r="C2091" i="8"/>
  <c r="G2091" i="8"/>
  <c r="B2091" i="8"/>
  <c r="A2093" i="8" l="1"/>
  <c r="C2092" i="8"/>
  <c r="G2092" i="8"/>
  <c r="B2092" i="8"/>
  <c r="E2092" i="8"/>
  <c r="D2092" i="8"/>
  <c r="E2093" i="8" l="1"/>
  <c r="D2093" i="8"/>
  <c r="A2094" i="8"/>
  <c r="C2093" i="8"/>
  <c r="G2093" i="8"/>
  <c r="B2093" i="8"/>
  <c r="A2095" i="8" l="1"/>
  <c r="C2094" i="8"/>
  <c r="G2094" i="8"/>
  <c r="B2094" i="8"/>
  <c r="E2094" i="8"/>
  <c r="D2094" i="8"/>
  <c r="E2095" i="8" l="1"/>
  <c r="D2095" i="8"/>
  <c r="A2096" i="8"/>
  <c r="C2095" i="8"/>
  <c r="B2095" i="8"/>
  <c r="G2095" i="8"/>
  <c r="A2097" i="8" l="1"/>
  <c r="C2096" i="8"/>
  <c r="G2096" i="8"/>
  <c r="B2096" i="8"/>
  <c r="E2096" i="8"/>
  <c r="D2096" i="8"/>
  <c r="E2097" i="8" l="1"/>
  <c r="D2097" i="8"/>
  <c r="A2098" i="8"/>
  <c r="C2097" i="8"/>
  <c r="G2097" i="8"/>
  <c r="B2097" i="8"/>
  <c r="A2099" i="8" l="1"/>
  <c r="C2098" i="8"/>
  <c r="G2098" i="8"/>
  <c r="B2098" i="8"/>
  <c r="E2098" i="8"/>
  <c r="D2098" i="8"/>
  <c r="E2099" i="8" l="1"/>
  <c r="D2099" i="8"/>
  <c r="A2100" i="8"/>
  <c r="C2099" i="8"/>
  <c r="G2099" i="8"/>
  <c r="B2099" i="8"/>
  <c r="A2101" i="8" l="1"/>
  <c r="C2100" i="8"/>
  <c r="G2100" i="8"/>
  <c r="B2100" i="8"/>
  <c r="E2100" i="8"/>
  <c r="D2100" i="8"/>
  <c r="E2101" i="8" l="1"/>
  <c r="D2101" i="8"/>
  <c r="A2102" i="8"/>
  <c r="C2101" i="8"/>
  <c r="G2101" i="8"/>
  <c r="B2101" i="8"/>
  <c r="A2103" i="8" l="1"/>
  <c r="C2102" i="8"/>
  <c r="G2102" i="8"/>
  <c r="B2102" i="8"/>
  <c r="E2102" i="8"/>
  <c r="D2102" i="8"/>
  <c r="E2103" i="8" l="1"/>
  <c r="D2103" i="8"/>
  <c r="A2104" i="8"/>
  <c r="C2103" i="8"/>
  <c r="B2103" i="8"/>
  <c r="G2103" i="8"/>
  <c r="A2105" i="8" l="1"/>
  <c r="C2104" i="8"/>
  <c r="G2104" i="8"/>
  <c r="B2104" i="8"/>
  <c r="E2104" i="8"/>
  <c r="D2104" i="8"/>
  <c r="E2105" i="8" l="1"/>
  <c r="D2105" i="8"/>
  <c r="A2106" i="8"/>
  <c r="C2105" i="8"/>
  <c r="G2105" i="8"/>
  <c r="B2105" i="8"/>
  <c r="A2107" i="8" l="1"/>
  <c r="C2106" i="8"/>
  <c r="G2106" i="8"/>
  <c r="B2106" i="8"/>
  <c r="E2106" i="8"/>
  <c r="D2106" i="8"/>
  <c r="E2107" i="8" l="1"/>
  <c r="D2107" i="8"/>
  <c r="A2108" i="8"/>
  <c r="C2107" i="8"/>
  <c r="G2107" i="8"/>
  <c r="B2107" i="8"/>
  <c r="A2109" i="8" l="1"/>
  <c r="C2108" i="8"/>
  <c r="G2108" i="8"/>
  <c r="B2108" i="8"/>
  <c r="E2108" i="8"/>
  <c r="D2108" i="8"/>
  <c r="E2109" i="8" l="1"/>
  <c r="D2109" i="8"/>
  <c r="A2110" i="8"/>
  <c r="C2109" i="8"/>
  <c r="G2109" i="8"/>
  <c r="B2109" i="8"/>
  <c r="A2111" i="8" l="1"/>
  <c r="C2110" i="8"/>
  <c r="G2110" i="8"/>
  <c r="B2110" i="8"/>
  <c r="E2110" i="8"/>
  <c r="D2110" i="8"/>
  <c r="E2111" i="8" l="1"/>
  <c r="D2111" i="8"/>
  <c r="A2112" i="8"/>
  <c r="C2111" i="8"/>
  <c r="B2111" i="8"/>
  <c r="G2111" i="8"/>
  <c r="A2113" i="8" l="1"/>
  <c r="C2112" i="8"/>
  <c r="G2112" i="8"/>
  <c r="B2112" i="8"/>
  <c r="E2112" i="8"/>
  <c r="D2112" i="8"/>
  <c r="E2113" i="8" l="1"/>
  <c r="D2113" i="8"/>
  <c r="A2114" i="8"/>
  <c r="C2113" i="8"/>
  <c r="G2113" i="8"/>
  <c r="B2113" i="8"/>
  <c r="A2115" i="8" l="1"/>
  <c r="C2114" i="8"/>
  <c r="G2114" i="8"/>
  <c r="B2114" i="8"/>
  <c r="E2114" i="8"/>
  <c r="D2114" i="8"/>
  <c r="E2115" i="8" l="1"/>
  <c r="D2115" i="8"/>
  <c r="A2116" i="8"/>
  <c r="C2115" i="8"/>
  <c r="G2115" i="8"/>
  <c r="B2115" i="8"/>
  <c r="A2117" i="8" l="1"/>
  <c r="C2116" i="8"/>
  <c r="G2116" i="8"/>
  <c r="B2116" i="8"/>
  <c r="E2116" i="8"/>
  <c r="D2116" i="8"/>
  <c r="E2117" i="8" l="1"/>
  <c r="D2117" i="8"/>
  <c r="A2118" i="8"/>
  <c r="C2117" i="8"/>
  <c r="G2117" i="8"/>
  <c r="B2117" i="8"/>
  <c r="A2119" i="8" l="1"/>
  <c r="C2118" i="8"/>
  <c r="G2118" i="8"/>
  <c r="B2118" i="8"/>
  <c r="E2118" i="8"/>
  <c r="D2118" i="8"/>
  <c r="E2119" i="8" l="1"/>
  <c r="D2119" i="8"/>
  <c r="A2120" i="8"/>
  <c r="C2119" i="8"/>
  <c r="B2119" i="8"/>
  <c r="G2119" i="8"/>
  <c r="A2121" i="8" l="1"/>
  <c r="C2120" i="8"/>
  <c r="G2120" i="8"/>
  <c r="B2120" i="8"/>
  <c r="E2120" i="8"/>
  <c r="D2120" i="8"/>
  <c r="E2121" i="8" l="1"/>
  <c r="D2121" i="8"/>
  <c r="A2122" i="8"/>
  <c r="C2121" i="8"/>
  <c r="G2121" i="8"/>
  <c r="B2121" i="8"/>
  <c r="A2123" i="8" l="1"/>
  <c r="C2122" i="8"/>
  <c r="G2122" i="8"/>
  <c r="B2122" i="8"/>
  <c r="E2122" i="8"/>
  <c r="D2122" i="8"/>
  <c r="E2123" i="8" l="1"/>
  <c r="D2123" i="8"/>
  <c r="A2124" i="8"/>
  <c r="C2123" i="8"/>
  <c r="G2123" i="8"/>
  <c r="B2123" i="8"/>
  <c r="A2125" i="8" l="1"/>
  <c r="C2124" i="8"/>
  <c r="G2124" i="8"/>
  <c r="B2124" i="8"/>
  <c r="E2124" i="8"/>
  <c r="D2124" i="8"/>
  <c r="E2125" i="8" l="1"/>
  <c r="D2125" i="8"/>
  <c r="A2126" i="8"/>
  <c r="C2125" i="8"/>
  <c r="G2125" i="8"/>
  <c r="B2125" i="8"/>
  <c r="A2127" i="8" l="1"/>
  <c r="C2126" i="8"/>
  <c r="G2126" i="8"/>
  <c r="B2126" i="8"/>
  <c r="E2126" i="8"/>
  <c r="D2126" i="8"/>
  <c r="E2127" i="8" l="1"/>
  <c r="D2127" i="8"/>
  <c r="A2128" i="8"/>
  <c r="C2127" i="8"/>
  <c r="B2127" i="8"/>
  <c r="G2127" i="8"/>
  <c r="A2129" i="8" l="1"/>
  <c r="C2128" i="8"/>
  <c r="G2128" i="8"/>
  <c r="B2128" i="8"/>
  <c r="E2128" i="8"/>
  <c r="D2128" i="8"/>
  <c r="E2129" i="8" l="1"/>
  <c r="D2129" i="8"/>
  <c r="A2130" i="8"/>
  <c r="C2129" i="8"/>
  <c r="G2129" i="8"/>
  <c r="B2129" i="8"/>
  <c r="A2131" i="8" l="1"/>
  <c r="C2130" i="8"/>
  <c r="G2130" i="8"/>
  <c r="B2130" i="8"/>
  <c r="E2130" i="8"/>
  <c r="D2130" i="8"/>
  <c r="E2131" i="8" l="1"/>
  <c r="D2131" i="8"/>
  <c r="A2132" i="8"/>
  <c r="C2131" i="8"/>
  <c r="G2131" i="8"/>
  <c r="B2131" i="8"/>
  <c r="A2133" i="8" l="1"/>
  <c r="C2132" i="8"/>
  <c r="G2132" i="8"/>
  <c r="B2132" i="8"/>
  <c r="E2132" i="8"/>
  <c r="D2132" i="8"/>
  <c r="E2133" i="8" l="1"/>
  <c r="D2133" i="8"/>
  <c r="A2134" i="8"/>
  <c r="C2133" i="8"/>
  <c r="G2133" i="8"/>
  <c r="B2133" i="8"/>
  <c r="A2135" i="8" l="1"/>
  <c r="C2134" i="8"/>
  <c r="G2134" i="8"/>
  <c r="B2134" i="8"/>
  <c r="E2134" i="8"/>
  <c r="D2134" i="8"/>
  <c r="E2135" i="8" l="1"/>
  <c r="D2135" i="8"/>
  <c r="A2136" i="8"/>
  <c r="C2135" i="8"/>
  <c r="B2135" i="8"/>
  <c r="G2135" i="8"/>
  <c r="A2137" i="8" l="1"/>
  <c r="C2136" i="8"/>
  <c r="G2136" i="8"/>
  <c r="B2136" i="8"/>
  <c r="E2136" i="8"/>
  <c r="D2136" i="8"/>
  <c r="E2137" i="8" l="1"/>
  <c r="D2137" i="8"/>
  <c r="A2138" i="8"/>
  <c r="C2137" i="8"/>
  <c r="G2137" i="8"/>
  <c r="B2137" i="8"/>
  <c r="A2139" i="8" l="1"/>
  <c r="C2138" i="8"/>
  <c r="G2138" i="8"/>
  <c r="B2138" i="8"/>
  <c r="E2138" i="8"/>
  <c r="D2138" i="8"/>
  <c r="E2139" i="8" l="1"/>
  <c r="D2139" i="8"/>
  <c r="A2140" i="8"/>
  <c r="C2139" i="8"/>
  <c r="G2139" i="8"/>
  <c r="B2139" i="8"/>
  <c r="A2141" i="8" l="1"/>
  <c r="C2140" i="8"/>
  <c r="G2140" i="8"/>
  <c r="B2140" i="8"/>
  <c r="E2140" i="8"/>
  <c r="D2140" i="8"/>
  <c r="E2141" i="8" l="1"/>
  <c r="D2141" i="8"/>
  <c r="A2142" i="8"/>
  <c r="C2141" i="8"/>
  <c r="G2141" i="8"/>
  <c r="B2141" i="8"/>
  <c r="A2143" i="8" l="1"/>
  <c r="C2142" i="8"/>
  <c r="G2142" i="8"/>
  <c r="B2142" i="8"/>
  <c r="E2142" i="8"/>
  <c r="D2142" i="8"/>
  <c r="E2143" i="8" l="1"/>
  <c r="D2143" i="8"/>
  <c r="A2144" i="8"/>
  <c r="C2143" i="8"/>
  <c r="B2143" i="8"/>
  <c r="G2143" i="8"/>
  <c r="A2145" i="8" l="1"/>
  <c r="C2144" i="8"/>
  <c r="G2144" i="8"/>
  <c r="B2144" i="8"/>
  <c r="E2144" i="8"/>
  <c r="D2144" i="8"/>
  <c r="E2145" i="8" l="1"/>
  <c r="D2145" i="8"/>
  <c r="A2146" i="8"/>
  <c r="C2145" i="8"/>
  <c r="G2145" i="8"/>
  <c r="B2145" i="8"/>
  <c r="A2147" i="8" l="1"/>
  <c r="C2146" i="8"/>
  <c r="G2146" i="8"/>
  <c r="B2146" i="8"/>
  <c r="E2146" i="8"/>
  <c r="D2146" i="8"/>
  <c r="E2147" i="8" l="1"/>
  <c r="D2147" i="8"/>
  <c r="A2148" i="8"/>
  <c r="C2147" i="8"/>
  <c r="G2147" i="8"/>
  <c r="B2147" i="8"/>
  <c r="A2149" i="8" l="1"/>
  <c r="C2148" i="8"/>
  <c r="G2148" i="8"/>
  <c r="B2148" i="8"/>
  <c r="E2148" i="8"/>
  <c r="D2148" i="8"/>
  <c r="E2149" i="8" l="1"/>
  <c r="D2149" i="8"/>
  <c r="A2150" i="8"/>
  <c r="C2149" i="8"/>
  <c r="G2149" i="8"/>
  <c r="B2149" i="8"/>
  <c r="A2151" i="8" l="1"/>
  <c r="C2150" i="8"/>
  <c r="G2150" i="8"/>
  <c r="B2150" i="8"/>
  <c r="E2150" i="8"/>
  <c r="D2150" i="8"/>
  <c r="E2151" i="8" l="1"/>
  <c r="D2151" i="8"/>
  <c r="A2152" i="8"/>
  <c r="C2151" i="8"/>
  <c r="B2151" i="8"/>
  <c r="G2151" i="8"/>
  <c r="A2153" i="8" l="1"/>
  <c r="C2152" i="8"/>
  <c r="G2152" i="8"/>
  <c r="B2152" i="8"/>
  <c r="E2152" i="8"/>
  <c r="D2152" i="8"/>
  <c r="E2153" i="8" l="1"/>
  <c r="D2153" i="8"/>
  <c r="A2154" i="8"/>
  <c r="C2153" i="8"/>
  <c r="G2153" i="8"/>
  <c r="B2153" i="8"/>
  <c r="A2155" i="8" l="1"/>
  <c r="C2154" i="8"/>
  <c r="G2154" i="8"/>
  <c r="B2154" i="8"/>
  <c r="E2154" i="8"/>
  <c r="D2154" i="8"/>
  <c r="E2155" i="8" l="1"/>
  <c r="D2155" i="8"/>
  <c r="A2156" i="8"/>
  <c r="C2155" i="8"/>
  <c r="G2155" i="8"/>
  <c r="B2155" i="8"/>
  <c r="A2157" i="8" l="1"/>
  <c r="C2156" i="8"/>
  <c r="G2156" i="8"/>
  <c r="B2156" i="8"/>
  <c r="E2156" i="8"/>
  <c r="D2156" i="8"/>
  <c r="E2157" i="8" l="1"/>
  <c r="D2157" i="8"/>
  <c r="A2158" i="8"/>
  <c r="C2157" i="8"/>
  <c r="G2157" i="8"/>
  <c r="B2157" i="8"/>
  <c r="A2159" i="8" l="1"/>
  <c r="C2158" i="8"/>
  <c r="G2158" i="8"/>
  <c r="B2158" i="8"/>
  <c r="E2158" i="8"/>
  <c r="D2158" i="8"/>
  <c r="E2159" i="8" l="1"/>
  <c r="D2159" i="8"/>
  <c r="A2160" i="8"/>
  <c r="C2159" i="8"/>
  <c r="B2159" i="8"/>
  <c r="G2159" i="8"/>
  <c r="A2161" i="8" l="1"/>
  <c r="C2160" i="8"/>
  <c r="G2160" i="8"/>
  <c r="B2160" i="8"/>
  <c r="E2160" i="8"/>
  <c r="D2160" i="8"/>
  <c r="E2161" i="8" l="1"/>
  <c r="D2161" i="8"/>
  <c r="A2162" i="8"/>
  <c r="C2161" i="8"/>
  <c r="G2161" i="8"/>
  <c r="B2161" i="8"/>
  <c r="A2163" i="8" l="1"/>
  <c r="C2162" i="8"/>
  <c r="G2162" i="8"/>
  <c r="B2162" i="8"/>
  <c r="E2162" i="8"/>
  <c r="D2162" i="8"/>
  <c r="E2163" i="8" l="1"/>
  <c r="D2163" i="8"/>
  <c r="A2164" i="8"/>
  <c r="C2163" i="8"/>
  <c r="G2163" i="8"/>
  <c r="B2163" i="8"/>
  <c r="A2165" i="8" l="1"/>
  <c r="C2164" i="8"/>
  <c r="G2164" i="8"/>
  <c r="B2164" i="8"/>
  <c r="E2164" i="8"/>
  <c r="D2164" i="8"/>
  <c r="E2165" i="8" l="1"/>
  <c r="D2165" i="8"/>
  <c r="A2166" i="8"/>
  <c r="C2165" i="8"/>
  <c r="G2165" i="8"/>
  <c r="B2165" i="8"/>
  <c r="A2167" i="8" l="1"/>
  <c r="C2166" i="8"/>
  <c r="G2166" i="8"/>
  <c r="B2166" i="8"/>
  <c r="E2166" i="8"/>
  <c r="D2166" i="8"/>
  <c r="E2167" i="8" l="1"/>
  <c r="D2167" i="8"/>
  <c r="A2168" i="8"/>
  <c r="C2167" i="8"/>
  <c r="B2167" i="8"/>
  <c r="G2167" i="8"/>
  <c r="A2169" i="8" l="1"/>
  <c r="C2168" i="8"/>
  <c r="G2168" i="8"/>
  <c r="B2168" i="8"/>
  <c r="E2168" i="8"/>
  <c r="D2168" i="8"/>
  <c r="E2169" i="8" l="1"/>
  <c r="D2169" i="8"/>
  <c r="A2170" i="8"/>
  <c r="C2169" i="8"/>
  <c r="G2169" i="8"/>
  <c r="B2169" i="8"/>
  <c r="A2171" i="8" l="1"/>
  <c r="C2170" i="8"/>
  <c r="G2170" i="8"/>
  <c r="B2170" i="8"/>
  <c r="E2170" i="8"/>
  <c r="D2170" i="8"/>
  <c r="E2171" i="8" l="1"/>
  <c r="D2171" i="8"/>
  <c r="A2172" i="8"/>
  <c r="C2171" i="8"/>
  <c r="G2171" i="8"/>
  <c r="B2171" i="8"/>
  <c r="A2173" i="8" l="1"/>
  <c r="C2172" i="8"/>
  <c r="G2172" i="8"/>
  <c r="B2172" i="8"/>
  <c r="E2172" i="8"/>
  <c r="D2172" i="8"/>
  <c r="E2173" i="8" l="1"/>
  <c r="D2173" i="8"/>
  <c r="A2174" i="8"/>
  <c r="C2173" i="8"/>
  <c r="G2173" i="8"/>
  <c r="B2173" i="8"/>
  <c r="A2175" i="8" l="1"/>
  <c r="C2174" i="8"/>
  <c r="G2174" i="8"/>
  <c r="B2174" i="8"/>
  <c r="E2174" i="8"/>
  <c r="D2174" i="8"/>
  <c r="E2175" i="8" l="1"/>
  <c r="D2175" i="8"/>
  <c r="A2176" i="8"/>
  <c r="C2175" i="8"/>
  <c r="B2175" i="8"/>
  <c r="G2175" i="8"/>
  <c r="A2177" i="8" l="1"/>
  <c r="C2176" i="8"/>
  <c r="G2176" i="8"/>
  <c r="B2176" i="8"/>
  <c r="E2176" i="8"/>
  <c r="D2176" i="8"/>
  <c r="E2177" i="8" l="1"/>
  <c r="D2177" i="8"/>
  <c r="A2178" i="8"/>
  <c r="C2177" i="8"/>
  <c r="G2177" i="8"/>
  <c r="B2177" i="8"/>
  <c r="A2179" i="8" l="1"/>
  <c r="C2178" i="8"/>
  <c r="G2178" i="8"/>
  <c r="B2178" i="8"/>
  <c r="E2178" i="8"/>
  <c r="D2178" i="8"/>
  <c r="E2179" i="8" l="1"/>
  <c r="D2179" i="8"/>
  <c r="A2180" i="8"/>
  <c r="C2179" i="8"/>
  <c r="G2179" i="8"/>
  <c r="B2179" i="8"/>
  <c r="A2181" i="8" l="1"/>
  <c r="C2180" i="8"/>
  <c r="G2180" i="8"/>
  <c r="B2180" i="8"/>
  <c r="E2180" i="8"/>
  <c r="D2180" i="8"/>
  <c r="E2181" i="8" l="1"/>
  <c r="D2181" i="8"/>
  <c r="A2182" i="8"/>
  <c r="C2181" i="8"/>
  <c r="G2181" i="8"/>
  <c r="B2181" i="8"/>
  <c r="A2183" i="8" l="1"/>
  <c r="C2182" i="8"/>
  <c r="G2182" i="8"/>
  <c r="B2182" i="8"/>
  <c r="E2182" i="8"/>
  <c r="D2182" i="8"/>
  <c r="E2183" i="8" l="1"/>
  <c r="D2183" i="8"/>
  <c r="A2184" i="8"/>
  <c r="C2183" i="8"/>
  <c r="B2183" i="8"/>
  <c r="G2183" i="8"/>
  <c r="A2185" i="8" l="1"/>
  <c r="C2184" i="8"/>
  <c r="G2184" i="8"/>
  <c r="B2184" i="8"/>
  <c r="E2184" i="8"/>
  <c r="D2184" i="8"/>
  <c r="E2185" i="8" l="1"/>
  <c r="D2185" i="8"/>
  <c r="A2186" i="8"/>
  <c r="C2185" i="8"/>
  <c r="G2185" i="8"/>
  <c r="B2185" i="8"/>
  <c r="A2187" i="8" l="1"/>
  <c r="C2186" i="8"/>
  <c r="G2186" i="8"/>
  <c r="B2186" i="8"/>
  <c r="E2186" i="8"/>
  <c r="D2186" i="8"/>
  <c r="E2187" i="8" l="1"/>
  <c r="D2187" i="8"/>
  <c r="A2188" i="8"/>
  <c r="C2187" i="8"/>
  <c r="G2187" i="8"/>
  <c r="B2187" i="8"/>
  <c r="A2189" i="8" l="1"/>
  <c r="C2188" i="8"/>
  <c r="G2188" i="8"/>
  <c r="B2188" i="8"/>
  <c r="E2188" i="8"/>
  <c r="D2188" i="8"/>
  <c r="E2189" i="8" l="1"/>
  <c r="D2189" i="8"/>
  <c r="A2190" i="8"/>
  <c r="C2189" i="8"/>
  <c r="G2189" i="8"/>
  <c r="B2189" i="8"/>
  <c r="A2191" i="8" l="1"/>
  <c r="C2190" i="8"/>
  <c r="G2190" i="8"/>
  <c r="B2190" i="8"/>
  <c r="E2190" i="8"/>
  <c r="D2190" i="8"/>
  <c r="E2191" i="8" l="1"/>
  <c r="D2191" i="8"/>
  <c r="A2192" i="8"/>
  <c r="C2191" i="8"/>
  <c r="B2191" i="8"/>
  <c r="G2191" i="8"/>
  <c r="A2193" i="8" l="1"/>
  <c r="C2192" i="8"/>
  <c r="G2192" i="8"/>
  <c r="B2192" i="8"/>
  <c r="E2192" i="8"/>
  <c r="D2192" i="8"/>
  <c r="E2193" i="8" l="1"/>
  <c r="D2193" i="8"/>
  <c r="A2194" i="8"/>
  <c r="C2193" i="8"/>
  <c r="G2193" i="8"/>
  <c r="B2193" i="8"/>
  <c r="A2195" i="8" l="1"/>
  <c r="C2194" i="8"/>
  <c r="G2194" i="8"/>
  <c r="B2194" i="8"/>
  <c r="E2194" i="8"/>
  <c r="D2194" i="8"/>
  <c r="E2195" i="8" l="1"/>
  <c r="D2195" i="8"/>
  <c r="A2196" i="8"/>
  <c r="C2195" i="8"/>
  <c r="G2195" i="8"/>
  <c r="B2195" i="8"/>
  <c r="A2197" i="8" l="1"/>
  <c r="C2196" i="8"/>
  <c r="G2196" i="8"/>
  <c r="B2196" i="8"/>
  <c r="E2196" i="8"/>
  <c r="D2196" i="8"/>
  <c r="E2197" i="8" l="1"/>
  <c r="D2197" i="8"/>
  <c r="A2198" i="8"/>
  <c r="C2197" i="8"/>
  <c r="G2197" i="8"/>
  <c r="B2197" i="8"/>
  <c r="A2199" i="8" l="1"/>
  <c r="C2198" i="8"/>
  <c r="G2198" i="8"/>
  <c r="B2198" i="8"/>
  <c r="E2198" i="8"/>
  <c r="D2198" i="8"/>
  <c r="E2199" i="8" l="1"/>
  <c r="D2199" i="8"/>
  <c r="A2200" i="8"/>
  <c r="C2199" i="8"/>
  <c r="B2199" i="8"/>
  <c r="G2199" i="8"/>
  <c r="A2201" i="8" l="1"/>
  <c r="C2200" i="8"/>
  <c r="G2200" i="8"/>
  <c r="B2200" i="8"/>
  <c r="E2200" i="8"/>
  <c r="D2200" i="8"/>
  <c r="E2201" i="8" l="1"/>
  <c r="D2201" i="8"/>
  <c r="A2202" i="8"/>
  <c r="C2201" i="8"/>
  <c r="G2201" i="8"/>
  <c r="B2201" i="8"/>
  <c r="A2203" i="8" l="1"/>
  <c r="C2202" i="8"/>
  <c r="G2202" i="8"/>
  <c r="B2202" i="8"/>
  <c r="E2202" i="8"/>
  <c r="D2202" i="8"/>
  <c r="E2203" i="8" l="1"/>
  <c r="D2203" i="8"/>
  <c r="A2204" i="8"/>
  <c r="C2203" i="8"/>
  <c r="G2203" i="8"/>
  <c r="B2203" i="8"/>
  <c r="A2205" i="8" l="1"/>
  <c r="C2204" i="8"/>
  <c r="G2204" i="8"/>
  <c r="B2204" i="8"/>
  <c r="E2204" i="8"/>
  <c r="D2204" i="8"/>
  <c r="E2205" i="8" l="1"/>
  <c r="D2205" i="8"/>
  <c r="A2206" i="8"/>
  <c r="C2205" i="8"/>
  <c r="G2205" i="8"/>
  <c r="B2205" i="8"/>
  <c r="A2207" i="8" l="1"/>
  <c r="C2206" i="8"/>
  <c r="G2206" i="8"/>
  <c r="B2206" i="8"/>
  <c r="E2206" i="8"/>
  <c r="D2206" i="8"/>
  <c r="E2207" i="8" l="1"/>
  <c r="D2207" i="8"/>
  <c r="A2208" i="8"/>
  <c r="C2207" i="8"/>
  <c r="B2207" i="8"/>
  <c r="G2207" i="8"/>
  <c r="A2209" i="8" l="1"/>
  <c r="C2208" i="8"/>
  <c r="G2208" i="8"/>
  <c r="B2208" i="8"/>
  <c r="E2208" i="8"/>
  <c r="D2208" i="8"/>
  <c r="E2209" i="8" l="1"/>
  <c r="D2209" i="8"/>
  <c r="A2210" i="8"/>
  <c r="C2209" i="8"/>
  <c r="G2209" i="8"/>
  <c r="B2209" i="8"/>
  <c r="A2211" i="8" l="1"/>
  <c r="C2210" i="8"/>
  <c r="G2210" i="8"/>
  <c r="B2210" i="8"/>
  <c r="E2210" i="8"/>
  <c r="D2210" i="8"/>
  <c r="E2211" i="8" l="1"/>
  <c r="D2211" i="8"/>
  <c r="A2212" i="8"/>
  <c r="C2211" i="8"/>
  <c r="G2211" i="8"/>
  <c r="B2211" i="8"/>
  <c r="A2213" i="8" l="1"/>
  <c r="C2212" i="8"/>
  <c r="G2212" i="8"/>
  <c r="B2212" i="8"/>
  <c r="E2212" i="8"/>
  <c r="D2212" i="8"/>
  <c r="E2213" i="8" l="1"/>
  <c r="D2213" i="8"/>
  <c r="A2214" i="8"/>
  <c r="C2213" i="8"/>
  <c r="G2213" i="8"/>
  <c r="B2213" i="8"/>
  <c r="A2215" i="8" l="1"/>
  <c r="C2214" i="8"/>
  <c r="G2214" i="8"/>
  <c r="B2214" i="8"/>
  <c r="E2214" i="8"/>
  <c r="D2214" i="8"/>
  <c r="E2215" i="8" l="1"/>
  <c r="D2215" i="8"/>
  <c r="A2216" i="8"/>
  <c r="C2215" i="8"/>
  <c r="B2215" i="8"/>
  <c r="G2215" i="8"/>
  <c r="A2217" i="8" l="1"/>
  <c r="C2216" i="8"/>
  <c r="G2216" i="8"/>
  <c r="B2216" i="8"/>
  <c r="E2216" i="8"/>
  <c r="D2216" i="8"/>
  <c r="E2217" i="8" l="1"/>
  <c r="D2217" i="8"/>
  <c r="A2218" i="8"/>
  <c r="C2217" i="8"/>
  <c r="G2217" i="8"/>
  <c r="B2217" i="8"/>
  <c r="A2219" i="8" l="1"/>
  <c r="C2218" i="8"/>
  <c r="G2218" i="8"/>
  <c r="B2218" i="8"/>
  <c r="E2218" i="8"/>
  <c r="D2218" i="8"/>
  <c r="E2219" i="8" l="1"/>
  <c r="D2219" i="8"/>
  <c r="A2220" i="8"/>
  <c r="C2219" i="8"/>
  <c r="G2219" i="8"/>
  <c r="B2219" i="8"/>
  <c r="A2221" i="8" l="1"/>
  <c r="C2220" i="8"/>
  <c r="G2220" i="8"/>
  <c r="B2220" i="8"/>
  <c r="E2220" i="8"/>
  <c r="D2220" i="8"/>
  <c r="E2221" i="8" l="1"/>
  <c r="D2221" i="8"/>
  <c r="A2222" i="8"/>
  <c r="C2221" i="8"/>
  <c r="G2221" i="8"/>
  <c r="B2221" i="8"/>
  <c r="A2223" i="8" l="1"/>
  <c r="C2222" i="8"/>
  <c r="G2222" i="8"/>
  <c r="B2222" i="8"/>
  <c r="E2222" i="8"/>
  <c r="D2222" i="8"/>
  <c r="E2223" i="8" l="1"/>
  <c r="D2223" i="8"/>
  <c r="A2224" i="8"/>
  <c r="C2223" i="8"/>
  <c r="B2223" i="8"/>
  <c r="G2223" i="8"/>
  <c r="A2225" i="8" l="1"/>
  <c r="C2224" i="8"/>
  <c r="G2224" i="8"/>
  <c r="B2224" i="8"/>
  <c r="E2224" i="8"/>
  <c r="D2224" i="8"/>
  <c r="E2225" i="8" l="1"/>
  <c r="D2225" i="8"/>
  <c r="A2226" i="8"/>
  <c r="C2225" i="8"/>
  <c r="G2225" i="8"/>
  <c r="B2225" i="8"/>
  <c r="A2227" i="8" l="1"/>
  <c r="C2226" i="8"/>
  <c r="G2226" i="8"/>
  <c r="B2226" i="8"/>
  <c r="E2226" i="8"/>
  <c r="D2226" i="8"/>
  <c r="E2227" i="8" l="1"/>
  <c r="D2227" i="8"/>
  <c r="A2228" i="8"/>
  <c r="C2227" i="8"/>
  <c r="G2227" i="8"/>
  <c r="B2227" i="8"/>
  <c r="A2229" i="8" l="1"/>
  <c r="C2228" i="8"/>
  <c r="G2228" i="8"/>
  <c r="B2228" i="8"/>
  <c r="E2228" i="8"/>
  <c r="D2228" i="8"/>
  <c r="E2229" i="8" l="1"/>
  <c r="D2229" i="8"/>
  <c r="A2230" i="8"/>
  <c r="C2229" i="8"/>
  <c r="G2229" i="8"/>
  <c r="B2229" i="8"/>
  <c r="A2231" i="8" l="1"/>
  <c r="C2230" i="8"/>
  <c r="G2230" i="8"/>
  <c r="B2230" i="8"/>
  <c r="E2230" i="8"/>
  <c r="D2230" i="8"/>
  <c r="E2231" i="8" l="1"/>
  <c r="D2231" i="8"/>
  <c r="A2232" i="8"/>
  <c r="C2231" i="8"/>
  <c r="B2231" i="8"/>
  <c r="G2231" i="8"/>
  <c r="A2233" i="8" l="1"/>
  <c r="C2232" i="8"/>
  <c r="G2232" i="8"/>
  <c r="B2232" i="8"/>
  <c r="E2232" i="8"/>
  <c r="D2232" i="8"/>
  <c r="E2233" i="8" l="1"/>
  <c r="D2233" i="8"/>
  <c r="A2234" i="8"/>
  <c r="C2233" i="8"/>
  <c r="G2233" i="8"/>
  <c r="B2233" i="8"/>
  <c r="A2235" i="8" l="1"/>
  <c r="C2234" i="8"/>
  <c r="G2234" i="8"/>
  <c r="B2234" i="8"/>
  <c r="E2234" i="8"/>
  <c r="D2234" i="8"/>
  <c r="E2235" i="8" l="1"/>
  <c r="D2235" i="8"/>
  <c r="A2236" i="8"/>
  <c r="C2235" i="8"/>
  <c r="G2235" i="8"/>
  <c r="B2235" i="8"/>
  <c r="A2237" i="8" l="1"/>
  <c r="C2236" i="8"/>
  <c r="G2236" i="8"/>
  <c r="B2236" i="8"/>
  <c r="E2236" i="8"/>
  <c r="D2236" i="8"/>
  <c r="E2237" i="8" l="1"/>
  <c r="D2237" i="8"/>
  <c r="A2238" i="8"/>
  <c r="C2237" i="8"/>
  <c r="G2237" i="8"/>
  <c r="B2237" i="8"/>
  <c r="A2239" i="8" l="1"/>
  <c r="C2238" i="8"/>
  <c r="G2238" i="8"/>
  <c r="B2238" i="8"/>
  <c r="E2238" i="8"/>
  <c r="D2238" i="8"/>
  <c r="E2239" i="8" l="1"/>
  <c r="D2239" i="8"/>
  <c r="A2240" i="8"/>
  <c r="C2239" i="8"/>
  <c r="B2239" i="8"/>
  <c r="G2239" i="8"/>
  <c r="A2241" i="8" l="1"/>
  <c r="C2240" i="8"/>
  <c r="G2240" i="8"/>
  <c r="B2240" i="8"/>
  <c r="E2240" i="8"/>
  <c r="D2240" i="8"/>
  <c r="E2241" i="8" l="1"/>
  <c r="D2241" i="8"/>
  <c r="A2242" i="8"/>
  <c r="C2241" i="8"/>
  <c r="G2241" i="8"/>
  <c r="B2241" i="8"/>
  <c r="A2243" i="8" l="1"/>
  <c r="C2242" i="8"/>
  <c r="G2242" i="8"/>
  <c r="B2242" i="8"/>
  <c r="E2242" i="8"/>
  <c r="D2242" i="8"/>
  <c r="E2243" i="8" l="1"/>
  <c r="D2243" i="8"/>
  <c r="A2244" i="8"/>
  <c r="C2243" i="8"/>
  <c r="G2243" i="8"/>
  <c r="B2243" i="8"/>
  <c r="A2245" i="8" l="1"/>
  <c r="C2244" i="8"/>
  <c r="G2244" i="8"/>
  <c r="B2244" i="8"/>
  <c r="E2244" i="8"/>
  <c r="D2244" i="8"/>
  <c r="E2245" i="8" l="1"/>
  <c r="D2245" i="8"/>
  <c r="A2246" i="8"/>
  <c r="C2245" i="8"/>
  <c r="G2245" i="8"/>
  <c r="B2245" i="8"/>
  <c r="A2247" i="8" l="1"/>
  <c r="C2246" i="8"/>
  <c r="G2246" i="8"/>
  <c r="B2246" i="8"/>
  <c r="E2246" i="8"/>
  <c r="D2246" i="8"/>
  <c r="E2247" i="8" l="1"/>
  <c r="D2247" i="8"/>
  <c r="A2248" i="8"/>
  <c r="C2247" i="8"/>
  <c r="B2247" i="8"/>
  <c r="G2247" i="8"/>
  <c r="G2248" i="8" l="1"/>
  <c r="C2248" i="8"/>
  <c r="A2249" i="8"/>
  <c r="B2248" i="8"/>
  <c r="E2248" i="8"/>
  <c r="D2248" i="8"/>
  <c r="G2249" i="8" l="1"/>
  <c r="B2249" i="8"/>
  <c r="E2249" i="8"/>
  <c r="D2249" i="8"/>
  <c r="C2249" i="8"/>
  <c r="A2250" i="8"/>
  <c r="D2250" i="8" l="1"/>
  <c r="A2251" i="8"/>
  <c r="C2250" i="8"/>
  <c r="G2250" i="8"/>
  <c r="B2250" i="8"/>
  <c r="E2250" i="8"/>
  <c r="G2251" i="8" l="1"/>
  <c r="B2251" i="8"/>
  <c r="E2251" i="8"/>
  <c r="D2251" i="8"/>
  <c r="A2252" i="8"/>
  <c r="C2251" i="8"/>
  <c r="D2252" i="8" l="1"/>
  <c r="A2253" i="8"/>
  <c r="C2252" i="8"/>
  <c r="G2252" i="8"/>
  <c r="B2252" i="8"/>
  <c r="E2252" i="8"/>
  <c r="G2253" i="8" l="1"/>
  <c r="B2253" i="8"/>
  <c r="E2253" i="8"/>
  <c r="D2253" i="8"/>
  <c r="A2254" i="8"/>
  <c r="C2253" i="8"/>
  <c r="D2254" i="8" l="1"/>
  <c r="A2255" i="8"/>
  <c r="C2254" i="8"/>
  <c r="G2254" i="8"/>
  <c r="B2254" i="8"/>
  <c r="E2254" i="8"/>
  <c r="G2255" i="8" l="1"/>
  <c r="B2255" i="8"/>
  <c r="E2255" i="8"/>
  <c r="D2255" i="8"/>
  <c r="A2256" i="8"/>
  <c r="C2255" i="8"/>
  <c r="D2256" i="8" l="1"/>
  <c r="A2257" i="8"/>
  <c r="C2256" i="8"/>
  <c r="G2256" i="8"/>
  <c r="B2256" i="8"/>
  <c r="E2256" i="8"/>
  <c r="G2257" i="8" l="1"/>
  <c r="B2257" i="8"/>
  <c r="E2257" i="8"/>
  <c r="D2257" i="8"/>
  <c r="C2257" i="8"/>
  <c r="A2258" i="8"/>
  <c r="D2258" i="8" l="1"/>
  <c r="A2259" i="8"/>
  <c r="C2258" i="8"/>
  <c r="G2258" i="8"/>
  <c r="B2258" i="8"/>
  <c r="E2258" i="8"/>
  <c r="G2259" i="8" l="1"/>
  <c r="B2259" i="8"/>
  <c r="E2259" i="8"/>
  <c r="D2259" i="8"/>
  <c r="A2260" i="8"/>
  <c r="C2259" i="8"/>
  <c r="D2260" i="8" l="1"/>
  <c r="A2261" i="8"/>
  <c r="C2260" i="8"/>
  <c r="G2260" i="8"/>
  <c r="B2260" i="8"/>
  <c r="E2260" i="8"/>
  <c r="G2261" i="8" l="1"/>
  <c r="B2261" i="8"/>
  <c r="E2261" i="8"/>
  <c r="D2261" i="8"/>
  <c r="A2262" i="8"/>
  <c r="C2261" i="8"/>
  <c r="D2262" i="8" l="1"/>
  <c r="A2263" i="8"/>
  <c r="C2262" i="8"/>
  <c r="G2262" i="8"/>
  <c r="B2262" i="8"/>
  <c r="E2262" i="8"/>
  <c r="G2263" i="8" l="1"/>
  <c r="B2263" i="8"/>
  <c r="E2263" i="8"/>
  <c r="D2263" i="8"/>
  <c r="A2264" i="8"/>
  <c r="C2263" i="8"/>
  <c r="D2264" i="8" l="1"/>
  <c r="A2265" i="8"/>
  <c r="C2264" i="8"/>
  <c r="G2264" i="8"/>
  <c r="B2264" i="8"/>
  <c r="E2264" i="8"/>
  <c r="G2265" i="8" l="1"/>
  <c r="B2265" i="8"/>
  <c r="E2265" i="8"/>
  <c r="D2265" i="8"/>
  <c r="C2265" i="8"/>
  <c r="A2266" i="8"/>
  <c r="D2266" i="8" l="1"/>
  <c r="A2267" i="8"/>
  <c r="C2266" i="8"/>
  <c r="G2266" i="8"/>
  <c r="B2266" i="8"/>
  <c r="E2266" i="8"/>
  <c r="G2267" i="8" l="1"/>
  <c r="B2267" i="8"/>
  <c r="E2267" i="8"/>
  <c r="D2267" i="8"/>
  <c r="A2268" i="8"/>
  <c r="C2267" i="8"/>
  <c r="D2268" i="8" l="1"/>
  <c r="A2269" i="8"/>
  <c r="C2268" i="8"/>
  <c r="G2268" i="8"/>
  <c r="B2268" i="8"/>
  <c r="E2268" i="8"/>
  <c r="G2269" i="8" l="1"/>
  <c r="B2269" i="8"/>
  <c r="E2269" i="8"/>
  <c r="D2269" i="8"/>
  <c r="A2270" i="8"/>
  <c r="C2269" i="8"/>
  <c r="D2270" i="8" l="1"/>
  <c r="A2271" i="8"/>
  <c r="C2270" i="8"/>
  <c r="G2270" i="8"/>
  <c r="B2270" i="8"/>
  <c r="E2270" i="8"/>
  <c r="G2271" i="8" l="1"/>
  <c r="B2271" i="8"/>
  <c r="E2271" i="8"/>
  <c r="D2271" i="8"/>
  <c r="A2272" i="8"/>
  <c r="C2271" i="8"/>
  <c r="D2272" i="8" l="1"/>
  <c r="A2273" i="8"/>
  <c r="C2272" i="8"/>
  <c r="G2272" i="8"/>
  <c r="B2272" i="8"/>
  <c r="E2272" i="8"/>
  <c r="G2273" i="8" l="1"/>
  <c r="B2273" i="8"/>
  <c r="E2273" i="8"/>
  <c r="D2273" i="8"/>
  <c r="C2273" i="8"/>
  <c r="A2274" i="8"/>
  <c r="D2274" i="8" l="1"/>
  <c r="A2275" i="8"/>
  <c r="C2274" i="8"/>
  <c r="G2274" i="8"/>
  <c r="B2274" i="8"/>
  <c r="E2274" i="8"/>
  <c r="G2275" i="8" l="1"/>
  <c r="B2275" i="8"/>
  <c r="E2275" i="8"/>
  <c r="D2275" i="8"/>
  <c r="A2276" i="8"/>
  <c r="C2275" i="8"/>
  <c r="D2276" i="8" l="1"/>
  <c r="A2277" i="8"/>
  <c r="C2276" i="8"/>
  <c r="G2276" i="8"/>
  <c r="B2276" i="8"/>
  <c r="E2276" i="8"/>
  <c r="G2277" i="8" l="1"/>
  <c r="B2277" i="8"/>
  <c r="E2277" i="8"/>
  <c r="D2277" i="8"/>
  <c r="A2278" i="8"/>
  <c r="C2277" i="8"/>
  <c r="D2278" i="8" l="1"/>
  <c r="A2279" i="8"/>
  <c r="C2278" i="8"/>
  <c r="G2278" i="8"/>
  <c r="B2278" i="8"/>
  <c r="E2278" i="8"/>
  <c r="G2279" i="8" l="1"/>
  <c r="B2279" i="8"/>
  <c r="E2279" i="8"/>
  <c r="D2279" i="8"/>
  <c r="A2280" i="8"/>
  <c r="C2279" i="8"/>
  <c r="D2280" i="8" l="1"/>
  <c r="A2281" i="8"/>
  <c r="C2280" i="8"/>
  <c r="G2280" i="8"/>
  <c r="B2280" i="8"/>
  <c r="E2280" i="8"/>
  <c r="G2281" i="8" l="1"/>
  <c r="B2281" i="8"/>
  <c r="E2281" i="8"/>
  <c r="D2281" i="8"/>
  <c r="C2281" i="8"/>
  <c r="A2282" i="8"/>
  <c r="D2282" i="8" l="1"/>
  <c r="A2283" i="8"/>
  <c r="C2282" i="8"/>
  <c r="G2282" i="8"/>
  <c r="B2282" i="8"/>
  <c r="E2282" i="8"/>
  <c r="G2283" i="8" l="1"/>
  <c r="B2283" i="8"/>
  <c r="E2283" i="8"/>
  <c r="D2283" i="8"/>
  <c r="A2284" i="8"/>
  <c r="C2283" i="8"/>
  <c r="D2284" i="8" l="1"/>
  <c r="A2285" i="8"/>
  <c r="C2284" i="8"/>
  <c r="G2284" i="8"/>
  <c r="B2284" i="8"/>
  <c r="E2284" i="8"/>
  <c r="G2285" i="8" l="1"/>
  <c r="B2285" i="8"/>
  <c r="E2285" i="8"/>
  <c r="D2285" i="8"/>
  <c r="A2286" i="8"/>
  <c r="C2285" i="8"/>
  <c r="D2286" i="8" l="1"/>
  <c r="A2287" i="8"/>
  <c r="C2286" i="8"/>
  <c r="G2286" i="8"/>
  <c r="B2286" i="8"/>
  <c r="E2286" i="8"/>
  <c r="G2287" i="8" l="1"/>
  <c r="B2287" i="8"/>
  <c r="E2287" i="8"/>
  <c r="D2287" i="8"/>
  <c r="A2288" i="8"/>
  <c r="C2287" i="8"/>
  <c r="D2288" i="8" l="1"/>
  <c r="A2289" i="8"/>
  <c r="C2288" i="8"/>
  <c r="G2288" i="8"/>
  <c r="B2288" i="8"/>
  <c r="E2288" i="8"/>
  <c r="G2289" i="8" l="1"/>
  <c r="B2289" i="8"/>
  <c r="E2289" i="8"/>
  <c r="D2289" i="8"/>
  <c r="C2289" i="8"/>
  <c r="A2290" i="8"/>
  <c r="D2290" i="8" l="1"/>
  <c r="A2291" i="8"/>
  <c r="C2290" i="8"/>
  <c r="G2290" i="8"/>
  <c r="B2290" i="8"/>
  <c r="E2290" i="8"/>
  <c r="G2291" i="8" l="1"/>
  <c r="B2291" i="8"/>
  <c r="E2291" i="8"/>
  <c r="D2291" i="8"/>
  <c r="A2292" i="8"/>
  <c r="C2291" i="8"/>
  <c r="D2292" i="8" l="1"/>
  <c r="A2293" i="8"/>
  <c r="C2292" i="8"/>
  <c r="G2292" i="8"/>
  <c r="B2292" i="8"/>
  <c r="E2292" i="8"/>
  <c r="G2293" i="8" l="1"/>
  <c r="B2293" i="8"/>
  <c r="E2293" i="8"/>
  <c r="D2293" i="8"/>
  <c r="A2294" i="8"/>
  <c r="C2293" i="8"/>
  <c r="D2294" i="8" l="1"/>
  <c r="A2295" i="8"/>
  <c r="C2294" i="8"/>
  <c r="G2294" i="8"/>
  <c r="B2294" i="8"/>
  <c r="E2294" i="8"/>
  <c r="G2295" i="8" l="1"/>
  <c r="B2295" i="8"/>
  <c r="E2295" i="8"/>
  <c r="D2295" i="8"/>
  <c r="A2296" i="8"/>
  <c r="C2295" i="8"/>
  <c r="D2296" i="8" l="1"/>
  <c r="A2297" i="8"/>
  <c r="C2296" i="8"/>
  <c r="G2296" i="8"/>
  <c r="B2296" i="8"/>
  <c r="E2296" i="8"/>
  <c r="G2297" i="8" l="1"/>
  <c r="B2297" i="8"/>
  <c r="E2297" i="8"/>
  <c r="D2297" i="8"/>
  <c r="C2297" i="8"/>
  <c r="A2298" i="8"/>
  <c r="D2298" i="8" l="1"/>
  <c r="A2299" i="8"/>
  <c r="C2298" i="8"/>
  <c r="G2298" i="8"/>
  <c r="B2298" i="8"/>
  <c r="E2298" i="8"/>
  <c r="G2299" i="8" l="1"/>
  <c r="B2299" i="8"/>
  <c r="E2299" i="8"/>
  <c r="D2299" i="8"/>
  <c r="A2300" i="8"/>
  <c r="C2299" i="8"/>
  <c r="D2300" i="8" l="1"/>
  <c r="A2301" i="8"/>
  <c r="C2300" i="8"/>
  <c r="G2300" i="8"/>
  <c r="B2300" i="8"/>
  <c r="E2300" i="8"/>
  <c r="G2301" i="8" l="1"/>
  <c r="B2301" i="8"/>
  <c r="E2301" i="8"/>
  <c r="D2301" i="8"/>
  <c r="A2302" i="8"/>
  <c r="C2301" i="8"/>
  <c r="D2302" i="8" l="1"/>
  <c r="A2303" i="8"/>
  <c r="C2302" i="8"/>
  <c r="G2302" i="8"/>
  <c r="B2302" i="8"/>
  <c r="E2302" i="8"/>
  <c r="G2303" i="8" l="1"/>
  <c r="B2303" i="8"/>
  <c r="E2303" i="8"/>
  <c r="D2303" i="8"/>
  <c r="A2304" i="8"/>
  <c r="C2303" i="8"/>
  <c r="D2304" i="8" l="1"/>
  <c r="A2305" i="8"/>
  <c r="C2304" i="8"/>
  <c r="G2304" i="8"/>
  <c r="B2304" i="8"/>
  <c r="E2304" i="8"/>
  <c r="G2305" i="8" l="1"/>
  <c r="B2305" i="8"/>
  <c r="E2305" i="8"/>
  <c r="D2305" i="8"/>
  <c r="C2305" i="8"/>
  <c r="A2306" i="8"/>
  <c r="D2306" i="8" l="1"/>
  <c r="A2307" i="8"/>
  <c r="C2306" i="8"/>
  <c r="G2306" i="8"/>
  <c r="B2306" i="8"/>
  <c r="E2306" i="8"/>
  <c r="G2307" i="8" l="1"/>
  <c r="B2307" i="8"/>
  <c r="E2307" i="8"/>
  <c r="D2307" i="8"/>
  <c r="A2308" i="8"/>
  <c r="C2307" i="8"/>
  <c r="D2308" i="8" l="1"/>
  <c r="A2309" i="8"/>
  <c r="C2308" i="8"/>
  <c r="G2308" i="8"/>
  <c r="B2308" i="8"/>
  <c r="E2308" i="8"/>
  <c r="G2309" i="8" l="1"/>
  <c r="B2309" i="8"/>
  <c r="E2309" i="8"/>
  <c r="D2309" i="8"/>
  <c r="A2310" i="8"/>
  <c r="C2309" i="8"/>
  <c r="D2310" i="8" l="1"/>
  <c r="A2311" i="8"/>
  <c r="C2310" i="8"/>
  <c r="G2310" i="8"/>
  <c r="B2310" i="8"/>
  <c r="E2310" i="8"/>
  <c r="G2311" i="8" l="1"/>
  <c r="B2311" i="8"/>
  <c r="E2311" i="8"/>
  <c r="D2311" i="8"/>
  <c r="A2312" i="8"/>
  <c r="C2311" i="8"/>
  <c r="D2312" i="8" l="1"/>
  <c r="A2313" i="8"/>
  <c r="C2312" i="8"/>
  <c r="G2312" i="8"/>
  <c r="B2312" i="8"/>
  <c r="E2312" i="8"/>
  <c r="G2313" i="8" l="1"/>
  <c r="B2313" i="8"/>
  <c r="E2313" i="8"/>
  <c r="D2313" i="8"/>
  <c r="C2313" i="8"/>
  <c r="A2314" i="8"/>
  <c r="D2314" i="8" l="1"/>
  <c r="A2315" i="8"/>
  <c r="C2314" i="8"/>
  <c r="G2314" i="8"/>
  <c r="B2314" i="8"/>
  <c r="E2314" i="8"/>
  <c r="G2315" i="8" l="1"/>
  <c r="B2315" i="8"/>
  <c r="E2315" i="8"/>
  <c r="D2315" i="8"/>
  <c r="A2316" i="8"/>
  <c r="C2315" i="8"/>
  <c r="D2316" i="8" l="1"/>
  <c r="A2317" i="8"/>
  <c r="C2316" i="8"/>
  <c r="G2316" i="8"/>
  <c r="B2316" i="8"/>
  <c r="E2316" i="8"/>
  <c r="G2317" i="8" l="1"/>
  <c r="B2317" i="8"/>
  <c r="E2317" i="8"/>
  <c r="D2317" i="8"/>
  <c r="A2318" i="8"/>
  <c r="C2317" i="8"/>
  <c r="D2318" i="8" l="1"/>
  <c r="A2319" i="8"/>
  <c r="C2318" i="8"/>
  <c r="G2318" i="8"/>
  <c r="B2318" i="8"/>
  <c r="E2318" i="8"/>
  <c r="G2319" i="8" l="1"/>
  <c r="B2319" i="8"/>
  <c r="E2319" i="8"/>
  <c r="D2319" i="8"/>
  <c r="A2320" i="8"/>
  <c r="C2319" i="8"/>
  <c r="D2320" i="8" l="1"/>
  <c r="A2321" i="8"/>
  <c r="C2320" i="8"/>
  <c r="G2320" i="8"/>
  <c r="B2320" i="8"/>
  <c r="E2320" i="8"/>
  <c r="G2321" i="8" l="1"/>
  <c r="B2321" i="8"/>
  <c r="E2321" i="8"/>
  <c r="D2321" i="8"/>
  <c r="C2321" i="8"/>
  <c r="A2322" i="8"/>
  <c r="D2322" i="8" l="1"/>
  <c r="A2323" i="8"/>
  <c r="C2322" i="8"/>
  <c r="G2322" i="8"/>
  <c r="B2322" i="8"/>
  <c r="E2322" i="8"/>
  <c r="G2323" i="8" l="1"/>
  <c r="B2323" i="8"/>
  <c r="E2323" i="8"/>
  <c r="D2323" i="8"/>
  <c r="A2324" i="8"/>
  <c r="C2323" i="8"/>
  <c r="D2324" i="8" l="1"/>
  <c r="A2325" i="8"/>
  <c r="C2324" i="8"/>
  <c r="G2324" i="8"/>
  <c r="B2324" i="8"/>
  <c r="E2324" i="8"/>
  <c r="G2325" i="8" l="1"/>
  <c r="B2325" i="8"/>
  <c r="E2325" i="8"/>
  <c r="D2325" i="8"/>
  <c r="A2326" i="8"/>
  <c r="C2325" i="8"/>
  <c r="D2326" i="8" l="1"/>
  <c r="A2327" i="8"/>
  <c r="C2326" i="8"/>
  <c r="G2326" i="8"/>
  <c r="B2326" i="8"/>
  <c r="E2326" i="8"/>
  <c r="G2327" i="8" l="1"/>
  <c r="B2327" i="8"/>
  <c r="E2327" i="8"/>
  <c r="D2327" i="8"/>
  <c r="A2328" i="8"/>
  <c r="C2327" i="8"/>
  <c r="D2328" i="8" l="1"/>
  <c r="A2329" i="8"/>
  <c r="C2328" i="8"/>
  <c r="G2328" i="8"/>
  <c r="B2328" i="8"/>
  <c r="E2328" i="8"/>
  <c r="G2329" i="8" l="1"/>
  <c r="B2329" i="8"/>
  <c r="E2329" i="8"/>
  <c r="D2329" i="8"/>
  <c r="C2329" i="8"/>
  <c r="A2330" i="8"/>
  <c r="D2330" i="8" l="1"/>
  <c r="A2331" i="8"/>
  <c r="C2330" i="8"/>
  <c r="G2330" i="8"/>
  <c r="B2330" i="8"/>
  <c r="E2330" i="8"/>
  <c r="G2331" i="8" l="1"/>
  <c r="B2331" i="8"/>
  <c r="E2331" i="8"/>
  <c r="D2331" i="8"/>
  <c r="A2332" i="8"/>
  <c r="C2331" i="8"/>
  <c r="D2332" i="8" l="1"/>
  <c r="A2333" i="8"/>
  <c r="C2332" i="8"/>
  <c r="G2332" i="8"/>
  <c r="B2332" i="8"/>
  <c r="E2332" i="8"/>
  <c r="G2333" i="8" l="1"/>
  <c r="B2333" i="8"/>
  <c r="E2333" i="8"/>
  <c r="D2333" i="8"/>
  <c r="A2334" i="8"/>
  <c r="C2333" i="8"/>
  <c r="D2334" i="8" l="1"/>
  <c r="A2335" i="8"/>
  <c r="C2334" i="8"/>
  <c r="G2334" i="8"/>
  <c r="B2334" i="8"/>
  <c r="E2334" i="8"/>
  <c r="G2335" i="8" l="1"/>
  <c r="B2335" i="8"/>
  <c r="E2335" i="8"/>
  <c r="D2335" i="8"/>
  <c r="A2336" i="8"/>
  <c r="C2335" i="8"/>
  <c r="D2336" i="8" l="1"/>
  <c r="A2337" i="8"/>
  <c r="C2336" i="8"/>
  <c r="G2336" i="8"/>
  <c r="B2336" i="8"/>
  <c r="E2336" i="8"/>
  <c r="G2337" i="8" l="1"/>
  <c r="B2337" i="8"/>
  <c r="E2337" i="8"/>
  <c r="D2337" i="8"/>
  <c r="C2337" i="8"/>
  <c r="A2338" i="8"/>
  <c r="D2338" i="8" l="1"/>
  <c r="A2339" i="8"/>
  <c r="C2338" i="8"/>
  <c r="G2338" i="8"/>
  <c r="B2338" i="8"/>
  <c r="E2338" i="8"/>
  <c r="G2339" i="8" l="1"/>
  <c r="B2339" i="8"/>
  <c r="E2339" i="8"/>
  <c r="D2339" i="8"/>
  <c r="A2340" i="8"/>
  <c r="C2339" i="8"/>
  <c r="D2340" i="8" l="1"/>
  <c r="A2341" i="8"/>
  <c r="C2340" i="8"/>
  <c r="G2340" i="8"/>
  <c r="B2340" i="8"/>
  <c r="E2340" i="8"/>
  <c r="G2341" i="8" l="1"/>
  <c r="B2341" i="8"/>
  <c r="E2341" i="8"/>
  <c r="D2341" i="8"/>
  <c r="A2342" i="8"/>
  <c r="C2341" i="8"/>
  <c r="D2342" i="8" l="1"/>
  <c r="A2343" i="8"/>
  <c r="C2342" i="8"/>
  <c r="G2342" i="8"/>
  <c r="B2342" i="8"/>
  <c r="E2342" i="8"/>
  <c r="G2343" i="8" l="1"/>
  <c r="B2343" i="8"/>
  <c r="E2343" i="8"/>
  <c r="D2343" i="8"/>
  <c r="A2344" i="8"/>
  <c r="C2343" i="8"/>
  <c r="D2344" i="8" l="1"/>
  <c r="A2345" i="8"/>
  <c r="C2344" i="8"/>
  <c r="G2344" i="8"/>
  <c r="B2344" i="8"/>
  <c r="E2344" i="8"/>
  <c r="G2345" i="8" l="1"/>
  <c r="B2345" i="8"/>
  <c r="E2345" i="8"/>
  <c r="D2345" i="8"/>
  <c r="C2345" i="8"/>
  <c r="A2346" i="8"/>
  <c r="D2346" i="8" l="1"/>
  <c r="A2347" i="8"/>
  <c r="C2346" i="8"/>
  <c r="G2346" i="8"/>
  <c r="B2346" i="8"/>
  <c r="E2346" i="8"/>
  <c r="G2347" i="8" l="1"/>
  <c r="B2347" i="8"/>
  <c r="E2347" i="8"/>
  <c r="D2347" i="8"/>
  <c r="A2348" i="8"/>
  <c r="C2347" i="8"/>
  <c r="D2348" i="8" l="1"/>
  <c r="A2349" i="8"/>
  <c r="C2348" i="8"/>
  <c r="G2348" i="8"/>
  <c r="B2348" i="8"/>
  <c r="E2348" i="8"/>
  <c r="G2349" i="8" l="1"/>
  <c r="B2349" i="8"/>
  <c r="E2349" i="8"/>
  <c r="D2349" i="8"/>
  <c r="A2350" i="8"/>
  <c r="C2349" i="8"/>
  <c r="D2350" i="8" l="1"/>
  <c r="A2351" i="8"/>
  <c r="C2350" i="8"/>
  <c r="G2350" i="8"/>
  <c r="B2350" i="8"/>
  <c r="E2350" i="8"/>
  <c r="G2351" i="8" l="1"/>
  <c r="B2351" i="8"/>
  <c r="E2351" i="8"/>
  <c r="D2351" i="8"/>
  <c r="A2352" i="8"/>
  <c r="C2351" i="8"/>
  <c r="D2352" i="8" l="1"/>
  <c r="A2353" i="8"/>
  <c r="C2352" i="8"/>
  <c r="G2352" i="8"/>
  <c r="B2352" i="8"/>
  <c r="E2352" i="8"/>
  <c r="G2353" i="8" l="1"/>
  <c r="B2353" i="8"/>
  <c r="E2353" i="8"/>
  <c r="D2353" i="8"/>
  <c r="C2353" i="8"/>
  <c r="A2354" i="8"/>
  <c r="D2354" i="8" l="1"/>
  <c r="A2355" i="8"/>
  <c r="C2354" i="8"/>
  <c r="G2354" i="8"/>
  <c r="B2354" i="8"/>
  <c r="E2354" i="8"/>
  <c r="G2355" i="8" l="1"/>
  <c r="B2355" i="8"/>
  <c r="E2355" i="8"/>
  <c r="D2355" i="8"/>
  <c r="A2356" i="8"/>
  <c r="C2355" i="8"/>
  <c r="D2356" i="8" l="1"/>
  <c r="A2357" i="8"/>
  <c r="C2356" i="8"/>
  <c r="G2356" i="8"/>
  <c r="B2356" i="8"/>
  <c r="E2356" i="8"/>
  <c r="G2357" i="8" l="1"/>
  <c r="B2357" i="8"/>
  <c r="E2357" i="8"/>
  <c r="D2357" i="8"/>
  <c r="A2358" i="8"/>
  <c r="C2357" i="8"/>
  <c r="D2358" i="8" l="1"/>
  <c r="A2359" i="8"/>
  <c r="C2358" i="8"/>
  <c r="G2358" i="8"/>
  <c r="B2358" i="8"/>
  <c r="E2358" i="8"/>
  <c r="G2359" i="8" l="1"/>
  <c r="B2359" i="8"/>
  <c r="E2359" i="8"/>
  <c r="D2359" i="8"/>
  <c r="A2360" i="8"/>
  <c r="C2359" i="8"/>
  <c r="D2360" i="8" l="1"/>
  <c r="A2361" i="8"/>
  <c r="C2360" i="8"/>
  <c r="G2360" i="8"/>
  <c r="B2360" i="8"/>
  <c r="E2360" i="8"/>
  <c r="G2361" i="8" l="1"/>
  <c r="B2361" i="8"/>
  <c r="E2361" i="8"/>
  <c r="D2361" i="8"/>
  <c r="C2361" i="8"/>
  <c r="A2362" i="8"/>
  <c r="D2362" i="8" l="1"/>
  <c r="A2363" i="8"/>
  <c r="C2362" i="8"/>
  <c r="G2362" i="8"/>
  <c r="B2362" i="8"/>
  <c r="E2362" i="8"/>
  <c r="G2363" i="8" l="1"/>
  <c r="B2363" i="8"/>
  <c r="E2363" i="8"/>
  <c r="D2363" i="8"/>
  <c r="A2364" i="8"/>
  <c r="C2363" i="8"/>
  <c r="D2364" i="8" l="1"/>
  <c r="A2365" i="8"/>
  <c r="C2364" i="8"/>
  <c r="G2364" i="8"/>
  <c r="B2364" i="8"/>
  <c r="E2364" i="8"/>
  <c r="G2365" i="8" l="1"/>
  <c r="B2365" i="8"/>
  <c r="E2365" i="8"/>
  <c r="D2365" i="8"/>
  <c r="A2366" i="8"/>
  <c r="C2365" i="8"/>
  <c r="D2366" i="8" l="1"/>
  <c r="A2367" i="8"/>
  <c r="C2366" i="8"/>
  <c r="G2366" i="8"/>
  <c r="B2366" i="8"/>
  <c r="E2366" i="8"/>
  <c r="G2367" i="8" l="1"/>
  <c r="B2367" i="8"/>
  <c r="E2367" i="8"/>
  <c r="D2367" i="8"/>
  <c r="A2368" i="8"/>
  <c r="C2367" i="8"/>
  <c r="D2368" i="8" l="1"/>
  <c r="A2369" i="8"/>
  <c r="C2368" i="8"/>
  <c r="G2368" i="8"/>
  <c r="B2368" i="8"/>
  <c r="E2368" i="8"/>
  <c r="G2369" i="8" l="1"/>
  <c r="B2369" i="8"/>
  <c r="E2369" i="8"/>
  <c r="D2369" i="8"/>
  <c r="C2369" i="8"/>
  <c r="A2370" i="8"/>
  <c r="D2370" i="8" l="1"/>
  <c r="A2371" i="8"/>
  <c r="C2370" i="8"/>
  <c r="G2370" i="8"/>
  <c r="B2370" i="8"/>
  <c r="E2370" i="8"/>
  <c r="G2371" i="8" l="1"/>
  <c r="B2371" i="8"/>
  <c r="E2371" i="8"/>
  <c r="D2371" i="8"/>
  <c r="A2372" i="8"/>
  <c r="C2371" i="8"/>
  <c r="D2372" i="8" l="1"/>
  <c r="A2373" i="8"/>
  <c r="C2372" i="8"/>
  <c r="G2372" i="8"/>
  <c r="B2372" i="8"/>
  <c r="E2372" i="8"/>
  <c r="G2373" i="8" l="1"/>
  <c r="B2373" i="8"/>
  <c r="E2373" i="8"/>
  <c r="D2373" i="8"/>
  <c r="A2374" i="8"/>
  <c r="C2373" i="8"/>
  <c r="D2374" i="8" l="1"/>
  <c r="A2375" i="8"/>
  <c r="C2374" i="8"/>
  <c r="G2374" i="8"/>
  <c r="B2374" i="8"/>
  <c r="E2374" i="8"/>
  <c r="G2375" i="8" l="1"/>
  <c r="B2375" i="8"/>
  <c r="E2375" i="8"/>
  <c r="D2375" i="8"/>
  <c r="A2376" i="8"/>
  <c r="C2375" i="8"/>
  <c r="D2376" i="8" l="1"/>
  <c r="A2377" i="8"/>
  <c r="C2376" i="8"/>
  <c r="G2376" i="8"/>
  <c r="B2376" i="8"/>
  <c r="E2376" i="8"/>
  <c r="G2377" i="8" l="1"/>
  <c r="B2377" i="8"/>
  <c r="E2377" i="8"/>
  <c r="D2377" i="8"/>
  <c r="C2377" i="8"/>
  <c r="A2378" i="8"/>
  <c r="D2378" i="8" l="1"/>
  <c r="A2379" i="8"/>
  <c r="C2378" i="8"/>
  <c r="G2378" i="8"/>
  <c r="B2378" i="8"/>
  <c r="E2378" i="8"/>
  <c r="G2379" i="8" l="1"/>
  <c r="B2379" i="8"/>
  <c r="E2379" i="8"/>
  <c r="D2379" i="8"/>
  <c r="A2380" i="8"/>
  <c r="C2379" i="8"/>
  <c r="D2380" i="8" l="1"/>
  <c r="A2381" i="8"/>
  <c r="C2380" i="8"/>
  <c r="G2380" i="8"/>
  <c r="B2380" i="8"/>
  <c r="E2380" i="8"/>
  <c r="G2381" i="8" l="1"/>
  <c r="B2381" i="8"/>
  <c r="E2381" i="8"/>
  <c r="D2381" i="8"/>
  <c r="A2382" i="8"/>
  <c r="C2381" i="8"/>
  <c r="D2382" i="8" l="1"/>
  <c r="A2383" i="8"/>
  <c r="C2382" i="8"/>
  <c r="G2382" i="8"/>
  <c r="B2382" i="8"/>
  <c r="E2382" i="8"/>
  <c r="G2383" i="8" l="1"/>
  <c r="B2383" i="8"/>
  <c r="E2383" i="8"/>
  <c r="D2383" i="8"/>
  <c r="A2384" i="8"/>
  <c r="C2383" i="8"/>
  <c r="D2384" i="8" l="1"/>
  <c r="A2385" i="8"/>
  <c r="C2384" i="8"/>
  <c r="G2384" i="8"/>
  <c r="B2384" i="8"/>
  <c r="E2384" i="8"/>
  <c r="G2385" i="8" l="1"/>
  <c r="B2385" i="8"/>
  <c r="E2385" i="8"/>
  <c r="D2385" i="8"/>
  <c r="C2385" i="8"/>
  <c r="A2386" i="8"/>
  <c r="D2386" i="8" l="1"/>
  <c r="A2387" i="8"/>
  <c r="C2386" i="8"/>
  <c r="G2386" i="8"/>
  <c r="B2386" i="8"/>
  <c r="E2386" i="8"/>
  <c r="G2387" i="8" l="1"/>
  <c r="B2387" i="8"/>
  <c r="E2387" i="8"/>
  <c r="D2387" i="8"/>
  <c r="A2388" i="8"/>
  <c r="C2387" i="8"/>
  <c r="D2388" i="8" l="1"/>
  <c r="A2389" i="8"/>
  <c r="C2388" i="8"/>
  <c r="G2388" i="8"/>
  <c r="B2388" i="8"/>
  <c r="E2388" i="8"/>
  <c r="G2389" i="8" l="1"/>
  <c r="B2389" i="8"/>
  <c r="E2389" i="8"/>
  <c r="D2389" i="8"/>
  <c r="A2390" i="8"/>
  <c r="C2389" i="8"/>
  <c r="D2390" i="8" l="1"/>
  <c r="A2391" i="8"/>
  <c r="C2390" i="8"/>
  <c r="G2390" i="8"/>
  <c r="B2390" i="8"/>
  <c r="E2390" i="8"/>
  <c r="G2391" i="8" l="1"/>
  <c r="B2391" i="8"/>
  <c r="E2391" i="8"/>
  <c r="D2391" i="8"/>
  <c r="A2392" i="8"/>
  <c r="C2391" i="8"/>
  <c r="D2392" i="8" l="1"/>
  <c r="A2393" i="8"/>
  <c r="C2392" i="8"/>
  <c r="G2392" i="8"/>
  <c r="B2392" i="8"/>
  <c r="E2392" i="8"/>
  <c r="G2393" i="8" l="1"/>
  <c r="B2393" i="8"/>
  <c r="E2393" i="8"/>
  <c r="D2393" i="8"/>
  <c r="C2393" i="8"/>
  <c r="A2394" i="8"/>
  <c r="D2394" i="8" l="1"/>
  <c r="A2395" i="8"/>
  <c r="C2394" i="8"/>
  <c r="G2394" i="8"/>
  <c r="B2394" i="8"/>
  <c r="E2394" i="8"/>
  <c r="G2395" i="8" l="1"/>
  <c r="B2395" i="8"/>
  <c r="E2395" i="8"/>
  <c r="D2395" i="8"/>
  <c r="A2396" i="8"/>
  <c r="C2395" i="8"/>
  <c r="D2396" i="8" l="1"/>
  <c r="A2397" i="8"/>
  <c r="C2396" i="8"/>
  <c r="G2396" i="8"/>
  <c r="B2396" i="8"/>
  <c r="E2396" i="8"/>
  <c r="G2397" i="8" l="1"/>
  <c r="B2397" i="8"/>
  <c r="E2397" i="8"/>
  <c r="D2397" i="8"/>
  <c r="A2398" i="8"/>
  <c r="C2397" i="8"/>
  <c r="D2398" i="8" l="1"/>
  <c r="A2399" i="8"/>
  <c r="C2398" i="8"/>
  <c r="G2398" i="8"/>
  <c r="B2398" i="8"/>
  <c r="E2398" i="8"/>
  <c r="G2399" i="8" l="1"/>
  <c r="B2399" i="8"/>
  <c r="E2399" i="8"/>
  <c r="D2399" i="8"/>
  <c r="A2400" i="8"/>
  <c r="C2399" i="8"/>
  <c r="D2400" i="8" l="1"/>
  <c r="A2401" i="8"/>
  <c r="C2400" i="8"/>
  <c r="G2400" i="8"/>
  <c r="B2400" i="8"/>
  <c r="E2400" i="8"/>
  <c r="G2401" i="8" l="1"/>
  <c r="B2401" i="8"/>
  <c r="E2401" i="8"/>
  <c r="D2401" i="8"/>
  <c r="C2401" i="8"/>
  <c r="A2402" i="8"/>
  <c r="D2402" i="8" l="1"/>
  <c r="A2403" i="8"/>
  <c r="C2402" i="8"/>
  <c r="G2402" i="8"/>
  <c r="B2402" i="8"/>
  <c r="E2402" i="8"/>
  <c r="G2403" i="8" l="1"/>
  <c r="B2403" i="8"/>
  <c r="E2403" i="8"/>
  <c r="D2403" i="8"/>
  <c r="A2404" i="8"/>
  <c r="C2403" i="8"/>
  <c r="D2404" i="8" l="1"/>
  <c r="A2405" i="8"/>
  <c r="C2404" i="8"/>
  <c r="G2404" i="8"/>
  <c r="B2404" i="8"/>
  <c r="E2404" i="8"/>
  <c r="G2405" i="8" l="1"/>
  <c r="B2405" i="8"/>
  <c r="E2405" i="8"/>
  <c r="D2405" i="8"/>
  <c r="A2406" i="8"/>
  <c r="C2405" i="8"/>
  <c r="D2406" i="8" l="1"/>
  <c r="A2407" i="8"/>
  <c r="C2406" i="8"/>
  <c r="G2406" i="8"/>
  <c r="B2406" i="8"/>
  <c r="E2406" i="8"/>
  <c r="G2407" i="8" l="1"/>
  <c r="B2407" i="8"/>
  <c r="E2407" i="8"/>
  <c r="D2407" i="8"/>
  <c r="A2408" i="8"/>
  <c r="C2407" i="8"/>
  <c r="D2408" i="8" l="1"/>
  <c r="A2409" i="8"/>
  <c r="C2408" i="8"/>
  <c r="G2408" i="8"/>
  <c r="B2408" i="8"/>
  <c r="E2408" i="8"/>
  <c r="G2409" i="8" l="1"/>
  <c r="B2409" i="8"/>
  <c r="E2409" i="8"/>
  <c r="D2409" i="8"/>
  <c r="C2409" i="8"/>
  <c r="A2410" i="8"/>
  <c r="D2410" i="8" l="1"/>
  <c r="A2411" i="8"/>
  <c r="C2410" i="8"/>
  <c r="G2410" i="8"/>
  <c r="B2410" i="8"/>
  <c r="E2410" i="8"/>
  <c r="G2411" i="8" l="1"/>
  <c r="B2411" i="8"/>
  <c r="E2411" i="8"/>
  <c r="D2411" i="8"/>
  <c r="A2412" i="8"/>
  <c r="C2411" i="8"/>
  <c r="D2412" i="8" l="1"/>
  <c r="A2413" i="8"/>
  <c r="C2412" i="8"/>
  <c r="G2412" i="8"/>
  <c r="B2412" i="8"/>
  <c r="E2412" i="8"/>
  <c r="G2413" i="8" l="1"/>
  <c r="B2413" i="8"/>
  <c r="E2413" i="8"/>
  <c r="D2413" i="8"/>
  <c r="A2414" i="8"/>
  <c r="C2413" i="8"/>
  <c r="D2414" i="8" l="1"/>
  <c r="A2415" i="8"/>
  <c r="C2414" i="8"/>
  <c r="G2414" i="8"/>
  <c r="B2414" i="8"/>
  <c r="E2414" i="8"/>
  <c r="G2415" i="8" l="1"/>
  <c r="B2415" i="8"/>
  <c r="E2415" i="8"/>
  <c r="D2415" i="8"/>
  <c r="A2416" i="8"/>
  <c r="C2415" i="8"/>
  <c r="D2416" i="8" l="1"/>
  <c r="A2417" i="8"/>
  <c r="C2416" i="8"/>
  <c r="G2416" i="8"/>
  <c r="B2416" i="8"/>
  <c r="E2416" i="8"/>
  <c r="G2417" i="8" l="1"/>
  <c r="B2417" i="8"/>
  <c r="E2417" i="8"/>
  <c r="D2417" i="8"/>
  <c r="C2417" i="8"/>
  <c r="A2418" i="8"/>
  <c r="D2418" i="8" l="1"/>
  <c r="A2419" i="8"/>
  <c r="C2418" i="8"/>
  <c r="G2418" i="8"/>
  <c r="B2418" i="8"/>
  <c r="E2418" i="8"/>
  <c r="G2419" i="8" l="1"/>
  <c r="B2419" i="8"/>
  <c r="E2419" i="8"/>
  <c r="D2419" i="8"/>
  <c r="A2420" i="8"/>
  <c r="C2419" i="8"/>
  <c r="D2420" i="8" l="1"/>
  <c r="A2421" i="8"/>
  <c r="C2420" i="8"/>
  <c r="G2420" i="8"/>
  <c r="B2420" i="8"/>
  <c r="E2420" i="8"/>
  <c r="G2421" i="8" l="1"/>
  <c r="B2421" i="8"/>
  <c r="E2421" i="8"/>
  <c r="D2421" i="8"/>
  <c r="A2422" i="8"/>
  <c r="C2421" i="8"/>
  <c r="D2422" i="8" l="1"/>
  <c r="A2423" i="8"/>
  <c r="C2422" i="8"/>
  <c r="G2422" i="8"/>
  <c r="B2422" i="8"/>
  <c r="E2422" i="8"/>
  <c r="G2423" i="8" l="1"/>
  <c r="B2423" i="8"/>
  <c r="E2423" i="8"/>
  <c r="D2423" i="8"/>
  <c r="A2424" i="8"/>
  <c r="C2423" i="8"/>
  <c r="D2424" i="8" l="1"/>
  <c r="A2425" i="8"/>
  <c r="C2424" i="8"/>
  <c r="G2424" i="8"/>
  <c r="B2424" i="8"/>
  <c r="E2424" i="8"/>
  <c r="G2425" i="8" l="1"/>
  <c r="B2425" i="8"/>
  <c r="E2425" i="8"/>
  <c r="D2425" i="8"/>
  <c r="C2425" i="8"/>
  <c r="A2426" i="8"/>
  <c r="D2426" i="8" l="1"/>
  <c r="A2427" i="8"/>
  <c r="C2426" i="8"/>
  <c r="G2426" i="8"/>
  <c r="B2426" i="8"/>
  <c r="E2426" i="8"/>
  <c r="G2427" i="8" l="1"/>
  <c r="B2427" i="8"/>
  <c r="E2427" i="8"/>
  <c r="D2427" i="8"/>
  <c r="A2428" i="8"/>
  <c r="C2427" i="8"/>
  <c r="D2428" i="8" l="1"/>
  <c r="A2429" i="8"/>
  <c r="C2428" i="8"/>
  <c r="G2428" i="8"/>
  <c r="B2428" i="8"/>
  <c r="E2428" i="8"/>
  <c r="G2429" i="8" l="1"/>
  <c r="B2429" i="8"/>
  <c r="E2429" i="8"/>
  <c r="D2429" i="8"/>
  <c r="A2430" i="8"/>
  <c r="C2429" i="8"/>
  <c r="D2430" i="8" l="1"/>
  <c r="A2431" i="8"/>
  <c r="C2430" i="8"/>
  <c r="G2430" i="8"/>
  <c r="B2430" i="8"/>
  <c r="E2430" i="8"/>
  <c r="G2431" i="8" l="1"/>
  <c r="B2431" i="8"/>
  <c r="E2431" i="8"/>
  <c r="D2431" i="8"/>
  <c r="A2432" i="8"/>
  <c r="C2431" i="8"/>
  <c r="D2432" i="8" l="1"/>
  <c r="A2433" i="8"/>
  <c r="C2432" i="8"/>
  <c r="G2432" i="8"/>
  <c r="B2432" i="8"/>
  <c r="E2432" i="8"/>
  <c r="G2433" i="8" l="1"/>
  <c r="B2433" i="8"/>
  <c r="E2433" i="8"/>
  <c r="D2433" i="8"/>
  <c r="C2433" i="8"/>
  <c r="A2434" i="8"/>
  <c r="D2434" i="8" l="1"/>
  <c r="A2435" i="8"/>
  <c r="C2434" i="8"/>
  <c r="G2434" i="8"/>
  <c r="B2434" i="8"/>
  <c r="E2434" i="8"/>
  <c r="G2435" i="8" l="1"/>
  <c r="B2435" i="8"/>
  <c r="E2435" i="8"/>
  <c r="D2435" i="8"/>
  <c r="A2436" i="8"/>
  <c r="C2435" i="8"/>
  <c r="D2436" i="8" l="1"/>
  <c r="A2437" i="8"/>
  <c r="C2436" i="8"/>
  <c r="G2436" i="8"/>
  <c r="B2436" i="8"/>
  <c r="E2436" i="8"/>
  <c r="G2437" i="8" l="1"/>
  <c r="B2437" i="8"/>
  <c r="E2437" i="8"/>
  <c r="D2437" i="8"/>
  <c r="A2438" i="8"/>
  <c r="C2437" i="8"/>
  <c r="D2438" i="8" l="1"/>
  <c r="A2439" i="8"/>
  <c r="C2438" i="8"/>
  <c r="G2438" i="8"/>
  <c r="B2438" i="8"/>
  <c r="E2438" i="8"/>
  <c r="G2439" i="8" l="1"/>
  <c r="B2439" i="8"/>
  <c r="E2439" i="8"/>
  <c r="D2439" i="8"/>
  <c r="A2440" i="8"/>
  <c r="C2439" i="8"/>
  <c r="D2440" i="8" l="1"/>
  <c r="A2441" i="8"/>
  <c r="C2440" i="8"/>
  <c r="G2440" i="8"/>
  <c r="B2440" i="8"/>
  <c r="E2440" i="8"/>
  <c r="G2441" i="8" l="1"/>
  <c r="B2441" i="8"/>
  <c r="E2441" i="8"/>
  <c r="D2441" i="8"/>
  <c r="C2441" i="8"/>
  <c r="A2442" i="8"/>
  <c r="D2442" i="8" l="1"/>
  <c r="A2443" i="8"/>
  <c r="C2442" i="8"/>
  <c r="G2442" i="8"/>
  <c r="B2442" i="8"/>
  <c r="E2442" i="8"/>
  <c r="G2443" i="8" l="1"/>
  <c r="B2443" i="8"/>
  <c r="E2443" i="8"/>
  <c r="D2443" i="8"/>
  <c r="A2444" i="8"/>
  <c r="C2443" i="8"/>
  <c r="D2444" i="8" l="1"/>
  <c r="A2445" i="8"/>
  <c r="C2444" i="8"/>
  <c r="G2444" i="8"/>
  <c r="B2444" i="8"/>
  <c r="E2444" i="8"/>
  <c r="G2445" i="8" l="1"/>
  <c r="B2445" i="8"/>
  <c r="E2445" i="8"/>
  <c r="D2445" i="8"/>
  <c r="A2446" i="8"/>
  <c r="C2445" i="8"/>
  <c r="D2446" i="8" l="1"/>
  <c r="A2447" i="8"/>
  <c r="C2446" i="8"/>
  <c r="G2446" i="8"/>
  <c r="B2446" i="8"/>
  <c r="E2446" i="8"/>
  <c r="G2447" i="8" l="1"/>
  <c r="B2447" i="8"/>
  <c r="E2447" i="8"/>
  <c r="D2447" i="8"/>
  <c r="A2448" i="8"/>
  <c r="C2447" i="8"/>
  <c r="D2448" i="8" l="1"/>
  <c r="A2449" i="8"/>
  <c r="C2448" i="8"/>
  <c r="G2448" i="8"/>
  <c r="B2448" i="8"/>
  <c r="E2448" i="8"/>
  <c r="G2449" i="8" l="1"/>
  <c r="B2449" i="8"/>
  <c r="E2449" i="8"/>
  <c r="D2449" i="8"/>
  <c r="C2449" i="8"/>
  <c r="A2450" i="8"/>
  <c r="D2450" i="8" l="1"/>
  <c r="A2451" i="8"/>
  <c r="C2450" i="8"/>
  <c r="G2450" i="8"/>
  <c r="B2450" i="8"/>
  <c r="E2450" i="8"/>
  <c r="G2451" i="8" l="1"/>
  <c r="B2451" i="8"/>
  <c r="E2451" i="8"/>
  <c r="D2451" i="8"/>
  <c r="A2452" i="8"/>
  <c r="C2451" i="8"/>
  <c r="D2452" i="8" l="1"/>
  <c r="A2453" i="8"/>
  <c r="C2452" i="8"/>
  <c r="G2452" i="8"/>
  <c r="B2452" i="8"/>
  <c r="E2452" i="8"/>
  <c r="G2453" i="8" l="1"/>
  <c r="B2453" i="8"/>
  <c r="E2453" i="8"/>
  <c r="D2453" i="8"/>
  <c r="A2454" i="8"/>
  <c r="C2453" i="8"/>
  <c r="D2454" i="8" l="1"/>
  <c r="A2455" i="8"/>
  <c r="C2454" i="8"/>
  <c r="G2454" i="8"/>
  <c r="B2454" i="8"/>
  <c r="E2454" i="8"/>
  <c r="G2455" i="8" l="1"/>
  <c r="B2455" i="8"/>
  <c r="E2455" i="8"/>
  <c r="D2455" i="8"/>
  <c r="A2456" i="8"/>
  <c r="C2455" i="8"/>
  <c r="D2456" i="8" l="1"/>
  <c r="A2457" i="8"/>
  <c r="C2456" i="8"/>
  <c r="G2456" i="8"/>
  <c r="B2456" i="8"/>
  <c r="E2456" i="8"/>
  <c r="G2457" i="8" l="1"/>
  <c r="B2457" i="8"/>
  <c r="E2457" i="8"/>
  <c r="D2457" i="8"/>
  <c r="C2457" i="8"/>
  <c r="A2458" i="8"/>
  <c r="D2458" i="8" l="1"/>
  <c r="A2459" i="8"/>
  <c r="C2458" i="8"/>
  <c r="G2458" i="8"/>
  <c r="B2458" i="8"/>
  <c r="E2458" i="8"/>
  <c r="G2459" i="8" l="1"/>
  <c r="B2459" i="8"/>
  <c r="E2459" i="8"/>
  <c r="D2459" i="8"/>
  <c r="A2460" i="8"/>
  <c r="C2459" i="8"/>
  <c r="D2460" i="8" l="1"/>
  <c r="A2461" i="8"/>
  <c r="C2460" i="8"/>
  <c r="G2460" i="8"/>
  <c r="B2460" i="8"/>
  <c r="E2460" i="8"/>
  <c r="G2461" i="8" l="1"/>
  <c r="B2461" i="8"/>
  <c r="E2461" i="8"/>
  <c r="D2461" i="8"/>
  <c r="A2462" i="8"/>
  <c r="C2461" i="8"/>
  <c r="D2462" i="8" l="1"/>
  <c r="A2463" i="8"/>
  <c r="C2462" i="8"/>
  <c r="G2462" i="8"/>
  <c r="B2462" i="8"/>
  <c r="E2462" i="8"/>
  <c r="G2463" i="8" l="1"/>
  <c r="B2463" i="8"/>
  <c r="E2463" i="8"/>
  <c r="D2463" i="8"/>
  <c r="A2464" i="8"/>
  <c r="C2463" i="8"/>
  <c r="D2464" i="8" l="1"/>
  <c r="A2465" i="8"/>
  <c r="C2464" i="8"/>
  <c r="G2464" i="8"/>
  <c r="B2464" i="8"/>
  <c r="E2464" i="8"/>
  <c r="G2465" i="8" l="1"/>
  <c r="B2465" i="8"/>
  <c r="E2465" i="8"/>
  <c r="D2465" i="8"/>
  <c r="C2465" i="8"/>
  <c r="A2466" i="8"/>
  <c r="D2466" i="8" l="1"/>
  <c r="A2467" i="8"/>
  <c r="C2466" i="8"/>
  <c r="G2466" i="8"/>
  <c r="B2466" i="8"/>
  <c r="E2466" i="8"/>
  <c r="G2467" i="8" l="1"/>
  <c r="B2467" i="8"/>
  <c r="E2467" i="8"/>
  <c r="D2467" i="8"/>
  <c r="A2468" i="8"/>
  <c r="C2467" i="8"/>
  <c r="D2468" i="8" l="1"/>
  <c r="A2469" i="8"/>
  <c r="C2468" i="8"/>
  <c r="G2468" i="8"/>
  <c r="B2468" i="8"/>
  <c r="E2468" i="8"/>
  <c r="G2469" i="8" l="1"/>
  <c r="B2469" i="8"/>
  <c r="E2469" i="8"/>
  <c r="D2469" i="8"/>
  <c r="A2470" i="8"/>
  <c r="C2469" i="8"/>
  <c r="D2470" i="8" l="1"/>
  <c r="A2471" i="8"/>
  <c r="C2470" i="8"/>
  <c r="G2470" i="8"/>
  <c r="B2470" i="8"/>
  <c r="E2470" i="8"/>
  <c r="G2471" i="8" l="1"/>
  <c r="B2471" i="8"/>
  <c r="E2471" i="8"/>
  <c r="D2471" i="8"/>
  <c r="A2472" i="8"/>
  <c r="C2471" i="8"/>
  <c r="D2472" i="8" l="1"/>
  <c r="A2473" i="8"/>
  <c r="C2472" i="8"/>
  <c r="G2472" i="8"/>
  <c r="B2472" i="8"/>
  <c r="E2472" i="8"/>
  <c r="G2473" i="8" l="1"/>
  <c r="B2473" i="8"/>
  <c r="E2473" i="8"/>
  <c r="D2473" i="8"/>
  <c r="C2473" i="8"/>
  <c r="A2474" i="8"/>
  <c r="D2474" i="8" l="1"/>
  <c r="A2475" i="8"/>
  <c r="C2474" i="8"/>
  <c r="G2474" i="8"/>
  <c r="B2474" i="8"/>
  <c r="E2474" i="8"/>
  <c r="G2475" i="8" l="1"/>
  <c r="B2475" i="8"/>
  <c r="E2475" i="8"/>
  <c r="D2475" i="8"/>
  <c r="A2476" i="8"/>
  <c r="C2475" i="8"/>
  <c r="D2476" i="8" l="1"/>
  <c r="A2477" i="8"/>
  <c r="C2476" i="8"/>
  <c r="G2476" i="8"/>
  <c r="B2476" i="8"/>
  <c r="E2476" i="8"/>
  <c r="G2477" i="8" l="1"/>
  <c r="B2477" i="8"/>
  <c r="E2477" i="8"/>
  <c r="D2477" i="8"/>
  <c r="A2478" i="8"/>
  <c r="C2477" i="8"/>
  <c r="D2478" i="8" l="1"/>
  <c r="A2479" i="8"/>
  <c r="C2478" i="8"/>
  <c r="G2478" i="8"/>
  <c r="B2478" i="8"/>
  <c r="E2478" i="8"/>
  <c r="G2479" i="8" l="1"/>
  <c r="B2479" i="8"/>
  <c r="E2479" i="8"/>
  <c r="D2479" i="8"/>
  <c r="A2480" i="8"/>
  <c r="C2479" i="8"/>
  <c r="D2480" i="8" l="1"/>
  <c r="A2481" i="8"/>
  <c r="C2480" i="8"/>
  <c r="G2480" i="8"/>
  <c r="B2480" i="8"/>
  <c r="E2480" i="8"/>
  <c r="G2481" i="8" l="1"/>
  <c r="B2481" i="8"/>
  <c r="E2481" i="8"/>
  <c r="D2481" i="8"/>
  <c r="C2481" i="8"/>
  <c r="A2482" i="8"/>
  <c r="D2482" i="8" l="1"/>
  <c r="A2483" i="8"/>
  <c r="C2482" i="8"/>
  <c r="G2482" i="8"/>
  <c r="B2482" i="8"/>
  <c r="E2482" i="8"/>
  <c r="G2483" i="8" l="1"/>
  <c r="B2483" i="8"/>
  <c r="E2483" i="8"/>
  <c r="D2483" i="8"/>
  <c r="A2484" i="8"/>
  <c r="C2483" i="8"/>
  <c r="D2484" i="8" l="1"/>
  <c r="A2485" i="8"/>
  <c r="C2484" i="8"/>
  <c r="G2484" i="8"/>
  <c r="B2484" i="8"/>
  <c r="E2484" i="8"/>
  <c r="G2485" i="8" l="1"/>
  <c r="B2485" i="8"/>
  <c r="E2485" i="8"/>
  <c r="D2485" i="8"/>
  <c r="A2486" i="8"/>
  <c r="C2485" i="8"/>
  <c r="D2486" i="8" l="1"/>
  <c r="A2487" i="8"/>
  <c r="C2486" i="8"/>
  <c r="G2486" i="8"/>
  <c r="B2486" i="8"/>
  <c r="E2486" i="8"/>
  <c r="G2487" i="8" l="1"/>
  <c r="B2487" i="8"/>
  <c r="E2487" i="8"/>
  <c r="D2487" i="8"/>
  <c r="A2488" i="8"/>
  <c r="C2487" i="8"/>
  <c r="D2488" i="8" l="1"/>
  <c r="A2489" i="8"/>
  <c r="C2488" i="8"/>
  <c r="G2488" i="8"/>
  <c r="B2488" i="8"/>
  <c r="E2488" i="8"/>
  <c r="G2489" i="8" l="1"/>
  <c r="B2489" i="8"/>
  <c r="E2489" i="8"/>
  <c r="D2489" i="8"/>
  <c r="C2489" i="8"/>
  <c r="A2490" i="8"/>
  <c r="D2490" i="8" l="1"/>
  <c r="A2491" i="8"/>
  <c r="C2490" i="8"/>
  <c r="G2490" i="8"/>
  <c r="B2490" i="8"/>
  <c r="E2490" i="8"/>
  <c r="G2491" i="8" l="1"/>
  <c r="B2491" i="8"/>
  <c r="E2491" i="8"/>
  <c r="D2491" i="8"/>
  <c r="A2492" i="8"/>
  <c r="C2491" i="8"/>
  <c r="D2492" i="8" l="1"/>
  <c r="A2493" i="8"/>
  <c r="C2492" i="8"/>
  <c r="G2492" i="8"/>
  <c r="B2492" i="8"/>
  <c r="E2492" i="8"/>
  <c r="G2493" i="8" l="1"/>
  <c r="B2493" i="8"/>
  <c r="E2493" i="8"/>
  <c r="D2493" i="8"/>
  <c r="A2494" i="8"/>
  <c r="C2493" i="8"/>
  <c r="D2494" i="8" l="1"/>
  <c r="A2495" i="8"/>
  <c r="C2494" i="8"/>
  <c r="G2494" i="8"/>
  <c r="B2494" i="8"/>
  <c r="E2494" i="8"/>
  <c r="G2495" i="8" l="1"/>
  <c r="B2495" i="8"/>
  <c r="E2495" i="8"/>
  <c r="D2495" i="8"/>
  <c r="A2496" i="8"/>
  <c r="C2495" i="8"/>
  <c r="D2496" i="8" l="1"/>
  <c r="A2497" i="8"/>
  <c r="C2496" i="8"/>
  <c r="G2496" i="8"/>
  <c r="B2496" i="8"/>
  <c r="E2496" i="8"/>
  <c r="G2497" i="8" l="1"/>
  <c r="B2497" i="8"/>
  <c r="E2497" i="8"/>
  <c r="D2497" i="8"/>
  <c r="C2497" i="8"/>
  <c r="A2498" i="8"/>
  <c r="D2498" i="8" l="1"/>
  <c r="A2499" i="8"/>
  <c r="C2498" i="8"/>
  <c r="G2498" i="8"/>
  <c r="B2498" i="8"/>
  <c r="E2498" i="8"/>
  <c r="G2499" i="8" l="1"/>
  <c r="B2499" i="8"/>
  <c r="E2499" i="8"/>
  <c r="D2499" i="8"/>
  <c r="A2500" i="8"/>
  <c r="C2499" i="8"/>
  <c r="D2500" i="8" l="1"/>
  <c r="A2501" i="8"/>
  <c r="C2500" i="8"/>
  <c r="G2500" i="8"/>
  <c r="B2500" i="8"/>
  <c r="E2500" i="8"/>
  <c r="G2501" i="8" l="1"/>
  <c r="B2501" i="8"/>
  <c r="E2501" i="8"/>
  <c r="D2501" i="8"/>
  <c r="A2502" i="8"/>
  <c r="C2501" i="8"/>
  <c r="D2502" i="8" l="1"/>
  <c r="A2503" i="8"/>
  <c r="C2502" i="8"/>
  <c r="G2502" i="8"/>
  <c r="B2502" i="8"/>
  <c r="E2502" i="8"/>
  <c r="G2503" i="8" l="1"/>
  <c r="B2503" i="8"/>
  <c r="E2503" i="8"/>
  <c r="D2503" i="8"/>
  <c r="A2504" i="8"/>
  <c r="C2503" i="8"/>
  <c r="D2504" i="8" l="1"/>
  <c r="A2505" i="8"/>
  <c r="C2504" i="8"/>
  <c r="G2504" i="8"/>
  <c r="B2504" i="8"/>
  <c r="E2504" i="8"/>
  <c r="G2505" i="8" l="1"/>
  <c r="B2505" i="8"/>
  <c r="E2505" i="8"/>
  <c r="D2505" i="8"/>
  <c r="C2505" i="8"/>
  <c r="A2506" i="8"/>
  <c r="D2506" i="8" l="1"/>
  <c r="A2507" i="8"/>
  <c r="C2506" i="8"/>
  <c r="G2506" i="8"/>
  <c r="B2506" i="8"/>
  <c r="E2506" i="8"/>
  <c r="G2507" i="8" l="1"/>
  <c r="B2507" i="8"/>
  <c r="E2507" i="8"/>
  <c r="D2507" i="8"/>
  <c r="A2508" i="8"/>
  <c r="C2507" i="8"/>
  <c r="D2508" i="8" l="1"/>
  <c r="A2509" i="8"/>
  <c r="C2508" i="8"/>
  <c r="G2508" i="8"/>
  <c r="B2508" i="8"/>
  <c r="E2508" i="8"/>
  <c r="G2509" i="8" l="1"/>
  <c r="B2509" i="8"/>
  <c r="E2509" i="8"/>
  <c r="D2509" i="8"/>
  <c r="A2510" i="8"/>
  <c r="C2509" i="8"/>
  <c r="D2510" i="8" l="1"/>
  <c r="A2511" i="8"/>
  <c r="C2510" i="8"/>
  <c r="G2510" i="8"/>
  <c r="B2510" i="8"/>
  <c r="E2510" i="8"/>
  <c r="G2511" i="8" l="1"/>
  <c r="B2511" i="8"/>
  <c r="E2511" i="8"/>
  <c r="D2511" i="8"/>
  <c r="A2512" i="8"/>
  <c r="C2511" i="8"/>
  <c r="D2512" i="8" l="1"/>
  <c r="A2513" i="8"/>
  <c r="C2512" i="8"/>
  <c r="G2512" i="8"/>
  <c r="B2512" i="8"/>
  <c r="E2512" i="8"/>
  <c r="G2513" i="8" l="1"/>
  <c r="B2513" i="8"/>
  <c r="E2513" i="8"/>
  <c r="D2513" i="8"/>
  <c r="C2513" i="8"/>
  <c r="A2514" i="8"/>
  <c r="D2514" i="8" l="1"/>
  <c r="A2515" i="8"/>
  <c r="C2514" i="8"/>
  <c r="G2514" i="8"/>
  <c r="B2514" i="8"/>
  <c r="E2514" i="8"/>
  <c r="G2515" i="8" l="1"/>
  <c r="B2515" i="8"/>
  <c r="E2515" i="8"/>
  <c r="D2515" i="8"/>
  <c r="A2516" i="8"/>
  <c r="C2515" i="8"/>
  <c r="D2516" i="8" l="1"/>
  <c r="A2517" i="8"/>
  <c r="C2516" i="8"/>
  <c r="G2516" i="8"/>
  <c r="B2516" i="8"/>
  <c r="E2516" i="8"/>
  <c r="G2517" i="8" l="1"/>
  <c r="B2517" i="8"/>
  <c r="E2517" i="8"/>
  <c r="D2517" i="8"/>
  <c r="A2518" i="8"/>
  <c r="C2517" i="8"/>
  <c r="D2518" i="8" l="1"/>
  <c r="A2519" i="8"/>
  <c r="C2518" i="8"/>
  <c r="G2518" i="8"/>
  <c r="B2518" i="8"/>
  <c r="E2518" i="8"/>
  <c r="G2519" i="8" l="1"/>
  <c r="B2519" i="8"/>
  <c r="E2519" i="8"/>
  <c r="D2519" i="8"/>
  <c r="A2520" i="8"/>
  <c r="C2519" i="8"/>
  <c r="D2520" i="8" l="1"/>
  <c r="A2521" i="8"/>
  <c r="C2520" i="8"/>
  <c r="G2520" i="8"/>
  <c r="B2520" i="8"/>
  <c r="E2520" i="8"/>
  <c r="G2521" i="8" l="1"/>
  <c r="B2521" i="8"/>
  <c r="E2521" i="8"/>
  <c r="D2521" i="8"/>
  <c r="C2521" i="8"/>
  <c r="A2522" i="8"/>
  <c r="D2522" i="8" l="1"/>
  <c r="A2523" i="8"/>
  <c r="C2522" i="8"/>
  <c r="G2522" i="8"/>
  <c r="B2522" i="8"/>
  <c r="E2522" i="8"/>
  <c r="G2523" i="8" l="1"/>
  <c r="B2523" i="8"/>
  <c r="E2523" i="8"/>
  <c r="D2523" i="8"/>
  <c r="A2524" i="8"/>
  <c r="C2523" i="8"/>
  <c r="D2524" i="8" l="1"/>
  <c r="A2525" i="8"/>
  <c r="C2524" i="8"/>
  <c r="G2524" i="8"/>
  <c r="B2524" i="8"/>
  <c r="E2524" i="8"/>
  <c r="G2525" i="8" l="1"/>
  <c r="B2525" i="8"/>
  <c r="E2525" i="8"/>
  <c r="D2525" i="8"/>
  <c r="A2526" i="8"/>
  <c r="C2525" i="8"/>
  <c r="D2526" i="8" l="1"/>
  <c r="A2527" i="8"/>
  <c r="C2526" i="8"/>
  <c r="G2526" i="8"/>
  <c r="B2526" i="8"/>
  <c r="E2526" i="8"/>
  <c r="G2527" i="8" l="1"/>
  <c r="B2527" i="8"/>
  <c r="E2527" i="8"/>
  <c r="D2527" i="8"/>
  <c r="A2528" i="8"/>
  <c r="C2527" i="8"/>
  <c r="D2528" i="8" l="1"/>
  <c r="A2529" i="8"/>
  <c r="C2528" i="8"/>
  <c r="G2528" i="8"/>
  <c r="B2528" i="8"/>
  <c r="E2528" i="8"/>
  <c r="G2529" i="8" l="1"/>
  <c r="B2529" i="8"/>
  <c r="E2529" i="8"/>
  <c r="D2529" i="8"/>
  <c r="C2529" i="8"/>
  <c r="A2530" i="8"/>
  <c r="D2530" i="8" l="1"/>
  <c r="A2531" i="8"/>
  <c r="C2530" i="8"/>
  <c r="G2530" i="8"/>
  <c r="B2530" i="8"/>
  <c r="E2530" i="8"/>
  <c r="G2531" i="8" l="1"/>
  <c r="B2531" i="8"/>
  <c r="E2531" i="8"/>
  <c r="D2531" i="8"/>
  <c r="A2532" i="8"/>
  <c r="C2531" i="8"/>
  <c r="D2532" i="8" l="1"/>
  <c r="A2533" i="8"/>
  <c r="C2532" i="8"/>
  <c r="G2532" i="8"/>
  <c r="B2532" i="8"/>
  <c r="E2532" i="8"/>
  <c r="G2533" i="8" l="1"/>
  <c r="B2533" i="8"/>
  <c r="E2533" i="8"/>
  <c r="D2533" i="8"/>
  <c r="A2534" i="8"/>
  <c r="C2533" i="8"/>
  <c r="D2534" i="8" l="1"/>
  <c r="A2535" i="8"/>
  <c r="C2534" i="8"/>
  <c r="G2534" i="8"/>
  <c r="B2534" i="8"/>
  <c r="E2534" i="8"/>
  <c r="G2535" i="8" l="1"/>
  <c r="B2535" i="8"/>
  <c r="E2535" i="8"/>
  <c r="D2535" i="8"/>
  <c r="A2536" i="8"/>
  <c r="C2535" i="8"/>
  <c r="D2536" i="8" l="1"/>
  <c r="A2537" i="8"/>
  <c r="C2536" i="8"/>
  <c r="G2536" i="8"/>
  <c r="B2536" i="8"/>
  <c r="E2536" i="8"/>
  <c r="G2537" i="8" l="1"/>
  <c r="B2537" i="8"/>
  <c r="E2537" i="8"/>
  <c r="D2537" i="8"/>
  <c r="C2537" i="8"/>
  <c r="A2538" i="8"/>
  <c r="D2538" i="8" l="1"/>
  <c r="A2539" i="8"/>
  <c r="C2538" i="8"/>
  <c r="G2538" i="8"/>
  <c r="B2538" i="8"/>
  <c r="E2538" i="8"/>
  <c r="G2539" i="8" l="1"/>
  <c r="B2539" i="8"/>
  <c r="E2539" i="8"/>
  <c r="D2539" i="8"/>
  <c r="A2540" i="8"/>
  <c r="C2539" i="8"/>
  <c r="D2540" i="8" l="1"/>
  <c r="A2541" i="8"/>
  <c r="C2540" i="8"/>
  <c r="G2540" i="8"/>
  <c r="B2540" i="8"/>
  <c r="E2540" i="8"/>
  <c r="G2541" i="8" l="1"/>
  <c r="B2541" i="8"/>
  <c r="E2541" i="8"/>
  <c r="D2541" i="8"/>
  <c r="A2542" i="8"/>
  <c r="C2541" i="8"/>
  <c r="D2542" i="8" l="1"/>
  <c r="A2543" i="8"/>
  <c r="C2542" i="8"/>
  <c r="G2542" i="8"/>
  <c r="B2542" i="8"/>
  <c r="E2542" i="8"/>
  <c r="G2543" i="8" l="1"/>
  <c r="B2543" i="8"/>
  <c r="E2543" i="8"/>
  <c r="D2543" i="8"/>
  <c r="A2544" i="8"/>
  <c r="C2543" i="8"/>
  <c r="D2544" i="8" l="1"/>
  <c r="A2545" i="8"/>
  <c r="C2544" i="8"/>
  <c r="G2544" i="8"/>
  <c r="B2544" i="8"/>
  <c r="E2544" i="8"/>
  <c r="G2545" i="8" l="1"/>
  <c r="B2545" i="8"/>
  <c r="E2545" i="8"/>
  <c r="D2545" i="8"/>
  <c r="C2545" i="8"/>
  <c r="A2546" i="8"/>
  <c r="D2546" i="8" l="1"/>
  <c r="A2547" i="8"/>
  <c r="C2546" i="8"/>
  <c r="G2546" i="8"/>
  <c r="B2546" i="8"/>
  <c r="E2546" i="8"/>
  <c r="G2547" i="8" l="1"/>
  <c r="B2547" i="8"/>
  <c r="E2547" i="8"/>
  <c r="D2547" i="8"/>
  <c r="A2548" i="8"/>
  <c r="C2547" i="8"/>
  <c r="D2548" i="8" l="1"/>
  <c r="A2549" i="8"/>
  <c r="C2548" i="8"/>
  <c r="G2548" i="8"/>
  <c r="B2548" i="8"/>
  <c r="E2548" i="8"/>
  <c r="G2549" i="8" l="1"/>
  <c r="B2549" i="8"/>
  <c r="E2549" i="8"/>
  <c r="D2549" i="8"/>
  <c r="A2550" i="8"/>
  <c r="C2549" i="8"/>
  <c r="D2550" i="8" l="1"/>
  <c r="A2551" i="8"/>
  <c r="C2550" i="8"/>
  <c r="G2550" i="8"/>
  <c r="B2550" i="8"/>
  <c r="E2550" i="8"/>
  <c r="G2551" i="8" l="1"/>
  <c r="B2551" i="8"/>
  <c r="E2551" i="8"/>
  <c r="D2551" i="8"/>
  <c r="A2552" i="8"/>
  <c r="C2551" i="8"/>
  <c r="D2552" i="8" l="1"/>
  <c r="A2553" i="8"/>
  <c r="C2552" i="8"/>
  <c r="G2552" i="8"/>
  <c r="B2552" i="8"/>
  <c r="E2552" i="8"/>
  <c r="G2553" i="8" l="1"/>
  <c r="B2553" i="8"/>
  <c r="E2553" i="8"/>
  <c r="D2553" i="8"/>
  <c r="C2553" i="8"/>
  <c r="A2554" i="8"/>
  <c r="D2554" i="8" l="1"/>
  <c r="A2555" i="8"/>
  <c r="C2554" i="8"/>
  <c r="G2554" i="8"/>
  <c r="B2554" i="8"/>
  <c r="E2554" i="8"/>
  <c r="G2555" i="8" l="1"/>
  <c r="B2555" i="8"/>
  <c r="E2555" i="8"/>
  <c r="D2555" i="8"/>
  <c r="A2556" i="8"/>
  <c r="C2555" i="8"/>
  <c r="D2556" i="8" l="1"/>
  <c r="A2557" i="8"/>
  <c r="C2556" i="8"/>
  <c r="G2556" i="8"/>
  <c r="B2556" i="8"/>
  <c r="E2556" i="8"/>
  <c r="G2557" i="8" l="1"/>
  <c r="B2557" i="8"/>
  <c r="E2557" i="8"/>
  <c r="D2557" i="8"/>
  <c r="A2558" i="8"/>
  <c r="C2557" i="8"/>
  <c r="D2558" i="8" l="1"/>
  <c r="A2559" i="8"/>
  <c r="C2558" i="8"/>
  <c r="G2558" i="8"/>
  <c r="B2558" i="8"/>
  <c r="E2558" i="8"/>
  <c r="G2559" i="8" l="1"/>
  <c r="B2559" i="8"/>
  <c r="E2559" i="8"/>
  <c r="D2559" i="8"/>
  <c r="A2560" i="8"/>
  <c r="C2559" i="8"/>
  <c r="D2560" i="8" l="1"/>
  <c r="A2561" i="8"/>
  <c r="C2560" i="8"/>
  <c r="G2560" i="8"/>
  <c r="B2560" i="8"/>
  <c r="E2560" i="8"/>
  <c r="G2561" i="8" l="1"/>
  <c r="B2561" i="8"/>
  <c r="E2561" i="8"/>
  <c r="D2561" i="8"/>
  <c r="C2561" i="8"/>
  <c r="A2562" i="8"/>
  <c r="D2562" i="8" l="1"/>
  <c r="A2563" i="8"/>
  <c r="C2562" i="8"/>
  <c r="G2562" i="8"/>
  <c r="B2562" i="8"/>
  <c r="E2562" i="8"/>
  <c r="G2563" i="8" l="1"/>
  <c r="B2563" i="8"/>
  <c r="E2563" i="8"/>
  <c r="D2563" i="8"/>
  <c r="A2564" i="8"/>
  <c r="C2563" i="8"/>
  <c r="D2564" i="8" l="1"/>
  <c r="A2565" i="8"/>
  <c r="C2564" i="8"/>
  <c r="G2564" i="8"/>
  <c r="B2564" i="8"/>
  <c r="E2564" i="8"/>
  <c r="G2565" i="8" l="1"/>
  <c r="B2565" i="8"/>
  <c r="E2565" i="8"/>
  <c r="D2565" i="8"/>
  <c r="A2566" i="8"/>
  <c r="C2565" i="8"/>
  <c r="D2566" i="8" l="1"/>
  <c r="A2567" i="8"/>
  <c r="C2566" i="8"/>
  <c r="G2566" i="8"/>
  <c r="B2566" i="8"/>
  <c r="E2566" i="8"/>
  <c r="G2567" i="8" l="1"/>
  <c r="B2567" i="8"/>
  <c r="E2567" i="8"/>
  <c r="D2567" i="8"/>
  <c r="A2568" i="8"/>
  <c r="C2567" i="8"/>
  <c r="D2568" i="8" l="1"/>
  <c r="A2569" i="8"/>
  <c r="C2568" i="8"/>
  <c r="G2568" i="8"/>
  <c r="B2568" i="8"/>
  <c r="E2568" i="8"/>
  <c r="G2569" i="8" l="1"/>
  <c r="B2569" i="8"/>
  <c r="E2569" i="8"/>
  <c r="D2569" i="8"/>
  <c r="C2569" i="8"/>
  <c r="A2570" i="8"/>
  <c r="D2570" i="8" l="1"/>
  <c r="A2571" i="8"/>
  <c r="C2570" i="8"/>
  <c r="G2570" i="8"/>
  <c r="B2570" i="8"/>
  <c r="E2570" i="8"/>
  <c r="G2571" i="8" l="1"/>
  <c r="B2571" i="8"/>
  <c r="E2571" i="8"/>
  <c r="D2571" i="8"/>
  <c r="A2572" i="8"/>
  <c r="C2571" i="8"/>
  <c r="D2572" i="8" l="1"/>
  <c r="A2573" i="8"/>
  <c r="C2572" i="8"/>
  <c r="G2572" i="8"/>
  <c r="B2572" i="8"/>
  <c r="E2572" i="8"/>
  <c r="G2573" i="8" l="1"/>
  <c r="B2573" i="8"/>
  <c r="E2573" i="8"/>
  <c r="D2573" i="8"/>
  <c r="A2574" i="8"/>
  <c r="C2573" i="8"/>
  <c r="D2574" i="8" l="1"/>
  <c r="A2575" i="8"/>
  <c r="C2574" i="8"/>
  <c r="G2574" i="8"/>
  <c r="B2574" i="8"/>
  <c r="E2574" i="8"/>
  <c r="G2575" i="8" l="1"/>
  <c r="B2575" i="8"/>
  <c r="E2575" i="8"/>
  <c r="D2575" i="8"/>
  <c r="A2576" i="8"/>
  <c r="C2575" i="8"/>
  <c r="D2576" i="8" l="1"/>
  <c r="A2577" i="8"/>
  <c r="C2576" i="8"/>
  <c r="G2576" i="8"/>
  <c r="B2576" i="8"/>
  <c r="E2576" i="8"/>
  <c r="G2577" i="8" l="1"/>
  <c r="B2577" i="8"/>
  <c r="E2577" i="8"/>
  <c r="D2577" i="8"/>
  <c r="C2577" i="8"/>
  <c r="A2578" i="8"/>
  <c r="D2578" i="8" l="1"/>
  <c r="A2579" i="8"/>
  <c r="C2578" i="8"/>
  <c r="G2578" i="8"/>
  <c r="B2578" i="8"/>
  <c r="E2578" i="8"/>
  <c r="G2579" i="8" l="1"/>
  <c r="B2579" i="8"/>
  <c r="E2579" i="8"/>
  <c r="D2579" i="8"/>
  <c r="A2580" i="8"/>
  <c r="C2579" i="8"/>
  <c r="D2580" i="8" l="1"/>
  <c r="A2581" i="8"/>
  <c r="C2580" i="8"/>
  <c r="G2580" i="8"/>
  <c r="B2580" i="8"/>
  <c r="E2580" i="8"/>
  <c r="G2581" i="8" l="1"/>
  <c r="B2581" i="8"/>
  <c r="E2581" i="8"/>
  <c r="D2581" i="8"/>
  <c r="A2582" i="8"/>
  <c r="C2581" i="8"/>
  <c r="D2582" i="8" l="1"/>
  <c r="A2583" i="8"/>
  <c r="C2582" i="8"/>
  <c r="G2582" i="8"/>
  <c r="B2582" i="8"/>
  <c r="E2582" i="8"/>
  <c r="G2583" i="8" l="1"/>
  <c r="B2583" i="8"/>
  <c r="E2583" i="8"/>
  <c r="D2583" i="8"/>
  <c r="A2584" i="8"/>
  <c r="C2583" i="8"/>
  <c r="A2585" i="8" l="1"/>
  <c r="G2584" i="8"/>
  <c r="B2584" i="8"/>
  <c r="E2584" i="8"/>
  <c r="D2584" i="8"/>
  <c r="C2584" i="8"/>
  <c r="E2585" i="8" l="1"/>
  <c r="D2585" i="8"/>
  <c r="A2586" i="8"/>
  <c r="G2585" i="8"/>
  <c r="C2585" i="8"/>
  <c r="B2585" i="8"/>
  <c r="A2587" i="8" l="1"/>
  <c r="C2586" i="8"/>
  <c r="G2586" i="8"/>
  <c r="B2586" i="8"/>
  <c r="E2586" i="8"/>
  <c r="D2586" i="8"/>
  <c r="E2587" i="8" l="1"/>
  <c r="D2587" i="8"/>
  <c r="C2587" i="8"/>
  <c r="B2587" i="8"/>
  <c r="A2588" i="8"/>
  <c r="G2587" i="8"/>
  <c r="A2589" i="8" l="1"/>
  <c r="C2588" i="8"/>
  <c r="G2588" i="8"/>
  <c r="B2588" i="8"/>
  <c r="E2588" i="8"/>
  <c r="D2588" i="8"/>
  <c r="E2589" i="8" l="1"/>
  <c r="D2589" i="8"/>
  <c r="A2590" i="8"/>
  <c r="G2589" i="8"/>
  <c r="C2589" i="8"/>
  <c r="B2589" i="8"/>
  <c r="A2591" i="8" l="1"/>
  <c r="C2590" i="8"/>
  <c r="G2590" i="8"/>
  <c r="B2590" i="8"/>
  <c r="E2590" i="8"/>
  <c r="D2590" i="8"/>
  <c r="E2591" i="8" l="1"/>
  <c r="D2591" i="8"/>
  <c r="C2591" i="8"/>
  <c r="B2591" i="8"/>
  <c r="A2592" i="8"/>
  <c r="G2591" i="8"/>
  <c r="A2593" i="8" l="1"/>
  <c r="C2592" i="8"/>
  <c r="G2592" i="8"/>
  <c r="B2592" i="8"/>
  <c r="E2592" i="8"/>
  <c r="D2592" i="8"/>
  <c r="E2593" i="8" l="1"/>
  <c r="D2593" i="8"/>
  <c r="A2594" i="8"/>
  <c r="G2593" i="8"/>
  <c r="C2593" i="8"/>
  <c r="B2593" i="8"/>
  <c r="A2595" i="8" l="1"/>
  <c r="C2594" i="8"/>
  <c r="G2594" i="8"/>
  <c r="B2594" i="8"/>
  <c r="E2594" i="8"/>
  <c r="D2594" i="8"/>
  <c r="E2595" i="8" l="1"/>
  <c r="D2595" i="8"/>
  <c r="C2595" i="8"/>
  <c r="B2595" i="8"/>
  <c r="A2596" i="8"/>
  <c r="G2595" i="8"/>
  <c r="A2597" i="8" l="1"/>
  <c r="C2596" i="8"/>
  <c r="G2596" i="8"/>
  <c r="B2596" i="8"/>
  <c r="E2596" i="8"/>
  <c r="D2596" i="8"/>
  <c r="E2597" i="8" l="1"/>
  <c r="D2597" i="8"/>
  <c r="A2598" i="8"/>
  <c r="G2597" i="8"/>
  <c r="C2597" i="8"/>
  <c r="B2597" i="8"/>
  <c r="A2599" i="8" l="1"/>
  <c r="C2598" i="8"/>
  <c r="G2598" i="8"/>
  <c r="B2598" i="8"/>
  <c r="E2598" i="8"/>
  <c r="D2598" i="8"/>
  <c r="E2599" i="8" l="1"/>
  <c r="D2599" i="8"/>
  <c r="C2599" i="8"/>
  <c r="B2599" i="8"/>
  <c r="A2600" i="8"/>
  <c r="G2599" i="8"/>
  <c r="A2601" i="8" l="1"/>
  <c r="C2600" i="8"/>
  <c r="G2600" i="8"/>
  <c r="B2600" i="8"/>
  <c r="E2600" i="8"/>
  <c r="D2600" i="8"/>
  <c r="E2601" i="8" l="1"/>
  <c r="D2601" i="8"/>
  <c r="A2602" i="8"/>
  <c r="G2601" i="8"/>
  <c r="C2601" i="8"/>
  <c r="B2601" i="8"/>
  <c r="A2603" i="8" l="1"/>
  <c r="C2602" i="8"/>
  <c r="G2602" i="8"/>
  <c r="B2602" i="8"/>
  <c r="E2602" i="8"/>
  <c r="D2602" i="8"/>
  <c r="E2603" i="8" l="1"/>
  <c r="D2603" i="8"/>
  <c r="C2603" i="8"/>
  <c r="B2603" i="8"/>
  <c r="A2604" i="8"/>
  <c r="G2603" i="8"/>
  <c r="A2605" i="8" l="1"/>
  <c r="C2604" i="8"/>
  <c r="G2604" i="8"/>
  <c r="B2604" i="8"/>
  <c r="E2604" i="8"/>
  <c r="D2604" i="8"/>
  <c r="E2605" i="8" l="1"/>
  <c r="D2605" i="8"/>
  <c r="A2606" i="8"/>
  <c r="G2605" i="8"/>
  <c r="C2605" i="8"/>
  <c r="B2605" i="8"/>
  <c r="A2607" i="8" l="1"/>
  <c r="C2606" i="8"/>
  <c r="G2606" i="8"/>
  <c r="B2606" i="8"/>
  <c r="E2606" i="8"/>
  <c r="D2606" i="8"/>
  <c r="E2607" i="8" l="1"/>
  <c r="D2607" i="8"/>
  <c r="A2608" i="8"/>
  <c r="C2607" i="8"/>
  <c r="G2607" i="8"/>
  <c r="B2607" i="8"/>
  <c r="A2609" i="8" l="1"/>
  <c r="C2608" i="8"/>
  <c r="G2608" i="8"/>
  <c r="B2608" i="8"/>
  <c r="E2608" i="8"/>
  <c r="D2608" i="8"/>
  <c r="E2609" i="8" l="1"/>
  <c r="D2609" i="8"/>
  <c r="A2610" i="8"/>
  <c r="C2609" i="8"/>
  <c r="G2609" i="8"/>
  <c r="B2609" i="8"/>
  <c r="A2611" i="8" l="1"/>
  <c r="C2610" i="8"/>
  <c r="G2610" i="8"/>
  <c r="B2610" i="8"/>
  <c r="E2610" i="8"/>
  <c r="D2610" i="8"/>
  <c r="E2611" i="8" l="1"/>
  <c r="D2611" i="8"/>
  <c r="A2612" i="8"/>
  <c r="C2611" i="8"/>
  <c r="B2611" i="8"/>
  <c r="G2611" i="8"/>
  <c r="A2613" i="8" l="1"/>
  <c r="C2612" i="8"/>
  <c r="G2612" i="8"/>
  <c r="B2612" i="8"/>
  <c r="E2612" i="8"/>
  <c r="D2612" i="8"/>
  <c r="E2613" i="8" l="1"/>
  <c r="D2613" i="8"/>
  <c r="A2614" i="8"/>
  <c r="C2613" i="8"/>
  <c r="G2613" i="8"/>
  <c r="B2613" i="8"/>
  <c r="A2615" i="8" l="1"/>
  <c r="C2614" i="8"/>
  <c r="G2614" i="8"/>
  <c r="B2614" i="8"/>
  <c r="E2614" i="8"/>
  <c r="D2614" i="8"/>
  <c r="E2615" i="8" l="1"/>
  <c r="D2615" i="8"/>
  <c r="A2616" i="8"/>
  <c r="C2615" i="8"/>
  <c r="G2615" i="8"/>
  <c r="B2615" i="8"/>
  <c r="A2617" i="8" l="1"/>
  <c r="C2616" i="8"/>
  <c r="G2616" i="8"/>
  <c r="B2616" i="8"/>
  <c r="E2616" i="8"/>
  <c r="D2616" i="8"/>
  <c r="E2617" i="8" l="1"/>
  <c r="D2617" i="8"/>
  <c r="A2618" i="8"/>
  <c r="C2617" i="8"/>
  <c r="G2617" i="8"/>
  <c r="B2617" i="8"/>
  <c r="A2619" i="8" l="1"/>
  <c r="C2618" i="8"/>
  <c r="G2618" i="8"/>
  <c r="B2618" i="8"/>
  <c r="E2618" i="8"/>
  <c r="D2618" i="8"/>
  <c r="E2619" i="8" l="1"/>
  <c r="D2619" i="8"/>
  <c r="A2620" i="8"/>
  <c r="C2619" i="8"/>
  <c r="B2619" i="8"/>
  <c r="G2619" i="8"/>
  <c r="A2621" i="8" l="1"/>
  <c r="C2620" i="8"/>
  <c r="G2620" i="8"/>
  <c r="B2620" i="8"/>
  <c r="E2620" i="8"/>
  <c r="D2620" i="8"/>
  <c r="E2621" i="8" l="1"/>
  <c r="D2621" i="8"/>
  <c r="A2622" i="8"/>
  <c r="C2621" i="8"/>
  <c r="G2621" i="8"/>
  <c r="B2621" i="8"/>
  <c r="A2623" i="8" l="1"/>
  <c r="C2622" i="8"/>
  <c r="G2622" i="8"/>
  <c r="B2622" i="8"/>
  <c r="E2622" i="8"/>
  <c r="D2622" i="8"/>
  <c r="E2623" i="8" l="1"/>
  <c r="D2623" i="8"/>
  <c r="A2624" i="8"/>
  <c r="C2623" i="8"/>
  <c r="G2623" i="8"/>
  <c r="B2623" i="8"/>
  <c r="A2625" i="8" l="1"/>
  <c r="C2624" i="8"/>
  <c r="G2624" i="8"/>
  <c r="B2624" i="8"/>
  <c r="E2624" i="8"/>
  <c r="D2624" i="8"/>
  <c r="E2625" i="8" l="1"/>
  <c r="D2625" i="8"/>
  <c r="A2626" i="8"/>
  <c r="C2625" i="8"/>
  <c r="G2625" i="8"/>
  <c r="B2625" i="8"/>
  <c r="A2627" i="8" l="1"/>
  <c r="C2626" i="8"/>
  <c r="G2626" i="8"/>
  <c r="B2626" i="8"/>
  <c r="E2626" i="8"/>
  <c r="D2626" i="8"/>
  <c r="E2627" i="8" l="1"/>
  <c r="D2627" i="8"/>
  <c r="A2628" i="8"/>
  <c r="C2627" i="8"/>
  <c r="B2627" i="8"/>
  <c r="G2627" i="8"/>
  <c r="A2629" i="8" l="1"/>
  <c r="C2628" i="8"/>
  <c r="G2628" i="8"/>
  <c r="B2628" i="8"/>
  <c r="E2628" i="8"/>
  <c r="D2628" i="8"/>
  <c r="E2629" i="8" l="1"/>
  <c r="D2629" i="8"/>
  <c r="A2630" i="8"/>
  <c r="C2629" i="8"/>
  <c r="G2629" i="8"/>
  <c r="B2629" i="8"/>
  <c r="A2631" i="8" l="1"/>
  <c r="C2630" i="8"/>
  <c r="G2630" i="8"/>
  <c r="B2630" i="8"/>
  <c r="E2630" i="8"/>
  <c r="D2630" i="8"/>
  <c r="E2631" i="8" l="1"/>
  <c r="D2631" i="8"/>
  <c r="A2632" i="8"/>
  <c r="C2631" i="8"/>
  <c r="G2631" i="8"/>
  <c r="B2631" i="8"/>
  <c r="A2633" i="8" l="1"/>
  <c r="C2632" i="8"/>
  <c r="G2632" i="8"/>
  <c r="B2632" i="8"/>
  <c r="E2632" i="8"/>
  <c r="D2632" i="8"/>
  <c r="E2633" i="8" l="1"/>
  <c r="D2633" i="8"/>
  <c r="A2634" i="8"/>
  <c r="C2633" i="8"/>
  <c r="G2633" i="8"/>
  <c r="B2633" i="8"/>
  <c r="A2635" i="8" l="1"/>
  <c r="C2634" i="8"/>
  <c r="G2634" i="8"/>
  <c r="B2634" i="8"/>
  <c r="E2634" i="8"/>
  <c r="D2634" i="8"/>
  <c r="E2635" i="8" l="1"/>
  <c r="D2635" i="8"/>
  <c r="A2636" i="8"/>
  <c r="C2635" i="8"/>
  <c r="B2635" i="8"/>
  <c r="G2635" i="8"/>
  <c r="A2637" i="8" l="1"/>
  <c r="C2636" i="8"/>
  <c r="G2636" i="8"/>
  <c r="B2636" i="8"/>
  <c r="E2636" i="8"/>
  <c r="D2636" i="8"/>
  <c r="E2637" i="8" l="1"/>
  <c r="D2637" i="8"/>
  <c r="A2638" i="8"/>
  <c r="C2637" i="8"/>
  <c r="G2637" i="8"/>
  <c r="B2637" i="8"/>
  <c r="A2639" i="8" l="1"/>
  <c r="C2638" i="8"/>
  <c r="G2638" i="8"/>
  <c r="B2638" i="8"/>
  <c r="E2638" i="8"/>
  <c r="D2638" i="8"/>
  <c r="E2639" i="8" l="1"/>
  <c r="D2639" i="8"/>
  <c r="A2640" i="8"/>
  <c r="C2639" i="8"/>
  <c r="G2639" i="8"/>
  <c r="B2639" i="8"/>
  <c r="A2641" i="8" l="1"/>
  <c r="C2640" i="8"/>
  <c r="G2640" i="8"/>
  <c r="B2640" i="8"/>
  <c r="E2640" i="8"/>
  <c r="D2640" i="8"/>
  <c r="E2641" i="8" l="1"/>
  <c r="D2641" i="8"/>
  <c r="A2642" i="8"/>
  <c r="C2641" i="8"/>
  <c r="G2641" i="8"/>
  <c r="B2641" i="8"/>
  <c r="A2643" i="8" l="1"/>
  <c r="C2642" i="8"/>
  <c r="G2642" i="8"/>
  <c r="B2642" i="8"/>
  <c r="E2642" i="8"/>
  <c r="D2642" i="8"/>
  <c r="E2643" i="8" l="1"/>
  <c r="D2643" i="8"/>
  <c r="A2644" i="8"/>
  <c r="C2643" i="8"/>
  <c r="B2643" i="8"/>
  <c r="G2643" i="8"/>
  <c r="A2645" i="8" l="1"/>
  <c r="C2644" i="8"/>
  <c r="G2644" i="8"/>
  <c r="B2644" i="8"/>
  <c r="E2644" i="8"/>
  <c r="D2644" i="8"/>
  <c r="E2645" i="8" l="1"/>
  <c r="D2645" i="8"/>
  <c r="A2646" i="8"/>
  <c r="C2645" i="8"/>
  <c r="G2645" i="8"/>
  <c r="B2645" i="8"/>
  <c r="A2647" i="8" l="1"/>
  <c r="C2646" i="8"/>
  <c r="G2646" i="8"/>
  <c r="B2646" i="8"/>
  <c r="E2646" i="8"/>
  <c r="D2646" i="8"/>
  <c r="E2647" i="8" l="1"/>
  <c r="D2647" i="8"/>
  <c r="A2648" i="8"/>
  <c r="C2647" i="8"/>
  <c r="G2647" i="8"/>
  <c r="B2647" i="8"/>
  <c r="A2649" i="8" l="1"/>
  <c r="C2648" i="8"/>
  <c r="G2648" i="8"/>
  <c r="B2648" i="8"/>
  <c r="E2648" i="8"/>
  <c r="D2648" i="8"/>
  <c r="E2649" i="8" l="1"/>
  <c r="D2649" i="8"/>
  <c r="A2650" i="8"/>
  <c r="C2649" i="8"/>
  <c r="G2649" i="8"/>
  <c r="B2649" i="8"/>
  <c r="A2651" i="8" l="1"/>
  <c r="C2650" i="8"/>
  <c r="G2650" i="8"/>
  <c r="B2650" i="8"/>
  <c r="E2650" i="8"/>
  <c r="D2650" i="8"/>
  <c r="E2651" i="8" l="1"/>
  <c r="D2651" i="8"/>
  <c r="A2652" i="8"/>
  <c r="C2651" i="8"/>
  <c r="B2651" i="8"/>
  <c r="G2651" i="8"/>
  <c r="A2653" i="8" l="1"/>
  <c r="C2652" i="8"/>
  <c r="G2652" i="8"/>
  <c r="B2652" i="8"/>
  <c r="E2652" i="8"/>
  <c r="D2652" i="8"/>
  <c r="E2653" i="8" l="1"/>
  <c r="D2653" i="8"/>
  <c r="A2654" i="8"/>
  <c r="C2653" i="8"/>
  <c r="G2653" i="8"/>
  <c r="B2653" i="8"/>
  <c r="A2655" i="8" l="1"/>
  <c r="C2654" i="8"/>
  <c r="G2654" i="8"/>
  <c r="B2654" i="8"/>
  <c r="E2654" i="8"/>
  <c r="D2654" i="8"/>
  <c r="E2655" i="8" l="1"/>
  <c r="D2655" i="8"/>
  <c r="A2656" i="8"/>
  <c r="C2655" i="8"/>
  <c r="G2655" i="8"/>
  <c r="B2655" i="8"/>
  <c r="A2657" i="8" l="1"/>
  <c r="C2656" i="8"/>
  <c r="G2656" i="8"/>
  <c r="B2656" i="8"/>
  <c r="E2656" i="8"/>
  <c r="D2656" i="8"/>
  <c r="E2657" i="8" l="1"/>
  <c r="D2657" i="8"/>
  <c r="A2658" i="8"/>
  <c r="C2657" i="8"/>
  <c r="G2657" i="8"/>
  <c r="B2657" i="8"/>
  <c r="A2659" i="8" l="1"/>
  <c r="C2658" i="8"/>
  <c r="G2658" i="8"/>
  <c r="B2658" i="8"/>
  <c r="E2658" i="8"/>
  <c r="D2658" i="8"/>
  <c r="E2659" i="8" l="1"/>
  <c r="D2659" i="8"/>
  <c r="A2660" i="8"/>
  <c r="C2659" i="8"/>
  <c r="B2659" i="8"/>
  <c r="G2659" i="8"/>
  <c r="A2661" i="8" l="1"/>
  <c r="C2660" i="8"/>
  <c r="G2660" i="8"/>
  <c r="B2660" i="8"/>
  <c r="E2660" i="8"/>
  <c r="D2660" i="8"/>
  <c r="E2661" i="8" l="1"/>
  <c r="D2661" i="8"/>
  <c r="A2662" i="8"/>
  <c r="C2661" i="8"/>
  <c r="G2661" i="8"/>
  <c r="B2661" i="8"/>
  <c r="A2663" i="8" l="1"/>
  <c r="C2662" i="8"/>
  <c r="G2662" i="8"/>
  <c r="B2662" i="8"/>
  <c r="E2662" i="8"/>
  <c r="D2662" i="8"/>
  <c r="E2663" i="8" l="1"/>
  <c r="D2663" i="8"/>
  <c r="A2664" i="8"/>
  <c r="C2663" i="8"/>
  <c r="G2663" i="8"/>
  <c r="B2663" i="8"/>
  <c r="A2665" i="8" l="1"/>
  <c r="C2664" i="8"/>
  <c r="G2664" i="8"/>
  <c r="B2664" i="8"/>
  <c r="E2664" i="8"/>
  <c r="D2664" i="8"/>
  <c r="E2665" i="8" l="1"/>
  <c r="D2665" i="8"/>
  <c r="A2666" i="8"/>
  <c r="C2665" i="8"/>
  <c r="G2665" i="8"/>
  <c r="B2665" i="8"/>
  <c r="A2667" i="8" l="1"/>
  <c r="C2666" i="8"/>
  <c r="G2666" i="8"/>
  <c r="B2666" i="8"/>
  <c r="E2666" i="8"/>
  <c r="D2666" i="8"/>
  <c r="E2667" i="8" l="1"/>
  <c r="D2667" i="8"/>
  <c r="A2668" i="8"/>
  <c r="C2667" i="8"/>
  <c r="B2667" i="8"/>
  <c r="G2667" i="8"/>
  <c r="A2669" i="8" l="1"/>
  <c r="C2668" i="8"/>
  <c r="G2668" i="8"/>
  <c r="B2668" i="8"/>
  <c r="E2668" i="8"/>
  <c r="D2668" i="8"/>
  <c r="E2669" i="8" l="1"/>
  <c r="D2669" i="8"/>
  <c r="A2670" i="8"/>
  <c r="C2669" i="8"/>
  <c r="G2669" i="8"/>
  <c r="B2669" i="8"/>
  <c r="A2671" i="8" l="1"/>
  <c r="C2670" i="8"/>
  <c r="G2670" i="8"/>
  <c r="B2670" i="8"/>
  <c r="E2670" i="8"/>
  <c r="D2670" i="8"/>
  <c r="E2671" i="8" l="1"/>
  <c r="D2671" i="8"/>
  <c r="A2672" i="8"/>
  <c r="C2671" i="8"/>
  <c r="G2671" i="8"/>
  <c r="B2671" i="8"/>
  <c r="A2673" i="8" l="1"/>
  <c r="C2672" i="8"/>
  <c r="G2672" i="8"/>
  <c r="B2672" i="8"/>
  <c r="E2672" i="8"/>
  <c r="D2672" i="8"/>
  <c r="E2673" i="8" l="1"/>
  <c r="D2673" i="8"/>
  <c r="A2674" i="8"/>
  <c r="C2673" i="8"/>
  <c r="G2673" i="8"/>
  <c r="B2673" i="8"/>
  <c r="A2675" i="8" l="1"/>
  <c r="C2674" i="8"/>
  <c r="G2674" i="8"/>
  <c r="B2674" i="8"/>
  <c r="E2674" i="8"/>
  <c r="D2674" i="8"/>
  <c r="E2675" i="8" l="1"/>
  <c r="D2675" i="8"/>
  <c r="A2676" i="8"/>
  <c r="C2675" i="8"/>
  <c r="B2675" i="8"/>
  <c r="G2675" i="8"/>
  <c r="A2677" i="8" l="1"/>
  <c r="C2676" i="8"/>
  <c r="G2676" i="8"/>
  <c r="B2676" i="8"/>
  <c r="E2676" i="8"/>
  <c r="D2676" i="8"/>
  <c r="E2677" i="8" l="1"/>
  <c r="D2677" i="8"/>
  <c r="A2678" i="8"/>
  <c r="C2677" i="8"/>
  <c r="G2677" i="8"/>
  <c r="B2677" i="8"/>
  <c r="A2679" i="8" l="1"/>
  <c r="C2678" i="8"/>
  <c r="G2678" i="8"/>
  <c r="B2678" i="8"/>
  <c r="E2678" i="8"/>
  <c r="D2678" i="8"/>
  <c r="E2679" i="8" l="1"/>
  <c r="D2679" i="8"/>
  <c r="A2680" i="8"/>
  <c r="C2679" i="8"/>
  <c r="G2679" i="8"/>
  <c r="B2679" i="8"/>
  <c r="A2681" i="8" l="1"/>
  <c r="C2680" i="8"/>
  <c r="G2680" i="8"/>
  <c r="B2680" i="8"/>
  <c r="E2680" i="8"/>
  <c r="D2680" i="8"/>
  <c r="E2681" i="8" l="1"/>
  <c r="D2681" i="8"/>
  <c r="A2682" i="8"/>
  <c r="C2681" i="8"/>
  <c r="G2681" i="8"/>
  <c r="B2681" i="8"/>
  <c r="A2683" i="8" l="1"/>
  <c r="C2682" i="8"/>
  <c r="G2682" i="8"/>
  <c r="B2682" i="8"/>
  <c r="E2682" i="8"/>
  <c r="D2682" i="8"/>
  <c r="E2683" i="8" l="1"/>
  <c r="D2683" i="8"/>
  <c r="A2684" i="8"/>
  <c r="C2683" i="8"/>
  <c r="B2683" i="8"/>
  <c r="G2683" i="8"/>
  <c r="A2685" i="8" l="1"/>
  <c r="C2684" i="8"/>
  <c r="G2684" i="8"/>
  <c r="B2684" i="8"/>
  <c r="E2684" i="8"/>
  <c r="D2684" i="8"/>
  <c r="E2685" i="8" l="1"/>
  <c r="D2685" i="8"/>
  <c r="A2686" i="8"/>
  <c r="C2685" i="8"/>
  <c r="G2685" i="8"/>
  <c r="B2685" i="8"/>
  <c r="A2687" i="8" l="1"/>
  <c r="C2686" i="8"/>
  <c r="G2686" i="8"/>
  <c r="B2686" i="8"/>
  <c r="E2686" i="8"/>
  <c r="D2686" i="8"/>
  <c r="E2687" i="8" l="1"/>
  <c r="D2687" i="8"/>
  <c r="A2688" i="8"/>
  <c r="C2687" i="8"/>
  <c r="G2687" i="8"/>
  <c r="B2687" i="8"/>
  <c r="A2689" i="8" l="1"/>
  <c r="C2688" i="8"/>
  <c r="G2688" i="8"/>
  <c r="B2688" i="8"/>
  <c r="E2688" i="8"/>
  <c r="D2688" i="8"/>
  <c r="E2689" i="8" l="1"/>
  <c r="D2689" i="8"/>
  <c r="A2690" i="8"/>
  <c r="C2689" i="8"/>
  <c r="G2689" i="8"/>
  <c r="B2689" i="8"/>
  <c r="A2691" i="8" l="1"/>
  <c r="C2690" i="8"/>
  <c r="G2690" i="8"/>
  <c r="B2690" i="8"/>
  <c r="E2690" i="8"/>
  <c r="D2690" i="8"/>
  <c r="E2691" i="8" l="1"/>
  <c r="D2691" i="8"/>
  <c r="A2692" i="8"/>
  <c r="C2691" i="8"/>
  <c r="B2691" i="8"/>
  <c r="G2691" i="8"/>
  <c r="A2693" i="8" l="1"/>
  <c r="C2692" i="8"/>
  <c r="G2692" i="8"/>
  <c r="B2692" i="8"/>
  <c r="E2692" i="8"/>
  <c r="D2692" i="8"/>
  <c r="E2693" i="8" l="1"/>
  <c r="D2693" i="8"/>
  <c r="A2694" i="8"/>
  <c r="C2693" i="8"/>
  <c r="G2693" i="8"/>
  <c r="B2693" i="8"/>
  <c r="A2695" i="8" l="1"/>
  <c r="C2694" i="8"/>
  <c r="G2694" i="8"/>
  <c r="B2694" i="8"/>
  <c r="E2694" i="8"/>
  <c r="D2694" i="8"/>
  <c r="E2695" i="8" l="1"/>
  <c r="D2695" i="8"/>
  <c r="A2696" i="8"/>
  <c r="C2695" i="8"/>
  <c r="G2695" i="8"/>
  <c r="B2695" i="8"/>
  <c r="A2697" i="8" l="1"/>
  <c r="C2696" i="8"/>
  <c r="G2696" i="8"/>
  <c r="B2696" i="8"/>
  <c r="E2696" i="8"/>
  <c r="D2696" i="8"/>
  <c r="E2697" i="8" l="1"/>
  <c r="D2697" i="8"/>
  <c r="A2698" i="8"/>
  <c r="C2697" i="8"/>
  <c r="G2697" i="8"/>
  <c r="B2697" i="8"/>
  <c r="A2699" i="8" l="1"/>
  <c r="C2698" i="8"/>
  <c r="G2698" i="8"/>
  <c r="B2698" i="8"/>
  <c r="E2698" i="8"/>
  <c r="D2698" i="8"/>
  <c r="E2699" i="8" l="1"/>
  <c r="D2699" i="8"/>
  <c r="A2700" i="8"/>
  <c r="C2699" i="8"/>
  <c r="B2699" i="8"/>
  <c r="G2699" i="8"/>
  <c r="A2701" i="8" l="1"/>
  <c r="C2700" i="8"/>
  <c r="G2700" i="8"/>
  <c r="B2700" i="8"/>
  <c r="E2700" i="8"/>
  <c r="D2700" i="8"/>
  <c r="E2701" i="8" l="1"/>
  <c r="D2701" i="8"/>
  <c r="A2702" i="8"/>
  <c r="C2701" i="8"/>
  <c r="G2701" i="8"/>
  <c r="B2701" i="8"/>
  <c r="A2703" i="8" l="1"/>
  <c r="C2702" i="8"/>
  <c r="G2702" i="8"/>
  <c r="B2702" i="8"/>
  <c r="E2702" i="8"/>
  <c r="D2702" i="8"/>
  <c r="E2703" i="8" l="1"/>
  <c r="D2703" i="8"/>
  <c r="A2704" i="8"/>
  <c r="C2703" i="8"/>
  <c r="G2703" i="8"/>
  <c r="B2703" i="8"/>
  <c r="A2705" i="8" l="1"/>
  <c r="C2704" i="8"/>
  <c r="G2704" i="8"/>
  <c r="B2704" i="8"/>
  <c r="E2704" i="8"/>
  <c r="D2704" i="8"/>
  <c r="E2705" i="8" l="1"/>
  <c r="D2705" i="8"/>
  <c r="A2706" i="8"/>
  <c r="C2705" i="8"/>
  <c r="G2705" i="8"/>
  <c r="B2705" i="8"/>
  <c r="A2707" i="8" l="1"/>
  <c r="C2706" i="8"/>
  <c r="G2706" i="8"/>
  <c r="B2706" i="8"/>
  <c r="E2706" i="8"/>
  <c r="D2706" i="8"/>
  <c r="E2707" i="8" l="1"/>
  <c r="D2707" i="8"/>
  <c r="A2708" i="8"/>
  <c r="C2707" i="8"/>
  <c r="B2707" i="8"/>
  <c r="G2707" i="8"/>
  <c r="A2709" i="8" l="1"/>
  <c r="C2708" i="8"/>
  <c r="G2708" i="8"/>
  <c r="B2708" i="8"/>
  <c r="E2708" i="8"/>
  <c r="D2708" i="8"/>
  <c r="E2709" i="8" l="1"/>
  <c r="D2709" i="8"/>
  <c r="A2710" i="8"/>
  <c r="C2709" i="8"/>
  <c r="G2709" i="8"/>
  <c r="B2709" i="8"/>
  <c r="A2711" i="8" l="1"/>
  <c r="C2710" i="8"/>
  <c r="G2710" i="8"/>
  <c r="B2710" i="8"/>
  <c r="E2710" i="8"/>
  <c r="D2710" i="8"/>
  <c r="E2711" i="8" l="1"/>
  <c r="D2711" i="8"/>
  <c r="A2712" i="8"/>
  <c r="C2711" i="8"/>
  <c r="G2711" i="8"/>
  <c r="B2711" i="8"/>
  <c r="A2713" i="8" l="1"/>
  <c r="C2712" i="8"/>
  <c r="G2712" i="8"/>
  <c r="B2712" i="8"/>
  <c r="E2712" i="8"/>
  <c r="D2712" i="8"/>
  <c r="E2713" i="8" l="1"/>
  <c r="D2713" i="8"/>
  <c r="A2714" i="8"/>
  <c r="C2713" i="8"/>
  <c r="G2713" i="8"/>
  <c r="B2713" i="8"/>
  <c r="A2715" i="8" l="1"/>
  <c r="C2714" i="8"/>
  <c r="G2714" i="8"/>
  <c r="B2714" i="8"/>
  <c r="E2714" i="8"/>
  <c r="D2714" i="8"/>
  <c r="E2715" i="8" l="1"/>
  <c r="D2715" i="8"/>
  <c r="A2716" i="8"/>
  <c r="C2715" i="8"/>
  <c r="B2715" i="8"/>
  <c r="G2715" i="8"/>
  <c r="A2717" i="8" l="1"/>
  <c r="C2716" i="8"/>
  <c r="G2716" i="8"/>
  <c r="B2716" i="8"/>
  <c r="E2716" i="8"/>
  <c r="D2716" i="8"/>
  <c r="E2717" i="8" l="1"/>
  <c r="D2717" i="8"/>
  <c r="A2718" i="8"/>
  <c r="C2717" i="8"/>
  <c r="G2717" i="8"/>
  <c r="B2717" i="8"/>
  <c r="A2719" i="8" l="1"/>
  <c r="C2718" i="8"/>
  <c r="G2718" i="8"/>
  <c r="B2718" i="8"/>
  <c r="E2718" i="8"/>
  <c r="D2718" i="8"/>
  <c r="E2719" i="8" l="1"/>
  <c r="D2719" i="8"/>
  <c r="A2720" i="8"/>
  <c r="C2719" i="8"/>
  <c r="G2719" i="8"/>
  <c r="B2719" i="8"/>
  <c r="A2721" i="8" l="1"/>
  <c r="C2720" i="8"/>
  <c r="G2720" i="8"/>
  <c r="B2720" i="8"/>
  <c r="E2720" i="8"/>
  <c r="D2720" i="8"/>
  <c r="E2721" i="8" l="1"/>
  <c r="D2721" i="8"/>
  <c r="A2722" i="8"/>
  <c r="C2721" i="8"/>
  <c r="G2721" i="8"/>
  <c r="B2721" i="8"/>
  <c r="A2723" i="8" l="1"/>
  <c r="C2722" i="8"/>
  <c r="G2722" i="8"/>
  <c r="B2722" i="8"/>
  <c r="E2722" i="8"/>
  <c r="D2722" i="8"/>
  <c r="E2723" i="8" l="1"/>
  <c r="D2723" i="8"/>
  <c r="A2724" i="8"/>
  <c r="C2723" i="8"/>
  <c r="B2723" i="8"/>
  <c r="G2723" i="8"/>
  <c r="A2725" i="8" l="1"/>
  <c r="C2724" i="8"/>
  <c r="G2724" i="8"/>
  <c r="B2724" i="8"/>
  <c r="E2724" i="8"/>
  <c r="D2724" i="8"/>
  <c r="E2725" i="8" l="1"/>
  <c r="D2725" i="8"/>
  <c r="A2726" i="8"/>
  <c r="C2725" i="8"/>
  <c r="G2725" i="8"/>
  <c r="B2725" i="8"/>
  <c r="A2727" i="8" l="1"/>
  <c r="C2726" i="8"/>
  <c r="G2726" i="8"/>
  <c r="B2726" i="8"/>
  <c r="E2726" i="8"/>
  <c r="D2726" i="8"/>
  <c r="E2727" i="8" l="1"/>
  <c r="D2727" i="8"/>
  <c r="A2728" i="8"/>
  <c r="C2727" i="8"/>
  <c r="G2727" i="8"/>
  <c r="B2727" i="8"/>
  <c r="A2729" i="8" l="1"/>
  <c r="C2728" i="8"/>
  <c r="G2728" i="8"/>
  <c r="B2728" i="8"/>
  <c r="E2728" i="8"/>
  <c r="D2728" i="8"/>
  <c r="E2729" i="8" l="1"/>
  <c r="D2729" i="8"/>
  <c r="A2730" i="8"/>
  <c r="C2729" i="8"/>
  <c r="G2729" i="8"/>
  <c r="B2729" i="8"/>
  <c r="A2731" i="8" l="1"/>
  <c r="C2730" i="8"/>
  <c r="G2730" i="8"/>
  <c r="B2730" i="8"/>
  <c r="E2730" i="8"/>
  <c r="D2730" i="8"/>
  <c r="E2731" i="8" l="1"/>
  <c r="D2731" i="8"/>
  <c r="A2732" i="8"/>
  <c r="C2731" i="8"/>
  <c r="B2731" i="8"/>
  <c r="G2731" i="8"/>
  <c r="A2733" i="8" l="1"/>
  <c r="C2732" i="8"/>
  <c r="G2732" i="8"/>
  <c r="B2732" i="8"/>
  <c r="E2732" i="8"/>
  <c r="D2732" i="8"/>
  <c r="E2733" i="8" l="1"/>
  <c r="D2733" i="8"/>
  <c r="A2734" i="8"/>
  <c r="C2733" i="8"/>
  <c r="G2733" i="8"/>
  <c r="B2733" i="8"/>
  <c r="A2735" i="8" l="1"/>
  <c r="C2734" i="8"/>
  <c r="G2734" i="8"/>
  <c r="B2734" i="8"/>
  <c r="E2734" i="8"/>
  <c r="D2734" i="8"/>
  <c r="E2735" i="8" l="1"/>
  <c r="D2735" i="8"/>
  <c r="A2736" i="8"/>
  <c r="C2735" i="8"/>
  <c r="G2735" i="8"/>
  <c r="B2735" i="8"/>
  <c r="A2737" i="8" l="1"/>
  <c r="C2736" i="8"/>
  <c r="G2736" i="8"/>
  <c r="B2736" i="8"/>
  <c r="E2736" i="8"/>
  <c r="D2736" i="8"/>
  <c r="E2737" i="8" l="1"/>
  <c r="D2737" i="8"/>
  <c r="A2738" i="8"/>
  <c r="C2737" i="8"/>
  <c r="G2737" i="8"/>
  <c r="B2737" i="8"/>
  <c r="A2739" i="8" l="1"/>
  <c r="C2738" i="8"/>
  <c r="G2738" i="8"/>
  <c r="B2738" i="8"/>
  <c r="E2738" i="8"/>
  <c r="D2738" i="8"/>
  <c r="E2739" i="8" l="1"/>
  <c r="D2739" i="8"/>
  <c r="A2740" i="8"/>
  <c r="C2739" i="8"/>
  <c r="B2739" i="8"/>
  <c r="G2739" i="8"/>
  <c r="A2741" i="8" l="1"/>
  <c r="C2740" i="8"/>
  <c r="G2740" i="8"/>
  <c r="B2740" i="8"/>
  <c r="E2740" i="8"/>
  <c r="D2740" i="8"/>
  <c r="E2741" i="8" l="1"/>
  <c r="D2741" i="8"/>
  <c r="A2742" i="8"/>
  <c r="C2741" i="8"/>
  <c r="G2741" i="8"/>
  <c r="B2741" i="8"/>
  <c r="A2743" i="8" l="1"/>
  <c r="C2742" i="8"/>
  <c r="G2742" i="8"/>
  <c r="B2742" i="8"/>
  <c r="E2742" i="8"/>
  <c r="D2742" i="8"/>
  <c r="E2743" i="8" l="1"/>
  <c r="D2743" i="8"/>
  <c r="A2744" i="8"/>
  <c r="C2743" i="8"/>
  <c r="G2743" i="8"/>
  <c r="B2743" i="8"/>
  <c r="A2745" i="8" l="1"/>
  <c r="C2744" i="8"/>
  <c r="G2744" i="8"/>
  <c r="B2744" i="8"/>
  <c r="E2744" i="8"/>
  <c r="D2744" i="8"/>
  <c r="E2745" i="8" l="1"/>
  <c r="D2745" i="8"/>
  <c r="A2746" i="8"/>
  <c r="C2745" i="8"/>
  <c r="G2745" i="8"/>
  <c r="B2745" i="8"/>
  <c r="A2747" i="8" l="1"/>
  <c r="C2746" i="8"/>
  <c r="G2746" i="8"/>
  <c r="B2746" i="8"/>
  <c r="E2746" i="8"/>
  <c r="D2746" i="8"/>
  <c r="E2747" i="8" l="1"/>
  <c r="D2747" i="8"/>
  <c r="A2748" i="8"/>
  <c r="C2747" i="8"/>
  <c r="B2747" i="8"/>
  <c r="G2747" i="8"/>
  <c r="A2749" i="8" l="1"/>
  <c r="C2748" i="8"/>
  <c r="G2748" i="8"/>
  <c r="B2748" i="8"/>
  <c r="E2748" i="8"/>
  <c r="D2748" i="8"/>
  <c r="E2749" i="8" l="1"/>
  <c r="D2749" i="8"/>
  <c r="A2750" i="8"/>
  <c r="C2749" i="8"/>
  <c r="G2749" i="8"/>
  <c r="B2749" i="8"/>
  <c r="A2751" i="8" l="1"/>
  <c r="C2750" i="8"/>
  <c r="G2750" i="8"/>
  <c r="B2750" i="8"/>
  <c r="E2750" i="8"/>
  <c r="D2750" i="8"/>
  <c r="E2751" i="8" l="1"/>
  <c r="D2751" i="8"/>
  <c r="A2752" i="8"/>
  <c r="C2751" i="8"/>
  <c r="G2751" i="8"/>
  <c r="B2751" i="8"/>
  <c r="A2753" i="8" l="1"/>
  <c r="C2752" i="8"/>
  <c r="G2752" i="8"/>
  <c r="B2752" i="8"/>
  <c r="E2752" i="8"/>
  <c r="D2752" i="8"/>
  <c r="E2753" i="8" l="1"/>
  <c r="D2753" i="8"/>
  <c r="A2754" i="8"/>
  <c r="C2753" i="8"/>
  <c r="G2753" i="8"/>
  <c r="B2753" i="8"/>
  <c r="A2755" i="8" l="1"/>
  <c r="C2754" i="8"/>
  <c r="G2754" i="8"/>
  <c r="B2754" i="8"/>
  <c r="E2754" i="8"/>
  <c r="D2754" i="8"/>
  <c r="E2755" i="8" l="1"/>
  <c r="D2755" i="8"/>
  <c r="A2756" i="8"/>
  <c r="C2755" i="8"/>
  <c r="B2755" i="8"/>
  <c r="G2755" i="8"/>
  <c r="A2757" i="8" l="1"/>
  <c r="C2756" i="8"/>
  <c r="G2756" i="8"/>
  <c r="B2756" i="8"/>
  <c r="E2756" i="8"/>
  <c r="D2756" i="8"/>
  <c r="E2757" i="8" l="1"/>
  <c r="D2757" i="8"/>
  <c r="A2758" i="8"/>
  <c r="C2757" i="8"/>
  <c r="G2757" i="8"/>
  <c r="B2757" i="8"/>
  <c r="A2759" i="8" l="1"/>
  <c r="C2758" i="8"/>
  <c r="G2758" i="8"/>
  <c r="B2758" i="8"/>
  <c r="E2758" i="8"/>
  <c r="D2758" i="8"/>
  <c r="E2759" i="8" l="1"/>
  <c r="D2759" i="8"/>
  <c r="A2760" i="8"/>
  <c r="C2759" i="8"/>
  <c r="G2759" i="8"/>
  <c r="B2759" i="8"/>
  <c r="A2761" i="8" l="1"/>
  <c r="C2760" i="8"/>
  <c r="G2760" i="8"/>
  <c r="B2760" i="8"/>
  <c r="E2760" i="8"/>
  <c r="D2760" i="8"/>
  <c r="E2761" i="8" l="1"/>
  <c r="D2761" i="8"/>
  <c r="A2762" i="8"/>
  <c r="C2761" i="8"/>
  <c r="G2761" i="8"/>
  <c r="B2761" i="8"/>
  <c r="A2763" i="8" l="1"/>
  <c r="C2762" i="8"/>
  <c r="G2762" i="8"/>
  <c r="B2762" i="8"/>
  <c r="E2762" i="8"/>
  <c r="D2762" i="8"/>
  <c r="E2763" i="8" l="1"/>
  <c r="D2763" i="8"/>
  <c r="A2764" i="8"/>
  <c r="C2763" i="8"/>
  <c r="B2763" i="8"/>
  <c r="G2763" i="8"/>
  <c r="A2765" i="8" l="1"/>
  <c r="C2764" i="8"/>
  <c r="G2764" i="8"/>
  <c r="B2764" i="8"/>
  <c r="E2764" i="8"/>
  <c r="D2764" i="8"/>
  <c r="E2765" i="8" l="1"/>
  <c r="D2765" i="8"/>
  <c r="A2766" i="8"/>
  <c r="C2765" i="8"/>
  <c r="G2765" i="8"/>
  <c r="B2765" i="8"/>
  <c r="A2767" i="8" l="1"/>
  <c r="C2766" i="8"/>
  <c r="G2766" i="8"/>
  <c r="B2766" i="8"/>
  <c r="E2766" i="8"/>
  <c r="D2766" i="8"/>
  <c r="E2767" i="8" l="1"/>
  <c r="D2767" i="8"/>
  <c r="A2768" i="8"/>
  <c r="C2767" i="8"/>
  <c r="G2767" i="8"/>
  <c r="B2767" i="8"/>
  <c r="A2769" i="8" l="1"/>
  <c r="C2768" i="8"/>
  <c r="G2768" i="8"/>
  <c r="B2768" i="8"/>
  <c r="E2768" i="8"/>
  <c r="D2768" i="8"/>
  <c r="E2769" i="8" l="1"/>
  <c r="D2769" i="8"/>
  <c r="A2770" i="8"/>
  <c r="C2769" i="8"/>
  <c r="G2769" i="8"/>
  <c r="B2769" i="8"/>
  <c r="A2771" i="8" l="1"/>
  <c r="C2770" i="8"/>
  <c r="G2770" i="8"/>
  <c r="B2770" i="8"/>
  <c r="E2770" i="8"/>
  <c r="D2770" i="8"/>
  <c r="E2771" i="8" l="1"/>
  <c r="D2771" i="8"/>
  <c r="A2772" i="8"/>
  <c r="C2771" i="8"/>
  <c r="B2771" i="8"/>
  <c r="G2771" i="8"/>
  <c r="A2773" i="8" l="1"/>
  <c r="C2772" i="8"/>
  <c r="G2772" i="8"/>
  <c r="B2772" i="8"/>
  <c r="E2772" i="8"/>
  <c r="D2772" i="8"/>
  <c r="E2773" i="8" l="1"/>
  <c r="D2773" i="8"/>
  <c r="A2774" i="8"/>
  <c r="C2773" i="8"/>
  <c r="G2773" i="8"/>
  <c r="B2773" i="8"/>
  <c r="A2775" i="8" l="1"/>
  <c r="C2774" i="8"/>
  <c r="G2774" i="8"/>
  <c r="B2774" i="8"/>
  <c r="E2774" i="8"/>
  <c r="D2774" i="8"/>
  <c r="E2775" i="8" l="1"/>
  <c r="D2775" i="8"/>
  <c r="A2776" i="8"/>
  <c r="C2775" i="8"/>
  <c r="G2775" i="8"/>
  <c r="B2775" i="8"/>
  <c r="A2777" i="8" l="1"/>
  <c r="C2776" i="8"/>
  <c r="G2776" i="8"/>
  <c r="B2776" i="8"/>
  <c r="E2776" i="8"/>
  <c r="D2776" i="8"/>
  <c r="E2777" i="8" l="1"/>
  <c r="D2777" i="8"/>
  <c r="A2778" i="8"/>
  <c r="C2777" i="8"/>
  <c r="G2777" i="8"/>
  <c r="B2777" i="8"/>
  <c r="A2779" i="8" l="1"/>
  <c r="C2778" i="8"/>
  <c r="G2778" i="8"/>
  <c r="B2778" i="8"/>
  <c r="E2778" i="8"/>
  <c r="D2778" i="8"/>
  <c r="E2779" i="8" l="1"/>
  <c r="D2779" i="8"/>
  <c r="A2780" i="8"/>
  <c r="C2779" i="8"/>
  <c r="B2779" i="8"/>
  <c r="G2779" i="8"/>
  <c r="A2781" i="8" l="1"/>
  <c r="C2780" i="8"/>
  <c r="G2780" i="8"/>
  <c r="B2780" i="8"/>
  <c r="E2780" i="8"/>
  <c r="D2780" i="8"/>
  <c r="E2781" i="8" l="1"/>
  <c r="D2781" i="8"/>
  <c r="A2782" i="8"/>
  <c r="C2781" i="8"/>
  <c r="G2781" i="8"/>
  <c r="B2781" i="8"/>
  <c r="A2783" i="8" l="1"/>
  <c r="C2782" i="8"/>
  <c r="G2782" i="8"/>
  <c r="B2782" i="8"/>
  <c r="E2782" i="8"/>
  <c r="D2782" i="8"/>
  <c r="E2783" i="8" l="1"/>
  <c r="D2783" i="8"/>
  <c r="A2784" i="8"/>
  <c r="C2783" i="8"/>
  <c r="G2783" i="8"/>
  <c r="B2783" i="8"/>
  <c r="A2785" i="8" l="1"/>
  <c r="C2784" i="8"/>
  <c r="G2784" i="8"/>
  <c r="B2784" i="8"/>
  <c r="E2784" i="8"/>
  <c r="D2784" i="8"/>
  <c r="E2785" i="8" l="1"/>
  <c r="D2785" i="8"/>
  <c r="A2786" i="8"/>
  <c r="C2785" i="8"/>
  <c r="G2785" i="8"/>
  <c r="B2785" i="8"/>
  <c r="A2787" i="8" l="1"/>
  <c r="C2786" i="8"/>
  <c r="G2786" i="8"/>
  <c r="B2786" i="8"/>
  <c r="E2786" i="8"/>
  <c r="D2786" i="8"/>
  <c r="E2787" i="8" l="1"/>
  <c r="D2787" i="8"/>
  <c r="A2788" i="8"/>
  <c r="C2787" i="8"/>
  <c r="B2787" i="8"/>
  <c r="G2787" i="8"/>
  <c r="A2789" i="8" l="1"/>
  <c r="C2788" i="8"/>
  <c r="G2788" i="8"/>
  <c r="B2788" i="8"/>
  <c r="E2788" i="8"/>
  <c r="D2788" i="8"/>
  <c r="E2789" i="8" l="1"/>
  <c r="D2789" i="8"/>
  <c r="A2790" i="8"/>
  <c r="C2789" i="8"/>
  <c r="G2789" i="8"/>
  <c r="B2789" i="8"/>
  <c r="A2791" i="8" l="1"/>
  <c r="C2790" i="8"/>
  <c r="G2790" i="8"/>
  <c r="B2790" i="8"/>
  <c r="E2790" i="8"/>
  <c r="D2790" i="8"/>
  <c r="E2791" i="8" l="1"/>
  <c r="D2791" i="8"/>
  <c r="A2792" i="8"/>
  <c r="C2791" i="8"/>
  <c r="G2791" i="8"/>
  <c r="B2791" i="8"/>
  <c r="A2793" i="8" l="1"/>
  <c r="C2792" i="8"/>
  <c r="G2792" i="8"/>
  <c r="B2792" i="8"/>
  <c r="E2792" i="8"/>
  <c r="D2792" i="8"/>
  <c r="E2793" i="8" l="1"/>
  <c r="D2793" i="8"/>
  <c r="A2794" i="8"/>
  <c r="C2793" i="8"/>
  <c r="G2793" i="8"/>
  <c r="B2793" i="8"/>
  <c r="A2795" i="8" l="1"/>
  <c r="C2794" i="8"/>
  <c r="G2794" i="8"/>
  <c r="B2794" i="8"/>
  <c r="E2794" i="8"/>
  <c r="D2794" i="8"/>
  <c r="E2795" i="8" l="1"/>
  <c r="D2795" i="8"/>
  <c r="A2796" i="8"/>
  <c r="C2795" i="8"/>
  <c r="B2795" i="8"/>
  <c r="G2795" i="8"/>
  <c r="A2797" i="8" l="1"/>
  <c r="C2796" i="8"/>
  <c r="G2796" i="8"/>
  <c r="B2796" i="8"/>
  <c r="E2796" i="8"/>
  <c r="D2796" i="8"/>
  <c r="E2797" i="8" l="1"/>
  <c r="D2797" i="8"/>
  <c r="A2798" i="8"/>
  <c r="C2797" i="8"/>
  <c r="G2797" i="8"/>
  <c r="B2797" i="8"/>
  <c r="A2799" i="8" l="1"/>
  <c r="C2798" i="8"/>
  <c r="G2798" i="8"/>
  <c r="B2798" i="8"/>
  <c r="E2798" i="8"/>
  <c r="D2798" i="8"/>
  <c r="E2799" i="8" l="1"/>
  <c r="D2799" i="8"/>
  <c r="A2800" i="8"/>
  <c r="C2799" i="8"/>
  <c r="G2799" i="8"/>
  <c r="B2799" i="8"/>
  <c r="A2801" i="8" l="1"/>
  <c r="C2800" i="8"/>
  <c r="G2800" i="8"/>
  <c r="B2800" i="8"/>
  <c r="E2800" i="8"/>
  <c r="D2800" i="8"/>
  <c r="E2801" i="8" l="1"/>
  <c r="D2801" i="8"/>
  <c r="A2802" i="8"/>
  <c r="C2801" i="8"/>
  <c r="G2801" i="8"/>
  <c r="B2801" i="8"/>
  <c r="A2803" i="8" l="1"/>
  <c r="C2802" i="8"/>
  <c r="G2802" i="8"/>
  <c r="B2802" i="8"/>
  <c r="E2802" i="8"/>
  <c r="D2802" i="8"/>
  <c r="E2803" i="8" l="1"/>
  <c r="D2803" i="8"/>
  <c r="A2804" i="8"/>
  <c r="C2803" i="8"/>
  <c r="B2803" i="8"/>
  <c r="G2803" i="8"/>
  <c r="A2805" i="8" l="1"/>
  <c r="C2804" i="8"/>
  <c r="G2804" i="8"/>
  <c r="B2804" i="8"/>
  <c r="E2804" i="8"/>
  <c r="D2804" i="8"/>
  <c r="E2805" i="8" l="1"/>
  <c r="D2805" i="8"/>
  <c r="A2806" i="8"/>
  <c r="C2805" i="8"/>
  <c r="G2805" i="8"/>
  <c r="B2805" i="8"/>
  <c r="A2807" i="8" l="1"/>
  <c r="C2806" i="8"/>
  <c r="G2806" i="8"/>
  <c r="B2806" i="8"/>
  <c r="E2806" i="8"/>
  <c r="D2806" i="8"/>
  <c r="E2807" i="8" l="1"/>
  <c r="D2807" i="8"/>
  <c r="A2808" i="8"/>
  <c r="C2807" i="8"/>
  <c r="G2807" i="8"/>
  <c r="B2807" i="8"/>
  <c r="A2809" i="8" l="1"/>
  <c r="C2808" i="8"/>
  <c r="G2808" i="8"/>
  <c r="B2808" i="8"/>
  <c r="E2808" i="8"/>
  <c r="D2808" i="8"/>
  <c r="E2809" i="8" l="1"/>
  <c r="D2809" i="8"/>
  <c r="A2810" i="8"/>
  <c r="C2809" i="8"/>
  <c r="G2809" i="8"/>
  <c r="B2809" i="8"/>
  <c r="A2811" i="8" l="1"/>
  <c r="C2810" i="8"/>
  <c r="G2810" i="8"/>
  <c r="B2810" i="8"/>
  <c r="E2810" i="8"/>
  <c r="D2810" i="8"/>
  <c r="E2811" i="8" l="1"/>
  <c r="D2811" i="8"/>
  <c r="A2812" i="8"/>
  <c r="C2811" i="8"/>
  <c r="B2811" i="8"/>
  <c r="G2811" i="8"/>
  <c r="A2813" i="8" l="1"/>
  <c r="C2812" i="8"/>
  <c r="G2812" i="8"/>
  <c r="B2812" i="8"/>
  <c r="E2812" i="8"/>
  <c r="D2812" i="8"/>
  <c r="E2813" i="8" l="1"/>
  <c r="D2813" i="8"/>
  <c r="A2814" i="8"/>
  <c r="C2813" i="8"/>
  <c r="G2813" i="8"/>
  <c r="B2813" i="8"/>
  <c r="A2815" i="8" l="1"/>
  <c r="C2814" i="8"/>
  <c r="G2814" i="8"/>
  <c r="B2814" i="8"/>
  <c r="E2814" i="8"/>
  <c r="D2814" i="8"/>
  <c r="E2815" i="8" l="1"/>
  <c r="D2815" i="8"/>
  <c r="A2816" i="8"/>
  <c r="C2815" i="8"/>
  <c r="G2815" i="8"/>
  <c r="B2815" i="8"/>
  <c r="A2817" i="8" l="1"/>
  <c r="C2816" i="8"/>
  <c r="G2816" i="8"/>
  <c r="B2816" i="8"/>
  <c r="E2816" i="8"/>
  <c r="D2816" i="8"/>
  <c r="E2817" i="8" l="1"/>
  <c r="D2817" i="8"/>
  <c r="A2818" i="8"/>
  <c r="C2817" i="8"/>
  <c r="G2817" i="8"/>
  <c r="B2817" i="8"/>
  <c r="A2819" i="8" l="1"/>
  <c r="C2818" i="8"/>
  <c r="G2818" i="8"/>
  <c r="B2818" i="8"/>
  <c r="E2818" i="8"/>
  <c r="D2818" i="8"/>
  <c r="E2819" i="8" l="1"/>
  <c r="D2819" i="8"/>
  <c r="A2820" i="8"/>
  <c r="C2819" i="8"/>
  <c r="B2819" i="8"/>
  <c r="G2819" i="8"/>
  <c r="A2821" i="8" l="1"/>
  <c r="C2820" i="8"/>
  <c r="G2820" i="8"/>
  <c r="B2820" i="8"/>
  <c r="E2820" i="8"/>
  <c r="D2820" i="8"/>
  <c r="E2821" i="8" l="1"/>
  <c r="D2821" i="8"/>
  <c r="A2822" i="8"/>
  <c r="C2821" i="8"/>
  <c r="G2821" i="8"/>
  <c r="B2821" i="8"/>
  <c r="A2823" i="8" l="1"/>
  <c r="C2822" i="8"/>
  <c r="G2822" i="8"/>
  <c r="B2822" i="8"/>
  <c r="E2822" i="8"/>
  <c r="D2822" i="8"/>
  <c r="E2823" i="8" l="1"/>
  <c r="D2823" i="8"/>
  <c r="A2824" i="8"/>
  <c r="C2823" i="8"/>
  <c r="G2823" i="8"/>
  <c r="B2823" i="8"/>
  <c r="A2825" i="8" l="1"/>
  <c r="C2824" i="8"/>
  <c r="G2824" i="8"/>
  <c r="B2824" i="8"/>
  <c r="E2824" i="8"/>
  <c r="D2824" i="8"/>
  <c r="E2825" i="8" l="1"/>
  <c r="D2825" i="8"/>
  <c r="A2826" i="8"/>
  <c r="C2825" i="8"/>
  <c r="G2825" i="8"/>
  <c r="B2825" i="8"/>
  <c r="A2827" i="8" l="1"/>
  <c r="C2826" i="8"/>
  <c r="G2826" i="8"/>
  <c r="B2826" i="8"/>
  <c r="E2826" i="8"/>
  <c r="D2826" i="8"/>
  <c r="E2827" i="8" l="1"/>
  <c r="D2827" i="8"/>
  <c r="A2828" i="8"/>
  <c r="C2827" i="8"/>
  <c r="B2827" i="8"/>
  <c r="G2827" i="8"/>
  <c r="A2829" i="8" l="1"/>
  <c r="C2828" i="8"/>
  <c r="G2828" i="8"/>
  <c r="B2828" i="8"/>
  <c r="E2828" i="8"/>
  <c r="D2828" i="8"/>
  <c r="E2829" i="8" l="1"/>
  <c r="D2829" i="8"/>
  <c r="A2830" i="8"/>
  <c r="C2829" i="8"/>
  <c r="G2829" i="8"/>
  <c r="B2829" i="8"/>
  <c r="A2831" i="8" l="1"/>
  <c r="C2830" i="8"/>
  <c r="G2830" i="8"/>
  <c r="B2830" i="8"/>
  <c r="E2830" i="8"/>
  <c r="D2830" i="8"/>
  <c r="E2831" i="8" l="1"/>
  <c r="D2831" i="8"/>
  <c r="A2832" i="8"/>
  <c r="C2831" i="8"/>
  <c r="G2831" i="8"/>
  <c r="B2831" i="8"/>
  <c r="A2833" i="8" l="1"/>
  <c r="C2832" i="8"/>
  <c r="G2832" i="8"/>
  <c r="B2832" i="8"/>
  <c r="E2832" i="8"/>
  <c r="D2832" i="8"/>
  <c r="E2833" i="8" l="1"/>
  <c r="D2833" i="8"/>
  <c r="A2834" i="8"/>
  <c r="C2833" i="8"/>
  <c r="G2833" i="8"/>
  <c r="B2833" i="8"/>
  <c r="A2835" i="8" l="1"/>
  <c r="C2834" i="8"/>
  <c r="G2834" i="8"/>
  <c r="B2834" i="8"/>
  <c r="E2834" i="8"/>
  <c r="D2834" i="8"/>
  <c r="E2835" i="8" l="1"/>
  <c r="D2835" i="8"/>
  <c r="A2836" i="8"/>
  <c r="C2835" i="8"/>
  <c r="B2835" i="8"/>
  <c r="G2835" i="8"/>
  <c r="A2837" i="8" l="1"/>
  <c r="C2836" i="8"/>
  <c r="G2836" i="8"/>
  <c r="B2836" i="8"/>
  <c r="E2836" i="8"/>
  <c r="D2836" i="8"/>
  <c r="E2837" i="8" l="1"/>
  <c r="D2837" i="8"/>
  <c r="A2838" i="8"/>
  <c r="C2837" i="8"/>
  <c r="G2837" i="8"/>
  <c r="B2837" i="8"/>
  <c r="A2839" i="8" l="1"/>
  <c r="C2838" i="8"/>
  <c r="G2838" i="8"/>
  <c r="B2838" i="8"/>
  <c r="E2838" i="8"/>
  <c r="D2838" i="8"/>
  <c r="E2839" i="8" l="1"/>
  <c r="D2839" i="8"/>
  <c r="A2840" i="8"/>
  <c r="C2839" i="8"/>
  <c r="G2839" i="8"/>
  <c r="B2839" i="8"/>
  <c r="A2841" i="8" l="1"/>
  <c r="C2840" i="8"/>
  <c r="G2840" i="8"/>
  <c r="B2840" i="8"/>
  <c r="E2840" i="8"/>
  <c r="D2840" i="8"/>
  <c r="E2841" i="8" l="1"/>
  <c r="D2841" i="8"/>
  <c r="A2842" i="8"/>
  <c r="C2841" i="8"/>
  <c r="G2841" i="8"/>
  <c r="B2841" i="8"/>
  <c r="A2843" i="8" l="1"/>
  <c r="C2842" i="8"/>
  <c r="G2842" i="8"/>
  <c r="B2842" i="8"/>
  <c r="E2842" i="8"/>
  <c r="D2842" i="8"/>
  <c r="E2843" i="8" l="1"/>
  <c r="D2843" i="8"/>
  <c r="A2844" i="8"/>
  <c r="C2843" i="8"/>
  <c r="B2843" i="8"/>
  <c r="G2843" i="8"/>
  <c r="A2845" i="8" l="1"/>
  <c r="C2844" i="8"/>
  <c r="G2844" i="8"/>
  <c r="B2844" i="8"/>
  <c r="E2844" i="8"/>
  <c r="D2844" i="8"/>
  <c r="E2845" i="8" l="1"/>
  <c r="D2845" i="8"/>
  <c r="A2846" i="8"/>
  <c r="C2845" i="8"/>
  <c r="G2845" i="8"/>
  <c r="B2845" i="8"/>
  <c r="A2847" i="8" l="1"/>
  <c r="C2846" i="8"/>
  <c r="G2846" i="8"/>
  <c r="B2846" i="8"/>
  <c r="E2846" i="8"/>
  <c r="D2846" i="8"/>
  <c r="E2847" i="8" l="1"/>
  <c r="D2847" i="8"/>
  <c r="A2848" i="8"/>
  <c r="C2847" i="8"/>
  <c r="G2847" i="8"/>
  <c r="B2847" i="8"/>
  <c r="A2849" i="8" l="1"/>
  <c r="C2848" i="8"/>
  <c r="G2848" i="8"/>
  <c r="B2848" i="8"/>
  <c r="E2848" i="8"/>
  <c r="D2848" i="8"/>
  <c r="E2849" i="8" l="1"/>
  <c r="D2849" i="8"/>
  <c r="A2850" i="8"/>
  <c r="C2849" i="8"/>
  <c r="G2849" i="8"/>
  <c r="B2849" i="8"/>
  <c r="A2851" i="8" l="1"/>
  <c r="C2850" i="8"/>
  <c r="G2850" i="8"/>
  <c r="B2850" i="8"/>
  <c r="E2850" i="8"/>
  <c r="D2850" i="8"/>
  <c r="E2851" i="8" l="1"/>
  <c r="D2851" i="8"/>
  <c r="A2852" i="8"/>
  <c r="C2851" i="8"/>
  <c r="B2851" i="8"/>
  <c r="G2851" i="8"/>
  <c r="A2853" i="8" l="1"/>
  <c r="C2852" i="8"/>
  <c r="G2852" i="8"/>
  <c r="B2852" i="8"/>
  <c r="E2852" i="8"/>
  <c r="D2852" i="8"/>
  <c r="E2853" i="8" l="1"/>
  <c r="D2853" i="8"/>
  <c r="A2854" i="8"/>
  <c r="C2853" i="8"/>
  <c r="G2853" i="8"/>
  <c r="B2853" i="8"/>
  <c r="A2855" i="8" l="1"/>
  <c r="C2854" i="8"/>
  <c r="G2854" i="8"/>
  <c r="B2854" i="8"/>
  <c r="E2854" i="8"/>
  <c r="D2854" i="8"/>
  <c r="E2855" i="8" l="1"/>
  <c r="D2855" i="8"/>
  <c r="A2856" i="8"/>
  <c r="C2855" i="8"/>
  <c r="G2855" i="8"/>
  <c r="B2855" i="8"/>
  <c r="A2857" i="8" l="1"/>
  <c r="C2856" i="8"/>
  <c r="G2856" i="8"/>
  <c r="B2856" i="8"/>
  <c r="E2856" i="8"/>
  <c r="D2856" i="8"/>
  <c r="E2857" i="8" l="1"/>
  <c r="D2857" i="8"/>
  <c r="A2858" i="8"/>
  <c r="C2857" i="8"/>
  <c r="G2857" i="8"/>
  <c r="B2857" i="8"/>
  <c r="A2859" i="8" l="1"/>
  <c r="C2858" i="8"/>
  <c r="G2858" i="8"/>
  <c r="B2858" i="8"/>
  <c r="E2858" i="8"/>
  <c r="D2858" i="8"/>
  <c r="E2859" i="8" l="1"/>
  <c r="D2859" i="8"/>
  <c r="A2860" i="8"/>
  <c r="C2859" i="8"/>
  <c r="B2859" i="8"/>
  <c r="G2859" i="8"/>
  <c r="A2861" i="8" l="1"/>
  <c r="C2860" i="8"/>
  <c r="G2860" i="8"/>
  <c r="B2860" i="8"/>
  <c r="E2860" i="8"/>
  <c r="D2860" i="8"/>
  <c r="E2861" i="8" l="1"/>
  <c r="D2861" i="8"/>
  <c r="A2862" i="8"/>
  <c r="C2861" i="8"/>
  <c r="G2861" i="8"/>
  <c r="B2861" i="8"/>
  <c r="A2863" i="8" l="1"/>
  <c r="C2862" i="8"/>
  <c r="G2862" i="8"/>
  <c r="B2862" i="8"/>
  <c r="E2862" i="8"/>
  <c r="D2862" i="8"/>
  <c r="E2863" i="8" l="1"/>
  <c r="D2863" i="8"/>
  <c r="A2864" i="8"/>
  <c r="C2863" i="8"/>
  <c r="G2863" i="8"/>
  <c r="B2863" i="8"/>
  <c r="A2865" i="8" l="1"/>
  <c r="C2864" i="8"/>
  <c r="G2864" i="8"/>
  <c r="B2864" i="8"/>
  <c r="E2864" i="8"/>
  <c r="D2864" i="8"/>
  <c r="E2865" i="8" l="1"/>
  <c r="D2865" i="8"/>
  <c r="A2866" i="8"/>
  <c r="C2865" i="8"/>
  <c r="G2865" i="8"/>
  <c r="B2865" i="8"/>
  <c r="A2867" i="8" l="1"/>
  <c r="C2866" i="8"/>
  <c r="G2866" i="8"/>
  <c r="B2866" i="8"/>
  <c r="E2866" i="8"/>
  <c r="D2866" i="8"/>
  <c r="E2867" i="8" l="1"/>
  <c r="D2867" i="8"/>
  <c r="A2868" i="8"/>
  <c r="C2867" i="8"/>
  <c r="B2867" i="8"/>
  <c r="G2867" i="8"/>
  <c r="A2869" i="8" l="1"/>
  <c r="C2868" i="8"/>
  <c r="G2868" i="8"/>
  <c r="B2868" i="8"/>
  <c r="E2868" i="8"/>
  <c r="D2868" i="8"/>
  <c r="E2869" i="8" l="1"/>
  <c r="D2869" i="8"/>
  <c r="A2870" i="8"/>
  <c r="C2869" i="8"/>
  <c r="G2869" i="8"/>
  <c r="B2869" i="8"/>
  <c r="A2871" i="8" l="1"/>
  <c r="C2870" i="8"/>
  <c r="G2870" i="8"/>
  <c r="B2870" i="8"/>
  <c r="E2870" i="8"/>
  <c r="D2870" i="8"/>
  <c r="E2871" i="8" l="1"/>
  <c r="D2871" i="8"/>
  <c r="A2872" i="8"/>
  <c r="C2871" i="8"/>
  <c r="G2871" i="8"/>
  <c r="B2871" i="8"/>
  <c r="A2873" i="8" l="1"/>
  <c r="C2872" i="8"/>
  <c r="G2872" i="8"/>
  <c r="B2872" i="8"/>
  <c r="E2872" i="8"/>
  <c r="D2872" i="8"/>
  <c r="E2873" i="8" l="1"/>
  <c r="D2873" i="8"/>
  <c r="A2874" i="8"/>
  <c r="C2873" i="8"/>
  <c r="G2873" i="8"/>
  <c r="B2873" i="8"/>
  <c r="A2875" i="8" l="1"/>
  <c r="C2874" i="8"/>
  <c r="G2874" i="8"/>
  <c r="B2874" i="8"/>
  <c r="E2874" i="8"/>
  <c r="D2874" i="8"/>
  <c r="E2875" i="8" l="1"/>
  <c r="D2875" i="8"/>
  <c r="A2876" i="8"/>
  <c r="C2875" i="8"/>
  <c r="B2875" i="8"/>
  <c r="G2875" i="8"/>
  <c r="A2877" i="8" l="1"/>
  <c r="C2876" i="8"/>
  <c r="G2876" i="8"/>
  <c r="B2876" i="8"/>
  <c r="E2876" i="8"/>
  <c r="D2876" i="8"/>
  <c r="E2877" i="8" l="1"/>
  <c r="D2877" i="8"/>
  <c r="A2878" i="8"/>
  <c r="C2877" i="8"/>
  <c r="G2877" i="8"/>
  <c r="B2877" i="8"/>
  <c r="A2879" i="8" l="1"/>
  <c r="C2878" i="8"/>
  <c r="G2878" i="8"/>
  <c r="B2878" i="8"/>
  <c r="E2878" i="8"/>
  <c r="D2878" i="8"/>
  <c r="E2879" i="8" l="1"/>
  <c r="D2879" i="8"/>
  <c r="A2880" i="8"/>
  <c r="C2879" i="8"/>
  <c r="G2879" i="8"/>
  <c r="B2879" i="8"/>
  <c r="A2881" i="8" l="1"/>
  <c r="C2880" i="8"/>
  <c r="G2880" i="8"/>
  <c r="B2880" i="8"/>
  <c r="E2880" i="8"/>
  <c r="D2880" i="8"/>
  <c r="E2881" i="8" l="1"/>
  <c r="D2881" i="8"/>
  <c r="A2882" i="8"/>
  <c r="C2881" i="8"/>
  <c r="G2881" i="8"/>
  <c r="B2881" i="8"/>
  <c r="A2883" i="8" l="1"/>
  <c r="C2882" i="8"/>
  <c r="G2882" i="8"/>
  <c r="B2882" i="8"/>
  <c r="E2882" i="8"/>
  <c r="D2882" i="8"/>
  <c r="E2883" i="8" l="1"/>
  <c r="D2883" i="8"/>
  <c r="A2884" i="8"/>
  <c r="C2883" i="8"/>
  <c r="B2883" i="8"/>
  <c r="G2883" i="8"/>
  <c r="A2885" i="8" l="1"/>
  <c r="C2884" i="8"/>
  <c r="G2884" i="8"/>
  <c r="B2884" i="8"/>
  <c r="E2884" i="8"/>
  <c r="D2884" i="8"/>
  <c r="E2885" i="8" l="1"/>
  <c r="D2885" i="8"/>
  <c r="A2886" i="8"/>
  <c r="C2885" i="8"/>
  <c r="G2885" i="8"/>
  <c r="B2885" i="8"/>
  <c r="A2887" i="8" l="1"/>
  <c r="C2886" i="8"/>
  <c r="G2886" i="8"/>
  <c r="B2886" i="8"/>
  <c r="E2886" i="8"/>
  <c r="D2886" i="8"/>
  <c r="E2887" i="8" l="1"/>
  <c r="D2887" i="8"/>
  <c r="A2888" i="8"/>
  <c r="C2887" i="8"/>
  <c r="G2887" i="8"/>
  <c r="B2887" i="8"/>
  <c r="A2889" i="8" l="1"/>
  <c r="C2888" i="8"/>
  <c r="G2888" i="8"/>
  <c r="B2888" i="8"/>
  <c r="E2888" i="8"/>
  <c r="D2888" i="8"/>
  <c r="E2889" i="8" l="1"/>
  <c r="D2889" i="8"/>
  <c r="A2890" i="8"/>
  <c r="C2889" i="8"/>
  <c r="G2889" i="8"/>
  <c r="B2889" i="8"/>
  <c r="A2891" i="8" l="1"/>
  <c r="C2890" i="8"/>
  <c r="G2890" i="8"/>
  <c r="B2890" i="8"/>
  <c r="E2890" i="8"/>
  <c r="D2890" i="8"/>
  <c r="E2891" i="8" l="1"/>
  <c r="D2891" i="8"/>
  <c r="A2892" i="8"/>
  <c r="C2891" i="8"/>
  <c r="B2891" i="8"/>
  <c r="G2891" i="8"/>
  <c r="A2893" i="8" l="1"/>
  <c r="C2892" i="8"/>
  <c r="G2892" i="8"/>
  <c r="B2892" i="8"/>
  <c r="E2892" i="8"/>
  <c r="D2892" i="8"/>
  <c r="E2893" i="8" l="1"/>
  <c r="D2893" i="8"/>
  <c r="A2894" i="8"/>
  <c r="C2893" i="8"/>
  <c r="G2893" i="8"/>
  <c r="B2893" i="8"/>
  <c r="A2895" i="8" l="1"/>
  <c r="C2894" i="8"/>
  <c r="G2894" i="8"/>
  <c r="B2894" i="8"/>
  <c r="E2894" i="8"/>
  <c r="D2894" i="8"/>
  <c r="E2895" i="8" l="1"/>
  <c r="D2895" i="8"/>
  <c r="A2896" i="8"/>
  <c r="C2895" i="8"/>
  <c r="G2895" i="8"/>
  <c r="B2895" i="8"/>
  <c r="A2897" i="8" l="1"/>
  <c r="C2896" i="8"/>
  <c r="G2896" i="8"/>
  <c r="B2896" i="8"/>
  <c r="E2896" i="8"/>
  <c r="D2896" i="8"/>
  <c r="E2897" i="8" l="1"/>
  <c r="D2897" i="8"/>
  <c r="A2898" i="8"/>
  <c r="C2897" i="8"/>
  <c r="G2897" i="8"/>
  <c r="B2897" i="8"/>
  <c r="A2899" i="8" l="1"/>
  <c r="C2898" i="8"/>
  <c r="G2898" i="8"/>
  <c r="B2898" i="8"/>
  <c r="E2898" i="8"/>
  <c r="D2898" i="8"/>
  <c r="E2899" i="8" l="1"/>
  <c r="D2899" i="8"/>
  <c r="A2900" i="8"/>
  <c r="C2899" i="8"/>
  <c r="B2899" i="8"/>
  <c r="G2899" i="8"/>
  <c r="A2901" i="8" l="1"/>
  <c r="C2900" i="8"/>
  <c r="G2900" i="8"/>
  <c r="B2900" i="8"/>
  <c r="E2900" i="8"/>
  <c r="D2900" i="8"/>
  <c r="E2901" i="8" l="1"/>
  <c r="D2901" i="8"/>
  <c r="A2902" i="8"/>
  <c r="C2901" i="8"/>
  <c r="G2901" i="8"/>
  <c r="B2901" i="8"/>
  <c r="A2903" i="8" l="1"/>
  <c r="C2902" i="8"/>
  <c r="G2902" i="8"/>
  <c r="B2902" i="8"/>
  <c r="E2902" i="8"/>
  <c r="D2902" i="8"/>
  <c r="E2903" i="8" l="1"/>
  <c r="D2903" i="8"/>
  <c r="A2904" i="8"/>
  <c r="C2903" i="8"/>
  <c r="G2903" i="8"/>
  <c r="B2903" i="8"/>
  <c r="A2905" i="8" l="1"/>
  <c r="C2904" i="8"/>
  <c r="G2904" i="8"/>
  <c r="B2904" i="8"/>
  <c r="E2904" i="8"/>
  <c r="D2904" i="8"/>
  <c r="E2905" i="8" l="1"/>
  <c r="D2905" i="8"/>
  <c r="A2906" i="8"/>
  <c r="C2905" i="8"/>
  <c r="G2905" i="8"/>
  <c r="B2905" i="8"/>
  <c r="A2907" i="8" l="1"/>
  <c r="C2906" i="8"/>
  <c r="G2906" i="8"/>
  <c r="B2906" i="8"/>
  <c r="E2906" i="8"/>
  <c r="D2906" i="8"/>
  <c r="E2907" i="8" l="1"/>
  <c r="D2907" i="8"/>
  <c r="A2908" i="8"/>
  <c r="C2907" i="8"/>
  <c r="B2907" i="8"/>
  <c r="G2907" i="8"/>
  <c r="A2909" i="8" l="1"/>
  <c r="C2908" i="8"/>
  <c r="G2908" i="8"/>
  <c r="B2908" i="8"/>
  <c r="E2908" i="8"/>
  <c r="D2908" i="8"/>
  <c r="E2909" i="8" l="1"/>
  <c r="D2909" i="8"/>
  <c r="A2910" i="8"/>
  <c r="C2909" i="8"/>
  <c r="G2909" i="8"/>
  <c r="B2909" i="8"/>
  <c r="A2911" i="8" l="1"/>
  <c r="C2910" i="8"/>
  <c r="G2910" i="8"/>
  <c r="B2910" i="8"/>
  <c r="E2910" i="8"/>
  <c r="D2910" i="8"/>
  <c r="E2911" i="8" l="1"/>
  <c r="D2911" i="8"/>
  <c r="A2912" i="8"/>
  <c r="C2911" i="8"/>
  <c r="G2911" i="8"/>
  <c r="B2911" i="8"/>
  <c r="A2913" i="8" l="1"/>
  <c r="C2912" i="8"/>
  <c r="G2912" i="8"/>
  <c r="B2912" i="8"/>
  <c r="E2912" i="8"/>
  <c r="D2912" i="8"/>
  <c r="E2913" i="8" l="1"/>
  <c r="D2913" i="8"/>
  <c r="A2914" i="8"/>
  <c r="C2913" i="8"/>
  <c r="G2913" i="8"/>
  <c r="B2913" i="8"/>
  <c r="A2915" i="8" l="1"/>
  <c r="C2914" i="8"/>
  <c r="G2914" i="8"/>
  <c r="B2914" i="8"/>
  <c r="E2914" i="8"/>
  <c r="D2914" i="8"/>
  <c r="E2915" i="8" l="1"/>
  <c r="D2915" i="8"/>
  <c r="A2916" i="8"/>
  <c r="C2915" i="8"/>
  <c r="B2915" i="8"/>
  <c r="G2915" i="8"/>
  <c r="A2917" i="8" l="1"/>
  <c r="C2916" i="8"/>
  <c r="G2916" i="8"/>
  <c r="B2916" i="8"/>
  <c r="E2916" i="8"/>
  <c r="D2916" i="8"/>
  <c r="E2917" i="8" l="1"/>
  <c r="D2917" i="8"/>
  <c r="A2918" i="8"/>
  <c r="C2917" i="8"/>
  <c r="G2917" i="8"/>
  <c r="B2917" i="8"/>
  <c r="A2919" i="8" l="1"/>
  <c r="C2918" i="8"/>
  <c r="G2918" i="8"/>
  <c r="B2918" i="8"/>
  <c r="E2918" i="8"/>
  <c r="D2918" i="8"/>
  <c r="E2919" i="8" l="1"/>
  <c r="D2919" i="8"/>
  <c r="A2920" i="8"/>
  <c r="C2919" i="8"/>
  <c r="G2919" i="8"/>
  <c r="B2919" i="8"/>
  <c r="A2921" i="8" l="1"/>
  <c r="C2920" i="8"/>
  <c r="G2920" i="8"/>
  <c r="B2920" i="8"/>
  <c r="E2920" i="8"/>
  <c r="D2920" i="8"/>
  <c r="E2921" i="8" l="1"/>
  <c r="D2921" i="8"/>
  <c r="A2922" i="8"/>
  <c r="C2921" i="8"/>
  <c r="G2921" i="8"/>
  <c r="B2921" i="8"/>
  <c r="A2923" i="8" l="1"/>
  <c r="C2922" i="8"/>
  <c r="G2922" i="8"/>
  <c r="B2922" i="8"/>
  <c r="E2922" i="8"/>
  <c r="D2922" i="8"/>
  <c r="E2923" i="8" l="1"/>
  <c r="D2923" i="8"/>
  <c r="A2924" i="8"/>
  <c r="C2923" i="8"/>
  <c r="B2923" i="8"/>
  <c r="G2923" i="8"/>
  <c r="A2925" i="8" l="1"/>
  <c r="C2924" i="8"/>
  <c r="G2924" i="8"/>
  <c r="B2924" i="8"/>
  <c r="E2924" i="8"/>
  <c r="D2924" i="8"/>
  <c r="E2925" i="8" l="1"/>
  <c r="D2925" i="8"/>
  <c r="A2926" i="8"/>
  <c r="C2925" i="8"/>
  <c r="G2925" i="8"/>
  <c r="B2925" i="8"/>
  <c r="A2927" i="8" l="1"/>
  <c r="C2926" i="8"/>
  <c r="G2926" i="8"/>
  <c r="B2926" i="8"/>
  <c r="E2926" i="8"/>
  <c r="D2926" i="8"/>
  <c r="E2927" i="8" l="1"/>
  <c r="D2927" i="8"/>
  <c r="A2928" i="8"/>
  <c r="C2927" i="8"/>
  <c r="G2927" i="8"/>
  <c r="B2927" i="8"/>
  <c r="A2929" i="8" l="1"/>
  <c r="C2928" i="8"/>
  <c r="G2928" i="8"/>
  <c r="B2928" i="8"/>
  <c r="E2928" i="8"/>
  <c r="D2928" i="8"/>
  <c r="E2929" i="8" l="1"/>
  <c r="D2929" i="8"/>
  <c r="A2930" i="8"/>
  <c r="C2929" i="8"/>
  <c r="G2929" i="8"/>
  <c r="B2929" i="8"/>
  <c r="A2931" i="8" l="1"/>
  <c r="C2930" i="8"/>
  <c r="G2930" i="8"/>
  <c r="B2930" i="8"/>
  <c r="E2930" i="8"/>
  <c r="D2930" i="8"/>
  <c r="E2931" i="8" l="1"/>
  <c r="D2931" i="8"/>
  <c r="A2932" i="8"/>
  <c r="C2931" i="8"/>
  <c r="B2931" i="8"/>
  <c r="G2931" i="8"/>
  <c r="A2933" i="8" l="1"/>
  <c r="C2932" i="8"/>
  <c r="G2932" i="8"/>
  <c r="B2932" i="8"/>
  <c r="E2932" i="8"/>
  <c r="D2932" i="8"/>
  <c r="E2933" i="8" l="1"/>
  <c r="D2933" i="8"/>
  <c r="A2934" i="8"/>
  <c r="C2933" i="8"/>
  <c r="G2933" i="8"/>
  <c r="B2933" i="8"/>
  <c r="A2935" i="8" l="1"/>
  <c r="C2934" i="8"/>
  <c r="G2934" i="8"/>
  <c r="B2934" i="8"/>
  <c r="E2934" i="8"/>
  <c r="D2934" i="8"/>
  <c r="E2935" i="8" l="1"/>
  <c r="D2935" i="8"/>
  <c r="A2936" i="8"/>
  <c r="C2935" i="8"/>
  <c r="G2935" i="8"/>
  <c r="B2935" i="8"/>
  <c r="A2937" i="8" l="1"/>
  <c r="C2936" i="8"/>
  <c r="G2936" i="8"/>
  <c r="B2936" i="8"/>
  <c r="E2936" i="8"/>
  <c r="D2936" i="8"/>
  <c r="E2937" i="8" l="1"/>
  <c r="D2937" i="8"/>
  <c r="A2938" i="8"/>
  <c r="C2937" i="8"/>
  <c r="G2937" i="8"/>
  <c r="B2937" i="8"/>
  <c r="A2939" i="8" l="1"/>
  <c r="C2938" i="8"/>
  <c r="G2938" i="8"/>
  <c r="B2938" i="8"/>
  <c r="E2938" i="8"/>
  <c r="D2938" i="8"/>
  <c r="E2939" i="8" l="1"/>
  <c r="D2939" i="8"/>
  <c r="A2940" i="8"/>
  <c r="C2939" i="8"/>
  <c r="B2939" i="8"/>
  <c r="G2939" i="8"/>
  <c r="A2941" i="8" l="1"/>
  <c r="C2940" i="8"/>
  <c r="G2940" i="8"/>
  <c r="B2940" i="8"/>
  <c r="E2940" i="8"/>
  <c r="D2940" i="8"/>
  <c r="E2941" i="8" l="1"/>
  <c r="D2941" i="8"/>
  <c r="A2942" i="8"/>
  <c r="C2941" i="8"/>
  <c r="G2941" i="8"/>
  <c r="B2941" i="8"/>
  <c r="A2943" i="8" l="1"/>
  <c r="C2942" i="8"/>
  <c r="G2942" i="8"/>
  <c r="B2942" i="8"/>
  <c r="E2942" i="8"/>
  <c r="D2942" i="8"/>
  <c r="E2943" i="8" l="1"/>
  <c r="D2943" i="8"/>
  <c r="A2944" i="8"/>
  <c r="C2943" i="8"/>
  <c r="G2943" i="8"/>
  <c r="B2943" i="8"/>
  <c r="A2945" i="8" l="1"/>
  <c r="C2944" i="8"/>
  <c r="G2944" i="8"/>
  <c r="B2944" i="8"/>
  <c r="E2944" i="8"/>
  <c r="D2944" i="8"/>
  <c r="E2945" i="8" l="1"/>
  <c r="D2945" i="8"/>
  <c r="A2946" i="8"/>
  <c r="C2945" i="8"/>
  <c r="G2945" i="8"/>
  <c r="B2945" i="8"/>
  <c r="A2947" i="8" l="1"/>
  <c r="C2946" i="8"/>
  <c r="G2946" i="8"/>
  <c r="B2946" i="8"/>
  <c r="E2946" i="8"/>
  <c r="D2946" i="8"/>
  <c r="E2947" i="8" l="1"/>
  <c r="D2947" i="8"/>
  <c r="A2948" i="8"/>
  <c r="C2947" i="8"/>
  <c r="B2947" i="8"/>
  <c r="G2947" i="8"/>
  <c r="A2949" i="8" l="1"/>
  <c r="C2948" i="8"/>
  <c r="G2948" i="8"/>
  <c r="B2948" i="8"/>
  <c r="E2948" i="8"/>
  <c r="D2948" i="8"/>
  <c r="E2949" i="8" l="1"/>
  <c r="D2949" i="8"/>
  <c r="A2950" i="8"/>
  <c r="C2949" i="8"/>
  <c r="G2949" i="8"/>
  <c r="B2949" i="8"/>
  <c r="A2951" i="8" l="1"/>
  <c r="C2950" i="8"/>
  <c r="G2950" i="8"/>
  <c r="B2950" i="8"/>
  <c r="E2950" i="8"/>
  <c r="D2950" i="8"/>
  <c r="E2951" i="8" l="1"/>
  <c r="D2951" i="8"/>
  <c r="A2952" i="8"/>
  <c r="C2951" i="8"/>
  <c r="G2951" i="8"/>
  <c r="B2951" i="8"/>
  <c r="A2953" i="8" l="1"/>
  <c r="C2952" i="8"/>
  <c r="G2952" i="8"/>
  <c r="B2952" i="8"/>
  <c r="E2952" i="8"/>
  <c r="D2952" i="8"/>
  <c r="E2953" i="8" l="1"/>
  <c r="D2953" i="8"/>
  <c r="A2954" i="8"/>
  <c r="C2953" i="8"/>
  <c r="G2953" i="8"/>
  <c r="B2953" i="8"/>
  <c r="A2955" i="8" l="1"/>
  <c r="C2954" i="8"/>
  <c r="G2954" i="8"/>
  <c r="B2954" i="8"/>
  <c r="E2954" i="8"/>
  <c r="D2954" i="8"/>
  <c r="E2955" i="8" l="1"/>
  <c r="D2955" i="8"/>
  <c r="A2956" i="8"/>
  <c r="C2955" i="8"/>
  <c r="B2955" i="8"/>
  <c r="G2955" i="8"/>
  <c r="A2957" i="8" l="1"/>
  <c r="C2956" i="8"/>
  <c r="G2956" i="8"/>
  <c r="B2956" i="8"/>
  <c r="E2956" i="8"/>
  <c r="D2956" i="8"/>
  <c r="E2957" i="8" l="1"/>
  <c r="D2957" i="8"/>
  <c r="A2958" i="8"/>
  <c r="C2957" i="8"/>
  <c r="G2957" i="8"/>
  <c r="B2957" i="8"/>
  <c r="A2959" i="8" l="1"/>
  <c r="C2958" i="8"/>
  <c r="G2958" i="8"/>
  <c r="B2958" i="8"/>
  <c r="E2958" i="8"/>
  <c r="D2958" i="8"/>
  <c r="E2959" i="8" l="1"/>
  <c r="D2959" i="8"/>
  <c r="A2960" i="8"/>
  <c r="C2959" i="8"/>
  <c r="G2959" i="8"/>
  <c r="B2959" i="8"/>
  <c r="A2961" i="8" l="1"/>
  <c r="C2960" i="8"/>
  <c r="G2960" i="8"/>
  <c r="B2960" i="8"/>
  <c r="E2960" i="8"/>
  <c r="D2960" i="8"/>
  <c r="E2961" i="8" l="1"/>
  <c r="D2961" i="8"/>
  <c r="A2962" i="8"/>
  <c r="C2961" i="8"/>
  <c r="G2961" i="8"/>
  <c r="B2961" i="8"/>
  <c r="A2963" i="8" l="1"/>
  <c r="C2962" i="8"/>
  <c r="G2962" i="8"/>
  <c r="B2962" i="8"/>
  <c r="E2962" i="8"/>
  <c r="D2962" i="8"/>
  <c r="E2963" i="8" l="1"/>
  <c r="D2963" i="8"/>
  <c r="A2964" i="8"/>
  <c r="C2963" i="8"/>
  <c r="B2963" i="8"/>
  <c r="G2963" i="8"/>
  <c r="A2965" i="8" l="1"/>
  <c r="C2964" i="8"/>
  <c r="G2964" i="8"/>
  <c r="B2964" i="8"/>
  <c r="E2964" i="8"/>
  <c r="D2964" i="8"/>
  <c r="E2965" i="8" l="1"/>
  <c r="D2965" i="8"/>
  <c r="A2966" i="8"/>
  <c r="C2965" i="8"/>
  <c r="G2965" i="8"/>
  <c r="B2965" i="8"/>
  <c r="A2967" i="8" l="1"/>
  <c r="C2966" i="8"/>
  <c r="G2966" i="8"/>
  <c r="B2966" i="8"/>
  <c r="E2966" i="8"/>
  <c r="D2966" i="8"/>
  <c r="E2967" i="8" l="1"/>
  <c r="D2967" i="8"/>
  <c r="A2968" i="8"/>
  <c r="C2967" i="8"/>
  <c r="G2967" i="8"/>
  <c r="B2967" i="8"/>
  <c r="A2969" i="8" l="1"/>
  <c r="C2968" i="8"/>
  <c r="G2968" i="8"/>
  <c r="B2968" i="8"/>
  <c r="E2968" i="8"/>
  <c r="D2968" i="8"/>
  <c r="E2969" i="8" l="1"/>
  <c r="D2969" i="8"/>
  <c r="A2970" i="8"/>
  <c r="C2969" i="8"/>
  <c r="G2969" i="8"/>
  <c r="B2969" i="8"/>
  <c r="A2971" i="8" l="1"/>
  <c r="C2970" i="8"/>
  <c r="G2970" i="8"/>
  <c r="B2970" i="8"/>
  <c r="E2970" i="8"/>
  <c r="D2970" i="8"/>
  <c r="E2971" i="8" l="1"/>
  <c r="D2971" i="8"/>
  <c r="A2972" i="8"/>
  <c r="C2971" i="8"/>
  <c r="B2971" i="8"/>
  <c r="G2971" i="8"/>
  <c r="A2973" i="8" l="1"/>
  <c r="C2972" i="8"/>
  <c r="G2972" i="8"/>
  <c r="B2972" i="8"/>
  <c r="E2972" i="8"/>
  <c r="D2972" i="8"/>
  <c r="E2973" i="8" l="1"/>
  <c r="D2973" i="8"/>
  <c r="A2974" i="8"/>
  <c r="C2973" i="8"/>
  <c r="G2973" i="8"/>
  <c r="B2973" i="8"/>
  <c r="A2975" i="8" l="1"/>
  <c r="C2974" i="8"/>
  <c r="G2974" i="8"/>
  <c r="B2974" i="8"/>
  <c r="E2974" i="8"/>
  <c r="D2974" i="8"/>
  <c r="A2976" i="8" l="1"/>
  <c r="C2975" i="8"/>
  <c r="G2975" i="8"/>
  <c r="E2975" i="8"/>
  <c r="D2975" i="8"/>
  <c r="B2975" i="8"/>
  <c r="G2976" i="8" l="1"/>
  <c r="B2976" i="8"/>
  <c r="E2976" i="8"/>
  <c r="A2977" i="8"/>
  <c r="D2976" i="8"/>
  <c r="C2976" i="8"/>
  <c r="D2977" i="8" l="1"/>
  <c r="A2978" i="8"/>
  <c r="C2977" i="8"/>
  <c r="B2977" i="8"/>
  <c r="G2977" i="8"/>
  <c r="E2977" i="8"/>
  <c r="G2978" i="8" l="1"/>
  <c r="B2978" i="8"/>
  <c r="E2978" i="8"/>
  <c r="D2978" i="8"/>
  <c r="C2978" i="8"/>
  <c r="A2979" i="8"/>
  <c r="D2979" i="8" l="1"/>
  <c r="A2980" i="8"/>
  <c r="C2979" i="8"/>
  <c r="G2979" i="8"/>
  <c r="E2979" i="8"/>
  <c r="B2979" i="8"/>
  <c r="G2980" i="8" l="1"/>
  <c r="B2980" i="8"/>
  <c r="E2980" i="8"/>
  <c r="A2981" i="8"/>
  <c r="D2980" i="8"/>
  <c r="C2980" i="8"/>
  <c r="D2981" i="8" l="1"/>
  <c r="A2982" i="8"/>
  <c r="C2981" i="8"/>
  <c r="B2981" i="8"/>
  <c r="G2981" i="8"/>
  <c r="E2981" i="8"/>
  <c r="G2982" i="8" l="1"/>
  <c r="B2982" i="8"/>
  <c r="E2982" i="8"/>
  <c r="D2982" i="8"/>
  <c r="C2982" i="8"/>
  <c r="A2983" i="8"/>
  <c r="D2983" i="8" l="1"/>
  <c r="A2984" i="8"/>
  <c r="C2983" i="8"/>
  <c r="G2983" i="8"/>
  <c r="E2983" i="8"/>
  <c r="B2983" i="8"/>
  <c r="G2984" i="8" l="1"/>
  <c r="B2984" i="8"/>
  <c r="E2984" i="8"/>
  <c r="A2985" i="8"/>
  <c r="D2984" i="8"/>
  <c r="C2984" i="8"/>
  <c r="D2985" i="8" l="1"/>
  <c r="A2986" i="8"/>
  <c r="C2985" i="8"/>
  <c r="B2985" i="8"/>
  <c r="G2985" i="8"/>
  <c r="E2985" i="8"/>
  <c r="G2986" i="8" l="1"/>
  <c r="B2986" i="8"/>
  <c r="E2986" i="8"/>
  <c r="D2986" i="8"/>
  <c r="C2986" i="8"/>
  <c r="A2987" i="8"/>
  <c r="D2987" i="8" l="1"/>
  <c r="A2988" i="8"/>
  <c r="C2987" i="8"/>
  <c r="G2987" i="8"/>
  <c r="E2987" i="8"/>
  <c r="B2987" i="8"/>
  <c r="G2988" i="8" l="1"/>
  <c r="B2988" i="8"/>
  <c r="E2988" i="8"/>
  <c r="A2989" i="8"/>
  <c r="D2988" i="8"/>
  <c r="C2988" i="8"/>
  <c r="D2989" i="8" l="1"/>
  <c r="A2990" i="8"/>
  <c r="C2989" i="8"/>
  <c r="B2989" i="8"/>
  <c r="G2989" i="8"/>
  <c r="E2989" i="8"/>
  <c r="G2990" i="8" l="1"/>
  <c r="B2990" i="8"/>
  <c r="E2990" i="8"/>
  <c r="D2990" i="8"/>
  <c r="C2990" i="8"/>
  <c r="A2991" i="8"/>
  <c r="D2991" i="8" l="1"/>
  <c r="A2992" i="8"/>
  <c r="C2991" i="8"/>
  <c r="G2991" i="8"/>
  <c r="E2991" i="8"/>
  <c r="B2991" i="8"/>
  <c r="G2992" i="8" l="1"/>
  <c r="B2992" i="8"/>
  <c r="E2992" i="8"/>
  <c r="A2993" i="8"/>
  <c r="D2992" i="8"/>
  <c r="C2992" i="8"/>
  <c r="D2993" i="8" l="1"/>
  <c r="A2994" i="8"/>
  <c r="C2993" i="8"/>
  <c r="B2993" i="8"/>
  <c r="G2993" i="8"/>
  <c r="E2993" i="8"/>
  <c r="G2994" i="8" l="1"/>
  <c r="B2994" i="8"/>
  <c r="E2994" i="8"/>
  <c r="D2994" i="8"/>
  <c r="C2994" i="8"/>
  <c r="A2995" i="8"/>
  <c r="D2995" i="8" l="1"/>
  <c r="A2996" i="8"/>
  <c r="C2995" i="8"/>
  <c r="G2995" i="8"/>
  <c r="E2995" i="8"/>
  <c r="B2995" i="8"/>
  <c r="G2996" i="8" l="1"/>
  <c r="B2996" i="8"/>
  <c r="E2996" i="8"/>
  <c r="A2997" i="8"/>
  <c r="D2996" i="8"/>
  <c r="C2996" i="8"/>
  <c r="D2997" i="8" l="1"/>
  <c r="A2998" i="8"/>
  <c r="C2997" i="8"/>
  <c r="B2997" i="8"/>
  <c r="G2997" i="8"/>
  <c r="E2997" i="8"/>
  <c r="G2998" i="8" l="1"/>
  <c r="B2998" i="8"/>
  <c r="E2998" i="8"/>
  <c r="D2998" i="8"/>
  <c r="C2998" i="8"/>
  <c r="A2999" i="8"/>
  <c r="D2999" i="8" l="1"/>
  <c r="A3000" i="8"/>
  <c r="C2999" i="8"/>
  <c r="G2999" i="8"/>
  <c r="E2999" i="8"/>
  <c r="B2999" i="8"/>
  <c r="A3001" i="8" l="1"/>
  <c r="G3000" i="8"/>
  <c r="B3000" i="8"/>
  <c r="E3000" i="8"/>
  <c r="D3000" i="8"/>
  <c r="C3000" i="8"/>
  <c r="E3001" i="8" l="1"/>
  <c r="D3001" i="8"/>
  <c r="A3002" i="8"/>
  <c r="C3001" i="8"/>
  <c r="G3001" i="8"/>
  <c r="B3001" i="8"/>
  <c r="A3003" i="8" l="1"/>
  <c r="C3002" i="8"/>
  <c r="G3002" i="8"/>
  <c r="B3002" i="8"/>
  <c r="E3002" i="8"/>
  <c r="D3002" i="8"/>
  <c r="E3003" i="8" l="1"/>
  <c r="D3003" i="8"/>
  <c r="A3004" i="8"/>
  <c r="C3003" i="8"/>
  <c r="G3003" i="8"/>
  <c r="B3003" i="8"/>
  <c r="A3005" i="8" l="1"/>
  <c r="C3004" i="8"/>
  <c r="G3004" i="8"/>
  <c r="B3004" i="8"/>
  <c r="E3004" i="8"/>
  <c r="D3004" i="8"/>
  <c r="E3005" i="8" l="1"/>
  <c r="D3005" i="8"/>
  <c r="A3006" i="8"/>
  <c r="C3005" i="8"/>
  <c r="G3005" i="8"/>
  <c r="B3005" i="8"/>
  <c r="A3007" i="8" l="1"/>
  <c r="C3006" i="8"/>
  <c r="G3006" i="8"/>
  <c r="B3006" i="8"/>
  <c r="E3006" i="8"/>
  <c r="D3006" i="8"/>
  <c r="E3007" i="8" l="1"/>
  <c r="D3007" i="8"/>
  <c r="A3008" i="8"/>
  <c r="C3007" i="8"/>
  <c r="B3007" i="8"/>
  <c r="G3007" i="8"/>
  <c r="A3009" i="8" l="1"/>
  <c r="C3008" i="8"/>
  <c r="G3008" i="8"/>
  <c r="B3008" i="8"/>
  <c r="E3008" i="8"/>
  <c r="D3008" i="8"/>
  <c r="E3009" i="8" l="1"/>
  <c r="D3009" i="8"/>
  <c r="A3010" i="8"/>
  <c r="C3009" i="8"/>
  <c r="G3009" i="8"/>
  <c r="B3009" i="8"/>
  <c r="A3011" i="8" l="1"/>
  <c r="C3010" i="8"/>
  <c r="G3010" i="8"/>
  <c r="B3010" i="8"/>
  <c r="E3010" i="8"/>
  <c r="D3010" i="8"/>
  <c r="E3011" i="8" l="1"/>
  <c r="D3011" i="8"/>
  <c r="A3012" i="8"/>
  <c r="C3011" i="8"/>
  <c r="G3011" i="8"/>
  <c r="B3011" i="8"/>
  <c r="A3013" i="8" l="1"/>
  <c r="C3012" i="8"/>
  <c r="G3012" i="8"/>
  <c r="B3012" i="8"/>
  <c r="E3012" i="8"/>
  <c r="D3012" i="8"/>
  <c r="E3013" i="8" l="1"/>
  <c r="D3013" i="8"/>
  <c r="A3014" i="8"/>
  <c r="C3013" i="8"/>
  <c r="G3013" i="8"/>
  <c r="B3013" i="8"/>
  <c r="A3015" i="8" l="1"/>
  <c r="C3014" i="8"/>
  <c r="G3014" i="8"/>
  <c r="B3014" i="8"/>
  <c r="E3014" i="8"/>
  <c r="D3014" i="8"/>
  <c r="E3015" i="8" l="1"/>
  <c r="D3015" i="8"/>
  <c r="A3016" i="8"/>
  <c r="C3015" i="8"/>
  <c r="B3015" i="8"/>
  <c r="G3015" i="8"/>
  <c r="A3017" i="8" l="1"/>
  <c r="C3016" i="8"/>
  <c r="G3016" i="8"/>
  <c r="B3016" i="8"/>
  <c r="E3016" i="8"/>
  <c r="D3016" i="8"/>
  <c r="E3017" i="8" l="1"/>
  <c r="D3017" i="8"/>
  <c r="A3018" i="8"/>
  <c r="C3017" i="8"/>
  <c r="G3017" i="8"/>
  <c r="B3017" i="8"/>
  <c r="A3019" i="8" l="1"/>
  <c r="C3018" i="8"/>
  <c r="G3018" i="8"/>
  <c r="B3018" i="8"/>
  <c r="E3018" i="8"/>
  <c r="D3018" i="8"/>
  <c r="E3019" i="8" l="1"/>
  <c r="D3019" i="8"/>
  <c r="A3020" i="8"/>
  <c r="C3019" i="8"/>
  <c r="G3019" i="8"/>
  <c r="B3019" i="8"/>
  <c r="A3021" i="8" l="1"/>
  <c r="C3020" i="8"/>
  <c r="G3020" i="8"/>
  <c r="B3020" i="8"/>
  <c r="E3020" i="8"/>
  <c r="D3020" i="8"/>
  <c r="E3021" i="8" l="1"/>
  <c r="D3021" i="8"/>
  <c r="A3022" i="8"/>
  <c r="C3021" i="8"/>
  <c r="G3021" i="8"/>
  <c r="B3021" i="8"/>
  <c r="A3023" i="8" l="1"/>
  <c r="C3022" i="8"/>
  <c r="G3022" i="8"/>
  <c r="B3022" i="8"/>
  <c r="E3022" i="8"/>
  <c r="D3022" i="8"/>
  <c r="E3023" i="8" l="1"/>
  <c r="D3023" i="8"/>
  <c r="A3024" i="8"/>
  <c r="C3023" i="8"/>
  <c r="B3023" i="8"/>
  <c r="G3023" i="8"/>
  <c r="A3025" i="8" l="1"/>
  <c r="C3024" i="8"/>
  <c r="G3024" i="8"/>
  <c r="B3024" i="8"/>
  <c r="E3024" i="8"/>
  <c r="D3024" i="8"/>
  <c r="E3025" i="8" l="1"/>
  <c r="D3025" i="8"/>
  <c r="A3026" i="8"/>
  <c r="C3025" i="8"/>
  <c r="G3025" i="8"/>
  <c r="B3025" i="8"/>
  <c r="A3027" i="8" l="1"/>
  <c r="C3026" i="8"/>
  <c r="G3026" i="8"/>
  <c r="B3026" i="8"/>
  <c r="E3026" i="8"/>
  <c r="D3026" i="8"/>
  <c r="E3027" i="8" l="1"/>
  <c r="D3027" i="8"/>
  <c r="A3028" i="8"/>
  <c r="C3027" i="8"/>
  <c r="G3027" i="8"/>
  <c r="B3027" i="8"/>
  <c r="A3029" i="8" l="1"/>
  <c r="C3028" i="8"/>
  <c r="G3028" i="8"/>
  <c r="B3028" i="8"/>
  <c r="E3028" i="8"/>
  <c r="D3028" i="8"/>
  <c r="E3029" i="8" l="1"/>
  <c r="D3029" i="8"/>
  <c r="A3030" i="8"/>
  <c r="C3029" i="8"/>
  <c r="G3029" i="8"/>
  <c r="B3029" i="8"/>
  <c r="A3031" i="8" l="1"/>
  <c r="C3030" i="8"/>
  <c r="G3030" i="8"/>
  <c r="B3030" i="8"/>
  <c r="E3030" i="8"/>
  <c r="D3030" i="8"/>
  <c r="E3031" i="8" l="1"/>
  <c r="D3031" i="8"/>
  <c r="A3032" i="8"/>
  <c r="C3031" i="8"/>
  <c r="B3031" i="8"/>
  <c r="G3031" i="8"/>
  <c r="A3033" i="8" l="1"/>
  <c r="C3032" i="8"/>
  <c r="G3032" i="8"/>
  <c r="B3032" i="8"/>
  <c r="E3032" i="8"/>
  <c r="D3032" i="8"/>
  <c r="E3033" i="8" l="1"/>
  <c r="D3033" i="8"/>
  <c r="A3034" i="8"/>
  <c r="C3033" i="8"/>
  <c r="G3033" i="8"/>
  <c r="B3033" i="8"/>
  <c r="A3035" i="8" l="1"/>
  <c r="C3034" i="8"/>
  <c r="G3034" i="8"/>
  <c r="B3034" i="8"/>
  <c r="E3034" i="8"/>
  <c r="D3034" i="8"/>
  <c r="E3035" i="8" l="1"/>
  <c r="D3035" i="8"/>
  <c r="A3036" i="8"/>
  <c r="C3035" i="8"/>
  <c r="G3035" i="8"/>
  <c r="B3035" i="8"/>
  <c r="A3037" i="8" l="1"/>
  <c r="C3036" i="8"/>
  <c r="G3036" i="8"/>
  <c r="B3036" i="8"/>
  <c r="E3036" i="8"/>
  <c r="D3036" i="8"/>
  <c r="E3037" i="8" l="1"/>
  <c r="D3037" i="8"/>
  <c r="A3038" i="8"/>
  <c r="C3037" i="8"/>
  <c r="G3037" i="8"/>
  <c r="B3037" i="8"/>
  <c r="A3039" i="8" l="1"/>
  <c r="C3038" i="8"/>
  <c r="G3038" i="8"/>
  <c r="B3038" i="8"/>
  <c r="E3038" i="8"/>
  <c r="D3038" i="8"/>
  <c r="E3039" i="8" l="1"/>
  <c r="D3039" i="8"/>
  <c r="A3040" i="8"/>
  <c r="C3039" i="8"/>
  <c r="B3039" i="8"/>
  <c r="G3039" i="8"/>
  <c r="A3041" i="8" l="1"/>
  <c r="C3040" i="8"/>
  <c r="G3040" i="8"/>
  <c r="B3040" i="8"/>
  <c r="E3040" i="8"/>
  <c r="D3040" i="8"/>
  <c r="E3041" i="8" l="1"/>
  <c r="D3041" i="8"/>
  <c r="A3042" i="8"/>
  <c r="C3041" i="8"/>
  <c r="G3041" i="8"/>
  <c r="B3041" i="8"/>
  <c r="A3043" i="8" l="1"/>
  <c r="C3042" i="8"/>
  <c r="G3042" i="8"/>
  <c r="B3042" i="8"/>
  <c r="E3042" i="8"/>
  <c r="D3042" i="8"/>
  <c r="E3043" i="8" l="1"/>
  <c r="D3043" i="8"/>
  <c r="A3044" i="8"/>
  <c r="C3043" i="8"/>
  <c r="G3043" i="8"/>
  <c r="B3043" i="8"/>
  <c r="A3045" i="8" l="1"/>
  <c r="C3044" i="8"/>
  <c r="G3044" i="8"/>
  <c r="B3044" i="8"/>
  <c r="E3044" i="8"/>
  <c r="D3044" i="8"/>
  <c r="E3045" i="8" l="1"/>
  <c r="D3045" i="8"/>
  <c r="A3046" i="8"/>
  <c r="C3045" i="8"/>
  <c r="G3045" i="8"/>
  <c r="B3045" i="8"/>
  <c r="A3047" i="8" l="1"/>
  <c r="C3046" i="8"/>
  <c r="G3046" i="8"/>
  <c r="B3046" i="8"/>
  <c r="E3046" i="8"/>
  <c r="D3046" i="8"/>
  <c r="E3047" i="8" l="1"/>
  <c r="D3047" i="8"/>
  <c r="A3048" i="8"/>
  <c r="C3047" i="8"/>
  <c r="B3047" i="8"/>
  <c r="G3047" i="8"/>
  <c r="A3049" i="8" l="1"/>
  <c r="C3048" i="8"/>
  <c r="G3048" i="8"/>
  <c r="B3048" i="8"/>
  <c r="E3048" i="8"/>
  <c r="D3048" i="8"/>
  <c r="E3049" i="8" l="1"/>
  <c r="D3049" i="8"/>
  <c r="A3050" i="8"/>
  <c r="C3049" i="8"/>
  <c r="G3049" i="8"/>
  <c r="B3049" i="8"/>
  <c r="A3051" i="8" l="1"/>
  <c r="C3050" i="8"/>
  <c r="G3050" i="8"/>
  <c r="B3050" i="8"/>
  <c r="E3050" i="8"/>
  <c r="D3050" i="8"/>
  <c r="E3051" i="8" l="1"/>
  <c r="D3051" i="8"/>
  <c r="A3052" i="8"/>
  <c r="C3051" i="8"/>
  <c r="G3051" i="8"/>
  <c r="B3051" i="8"/>
  <c r="A3053" i="8" l="1"/>
  <c r="C3052" i="8"/>
  <c r="G3052" i="8"/>
  <c r="B3052" i="8"/>
  <c r="E3052" i="8"/>
  <c r="D3052" i="8"/>
  <c r="E3053" i="8" l="1"/>
  <c r="D3053" i="8"/>
  <c r="A3054" i="8"/>
  <c r="C3053" i="8"/>
  <c r="G3053" i="8"/>
  <c r="B3053" i="8"/>
  <c r="A3055" i="8" l="1"/>
  <c r="C3054" i="8"/>
  <c r="G3054" i="8"/>
  <c r="B3054" i="8"/>
  <c r="E3054" i="8"/>
  <c r="D3054" i="8"/>
  <c r="E3055" i="8" l="1"/>
  <c r="D3055" i="8"/>
  <c r="A3056" i="8"/>
  <c r="C3055" i="8"/>
  <c r="B3055" i="8"/>
  <c r="G3055" i="8"/>
  <c r="A3057" i="8" l="1"/>
  <c r="C3056" i="8"/>
  <c r="G3056" i="8"/>
  <c r="B3056" i="8"/>
  <c r="E3056" i="8"/>
  <c r="D3056" i="8"/>
  <c r="E3057" i="8" l="1"/>
  <c r="D3057" i="8"/>
  <c r="A3058" i="8"/>
  <c r="C3057" i="8"/>
  <c r="G3057" i="8"/>
  <c r="B3057" i="8"/>
  <c r="A3059" i="8" l="1"/>
  <c r="C3058" i="8"/>
  <c r="G3058" i="8"/>
  <c r="B3058" i="8"/>
  <c r="E3058" i="8"/>
  <c r="D3058" i="8"/>
  <c r="E3059" i="8" l="1"/>
  <c r="D3059" i="8"/>
  <c r="A3060" i="8"/>
  <c r="C3059" i="8"/>
  <c r="G3059" i="8"/>
  <c r="B3059" i="8"/>
  <c r="A3061" i="8" l="1"/>
  <c r="C3060" i="8"/>
  <c r="G3060" i="8"/>
  <c r="B3060" i="8"/>
  <c r="E3060" i="8"/>
  <c r="D3060" i="8"/>
  <c r="E3061" i="8" l="1"/>
  <c r="D3061" i="8"/>
  <c r="A3062" i="8"/>
  <c r="C3061" i="8"/>
  <c r="G3061" i="8"/>
  <c r="B3061" i="8"/>
  <c r="A3063" i="8" l="1"/>
  <c r="C3062" i="8"/>
  <c r="G3062" i="8"/>
  <c r="B3062" i="8"/>
  <c r="E3062" i="8"/>
  <c r="D3062" i="8"/>
  <c r="E3063" i="8" l="1"/>
  <c r="D3063" i="8"/>
  <c r="A3064" i="8"/>
  <c r="C3063" i="8"/>
  <c r="B3063" i="8"/>
  <c r="G3063" i="8"/>
  <c r="A3065" i="8" l="1"/>
  <c r="C3064" i="8"/>
  <c r="G3064" i="8"/>
  <c r="B3064" i="8"/>
  <c r="E3064" i="8"/>
  <c r="D3064" i="8"/>
  <c r="E3065" i="8" l="1"/>
  <c r="D3065" i="8"/>
  <c r="A3066" i="8"/>
  <c r="C3065" i="8"/>
  <c r="G3065" i="8"/>
  <c r="B3065" i="8"/>
  <c r="A3067" i="8" l="1"/>
  <c r="C3066" i="8"/>
  <c r="G3066" i="8"/>
  <c r="B3066" i="8"/>
  <c r="E3066" i="8"/>
  <c r="D3066" i="8"/>
  <c r="E3067" i="8" l="1"/>
  <c r="D3067" i="8"/>
  <c r="A3068" i="8"/>
  <c r="C3067" i="8"/>
  <c r="G3067" i="8"/>
  <c r="B3067" i="8"/>
  <c r="A3069" i="8" l="1"/>
  <c r="C3068" i="8"/>
  <c r="G3068" i="8"/>
  <c r="B3068" i="8"/>
  <c r="E3068" i="8"/>
  <c r="D3068" i="8"/>
  <c r="E3069" i="8" l="1"/>
  <c r="D3069" i="8"/>
  <c r="A3070" i="8"/>
  <c r="C3069" i="8"/>
  <c r="G3069" i="8"/>
  <c r="B3069" i="8"/>
  <c r="A3071" i="8" l="1"/>
  <c r="C3070" i="8"/>
  <c r="G3070" i="8"/>
  <c r="B3070" i="8"/>
  <c r="E3070" i="8"/>
  <c r="D3070" i="8"/>
  <c r="E3071" i="8" l="1"/>
  <c r="D3071" i="8"/>
  <c r="A3072" i="8"/>
  <c r="C3071" i="8"/>
  <c r="B3071" i="8"/>
  <c r="G3071" i="8"/>
  <c r="A3073" i="8" l="1"/>
  <c r="C3072" i="8"/>
  <c r="G3072" i="8"/>
  <c r="B3072" i="8"/>
  <c r="E3072" i="8"/>
  <c r="D3072" i="8"/>
  <c r="E3073" i="8" l="1"/>
  <c r="D3073" i="8"/>
  <c r="A3074" i="8"/>
  <c r="C3073" i="8"/>
  <c r="G3073" i="8"/>
  <c r="B3073" i="8"/>
  <c r="A3075" i="8" l="1"/>
  <c r="C3074" i="8"/>
  <c r="G3074" i="8"/>
  <c r="B3074" i="8"/>
  <c r="E3074" i="8"/>
  <c r="D3074" i="8"/>
  <c r="E3075" i="8" l="1"/>
  <c r="D3075" i="8"/>
  <c r="A3076" i="8"/>
  <c r="C3075" i="8"/>
  <c r="G3075" i="8"/>
  <c r="B3075" i="8"/>
  <c r="A3077" i="8" l="1"/>
  <c r="C3076" i="8"/>
  <c r="G3076" i="8"/>
  <c r="B3076" i="8"/>
  <c r="E3076" i="8"/>
  <c r="D3076" i="8"/>
  <c r="E3077" i="8" l="1"/>
  <c r="D3077" i="8"/>
  <c r="A3078" i="8"/>
  <c r="C3077" i="8"/>
  <c r="G3077" i="8"/>
  <c r="B3077" i="8"/>
  <c r="A3079" i="8" l="1"/>
  <c r="C3078" i="8"/>
  <c r="G3078" i="8"/>
  <c r="B3078" i="8"/>
  <c r="E3078" i="8"/>
  <c r="D3078" i="8"/>
  <c r="E3079" i="8" l="1"/>
  <c r="D3079" i="8"/>
  <c r="A3080" i="8"/>
  <c r="C3079" i="8"/>
  <c r="B3079" i="8"/>
  <c r="G3079" i="8"/>
  <c r="A3081" i="8" l="1"/>
  <c r="C3080" i="8"/>
  <c r="G3080" i="8"/>
  <c r="B3080" i="8"/>
  <c r="E3080" i="8"/>
  <c r="D3080" i="8"/>
  <c r="E3081" i="8" l="1"/>
  <c r="D3081" i="8"/>
  <c r="A3082" i="8"/>
  <c r="C3081" i="8"/>
  <c r="G3081" i="8"/>
  <c r="B3081" i="8"/>
  <c r="A3083" i="8" l="1"/>
  <c r="C3082" i="8"/>
  <c r="G3082" i="8"/>
  <c r="B3082" i="8"/>
  <c r="E3082" i="8"/>
  <c r="D3082" i="8"/>
  <c r="E3083" i="8" l="1"/>
  <c r="D3083" i="8"/>
  <c r="A3084" i="8"/>
  <c r="C3083" i="8"/>
  <c r="G3083" i="8"/>
  <c r="B3083" i="8"/>
  <c r="A3085" i="8" l="1"/>
  <c r="C3084" i="8"/>
  <c r="G3084" i="8"/>
  <c r="B3084" i="8"/>
  <c r="E3084" i="8"/>
  <c r="D3084" i="8"/>
  <c r="E3085" i="8" l="1"/>
  <c r="D3085" i="8"/>
  <c r="A3086" i="8"/>
  <c r="C3085" i="8"/>
  <c r="G3085" i="8"/>
  <c r="B3085" i="8"/>
  <c r="A3087" i="8" l="1"/>
  <c r="C3086" i="8"/>
  <c r="G3086" i="8"/>
  <c r="B3086" i="8"/>
  <c r="E3086" i="8"/>
  <c r="D3086" i="8"/>
  <c r="E3087" i="8" l="1"/>
  <c r="D3087" i="8"/>
  <c r="A3088" i="8"/>
  <c r="C3087" i="8"/>
  <c r="B3087" i="8"/>
  <c r="G3087" i="8"/>
  <c r="A3089" i="8" l="1"/>
  <c r="C3088" i="8"/>
  <c r="G3088" i="8"/>
  <c r="B3088" i="8"/>
  <c r="E3088" i="8"/>
  <c r="D3088" i="8"/>
  <c r="E3089" i="8" l="1"/>
  <c r="D3089" i="8"/>
  <c r="A3090" i="8"/>
  <c r="C3089" i="8"/>
  <c r="G3089" i="8"/>
  <c r="B3089" i="8"/>
  <c r="A3091" i="8" l="1"/>
  <c r="C3090" i="8"/>
  <c r="G3090" i="8"/>
  <c r="B3090" i="8"/>
  <c r="E3090" i="8"/>
  <c r="D3090" i="8"/>
  <c r="E3091" i="8" l="1"/>
  <c r="D3091" i="8"/>
  <c r="A3092" i="8"/>
  <c r="C3091" i="8"/>
  <c r="G3091" i="8"/>
  <c r="B3091" i="8"/>
  <c r="A3093" i="8" l="1"/>
  <c r="C3092" i="8"/>
  <c r="G3092" i="8"/>
  <c r="B3092" i="8"/>
  <c r="E3092" i="8"/>
  <c r="D3092" i="8"/>
  <c r="E3093" i="8" l="1"/>
  <c r="D3093" i="8"/>
  <c r="A3094" i="8"/>
  <c r="C3093" i="8"/>
  <c r="G3093" i="8"/>
  <c r="B3093" i="8"/>
  <c r="A3095" i="8" l="1"/>
  <c r="C3094" i="8"/>
  <c r="G3094" i="8"/>
  <c r="B3094" i="8"/>
  <c r="E3094" i="8"/>
  <c r="D3094" i="8"/>
  <c r="E3095" i="8" l="1"/>
  <c r="D3095" i="8"/>
  <c r="A3096" i="8"/>
  <c r="C3095" i="8"/>
  <c r="B3095" i="8"/>
  <c r="G3095" i="8"/>
  <c r="A3097" i="8" l="1"/>
  <c r="C3096" i="8"/>
  <c r="G3096" i="8"/>
  <c r="B3096" i="8"/>
  <c r="E3096" i="8"/>
  <c r="D3096" i="8"/>
  <c r="E3097" i="8" l="1"/>
  <c r="D3097" i="8"/>
  <c r="A3098" i="8"/>
  <c r="C3097" i="8"/>
  <c r="G3097" i="8"/>
  <c r="B3097" i="8"/>
  <c r="A3099" i="8" l="1"/>
  <c r="C3098" i="8"/>
  <c r="G3098" i="8"/>
  <c r="B3098" i="8"/>
  <c r="E3098" i="8"/>
  <c r="D3098" i="8"/>
  <c r="E3099" i="8" l="1"/>
  <c r="D3099" i="8"/>
  <c r="A3100" i="8"/>
  <c r="C3099" i="8"/>
  <c r="G3099" i="8"/>
  <c r="B3099" i="8"/>
  <c r="A3101" i="8" l="1"/>
  <c r="C3100" i="8"/>
  <c r="G3100" i="8"/>
  <c r="B3100" i="8"/>
  <c r="E3100" i="8"/>
  <c r="D3100" i="8"/>
  <c r="E3101" i="8" l="1"/>
  <c r="D3101" i="8"/>
  <c r="A3102" i="8"/>
  <c r="C3101" i="8"/>
  <c r="G3101" i="8"/>
  <c r="B3101" i="8"/>
  <c r="A3103" i="8" l="1"/>
  <c r="C3102" i="8"/>
  <c r="G3102" i="8"/>
  <c r="B3102" i="8"/>
  <c r="E3102" i="8"/>
  <c r="D3102" i="8"/>
  <c r="E3103" i="8" l="1"/>
  <c r="D3103" i="8"/>
  <c r="A3104" i="8"/>
  <c r="C3103" i="8"/>
  <c r="B3103" i="8"/>
  <c r="G3103" i="8"/>
  <c r="A3105" i="8" l="1"/>
  <c r="C3104" i="8"/>
  <c r="G3104" i="8"/>
  <c r="B3104" i="8"/>
  <c r="E3104" i="8"/>
  <c r="D3104" i="8"/>
  <c r="E3105" i="8" l="1"/>
  <c r="D3105" i="8"/>
  <c r="A3106" i="8"/>
  <c r="C3105" i="8"/>
  <c r="G3105" i="8"/>
  <c r="B3105" i="8"/>
  <c r="A3107" i="8" l="1"/>
  <c r="C3106" i="8"/>
  <c r="G3106" i="8"/>
  <c r="B3106" i="8"/>
  <c r="E3106" i="8"/>
  <c r="D3106" i="8"/>
  <c r="E3107" i="8" l="1"/>
  <c r="D3107" i="8"/>
  <c r="A3108" i="8"/>
  <c r="C3107" i="8"/>
  <c r="G3107" i="8"/>
  <c r="B3107" i="8"/>
  <c r="A3109" i="8" l="1"/>
  <c r="C3108" i="8"/>
  <c r="G3108" i="8"/>
  <c r="B3108" i="8"/>
  <c r="E3108" i="8"/>
  <c r="D3108" i="8"/>
  <c r="E3109" i="8" l="1"/>
  <c r="D3109" i="8"/>
  <c r="A3110" i="8"/>
  <c r="C3109" i="8"/>
  <c r="G3109" i="8"/>
  <c r="B3109" i="8"/>
  <c r="A3111" i="8" l="1"/>
  <c r="C3110" i="8"/>
  <c r="G3110" i="8"/>
  <c r="B3110" i="8"/>
  <c r="E3110" i="8"/>
  <c r="D3110" i="8"/>
  <c r="E3111" i="8" l="1"/>
  <c r="D3111" i="8"/>
  <c r="A3112" i="8"/>
  <c r="C3111" i="8"/>
  <c r="B3111" i="8"/>
  <c r="G3111" i="8"/>
  <c r="A3113" i="8" l="1"/>
  <c r="C3112" i="8"/>
  <c r="G3112" i="8"/>
  <c r="B3112" i="8"/>
  <c r="E3112" i="8"/>
  <c r="D3112" i="8"/>
  <c r="E3113" i="8" l="1"/>
  <c r="D3113" i="8"/>
  <c r="A3114" i="8"/>
  <c r="C3113" i="8"/>
  <c r="G3113" i="8"/>
  <c r="B3113" i="8"/>
  <c r="A3115" i="8" l="1"/>
  <c r="C3114" i="8"/>
  <c r="G3114" i="8"/>
  <c r="B3114" i="8"/>
  <c r="E3114" i="8"/>
  <c r="D3114" i="8"/>
  <c r="E3115" i="8" l="1"/>
  <c r="D3115" i="8"/>
  <c r="A3116" i="8"/>
  <c r="C3115" i="8"/>
  <c r="G3115" i="8"/>
  <c r="B3115" i="8"/>
  <c r="A3117" i="8" l="1"/>
  <c r="C3116" i="8"/>
  <c r="G3116" i="8"/>
  <c r="B3116" i="8"/>
  <c r="E3116" i="8"/>
  <c r="D3116" i="8"/>
  <c r="E3117" i="8" l="1"/>
  <c r="D3117" i="8"/>
  <c r="A3118" i="8"/>
  <c r="C3117" i="8"/>
  <c r="G3117" i="8"/>
  <c r="B3117" i="8"/>
  <c r="A3119" i="8" l="1"/>
  <c r="C3118" i="8"/>
  <c r="G3118" i="8"/>
  <c r="B3118" i="8"/>
  <c r="E3118" i="8"/>
  <c r="D3118" i="8"/>
  <c r="E3119" i="8" l="1"/>
  <c r="D3119" i="8"/>
  <c r="A3120" i="8"/>
  <c r="C3119" i="8"/>
  <c r="B3119" i="8"/>
  <c r="G3119" i="8"/>
  <c r="A3121" i="8" l="1"/>
  <c r="C3120" i="8"/>
  <c r="G3120" i="8"/>
  <c r="B3120" i="8"/>
  <c r="E3120" i="8"/>
  <c r="D3120" i="8"/>
  <c r="E3121" i="8" l="1"/>
  <c r="D3121" i="8"/>
  <c r="A3122" i="8"/>
  <c r="C3121" i="8"/>
  <c r="G3121" i="8"/>
  <c r="B3121" i="8"/>
  <c r="A3123" i="8" l="1"/>
  <c r="C3122" i="8"/>
  <c r="G3122" i="8"/>
  <c r="B3122" i="8"/>
  <c r="E3122" i="8"/>
  <c r="D3122" i="8"/>
  <c r="E3123" i="8" l="1"/>
  <c r="D3123" i="8"/>
  <c r="A3124" i="8"/>
  <c r="C3123" i="8"/>
  <c r="G3123" i="8"/>
  <c r="B3123" i="8"/>
  <c r="A3125" i="8" l="1"/>
  <c r="C3124" i="8"/>
  <c r="G3124" i="8"/>
  <c r="B3124" i="8"/>
  <c r="E3124" i="8"/>
  <c r="D3124" i="8"/>
  <c r="E3125" i="8" l="1"/>
  <c r="D3125" i="8"/>
  <c r="A3126" i="8"/>
  <c r="C3125" i="8"/>
  <c r="G3125" i="8"/>
  <c r="B3125" i="8"/>
  <c r="A3127" i="8" l="1"/>
  <c r="C3126" i="8"/>
  <c r="G3126" i="8"/>
  <c r="B3126" i="8"/>
  <c r="E3126" i="8"/>
  <c r="D3126" i="8"/>
  <c r="E3127" i="8" l="1"/>
  <c r="D3127" i="8"/>
  <c r="A3128" i="8"/>
  <c r="C3127" i="8"/>
  <c r="B3127" i="8"/>
  <c r="G3127" i="8"/>
  <c r="A3129" i="8" l="1"/>
  <c r="C3128" i="8"/>
  <c r="G3128" i="8"/>
  <c r="B3128" i="8"/>
  <c r="E3128" i="8"/>
  <c r="D3128" i="8"/>
  <c r="E3129" i="8" l="1"/>
  <c r="D3129" i="8"/>
  <c r="A3130" i="8"/>
  <c r="C3129" i="8"/>
  <c r="G3129" i="8"/>
  <c r="B3129" i="8"/>
  <c r="A3131" i="8" l="1"/>
  <c r="C3130" i="8"/>
  <c r="G3130" i="8"/>
  <c r="B3130" i="8"/>
  <c r="E3130" i="8"/>
  <c r="D3130" i="8"/>
  <c r="E3131" i="8" l="1"/>
  <c r="D3131" i="8"/>
  <c r="A3132" i="8"/>
  <c r="C3131" i="8"/>
  <c r="G3131" i="8"/>
  <c r="B3131" i="8"/>
  <c r="A3133" i="8" l="1"/>
  <c r="C3132" i="8"/>
  <c r="G3132" i="8"/>
  <c r="B3132" i="8"/>
  <c r="E3132" i="8"/>
  <c r="D3132" i="8"/>
  <c r="E3133" i="8" l="1"/>
  <c r="D3133" i="8"/>
  <c r="A3134" i="8"/>
  <c r="C3133" i="8"/>
  <c r="G3133" i="8"/>
  <c r="B3133" i="8"/>
  <c r="A3135" i="8" l="1"/>
  <c r="C3134" i="8"/>
  <c r="G3134" i="8"/>
  <c r="B3134" i="8"/>
  <c r="E3134" i="8"/>
  <c r="D3134" i="8"/>
  <c r="E3135" i="8" l="1"/>
  <c r="D3135" i="8"/>
  <c r="A3136" i="8"/>
  <c r="C3135" i="8"/>
  <c r="B3135" i="8"/>
  <c r="G3135" i="8"/>
  <c r="A3137" i="8" l="1"/>
  <c r="C3136" i="8"/>
  <c r="G3136" i="8"/>
  <c r="B3136" i="8"/>
  <c r="E3136" i="8"/>
  <c r="D3136" i="8"/>
  <c r="E3137" i="8" l="1"/>
  <c r="D3137" i="8"/>
  <c r="A3138" i="8"/>
  <c r="C3137" i="8"/>
  <c r="G3137" i="8"/>
  <c r="B3137" i="8"/>
  <c r="A3139" i="8" l="1"/>
  <c r="C3138" i="8"/>
  <c r="G3138" i="8"/>
  <c r="B3138" i="8"/>
  <c r="E3138" i="8"/>
  <c r="D3138" i="8"/>
  <c r="E3139" i="8" l="1"/>
  <c r="D3139" i="8"/>
  <c r="A3140" i="8"/>
  <c r="C3139" i="8"/>
  <c r="G3139" i="8"/>
  <c r="B3139" i="8"/>
  <c r="A3141" i="8" l="1"/>
  <c r="C3140" i="8"/>
  <c r="G3140" i="8"/>
  <c r="B3140" i="8"/>
  <c r="E3140" i="8"/>
  <c r="D3140" i="8"/>
  <c r="E3141" i="8" l="1"/>
  <c r="D3141" i="8"/>
  <c r="A3142" i="8"/>
  <c r="C3141" i="8"/>
  <c r="G3141" i="8"/>
  <c r="B3141" i="8"/>
  <c r="A3143" i="8" l="1"/>
  <c r="C3142" i="8"/>
  <c r="G3142" i="8"/>
  <c r="B3142" i="8"/>
  <c r="E3142" i="8"/>
  <c r="D3142" i="8"/>
  <c r="E3143" i="8" l="1"/>
  <c r="D3143" i="8"/>
  <c r="A3144" i="8"/>
  <c r="C3143" i="8"/>
  <c r="B3143" i="8"/>
  <c r="G3143" i="8"/>
  <c r="A3145" i="8" l="1"/>
  <c r="C3144" i="8"/>
  <c r="G3144" i="8"/>
  <c r="B3144" i="8"/>
  <c r="E3144" i="8"/>
  <c r="D3144" i="8"/>
  <c r="E3145" i="8" l="1"/>
  <c r="D3145" i="8"/>
  <c r="A3146" i="8"/>
  <c r="C3145" i="8"/>
  <c r="G3145" i="8"/>
  <c r="B3145" i="8"/>
  <c r="A3147" i="8" l="1"/>
  <c r="C3146" i="8"/>
  <c r="G3146" i="8"/>
  <c r="B3146" i="8"/>
  <c r="E3146" i="8"/>
  <c r="D3146" i="8"/>
  <c r="E3147" i="8" l="1"/>
  <c r="D3147" i="8"/>
  <c r="A3148" i="8"/>
  <c r="C3147" i="8"/>
  <c r="G3147" i="8"/>
  <c r="B3147" i="8"/>
  <c r="A3149" i="8" l="1"/>
  <c r="C3148" i="8"/>
  <c r="G3148" i="8"/>
  <c r="B3148" i="8"/>
  <c r="E3148" i="8"/>
  <c r="D3148" i="8"/>
  <c r="E3149" i="8" l="1"/>
  <c r="D3149" i="8"/>
  <c r="A3150" i="8"/>
  <c r="C3149" i="8"/>
  <c r="G3149" i="8"/>
  <c r="B3149" i="8"/>
  <c r="A3151" i="8" l="1"/>
  <c r="C3150" i="8"/>
  <c r="G3150" i="8"/>
  <c r="B3150" i="8"/>
  <c r="E3150" i="8"/>
  <c r="D3150" i="8"/>
  <c r="E3151" i="8" l="1"/>
  <c r="D3151" i="8"/>
  <c r="A3152" i="8"/>
  <c r="C3151" i="8"/>
  <c r="B3151" i="8"/>
  <c r="G3151" i="8"/>
  <c r="A3153" i="8" l="1"/>
  <c r="C3152" i="8"/>
  <c r="G3152" i="8"/>
  <c r="B3152" i="8"/>
  <c r="E3152" i="8"/>
  <c r="D3152" i="8"/>
  <c r="E3153" i="8" l="1"/>
  <c r="D3153" i="8"/>
  <c r="A3154" i="8"/>
  <c r="C3153" i="8"/>
  <c r="G3153" i="8"/>
  <c r="B3153" i="8"/>
  <c r="A3155" i="8" l="1"/>
  <c r="C3154" i="8"/>
  <c r="G3154" i="8"/>
  <c r="B3154" i="8"/>
  <c r="E3154" i="8"/>
  <c r="D3154" i="8"/>
  <c r="G3155" i="8" l="1"/>
  <c r="B3155" i="8"/>
  <c r="A3156" i="8"/>
  <c r="E3155" i="8"/>
  <c r="D3155" i="8"/>
  <c r="C3155" i="8"/>
  <c r="D3156" i="8" l="1"/>
  <c r="A3157" i="8"/>
  <c r="G3156" i="8"/>
  <c r="E3156" i="8"/>
  <c r="C3156" i="8"/>
  <c r="B3156" i="8"/>
  <c r="G3157" i="8" l="1"/>
  <c r="B3157" i="8"/>
  <c r="E3157" i="8"/>
  <c r="A3158" i="8"/>
  <c r="D3157" i="8"/>
  <c r="C3157" i="8"/>
  <c r="D3158" i="8" l="1"/>
  <c r="A3159" i="8"/>
  <c r="C3158" i="8"/>
  <c r="B3158" i="8"/>
  <c r="G3158" i="8"/>
  <c r="E3158" i="8"/>
  <c r="G3159" i="8" l="1"/>
  <c r="E3159" i="8"/>
  <c r="B3159" i="8"/>
  <c r="A3160" i="8"/>
  <c r="D3159" i="8"/>
  <c r="C3159" i="8"/>
  <c r="D3160" i="8" l="1"/>
  <c r="A3161" i="8"/>
  <c r="C3160" i="8"/>
  <c r="B3160" i="8"/>
  <c r="G3160" i="8"/>
  <c r="E3160" i="8"/>
  <c r="G3161" i="8" l="1"/>
  <c r="B3161" i="8"/>
  <c r="E3161" i="8"/>
  <c r="D3161" i="8"/>
  <c r="C3161" i="8"/>
  <c r="A3162" i="8"/>
  <c r="D3162" i="8" l="1"/>
  <c r="A3163" i="8"/>
  <c r="C3162" i="8"/>
  <c r="G3162" i="8"/>
  <c r="E3162" i="8"/>
  <c r="B3162" i="8"/>
  <c r="G3163" i="8" l="1"/>
  <c r="B3163" i="8"/>
  <c r="E3163" i="8"/>
  <c r="A3164" i="8"/>
  <c r="D3163" i="8"/>
  <c r="C3163" i="8"/>
  <c r="D3164" i="8" l="1"/>
  <c r="A3165" i="8"/>
  <c r="C3164" i="8"/>
  <c r="B3164" i="8"/>
  <c r="G3164" i="8"/>
  <c r="E3164" i="8"/>
  <c r="G3165" i="8" l="1"/>
  <c r="B3165" i="8"/>
  <c r="E3165" i="8"/>
  <c r="D3165" i="8"/>
  <c r="C3165" i="8"/>
  <c r="A3166" i="8"/>
  <c r="D3166" i="8" l="1"/>
  <c r="A3167" i="8"/>
  <c r="C3166" i="8"/>
  <c r="G3166" i="8"/>
  <c r="E3166" i="8"/>
  <c r="B3166" i="8"/>
  <c r="G3167" i="8" l="1"/>
  <c r="B3167" i="8"/>
  <c r="E3167" i="8"/>
  <c r="A3168" i="8"/>
  <c r="D3167" i="8"/>
  <c r="C3167" i="8"/>
  <c r="D3168" i="8" l="1"/>
  <c r="A3169" i="8"/>
  <c r="C3168" i="8"/>
  <c r="B3168" i="8"/>
  <c r="G3168" i="8"/>
  <c r="E3168" i="8"/>
  <c r="G3169" i="8" l="1"/>
  <c r="B3169" i="8"/>
  <c r="E3169" i="8"/>
  <c r="D3169" i="8"/>
  <c r="C3169" i="8"/>
  <c r="A3170" i="8"/>
  <c r="D3170" i="8" l="1"/>
  <c r="A3171" i="8"/>
  <c r="C3170" i="8"/>
  <c r="G3170" i="8"/>
  <c r="E3170" i="8"/>
  <c r="B3170" i="8"/>
  <c r="G3171" i="8" l="1"/>
  <c r="B3171" i="8"/>
  <c r="E3171" i="8"/>
  <c r="A3172" i="8"/>
  <c r="D3171" i="8"/>
  <c r="C3171" i="8"/>
  <c r="D3172" i="8" l="1"/>
  <c r="A3173" i="8"/>
  <c r="C3172" i="8"/>
  <c r="B3172" i="8"/>
  <c r="G3172" i="8"/>
  <c r="E3172" i="8"/>
  <c r="G3173" i="8" l="1"/>
  <c r="B3173" i="8"/>
  <c r="E3173" i="8"/>
  <c r="D3173" i="8"/>
  <c r="C3173" i="8"/>
  <c r="A3174" i="8"/>
  <c r="D3174" i="8" l="1"/>
  <c r="A3175" i="8"/>
  <c r="C3174" i="8"/>
  <c r="G3174" i="8"/>
  <c r="E3174" i="8"/>
  <c r="B3174" i="8"/>
  <c r="G3175" i="8" l="1"/>
  <c r="B3175" i="8"/>
  <c r="E3175" i="8"/>
  <c r="A3176" i="8"/>
  <c r="D3175" i="8"/>
  <c r="C3175" i="8"/>
  <c r="D3176" i="8" l="1"/>
  <c r="A3177" i="8"/>
  <c r="C3176" i="8"/>
  <c r="B3176" i="8"/>
  <c r="G3176" i="8"/>
  <c r="E3176" i="8"/>
  <c r="G3177" i="8" l="1"/>
  <c r="B3177" i="8"/>
  <c r="E3177" i="8"/>
  <c r="D3177" i="8"/>
  <c r="C3177" i="8"/>
  <c r="A3178" i="8"/>
  <c r="D3178" i="8" l="1"/>
  <c r="A3179" i="8"/>
  <c r="C3178" i="8"/>
  <c r="G3178" i="8"/>
  <c r="E3178" i="8"/>
  <c r="B3178" i="8"/>
  <c r="G3179" i="8" l="1"/>
  <c r="B3179" i="8"/>
  <c r="E3179" i="8"/>
  <c r="A3180" i="8"/>
  <c r="D3179" i="8"/>
  <c r="C3179" i="8"/>
  <c r="D3180" i="8" l="1"/>
  <c r="A3181" i="8"/>
  <c r="C3180" i="8"/>
  <c r="B3180" i="8"/>
  <c r="G3180" i="8"/>
  <c r="E3180" i="8"/>
  <c r="G3181" i="8" l="1"/>
  <c r="B3181" i="8"/>
  <c r="E3181" i="8"/>
  <c r="D3181" i="8"/>
  <c r="C3181" i="8"/>
  <c r="A3182" i="8"/>
  <c r="D3182" i="8" l="1"/>
  <c r="A3183" i="8"/>
  <c r="C3182" i="8"/>
  <c r="G3182" i="8"/>
  <c r="E3182" i="8"/>
  <c r="B3182" i="8"/>
  <c r="G3183" i="8" l="1"/>
  <c r="B3183" i="8"/>
  <c r="E3183" i="8"/>
  <c r="A3184" i="8"/>
  <c r="D3183" i="8"/>
  <c r="C3183" i="8"/>
  <c r="D3184" i="8" l="1"/>
  <c r="A3185" i="8"/>
  <c r="C3184" i="8"/>
  <c r="B3184" i="8"/>
  <c r="G3184" i="8"/>
  <c r="E3184" i="8"/>
  <c r="G3185" i="8" l="1"/>
  <c r="B3185" i="8"/>
  <c r="E3185" i="8"/>
  <c r="D3185" i="8"/>
  <c r="C3185" i="8"/>
  <c r="A3186" i="8"/>
  <c r="D3186" i="8" l="1"/>
  <c r="A3187" i="8"/>
  <c r="C3186" i="8"/>
  <c r="G3186" i="8"/>
  <c r="E3186" i="8"/>
  <c r="B3186" i="8"/>
  <c r="G3187" i="8" l="1"/>
  <c r="B3187" i="8"/>
  <c r="E3187" i="8"/>
  <c r="A3188" i="8"/>
  <c r="D3187" i="8"/>
  <c r="C3187" i="8"/>
  <c r="D3188" i="8" l="1"/>
  <c r="A3189" i="8"/>
  <c r="C3188" i="8"/>
  <c r="B3188" i="8"/>
  <c r="G3188" i="8"/>
  <c r="E3188" i="8"/>
  <c r="G3189" i="8" l="1"/>
  <c r="B3189" i="8"/>
  <c r="E3189" i="8"/>
  <c r="D3189" i="8"/>
  <c r="C3189" i="8"/>
  <c r="A3190" i="8"/>
  <c r="D3190" i="8" l="1"/>
  <c r="A3191" i="8"/>
  <c r="C3190" i="8"/>
  <c r="G3190" i="8"/>
  <c r="E3190" i="8"/>
  <c r="B3190" i="8"/>
  <c r="G3191" i="8" l="1"/>
  <c r="B3191" i="8"/>
  <c r="E3191" i="8"/>
  <c r="A3192" i="8"/>
  <c r="D3191" i="8"/>
  <c r="C3191" i="8"/>
  <c r="D3192" i="8" l="1"/>
  <c r="A3193" i="8"/>
  <c r="C3192" i="8"/>
  <c r="B3192" i="8"/>
  <c r="G3192" i="8"/>
  <c r="E3192" i="8"/>
  <c r="G3193" i="8" l="1"/>
  <c r="B3193" i="8"/>
  <c r="E3193" i="8"/>
  <c r="D3193" i="8"/>
  <c r="C3193" i="8"/>
  <c r="A3194" i="8"/>
  <c r="D3194" i="8" l="1"/>
  <c r="A3195" i="8"/>
  <c r="C3194" i="8"/>
  <c r="G3194" i="8"/>
  <c r="E3194" i="8"/>
  <c r="B3194" i="8"/>
  <c r="G3195" i="8" l="1"/>
  <c r="B3195" i="8"/>
  <c r="E3195" i="8"/>
  <c r="A3196" i="8"/>
  <c r="D3195" i="8"/>
  <c r="C3195" i="8"/>
  <c r="D3196" i="8" l="1"/>
  <c r="A3197" i="8"/>
  <c r="C3196" i="8"/>
  <c r="B3196" i="8"/>
  <c r="G3196" i="8"/>
  <c r="E3196" i="8"/>
  <c r="G3197" i="8" l="1"/>
  <c r="B3197" i="8"/>
  <c r="E3197" i="8"/>
  <c r="D3197" i="8"/>
  <c r="C3197" i="8"/>
  <c r="A3198" i="8"/>
  <c r="D3198" i="8" l="1"/>
  <c r="A3199" i="8"/>
  <c r="C3198" i="8"/>
  <c r="G3198" i="8"/>
  <c r="E3198" i="8"/>
  <c r="B3198" i="8"/>
  <c r="G3199" i="8" l="1"/>
  <c r="B3199" i="8"/>
  <c r="E3199" i="8"/>
  <c r="A3200" i="8"/>
  <c r="D3199" i="8"/>
  <c r="C3199" i="8"/>
  <c r="D3200" i="8" l="1"/>
  <c r="A3201" i="8"/>
  <c r="C3200" i="8"/>
  <c r="B3200" i="8"/>
  <c r="G3200" i="8"/>
  <c r="E3200" i="8"/>
  <c r="G3201" i="8" l="1"/>
  <c r="B3201" i="8"/>
  <c r="E3201" i="8"/>
  <c r="D3201" i="8"/>
  <c r="C3201" i="8"/>
  <c r="A3202" i="8"/>
  <c r="D3202" i="8" l="1"/>
  <c r="A3203" i="8"/>
  <c r="C3202" i="8"/>
  <c r="G3202" i="8"/>
  <c r="E3202" i="8"/>
  <c r="B3202" i="8"/>
  <c r="G3203" i="8" l="1"/>
  <c r="B3203" i="8"/>
  <c r="E3203" i="8"/>
  <c r="A3204" i="8"/>
  <c r="D3203" i="8"/>
  <c r="C3203" i="8"/>
  <c r="D3204" i="8" l="1"/>
  <c r="A3205" i="8"/>
  <c r="C3204" i="8"/>
  <c r="B3204" i="8"/>
  <c r="G3204" i="8"/>
  <c r="E3204" i="8"/>
  <c r="G3205" i="8" l="1"/>
  <c r="B3205" i="8"/>
  <c r="E3205" i="8"/>
  <c r="D3205" i="8"/>
  <c r="C3205" i="8"/>
  <c r="A3206" i="8"/>
  <c r="D3206" i="8" l="1"/>
  <c r="A3207" i="8"/>
  <c r="C3206" i="8"/>
  <c r="G3206" i="8"/>
  <c r="E3206" i="8"/>
  <c r="B3206" i="8"/>
  <c r="G3207" i="8" l="1"/>
  <c r="B3207" i="8"/>
  <c r="E3207" i="8"/>
  <c r="A3208" i="8"/>
  <c r="D3207" i="8"/>
  <c r="C3207" i="8"/>
  <c r="D3208" i="8" l="1"/>
  <c r="A3209" i="8"/>
  <c r="C3208" i="8"/>
  <c r="B3208" i="8"/>
  <c r="G3208" i="8"/>
  <c r="E3208" i="8"/>
  <c r="G3209" i="8" l="1"/>
  <c r="B3209" i="8"/>
  <c r="E3209" i="8"/>
  <c r="D3209" i="8"/>
  <c r="C3209" i="8"/>
  <c r="A3210" i="8"/>
  <c r="D3210" i="8" l="1"/>
  <c r="A3211" i="8"/>
  <c r="C3210" i="8"/>
  <c r="G3210" i="8"/>
  <c r="E3210" i="8"/>
  <c r="B3210" i="8"/>
  <c r="G3211" i="8" l="1"/>
  <c r="B3211" i="8"/>
  <c r="E3211" i="8"/>
  <c r="A3212" i="8"/>
  <c r="D3211" i="8"/>
  <c r="C3211" i="8"/>
  <c r="D3212" i="8" l="1"/>
  <c r="A3213" i="8"/>
  <c r="C3212" i="8"/>
  <c r="B3212" i="8"/>
  <c r="G3212" i="8"/>
  <c r="E3212" i="8"/>
  <c r="G3213" i="8" l="1"/>
  <c r="B3213" i="8"/>
  <c r="E3213" i="8"/>
  <c r="D3213" i="8"/>
  <c r="C3213" i="8"/>
  <c r="A3214" i="8"/>
  <c r="D3214" i="8" l="1"/>
  <c r="A3215" i="8"/>
  <c r="C3214" i="8"/>
  <c r="G3214" i="8"/>
  <c r="E3214" i="8"/>
  <c r="B3214" i="8"/>
  <c r="G3215" i="8" l="1"/>
  <c r="B3215" i="8"/>
  <c r="E3215" i="8"/>
  <c r="A3216" i="8"/>
  <c r="D3215" i="8"/>
  <c r="C3215" i="8"/>
  <c r="D3216" i="8" l="1"/>
  <c r="A3217" i="8"/>
  <c r="C3216" i="8"/>
  <c r="B3216" i="8"/>
  <c r="G3216" i="8"/>
  <c r="E3216" i="8"/>
  <c r="G3217" i="8" l="1"/>
  <c r="B3217" i="8"/>
  <c r="E3217" i="8"/>
  <c r="D3217" i="8"/>
  <c r="C3217" i="8"/>
  <c r="A3218" i="8"/>
  <c r="D3218" i="8" l="1"/>
  <c r="A3219" i="8"/>
  <c r="C3218" i="8"/>
  <c r="G3218" i="8"/>
  <c r="E3218" i="8"/>
  <c r="B3218" i="8"/>
  <c r="G3219" i="8" l="1"/>
  <c r="B3219" i="8"/>
  <c r="E3219" i="8"/>
  <c r="A3220" i="8"/>
  <c r="D3219" i="8"/>
  <c r="C3219" i="8"/>
  <c r="D3220" i="8" l="1"/>
  <c r="A3221" i="8"/>
  <c r="C3220" i="8"/>
  <c r="B3220" i="8"/>
  <c r="G3220" i="8"/>
  <c r="E3220" i="8"/>
  <c r="G3221" i="8" l="1"/>
  <c r="B3221" i="8"/>
  <c r="E3221" i="8"/>
  <c r="D3221" i="8"/>
  <c r="C3221" i="8"/>
  <c r="A3222" i="8"/>
  <c r="D3222" i="8" l="1"/>
  <c r="A3223" i="8"/>
  <c r="C3222" i="8"/>
  <c r="G3222" i="8"/>
  <c r="E3222" i="8"/>
  <c r="B3222" i="8"/>
  <c r="G3223" i="8" l="1"/>
  <c r="B3223" i="8"/>
  <c r="E3223" i="8"/>
  <c r="A3224" i="8"/>
  <c r="D3223" i="8"/>
  <c r="C3223" i="8"/>
  <c r="D3224" i="8" l="1"/>
  <c r="A3225" i="8"/>
  <c r="C3224" i="8"/>
  <c r="B3224" i="8"/>
  <c r="G3224" i="8"/>
  <c r="E3224" i="8"/>
  <c r="G3225" i="8" l="1"/>
  <c r="B3225" i="8"/>
  <c r="E3225" i="8"/>
  <c r="D3225" i="8"/>
  <c r="C3225" i="8"/>
  <c r="A3226" i="8"/>
  <c r="D3226" i="8" l="1"/>
  <c r="A3227" i="8"/>
  <c r="C3226" i="8"/>
  <c r="G3226" i="8"/>
  <c r="E3226" i="8"/>
  <c r="B3226" i="8"/>
  <c r="G3227" i="8" l="1"/>
  <c r="B3227" i="8"/>
  <c r="E3227" i="8"/>
  <c r="A3228" i="8"/>
  <c r="D3227" i="8"/>
  <c r="C3227" i="8"/>
  <c r="D3228" i="8" l="1"/>
  <c r="A3229" i="8"/>
  <c r="C3228" i="8"/>
  <c r="B3228" i="8"/>
  <c r="G3228" i="8"/>
  <c r="E3228" i="8"/>
  <c r="G3229" i="8" l="1"/>
  <c r="B3229" i="8"/>
  <c r="E3229" i="8"/>
  <c r="D3229" i="8"/>
  <c r="C3229" i="8"/>
  <c r="A3230" i="8"/>
  <c r="D3230" i="8" l="1"/>
  <c r="A3231" i="8"/>
  <c r="C3230" i="8"/>
  <c r="G3230" i="8"/>
  <c r="E3230" i="8"/>
  <c r="B3230" i="8"/>
  <c r="G3231" i="8" l="1"/>
  <c r="B3231" i="8"/>
  <c r="E3231" i="8"/>
  <c r="A3232" i="8"/>
  <c r="D3231" i="8"/>
  <c r="C3231" i="8"/>
  <c r="D3232" i="8" l="1"/>
  <c r="A3233" i="8"/>
  <c r="C3232" i="8"/>
  <c r="B3232" i="8"/>
  <c r="G3232" i="8"/>
  <c r="E3232" i="8"/>
  <c r="G3233" i="8" l="1"/>
  <c r="B3233" i="8"/>
  <c r="E3233" i="8"/>
  <c r="D3233" i="8"/>
  <c r="C3233" i="8"/>
  <c r="A3234" i="8"/>
  <c r="D3234" i="8" l="1"/>
  <c r="A3235" i="8"/>
  <c r="C3234" i="8"/>
  <c r="G3234" i="8"/>
  <c r="E3234" i="8"/>
  <c r="B3234" i="8"/>
  <c r="G3235" i="8" l="1"/>
  <c r="B3235" i="8"/>
  <c r="E3235" i="8"/>
  <c r="A3236" i="8"/>
  <c r="D3235" i="8"/>
  <c r="C3235" i="8"/>
  <c r="D3236" i="8" l="1"/>
  <c r="A3237" i="8"/>
  <c r="C3236" i="8"/>
  <c r="B3236" i="8"/>
  <c r="G3236" i="8"/>
  <c r="E3236" i="8"/>
  <c r="G3237" i="8" l="1"/>
  <c r="B3237" i="8"/>
  <c r="E3237" i="8"/>
  <c r="D3237" i="8"/>
  <c r="C3237" i="8"/>
  <c r="A3238" i="8"/>
  <c r="D3238" i="8" l="1"/>
  <c r="A3239" i="8"/>
  <c r="C3238" i="8"/>
  <c r="G3238" i="8"/>
  <c r="E3238" i="8"/>
  <c r="B3238" i="8"/>
  <c r="G3239" i="8" l="1"/>
  <c r="B3239" i="8"/>
  <c r="E3239" i="8"/>
  <c r="A3240" i="8"/>
  <c r="D3239" i="8"/>
  <c r="C3239" i="8"/>
  <c r="D3240" i="8" l="1"/>
  <c r="A3241" i="8"/>
  <c r="C3240" i="8"/>
  <c r="B3240" i="8"/>
  <c r="G3240" i="8"/>
  <c r="E3240" i="8"/>
  <c r="G3241" i="8" l="1"/>
  <c r="B3241" i="8"/>
  <c r="E3241" i="8"/>
  <c r="D3241" i="8"/>
  <c r="C3241" i="8"/>
  <c r="A3242" i="8"/>
  <c r="D3242" i="8" l="1"/>
  <c r="A3243" i="8"/>
  <c r="C3242" i="8"/>
  <c r="G3242" i="8"/>
  <c r="E3242" i="8"/>
  <c r="B3242" i="8"/>
  <c r="G3243" i="8" l="1"/>
  <c r="B3243" i="8"/>
  <c r="E3243" i="8"/>
  <c r="A3244" i="8"/>
  <c r="D3243" i="8"/>
  <c r="C3243" i="8"/>
  <c r="D3244" i="8" l="1"/>
  <c r="A3245" i="8"/>
  <c r="C3244" i="8"/>
  <c r="B3244" i="8"/>
  <c r="G3244" i="8"/>
  <c r="E3244" i="8"/>
  <c r="G3245" i="8" l="1"/>
  <c r="B3245" i="8"/>
  <c r="E3245" i="8"/>
  <c r="D3245" i="8"/>
  <c r="C3245" i="8"/>
  <c r="A3246" i="8"/>
  <c r="D3246" i="8" l="1"/>
  <c r="A3247" i="8"/>
  <c r="C3246" i="8"/>
  <c r="G3246" i="8"/>
  <c r="E3246" i="8"/>
  <c r="B3246" i="8"/>
  <c r="G3247" i="8" l="1"/>
  <c r="B3247" i="8"/>
  <c r="E3247" i="8"/>
  <c r="A3248" i="8"/>
  <c r="D3247" i="8"/>
  <c r="C3247" i="8"/>
  <c r="D3248" i="8" l="1"/>
  <c r="A3249" i="8"/>
  <c r="C3248" i="8"/>
  <c r="B3248" i="8"/>
  <c r="G3248" i="8"/>
  <c r="E3248" i="8"/>
  <c r="G3249" i="8" l="1"/>
  <c r="B3249" i="8"/>
  <c r="E3249" i="8"/>
  <c r="D3249" i="8"/>
  <c r="C3249" i="8"/>
  <c r="A3250" i="8"/>
  <c r="D3250" i="8" l="1"/>
  <c r="A3251" i="8"/>
  <c r="C3250" i="8"/>
  <c r="G3250" i="8"/>
  <c r="E3250" i="8"/>
  <c r="B3250" i="8"/>
  <c r="G3251" i="8" l="1"/>
  <c r="B3251" i="8"/>
  <c r="E3251" i="8"/>
  <c r="A3252" i="8"/>
  <c r="D3251" i="8"/>
  <c r="C3251" i="8"/>
  <c r="D3252" i="8" l="1"/>
  <c r="A3253" i="8"/>
  <c r="C3252" i="8"/>
  <c r="B3252" i="8"/>
  <c r="G3252" i="8"/>
  <c r="E3252" i="8"/>
  <c r="G3253" i="8" l="1"/>
  <c r="B3253" i="8"/>
  <c r="E3253" i="8"/>
  <c r="D3253" i="8"/>
  <c r="C3253" i="8"/>
  <c r="A3254" i="8"/>
  <c r="D3254" i="8" l="1"/>
  <c r="A3255" i="8"/>
  <c r="C3254" i="8"/>
  <c r="G3254" i="8"/>
  <c r="E3254" i="8"/>
  <c r="B3254" i="8"/>
  <c r="G3255" i="8" l="1"/>
  <c r="B3255" i="8"/>
  <c r="E3255" i="8"/>
  <c r="A3256" i="8"/>
  <c r="D3255" i="8"/>
  <c r="C3255" i="8"/>
  <c r="D3256" i="8" l="1"/>
  <c r="A3257" i="8"/>
  <c r="C3256" i="8"/>
  <c r="B3256" i="8"/>
  <c r="G3256" i="8"/>
  <c r="E3256" i="8"/>
  <c r="G3257" i="8" l="1"/>
  <c r="B3257" i="8"/>
  <c r="E3257" i="8"/>
  <c r="D3257" i="8"/>
  <c r="C3257" i="8"/>
  <c r="A3258" i="8"/>
  <c r="D3258" i="8" l="1"/>
  <c r="A3259" i="8"/>
  <c r="C3258" i="8"/>
  <c r="G3258" i="8"/>
  <c r="E3258" i="8"/>
  <c r="B3258" i="8"/>
  <c r="G3259" i="8" l="1"/>
  <c r="B3259" i="8"/>
  <c r="E3259" i="8"/>
  <c r="A3260" i="8"/>
  <c r="D3259" i="8"/>
  <c r="C3259" i="8"/>
  <c r="D3260" i="8" l="1"/>
  <c r="A3261" i="8"/>
  <c r="C3260" i="8"/>
  <c r="B3260" i="8"/>
  <c r="G3260" i="8"/>
  <c r="E3260" i="8"/>
  <c r="G3261" i="8" l="1"/>
  <c r="B3261" i="8"/>
  <c r="E3261" i="8"/>
  <c r="D3261" i="8"/>
  <c r="C3261" i="8"/>
  <c r="A3262" i="8"/>
  <c r="D3262" i="8" l="1"/>
  <c r="A3263" i="8"/>
  <c r="C3262" i="8"/>
  <c r="G3262" i="8"/>
  <c r="E3262" i="8"/>
  <c r="B3262" i="8"/>
  <c r="G3263" i="8" l="1"/>
  <c r="B3263" i="8"/>
  <c r="E3263" i="8"/>
  <c r="A3264" i="8"/>
  <c r="D3263" i="8"/>
  <c r="C3263" i="8"/>
  <c r="D3264" i="8" l="1"/>
  <c r="A3265" i="8"/>
  <c r="C3264" i="8"/>
  <c r="B3264" i="8"/>
  <c r="G3264" i="8"/>
  <c r="E3264" i="8"/>
  <c r="G3265" i="8" l="1"/>
  <c r="B3265" i="8"/>
  <c r="E3265" i="8"/>
  <c r="D3265" i="8"/>
  <c r="C3265" i="8"/>
  <c r="A3266" i="8"/>
  <c r="D3266" i="8" l="1"/>
  <c r="A3267" i="8"/>
  <c r="C3266" i="8"/>
  <c r="G3266" i="8"/>
  <c r="E3266" i="8"/>
  <c r="B3266" i="8"/>
  <c r="G3267" i="8" l="1"/>
  <c r="B3267" i="8"/>
  <c r="E3267" i="8"/>
  <c r="A3268" i="8"/>
  <c r="D3267" i="8"/>
  <c r="C3267" i="8"/>
  <c r="D3268" i="8" l="1"/>
  <c r="A3269" i="8"/>
  <c r="C3268" i="8"/>
  <c r="B3268" i="8"/>
  <c r="G3268" i="8"/>
  <c r="E3268" i="8"/>
  <c r="G3269" i="8" l="1"/>
  <c r="B3269" i="8"/>
  <c r="E3269" i="8"/>
  <c r="D3269" i="8"/>
  <c r="C3269" i="8"/>
  <c r="A3270" i="8"/>
  <c r="D3270" i="8" l="1"/>
  <c r="A3271" i="8"/>
  <c r="C3270" i="8"/>
  <c r="G3270" i="8"/>
  <c r="E3270" i="8"/>
  <c r="B3270" i="8"/>
  <c r="G3271" i="8" l="1"/>
  <c r="B3271" i="8"/>
  <c r="E3271" i="8"/>
  <c r="A3272" i="8"/>
  <c r="D3271" i="8"/>
  <c r="C3271" i="8"/>
  <c r="D3272" i="8" l="1"/>
  <c r="A3273" i="8"/>
  <c r="C3272" i="8"/>
  <c r="B3272" i="8"/>
  <c r="G3272" i="8"/>
  <c r="E3272" i="8"/>
  <c r="G3273" i="8" l="1"/>
  <c r="B3273" i="8"/>
  <c r="E3273" i="8"/>
  <c r="D3273" i="8"/>
  <c r="C3273" i="8"/>
  <c r="A3274" i="8"/>
  <c r="D3274" i="8" l="1"/>
  <c r="A3275" i="8"/>
  <c r="C3274" i="8"/>
  <c r="G3274" i="8"/>
  <c r="E3274" i="8"/>
  <c r="B3274" i="8"/>
  <c r="G3275" i="8" l="1"/>
  <c r="B3275" i="8"/>
  <c r="E3275" i="8"/>
  <c r="A3276" i="8"/>
  <c r="D3275" i="8"/>
  <c r="C3275" i="8"/>
  <c r="D3276" i="8" l="1"/>
  <c r="A3277" i="8"/>
  <c r="C3276" i="8"/>
  <c r="B3276" i="8"/>
  <c r="G3276" i="8"/>
  <c r="E3276" i="8"/>
  <c r="G3277" i="8" l="1"/>
  <c r="B3277" i="8"/>
  <c r="E3277" i="8"/>
  <c r="D3277" i="8"/>
  <c r="C3277" i="8"/>
  <c r="A3278" i="8"/>
  <c r="D3278" i="8" l="1"/>
  <c r="A3279" i="8"/>
  <c r="C3278" i="8"/>
  <c r="G3278" i="8"/>
  <c r="E3278" i="8"/>
  <c r="B3278" i="8"/>
  <c r="G3279" i="8" l="1"/>
  <c r="B3279" i="8"/>
  <c r="E3279" i="8"/>
  <c r="A3280" i="8"/>
  <c r="D3279" i="8"/>
  <c r="C3279" i="8"/>
  <c r="D3280" i="8" l="1"/>
  <c r="A3281" i="8"/>
  <c r="C3280" i="8"/>
  <c r="B3280" i="8"/>
  <c r="G3280" i="8"/>
  <c r="E3280" i="8"/>
  <c r="G3281" i="8" l="1"/>
  <c r="B3281" i="8"/>
  <c r="E3281" i="8"/>
  <c r="D3281" i="8"/>
  <c r="C3281" i="8"/>
  <c r="A3282" i="8"/>
  <c r="D3282" i="8" l="1"/>
  <c r="A3283" i="8"/>
  <c r="C3282" i="8"/>
  <c r="G3282" i="8"/>
  <c r="E3282" i="8"/>
  <c r="B3282" i="8"/>
  <c r="G3283" i="8" l="1"/>
  <c r="B3283" i="8"/>
  <c r="E3283" i="8"/>
  <c r="A3284" i="8"/>
  <c r="D3283" i="8"/>
  <c r="C3283" i="8"/>
  <c r="D3284" i="8" l="1"/>
  <c r="A3285" i="8"/>
  <c r="C3284" i="8"/>
  <c r="B3284" i="8"/>
  <c r="G3284" i="8"/>
  <c r="E3284" i="8"/>
  <c r="G3285" i="8" l="1"/>
  <c r="B3285" i="8"/>
  <c r="E3285" i="8"/>
  <c r="D3285" i="8"/>
  <c r="C3285" i="8"/>
  <c r="A3286" i="8"/>
  <c r="D3286" i="8" l="1"/>
  <c r="A3287" i="8"/>
  <c r="C3286" i="8"/>
  <c r="G3286" i="8"/>
  <c r="E3286" i="8"/>
  <c r="B3286" i="8"/>
  <c r="G3287" i="8" l="1"/>
  <c r="B3287" i="8"/>
  <c r="E3287" i="8"/>
  <c r="A3288" i="8"/>
  <c r="D3287" i="8"/>
  <c r="C3287" i="8"/>
  <c r="D3288" i="8" l="1"/>
  <c r="A3289" i="8"/>
  <c r="C3288" i="8"/>
  <c r="B3288" i="8"/>
  <c r="G3288" i="8"/>
  <c r="E3288" i="8"/>
  <c r="G3289" i="8" l="1"/>
  <c r="B3289" i="8"/>
  <c r="E3289" i="8"/>
  <c r="D3289" i="8"/>
  <c r="C3289" i="8"/>
  <c r="A3290" i="8"/>
  <c r="D3290" i="8" l="1"/>
  <c r="A3291" i="8"/>
  <c r="C3290" i="8"/>
  <c r="G3290" i="8"/>
  <c r="E3290" i="8"/>
  <c r="B3290" i="8"/>
  <c r="G3291" i="8" l="1"/>
  <c r="B3291" i="8"/>
  <c r="E3291" i="8"/>
  <c r="A3292" i="8"/>
  <c r="D3291" i="8"/>
  <c r="C3291" i="8"/>
  <c r="D3292" i="8" l="1"/>
  <c r="A3293" i="8"/>
  <c r="C3292" i="8"/>
  <c r="B3292" i="8"/>
  <c r="G3292" i="8"/>
  <c r="E3292" i="8"/>
  <c r="G3293" i="8" l="1"/>
  <c r="B3293" i="8"/>
  <c r="E3293" i="8"/>
  <c r="D3293" i="8"/>
  <c r="C3293" i="8"/>
  <c r="A3294" i="8"/>
  <c r="D3294" i="8" l="1"/>
  <c r="A3295" i="8"/>
  <c r="C3294" i="8"/>
  <c r="G3294" i="8"/>
  <c r="E3294" i="8"/>
  <c r="B3294" i="8"/>
  <c r="G3295" i="8" l="1"/>
  <c r="B3295" i="8"/>
  <c r="E3295" i="8"/>
  <c r="A3296" i="8"/>
  <c r="D3295" i="8"/>
  <c r="C3295" i="8"/>
  <c r="D3296" i="8" l="1"/>
  <c r="A3297" i="8"/>
  <c r="C3296" i="8"/>
  <c r="B3296" i="8"/>
  <c r="G3296" i="8"/>
  <c r="E3296" i="8"/>
  <c r="G3297" i="8" l="1"/>
  <c r="B3297" i="8"/>
  <c r="E3297" i="8"/>
  <c r="D3297" i="8"/>
  <c r="C3297" i="8"/>
  <c r="A3298" i="8"/>
  <c r="D3298" i="8" l="1"/>
  <c r="A3299" i="8"/>
  <c r="C3298" i="8"/>
  <c r="G3298" i="8"/>
  <c r="E3298" i="8"/>
  <c r="B3298" i="8"/>
  <c r="G3299" i="8" l="1"/>
  <c r="B3299" i="8"/>
  <c r="E3299" i="8"/>
  <c r="A3300" i="8"/>
  <c r="D3299" i="8"/>
  <c r="C3299" i="8"/>
  <c r="D3300" i="8" l="1"/>
  <c r="A3301" i="8"/>
  <c r="C3300" i="8"/>
  <c r="B3300" i="8"/>
  <c r="G3300" i="8"/>
  <c r="E3300" i="8"/>
  <c r="G3301" i="8" l="1"/>
  <c r="B3301" i="8"/>
  <c r="E3301" i="8"/>
  <c r="D3301" i="8"/>
  <c r="C3301" i="8"/>
  <c r="A3302" i="8"/>
  <c r="D3302" i="8" l="1"/>
  <c r="A3303" i="8"/>
  <c r="C3302" i="8"/>
  <c r="G3302" i="8"/>
  <c r="E3302" i="8"/>
  <c r="B3302" i="8"/>
  <c r="G3303" i="8" l="1"/>
  <c r="B3303" i="8"/>
  <c r="E3303" i="8"/>
  <c r="A3304" i="8"/>
  <c r="D3303" i="8"/>
  <c r="C3303" i="8"/>
  <c r="D3304" i="8" l="1"/>
  <c r="A3305" i="8"/>
  <c r="C3304" i="8"/>
  <c r="B3304" i="8"/>
  <c r="G3304" i="8"/>
  <c r="E3304" i="8"/>
  <c r="G3305" i="8" l="1"/>
  <c r="B3305" i="8"/>
  <c r="E3305" i="8"/>
  <c r="D3305" i="8"/>
  <c r="C3305" i="8"/>
  <c r="A3306" i="8"/>
  <c r="D3306" i="8" l="1"/>
  <c r="A3307" i="8"/>
  <c r="C3306" i="8"/>
  <c r="G3306" i="8"/>
  <c r="E3306" i="8"/>
  <c r="B3306" i="8"/>
  <c r="G3307" i="8" l="1"/>
  <c r="B3307" i="8"/>
  <c r="E3307" i="8"/>
  <c r="A3308" i="8"/>
  <c r="D3307" i="8"/>
  <c r="C3307" i="8"/>
  <c r="D3308" i="8" l="1"/>
  <c r="A3309" i="8"/>
  <c r="C3308" i="8"/>
  <c r="B3308" i="8"/>
  <c r="G3308" i="8"/>
  <c r="E3308" i="8"/>
  <c r="G3309" i="8" l="1"/>
  <c r="B3309" i="8"/>
  <c r="E3309" i="8"/>
  <c r="D3309" i="8"/>
  <c r="C3309" i="8"/>
  <c r="A3310" i="8"/>
  <c r="D3310" i="8" l="1"/>
  <c r="A3311" i="8"/>
  <c r="C3310" i="8"/>
  <c r="G3310" i="8"/>
  <c r="E3310" i="8"/>
  <c r="B3310" i="8"/>
  <c r="G3311" i="8" l="1"/>
  <c r="B3311" i="8"/>
  <c r="E3311" i="8"/>
  <c r="A3312" i="8"/>
  <c r="D3311" i="8"/>
  <c r="C3311" i="8"/>
  <c r="D3312" i="8" l="1"/>
  <c r="A3313" i="8"/>
  <c r="C3312" i="8"/>
  <c r="B3312" i="8"/>
  <c r="G3312" i="8"/>
  <c r="E3312" i="8"/>
  <c r="G3313" i="8" l="1"/>
  <c r="B3313" i="8"/>
  <c r="E3313" i="8"/>
  <c r="D3313" i="8"/>
  <c r="C3313" i="8"/>
  <c r="A3314" i="8"/>
  <c r="D3314" i="8" l="1"/>
  <c r="A3315" i="8"/>
  <c r="C3314" i="8"/>
  <c r="G3314" i="8"/>
  <c r="E3314" i="8"/>
  <c r="B3314" i="8"/>
  <c r="G3315" i="8" l="1"/>
  <c r="B3315" i="8"/>
  <c r="E3315" i="8"/>
  <c r="A3316" i="8"/>
  <c r="D3315" i="8"/>
  <c r="C3315" i="8"/>
  <c r="D3316" i="8" l="1"/>
  <c r="A3317" i="8"/>
  <c r="C3316" i="8"/>
  <c r="B3316" i="8"/>
  <c r="G3316" i="8"/>
  <c r="E3316" i="8"/>
  <c r="G3317" i="8" l="1"/>
  <c r="B3317" i="8"/>
  <c r="E3317" i="8"/>
  <c r="D3317" i="8"/>
  <c r="C3317" i="8"/>
  <c r="A3318" i="8"/>
  <c r="D3318" i="8" l="1"/>
  <c r="A3319" i="8"/>
  <c r="C3318" i="8"/>
  <c r="G3318" i="8"/>
  <c r="E3318" i="8"/>
  <c r="B3318" i="8"/>
  <c r="G3319" i="8" l="1"/>
  <c r="B3319" i="8"/>
  <c r="E3319" i="8"/>
  <c r="A3320" i="8"/>
  <c r="D3319" i="8"/>
  <c r="C3319" i="8"/>
  <c r="D3320" i="8" l="1"/>
  <c r="A3321" i="8"/>
  <c r="C3320" i="8"/>
  <c r="B3320" i="8"/>
  <c r="G3320" i="8"/>
  <c r="E3320" i="8"/>
  <c r="G3321" i="8" l="1"/>
  <c r="B3321" i="8"/>
  <c r="E3321" i="8"/>
  <c r="D3321" i="8"/>
  <c r="C3321" i="8"/>
  <c r="A3322" i="8"/>
  <c r="D3322" i="8" l="1"/>
  <c r="A3323" i="8"/>
  <c r="C3322" i="8"/>
  <c r="G3322" i="8"/>
  <c r="E3322" i="8"/>
  <c r="B3322" i="8"/>
  <c r="G3323" i="8" l="1"/>
  <c r="B3323" i="8"/>
  <c r="E3323" i="8"/>
  <c r="A3324" i="8"/>
  <c r="D3323" i="8"/>
  <c r="C3323" i="8"/>
  <c r="D3324" i="8" l="1"/>
  <c r="A3325" i="8"/>
  <c r="C3324" i="8"/>
  <c r="B3324" i="8"/>
  <c r="G3324" i="8"/>
  <c r="E3324" i="8"/>
  <c r="G3325" i="8" l="1"/>
  <c r="B3325" i="8"/>
  <c r="E3325" i="8"/>
  <c r="D3325" i="8"/>
  <c r="C3325" i="8"/>
  <c r="A3326" i="8"/>
  <c r="D3326" i="8" l="1"/>
  <c r="A3327" i="8"/>
  <c r="C3326" i="8"/>
  <c r="G3326" i="8"/>
  <c r="E3326" i="8"/>
  <c r="B3326" i="8"/>
  <c r="G3327" i="8" l="1"/>
  <c r="B3327" i="8"/>
  <c r="E3327" i="8"/>
  <c r="A3328" i="8"/>
  <c r="D3327" i="8"/>
  <c r="C3327" i="8"/>
  <c r="D3328" i="8" l="1"/>
  <c r="A3329" i="8"/>
  <c r="C3328" i="8"/>
  <c r="B3328" i="8"/>
  <c r="G3328" i="8"/>
  <c r="E3328" i="8"/>
  <c r="G3329" i="8" l="1"/>
  <c r="B3329" i="8"/>
  <c r="E3329" i="8"/>
  <c r="D3329" i="8"/>
  <c r="C3329" i="8"/>
  <c r="A3330" i="8"/>
  <c r="D3330" i="8" l="1"/>
  <c r="A3331" i="8"/>
  <c r="C3330" i="8"/>
  <c r="G3330" i="8"/>
  <c r="E3330" i="8"/>
  <c r="B3330" i="8"/>
  <c r="G3331" i="8" l="1"/>
  <c r="B3331" i="8"/>
  <c r="E3331" i="8"/>
  <c r="A3332" i="8"/>
  <c r="D3331" i="8"/>
  <c r="C3331" i="8"/>
  <c r="D3332" i="8" l="1"/>
  <c r="A3333" i="8"/>
  <c r="C3332" i="8"/>
  <c r="B3332" i="8"/>
  <c r="G3332" i="8"/>
  <c r="E3332" i="8"/>
  <c r="G3333" i="8" l="1"/>
  <c r="B3333" i="8"/>
  <c r="E3333" i="8"/>
  <c r="D3333" i="8"/>
  <c r="C3333" i="8"/>
  <c r="A3334" i="8"/>
  <c r="D3334" i="8" l="1"/>
  <c r="A3335" i="8"/>
  <c r="C3334" i="8"/>
  <c r="G3334" i="8"/>
  <c r="E3334" i="8"/>
  <c r="B3334" i="8"/>
  <c r="G3335" i="8" l="1"/>
  <c r="B3335" i="8"/>
  <c r="E3335" i="8"/>
  <c r="A3336" i="8"/>
  <c r="D3335" i="8"/>
  <c r="C3335" i="8"/>
  <c r="D3336" i="8" l="1"/>
  <c r="A3337" i="8"/>
  <c r="C3336" i="8"/>
  <c r="B3336" i="8"/>
  <c r="G3336" i="8"/>
  <c r="E3336" i="8"/>
  <c r="G3337" i="8" l="1"/>
  <c r="B3337" i="8"/>
  <c r="E3337" i="8"/>
  <c r="D3337" i="8"/>
  <c r="C3337" i="8"/>
  <c r="A3338" i="8"/>
  <c r="D3338" i="8" l="1"/>
  <c r="A3339" i="8"/>
  <c r="C3338" i="8"/>
  <c r="G3338" i="8"/>
  <c r="E3338" i="8"/>
  <c r="B3338" i="8"/>
  <c r="G3339" i="8" l="1"/>
  <c r="B3339" i="8"/>
  <c r="E3339" i="8"/>
  <c r="A3340" i="8"/>
  <c r="D3339" i="8"/>
  <c r="C3339" i="8"/>
  <c r="D3340" i="8" l="1"/>
  <c r="A3341" i="8"/>
  <c r="C3340" i="8"/>
  <c r="B3340" i="8"/>
  <c r="G3340" i="8"/>
  <c r="E3340" i="8"/>
  <c r="G3341" i="8" l="1"/>
  <c r="B3341" i="8"/>
  <c r="E3341" i="8"/>
  <c r="D3341" i="8"/>
  <c r="C3341" i="8"/>
  <c r="A3342" i="8"/>
  <c r="D3342" i="8" l="1"/>
  <c r="A3343" i="8"/>
  <c r="C3342" i="8"/>
  <c r="G3342" i="8"/>
  <c r="E3342" i="8"/>
  <c r="B3342" i="8"/>
  <c r="G3343" i="8" l="1"/>
  <c r="B3343" i="8"/>
  <c r="E3343" i="8"/>
  <c r="A3344" i="8"/>
  <c r="D3343" i="8"/>
  <c r="C3343" i="8"/>
  <c r="D3344" i="8" l="1"/>
  <c r="A3345" i="8"/>
  <c r="C3344" i="8"/>
  <c r="B3344" i="8"/>
  <c r="G3344" i="8"/>
  <c r="E3344" i="8"/>
  <c r="G3345" i="8" l="1"/>
  <c r="B3345" i="8"/>
  <c r="E3345" i="8"/>
  <c r="D3345" i="8"/>
  <c r="C3345" i="8"/>
  <c r="A3346" i="8"/>
  <c r="D3346" i="8" l="1"/>
  <c r="A3347" i="8"/>
  <c r="C3346" i="8"/>
  <c r="G3346" i="8"/>
  <c r="E3346" i="8"/>
  <c r="B3346" i="8"/>
  <c r="G3347" i="8" l="1"/>
  <c r="B3347" i="8"/>
  <c r="E3347" i="8"/>
  <c r="C3347" i="8"/>
  <c r="A3348" i="8"/>
  <c r="D3347" i="8"/>
  <c r="D3348" i="8" l="1"/>
  <c r="A3349" i="8"/>
  <c r="C3348" i="8"/>
  <c r="B3348" i="8"/>
  <c r="G3348" i="8"/>
  <c r="E3348" i="8"/>
  <c r="G3349" i="8" l="1"/>
  <c r="B3349" i="8"/>
  <c r="E3349" i="8"/>
  <c r="D3349" i="8"/>
  <c r="A3350" i="8"/>
  <c r="C3349" i="8"/>
  <c r="D3350" i="8" l="1"/>
  <c r="A3351" i="8"/>
  <c r="C3350" i="8"/>
  <c r="G3350" i="8"/>
  <c r="E3350" i="8"/>
  <c r="B3350" i="8"/>
  <c r="G3351" i="8" l="1"/>
  <c r="B3351" i="8"/>
  <c r="E3351" i="8"/>
  <c r="A3352" i="8"/>
  <c r="C3351" i="8"/>
  <c r="D3351" i="8"/>
  <c r="D3352" i="8" l="1"/>
  <c r="A3353" i="8"/>
  <c r="C3352" i="8"/>
  <c r="B3352" i="8"/>
  <c r="G3352" i="8"/>
  <c r="E3352" i="8"/>
  <c r="G3353" i="8" l="1"/>
  <c r="B3353" i="8"/>
  <c r="E3353" i="8"/>
  <c r="D3353" i="8"/>
  <c r="C3353" i="8"/>
  <c r="A3354" i="8"/>
  <c r="D3354" i="8" l="1"/>
  <c r="A3355" i="8"/>
  <c r="C3354" i="8"/>
  <c r="G3354" i="8"/>
  <c r="E3354" i="8"/>
  <c r="B3354" i="8"/>
  <c r="G3355" i="8" l="1"/>
  <c r="B3355" i="8"/>
  <c r="E3355" i="8"/>
  <c r="A3356" i="8"/>
  <c r="D3355" i="8"/>
  <c r="C3355" i="8"/>
  <c r="D3356" i="8" l="1"/>
  <c r="A3357" i="8"/>
  <c r="C3356" i="8"/>
  <c r="B3356" i="8"/>
  <c r="E3356" i="8"/>
  <c r="G3356" i="8"/>
  <c r="G3357" i="8" l="1"/>
  <c r="B3357" i="8"/>
  <c r="E3357" i="8"/>
  <c r="D3357" i="8"/>
  <c r="C3357" i="8"/>
  <c r="A3358" i="8"/>
  <c r="D3358" i="8" l="1"/>
  <c r="A3359" i="8"/>
  <c r="C3358" i="8"/>
  <c r="G3358" i="8"/>
  <c r="E3358" i="8"/>
  <c r="B3358" i="8"/>
  <c r="G3359" i="8" l="1"/>
  <c r="B3359" i="8"/>
  <c r="E3359" i="8"/>
  <c r="A3360" i="8"/>
  <c r="C3359" i="8"/>
  <c r="D3359" i="8"/>
  <c r="D3360" i="8" l="1"/>
  <c r="A3361" i="8"/>
  <c r="C3360" i="8"/>
  <c r="B3360" i="8"/>
  <c r="G3360" i="8"/>
  <c r="E3360" i="8"/>
  <c r="G3361" i="8" l="1"/>
  <c r="B3361" i="8"/>
  <c r="E3361" i="8"/>
  <c r="D3361" i="8"/>
  <c r="C3361" i="8"/>
  <c r="A3362" i="8"/>
  <c r="D3362" i="8" l="1"/>
  <c r="A3363" i="8"/>
  <c r="C3362" i="8"/>
  <c r="G3362" i="8"/>
  <c r="E3362" i="8"/>
  <c r="B3362" i="8"/>
  <c r="G3363" i="8" l="1"/>
  <c r="B3363" i="8"/>
  <c r="E3363" i="8"/>
  <c r="A3364" i="8"/>
  <c r="D3363" i="8"/>
  <c r="C3363" i="8"/>
  <c r="D3364" i="8" l="1"/>
  <c r="A3365" i="8"/>
  <c r="C3364" i="8"/>
  <c r="B3364" i="8"/>
  <c r="E3364" i="8"/>
  <c r="G3364" i="8"/>
  <c r="G3365" i="8" l="1"/>
  <c r="B3365" i="8"/>
  <c r="E3365" i="8"/>
  <c r="D3365" i="8"/>
  <c r="C3365" i="8"/>
  <c r="A3366" i="8"/>
  <c r="D3366" i="8" l="1"/>
  <c r="A3367" i="8"/>
  <c r="C3366" i="8"/>
  <c r="G3366" i="8"/>
  <c r="E3366" i="8"/>
  <c r="B3366" i="8"/>
  <c r="G3367" i="8" l="1"/>
  <c r="B3367" i="8"/>
  <c r="E3367" i="8"/>
  <c r="A3368" i="8"/>
  <c r="C3367" i="8"/>
  <c r="D3367" i="8"/>
  <c r="D3368" i="8" l="1"/>
  <c r="A3369" i="8"/>
  <c r="C3368" i="8"/>
  <c r="B3368" i="8"/>
  <c r="G3368" i="8"/>
  <c r="E3368" i="8"/>
  <c r="G3369" i="8" l="1"/>
  <c r="B3369" i="8"/>
  <c r="E3369" i="8"/>
  <c r="D3369" i="8"/>
  <c r="C3369" i="8"/>
  <c r="A3370" i="8"/>
  <c r="D3370" i="8" l="1"/>
  <c r="A3371" i="8"/>
  <c r="C3370" i="8"/>
  <c r="G3370" i="8"/>
  <c r="E3370" i="8"/>
  <c r="B3370" i="8"/>
  <c r="G3371" i="8" l="1"/>
  <c r="B3371" i="8"/>
  <c r="E3371" i="8"/>
  <c r="A3372" i="8"/>
  <c r="D3371" i="8"/>
  <c r="C3371" i="8"/>
  <c r="D3372" i="8" l="1"/>
  <c r="A3373" i="8"/>
  <c r="C3372" i="8"/>
  <c r="B3372" i="8"/>
  <c r="E3372" i="8"/>
  <c r="G3372" i="8"/>
  <c r="G3373" i="8" l="1"/>
  <c r="B3373" i="8"/>
  <c r="E3373" i="8"/>
  <c r="D3373" i="8"/>
  <c r="C3373" i="8"/>
  <c r="A3374" i="8"/>
  <c r="D3374" i="8" l="1"/>
  <c r="A3375" i="8"/>
  <c r="C3374" i="8"/>
  <c r="G3374" i="8"/>
  <c r="E3374" i="8"/>
  <c r="B3374" i="8"/>
  <c r="G3375" i="8" l="1"/>
  <c r="B3375" i="8"/>
  <c r="E3375" i="8"/>
  <c r="A3376" i="8"/>
  <c r="C3375" i="8"/>
  <c r="D3375" i="8"/>
  <c r="D3376" i="8" l="1"/>
  <c r="A3377" i="8"/>
  <c r="C3376" i="8"/>
  <c r="B3376" i="8"/>
  <c r="G3376" i="8"/>
  <c r="E3376" i="8"/>
  <c r="G3377" i="8" l="1"/>
  <c r="B3377" i="8"/>
  <c r="E3377" i="8"/>
  <c r="D3377" i="8"/>
  <c r="C3377" i="8"/>
  <c r="A3378" i="8"/>
  <c r="D3378" i="8" l="1"/>
  <c r="A3379" i="8"/>
  <c r="C3378" i="8"/>
  <c r="G3378" i="8"/>
  <c r="E3378" i="8"/>
  <c r="B3378" i="8"/>
  <c r="G3379" i="8" l="1"/>
  <c r="B3379" i="8"/>
  <c r="E3379" i="8"/>
  <c r="A3380" i="8"/>
  <c r="D3379" i="8"/>
  <c r="C3379" i="8"/>
  <c r="D3380" i="8" l="1"/>
  <c r="A3381" i="8"/>
  <c r="C3380" i="8"/>
  <c r="B3380" i="8"/>
  <c r="E3380" i="8"/>
  <c r="G3380" i="8"/>
  <c r="G3381" i="8" l="1"/>
  <c r="B3381" i="8"/>
  <c r="E3381" i="8"/>
  <c r="D3381" i="8"/>
  <c r="C3381" i="8"/>
  <c r="A3382" i="8"/>
  <c r="D3382" i="8" l="1"/>
  <c r="A3383" i="8"/>
  <c r="C3382" i="8"/>
  <c r="G3382" i="8"/>
  <c r="E3382" i="8"/>
  <c r="B3382" i="8"/>
  <c r="G3383" i="8" l="1"/>
  <c r="B3383" i="8"/>
  <c r="E3383" i="8"/>
  <c r="A3384" i="8"/>
  <c r="C3383" i="8"/>
  <c r="D3383" i="8"/>
  <c r="D3384" i="8" l="1"/>
  <c r="A3385" i="8"/>
  <c r="C3384" i="8"/>
  <c r="B3384" i="8"/>
  <c r="G3384" i="8"/>
  <c r="E3384" i="8"/>
  <c r="G3385" i="8" l="1"/>
  <c r="B3385" i="8"/>
  <c r="E3385" i="8"/>
  <c r="D3385" i="8"/>
  <c r="C3385" i="8"/>
  <c r="A3386" i="8"/>
  <c r="D3386" i="8" l="1"/>
  <c r="A3387" i="8"/>
  <c r="C3386" i="8"/>
  <c r="G3386" i="8"/>
  <c r="E3386" i="8"/>
  <c r="B3386" i="8"/>
  <c r="G3387" i="8" l="1"/>
  <c r="B3387" i="8"/>
  <c r="E3387" i="8"/>
  <c r="A3388" i="8"/>
  <c r="D3387" i="8"/>
  <c r="C3387" i="8"/>
  <c r="D3388" i="8" l="1"/>
  <c r="A3389" i="8"/>
  <c r="C3388" i="8"/>
  <c r="B3388" i="8"/>
  <c r="E3388" i="8"/>
  <c r="G3388" i="8"/>
  <c r="G3389" i="8" l="1"/>
  <c r="B3389" i="8"/>
  <c r="E3389" i="8"/>
  <c r="D3389" i="8"/>
  <c r="C3389" i="8"/>
  <c r="A3390" i="8"/>
  <c r="D3390" i="8" l="1"/>
  <c r="A3391" i="8"/>
  <c r="C3390" i="8"/>
  <c r="G3390" i="8"/>
  <c r="E3390" i="8"/>
  <c r="B3390" i="8"/>
  <c r="G3391" i="8" l="1"/>
  <c r="B3391" i="8"/>
  <c r="E3391" i="8"/>
  <c r="A3392" i="8"/>
  <c r="C3391" i="8"/>
  <c r="D3391" i="8"/>
  <c r="D3392" i="8" l="1"/>
  <c r="A3393" i="8"/>
  <c r="C3392" i="8"/>
  <c r="B3392" i="8"/>
  <c r="G3392" i="8"/>
  <c r="E3392" i="8"/>
  <c r="G3393" i="8" l="1"/>
  <c r="B3393" i="8"/>
  <c r="E3393" i="8"/>
  <c r="D3393" i="8"/>
  <c r="C3393" i="8"/>
  <c r="A3394" i="8"/>
  <c r="D3394" i="8" l="1"/>
  <c r="A3395" i="8"/>
  <c r="C3394" i="8"/>
  <c r="G3394" i="8"/>
  <c r="E3394" i="8"/>
  <c r="B3394" i="8"/>
  <c r="G3395" i="8" l="1"/>
  <c r="B3395" i="8"/>
  <c r="E3395" i="8"/>
  <c r="A3396" i="8"/>
  <c r="D3395" i="8"/>
  <c r="C3395" i="8"/>
  <c r="D3396" i="8" l="1"/>
  <c r="A3397" i="8"/>
  <c r="C3396" i="8"/>
  <c r="B3396" i="8"/>
  <c r="E3396" i="8"/>
  <c r="G3396" i="8"/>
  <c r="G3397" i="8" l="1"/>
  <c r="B3397" i="8"/>
  <c r="E3397" i="8"/>
  <c r="D3397" i="8"/>
  <c r="C3397" i="8"/>
  <c r="A3398" i="8"/>
  <c r="D3398" i="8" l="1"/>
  <c r="A3399" i="8"/>
  <c r="C3398" i="8"/>
  <c r="G3398" i="8"/>
  <c r="E3398" i="8"/>
  <c r="B3398" i="8"/>
  <c r="G3399" i="8" l="1"/>
  <c r="B3399" i="8"/>
  <c r="E3399" i="8"/>
  <c r="A3400" i="8"/>
  <c r="C3399" i="8"/>
  <c r="D3399" i="8"/>
  <c r="D3400" i="8" l="1"/>
  <c r="A3401" i="8"/>
  <c r="C3400" i="8"/>
  <c r="B3400" i="8"/>
  <c r="G3400" i="8"/>
  <c r="E3400" i="8"/>
  <c r="G3401" i="8" l="1"/>
  <c r="B3401" i="8"/>
  <c r="E3401" i="8"/>
  <c r="D3401" i="8"/>
  <c r="C3401" i="8"/>
  <c r="A3402" i="8"/>
  <c r="D3402" i="8" l="1"/>
  <c r="A3403" i="8"/>
  <c r="C3402" i="8"/>
  <c r="G3402" i="8"/>
  <c r="E3402" i="8"/>
  <c r="B3402" i="8"/>
  <c r="G3403" i="8" l="1"/>
  <c r="B3403" i="8"/>
  <c r="E3403" i="8"/>
  <c r="A3404" i="8"/>
  <c r="D3403" i="8"/>
  <c r="C3403" i="8"/>
  <c r="D3404" i="8" l="1"/>
  <c r="A3405" i="8"/>
  <c r="C3404" i="8"/>
  <c r="B3404" i="8"/>
  <c r="E3404" i="8"/>
  <c r="G3404" i="8"/>
  <c r="G3405" i="8" l="1"/>
  <c r="B3405" i="8"/>
  <c r="E3405" i="8"/>
  <c r="D3405" i="8"/>
  <c r="C3405" i="8"/>
  <c r="A3406" i="8"/>
  <c r="D3406" i="8" l="1"/>
  <c r="A3407" i="8"/>
  <c r="C3406" i="8"/>
  <c r="G3406" i="8"/>
  <c r="E3406" i="8"/>
  <c r="B3406" i="8"/>
  <c r="G3407" i="8" l="1"/>
  <c r="B3407" i="8"/>
  <c r="E3407" i="8"/>
  <c r="A3408" i="8"/>
  <c r="C3407" i="8"/>
  <c r="D3407" i="8"/>
  <c r="D3408" i="8" l="1"/>
  <c r="A3409" i="8"/>
  <c r="C3408" i="8"/>
  <c r="B3408" i="8"/>
  <c r="G3408" i="8"/>
  <c r="E3408" i="8"/>
  <c r="G3409" i="8" l="1"/>
  <c r="B3409" i="8"/>
  <c r="E3409" i="8"/>
  <c r="D3409" i="8"/>
  <c r="C3409" i="8"/>
  <c r="A3410" i="8"/>
  <c r="D3410" i="8" l="1"/>
  <c r="A3411" i="8"/>
  <c r="C3410" i="8"/>
  <c r="G3410" i="8"/>
  <c r="E3410" i="8"/>
  <c r="B3410" i="8"/>
  <c r="G3411" i="8" l="1"/>
  <c r="B3411" i="8"/>
  <c r="E3411" i="8"/>
  <c r="A3412" i="8"/>
  <c r="D3411" i="8"/>
  <c r="C3411" i="8"/>
  <c r="D3412" i="8" l="1"/>
  <c r="A3413" i="8"/>
  <c r="C3412" i="8"/>
  <c r="B3412" i="8"/>
  <c r="E3412" i="8"/>
  <c r="G3412" i="8"/>
  <c r="G3413" i="8" l="1"/>
  <c r="B3413" i="8"/>
  <c r="E3413" i="8"/>
  <c r="D3413" i="8"/>
  <c r="C3413" i="8"/>
  <c r="A3414" i="8"/>
  <c r="D3414" i="8" l="1"/>
  <c r="A3415" i="8"/>
  <c r="C3414" i="8"/>
  <c r="G3414" i="8"/>
  <c r="E3414" i="8"/>
  <c r="B3414" i="8"/>
  <c r="G3415" i="8" l="1"/>
  <c r="B3415" i="8"/>
  <c r="E3415" i="8"/>
  <c r="A3416" i="8"/>
  <c r="C3415" i="8"/>
  <c r="D3415" i="8"/>
  <c r="D3416" i="8" l="1"/>
  <c r="A3417" i="8"/>
  <c r="C3416" i="8"/>
  <c r="B3416" i="8"/>
  <c r="G3416" i="8"/>
  <c r="E3416" i="8"/>
  <c r="G3417" i="8" l="1"/>
  <c r="B3417" i="8"/>
  <c r="E3417" i="8"/>
  <c r="D3417" i="8"/>
  <c r="C3417" i="8"/>
  <c r="A3418" i="8"/>
  <c r="D3418" i="8" l="1"/>
  <c r="A3419" i="8"/>
  <c r="C3418" i="8"/>
  <c r="G3418" i="8"/>
  <c r="E3418" i="8"/>
  <c r="B3418" i="8"/>
  <c r="G3419" i="8" l="1"/>
  <c r="B3419" i="8"/>
  <c r="E3419" i="8"/>
  <c r="A3420" i="8"/>
  <c r="D3419" i="8"/>
  <c r="C3419" i="8"/>
  <c r="D3420" i="8" l="1"/>
  <c r="A3421" i="8"/>
  <c r="C3420" i="8"/>
  <c r="B3420" i="8"/>
  <c r="E3420" i="8"/>
  <c r="G3420" i="8"/>
  <c r="G3421" i="8" l="1"/>
  <c r="B3421" i="8"/>
  <c r="E3421" i="8"/>
  <c r="D3421" i="8"/>
  <c r="C3421" i="8"/>
  <c r="A3422" i="8"/>
  <c r="D3422" i="8" l="1"/>
  <c r="A3423" i="8"/>
  <c r="C3422" i="8"/>
  <c r="G3422" i="8"/>
  <c r="E3422" i="8"/>
  <c r="B3422" i="8"/>
  <c r="G3423" i="8" l="1"/>
  <c r="B3423" i="8"/>
  <c r="E3423" i="8"/>
  <c r="A3424" i="8"/>
  <c r="C3423" i="8"/>
  <c r="D3423" i="8"/>
  <c r="D3424" i="8" l="1"/>
  <c r="A3425" i="8"/>
  <c r="C3424" i="8"/>
  <c r="B3424" i="8"/>
  <c r="G3424" i="8"/>
  <c r="E3424" i="8"/>
  <c r="G3425" i="8" l="1"/>
  <c r="B3425" i="8"/>
  <c r="E3425" i="8"/>
  <c r="D3425" i="8"/>
  <c r="C3425" i="8"/>
  <c r="A3426" i="8"/>
  <c r="D3426" i="8" l="1"/>
  <c r="A3427" i="8"/>
  <c r="C3426" i="8"/>
  <c r="G3426" i="8"/>
  <c r="E3426" i="8"/>
  <c r="B3426" i="8"/>
  <c r="G3427" i="8" l="1"/>
  <c r="B3427" i="8"/>
  <c r="E3427" i="8"/>
  <c r="A3428" i="8"/>
  <c r="D3427" i="8"/>
  <c r="C3427" i="8"/>
  <c r="D3428" i="8" l="1"/>
  <c r="A3429" i="8"/>
  <c r="C3428" i="8"/>
  <c r="B3428" i="8"/>
  <c r="E3428" i="8"/>
  <c r="G3428" i="8"/>
  <c r="G3429" i="8" l="1"/>
  <c r="B3429" i="8"/>
  <c r="E3429" i="8"/>
  <c r="D3429" i="8"/>
  <c r="C3429" i="8"/>
  <c r="A3430" i="8"/>
  <c r="D3430" i="8" l="1"/>
  <c r="A3431" i="8"/>
  <c r="C3430" i="8"/>
  <c r="G3430" i="8"/>
  <c r="E3430" i="8"/>
  <c r="B3430" i="8"/>
  <c r="G3431" i="8" l="1"/>
  <c r="B3431" i="8"/>
  <c r="E3431" i="8"/>
  <c r="A3432" i="8"/>
  <c r="C3431" i="8"/>
  <c r="D3431" i="8"/>
  <c r="D3432" i="8" l="1"/>
  <c r="A3433" i="8"/>
  <c r="C3432" i="8"/>
  <c r="B3432" i="8"/>
  <c r="G3432" i="8"/>
  <c r="E3432" i="8"/>
  <c r="G3433" i="8" l="1"/>
  <c r="B3433" i="8"/>
  <c r="E3433" i="8"/>
  <c r="D3433" i="8"/>
  <c r="C3433" i="8"/>
  <c r="A3434" i="8"/>
  <c r="D3434" i="8" l="1"/>
  <c r="A3435" i="8"/>
  <c r="C3434" i="8"/>
  <c r="G3434" i="8"/>
  <c r="E3434" i="8"/>
  <c r="B3434" i="8"/>
  <c r="G3435" i="8" l="1"/>
  <c r="B3435" i="8"/>
  <c r="E3435" i="8"/>
  <c r="A3436" i="8"/>
  <c r="D3435" i="8"/>
  <c r="C3435" i="8"/>
  <c r="D3436" i="8" l="1"/>
  <c r="A3437" i="8"/>
  <c r="C3436" i="8"/>
  <c r="B3436" i="8"/>
  <c r="E3436" i="8"/>
  <c r="G3436" i="8"/>
  <c r="G3437" i="8" l="1"/>
  <c r="B3437" i="8"/>
  <c r="E3437" i="8"/>
  <c r="D3437" i="8"/>
  <c r="C3437" i="8"/>
  <c r="A3438" i="8"/>
  <c r="D3438" i="8" l="1"/>
  <c r="A3439" i="8"/>
  <c r="C3438" i="8"/>
  <c r="G3438" i="8"/>
  <c r="E3438" i="8"/>
  <c r="B3438" i="8"/>
  <c r="G3439" i="8" l="1"/>
  <c r="B3439" i="8"/>
  <c r="E3439" i="8"/>
  <c r="A3440" i="8"/>
  <c r="C3439" i="8"/>
  <c r="D3439" i="8"/>
  <c r="D3440" i="8" l="1"/>
  <c r="A3441" i="8"/>
  <c r="C3440" i="8"/>
  <c r="B3440" i="8"/>
  <c r="G3440" i="8"/>
  <c r="E3440" i="8"/>
  <c r="G3441" i="8" l="1"/>
  <c r="B3441" i="8"/>
  <c r="E3441" i="8"/>
  <c r="D3441" i="8"/>
  <c r="C3441" i="8"/>
  <c r="A3442" i="8"/>
  <c r="D3442" i="8" l="1"/>
  <c r="A3443" i="8"/>
  <c r="C3442" i="8"/>
  <c r="G3442" i="8"/>
  <c r="E3442" i="8"/>
  <c r="B3442" i="8"/>
  <c r="G3443" i="8" l="1"/>
  <c r="B3443" i="8"/>
  <c r="E3443" i="8"/>
  <c r="A3444" i="8"/>
  <c r="D3443" i="8"/>
  <c r="C3443" i="8"/>
  <c r="D3444" i="8" l="1"/>
  <c r="A3445" i="8"/>
  <c r="C3444" i="8"/>
  <c r="B3444" i="8"/>
  <c r="E3444" i="8"/>
  <c r="G3444" i="8"/>
  <c r="G3445" i="8" l="1"/>
  <c r="B3445" i="8"/>
  <c r="E3445" i="8"/>
  <c r="D3445" i="8"/>
  <c r="C3445" i="8"/>
  <c r="A3446" i="8"/>
  <c r="D3446" i="8" l="1"/>
  <c r="A3447" i="8"/>
  <c r="C3446" i="8"/>
  <c r="G3446" i="8"/>
  <c r="E3446" i="8"/>
  <c r="B3446" i="8"/>
  <c r="G3447" i="8" l="1"/>
  <c r="B3447" i="8"/>
  <c r="E3447" i="8"/>
  <c r="A3448" i="8"/>
  <c r="C3447" i="8"/>
  <c r="D3447" i="8"/>
  <c r="D3448" i="8" l="1"/>
  <c r="A3449" i="8"/>
  <c r="C3448" i="8"/>
  <c r="B3448" i="8"/>
  <c r="G3448" i="8"/>
  <c r="E3448" i="8"/>
  <c r="G3449" i="8" l="1"/>
  <c r="B3449" i="8"/>
  <c r="E3449" i="8"/>
  <c r="D3449" i="8"/>
  <c r="C3449" i="8"/>
  <c r="A3450" i="8"/>
  <c r="D3450" i="8" l="1"/>
  <c r="A3451" i="8"/>
  <c r="C3450" i="8"/>
  <c r="G3450" i="8"/>
  <c r="E3450" i="8"/>
  <c r="B3450" i="8"/>
  <c r="G3451" i="8" l="1"/>
  <c r="B3451" i="8"/>
  <c r="E3451" i="8"/>
  <c r="A3452" i="8"/>
  <c r="D3451" i="8"/>
  <c r="C3451" i="8"/>
  <c r="D3452" i="8" l="1"/>
  <c r="A3453" i="8"/>
  <c r="C3452" i="8"/>
  <c r="B3452" i="8"/>
  <c r="E3452" i="8"/>
  <c r="G3452" i="8"/>
  <c r="G3453" i="8" l="1"/>
  <c r="B3453" i="8"/>
  <c r="E3453" i="8"/>
  <c r="D3453" i="8"/>
  <c r="C3453" i="8"/>
  <c r="A3454" i="8"/>
  <c r="D3454" i="8" l="1"/>
  <c r="A3455" i="8"/>
  <c r="C3454" i="8"/>
  <c r="G3454" i="8"/>
  <c r="E3454" i="8"/>
  <c r="B3454" i="8"/>
  <c r="G3455" i="8" l="1"/>
  <c r="B3455" i="8"/>
  <c r="E3455" i="8"/>
  <c r="A3456" i="8"/>
  <c r="C3455" i="8"/>
  <c r="D3455" i="8"/>
  <c r="D3456" i="8" l="1"/>
  <c r="A3457" i="8"/>
  <c r="C3456" i="8"/>
  <c r="B3456" i="8"/>
  <c r="G3456" i="8"/>
  <c r="E3456" i="8"/>
  <c r="G3457" i="8" l="1"/>
  <c r="B3457" i="8"/>
  <c r="E3457" i="8"/>
  <c r="D3457" i="8"/>
  <c r="C3457" i="8"/>
  <c r="A3458" i="8"/>
  <c r="D3458" i="8" l="1"/>
  <c r="A3459" i="8"/>
  <c r="C3458" i="8"/>
  <c r="G3458" i="8"/>
  <c r="E3458" i="8"/>
  <c r="B3458" i="8"/>
  <c r="G3459" i="8" l="1"/>
  <c r="B3459" i="8"/>
  <c r="E3459" i="8"/>
  <c r="A3460" i="8"/>
  <c r="D3459" i="8"/>
  <c r="C3459" i="8"/>
  <c r="D3460" i="8" l="1"/>
  <c r="A3461" i="8"/>
  <c r="C3460" i="8"/>
  <c r="B3460" i="8"/>
  <c r="E3460" i="8"/>
  <c r="G3460" i="8"/>
  <c r="G3461" i="8" l="1"/>
  <c r="B3461" i="8"/>
  <c r="E3461" i="8"/>
  <c r="D3461" i="8"/>
  <c r="C3461" i="8"/>
  <c r="A3462" i="8"/>
  <c r="D3462" i="8" l="1"/>
  <c r="A3463" i="8"/>
  <c r="C3462" i="8"/>
  <c r="G3462" i="8"/>
  <c r="E3462" i="8"/>
  <c r="B3462" i="8"/>
  <c r="G3463" i="8" l="1"/>
  <c r="B3463" i="8"/>
  <c r="E3463" i="8"/>
  <c r="A3464" i="8"/>
  <c r="C3463" i="8"/>
  <c r="D3463" i="8"/>
  <c r="D3464" i="8" l="1"/>
  <c r="A3465" i="8"/>
  <c r="C3464" i="8"/>
  <c r="B3464" i="8"/>
  <c r="G3464" i="8"/>
  <c r="E3464" i="8"/>
  <c r="G3465" i="8" l="1"/>
  <c r="B3465" i="8"/>
  <c r="E3465" i="8"/>
  <c r="D3465" i="8"/>
  <c r="C3465" i="8"/>
  <c r="A3466" i="8"/>
  <c r="D3466" i="8" l="1"/>
  <c r="A3467" i="8"/>
  <c r="C3466" i="8"/>
  <c r="G3466" i="8"/>
  <c r="E3466" i="8"/>
  <c r="B3466" i="8"/>
  <c r="G3467" i="8" l="1"/>
  <c r="B3467" i="8"/>
  <c r="E3467" i="8"/>
  <c r="A3468" i="8"/>
  <c r="D3467" i="8"/>
  <c r="C3467" i="8"/>
  <c r="D3468" i="8" l="1"/>
  <c r="A3469" i="8"/>
  <c r="C3468" i="8"/>
  <c r="B3468" i="8"/>
  <c r="E3468" i="8"/>
  <c r="G3468" i="8"/>
  <c r="G3469" i="8" l="1"/>
  <c r="B3469" i="8"/>
  <c r="E3469" i="8"/>
  <c r="D3469" i="8"/>
  <c r="C3469" i="8"/>
  <c r="A3470" i="8"/>
  <c r="D3470" i="8" l="1"/>
  <c r="A3471" i="8"/>
  <c r="C3470" i="8"/>
  <c r="G3470" i="8"/>
  <c r="E3470" i="8"/>
  <c r="B3470" i="8"/>
  <c r="G3471" i="8" l="1"/>
  <c r="B3471" i="8"/>
  <c r="E3471" i="8"/>
  <c r="A3472" i="8"/>
  <c r="C3471" i="8"/>
  <c r="D3471" i="8"/>
  <c r="D3472" i="8" l="1"/>
  <c r="A3473" i="8"/>
  <c r="C3472" i="8"/>
  <c r="B3472" i="8"/>
  <c r="G3472" i="8"/>
  <c r="E3472" i="8"/>
  <c r="G3473" i="8" l="1"/>
  <c r="B3473" i="8"/>
  <c r="E3473" i="8"/>
  <c r="D3473" i="8"/>
  <c r="C3473" i="8"/>
  <c r="A3474" i="8"/>
  <c r="D3474" i="8" l="1"/>
  <c r="A3475" i="8"/>
  <c r="C3474" i="8"/>
  <c r="G3474" i="8"/>
  <c r="E3474" i="8"/>
  <c r="B3474" i="8"/>
  <c r="G3475" i="8" l="1"/>
  <c r="B3475" i="8"/>
  <c r="E3475" i="8"/>
  <c r="A3476" i="8"/>
  <c r="D3475" i="8"/>
  <c r="C3475" i="8"/>
  <c r="D3476" i="8" l="1"/>
  <c r="A3477" i="8"/>
  <c r="C3476" i="8"/>
  <c r="B3476" i="8"/>
  <c r="E3476" i="8"/>
  <c r="G3476" i="8"/>
  <c r="G3477" i="8" l="1"/>
  <c r="B3477" i="8"/>
  <c r="E3477" i="8"/>
  <c r="D3477" i="8"/>
  <c r="C3477" i="8"/>
  <c r="A3478" i="8"/>
  <c r="D3478" i="8" l="1"/>
  <c r="A3479" i="8"/>
  <c r="C3478" i="8"/>
  <c r="G3478" i="8"/>
  <c r="E3478" i="8"/>
  <c r="B3478" i="8"/>
  <c r="G3479" i="8" l="1"/>
  <c r="B3479" i="8"/>
  <c r="E3479" i="8"/>
  <c r="A3480" i="8"/>
  <c r="C3479" i="8"/>
  <c r="D3479" i="8"/>
  <c r="D3480" i="8" l="1"/>
  <c r="A3481" i="8"/>
  <c r="C3480" i="8"/>
  <c r="B3480" i="8"/>
  <c r="G3480" i="8"/>
  <c r="E3480" i="8"/>
  <c r="G3481" i="8" l="1"/>
  <c r="B3481" i="8"/>
  <c r="E3481" i="8"/>
  <c r="D3481" i="8"/>
  <c r="C3481" i="8"/>
  <c r="A3482" i="8"/>
  <c r="D3482" i="8" l="1"/>
  <c r="A3483" i="8"/>
  <c r="C3482" i="8"/>
  <c r="G3482" i="8"/>
  <c r="E3482" i="8"/>
  <c r="B3482" i="8"/>
  <c r="G3483" i="8" l="1"/>
  <c r="B3483" i="8"/>
  <c r="E3483" i="8"/>
  <c r="A3484" i="8"/>
  <c r="D3483" i="8"/>
  <c r="C3483" i="8"/>
  <c r="D3484" i="8" l="1"/>
  <c r="A3485" i="8"/>
  <c r="C3484" i="8"/>
  <c r="B3484" i="8"/>
  <c r="E3484" i="8"/>
  <c r="G3484" i="8"/>
  <c r="G3485" i="8" l="1"/>
  <c r="B3485" i="8"/>
  <c r="E3485" i="8"/>
  <c r="D3485" i="8"/>
  <c r="C3485" i="8"/>
  <c r="A3486" i="8"/>
  <c r="D3486" i="8" l="1"/>
  <c r="A3487" i="8"/>
  <c r="C3486" i="8"/>
  <c r="G3486" i="8"/>
  <c r="E3486" i="8"/>
  <c r="B3486" i="8"/>
  <c r="G3487" i="8" l="1"/>
  <c r="B3487" i="8"/>
  <c r="E3487" i="8"/>
  <c r="A3488" i="8"/>
  <c r="C3487" i="8"/>
  <c r="D3487" i="8"/>
  <c r="D3488" i="8" l="1"/>
  <c r="A3489" i="8"/>
  <c r="C3488" i="8"/>
  <c r="B3488" i="8"/>
  <c r="G3488" i="8"/>
  <c r="E3488" i="8"/>
  <c r="G3489" i="8" l="1"/>
  <c r="B3489" i="8"/>
  <c r="E3489" i="8"/>
  <c r="D3489" i="8"/>
  <c r="C3489" i="8"/>
  <c r="A3490" i="8"/>
  <c r="D3490" i="8" l="1"/>
  <c r="A3491" i="8"/>
  <c r="C3490" i="8"/>
  <c r="G3490" i="8"/>
  <c r="E3490" i="8"/>
  <c r="B3490" i="8"/>
  <c r="G3491" i="8" l="1"/>
  <c r="B3491" i="8"/>
  <c r="E3491" i="8"/>
  <c r="A3492" i="8"/>
  <c r="D3491" i="8"/>
  <c r="C3491" i="8"/>
  <c r="D3492" i="8" l="1"/>
  <c r="A3493" i="8"/>
  <c r="C3492" i="8"/>
  <c r="B3492" i="8"/>
  <c r="E3492" i="8"/>
  <c r="G3492" i="8"/>
  <c r="G3493" i="8" l="1"/>
  <c r="B3493" i="8"/>
  <c r="E3493" i="8"/>
  <c r="D3493" i="8"/>
  <c r="C3493" i="8"/>
  <c r="A3494" i="8"/>
  <c r="D3494" i="8" l="1"/>
  <c r="A3495" i="8"/>
  <c r="C3494" i="8"/>
  <c r="G3494" i="8"/>
  <c r="E3494" i="8"/>
  <c r="B3494" i="8"/>
  <c r="G3495" i="8" l="1"/>
  <c r="B3495" i="8"/>
  <c r="E3495" i="8"/>
  <c r="A3496" i="8"/>
  <c r="C3495" i="8"/>
  <c r="D3495" i="8"/>
  <c r="D3496" i="8" l="1"/>
  <c r="A3497" i="8"/>
  <c r="C3496" i="8"/>
  <c r="B3496" i="8"/>
  <c r="G3496" i="8"/>
  <c r="E3496" i="8"/>
  <c r="G3497" i="8" l="1"/>
  <c r="B3497" i="8"/>
  <c r="E3497" i="8"/>
  <c r="D3497" i="8"/>
  <c r="C3497" i="8"/>
  <c r="A3498" i="8"/>
  <c r="D3498" i="8" l="1"/>
  <c r="A3499" i="8"/>
  <c r="C3498" i="8"/>
  <c r="G3498" i="8"/>
  <c r="E3498" i="8"/>
  <c r="B3498" i="8"/>
  <c r="G3499" i="8" l="1"/>
  <c r="B3499" i="8"/>
  <c r="E3499" i="8"/>
  <c r="A3500" i="8"/>
  <c r="D3499" i="8"/>
  <c r="C3499" i="8"/>
  <c r="G3500" i="8" l="1"/>
  <c r="E3500" i="8"/>
  <c r="D3500" i="8"/>
  <c r="C3500" i="8"/>
  <c r="B3500" i="8"/>
  <c r="A3501" i="8"/>
  <c r="D3501" i="8" l="1"/>
  <c r="A3502" i="8"/>
  <c r="C3501" i="8"/>
  <c r="G3501" i="8"/>
  <c r="E3501" i="8"/>
  <c r="B3501" i="8"/>
  <c r="G3502" i="8" l="1"/>
  <c r="B3502" i="8"/>
  <c r="E3502" i="8"/>
  <c r="A3503" i="8"/>
  <c r="D3502" i="8"/>
  <c r="C3502" i="8"/>
  <c r="D3503" i="8" l="1"/>
  <c r="A3504" i="8"/>
  <c r="C3503" i="8"/>
  <c r="B3503" i="8"/>
  <c r="G3503" i="8"/>
  <c r="E3503" i="8"/>
  <c r="G3504" i="8" l="1"/>
  <c r="B3504" i="8"/>
  <c r="E3504" i="8"/>
  <c r="D3504" i="8"/>
  <c r="C3504" i="8"/>
  <c r="A3505" i="8"/>
  <c r="D3505" i="8" l="1"/>
  <c r="A3506" i="8"/>
  <c r="C3505" i="8"/>
  <c r="G3505" i="8"/>
  <c r="E3505" i="8"/>
  <c r="B3505" i="8"/>
  <c r="G3506" i="8" l="1"/>
  <c r="B3506" i="8"/>
  <c r="E3506" i="8"/>
  <c r="A3507" i="8"/>
  <c r="D3506" i="8"/>
  <c r="C3506" i="8"/>
  <c r="D3507" i="8" l="1"/>
  <c r="A3508" i="8"/>
  <c r="C3507" i="8"/>
  <c r="B3507" i="8"/>
  <c r="G3507" i="8"/>
  <c r="E3507" i="8"/>
  <c r="G3508" i="8" l="1"/>
  <c r="B3508" i="8"/>
  <c r="E3508" i="8"/>
  <c r="D3508" i="8"/>
  <c r="C3508" i="8"/>
  <c r="A3509" i="8"/>
  <c r="D3509" i="8" l="1"/>
  <c r="A3510" i="8"/>
  <c r="C3509" i="8"/>
  <c r="G3509" i="8"/>
  <c r="E3509" i="8"/>
  <c r="B3509" i="8"/>
  <c r="G3510" i="8" l="1"/>
  <c r="B3510" i="8"/>
  <c r="E3510" i="8"/>
  <c r="A3511" i="8"/>
  <c r="D3510" i="8"/>
  <c r="C3510" i="8"/>
  <c r="D3511" i="8" l="1"/>
  <c r="A3512" i="8"/>
  <c r="C3511" i="8"/>
  <c r="B3511" i="8"/>
  <c r="G3511" i="8"/>
  <c r="E3511" i="8"/>
  <c r="G3512" i="8" l="1"/>
  <c r="B3512" i="8"/>
  <c r="E3512" i="8"/>
  <c r="D3512" i="8"/>
  <c r="C3512" i="8"/>
  <c r="A3513" i="8"/>
  <c r="D3513" i="8" l="1"/>
  <c r="A3514" i="8"/>
  <c r="C3513" i="8"/>
  <c r="G3513" i="8"/>
  <c r="E3513" i="8"/>
  <c r="B3513" i="8"/>
  <c r="G3514" i="8" l="1"/>
  <c r="B3514" i="8"/>
  <c r="E3514" i="8"/>
  <c r="A3515" i="8"/>
  <c r="D3514" i="8"/>
  <c r="C3514" i="8"/>
  <c r="D3515" i="8" l="1"/>
  <c r="A3516" i="8"/>
  <c r="C3515" i="8"/>
  <c r="B3515" i="8"/>
  <c r="G3515" i="8"/>
  <c r="E3515" i="8"/>
  <c r="G3516" i="8" l="1"/>
  <c r="B3516" i="8"/>
  <c r="E3516" i="8"/>
  <c r="D3516" i="8"/>
  <c r="C3516" i="8"/>
  <c r="A3517" i="8"/>
  <c r="D3517" i="8" l="1"/>
  <c r="A3518" i="8"/>
  <c r="C3517" i="8"/>
  <c r="G3517" i="8"/>
  <c r="E3517" i="8"/>
  <c r="B3517" i="8"/>
  <c r="G3518" i="8" l="1"/>
  <c r="B3518" i="8"/>
  <c r="E3518" i="8"/>
  <c r="A3519" i="8"/>
  <c r="D3518" i="8"/>
  <c r="C3518" i="8"/>
  <c r="D3519" i="8" l="1"/>
  <c r="A3520" i="8"/>
  <c r="C3519" i="8"/>
  <c r="B3519" i="8"/>
  <c r="G3519" i="8"/>
  <c r="E3519" i="8"/>
  <c r="G3520" i="8" l="1"/>
  <c r="B3520" i="8"/>
  <c r="E3520" i="8"/>
  <c r="D3520" i="8"/>
  <c r="C3520" i="8"/>
  <c r="A3521" i="8"/>
  <c r="D3521" i="8" l="1"/>
  <c r="A3522" i="8"/>
  <c r="C3521" i="8"/>
  <c r="G3521" i="8"/>
  <c r="E3521" i="8"/>
  <c r="B3521" i="8"/>
  <c r="G3522" i="8" l="1"/>
  <c r="B3522" i="8"/>
  <c r="E3522" i="8"/>
  <c r="A3523" i="8"/>
  <c r="D3522" i="8"/>
  <c r="C3522" i="8"/>
  <c r="D3523" i="8" l="1"/>
  <c r="A3524" i="8"/>
  <c r="C3523" i="8"/>
  <c r="B3523" i="8"/>
  <c r="G3523" i="8"/>
  <c r="E3523" i="8"/>
  <c r="G3524" i="8" l="1"/>
  <c r="B3524" i="8"/>
  <c r="E3524" i="8"/>
  <c r="D3524" i="8"/>
  <c r="C3524" i="8"/>
  <c r="A3525" i="8"/>
  <c r="D3525" i="8" l="1"/>
  <c r="A3526" i="8"/>
  <c r="C3525" i="8"/>
  <c r="G3525" i="8"/>
  <c r="E3525" i="8"/>
  <c r="B3525" i="8"/>
  <c r="G3526" i="8" l="1"/>
  <c r="B3526" i="8"/>
  <c r="E3526" i="8"/>
  <c r="A3527" i="8"/>
  <c r="D3526" i="8"/>
  <c r="C3526" i="8"/>
  <c r="D3527" i="8" l="1"/>
  <c r="A3528" i="8"/>
  <c r="C3527" i="8"/>
  <c r="B3527" i="8"/>
  <c r="G3527" i="8"/>
  <c r="E3527" i="8"/>
  <c r="G3528" i="8" l="1"/>
  <c r="B3528" i="8"/>
  <c r="E3528" i="8"/>
  <c r="D3528" i="8"/>
  <c r="C3528" i="8"/>
  <c r="A3529" i="8"/>
  <c r="D3529" i="8" l="1"/>
  <c r="A3530" i="8"/>
  <c r="C3529" i="8"/>
  <c r="G3529" i="8"/>
  <c r="E3529" i="8"/>
  <c r="B3529" i="8"/>
  <c r="G3530" i="8" l="1"/>
  <c r="B3530" i="8"/>
  <c r="E3530" i="8"/>
  <c r="A3531" i="8"/>
  <c r="D3530" i="8"/>
  <c r="C3530" i="8"/>
  <c r="D3531" i="8" l="1"/>
  <c r="A3532" i="8"/>
  <c r="C3531" i="8"/>
  <c r="B3531" i="8"/>
  <c r="G3531" i="8"/>
  <c r="E3531" i="8"/>
  <c r="G3532" i="8" l="1"/>
  <c r="B3532" i="8"/>
  <c r="E3532" i="8"/>
  <c r="D3532" i="8"/>
  <c r="C3532" i="8"/>
  <c r="A3533" i="8"/>
  <c r="D3533" i="8" l="1"/>
  <c r="A3534" i="8"/>
  <c r="C3533" i="8"/>
  <c r="G3533" i="8"/>
  <c r="E3533" i="8"/>
  <c r="B3533" i="8"/>
  <c r="G3534" i="8" l="1"/>
  <c r="B3534" i="8"/>
  <c r="E3534" i="8"/>
  <c r="A3535" i="8"/>
  <c r="D3534" i="8"/>
  <c r="C3534" i="8"/>
  <c r="D3535" i="8" l="1"/>
  <c r="A3536" i="8"/>
  <c r="C3535" i="8"/>
  <c r="B3535" i="8"/>
  <c r="G3535" i="8"/>
  <c r="E3535" i="8"/>
  <c r="G3536" i="8" l="1"/>
  <c r="B3536" i="8"/>
  <c r="E3536" i="8"/>
  <c r="D3536" i="8"/>
  <c r="C3536" i="8"/>
  <c r="A3537" i="8"/>
  <c r="D3537" i="8" l="1"/>
  <c r="A3538" i="8"/>
  <c r="C3537" i="8"/>
  <c r="G3537" i="8"/>
  <c r="E3537" i="8"/>
  <c r="B3537" i="8"/>
  <c r="G3538" i="8" l="1"/>
  <c r="B3538" i="8"/>
  <c r="E3538" i="8"/>
  <c r="A3539" i="8"/>
  <c r="D3538" i="8"/>
  <c r="C3538" i="8"/>
  <c r="D3539" i="8" l="1"/>
  <c r="A3540" i="8"/>
  <c r="C3539" i="8"/>
  <c r="B3539" i="8"/>
  <c r="G3539" i="8"/>
  <c r="E3539" i="8"/>
  <c r="G3540" i="8" l="1"/>
  <c r="B3540" i="8"/>
  <c r="E3540" i="8"/>
  <c r="D3540" i="8"/>
  <c r="C3540" i="8"/>
  <c r="A3541" i="8"/>
  <c r="D3541" i="8" l="1"/>
  <c r="A3542" i="8"/>
  <c r="C3541" i="8"/>
  <c r="G3541" i="8"/>
  <c r="E3541" i="8"/>
  <c r="B3541" i="8"/>
  <c r="G3542" i="8" l="1"/>
  <c r="B3542" i="8"/>
  <c r="E3542" i="8"/>
  <c r="A3543" i="8"/>
  <c r="D3542" i="8"/>
  <c r="C3542" i="8"/>
  <c r="D3543" i="8" l="1"/>
  <c r="A3544" i="8"/>
  <c r="C3543" i="8"/>
  <c r="B3543" i="8"/>
  <c r="G3543" i="8"/>
  <c r="E3543" i="8"/>
  <c r="G3544" i="8" l="1"/>
  <c r="B3544" i="8"/>
  <c r="E3544" i="8"/>
  <c r="D3544" i="8"/>
  <c r="C3544" i="8"/>
  <c r="A3545" i="8"/>
  <c r="D3545" i="8" l="1"/>
  <c r="A3546" i="8"/>
  <c r="C3545" i="8"/>
  <c r="G3545" i="8"/>
  <c r="E3545" i="8"/>
  <c r="B3545" i="8"/>
  <c r="G3546" i="8" l="1"/>
  <c r="B3546" i="8"/>
  <c r="E3546" i="8"/>
  <c r="A3547" i="8"/>
  <c r="D3546" i="8"/>
  <c r="C3546" i="8"/>
  <c r="D3547" i="8" l="1"/>
  <c r="A3548" i="8"/>
  <c r="C3547" i="8"/>
  <c r="B3547" i="8"/>
  <c r="G3547" i="8"/>
  <c r="E3547" i="8"/>
  <c r="G3548" i="8" l="1"/>
  <c r="B3548" i="8"/>
  <c r="E3548" i="8"/>
  <c r="D3548" i="8"/>
  <c r="C3548" i="8"/>
  <c r="A3549" i="8"/>
  <c r="D3549" i="8" l="1"/>
  <c r="A3550" i="8"/>
  <c r="C3549" i="8"/>
  <c r="G3549" i="8"/>
  <c r="E3549" i="8"/>
  <c r="B3549" i="8"/>
  <c r="G3550" i="8" l="1"/>
  <c r="B3550" i="8"/>
  <c r="E3550" i="8"/>
  <c r="A3551" i="8"/>
  <c r="D3550" i="8"/>
  <c r="C3550" i="8"/>
  <c r="D3551" i="8" l="1"/>
  <c r="A3552" i="8"/>
  <c r="C3551" i="8"/>
  <c r="B3551" i="8"/>
  <c r="G3551" i="8"/>
  <c r="E3551" i="8"/>
  <c r="G3552" i="8" l="1"/>
  <c r="B3552" i="8"/>
  <c r="E3552" i="8"/>
  <c r="D3552" i="8"/>
  <c r="C3552" i="8"/>
  <c r="A3553" i="8"/>
  <c r="D3553" i="8" l="1"/>
  <c r="A3554" i="8"/>
  <c r="C3553" i="8"/>
  <c r="G3553" i="8"/>
  <c r="E3553" i="8"/>
  <c r="B3553" i="8"/>
  <c r="G3554" i="8" l="1"/>
  <c r="B3554" i="8"/>
  <c r="E3554" i="8"/>
  <c r="A3555" i="8"/>
  <c r="D3554" i="8"/>
  <c r="C3554" i="8"/>
  <c r="D3555" i="8" l="1"/>
  <c r="A3556" i="8"/>
  <c r="C3555" i="8"/>
  <c r="B3555" i="8"/>
  <c r="G3555" i="8"/>
  <c r="E3555" i="8"/>
  <c r="G3556" i="8" l="1"/>
  <c r="B3556" i="8"/>
  <c r="E3556" i="8"/>
  <c r="D3556" i="8"/>
  <c r="C3556" i="8"/>
  <c r="A3557" i="8"/>
  <c r="D3557" i="8" l="1"/>
  <c r="A3558" i="8"/>
  <c r="C3557" i="8"/>
  <c r="G3557" i="8"/>
  <c r="E3557" i="8"/>
  <c r="B3557" i="8"/>
  <c r="G3558" i="8" l="1"/>
  <c r="B3558" i="8"/>
  <c r="E3558" i="8"/>
  <c r="A3559" i="8"/>
  <c r="D3558" i="8"/>
  <c r="C3558" i="8"/>
  <c r="D3559" i="8" l="1"/>
  <c r="A3560" i="8"/>
  <c r="C3559" i="8"/>
  <c r="B3559" i="8"/>
  <c r="G3559" i="8"/>
  <c r="E3559" i="8"/>
  <c r="G3560" i="8" l="1"/>
  <c r="B3560" i="8"/>
  <c r="E3560" i="8"/>
  <c r="D3560" i="8"/>
  <c r="C3560" i="8"/>
  <c r="A3561" i="8"/>
  <c r="D3561" i="8" l="1"/>
  <c r="A3562" i="8"/>
  <c r="C3561" i="8"/>
  <c r="G3561" i="8"/>
  <c r="E3561" i="8"/>
  <c r="B3561" i="8"/>
  <c r="G3562" i="8" l="1"/>
  <c r="B3562" i="8"/>
  <c r="E3562" i="8"/>
  <c r="A3563" i="8"/>
  <c r="D3562" i="8"/>
  <c r="C3562" i="8"/>
  <c r="D3563" i="8" l="1"/>
  <c r="A3564" i="8"/>
  <c r="C3563" i="8"/>
  <c r="B3563" i="8"/>
  <c r="G3563" i="8"/>
  <c r="E3563" i="8"/>
  <c r="G3564" i="8" l="1"/>
  <c r="B3564" i="8"/>
  <c r="E3564" i="8"/>
  <c r="D3564" i="8"/>
  <c r="C3564" i="8"/>
  <c r="A3565" i="8"/>
  <c r="D3565" i="8" l="1"/>
  <c r="A3566" i="8"/>
  <c r="C3565" i="8"/>
  <c r="G3565" i="8"/>
  <c r="E3565" i="8"/>
  <c r="B3565" i="8"/>
  <c r="G3566" i="8" l="1"/>
  <c r="B3566" i="8"/>
  <c r="E3566" i="8"/>
  <c r="A3567" i="8"/>
  <c r="D3566" i="8"/>
  <c r="C3566" i="8"/>
  <c r="D3567" i="8" l="1"/>
  <c r="A3568" i="8"/>
  <c r="C3567" i="8"/>
  <c r="B3567" i="8"/>
  <c r="G3567" i="8"/>
  <c r="E3567" i="8"/>
  <c r="G3568" i="8" l="1"/>
  <c r="B3568" i="8"/>
  <c r="E3568" i="8"/>
  <c r="D3568" i="8"/>
  <c r="C3568" i="8"/>
  <c r="A3569" i="8"/>
  <c r="D3569" i="8" l="1"/>
  <c r="A3570" i="8"/>
  <c r="C3569" i="8"/>
  <c r="G3569" i="8"/>
  <c r="E3569" i="8"/>
  <c r="B3569" i="8"/>
  <c r="G3570" i="8" l="1"/>
  <c r="B3570" i="8"/>
  <c r="E3570" i="8"/>
  <c r="A3571" i="8"/>
  <c r="D3570" i="8"/>
  <c r="C3570" i="8"/>
  <c r="D3571" i="8" l="1"/>
  <c r="A3572" i="8"/>
  <c r="C3571" i="8"/>
  <c r="B3571" i="8"/>
  <c r="G3571" i="8"/>
  <c r="E3571" i="8"/>
  <c r="G3572" i="8" l="1"/>
  <c r="B3572" i="8"/>
  <c r="E3572" i="8"/>
  <c r="D3572" i="8"/>
  <c r="C3572" i="8"/>
  <c r="A3573" i="8"/>
  <c r="D3573" i="8" l="1"/>
  <c r="A3574" i="8"/>
  <c r="C3573" i="8"/>
  <c r="G3573" i="8"/>
  <c r="E3573" i="8"/>
  <c r="B3573" i="8"/>
  <c r="G3574" i="8" l="1"/>
  <c r="B3574" i="8"/>
  <c r="E3574" i="8"/>
  <c r="A3575" i="8"/>
  <c r="D3574" i="8"/>
  <c r="C3574" i="8"/>
  <c r="D3575" i="8" l="1"/>
  <c r="A3576" i="8"/>
  <c r="C3575" i="8"/>
  <c r="B3575" i="8"/>
  <c r="G3575" i="8"/>
  <c r="E3575" i="8"/>
  <c r="G3576" i="8" l="1"/>
  <c r="B3576" i="8"/>
  <c r="E3576" i="8"/>
  <c r="D3576" i="8"/>
  <c r="C3576" i="8"/>
  <c r="A3577" i="8"/>
  <c r="D3577" i="8" l="1"/>
  <c r="A3578" i="8"/>
  <c r="C3577" i="8"/>
  <c r="G3577" i="8"/>
  <c r="E3577" i="8"/>
  <c r="B3577" i="8"/>
  <c r="G3578" i="8" l="1"/>
  <c r="B3578" i="8"/>
  <c r="E3578" i="8"/>
  <c r="A3579" i="8"/>
  <c r="D3578" i="8"/>
  <c r="C3578" i="8"/>
  <c r="D3579" i="8" l="1"/>
  <c r="A3580" i="8"/>
  <c r="C3579" i="8"/>
  <c r="B3579" i="8"/>
  <c r="G3579" i="8"/>
  <c r="E3579" i="8"/>
  <c r="G3580" i="8" l="1"/>
  <c r="B3580" i="8"/>
  <c r="E3580" i="8"/>
  <c r="D3580" i="8"/>
  <c r="C3580" i="8"/>
  <c r="A3581" i="8"/>
  <c r="D3581" i="8" l="1"/>
  <c r="A3582" i="8"/>
  <c r="C3581" i="8"/>
  <c r="G3581" i="8"/>
  <c r="E3581" i="8"/>
  <c r="B3581" i="8"/>
  <c r="G3582" i="8" l="1"/>
  <c r="B3582" i="8"/>
  <c r="E3582" i="8"/>
  <c r="A3583" i="8"/>
  <c r="D3582" i="8"/>
  <c r="C3582" i="8"/>
  <c r="D3583" i="8" l="1"/>
  <c r="A3584" i="8"/>
  <c r="C3583" i="8"/>
  <c r="B3583" i="8"/>
  <c r="G3583" i="8"/>
  <c r="E3583" i="8"/>
  <c r="G3584" i="8" l="1"/>
  <c r="B3584" i="8"/>
  <c r="E3584" i="8"/>
  <c r="D3584" i="8"/>
  <c r="C3584" i="8"/>
  <c r="A3585" i="8"/>
  <c r="D3585" i="8" l="1"/>
  <c r="A3586" i="8"/>
  <c r="C3585" i="8"/>
  <c r="G3585" i="8"/>
  <c r="E3585" i="8"/>
  <c r="B3585" i="8"/>
  <c r="G3586" i="8" l="1"/>
  <c r="B3586" i="8"/>
  <c r="E3586" i="8"/>
  <c r="A3587" i="8"/>
  <c r="D3586" i="8"/>
  <c r="C3586" i="8"/>
  <c r="D3587" i="8" l="1"/>
  <c r="A3588" i="8"/>
  <c r="C3587" i="8"/>
  <c r="B3587" i="8"/>
  <c r="G3587" i="8"/>
  <c r="E3587" i="8"/>
  <c r="G3588" i="8" l="1"/>
  <c r="B3588" i="8"/>
  <c r="E3588" i="8"/>
  <c r="D3588" i="8"/>
  <c r="C3588" i="8"/>
  <c r="A3589" i="8"/>
  <c r="D3589" i="8" l="1"/>
  <c r="A3590" i="8"/>
  <c r="C3589" i="8"/>
  <c r="G3589" i="8"/>
  <c r="E3589" i="8"/>
  <c r="B3589" i="8"/>
  <c r="G3590" i="8" l="1"/>
  <c r="B3590" i="8"/>
  <c r="E3590" i="8"/>
  <c r="A3591" i="8"/>
  <c r="D3590" i="8"/>
  <c r="C3590" i="8"/>
  <c r="D3591" i="8" l="1"/>
  <c r="A3592" i="8"/>
  <c r="C3591" i="8"/>
  <c r="B3591" i="8"/>
  <c r="G3591" i="8"/>
  <c r="E3591" i="8"/>
  <c r="G3592" i="8" l="1"/>
  <c r="B3592" i="8"/>
  <c r="E3592" i="8"/>
  <c r="D3592" i="8"/>
  <c r="C3592" i="8"/>
  <c r="A3593" i="8"/>
  <c r="D3593" i="8" l="1"/>
  <c r="A3594" i="8"/>
  <c r="C3593" i="8"/>
  <c r="G3593" i="8"/>
  <c r="E3593" i="8"/>
  <c r="B3593" i="8"/>
  <c r="G3594" i="8" l="1"/>
  <c r="B3594" i="8"/>
  <c r="E3594" i="8"/>
  <c r="A3595" i="8"/>
  <c r="D3594" i="8"/>
  <c r="C3594" i="8"/>
  <c r="D3595" i="8" l="1"/>
  <c r="A3596" i="8"/>
  <c r="C3595" i="8"/>
  <c r="B3595" i="8"/>
  <c r="G3595" i="8"/>
  <c r="E3595" i="8"/>
  <c r="G3596" i="8" l="1"/>
  <c r="B3596" i="8"/>
  <c r="E3596" i="8"/>
  <c r="D3596" i="8"/>
  <c r="C3596" i="8"/>
  <c r="A3597" i="8"/>
  <c r="D3597" i="8" l="1"/>
  <c r="A3598" i="8"/>
  <c r="C3597" i="8"/>
  <c r="G3597" i="8"/>
  <c r="E3597" i="8"/>
  <c r="B3597" i="8"/>
  <c r="G3598" i="8" l="1"/>
  <c r="B3598" i="8"/>
  <c r="E3598" i="8"/>
  <c r="A3599" i="8"/>
  <c r="D3598" i="8"/>
  <c r="C3598" i="8"/>
  <c r="D3599" i="8" l="1"/>
  <c r="A3600" i="8"/>
  <c r="C3599" i="8"/>
  <c r="B3599" i="8"/>
  <c r="G3599" i="8"/>
  <c r="E3599" i="8"/>
  <c r="G3600" i="8" l="1"/>
  <c r="B3600" i="8"/>
  <c r="E3600" i="8"/>
  <c r="D3600" i="8"/>
  <c r="C3600" i="8"/>
  <c r="A3601" i="8"/>
  <c r="D3601" i="8" l="1"/>
  <c r="A3602" i="8"/>
  <c r="C3601" i="8"/>
  <c r="G3601" i="8"/>
  <c r="E3601" i="8"/>
  <c r="B3601" i="8"/>
  <c r="G3602" i="8" l="1"/>
  <c r="B3602" i="8"/>
  <c r="E3602" i="8"/>
  <c r="A3603" i="8"/>
  <c r="D3602" i="8"/>
  <c r="C3602" i="8"/>
  <c r="D3603" i="8" l="1"/>
  <c r="A3604" i="8"/>
  <c r="C3603" i="8"/>
  <c r="B3603" i="8"/>
  <c r="G3603" i="8"/>
  <c r="E3603" i="8"/>
  <c r="G3604" i="8" l="1"/>
  <c r="B3604" i="8"/>
  <c r="E3604" i="8"/>
  <c r="D3604" i="8"/>
  <c r="C3604" i="8"/>
  <c r="A3605" i="8"/>
  <c r="D3605" i="8" l="1"/>
  <c r="A3606" i="8"/>
  <c r="C3605" i="8"/>
  <c r="G3605" i="8"/>
  <c r="E3605" i="8"/>
  <c r="B3605" i="8"/>
  <c r="G3606" i="8" l="1"/>
  <c r="B3606" i="8"/>
  <c r="E3606" i="8"/>
  <c r="A3607" i="8"/>
  <c r="D3606" i="8"/>
  <c r="C3606" i="8"/>
  <c r="D3607" i="8" l="1"/>
  <c r="A3608" i="8"/>
  <c r="C3607" i="8"/>
  <c r="B3607" i="8"/>
  <c r="G3607" i="8"/>
  <c r="E3607" i="8"/>
  <c r="G3608" i="8" l="1"/>
  <c r="B3608" i="8"/>
  <c r="E3608" i="8"/>
  <c r="D3608" i="8"/>
  <c r="C3608" i="8"/>
  <c r="A3609" i="8"/>
  <c r="D3609" i="8" l="1"/>
  <c r="A3610" i="8"/>
  <c r="C3609" i="8"/>
  <c r="G3609" i="8"/>
  <c r="E3609" i="8"/>
  <c r="B3609" i="8"/>
  <c r="G3610" i="8" l="1"/>
  <c r="B3610" i="8"/>
  <c r="E3610" i="8"/>
  <c r="A3611" i="8"/>
  <c r="D3610" i="8"/>
  <c r="C3610" i="8"/>
  <c r="D3611" i="8" l="1"/>
  <c r="A3612" i="8"/>
  <c r="C3611" i="8"/>
  <c r="B3611" i="8"/>
  <c r="G3611" i="8"/>
  <c r="E3611" i="8"/>
  <c r="G3612" i="8" l="1"/>
  <c r="B3612" i="8"/>
  <c r="E3612" i="8"/>
  <c r="D3612" i="8"/>
  <c r="C3612" i="8"/>
  <c r="A3613" i="8"/>
  <c r="D3613" i="8" l="1"/>
  <c r="A3614" i="8"/>
  <c r="C3613" i="8"/>
  <c r="G3613" i="8"/>
  <c r="E3613" i="8"/>
  <c r="B3613" i="8"/>
  <c r="D3614" i="8" l="1"/>
  <c r="A3615" i="8"/>
  <c r="C3614" i="8"/>
  <c r="B3614" i="8"/>
  <c r="G3614" i="8"/>
  <c r="E3614" i="8"/>
  <c r="G3615" i="8" l="1"/>
  <c r="B3615" i="8"/>
  <c r="E3615" i="8"/>
  <c r="D3615" i="8"/>
  <c r="C3615" i="8"/>
  <c r="A3616" i="8"/>
  <c r="D3616" i="8" l="1"/>
  <c r="A3617" i="8"/>
  <c r="C3616" i="8"/>
  <c r="G3616" i="8"/>
  <c r="E3616" i="8"/>
  <c r="B3616" i="8"/>
  <c r="G3617" i="8" l="1"/>
  <c r="B3617" i="8"/>
  <c r="E3617" i="8"/>
  <c r="A3618" i="8"/>
  <c r="D3617" i="8"/>
  <c r="C3617" i="8"/>
  <c r="D3618" i="8" l="1"/>
  <c r="A3619" i="8"/>
  <c r="C3618" i="8"/>
  <c r="B3618" i="8"/>
  <c r="G3618" i="8"/>
  <c r="E3618" i="8"/>
  <c r="G3619" i="8" l="1"/>
  <c r="B3619" i="8"/>
  <c r="E3619" i="8"/>
  <c r="D3619" i="8"/>
  <c r="C3619" i="8"/>
  <c r="A3620" i="8"/>
  <c r="D3620" i="8" l="1"/>
  <c r="A3621" i="8"/>
  <c r="C3620" i="8"/>
  <c r="G3620" i="8"/>
  <c r="E3620" i="8"/>
  <c r="B3620" i="8"/>
  <c r="G3621" i="8" l="1"/>
  <c r="B3621" i="8"/>
  <c r="E3621" i="8"/>
  <c r="A3622" i="8"/>
  <c r="D3621" i="8"/>
  <c r="C3621" i="8"/>
  <c r="D3622" i="8" l="1"/>
  <c r="A3623" i="8"/>
  <c r="C3622" i="8"/>
  <c r="B3622" i="8"/>
  <c r="G3622" i="8"/>
  <c r="E3622" i="8"/>
  <c r="G3623" i="8" l="1"/>
  <c r="B3623" i="8"/>
  <c r="E3623" i="8"/>
  <c r="D3623" i="8"/>
  <c r="C3623" i="8"/>
  <c r="A3624" i="8"/>
  <c r="D3624" i="8" l="1"/>
  <c r="A3625" i="8"/>
  <c r="C3624" i="8"/>
  <c r="G3624" i="8"/>
  <c r="E3624" i="8"/>
  <c r="B3624" i="8"/>
  <c r="G3625" i="8" l="1"/>
  <c r="B3625" i="8"/>
  <c r="E3625" i="8"/>
  <c r="A3626" i="8"/>
  <c r="D3625" i="8"/>
  <c r="C3625" i="8"/>
  <c r="D3626" i="8" l="1"/>
  <c r="A3627" i="8"/>
  <c r="C3626" i="8"/>
  <c r="B3626" i="8"/>
  <c r="G3626" i="8"/>
  <c r="E3626" i="8"/>
  <c r="G3627" i="8" l="1"/>
  <c r="B3627" i="8"/>
  <c r="E3627" i="8"/>
  <c r="D3627" i="8"/>
  <c r="C3627" i="8"/>
  <c r="A3628" i="8"/>
  <c r="D3628" i="8" l="1"/>
  <c r="A3629" i="8"/>
  <c r="C3628" i="8"/>
  <c r="G3628" i="8"/>
  <c r="E3628" i="8"/>
  <c r="B3628" i="8"/>
  <c r="G3629" i="8" l="1"/>
  <c r="B3629" i="8"/>
  <c r="E3629" i="8"/>
  <c r="A3630" i="8"/>
  <c r="D3629" i="8"/>
  <c r="C3629" i="8"/>
  <c r="D3630" i="8" l="1"/>
  <c r="A3631" i="8"/>
  <c r="C3630" i="8"/>
  <c r="B3630" i="8"/>
  <c r="G3630" i="8"/>
  <c r="E3630" i="8"/>
  <c r="G3631" i="8" l="1"/>
  <c r="B3631" i="8"/>
  <c r="E3631" i="8"/>
  <c r="D3631" i="8"/>
  <c r="C3631" i="8"/>
  <c r="A3632" i="8"/>
  <c r="D3632" i="8" l="1"/>
  <c r="A3633" i="8"/>
  <c r="C3632" i="8"/>
  <c r="G3632" i="8"/>
  <c r="E3632" i="8"/>
  <c r="B3632" i="8"/>
  <c r="G3633" i="8" l="1"/>
  <c r="B3633" i="8"/>
  <c r="E3633" i="8"/>
  <c r="A3634" i="8"/>
  <c r="D3633" i="8"/>
  <c r="C3633" i="8"/>
  <c r="D3634" i="8" l="1"/>
  <c r="A3635" i="8"/>
  <c r="C3634" i="8"/>
  <c r="B3634" i="8"/>
  <c r="G3634" i="8"/>
  <c r="E3634" i="8"/>
  <c r="G3635" i="8" l="1"/>
  <c r="B3635" i="8"/>
  <c r="E3635" i="8"/>
  <c r="D3635" i="8"/>
  <c r="C3635" i="8"/>
  <c r="A3636" i="8"/>
  <c r="D3636" i="8" l="1"/>
  <c r="A3637" i="8"/>
  <c r="C3636" i="8"/>
  <c r="G3636" i="8"/>
  <c r="E3636" i="8"/>
  <c r="B3636" i="8"/>
  <c r="G3637" i="8" l="1"/>
  <c r="B3637" i="8"/>
  <c r="E3637" i="8"/>
  <c r="A3638" i="8"/>
  <c r="D3637" i="8"/>
  <c r="C3637" i="8"/>
  <c r="D3638" i="8" l="1"/>
  <c r="A3639" i="8"/>
  <c r="C3638" i="8"/>
  <c r="B3638" i="8"/>
  <c r="G3638" i="8"/>
  <c r="E3638" i="8"/>
  <c r="G3639" i="8" l="1"/>
  <c r="B3639" i="8"/>
  <c r="E3639" i="8"/>
  <c r="D3639" i="8"/>
  <c r="C3639" i="8"/>
  <c r="A3640" i="8"/>
  <c r="D3640" i="8" l="1"/>
  <c r="A3641" i="8"/>
  <c r="C3640" i="8"/>
  <c r="G3640" i="8"/>
  <c r="E3640" i="8"/>
  <c r="B3640" i="8"/>
  <c r="G3641" i="8" l="1"/>
  <c r="B3641" i="8"/>
  <c r="E3641" i="8"/>
  <c r="A3642" i="8"/>
  <c r="D3641" i="8"/>
  <c r="C3641" i="8"/>
  <c r="D3642" i="8" l="1"/>
  <c r="A3643" i="8"/>
  <c r="C3642" i="8"/>
  <c r="B3642" i="8"/>
  <c r="G3642" i="8"/>
  <c r="E3642" i="8"/>
  <c r="G3643" i="8" l="1"/>
  <c r="B3643" i="8"/>
  <c r="E3643" i="8"/>
  <c r="D3643" i="8"/>
  <c r="C3643" i="8"/>
  <c r="A3644" i="8"/>
  <c r="D3644" i="8" l="1"/>
  <c r="A3645" i="8"/>
  <c r="C3644" i="8"/>
  <c r="G3644" i="8"/>
  <c r="E3644" i="8"/>
  <c r="B3644" i="8"/>
  <c r="G3645" i="8" l="1"/>
  <c r="B3645" i="8"/>
  <c r="E3645" i="8"/>
  <c r="A3646" i="8"/>
  <c r="D3645" i="8"/>
  <c r="C3645" i="8"/>
  <c r="D3646" i="8" l="1"/>
  <c r="A3647" i="8"/>
  <c r="C3646" i="8"/>
  <c r="B3646" i="8"/>
  <c r="G3646" i="8"/>
  <c r="E3646" i="8"/>
  <c r="G3647" i="8" l="1"/>
  <c r="B3647" i="8"/>
  <c r="E3647" i="8"/>
  <c r="D3647" i="8"/>
  <c r="C3647" i="8"/>
  <c r="A3648" i="8"/>
  <c r="D3648" i="8" l="1"/>
  <c r="A3649" i="8"/>
  <c r="C3648" i="8"/>
  <c r="G3648" i="8"/>
  <c r="E3648" i="8"/>
  <c r="B3648" i="8"/>
  <c r="G3649" i="8" l="1"/>
  <c r="B3649" i="8"/>
  <c r="E3649" i="8"/>
  <c r="A3650" i="8"/>
  <c r="D3649" i="8"/>
  <c r="C3649" i="8"/>
  <c r="D3650" i="8" l="1"/>
  <c r="A3651" i="8"/>
  <c r="C3650" i="8"/>
  <c r="B3650" i="8"/>
  <c r="G3650" i="8"/>
  <c r="E3650" i="8"/>
  <c r="G3651" i="8" l="1"/>
  <c r="B3651" i="8"/>
  <c r="E3651" i="8"/>
  <c r="D3651" i="8"/>
  <c r="C3651" i="8"/>
  <c r="A3652" i="8"/>
  <c r="D3652" i="8" l="1"/>
  <c r="A3653" i="8"/>
  <c r="C3652" i="8"/>
  <c r="G3652" i="8"/>
  <c r="E3652" i="8"/>
  <c r="B3652" i="8"/>
  <c r="G3653" i="8" l="1"/>
  <c r="B3653" i="8"/>
  <c r="E3653" i="8"/>
  <c r="A3654" i="8"/>
  <c r="D3653" i="8"/>
  <c r="C3653" i="8"/>
  <c r="D3654" i="8" l="1"/>
  <c r="A3655" i="8"/>
  <c r="C3654" i="8"/>
  <c r="B3654" i="8"/>
  <c r="G3654" i="8"/>
  <c r="E3654" i="8"/>
  <c r="G3655" i="8" l="1"/>
  <c r="B3655" i="8"/>
  <c r="E3655" i="8"/>
  <c r="D3655" i="8"/>
  <c r="C3655" i="8"/>
  <c r="A3656" i="8"/>
  <c r="D3656" i="8" l="1"/>
  <c r="A3657" i="8"/>
  <c r="C3656" i="8"/>
  <c r="G3656" i="8"/>
  <c r="E3656" i="8"/>
  <c r="B3656" i="8"/>
  <c r="G3657" i="8" l="1"/>
  <c r="B3657" i="8"/>
  <c r="E3657" i="8"/>
  <c r="A3658" i="8"/>
  <c r="D3657" i="8"/>
  <c r="C3657" i="8"/>
  <c r="D3658" i="8" l="1"/>
  <c r="A3659" i="8"/>
  <c r="C3658" i="8"/>
  <c r="B3658" i="8"/>
  <c r="G3658" i="8"/>
  <c r="E3658" i="8"/>
  <c r="G3659" i="8" l="1"/>
  <c r="B3659" i="8"/>
  <c r="E3659" i="8"/>
  <c r="D3659" i="8"/>
  <c r="C3659" i="8"/>
  <c r="A3660" i="8"/>
  <c r="D3660" i="8" l="1"/>
  <c r="A3661" i="8"/>
  <c r="C3660" i="8"/>
  <c r="G3660" i="8"/>
  <c r="E3660" i="8"/>
  <c r="B3660" i="8"/>
  <c r="G3661" i="8" l="1"/>
  <c r="B3661" i="8"/>
  <c r="E3661" i="8"/>
  <c r="A3662" i="8"/>
  <c r="D3661" i="8"/>
  <c r="C3661" i="8"/>
  <c r="D3662" i="8" l="1"/>
  <c r="A3663" i="8"/>
  <c r="C3662" i="8"/>
  <c r="B3662" i="8"/>
  <c r="G3662" i="8"/>
  <c r="E3662" i="8"/>
  <c r="G3663" i="8" l="1"/>
  <c r="B3663" i="8"/>
  <c r="E3663" i="8"/>
  <c r="D3663" i="8"/>
  <c r="C3663" i="8"/>
  <c r="A3664" i="8"/>
  <c r="D3664" i="8" l="1"/>
  <c r="A3665" i="8"/>
  <c r="C3664" i="8"/>
  <c r="G3664" i="8"/>
  <c r="E3664" i="8"/>
  <c r="B3664" i="8"/>
  <c r="G3665" i="8" l="1"/>
  <c r="B3665" i="8"/>
  <c r="E3665" i="8"/>
  <c r="A3666" i="8"/>
  <c r="D3665" i="8"/>
  <c r="C3665" i="8"/>
  <c r="D3666" i="8" l="1"/>
  <c r="A3667" i="8"/>
  <c r="C3666" i="8"/>
  <c r="B3666" i="8"/>
  <c r="G3666" i="8"/>
  <c r="E3666" i="8"/>
  <c r="G3667" i="8" l="1"/>
  <c r="B3667" i="8"/>
  <c r="E3667" i="8"/>
  <c r="D3667" i="8"/>
  <c r="C3667" i="8"/>
  <c r="A3668" i="8"/>
  <c r="D3668" i="8" l="1"/>
  <c r="A3669" i="8"/>
  <c r="C3668" i="8"/>
  <c r="G3668" i="8"/>
  <c r="E3668" i="8"/>
  <c r="B3668" i="8"/>
  <c r="G3669" i="8" l="1"/>
  <c r="B3669" i="8"/>
  <c r="E3669" i="8"/>
  <c r="A3670" i="8"/>
  <c r="D3669" i="8"/>
  <c r="C3669" i="8"/>
  <c r="D3670" i="8" l="1"/>
  <c r="A3671" i="8"/>
  <c r="C3670" i="8"/>
  <c r="B3670" i="8"/>
  <c r="G3670" i="8"/>
  <c r="E3670" i="8"/>
  <c r="G3671" i="8" l="1"/>
  <c r="B3671" i="8"/>
  <c r="E3671" i="8"/>
  <c r="D3671" i="8"/>
  <c r="C3671" i="8"/>
  <c r="A3672" i="8"/>
  <c r="D3672" i="8" l="1"/>
  <c r="A3673" i="8"/>
  <c r="C3672" i="8"/>
  <c r="G3672" i="8"/>
  <c r="E3672" i="8"/>
  <c r="B3672" i="8"/>
  <c r="G3673" i="8" l="1"/>
  <c r="B3673" i="8"/>
  <c r="E3673" i="8"/>
  <c r="A3674" i="8"/>
  <c r="D3673" i="8"/>
  <c r="C3673" i="8"/>
  <c r="D3674" i="8" l="1"/>
  <c r="A3675" i="8"/>
  <c r="C3674" i="8"/>
  <c r="B3674" i="8"/>
  <c r="G3674" i="8"/>
  <c r="E3674" i="8"/>
  <c r="G3675" i="8" l="1"/>
  <c r="B3675" i="8"/>
  <c r="E3675" i="8"/>
  <c r="D3675" i="8"/>
  <c r="C3675" i="8"/>
  <c r="A3676" i="8"/>
  <c r="D3676" i="8" l="1"/>
  <c r="A3677" i="8"/>
  <c r="C3676" i="8"/>
  <c r="G3676" i="8"/>
  <c r="E3676" i="8"/>
  <c r="B3676" i="8"/>
  <c r="G3677" i="8" l="1"/>
  <c r="B3677" i="8"/>
  <c r="E3677" i="8"/>
  <c r="A3678" i="8"/>
  <c r="D3677" i="8"/>
  <c r="C3677" i="8"/>
  <c r="D3678" i="8" l="1"/>
  <c r="A3679" i="8"/>
  <c r="C3678" i="8"/>
  <c r="B3678" i="8"/>
  <c r="G3678" i="8"/>
  <c r="E3678" i="8"/>
  <c r="G3679" i="8" l="1"/>
  <c r="B3679" i="8"/>
  <c r="E3679" i="8"/>
  <c r="D3679" i="8"/>
  <c r="C3679" i="8"/>
  <c r="A3680" i="8"/>
  <c r="D3680" i="8" l="1"/>
  <c r="A3681" i="8"/>
  <c r="C3680" i="8"/>
  <c r="G3680" i="8"/>
  <c r="E3680" i="8"/>
  <c r="B3680" i="8"/>
  <c r="G3681" i="8" l="1"/>
  <c r="B3681" i="8"/>
  <c r="E3681" i="8"/>
  <c r="A3682" i="8"/>
  <c r="D3681" i="8"/>
  <c r="C3681" i="8"/>
  <c r="D3682" i="8" l="1"/>
  <c r="A3683" i="8"/>
  <c r="C3682" i="8"/>
  <c r="B3682" i="8"/>
  <c r="G3682" i="8"/>
  <c r="E3682" i="8"/>
  <c r="G3683" i="8" l="1"/>
  <c r="B3683" i="8"/>
  <c r="E3683" i="8"/>
  <c r="D3683" i="8"/>
  <c r="C3683" i="8"/>
  <c r="A3684" i="8"/>
  <c r="D3684" i="8" l="1"/>
  <c r="A3685" i="8"/>
  <c r="C3684" i="8"/>
  <c r="G3684" i="8"/>
  <c r="E3684" i="8"/>
  <c r="B3684" i="8"/>
  <c r="G3685" i="8" l="1"/>
  <c r="B3685" i="8"/>
  <c r="E3685" i="8"/>
  <c r="A3686" i="8"/>
  <c r="D3685" i="8"/>
  <c r="C3685" i="8"/>
  <c r="D3686" i="8" l="1"/>
  <c r="A3687" i="8"/>
  <c r="C3686" i="8"/>
  <c r="B3686" i="8"/>
  <c r="G3686" i="8"/>
  <c r="E3686" i="8"/>
  <c r="G3687" i="8" l="1"/>
  <c r="B3687" i="8"/>
  <c r="E3687" i="8"/>
  <c r="D3687" i="8"/>
  <c r="C3687" i="8"/>
  <c r="A3688" i="8"/>
  <c r="D3688" i="8" l="1"/>
  <c r="A3689" i="8"/>
  <c r="C3688" i="8"/>
  <c r="G3688" i="8"/>
  <c r="E3688" i="8"/>
  <c r="B3688" i="8"/>
  <c r="G3689" i="8" l="1"/>
  <c r="B3689" i="8"/>
  <c r="E3689" i="8"/>
  <c r="A3690" i="8"/>
  <c r="D3689" i="8"/>
  <c r="C3689" i="8"/>
  <c r="D3690" i="8" l="1"/>
  <c r="A3691" i="8"/>
  <c r="C3690" i="8"/>
  <c r="B3690" i="8"/>
  <c r="G3690" i="8"/>
  <c r="E3690" i="8"/>
  <c r="G3691" i="8" l="1"/>
  <c r="B3691" i="8"/>
  <c r="E3691" i="8"/>
  <c r="D3691" i="8"/>
  <c r="C3691" i="8"/>
  <c r="A3692" i="8"/>
  <c r="D3692" i="8" l="1"/>
  <c r="A3693" i="8"/>
  <c r="C3692" i="8"/>
  <c r="G3692" i="8"/>
  <c r="E3692" i="8"/>
  <c r="B3692" i="8"/>
  <c r="G3693" i="8" l="1"/>
  <c r="B3693" i="8"/>
  <c r="E3693" i="8"/>
  <c r="A3694" i="8"/>
  <c r="D3693" i="8"/>
  <c r="C3693" i="8"/>
  <c r="D3694" i="8" l="1"/>
  <c r="A3695" i="8"/>
  <c r="C3694" i="8"/>
  <c r="B3694" i="8"/>
  <c r="G3694" i="8"/>
  <c r="E3694" i="8"/>
  <c r="G3695" i="8" l="1"/>
  <c r="B3695" i="8"/>
  <c r="E3695" i="8"/>
  <c r="D3695" i="8"/>
  <c r="C3695" i="8"/>
  <c r="A3696" i="8"/>
  <c r="D3696" i="8" l="1"/>
  <c r="A3697" i="8"/>
  <c r="C3696" i="8"/>
  <c r="G3696" i="8"/>
  <c r="E3696" i="8"/>
  <c r="B3696" i="8"/>
  <c r="G3697" i="8" l="1"/>
  <c r="B3697" i="8"/>
  <c r="E3697" i="8"/>
  <c r="A3698" i="8"/>
  <c r="D3697" i="8"/>
  <c r="C3697" i="8"/>
  <c r="D3698" i="8" l="1"/>
  <c r="A3699" i="8"/>
  <c r="C3698" i="8"/>
  <c r="B3698" i="8"/>
  <c r="G3698" i="8"/>
  <c r="E3698" i="8"/>
  <c r="G3699" i="8" l="1"/>
  <c r="B3699" i="8"/>
  <c r="E3699" i="8"/>
  <c r="D3699" i="8"/>
  <c r="C3699" i="8"/>
  <c r="A3700" i="8"/>
  <c r="D3700" i="8" l="1"/>
  <c r="A3701" i="8"/>
  <c r="C3700" i="8"/>
  <c r="G3700" i="8"/>
  <c r="E3700" i="8"/>
  <c r="B3700" i="8"/>
  <c r="G3701" i="8" l="1"/>
  <c r="B3701" i="8"/>
  <c r="E3701" i="8"/>
  <c r="A3702" i="8"/>
  <c r="D3701" i="8"/>
  <c r="C3701" i="8"/>
  <c r="D3702" i="8" l="1"/>
  <c r="A3703" i="8"/>
  <c r="C3702" i="8"/>
  <c r="B3702" i="8"/>
  <c r="G3702" i="8"/>
  <c r="E3702" i="8"/>
  <c r="G3703" i="8" l="1"/>
  <c r="B3703" i="8"/>
  <c r="E3703" i="8"/>
  <c r="D3703" i="8"/>
  <c r="C3703" i="8"/>
  <c r="A3704" i="8"/>
  <c r="D3704" i="8" l="1"/>
  <c r="A3705" i="8"/>
  <c r="C3704" i="8"/>
  <c r="G3704" i="8"/>
  <c r="E3704" i="8"/>
  <c r="B3704" i="8"/>
  <c r="G3705" i="8" l="1"/>
  <c r="B3705" i="8"/>
  <c r="E3705" i="8"/>
  <c r="A3706" i="8"/>
  <c r="D3705" i="8"/>
  <c r="C3705" i="8"/>
  <c r="D3706" i="8" l="1"/>
  <c r="A3707" i="8"/>
  <c r="C3706" i="8"/>
  <c r="B3706" i="8"/>
  <c r="G3706" i="8"/>
  <c r="E3706" i="8"/>
  <c r="G3707" i="8" l="1"/>
  <c r="B3707" i="8"/>
  <c r="E3707" i="8"/>
  <c r="D3707" i="8"/>
  <c r="C3707" i="8"/>
  <c r="A3708" i="8"/>
  <c r="D3708" i="8" l="1"/>
  <c r="A3709" i="8"/>
  <c r="C3708" i="8"/>
  <c r="G3708" i="8"/>
  <c r="E3708" i="8"/>
  <c r="B3708" i="8"/>
  <c r="G3709" i="8" l="1"/>
  <c r="B3709" i="8"/>
  <c r="E3709" i="8"/>
  <c r="A3710" i="8"/>
  <c r="D3709" i="8"/>
  <c r="C3709" i="8"/>
  <c r="D3710" i="8" l="1"/>
  <c r="A3711" i="8"/>
  <c r="C3710" i="8"/>
  <c r="B3710" i="8"/>
  <c r="G3710" i="8"/>
  <c r="E3710" i="8"/>
  <c r="G3711" i="8" l="1"/>
  <c r="B3711" i="8"/>
  <c r="E3711" i="8"/>
  <c r="D3711" i="8"/>
  <c r="C3711" i="8"/>
  <c r="A3712" i="8"/>
  <c r="D3712" i="8" l="1"/>
  <c r="A3713" i="8"/>
  <c r="C3712" i="8"/>
  <c r="G3712" i="8"/>
  <c r="E3712" i="8"/>
  <c r="B3712" i="8"/>
  <c r="G3713" i="8" l="1"/>
  <c r="B3713" i="8"/>
  <c r="E3713" i="8"/>
  <c r="A3714" i="8"/>
  <c r="D3713" i="8"/>
  <c r="C3713" i="8"/>
  <c r="D3714" i="8" l="1"/>
  <c r="A3715" i="8"/>
  <c r="C3714" i="8"/>
  <c r="B3714" i="8"/>
  <c r="G3714" i="8"/>
  <c r="E3714" i="8"/>
  <c r="G3715" i="8" l="1"/>
  <c r="B3715" i="8"/>
  <c r="E3715" i="8"/>
  <c r="D3715" i="8"/>
  <c r="C3715" i="8"/>
  <c r="A3716" i="8"/>
  <c r="D3716" i="8" l="1"/>
  <c r="A3717" i="8"/>
  <c r="C3716" i="8"/>
  <c r="G3716" i="8"/>
  <c r="E3716" i="8"/>
  <c r="B3716" i="8"/>
  <c r="G3717" i="8" l="1"/>
  <c r="B3717" i="8"/>
  <c r="E3717" i="8"/>
  <c r="A3718" i="8"/>
  <c r="D3717" i="8"/>
  <c r="C3717" i="8"/>
  <c r="D3718" i="8" l="1"/>
  <c r="A3719" i="8"/>
  <c r="C3718" i="8"/>
  <c r="B3718" i="8"/>
  <c r="G3718" i="8"/>
  <c r="E3718" i="8"/>
  <c r="G3719" i="8" l="1"/>
  <c r="B3719" i="8"/>
  <c r="E3719" i="8"/>
  <c r="D3719" i="8"/>
  <c r="C3719" i="8"/>
  <c r="A3720" i="8"/>
  <c r="D3720" i="8" l="1"/>
  <c r="A3721" i="8"/>
  <c r="C3720" i="8"/>
  <c r="G3720" i="8"/>
  <c r="E3720" i="8"/>
  <c r="B3720" i="8"/>
  <c r="G3721" i="8" l="1"/>
  <c r="B3721" i="8"/>
  <c r="E3721" i="8"/>
  <c r="A3722" i="8"/>
  <c r="D3721" i="8"/>
  <c r="C3721" i="8"/>
  <c r="D3722" i="8" l="1"/>
  <c r="A3723" i="8"/>
  <c r="C3722" i="8"/>
  <c r="B3722" i="8"/>
  <c r="G3722" i="8"/>
  <c r="E3722" i="8"/>
  <c r="G3723" i="8" l="1"/>
  <c r="B3723" i="8"/>
  <c r="E3723" i="8"/>
  <c r="D3723" i="8"/>
  <c r="C3723" i="8"/>
  <c r="A3724" i="8"/>
  <c r="D3724" i="8" l="1"/>
  <c r="A3725" i="8"/>
  <c r="C3724" i="8"/>
  <c r="G3724" i="8"/>
  <c r="E3724" i="8"/>
  <c r="B3724" i="8"/>
  <c r="G3725" i="8" l="1"/>
  <c r="B3725" i="8"/>
  <c r="E3725" i="8"/>
  <c r="A3726" i="8"/>
  <c r="D3725" i="8"/>
  <c r="C3725" i="8"/>
  <c r="D3726" i="8" l="1"/>
  <c r="A3727" i="8"/>
  <c r="C3726" i="8"/>
  <c r="B3726" i="8"/>
  <c r="G3726" i="8"/>
  <c r="E3726" i="8"/>
  <c r="G3727" i="8" l="1"/>
  <c r="B3727" i="8"/>
  <c r="E3727" i="8"/>
  <c r="D3727" i="8"/>
  <c r="C3727" i="8"/>
  <c r="A3728" i="8"/>
  <c r="D3728" i="8" l="1"/>
  <c r="A3729" i="8"/>
  <c r="C3728" i="8"/>
  <c r="G3728" i="8"/>
  <c r="E3728" i="8"/>
  <c r="B3728" i="8"/>
  <c r="G3729" i="8" l="1"/>
  <c r="B3729" i="8"/>
  <c r="E3729" i="8"/>
  <c r="A3730" i="8"/>
  <c r="D3729" i="8"/>
  <c r="C3729" i="8"/>
  <c r="D3730" i="8" l="1"/>
  <c r="A3731" i="8"/>
  <c r="C3730" i="8"/>
  <c r="B3730" i="8"/>
  <c r="G3730" i="8"/>
  <c r="E3730" i="8"/>
  <c r="G3731" i="8" l="1"/>
  <c r="B3731" i="8"/>
  <c r="E3731" i="8"/>
  <c r="D3731" i="8"/>
  <c r="C3731" i="8"/>
  <c r="A3732" i="8"/>
  <c r="D3732" i="8" l="1"/>
  <c r="A3733" i="8"/>
  <c r="C3732" i="8"/>
  <c r="G3732" i="8"/>
  <c r="E3732" i="8"/>
  <c r="B3732" i="8"/>
  <c r="G3733" i="8" l="1"/>
  <c r="B3733" i="8"/>
  <c r="E3733" i="8"/>
  <c r="A3734" i="8"/>
  <c r="D3733" i="8"/>
  <c r="C3733" i="8"/>
  <c r="D3734" i="8" l="1"/>
  <c r="A3735" i="8"/>
  <c r="C3734" i="8"/>
  <c r="B3734" i="8"/>
  <c r="G3734" i="8"/>
  <c r="E3734" i="8"/>
  <c r="G3735" i="8" l="1"/>
  <c r="B3735" i="8"/>
  <c r="E3735" i="8"/>
  <c r="D3735" i="8"/>
  <c r="C3735" i="8"/>
  <c r="A3736" i="8"/>
  <c r="D3736" i="8" l="1"/>
  <c r="A3737" i="8"/>
  <c r="C3736" i="8"/>
  <c r="G3736" i="8"/>
  <c r="E3736" i="8"/>
  <c r="B3736" i="8"/>
  <c r="G3737" i="8" l="1"/>
  <c r="B3737" i="8"/>
  <c r="E3737" i="8"/>
  <c r="A3738" i="8"/>
  <c r="D3737" i="8"/>
  <c r="C3737" i="8"/>
  <c r="D3738" i="8" l="1"/>
  <c r="A3739" i="8"/>
  <c r="C3738" i="8"/>
  <c r="B3738" i="8"/>
  <c r="G3738" i="8"/>
  <c r="E3738" i="8"/>
  <c r="G3739" i="8" l="1"/>
  <c r="B3739" i="8"/>
  <c r="E3739" i="8"/>
  <c r="D3739" i="8"/>
  <c r="C3739" i="8"/>
  <c r="A3740" i="8"/>
  <c r="D3740" i="8" l="1"/>
  <c r="A3741" i="8"/>
  <c r="C3740" i="8"/>
  <c r="G3740" i="8"/>
  <c r="E3740" i="8"/>
  <c r="B3740" i="8"/>
  <c r="G3741" i="8" l="1"/>
  <c r="B3741" i="8"/>
  <c r="E3741" i="8"/>
  <c r="A3742" i="8"/>
  <c r="D3741" i="8"/>
  <c r="C3741" i="8"/>
  <c r="D3742" i="8" l="1"/>
  <c r="A3743" i="8"/>
  <c r="C3742" i="8"/>
  <c r="B3742" i="8"/>
  <c r="G3742" i="8"/>
  <c r="E3742" i="8"/>
  <c r="G3743" i="8" l="1"/>
  <c r="B3743" i="8"/>
  <c r="E3743" i="8"/>
  <c r="D3743" i="8"/>
  <c r="C3743" i="8"/>
  <c r="A3744" i="8"/>
  <c r="D3744" i="8" l="1"/>
  <c r="A3745" i="8"/>
  <c r="C3744" i="8"/>
  <c r="G3744" i="8"/>
  <c r="E3744" i="8"/>
  <c r="B3744" i="8"/>
  <c r="G3745" i="8" l="1"/>
  <c r="B3745" i="8"/>
  <c r="E3745" i="8"/>
  <c r="A3746" i="8"/>
  <c r="D3745" i="8"/>
  <c r="C3745" i="8"/>
  <c r="D3746" i="8" l="1"/>
  <c r="A3747" i="8"/>
  <c r="C3746" i="8"/>
  <c r="B3746" i="8"/>
  <c r="G3746" i="8"/>
  <c r="E3746" i="8"/>
  <c r="G3747" i="8" l="1"/>
  <c r="B3747" i="8"/>
  <c r="E3747" i="8"/>
  <c r="D3747" i="8"/>
  <c r="C3747" i="8"/>
  <c r="A3748" i="8"/>
  <c r="D3748" i="8" l="1"/>
  <c r="A3749" i="8"/>
  <c r="C3748" i="8"/>
  <c r="G3748" i="8"/>
  <c r="E3748" i="8"/>
  <c r="B3748" i="8"/>
  <c r="G3749" i="8" l="1"/>
  <c r="B3749" i="8"/>
  <c r="E3749" i="8"/>
  <c r="A3750" i="8"/>
  <c r="D3749" i="8"/>
  <c r="C3749" i="8"/>
  <c r="D3750" i="8" l="1"/>
  <c r="A3751" i="8"/>
  <c r="C3750" i="8"/>
  <c r="B3750" i="8"/>
  <c r="G3750" i="8"/>
  <c r="E3750" i="8"/>
  <c r="G3751" i="8" l="1"/>
  <c r="B3751" i="8"/>
  <c r="E3751" i="8"/>
  <c r="D3751" i="8"/>
  <c r="C3751" i="8"/>
  <c r="A3752" i="8"/>
  <c r="D3752" i="8" l="1"/>
  <c r="A3753" i="8"/>
  <c r="C3752" i="8"/>
  <c r="G3752" i="8"/>
  <c r="E3752" i="8"/>
  <c r="B3752" i="8"/>
  <c r="G3753" i="8" l="1"/>
  <c r="B3753" i="8"/>
  <c r="E3753" i="8"/>
  <c r="A3754" i="8"/>
  <c r="D3753" i="8"/>
  <c r="C3753" i="8"/>
  <c r="D3754" i="8" l="1"/>
  <c r="A3755" i="8"/>
  <c r="C3754" i="8"/>
  <c r="B3754" i="8"/>
  <c r="G3754" i="8"/>
  <c r="E3754" i="8"/>
  <c r="G3755" i="8" l="1"/>
  <c r="B3755" i="8"/>
  <c r="E3755" i="8"/>
  <c r="D3755" i="8"/>
  <c r="C3755" i="8"/>
  <c r="A3756" i="8"/>
  <c r="D3756" i="8" l="1"/>
  <c r="A3757" i="8"/>
  <c r="C3756" i="8"/>
  <c r="G3756" i="8"/>
  <c r="E3756" i="8"/>
  <c r="B3756" i="8"/>
  <c r="G3757" i="8" l="1"/>
  <c r="B3757" i="8"/>
  <c r="E3757" i="8"/>
  <c r="A3758" i="8"/>
  <c r="D3757" i="8"/>
  <c r="C3757" i="8"/>
  <c r="D3758" i="8" l="1"/>
  <c r="A3759" i="8"/>
  <c r="C3758" i="8"/>
  <c r="B3758" i="8"/>
  <c r="G3758" i="8"/>
  <c r="E3758" i="8"/>
  <c r="G3759" i="8" l="1"/>
  <c r="B3759" i="8"/>
  <c r="E3759" i="8"/>
  <c r="D3759" i="8"/>
  <c r="C3759" i="8"/>
  <c r="A3760" i="8"/>
  <c r="D3760" i="8" l="1"/>
  <c r="A3761" i="8"/>
  <c r="C3760" i="8"/>
  <c r="G3760" i="8"/>
  <c r="E3760" i="8"/>
  <c r="B3760" i="8"/>
  <c r="G3761" i="8" l="1"/>
  <c r="B3761" i="8"/>
  <c r="E3761" i="8"/>
  <c r="A3762" i="8"/>
  <c r="D3761" i="8"/>
  <c r="C3761" i="8"/>
  <c r="D3762" i="8" l="1"/>
  <c r="A3763" i="8"/>
  <c r="C3762" i="8"/>
  <c r="B3762" i="8"/>
  <c r="G3762" i="8"/>
  <c r="E3762" i="8"/>
  <c r="G3763" i="8" l="1"/>
  <c r="B3763" i="8"/>
  <c r="E3763" i="8"/>
  <c r="D3763" i="8"/>
  <c r="C3763" i="8"/>
  <c r="A3764" i="8"/>
  <c r="D3764" i="8" l="1"/>
  <c r="A3765" i="8"/>
  <c r="C3764" i="8"/>
  <c r="G3764" i="8"/>
  <c r="E3764" i="8"/>
  <c r="B3764" i="8"/>
  <c r="G3765" i="8" l="1"/>
  <c r="B3765" i="8"/>
  <c r="E3765" i="8"/>
  <c r="A3766" i="8"/>
  <c r="D3765" i="8"/>
  <c r="C3765" i="8"/>
  <c r="D3766" i="8" l="1"/>
  <c r="A3767" i="8"/>
  <c r="C3766" i="8"/>
  <c r="B3766" i="8"/>
  <c r="G3766" i="8"/>
  <c r="E3766" i="8"/>
  <c r="G3767" i="8" l="1"/>
  <c r="B3767" i="8"/>
  <c r="E3767" i="8"/>
  <c r="D3767" i="8"/>
  <c r="C3767" i="8"/>
  <c r="A3768" i="8"/>
  <c r="D3768" i="8" l="1"/>
  <c r="A3769" i="8"/>
  <c r="C3768" i="8"/>
  <c r="G3768" i="8"/>
  <c r="E3768" i="8"/>
  <c r="B3768" i="8"/>
  <c r="G3769" i="8" l="1"/>
  <c r="B3769" i="8"/>
  <c r="E3769" i="8"/>
  <c r="A3770" i="8"/>
  <c r="D3769" i="8"/>
  <c r="C3769" i="8"/>
  <c r="D3770" i="8" l="1"/>
  <c r="A3771" i="8"/>
  <c r="C3770" i="8"/>
  <c r="B3770" i="8"/>
  <c r="G3770" i="8"/>
  <c r="E3770" i="8"/>
  <c r="G3771" i="8" l="1"/>
  <c r="B3771" i="8"/>
  <c r="E3771" i="8"/>
  <c r="D3771" i="8"/>
  <c r="C3771" i="8"/>
  <c r="A3772" i="8"/>
  <c r="D3772" i="8" l="1"/>
  <c r="A3773" i="8"/>
  <c r="C3772" i="8"/>
  <c r="G3772" i="8"/>
  <c r="E3772" i="8"/>
  <c r="B3772" i="8"/>
  <c r="G3773" i="8" l="1"/>
  <c r="B3773" i="8"/>
  <c r="E3773" i="8"/>
  <c r="A3774" i="8"/>
  <c r="D3773" i="8"/>
  <c r="C3773" i="8"/>
  <c r="D3774" i="8" l="1"/>
  <c r="A3775" i="8"/>
  <c r="C3774" i="8"/>
  <c r="B3774" i="8"/>
  <c r="G3774" i="8"/>
  <c r="E3774" i="8"/>
  <c r="G3775" i="8" l="1"/>
  <c r="B3775" i="8"/>
  <c r="E3775" i="8"/>
  <c r="D3775" i="8"/>
  <c r="C3775" i="8"/>
  <c r="A3776" i="8"/>
  <c r="D3776" i="8" l="1"/>
  <c r="A3777" i="8"/>
  <c r="C3776" i="8"/>
  <c r="G3776" i="8"/>
  <c r="E3776" i="8"/>
  <c r="B3776" i="8"/>
  <c r="G3777" i="8" l="1"/>
  <c r="B3777" i="8"/>
  <c r="E3777" i="8"/>
  <c r="A3778" i="8"/>
  <c r="D3777" i="8"/>
  <c r="C3777" i="8"/>
  <c r="D3778" i="8" l="1"/>
  <c r="A3779" i="8"/>
  <c r="C3778" i="8"/>
  <c r="B3778" i="8"/>
  <c r="G3778" i="8"/>
  <c r="E3778" i="8"/>
  <c r="G3779" i="8" l="1"/>
  <c r="B3779" i="8"/>
  <c r="E3779" i="8"/>
  <c r="D3779" i="8"/>
  <c r="C3779" i="8"/>
  <c r="A3780" i="8"/>
  <c r="D3780" i="8" l="1"/>
  <c r="A3781" i="8"/>
  <c r="C3780" i="8"/>
  <c r="G3780" i="8"/>
  <c r="E3780" i="8"/>
  <c r="B3780" i="8"/>
  <c r="G3781" i="8" l="1"/>
  <c r="B3781" i="8"/>
  <c r="E3781" i="8"/>
  <c r="A3782" i="8"/>
  <c r="D3781" i="8"/>
  <c r="C3781" i="8"/>
  <c r="D3782" i="8" l="1"/>
  <c r="A3783" i="8"/>
  <c r="C3782" i="8"/>
  <c r="B3782" i="8"/>
  <c r="G3782" i="8"/>
  <c r="E3782" i="8"/>
  <c r="G3783" i="8" l="1"/>
  <c r="B3783" i="8"/>
  <c r="E3783" i="8"/>
  <c r="D3783" i="8"/>
  <c r="C3783" i="8"/>
  <c r="A3784" i="8"/>
  <c r="E3784" i="8" l="1"/>
  <c r="D3784" i="8"/>
  <c r="C3784" i="8"/>
  <c r="A3785" i="8"/>
  <c r="G3784" i="8"/>
  <c r="B3784" i="8"/>
  <c r="A3786" i="8" l="1"/>
  <c r="C3785" i="8"/>
  <c r="G3785" i="8"/>
  <c r="B3785" i="8"/>
  <c r="E3785" i="8"/>
  <c r="D3785" i="8"/>
  <c r="E3786" i="8" l="1"/>
  <c r="D3786" i="8"/>
  <c r="A3787" i="8"/>
  <c r="G3786" i="8"/>
  <c r="C3786" i="8"/>
  <c r="B3786" i="8"/>
  <c r="A3788" i="8" l="1"/>
  <c r="C3787" i="8"/>
  <c r="G3787" i="8"/>
  <c r="B3787" i="8"/>
  <c r="E3787" i="8"/>
  <c r="D3787" i="8"/>
  <c r="E3788" i="8" l="1"/>
  <c r="D3788" i="8"/>
  <c r="C3788" i="8"/>
  <c r="B3788" i="8"/>
  <c r="A3789" i="8"/>
  <c r="G3788" i="8"/>
  <c r="A3790" i="8" l="1"/>
  <c r="C3789" i="8"/>
  <c r="G3789" i="8"/>
  <c r="B3789" i="8"/>
  <c r="E3789" i="8"/>
  <c r="D3789" i="8"/>
  <c r="E3790" i="8" l="1"/>
  <c r="D3790" i="8"/>
  <c r="A3791" i="8"/>
  <c r="G3790" i="8"/>
  <c r="C3790" i="8"/>
  <c r="B3790" i="8"/>
  <c r="A3792" i="8" l="1"/>
  <c r="C3791" i="8"/>
  <c r="G3791" i="8"/>
  <c r="B3791" i="8"/>
  <c r="E3791" i="8"/>
  <c r="D3791" i="8"/>
  <c r="E3792" i="8" l="1"/>
  <c r="D3792" i="8"/>
  <c r="C3792" i="8"/>
  <c r="B3792" i="8"/>
  <c r="A3793" i="8"/>
  <c r="G3792" i="8"/>
  <c r="A3794" i="8" l="1"/>
  <c r="C3793" i="8"/>
  <c r="G3793" i="8"/>
  <c r="B3793" i="8"/>
  <c r="E3793" i="8"/>
  <c r="D3793" i="8"/>
  <c r="E3794" i="8" l="1"/>
  <c r="D3794" i="8"/>
  <c r="A3795" i="8"/>
  <c r="G3794" i="8"/>
  <c r="C3794" i="8"/>
  <c r="B3794" i="8"/>
  <c r="A3796" i="8" l="1"/>
  <c r="C3795" i="8"/>
  <c r="G3795" i="8"/>
  <c r="B3795" i="8"/>
  <c r="E3795" i="8"/>
  <c r="D3795" i="8"/>
  <c r="E3796" i="8" l="1"/>
  <c r="D3796" i="8"/>
  <c r="C3796" i="8"/>
  <c r="B3796" i="8"/>
  <c r="A3797" i="8"/>
  <c r="G3796" i="8"/>
  <c r="A3798" i="8" l="1"/>
  <c r="C3797" i="8"/>
  <c r="G3797" i="8"/>
  <c r="B3797" i="8"/>
  <c r="E3797" i="8"/>
  <c r="D3797" i="8"/>
  <c r="E3798" i="8" l="1"/>
  <c r="D3798" i="8"/>
  <c r="A3799" i="8"/>
  <c r="G3798" i="8"/>
  <c r="C3798" i="8"/>
  <c r="B3798" i="8"/>
  <c r="A3800" i="8" l="1"/>
  <c r="C3799" i="8"/>
  <c r="G3799" i="8"/>
  <c r="B3799" i="8"/>
  <c r="E3799" i="8"/>
  <c r="D3799" i="8"/>
  <c r="E3800" i="8" l="1"/>
  <c r="D3800" i="8"/>
  <c r="C3800" i="8"/>
  <c r="B3800" i="8"/>
  <c r="A3801" i="8"/>
  <c r="G3800" i="8"/>
  <c r="A3802" i="8" l="1"/>
  <c r="C3801" i="8"/>
  <c r="G3801" i="8"/>
  <c r="B3801" i="8"/>
  <c r="E3801" i="8"/>
  <c r="D3801" i="8"/>
  <c r="E3802" i="8" l="1"/>
  <c r="D3802" i="8"/>
  <c r="A3803" i="8"/>
  <c r="G3802" i="8"/>
  <c r="C3802" i="8"/>
  <c r="B3802" i="8"/>
  <c r="A3804" i="8" l="1"/>
  <c r="C3803" i="8"/>
  <c r="G3803" i="8"/>
  <c r="B3803" i="8"/>
  <c r="E3803" i="8"/>
  <c r="D3803" i="8"/>
  <c r="E3804" i="8" l="1"/>
  <c r="D3804" i="8"/>
  <c r="C3804" i="8"/>
  <c r="B3804" i="8"/>
  <c r="A3805" i="8"/>
  <c r="G3804" i="8"/>
  <c r="A3806" i="8" l="1"/>
  <c r="C3805" i="8"/>
  <c r="G3805" i="8"/>
  <c r="B3805" i="8"/>
  <c r="E3805" i="8"/>
  <c r="D3805" i="8"/>
  <c r="E3806" i="8" l="1"/>
  <c r="D3806" i="8"/>
  <c r="A3807" i="8"/>
  <c r="G3806" i="8"/>
  <c r="C3806" i="8"/>
  <c r="B3806" i="8"/>
  <c r="A3808" i="8" l="1"/>
  <c r="C3807" i="8"/>
  <c r="G3807" i="8"/>
  <c r="B3807" i="8"/>
  <c r="E3807" i="8"/>
  <c r="D3807" i="8"/>
  <c r="E3808" i="8" l="1"/>
  <c r="D3808" i="8"/>
  <c r="C3808" i="8"/>
  <c r="B3808" i="8"/>
  <c r="A3809" i="8"/>
  <c r="G3808" i="8"/>
  <c r="A3810" i="8" l="1"/>
  <c r="C3809" i="8"/>
  <c r="G3809" i="8"/>
  <c r="B3809" i="8"/>
  <c r="E3809" i="8"/>
  <c r="D3809" i="8"/>
  <c r="E3810" i="8" l="1"/>
  <c r="D3810" i="8"/>
  <c r="A3811" i="8"/>
  <c r="G3810" i="8"/>
  <c r="C3810" i="8"/>
  <c r="B3810" i="8"/>
  <c r="A3812" i="8" l="1"/>
  <c r="C3811" i="8"/>
  <c r="G3811" i="8"/>
  <c r="B3811" i="8"/>
  <c r="E3811" i="8"/>
  <c r="D3811" i="8"/>
  <c r="E3812" i="8" l="1"/>
  <c r="D3812" i="8"/>
  <c r="C3812" i="8"/>
  <c r="B3812" i="8"/>
  <c r="A3813" i="8"/>
  <c r="G3812" i="8"/>
  <c r="A3814" i="8" l="1"/>
  <c r="C3813" i="8"/>
  <c r="G3813" i="8"/>
  <c r="B3813" i="8"/>
  <c r="E3813" i="8"/>
  <c r="D3813" i="8"/>
  <c r="E3814" i="8" l="1"/>
  <c r="D3814" i="8"/>
  <c r="A3815" i="8"/>
  <c r="G3814" i="8"/>
  <c r="C3814" i="8"/>
  <c r="B3814" i="8"/>
  <c r="A3816" i="8" l="1"/>
  <c r="C3815" i="8"/>
  <c r="G3815" i="8"/>
  <c r="B3815" i="8"/>
  <c r="E3815" i="8"/>
  <c r="D3815" i="8"/>
  <c r="E3816" i="8" l="1"/>
  <c r="D3816" i="8"/>
  <c r="C3816" i="8"/>
  <c r="B3816" i="8"/>
  <c r="A3817" i="8"/>
  <c r="G3816" i="8"/>
  <c r="A3818" i="8" l="1"/>
  <c r="C3817" i="8"/>
  <c r="G3817" i="8"/>
  <c r="B3817" i="8"/>
  <c r="E3817" i="8"/>
  <c r="D3817" i="8"/>
  <c r="E3818" i="8" l="1"/>
  <c r="D3818" i="8"/>
  <c r="A3819" i="8"/>
  <c r="G3818" i="8"/>
  <c r="C3818" i="8"/>
  <c r="B3818" i="8"/>
  <c r="A3820" i="8" l="1"/>
  <c r="C3819" i="8"/>
  <c r="G3819" i="8"/>
  <c r="B3819" i="8"/>
  <c r="E3819" i="8"/>
  <c r="D3819" i="8"/>
  <c r="E3820" i="8" l="1"/>
  <c r="D3820" i="8"/>
  <c r="C3820" i="8"/>
  <c r="B3820" i="8"/>
  <c r="A3821" i="8"/>
  <c r="G3820" i="8"/>
  <c r="A3822" i="8" l="1"/>
  <c r="C3821" i="8"/>
  <c r="G3821" i="8"/>
  <c r="B3821" i="8"/>
  <c r="E3821" i="8"/>
  <c r="D3821" i="8"/>
  <c r="E3822" i="8" l="1"/>
  <c r="D3822" i="8"/>
  <c r="A3823" i="8"/>
  <c r="G3822" i="8"/>
  <c r="C3822" i="8"/>
  <c r="B3822" i="8"/>
  <c r="A3824" i="8" l="1"/>
  <c r="C3823" i="8"/>
  <c r="G3823" i="8"/>
  <c r="B3823" i="8"/>
  <c r="E3823" i="8"/>
  <c r="D3823" i="8"/>
  <c r="E3824" i="8" l="1"/>
  <c r="D3824" i="8"/>
  <c r="C3824" i="8"/>
  <c r="B3824" i="8"/>
  <c r="A3825" i="8"/>
  <c r="G3824" i="8"/>
  <c r="A3826" i="8" l="1"/>
  <c r="C3825" i="8"/>
  <c r="G3825" i="8"/>
  <c r="B3825" i="8"/>
  <c r="E3825" i="8"/>
  <c r="D3825" i="8"/>
  <c r="E3826" i="8" l="1"/>
  <c r="D3826" i="8"/>
  <c r="A3827" i="8"/>
  <c r="G3826" i="8"/>
  <c r="C3826" i="8"/>
  <c r="B3826" i="8"/>
  <c r="A3828" i="8" l="1"/>
  <c r="C3827" i="8"/>
  <c r="G3827" i="8"/>
  <c r="B3827" i="8"/>
  <c r="E3827" i="8"/>
  <c r="D3827" i="8"/>
  <c r="E3828" i="8" l="1"/>
  <c r="D3828" i="8"/>
  <c r="C3828" i="8"/>
  <c r="B3828" i="8"/>
  <c r="A3829" i="8"/>
  <c r="G3828" i="8"/>
  <c r="A3830" i="8" l="1"/>
  <c r="C3829" i="8"/>
  <c r="G3829" i="8"/>
  <c r="B3829" i="8"/>
  <c r="E3829" i="8"/>
  <c r="D3829" i="8"/>
  <c r="E3830" i="8" l="1"/>
  <c r="D3830" i="8"/>
  <c r="A3831" i="8"/>
  <c r="G3830" i="8"/>
  <c r="C3830" i="8"/>
  <c r="B3830" i="8"/>
  <c r="A3832" i="8" l="1"/>
  <c r="C3831" i="8"/>
  <c r="G3831" i="8"/>
  <c r="B3831" i="8"/>
  <c r="E3831" i="8"/>
  <c r="D3831" i="8"/>
  <c r="E3832" i="8" l="1"/>
  <c r="D3832" i="8"/>
  <c r="C3832" i="8"/>
  <c r="B3832" i="8"/>
  <c r="A3833" i="8"/>
  <c r="G3832" i="8"/>
  <c r="A3834" i="8" l="1"/>
  <c r="C3833" i="8"/>
  <c r="G3833" i="8"/>
  <c r="B3833" i="8"/>
  <c r="E3833" i="8"/>
  <c r="D3833" i="8"/>
  <c r="E3834" i="8" l="1"/>
  <c r="D3834" i="8"/>
  <c r="A3835" i="8"/>
  <c r="G3834" i="8"/>
  <c r="C3834" i="8"/>
  <c r="B3834" i="8"/>
  <c r="A3836" i="8" l="1"/>
  <c r="C3835" i="8"/>
  <c r="G3835" i="8"/>
  <c r="B3835" i="8"/>
  <c r="E3835" i="8"/>
  <c r="D3835" i="8"/>
  <c r="E3836" i="8" l="1"/>
  <c r="D3836" i="8"/>
  <c r="C3836" i="8"/>
  <c r="B3836" i="8"/>
  <c r="A3837" i="8"/>
  <c r="G3836" i="8"/>
  <c r="A3838" i="8" l="1"/>
  <c r="C3837" i="8"/>
  <c r="G3837" i="8"/>
  <c r="B3837" i="8"/>
  <c r="E3837" i="8"/>
  <c r="D3837" i="8"/>
  <c r="E3838" i="8" l="1"/>
  <c r="D3838" i="8"/>
  <c r="A3839" i="8"/>
  <c r="G3838" i="8"/>
  <c r="C3838" i="8"/>
  <c r="B3838" i="8"/>
  <c r="A3840" i="8" l="1"/>
  <c r="C3839" i="8"/>
  <c r="G3839" i="8"/>
  <c r="B3839" i="8"/>
  <c r="E3839" i="8"/>
  <c r="D3839" i="8"/>
  <c r="E3840" i="8" l="1"/>
  <c r="D3840" i="8"/>
  <c r="C3840" i="8"/>
  <c r="B3840" i="8"/>
  <c r="A3841" i="8"/>
  <c r="G3840" i="8"/>
  <c r="A3842" i="8" l="1"/>
  <c r="G3841" i="8"/>
  <c r="C3841" i="8"/>
  <c r="B3841" i="8"/>
  <c r="E3841" i="8"/>
  <c r="D3841" i="8"/>
  <c r="E3842" i="8" l="1"/>
  <c r="D3842" i="8"/>
  <c r="C3842" i="8"/>
  <c r="B3842" i="8"/>
  <c r="A3843" i="8"/>
  <c r="G3842" i="8"/>
  <c r="A3844" i="8" l="1"/>
  <c r="C3843" i="8"/>
  <c r="G3843" i="8"/>
  <c r="B3843" i="8"/>
  <c r="E3843" i="8"/>
  <c r="D3843" i="8"/>
  <c r="E3844" i="8" l="1"/>
  <c r="D3844" i="8"/>
  <c r="A3845" i="8"/>
  <c r="G3844" i="8"/>
  <c r="C3844" i="8"/>
  <c r="B3844" i="8"/>
  <c r="A3846" i="8" l="1"/>
  <c r="C3845" i="8"/>
  <c r="G3845" i="8"/>
  <c r="B3845" i="8"/>
  <c r="E3845" i="8"/>
  <c r="D3845" i="8"/>
  <c r="E3846" i="8" l="1"/>
  <c r="D3846" i="8"/>
  <c r="C3846" i="8"/>
  <c r="B3846" i="8"/>
  <c r="A3847" i="8"/>
  <c r="G3846" i="8"/>
  <c r="A3848" i="8" l="1"/>
  <c r="C3847" i="8"/>
  <c r="G3847" i="8"/>
  <c r="B3847" i="8"/>
  <c r="E3847" i="8"/>
  <c r="D3847" i="8"/>
  <c r="E3848" i="8" l="1"/>
  <c r="D3848" i="8"/>
  <c r="A3849" i="8"/>
  <c r="G3848" i="8"/>
  <c r="C3848" i="8"/>
  <c r="B3848" i="8"/>
  <c r="A3850" i="8" l="1"/>
  <c r="C3849" i="8"/>
  <c r="G3849" i="8"/>
  <c r="B3849" i="8"/>
  <c r="E3849" i="8"/>
  <c r="D3849" i="8"/>
  <c r="E3850" i="8" l="1"/>
  <c r="D3850" i="8"/>
  <c r="C3850" i="8"/>
  <c r="B3850" i="8"/>
  <c r="A3851" i="8"/>
  <c r="G3850" i="8"/>
  <c r="A3852" i="8" l="1"/>
  <c r="C3851" i="8"/>
  <c r="G3851" i="8"/>
  <c r="B3851" i="8"/>
  <c r="E3851" i="8"/>
  <c r="D3851" i="8"/>
  <c r="E3852" i="8" l="1"/>
  <c r="D3852" i="8"/>
  <c r="A3853" i="8"/>
  <c r="G3852" i="8"/>
  <c r="C3852" i="8"/>
  <c r="B3852" i="8"/>
  <c r="A3854" i="8" l="1"/>
  <c r="C3853" i="8"/>
  <c r="G3853" i="8"/>
  <c r="B3853" i="8"/>
  <c r="E3853" i="8"/>
  <c r="D3853" i="8"/>
  <c r="E3854" i="8" l="1"/>
  <c r="D3854" i="8"/>
  <c r="C3854" i="8"/>
  <c r="B3854" i="8"/>
  <c r="A3855" i="8"/>
  <c r="G3854" i="8"/>
  <c r="A3856" i="8" l="1"/>
  <c r="C3855" i="8"/>
  <c r="G3855" i="8"/>
  <c r="B3855" i="8"/>
  <c r="E3855" i="8"/>
  <c r="D3855" i="8"/>
  <c r="E3856" i="8" l="1"/>
  <c r="D3856" i="8"/>
  <c r="A3857" i="8"/>
  <c r="G3856" i="8"/>
  <c r="C3856" i="8"/>
  <c r="B3856" i="8"/>
  <c r="A3858" i="8" l="1"/>
  <c r="C3857" i="8"/>
  <c r="G3857" i="8"/>
  <c r="B3857" i="8"/>
  <c r="E3857" i="8"/>
  <c r="D3857" i="8"/>
  <c r="E3858" i="8" l="1"/>
  <c r="D3858" i="8"/>
  <c r="C3858" i="8"/>
  <c r="B3858" i="8"/>
  <c r="A3859" i="8"/>
  <c r="G3858" i="8"/>
  <c r="A3860" i="8" l="1"/>
  <c r="C3859" i="8"/>
  <c r="G3859" i="8"/>
  <c r="B3859" i="8"/>
  <c r="E3859" i="8"/>
  <c r="D3859" i="8"/>
  <c r="E3860" i="8" l="1"/>
  <c r="D3860" i="8"/>
  <c r="A3861" i="8"/>
  <c r="G3860" i="8"/>
  <c r="C3860" i="8"/>
  <c r="B3860" i="8"/>
  <c r="A3862" i="8" l="1"/>
  <c r="C3861" i="8"/>
  <c r="G3861" i="8"/>
  <c r="B3861" i="8"/>
  <c r="E3861" i="8"/>
  <c r="D3861" i="8"/>
  <c r="E3862" i="8" l="1"/>
  <c r="D3862" i="8"/>
  <c r="C3862" i="8"/>
  <c r="B3862" i="8"/>
  <c r="A3863" i="8"/>
  <c r="G3862" i="8"/>
  <c r="A3864" i="8" l="1"/>
  <c r="C3863" i="8"/>
  <c r="G3863" i="8"/>
  <c r="B3863" i="8"/>
  <c r="E3863" i="8"/>
  <c r="D3863" i="8"/>
  <c r="E3864" i="8" l="1"/>
  <c r="D3864" i="8"/>
  <c r="A3865" i="8"/>
  <c r="G3864" i="8"/>
  <c r="C3864" i="8"/>
  <c r="B3864" i="8"/>
  <c r="A3866" i="8" l="1"/>
  <c r="C3865" i="8"/>
  <c r="G3865" i="8"/>
  <c r="B3865" i="8"/>
  <c r="E3865" i="8"/>
  <c r="D3865" i="8"/>
  <c r="E3866" i="8" l="1"/>
  <c r="D3866" i="8"/>
  <c r="C3866" i="8"/>
  <c r="B3866" i="8"/>
  <c r="A3867" i="8"/>
  <c r="G3866" i="8"/>
  <c r="A3868" i="8" l="1"/>
  <c r="C3867" i="8"/>
  <c r="G3867" i="8"/>
  <c r="B3867" i="8"/>
  <c r="E3867" i="8"/>
  <c r="D3867" i="8"/>
  <c r="E3868" i="8" l="1"/>
  <c r="D3868" i="8"/>
  <c r="A3869" i="8"/>
  <c r="G3868" i="8"/>
  <c r="C3868" i="8"/>
  <c r="B3868" i="8"/>
  <c r="A3870" i="8" l="1"/>
  <c r="C3869" i="8"/>
  <c r="G3869" i="8"/>
  <c r="B3869" i="8"/>
  <c r="E3869" i="8"/>
  <c r="D3869" i="8"/>
  <c r="E3870" i="8" l="1"/>
  <c r="D3870" i="8"/>
  <c r="C3870" i="8"/>
  <c r="B3870" i="8"/>
  <c r="A3871" i="8"/>
  <c r="G3870" i="8"/>
  <c r="A3872" i="8" l="1"/>
  <c r="C3871" i="8"/>
  <c r="G3871" i="8"/>
  <c r="B3871" i="8"/>
  <c r="E3871" i="8"/>
  <c r="D3871" i="8"/>
  <c r="E3872" i="8" l="1"/>
  <c r="D3872" i="8"/>
  <c r="A3873" i="8"/>
  <c r="G3872" i="8"/>
  <c r="C3872" i="8"/>
  <c r="B3872" i="8"/>
  <c r="A3874" i="8" l="1"/>
  <c r="C3873" i="8"/>
  <c r="G3873" i="8"/>
  <c r="B3873" i="8"/>
  <c r="E3873" i="8"/>
  <c r="D3873" i="8"/>
  <c r="E3874" i="8" l="1"/>
  <c r="D3874" i="8"/>
  <c r="C3874" i="8"/>
  <c r="B3874" i="8"/>
  <c r="A3875" i="8"/>
  <c r="G3874" i="8"/>
  <c r="A3876" i="8" l="1"/>
  <c r="C3875" i="8"/>
  <c r="G3875" i="8"/>
  <c r="B3875" i="8"/>
  <c r="E3875" i="8"/>
  <c r="D3875" i="8"/>
  <c r="E3876" i="8" l="1"/>
  <c r="D3876" i="8"/>
  <c r="A3877" i="8"/>
  <c r="G3876" i="8"/>
  <c r="C3876" i="8"/>
  <c r="B3876" i="8"/>
  <c r="A3878" i="8" l="1"/>
  <c r="C3877" i="8"/>
  <c r="G3877" i="8"/>
  <c r="B3877" i="8"/>
  <c r="E3877" i="8"/>
  <c r="D3877" i="8"/>
  <c r="E3878" i="8" l="1"/>
  <c r="D3878" i="8"/>
  <c r="C3878" i="8"/>
  <c r="B3878" i="8"/>
  <c r="A3879" i="8"/>
  <c r="G3878" i="8"/>
  <c r="A3880" i="8" l="1"/>
  <c r="C3879" i="8"/>
  <c r="G3879" i="8"/>
  <c r="B3879" i="8"/>
  <c r="E3879" i="8"/>
  <c r="D3879" i="8"/>
  <c r="E3880" i="8" l="1"/>
  <c r="D3880" i="8"/>
  <c r="A3881" i="8"/>
  <c r="G3880" i="8"/>
  <c r="C3880" i="8"/>
  <c r="B3880" i="8"/>
  <c r="A3882" i="8" l="1"/>
  <c r="C3881" i="8"/>
  <c r="G3881" i="8"/>
  <c r="B3881" i="8"/>
  <c r="E3881" i="8"/>
  <c r="D3881" i="8"/>
  <c r="E3882" i="8" l="1"/>
  <c r="D3882" i="8"/>
  <c r="C3882" i="8"/>
  <c r="B3882" i="8"/>
  <c r="A3883" i="8"/>
  <c r="G3882" i="8"/>
  <c r="A3884" i="8" l="1"/>
  <c r="C3883" i="8"/>
  <c r="G3883" i="8"/>
  <c r="B3883" i="8"/>
  <c r="E3883" i="8"/>
  <c r="D3883" i="8"/>
  <c r="E3884" i="8" l="1"/>
  <c r="D3884" i="8"/>
  <c r="A3885" i="8"/>
  <c r="G3884" i="8"/>
  <c r="C3884" i="8"/>
  <c r="B3884" i="8"/>
  <c r="A3886" i="8" l="1"/>
  <c r="C3885" i="8"/>
  <c r="G3885" i="8"/>
  <c r="B3885" i="8"/>
  <c r="E3885" i="8"/>
  <c r="D3885" i="8"/>
  <c r="E3886" i="8" l="1"/>
  <c r="D3886" i="8"/>
  <c r="C3886" i="8"/>
  <c r="B3886" i="8"/>
  <c r="A3887" i="8"/>
  <c r="G3886" i="8"/>
  <c r="A3888" i="8" l="1"/>
  <c r="C3887" i="8"/>
  <c r="G3887" i="8"/>
  <c r="B3887" i="8"/>
  <c r="E3887" i="8"/>
  <c r="D3887" i="8"/>
  <c r="E3888" i="8" l="1"/>
  <c r="D3888" i="8"/>
  <c r="A3889" i="8"/>
  <c r="G3888" i="8"/>
  <c r="C3888" i="8"/>
  <c r="B3888" i="8"/>
  <c r="A3890" i="8" l="1"/>
  <c r="C3889" i="8"/>
  <c r="G3889" i="8"/>
  <c r="B3889" i="8"/>
  <c r="E3889" i="8"/>
  <c r="D3889" i="8"/>
  <c r="E3890" i="8" l="1"/>
  <c r="D3890" i="8"/>
  <c r="C3890" i="8"/>
  <c r="B3890" i="8"/>
  <c r="A3891" i="8"/>
  <c r="G3890" i="8"/>
  <c r="A3892" i="8" l="1"/>
  <c r="C3891" i="8"/>
  <c r="G3891" i="8"/>
  <c r="B3891" i="8"/>
  <c r="E3891" i="8"/>
  <c r="D3891" i="8"/>
  <c r="E3892" i="8" l="1"/>
  <c r="D3892" i="8"/>
  <c r="A3893" i="8"/>
  <c r="G3892" i="8"/>
  <c r="C3892" i="8"/>
  <c r="B3892" i="8"/>
  <c r="A3894" i="8" l="1"/>
  <c r="C3893" i="8"/>
  <c r="G3893" i="8"/>
  <c r="B3893" i="8"/>
  <c r="E3893" i="8"/>
  <c r="D3893" i="8"/>
  <c r="E3894" i="8" l="1"/>
  <c r="D3894" i="8"/>
  <c r="C3894" i="8"/>
  <c r="B3894" i="8"/>
  <c r="A3895" i="8"/>
  <c r="G3894" i="8"/>
  <c r="A3896" i="8" l="1"/>
  <c r="C3895" i="8"/>
  <c r="G3895" i="8"/>
  <c r="B3895" i="8"/>
  <c r="E3895" i="8"/>
  <c r="D3895" i="8"/>
  <c r="E3896" i="8" l="1"/>
  <c r="D3896" i="8"/>
  <c r="A3897" i="8"/>
  <c r="G3896" i="8"/>
  <c r="C3896" i="8"/>
  <c r="B3896" i="8"/>
  <c r="A3898" i="8" l="1"/>
  <c r="C3897" i="8"/>
  <c r="G3897" i="8"/>
  <c r="B3897" i="8"/>
  <c r="E3897" i="8"/>
  <c r="D3897" i="8"/>
  <c r="E3898" i="8" l="1"/>
  <c r="D3898" i="8"/>
  <c r="C3898" i="8"/>
  <c r="B3898" i="8"/>
  <c r="A3899" i="8"/>
  <c r="G3898" i="8"/>
  <c r="A3900" i="8" l="1"/>
  <c r="C3899" i="8"/>
  <c r="G3899" i="8"/>
  <c r="B3899" i="8"/>
  <c r="E3899" i="8"/>
  <c r="D3899" i="8"/>
  <c r="E3900" i="8" l="1"/>
  <c r="D3900" i="8"/>
  <c r="A3901" i="8"/>
  <c r="G3900" i="8"/>
  <c r="C3900" i="8"/>
  <c r="B3900" i="8"/>
  <c r="A3902" i="8" l="1"/>
  <c r="C3901" i="8"/>
  <c r="G3901" i="8"/>
  <c r="B3901" i="8"/>
  <c r="E3901" i="8"/>
  <c r="D3901" i="8"/>
  <c r="E3902" i="8" l="1"/>
  <c r="D3902" i="8"/>
  <c r="C3902" i="8"/>
  <c r="B3902" i="8"/>
  <c r="A3903" i="8"/>
  <c r="G3902" i="8"/>
  <c r="A3904" i="8" l="1"/>
  <c r="C3903" i="8"/>
  <c r="G3903" i="8"/>
  <c r="B3903" i="8"/>
  <c r="E3903" i="8"/>
  <c r="D3903" i="8"/>
  <c r="E3904" i="8" l="1"/>
  <c r="D3904" i="8"/>
  <c r="A3905" i="8"/>
  <c r="G3904" i="8"/>
  <c r="C3904" i="8"/>
  <c r="B3904" i="8"/>
  <c r="A3906" i="8" l="1"/>
  <c r="C3905" i="8"/>
  <c r="G3905" i="8"/>
  <c r="B3905" i="8"/>
  <c r="E3905" i="8"/>
  <c r="D3905" i="8"/>
  <c r="E3906" i="8" l="1"/>
  <c r="D3906" i="8"/>
  <c r="C3906" i="8"/>
  <c r="B3906" i="8"/>
  <c r="A3907" i="8"/>
  <c r="G3906" i="8"/>
  <c r="A3908" i="8" l="1"/>
  <c r="C3907" i="8"/>
  <c r="G3907" i="8"/>
  <c r="B3907" i="8"/>
  <c r="E3907" i="8"/>
  <c r="D3907" i="8"/>
  <c r="E3908" i="8" l="1"/>
  <c r="D3908" i="8"/>
  <c r="A3909" i="8"/>
  <c r="G3908" i="8"/>
  <c r="C3908" i="8"/>
  <c r="B3908" i="8"/>
  <c r="A3910" i="8" l="1"/>
  <c r="C3909" i="8"/>
  <c r="G3909" i="8"/>
  <c r="B3909" i="8"/>
  <c r="E3909" i="8"/>
  <c r="D3909" i="8"/>
  <c r="E3910" i="8" l="1"/>
  <c r="D3910" i="8"/>
  <c r="C3910" i="8"/>
  <c r="B3910" i="8"/>
  <c r="A3911" i="8"/>
  <c r="G3910" i="8"/>
  <c r="A3912" i="8" l="1"/>
  <c r="C3911" i="8"/>
  <c r="G3911" i="8"/>
  <c r="B3911" i="8"/>
  <c r="E3911" i="8"/>
  <c r="D3911" i="8"/>
  <c r="E3912" i="8" l="1"/>
  <c r="D3912" i="8"/>
  <c r="A3913" i="8"/>
  <c r="G3912" i="8"/>
  <c r="C3912" i="8"/>
  <c r="B3912" i="8"/>
  <c r="A3914" i="8" l="1"/>
  <c r="C3913" i="8"/>
  <c r="G3913" i="8"/>
  <c r="B3913" i="8"/>
  <c r="E3913" i="8"/>
  <c r="D3913" i="8"/>
  <c r="E3914" i="8" l="1"/>
  <c r="D3914" i="8"/>
  <c r="C3914" i="8"/>
  <c r="B3914" i="8"/>
  <c r="A3915" i="8"/>
  <c r="G3914" i="8"/>
  <c r="A3916" i="8" l="1"/>
  <c r="C3915" i="8"/>
  <c r="G3915" i="8"/>
  <c r="B3915" i="8"/>
  <c r="E3915" i="8"/>
  <c r="D3915" i="8"/>
  <c r="E3916" i="8" l="1"/>
  <c r="D3916" i="8"/>
  <c r="A3917" i="8"/>
  <c r="G3916" i="8"/>
  <c r="C3916" i="8"/>
  <c r="B3916" i="8"/>
  <c r="A3918" i="8" l="1"/>
  <c r="C3917" i="8"/>
  <c r="G3917" i="8"/>
  <c r="B3917" i="8"/>
  <c r="E3917" i="8"/>
  <c r="D3917" i="8"/>
  <c r="E3918" i="8" l="1"/>
  <c r="D3918" i="8"/>
  <c r="C3918" i="8"/>
  <c r="B3918" i="8"/>
  <c r="A3919" i="8"/>
  <c r="G3918" i="8"/>
  <c r="A3920" i="8" l="1"/>
  <c r="C3919" i="8"/>
  <c r="G3919" i="8"/>
  <c r="B3919" i="8"/>
  <c r="E3919" i="8"/>
  <c r="D3919" i="8"/>
  <c r="E3920" i="8" l="1"/>
  <c r="D3920" i="8"/>
  <c r="A3921" i="8"/>
  <c r="G3920" i="8"/>
  <c r="C3920" i="8"/>
  <c r="B3920" i="8"/>
  <c r="A3922" i="8" l="1"/>
  <c r="C3921" i="8"/>
  <c r="G3921" i="8"/>
  <c r="B3921" i="8"/>
  <c r="E3921" i="8"/>
  <c r="D3921" i="8"/>
  <c r="E3922" i="8" l="1"/>
  <c r="D3922" i="8"/>
  <c r="C3922" i="8"/>
  <c r="B3922" i="8"/>
  <c r="A3923" i="8"/>
  <c r="G3922" i="8"/>
  <c r="A3924" i="8" l="1"/>
  <c r="C3923" i="8"/>
  <c r="G3923" i="8"/>
  <c r="B3923" i="8"/>
  <c r="E3923" i="8"/>
  <c r="D3923" i="8"/>
  <c r="E3924" i="8" l="1"/>
  <c r="D3924" i="8"/>
  <c r="A3925" i="8"/>
  <c r="G3924" i="8"/>
  <c r="C3924" i="8"/>
  <c r="B3924" i="8"/>
  <c r="A3926" i="8" l="1"/>
  <c r="C3925" i="8"/>
  <c r="G3925" i="8"/>
  <c r="B3925" i="8"/>
  <c r="E3925" i="8"/>
  <c r="D3925" i="8"/>
  <c r="D3926" i="8" l="1"/>
  <c r="A3927" i="8"/>
  <c r="G3926" i="8"/>
  <c r="E3926" i="8"/>
  <c r="C3926" i="8"/>
  <c r="B3926" i="8"/>
  <c r="G3927" i="8" l="1"/>
  <c r="B3927" i="8"/>
  <c r="E3927" i="8"/>
  <c r="A3928" i="8"/>
  <c r="D3927" i="8"/>
  <c r="C3927" i="8"/>
  <c r="D3928" i="8" l="1"/>
  <c r="A3929" i="8"/>
  <c r="C3928" i="8"/>
  <c r="B3928" i="8"/>
  <c r="G3928" i="8"/>
  <c r="E3928" i="8"/>
  <c r="G3929" i="8" l="1"/>
  <c r="B3929" i="8"/>
  <c r="E3929" i="8"/>
  <c r="D3929" i="8"/>
  <c r="C3929" i="8"/>
  <c r="A3930" i="8"/>
  <c r="D3930" i="8" l="1"/>
  <c r="A3931" i="8"/>
  <c r="C3930" i="8"/>
  <c r="G3930" i="8"/>
  <c r="E3930" i="8"/>
  <c r="B3930" i="8"/>
  <c r="G3931" i="8" l="1"/>
  <c r="B3931" i="8"/>
  <c r="E3931" i="8"/>
  <c r="A3932" i="8"/>
  <c r="D3931" i="8"/>
  <c r="C3931" i="8"/>
  <c r="D3932" i="8" l="1"/>
  <c r="A3933" i="8"/>
  <c r="C3932" i="8"/>
  <c r="B3932" i="8"/>
  <c r="G3932" i="8"/>
  <c r="E3932" i="8"/>
  <c r="G3933" i="8" l="1"/>
  <c r="B3933" i="8"/>
  <c r="E3933" i="8"/>
  <c r="D3933" i="8"/>
  <c r="C3933" i="8"/>
  <c r="A3934" i="8"/>
  <c r="D3934" i="8" l="1"/>
  <c r="A3935" i="8"/>
  <c r="C3934" i="8"/>
  <c r="G3934" i="8"/>
  <c r="E3934" i="8"/>
  <c r="B3934" i="8"/>
  <c r="G3935" i="8" l="1"/>
  <c r="B3935" i="8"/>
  <c r="E3935" i="8"/>
  <c r="A3936" i="8"/>
  <c r="D3935" i="8"/>
  <c r="C3935" i="8"/>
  <c r="D3936" i="8" l="1"/>
  <c r="A3937" i="8"/>
  <c r="C3936" i="8"/>
  <c r="B3936" i="8"/>
  <c r="G3936" i="8"/>
  <c r="E3936" i="8"/>
  <c r="G3937" i="8" l="1"/>
  <c r="B3937" i="8"/>
  <c r="E3937" i="8"/>
  <c r="D3937" i="8"/>
  <c r="C3937" i="8"/>
  <c r="A3938" i="8"/>
  <c r="D3938" i="8" l="1"/>
  <c r="A3939" i="8"/>
  <c r="C3938" i="8"/>
  <c r="G3938" i="8"/>
  <c r="E3938" i="8"/>
  <c r="B3938" i="8"/>
  <c r="G3939" i="8" l="1"/>
  <c r="B3939" i="8"/>
  <c r="E3939" i="8"/>
  <c r="A3940" i="8"/>
  <c r="D3939" i="8"/>
  <c r="C3939" i="8"/>
  <c r="D3940" i="8" l="1"/>
  <c r="A3941" i="8"/>
  <c r="C3940" i="8"/>
  <c r="B3940" i="8"/>
  <c r="G3940" i="8"/>
  <c r="E3940" i="8"/>
  <c r="G3941" i="8" l="1"/>
  <c r="B3941" i="8"/>
  <c r="E3941" i="8"/>
  <c r="D3941" i="8"/>
  <c r="C3941" i="8"/>
  <c r="A3942" i="8"/>
  <c r="D3942" i="8" l="1"/>
  <c r="A3943" i="8"/>
  <c r="C3942" i="8"/>
  <c r="G3942" i="8"/>
  <c r="E3942" i="8"/>
  <c r="B3942" i="8"/>
  <c r="G3943" i="8" l="1"/>
  <c r="B3943" i="8"/>
  <c r="E3943" i="8"/>
  <c r="A3944" i="8"/>
  <c r="D3943" i="8"/>
  <c r="C3943" i="8"/>
  <c r="G3944" i="8" l="1"/>
  <c r="D3944" i="8"/>
  <c r="C3944" i="8"/>
  <c r="B3944" i="8"/>
  <c r="A3945" i="8"/>
  <c r="E3944" i="8"/>
  <c r="D3945" i="8" l="1"/>
  <c r="C3945" i="8"/>
  <c r="A3946" i="8"/>
  <c r="B3945" i="8"/>
  <c r="G3945" i="8"/>
  <c r="E3945" i="8"/>
  <c r="G3946" i="8" l="1"/>
  <c r="B3946" i="8"/>
  <c r="C3946" i="8"/>
  <c r="A3947" i="8"/>
  <c r="E3946" i="8"/>
  <c r="D3946" i="8"/>
  <c r="D3947" i="8" l="1"/>
  <c r="A3948" i="8"/>
  <c r="B3947" i="8"/>
  <c r="G3947" i="8"/>
  <c r="E3947" i="8"/>
  <c r="C3947" i="8"/>
  <c r="G3948" i="8" l="1"/>
  <c r="B3948" i="8"/>
  <c r="A3949" i="8"/>
  <c r="E3948" i="8"/>
  <c r="D3948" i="8"/>
  <c r="C3948" i="8"/>
  <c r="D3949" i="8" l="1"/>
  <c r="G3949" i="8"/>
  <c r="E3949" i="8"/>
  <c r="C3949" i="8"/>
  <c r="B3949" i="8"/>
  <c r="A3950" i="8"/>
  <c r="G3950" i="8" l="1"/>
  <c r="B3950" i="8"/>
  <c r="E3950" i="8"/>
  <c r="D3950" i="8"/>
  <c r="A3951" i="8"/>
  <c r="C3950" i="8"/>
  <c r="D3951" i="8" l="1"/>
  <c r="E3951" i="8"/>
  <c r="C3951" i="8"/>
  <c r="B3951" i="8"/>
  <c r="A3952" i="8"/>
  <c r="G3951" i="8"/>
  <c r="G3952" i="8" l="1"/>
  <c r="B3952" i="8"/>
  <c r="D3952" i="8"/>
  <c r="C3952" i="8"/>
  <c r="A3953" i="8"/>
  <c r="E3952" i="8"/>
  <c r="D3953" i="8" l="1"/>
  <c r="C3953" i="8"/>
  <c r="A3954" i="8"/>
  <c r="B3953" i="8"/>
  <c r="G3953" i="8"/>
  <c r="E3953" i="8"/>
  <c r="G3954" i="8" l="1"/>
  <c r="B3954" i="8"/>
  <c r="C3954" i="8"/>
  <c r="A3955" i="8"/>
  <c r="E3954" i="8"/>
  <c r="D3954" i="8"/>
  <c r="D3955" i="8" l="1"/>
  <c r="A3956" i="8"/>
  <c r="B3955" i="8"/>
  <c r="G3955" i="8"/>
  <c r="E3955" i="8"/>
  <c r="C3955" i="8"/>
  <c r="G3956" i="8" l="1"/>
  <c r="B3956" i="8"/>
  <c r="A3957" i="8"/>
  <c r="E3956" i="8"/>
  <c r="D3956" i="8"/>
  <c r="C3956" i="8"/>
  <c r="D3957" i="8" l="1"/>
  <c r="G3957" i="8"/>
  <c r="E3957" i="8"/>
  <c r="A3958" i="8"/>
  <c r="C3957" i="8"/>
  <c r="B3957" i="8"/>
  <c r="G3958" i="8" l="1"/>
  <c r="B3958" i="8"/>
  <c r="E3958" i="8"/>
  <c r="D3958" i="8"/>
  <c r="C3958" i="8"/>
  <c r="A3959" i="8"/>
  <c r="D3959" i="8" l="1"/>
  <c r="E3959" i="8"/>
  <c r="C3959" i="8"/>
  <c r="A3960" i="8"/>
  <c r="G3959" i="8"/>
  <c r="B3959" i="8"/>
  <c r="G3960" i="8" l="1"/>
  <c r="B3960" i="8"/>
  <c r="D3960" i="8"/>
  <c r="C3960" i="8"/>
  <c r="A3961" i="8"/>
  <c r="E3960" i="8"/>
  <c r="D3961" i="8" l="1"/>
  <c r="C3961" i="8"/>
  <c r="A3962" i="8"/>
  <c r="B3961" i="8"/>
  <c r="G3961" i="8"/>
  <c r="E3961" i="8"/>
  <c r="G3962" i="8" l="1"/>
  <c r="B3962" i="8"/>
  <c r="C3962" i="8"/>
  <c r="A3963" i="8"/>
  <c r="E3962" i="8"/>
  <c r="D3962" i="8"/>
  <c r="D3963" i="8" l="1"/>
  <c r="A3964" i="8"/>
  <c r="B3963" i="8"/>
  <c r="G3963" i="8"/>
  <c r="E3963" i="8"/>
  <c r="C3963" i="8"/>
  <c r="G3964" i="8" l="1"/>
  <c r="B3964" i="8"/>
  <c r="A3965" i="8"/>
  <c r="E3964" i="8"/>
  <c r="D3964" i="8"/>
  <c r="C3964" i="8"/>
  <c r="D3965" i="8" l="1"/>
  <c r="G3965" i="8"/>
  <c r="E3965" i="8"/>
  <c r="C3965" i="8"/>
  <c r="B3965" i="8"/>
  <c r="A3966" i="8"/>
  <c r="G3966" i="8" l="1"/>
  <c r="B3966" i="8"/>
  <c r="E3966" i="8"/>
  <c r="D3966" i="8"/>
  <c r="A3967" i="8"/>
  <c r="C3966" i="8"/>
  <c r="D3967" i="8" l="1"/>
  <c r="E3967" i="8"/>
  <c r="C3967" i="8"/>
  <c r="B3967" i="8"/>
  <c r="A3968" i="8"/>
  <c r="G3967" i="8"/>
  <c r="G3968" i="8" l="1"/>
  <c r="B3968" i="8"/>
  <c r="D3968" i="8"/>
  <c r="C3968" i="8"/>
  <c r="A3969" i="8"/>
  <c r="E3968" i="8"/>
  <c r="D3969" i="8" l="1"/>
  <c r="C3969" i="8"/>
  <c r="A3970" i="8"/>
  <c r="B3969" i="8"/>
  <c r="G3969" i="8"/>
  <c r="E3969" i="8"/>
  <c r="G3970" i="8" l="1"/>
  <c r="B3970" i="8"/>
  <c r="C3970" i="8"/>
  <c r="A3971" i="8"/>
  <c r="E3970" i="8"/>
  <c r="D3970" i="8"/>
  <c r="D3971" i="8" l="1"/>
  <c r="A3972" i="8"/>
  <c r="B3971" i="8"/>
  <c r="G3971" i="8"/>
  <c r="E3971" i="8"/>
  <c r="C3971" i="8"/>
  <c r="G3972" i="8" l="1"/>
  <c r="B3972" i="8"/>
  <c r="A3973" i="8"/>
  <c r="E3972" i="8"/>
  <c r="D3972" i="8"/>
  <c r="C3972" i="8"/>
  <c r="D3973" i="8" l="1"/>
  <c r="G3973" i="8"/>
  <c r="E3973" i="8"/>
  <c r="A3974" i="8"/>
  <c r="C3973" i="8"/>
  <c r="B3973" i="8"/>
  <c r="G3974" i="8" l="1"/>
  <c r="B3974" i="8"/>
  <c r="E3974" i="8"/>
  <c r="D3974" i="8"/>
  <c r="C3974" i="8"/>
  <c r="A3975" i="8"/>
  <c r="D3975" i="8" l="1"/>
  <c r="E3975" i="8"/>
  <c r="C3975" i="8"/>
  <c r="A3976" i="8"/>
  <c r="G3975" i="8"/>
  <c r="B3975" i="8"/>
  <c r="G3976" i="8" l="1"/>
  <c r="B3976" i="8"/>
  <c r="D3976" i="8"/>
  <c r="C3976" i="8"/>
  <c r="A3977" i="8"/>
  <c r="E3976" i="8"/>
  <c r="D3977" i="8" l="1"/>
  <c r="C3977" i="8"/>
  <c r="A3978" i="8"/>
  <c r="B3977" i="8"/>
  <c r="G3977" i="8"/>
  <c r="E3977" i="8"/>
  <c r="G3978" i="8" l="1"/>
  <c r="B3978" i="8"/>
  <c r="C3978" i="8"/>
  <c r="A3979" i="8"/>
  <c r="E3978" i="8"/>
  <c r="D3978" i="8"/>
  <c r="D3979" i="8" l="1"/>
  <c r="A3980" i="8"/>
  <c r="B3979" i="8"/>
  <c r="G3979" i="8"/>
  <c r="E3979" i="8"/>
  <c r="C3979" i="8"/>
  <c r="G3980" i="8" l="1"/>
  <c r="B3980" i="8"/>
  <c r="A3981" i="8"/>
  <c r="E3980" i="8"/>
  <c r="D3980" i="8"/>
  <c r="C3980" i="8"/>
  <c r="D3981" i="8" l="1"/>
  <c r="G3981" i="8"/>
  <c r="E3981" i="8"/>
  <c r="C3981" i="8"/>
  <c r="B3981" i="8"/>
  <c r="A3982" i="8"/>
  <c r="G3982" i="8" l="1"/>
  <c r="B3982" i="8"/>
  <c r="E3982" i="8"/>
  <c r="D3982" i="8"/>
  <c r="A3983" i="8"/>
  <c r="C3982" i="8"/>
  <c r="D3983" i="8" l="1"/>
  <c r="E3983" i="8"/>
  <c r="C3983" i="8"/>
  <c r="B3983" i="8"/>
  <c r="A3984" i="8"/>
  <c r="G3983" i="8"/>
  <c r="G3984" i="8" l="1"/>
  <c r="B3984" i="8"/>
  <c r="D3984" i="8"/>
  <c r="C3984" i="8"/>
  <c r="A3985" i="8"/>
  <c r="E3984" i="8"/>
  <c r="D3985" i="8" l="1"/>
  <c r="C3985" i="8"/>
  <c r="A3986" i="8"/>
  <c r="B3985" i="8"/>
  <c r="G3985" i="8"/>
  <c r="E3985" i="8"/>
  <c r="G3986" i="8" l="1"/>
  <c r="B3986" i="8"/>
  <c r="C3986" i="8"/>
  <c r="A3987" i="8"/>
  <c r="E3986" i="8"/>
  <c r="D3986" i="8"/>
  <c r="D3987" i="8" l="1"/>
  <c r="A3988" i="8"/>
  <c r="C3987" i="8"/>
  <c r="B3987" i="8"/>
  <c r="G3987" i="8"/>
  <c r="E3987" i="8"/>
  <c r="G3988" i="8" l="1"/>
  <c r="B3988" i="8"/>
  <c r="E3988" i="8"/>
  <c r="D3988" i="8"/>
  <c r="C3988" i="8"/>
  <c r="A3989" i="8"/>
  <c r="D3989" i="8" l="1"/>
  <c r="A3990" i="8"/>
  <c r="C3989" i="8"/>
  <c r="G3989" i="8"/>
  <c r="E3989" i="8"/>
  <c r="B3989" i="8"/>
  <c r="G3990" i="8" l="1"/>
  <c r="B3990" i="8"/>
  <c r="E3990" i="8"/>
  <c r="A3991" i="8"/>
  <c r="D3990" i="8"/>
  <c r="C3990" i="8"/>
  <c r="D3991" i="8" l="1"/>
  <c r="A3992" i="8"/>
  <c r="C3991" i="8"/>
  <c r="B3991" i="8"/>
  <c r="G3991" i="8"/>
  <c r="E3991" i="8"/>
  <c r="G3992" i="8" l="1"/>
  <c r="B3992" i="8"/>
  <c r="E3992" i="8"/>
  <c r="D3992" i="8"/>
  <c r="C3992" i="8"/>
  <c r="A3993" i="8"/>
  <c r="D3993" i="8" l="1"/>
  <c r="A3994" i="8"/>
  <c r="C3993" i="8"/>
  <c r="G3993" i="8"/>
  <c r="E3993" i="8"/>
  <c r="B3993" i="8"/>
  <c r="G3994" i="8" l="1"/>
  <c r="B3994" i="8"/>
  <c r="E3994" i="8"/>
  <c r="A3995" i="8"/>
  <c r="D3994" i="8"/>
  <c r="C3994" i="8"/>
  <c r="D3995" i="8" l="1"/>
  <c r="A3996" i="8"/>
  <c r="C3995" i="8"/>
  <c r="B3995" i="8"/>
  <c r="G3995" i="8"/>
  <c r="E3995" i="8"/>
  <c r="G3996" i="8" l="1"/>
  <c r="B3996" i="8"/>
  <c r="E3996" i="8"/>
  <c r="D3996" i="8"/>
  <c r="C3996" i="8"/>
  <c r="A3997" i="8"/>
  <c r="D3997" i="8" l="1"/>
  <c r="A3998" i="8"/>
  <c r="C3997" i="8"/>
  <c r="G3997" i="8"/>
  <c r="E3997" i="8"/>
  <c r="B3997" i="8"/>
  <c r="G3998" i="8" l="1"/>
  <c r="B3998" i="8"/>
  <c r="E3998" i="8"/>
  <c r="A3999" i="8"/>
  <c r="D3998" i="8"/>
  <c r="C3998" i="8"/>
  <c r="D3999" i="8" l="1"/>
  <c r="A4000" i="8"/>
  <c r="C3999" i="8"/>
  <c r="B3999" i="8"/>
  <c r="G3999" i="8"/>
  <c r="E3999" i="8"/>
  <c r="G4000" i="8" l="1"/>
  <c r="B4000" i="8"/>
  <c r="E4000" i="8"/>
  <c r="D4000" i="8"/>
  <c r="C4000" i="8"/>
  <c r="C16" i="6"/>
  <c r="J44" i="8" l="1"/>
  <c r="J33" i="8"/>
  <c r="J17" i="8"/>
  <c r="J100" i="8"/>
  <c r="J22" i="8"/>
  <c r="J6" i="8"/>
  <c r="J7" i="8"/>
  <c r="J145" i="8"/>
  <c r="J88" i="8"/>
  <c r="J60" i="8"/>
  <c r="J134" i="8"/>
  <c r="J102" i="8"/>
  <c r="J35" i="8"/>
  <c r="J71" i="8"/>
  <c r="J111" i="8"/>
  <c r="J47" i="8"/>
  <c r="J118" i="8"/>
  <c r="J129" i="8"/>
  <c r="J113" i="8"/>
  <c r="J92" i="8"/>
  <c r="J135" i="8"/>
  <c r="J49" i="8"/>
  <c r="J120" i="8"/>
  <c r="J131" i="8"/>
  <c r="J38" i="8"/>
  <c r="J81" i="8"/>
  <c r="J99" i="8"/>
  <c r="J24" i="8"/>
  <c r="J86" i="8"/>
  <c r="J152" i="8"/>
  <c r="J70" i="8"/>
  <c r="J150" i="8"/>
  <c r="J56" i="8"/>
  <c r="J36" i="8"/>
  <c r="J65" i="8"/>
  <c r="J54" i="8"/>
  <c r="J97" i="8"/>
  <c r="J67" i="8"/>
  <c r="J29" i="8"/>
  <c r="J142" i="8"/>
  <c r="J101" i="8"/>
  <c r="J32" i="8"/>
  <c r="J91" i="8"/>
  <c r="J53" i="8"/>
  <c r="J52" i="8"/>
  <c r="J105" i="8"/>
  <c r="J154" i="8"/>
  <c r="J46" i="8"/>
  <c r="J112" i="8"/>
  <c r="J62" i="8"/>
  <c r="J141" i="8"/>
  <c r="J119" i="8"/>
  <c r="J26" i="8"/>
  <c r="J98" i="8"/>
  <c r="J74" i="8"/>
  <c r="J90" i="8"/>
  <c r="J84" i="8"/>
  <c r="J106" i="8"/>
  <c r="J45" i="8"/>
  <c r="J140" i="8"/>
  <c r="J50" i="8"/>
  <c r="J57" i="8"/>
  <c r="J10" i="8"/>
  <c r="J43" i="8"/>
  <c r="J72" i="8"/>
  <c r="J87" i="8"/>
  <c r="J66" i="8"/>
  <c r="J13" i="8"/>
  <c r="J126" i="8"/>
  <c r="J59" i="8"/>
  <c r="J89" i="8"/>
  <c r="J151" i="8"/>
  <c r="J116" i="8"/>
  <c r="J15" i="8"/>
  <c r="J64" i="8"/>
  <c r="J125" i="8"/>
  <c r="J30" i="8"/>
  <c r="J76" i="8"/>
  <c r="J28" i="8"/>
  <c r="J110" i="8"/>
  <c r="C17" i="6"/>
  <c r="C20" i="6" s="1"/>
  <c r="D2" i="5" s="1"/>
  <c r="J95" i="8"/>
  <c r="J58" i="8"/>
  <c r="J14" i="8"/>
  <c r="J42" i="8"/>
  <c r="J20" i="8"/>
  <c r="J51" i="8"/>
  <c r="J115" i="8"/>
  <c r="J69" i="8"/>
  <c r="J34" i="8"/>
  <c r="J41" i="8"/>
  <c r="J11" i="8"/>
  <c r="J136" i="8"/>
  <c r="J40" i="8"/>
  <c r="J137" i="8"/>
  <c r="J23" i="8"/>
  <c r="J127" i="8"/>
  <c r="J27" i="8"/>
  <c r="J73" i="8"/>
  <c r="J63" i="8"/>
  <c r="J18" i="8"/>
  <c r="J149" i="8"/>
  <c r="J9" i="8"/>
  <c r="J109" i="8"/>
  <c r="J75" i="8"/>
  <c r="J133" i="8"/>
  <c r="J153" i="8"/>
  <c r="J94" i="8"/>
  <c r="J79" i="8"/>
  <c r="J31" i="8"/>
  <c r="J107" i="8"/>
  <c r="J147" i="8"/>
  <c r="J55" i="8"/>
  <c r="J108" i="8"/>
  <c r="J19" i="8"/>
  <c r="J25" i="8"/>
  <c r="J80" i="8"/>
  <c r="J8" i="8"/>
  <c r="J96" i="8"/>
  <c r="J146" i="8"/>
  <c r="J104" i="8"/>
  <c r="J139" i="8"/>
  <c r="J143" i="8"/>
  <c r="J82" i="8"/>
  <c r="J117" i="8"/>
  <c r="J124" i="8"/>
  <c r="J123" i="8"/>
  <c r="J93" i="8"/>
  <c r="J155" i="8"/>
  <c r="J121" i="8"/>
  <c r="J37" i="8"/>
  <c r="J122" i="8"/>
  <c r="J144" i="8"/>
  <c r="J78" i="8"/>
  <c r="J77" i="8"/>
  <c r="J16" i="8"/>
  <c r="J39" i="8"/>
  <c r="J114" i="8"/>
  <c r="J83" i="8"/>
  <c r="J21" i="8"/>
  <c r="J148" i="8"/>
  <c r="J138" i="8"/>
  <c r="J61" i="8"/>
  <c r="J68" i="8"/>
  <c r="J132" i="8"/>
  <c r="J103" i="8"/>
  <c r="J12" i="8"/>
  <c r="J130" i="8"/>
  <c r="J85" i="8"/>
  <c r="J128" i="8"/>
  <c r="J48" i="8"/>
  <c r="D4" i="5" l="1"/>
  <c r="D3" i="5"/>
  <c r="M132" i="8"/>
  <c r="L132" i="8"/>
  <c r="N132" i="8"/>
  <c r="K132" i="8"/>
  <c r="N117" i="8"/>
  <c r="M117" i="8"/>
  <c r="L117" i="8"/>
  <c r="K117" i="8"/>
  <c r="L75" i="8"/>
  <c r="K75" i="8"/>
  <c r="N75" i="8"/>
  <c r="M75" i="8"/>
  <c r="K18" i="8"/>
  <c r="N18" i="8"/>
  <c r="M18" i="8"/>
  <c r="L18" i="8"/>
  <c r="L83" i="8"/>
  <c r="K83" i="8"/>
  <c r="N83" i="8"/>
  <c r="M83" i="8"/>
  <c r="N77" i="8"/>
  <c r="M77" i="8"/>
  <c r="L77" i="8"/>
  <c r="K77" i="8"/>
  <c r="N37" i="8"/>
  <c r="M37" i="8"/>
  <c r="L37" i="8"/>
  <c r="K37" i="8"/>
  <c r="L123" i="8"/>
  <c r="K123" i="8"/>
  <c r="N123" i="8"/>
  <c r="M123" i="8"/>
  <c r="L143" i="8"/>
  <c r="K143" i="8"/>
  <c r="N143" i="8"/>
  <c r="M143" i="8"/>
  <c r="M96" i="8"/>
  <c r="L96" i="8"/>
  <c r="K96" i="8"/>
  <c r="N96" i="8"/>
  <c r="L19" i="8"/>
  <c r="K19" i="8"/>
  <c r="N19" i="8"/>
  <c r="M19" i="8"/>
  <c r="L107" i="8"/>
  <c r="K107" i="8"/>
  <c r="N107" i="8"/>
  <c r="M107" i="8"/>
  <c r="N153" i="8"/>
  <c r="M153" i="8"/>
  <c r="L153" i="8"/>
  <c r="K153" i="8"/>
  <c r="N9" i="8"/>
  <c r="M9" i="8"/>
  <c r="L9" i="8"/>
  <c r="K9" i="8"/>
  <c r="N73" i="8"/>
  <c r="M73" i="8"/>
  <c r="L73" i="8"/>
  <c r="K73" i="8"/>
  <c r="N137" i="8"/>
  <c r="M137" i="8"/>
  <c r="L137" i="8"/>
  <c r="K137" i="8"/>
  <c r="N41" i="8"/>
  <c r="M41" i="8"/>
  <c r="L41" i="8"/>
  <c r="K41" i="8"/>
  <c r="L51" i="8"/>
  <c r="K51" i="8"/>
  <c r="N51" i="8"/>
  <c r="M51" i="8"/>
  <c r="K58" i="8"/>
  <c r="N58" i="8"/>
  <c r="M58" i="8"/>
  <c r="L58" i="8"/>
  <c r="M28" i="8"/>
  <c r="L28" i="8"/>
  <c r="N28" i="8"/>
  <c r="K28" i="8"/>
  <c r="M64" i="8"/>
  <c r="L64" i="8"/>
  <c r="K64" i="8"/>
  <c r="N64" i="8"/>
  <c r="N89" i="8"/>
  <c r="M89" i="8"/>
  <c r="L89" i="8"/>
  <c r="K89" i="8"/>
  <c r="K66" i="8"/>
  <c r="N66" i="8"/>
  <c r="M66" i="8"/>
  <c r="L66" i="8"/>
  <c r="K10" i="8"/>
  <c r="N10" i="8"/>
  <c r="M10" i="8"/>
  <c r="L10" i="8"/>
  <c r="N45" i="8"/>
  <c r="M45" i="8"/>
  <c r="L45" i="8"/>
  <c r="K45" i="8"/>
  <c r="K74" i="8"/>
  <c r="N74" i="8"/>
  <c r="M74" i="8"/>
  <c r="L74" i="8"/>
  <c r="N141" i="8"/>
  <c r="M141" i="8"/>
  <c r="L141" i="8"/>
  <c r="K141" i="8"/>
  <c r="K154" i="8"/>
  <c r="N154" i="8"/>
  <c r="M154" i="8"/>
  <c r="L154" i="8"/>
  <c r="L91" i="8"/>
  <c r="K91" i="8"/>
  <c r="N91" i="8"/>
  <c r="M91" i="8"/>
  <c r="N29" i="8"/>
  <c r="M29" i="8"/>
  <c r="L29" i="8"/>
  <c r="K29" i="8"/>
  <c r="N65" i="8"/>
  <c r="M65" i="8"/>
  <c r="L65" i="8"/>
  <c r="K65" i="8"/>
  <c r="K70" i="8"/>
  <c r="N70" i="8"/>
  <c r="M70" i="8"/>
  <c r="L70" i="8"/>
  <c r="L99" i="8"/>
  <c r="K99" i="8"/>
  <c r="N99" i="8"/>
  <c r="M99" i="8"/>
  <c r="M120" i="8"/>
  <c r="L120" i="8"/>
  <c r="K120" i="8"/>
  <c r="N120" i="8"/>
  <c r="N113" i="8"/>
  <c r="M113" i="8"/>
  <c r="L113" i="8"/>
  <c r="K113" i="8"/>
  <c r="L111" i="8"/>
  <c r="K111" i="8"/>
  <c r="N111" i="8"/>
  <c r="M111" i="8"/>
  <c r="K134" i="8"/>
  <c r="N134" i="8"/>
  <c r="M134" i="8"/>
  <c r="L134" i="8"/>
  <c r="L7" i="8"/>
  <c r="K7" i="8"/>
  <c r="N7" i="8"/>
  <c r="M7" i="8"/>
  <c r="N17" i="8"/>
  <c r="M17" i="8"/>
  <c r="L17" i="8"/>
  <c r="K17" i="8"/>
  <c r="M148" i="8"/>
  <c r="L148" i="8"/>
  <c r="N148" i="8"/>
  <c r="K148" i="8"/>
  <c r="M144" i="8"/>
  <c r="L144" i="8"/>
  <c r="K144" i="8"/>
  <c r="N144" i="8"/>
  <c r="M104" i="8"/>
  <c r="L104" i="8"/>
  <c r="K104" i="8"/>
  <c r="N104" i="8"/>
  <c r="L55" i="8"/>
  <c r="K55" i="8"/>
  <c r="N55" i="8"/>
  <c r="M55" i="8"/>
  <c r="M48" i="8"/>
  <c r="L48" i="8"/>
  <c r="K48" i="8"/>
  <c r="N48" i="8"/>
  <c r="M12" i="8"/>
  <c r="L12" i="8"/>
  <c r="N12" i="8"/>
  <c r="K12" i="8"/>
  <c r="N61" i="8"/>
  <c r="M61" i="8"/>
  <c r="L61" i="8"/>
  <c r="K61" i="8"/>
  <c r="M128" i="8"/>
  <c r="L128" i="8"/>
  <c r="K128" i="8"/>
  <c r="N128" i="8"/>
  <c r="L103" i="8"/>
  <c r="K103" i="8"/>
  <c r="N103" i="8"/>
  <c r="M103" i="8"/>
  <c r="K138" i="8"/>
  <c r="N138" i="8"/>
  <c r="M138" i="8"/>
  <c r="L138" i="8"/>
  <c r="K114" i="8"/>
  <c r="N114" i="8"/>
  <c r="M114" i="8"/>
  <c r="L114" i="8"/>
  <c r="K78" i="8"/>
  <c r="N78" i="8"/>
  <c r="M78" i="8"/>
  <c r="L78" i="8"/>
  <c r="N121" i="8"/>
  <c r="M121" i="8"/>
  <c r="L121" i="8"/>
  <c r="K121" i="8"/>
  <c r="M124" i="8"/>
  <c r="L124" i="8"/>
  <c r="N124" i="8"/>
  <c r="K124" i="8"/>
  <c r="L139" i="8"/>
  <c r="K139" i="8"/>
  <c r="N139" i="8"/>
  <c r="M139" i="8"/>
  <c r="M8" i="8"/>
  <c r="L8" i="8"/>
  <c r="K8" i="8"/>
  <c r="N8" i="8"/>
  <c r="M108" i="8"/>
  <c r="L108" i="8"/>
  <c r="N108" i="8"/>
  <c r="K108" i="8"/>
  <c r="L31" i="8"/>
  <c r="K31" i="8"/>
  <c r="N31" i="8"/>
  <c r="M31" i="8"/>
  <c r="N133" i="8"/>
  <c r="M133" i="8"/>
  <c r="L133" i="8"/>
  <c r="K133" i="8"/>
  <c r="N149" i="8"/>
  <c r="M149" i="8"/>
  <c r="L149" i="8"/>
  <c r="K149" i="8"/>
  <c r="L27" i="8"/>
  <c r="K27" i="8"/>
  <c r="N27" i="8"/>
  <c r="M27" i="8"/>
  <c r="M40" i="8"/>
  <c r="L40" i="8"/>
  <c r="K40" i="8"/>
  <c r="N40" i="8"/>
  <c r="K34" i="8"/>
  <c r="N34" i="8"/>
  <c r="M34" i="8"/>
  <c r="L34" i="8"/>
  <c r="M20" i="8"/>
  <c r="L20" i="8"/>
  <c r="N20" i="8"/>
  <c r="K20" i="8"/>
  <c r="L95" i="8"/>
  <c r="K95" i="8"/>
  <c r="N95" i="8"/>
  <c r="M95" i="8"/>
  <c r="M76" i="8"/>
  <c r="L76" i="8"/>
  <c r="N76" i="8"/>
  <c r="K76" i="8"/>
  <c r="L15" i="8"/>
  <c r="K15" i="8"/>
  <c r="N15" i="8"/>
  <c r="M15" i="8"/>
  <c r="L59" i="8"/>
  <c r="K59" i="8"/>
  <c r="N59" i="8"/>
  <c r="M59" i="8"/>
  <c r="L87" i="8"/>
  <c r="K87" i="8"/>
  <c r="N87" i="8"/>
  <c r="M87" i="8"/>
  <c r="N57" i="8"/>
  <c r="M57" i="8"/>
  <c r="L57" i="8"/>
  <c r="K57" i="8"/>
  <c r="K106" i="8"/>
  <c r="N106" i="8"/>
  <c r="M106" i="8"/>
  <c r="L106" i="8"/>
  <c r="K98" i="8"/>
  <c r="N98" i="8"/>
  <c r="M98" i="8"/>
  <c r="L98" i="8"/>
  <c r="K62" i="8"/>
  <c r="N62" i="8"/>
  <c r="M62" i="8"/>
  <c r="L62" i="8"/>
  <c r="N105" i="8"/>
  <c r="M105" i="8"/>
  <c r="L105" i="8"/>
  <c r="K105" i="8"/>
  <c r="M32" i="8"/>
  <c r="L32" i="8"/>
  <c r="K32" i="8"/>
  <c r="N32" i="8"/>
  <c r="L67" i="8"/>
  <c r="K67" i="8"/>
  <c r="N67" i="8"/>
  <c r="M67" i="8"/>
  <c r="M36" i="8"/>
  <c r="L36" i="8"/>
  <c r="N36" i="8"/>
  <c r="K36" i="8"/>
  <c r="M152" i="8"/>
  <c r="L152" i="8"/>
  <c r="K152" i="8"/>
  <c r="N152" i="8"/>
  <c r="N81" i="8"/>
  <c r="M81" i="8"/>
  <c r="L81" i="8"/>
  <c r="K81" i="8"/>
  <c r="N49" i="8"/>
  <c r="M49" i="8"/>
  <c r="L49" i="8"/>
  <c r="K49" i="8"/>
  <c r="N129" i="8"/>
  <c r="M129" i="8"/>
  <c r="L129" i="8"/>
  <c r="K129" i="8"/>
  <c r="L71" i="8"/>
  <c r="K71" i="8"/>
  <c r="N71" i="8"/>
  <c r="M71" i="8"/>
  <c r="M60" i="8"/>
  <c r="L60" i="8"/>
  <c r="N60" i="8"/>
  <c r="K60" i="8"/>
  <c r="K6" i="8"/>
  <c r="N6" i="8"/>
  <c r="M6" i="8"/>
  <c r="L6" i="8"/>
  <c r="N33" i="8"/>
  <c r="M33" i="8"/>
  <c r="L33" i="8"/>
  <c r="K33" i="8"/>
  <c r="K30" i="8"/>
  <c r="N30" i="8"/>
  <c r="M30" i="8"/>
  <c r="L30" i="8"/>
  <c r="M116" i="8"/>
  <c r="L116" i="8"/>
  <c r="N116" i="8"/>
  <c r="K116" i="8"/>
  <c r="K126" i="8"/>
  <c r="N126" i="8"/>
  <c r="M126" i="8"/>
  <c r="L126" i="8"/>
  <c r="M72" i="8"/>
  <c r="L72" i="8"/>
  <c r="K72" i="8"/>
  <c r="N72" i="8"/>
  <c r="K50" i="8"/>
  <c r="N50" i="8"/>
  <c r="M50" i="8"/>
  <c r="L50" i="8"/>
  <c r="M84" i="8"/>
  <c r="L84" i="8"/>
  <c r="N84" i="8"/>
  <c r="K84" i="8"/>
  <c r="K26" i="8"/>
  <c r="N26" i="8"/>
  <c r="M26" i="8"/>
  <c r="L26" i="8"/>
  <c r="M112" i="8"/>
  <c r="L112" i="8"/>
  <c r="K112" i="8"/>
  <c r="N112" i="8"/>
  <c r="M52" i="8"/>
  <c r="L52" i="8"/>
  <c r="N52" i="8"/>
  <c r="K52" i="8"/>
  <c r="N101" i="8"/>
  <c r="M101" i="8"/>
  <c r="L101" i="8"/>
  <c r="K101" i="8"/>
  <c r="N97" i="8"/>
  <c r="M97" i="8"/>
  <c r="L97" i="8"/>
  <c r="K97" i="8"/>
  <c r="M56" i="8"/>
  <c r="L56" i="8"/>
  <c r="K56" i="8"/>
  <c r="N56" i="8"/>
  <c r="K86" i="8"/>
  <c r="N86" i="8"/>
  <c r="M86" i="8"/>
  <c r="L86" i="8"/>
  <c r="K38" i="8"/>
  <c r="N38" i="8"/>
  <c r="M38" i="8"/>
  <c r="L38" i="8"/>
  <c r="L135" i="8"/>
  <c r="K135" i="8"/>
  <c r="N135" i="8"/>
  <c r="M135" i="8"/>
  <c r="K118" i="8"/>
  <c r="N118" i="8"/>
  <c r="M118" i="8"/>
  <c r="L118" i="8"/>
  <c r="L35" i="8"/>
  <c r="K35" i="8"/>
  <c r="N35" i="8"/>
  <c r="M35" i="8"/>
  <c r="M88" i="8"/>
  <c r="L88" i="8"/>
  <c r="K88" i="8"/>
  <c r="N88" i="8"/>
  <c r="K22" i="8"/>
  <c r="N22" i="8"/>
  <c r="M22" i="8"/>
  <c r="L22" i="8"/>
  <c r="M44" i="8"/>
  <c r="L44" i="8"/>
  <c r="N44" i="8"/>
  <c r="K44" i="8"/>
  <c r="N85" i="8"/>
  <c r="M85" i="8"/>
  <c r="L85" i="8"/>
  <c r="K85" i="8"/>
  <c r="L39" i="8"/>
  <c r="K39" i="8"/>
  <c r="N39" i="8"/>
  <c r="M39" i="8"/>
  <c r="L155" i="8"/>
  <c r="K155" i="8"/>
  <c r="N155" i="8"/>
  <c r="M155" i="8"/>
  <c r="M80" i="8"/>
  <c r="L80" i="8"/>
  <c r="K80" i="8"/>
  <c r="N80" i="8"/>
  <c r="L79" i="8"/>
  <c r="K79" i="8"/>
  <c r="N79" i="8"/>
  <c r="M79" i="8"/>
  <c r="L127" i="8"/>
  <c r="K127" i="8"/>
  <c r="N127" i="8"/>
  <c r="M127" i="8"/>
  <c r="M136" i="8"/>
  <c r="L136" i="8"/>
  <c r="K136" i="8"/>
  <c r="N136" i="8"/>
  <c r="N69" i="8"/>
  <c r="M69" i="8"/>
  <c r="L69" i="8"/>
  <c r="K69" i="8"/>
  <c r="K42" i="8"/>
  <c r="N42" i="8"/>
  <c r="M42" i="8"/>
  <c r="L42" i="8"/>
  <c r="K130" i="8"/>
  <c r="N130" i="8"/>
  <c r="M130" i="8"/>
  <c r="L130" i="8"/>
  <c r="M68" i="8"/>
  <c r="L68" i="8"/>
  <c r="N68" i="8"/>
  <c r="K68" i="8"/>
  <c r="N21" i="8"/>
  <c r="M21" i="8"/>
  <c r="L21" i="8"/>
  <c r="K21" i="8"/>
  <c r="M16" i="8"/>
  <c r="L16" i="8"/>
  <c r="K16" i="8"/>
  <c r="N16" i="8"/>
  <c r="K122" i="8"/>
  <c r="N122" i="8"/>
  <c r="M122" i="8"/>
  <c r="L122" i="8"/>
  <c r="N93" i="8"/>
  <c r="M93" i="8"/>
  <c r="L93" i="8"/>
  <c r="K93" i="8"/>
  <c r="K82" i="8"/>
  <c r="N82" i="8"/>
  <c r="M82" i="8"/>
  <c r="L82" i="8"/>
  <c r="K146" i="8"/>
  <c r="N146" i="8"/>
  <c r="M146" i="8"/>
  <c r="L146" i="8"/>
  <c r="N25" i="8"/>
  <c r="M25" i="8"/>
  <c r="L25" i="8"/>
  <c r="K25" i="8"/>
  <c r="L147" i="8"/>
  <c r="K147" i="8"/>
  <c r="N147" i="8"/>
  <c r="M147" i="8"/>
  <c r="K94" i="8"/>
  <c r="N94" i="8"/>
  <c r="M94" i="8"/>
  <c r="L94" i="8"/>
  <c r="N109" i="8"/>
  <c r="M109" i="8"/>
  <c r="L109" i="8"/>
  <c r="K109" i="8"/>
  <c r="L63" i="8"/>
  <c r="K63" i="8"/>
  <c r="N63" i="8"/>
  <c r="M63" i="8"/>
  <c r="L23" i="8"/>
  <c r="K23" i="8"/>
  <c r="N23" i="8"/>
  <c r="M23" i="8"/>
  <c r="L11" i="8"/>
  <c r="K11" i="8"/>
  <c r="N11" i="8"/>
  <c r="M11" i="8"/>
  <c r="L115" i="8"/>
  <c r="K115" i="8"/>
  <c r="N115" i="8"/>
  <c r="M115" i="8"/>
  <c r="K14" i="8"/>
  <c r="N14" i="8"/>
  <c r="M14" i="8"/>
  <c r="L14" i="8"/>
  <c r="K110" i="8"/>
  <c r="N110" i="8"/>
  <c r="M110" i="8"/>
  <c r="L110" i="8"/>
  <c r="N125" i="8"/>
  <c r="M125" i="8"/>
  <c r="L125" i="8"/>
  <c r="K125" i="8"/>
  <c r="L151" i="8"/>
  <c r="K151" i="8"/>
  <c r="N151" i="8"/>
  <c r="M151" i="8"/>
  <c r="N13" i="8"/>
  <c r="M13" i="8"/>
  <c r="L13" i="8"/>
  <c r="K13" i="8"/>
  <c r="L43" i="8"/>
  <c r="K43" i="8"/>
  <c r="N43" i="8"/>
  <c r="M43" i="8"/>
  <c r="M140" i="8"/>
  <c r="L140" i="8"/>
  <c r="N140" i="8"/>
  <c r="K140" i="8"/>
  <c r="K90" i="8"/>
  <c r="N90" i="8"/>
  <c r="M90" i="8"/>
  <c r="L90" i="8"/>
  <c r="L119" i="8"/>
  <c r="K119" i="8"/>
  <c r="N119" i="8"/>
  <c r="M119" i="8"/>
  <c r="K46" i="8"/>
  <c r="N46" i="8"/>
  <c r="M46" i="8"/>
  <c r="L46" i="8"/>
  <c r="N53" i="8"/>
  <c r="M53" i="8"/>
  <c r="L53" i="8"/>
  <c r="K53" i="8"/>
  <c r="K142" i="8"/>
  <c r="N142" i="8"/>
  <c r="M142" i="8"/>
  <c r="L142" i="8"/>
  <c r="K54" i="8"/>
  <c r="N54" i="8"/>
  <c r="M54" i="8"/>
  <c r="L54" i="8"/>
  <c r="K150" i="8"/>
  <c r="N150" i="8"/>
  <c r="M150" i="8"/>
  <c r="L150" i="8"/>
  <c r="M24" i="8"/>
  <c r="L24" i="8"/>
  <c r="K24" i="8"/>
  <c r="N24" i="8"/>
  <c r="L131" i="8"/>
  <c r="K131" i="8"/>
  <c r="N131" i="8"/>
  <c r="M131" i="8"/>
  <c r="M92" i="8"/>
  <c r="L92" i="8"/>
  <c r="N92" i="8"/>
  <c r="K92" i="8"/>
  <c r="L47" i="8"/>
  <c r="K47" i="8"/>
  <c r="N47" i="8"/>
  <c r="M47" i="8"/>
  <c r="K102" i="8"/>
  <c r="N102" i="8"/>
  <c r="M102" i="8"/>
  <c r="L102" i="8"/>
  <c r="N145" i="8"/>
  <c r="M145" i="8"/>
  <c r="L145" i="8"/>
  <c r="K145" i="8"/>
  <c r="M100" i="8"/>
  <c r="L100" i="8"/>
  <c r="N100" i="8"/>
  <c r="K100" i="8"/>
</calcChain>
</file>

<file path=xl/sharedStrings.xml><?xml version="1.0" encoding="utf-8"?>
<sst xmlns="http://schemas.openxmlformats.org/spreadsheetml/2006/main" count="117" uniqueCount="94">
  <si>
    <t>Расчёт процентов по ст. 395 ГК РФ</t>
  </si>
  <si>
    <t>1. Лист «Акты»: одна строка — один акт (или часть долга) со своей датой начала просрочки. По каждому акту из файла 04, лист «Долг по актам», переносится только бесспорная часть: в колонку «Бесспорный на первый день просрочки» — колонка J того листа, в колонку «Первый день просрочки» — колонка E, в колонку сверки — колонка M («Текущий бесспорный остаток»). Спорная часть (удержание, зачёт встречного требования, неустойка, допработы без соглашения) сюда не вносится: проценты на неё книга не считает ни за какой период, её оценка — у специалиста. Сверка нужна, чтобы оплаты не учлись дважды: если в колонку долга попадёт сумма, из которой оплаты уже вычтены, сверка не сойдётся и книга заблокирует расчёт.</t>
  </si>
  <si>
    <t>2. Лист «Ввод»: последний день расчёта и обязательная сверка с файлом 04 — бесспорная часть долга из листа «Взаиморасчёты», строка «БЕССПОРНАЯ ЧАСТЬ» (ячейка M12). Сумма колонки F листа «Акты» должна с ней совпасть (за вычетом актов файла 04, которые не входят в этот расчёт). Если на лист «Акты» перенесён общий долг вместе со спорной частью, сверка не сойдётся и расчёт будет заблокирован. Без этой суммы расчёт тоже заблокирован.</t>
  </si>
  <si>
    <t>3. Лист «Ввод»: ключевая ставка Банка России (cbr.ru, раздел «Ключевая ставка Банка России»): ставка, действовавшая в первый день просрочки самого раннего акта, и все её изменения до конца расчёта — по возрастанию дат, без пропусков строк. Ставка вводится в процентах годовых: 21 означает 21 %. Долю (0,21) книга не принимает.</t>
  </si>
  <si>
    <t>4. Лист «Ввод»: периоды, за которые проценты не начисляются (например, мораторий), если они применимы к вашему должнику. Применимость проверьте у специалиста.</t>
  </si>
  <si>
    <t>5. Лист «Оплаты»: каждая оплата, поступившая в первый день просрочки по своему акту или позже, — дата, сумма и акт, к которому она отнесена. Оплата, поступившая в день D, уменьшает долг по своему акту со следующего дня. Книга сама делит расчёт каждого акта на периоды по датам его оплат и смене ставки.</t>
  </si>
  <si>
    <t>6. Платёж без указания акта расчёт блокирует. Система не распределяет платежи между актами сама и не назначает очередность зачёта: это правовой вопрос, который решается назначением платежа, договором или соглашением сторон. Распределите платёж документально и укажите акт.</t>
  </si>
  <si>
    <t>7. Лист «Проверки»: все строки должны быть «ок». Любая строка «БЛОК» останавливает итог: книга не выдаёт сумму, которая может быть завышена или занижена.</t>
  </si>
  <si>
    <t>8. Лист «Расчёт»: строки расчёта по каждому акту для приложения к претензии и иску. Строка — отрезок, на котором долг акта не меняется; её проценты — сумма по периодам ставки, каждый округлён до копейки. Проценты по акту — сумма его строк; «Проценты итого» — сумма итогов по актам.</t>
  </si>
  <si>
    <t>Каждый акт считается отдельно: своя дата начала просрочки, свой долг, свои оплаты, свои периоды и своё округление. Акты не объединяются в один долг — ни с одной датой, ни по дням: это занизило бы или завысило проценты. Лист «По дням» — общий календарь (одна строка на день): из него берутся ставка, число дней в году и исключения.</t>
  </si>
  <si>
    <t>Ограничения: до 12 актов в одном расчёте, до 500 оплат, 60 изменений ставки, 20 исключаемых периодов, 3999 дней от первого дня просрочки самого раннего акта до последнего дня расчёта и 150 периодов ставки. Данные за пределами таблиц не отбрасываются молча, а блокируют итог.</t>
  </si>
  <si>
    <t>Оплаты уменьшают основной долг. Если договор устанавливает неустойку за просрочку оплаты, проценты по ст. 395 ГК РФ по общему правилу не взыскиваются (п. 4 ст. 395 ГК РФ) — выбор к специалисту.</t>
  </si>
  <si>
    <t>Число дней в году — фактическое (365 или 366) для каждого дня. Проценты за период округляются до копейки; итог по акту — сумма его периодов, общий итог — сумма итогов по актам.</t>
  </si>
  <si>
    <t>Редакция-кандидат. Правовые ссылки этой редакции не прошли юридическую приёмку; перед применением сверьте их с действующей редакцией закона.</t>
  </si>
  <si>
    <t>Акты и суммы долга на первый день просрочки</t>
  </si>
  <si>
    <t>Одна строка — один акт (или часть долга) со своей датой начала просрочки. Акт входит в долг со своего первого дня просрочки; до этой даты проценты по нему не начисляются. Колонки D, E и F заполняются из файла 04, лист «Долг по актам», только бесспорной частью: D — «Бесспорный на первый день просрочки» (колонка J), E — «Первый день просрочки» (колонка E), F — «Текущий бесспорный остаток» (колонка M). Спорную часть акта сюда не вносите. По F книга проверяет, что оплаты не учтены дважды: если в D попала сумма, из которой оплаты уже вычтены, сверка не сойдётся и расчёт будет заблокирован. Сумма колонки F сверяется с бесспорной частью файла 04 на листе «Ввод»: общий долг вместе со спорной частью сверку не пройдёт.</t>
  </si>
  <si>
    <t>№</t>
  </si>
  <si>
    <t>Акт (идентификатор, как в файле 04)</t>
  </si>
  <si>
    <t>Документ (КС-2 / акт: №, дата)</t>
  </si>
  <si>
    <t>Бесспорный на первый день просрочки, руб. (файл 04, «Долг по актам», колонка J)</t>
  </si>
  <si>
    <t>Первый день просрочки</t>
  </si>
  <si>
    <t>Сверка: текущий бесспорный остаток по акту из файла 04 (колонка M), руб.</t>
  </si>
  <si>
    <t>Остаток по расчёту на последний день, руб.</t>
  </si>
  <si>
    <t>Проверка</t>
  </si>
  <si>
    <t>Исходные данные</t>
  </si>
  <si>
    <t>Последний день расчёта (включительно)</t>
  </si>
  <si>
    <t>Дата претензии или иска. Общая для всех актов.</t>
  </si>
  <si>
    <t>Бесспорная часть долга по файлу 04, руб. (обязательно)</t>
  </si>
  <si>
    <t>Файл 04, лист «Взаиморасчёты», строка «БЕССПОРНАЯ ЧАСТЬ» (ячейка M12). Не общий долг и не спорная часть. Без этой суммы расчёт заблокирован.</t>
  </si>
  <si>
    <t>Из неё не входит в этот расчёт, руб. (если есть)</t>
  </si>
  <si>
    <t>Текущий бесспорный остаток актов файла 04, которых нет на листе «Акты»: срок оплаты ещё не истёк или акт оспорен заказчиком (граница B4). Таких актов нет — оставьте пустым.</t>
  </si>
  <si>
    <t>Суммы долга и даты начала просрочки — на листе «Акты»: у каждого акта они свои.</t>
  </si>
  <si>
    <t>Ставка — в процентах годовых: 21 означает 21 %. Не вводите долю (0,21).</t>
  </si>
  <si>
    <t>Периоды без начисления (если применимо)</t>
  </si>
  <si>
    <t>Ставка действует с</t>
  </si>
  <si>
    <t>Ставка, % годовых</t>
  </si>
  <si>
    <t>служ.</t>
  </si>
  <si>
    <t>С</t>
  </si>
  <si>
    <t>По (включительно)</t>
  </si>
  <si>
    <t>Оплаты, поступившие в первый день просрочки или позже</t>
  </si>
  <si>
    <t>Оплата, поступившая в день D, уменьшает долг по своему акту со следующего дня. Каждая оплата относится к одному акту с листа «Акты»: платёж без акта блокирует расчёт — распределите его документально. Оплаты, поступившие до первого дня просрочки по акту, сюда не вносятся: они уже вычтены в долге на первый день просрочки (файл 04, лист «Долг по актам»). Порядок строк любой. Вместимость — 500 оплат; строка ниже таблицы блокирует итог.</t>
  </si>
  <si>
    <t>Сумма оплат</t>
  </si>
  <si>
    <t>Дата оплаты</t>
  </si>
  <si>
    <t>Сумма, руб.</t>
  </si>
  <si>
    <t>Документ (п/п №, дата)</t>
  </si>
  <si>
    <t>Акт (идентификатор, как на листе «Акты»)</t>
  </si>
  <si>
    <t>Статус</t>
  </si>
  <si>
    <t>Проценты итого, руб.</t>
  </si>
  <si>
    <t>Долг на последний день расчёта, руб.</t>
  </si>
  <si>
    <t>Каждый акт считается отдельно. Строка — отрезок, на котором долг акта не меняется; её проценты — сумма по периодам ставки, каждый округлён до копейки. Итог по акту — сумма его строк, «Проценты итого» — сумма итогов по актам (свод справа).</t>
  </si>
  <si>
    <t>Свод по актам: итог — сумма строк</t>
  </si>
  <si>
    <t>Акт</t>
  </si>
  <si>
    <t>По</t>
  </si>
  <si>
    <t>Дней</t>
  </si>
  <si>
    <t>Долг акта, руб.</t>
  </si>
  <si>
    <t>Ставка, %</t>
  </si>
  <si>
    <t>Периодов ставки</t>
  </si>
  <si>
    <t>Проценты, руб.</t>
  </si>
  <si>
    <t>Оплата по акту в последний день, руб.</t>
  </si>
  <si>
    <t>Бесспорный долг на первый день просрочки, руб.</t>
  </si>
  <si>
    <t>Проценты по акту, руб.</t>
  </si>
  <si>
    <t>Остаток на последний день, руб.</t>
  </si>
  <si>
    <t>Результат</t>
  </si>
  <si>
    <t>Акты введены</t>
  </si>
  <si>
    <t>Таблица актов</t>
  </si>
  <si>
    <t>Акты за пределами таблицы</t>
  </si>
  <si>
    <t>Последний день расчёта</t>
  </si>
  <si>
    <t>Ставка введена</t>
  </si>
  <si>
    <t>Таблица ставок</t>
  </si>
  <si>
    <t>Ставки за пределами таблицы</t>
  </si>
  <si>
    <t>Таблица оплат</t>
  </si>
  <si>
    <t>Оплаты за пределами таблицы</t>
  </si>
  <si>
    <t>Каждая оплата отнесена к акту</t>
  </si>
  <si>
    <t>Оплаты не больше долга</t>
  </si>
  <si>
    <t>Сверка с бесспорной частью файла 04</t>
  </si>
  <si>
    <t>Периоды без начисления</t>
  </si>
  <si>
    <t>Дней в расчёте</t>
  </si>
  <si>
    <t>Ставка есть на каждый день</t>
  </si>
  <si>
    <t>Число периодов ставки</t>
  </si>
  <si>
    <t>Итог = сумма строк по актам</t>
  </si>
  <si>
    <t>СТАТУС РАСЧЁТА</t>
  </si>
  <si>
    <t>№ акта</t>
  </si>
  <si>
    <t>Ключ</t>
  </si>
  <si>
    <t>Оплата в последний день, руб.</t>
  </si>
  <si>
    <t>Дата</t>
  </si>
  <si>
    <t>Дней в году</t>
  </si>
  <si>
    <t>Долг на день (все акты, справочно)</t>
  </si>
  <si>
    <t>Исключён</t>
  </si>
  <si>
    <t>Период ставки</t>
  </si>
  <si>
    <t>Служебный лист. Одна строка — один календарный день, не больше 3999 дней. Период ставки — непрерывные дни с одной ставкой, одним числом дней в году и одним признаком исключения; по ним лист «Интервалы» делит расчёт каждого акта.</t>
  </si>
  <si>
    <t>Первый день просрочки самого раннего акта</t>
  </si>
  <si>
    <t>Период ставки №</t>
  </si>
  <si>
    <t>Без начисления</t>
  </si>
  <si>
    <t>Итого по актам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</si>
</sst>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0.00##"/>
    <numFmt numFmtId="166" formatCode="dd\.mm\.yyyy;;"/>
    <numFmt numFmtId="167" formatCode="0.00##;;"/>
    <numFmt numFmtId="168" formatCode="[&lt;2]&quot;₽&quot;;0"/>
    <numFmt numFmtId="169" formatCode="&quot;да&quot;;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1F4E79"/>
      <name val="Calibri"/>
      <family val="2"/>
      <charset val="204"/>
    </font>
    <font>
      <b/>
      <sz val="13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1" fillId="0" borderId="0" xfId="0" applyFont="1"/>
    <xf numFmtId="0" fontId="1" fillId="3" borderId="1" xfId="0" applyFont="1" applyFill="1" applyBorder="1"/>
    <xf numFmtId="165" fontId="2" fillId="2" borderId="1" xfId="0" applyNumberFormat="1" applyFont="1" applyFill="1" applyBorder="1"/>
    <xf numFmtId="4" fontId="0" fillId="0" borderId="0" xfId="0" applyNumberFormat="1"/>
    <xf numFmtId="0" fontId="2" fillId="2" borderId="1" xfId="0" applyFont="1" applyFill="1" applyBorder="1"/>
    <xf numFmtId="4" fontId="1" fillId="0" borderId="0" xfId="0" applyNumberFormat="1" applyFont="1"/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 shrinkToFit="1"/>
    </xf>
    <xf numFmtId="0" fontId="1" fillId="0" borderId="0" xfId="0" applyFont="1" applyAlignment="1">
      <alignment vertical="top" wrapText="1" shrinkToFit="1"/>
    </xf>
    <xf numFmtId="0" fontId="1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1">
    <dxf>
      <numFmt numFmtId="165" formatCode="0.00##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tabSelected="1" workbookViewId="0">
      <selection activeCell="A2" sqref="A2"/>
    </sheetView>
  </sheetViews>
  <sheetFormatPr defaultRowHeight="14.4" x14ac:dyDescent="0.3"/>
  <cols>
    <col min="1" max="1" width="149.33203125" customWidth="1"/>
  </cols>
  <sheetData>
    <row r="1" spans="1:1" x14ac:dyDescent="0.3">
      <c r="A1" s="1" t="s">
        <v>0</v>
      </c>
    </row>
    <row r="2" spans="1:1" ht="72" x14ac:dyDescent="0.3">
      <c r="A2" s="2" t="s">
        <v>1</v>
      </c>
    </row>
    <row r="3" spans="1:1" ht="43.2" x14ac:dyDescent="0.3">
      <c r="A3" s="2" t="s">
        <v>2</v>
      </c>
    </row>
    <row r="4" spans="1:1" ht="43.2" x14ac:dyDescent="0.3">
      <c r="A4" s="2" t="s">
        <v>3</v>
      </c>
    </row>
    <row r="5" spans="1:1" ht="28.8" x14ac:dyDescent="0.3">
      <c r="A5" s="2" t="s">
        <v>4</v>
      </c>
    </row>
    <row r="6" spans="1:1" ht="28.8" x14ac:dyDescent="0.3">
      <c r="A6" s="2" t="s">
        <v>5</v>
      </c>
    </row>
    <row r="7" spans="1:1" ht="28.8" x14ac:dyDescent="0.3">
      <c r="A7" s="2" t="s">
        <v>6</v>
      </c>
    </row>
    <row r="8" spans="1:1" x14ac:dyDescent="0.3">
      <c r="A8" s="2" t="s">
        <v>7</v>
      </c>
    </row>
    <row r="9" spans="1:1" ht="28.8" x14ac:dyDescent="0.3">
      <c r="A9" s="2" t="s">
        <v>8</v>
      </c>
    </row>
    <row r="10" spans="1:1" ht="43.2" x14ac:dyDescent="0.3">
      <c r="A10" s="2" t="s">
        <v>9</v>
      </c>
    </row>
    <row r="11" spans="1:1" ht="28.8" x14ac:dyDescent="0.3">
      <c r="A11" s="2" t="s">
        <v>10</v>
      </c>
    </row>
    <row r="12" spans="1:1" ht="28.8" x14ac:dyDescent="0.3">
      <c r="A12" s="2" t="s">
        <v>11</v>
      </c>
    </row>
    <row r="13" spans="1:1" ht="28.8" x14ac:dyDescent="0.3">
      <c r="A13" s="2" t="s">
        <v>12</v>
      </c>
    </row>
    <row r="14" spans="1:1" x14ac:dyDescent="0.3">
      <c r="A14" s="2" t="s">
        <v>13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workbookViewId="0">
      <pane ySplit="4" topLeftCell="A17" activePane="bottomLeft" state="frozen"/>
      <selection pane="bottomLeft" activeCell="D23" sqref="D23"/>
    </sheetView>
  </sheetViews>
  <sheetFormatPr defaultRowHeight="14.4" x14ac:dyDescent="0.3"/>
  <cols>
    <col min="1" max="1" width="5" customWidth="1"/>
    <col min="2" max="2" width="24" customWidth="1"/>
    <col min="3" max="3" width="23.21875" customWidth="1"/>
    <col min="4" max="4" width="24" customWidth="1"/>
    <col min="5" max="5" width="16" customWidth="1"/>
    <col min="6" max="6" width="22" customWidth="1"/>
    <col min="7" max="7" width="20" customWidth="1"/>
    <col min="8" max="8" width="29.33203125" customWidth="1"/>
  </cols>
  <sheetData>
    <row r="1" spans="1:8" ht="17.399999999999999" customHeight="1" x14ac:dyDescent="0.3">
      <c r="A1" s="28" t="s">
        <v>14</v>
      </c>
      <c r="B1" s="28"/>
      <c r="C1" s="28"/>
      <c r="D1" s="28"/>
      <c r="E1" s="28"/>
      <c r="F1" s="28"/>
      <c r="G1" s="28"/>
      <c r="H1" s="28"/>
    </row>
    <row r="2" spans="1:8" ht="17.399999999999999" customHeight="1" x14ac:dyDescent="0.3">
      <c r="A2" s="28" t="s">
        <v>15</v>
      </c>
      <c r="B2" s="28"/>
      <c r="C2" s="28"/>
      <c r="D2" s="28"/>
      <c r="E2" s="28"/>
      <c r="F2" s="28"/>
      <c r="G2" s="28"/>
      <c r="H2" s="28"/>
    </row>
    <row r="4" spans="1:8" ht="57.6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x14ac:dyDescent="0.3">
      <c r="A5" s="4">
        <v>1</v>
      </c>
      <c r="B5" s="5"/>
      <c r="C5" s="5"/>
      <c r="D5" s="6"/>
      <c r="E5" s="7"/>
      <c r="F5" s="6"/>
      <c r="G5" s="8" t="str">
        <f>IF(OR(B5="",NOT(ISNUMBER(D5))),"",D5-SUMIF(Оплаты!$D$6:$D$505,B5,Оплаты!$B$6:$B$505))</f>
        <v/>
      </c>
      <c r="H5" s="4" t="str">
        <f>IF(AND(B5="",C5="",D5="",E5="",F5=""),"",IF(B5="","БЛОК: нужен идентификатор акта — по нему распределяются оплаты",IF(COUNTIF($B$5:$B$16,B5)&gt;1,"БЛОК: идентификатор акта повторяется — оплату нельзя отнести однозначно",IF(OR(NOT(ISNUMBER(D5)),D5&lt;=0),"БЛОК: нужен бесспорный долг на первый день просрочки, больше нуля (файл 04, лист «Долг по актам», колонка J)",IF(NOT(ISNUMBER(E5)),"БЛОК: нужен первый день просрочки по этому акту",IF(NOT(ISNUMBER(Ввод!$B$4)),"БЛОК: на листе «Ввод» не введён последний день расчёта",IF(E5&gt;Ввод!$B$4,"БЛОК: первый день просрочки позже последнего дня расчёта",IF(Ввод!$B$4-E5+1&gt;3999,"БЛОК: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ставка",IF(MIN(Ввод!$D$12:$D$71)&gt;E5,"БЛОК: нет ставки, действовавшей в первый день просрочки по этому акту",IF(N(G5)&lt;0,"БЛОК: оплаты по этому акту больше долга на первый день просрочки",IF(NOT(ISNUMBER(F5)),"БЛОК: нужна сверочная сумма по этому акту из файла 04 (лист «Долг по актам», колонка M — текущий бесспорный остаток)",IF(ROUND(N(G5)-F5,2)&lt;&gt;0,"БЛОК: сверка не сходится. Долг на первый день просрочки минус оплаты по этому акту = "&amp;FIXED(N(G5),2)&amp;" руб., а по файлу 04 = "&amp;FIXED(F5,2)&amp;"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6" spans="1:8" x14ac:dyDescent="0.3">
      <c r="A6" s="4">
        <v>2</v>
      </c>
      <c r="B6" s="5"/>
      <c r="C6" s="5"/>
      <c r="D6" s="6"/>
      <c r="E6" s="7"/>
      <c r="F6" s="6"/>
      <c r="G6" s="8" t="str">
        <f>IF(OR(B6="",NOT(ISNUMBER(D6))),"",D6-SUMIF(Оплаты!$D$6:$D$505,B6,Оплаты!$B$6:$B$505))</f>
        <v/>
      </c>
      <c r="H6" s="4" t="str">
        <f>IF(AND(B6="",C6="",D6="",E6="",F6=""),"",IF(B6="","БЛОК: нужен идентификатор акта — по нему распределяются оплаты",IF(COUNTIF($B$5:$B$16,B6)&gt;1,"БЛОК: идентификатор акта повторяется — оплату нельзя отнести однозначно",IF(OR(NOT(ISNUMBER(D6)),D6&lt;=0),"БЛОК: нужен бесспорный долг на первый день просрочки, больше нуля (файл 04, лист «Долг по актам», колонка J)",IF(NOT(ISNUMBER(E6)),"БЛОК: нужен первый день просрочки по этому акту",IF(NOT(ISNUMBER(Ввод!$B$4)),"БЛОК: на листе «Ввод» не введён последний день расчёта",IF(E6&gt;Ввод!$B$4,"БЛОК: первый день просрочки позже последнего дня расчёта",IF(Ввод!$B$4-E6+1&gt;3999,"БЛОК: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ставка",IF(MIN(Ввод!$D$12:$D$71)&gt;E6,"БЛОК: нет ставки, действовавшей в первый день просрочки по этому акту",IF(N(G6)&lt;0,"БЛОК: оплаты по этому акту больше долга на первый день просрочки",IF(NOT(ISNUMBER(F6)),"БЛОК: нужна сверочная сумма по этому акту из файла 04 (лист «Долг по актам», колонка M — текущий бесспорный остаток)",IF(ROUND(N(G6)-F6,2)&lt;&gt;0,"БЛОК: сверка не сходится. Долг на первый день просрочки минус оплаты по этому акту = "&amp;FIXED(N(G6),2)&amp;" руб., а по файлу 04 = "&amp;FIXED(F6,2)&amp;"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7" spans="1:8" x14ac:dyDescent="0.3">
      <c r="A7" s="4">
        <v>3</v>
      </c>
      <c r="B7" s="5"/>
      <c r="C7" s="5"/>
      <c r="D7" s="6"/>
      <c r="E7" s="7"/>
      <c r="F7" s="6"/>
      <c r="G7" s="8" t="str">
        <f>IF(OR(B7="",NOT(ISNUMBER(D7))),"",D7-SUMIF(Оплаты!$D$6:$D$505,B7,Оплаты!$B$6:$B$505))</f>
        <v/>
      </c>
      <c r="H7" s="4" t="str">
        <f>IF(AND(B7="",C7="",D7="",E7="",F7=""),"",IF(B7="","БЛОК: нужен идентификатор акта — по нему распределяются оплаты",IF(COUNTIF($B$5:$B$16,B7)&gt;1,"БЛОК: идентификатор акта повторяется — оплату нельзя отнести однозначно",IF(OR(NOT(ISNUMBER(D7)),D7&lt;=0),"БЛОК: нужен бесспорный долг на первый день просрочки, больше нуля (файл 04, лист «Долг по актам», колонка J)",IF(NOT(ISNUMBER(E7)),"БЛОК: нужен первый день просрочки по этому акту",IF(NOT(ISNUMBER(Ввод!$B$4)),"БЛОК: на листе «Ввод» не введён последний день расчёта",IF(E7&gt;Ввод!$B$4,"БЛОК: первый день просрочки позже последнего дня расчёта",IF(Ввод!$B$4-E7+1&gt;3999,"БЛОК: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ставка",IF(MIN(Ввод!$D$12:$D$71)&gt;E7,"БЛОК: нет ставки, действовавшей в первый день просрочки по этому акту",IF(N(G7)&lt;0,"БЛОК: оплаты по этому акту больше долга на первый день просрочки",IF(NOT(ISNUMBER(F7)),"БЛОК: нужна сверочная сумма по этому акту из файла 04 (лист «Долг по актам», колонка M — текущий бесспорный остаток)",IF(ROUND(N(G7)-F7,2)&lt;&gt;0,"БЛОК: сверка не сходится. Долг на первый день просрочки минус оплаты по этому акту = "&amp;FIXED(N(G7),2)&amp;" руб., а по файлу 04 = "&amp;FIXED(F7,2)&amp;"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8" spans="1:8" x14ac:dyDescent="0.3">
      <c r="A8" s="4">
        <v>4</v>
      </c>
      <c r="B8" s="5"/>
      <c r="C8" s="5"/>
      <c r="D8" s="6"/>
      <c r="E8" s="7"/>
      <c r="F8" s="6"/>
      <c r="G8" s="8" t="str">
        <f>IF(OR(B8="",NOT(ISNUMBER(D8))),"",D8-SUMIF(Оплаты!$D$6:$D$505,B8,Оплаты!$B$6:$B$505))</f>
        <v/>
      </c>
      <c r="H8" s="4" t="str">
        <f>IF(AND(B8="",C8="",D8="",E8="",F8=""),"",IF(B8="","БЛОК: нужен идентификатор акта — по нему распределяются оплаты",IF(COUNTIF($B$5:$B$16,B8)&gt;1,"БЛОК: идентификатор акта повторяется — оплату нельзя отнести однозначно",IF(OR(NOT(ISNUMBER(D8)),D8&lt;=0),"БЛОК: нужен бесспорный долг на первый день просрочки, больше нуля (файл 04, лист «Долг по актам», колонка J)",IF(NOT(ISNUMBER(E8)),"БЛОК: нужен первый день просрочки по этому акту",IF(NOT(ISNUMBER(Ввод!$B$4)),"БЛОК: на листе «Ввод» не введён последний день расчёта",IF(E8&gt;Ввод!$B$4,"БЛОК: первый день просрочки позже последнего дня расчёта",IF(Ввод!$B$4-E8+1&gt;3999,"БЛОК: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ставка",IF(MIN(Ввод!$D$12:$D$71)&gt;E8,"БЛОК: нет ставки, действовавшей в первый день просрочки по этому акту",IF(N(G8)&lt;0,"БЛОК: оплаты по этому акту больше долга на первый день просрочки",IF(NOT(ISNUMBER(F8)),"БЛОК: нужна сверочная сумма по этому акту из файла 04 (лист «Долг по актам», колонка M — текущий бесспорный остаток)",IF(ROUND(N(G8)-F8,2)&lt;&gt;0,"БЛОК: сверка не сходится. Долг на первый день просрочки минус оплаты по этому акту = "&amp;FIXED(N(G8),2)&amp;" руб., а по файлу 04 = "&amp;FIXED(F8,2)&amp;"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9" spans="1:8" x14ac:dyDescent="0.3">
      <c r="A9" s="4">
        <v>5</v>
      </c>
      <c r="B9" s="5"/>
      <c r="C9" s="5"/>
      <c r="D9" s="6"/>
      <c r="E9" s="7"/>
      <c r="F9" s="6"/>
      <c r="G9" s="8" t="str">
        <f>IF(OR(B9="",NOT(ISNUMBER(D9))),"",D9-SUMIF(Оплаты!$D$6:$D$505,B9,Оплаты!$B$6:$B$505))</f>
        <v/>
      </c>
      <c r="H9" s="4" t="str">
        <f>IF(AND(B9="",C9="",D9="",E9="",F9=""),"",IF(B9="","БЛОК: нужен идентификатор акта — по нему распределяются оплаты",IF(COUNTIF($B$5:$B$16,B9)&gt;1,"БЛОК: идентификатор акта повторяется — оплату нельзя отнести однозначно",IF(OR(NOT(ISNUMBER(D9)),D9&lt;=0),"БЛОК: нужен бесспорный долг на первый день просрочки, больше нуля (файл 04, лист «Долг по актам», колонка J)",IF(NOT(ISNUMBER(E9)),"БЛОК: нужен первый день просрочки по этому акту",IF(NOT(ISNUMBER(Ввод!$B$4)),"БЛОК: на листе «Ввод» не введён последний день расчёта",IF(E9&gt;Ввод!$B$4,"БЛОК: первый день просрочки позже последнего дня расчёта",IF(Ввод!$B$4-E9+1&gt;3999,"БЛОК: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ставка",IF(MIN(Ввод!$D$12:$D$71)&gt;E9,"БЛОК: нет ставки, действовавшей в первый день просрочки по этому акту",IF(N(G9)&lt;0,"БЛОК: оплаты по этому акту больше долга на первый день просрочки",IF(NOT(ISNUMBER(F9)),"БЛОК: нужна сверочная сумма по этому акту из файла 04 (лист «Долг по актам», колонка M — текущий бесспорный остаток)",IF(ROUND(N(G9)-F9,2)&lt;&gt;0,"БЛОК: сверка не сходится. Долг на первый день просрочки минус оплаты по этому акту = "&amp;FIXED(N(G9),2)&amp;" руб., а по файлу 04 = "&amp;FIXED(F9,2)&amp;"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0" spans="1:8" x14ac:dyDescent="0.3">
      <c r="A10" s="4">
        <v>6</v>
      </c>
      <c r="B10" s="5"/>
      <c r="C10" s="5"/>
      <c r="D10" s="6"/>
      <c r="E10" s="7"/>
      <c r="F10" s="6"/>
      <c r="G10" s="8" t="str">
        <f>IF(OR(B10="",NOT(ISNUMBER(D10))),"",D10-SUMIF(Оплаты!$D$6:$D$505,B10,Оплаты!$B$6:$B$505))</f>
        <v/>
      </c>
      <c r="H10" s="4" t="str">
        <f>IF(AND(B10="",C10="",D10="",E10="",F10=""),"",IF(B10="","БЛОК: нужен идентификатор акта — по нему распределяются оплаты",IF(COUNTIF($B$5:$B$16,B10)&gt;1,"БЛОК: идентификатор акта повторяется — оплату нельзя отнести однозначно",IF(OR(NOT(ISNUMBER(D10)),D10&lt;=0),"БЛОК: нужен бесспорный долг на первый день просрочки, больше нуля (файл 04, лист «Долг по актам», колонка J)",IF(NOT(ISNUMBER(E10)),"БЛОК: нужен первый день просрочки по этому акту",IF(NOT(ISNUMBER(Ввод!$B$4)),"БЛОК: на листе «Ввод» не введён последний день расчёта",IF(E10&gt;Ввод!$B$4,"БЛОК: первый день просрочки позже последнего дня расчёта",IF(Ввод!$B$4-E10+1&gt;3999,"БЛОК: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ставка",IF(MIN(Ввод!$D$12:$D$71)&gt;E10,"БЛОК: нет ставки, действовавшей в первый день просрочки по этому акту",IF(N(G10)&lt;0,"БЛОК: оплаты по этому акту больше долга на первый день просрочки",IF(NOT(ISNUMBER(F10)),"БЛОК: нужна сверочная сумма по этому акту из файла 04 (лист «Долг по актам», колонка M — текущий бесспорный остаток)",IF(ROUND(N(G10)-F10,2)&lt;&gt;0,"БЛОК: сверка не сходится. Долг на первый день просрочки минус оплаты по этому акту = "&amp;FIXED(N(G10),2)&amp;" руб., а по файлу 04 = "&amp;FIXED(F10,2)&amp;"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1" spans="1:8" x14ac:dyDescent="0.3">
      <c r="A11" s="4">
        <v>7</v>
      </c>
      <c r="B11" s="5"/>
      <c r="C11" s="5"/>
      <c r="D11" s="6"/>
      <c r="E11" s="7"/>
      <c r="F11" s="6"/>
      <c r="G11" s="8" t="str">
        <f>IF(OR(B11="",NOT(ISNUMBER(D11))),"",D11-SUMIF(Оплаты!$D$6:$D$505,B11,Оплаты!$B$6:$B$505))</f>
        <v/>
      </c>
      <c r="H11" s="4" t="str">
        <f>IF(AND(B11="",C11="",D11="",E11="",F11=""),"",IF(B11="","БЛОК: нужен идентификатор акта — по нему распределяются оплаты",IF(COUNTIF($B$5:$B$16,B11)&gt;1,"БЛОК: идентификатор акта повторяется — оплату нельзя отнести однозначно",IF(OR(NOT(ISNUMBER(D11)),D11&lt;=0),"БЛОК: нужен бесспорный долг на первый день просрочки, больше нуля (файл 04, лист «Долг по актам», колонка J)",IF(NOT(ISNUMBER(E11)),"БЛОК: нужен первый день просрочки по этому акту",IF(NOT(ISNUMBER(Ввод!$B$4)),"БЛОК: на листе «Ввод» не введён последний день расчёта",IF(E11&gt;Ввод!$B$4,"БЛОК: первый день просрочки позже последнего дня расчёта",IF(Ввод!$B$4-E11+1&gt;3999,"БЛОК: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ставка",IF(MIN(Ввод!$D$12:$D$71)&gt;E11,"БЛОК: нет ставки, действовавшей в первый день просрочки по этому акту",IF(N(G11)&lt;0,"БЛОК: оплаты по этому акту больше долга на первый день просрочки",IF(NOT(ISNUMBER(F11)),"БЛОК: нужна сверочная сумма по этому акту из файла 04 (лист «Долг по актам», колонка M — текущий бесспорный остаток)",IF(ROUND(N(G11)-F11,2)&lt;&gt;0,"БЛОК: сверка не сходится. Долг на первый день просрочки минус оплаты по этому акту = "&amp;FIXED(N(G11),2)&amp;" руб., а по файлу 04 = "&amp;FIXED(F11,2)&amp;"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2" spans="1:8" x14ac:dyDescent="0.3">
      <c r="A12" s="4">
        <v>8</v>
      </c>
      <c r="B12" s="5"/>
      <c r="C12" s="5"/>
      <c r="D12" s="6"/>
      <c r="E12" s="7"/>
      <c r="F12" s="6"/>
      <c r="G12" s="8" t="str">
        <f>IF(OR(B12="",NOT(ISNUMBER(D12))),"",D12-SUMIF(Оплаты!$D$6:$D$505,B12,Оплаты!$B$6:$B$505))</f>
        <v/>
      </c>
      <c r="H12" s="4" t="str">
        <f>IF(AND(B12="",C12="",D12="",E12="",F12=""),"",IF(B12="","БЛОК: нужен идентификатор акта — по нему распределяются оплаты",IF(COUNTIF($B$5:$B$16,B12)&gt;1,"БЛОК: идентификатор акта повторяется — оплату нельзя отнести однозначно",IF(OR(NOT(ISNUMBER(D12)),D12&lt;=0),"БЛОК: нужен бесспорный долг на первый день просрочки, больше нуля (файл 04, лист «Долг по актам», колонка J)",IF(NOT(ISNUMBER(E12)),"БЛОК: нужен первый день просрочки по этому акту",IF(NOT(ISNUMBER(Ввод!$B$4)),"БЛОК: на листе «Ввод» не введён последний день расчёта",IF(E12&gt;Ввод!$B$4,"БЛОК: первый день просрочки позже последнего дня расчёта",IF(Ввод!$B$4-E12+1&gt;3999,"БЛОК: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ставка",IF(MIN(Ввод!$D$12:$D$71)&gt;E12,"БЛОК: нет ставки, действовавшей в первый день просрочки по этому акту",IF(N(G12)&lt;0,"БЛОК: оплаты по этому акту больше долга на первый день просрочки",IF(NOT(ISNUMBER(F12)),"БЛОК: нужна сверочная сумма по этому акту из файла 04 (лист «Долг по актам», колонка M — текущий бесспорный остаток)",IF(ROUND(N(G12)-F12,2)&lt;&gt;0,"БЛОК: сверка не сходится. Долг на первый день просрочки минус оплаты по этому акту = "&amp;FIXED(N(G12),2)&amp;" руб., а по файлу 04 = "&amp;FIXED(F12,2)&amp;"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3" spans="1:8" x14ac:dyDescent="0.3">
      <c r="A13" s="4">
        <v>9</v>
      </c>
      <c r="B13" s="5"/>
      <c r="C13" s="5"/>
      <c r="D13" s="6"/>
      <c r="E13" s="7"/>
      <c r="F13" s="6"/>
      <c r="G13" s="8" t="str">
        <f>IF(OR(B13="",NOT(ISNUMBER(D13))),"",D13-SUMIF(Оплаты!$D$6:$D$505,B13,Оплаты!$B$6:$B$505))</f>
        <v/>
      </c>
      <c r="H13" s="4" t="str">
        <f>IF(AND(B13="",C13="",D13="",E13="",F13=""),"",IF(B13="","БЛОК: нужен идентификатор акта — по нему распределяются оплаты",IF(COUNTIF($B$5:$B$16,B13)&gt;1,"БЛОК: идентификатор акта повторяется — оплату нельзя отнести однозначно",IF(OR(NOT(ISNUMBER(D13)),D13&lt;=0),"БЛОК: нужен бесспорный долг на первый день просрочки, больше нуля (файл 04, лист «Долг по актам», колонка J)",IF(NOT(ISNUMBER(E13)),"БЛОК: нужен первый день просрочки по этому акту",IF(NOT(ISNUMBER(Ввод!$B$4)),"БЛОК: на листе «Ввод» не введён последний день расчёта",IF(E13&gt;Ввод!$B$4,"БЛОК: первый день просрочки позже последнего дня расчёта",IF(Ввод!$B$4-E13+1&gt;3999,"БЛОК: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ставка",IF(MIN(Ввод!$D$12:$D$71)&gt;E13,"БЛОК: нет ставки, действовавшей в первый день просрочки по этому акту",IF(N(G13)&lt;0,"БЛОК: оплаты по этому акту больше долга на первый день просрочки",IF(NOT(ISNUMBER(F13)),"БЛОК: нужна сверочная сумма по этому акту из файла 04 (лист «Долг по актам», колонка M — текущий бесспорный остаток)",IF(ROUND(N(G13)-F13,2)&lt;&gt;0,"БЛОК: сверка не сходится. Долг на первый день просрочки минус оплаты по этому акту = "&amp;FIXED(N(G13),2)&amp;" руб., а по файлу 04 = "&amp;FIXED(F13,2)&amp;"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4" spans="1:8" x14ac:dyDescent="0.3">
      <c r="A14" s="4">
        <v>10</v>
      </c>
      <c r="B14" s="5"/>
      <c r="C14" s="5"/>
      <c r="D14" s="6"/>
      <c r="E14" s="7"/>
      <c r="F14" s="6"/>
      <c r="G14" s="8" t="str">
        <f>IF(OR(B14="",NOT(ISNUMBER(D14))),"",D14-SUMIF(Оплаты!$D$6:$D$505,B14,Оплаты!$B$6:$B$505))</f>
        <v/>
      </c>
      <c r="H14" s="4" t="str">
        <f>IF(AND(B14="",C14="",D14="",E14="",F14=""),"",IF(B14="","БЛОК: нужен идентификатор акта — по нему распределяются оплаты",IF(COUNTIF($B$5:$B$16,B14)&gt;1,"БЛОК: идентификатор акта повторяется — оплату нельзя отнести однозначно",IF(OR(NOT(ISNUMBER(D14)),D14&lt;=0),"БЛОК: нужен бесспорный долг на первый день просрочки, больше нуля (файл 04, лист «Долг по актам», колонка J)",IF(NOT(ISNUMBER(E14)),"БЛОК: нужен первый день просрочки по этому акту",IF(NOT(ISNUMBER(Ввод!$B$4)),"БЛОК: на листе «Ввод» не введён последний день расчёта",IF(E14&gt;Ввод!$B$4,"БЛОК: первый день просрочки позже последнего дня расчёта",IF(Ввод!$B$4-E14+1&gt;3999,"БЛОК: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ставка",IF(MIN(Ввод!$D$12:$D$71)&gt;E14,"БЛОК: нет ставки, действовавшей в первый день просрочки по этому акту",IF(N(G14)&lt;0,"БЛОК: оплаты по этому акту больше долга на первый день просрочки",IF(NOT(ISNUMBER(F14)),"БЛОК: нужна сверочная сумма по этому акту из файла 04 (лист «Долг по актам», колонка M — текущий бесспорный остаток)",IF(ROUND(N(G14)-F14,2)&lt;&gt;0,"БЛОК: сверка не сходится. Долг на первый день просрочки минус оплаты по этому акту = "&amp;FIXED(N(G14),2)&amp;" руб., а по файлу 04 = "&amp;FIXED(F14,2)&amp;"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5" spans="1:8" x14ac:dyDescent="0.3">
      <c r="A15" s="4">
        <v>11</v>
      </c>
      <c r="B15" s="5"/>
      <c r="C15" s="5"/>
      <c r="D15" s="6"/>
      <c r="E15" s="7"/>
      <c r="F15" s="6"/>
      <c r="G15" s="8" t="str">
        <f>IF(OR(B15="",NOT(ISNUMBER(D15))),"",D15-SUMIF(Оплаты!$D$6:$D$505,B15,Оплаты!$B$6:$B$505))</f>
        <v/>
      </c>
      <c r="H15" s="4" t="str">
        <f>IF(AND(B15="",C15="",D15="",E15="",F15=""),"",IF(B15="","БЛОК: нужен идентификатор акта — по нему распределяются оплаты",IF(COUNTIF($B$5:$B$16,B15)&gt;1,"БЛОК: идентификатор акта повторяется — оплату нельзя отнести однозначно",IF(OR(NOT(ISNUMBER(D15)),D15&lt;=0),"БЛОК: нужен бесспорный долг на первый день просрочки, больше нуля (файл 04, лист «Долг по актам», колонка J)",IF(NOT(ISNUMBER(E15)),"БЛОК: нужен первый день просрочки по этому акту",IF(NOT(ISNUMBER(Ввод!$B$4)),"БЛОК: на листе «Ввод» не введён последний день расчёта",IF(E15&gt;Ввод!$B$4,"БЛОК: первый день просрочки позже последнего дня расчёта",IF(Ввод!$B$4-E15+1&gt;3999,"БЛОК: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ставка",IF(MIN(Ввод!$D$12:$D$71)&gt;E15,"БЛОК: нет ставки, действовавшей в первый день просрочки по этому акту",IF(N(G15)&lt;0,"БЛОК: оплаты по этому акту больше долга на первый день просрочки",IF(NOT(ISNUMBER(F15)),"БЛОК: нужна сверочная сумма по этому акту из файла 04 (лист «Долг по актам», колонка M — текущий бесспорный остаток)",IF(ROUND(N(G15)-F15,2)&lt;&gt;0,"БЛОК: сверка не сходится. Долг на первый день просрочки минус оплаты по этому акту = "&amp;FIXED(N(G15),2)&amp;" руб., а по файлу 04 = "&amp;FIXED(F15,2)&amp;"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6" spans="1:8" x14ac:dyDescent="0.3">
      <c r="A16" s="4">
        <v>12</v>
      </c>
      <c r="B16" s="5"/>
      <c r="C16" s="5"/>
      <c r="D16" s="6"/>
      <c r="E16" s="7"/>
      <c r="F16" s="6"/>
      <c r="G16" s="8" t="str">
        <f>IF(OR(B16="",NOT(ISNUMBER(D16))),"",D16-SUMIF(Оплаты!$D$6:$D$505,B16,Оплаты!$B$6:$B$505))</f>
        <v/>
      </c>
      <c r="H16" s="4" t="str">
        <f>IF(AND(B16="",C16="",D16="",E16="",F16=""),"",IF(B16="","БЛОК: нужен идентификатор акта — по нему распределяются оплаты",IF(COUNTIF($B$5:$B$16,B16)&gt;1,"БЛОК: идентификатор акта повторяется — оплату нельзя отнести однозначно",IF(OR(NOT(ISNUMBER(D16)),D16&lt;=0),"БЛОК: нужен бесспорный долг на первый день просрочки, больше нуля (файл 04, лист «Долг по актам», колонка J)",IF(NOT(ISNUMBER(E16)),"БЛОК: нужен первый день просрочки по этому акту",IF(NOT(ISNUMBER(Ввод!$B$4)),"БЛОК: на листе «Ввод» не введён последний день расчёта",IF(E16&gt;Ввод!$B$4,"БЛОК: первый день просрочки позже последнего дня расчёта",IF(Ввод!$B$4-E16+1&gt;3999,"БЛОК: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ставка",IF(MIN(Ввод!$D$12:$D$71)&gt;E16,"БЛОК: нет ставки, действовавшей в первый день просрочки по этому акту",IF(N(G16)&lt;0,"БЛОК: оплаты по этому акту больше долга на первый день просрочки",IF(NOT(ISNUMBER(F16)),"БЛОК: нужна сверочная сумма по этому акту из файла 04 (лист «Долг по актам», колонка M — текущий бесспорный остаток)",IF(ROUND(N(G16)-F16,2)&lt;&gt;0,"БЛОК: сверка не сходится. Долг на первый день просрочки минус оплаты по этому акту = "&amp;FIXED(N(G16),2)&amp;" руб., а по файлу 04 = "&amp;FIXED(F16,2)&amp;"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1"/>
  <sheetViews>
    <sheetView workbookViewId="0">
      <selection activeCell="D12" sqref="D12"/>
    </sheetView>
  </sheetViews>
  <sheetFormatPr defaultRowHeight="14.4" x14ac:dyDescent="0.3"/>
  <cols>
    <col min="1" max="1" width="44" customWidth="1"/>
    <col min="2" max="2" width="18" customWidth="1"/>
    <col min="3" max="3" width="48" customWidth="1"/>
    <col min="4" max="4" width="4.77734375" customWidth="1"/>
    <col min="5" max="5" width="4" customWidth="1"/>
    <col min="6" max="7" width="16" customWidth="1"/>
    <col min="8" max="8" width="40" customWidth="1"/>
  </cols>
  <sheetData>
    <row r="1" spans="1:8" x14ac:dyDescent="0.3">
      <c r="A1" s="1" t="s">
        <v>24</v>
      </c>
    </row>
    <row r="4" spans="1:8" x14ac:dyDescent="0.3">
      <c r="A4" t="s">
        <v>25</v>
      </c>
      <c r="B4" s="9"/>
      <c r="C4" s="2" t="s">
        <v>26</v>
      </c>
    </row>
    <row r="5" spans="1:8" ht="63" customHeight="1" x14ac:dyDescent="0.3">
      <c r="A5" s="2" t="s">
        <v>27</v>
      </c>
      <c r="B5" s="10"/>
      <c r="C5" s="2" t="s">
        <v>28</v>
      </c>
    </row>
    <row r="6" spans="1:8" ht="78" customHeight="1" x14ac:dyDescent="0.3">
      <c r="A6" s="2" t="s">
        <v>29</v>
      </c>
      <c r="B6" s="10"/>
      <c r="C6" s="2" t="s">
        <v>30</v>
      </c>
    </row>
    <row r="7" spans="1:8" ht="28.8" x14ac:dyDescent="0.3">
      <c r="A7" s="1" t="s">
        <v>31</v>
      </c>
    </row>
    <row r="8" spans="1:8" ht="28.8" x14ac:dyDescent="0.3">
      <c r="A8" s="1" t="s">
        <v>32</v>
      </c>
    </row>
    <row r="10" spans="1:8" x14ac:dyDescent="0.3">
      <c r="F10" s="11" t="s">
        <v>33</v>
      </c>
    </row>
    <row r="11" spans="1:8" x14ac:dyDescent="0.3">
      <c r="A11" s="3" t="s">
        <v>34</v>
      </c>
      <c r="B11" s="3" t="s">
        <v>35</v>
      </c>
      <c r="C11" s="3" t="s">
        <v>23</v>
      </c>
      <c r="D11" t="s">
        <v>36</v>
      </c>
      <c r="F11" s="12" t="s">
        <v>37</v>
      </c>
      <c r="G11" s="12" t="s">
        <v>38</v>
      </c>
      <c r="H11" s="12" t="s">
        <v>23</v>
      </c>
    </row>
    <row r="12" spans="1:8" x14ac:dyDescent="0.3">
      <c r="A12" s="9"/>
      <c r="B12" s="13"/>
      <c r="C12" s="4" t="str">
        <f>IF(AND(A12="",B12=""),"",IF(OR(A12="",B12=""),"БЛОК: нужны и дата, и ставка",IF(OR(B12&lt;=0,B12&gt;100),"БЛОК: ставка вне 0–100",IF(B12&lt;1,"БЛОК: похоже на долю — введите проценты","ок"))))</f>
        <v/>
      </c>
      <c r="D12">
        <f t="shared" ref="D12:D43" si="0">IF(A12="",2958465,A12)</f>
        <v>2958465</v>
      </c>
      <c r="F12" s="9"/>
      <c r="G12" s="9"/>
      <c r="H12" s="4" t="str">
        <f t="shared" ref="H12:H31" si="1">IF(AND(F12="",G12=""),"",IF(OR(F12="",G12=""),"БЛОК: нужны обе даты",IF(G12&lt;F12,"БЛОК: конец раньше начала","ок")))</f>
        <v/>
      </c>
    </row>
    <row r="13" spans="1:8" x14ac:dyDescent="0.3">
      <c r="A13" s="9"/>
      <c r="B13" s="13"/>
      <c r="C13" s="4" t="str">
        <f t="shared" ref="C13:C44" si="2">IF(AND(A13="",B13=""),"",IF(OR(A13="",B13=""),"БЛОК: нужны и дата, и ставка",IF(OR(B13&lt;=0,B13&gt;100),"БЛОК: ставка вне 0–100",IF(B13&lt;1,"БЛОК: похоже на долю — введите проценты",IF(OR(A12="",A13&lt;=A12),"БЛОК: даты по возрастанию, без пустых строк","ок")))))</f>
        <v/>
      </c>
      <c r="D13">
        <f t="shared" si="0"/>
        <v>2958465</v>
      </c>
      <c r="F13" s="9"/>
      <c r="G13" s="9"/>
      <c r="H13" s="4" t="str">
        <f t="shared" si="1"/>
        <v/>
      </c>
    </row>
    <row r="14" spans="1:8" x14ac:dyDescent="0.3">
      <c r="A14" s="9"/>
      <c r="B14" s="13"/>
      <c r="C14" s="4" t="str">
        <f t="shared" si="2"/>
        <v/>
      </c>
      <c r="D14">
        <f t="shared" si="0"/>
        <v>2958465</v>
      </c>
      <c r="F14" s="9"/>
      <c r="G14" s="9"/>
      <c r="H14" s="4" t="str">
        <f t="shared" si="1"/>
        <v/>
      </c>
    </row>
    <row r="15" spans="1:8" x14ac:dyDescent="0.3">
      <c r="A15" s="9"/>
      <c r="B15" s="13"/>
      <c r="C15" s="4" t="str">
        <f t="shared" si="2"/>
        <v/>
      </c>
      <c r="D15">
        <f t="shared" si="0"/>
        <v>2958465</v>
      </c>
      <c r="F15" s="9"/>
      <c r="G15" s="9"/>
      <c r="H15" s="4" t="str">
        <f t="shared" si="1"/>
        <v/>
      </c>
    </row>
    <row r="16" spans="1:8" x14ac:dyDescent="0.3">
      <c r="A16" s="9"/>
      <c r="B16" s="13"/>
      <c r="C16" s="4" t="str">
        <f t="shared" si="2"/>
        <v/>
      </c>
      <c r="D16">
        <f t="shared" si="0"/>
        <v>2958465</v>
      </c>
      <c r="F16" s="9"/>
      <c r="G16" s="9"/>
      <c r="H16" s="4" t="str">
        <f t="shared" si="1"/>
        <v/>
      </c>
    </row>
    <row r="17" spans="1:8" x14ac:dyDescent="0.3">
      <c r="A17" s="9"/>
      <c r="B17" s="13"/>
      <c r="C17" s="4" t="str">
        <f t="shared" si="2"/>
        <v/>
      </c>
      <c r="D17">
        <f t="shared" si="0"/>
        <v>2958465</v>
      </c>
      <c r="F17" s="9"/>
      <c r="G17" s="9"/>
      <c r="H17" s="4" t="str">
        <f t="shared" si="1"/>
        <v/>
      </c>
    </row>
    <row r="18" spans="1:8" x14ac:dyDescent="0.3">
      <c r="A18" s="9"/>
      <c r="B18" s="13"/>
      <c r="C18" s="4" t="str">
        <f t="shared" si="2"/>
        <v/>
      </c>
      <c r="D18">
        <f t="shared" si="0"/>
        <v>2958465</v>
      </c>
      <c r="F18" s="9"/>
      <c r="G18" s="9"/>
      <c r="H18" s="4" t="str">
        <f t="shared" si="1"/>
        <v/>
      </c>
    </row>
    <row r="19" spans="1:8" x14ac:dyDescent="0.3">
      <c r="A19" s="9"/>
      <c r="B19" s="13"/>
      <c r="C19" s="4" t="str">
        <f t="shared" si="2"/>
        <v/>
      </c>
      <c r="D19">
        <f t="shared" si="0"/>
        <v>2958465</v>
      </c>
      <c r="F19" s="9"/>
      <c r="G19" s="9"/>
      <c r="H19" s="4" t="str">
        <f t="shared" si="1"/>
        <v/>
      </c>
    </row>
    <row r="20" spans="1:8" x14ac:dyDescent="0.3">
      <c r="A20" s="9"/>
      <c r="B20" s="13"/>
      <c r="C20" s="4" t="str">
        <f t="shared" si="2"/>
        <v/>
      </c>
      <c r="D20">
        <f t="shared" si="0"/>
        <v>2958465</v>
      </c>
      <c r="F20" s="9"/>
      <c r="G20" s="9"/>
      <c r="H20" s="4" t="str">
        <f t="shared" si="1"/>
        <v/>
      </c>
    </row>
    <row r="21" spans="1:8" x14ac:dyDescent="0.3">
      <c r="A21" s="9"/>
      <c r="B21" s="13"/>
      <c r="C21" s="4" t="str">
        <f t="shared" si="2"/>
        <v/>
      </c>
      <c r="D21">
        <f t="shared" si="0"/>
        <v>2958465</v>
      </c>
      <c r="F21" s="9"/>
      <c r="G21" s="9"/>
      <c r="H21" s="4" t="str">
        <f t="shared" si="1"/>
        <v/>
      </c>
    </row>
    <row r="22" spans="1:8" x14ac:dyDescent="0.3">
      <c r="A22" s="9"/>
      <c r="B22" s="13"/>
      <c r="C22" s="4" t="str">
        <f t="shared" si="2"/>
        <v/>
      </c>
      <c r="D22">
        <f t="shared" si="0"/>
        <v>2958465</v>
      </c>
      <c r="F22" s="9"/>
      <c r="G22" s="9"/>
      <c r="H22" s="4" t="str">
        <f t="shared" si="1"/>
        <v/>
      </c>
    </row>
    <row r="23" spans="1:8" x14ac:dyDescent="0.3">
      <c r="A23" s="9"/>
      <c r="B23" s="13"/>
      <c r="C23" s="4" t="str">
        <f t="shared" si="2"/>
        <v/>
      </c>
      <c r="D23">
        <f t="shared" si="0"/>
        <v>2958465</v>
      </c>
      <c r="F23" s="9"/>
      <c r="G23" s="9"/>
      <c r="H23" s="4" t="str">
        <f t="shared" si="1"/>
        <v/>
      </c>
    </row>
    <row r="24" spans="1:8" x14ac:dyDescent="0.3">
      <c r="A24" s="9"/>
      <c r="B24" s="13"/>
      <c r="C24" s="4" t="str">
        <f t="shared" si="2"/>
        <v/>
      </c>
      <c r="D24">
        <f t="shared" si="0"/>
        <v>2958465</v>
      </c>
      <c r="F24" s="9"/>
      <c r="G24" s="9"/>
      <c r="H24" s="4" t="str">
        <f t="shared" si="1"/>
        <v/>
      </c>
    </row>
    <row r="25" spans="1:8" x14ac:dyDescent="0.3">
      <c r="A25" s="9"/>
      <c r="B25" s="13"/>
      <c r="C25" s="4" t="str">
        <f t="shared" si="2"/>
        <v/>
      </c>
      <c r="D25">
        <f t="shared" si="0"/>
        <v>2958465</v>
      </c>
      <c r="F25" s="9"/>
      <c r="G25" s="9"/>
      <c r="H25" s="4" t="str">
        <f t="shared" si="1"/>
        <v/>
      </c>
    </row>
    <row r="26" spans="1:8" x14ac:dyDescent="0.3">
      <c r="A26" s="9"/>
      <c r="B26" s="13"/>
      <c r="C26" s="4" t="str">
        <f t="shared" si="2"/>
        <v/>
      </c>
      <c r="D26">
        <f t="shared" si="0"/>
        <v>2958465</v>
      </c>
      <c r="F26" s="9"/>
      <c r="G26" s="9"/>
      <c r="H26" s="4" t="str">
        <f t="shared" si="1"/>
        <v/>
      </c>
    </row>
    <row r="27" spans="1:8" x14ac:dyDescent="0.3">
      <c r="A27" s="9"/>
      <c r="B27" s="13"/>
      <c r="C27" s="4" t="str">
        <f t="shared" si="2"/>
        <v/>
      </c>
      <c r="D27">
        <f t="shared" si="0"/>
        <v>2958465</v>
      </c>
      <c r="F27" s="9"/>
      <c r="G27" s="9"/>
      <c r="H27" s="4" t="str">
        <f t="shared" si="1"/>
        <v/>
      </c>
    </row>
    <row r="28" spans="1:8" x14ac:dyDescent="0.3">
      <c r="A28" s="9"/>
      <c r="B28" s="13"/>
      <c r="C28" s="4" t="str">
        <f t="shared" si="2"/>
        <v/>
      </c>
      <c r="D28">
        <f t="shared" si="0"/>
        <v>2958465</v>
      </c>
      <c r="F28" s="9"/>
      <c r="G28" s="9"/>
      <c r="H28" s="4" t="str">
        <f t="shared" si="1"/>
        <v/>
      </c>
    </row>
    <row r="29" spans="1:8" x14ac:dyDescent="0.3">
      <c r="A29" s="9"/>
      <c r="B29" s="13"/>
      <c r="C29" s="4" t="str">
        <f t="shared" si="2"/>
        <v/>
      </c>
      <c r="D29">
        <f t="shared" si="0"/>
        <v>2958465</v>
      </c>
      <c r="F29" s="9"/>
      <c r="G29" s="9"/>
      <c r="H29" s="4" t="str">
        <f t="shared" si="1"/>
        <v/>
      </c>
    </row>
    <row r="30" spans="1:8" x14ac:dyDescent="0.3">
      <c r="A30" s="9"/>
      <c r="B30" s="13"/>
      <c r="C30" s="4" t="str">
        <f t="shared" si="2"/>
        <v/>
      </c>
      <c r="D30">
        <f t="shared" si="0"/>
        <v>2958465</v>
      </c>
      <c r="F30" s="9"/>
      <c r="G30" s="9"/>
      <c r="H30" s="4" t="str">
        <f t="shared" si="1"/>
        <v/>
      </c>
    </row>
    <row r="31" spans="1:8" x14ac:dyDescent="0.3">
      <c r="A31" s="9"/>
      <c r="B31" s="13"/>
      <c r="C31" s="4" t="str">
        <f t="shared" si="2"/>
        <v/>
      </c>
      <c r="D31">
        <f t="shared" si="0"/>
        <v>2958465</v>
      </c>
      <c r="F31" s="9"/>
      <c r="G31" s="9"/>
      <c r="H31" s="4" t="str">
        <f t="shared" si="1"/>
        <v/>
      </c>
    </row>
    <row r="32" spans="1:8" x14ac:dyDescent="0.3">
      <c r="A32" s="9"/>
      <c r="B32" s="13"/>
      <c r="C32" s="4" t="str">
        <f t="shared" si="2"/>
        <v/>
      </c>
      <c r="D32">
        <f t="shared" si="0"/>
        <v>2958465</v>
      </c>
    </row>
    <row r="33" spans="1:4" x14ac:dyDescent="0.3">
      <c r="A33" s="9"/>
      <c r="B33" s="13"/>
      <c r="C33" s="4" t="str">
        <f t="shared" si="2"/>
        <v/>
      </c>
      <c r="D33">
        <f t="shared" si="0"/>
        <v>2958465</v>
      </c>
    </row>
    <row r="34" spans="1:4" x14ac:dyDescent="0.3">
      <c r="A34" s="9"/>
      <c r="B34" s="13"/>
      <c r="C34" s="4" t="str">
        <f t="shared" si="2"/>
        <v/>
      </c>
      <c r="D34">
        <f t="shared" si="0"/>
        <v>2958465</v>
      </c>
    </row>
    <row r="35" spans="1:4" x14ac:dyDescent="0.3">
      <c r="A35" s="9"/>
      <c r="B35" s="13"/>
      <c r="C35" s="4" t="str">
        <f t="shared" si="2"/>
        <v/>
      </c>
      <c r="D35">
        <f t="shared" si="0"/>
        <v>2958465</v>
      </c>
    </row>
    <row r="36" spans="1:4" x14ac:dyDescent="0.3">
      <c r="A36" s="9"/>
      <c r="B36" s="13"/>
      <c r="C36" s="4" t="str">
        <f t="shared" si="2"/>
        <v/>
      </c>
      <c r="D36">
        <f t="shared" si="0"/>
        <v>2958465</v>
      </c>
    </row>
    <row r="37" spans="1:4" x14ac:dyDescent="0.3">
      <c r="A37" s="9"/>
      <c r="B37" s="13"/>
      <c r="C37" s="4" t="str">
        <f t="shared" si="2"/>
        <v/>
      </c>
      <c r="D37">
        <f t="shared" si="0"/>
        <v>2958465</v>
      </c>
    </row>
    <row r="38" spans="1:4" x14ac:dyDescent="0.3">
      <c r="A38" s="9"/>
      <c r="B38" s="13"/>
      <c r="C38" s="4" t="str">
        <f t="shared" si="2"/>
        <v/>
      </c>
      <c r="D38">
        <f t="shared" si="0"/>
        <v>2958465</v>
      </c>
    </row>
    <row r="39" spans="1:4" x14ac:dyDescent="0.3">
      <c r="A39" s="9"/>
      <c r="B39" s="13"/>
      <c r="C39" s="4" t="str">
        <f t="shared" si="2"/>
        <v/>
      </c>
      <c r="D39">
        <f t="shared" si="0"/>
        <v>2958465</v>
      </c>
    </row>
    <row r="40" spans="1:4" x14ac:dyDescent="0.3">
      <c r="A40" s="9"/>
      <c r="B40" s="13"/>
      <c r="C40" s="4" t="str">
        <f t="shared" si="2"/>
        <v/>
      </c>
      <c r="D40">
        <f t="shared" si="0"/>
        <v>2958465</v>
      </c>
    </row>
    <row r="41" spans="1:4" x14ac:dyDescent="0.3">
      <c r="A41" s="9"/>
      <c r="B41" s="13"/>
      <c r="C41" s="4" t="str">
        <f t="shared" si="2"/>
        <v/>
      </c>
      <c r="D41">
        <f t="shared" si="0"/>
        <v>2958465</v>
      </c>
    </row>
    <row r="42" spans="1:4" x14ac:dyDescent="0.3">
      <c r="A42" s="9"/>
      <c r="B42" s="13"/>
      <c r="C42" s="4" t="str">
        <f t="shared" si="2"/>
        <v/>
      </c>
      <c r="D42">
        <f t="shared" si="0"/>
        <v>2958465</v>
      </c>
    </row>
    <row r="43" spans="1:4" x14ac:dyDescent="0.3">
      <c r="A43" s="9"/>
      <c r="B43" s="13"/>
      <c r="C43" s="4" t="str">
        <f t="shared" si="2"/>
        <v/>
      </c>
      <c r="D43">
        <f t="shared" si="0"/>
        <v>2958465</v>
      </c>
    </row>
    <row r="44" spans="1:4" x14ac:dyDescent="0.3">
      <c r="A44" s="9"/>
      <c r="B44" s="13"/>
      <c r="C44" s="4" t="str">
        <f t="shared" si="2"/>
        <v/>
      </c>
      <c r="D44">
        <f t="shared" ref="D44:D71" si="3">IF(A44="",2958465,A44)</f>
        <v>2958465</v>
      </c>
    </row>
    <row r="45" spans="1:4" x14ac:dyDescent="0.3">
      <c r="A45" s="9"/>
      <c r="B45" s="13"/>
      <c r="C45" s="4" t="str">
        <f t="shared" ref="C45:C76" si="4">IF(AND(A45="",B45=""),"",IF(OR(A45="",B45=""),"БЛОК: нужны и дата, и ставка",IF(OR(B45&lt;=0,B45&gt;100),"БЛОК: ставка вне 0–100",IF(B45&lt;1,"БЛОК: похоже на долю — введите проценты",IF(OR(A44="",A45&lt;=A44),"БЛОК: даты по возрастанию, без пустых строк","ок")))))</f>
        <v/>
      </c>
      <c r="D45">
        <f t="shared" si="3"/>
        <v>2958465</v>
      </c>
    </row>
    <row r="46" spans="1:4" x14ac:dyDescent="0.3">
      <c r="A46" s="9"/>
      <c r="B46" s="13"/>
      <c r="C46" s="4" t="str">
        <f t="shared" si="4"/>
        <v/>
      </c>
      <c r="D46">
        <f t="shared" si="3"/>
        <v>2958465</v>
      </c>
    </row>
    <row r="47" spans="1:4" x14ac:dyDescent="0.3">
      <c r="A47" s="9"/>
      <c r="B47" s="13"/>
      <c r="C47" s="4" t="str">
        <f t="shared" si="4"/>
        <v/>
      </c>
      <c r="D47">
        <f t="shared" si="3"/>
        <v>2958465</v>
      </c>
    </row>
    <row r="48" spans="1:4" x14ac:dyDescent="0.3">
      <c r="A48" s="9"/>
      <c r="B48" s="13"/>
      <c r="C48" s="4" t="str">
        <f t="shared" si="4"/>
        <v/>
      </c>
      <c r="D48">
        <f t="shared" si="3"/>
        <v>2958465</v>
      </c>
    </row>
    <row r="49" spans="1:4" x14ac:dyDescent="0.3">
      <c r="A49" s="9"/>
      <c r="B49" s="13"/>
      <c r="C49" s="4" t="str">
        <f t="shared" si="4"/>
        <v/>
      </c>
      <c r="D49">
        <f t="shared" si="3"/>
        <v>2958465</v>
      </c>
    </row>
    <row r="50" spans="1:4" x14ac:dyDescent="0.3">
      <c r="A50" s="9"/>
      <c r="B50" s="13"/>
      <c r="C50" s="4" t="str">
        <f t="shared" si="4"/>
        <v/>
      </c>
      <c r="D50">
        <f t="shared" si="3"/>
        <v>2958465</v>
      </c>
    </row>
    <row r="51" spans="1:4" x14ac:dyDescent="0.3">
      <c r="A51" s="9"/>
      <c r="B51" s="13"/>
      <c r="C51" s="4" t="str">
        <f t="shared" si="4"/>
        <v/>
      </c>
      <c r="D51">
        <f t="shared" si="3"/>
        <v>2958465</v>
      </c>
    </row>
    <row r="52" spans="1:4" x14ac:dyDescent="0.3">
      <c r="A52" s="9"/>
      <c r="B52" s="13"/>
      <c r="C52" s="4" t="str">
        <f t="shared" si="4"/>
        <v/>
      </c>
      <c r="D52">
        <f t="shared" si="3"/>
        <v>2958465</v>
      </c>
    </row>
    <row r="53" spans="1:4" x14ac:dyDescent="0.3">
      <c r="A53" s="9"/>
      <c r="B53" s="13"/>
      <c r="C53" s="4" t="str">
        <f t="shared" si="4"/>
        <v/>
      </c>
      <c r="D53">
        <f t="shared" si="3"/>
        <v>2958465</v>
      </c>
    </row>
    <row r="54" spans="1:4" x14ac:dyDescent="0.3">
      <c r="A54" s="9"/>
      <c r="B54" s="13"/>
      <c r="C54" s="4" t="str">
        <f t="shared" si="4"/>
        <v/>
      </c>
      <c r="D54">
        <f t="shared" si="3"/>
        <v>2958465</v>
      </c>
    </row>
    <row r="55" spans="1:4" x14ac:dyDescent="0.3">
      <c r="A55" s="9"/>
      <c r="B55" s="13"/>
      <c r="C55" s="4" t="str">
        <f t="shared" si="4"/>
        <v/>
      </c>
      <c r="D55">
        <f t="shared" si="3"/>
        <v>2958465</v>
      </c>
    </row>
    <row r="56" spans="1:4" x14ac:dyDescent="0.3">
      <c r="A56" s="9"/>
      <c r="B56" s="13"/>
      <c r="C56" s="4" t="str">
        <f t="shared" si="4"/>
        <v/>
      </c>
      <c r="D56">
        <f t="shared" si="3"/>
        <v>2958465</v>
      </c>
    </row>
    <row r="57" spans="1:4" x14ac:dyDescent="0.3">
      <c r="A57" s="9"/>
      <c r="B57" s="13"/>
      <c r="C57" s="4" t="str">
        <f t="shared" si="4"/>
        <v/>
      </c>
      <c r="D57">
        <f t="shared" si="3"/>
        <v>2958465</v>
      </c>
    </row>
    <row r="58" spans="1:4" x14ac:dyDescent="0.3">
      <c r="A58" s="9"/>
      <c r="B58" s="13"/>
      <c r="C58" s="4" t="str">
        <f t="shared" si="4"/>
        <v/>
      </c>
      <c r="D58">
        <f t="shared" si="3"/>
        <v>2958465</v>
      </c>
    </row>
    <row r="59" spans="1:4" x14ac:dyDescent="0.3">
      <c r="A59" s="9"/>
      <c r="B59" s="13"/>
      <c r="C59" s="4" t="str">
        <f t="shared" si="4"/>
        <v/>
      </c>
      <c r="D59">
        <f t="shared" si="3"/>
        <v>2958465</v>
      </c>
    </row>
    <row r="60" spans="1:4" x14ac:dyDescent="0.3">
      <c r="A60" s="9"/>
      <c r="B60" s="13"/>
      <c r="C60" s="4" t="str">
        <f t="shared" si="4"/>
        <v/>
      </c>
      <c r="D60">
        <f t="shared" si="3"/>
        <v>2958465</v>
      </c>
    </row>
    <row r="61" spans="1:4" x14ac:dyDescent="0.3">
      <c r="A61" s="9"/>
      <c r="B61" s="13"/>
      <c r="C61" s="4" t="str">
        <f t="shared" si="4"/>
        <v/>
      </c>
      <c r="D61">
        <f t="shared" si="3"/>
        <v>2958465</v>
      </c>
    </row>
    <row r="62" spans="1:4" x14ac:dyDescent="0.3">
      <c r="A62" s="9"/>
      <c r="B62" s="13"/>
      <c r="C62" s="4" t="str">
        <f t="shared" si="4"/>
        <v/>
      </c>
      <c r="D62">
        <f t="shared" si="3"/>
        <v>2958465</v>
      </c>
    </row>
    <row r="63" spans="1:4" x14ac:dyDescent="0.3">
      <c r="A63" s="9"/>
      <c r="B63" s="13"/>
      <c r="C63" s="4" t="str">
        <f t="shared" si="4"/>
        <v/>
      </c>
      <c r="D63">
        <f t="shared" si="3"/>
        <v>2958465</v>
      </c>
    </row>
    <row r="64" spans="1:4" x14ac:dyDescent="0.3">
      <c r="A64" s="9"/>
      <c r="B64" s="13"/>
      <c r="C64" s="4" t="str">
        <f t="shared" si="4"/>
        <v/>
      </c>
      <c r="D64">
        <f t="shared" si="3"/>
        <v>2958465</v>
      </c>
    </row>
    <row r="65" spans="1:4" x14ac:dyDescent="0.3">
      <c r="A65" s="9"/>
      <c r="B65" s="13"/>
      <c r="C65" s="4" t="str">
        <f t="shared" si="4"/>
        <v/>
      </c>
      <c r="D65">
        <f t="shared" si="3"/>
        <v>2958465</v>
      </c>
    </row>
    <row r="66" spans="1:4" x14ac:dyDescent="0.3">
      <c r="A66" s="9"/>
      <c r="B66" s="13"/>
      <c r="C66" s="4" t="str">
        <f t="shared" si="4"/>
        <v/>
      </c>
      <c r="D66">
        <f t="shared" si="3"/>
        <v>2958465</v>
      </c>
    </row>
    <row r="67" spans="1:4" x14ac:dyDescent="0.3">
      <c r="A67" s="9"/>
      <c r="B67" s="13"/>
      <c r="C67" s="4" t="str">
        <f t="shared" si="4"/>
        <v/>
      </c>
      <c r="D67">
        <f t="shared" si="3"/>
        <v>2958465</v>
      </c>
    </row>
    <row r="68" spans="1:4" x14ac:dyDescent="0.3">
      <c r="A68" s="9"/>
      <c r="B68" s="13"/>
      <c r="C68" s="4" t="str">
        <f t="shared" si="4"/>
        <v/>
      </c>
      <c r="D68">
        <f t="shared" si="3"/>
        <v>2958465</v>
      </c>
    </row>
    <row r="69" spans="1:4" x14ac:dyDescent="0.3">
      <c r="A69" s="9"/>
      <c r="B69" s="13"/>
      <c r="C69" s="4" t="str">
        <f t="shared" si="4"/>
        <v/>
      </c>
      <c r="D69">
        <f t="shared" si="3"/>
        <v>2958465</v>
      </c>
    </row>
    <row r="70" spans="1:4" x14ac:dyDescent="0.3">
      <c r="A70" s="9"/>
      <c r="B70" s="13"/>
      <c r="C70" s="4" t="str">
        <f t="shared" si="4"/>
        <v/>
      </c>
      <c r="D70">
        <f t="shared" si="3"/>
        <v>2958465</v>
      </c>
    </row>
    <row r="71" spans="1:4" x14ac:dyDescent="0.3">
      <c r="A71" s="9"/>
      <c r="B71" s="13"/>
      <c r="C71" s="4" t="str">
        <f t="shared" si="4"/>
        <v/>
      </c>
      <c r="D71">
        <f t="shared" si="3"/>
        <v>2958465</v>
      </c>
    </row>
  </sheetData>
  <conditionalFormatting sqref="B12:B71">
    <cfRule type="expression" dxfId="0" priority="1">
      <formula>ISNUMBER(B12)</formula>
    </cfRule>
  </conditionalFormatting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05"/>
  <sheetViews>
    <sheetView workbookViewId="0">
      <selection activeCell="D19" sqref="D19"/>
    </sheetView>
  </sheetViews>
  <sheetFormatPr defaultRowHeight="14.4" x14ac:dyDescent="0.3"/>
  <cols>
    <col min="1" max="1" width="16" customWidth="1"/>
    <col min="2" max="2" width="18" customWidth="1"/>
    <col min="3" max="3" width="30" customWidth="1"/>
    <col min="4" max="4" width="24" customWidth="1"/>
    <col min="5" max="5" width="74" customWidth="1"/>
  </cols>
  <sheetData>
    <row r="1" spans="1:7" ht="14.4" customHeight="1" x14ac:dyDescent="0.3">
      <c r="A1" s="30" t="s">
        <v>39</v>
      </c>
      <c r="B1" s="30"/>
      <c r="C1" s="30"/>
      <c r="D1" s="30"/>
      <c r="E1" s="30"/>
      <c r="F1" s="1"/>
      <c r="G1" s="1"/>
    </row>
    <row r="2" spans="1:7" ht="45.6" customHeight="1" x14ac:dyDescent="0.3">
      <c r="A2" s="31" t="s">
        <v>40</v>
      </c>
      <c r="B2" s="31"/>
      <c r="C2" s="31"/>
      <c r="D2" s="31"/>
      <c r="E2" s="31"/>
      <c r="F2" s="32"/>
      <c r="G2" s="32"/>
    </row>
    <row r="3" spans="1:7" x14ac:dyDescent="0.3">
      <c r="A3" t="s">
        <v>41</v>
      </c>
      <c r="B3" s="14">
        <f>SUM(B6:B505)</f>
        <v>0</v>
      </c>
    </row>
    <row r="5" spans="1:7" ht="28.8" x14ac:dyDescent="0.3">
      <c r="A5" s="3" t="s">
        <v>42</v>
      </c>
      <c r="B5" s="3" t="s">
        <v>43</v>
      </c>
      <c r="C5" s="3" t="s">
        <v>44</v>
      </c>
      <c r="D5" s="3" t="s">
        <v>45</v>
      </c>
      <c r="E5" s="3" t="s">
        <v>23</v>
      </c>
    </row>
    <row r="6" spans="1:7" x14ac:dyDescent="0.3">
      <c r="A6" s="9"/>
      <c r="B6" s="10"/>
      <c r="C6" s="15"/>
      <c r="D6" s="15"/>
      <c r="E6" s="4" t="str">
        <f>IF(AND(A6="",B6="",C6="",D6=""),"",IF(OR(A6="",B6=""),"БЛОК: нужны и дата, и сумма",IF(B6&lt;=0,"БЛОК: сумма должна быть больше нуля",IF(D6="","БЛОК: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вас",IF(COUNTIF(Акты!$B$5:$B$16,D6)=0,"БЛОК: такого акта нет на листе «Акты» — добавьте акт или исправьте идентификатор",IF(NOT(ISNUMBER(INDEX(Акты!$E$5:$E$16,MATCH(D6,Акты!$B$5:$B$16,0)))),"БЛОК: у этого акта на листе «Акты» не указан первый день просрочки",IF(A6&lt;INDEX(Акты!$E$5:$E$16,MATCH(D6,Акты!$B$5:$B$16,0)),"БЛОК: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сюда",IF(A6&gt;Ввод!$B$4,"БЛОК: оплата после последнего дня расчёта — продлите расчёт или уберите строку","ок"))))))))</f>
        <v/>
      </c>
    </row>
    <row r="7" spans="1:7" x14ac:dyDescent="0.3">
      <c r="A7" s="9"/>
      <c r="B7" s="10"/>
      <c r="C7" s="15"/>
      <c r="D7" s="15"/>
      <c r="E7" s="4" t="str">
        <f>IF(AND(A7="",B7="",C7="",D7=""),"",IF(OR(A7="",B7=""),"БЛОК: нужны и дата, и сумма",IF(B7&lt;=0,"БЛОК: сумма должна быть больше нуля",IF(D7="","БЛОК: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вас",IF(COUNTIF(Акты!$B$5:$B$16,D7)=0,"БЛОК: такого акта нет на листе «Акты» — добавьте акт или исправьте идентификатор",IF(NOT(ISNUMBER(INDEX(Акты!$E$5:$E$16,MATCH(D7,Акты!$B$5:$B$16,0)))),"БЛОК: у этого акта на листе «Акты» не указан первый день просрочки",IF(A7&lt;INDEX(Акты!$E$5:$E$16,MATCH(D7,Акты!$B$5:$B$16,0)),"БЛОК: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сюда",IF(A7&gt;Ввод!$B$4,"БЛОК: оплата после последнего дня расчёта — продлите расчёт или уберите строку","ок"))))))))</f>
        <v/>
      </c>
    </row>
    <row r="8" spans="1:7" x14ac:dyDescent="0.3">
      <c r="A8" s="9"/>
      <c r="B8" s="10"/>
      <c r="C8" s="15"/>
      <c r="D8" s="15"/>
      <c r="E8" s="4" t="str">
        <f>IF(AND(A8="",B8="",C8="",D8=""),"",IF(OR(A8="",B8=""),"БЛОК: нужны и дата, и сумма",IF(B8&lt;=0,"БЛОК: сумма должна быть больше нуля",IF(D8="","БЛОК: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вас",IF(COUNTIF(Акты!$B$5:$B$16,D8)=0,"БЛОК: такого акта нет на листе «Акты» — добавьте акт или исправьте идентификатор",IF(NOT(ISNUMBER(INDEX(Акты!$E$5:$E$16,MATCH(D8,Акты!$B$5:$B$16,0)))),"БЛОК: у этого акта на листе «Акты» не указан первый день просрочки",IF(A8&lt;INDEX(Акты!$E$5:$E$16,MATCH(D8,Акты!$B$5:$B$16,0)),"БЛОК: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сюда",IF(A8&gt;Ввод!$B$4,"БЛОК: оплата после последнего дня расчёта — продлите расчёт или уберите строку","ок"))))))))</f>
        <v/>
      </c>
    </row>
    <row r="9" spans="1:7" x14ac:dyDescent="0.3">
      <c r="A9" s="9"/>
      <c r="B9" s="10"/>
      <c r="C9" s="15"/>
      <c r="D9" s="15"/>
      <c r="E9" s="4" t="str">
        <f>IF(AND(A9="",B9="",C9="",D9=""),"",IF(OR(A9="",B9=""),"БЛОК: нужны и дата, и сумма",IF(B9&lt;=0,"БЛОК: сумма должна быть больше нуля",IF(D9="","БЛОК: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вас",IF(COUNTIF(Акты!$B$5:$B$16,D9)=0,"БЛОК: такого акта нет на листе «Акты» — добавьте акт или исправьте идентификатор",IF(NOT(ISNUMBER(INDEX(Акты!$E$5:$E$16,MATCH(D9,Акты!$B$5:$B$16,0)))),"БЛОК: у этого акта на листе «Акты» не указан первый день просрочки",IF(A9&lt;INDEX(Акты!$E$5:$E$16,MATCH(D9,Акты!$B$5:$B$16,0)),"БЛОК: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сюда",IF(A9&gt;Ввод!$B$4,"БЛОК: оплата после последнего дня расчёта — продлите расчёт или уберите строку","ок"))))))))</f>
        <v/>
      </c>
    </row>
    <row r="10" spans="1:7" x14ac:dyDescent="0.3">
      <c r="A10" s="9"/>
      <c r="B10" s="10"/>
      <c r="C10" s="15"/>
      <c r="D10" s="15"/>
      <c r="E10" s="4" t="str">
        <f>IF(AND(A10="",B10="",C10="",D10=""),"",IF(OR(A10="",B10=""),"БЛОК: нужны и дата, и сумма",IF(B10&lt;=0,"БЛОК: сумма должна быть больше нуля",IF(D10="","БЛОК: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вас",IF(COUNTIF(Акты!$B$5:$B$16,D10)=0,"БЛОК: такого акта нет на листе «Акты» — добавьте акт или исправьте идентификатор",IF(NOT(ISNUMBER(INDEX(Акты!$E$5:$E$16,MATCH(D10,Акты!$B$5:$B$16,0)))),"БЛОК: у этого акта на листе «Акты» не указан первый день просрочки",IF(A10&lt;INDEX(Акты!$E$5:$E$16,MATCH(D10,Акты!$B$5:$B$16,0)),"БЛОК: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сюда",IF(A10&gt;Ввод!$B$4,"БЛОК: оплата после последнего дня расчёта — продлите расчёт или уберите строку","ок"))))))))</f>
        <v/>
      </c>
    </row>
    <row r="11" spans="1:7" x14ac:dyDescent="0.3">
      <c r="A11" s="9"/>
      <c r="B11" s="10"/>
      <c r="C11" s="15"/>
      <c r="D11" s="15"/>
      <c r="E11" s="4" t="str">
        <f>IF(AND(A11="",B11="",C11="",D11=""),"",IF(OR(A11="",B11=""),"БЛОК: нужны и дата, и сумма",IF(B11&lt;=0,"БЛОК: сумма должна быть больше нуля",IF(D11="","БЛОК: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вас",IF(COUNTIF(Акты!$B$5:$B$16,D11)=0,"БЛОК: такого акта нет на листе «Акты» — добавьте акт или исправьте идентификатор",IF(NOT(ISNUMBER(INDEX(Акты!$E$5:$E$16,MATCH(D11,Акты!$B$5:$B$16,0)))),"БЛОК: у этого акта на листе «Акты» не указан первый день просрочки",IF(A11&lt;INDEX(Акты!$E$5:$E$16,MATCH(D11,Акты!$B$5:$B$16,0)),"БЛОК: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сюда",IF(A11&gt;Ввод!$B$4,"БЛОК: оплата после последнего дня расчёта — продлите расчёт или уберите строку","ок"))))))))</f>
        <v/>
      </c>
    </row>
    <row r="12" spans="1:7" x14ac:dyDescent="0.3">
      <c r="A12" s="9"/>
      <c r="B12" s="10"/>
      <c r="C12" s="15"/>
      <c r="D12" s="15"/>
      <c r="E12" s="4" t="str">
        <f>IF(AND(A12="",B12="",C12="",D12=""),"",IF(OR(A12="",B12=""),"БЛОК: нужны и дата, и сумма",IF(B12&lt;=0,"БЛОК: сумма должна быть больше нуля",IF(D12="","БЛОК: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вас",IF(COUNTIF(Акты!$B$5:$B$16,D12)=0,"БЛОК: такого акта нет на листе «Акты» — добавьте акт или исправьте идентификатор",IF(NOT(ISNUMBER(INDEX(Акты!$E$5:$E$16,MATCH(D12,Акты!$B$5:$B$16,0)))),"БЛОК: у этого акта на листе «Акты» не указан первый день просрочки",IF(A12&lt;INDEX(Акты!$E$5:$E$16,MATCH(D12,Акты!$B$5:$B$16,0)),"БЛОК: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сюда",IF(A12&gt;Ввод!$B$4,"БЛОК: оплата после последнего дня расчёта — продлите расчёт или уберите строку","ок"))))))))</f>
        <v/>
      </c>
    </row>
    <row r="13" spans="1:7" x14ac:dyDescent="0.3">
      <c r="A13" s="9"/>
      <c r="B13" s="10"/>
      <c r="C13" s="15"/>
      <c r="D13" s="15"/>
      <c r="E13" s="4" t="str">
        <f>IF(AND(A13="",B13="",C13="",D13=""),"",IF(OR(A13="",B13=""),"БЛОК: нужны и дата, и сумма",IF(B13&lt;=0,"БЛОК: сумма должна быть больше нуля",IF(D13="","БЛОК: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вас",IF(COUNTIF(Акты!$B$5:$B$16,D13)=0,"БЛОК: такого акта нет на листе «Акты» — добавьте акт или исправьте идентификатор",IF(NOT(ISNUMBER(INDEX(Акты!$E$5:$E$16,MATCH(D13,Акты!$B$5:$B$16,0)))),"БЛОК: у этого акта на листе «Акты» не указан первый день просрочки",IF(A13&lt;INDEX(Акты!$E$5:$E$16,MATCH(D13,Акты!$B$5:$B$16,0)),"БЛОК: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сюда",IF(A13&gt;Ввод!$B$4,"БЛОК: оплата после последнего дня расчёта — продлите расчёт или уберите строку","ок"))))))))</f>
        <v/>
      </c>
    </row>
    <row r="14" spans="1:7" x14ac:dyDescent="0.3">
      <c r="A14" s="9"/>
      <c r="B14" s="10"/>
      <c r="C14" s="15"/>
      <c r="D14" s="15"/>
      <c r="E14" s="4" t="str">
        <f>IF(AND(A14="",B14="",C14="",D14=""),"",IF(OR(A14="",B14=""),"БЛОК: нужны и дата, и сумма",IF(B14&lt;=0,"БЛОК: сумма должна быть больше нуля",IF(D14="","БЛОК: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вас",IF(COUNTIF(Акты!$B$5:$B$16,D14)=0,"БЛОК: такого акта нет на листе «Акты» — добавьте акт или исправьте идентификатор",IF(NOT(ISNUMBER(INDEX(Акты!$E$5:$E$16,MATCH(D14,Акты!$B$5:$B$16,0)))),"БЛОК: у этого акта на листе «Акты» не указан первый день просрочки",IF(A14&lt;INDEX(Акты!$E$5:$E$16,MATCH(D14,Акты!$B$5:$B$16,0)),"БЛОК: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сюда",IF(A14&gt;Ввод!$B$4,"БЛОК: оплата после последнего дня расчёта — продлите расчёт или уберите строку","ок"))))))))</f>
        <v/>
      </c>
    </row>
    <row r="15" spans="1:7" x14ac:dyDescent="0.3">
      <c r="A15" s="9"/>
      <c r="B15" s="10"/>
      <c r="C15" s="15"/>
      <c r="D15" s="15"/>
      <c r="E15" s="4" t="str">
        <f>IF(AND(A15="",B15="",C15="",D15=""),"",IF(OR(A15="",B15=""),"БЛОК: нужны и дата, и сумма",IF(B15&lt;=0,"БЛОК: сумма должна быть больше нуля",IF(D15="","БЛОК: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вас",IF(COUNTIF(Акты!$B$5:$B$16,D15)=0,"БЛОК: такого акта нет на листе «Акты» — добавьте акт или исправьте идентификатор",IF(NOT(ISNUMBER(INDEX(Акты!$E$5:$E$16,MATCH(D15,Акты!$B$5:$B$16,0)))),"БЛОК: у этого акта на листе «Акты» не указан первый день просрочки",IF(A15&lt;INDEX(Акты!$E$5:$E$16,MATCH(D15,Акты!$B$5:$B$16,0)),"БЛОК: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сюда",IF(A15&gt;Ввод!$B$4,"БЛОК: оплата после последнего дня расчёта — продлите расчёт или уберите строку","ок"))))))))</f>
        <v/>
      </c>
    </row>
    <row r="16" spans="1:7" x14ac:dyDescent="0.3">
      <c r="A16" s="9"/>
      <c r="B16" s="10"/>
      <c r="C16" s="15"/>
      <c r="D16" s="15"/>
      <c r="E16" s="4" t="str">
        <f>IF(AND(A16="",B16="",C16="",D16=""),"",IF(OR(A16="",B16=""),"БЛОК: нужны и дата, и сумма",IF(B16&lt;=0,"БЛОК: сумма должна быть больше нуля",IF(D16="","БЛОК: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вас",IF(COUNTIF(Акты!$B$5:$B$16,D16)=0,"БЛОК: такого акта нет на листе «Акты» — добавьте акт или исправьте идентификатор",IF(NOT(ISNUMBER(INDEX(Акты!$E$5:$E$16,MATCH(D16,Акты!$B$5:$B$16,0)))),"БЛОК: у этого акта на листе «Акты» не указан первый день просрочки",IF(A16&lt;INDEX(Акты!$E$5:$E$16,MATCH(D16,Акты!$B$5:$B$16,0)),"БЛОК: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сюда",IF(A16&gt;Ввод!$B$4,"БЛОК: оплата после последнего дня расчёта — продлите расчёт или уберите строку","ок"))))))))</f>
        <v/>
      </c>
    </row>
    <row r="17" spans="1:5" x14ac:dyDescent="0.3">
      <c r="A17" s="9"/>
      <c r="B17" s="10"/>
      <c r="C17" s="15"/>
      <c r="D17" s="15"/>
      <c r="E17" s="4" t="str">
        <f>IF(AND(A17="",B17="",C17="",D17=""),"",IF(OR(A17="",B17=""),"БЛОК: нужны и дата, и сумма",IF(B17&lt;=0,"БЛОК: сумма должна быть больше нуля",IF(D17="","БЛОК: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вас",IF(COUNTIF(Акты!$B$5:$B$16,D17)=0,"БЛОК: такого акта нет на листе «Акты» — добавьте акт или исправьте идентификатор",IF(NOT(ISNUMBER(INDEX(Акты!$E$5:$E$16,MATCH(D17,Акты!$B$5:$B$16,0)))),"БЛОК: у этого акта на листе «Акты» не указан первый день просрочки",IF(A17&lt;INDEX(Акты!$E$5:$E$16,MATCH(D17,Акты!$B$5:$B$16,0)),"БЛОК: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сюда",IF(A17&gt;Ввод!$B$4,"БЛОК: оплата после последнего дня расчёта — продлите расчёт или уберите строку","ок"))))))))</f>
        <v/>
      </c>
    </row>
    <row r="18" spans="1:5" x14ac:dyDescent="0.3">
      <c r="A18" s="9"/>
      <c r="B18" s="10"/>
      <c r="C18" s="15"/>
      <c r="D18" s="15"/>
      <c r="E18" s="4" t="str">
        <f>IF(AND(A18="",B18="",C18="",D18=""),"",IF(OR(A18="",B18=""),"БЛОК: нужны и дата, и сумма",IF(B18&lt;=0,"БЛОК: сумма должна быть больше нуля",IF(D18="","БЛОК: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вас",IF(COUNTIF(Акты!$B$5:$B$16,D18)=0,"БЛОК: такого акта нет на листе «Акты» — добавьте акт или исправьте идентификатор",IF(NOT(ISNUMBER(INDEX(Акты!$E$5:$E$16,MATCH(D18,Акты!$B$5:$B$16,0)))),"БЛОК: у этого акта на листе «Акты» не указан первый день просрочки",IF(A18&lt;INDEX(Акты!$E$5:$E$16,MATCH(D18,Акты!$B$5:$B$16,0)),"БЛОК: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сюда",IF(A18&gt;Ввод!$B$4,"БЛОК: оплата после последнего дня расчёта — продлите расчёт или уберите строку","ок"))))))))</f>
        <v/>
      </c>
    </row>
    <row r="19" spans="1:5" x14ac:dyDescent="0.3">
      <c r="A19" s="9"/>
      <c r="B19" s="10"/>
      <c r="C19" s="15"/>
      <c r="D19" s="15"/>
      <c r="E19" s="4" t="str">
        <f>IF(AND(A19="",B19="",C19="",D19=""),"",IF(OR(A19="",B19=""),"БЛОК: нужны и дата, и сумма",IF(B19&lt;=0,"БЛОК: сумма должна быть больше нуля",IF(D19="","БЛОК: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вас",IF(COUNTIF(Акты!$B$5:$B$16,D19)=0,"БЛОК: такого акта нет на листе «Акты» — добавьте акт или исправьте идентификатор",IF(NOT(ISNUMBER(INDEX(Акты!$E$5:$E$16,MATCH(D19,Акты!$B$5:$B$16,0)))),"БЛОК: у этого акта на листе «Акты» не указан первый день просрочки",IF(A19&lt;INDEX(Акты!$E$5:$E$16,MATCH(D19,Акты!$B$5:$B$16,0)),"БЛОК: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сюда",IF(A19&gt;Ввод!$B$4,"БЛОК: оплата после последнего дня расчёта — продлите расчёт или уберите строку","ок"))))))))</f>
        <v/>
      </c>
    </row>
    <row r="20" spans="1:5" x14ac:dyDescent="0.3">
      <c r="A20" s="9"/>
      <c r="B20" s="10"/>
      <c r="C20" s="15"/>
      <c r="D20" s="15"/>
      <c r="E20" s="4" t="str">
        <f>IF(AND(A20="",B20="",C20="",D20=""),"",IF(OR(A20="",B20=""),"БЛОК: нужны и дата, и сумма",IF(B20&lt;=0,"БЛОК: сумма должна быть больше нуля",IF(D20="","БЛОК: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вас",IF(COUNTIF(Акты!$B$5:$B$16,D20)=0,"БЛОК: такого акта нет на листе «Акты» — добавьте акт или исправьте идентификатор",IF(NOT(ISNUMBER(INDEX(Акты!$E$5:$E$16,MATCH(D20,Акты!$B$5:$B$16,0)))),"БЛОК: у этого акта на листе «Акты» не указан первый день просрочки",IF(A20&lt;INDEX(Акты!$E$5:$E$16,MATCH(D20,Акты!$B$5:$B$16,0)),"БЛОК: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сюда",IF(A20&gt;Ввод!$B$4,"БЛОК: оплата после последнего дня расчёта — продлите расчёт или уберите строку","ок"))))))))</f>
        <v/>
      </c>
    </row>
    <row r="21" spans="1:5" x14ac:dyDescent="0.3">
      <c r="A21" s="9"/>
      <c r="B21" s="10"/>
      <c r="C21" s="15"/>
      <c r="D21" s="15"/>
      <c r="E21" s="4" t="str">
        <f>IF(AND(A21="",B21="",C21="",D21=""),"",IF(OR(A21="",B21=""),"БЛОК: нужны и дата, и сумма",IF(B21&lt;=0,"БЛОК: сумма должна быть больше нуля",IF(D21="","БЛОК: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вас",IF(COUNTIF(Акты!$B$5:$B$16,D21)=0,"БЛОК: такого акта нет на листе «Акты» — добавьте акт или исправьте идентификатор",IF(NOT(ISNUMBER(INDEX(Акты!$E$5:$E$16,MATCH(D21,Акты!$B$5:$B$16,0)))),"БЛОК: у этого акта на листе «Акты» не указан первый день просрочки",IF(A21&lt;INDEX(Акты!$E$5:$E$16,MATCH(D21,Акты!$B$5:$B$16,0)),"БЛОК: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сюда",IF(A21&gt;Ввод!$B$4,"БЛОК: оплата после последнего дня расчёта — продлите расчёт или уберите строку","ок"))))))))</f>
        <v/>
      </c>
    </row>
    <row r="22" spans="1:5" x14ac:dyDescent="0.3">
      <c r="A22" s="9"/>
      <c r="B22" s="10"/>
      <c r="C22" s="15"/>
      <c r="D22" s="15"/>
      <c r="E22" s="4" t="str">
        <f>IF(AND(A22="",B22="",C22="",D22=""),"",IF(OR(A22="",B22=""),"БЛОК: нужны и дата, и сумма",IF(B22&lt;=0,"БЛОК: сумма должна быть больше нуля",IF(D22="","БЛОК: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вас",IF(COUNTIF(Акты!$B$5:$B$16,D22)=0,"БЛОК: такого акта нет на листе «Акты» — добавьте акт или исправьте идентификатор",IF(NOT(ISNUMBER(INDEX(Акты!$E$5:$E$16,MATCH(D22,Акты!$B$5:$B$16,0)))),"БЛОК: у этого акта на листе «Акты» не указан первый день просрочки",IF(A22&lt;INDEX(Акты!$E$5:$E$16,MATCH(D22,Акты!$B$5:$B$16,0)),"БЛОК: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сюда",IF(A22&gt;Ввод!$B$4,"БЛОК: оплата после последнего дня расчёта — продлите расчёт или уберите строку","ок"))))))))</f>
        <v/>
      </c>
    </row>
    <row r="23" spans="1:5" x14ac:dyDescent="0.3">
      <c r="A23" s="9"/>
      <c r="B23" s="10"/>
      <c r="C23" s="15"/>
      <c r="D23" s="15"/>
      <c r="E23" s="4" t="str">
        <f>IF(AND(A23="",B23="",C23="",D23=""),"",IF(OR(A23="",B23=""),"БЛОК: нужны и дата, и сумма",IF(B23&lt;=0,"БЛОК: сумма должна быть больше нуля",IF(D23="","БЛОК: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вас",IF(COUNTIF(Акты!$B$5:$B$16,D23)=0,"БЛОК: такого акта нет на листе «Акты» — добавьте акт или исправьте идентификатор",IF(NOT(ISNUMBER(INDEX(Акты!$E$5:$E$16,MATCH(D23,Акты!$B$5:$B$16,0)))),"БЛОК: у этого акта на листе «Акты» не указан первый день просрочки",IF(A23&lt;INDEX(Акты!$E$5:$E$16,MATCH(D23,Акты!$B$5:$B$16,0)),"БЛОК: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сюда",IF(A23&gt;Ввод!$B$4,"БЛОК: оплата после последнего дня расчёта — продлите расчёт или уберите строку","ок"))))))))</f>
        <v/>
      </c>
    </row>
    <row r="24" spans="1:5" x14ac:dyDescent="0.3">
      <c r="A24" s="9"/>
      <c r="B24" s="10"/>
      <c r="C24" s="15"/>
      <c r="D24" s="15"/>
      <c r="E24" s="4" t="str">
        <f>IF(AND(A24="",B24="",C24="",D24=""),"",IF(OR(A24="",B24=""),"БЛОК: нужны и дата, и сумма",IF(B24&lt;=0,"БЛОК: сумма должна быть больше нуля",IF(D24="","БЛОК: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вас",IF(COUNTIF(Акты!$B$5:$B$16,D24)=0,"БЛОК: такого акта нет на листе «Акты» — добавьте акт или исправьте идентификатор",IF(NOT(ISNUMBER(INDEX(Акты!$E$5:$E$16,MATCH(D24,Акты!$B$5:$B$16,0)))),"БЛОК: у этого акта на листе «Акты» не указан первый день просрочки",IF(A24&lt;INDEX(Акты!$E$5:$E$16,MATCH(D24,Акты!$B$5:$B$16,0)),"БЛОК: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сюда",IF(A24&gt;Ввод!$B$4,"БЛОК: оплата после последнего дня расчёта — продлите расчёт или уберите строку","ок"))))))))</f>
        <v/>
      </c>
    </row>
    <row r="25" spans="1:5" x14ac:dyDescent="0.3">
      <c r="A25" s="9"/>
      <c r="B25" s="10"/>
      <c r="C25" s="15"/>
      <c r="D25" s="15"/>
      <c r="E25" s="4" t="str">
        <f>IF(AND(A25="",B25="",C25="",D25=""),"",IF(OR(A25="",B25=""),"БЛОК: нужны и дата, и сумма",IF(B25&lt;=0,"БЛОК: сумма должна быть больше нуля",IF(D25="","БЛОК: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вас",IF(COUNTIF(Акты!$B$5:$B$16,D25)=0,"БЛОК: такого акта нет на листе «Акты» — добавьте акт или исправьте идентификатор",IF(NOT(ISNUMBER(INDEX(Акты!$E$5:$E$16,MATCH(D25,Акты!$B$5:$B$16,0)))),"БЛОК: у этого акта на листе «Акты» не указан первый день просрочки",IF(A25&lt;INDEX(Акты!$E$5:$E$16,MATCH(D25,Акты!$B$5:$B$16,0)),"БЛОК: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сюда",IF(A25&gt;Ввод!$B$4,"БЛОК: оплата после последнего дня расчёта — продлите расчёт или уберите строку","ок"))))))))</f>
        <v/>
      </c>
    </row>
    <row r="26" spans="1:5" x14ac:dyDescent="0.3">
      <c r="A26" s="9"/>
      <c r="B26" s="10"/>
      <c r="C26" s="15"/>
      <c r="D26" s="15"/>
      <c r="E26" s="4" t="str">
        <f>IF(AND(A26="",B26="",C26="",D26=""),"",IF(OR(A26="",B26=""),"БЛОК: нужны и дата, и сумма",IF(B26&lt;=0,"БЛОК: сумма должна быть больше нуля",IF(D26="","БЛОК: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вас",IF(COUNTIF(Акты!$B$5:$B$16,D26)=0,"БЛОК: такого акта нет на листе «Акты» — добавьте акт или исправьте идентификатор",IF(NOT(ISNUMBER(INDEX(Акты!$E$5:$E$16,MATCH(D26,Акты!$B$5:$B$16,0)))),"БЛОК: у этого акта на листе «Акты» не указан первый день просрочки",IF(A26&lt;INDEX(Акты!$E$5:$E$16,MATCH(D26,Акты!$B$5:$B$16,0)),"БЛОК: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сюда",IF(A26&gt;Ввод!$B$4,"БЛОК: оплата после последнего дня расчёта — продлите расчёт или уберите строку","ок"))))))))</f>
        <v/>
      </c>
    </row>
    <row r="27" spans="1:5" x14ac:dyDescent="0.3">
      <c r="A27" s="9"/>
      <c r="B27" s="10"/>
      <c r="C27" s="15"/>
      <c r="D27" s="15"/>
      <c r="E27" s="4" t="str">
        <f>IF(AND(A27="",B27="",C27="",D27=""),"",IF(OR(A27="",B27=""),"БЛОК: нужны и дата, и сумма",IF(B27&lt;=0,"БЛОК: сумма должна быть больше нуля",IF(D27="","БЛОК: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вас",IF(COUNTIF(Акты!$B$5:$B$16,D27)=0,"БЛОК: такого акта нет на листе «Акты» — добавьте акт или исправьте идентификатор",IF(NOT(ISNUMBER(INDEX(Акты!$E$5:$E$16,MATCH(D27,Акты!$B$5:$B$16,0)))),"БЛОК: у этого акта на листе «Акты» не указан первый день просрочки",IF(A27&lt;INDEX(Акты!$E$5:$E$16,MATCH(D27,Акты!$B$5:$B$16,0)),"БЛОК: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сюда",IF(A27&gt;Ввод!$B$4,"БЛОК: оплата после последнего дня расчёта — продлите расчёт или уберите строку","ок"))))))))</f>
        <v/>
      </c>
    </row>
    <row r="28" spans="1:5" x14ac:dyDescent="0.3">
      <c r="A28" s="9"/>
      <c r="B28" s="10"/>
      <c r="C28" s="15"/>
      <c r="D28" s="15"/>
      <c r="E28" s="4" t="str">
        <f>IF(AND(A28="",B28="",C28="",D28=""),"",IF(OR(A28="",B28=""),"БЛОК: нужны и дата, и сумма",IF(B28&lt;=0,"БЛОК: сумма должна быть больше нуля",IF(D28="","БЛОК: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вас",IF(COUNTIF(Акты!$B$5:$B$16,D28)=0,"БЛОК: такого акта нет на листе «Акты» — добавьте акт или исправьте идентификатор",IF(NOT(ISNUMBER(INDEX(Акты!$E$5:$E$16,MATCH(D28,Акты!$B$5:$B$16,0)))),"БЛОК: у этого акта на листе «Акты» не указан первый день просрочки",IF(A28&lt;INDEX(Акты!$E$5:$E$16,MATCH(D28,Акты!$B$5:$B$16,0)),"БЛОК: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сюда",IF(A28&gt;Ввод!$B$4,"БЛОК: оплата после последнего дня расчёта — продлите расчёт или уберите строку","ок"))))))))</f>
        <v/>
      </c>
    </row>
    <row r="29" spans="1:5" x14ac:dyDescent="0.3">
      <c r="A29" s="9"/>
      <c r="B29" s="10"/>
      <c r="C29" s="15"/>
      <c r="D29" s="15"/>
      <c r="E29" s="4" t="str">
        <f>IF(AND(A29="",B29="",C29="",D29=""),"",IF(OR(A29="",B29=""),"БЛОК: нужны и дата, и сумма",IF(B29&lt;=0,"БЛОК: сумма должна быть больше нуля",IF(D29="","БЛОК: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вас",IF(COUNTIF(Акты!$B$5:$B$16,D29)=0,"БЛОК: такого акта нет на листе «Акты» — добавьте акт или исправьте идентификатор",IF(NOT(ISNUMBER(INDEX(Акты!$E$5:$E$16,MATCH(D29,Акты!$B$5:$B$16,0)))),"БЛОК: у этого акта на листе «Акты» не указан первый день просрочки",IF(A29&lt;INDEX(Акты!$E$5:$E$16,MATCH(D29,Акты!$B$5:$B$16,0)),"БЛОК: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сюда",IF(A29&gt;Ввод!$B$4,"БЛОК: оплата после последнего дня расчёта — продлите расчёт или уберите строку","ок"))))))))</f>
        <v/>
      </c>
    </row>
    <row r="30" spans="1:5" x14ac:dyDescent="0.3">
      <c r="A30" s="9"/>
      <c r="B30" s="10"/>
      <c r="C30" s="15"/>
      <c r="D30" s="15"/>
      <c r="E30" s="4" t="str">
        <f>IF(AND(A30="",B30="",C30="",D30=""),"",IF(OR(A30="",B30=""),"БЛОК: нужны и дата, и сумма",IF(B30&lt;=0,"БЛОК: сумма должна быть больше нуля",IF(D30="","БЛОК: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вас",IF(COUNTIF(Акты!$B$5:$B$16,D30)=0,"БЛОК: такого акта нет на листе «Акты» — добавьте акт или исправьте идентификатор",IF(NOT(ISNUMBER(INDEX(Акты!$E$5:$E$16,MATCH(D30,Акты!$B$5:$B$16,0)))),"БЛОК: у этого акта на листе «Акты» не указан первый день просрочки",IF(A30&lt;INDEX(Акты!$E$5:$E$16,MATCH(D30,Акты!$B$5:$B$16,0)),"БЛОК: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сюда",IF(A30&gt;Ввод!$B$4,"БЛОК: оплата после последнего дня расчёта — продлите расчёт или уберите строку","ок"))))))))</f>
        <v/>
      </c>
    </row>
    <row r="31" spans="1:5" x14ac:dyDescent="0.3">
      <c r="A31" s="9"/>
      <c r="B31" s="10"/>
      <c r="C31" s="15"/>
      <c r="D31" s="15"/>
      <c r="E31" s="4" t="str">
        <f>IF(AND(A31="",B31="",C31="",D31=""),"",IF(OR(A31="",B31=""),"БЛОК: нужны и дата, и сумма",IF(B31&lt;=0,"БЛОК: сумма должна быть больше нуля",IF(D31="","БЛОК: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вас",IF(COUNTIF(Акты!$B$5:$B$16,D31)=0,"БЛОК: такого акта нет на листе «Акты» — добавьте акт или исправьте идентификатор",IF(NOT(ISNUMBER(INDEX(Акты!$E$5:$E$16,MATCH(D31,Акты!$B$5:$B$16,0)))),"БЛОК: у этого акта на листе «Акты» не указан первый день просрочки",IF(A31&lt;INDEX(Акты!$E$5:$E$16,MATCH(D31,Акты!$B$5:$B$16,0)),"БЛОК: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сюда",IF(A31&gt;Ввод!$B$4,"БЛОК: оплата после последнего дня расчёта — продлите расчёт или уберите строку","ок"))))))))</f>
        <v/>
      </c>
    </row>
    <row r="32" spans="1:5" x14ac:dyDescent="0.3">
      <c r="A32" s="9"/>
      <c r="B32" s="10"/>
      <c r="C32" s="15"/>
      <c r="D32" s="15"/>
      <c r="E32" s="4" t="str">
        <f>IF(AND(A32="",B32="",C32="",D32=""),"",IF(OR(A32="",B32=""),"БЛОК: нужны и дата, и сумма",IF(B32&lt;=0,"БЛОК: сумма должна быть больше нуля",IF(D32="","БЛОК: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вас",IF(COUNTIF(Акты!$B$5:$B$16,D32)=0,"БЛОК: такого акта нет на листе «Акты» — добавьте акт или исправьте идентификатор",IF(NOT(ISNUMBER(INDEX(Акты!$E$5:$E$16,MATCH(D32,Акты!$B$5:$B$16,0)))),"БЛОК: у этого акта на листе «Акты» не указан первый день просрочки",IF(A32&lt;INDEX(Акты!$E$5:$E$16,MATCH(D32,Акты!$B$5:$B$16,0)),"БЛОК: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сюда",IF(A32&gt;Ввод!$B$4,"БЛОК: оплата после последнего дня расчёта — продлите расчёт или уберите строку","ок"))))))))</f>
        <v/>
      </c>
    </row>
    <row r="33" spans="1:5" x14ac:dyDescent="0.3">
      <c r="A33" s="9"/>
      <c r="B33" s="10"/>
      <c r="C33" s="15"/>
      <c r="D33" s="15"/>
      <c r="E33" s="4" t="str">
        <f>IF(AND(A33="",B33="",C33="",D33=""),"",IF(OR(A33="",B33=""),"БЛОК: нужны и дата, и сумма",IF(B33&lt;=0,"БЛОК: сумма должна быть больше нуля",IF(D33="","БЛОК: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вас",IF(COUNTIF(Акты!$B$5:$B$16,D33)=0,"БЛОК: такого акта нет на листе «Акты» — добавьте акт или исправьте идентификатор",IF(NOT(ISNUMBER(INDEX(Акты!$E$5:$E$16,MATCH(D33,Акты!$B$5:$B$16,0)))),"БЛОК: у этого акта на листе «Акты» не указан первый день просрочки",IF(A33&lt;INDEX(Акты!$E$5:$E$16,MATCH(D33,Акты!$B$5:$B$16,0)),"БЛОК: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сюда",IF(A33&gt;Ввод!$B$4,"БЛОК: оплата после последнего дня расчёта — продлите расчёт или уберите строку","ок"))))))))</f>
        <v/>
      </c>
    </row>
    <row r="34" spans="1:5" x14ac:dyDescent="0.3">
      <c r="A34" s="9"/>
      <c r="B34" s="10"/>
      <c r="C34" s="15"/>
      <c r="D34" s="15"/>
      <c r="E34" s="4" t="str">
        <f>IF(AND(A34="",B34="",C34="",D34=""),"",IF(OR(A34="",B34=""),"БЛОК: нужны и дата, и сумма",IF(B34&lt;=0,"БЛОК: сумма должна быть больше нуля",IF(D34="","БЛОК: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вас",IF(COUNTIF(Акты!$B$5:$B$16,D34)=0,"БЛОК: такого акта нет на листе «Акты» — добавьте акт или исправьте идентификатор",IF(NOT(ISNUMBER(INDEX(Акты!$E$5:$E$16,MATCH(D34,Акты!$B$5:$B$16,0)))),"БЛОК: у этого акта на листе «Акты» не указан первый день просрочки",IF(A34&lt;INDEX(Акты!$E$5:$E$16,MATCH(D34,Акты!$B$5:$B$16,0)),"БЛОК: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сюда",IF(A34&gt;Ввод!$B$4,"БЛОК: оплата после последнего дня расчёта — продлите расчёт или уберите строку","ок"))))))))</f>
        <v/>
      </c>
    </row>
    <row r="35" spans="1:5" x14ac:dyDescent="0.3">
      <c r="A35" s="9"/>
      <c r="B35" s="10"/>
      <c r="C35" s="15"/>
      <c r="D35" s="15"/>
      <c r="E35" s="4" t="str">
        <f>IF(AND(A35="",B35="",C35="",D35=""),"",IF(OR(A35="",B35=""),"БЛОК: нужны и дата, и сумма",IF(B35&lt;=0,"БЛОК: сумма должна быть больше нуля",IF(D35="","БЛОК: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вас",IF(COUNTIF(Акты!$B$5:$B$16,D35)=0,"БЛОК: такого акта нет на листе «Акты» — добавьте акт или исправьте идентификатор",IF(NOT(ISNUMBER(INDEX(Акты!$E$5:$E$16,MATCH(D35,Акты!$B$5:$B$16,0)))),"БЛОК: у этого акта на листе «Акты» не указан первый день просрочки",IF(A35&lt;INDEX(Акты!$E$5:$E$16,MATCH(D35,Акты!$B$5:$B$16,0)),"БЛОК: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сюда",IF(A35&gt;Ввод!$B$4,"БЛОК: оплата после последнего дня расчёта — продлите расчёт или уберите строку","ок"))))))))</f>
        <v/>
      </c>
    </row>
    <row r="36" spans="1:5" x14ac:dyDescent="0.3">
      <c r="A36" s="9"/>
      <c r="B36" s="10"/>
      <c r="C36" s="15"/>
      <c r="D36" s="15"/>
      <c r="E36" s="4" t="str">
        <f>IF(AND(A36="",B36="",C36="",D36=""),"",IF(OR(A36="",B36=""),"БЛОК: нужны и дата, и сумма",IF(B36&lt;=0,"БЛОК: сумма должна быть больше нуля",IF(D36="","БЛОК: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вас",IF(COUNTIF(Акты!$B$5:$B$16,D36)=0,"БЛОК: такого акта нет на листе «Акты» — добавьте акт или исправьте идентификатор",IF(NOT(ISNUMBER(INDEX(Акты!$E$5:$E$16,MATCH(D36,Акты!$B$5:$B$16,0)))),"БЛОК: у этого акта на листе «Акты» не указан первый день просрочки",IF(A36&lt;INDEX(Акты!$E$5:$E$16,MATCH(D36,Акты!$B$5:$B$16,0)),"БЛОК: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сюда",IF(A36&gt;Ввод!$B$4,"БЛОК: оплата после последнего дня расчёта — продлите расчёт или уберите строку","ок"))))))))</f>
        <v/>
      </c>
    </row>
    <row r="37" spans="1:5" x14ac:dyDescent="0.3">
      <c r="A37" s="9"/>
      <c r="B37" s="10"/>
      <c r="C37" s="15"/>
      <c r="D37" s="15"/>
      <c r="E37" s="4" t="str">
        <f>IF(AND(A37="",B37="",C37="",D37=""),"",IF(OR(A37="",B37=""),"БЛОК: нужны и дата, и сумма",IF(B37&lt;=0,"БЛОК: сумма должна быть больше нуля",IF(D37="","БЛОК: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вас",IF(COUNTIF(Акты!$B$5:$B$16,D37)=0,"БЛОК: такого акта нет на листе «Акты» — добавьте акт или исправьте идентификатор",IF(NOT(ISNUMBER(INDEX(Акты!$E$5:$E$16,MATCH(D37,Акты!$B$5:$B$16,0)))),"БЛОК: у этого акта на листе «Акты» не указан первый день просрочки",IF(A37&lt;INDEX(Акты!$E$5:$E$16,MATCH(D37,Акты!$B$5:$B$16,0)),"БЛОК: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сюда",IF(A37&gt;Ввод!$B$4,"БЛОК: оплата после последнего дня расчёта — продлите расчёт или уберите строку","ок"))))))))</f>
        <v/>
      </c>
    </row>
    <row r="38" spans="1:5" x14ac:dyDescent="0.3">
      <c r="A38" s="9"/>
      <c r="B38" s="10"/>
      <c r="C38" s="15"/>
      <c r="D38" s="15"/>
      <c r="E38" s="4" t="str">
        <f>IF(AND(A38="",B38="",C38="",D38=""),"",IF(OR(A38="",B38=""),"БЛОК: нужны и дата, и сумма",IF(B38&lt;=0,"БЛОК: сумма должна быть больше нуля",IF(D38="","БЛОК: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вас",IF(COUNTIF(Акты!$B$5:$B$16,D38)=0,"БЛОК: такого акта нет на листе «Акты» — добавьте акт или исправьте идентификатор",IF(NOT(ISNUMBER(INDEX(Акты!$E$5:$E$16,MATCH(D38,Акты!$B$5:$B$16,0)))),"БЛОК: у этого акта на листе «Акты» не указан первый день просрочки",IF(A38&lt;INDEX(Акты!$E$5:$E$16,MATCH(D38,Акты!$B$5:$B$16,0)),"БЛОК: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сюда",IF(A38&gt;Ввод!$B$4,"БЛОК: оплата после последнего дня расчёта — продлите расчёт или уберите строку","ок"))))))))</f>
        <v/>
      </c>
    </row>
    <row r="39" spans="1:5" x14ac:dyDescent="0.3">
      <c r="A39" s="9"/>
      <c r="B39" s="10"/>
      <c r="C39" s="15"/>
      <c r="D39" s="15"/>
      <c r="E39" s="4" t="str">
        <f>IF(AND(A39="",B39="",C39="",D39=""),"",IF(OR(A39="",B39=""),"БЛОК: нужны и дата, и сумма",IF(B39&lt;=0,"БЛОК: сумма должна быть больше нуля",IF(D39="","БЛОК: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вас",IF(COUNTIF(Акты!$B$5:$B$16,D39)=0,"БЛОК: такого акта нет на листе «Акты» — добавьте акт или исправьте идентификатор",IF(NOT(ISNUMBER(INDEX(Акты!$E$5:$E$16,MATCH(D39,Акты!$B$5:$B$16,0)))),"БЛОК: у этого акта на листе «Акты» не указан первый день просрочки",IF(A39&lt;INDEX(Акты!$E$5:$E$16,MATCH(D39,Акты!$B$5:$B$16,0)),"БЛОК: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сюда",IF(A39&gt;Ввод!$B$4,"БЛОК: оплата после последнего дня расчёта — продлите расчёт или уберите строку","ок"))))))))</f>
        <v/>
      </c>
    </row>
    <row r="40" spans="1:5" x14ac:dyDescent="0.3">
      <c r="A40" s="9"/>
      <c r="B40" s="10"/>
      <c r="C40" s="15"/>
      <c r="D40" s="15"/>
      <c r="E40" s="4" t="str">
        <f>IF(AND(A40="",B40="",C40="",D40=""),"",IF(OR(A40="",B40=""),"БЛОК: нужны и дата, и сумма",IF(B40&lt;=0,"БЛОК: сумма должна быть больше нуля",IF(D40="","БЛОК: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вас",IF(COUNTIF(Акты!$B$5:$B$16,D40)=0,"БЛОК: такого акта нет на листе «Акты» — добавьте акт или исправьте идентификатор",IF(NOT(ISNUMBER(INDEX(Акты!$E$5:$E$16,MATCH(D40,Акты!$B$5:$B$16,0)))),"БЛОК: у этого акта на листе «Акты» не указан первый день просрочки",IF(A40&lt;INDEX(Акты!$E$5:$E$16,MATCH(D40,Акты!$B$5:$B$16,0)),"БЛОК: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сюда",IF(A40&gt;Ввод!$B$4,"БЛОК: оплата после последнего дня расчёта — продлите расчёт или уберите строку","ок"))))))))</f>
        <v/>
      </c>
    </row>
    <row r="41" spans="1:5" x14ac:dyDescent="0.3">
      <c r="A41" s="9"/>
      <c r="B41" s="10"/>
      <c r="C41" s="15"/>
      <c r="D41" s="15"/>
      <c r="E41" s="4" t="str">
        <f>IF(AND(A41="",B41="",C41="",D41=""),"",IF(OR(A41="",B41=""),"БЛОК: нужны и дата, и сумма",IF(B41&lt;=0,"БЛОК: сумма должна быть больше нуля",IF(D41="","БЛОК: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вас",IF(COUNTIF(Акты!$B$5:$B$16,D41)=0,"БЛОК: такого акта нет на листе «Акты» — добавьте акт или исправьте идентификатор",IF(NOT(ISNUMBER(INDEX(Акты!$E$5:$E$16,MATCH(D41,Акты!$B$5:$B$16,0)))),"БЛОК: у этого акта на листе «Акты» не указан первый день просрочки",IF(A41&lt;INDEX(Акты!$E$5:$E$16,MATCH(D41,Акты!$B$5:$B$16,0)),"БЛОК: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сюда",IF(A41&gt;Ввод!$B$4,"БЛОК: оплата после последнего дня расчёта — продлите расчёт или уберите строку","ок"))))))))</f>
        <v/>
      </c>
    </row>
    <row r="42" spans="1:5" x14ac:dyDescent="0.3">
      <c r="A42" s="9"/>
      <c r="B42" s="10"/>
      <c r="C42" s="15"/>
      <c r="D42" s="15"/>
      <c r="E42" s="4" t="str">
        <f>IF(AND(A42="",B42="",C42="",D42=""),"",IF(OR(A42="",B42=""),"БЛОК: нужны и дата, и сумма",IF(B42&lt;=0,"БЛОК: сумма должна быть больше нуля",IF(D42="","БЛОК: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вас",IF(COUNTIF(Акты!$B$5:$B$16,D42)=0,"БЛОК: такого акта нет на листе «Акты» — добавьте акт или исправьте идентификатор",IF(NOT(ISNUMBER(INDEX(Акты!$E$5:$E$16,MATCH(D42,Акты!$B$5:$B$16,0)))),"БЛОК: у этого акта на листе «Акты» не указан первый день просрочки",IF(A42&lt;INDEX(Акты!$E$5:$E$16,MATCH(D42,Акты!$B$5:$B$16,0)),"БЛОК: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сюда",IF(A42&gt;Ввод!$B$4,"БЛОК: оплата после последнего дня расчёта — продлите расчёт или уберите строку","ок"))))))))</f>
        <v/>
      </c>
    </row>
    <row r="43" spans="1:5" x14ac:dyDescent="0.3">
      <c r="A43" s="9"/>
      <c r="B43" s="10"/>
      <c r="C43" s="15"/>
      <c r="D43" s="15"/>
      <c r="E43" s="4" t="str">
        <f>IF(AND(A43="",B43="",C43="",D43=""),"",IF(OR(A43="",B43=""),"БЛОК: нужны и дата, и сумма",IF(B43&lt;=0,"БЛОК: сумма должна быть больше нуля",IF(D43="","БЛОК: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вас",IF(COUNTIF(Акты!$B$5:$B$16,D43)=0,"БЛОК: такого акта нет на листе «Акты» — добавьте акт или исправьте идентификатор",IF(NOT(ISNUMBER(INDEX(Акты!$E$5:$E$16,MATCH(D43,Акты!$B$5:$B$16,0)))),"БЛОК: у этого акта на листе «Акты» не указан первый день просрочки",IF(A43&lt;INDEX(Акты!$E$5:$E$16,MATCH(D43,Акты!$B$5:$B$16,0)),"БЛОК: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сюда",IF(A43&gt;Ввод!$B$4,"БЛОК: оплата после последнего дня расчёта — продлите расчёт или уберите строку","ок"))))))))</f>
        <v/>
      </c>
    </row>
    <row r="44" spans="1:5" x14ac:dyDescent="0.3">
      <c r="A44" s="9"/>
      <c r="B44" s="10"/>
      <c r="C44" s="15"/>
      <c r="D44" s="15"/>
      <c r="E44" s="4" t="str">
        <f>IF(AND(A44="",B44="",C44="",D44=""),"",IF(OR(A44="",B44=""),"БЛОК: нужны и дата, и сумма",IF(B44&lt;=0,"БЛОК: сумма должна быть больше нуля",IF(D44="","БЛОК: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вас",IF(COUNTIF(Акты!$B$5:$B$16,D44)=0,"БЛОК: такого акта нет на листе «Акты» — добавьте акт или исправьте идентификатор",IF(NOT(ISNUMBER(INDEX(Акты!$E$5:$E$16,MATCH(D44,Акты!$B$5:$B$16,0)))),"БЛОК: у этого акта на листе «Акты» не указан первый день просрочки",IF(A44&lt;INDEX(Акты!$E$5:$E$16,MATCH(D44,Акты!$B$5:$B$16,0)),"БЛОК: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сюда",IF(A44&gt;Ввод!$B$4,"БЛОК: оплата после последнего дня расчёта — продлите расчёт или уберите строку","ок"))))))))</f>
        <v/>
      </c>
    </row>
    <row r="45" spans="1:5" x14ac:dyDescent="0.3">
      <c r="A45" s="9"/>
      <c r="B45" s="10"/>
      <c r="C45" s="15"/>
      <c r="D45" s="15"/>
      <c r="E45" s="4" t="str">
        <f>IF(AND(A45="",B45="",C45="",D45=""),"",IF(OR(A45="",B45=""),"БЛОК: нужны и дата, и сумма",IF(B45&lt;=0,"БЛОК: сумма должна быть больше нуля",IF(D45="","БЛОК: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вас",IF(COUNTIF(Акты!$B$5:$B$16,D45)=0,"БЛОК: такого акта нет на листе «Акты» — добавьте акт или исправьте идентификатор",IF(NOT(ISNUMBER(INDEX(Акты!$E$5:$E$16,MATCH(D45,Акты!$B$5:$B$16,0)))),"БЛОК: у этого акта на листе «Акты» не указан первый день просрочки",IF(A45&lt;INDEX(Акты!$E$5:$E$16,MATCH(D45,Акты!$B$5:$B$16,0)),"БЛОК: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сюда",IF(A45&gt;Ввод!$B$4,"БЛОК: оплата после последнего дня расчёта — продлите расчёт или уберите строку","ок"))))))))</f>
        <v/>
      </c>
    </row>
    <row r="46" spans="1:5" x14ac:dyDescent="0.3">
      <c r="A46" s="9"/>
      <c r="B46" s="10"/>
      <c r="C46" s="15"/>
      <c r="D46" s="15"/>
      <c r="E46" s="4" t="str">
        <f>IF(AND(A46="",B46="",C46="",D46=""),"",IF(OR(A46="",B46=""),"БЛОК: нужны и дата, и сумма",IF(B46&lt;=0,"БЛОК: сумма должна быть больше нуля",IF(D46="","БЛОК: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вас",IF(COUNTIF(Акты!$B$5:$B$16,D46)=0,"БЛОК: такого акта нет на листе «Акты» — добавьте акт или исправьте идентификатор",IF(NOT(ISNUMBER(INDEX(Акты!$E$5:$E$16,MATCH(D46,Акты!$B$5:$B$16,0)))),"БЛОК: у этого акта на листе «Акты» не указан первый день просрочки",IF(A46&lt;INDEX(Акты!$E$5:$E$16,MATCH(D46,Акты!$B$5:$B$16,0)),"БЛОК: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сюда",IF(A46&gt;Ввод!$B$4,"БЛОК: оплата после последнего дня расчёта — продлите расчёт или уберите строку","ок"))))))))</f>
        <v/>
      </c>
    </row>
    <row r="47" spans="1:5" x14ac:dyDescent="0.3">
      <c r="A47" s="9"/>
      <c r="B47" s="10"/>
      <c r="C47" s="15"/>
      <c r="D47" s="15"/>
      <c r="E47" s="4" t="str">
        <f>IF(AND(A47="",B47="",C47="",D47=""),"",IF(OR(A47="",B47=""),"БЛОК: нужны и дата, и сумма",IF(B47&lt;=0,"БЛОК: сумма должна быть больше нуля",IF(D47="","БЛОК: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вас",IF(COUNTIF(Акты!$B$5:$B$16,D47)=0,"БЛОК: такого акта нет на листе «Акты» — добавьте акт или исправьте идентификатор",IF(NOT(ISNUMBER(INDEX(Акты!$E$5:$E$16,MATCH(D47,Акты!$B$5:$B$16,0)))),"БЛОК: у этого акта на листе «Акты» не указан первый день просрочки",IF(A47&lt;INDEX(Акты!$E$5:$E$16,MATCH(D47,Акты!$B$5:$B$16,0)),"БЛОК: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сюда",IF(A47&gt;Ввод!$B$4,"БЛОК: оплата после последнего дня расчёта — продлите расчёт или уберите строку","ок"))))))))</f>
        <v/>
      </c>
    </row>
    <row r="48" spans="1:5" x14ac:dyDescent="0.3">
      <c r="A48" s="9"/>
      <c r="B48" s="10"/>
      <c r="C48" s="15"/>
      <c r="D48" s="15"/>
      <c r="E48" s="4" t="str">
        <f>IF(AND(A48="",B48="",C48="",D48=""),"",IF(OR(A48="",B48=""),"БЛОК: нужны и дата, и сумма",IF(B48&lt;=0,"БЛОК: сумма должна быть больше нуля",IF(D48="","БЛОК: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вас",IF(COUNTIF(Акты!$B$5:$B$16,D48)=0,"БЛОК: такого акта нет на листе «Акты» — добавьте акт или исправьте идентификатор",IF(NOT(ISNUMBER(INDEX(Акты!$E$5:$E$16,MATCH(D48,Акты!$B$5:$B$16,0)))),"БЛОК: у этого акта на листе «Акты» не указан первый день просрочки",IF(A48&lt;INDEX(Акты!$E$5:$E$16,MATCH(D48,Акты!$B$5:$B$16,0)),"БЛОК: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сюда",IF(A48&gt;Ввод!$B$4,"БЛОК: оплата после последнего дня расчёта — продлите расчёт или уберите строку","ок"))))))))</f>
        <v/>
      </c>
    </row>
    <row r="49" spans="1:5" x14ac:dyDescent="0.3">
      <c r="A49" s="9"/>
      <c r="B49" s="10"/>
      <c r="C49" s="15"/>
      <c r="D49" s="15"/>
      <c r="E49" s="4" t="str">
        <f>IF(AND(A49="",B49="",C49="",D49=""),"",IF(OR(A49="",B49=""),"БЛОК: нужны и дата, и сумма",IF(B49&lt;=0,"БЛОК: сумма должна быть больше нуля",IF(D49="","БЛОК: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вас",IF(COUNTIF(Акты!$B$5:$B$16,D49)=0,"БЛОК: такого акта нет на листе «Акты» — добавьте акт или исправьте идентификатор",IF(NOT(ISNUMBER(INDEX(Акты!$E$5:$E$16,MATCH(D49,Акты!$B$5:$B$16,0)))),"БЛОК: у этого акта на листе «Акты» не указан первый день просрочки",IF(A49&lt;INDEX(Акты!$E$5:$E$16,MATCH(D49,Акты!$B$5:$B$16,0)),"БЛОК: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сюда",IF(A49&gt;Ввод!$B$4,"БЛОК: оплата после последнего дня расчёта — продлите расчёт или уберите строку","ок"))))))))</f>
        <v/>
      </c>
    </row>
    <row r="50" spans="1:5" x14ac:dyDescent="0.3">
      <c r="A50" s="9"/>
      <c r="B50" s="10"/>
      <c r="C50" s="15"/>
      <c r="D50" s="15"/>
      <c r="E50" s="4" t="str">
        <f>IF(AND(A50="",B50="",C50="",D50=""),"",IF(OR(A50="",B50=""),"БЛОК: нужны и дата, и сумма",IF(B50&lt;=0,"БЛОК: сумма должна быть больше нуля",IF(D50="","БЛОК: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вас",IF(COUNTIF(Акты!$B$5:$B$16,D50)=0,"БЛОК: такого акта нет на листе «Акты» — добавьте акт или исправьте идентификатор",IF(NOT(ISNUMBER(INDEX(Акты!$E$5:$E$16,MATCH(D50,Акты!$B$5:$B$16,0)))),"БЛОК: у этого акта на листе «Акты» не указан первый день просрочки",IF(A50&lt;INDEX(Акты!$E$5:$E$16,MATCH(D50,Акты!$B$5:$B$16,0)),"БЛОК: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сюда",IF(A50&gt;Ввод!$B$4,"БЛОК: оплата после последнего дня расчёта — продлите расчёт или уберите строку","ок"))))))))</f>
        <v/>
      </c>
    </row>
    <row r="51" spans="1:5" x14ac:dyDescent="0.3">
      <c r="A51" s="9"/>
      <c r="B51" s="10"/>
      <c r="C51" s="15"/>
      <c r="D51" s="15"/>
      <c r="E51" s="4" t="str">
        <f>IF(AND(A51="",B51="",C51="",D51=""),"",IF(OR(A51="",B51=""),"БЛОК: нужны и дата, и сумма",IF(B51&lt;=0,"БЛОК: сумма должна быть больше нуля",IF(D51="","БЛОК: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вас",IF(COUNTIF(Акты!$B$5:$B$16,D51)=0,"БЛОК: такого акта нет на листе «Акты» — добавьте акт или исправьте идентификатор",IF(NOT(ISNUMBER(INDEX(Акты!$E$5:$E$16,MATCH(D51,Акты!$B$5:$B$16,0)))),"БЛОК: у этого акта на листе «Акты» не указан первый день просрочки",IF(A51&lt;INDEX(Акты!$E$5:$E$16,MATCH(D51,Акты!$B$5:$B$16,0)),"БЛОК: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сюда",IF(A51&gt;Ввод!$B$4,"БЛОК: оплата после последнего дня расчёта — продлите расчёт или уберите строку","ок"))))))))</f>
        <v/>
      </c>
    </row>
    <row r="52" spans="1:5" x14ac:dyDescent="0.3">
      <c r="A52" s="9"/>
      <c r="B52" s="10"/>
      <c r="C52" s="15"/>
      <c r="D52" s="15"/>
      <c r="E52" s="4" t="str">
        <f>IF(AND(A52="",B52="",C52="",D52=""),"",IF(OR(A52="",B52=""),"БЛОК: нужны и дата, и сумма",IF(B52&lt;=0,"БЛОК: сумма должна быть больше нуля",IF(D52="","БЛОК: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вас",IF(COUNTIF(Акты!$B$5:$B$16,D52)=0,"БЛОК: такого акта нет на листе «Акты» — добавьте акт или исправьте идентификатор",IF(NOT(ISNUMBER(INDEX(Акты!$E$5:$E$16,MATCH(D52,Акты!$B$5:$B$16,0)))),"БЛОК: у этого акта на листе «Акты» не указан первый день просрочки",IF(A52&lt;INDEX(Акты!$E$5:$E$16,MATCH(D52,Акты!$B$5:$B$16,0)),"БЛОК: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сюда",IF(A52&gt;Ввод!$B$4,"БЛОК: оплата после последнего дня расчёта — продлите расчёт или уберите строку","ок"))))))))</f>
        <v/>
      </c>
    </row>
    <row r="53" spans="1:5" x14ac:dyDescent="0.3">
      <c r="A53" s="9"/>
      <c r="B53" s="10"/>
      <c r="C53" s="15"/>
      <c r="D53" s="15"/>
      <c r="E53" s="4" t="str">
        <f>IF(AND(A53="",B53="",C53="",D53=""),"",IF(OR(A53="",B53=""),"БЛОК: нужны и дата, и сумма",IF(B53&lt;=0,"БЛОК: сумма должна быть больше нуля",IF(D53="","БЛОК: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вас",IF(COUNTIF(Акты!$B$5:$B$16,D53)=0,"БЛОК: такого акта нет на листе «Акты» — добавьте акт или исправьте идентификатор",IF(NOT(ISNUMBER(INDEX(Акты!$E$5:$E$16,MATCH(D53,Акты!$B$5:$B$16,0)))),"БЛОК: у этого акта на листе «Акты» не указан первый день просрочки",IF(A53&lt;INDEX(Акты!$E$5:$E$16,MATCH(D53,Акты!$B$5:$B$16,0)),"БЛОК: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сюда",IF(A53&gt;Ввод!$B$4,"БЛОК: оплата после последнего дня расчёта — продлите расчёт или уберите строку","ок"))))))))</f>
        <v/>
      </c>
    </row>
    <row r="54" spans="1:5" x14ac:dyDescent="0.3">
      <c r="A54" s="9"/>
      <c r="B54" s="10"/>
      <c r="C54" s="15"/>
      <c r="D54" s="15"/>
      <c r="E54" s="4" t="str">
        <f>IF(AND(A54="",B54="",C54="",D54=""),"",IF(OR(A54="",B54=""),"БЛОК: нужны и дата, и сумма",IF(B54&lt;=0,"БЛОК: сумма должна быть больше нуля",IF(D54="","БЛОК: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вас",IF(COUNTIF(Акты!$B$5:$B$16,D54)=0,"БЛОК: такого акта нет на листе «Акты» — добавьте акт или исправьте идентификатор",IF(NOT(ISNUMBER(INDEX(Акты!$E$5:$E$16,MATCH(D54,Акты!$B$5:$B$16,0)))),"БЛОК: у этого акта на листе «Акты» не указан первый день просрочки",IF(A54&lt;INDEX(Акты!$E$5:$E$16,MATCH(D54,Акты!$B$5:$B$16,0)),"БЛОК: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сюда",IF(A54&gt;Ввод!$B$4,"БЛОК: оплата после последнего дня расчёта — продлите расчёт или уберите строку","ок"))))))))</f>
        <v/>
      </c>
    </row>
    <row r="55" spans="1:5" x14ac:dyDescent="0.3">
      <c r="A55" s="9"/>
      <c r="B55" s="10"/>
      <c r="C55" s="15"/>
      <c r="D55" s="15"/>
      <c r="E55" s="4" t="str">
        <f>IF(AND(A55="",B55="",C55="",D55=""),"",IF(OR(A55="",B55=""),"БЛОК: нужны и дата, и сумма",IF(B55&lt;=0,"БЛОК: сумма должна быть больше нуля",IF(D55="","БЛОК: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вас",IF(COUNTIF(Акты!$B$5:$B$16,D55)=0,"БЛОК: такого акта нет на листе «Акты» — добавьте акт или исправьте идентификатор",IF(NOT(ISNUMBER(INDEX(Акты!$E$5:$E$16,MATCH(D55,Акты!$B$5:$B$16,0)))),"БЛОК: у этого акта на листе «Акты» не указан первый день просрочки",IF(A55&lt;INDEX(Акты!$E$5:$E$16,MATCH(D55,Акты!$B$5:$B$16,0)),"БЛОК: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сюда",IF(A55&gt;Ввод!$B$4,"БЛОК: оплата после последнего дня расчёта — продлите расчёт или уберите строку","ок"))))))))</f>
        <v/>
      </c>
    </row>
    <row r="56" spans="1:5" x14ac:dyDescent="0.3">
      <c r="A56" s="9"/>
      <c r="B56" s="10"/>
      <c r="C56" s="15"/>
      <c r="D56" s="15"/>
      <c r="E56" s="4" t="str">
        <f>IF(AND(A56="",B56="",C56="",D56=""),"",IF(OR(A56="",B56=""),"БЛОК: нужны и дата, и сумма",IF(B56&lt;=0,"БЛОК: сумма должна быть больше нуля",IF(D56="","БЛОК: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вас",IF(COUNTIF(Акты!$B$5:$B$16,D56)=0,"БЛОК: такого акта нет на листе «Акты» — добавьте акт или исправьте идентификатор",IF(NOT(ISNUMBER(INDEX(Акты!$E$5:$E$16,MATCH(D56,Акты!$B$5:$B$16,0)))),"БЛОК: у этого акта на листе «Акты» не указан первый день просрочки",IF(A56&lt;INDEX(Акты!$E$5:$E$16,MATCH(D56,Акты!$B$5:$B$16,0)),"БЛОК: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сюда",IF(A56&gt;Ввод!$B$4,"БЛОК: оплата после последнего дня расчёта — продлите расчёт или уберите строку","ок"))))))))</f>
        <v/>
      </c>
    </row>
    <row r="57" spans="1:5" x14ac:dyDescent="0.3">
      <c r="A57" s="9"/>
      <c r="B57" s="10"/>
      <c r="C57" s="15"/>
      <c r="D57" s="15"/>
      <c r="E57" s="4" t="str">
        <f>IF(AND(A57="",B57="",C57="",D57=""),"",IF(OR(A57="",B57=""),"БЛОК: нужны и дата, и сумма",IF(B57&lt;=0,"БЛОК: сумма должна быть больше нуля",IF(D57="","БЛОК: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вас",IF(COUNTIF(Акты!$B$5:$B$16,D57)=0,"БЛОК: такого акта нет на листе «Акты» — добавьте акт или исправьте идентификатор",IF(NOT(ISNUMBER(INDEX(Акты!$E$5:$E$16,MATCH(D57,Акты!$B$5:$B$16,0)))),"БЛОК: у этого акта на листе «Акты» не указан первый день просрочки",IF(A57&lt;INDEX(Акты!$E$5:$E$16,MATCH(D57,Акты!$B$5:$B$16,0)),"БЛОК: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сюда",IF(A57&gt;Ввод!$B$4,"БЛОК: оплата после последнего дня расчёта — продлите расчёт или уберите строку","ок"))))))))</f>
        <v/>
      </c>
    </row>
    <row r="58" spans="1:5" x14ac:dyDescent="0.3">
      <c r="A58" s="9"/>
      <c r="B58" s="10"/>
      <c r="C58" s="15"/>
      <c r="D58" s="15"/>
      <c r="E58" s="4" t="str">
        <f>IF(AND(A58="",B58="",C58="",D58=""),"",IF(OR(A58="",B58=""),"БЛОК: нужны и дата, и сумма",IF(B58&lt;=0,"БЛОК: сумма должна быть больше нуля",IF(D58="","БЛОК: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вас",IF(COUNTIF(Акты!$B$5:$B$16,D58)=0,"БЛОК: такого акта нет на листе «Акты» — добавьте акт или исправьте идентификатор",IF(NOT(ISNUMBER(INDEX(Акты!$E$5:$E$16,MATCH(D58,Акты!$B$5:$B$16,0)))),"БЛОК: у этого акта на листе «Акты» не указан первый день просрочки",IF(A58&lt;INDEX(Акты!$E$5:$E$16,MATCH(D58,Акты!$B$5:$B$16,0)),"БЛОК: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сюда",IF(A58&gt;Ввод!$B$4,"БЛОК: оплата после последнего дня расчёта — продлите расчёт или уберите строку","ок"))))))))</f>
        <v/>
      </c>
    </row>
    <row r="59" spans="1:5" x14ac:dyDescent="0.3">
      <c r="A59" s="9"/>
      <c r="B59" s="10"/>
      <c r="C59" s="15"/>
      <c r="D59" s="15"/>
      <c r="E59" s="4" t="str">
        <f>IF(AND(A59="",B59="",C59="",D59=""),"",IF(OR(A59="",B59=""),"БЛОК: нужны и дата, и сумма",IF(B59&lt;=0,"БЛОК: сумма должна быть больше нуля",IF(D59="","БЛОК: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вас",IF(COUNTIF(Акты!$B$5:$B$16,D59)=0,"БЛОК: такого акта нет на листе «Акты» — добавьте акт или исправьте идентификатор",IF(NOT(ISNUMBER(INDEX(Акты!$E$5:$E$16,MATCH(D59,Акты!$B$5:$B$16,0)))),"БЛОК: у этого акта на листе «Акты» не указан первый день просрочки",IF(A59&lt;INDEX(Акты!$E$5:$E$16,MATCH(D59,Акты!$B$5:$B$16,0)),"БЛОК: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сюда",IF(A59&gt;Ввод!$B$4,"БЛОК: оплата после последнего дня расчёта — продлите расчёт или уберите строку","ок"))))))))</f>
        <v/>
      </c>
    </row>
    <row r="60" spans="1:5" x14ac:dyDescent="0.3">
      <c r="A60" s="9"/>
      <c r="B60" s="10"/>
      <c r="C60" s="15"/>
      <c r="D60" s="15"/>
      <c r="E60" s="4" t="str">
        <f>IF(AND(A60="",B60="",C60="",D60=""),"",IF(OR(A60="",B60=""),"БЛОК: нужны и дата, и сумма",IF(B60&lt;=0,"БЛОК: сумма должна быть больше нуля",IF(D60="","БЛОК: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вас",IF(COUNTIF(Акты!$B$5:$B$16,D60)=0,"БЛОК: такого акта нет на листе «Акты» — добавьте акт или исправьте идентификатор",IF(NOT(ISNUMBER(INDEX(Акты!$E$5:$E$16,MATCH(D60,Акты!$B$5:$B$16,0)))),"БЛОК: у этого акта на листе «Акты» не указан первый день просрочки",IF(A60&lt;INDEX(Акты!$E$5:$E$16,MATCH(D60,Акты!$B$5:$B$16,0)),"БЛОК: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сюда",IF(A60&gt;Ввод!$B$4,"БЛОК: оплата после последнего дня расчёта — продлите расчёт или уберите строку","ок"))))))))</f>
        <v/>
      </c>
    </row>
    <row r="61" spans="1:5" x14ac:dyDescent="0.3">
      <c r="A61" s="9"/>
      <c r="B61" s="10"/>
      <c r="C61" s="15"/>
      <c r="D61" s="15"/>
      <c r="E61" s="4" t="str">
        <f>IF(AND(A61="",B61="",C61="",D61=""),"",IF(OR(A61="",B61=""),"БЛОК: нужны и дата, и сумма",IF(B61&lt;=0,"БЛОК: сумма должна быть больше нуля",IF(D61="","БЛОК: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вас",IF(COUNTIF(Акты!$B$5:$B$16,D61)=0,"БЛОК: такого акта нет на листе «Акты» — добавьте акт или исправьте идентификатор",IF(NOT(ISNUMBER(INDEX(Акты!$E$5:$E$16,MATCH(D61,Акты!$B$5:$B$16,0)))),"БЛОК: у этого акта на листе «Акты» не указан первый день просрочки",IF(A61&lt;INDEX(Акты!$E$5:$E$16,MATCH(D61,Акты!$B$5:$B$16,0)),"БЛОК: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сюда",IF(A61&gt;Ввод!$B$4,"БЛОК: оплата после последнего дня расчёта — продлите расчёт или уберите строку","ок"))))))))</f>
        <v/>
      </c>
    </row>
    <row r="62" spans="1:5" x14ac:dyDescent="0.3">
      <c r="A62" s="9"/>
      <c r="B62" s="10"/>
      <c r="C62" s="15"/>
      <c r="D62" s="15"/>
      <c r="E62" s="4" t="str">
        <f>IF(AND(A62="",B62="",C62="",D62=""),"",IF(OR(A62="",B62=""),"БЛОК: нужны и дата, и сумма",IF(B62&lt;=0,"БЛОК: сумма должна быть больше нуля",IF(D62="","БЛОК: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вас",IF(COUNTIF(Акты!$B$5:$B$16,D62)=0,"БЛОК: такого акта нет на листе «Акты» — добавьте акт или исправьте идентификатор",IF(NOT(ISNUMBER(INDEX(Акты!$E$5:$E$16,MATCH(D62,Акты!$B$5:$B$16,0)))),"БЛОК: у этого акта на листе «Акты» не указан первый день просрочки",IF(A62&lt;INDEX(Акты!$E$5:$E$16,MATCH(D62,Акты!$B$5:$B$16,0)),"БЛОК: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сюда",IF(A62&gt;Ввод!$B$4,"БЛОК: оплата после последнего дня расчёта — продлите расчёт или уберите строку","ок"))))))))</f>
        <v/>
      </c>
    </row>
    <row r="63" spans="1:5" x14ac:dyDescent="0.3">
      <c r="A63" s="9"/>
      <c r="B63" s="10"/>
      <c r="C63" s="15"/>
      <c r="D63" s="15"/>
      <c r="E63" s="4" t="str">
        <f>IF(AND(A63="",B63="",C63="",D63=""),"",IF(OR(A63="",B63=""),"БЛОК: нужны и дата, и сумма",IF(B63&lt;=0,"БЛОК: сумма должна быть больше нуля",IF(D63="","БЛОК: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вас",IF(COUNTIF(Акты!$B$5:$B$16,D63)=0,"БЛОК: такого акта нет на листе «Акты» — добавьте акт или исправьте идентификатор",IF(NOT(ISNUMBER(INDEX(Акты!$E$5:$E$16,MATCH(D63,Акты!$B$5:$B$16,0)))),"БЛОК: у этого акта на листе «Акты» не указан первый день просрочки",IF(A63&lt;INDEX(Акты!$E$5:$E$16,MATCH(D63,Акты!$B$5:$B$16,0)),"БЛОК: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сюда",IF(A63&gt;Ввод!$B$4,"БЛОК: оплата после последнего дня расчёта — продлите расчёт или уберите строку","ок"))))))))</f>
        <v/>
      </c>
    </row>
    <row r="64" spans="1:5" x14ac:dyDescent="0.3">
      <c r="A64" s="9"/>
      <c r="B64" s="10"/>
      <c r="C64" s="15"/>
      <c r="D64" s="15"/>
      <c r="E64" s="4" t="str">
        <f>IF(AND(A64="",B64="",C64="",D64=""),"",IF(OR(A64="",B64=""),"БЛОК: нужны и дата, и сумма",IF(B64&lt;=0,"БЛОК: сумма должна быть больше нуля",IF(D64="","БЛОК: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вас",IF(COUNTIF(Акты!$B$5:$B$16,D64)=0,"БЛОК: такого акта нет на листе «Акты» — добавьте акт или исправьте идентификатор",IF(NOT(ISNUMBER(INDEX(Акты!$E$5:$E$16,MATCH(D64,Акты!$B$5:$B$16,0)))),"БЛОК: у этого акта на листе «Акты» не указан первый день просрочки",IF(A64&lt;INDEX(Акты!$E$5:$E$16,MATCH(D64,Акты!$B$5:$B$16,0)),"БЛОК: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сюда",IF(A64&gt;Ввод!$B$4,"БЛОК: оплата после последнего дня расчёта — продлите расчёт или уберите строку","ок"))))))))</f>
        <v/>
      </c>
    </row>
    <row r="65" spans="1:5" x14ac:dyDescent="0.3">
      <c r="A65" s="9"/>
      <c r="B65" s="10"/>
      <c r="C65" s="15"/>
      <c r="D65" s="15"/>
      <c r="E65" s="4" t="str">
        <f>IF(AND(A65="",B65="",C65="",D65=""),"",IF(OR(A65="",B65=""),"БЛОК: нужны и дата, и сумма",IF(B65&lt;=0,"БЛОК: сумма должна быть больше нуля",IF(D65="","БЛОК: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вас",IF(COUNTIF(Акты!$B$5:$B$16,D65)=0,"БЛОК: такого акта нет на листе «Акты» — добавьте акт или исправьте идентификатор",IF(NOT(ISNUMBER(INDEX(Акты!$E$5:$E$16,MATCH(D65,Акты!$B$5:$B$16,0)))),"БЛОК: у этого акта на листе «Акты» не указан первый день просрочки",IF(A65&lt;INDEX(Акты!$E$5:$E$16,MATCH(D65,Акты!$B$5:$B$16,0)),"БЛОК: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сюда",IF(A65&gt;Ввод!$B$4,"БЛОК: оплата после последнего дня расчёта — продлите расчёт или уберите строку","ок"))))))))</f>
        <v/>
      </c>
    </row>
    <row r="66" spans="1:5" x14ac:dyDescent="0.3">
      <c r="A66" s="9"/>
      <c r="B66" s="10"/>
      <c r="C66" s="15"/>
      <c r="D66" s="15"/>
      <c r="E66" s="4" t="str">
        <f>IF(AND(A66="",B66="",C66="",D66=""),"",IF(OR(A66="",B66=""),"БЛОК: нужны и дата, и сумма",IF(B66&lt;=0,"БЛОК: сумма должна быть больше нуля",IF(D66="","БЛОК: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вас",IF(COUNTIF(Акты!$B$5:$B$16,D66)=0,"БЛОК: такого акта нет на листе «Акты» — добавьте акт или исправьте идентификатор",IF(NOT(ISNUMBER(INDEX(Акты!$E$5:$E$16,MATCH(D66,Акты!$B$5:$B$16,0)))),"БЛОК: у этого акта на листе «Акты» не указан первый день просрочки",IF(A66&lt;INDEX(Акты!$E$5:$E$16,MATCH(D66,Акты!$B$5:$B$16,0)),"БЛОК: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сюда",IF(A66&gt;Ввод!$B$4,"БЛОК: оплата после последнего дня расчёта — продлите расчёт или уберите строку","ок"))))))))</f>
        <v/>
      </c>
    </row>
    <row r="67" spans="1:5" x14ac:dyDescent="0.3">
      <c r="A67" s="9"/>
      <c r="B67" s="10"/>
      <c r="C67" s="15"/>
      <c r="D67" s="15"/>
      <c r="E67" s="4" t="str">
        <f>IF(AND(A67="",B67="",C67="",D67=""),"",IF(OR(A67="",B67=""),"БЛОК: нужны и дата, и сумма",IF(B67&lt;=0,"БЛОК: сумма должна быть больше нуля",IF(D67="","БЛОК: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вас",IF(COUNTIF(Акты!$B$5:$B$16,D67)=0,"БЛОК: такого акта нет на листе «Акты» — добавьте акт или исправьте идентификатор",IF(NOT(ISNUMBER(INDEX(Акты!$E$5:$E$16,MATCH(D67,Акты!$B$5:$B$16,0)))),"БЛОК: у этого акта на листе «Акты» не указан первый день просрочки",IF(A67&lt;INDEX(Акты!$E$5:$E$16,MATCH(D67,Акты!$B$5:$B$16,0)),"БЛОК: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сюда",IF(A67&gt;Ввод!$B$4,"БЛОК: оплата после последнего дня расчёта — продлите расчёт или уберите строку","ок"))))))))</f>
        <v/>
      </c>
    </row>
    <row r="68" spans="1:5" x14ac:dyDescent="0.3">
      <c r="A68" s="9"/>
      <c r="B68" s="10"/>
      <c r="C68" s="15"/>
      <c r="D68" s="15"/>
      <c r="E68" s="4" t="str">
        <f>IF(AND(A68="",B68="",C68="",D68=""),"",IF(OR(A68="",B68=""),"БЛОК: нужны и дата, и сумма",IF(B68&lt;=0,"БЛОК: сумма должна быть больше нуля",IF(D68="","БЛОК: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вас",IF(COUNTIF(Акты!$B$5:$B$16,D68)=0,"БЛОК: такого акта нет на листе «Акты» — добавьте акт или исправьте идентификатор",IF(NOT(ISNUMBER(INDEX(Акты!$E$5:$E$16,MATCH(D68,Акты!$B$5:$B$16,0)))),"БЛОК: у этого акта на листе «Акты» не указан первый день просрочки",IF(A68&lt;INDEX(Акты!$E$5:$E$16,MATCH(D68,Акты!$B$5:$B$16,0)),"БЛОК: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сюда",IF(A68&gt;Ввод!$B$4,"БЛОК: оплата после последнего дня расчёта — продлите расчёт или уберите строку","ок"))))))))</f>
        <v/>
      </c>
    </row>
    <row r="69" spans="1:5" x14ac:dyDescent="0.3">
      <c r="A69" s="9"/>
      <c r="B69" s="10"/>
      <c r="C69" s="15"/>
      <c r="D69" s="15"/>
      <c r="E69" s="4" t="str">
        <f>IF(AND(A69="",B69="",C69="",D69=""),"",IF(OR(A69="",B69=""),"БЛОК: нужны и дата, и сумма",IF(B69&lt;=0,"БЛОК: сумма должна быть больше нуля",IF(D69="","БЛОК: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вас",IF(COUNTIF(Акты!$B$5:$B$16,D69)=0,"БЛОК: такого акта нет на листе «Акты» — добавьте акт или исправьте идентификатор",IF(NOT(ISNUMBER(INDEX(Акты!$E$5:$E$16,MATCH(D69,Акты!$B$5:$B$16,0)))),"БЛОК: у этого акта на листе «Акты» не указан первый день просрочки",IF(A69&lt;INDEX(Акты!$E$5:$E$16,MATCH(D69,Акты!$B$5:$B$16,0)),"БЛОК: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сюда",IF(A69&gt;Ввод!$B$4,"БЛОК: оплата после последнего дня расчёта — продлите расчёт или уберите строку","ок"))))))))</f>
        <v/>
      </c>
    </row>
    <row r="70" spans="1:5" x14ac:dyDescent="0.3">
      <c r="A70" s="9"/>
      <c r="B70" s="10"/>
      <c r="C70" s="15"/>
      <c r="D70" s="15"/>
      <c r="E70" s="4" t="str">
        <f>IF(AND(A70="",B70="",C70="",D70=""),"",IF(OR(A70="",B70=""),"БЛОК: нужны и дата, и сумма",IF(B70&lt;=0,"БЛОК: сумма должна быть больше нуля",IF(D70="","БЛОК: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вас",IF(COUNTIF(Акты!$B$5:$B$16,D70)=0,"БЛОК: такого акта нет на листе «Акты» — добавьте акт или исправьте идентификатор",IF(NOT(ISNUMBER(INDEX(Акты!$E$5:$E$16,MATCH(D70,Акты!$B$5:$B$16,0)))),"БЛОК: у этого акта на листе «Акты» не указан первый день просрочки",IF(A70&lt;INDEX(Акты!$E$5:$E$16,MATCH(D70,Акты!$B$5:$B$16,0)),"БЛОК: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сюда",IF(A70&gt;Ввод!$B$4,"БЛОК: оплата после последнего дня расчёта — продлите расчёт или уберите строку","ок"))))))))</f>
        <v/>
      </c>
    </row>
    <row r="71" spans="1:5" x14ac:dyDescent="0.3">
      <c r="A71" s="9"/>
      <c r="B71" s="10"/>
      <c r="C71" s="15"/>
      <c r="D71" s="15"/>
      <c r="E71" s="4" t="str">
        <f>IF(AND(A71="",B71="",C71="",D71=""),"",IF(OR(A71="",B71=""),"БЛОК: нужны и дата, и сумма",IF(B71&lt;=0,"БЛОК: сумма должна быть больше нуля",IF(D71="","БЛОК: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вас",IF(COUNTIF(Акты!$B$5:$B$16,D71)=0,"БЛОК: такого акта нет на листе «Акты» — добавьте акт или исправьте идентификатор",IF(NOT(ISNUMBER(INDEX(Акты!$E$5:$E$16,MATCH(D71,Акты!$B$5:$B$16,0)))),"БЛОК: у этого акта на листе «Акты» не указан первый день просрочки",IF(A71&lt;INDEX(Акты!$E$5:$E$16,MATCH(D71,Акты!$B$5:$B$16,0)),"БЛОК: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сюда",IF(A71&gt;Ввод!$B$4,"БЛОК: оплата после последнего дня расчёта — продлите расчёт или уберите строку","ок"))))))))</f>
        <v/>
      </c>
    </row>
    <row r="72" spans="1:5" x14ac:dyDescent="0.3">
      <c r="A72" s="9"/>
      <c r="B72" s="10"/>
      <c r="C72" s="15"/>
      <c r="D72" s="15"/>
      <c r="E72" s="4" t="str">
        <f>IF(AND(A72="",B72="",C72="",D72=""),"",IF(OR(A72="",B72=""),"БЛОК: нужны и дата, и сумма",IF(B72&lt;=0,"БЛОК: сумма должна быть больше нуля",IF(D72="","БЛОК: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вас",IF(COUNTIF(Акты!$B$5:$B$16,D72)=0,"БЛОК: такого акта нет на листе «Акты» — добавьте акт или исправьте идентификатор",IF(NOT(ISNUMBER(INDEX(Акты!$E$5:$E$16,MATCH(D72,Акты!$B$5:$B$16,0)))),"БЛОК: у этого акта на листе «Акты» не указан первый день просрочки",IF(A72&lt;INDEX(Акты!$E$5:$E$16,MATCH(D72,Акты!$B$5:$B$16,0)),"БЛОК: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сюда",IF(A72&gt;Ввод!$B$4,"БЛОК: оплата после последнего дня расчёта — продлите расчёт или уберите строку","ок"))))))))</f>
        <v/>
      </c>
    </row>
    <row r="73" spans="1:5" x14ac:dyDescent="0.3">
      <c r="A73" s="9"/>
      <c r="B73" s="10"/>
      <c r="C73" s="15"/>
      <c r="D73" s="15"/>
      <c r="E73" s="4" t="str">
        <f>IF(AND(A73="",B73="",C73="",D73=""),"",IF(OR(A73="",B73=""),"БЛОК: нужны и дата, и сумма",IF(B73&lt;=0,"БЛОК: сумма должна быть больше нуля",IF(D73="","БЛОК: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вас",IF(COUNTIF(Акты!$B$5:$B$16,D73)=0,"БЛОК: такого акта нет на листе «Акты» — добавьте акт или исправьте идентификатор",IF(NOT(ISNUMBER(INDEX(Акты!$E$5:$E$16,MATCH(D73,Акты!$B$5:$B$16,0)))),"БЛОК: у этого акта на листе «Акты» не указан первый день просрочки",IF(A73&lt;INDEX(Акты!$E$5:$E$16,MATCH(D73,Акты!$B$5:$B$16,0)),"БЛОК: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сюда",IF(A73&gt;Ввод!$B$4,"БЛОК: оплата после последнего дня расчёта — продлите расчёт или уберите строку","ок"))))))))</f>
        <v/>
      </c>
    </row>
    <row r="74" spans="1:5" x14ac:dyDescent="0.3">
      <c r="A74" s="9"/>
      <c r="B74" s="10"/>
      <c r="C74" s="15"/>
      <c r="D74" s="15"/>
      <c r="E74" s="4" t="str">
        <f>IF(AND(A74="",B74="",C74="",D74=""),"",IF(OR(A74="",B74=""),"БЛОК: нужны и дата, и сумма",IF(B74&lt;=0,"БЛОК: сумма должна быть больше нуля",IF(D74="","БЛОК: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вас",IF(COUNTIF(Акты!$B$5:$B$16,D74)=0,"БЛОК: такого акта нет на листе «Акты» — добавьте акт или исправьте идентификатор",IF(NOT(ISNUMBER(INDEX(Акты!$E$5:$E$16,MATCH(D74,Акты!$B$5:$B$16,0)))),"БЛОК: у этого акта на листе «Акты» не указан первый день просрочки",IF(A74&lt;INDEX(Акты!$E$5:$E$16,MATCH(D74,Акты!$B$5:$B$16,0)),"БЛОК: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сюда",IF(A74&gt;Ввод!$B$4,"БЛОК: оплата после последнего дня расчёта — продлите расчёт или уберите строку","ок"))))))))</f>
        <v/>
      </c>
    </row>
    <row r="75" spans="1:5" x14ac:dyDescent="0.3">
      <c r="A75" s="9"/>
      <c r="B75" s="10"/>
      <c r="C75" s="15"/>
      <c r="D75" s="15"/>
      <c r="E75" s="4" t="str">
        <f>IF(AND(A75="",B75="",C75="",D75=""),"",IF(OR(A75="",B75=""),"БЛОК: нужны и дата, и сумма",IF(B75&lt;=0,"БЛОК: сумма должна быть больше нуля",IF(D75="","БЛОК: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вас",IF(COUNTIF(Акты!$B$5:$B$16,D75)=0,"БЛОК: такого акта нет на листе «Акты» — добавьте акт или исправьте идентификатор",IF(NOT(ISNUMBER(INDEX(Акты!$E$5:$E$16,MATCH(D75,Акты!$B$5:$B$16,0)))),"БЛОК: у этого акта на листе «Акты» не указан первый день просрочки",IF(A75&lt;INDEX(Акты!$E$5:$E$16,MATCH(D75,Акты!$B$5:$B$16,0)),"БЛОК: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сюда",IF(A75&gt;Ввод!$B$4,"БЛОК: оплата после последнего дня расчёта — продлите расчёт или уберите строку","ок"))))))))</f>
        <v/>
      </c>
    </row>
    <row r="76" spans="1:5" x14ac:dyDescent="0.3">
      <c r="A76" s="9"/>
      <c r="B76" s="10"/>
      <c r="C76" s="15"/>
      <c r="D76" s="15"/>
      <c r="E76" s="4" t="str">
        <f>IF(AND(A76="",B76="",C76="",D76=""),"",IF(OR(A76="",B76=""),"БЛОК: нужны и дата, и сумма",IF(B76&lt;=0,"БЛОК: сумма должна быть больше нуля",IF(D76="","БЛОК: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вас",IF(COUNTIF(Акты!$B$5:$B$16,D76)=0,"БЛОК: такого акта нет на листе «Акты» — добавьте акт или исправьте идентификатор",IF(NOT(ISNUMBER(INDEX(Акты!$E$5:$E$16,MATCH(D76,Акты!$B$5:$B$16,0)))),"БЛОК: у этого акта на листе «Акты» не указан первый день просрочки",IF(A76&lt;INDEX(Акты!$E$5:$E$16,MATCH(D76,Акты!$B$5:$B$16,0)),"БЛОК: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сюда",IF(A76&gt;Ввод!$B$4,"БЛОК: оплата после последнего дня расчёта — продлите расчёт или уберите строку","ок"))))))))</f>
        <v/>
      </c>
    </row>
    <row r="77" spans="1:5" x14ac:dyDescent="0.3">
      <c r="A77" s="9"/>
      <c r="B77" s="10"/>
      <c r="C77" s="15"/>
      <c r="D77" s="15"/>
      <c r="E77" s="4" t="str">
        <f>IF(AND(A77="",B77="",C77="",D77=""),"",IF(OR(A77="",B77=""),"БЛОК: нужны и дата, и сумма",IF(B77&lt;=0,"БЛОК: сумма должна быть больше нуля",IF(D77="","БЛОК: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вас",IF(COUNTIF(Акты!$B$5:$B$16,D77)=0,"БЛОК: такого акта нет на листе «Акты» — добавьте акт или исправьте идентификатор",IF(NOT(ISNUMBER(INDEX(Акты!$E$5:$E$16,MATCH(D77,Акты!$B$5:$B$16,0)))),"БЛОК: у этого акта на листе «Акты» не указан первый день просрочки",IF(A77&lt;INDEX(Акты!$E$5:$E$16,MATCH(D77,Акты!$B$5:$B$16,0)),"БЛОК: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сюда",IF(A77&gt;Ввод!$B$4,"БЛОК: оплата после последнего дня расчёта — продлите расчёт или уберите строку","ок"))))))))</f>
        <v/>
      </c>
    </row>
    <row r="78" spans="1:5" x14ac:dyDescent="0.3">
      <c r="A78" s="9"/>
      <c r="B78" s="10"/>
      <c r="C78" s="15"/>
      <c r="D78" s="15"/>
      <c r="E78" s="4" t="str">
        <f>IF(AND(A78="",B78="",C78="",D78=""),"",IF(OR(A78="",B78=""),"БЛОК: нужны и дата, и сумма",IF(B78&lt;=0,"БЛОК: сумма должна быть больше нуля",IF(D78="","БЛОК: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вас",IF(COUNTIF(Акты!$B$5:$B$16,D78)=0,"БЛОК: такого акта нет на листе «Акты» — добавьте акт или исправьте идентификатор",IF(NOT(ISNUMBER(INDEX(Акты!$E$5:$E$16,MATCH(D78,Акты!$B$5:$B$16,0)))),"БЛОК: у этого акта на листе «Акты» не указан первый день просрочки",IF(A78&lt;INDEX(Акты!$E$5:$E$16,MATCH(D78,Акты!$B$5:$B$16,0)),"БЛОК: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сюда",IF(A78&gt;Ввод!$B$4,"БЛОК: оплата после последнего дня расчёта — продлите расчёт или уберите строку","ок"))))))))</f>
        <v/>
      </c>
    </row>
    <row r="79" spans="1:5" x14ac:dyDescent="0.3">
      <c r="A79" s="9"/>
      <c r="B79" s="10"/>
      <c r="C79" s="15"/>
      <c r="D79" s="15"/>
      <c r="E79" s="4" t="str">
        <f>IF(AND(A79="",B79="",C79="",D79=""),"",IF(OR(A79="",B79=""),"БЛОК: нужны и дата, и сумма",IF(B79&lt;=0,"БЛОК: сумма должна быть больше нуля",IF(D79="","БЛОК: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вас",IF(COUNTIF(Акты!$B$5:$B$16,D79)=0,"БЛОК: такого акта нет на листе «Акты» — добавьте акт или исправьте идентификатор",IF(NOT(ISNUMBER(INDEX(Акты!$E$5:$E$16,MATCH(D79,Акты!$B$5:$B$16,0)))),"БЛОК: у этого акта на листе «Акты» не указан первый день просрочки",IF(A79&lt;INDEX(Акты!$E$5:$E$16,MATCH(D79,Акты!$B$5:$B$16,0)),"БЛОК: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сюда",IF(A79&gt;Ввод!$B$4,"БЛОК: оплата после последнего дня расчёта — продлите расчёт или уберите строку","ок"))))))))</f>
        <v/>
      </c>
    </row>
    <row r="80" spans="1:5" x14ac:dyDescent="0.3">
      <c r="A80" s="9"/>
      <c r="B80" s="10"/>
      <c r="C80" s="15"/>
      <c r="D80" s="15"/>
      <c r="E80" s="4" t="str">
        <f>IF(AND(A80="",B80="",C80="",D80=""),"",IF(OR(A80="",B80=""),"БЛОК: нужны и дата, и сумма",IF(B80&lt;=0,"БЛОК: сумма должна быть больше нуля",IF(D80="","БЛОК: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вас",IF(COUNTIF(Акты!$B$5:$B$16,D80)=0,"БЛОК: такого акта нет на листе «Акты» — добавьте акт или исправьте идентификатор",IF(NOT(ISNUMBER(INDEX(Акты!$E$5:$E$16,MATCH(D80,Акты!$B$5:$B$16,0)))),"БЛОК: у этого акта на листе «Акты» не указан первый день просрочки",IF(A80&lt;INDEX(Акты!$E$5:$E$16,MATCH(D80,Акты!$B$5:$B$16,0)),"БЛОК: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сюда",IF(A80&gt;Ввод!$B$4,"БЛОК: оплата после последнего дня расчёта — продлите расчёт или уберите строку","ок"))))))))</f>
        <v/>
      </c>
    </row>
    <row r="81" spans="1:5" x14ac:dyDescent="0.3">
      <c r="A81" s="9"/>
      <c r="B81" s="10"/>
      <c r="C81" s="15"/>
      <c r="D81" s="15"/>
      <c r="E81" s="4" t="str">
        <f>IF(AND(A81="",B81="",C81="",D81=""),"",IF(OR(A81="",B81=""),"БЛОК: нужны и дата, и сумма",IF(B81&lt;=0,"БЛОК: сумма должна быть больше нуля",IF(D81="","БЛОК: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вас",IF(COUNTIF(Акты!$B$5:$B$16,D81)=0,"БЛОК: такого акта нет на листе «Акты» — добавьте акт или исправьте идентификатор",IF(NOT(ISNUMBER(INDEX(Акты!$E$5:$E$16,MATCH(D81,Акты!$B$5:$B$16,0)))),"БЛОК: у этого акта на листе «Акты» не указан первый день просрочки",IF(A81&lt;INDEX(Акты!$E$5:$E$16,MATCH(D81,Акты!$B$5:$B$16,0)),"БЛОК: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сюда",IF(A81&gt;Ввод!$B$4,"БЛОК: оплата после последнего дня расчёта — продлите расчёт или уберите строку","ок"))))))))</f>
        <v/>
      </c>
    </row>
    <row r="82" spans="1:5" x14ac:dyDescent="0.3">
      <c r="A82" s="9"/>
      <c r="B82" s="10"/>
      <c r="C82" s="15"/>
      <c r="D82" s="15"/>
      <c r="E82" s="4" t="str">
        <f>IF(AND(A82="",B82="",C82="",D82=""),"",IF(OR(A82="",B82=""),"БЛОК: нужны и дата, и сумма",IF(B82&lt;=0,"БЛОК: сумма должна быть больше нуля",IF(D82="","БЛОК: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вас",IF(COUNTIF(Акты!$B$5:$B$16,D82)=0,"БЛОК: такого акта нет на листе «Акты» — добавьте акт или исправьте идентификатор",IF(NOT(ISNUMBER(INDEX(Акты!$E$5:$E$16,MATCH(D82,Акты!$B$5:$B$16,0)))),"БЛОК: у этого акта на листе «Акты» не указан первый день просрочки",IF(A82&lt;INDEX(Акты!$E$5:$E$16,MATCH(D82,Акты!$B$5:$B$16,0)),"БЛОК: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сюда",IF(A82&gt;Ввод!$B$4,"БЛОК: оплата после последнего дня расчёта — продлите расчёт или уберите строку","ок"))))))))</f>
        <v/>
      </c>
    </row>
    <row r="83" spans="1:5" x14ac:dyDescent="0.3">
      <c r="A83" s="9"/>
      <c r="B83" s="10"/>
      <c r="C83" s="15"/>
      <c r="D83" s="15"/>
      <c r="E83" s="4" t="str">
        <f>IF(AND(A83="",B83="",C83="",D83=""),"",IF(OR(A83="",B83=""),"БЛОК: нужны и дата, и сумма",IF(B83&lt;=0,"БЛОК: сумма должна быть больше нуля",IF(D83="","БЛОК: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вас",IF(COUNTIF(Акты!$B$5:$B$16,D83)=0,"БЛОК: такого акта нет на листе «Акты» — добавьте акт или исправьте идентификатор",IF(NOT(ISNUMBER(INDEX(Акты!$E$5:$E$16,MATCH(D83,Акты!$B$5:$B$16,0)))),"БЛОК: у этого акта на листе «Акты» не указан первый день просрочки",IF(A83&lt;INDEX(Акты!$E$5:$E$16,MATCH(D83,Акты!$B$5:$B$16,0)),"БЛОК: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сюда",IF(A83&gt;Ввод!$B$4,"БЛОК: оплата после последнего дня расчёта — продлите расчёт или уберите строку","ок"))))))))</f>
        <v/>
      </c>
    </row>
    <row r="84" spans="1:5" x14ac:dyDescent="0.3">
      <c r="A84" s="9"/>
      <c r="B84" s="10"/>
      <c r="C84" s="15"/>
      <c r="D84" s="15"/>
      <c r="E84" s="4" t="str">
        <f>IF(AND(A84="",B84="",C84="",D84=""),"",IF(OR(A84="",B84=""),"БЛОК: нужны и дата, и сумма",IF(B84&lt;=0,"БЛОК: сумма должна быть больше нуля",IF(D84="","БЛОК: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вас",IF(COUNTIF(Акты!$B$5:$B$16,D84)=0,"БЛОК: такого акта нет на листе «Акты» — добавьте акт или исправьте идентификатор",IF(NOT(ISNUMBER(INDEX(Акты!$E$5:$E$16,MATCH(D84,Акты!$B$5:$B$16,0)))),"БЛОК: у этого акта на листе «Акты» не указан первый день просрочки",IF(A84&lt;INDEX(Акты!$E$5:$E$16,MATCH(D84,Акты!$B$5:$B$16,0)),"БЛОК: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сюда",IF(A84&gt;Ввод!$B$4,"БЛОК: оплата после последнего дня расчёта — продлите расчёт или уберите строку","ок"))))))))</f>
        <v/>
      </c>
    </row>
    <row r="85" spans="1:5" x14ac:dyDescent="0.3">
      <c r="A85" s="9"/>
      <c r="B85" s="10"/>
      <c r="C85" s="15"/>
      <c r="D85" s="15"/>
      <c r="E85" s="4" t="str">
        <f>IF(AND(A85="",B85="",C85="",D85=""),"",IF(OR(A85="",B85=""),"БЛОК: нужны и дата, и сумма",IF(B85&lt;=0,"БЛОК: сумма должна быть больше нуля",IF(D85="","БЛОК: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вас",IF(COUNTIF(Акты!$B$5:$B$16,D85)=0,"БЛОК: такого акта нет на листе «Акты» — добавьте акт или исправьте идентификатор",IF(NOT(ISNUMBER(INDEX(Акты!$E$5:$E$16,MATCH(D85,Акты!$B$5:$B$16,0)))),"БЛОК: у этого акта на листе «Акты» не указан первый день просрочки",IF(A85&lt;INDEX(Акты!$E$5:$E$16,MATCH(D85,Акты!$B$5:$B$16,0)),"БЛОК: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сюда",IF(A85&gt;Ввод!$B$4,"БЛОК: оплата после последнего дня расчёта — продлите расчёт или уберите строку","ок"))))))))</f>
        <v/>
      </c>
    </row>
    <row r="86" spans="1:5" x14ac:dyDescent="0.3">
      <c r="A86" s="9"/>
      <c r="B86" s="10"/>
      <c r="C86" s="15"/>
      <c r="D86" s="15"/>
      <c r="E86" s="4" t="str">
        <f>IF(AND(A86="",B86="",C86="",D86=""),"",IF(OR(A86="",B86=""),"БЛОК: нужны и дата, и сумма",IF(B86&lt;=0,"БЛОК: сумма должна быть больше нуля",IF(D86="","БЛОК: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вас",IF(COUNTIF(Акты!$B$5:$B$16,D86)=0,"БЛОК: такого акта нет на листе «Акты» — добавьте акт или исправьте идентификатор",IF(NOT(ISNUMBER(INDEX(Акты!$E$5:$E$16,MATCH(D86,Акты!$B$5:$B$16,0)))),"БЛОК: у этого акта на листе «Акты» не указан первый день просрочки",IF(A86&lt;INDEX(Акты!$E$5:$E$16,MATCH(D86,Акты!$B$5:$B$16,0)),"БЛОК: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сюда",IF(A86&gt;Ввод!$B$4,"БЛОК: оплата после последнего дня расчёта — продлите расчёт или уберите строку","ок"))))))))</f>
        <v/>
      </c>
    </row>
    <row r="87" spans="1:5" x14ac:dyDescent="0.3">
      <c r="A87" s="9"/>
      <c r="B87" s="10"/>
      <c r="C87" s="15"/>
      <c r="D87" s="15"/>
      <c r="E87" s="4" t="str">
        <f>IF(AND(A87="",B87="",C87="",D87=""),"",IF(OR(A87="",B87=""),"БЛОК: нужны и дата, и сумма",IF(B87&lt;=0,"БЛОК: сумма должна быть больше нуля",IF(D87="","БЛОК: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вас",IF(COUNTIF(Акты!$B$5:$B$16,D87)=0,"БЛОК: такого акта нет на листе «Акты» — добавьте акт или исправьте идентификатор",IF(NOT(ISNUMBER(INDEX(Акты!$E$5:$E$16,MATCH(D87,Акты!$B$5:$B$16,0)))),"БЛОК: у этого акта на листе «Акты» не указан первый день просрочки",IF(A87&lt;INDEX(Акты!$E$5:$E$16,MATCH(D87,Акты!$B$5:$B$16,0)),"БЛОК: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сюда",IF(A87&gt;Ввод!$B$4,"БЛОК: оплата после последнего дня расчёта — продлите расчёт или уберите строку","ок"))))))))</f>
        <v/>
      </c>
    </row>
    <row r="88" spans="1:5" x14ac:dyDescent="0.3">
      <c r="A88" s="9"/>
      <c r="B88" s="10"/>
      <c r="C88" s="15"/>
      <c r="D88" s="15"/>
      <c r="E88" s="4" t="str">
        <f>IF(AND(A88="",B88="",C88="",D88=""),"",IF(OR(A88="",B88=""),"БЛОК: нужны и дата, и сумма",IF(B88&lt;=0,"БЛОК: сумма должна быть больше нуля",IF(D88="","БЛОК: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вас",IF(COUNTIF(Акты!$B$5:$B$16,D88)=0,"БЛОК: такого акта нет на листе «Акты» — добавьте акт или исправьте идентификатор",IF(NOT(ISNUMBER(INDEX(Акты!$E$5:$E$16,MATCH(D88,Акты!$B$5:$B$16,0)))),"БЛОК: у этого акта на листе «Акты» не указан первый день просрочки",IF(A88&lt;INDEX(Акты!$E$5:$E$16,MATCH(D88,Акты!$B$5:$B$16,0)),"БЛОК: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сюда",IF(A88&gt;Ввод!$B$4,"БЛОК: оплата после последнего дня расчёта — продлите расчёт или уберите строку","ок"))))))))</f>
        <v/>
      </c>
    </row>
    <row r="89" spans="1:5" x14ac:dyDescent="0.3">
      <c r="A89" s="9"/>
      <c r="B89" s="10"/>
      <c r="C89" s="15"/>
      <c r="D89" s="15"/>
      <c r="E89" s="4" t="str">
        <f>IF(AND(A89="",B89="",C89="",D89=""),"",IF(OR(A89="",B89=""),"БЛОК: нужны и дата, и сумма",IF(B89&lt;=0,"БЛОК: сумма должна быть больше нуля",IF(D89="","БЛОК: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вас",IF(COUNTIF(Акты!$B$5:$B$16,D89)=0,"БЛОК: такого акта нет на листе «Акты» — добавьте акт или исправьте идентификатор",IF(NOT(ISNUMBER(INDEX(Акты!$E$5:$E$16,MATCH(D89,Акты!$B$5:$B$16,0)))),"БЛОК: у этого акта на листе «Акты» не указан первый день просрочки",IF(A89&lt;INDEX(Акты!$E$5:$E$16,MATCH(D89,Акты!$B$5:$B$16,0)),"БЛОК: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сюда",IF(A89&gt;Ввод!$B$4,"БЛОК: оплата после последнего дня расчёта — продлите расчёт или уберите строку","ок"))))))))</f>
        <v/>
      </c>
    </row>
    <row r="90" spans="1:5" x14ac:dyDescent="0.3">
      <c r="A90" s="9"/>
      <c r="B90" s="10"/>
      <c r="C90" s="15"/>
      <c r="D90" s="15"/>
      <c r="E90" s="4" t="str">
        <f>IF(AND(A90="",B90="",C90="",D90=""),"",IF(OR(A90="",B90=""),"БЛОК: нужны и дата, и сумма",IF(B90&lt;=0,"БЛОК: сумма должна быть больше нуля",IF(D90="","БЛОК: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вас",IF(COUNTIF(Акты!$B$5:$B$16,D90)=0,"БЛОК: такого акта нет на листе «Акты» — добавьте акт или исправьте идентификатор",IF(NOT(ISNUMBER(INDEX(Акты!$E$5:$E$16,MATCH(D90,Акты!$B$5:$B$16,0)))),"БЛОК: у этого акта на листе «Акты» не указан первый день просрочки",IF(A90&lt;INDEX(Акты!$E$5:$E$16,MATCH(D90,Акты!$B$5:$B$16,0)),"БЛОК: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сюда",IF(A90&gt;Ввод!$B$4,"БЛОК: оплата после последнего дня расчёта — продлите расчёт или уберите строку","ок"))))))))</f>
        <v/>
      </c>
    </row>
    <row r="91" spans="1:5" x14ac:dyDescent="0.3">
      <c r="A91" s="9"/>
      <c r="B91" s="10"/>
      <c r="C91" s="15"/>
      <c r="D91" s="15"/>
      <c r="E91" s="4" t="str">
        <f>IF(AND(A91="",B91="",C91="",D91=""),"",IF(OR(A91="",B91=""),"БЛОК: нужны и дата, и сумма",IF(B91&lt;=0,"БЛОК: сумма должна быть больше нуля",IF(D91="","БЛОК: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вас",IF(COUNTIF(Акты!$B$5:$B$16,D91)=0,"БЛОК: такого акта нет на листе «Акты» — добавьте акт или исправьте идентификатор",IF(NOT(ISNUMBER(INDEX(Акты!$E$5:$E$16,MATCH(D91,Акты!$B$5:$B$16,0)))),"БЛОК: у этого акта на листе «Акты» не указан первый день просрочки",IF(A91&lt;INDEX(Акты!$E$5:$E$16,MATCH(D91,Акты!$B$5:$B$16,0)),"БЛОК: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сюда",IF(A91&gt;Ввод!$B$4,"БЛОК: оплата после последнего дня расчёта — продлите расчёт или уберите строку","ок"))))))))</f>
        <v/>
      </c>
    </row>
    <row r="92" spans="1:5" x14ac:dyDescent="0.3">
      <c r="A92" s="9"/>
      <c r="B92" s="10"/>
      <c r="C92" s="15"/>
      <c r="D92" s="15"/>
      <c r="E92" s="4" t="str">
        <f>IF(AND(A92="",B92="",C92="",D92=""),"",IF(OR(A92="",B92=""),"БЛОК: нужны и дата, и сумма",IF(B92&lt;=0,"БЛОК: сумма должна быть больше нуля",IF(D92="","БЛОК: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вас",IF(COUNTIF(Акты!$B$5:$B$16,D92)=0,"БЛОК: такого акта нет на листе «Акты» — добавьте акт или исправьте идентификатор",IF(NOT(ISNUMBER(INDEX(Акты!$E$5:$E$16,MATCH(D92,Акты!$B$5:$B$16,0)))),"БЛОК: у этого акта на листе «Акты» не указан первый день просрочки",IF(A92&lt;INDEX(Акты!$E$5:$E$16,MATCH(D92,Акты!$B$5:$B$16,0)),"БЛОК: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сюда",IF(A92&gt;Ввод!$B$4,"БЛОК: оплата после последнего дня расчёта — продлите расчёт или уберите строку","ок"))))))))</f>
        <v/>
      </c>
    </row>
    <row r="93" spans="1:5" x14ac:dyDescent="0.3">
      <c r="A93" s="9"/>
      <c r="B93" s="10"/>
      <c r="C93" s="15"/>
      <c r="D93" s="15"/>
      <c r="E93" s="4" t="str">
        <f>IF(AND(A93="",B93="",C93="",D93=""),"",IF(OR(A93="",B93=""),"БЛОК: нужны и дата, и сумма",IF(B93&lt;=0,"БЛОК: сумма должна быть больше нуля",IF(D93="","БЛОК: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вас",IF(COUNTIF(Акты!$B$5:$B$16,D93)=0,"БЛОК: такого акта нет на листе «Акты» — добавьте акт или исправьте идентификатор",IF(NOT(ISNUMBER(INDEX(Акты!$E$5:$E$16,MATCH(D93,Акты!$B$5:$B$16,0)))),"БЛОК: у этого акта на листе «Акты» не указан первый день просрочки",IF(A93&lt;INDEX(Акты!$E$5:$E$16,MATCH(D93,Акты!$B$5:$B$16,0)),"БЛОК: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сюда",IF(A93&gt;Ввод!$B$4,"БЛОК: оплата после последнего дня расчёта — продлите расчёт или уберите строку","ок"))))))))</f>
        <v/>
      </c>
    </row>
    <row r="94" spans="1:5" x14ac:dyDescent="0.3">
      <c r="A94" s="9"/>
      <c r="B94" s="10"/>
      <c r="C94" s="15"/>
      <c r="D94" s="15"/>
      <c r="E94" s="4" t="str">
        <f>IF(AND(A94="",B94="",C94="",D94=""),"",IF(OR(A94="",B94=""),"БЛОК: нужны и дата, и сумма",IF(B94&lt;=0,"БЛОК: сумма должна быть больше нуля",IF(D94="","БЛОК: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вас",IF(COUNTIF(Акты!$B$5:$B$16,D94)=0,"БЛОК: такого акта нет на листе «Акты» — добавьте акт или исправьте идентификатор",IF(NOT(ISNUMBER(INDEX(Акты!$E$5:$E$16,MATCH(D94,Акты!$B$5:$B$16,0)))),"БЛОК: у этого акта на листе «Акты» не указан первый день просрочки",IF(A94&lt;INDEX(Акты!$E$5:$E$16,MATCH(D94,Акты!$B$5:$B$16,0)),"БЛОК: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сюда",IF(A94&gt;Ввод!$B$4,"БЛОК: оплата после последнего дня расчёта — продлите расчёт или уберите строку","ок"))))))))</f>
        <v/>
      </c>
    </row>
    <row r="95" spans="1:5" x14ac:dyDescent="0.3">
      <c r="A95" s="9"/>
      <c r="B95" s="10"/>
      <c r="C95" s="15"/>
      <c r="D95" s="15"/>
      <c r="E95" s="4" t="str">
        <f>IF(AND(A95="",B95="",C95="",D95=""),"",IF(OR(A95="",B95=""),"БЛОК: нужны и дата, и сумма",IF(B95&lt;=0,"БЛОК: сумма должна быть больше нуля",IF(D95="","БЛОК: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вас",IF(COUNTIF(Акты!$B$5:$B$16,D95)=0,"БЛОК: такого акта нет на листе «Акты» — добавьте акт или исправьте идентификатор",IF(NOT(ISNUMBER(INDEX(Акты!$E$5:$E$16,MATCH(D95,Акты!$B$5:$B$16,0)))),"БЛОК: у этого акта на листе «Акты» не указан первый день просрочки",IF(A95&lt;INDEX(Акты!$E$5:$E$16,MATCH(D95,Акты!$B$5:$B$16,0)),"БЛОК: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сюда",IF(A95&gt;Ввод!$B$4,"БЛОК: оплата после последнего дня расчёта — продлите расчёт или уберите строку","ок"))))))))</f>
        <v/>
      </c>
    </row>
    <row r="96" spans="1:5" x14ac:dyDescent="0.3">
      <c r="A96" s="9"/>
      <c r="B96" s="10"/>
      <c r="C96" s="15"/>
      <c r="D96" s="15"/>
      <c r="E96" s="4" t="str">
        <f>IF(AND(A96="",B96="",C96="",D96=""),"",IF(OR(A96="",B96=""),"БЛОК: нужны и дата, и сумма",IF(B96&lt;=0,"БЛОК: сумма должна быть больше нуля",IF(D96="","БЛОК: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вас",IF(COUNTIF(Акты!$B$5:$B$16,D96)=0,"БЛОК: такого акта нет на листе «Акты» — добавьте акт или исправьте идентификатор",IF(NOT(ISNUMBER(INDEX(Акты!$E$5:$E$16,MATCH(D96,Акты!$B$5:$B$16,0)))),"БЛОК: у этого акта на листе «Акты» не указан первый день просрочки",IF(A96&lt;INDEX(Акты!$E$5:$E$16,MATCH(D96,Акты!$B$5:$B$16,0)),"БЛОК: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сюда",IF(A96&gt;Ввод!$B$4,"БЛОК: оплата после последнего дня расчёта — продлите расчёт или уберите строку","ок"))))))))</f>
        <v/>
      </c>
    </row>
    <row r="97" spans="1:5" x14ac:dyDescent="0.3">
      <c r="A97" s="9"/>
      <c r="B97" s="10"/>
      <c r="C97" s="15"/>
      <c r="D97" s="15"/>
      <c r="E97" s="4" t="str">
        <f>IF(AND(A97="",B97="",C97="",D97=""),"",IF(OR(A97="",B97=""),"БЛОК: нужны и дата, и сумма",IF(B97&lt;=0,"БЛОК: сумма должна быть больше нуля",IF(D97="","БЛОК: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вас",IF(COUNTIF(Акты!$B$5:$B$16,D97)=0,"БЛОК: такого акта нет на листе «Акты» — добавьте акт или исправьте идентификатор",IF(NOT(ISNUMBER(INDEX(Акты!$E$5:$E$16,MATCH(D97,Акты!$B$5:$B$16,0)))),"БЛОК: у этого акта на листе «Акты» не указан первый день просрочки",IF(A97&lt;INDEX(Акты!$E$5:$E$16,MATCH(D97,Акты!$B$5:$B$16,0)),"БЛОК: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сюда",IF(A97&gt;Ввод!$B$4,"БЛОК: оплата после последнего дня расчёта — продлите расчёт или уберите строку","ок"))))))))</f>
        <v/>
      </c>
    </row>
    <row r="98" spans="1:5" x14ac:dyDescent="0.3">
      <c r="A98" s="9"/>
      <c r="B98" s="10"/>
      <c r="C98" s="15"/>
      <c r="D98" s="15"/>
      <c r="E98" s="4" t="str">
        <f>IF(AND(A98="",B98="",C98="",D98=""),"",IF(OR(A98="",B98=""),"БЛОК: нужны и дата, и сумма",IF(B98&lt;=0,"БЛОК: сумма должна быть больше нуля",IF(D98="","БЛОК: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вас",IF(COUNTIF(Акты!$B$5:$B$16,D98)=0,"БЛОК: такого акта нет на листе «Акты» — добавьте акт или исправьте идентификатор",IF(NOT(ISNUMBER(INDEX(Акты!$E$5:$E$16,MATCH(D98,Акты!$B$5:$B$16,0)))),"БЛОК: у этого акта на листе «Акты» не указан первый день просрочки",IF(A98&lt;INDEX(Акты!$E$5:$E$16,MATCH(D98,Акты!$B$5:$B$16,0)),"БЛОК: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сюда",IF(A98&gt;Ввод!$B$4,"БЛОК: оплата после последнего дня расчёта — продлите расчёт или уберите строку","ок"))))))))</f>
        <v/>
      </c>
    </row>
    <row r="99" spans="1:5" x14ac:dyDescent="0.3">
      <c r="A99" s="9"/>
      <c r="B99" s="10"/>
      <c r="C99" s="15"/>
      <c r="D99" s="15"/>
      <c r="E99" s="4" t="str">
        <f>IF(AND(A99="",B99="",C99="",D99=""),"",IF(OR(A99="",B99=""),"БЛОК: нужны и дата, и сумма",IF(B99&lt;=0,"БЛОК: сумма должна быть больше нуля",IF(D99="","БЛОК: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вас",IF(COUNTIF(Акты!$B$5:$B$16,D99)=0,"БЛОК: такого акта нет на листе «Акты» — добавьте акт или исправьте идентификатор",IF(NOT(ISNUMBER(INDEX(Акты!$E$5:$E$16,MATCH(D99,Акты!$B$5:$B$16,0)))),"БЛОК: у этого акта на листе «Акты» не указан первый день просрочки",IF(A99&lt;INDEX(Акты!$E$5:$E$16,MATCH(D99,Акты!$B$5:$B$16,0)),"БЛОК: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сюда",IF(A99&gt;Ввод!$B$4,"БЛОК: оплата после последнего дня расчёта — продлите расчёт или уберите строку","ок"))))))))</f>
        <v/>
      </c>
    </row>
    <row r="100" spans="1:5" x14ac:dyDescent="0.3">
      <c r="A100" s="9"/>
      <c r="B100" s="10"/>
      <c r="C100" s="15"/>
      <c r="D100" s="15"/>
      <c r="E100" s="4" t="str">
        <f>IF(AND(A100="",B100="",C100="",D100=""),"",IF(OR(A100="",B100=""),"БЛОК: нужны и дата, и сумма",IF(B100&lt;=0,"БЛОК: сумма должна быть больше нуля",IF(D100="","БЛОК: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вас",IF(COUNTIF(Акты!$B$5:$B$16,D100)=0,"БЛОК: такого акта нет на листе «Акты» — добавьте акт или исправьте идентификатор",IF(NOT(ISNUMBER(INDEX(Акты!$E$5:$E$16,MATCH(D100,Акты!$B$5:$B$16,0)))),"БЛОК: у этого акта на листе «Акты» не указан первый день просрочки",IF(A100&lt;INDEX(Акты!$E$5:$E$16,MATCH(D100,Акты!$B$5:$B$16,0)),"БЛОК: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сюда",IF(A100&gt;Ввод!$B$4,"БЛОК: оплата после последнего дня расчёта — продлите расчёт или уберите строку","ок"))))))))</f>
        <v/>
      </c>
    </row>
    <row r="101" spans="1:5" x14ac:dyDescent="0.3">
      <c r="A101" s="9"/>
      <c r="B101" s="10"/>
      <c r="C101" s="15"/>
      <c r="D101" s="15"/>
      <c r="E101" s="4" t="str">
        <f>IF(AND(A101="",B101="",C101="",D101=""),"",IF(OR(A101="",B101=""),"БЛОК: нужны и дата, и сумма",IF(B101&lt;=0,"БЛОК: сумма должна быть больше нуля",IF(D101="","БЛОК: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вас",IF(COUNTIF(Акты!$B$5:$B$16,D101)=0,"БЛОК: такого акта нет на листе «Акты» — добавьте акт или исправьте идентификатор",IF(NOT(ISNUMBER(INDEX(Акты!$E$5:$E$16,MATCH(D101,Акты!$B$5:$B$16,0)))),"БЛОК: у этого акта на листе «Акты» не указан первый день просрочки",IF(A101&lt;INDEX(Акты!$E$5:$E$16,MATCH(D101,Акты!$B$5:$B$16,0)),"БЛОК: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сюда",IF(A101&gt;Ввод!$B$4,"БЛОК: оплата после последнего дня расчёта — продлите расчёт или уберите строку","ок"))))))))</f>
        <v/>
      </c>
    </row>
    <row r="102" spans="1:5" x14ac:dyDescent="0.3">
      <c r="A102" s="9"/>
      <c r="B102" s="10"/>
      <c r="C102" s="15"/>
      <c r="D102" s="15"/>
      <c r="E102" s="4" t="str">
        <f>IF(AND(A102="",B102="",C102="",D102=""),"",IF(OR(A102="",B102=""),"БЛОК: нужны и дата, и сумма",IF(B102&lt;=0,"БЛОК: сумма должна быть больше нуля",IF(D102="","БЛОК: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вас",IF(COUNTIF(Акты!$B$5:$B$16,D102)=0,"БЛОК: такого акта нет на листе «Акты» — добавьте акт или исправьте идентификатор",IF(NOT(ISNUMBER(INDEX(Акты!$E$5:$E$16,MATCH(D102,Акты!$B$5:$B$16,0)))),"БЛОК: у этого акта на листе «Акты» не указан первый день просрочки",IF(A102&lt;INDEX(Акты!$E$5:$E$16,MATCH(D102,Акты!$B$5:$B$16,0)),"БЛОК: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сюда",IF(A102&gt;Ввод!$B$4,"БЛОК: оплата после последнего дня расчёта — продлите расчёт или уберите строку","ок"))))))))</f>
        <v/>
      </c>
    </row>
    <row r="103" spans="1:5" x14ac:dyDescent="0.3">
      <c r="A103" s="9"/>
      <c r="B103" s="10"/>
      <c r="C103" s="15"/>
      <c r="D103" s="15"/>
      <c r="E103" s="4" t="str">
        <f>IF(AND(A103="",B103="",C103="",D103=""),"",IF(OR(A103="",B103=""),"БЛОК: нужны и дата, и сумма",IF(B103&lt;=0,"БЛОК: сумма должна быть больше нуля",IF(D103="","БЛОК: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вас",IF(COUNTIF(Акты!$B$5:$B$16,D103)=0,"БЛОК: такого акта нет на листе «Акты» — добавьте акт или исправьте идентификатор",IF(NOT(ISNUMBER(INDEX(Акты!$E$5:$E$16,MATCH(D103,Акты!$B$5:$B$16,0)))),"БЛОК: у этого акта на листе «Акты» не указан первый день просрочки",IF(A103&lt;INDEX(Акты!$E$5:$E$16,MATCH(D103,Акты!$B$5:$B$16,0)),"БЛОК: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сюда",IF(A103&gt;Ввод!$B$4,"БЛОК: оплата после последнего дня расчёта — продлите расчёт или уберите строку","ок"))))))))</f>
        <v/>
      </c>
    </row>
    <row r="104" spans="1:5" x14ac:dyDescent="0.3">
      <c r="A104" s="9"/>
      <c r="B104" s="10"/>
      <c r="C104" s="15"/>
      <c r="D104" s="15"/>
      <c r="E104" s="4" t="str">
        <f>IF(AND(A104="",B104="",C104="",D104=""),"",IF(OR(A104="",B104=""),"БЛОК: нужны и дата, и сумма",IF(B104&lt;=0,"БЛОК: сумма должна быть больше нуля",IF(D104="","БЛОК: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вас",IF(COUNTIF(Акты!$B$5:$B$16,D104)=0,"БЛОК: такого акта нет на листе «Акты» — добавьте акт или исправьте идентификатор",IF(NOT(ISNUMBER(INDEX(Акты!$E$5:$E$16,MATCH(D104,Акты!$B$5:$B$16,0)))),"БЛОК: у этого акта на листе «Акты» не указан первый день просрочки",IF(A104&lt;INDEX(Акты!$E$5:$E$16,MATCH(D104,Акты!$B$5:$B$16,0)),"БЛОК: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сюда",IF(A104&gt;Ввод!$B$4,"БЛОК: оплата после последнего дня расчёта — продлите расчёт или уберите строку","ок"))))))))</f>
        <v/>
      </c>
    </row>
    <row r="105" spans="1:5" x14ac:dyDescent="0.3">
      <c r="A105" s="9"/>
      <c r="B105" s="10"/>
      <c r="C105" s="15"/>
      <c r="D105" s="15"/>
      <c r="E105" s="4" t="str">
        <f>IF(AND(A105="",B105="",C105="",D105=""),"",IF(OR(A105="",B105=""),"БЛОК: нужны и дата, и сумма",IF(B105&lt;=0,"БЛОК: сумма должна быть больше нуля",IF(D105="","БЛОК: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вас",IF(COUNTIF(Акты!$B$5:$B$16,D105)=0,"БЛОК: такого акта нет на листе «Акты» — добавьте акт или исправьте идентификатор",IF(NOT(ISNUMBER(INDEX(Акты!$E$5:$E$16,MATCH(D105,Акты!$B$5:$B$16,0)))),"БЛОК: у этого акта на листе «Акты» не указан первый день просрочки",IF(A105&lt;INDEX(Акты!$E$5:$E$16,MATCH(D105,Акты!$B$5:$B$16,0)),"БЛОК: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сюда",IF(A105&gt;Ввод!$B$4,"БЛОК: оплата после последнего дня расчёта — продлите расчёт или уберите строку","ок"))))))))</f>
        <v/>
      </c>
    </row>
    <row r="106" spans="1:5" x14ac:dyDescent="0.3">
      <c r="A106" s="9"/>
      <c r="B106" s="10"/>
      <c r="C106" s="15"/>
      <c r="D106" s="15"/>
      <c r="E106" s="4" t="str">
        <f>IF(AND(A106="",B106="",C106="",D106=""),"",IF(OR(A106="",B106=""),"БЛОК: нужны и дата, и сумма",IF(B106&lt;=0,"БЛОК: сумма должна быть больше нуля",IF(D106="","БЛОК: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вас",IF(COUNTIF(Акты!$B$5:$B$16,D106)=0,"БЛОК: такого акта нет на листе «Акты» — добавьте акт или исправьте идентификатор",IF(NOT(ISNUMBER(INDEX(Акты!$E$5:$E$16,MATCH(D106,Акты!$B$5:$B$16,0)))),"БЛОК: у этого акта на листе «Акты» не указан первый день просрочки",IF(A106&lt;INDEX(Акты!$E$5:$E$16,MATCH(D106,Акты!$B$5:$B$16,0)),"БЛОК: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сюда",IF(A106&gt;Ввод!$B$4,"БЛОК: оплата после последнего дня расчёта — продлите расчёт или уберите строку","ок"))))))))</f>
        <v/>
      </c>
    </row>
    <row r="107" spans="1:5" x14ac:dyDescent="0.3">
      <c r="A107" s="9"/>
      <c r="B107" s="10"/>
      <c r="C107" s="15"/>
      <c r="D107" s="15"/>
      <c r="E107" s="4" t="str">
        <f>IF(AND(A107="",B107="",C107="",D107=""),"",IF(OR(A107="",B107=""),"БЛОК: нужны и дата, и сумма",IF(B107&lt;=0,"БЛОК: сумма должна быть больше нуля",IF(D107="","БЛОК: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вас",IF(COUNTIF(Акты!$B$5:$B$16,D107)=0,"БЛОК: такого акта нет на листе «Акты» — добавьте акт или исправьте идентификатор",IF(NOT(ISNUMBER(INDEX(Акты!$E$5:$E$16,MATCH(D107,Акты!$B$5:$B$16,0)))),"БЛОК: у этого акта на листе «Акты» не указан первый день просрочки",IF(A107&lt;INDEX(Акты!$E$5:$E$16,MATCH(D107,Акты!$B$5:$B$16,0)),"БЛОК: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сюда",IF(A107&gt;Ввод!$B$4,"БЛОК: оплата после последнего дня расчёта — продлите расчёт или уберите строку","ок"))))))))</f>
        <v/>
      </c>
    </row>
    <row r="108" spans="1:5" x14ac:dyDescent="0.3">
      <c r="A108" s="9"/>
      <c r="B108" s="10"/>
      <c r="C108" s="15"/>
      <c r="D108" s="15"/>
      <c r="E108" s="4" t="str">
        <f>IF(AND(A108="",B108="",C108="",D108=""),"",IF(OR(A108="",B108=""),"БЛОК: нужны и дата, и сумма",IF(B108&lt;=0,"БЛОК: сумма должна быть больше нуля",IF(D108="","БЛОК: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вас",IF(COUNTIF(Акты!$B$5:$B$16,D108)=0,"БЛОК: такого акта нет на листе «Акты» — добавьте акт или исправьте идентификатор",IF(NOT(ISNUMBER(INDEX(Акты!$E$5:$E$16,MATCH(D108,Акты!$B$5:$B$16,0)))),"БЛОК: у этого акта на листе «Акты» не указан первый день просрочки",IF(A108&lt;INDEX(Акты!$E$5:$E$16,MATCH(D108,Акты!$B$5:$B$16,0)),"БЛОК: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сюда",IF(A108&gt;Ввод!$B$4,"БЛОК: оплата после последнего дня расчёта — продлите расчёт или уберите строку","ок"))))))))</f>
        <v/>
      </c>
    </row>
    <row r="109" spans="1:5" x14ac:dyDescent="0.3">
      <c r="A109" s="9"/>
      <c r="B109" s="10"/>
      <c r="C109" s="15"/>
      <c r="D109" s="15"/>
      <c r="E109" s="4" t="str">
        <f>IF(AND(A109="",B109="",C109="",D109=""),"",IF(OR(A109="",B109=""),"БЛОК: нужны и дата, и сумма",IF(B109&lt;=0,"БЛОК: сумма должна быть больше нуля",IF(D109="","БЛОК: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вас",IF(COUNTIF(Акты!$B$5:$B$16,D109)=0,"БЛОК: такого акта нет на листе «Акты» — добавьте акт или исправьте идентификатор",IF(NOT(ISNUMBER(INDEX(Акты!$E$5:$E$16,MATCH(D109,Акты!$B$5:$B$16,0)))),"БЛОК: у этого акта на листе «Акты» не указан первый день просрочки",IF(A109&lt;INDEX(Акты!$E$5:$E$16,MATCH(D109,Акты!$B$5:$B$16,0)),"БЛОК: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сюда",IF(A109&gt;Ввод!$B$4,"БЛОК: оплата после последнего дня расчёта — продлите расчёт или уберите строку","ок"))))))))</f>
        <v/>
      </c>
    </row>
    <row r="110" spans="1:5" x14ac:dyDescent="0.3">
      <c r="A110" s="9"/>
      <c r="B110" s="10"/>
      <c r="C110" s="15"/>
      <c r="D110" s="15"/>
      <c r="E110" s="4" t="str">
        <f>IF(AND(A110="",B110="",C110="",D110=""),"",IF(OR(A110="",B110=""),"БЛОК: нужны и дата, и сумма",IF(B110&lt;=0,"БЛОК: сумма должна быть больше нуля",IF(D110="","БЛОК: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вас",IF(COUNTIF(Акты!$B$5:$B$16,D110)=0,"БЛОК: такого акта нет на листе «Акты» — добавьте акт или исправьте идентификатор",IF(NOT(ISNUMBER(INDEX(Акты!$E$5:$E$16,MATCH(D110,Акты!$B$5:$B$16,0)))),"БЛОК: у этого акта на листе «Акты» не указан первый день просрочки",IF(A110&lt;INDEX(Акты!$E$5:$E$16,MATCH(D110,Акты!$B$5:$B$16,0)),"БЛОК: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сюда",IF(A110&gt;Ввод!$B$4,"БЛОК: оплата после последнего дня расчёта — продлите расчёт или уберите строку","ок"))))))))</f>
        <v/>
      </c>
    </row>
    <row r="111" spans="1:5" x14ac:dyDescent="0.3">
      <c r="A111" s="9"/>
      <c r="B111" s="10"/>
      <c r="C111" s="15"/>
      <c r="D111" s="15"/>
      <c r="E111" s="4" t="str">
        <f>IF(AND(A111="",B111="",C111="",D111=""),"",IF(OR(A111="",B111=""),"БЛОК: нужны и дата, и сумма",IF(B111&lt;=0,"БЛОК: сумма должна быть больше нуля",IF(D111="","БЛОК: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вас",IF(COUNTIF(Акты!$B$5:$B$16,D111)=0,"БЛОК: такого акта нет на листе «Акты» — добавьте акт или исправьте идентификатор",IF(NOT(ISNUMBER(INDEX(Акты!$E$5:$E$16,MATCH(D111,Акты!$B$5:$B$16,0)))),"БЛОК: у этого акта на листе «Акты» не указан первый день просрочки",IF(A111&lt;INDEX(Акты!$E$5:$E$16,MATCH(D111,Акты!$B$5:$B$16,0)),"БЛОК: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сюда",IF(A111&gt;Ввод!$B$4,"БЛОК: оплата после последнего дня расчёта — продлите расчёт или уберите строку","ок"))))))))</f>
        <v/>
      </c>
    </row>
    <row r="112" spans="1:5" x14ac:dyDescent="0.3">
      <c r="A112" s="9"/>
      <c r="B112" s="10"/>
      <c r="C112" s="15"/>
      <c r="D112" s="15"/>
      <c r="E112" s="4" t="str">
        <f>IF(AND(A112="",B112="",C112="",D112=""),"",IF(OR(A112="",B112=""),"БЛОК: нужны и дата, и сумма",IF(B112&lt;=0,"БЛОК: сумма должна быть больше нуля",IF(D112="","БЛОК: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вас",IF(COUNTIF(Акты!$B$5:$B$16,D112)=0,"БЛОК: такого акта нет на листе «Акты» — добавьте акт или исправьте идентификатор",IF(NOT(ISNUMBER(INDEX(Акты!$E$5:$E$16,MATCH(D112,Акты!$B$5:$B$16,0)))),"БЛОК: у этого акта на листе «Акты» не указан первый день просрочки",IF(A112&lt;INDEX(Акты!$E$5:$E$16,MATCH(D112,Акты!$B$5:$B$16,0)),"БЛОК: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сюда",IF(A112&gt;Ввод!$B$4,"БЛОК: оплата после последнего дня расчёта — продлите расчёт или уберите строку","ок"))))))))</f>
        <v/>
      </c>
    </row>
    <row r="113" spans="1:5" x14ac:dyDescent="0.3">
      <c r="A113" s="9"/>
      <c r="B113" s="10"/>
      <c r="C113" s="15"/>
      <c r="D113" s="15"/>
      <c r="E113" s="4" t="str">
        <f>IF(AND(A113="",B113="",C113="",D113=""),"",IF(OR(A113="",B113=""),"БЛОК: нужны и дата, и сумма",IF(B113&lt;=0,"БЛОК: сумма должна быть больше нуля",IF(D113="","БЛОК: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вас",IF(COUNTIF(Акты!$B$5:$B$16,D113)=0,"БЛОК: такого акта нет на листе «Акты» — добавьте акт или исправьте идентификатор",IF(NOT(ISNUMBER(INDEX(Акты!$E$5:$E$16,MATCH(D113,Акты!$B$5:$B$16,0)))),"БЛОК: у этого акта на листе «Акты» не указан первый день просрочки",IF(A113&lt;INDEX(Акты!$E$5:$E$16,MATCH(D113,Акты!$B$5:$B$16,0)),"БЛОК: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сюда",IF(A113&gt;Ввод!$B$4,"БЛОК: оплата после последнего дня расчёта — продлите расчёт или уберите строку","ок"))))))))</f>
        <v/>
      </c>
    </row>
    <row r="114" spans="1:5" x14ac:dyDescent="0.3">
      <c r="A114" s="9"/>
      <c r="B114" s="10"/>
      <c r="C114" s="15"/>
      <c r="D114" s="15"/>
      <c r="E114" s="4" t="str">
        <f>IF(AND(A114="",B114="",C114="",D114=""),"",IF(OR(A114="",B114=""),"БЛОК: нужны и дата, и сумма",IF(B114&lt;=0,"БЛОК: сумма должна быть больше нуля",IF(D114="","БЛОК: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вас",IF(COUNTIF(Акты!$B$5:$B$16,D114)=0,"БЛОК: такого акта нет на листе «Акты» — добавьте акт или исправьте идентификатор",IF(NOT(ISNUMBER(INDEX(Акты!$E$5:$E$16,MATCH(D114,Акты!$B$5:$B$16,0)))),"БЛОК: у этого акта на листе «Акты» не указан первый день просрочки",IF(A114&lt;INDEX(Акты!$E$5:$E$16,MATCH(D114,Акты!$B$5:$B$16,0)),"БЛОК: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сюда",IF(A114&gt;Ввод!$B$4,"БЛОК: оплата после последнего дня расчёта — продлите расчёт или уберите строку","ок"))))))))</f>
        <v/>
      </c>
    </row>
    <row r="115" spans="1:5" x14ac:dyDescent="0.3">
      <c r="A115" s="9"/>
      <c r="B115" s="10"/>
      <c r="C115" s="15"/>
      <c r="D115" s="15"/>
      <c r="E115" s="4" t="str">
        <f>IF(AND(A115="",B115="",C115="",D115=""),"",IF(OR(A115="",B115=""),"БЛОК: нужны и дата, и сумма",IF(B115&lt;=0,"БЛОК: сумма должна быть больше нуля",IF(D115="","БЛОК: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вас",IF(COUNTIF(Акты!$B$5:$B$16,D115)=0,"БЛОК: такого акта нет на листе «Акты» — добавьте акт или исправьте идентификатор",IF(NOT(ISNUMBER(INDEX(Акты!$E$5:$E$16,MATCH(D115,Акты!$B$5:$B$16,0)))),"БЛОК: у этого акта на листе «Акты» не указан первый день просрочки",IF(A115&lt;INDEX(Акты!$E$5:$E$16,MATCH(D115,Акты!$B$5:$B$16,0)),"БЛОК: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сюда",IF(A115&gt;Ввод!$B$4,"БЛОК: оплата после последнего дня расчёта — продлите расчёт или уберите строку","ок"))))))))</f>
        <v/>
      </c>
    </row>
    <row r="116" spans="1:5" x14ac:dyDescent="0.3">
      <c r="A116" s="9"/>
      <c r="B116" s="10"/>
      <c r="C116" s="15"/>
      <c r="D116" s="15"/>
      <c r="E116" s="4" t="str">
        <f>IF(AND(A116="",B116="",C116="",D116=""),"",IF(OR(A116="",B116=""),"БЛОК: нужны и дата, и сумма",IF(B116&lt;=0,"БЛОК: сумма должна быть больше нуля",IF(D116="","БЛОК: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вас",IF(COUNTIF(Акты!$B$5:$B$16,D116)=0,"БЛОК: такого акта нет на листе «Акты» — добавьте акт или исправьте идентификатор",IF(NOT(ISNUMBER(INDEX(Акты!$E$5:$E$16,MATCH(D116,Акты!$B$5:$B$16,0)))),"БЛОК: у этого акта на листе «Акты» не указан первый день просрочки",IF(A116&lt;INDEX(Акты!$E$5:$E$16,MATCH(D116,Акты!$B$5:$B$16,0)),"БЛОК: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сюда",IF(A116&gt;Ввод!$B$4,"БЛОК: оплата после последнего дня расчёта — продлите расчёт или уберите строку","ок"))))))))</f>
        <v/>
      </c>
    </row>
    <row r="117" spans="1:5" x14ac:dyDescent="0.3">
      <c r="A117" s="9"/>
      <c r="B117" s="10"/>
      <c r="C117" s="15"/>
      <c r="D117" s="15"/>
      <c r="E117" s="4" t="str">
        <f>IF(AND(A117="",B117="",C117="",D117=""),"",IF(OR(A117="",B117=""),"БЛОК: нужны и дата, и сумма",IF(B117&lt;=0,"БЛОК: сумма должна быть больше нуля",IF(D117="","БЛОК: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вас",IF(COUNTIF(Акты!$B$5:$B$16,D117)=0,"БЛОК: такого акта нет на листе «Акты» — добавьте акт или исправьте идентификатор",IF(NOT(ISNUMBER(INDEX(Акты!$E$5:$E$16,MATCH(D117,Акты!$B$5:$B$16,0)))),"БЛОК: у этого акта на листе «Акты» не указан первый день просрочки",IF(A117&lt;INDEX(Акты!$E$5:$E$16,MATCH(D117,Акты!$B$5:$B$16,0)),"БЛОК: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сюда",IF(A117&gt;Ввод!$B$4,"БЛОК: оплата после последнего дня расчёта — продлите расчёт или уберите строку","ок"))))))))</f>
        <v/>
      </c>
    </row>
    <row r="118" spans="1:5" x14ac:dyDescent="0.3">
      <c r="A118" s="9"/>
      <c r="B118" s="10"/>
      <c r="C118" s="15"/>
      <c r="D118" s="15"/>
      <c r="E118" s="4" t="str">
        <f>IF(AND(A118="",B118="",C118="",D118=""),"",IF(OR(A118="",B118=""),"БЛОК: нужны и дата, и сумма",IF(B118&lt;=0,"БЛОК: сумма должна быть больше нуля",IF(D118="","БЛОК: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вас",IF(COUNTIF(Акты!$B$5:$B$16,D118)=0,"БЛОК: такого акта нет на листе «Акты» — добавьте акт или исправьте идентификатор",IF(NOT(ISNUMBER(INDEX(Акты!$E$5:$E$16,MATCH(D118,Акты!$B$5:$B$16,0)))),"БЛОК: у этого акта на листе «Акты» не указан первый день просрочки",IF(A118&lt;INDEX(Акты!$E$5:$E$16,MATCH(D118,Акты!$B$5:$B$16,0)),"БЛОК: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сюда",IF(A118&gt;Ввод!$B$4,"БЛОК: оплата после последнего дня расчёта — продлите расчёт или уберите строку","ок"))))))))</f>
        <v/>
      </c>
    </row>
    <row r="119" spans="1:5" x14ac:dyDescent="0.3">
      <c r="A119" s="9"/>
      <c r="B119" s="10"/>
      <c r="C119" s="15"/>
      <c r="D119" s="15"/>
      <c r="E119" s="4" t="str">
        <f>IF(AND(A119="",B119="",C119="",D119=""),"",IF(OR(A119="",B119=""),"БЛОК: нужны и дата, и сумма",IF(B119&lt;=0,"БЛОК: сумма должна быть больше нуля",IF(D119="","БЛОК: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вас",IF(COUNTIF(Акты!$B$5:$B$16,D119)=0,"БЛОК: такого акта нет на листе «Акты» — добавьте акт или исправьте идентификатор",IF(NOT(ISNUMBER(INDEX(Акты!$E$5:$E$16,MATCH(D119,Акты!$B$5:$B$16,0)))),"БЛОК: у этого акта на листе «Акты» не указан первый день просрочки",IF(A119&lt;INDEX(Акты!$E$5:$E$16,MATCH(D119,Акты!$B$5:$B$16,0)),"БЛОК: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сюда",IF(A119&gt;Ввод!$B$4,"БЛОК: оплата после последнего дня расчёта — продлите расчёт или уберите строку","ок"))))))))</f>
        <v/>
      </c>
    </row>
    <row r="120" spans="1:5" x14ac:dyDescent="0.3">
      <c r="A120" s="9"/>
      <c r="B120" s="10"/>
      <c r="C120" s="15"/>
      <c r="D120" s="15"/>
      <c r="E120" s="4" t="str">
        <f>IF(AND(A120="",B120="",C120="",D120=""),"",IF(OR(A120="",B120=""),"БЛОК: нужны и дата, и сумма",IF(B120&lt;=0,"БЛОК: сумма должна быть больше нуля",IF(D120="","БЛОК: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вас",IF(COUNTIF(Акты!$B$5:$B$16,D120)=0,"БЛОК: такого акта нет на листе «Акты» — добавьте акт или исправьте идентификатор",IF(NOT(ISNUMBER(INDEX(Акты!$E$5:$E$16,MATCH(D120,Акты!$B$5:$B$16,0)))),"БЛОК: у этого акта на листе «Акты» не указан первый день просрочки",IF(A120&lt;INDEX(Акты!$E$5:$E$16,MATCH(D120,Акты!$B$5:$B$16,0)),"БЛОК: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сюда",IF(A120&gt;Ввод!$B$4,"БЛОК: оплата после последнего дня расчёта — продлите расчёт или уберите строку","ок"))))))))</f>
        <v/>
      </c>
    </row>
    <row r="121" spans="1:5" x14ac:dyDescent="0.3">
      <c r="A121" s="9"/>
      <c r="B121" s="10"/>
      <c r="C121" s="15"/>
      <c r="D121" s="15"/>
      <c r="E121" s="4" t="str">
        <f>IF(AND(A121="",B121="",C121="",D121=""),"",IF(OR(A121="",B121=""),"БЛОК: нужны и дата, и сумма",IF(B121&lt;=0,"БЛОК: сумма должна быть больше нуля",IF(D121="","БЛОК: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вас",IF(COUNTIF(Акты!$B$5:$B$16,D121)=0,"БЛОК: такого акта нет на листе «Акты» — добавьте акт или исправьте идентификатор",IF(NOT(ISNUMBER(INDEX(Акты!$E$5:$E$16,MATCH(D121,Акты!$B$5:$B$16,0)))),"БЛОК: у этого акта на листе «Акты» не указан первый день просрочки",IF(A121&lt;INDEX(Акты!$E$5:$E$16,MATCH(D121,Акты!$B$5:$B$16,0)),"БЛОК: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сюда",IF(A121&gt;Ввод!$B$4,"БЛОК: оплата после последнего дня расчёта — продлите расчёт или уберите строку","ок"))))))))</f>
        <v/>
      </c>
    </row>
    <row r="122" spans="1:5" x14ac:dyDescent="0.3">
      <c r="A122" s="9"/>
      <c r="B122" s="10"/>
      <c r="C122" s="15"/>
      <c r="D122" s="15"/>
      <c r="E122" s="4" t="str">
        <f>IF(AND(A122="",B122="",C122="",D122=""),"",IF(OR(A122="",B122=""),"БЛОК: нужны и дата, и сумма",IF(B122&lt;=0,"БЛОК: сумма должна быть больше нуля",IF(D122="","БЛОК: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вас",IF(COUNTIF(Акты!$B$5:$B$16,D122)=0,"БЛОК: такого акта нет на листе «Акты» — добавьте акт или исправьте идентификатор",IF(NOT(ISNUMBER(INDEX(Акты!$E$5:$E$16,MATCH(D122,Акты!$B$5:$B$16,0)))),"БЛОК: у этого акта на листе «Акты» не указан первый день просрочки",IF(A122&lt;INDEX(Акты!$E$5:$E$16,MATCH(D122,Акты!$B$5:$B$16,0)),"БЛОК: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сюда",IF(A122&gt;Ввод!$B$4,"БЛОК: оплата после последнего дня расчёта — продлите расчёт или уберите строку","ок"))))))))</f>
        <v/>
      </c>
    </row>
    <row r="123" spans="1:5" x14ac:dyDescent="0.3">
      <c r="A123" s="9"/>
      <c r="B123" s="10"/>
      <c r="C123" s="15"/>
      <c r="D123" s="15"/>
      <c r="E123" s="4" t="str">
        <f>IF(AND(A123="",B123="",C123="",D123=""),"",IF(OR(A123="",B123=""),"БЛОК: нужны и дата, и сумма",IF(B123&lt;=0,"БЛОК: сумма должна быть больше нуля",IF(D123="","БЛОК: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вас",IF(COUNTIF(Акты!$B$5:$B$16,D123)=0,"БЛОК: такого акта нет на листе «Акты» — добавьте акт или исправьте идентификатор",IF(NOT(ISNUMBER(INDEX(Акты!$E$5:$E$16,MATCH(D123,Акты!$B$5:$B$16,0)))),"БЛОК: у этого акта на листе «Акты» не указан первый день просрочки",IF(A123&lt;INDEX(Акты!$E$5:$E$16,MATCH(D123,Акты!$B$5:$B$16,0)),"БЛОК: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сюда",IF(A123&gt;Ввод!$B$4,"БЛОК: оплата после последнего дня расчёта — продлите расчёт или уберите строку","ок"))))))))</f>
        <v/>
      </c>
    </row>
    <row r="124" spans="1:5" x14ac:dyDescent="0.3">
      <c r="A124" s="9"/>
      <c r="B124" s="10"/>
      <c r="C124" s="15"/>
      <c r="D124" s="15"/>
      <c r="E124" s="4" t="str">
        <f>IF(AND(A124="",B124="",C124="",D124=""),"",IF(OR(A124="",B124=""),"БЛОК: нужны и дата, и сумма",IF(B124&lt;=0,"БЛОК: сумма должна быть больше нуля",IF(D124="","БЛОК: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вас",IF(COUNTIF(Акты!$B$5:$B$16,D124)=0,"БЛОК: такого акта нет на листе «Акты» — добавьте акт или исправьте идентификатор",IF(NOT(ISNUMBER(INDEX(Акты!$E$5:$E$16,MATCH(D124,Акты!$B$5:$B$16,0)))),"БЛОК: у этого акта на листе «Акты» не указан первый день просрочки",IF(A124&lt;INDEX(Акты!$E$5:$E$16,MATCH(D124,Акты!$B$5:$B$16,0)),"БЛОК: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сюда",IF(A124&gt;Ввод!$B$4,"БЛОК: оплата после последнего дня расчёта — продлите расчёт или уберите строку","ок"))))))))</f>
        <v/>
      </c>
    </row>
    <row r="125" spans="1:5" x14ac:dyDescent="0.3">
      <c r="A125" s="9"/>
      <c r="B125" s="10"/>
      <c r="C125" s="15"/>
      <c r="D125" s="15"/>
      <c r="E125" s="4" t="str">
        <f>IF(AND(A125="",B125="",C125="",D125=""),"",IF(OR(A125="",B125=""),"БЛОК: нужны и дата, и сумма",IF(B125&lt;=0,"БЛОК: сумма должна быть больше нуля",IF(D125="","БЛОК: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вас",IF(COUNTIF(Акты!$B$5:$B$16,D125)=0,"БЛОК: такого акта нет на листе «Акты» — добавьте акт или исправьте идентификатор",IF(NOT(ISNUMBER(INDEX(Акты!$E$5:$E$16,MATCH(D125,Акты!$B$5:$B$16,0)))),"БЛОК: у этого акта на листе «Акты» не указан первый день просрочки",IF(A125&lt;INDEX(Акты!$E$5:$E$16,MATCH(D125,Акты!$B$5:$B$16,0)),"БЛОК: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сюда",IF(A125&gt;Ввод!$B$4,"БЛОК: оплата после последнего дня расчёта — продлите расчёт или уберите строку","ок"))))))))</f>
        <v/>
      </c>
    </row>
    <row r="126" spans="1:5" x14ac:dyDescent="0.3">
      <c r="A126" s="9"/>
      <c r="B126" s="10"/>
      <c r="C126" s="15"/>
      <c r="D126" s="15"/>
      <c r="E126" s="4" t="str">
        <f>IF(AND(A126="",B126="",C126="",D126=""),"",IF(OR(A126="",B126=""),"БЛОК: нужны и дата, и сумма",IF(B126&lt;=0,"БЛОК: сумма должна быть больше нуля",IF(D126="","БЛОК: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вас",IF(COUNTIF(Акты!$B$5:$B$16,D126)=0,"БЛОК: такого акта нет на листе «Акты» — добавьте акт или исправьте идентификатор",IF(NOT(ISNUMBER(INDEX(Акты!$E$5:$E$16,MATCH(D126,Акты!$B$5:$B$16,0)))),"БЛОК: у этого акта на листе «Акты» не указан первый день просрочки",IF(A126&lt;INDEX(Акты!$E$5:$E$16,MATCH(D126,Акты!$B$5:$B$16,0)),"БЛОК: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сюда",IF(A126&gt;Ввод!$B$4,"БЛОК: оплата после последнего дня расчёта — продлите расчёт или уберите строку","ок"))))))))</f>
        <v/>
      </c>
    </row>
    <row r="127" spans="1:5" x14ac:dyDescent="0.3">
      <c r="A127" s="9"/>
      <c r="B127" s="10"/>
      <c r="C127" s="15"/>
      <c r="D127" s="15"/>
      <c r="E127" s="4" t="str">
        <f>IF(AND(A127="",B127="",C127="",D127=""),"",IF(OR(A127="",B127=""),"БЛОК: нужны и дата, и сумма",IF(B127&lt;=0,"БЛОК: сумма должна быть больше нуля",IF(D127="","БЛОК: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вас",IF(COUNTIF(Акты!$B$5:$B$16,D127)=0,"БЛОК: такого акта нет на листе «Акты» — добавьте акт или исправьте идентификатор",IF(NOT(ISNUMBER(INDEX(Акты!$E$5:$E$16,MATCH(D127,Акты!$B$5:$B$16,0)))),"БЛОК: у этого акта на листе «Акты» не указан первый день просрочки",IF(A127&lt;INDEX(Акты!$E$5:$E$16,MATCH(D127,Акты!$B$5:$B$16,0)),"БЛОК: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сюда",IF(A127&gt;Ввод!$B$4,"БЛОК: оплата после последнего дня расчёта — продлите расчёт или уберите строку","ок"))))))))</f>
        <v/>
      </c>
    </row>
    <row r="128" spans="1:5" x14ac:dyDescent="0.3">
      <c r="A128" s="9"/>
      <c r="B128" s="10"/>
      <c r="C128" s="15"/>
      <c r="D128" s="15"/>
      <c r="E128" s="4" t="str">
        <f>IF(AND(A128="",B128="",C128="",D128=""),"",IF(OR(A128="",B128=""),"БЛОК: нужны и дата, и сумма",IF(B128&lt;=0,"БЛОК: сумма должна быть больше нуля",IF(D128="","БЛОК: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вас",IF(COUNTIF(Акты!$B$5:$B$16,D128)=0,"БЛОК: такого акта нет на листе «Акты» — добавьте акт или исправьте идентификатор",IF(NOT(ISNUMBER(INDEX(Акты!$E$5:$E$16,MATCH(D128,Акты!$B$5:$B$16,0)))),"БЛОК: у этого акта на листе «Акты» не указан первый день просрочки",IF(A128&lt;INDEX(Акты!$E$5:$E$16,MATCH(D128,Акты!$B$5:$B$16,0)),"БЛОК: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сюда",IF(A128&gt;Ввод!$B$4,"БЛОК: оплата после последнего дня расчёта — продлите расчёт или уберите строку","ок"))))))))</f>
        <v/>
      </c>
    </row>
    <row r="129" spans="1:5" x14ac:dyDescent="0.3">
      <c r="A129" s="9"/>
      <c r="B129" s="10"/>
      <c r="C129" s="15"/>
      <c r="D129" s="15"/>
      <c r="E129" s="4" t="str">
        <f>IF(AND(A129="",B129="",C129="",D129=""),"",IF(OR(A129="",B129=""),"БЛОК: нужны и дата, и сумма",IF(B129&lt;=0,"БЛОК: сумма должна быть больше нуля",IF(D129="","БЛОК: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вас",IF(COUNTIF(Акты!$B$5:$B$16,D129)=0,"БЛОК: такого акта нет на листе «Акты» — добавьте акт или исправьте идентификатор",IF(NOT(ISNUMBER(INDEX(Акты!$E$5:$E$16,MATCH(D129,Акты!$B$5:$B$16,0)))),"БЛОК: у этого акта на листе «Акты» не указан первый день просрочки",IF(A129&lt;INDEX(Акты!$E$5:$E$16,MATCH(D129,Акты!$B$5:$B$16,0)),"БЛОК: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сюда",IF(A129&gt;Ввод!$B$4,"БЛОК: оплата после последнего дня расчёта — продлите расчёт или уберите строку","ок"))))))))</f>
        <v/>
      </c>
    </row>
    <row r="130" spans="1:5" x14ac:dyDescent="0.3">
      <c r="A130" s="9"/>
      <c r="B130" s="10"/>
      <c r="C130" s="15"/>
      <c r="D130" s="15"/>
      <c r="E130" s="4" t="str">
        <f>IF(AND(A130="",B130="",C130="",D130=""),"",IF(OR(A130="",B130=""),"БЛОК: нужны и дата, и сумма",IF(B130&lt;=0,"БЛОК: сумма должна быть больше нуля",IF(D130="","БЛОК: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вас",IF(COUNTIF(Акты!$B$5:$B$16,D130)=0,"БЛОК: такого акта нет на листе «Акты» — добавьте акт или исправьте идентификатор",IF(NOT(ISNUMBER(INDEX(Акты!$E$5:$E$16,MATCH(D130,Акты!$B$5:$B$16,0)))),"БЛОК: у этого акта на листе «Акты» не указан первый день просрочки",IF(A130&lt;INDEX(Акты!$E$5:$E$16,MATCH(D130,Акты!$B$5:$B$16,0)),"БЛОК: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сюда",IF(A130&gt;Ввод!$B$4,"БЛОК: оплата после последнего дня расчёта — продлите расчёт или уберите строку","ок"))))))))</f>
        <v/>
      </c>
    </row>
    <row r="131" spans="1:5" x14ac:dyDescent="0.3">
      <c r="A131" s="9"/>
      <c r="B131" s="10"/>
      <c r="C131" s="15"/>
      <c r="D131" s="15"/>
      <c r="E131" s="4" t="str">
        <f>IF(AND(A131="",B131="",C131="",D131=""),"",IF(OR(A131="",B131=""),"БЛОК: нужны и дата, и сумма",IF(B131&lt;=0,"БЛОК: сумма должна быть больше нуля",IF(D131="","БЛОК: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вас",IF(COUNTIF(Акты!$B$5:$B$16,D131)=0,"БЛОК: такого акта нет на листе «Акты» — добавьте акт или исправьте идентификатор",IF(NOT(ISNUMBER(INDEX(Акты!$E$5:$E$16,MATCH(D131,Акты!$B$5:$B$16,0)))),"БЛОК: у этого акта на листе «Акты» не указан первый день просрочки",IF(A131&lt;INDEX(Акты!$E$5:$E$16,MATCH(D131,Акты!$B$5:$B$16,0)),"БЛОК: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сюда",IF(A131&gt;Ввод!$B$4,"БЛОК: оплата после последнего дня расчёта — продлите расчёт или уберите строку","ок"))))))))</f>
        <v/>
      </c>
    </row>
    <row r="132" spans="1:5" x14ac:dyDescent="0.3">
      <c r="A132" s="9"/>
      <c r="B132" s="10"/>
      <c r="C132" s="15"/>
      <c r="D132" s="15"/>
      <c r="E132" s="4" t="str">
        <f>IF(AND(A132="",B132="",C132="",D132=""),"",IF(OR(A132="",B132=""),"БЛОК: нужны и дата, и сумма",IF(B132&lt;=0,"БЛОК: сумма должна быть больше нуля",IF(D132="","БЛОК: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вас",IF(COUNTIF(Акты!$B$5:$B$16,D132)=0,"БЛОК: такого акта нет на листе «Акты» — добавьте акт или исправьте идентификатор",IF(NOT(ISNUMBER(INDEX(Акты!$E$5:$E$16,MATCH(D132,Акты!$B$5:$B$16,0)))),"БЛОК: у этого акта на листе «Акты» не указан первый день просрочки",IF(A132&lt;INDEX(Акты!$E$5:$E$16,MATCH(D132,Акты!$B$5:$B$16,0)),"БЛОК: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сюда",IF(A132&gt;Ввод!$B$4,"БЛОК: оплата после последнего дня расчёта — продлите расчёт или уберите строку","ок"))))))))</f>
        <v/>
      </c>
    </row>
    <row r="133" spans="1:5" x14ac:dyDescent="0.3">
      <c r="A133" s="9"/>
      <c r="B133" s="10"/>
      <c r="C133" s="15"/>
      <c r="D133" s="15"/>
      <c r="E133" s="4" t="str">
        <f>IF(AND(A133="",B133="",C133="",D133=""),"",IF(OR(A133="",B133=""),"БЛОК: нужны и дата, и сумма",IF(B133&lt;=0,"БЛОК: сумма должна быть больше нуля",IF(D133="","БЛОК: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вас",IF(COUNTIF(Акты!$B$5:$B$16,D133)=0,"БЛОК: такого акта нет на листе «Акты» — добавьте акт или исправьте идентификатор",IF(NOT(ISNUMBER(INDEX(Акты!$E$5:$E$16,MATCH(D133,Акты!$B$5:$B$16,0)))),"БЛОК: у этого акта на листе «Акты» не указан первый день просрочки",IF(A133&lt;INDEX(Акты!$E$5:$E$16,MATCH(D133,Акты!$B$5:$B$16,0)),"БЛОК: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сюда",IF(A133&gt;Ввод!$B$4,"БЛОК: оплата после последнего дня расчёта — продлите расчёт или уберите строку","ок"))))))))</f>
        <v/>
      </c>
    </row>
    <row r="134" spans="1:5" x14ac:dyDescent="0.3">
      <c r="A134" s="9"/>
      <c r="B134" s="10"/>
      <c r="C134" s="15"/>
      <c r="D134" s="15"/>
      <c r="E134" s="4" t="str">
        <f>IF(AND(A134="",B134="",C134="",D134=""),"",IF(OR(A134="",B134=""),"БЛОК: нужны и дата, и сумма",IF(B134&lt;=0,"БЛОК: сумма должна быть больше нуля",IF(D134="","БЛОК: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вас",IF(COUNTIF(Акты!$B$5:$B$16,D134)=0,"БЛОК: такого акта нет на листе «Акты» — добавьте акт или исправьте идентификатор",IF(NOT(ISNUMBER(INDEX(Акты!$E$5:$E$16,MATCH(D134,Акты!$B$5:$B$16,0)))),"БЛОК: у этого акта на листе «Акты» не указан первый день просрочки",IF(A134&lt;INDEX(Акты!$E$5:$E$16,MATCH(D134,Акты!$B$5:$B$16,0)),"БЛОК: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сюда",IF(A134&gt;Ввод!$B$4,"БЛОК: оплата после последнего дня расчёта — продлите расчёт или уберите строку","ок"))))))))</f>
        <v/>
      </c>
    </row>
    <row r="135" spans="1:5" x14ac:dyDescent="0.3">
      <c r="A135" s="9"/>
      <c r="B135" s="10"/>
      <c r="C135" s="15"/>
      <c r="D135" s="15"/>
      <c r="E135" s="4" t="str">
        <f>IF(AND(A135="",B135="",C135="",D135=""),"",IF(OR(A135="",B135=""),"БЛОК: нужны и дата, и сумма",IF(B135&lt;=0,"БЛОК: сумма должна быть больше нуля",IF(D135="","БЛОК: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вас",IF(COUNTIF(Акты!$B$5:$B$16,D135)=0,"БЛОК: такого акта нет на листе «Акты» — добавьте акт или исправьте идентификатор",IF(NOT(ISNUMBER(INDEX(Акты!$E$5:$E$16,MATCH(D135,Акты!$B$5:$B$16,0)))),"БЛОК: у этого акта на листе «Акты» не указан первый день просрочки",IF(A135&lt;INDEX(Акты!$E$5:$E$16,MATCH(D135,Акты!$B$5:$B$16,0)),"БЛОК: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сюда",IF(A135&gt;Ввод!$B$4,"БЛОК: оплата после последнего дня расчёта — продлите расчёт или уберите строку","ок"))))))))</f>
        <v/>
      </c>
    </row>
    <row r="136" spans="1:5" x14ac:dyDescent="0.3">
      <c r="A136" s="9"/>
      <c r="B136" s="10"/>
      <c r="C136" s="15"/>
      <c r="D136" s="15"/>
      <c r="E136" s="4" t="str">
        <f>IF(AND(A136="",B136="",C136="",D136=""),"",IF(OR(A136="",B136=""),"БЛОК: нужны и дата, и сумма",IF(B136&lt;=0,"БЛОК: сумма должна быть больше нуля",IF(D136="","БЛОК: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вас",IF(COUNTIF(Акты!$B$5:$B$16,D136)=0,"БЛОК: такого акта нет на листе «Акты» — добавьте акт или исправьте идентификатор",IF(NOT(ISNUMBER(INDEX(Акты!$E$5:$E$16,MATCH(D136,Акты!$B$5:$B$16,0)))),"БЛОК: у этого акта на листе «Акты» не указан первый день просрочки",IF(A136&lt;INDEX(Акты!$E$5:$E$16,MATCH(D136,Акты!$B$5:$B$16,0)),"БЛОК: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сюда",IF(A136&gt;Ввод!$B$4,"БЛОК: оплата после последнего дня расчёта — продлите расчёт или уберите строку","ок"))))))))</f>
        <v/>
      </c>
    </row>
    <row r="137" spans="1:5" x14ac:dyDescent="0.3">
      <c r="A137" s="9"/>
      <c r="B137" s="10"/>
      <c r="C137" s="15"/>
      <c r="D137" s="15"/>
      <c r="E137" s="4" t="str">
        <f>IF(AND(A137="",B137="",C137="",D137=""),"",IF(OR(A137="",B137=""),"БЛОК: нужны и дата, и сумма",IF(B137&lt;=0,"БЛОК: сумма должна быть больше нуля",IF(D137="","БЛОК: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вас",IF(COUNTIF(Акты!$B$5:$B$16,D137)=0,"БЛОК: такого акта нет на листе «Акты» — добавьте акт или исправьте идентификатор",IF(NOT(ISNUMBER(INDEX(Акты!$E$5:$E$16,MATCH(D137,Акты!$B$5:$B$16,0)))),"БЛОК: у этого акта на листе «Акты» не указан первый день просрочки",IF(A137&lt;INDEX(Акты!$E$5:$E$16,MATCH(D137,Акты!$B$5:$B$16,0)),"БЛОК: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сюда",IF(A137&gt;Ввод!$B$4,"БЛОК: оплата после последнего дня расчёта — продлите расчёт или уберите строку","ок"))))))))</f>
        <v/>
      </c>
    </row>
    <row r="138" spans="1:5" x14ac:dyDescent="0.3">
      <c r="A138" s="9"/>
      <c r="B138" s="10"/>
      <c r="C138" s="15"/>
      <c r="D138" s="15"/>
      <c r="E138" s="4" t="str">
        <f>IF(AND(A138="",B138="",C138="",D138=""),"",IF(OR(A138="",B138=""),"БЛОК: нужны и дата, и сумма",IF(B138&lt;=0,"БЛОК: сумма должна быть больше нуля",IF(D138="","БЛОК: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вас",IF(COUNTIF(Акты!$B$5:$B$16,D138)=0,"БЛОК: такого акта нет на листе «Акты» — добавьте акт или исправьте идентификатор",IF(NOT(ISNUMBER(INDEX(Акты!$E$5:$E$16,MATCH(D138,Акты!$B$5:$B$16,0)))),"БЛОК: у этого акта на листе «Акты» не указан первый день просрочки",IF(A138&lt;INDEX(Акты!$E$5:$E$16,MATCH(D138,Акты!$B$5:$B$16,0)),"БЛОК: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сюда",IF(A138&gt;Ввод!$B$4,"БЛОК: оплата после последнего дня расчёта — продлите расчёт или уберите строку","ок"))))))))</f>
        <v/>
      </c>
    </row>
    <row r="139" spans="1:5" x14ac:dyDescent="0.3">
      <c r="A139" s="9"/>
      <c r="B139" s="10"/>
      <c r="C139" s="15"/>
      <c r="D139" s="15"/>
      <c r="E139" s="4" t="str">
        <f>IF(AND(A139="",B139="",C139="",D139=""),"",IF(OR(A139="",B139=""),"БЛОК: нужны и дата, и сумма",IF(B139&lt;=0,"БЛОК: сумма должна быть больше нуля",IF(D139="","БЛОК: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вас",IF(COUNTIF(Акты!$B$5:$B$16,D139)=0,"БЛОК: такого акта нет на листе «Акты» — добавьте акт или исправьте идентификатор",IF(NOT(ISNUMBER(INDEX(Акты!$E$5:$E$16,MATCH(D139,Акты!$B$5:$B$16,0)))),"БЛОК: у этого акта на листе «Акты» не указан первый день просрочки",IF(A139&lt;INDEX(Акты!$E$5:$E$16,MATCH(D139,Акты!$B$5:$B$16,0)),"БЛОК: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сюда",IF(A139&gt;Ввод!$B$4,"БЛОК: оплата после последнего дня расчёта — продлите расчёт или уберите строку","ок"))))))))</f>
        <v/>
      </c>
    </row>
    <row r="140" spans="1:5" x14ac:dyDescent="0.3">
      <c r="A140" s="9"/>
      <c r="B140" s="10"/>
      <c r="C140" s="15"/>
      <c r="D140" s="15"/>
      <c r="E140" s="4" t="str">
        <f>IF(AND(A140="",B140="",C140="",D140=""),"",IF(OR(A140="",B140=""),"БЛОК: нужны и дата, и сумма",IF(B140&lt;=0,"БЛОК: сумма должна быть больше нуля",IF(D140="","БЛОК: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вас",IF(COUNTIF(Акты!$B$5:$B$16,D140)=0,"БЛОК: такого акта нет на листе «Акты» — добавьте акт или исправьте идентификатор",IF(NOT(ISNUMBER(INDEX(Акты!$E$5:$E$16,MATCH(D140,Акты!$B$5:$B$16,0)))),"БЛОК: у этого акта на листе «Акты» не указан первый день просрочки",IF(A140&lt;INDEX(Акты!$E$5:$E$16,MATCH(D140,Акты!$B$5:$B$16,0)),"БЛОК: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сюда",IF(A140&gt;Ввод!$B$4,"БЛОК: оплата после последнего дня расчёта — продлите расчёт или уберите строку","ок"))))))))</f>
        <v/>
      </c>
    </row>
    <row r="141" spans="1:5" x14ac:dyDescent="0.3">
      <c r="A141" s="9"/>
      <c r="B141" s="10"/>
      <c r="C141" s="15"/>
      <c r="D141" s="15"/>
      <c r="E141" s="4" t="str">
        <f>IF(AND(A141="",B141="",C141="",D141=""),"",IF(OR(A141="",B141=""),"БЛОК: нужны и дата, и сумма",IF(B141&lt;=0,"БЛОК: сумма должна быть больше нуля",IF(D141="","БЛОК: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вас",IF(COUNTIF(Акты!$B$5:$B$16,D141)=0,"БЛОК: такого акта нет на листе «Акты» — добавьте акт или исправьте идентификатор",IF(NOT(ISNUMBER(INDEX(Акты!$E$5:$E$16,MATCH(D141,Акты!$B$5:$B$16,0)))),"БЛОК: у этого акта на листе «Акты» не указан первый день просрочки",IF(A141&lt;INDEX(Акты!$E$5:$E$16,MATCH(D141,Акты!$B$5:$B$16,0)),"БЛОК: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сюда",IF(A141&gt;Ввод!$B$4,"БЛОК: оплата после последнего дня расчёта — продлите расчёт или уберите строку","ок"))))))))</f>
        <v/>
      </c>
    </row>
    <row r="142" spans="1:5" x14ac:dyDescent="0.3">
      <c r="A142" s="9"/>
      <c r="B142" s="10"/>
      <c r="C142" s="15"/>
      <c r="D142" s="15"/>
      <c r="E142" s="4" t="str">
        <f>IF(AND(A142="",B142="",C142="",D142=""),"",IF(OR(A142="",B142=""),"БЛОК: нужны и дата, и сумма",IF(B142&lt;=0,"БЛОК: сумма должна быть больше нуля",IF(D142="","БЛОК: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вас",IF(COUNTIF(Акты!$B$5:$B$16,D142)=0,"БЛОК: такого акта нет на листе «Акты» — добавьте акт или исправьте идентификатор",IF(NOT(ISNUMBER(INDEX(Акты!$E$5:$E$16,MATCH(D142,Акты!$B$5:$B$16,0)))),"БЛОК: у этого акта на листе «Акты» не указан первый день просрочки",IF(A142&lt;INDEX(Акты!$E$5:$E$16,MATCH(D142,Акты!$B$5:$B$16,0)),"БЛОК: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сюда",IF(A142&gt;Ввод!$B$4,"БЛОК: оплата после последнего дня расчёта — продлите расчёт или уберите строку","ок"))))))))</f>
        <v/>
      </c>
    </row>
    <row r="143" spans="1:5" x14ac:dyDescent="0.3">
      <c r="A143" s="9"/>
      <c r="B143" s="10"/>
      <c r="C143" s="15"/>
      <c r="D143" s="15"/>
      <c r="E143" s="4" t="str">
        <f>IF(AND(A143="",B143="",C143="",D143=""),"",IF(OR(A143="",B143=""),"БЛОК: нужны и дата, и сумма",IF(B143&lt;=0,"БЛОК: сумма должна быть больше нуля",IF(D143="","БЛОК: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вас",IF(COUNTIF(Акты!$B$5:$B$16,D143)=0,"БЛОК: такого акта нет на листе «Акты» — добавьте акт или исправьте идентификатор",IF(NOT(ISNUMBER(INDEX(Акты!$E$5:$E$16,MATCH(D143,Акты!$B$5:$B$16,0)))),"БЛОК: у этого акта на листе «Акты» не указан первый день просрочки",IF(A143&lt;INDEX(Акты!$E$5:$E$16,MATCH(D143,Акты!$B$5:$B$16,0)),"БЛОК: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сюда",IF(A143&gt;Ввод!$B$4,"БЛОК: оплата после последнего дня расчёта — продлите расчёт или уберите строку","ок"))))))))</f>
        <v/>
      </c>
    </row>
    <row r="144" spans="1:5" x14ac:dyDescent="0.3">
      <c r="A144" s="9"/>
      <c r="B144" s="10"/>
      <c r="C144" s="15"/>
      <c r="D144" s="15"/>
      <c r="E144" s="4" t="str">
        <f>IF(AND(A144="",B144="",C144="",D144=""),"",IF(OR(A144="",B144=""),"БЛОК: нужны и дата, и сумма",IF(B144&lt;=0,"БЛОК: сумма должна быть больше нуля",IF(D144="","БЛОК: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вас",IF(COUNTIF(Акты!$B$5:$B$16,D144)=0,"БЛОК: такого акта нет на листе «Акты» — добавьте акт или исправьте идентификатор",IF(NOT(ISNUMBER(INDEX(Акты!$E$5:$E$16,MATCH(D144,Акты!$B$5:$B$16,0)))),"БЛОК: у этого акта на листе «Акты» не указан первый день просрочки",IF(A144&lt;INDEX(Акты!$E$5:$E$16,MATCH(D144,Акты!$B$5:$B$16,0)),"БЛОК: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сюда",IF(A144&gt;Ввод!$B$4,"БЛОК: оплата после последнего дня расчёта — продлите расчёт или уберите строку","ок"))))))))</f>
        <v/>
      </c>
    </row>
    <row r="145" spans="1:5" x14ac:dyDescent="0.3">
      <c r="A145" s="9"/>
      <c r="B145" s="10"/>
      <c r="C145" s="15"/>
      <c r="D145" s="15"/>
      <c r="E145" s="4" t="str">
        <f>IF(AND(A145="",B145="",C145="",D145=""),"",IF(OR(A145="",B145=""),"БЛОК: нужны и дата, и сумма",IF(B145&lt;=0,"БЛОК: сумма должна быть больше нуля",IF(D145="","БЛОК: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вас",IF(COUNTIF(Акты!$B$5:$B$16,D145)=0,"БЛОК: такого акта нет на листе «Акты» — добавьте акт или исправьте идентификатор",IF(NOT(ISNUMBER(INDEX(Акты!$E$5:$E$16,MATCH(D145,Акты!$B$5:$B$16,0)))),"БЛОК: у этого акта на листе «Акты» не указан первый день просрочки",IF(A145&lt;INDEX(Акты!$E$5:$E$16,MATCH(D145,Акты!$B$5:$B$16,0)),"БЛОК: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сюда",IF(A145&gt;Ввод!$B$4,"БЛОК: оплата после последнего дня расчёта — продлите расчёт или уберите строку","ок"))))))))</f>
        <v/>
      </c>
    </row>
    <row r="146" spans="1:5" x14ac:dyDescent="0.3">
      <c r="A146" s="9"/>
      <c r="B146" s="10"/>
      <c r="C146" s="15"/>
      <c r="D146" s="15"/>
      <c r="E146" s="4" t="str">
        <f>IF(AND(A146="",B146="",C146="",D146=""),"",IF(OR(A146="",B146=""),"БЛОК: нужны и дата, и сумма",IF(B146&lt;=0,"БЛОК: сумма должна быть больше нуля",IF(D146="","БЛОК: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вас",IF(COUNTIF(Акты!$B$5:$B$16,D146)=0,"БЛОК: такого акта нет на листе «Акты» — добавьте акт или исправьте идентификатор",IF(NOT(ISNUMBER(INDEX(Акты!$E$5:$E$16,MATCH(D146,Акты!$B$5:$B$16,0)))),"БЛОК: у этого акта на листе «Акты» не указан первый день просрочки",IF(A146&lt;INDEX(Акты!$E$5:$E$16,MATCH(D146,Акты!$B$5:$B$16,0)),"БЛОК: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сюда",IF(A146&gt;Ввод!$B$4,"БЛОК: оплата после последнего дня расчёта — продлите расчёт или уберите строку","ок"))))))))</f>
        <v/>
      </c>
    </row>
    <row r="147" spans="1:5" x14ac:dyDescent="0.3">
      <c r="A147" s="9"/>
      <c r="B147" s="10"/>
      <c r="C147" s="15"/>
      <c r="D147" s="15"/>
      <c r="E147" s="4" t="str">
        <f>IF(AND(A147="",B147="",C147="",D147=""),"",IF(OR(A147="",B147=""),"БЛОК: нужны и дата, и сумма",IF(B147&lt;=0,"БЛОК: сумма должна быть больше нуля",IF(D147="","БЛОК: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вас",IF(COUNTIF(Акты!$B$5:$B$16,D147)=0,"БЛОК: такого акта нет на листе «Акты» — добавьте акт или исправьте идентификатор",IF(NOT(ISNUMBER(INDEX(Акты!$E$5:$E$16,MATCH(D147,Акты!$B$5:$B$16,0)))),"БЛОК: у этого акта на листе «Акты» не указан первый день просрочки",IF(A147&lt;INDEX(Акты!$E$5:$E$16,MATCH(D147,Акты!$B$5:$B$16,0)),"БЛОК: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сюда",IF(A147&gt;Ввод!$B$4,"БЛОК: оплата после последнего дня расчёта — продлите расчёт или уберите строку","ок"))))))))</f>
        <v/>
      </c>
    </row>
    <row r="148" spans="1:5" x14ac:dyDescent="0.3">
      <c r="A148" s="9"/>
      <c r="B148" s="10"/>
      <c r="C148" s="15"/>
      <c r="D148" s="15"/>
      <c r="E148" s="4" t="str">
        <f>IF(AND(A148="",B148="",C148="",D148=""),"",IF(OR(A148="",B148=""),"БЛОК: нужны и дата, и сумма",IF(B148&lt;=0,"БЛОК: сумма должна быть больше нуля",IF(D148="","БЛОК: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вас",IF(COUNTIF(Акты!$B$5:$B$16,D148)=0,"БЛОК: такого акта нет на листе «Акты» — добавьте акт или исправьте идентификатор",IF(NOT(ISNUMBER(INDEX(Акты!$E$5:$E$16,MATCH(D148,Акты!$B$5:$B$16,0)))),"БЛОК: у этого акта на листе «Акты» не указан первый день просрочки",IF(A148&lt;INDEX(Акты!$E$5:$E$16,MATCH(D148,Акты!$B$5:$B$16,0)),"БЛОК: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сюда",IF(A148&gt;Ввод!$B$4,"БЛОК: оплата после последнего дня расчёта — продлите расчёт или уберите строку","ок"))))))))</f>
        <v/>
      </c>
    </row>
    <row r="149" spans="1:5" x14ac:dyDescent="0.3">
      <c r="A149" s="9"/>
      <c r="B149" s="10"/>
      <c r="C149" s="15"/>
      <c r="D149" s="15"/>
      <c r="E149" s="4" t="str">
        <f>IF(AND(A149="",B149="",C149="",D149=""),"",IF(OR(A149="",B149=""),"БЛОК: нужны и дата, и сумма",IF(B149&lt;=0,"БЛОК: сумма должна быть больше нуля",IF(D149="","БЛОК: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вас",IF(COUNTIF(Акты!$B$5:$B$16,D149)=0,"БЛОК: такого акта нет на листе «Акты» — добавьте акт или исправьте идентификатор",IF(NOT(ISNUMBER(INDEX(Акты!$E$5:$E$16,MATCH(D149,Акты!$B$5:$B$16,0)))),"БЛОК: у этого акта на листе «Акты» не указан первый день просрочки",IF(A149&lt;INDEX(Акты!$E$5:$E$16,MATCH(D149,Акты!$B$5:$B$16,0)),"БЛОК: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сюда",IF(A149&gt;Ввод!$B$4,"БЛОК: оплата после последнего дня расчёта — продлите расчёт или уберите строку","ок"))))))))</f>
        <v/>
      </c>
    </row>
    <row r="150" spans="1:5" x14ac:dyDescent="0.3">
      <c r="A150" s="9"/>
      <c r="B150" s="10"/>
      <c r="C150" s="15"/>
      <c r="D150" s="15"/>
      <c r="E150" s="4" t="str">
        <f>IF(AND(A150="",B150="",C150="",D150=""),"",IF(OR(A150="",B150=""),"БЛОК: нужны и дата, и сумма",IF(B150&lt;=0,"БЛОК: сумма должна быть больше нуля",IF(D150="","БЛОК: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вас",IF(COUNTIF(Акты!$B$5:$B$16,D150)=0,"БЛОК: такого акта нет на листе «Акты» — добавьте акт или исправьте идентификатор",IF(NOT(ISNUMBER(INDEX(Акты!$E$5:$E$16,MATCH(D150,Акты!$B$5:$B$16,0)))),"БЛОК: у этого акта на листе «Акты» не указан первый день просрочки",IF(A150&lt;INDEX(Акты!$E$5:$E$16,MATCH(D150,Акты!$B$5:$B$16,0)),"БЛОК: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сюда",IF(A150&gt;Ввод!$B$4,"БЛОК: оплата после последнего дня расчёта — продлите расчёт или уберите строку","ок"))))))))</f>
        <v/>
      </c>
    </row>
    <row r="151" spans="1:5" x14ac:dyDescent="0.3">
      <c r="A151" s="9"/>
      <c r="B151" s="10"/>
      <c r="C151" s="15"/>
      <c r="D151" s="15"/>
      <c r="E151" s="4" t="str">
        <f>IF(AND(A151="",B151="",C151="",D151=""),"",IF(OR(A151="",B151=""),"БЛОК: нужны и дата, и сумма",IF(B151&lt;=0,"БЛОК: сумма должна быть больше нуля",IF(D151="","БЛОК: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вас",IF(COUNTIF(Акты!$B$5:$B$16,D151)=0,"БЛОК: такого акта нет на листе «Акты» — добавьте акт или исправьте идентификатор",IF(NOT(ISNUMBER(INDEX(Акты!$E$5:$E$16,MATCH(D151,Акты!$B$5:$B$16,0)))),"БЛОК: у этого акта на листе «Акты» не указан первый день просрочки",IF(A151&lt;INDEX(Акты!$E$5:$E$16,MATCH(D151,Акты!$B$5:$B$16,0)),"БЛОК: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сюда",IF(A151&gt;Ввод!$B$4,"БЛОК: оплата после последнего дня расчёта — продлите расчёт или уберите строку","ок"))))))))</f>
        <v/>
      </c>
    </row>
    <row r="152" spans="1:5" x14ac:dyDescent="0.3">
      <c r="A152" s="9"/>
      <c r="B152" s="10"/>
      <c r="C152" s="15"/>
      <c r="D152" s="15"/>
      <c r="E152" s="4" t="str">
        <f>IF(AND(A152="",B152="",C152="",D152=""),"",IF(OR(A152="",B152=""),"БЛОК: нужны и дата, и сумма",IF(B152&lt;=0,"БЛОК: сумма должна быть больше нуля",IF(D152="","БЛОК: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вас",IF(COUNTIF(Акты!$B$5:$B$16,D152)=0,"БЛОК: такого акта нет на листе «Акты» — добавьте акт или исправьте идентификатор",IF(NOT(ISNUMBER(INDEX(Акты!$E$5:$E$16,MATCH(D152,Акты!$B$5:$B$16,0)))),"БЛОК: у этого акта на листе «Акты» не указан первый день просрочки",IF(A152&lt;INDEX(Акты!$E$5:$E$16,MATCH(D152,Акты!$B$5:$B$16,0)),"БЛОК: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сюда",IF(A152&gt;Ввод!$B$4,"БЛОК: оплата после последнего дня расчёта — продлите расчёт или уберите строку","ок"))))))))</f>
        <v/>
      </c>
    </row>
    <row r="153" spans="1:5" x14ac:dyDescent="0.3">
      <c r="A153" s="9"/>
      <c r="B153" s="10"/>
      <c r="C153" s="15"/>
      <c r="D153" s="15"/>
      <c r="E153" s="4" t="str">
        <f>IF(AND(A153="",B153="",C153="",D153=""),"",IF(OR(A153="",B153=""),"БЛОК: нужны и дата, и сумма",IF(B153&lt;=0,"БЛОК: сумма должна быть больше нуля",IF(D153="","БЛОК: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вас",IF(COUNTIF(Акты!$B$5:$B$16,D153)=0,"БЛОК: такого акта нет на листе «Акты» — добавьте акт или исправьте идентификатор",IF(NOT(ISNUMBER(INDEX(Акты!$E$5:$E$16,MATCH(D153,Акты!$B$5:$B$16,0)))),"БЛОК: у этого акта на листе «Акты» не указан первый день просрочки",IF(A153&lt;INDEX(Акты!$E$5:$E$16,MATCH(D153,Акты!$B$5:$B$16,0)),"БЛОК: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сюда",IF(A153&gt;Ввод!$B$4,"БЛОК: оплата после последнего дня расчёта — продлите расчёт или уберите строку","ок"))))))))</f>
        <v/>
      </c>
    </row>
    <row r="154" spans="1:5" x14ac:dyDescent="0.3">
      <c r="A154" s="9"/>
      <c r="B154" s="10"/>
      <c r="C154" s="15"/>
      <c r="D154" s="15"/>
      <c r="E154" s="4" t="str">
        <f>IF(AND(A154="",B154="",C154="",D154=""),"",IF(OR(A154="",B154=""),"БЛОК: нужны и дата, и сумма",IF(B154&lt;=0,"БЛОК: сумма должна быть больше нуля",IF(D154="","БЛОК: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вас",IF(COUNTIF(Акты!$B$5:$B$16,D154)=0,"БЛОК: такого акта нет на листе «Акты» — добавьте акт или исправьте идентификатор",IF(NOT(ISNUMBER(INDEX(Акты!$E$5:$E$16,MATCH(D154,Акты!$B$5:$B$16,0)))),"БЛОК: у этого акта на листе «Акты» не указан первый день просрочки",IF(A154&lt;INDEX(Акты!$E$5:$E$16,MATCH(D154,Акты!$B$5:$B$16,0)),"БЛОК: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сюда",IF(A154&gt;Ввод!$B$4,"БЛОК: оплата после последнего дня расчёта — продлите расчёт или уберите строку","ок"))))))))</f>
        <v/>
      </c>
    </row>
    <row r="155" spans="1:5" x14ac:dyDescent="0.3">
      <c r="A155" s="9"/>
      <c r="B155" s="10"/>
      <c r="C155" s="15"/>
      <c r="D155" s="15"/>
      <c r="E155" s="4" t="str">
        <f>IF(AND(A155="",B155="",C155="",D155=""),"",IF(OR(A155="",B155=""),"БЛОК: нужны и дата, и сумма",IF(B155&lt;=0,"БЛОК: сумма должна быть больше нуля",IF(D155="","БЛОК: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вас",IF(COUNTIF(Акты!$B$5:$B$16,D155)=0,"БЛОК: такого акта нет на листе «Акты» — добавьте акт или исправьте идентификатор",IF(NOT(ISNUMBER(INDEX(Акты!$E$5:$E$16,MATCH(D155,Акты!$B$5:$B$16,0)))),"БЛОК: у этого акта на листе «Акты» не указан первый день просрочки",IF(A155&lt;INDEX(Акты!$E$5:$E$16,MATCH(D155,Акты!$B$5:$B$16,0)),"БЛОК: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сюда",IF(A155&gt;Ввод!$B$4,"БЛОК: оплата после последнего дня расчёта — продлите расчёт или уберите строку","ок"))))))))</f>
        <v/>
      </c>
    </row>
    <row r="156" spans="1:5" x14ac:dyDescent="0.3">
      <c r="A156" s="9"/>
      <c r="B156" s="10"/>
      <c r="C156" s="15"/>
      <c r="D156" s="15"/>
      <c r="E156" s="4" t="str">
        <f>IF(AND(A156="",B156="",C156="",D156=""),"",IF(OR(A156="",B156=""),"БЛОК: нужны и дата, и сумма",IF(B156&lt;=0,"БЛОК: сумма должна быть больше нуля",IF(D156="","БЛОК: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вас",IF(COUNTIF(Акты!$B$5:$B$16,D156)=0,"БЛОК: такого акта нет на листе «Акты» — добавьте акт или исправьте идентификатор",IF(NOT(ISNUMBER(INDEX(Акты!$E$5:$E$16,MATCH(D156,Акты!$B$5:$B$16,0)))),"БЛОК: у этого акта на листе «Акты» не указан первый день просрочки",IF(A156&lt;INDEX(Акты!$E$5:$E$16,MATCH(D156,Акты!$B$5:$B$16,0)),"БЛОК: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сюда",IF(A156&gt;Ввод!$B$4,"БЛОК: оплата после последнего дня расчёта — продлите расчёт или уберите строку","ок"))))))))</f>
        <v/>
      </c>
    </row>
    <row r="157" spans="1:5" x14ac:dyDescent="0.3">
      <c r="A157" s="9"/>
      <c r="B157" s="10"/>
      <c r="C157" s="15"/>
      <c r="D157" s="15"/>
      <c r="E157" s="4" t="str">
        <f>IF(AND(A157="",B157="",C157="",D157=""),"",IF(OR(A157="",B157=""),"БЛОК: нужны и дата, и сумма",IF(B157&lt;=0,"БЛОК: сумма должна быть больше нуля",IF(D157="","БЛОК: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вас",IF(COUNTIF(Акты!$B$5:$B$16,D157)=0,"БЛОК: такого акта нет на листе «Акты» — добавьте акт или исправьте идентификатор",IF(NOT(ISNUMBER(INDEX(Акты!$E$5:$E$16,MATCH(D157,Акты!$B$5:$B$16,0)))),"БЛОК: у этого акта на листе «Акты» не указан первый день просрочки",IF(A157&lt;INDEX(Акты!$E$5:$E$16,MATCH(D157,Акты!$B$5:$B$16,0)),"БЛОК: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сюда",IF(A157&gt;Ввод!$B$4,"БЛОК: оплата после последнего дня расчёта — продлите расчёт или уберите строку","ок"))))))))</f>
        <v/>
      </c>
    </row>
    <row r="158" spans="1:5" x14ac:dyDescent="0.3">
      <c r="A158" s="9"/>
      <c r="B158" s="10"/>
      <c r="C158" s="15"/>
      <c r="D158" s="15"/>
      <c r="E158" s="4" t="str">
        <f>IF(AND(A158="",B158="",C158="",D158=""),"",IF(OR(A158="",B158=""),"БЛОК: нужны и дата, и сумма",IF(B158&lt;=0,"БЛОК: сумма должна быть больше нуля",IF(D158="","БЛОК: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вас",IF(COUNTIF(Акты!$B$5:$B$16,D158)=0,"БЛОК: такого акта нет на листе «Акты» — добавьте акт или исправьте идентификатор",IF(NOT(ISNUMBER(INDEX(Акты!$E$5:$E$16,MATCH(D158,Акты!$B$5:$B$16,0)))),"БЛОК: у этого акта на листе «Акты» не указан первый день просрочки",IF(A158&lt;INDEX(Акты!$E$5:$E$16,MATCH(D158,Акты!$B$5:$B$16,0)),"БЛОК: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сюда",IF(A158&gt;Ввод!$B$4,"БЛОК: оплата после последнего дня расчёта — продлите расчёт или уберите строку","ок"))))))))</f>
        <v/>
      </c>
    </row>
    <row r="159" spans="1:5" x14ac:dyDescent="0.3">
      <c r="A159" s="9"/>
      <c r="B159" s="10"/>
      <c r="C159" s="15"/>
      <c r="D159" s="15"/>
      <c r="E159" s="4" t="str">
        <f>IF(AND(A159="",B159="",C159="",D159=""),"",IF(OR(A159="",B159=""),"БЛОК: нужны и дата, и сумма",IF(B159&lt;=0,"БЛОК: сумма должна быть больше нуля",IF(D159="","БЛОК: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вас",IF(COUNTIF(Акты!$B$5:$B$16,D159)=0,"БЛОК: такого акта нет на листе «Акты» — добавьте акт или исправьте идентификатор",IF(NOT(ISNUMBER(INDEX(Акты!$E$5:$E$16,MATCH(D159,Акты!$B$5:$B$16,0)))),"БЛОК: у этого акта на листе «Акты» не указан первый день просрочки",IF(A159&lt;INDEX(Акты!$E$5:$E$16,MATCH(D159,Акты!$B$5:$B$16,0)),"БЛОК: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сюда",IF(A159&gt;Ввод!$B$4,"БЛОК: оплата после последнего дня расчёта — продлите расчёт или уберите строку","ок"))))))))</f>
        <v/>
      </c>
    </row>
    <row r="160" spans="1:5" x14ac:dyDescent="0.3">
      <c r="A160" s="9"/>
      <c r="B160" s="10"/>
      <c r="C160" s="15"/>
      <c r="D160" s="15"/>
      <c r="E160" s="4" t="str">
        <f>IF(AND(A160="",B160="",C160="",D160=""),"",IF(OR(A160="",B160=""),"БЛОК: нужны и дата, и сумма",IF(B160&lt;=0,"БЛОК: сумма должна быть больше нуля",IF(D160="","БЛОК: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вас",IF(COUNTIF(Акты!$B$5:$B$16,D160)=0,"БЛОК: такого акта нет на листе «Акты» — добавьте акт или исправьте идентификатор",IF(NOT(ISNUMBER(INDEX(Акты!$E$5:$E$16,MATCH(D160,Акты!$B$5:$B$16,0)))),"БЛОК: у этого акта на листе «Акты» не указан первый день просрочки",IF(A160&lt;INDEX(Акты!$E$5:$E$16,MATCH(D160,Акты!$B$5:$B$16,0)),"БЛОК: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сюда",IF(A160&gt;Ввод!$B$4,"БЛОК: оплата после последнего дня расчёта — продлите расчёт или уберите строку","ок"))))))))</f>
        <v/>
      </c>
    </row>
    <row r="161" spans="1:5" x14ac:dyDescent="0.3">
      <c r="A161" s="9"/>
      <c r="B161" s="10"/>
      <c r="C161" s="15"/>
      <c r="D161" s="15"/>
      <c r="E161" s="4" t="str">
        <f>IF(AND(A161="",B161="",C161="",D161=""),"",IF(OR(A161="",B161=""),"БЛОК: нужны и дата, и сумма",IF(B161&lt;=0,"БЛОК: сумма должна быть больше нуля",IF(D161="","БЛОК: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вас",IF(COUNTIF(Акты!$B$5:$B$16,D161)=0,"БЛОК: такого акта нет на листе «Акты» — добавьте акт или исправьте идентификатор",IF(NOT(ISNUMBER(INDEX(Акты!$E$5:$E$16,MATCH(D161,Акты!$B$5:$B$16,0)))),"БЛОК: у этого акта на листе «Акты» не указан первый день просрочки",IF(A161&lt;INDEX(Акты!$E$5:$E$16,MATCH(D161,Акты!$B$5:$B$16,0)),"БЛОК: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сюда",IF(A161&gt;Ввод!$B$4,"БЛОК: оплата после последнего дня расчёта — продлите расчёт или уберите строку","ок"))))))))</f>
        <v/>
      </c>
    </row>
    <row r="162" spans="1:5" x14ac:dyDescent="0.3">
      <c r="A162" s="9"/>
      <c r="B162" s="10"/>
      <c r="C162" s="15"/>
      <c r="D162" s="15"/>
      <c r="E162" s="4" t="str">
        <f>IF(AND(A162="",B162="",C162="",D162=""),"",IF(OR(A162="",B162=""),"БЛОК: нужны и дата, и сумма",IF(B162&lt;=0,"БЛОК: сумма должна быть больше нуля",IF(D162="","БЛОК: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вас",IF(COUNTIF(Акты!$B$5:$B$16,D162)=0,"БЛОК: такого акта нет на листе «Акты» — добавьте акт или исправьте идентификатор",IF(NOT(ISNUMBER(INDEX(Акты!$E$5:$E$16,MATCH(D162,Акты!$B$5:$B$16,0)))),"БЛОК: у этого акта на листе «Акты» не указан первый день просрочки",IF(A162&lt;INDEX(Акты!$E$5:$E$16,MATCH(D162,Акты!$B$5:$B$16,0)),"БЛОК: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сюда",IF(A162&gt;Ввод!$B$4,"БЛОК: оплата после последнего дня расчёта — продлите расчёт или уберите строку","ок"))))))))</f>
        <v/>
      </c>
    </row>
    <row r="163" spans="1:5" x14ac:dyDescent="0.3">
      <c r="A163" s="9"/>
      <c r="B163" s="10"/>
      <c r="C163" s="15"/>
      <c r="D163" s="15"/>
      <c r="E163" s="4" t="str">
        <f>IF(AND(A163="",B163="",C163="",D163=""),"",IF(OR(A163="",B163=""),"БЛОК: нужны и дата, и сумма",IF(B163&lt;=0,"БЛОК: сумма должна быть больше нуля",IF(D163="","БЛОК: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вас",IF(COUNTIF(Акты!$B$5:$B$16,D163)=0,"БЛОК: такого акта нет на листе «Акты» — добавьте акт или исправьте идентификатор",IF(NOT(ISNUMBER(INDEX(Акты!$E$5:$E$16,MATCH(D163,Акты!$B$5:$B$16,0)))),"БЛОК: у этого акта на листе «Акты» не указан первый день просрочки",IF(A163&lt;INDEX(Акты!$E$5:$E$16,MATCH(D163,Акты!$B$5:$B$16,0)),"БЛОК: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сюда",IF(A163&gt;Ввод!$B$4,"БЛОК: оплата после последнего дня расчёта — продлите расчёт или уберите строку","ок"))))))))</f>
        <v/>
      </c>
    </row>
    <row r="164" spans="1:5" x14ac:dyDescent="0.3">
      <c r="A164" s="9"/>
      <c r="B164" s="10"/>
      <c r="C164" s="15"/>
      <c r="D164" s="15"/>
      <c r="E164" s="4" t="str">
        <f>IF(AND(A164="",B164="",C164="",D164=""),"",IF(OR(A164="",B164=""),"БЛОК: нужны и дата, и сумма",IF(B164&lt;=0,"БЛОК: сумма должна быть больше нуля",IF(D164="","БЛОК: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вас",IF(COUNTIF(Акты!$B$5:$B$16,D164)=0,"БЛОК: такого акта нет на листе «Акты» — добавьте акт или исправьте идентификатор",IF(NOT(ISNUMBER(INDEX(Акты!$E$5:$E$16,MATCH(D164,Акты!$B$5:$B$16,0)))),"БЛОК: у этого акта на листе «Акты» не указан первый день просрочки",IF(A164&lt;INDEX(Акты!$E$5:$E$16,MATCH(D164,Акты!$B$5:$B$16,0)),"БЛОК: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сюда",IF(A164&gt;Ввод!$B$4,"БЛОК: оплата после последнего дня расчёта — продлите расчёт или уберите строку","ок"))))))))</f>
        <v/>
      </c>
    </row>
    <row r="165" spans="1:5" x14ac:dyDescent="0.3">
      <c r="A165" s="9"/>
      <c r="B165" s="10"/>
      <c r="C165" s="15"/>
      <c r="D165" s="15"/>
      <c r="E165" s="4" t="str">
        <f>IF(AND(A165="",B165="",C165="",D165=""),"",IF(OR(A165="",B165=""),"БЛОК: нужны и дата, и сумма",IF(B165&lt;=0,"БЛОК: сумма должна быть больше нуля",IF(D165="","БЛОК: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вас",IF(COUNTIF(Акты!$B$5:$B$16,D165)=0,"БЛОК: такого акта нет на листе «Акты» — добавьте акт или исправьте идентификатор",IF(NOT(ISNUMBER(INDEX(Акты!$E$5:$E$16,MATCH(D165,Акты!$B$5:$B$16,0)))),"БЛОК: у этого акта на листе «Акты» не указан первый день просрочки",IF(A165&lt;INDEX(Акты!$E$5:$E$16,MATCH(D165,Акты!$B$5:$B$16,0)),"БЛОК: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сюда",IF(A165&gt;Ввод!$B$4,"БЛОК: оплата после последнего дня расчёта — продлите расчёт или уберите строку","ок"))))))))</f>
        <v/>
      </c>
    </row>
    <row r="166" spans="1:5" x14ac:dyDescent="0.3">
      <c r="A166" s="9"/>
      <c r="B166" s="10"/>
      <c r="C166" s="15"/>
      <c r="D166" s="15"/>
      <c r="E166" s="4" t="str">
        <f>IF(AND(A166="",B166="",C166="",D166=""),"",IF(OR(A166="",B166=""),"БЛОК: нужны и дата, и сумма",IF(B166&lt;=0,"БЛОК: сумма должна быть больше нуля",IF(D166="","БЛОК: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вас",IF(COUNTIF(Акты!$B$5:$B$16,D166)=0,"БЛОК: такого акта нет на листе «Акты» — добавьте акт или исправьте идентификатор",IF(NOT(ISNUMBER(INDEX(Акты!$E$5:$E$16,MATCH(D166,Акты!$B$5:$B$16,0)))),"БЛОК: у этого акта на листе «Акты» не указан первый день просрочки",IF(A166&lt;INDEX(Акты!$E$5:$E$16,MATCH(D166,Акты!$B$5:$B$16,0)),"БЛОК: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сюда",IF(A166&gt;Ввод!$B$4,"БЛОК: оплата после последнего дня расчёта — продлите расчёт или уберите строку","ок"))))))))</f>
        <v/>
      </c>
    </row>
    <row r="167" spans="1:5" x14ac:dyDescent="0.3">
      <c r="A167" s="9"/>
      <c r="B167" s="10"/>
      <c r="C167" s="15"/>
      <c r="D167" s="15"/>
      <c r="E167" s="4" t="str">
        <f>IF(AND(A167="",B167="",C167="",D167=""),"",IF(OR(A167="",B167=""),"БЛОК: нужны и дата, и сумма",IF(B167&lt;=0,"БЛОК: сумма должна быть больше нуля",IF(D167="","БЛОК: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вас",IF(COUNTIF(Акты!$B$5:$B$16,D167)=0,"БЛОК: такого акта нет на листе «Акты» — добавьте акт или исправьте идентификатор",IF(NOT(ISNUMBER(INDEX(Акты!$E$5:$E$16,MATCH(D167,Акты!$B$5:$B$16,0)))),"БЛОК: у этого акта на листе «Акты» не указан первый день просрочки",IF(A167&lt;INDEX(Акты!$E$5:$E$16,MATCH(D167,Акты!$B$5:$B$16,0)),"БЛОК: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сюда",IF(A167&gt;Ввод!$B$4,"БЛОК: оплата после последнего дня расчёта — продлите расчёт или уберите строку","ок"))))))))</f>
        <v/>
      </c>
    </row>
    <row r="168" spans="1:5" x14ac:dyDescent="0.3">
      <c r="A168" s="9"/>
      <c r="B168" s="10"/>
      <c r="C168" s="15"/>
      <c r="D168" s="15"/>
      <c r="E168" s="4" t="str">
        <f>IF(AND(A168="",B168="",C168="",D168=""),"",IF(OR(A168="",B168=""),"БЛОК: нужны и дата, и сумма",IF(B168&lt;=0,"БЛОК: сумма должна быть больше нуля",IF(D168="","БЛОК: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вас",IF(COUNTIF(Акты!$B$5:$B$16,D168)=0,"БЛОК: такого акта нет на листе «Акты» — добавьте акт или исправьте идентификатор",IF(NOT(ISNUMBER(INDEX(Акты!$E$5:$E$16,MATCH(D168,Акты!$B$5:$B$16,0)))),"БЛОК: у этого акта на листе «Акты» не указан первый день просрочки",IF(A168&lt;INDEX(Акты!$E$5:$E$16,MATCH(D168,Акты!$B$5:$B$16,0)),"БЛОК: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сюда",IF(A168&gt;Ввод!$B$4,"БЛОК: оплата после последнего дня расчёта — продлите расчёт или уберите строку","ок"))))))))</f>
        <v/>
      </c>
    </row>
    <row r="169" spans="1:5" x14ac:dyDescent="0.3">
      <c r="A169" s="9"/>
      <c r="B169" s="10"/>
      <c r="C169" s="15"/>
      <c r="D169" s="15"/>
      <c r="E169" s="4" t="str">
        <f>IF(AND(A169="",B169="",C169="",D169=""),"",IF(OR(A169="",B169=""),"БЛОК: нужны и дата, и сумма",IF(B169&lt;=0,"БЛОК: сумма должна быть больше нуля",IF(D169="","БЛОК: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вас",IF(COUNTIF(Акты!$B$5:$B$16,D169)=0,"БЛОК: такого акта нет на листе «Акты» — добавьте акт или исправьте идентификатор",IF(NOT(ISNUMBER(INDEX(Акты!$E$5:$E$16,MATCH(D169,Акты!$B$5:$B$16,0)))),"БЛОК: у этого акта на листе «Акты» не указан первый день просрочки",IF(A169&lt;INDEX(Акты!$E$5:$E$16,MATCH(D169,Акты!$B$5:$B$16,0)),"БЛОК: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сюда",IF(A169&gt;Ввод!$B$4,"БЛОК: оплата после последнего дня расчёта — продлите расчёт или уберите строку","ок"))))))))</f>
        <v/>
      </c>
    </row>
    <row r="170" spans="1:5" x14ac:dyDescent="0.3">
      <c r="A170" s="9"/>
      <c r="B170" s="10"/>
      <c r="C170" s="15"/>
      <c r="D170" s="15"/>
      <c r="E170" s="4" t="str">
        <f>IF(AND(A170="",B170="",C170="",D170=""),"",IF(OR(A170="",B170=""),"БЛОК: нужны и дата, и сумма",IF(B170&lt;=0,"БЛОК: сумма должна быть больше нуля",IF(D170="","БЛОК: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вас",IF(COUNTIF(Акты!$B$5:$B$16,D170)=0,"БЛОК: такого акта нет на листе «Акты» — добавьте акт или исправьте идентификатор",IF(NOT(ISNUMBER(INDEX(Акты!$E$5:$E$16,MATCH(D170,Акты!$B$5:$B$16,0)))),"БЛОК: у этого акта на листе «Акты» не указан первый день просрочки",IF(A170&lt;INDEX(Акты!$E$5:$E$16,MATCH(D170,Акты!$B$5:$B$16,0)),"БЛОК: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сюда",IF(A170&gt;Ввод!$B$4,"БЛОК: оплата после последнего дня расчёта — продлите расчёт или уберите строку","ок"))))))))</f>
        <v/>
      </c>
    </row>
    <row r="171" spans="1:5" x14ac:dyDescent="0.3">
      <c r="A171" s="9"/>
      <c r="B171" s="10"/>
      <c r="C171" s="15"/>
      <c r="D171" s="15"/>
      <c r="E171" s="4" t="str">
        <f>IF(AND(A171="",B171="",C171="",D171=""),"",IF(OR(A171="",B171=""),"БЛОК: нужны и дата, и сумма",IF(B171&lt;=0,"БЛОК: сумма должна быть больше нуля",IF(D171="","БЛОК: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вас",IF(COUNTIF(Акты!$B$5:$B$16,D171)=0,"БЛОК: такого акта нет на листе «Акты» — добавьте акт или исправьте идентификатор",IF(NOT(ISNUMBER(INDEX(Акты!$E$5:$E$16,MATCH(D171,Акты!$B$5:$B$16,0)))),"БЛОК: у этого акта на листе «Акты» не указан первый день просрочки",IF(A171&lt;INDEX(Акты!$E$5:$E$16,MATCH(D171,Акты!$B$5:$B$16,0)),"БЛОК: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сюда",IF(A171&gt;Ввод!$B$4,"БЛОК: оплата после последнего дня расчёта — продлите расчёт или уберите строку","ок"))))))))</f>
        <v/>
      </c>
    </row>
    <row r="172" spans="1:5" x14ac:dyDescent="0.3">
      <c r="A172" s="9"/>
      <c r="B172" s="10"/>
      <c r="C172" s="15"/>
      <c r="D172" s="15"/>
      <c r="E172" s="4" t="str">
        <f>IF(AND(A172="",B172="",C172="",D172=""),"",IF(OR(A172="",B172=""),"БЛОК: нужны и дата, и сумма",IF(B172&lt;=0,"БЛОК: сумма должна быть больше нуля",IF(D172="","БЛОК: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вас",IF(COUNTIF(Акты!$B$5:$B$16,D172)=0,"БЛОК: такого акта нет на листе «Акты» — добавьте акт или исправьте идентификатор",IF(NOT(ISNUMBER(INDEX(Акты!$E$5:$E$16,MATCH(D172,Акты!$B$5:$B$16,0)))),"БЛОК: у этого акта на листе «Акты» не указан первый день просрочки",IF(A172&lt;INDEX(Акты!$E$5:$E$16,MATCH(D172,Акты!$B$5:$B$16,0)),"БЛОК: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сюда",IF(A172&gt;Ввод!$B$4,"БЛОК: оплата после последнего дня расчёта — продлите расчёт или уберите строку","ок"))))))))</f>
        <v/>
      </c>
    </row>
    <row r="173" spans="1:5" x14ac:dyDescent="0.3">
      <c r="A173" s="9"/>
      <c r="B173" s="10"/>
      <c r="C173" s="15"/>
      <c r="D173" s="15"/>
      <c r="E173" s="4" t="str">
        <f>IF(AND(A173="",B173="",C173="",D173=""),"",IF(OR(A173="",B173=""),"БЛОК: нужны и дата, и сумма",IF(B173&lt;=0,"БЛОК: сумма должна быть больше нуля",IF(D173="","БЛОК: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вас",IF(COUNTIF(Акты!$B$5:$B$16,D173)=0,"БЛОК: такого акта нет на листе «Акты» — добавьте акт или исправьте идентификатор",IF(NOT(ISNUMBER(INDEX(Акты!$E$5:$E$16,MATCH(D173,Акты!$B$5:$B$16,0)))),"БЛОК: у этого акта на листе «Акты» не указан первый день просрочки",IF(A173&lt;INDEX(Акты!$E$5:$E$16,MATCH(D173,Акты!$B$5:$B$16,0)),"БЛОК: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сюда",IF(A173&gt;Ввод!$B$4,"БЛОК: оплата после последнего дня расчёта — продлите расчёт или уберите строку","ок"))))))))</f>
        <v/>
      </c>
    </row>
    <row r="174" spans="1:5" x14ac:dyDescent="0.3">
      <c r="A174" s="9"/>
      <c r="B174" s="10"/>
      <c r="C174" s="15"/>
      <c r="D174" s="15"/>
      <c r="E174" s="4" t="str">
        <f>IF(AND(A174="",B174="",C174="",D174=""),"",IF(OR(A174="",B174=""),"БЛОК: нужны и дата, и сумма",IF(B174&lt;=0,"БЛОК: сумма должна быть больше нуля",IF(D174="","БЛОК: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вас",IF(COUNTIF(Акты!$B$5:$B$16,D174)=0,"БЛОК: такого акта нет на листе «Акты» — добавьте акт или исправьте идентификатор",IF(NOT(ISNUMBER(INDEX(Акты!$E$5:$E$16,MATCH(D174,Акты!$B$5:$B$16,0)))),"БЛОК: у этого акта на листе «Акты» не указан первый день просрочки",IF(A174&lt;INDEX(Акты!$E$5:$E$16,MATCH(D174,Акты!$B$5:$B$16,0)),"БЛОК: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сюда",IF(A174&gt;Ввод!$B$4,"БЛОК: оплата после последнего дня расчёта — продлите расчёт или уберите строку","ок"))))))))</f>
        <v/>
      </c>
    </row>
    <row r="175" spans="1:5" x14ac:dyDescent="0.3">
      <c r="A175" s="9"/>
      <c r="B175" s="10"/>
      <c r="C175" s="15"/>
      <c r="D175" s="15"/>
      <c r="E175" s="4" t="str">
        <f>IF(AND(A175="",B175="",C175="",D175=""),"",IF(OR(A175="",B175=""),"БЛОК: нужны и дата, и сумма",IF(B175&lt;=0,"БЛОК: сумма должна быть больше нуля",IF(D175="","БЛОК: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вас",IF(COUNTIF(Акты!$B$5:$B$16,D175)=0,"БЛОК: такого акта нет на листе «Акты» — добавьте акт или исправьте идентификатор",IF(NOT(ISNUMBER(INDEX(Акты!$E$5:$E$16,MATCH(D175,Акты!$B$5:$B$16,0)))),"БЛОК: у этого акта на листе «Акты» не указан первый день просрочки",IF(A175&lt;INDEX(Акты!$E$5:$E$16,MATCH(D175,Акты!$B$5:$B$16,0)),"БЛОК: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сюда",IF(A175&gt;Ввод!$B$4,"БЛОК: оплата после последнего дня расчёта — продлите расчёт или уберите строку","ок"))))))))</f>
        <v/>
      </c>
    </row>
    <row r="176" spans="1:5" x14ac:dyDescent="0.3">
      <c r="A176" s="9"/>
      <c r="B176" s="10"/>
      <c r="C176" s="15"/>
      <c r="D176" s="15"/>
      <c r="E176" s="4" t="str">
        <f>IF(AND(A176="",B176="",C176="",D176=""),"",IF(OR(A176="",B176=""),"БЛОК: нужны и дата, и сумма",IF(B176&lt;=0,"БЛОК: сумма должна быть больше нуля",IF(D176="","БЛОК: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вас",IF(COUNTIF(Акты!$B$5:$B$16,D176)=0,"БЛОК: такого акта нет на листе «Акты» — добавьте акт или исправьте идентификатор",IF(NOT(ISNUMBER(INDEX(Акты!$E$5:$E$16,MATCH(D176,Акты!$B$5:$B$16,0)))),"БЛОК: у этого акта на листе «Акты» не указан первый день просрочки",IF(A176&lt;INDEX(Акты!$E$5:$E$16,MATCH(D176,Акты!$B$5:$B$16,0)),"БЛОК: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сюда",IF(A176&gt;Ввод!$B$4,"БЛОК: оплата после последнего дня расчёта — продлите расчёт или уберите строку","ок"))))))))</f>
        <v/>
      </c>
    </row>
    <row r="177" spans="1:5" x14ac:dyDescent="0.3">
      <c r="A177" s="9"/>
      <c r="B177" s="10"/>
      <c r="C177" s="15"/>
      <c r="D177" s="15"/>
      <c r="E177" s="4" t="str">
        <f>IF(AND(A177="",B177="",C177="",D177=""),"",IF(OR(A177="",B177=""),"БЛОК: нужны и дата, и сумма",IF(B177&lt;=0,"БЛОК: сумма должна быть больше нуля",IF(D177="","БЛОК: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вас",IF(COUNTIF(Акты!$B$5:$B$16,D177)=0,"БЛОК: такого акта нет на листе «Акты» — добавьте акт или исправьте идентификатор",IF(NOT(ISNUMBER(INDEX(Акты!$E$5:$E$16,MATCH(D177,Акты!$B$5:$B$16,0)))),"БЛОК: у этого акта на листе «Акты» не указан первый день просрочки",IF(A177&lt;INDEX(Акты!$E$5:$E$16,MATCH(D177,Акты!$B$5:$B$16,0)),"БЛОК: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сюда",IF(A177&gt;Ввод!$B$4,"БЛОК: оплата после последнего дня расчёта — продлите расчёт или уберите строку","ок"))))))))</f>
        <v/>
      </c>
    </row>
    <row r="178" spans="1:5" x14ac:dyDescent="0.3">
      <c r="A178" s="9"/>
      <c r="B178" s="10"/>
      <c r="C178" s="15"/>
      <c r="D178" s="15"/>
      <c r="E178" s="4" t="str">
        <f>IF(AND(A178="",B178="",C178="",D178=""),"",IF(OR(A178="",B178=""),"БЛОК: нужны и дата, и сумма",IF(B178&lt;=0,"БЛОК: сумма должна быть больше нуля",IF(D178="","БЛОК: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вас",IF(COUNTIF(Акты!$B$5:$B$16,D178)=0,"БЛОК: такого акта нет на листе «Акты» — добавьте акт или исправьте идентификатор",IF(NOT(ISNUMBER(INDEX(Акты!$E$5:$E$16,MATCH(D178,Акты!$B$5:$B$16,0)))),"БЛОК: у этого акта на листе «Акты» не указан первый день просрочки",IF(A178&lt;INDEX(Акты!$E$5:$E$16,MATCH(D178,Акты!$B$5:$B$16,0)),"БЛОК: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сюда",IF(A178&gt;Ввод!$B$4,"БЛОК: оплата после последнего дня расчёта — продлите расчёт или уберите строку","ок"))))))))</f>
        <v/>
      </c>
    </row>
    <row r="179" spans="1:5" x14ac:dyDescent="0.3">
      <c r="A179" s="9"/>
      <c r="B179" s="10"/>
      <c r="C179" s="15"/>
      <c r="D179" s="15"/>
      <c r="E179" s="4" t="str">
        <f>IF(AND(A179="",B179="",C179="",D179=""),"",IF(OR(A179="",B179=""),"БЛОК: нужны и дата, и сумма",IF(B179&lt;=0,"БЛОК: сумма должна быть больше нуля",IF(D179="","БЛОК: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вас",IF(COUNTIF(Акты!$B$5:$B$16,D179)=0,"БЛОК: такого акта нет на листе «Акты» — добавьте акт или исправьте идентификатор",IF(NOT(ISNUMBER(INDEX(Акты!$E$5:$E$16,MATCH(D179,Акты!$B$5:$B$16,0)))),"БЛОК: у этого акта на листе «Акты» не указан первый день просрочки",IF(A179&lt;INDEX(Акты!$E$5:$E$16,MATCH(D179,Акты!$B$5:$B$16,0)),"БЛОК: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сюда",IF(A179&gt;Ввод!$B$4,"БЛОК: оплата после последнего дня расчёта — продлите расчёт или уберите строку","ок"))))))))</f>
        <v/>
      </c>
    </row>
    <row r="180" spans="1:5" x14ac:dyDescent="0.3">
      <c r="A180" s="9"/>
      <c r="B180" s="10"/>
      <c r="C180" s="15"/>
      <c r="D180" s="15"/>
      <c r="E180" s="4" t="str">
        <f>IF(AND(A180="",B180="",C180="",D180=""),"",IF(OR(A180="",B180=""),"БЛОК: нужны и дата, и сумма",IF(B180&lt;=0,"БЛОК: сумма должна быть больше нуля",IF(D180="","БЛОК: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вас",IF(COUNTIF(Акты!$B$5:$B$16,D180)=0,"БЛОК: такого акта нет на листе «Акты» — добавьте акт или исправьте идентификатор",IF(NOT(ISNUMBER(INDEX(Акты!$E$5:$E$16,MATCH(D180,Акты!$B$5:$B$16,0)))),"БЛОК: у этого акта на листе «Акты» не указан первый день просрочки",IF(A180&lt;INDEX(Акты!$E$5:$E$16,MATCH(D180,Акты!$B$5:$B$16,0)),"БЛОК: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сюда",IF(A180&gt;Ввод!$B$4,"БЛОК: оплата после последнего дня расчёта — продлите расчёт или уберите строку","ок"))))))))</f>
        <v/>
      </c>
    </row>
    <row r="181" spans="1:5" x14ac:dyDescent="0.3">
      <c r="A181" s="9"/>
      <c r="B181" s="10"/>
      <c r="C181" s="15"/>
      <c r="D181" s="15"/>
      <c r="E181" s="4" t="str">
        <f>IF(AND(A181="",B181="",C181="",D181=""),"",IF(OR(A181="",B181=""),"БЛОК: нужны и дата, и сумма",IF(B181&lt;=0,"БЛОК: сумма должна быть больше нуля",IF(D181="","БЛОК: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вас",IF(COUNTIF(Акты!$B$5:$B$16,D181)=0,"БЛОК: такого акта нет на листе «Акты» — добавьте акт или исправьте идентификатор",IF(NOT(ISNUMBER(INDEX(Акты!$E$5:$E$16,MATCH(D181,Акты!$B$5:$B$16,0)))),"БЛОК: у этого акта на листе «Акты» не указан первый день просрочки",IF(A181&lt;INDEX(Акты!$E$5:$E$16,MATCH(D181,Акты!$B$5:$B$16,0)),"БЛОК: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сюда",IF(A181&gt;Ввод!$B$4,"БЛОК: оплата после последнего дня расчёта — продлите расчёт или уберите строку","ок"))))))))</f>
        <v/>
      </c>
    </row>
    <row r="182" spans="1:5" x14ac:dyDescent="0.3">
      <c r="A182" s="9"/>
      <c r="B182" s="10"/>
      <c r="C182" s="15"/>
      <c r="D182" s="15"/>
      <c r="E182" s="4" t="str">
        <f>IF(AND(A182="",B182="",C182="",D182=""),"",IF(OR(A182="",B182=""),"БЛОК: нужны и дата, и сумма",IF(B182&lt;=0,"БЛОК: сумма должна быть больше нуля",IF(D182="","БЛОК: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вас",IF(COUNTIF(Акты!$B$5:$B$16,D182)=0,"БЛОК: такого акта нет на листе «Акты» — добавьте акт или исправьте идентификатор",IF(NOT(ISNUMBER(INDEX(Акты!$E$5:$E$16,MATCH(D182,Акты!$B$5:$B$16,0)))),"БЛОК: у этого акта на листе «Акты» не указан первый день просрочки",IF(A182&lt;INDEX(Акты!$E$5:$E$16,MATCH(D182,Акты!$B$5:$B$16,0)),"БЛОК: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сюда",IF(A182&gt;Ввод!$B$4,"БЛОК: оплата после последнего дня расчёта — продлите расчёт или уберите строку","ок"))))))))</f>
        <v/>
      </c>
    </row>
    <row r="183" spans="1:5" x14ac:dyDescent="0.3">
      <c r="A183" s="9"/>
      <c r="B183" s="10"/>
      <c r="C183" s="15"/>
      <c r="D183" s="15"/>
      <c r="E183" s="4" t="str">
        <f>IF(AND(A183="",B183="",C183="",D183=""),"",IF(OR(A183="",B183=""),"БЛОК: нужны и дата, и сумма",IF(B183&lt;=0,"БЛОК: сумма должна быть больше нуля",IF(D183="","БЛОК: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вас",IF(COUNTIF(Акты!$B$5:$B$16,D183)=0,"БЛОК: такого акта нет на листе «Акты» — добавьте акт или исправьте идентификатор",IF(NOT(ISNUMBER(INDEX(Акты!$E$5:$E$16,MATCH(D183,Акты!$B$5:$B$16,0)))),"БЛОК: у этого акта на листе «Акты» не указан первый день просрочки",IF(A183&lt;INDEX(Акты!$E$5:$E$16,MATCH(D183,Акты!$B$5:$B$16,0)),"БЛОК: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сюда",IF(A183&gt;Ввод!$B$4,"БЛОК: оплата после последнего дня расчёта — продлите расчёт или уберите строку","ок"))))))))</f>
        <v/>
      </c>
    </row>
    <row r="184" spans="1:5" x14ac:dyDescent="0.3">
      <c r="A184" s="9"/>
      <c r="B184" s="10"/>
      <c r="C184" s="15"/>
      <c r="D184" s="15"/>
      <c r="E184" s="4" t="str">
        <f>IF(AND(A184="",B184="",C184="",D184=""),"",IF(OR(A184="",B184=""),"БЛОК: нужны и дата, и сумма",IF(B184&lt;=0,"БЛОК: сумма должна быть больше нуля",IF(D184="","БЛОК: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вас",IF(COUNTIF(Акты!$B$5:$B$16,D184)=0,"БЛОК: такого акта нет на листе «Акты» — добавьте акт или исправьте идентификатор",IF(NOT(ISNUMBER(INDEX(Акты!$E$5:$E$16,MATCH(D184,Акты!$B$5:$B$16,0)))),"БЛОК: у этого акта на листе «Акты» не указан первый день просрочки",IF(A184&lt;INDEX(Акты!$E$5:$E$16,MATCH(D184,Акты!$B$5:$B$16,0)),"БЛОК: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сюда",IF(A184&gt;Ввод!$B$4,"БЛОК: оплата после последнего дня расчёта — продлите расчёт или уберите строку","ок"))))))))</f>
        <v/>
      </c>
    </row>
    <row r="185" spans="1:5" x14ac:dyDescent="0.3">
      <c r="A185" s="9"/>
      <c r="B185" s="10"/>
      <c r="C185" s="15"/>
      <c r="D185" s="15"/>
      <c r="E185" s="4" t="str">
        <f>IF(AND(A185="",B185="",C185="",D185=""),"",IF(OR(A185="",B185=""),"БЛОК: нужны и дата, и сумма",IF(B185&lt;=0,"БЛОК: сумма должна быть больше нуля",IF(D185="","БЛОК: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вас",IF(COUNTIF(Акты!$B$5:$B$16,D185)=0,"БЛОК: такого акта нет на листе «Акты» — добавьте акт или исправьте идентификатор",IF(NOT(ISNUMBER(INDEX(Акты!$E$5:$E$16,MATCH(D185,Акты!$B$5:$B$16,0)))),"БЛОК: у этого акта на листе «Акты» не указан первый день просрочки",IF(A185&lt;INDEX(Акты!$E$5:$E$16,MATCH(D185,Акты!$B$5:$B$16,0)),"БЛОК: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сюда",IF(A185&gt;Ввод!$B$4,"БЛОК: оплата после последнего дня расчёта — продлите расчёт или уберите строку","ок"))))))))</f>
        <v/>
      </c>
    </row>
    <row r="186" spans="1:5" x14ac:dyDescent="0.3">
      <c r="A186" s="9"/>
      <c r="B186" s="10"/>
      <c r="C186" s="15"/>
      <c r="D186" s="15"/>
      <c r="E186" s="4" t="str">
        <f>IF(AND(A186="",B186="",C186="",D186=""),"",IF(OR(A186="",B186=""),"БЛОК: нужны и дата, и сумма",IF(B186&lt;=0,"БЛОК: сумма должна быть больше нуля",IF(D186="","БЛОК: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вас",IF(COUNTIF(Акты!$B$5:$B$16,D186)=0,"БЛОК: такого акта нет на листе «Акты» — добавьте акт или исправьте идентификатор",IF(NOT(ISNUMBER(INDEX(Акты!$E$5:$E$16,MATCH(D186,Акты!$B$5:$B$16,0)))),"БЛОК: у этого акта на листе «Акты» не указан первый день просрочки",IF(A186&lt;INDEX(Акты!$E$5:$E$16,MATCH(D186,Акты!$B$5:$B$16,0)),"БЛОК: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сюда",IF(A186&gt;Ввод!$B$4,"БЛОК: оплата после последнего дня расчёта — продлите расчёт или уберите строку","ок"))))))))</f>
        <v/>
      </c>
    </row>
    <row r="187" spans="1:5" x14ac:dyDescent="0.3">
      <c r="A187" s="9"/>
      <c r="B187" s="10"/>
      <c r="C187" s="15"/>
      <c r="D187" s="15"/>
      <c r="E187" s="4" t="str">
        <f>IF(AND(A187="",B187="",C187="",D187=""),"",IF(OR(A187="",B187=""),"БЛОК: нужны и дата, и сумма",IF(B187&lt;=0,"БЛОК: сумма должна быть больше нуля",IF(D187="","БЛОК: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вас",IF(COUNTIF(Акты!$B$5:$B$16,D187)=0,"БЛОК: такого акта нет на листе «Акты» — добавьте акт или исправьте идентификатор",IF(NOT(ISNUMBER(INDEX(Акты!$E$5:$E$16,MATCH(D187,Акты!$B$5:$B$16,0)))),"БЛОК: у этого акта на листе «Акты» не указан первый день просрочки",IF(A187&lt;INDEX(Акты!$E$5:$E$16,MATCH(D187,Акты!$B$5:$B$16,0)),"БЛОК: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сюда",IF(A187&gt;Ввод!$B$4,"БЛОК: оплата после последнего дня расчёта — продлите расчёт или уберите строку","ок"))))))))</f>
        <v/>
      </c>
    </row>
    <row r="188" spans="1:5" x14ac:dyDescent="0.3">
      <c r="A188" s="9"/>
      <c r="B188" s="10"/>
      <c r="C188" s="15"/>
      <c r="D188" s="15"/>
      <c r="E188" s="4" t="str">
        <f>IF(AND(A188="",B188="",C188="",D188=""),"",IF(OR(A188="",B188=""),"БЛОК: нужны и дата, и сумма",IF(B188&lt;=0,"БЛОК: сумма должна быть больше нуля",IF(D188="","БЛОК: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вас",IF(COUNTIF(Акты!$B$5:$B$16,D188)=0,"БЛОК: такого акта нет на листе «Акты» — добавьте акт или исправьте идентификатор",IF(NOT(ISNUMBER(INDEX(Акты!$E$5:$E$16,MATCH(D188,Акты!$B$5:$B$16,0)))),"БЛОК: у этого акта на листе «Акты» не указан первый день просрочки",IF(A188&lt;INDEX(Акты!$E$5:$E$16,MATCH(D188,Акты!$B$5:$B$16,0)),"БЛОК: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сюда",IF(A188&gt;Ввод!$B$4,"БЛОК: оплата после последнего дня расчёта — продлите расчёт или уберите строку","ок"))))))))</f>
        <v/>
      </c>
    </row>
    <row r="189" spans="1:5" x14ac:dyDescent="0.3">
      <c r="A189" s="9"/>
      <c r="B189" s="10"/>
      <c r="C189" s="15"/>
      <c r="D189" s="15"/>
      <c r="E189" s="4" t="str">
        <f>IF(AND(A189="",B189="",C189="",D189=""),"",IF(OR(A189="",B189=""),"БЛОК: нужны и дата, и сумма",IF(B189&lt;=0,"БЛОК: сумма должна быть больше нуля",IF(D189="","БЛОК: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вас",IF(COUNTIF(Акты!$B$5:$B$16,D189)=0,"БЛОК: такого акта нет на листе «Акты» — добавьте акт или исправьте идентификатор",IF(NOT(ISNUMBER(INDEX(Акты!$E$5:$E$16,MATCH(D189,Акты!$B$5:$B$16,0)))),"БЛОК: у этого акта на листе «Акты» не указан первый день просрочки",IF(A189&lt;INDEX(Акты!$E$5:$E$16,MATCH(D189,Акты!$B$5:$B$16,0)),"БЛОК: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сюда",IF(A189&gt;Ввод!$B$4,"БЛОК: оплата после последнего дня расчёта — продлите расчёт или уберите строку","ок"))))))))</f>
        <v/>
      </c>
    </row>
    <row r="190" spans="1:5" x14ac:dyDescent="0.3">
      <c r="A190" s="9"/>
      <c r="B190" s="10"/>
      <c r="C190" s="15"/>
      <c r="D190" s="15"/>
      <c r="E190" s="4" t="str">
        <f>IF(AND(A190="",B190="",C190="",D190=""),"",IF(OR(A190="",B190=""),"БЛОК: нужны и дата, и сумма",IF(B190&lt;=0,"БЛОК: сумма должна быть больше нуля",IF(D190="","БЛОК: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вас",IF(COUNTIF(Акты!$B$5:$B$16,D190)=0,"БЛОК: такого акта нет на листе «Акты» — добавьте акт или исправьте идентификатор",IF(NOT(ISNUMBER(INDEX(Акты!$E$5:$E$16,MATCH(D190,Акты!$B$5:$B$16,0)))),"БЛОК: у этого акта на листе «Акты» не указан первый день просрочки",IF(A190&lt;INDEX(Акты!$E$5:$E$16,MATCH(D190,Акты!$B$5:$B$16,0)),"БЛОК: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сюда",IF(A190&gt;Ввод!$B$4,"БЛОК: оплата после последнего дня расчёта — продлите расчёт или уберите строку","ок"))))))))</f>
        <v/>
      </c>
    </row>
    <row r="191" spans="1:5" x14ac:dyDescent="0.3">
      <c r="A191" s="9"/>
      <c r="B191" s="10"/>
      <c r="C191" s="15"/>
      <c r="D191" s="15"/>
      <c r="E191" s="4" t="str">
        <f>IF(AND(A191="",B191="",C191="",D191=""),"",IF(OR(A191="",B191=""),"БЛОК: нужны и дата, и сумма",IF(B191&lt;=0,"БЛОК: сумма должна быть больше нуля",IF(D191="","БЛОК: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вас",IF(COUNTIF(Акты!$B$5:$B$16,D191)=0,"БЛОК: такого акта нет на листе «Акты» — добавьте акт или исправьте идентификатор",IF(NOT(ISNUMBER(INDEX(Акты!$E$5:$E$16,MATCH(D191,Акты!$B$5:$B$16,0)))),"БЛОК: у этого акта на листе «Акты» не указан первый день просрочки",IF(A191&lt;INDEX(Акты!$E$5:$E$16,MATCH(D191,Акты!$B$5:$B$16,0)),"БЛОК: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сюда",IF(A191&gt;Ввод!$B$4,"БЛОК: оплата после последнего дня расчёта — продлите расчёт или уберите строку","ок"))))))))</f>
        <v/>
      </c>
    </row>
    <row r="192" spans="1:5" x14ac:dyDescent="0.3">
      <c r="A192" s="9"/>
      <c r="B192" s="10"/>
      <c r="C192" s="15"/>
      <c r="D192" s="15"/>
      <c r="E192" s="4" t="str">
        <f>IF(AND(A192="",B192="",C192="",D192=""),"",IF(OR(A192="",B192=""),"БЛОК: нужны и дата, и сумма",IF(B192&lt;=0,"БЛОК: сумма должна быть больше нуля",IF(D192="","БЛОК: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вас",IF(COUNTIF(Акты!$B$5:$B$16,D192)=0,"БЛОК: такого акта нет на листе «Акты» — добавьте акт или исправьте идентификатор",IF(NOT(ISNUMBER(INDEX(Акты!$E$5:$E$16,MATCH(D192,Акты!$B$5:$B$16,0)))),"БЛОК: у этого акта на листе «Акты» не указан первый день просрочки",IF(A192&lt;INDEX(Акты!$E$5:$E$16,MATCH(D192,Акты!$B$5:$B$16,0)),"БЛОК: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сюда",IF(A192&gt;Ввод!$B$4,"БЛОК: оплата после последнего дня расчёта — продлите расчёт или уберите строку","ок"))))))))</f>
        <v/>
      </c>
    </row>
    <row r="193" spans="1:5" x14ac:dyDescent="0.3">
      <c r="A193" s="9"/>
      <c r="B193" s="10"/>
      <c r="C193" s="15"/>
      <c r="D193" s="15"/>
      <c r="E193" s="4" t="str">
        <f>IF(AND(A193="",B193="",C193="",D193=""),"",IF(OR(A193="",B193=""),"БЛОК: нужны и дата, и сумма",IF(B193&lt;=0,"БЛОК: сумма должна быть больше нуля",IF(D193="","БЛОК: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вас",IF(COUNTIF(Акты!$B$5:$B$16,D193)=0,"БЛОК: такого акта нет на листе «Акты» — добавьте акт или исправьте идентификатор",IF(NOT(ISNUMBER(INDEX(Акты!$E$5:$E$16,MATCH(D193,Акты!$B$5:$B$16,0)))),"БЛОК: у этого акта на листе «Акты» не указан первый день просрочки",IF(A193&lt;INDEX(Акты!$E$5:$E$16,MATCH(D193,Акты!$B$5:$B$16,0)),"БЛОК: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сюда",IF(A193&gt;Ввод!$B$4,"БЛОК: оплата после последнего дня расчёта — продлите расчёт или уберите строку","ок"))))))))</f>
        <v/>
      </c>
    </row>
    <row r="194" spans="1:5" x14ac:dyDescent="0.3">
      <c r="A194" s="9"/>
      <c r="B194" s="10"/>
      <c r="C194" s="15"/>
      <c r="D194" s="15"/>
      <c r="E194" s="4" t="str">
        <f>IF(AND(A194="",B194="",C194="",D194=""),"",IF(OR(A194="",B194=""),"БЛОК: нужны и дата, и сумма",IF(B194&lt;=0,"БЛОК: сумма должна быть больше нуля",IF(D194="","БЛОК: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вас",IF(COUNTIF(Акты!$B$5:$B$16,D194)=0,"БЛОК: такого акта нет на листе «Акты» — добавьте акт или исправьте идентификатор",IF(NOT(ISNUMBER(INDEX(Акты!$E$5:$E$16,MATCH(D194,Акты!$B$5:$B$16,0)))),"БЛОК: у этого акта на листе «Акты» не указан первый день просрочки",IF(A194&lt;INDEX(Акты!$E$5:$E$16,MATCH(D194,Акты!$B$5:$B$16,0)),"БЛОК: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сюда",IF(A194&gt;Ввод!$B$4,"БЛОК: оплата после последнего дня расчёта — продлите расчёт или уберите строку","ок"))))))))</f>
        <v/>
      </c>
    </row>
    <row r="195" spans="1:5" x14ac:dyDescent="0.3">
      <c r="A195" s="9"/>
      <c r="B195" s="10"/>
      <c r="C195" s="15"/>
      <c r="D195" s="15"/>
      <c r="E195" s="4" t="str">
        <f>IF(AND(A195="",B195="",C195="",D195=""),"",IF(OR(A195="",B195=""),"БЛОК: нужны и дата, и сумма",IF(B195&lt;=0,"БЛОК: сумма должна быть больше нуля",IF(D195="","БЛОК: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вас",IF(COUNTIF(Акты!$B$5:$B$16,D195)=0,"БЛОК: такого акта нет на листе «Акты» — добавьте акт или исправьте идентификатор",IF(NOT(ISNUMBER(INDEX(Акты!$E$5:$E$16,MATCH(D195,Акты!$B$5:$B$16,0)))),"БЛОК: у этого акта на листе «Акты» не указан первый день просрочки",IF(A195&lt;INDEX(Акты!$E$5:$E$16,MATCH(D195,Акты!$B$5:$B$16,0)),"БЛОК: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сюда",IF(A195&gt;Ввод!$B$4,"БЛОК: оплата после последнего дня расчёта — продлите расчёт или уберите строку","ок"))))))))</f>
        <v/>
      </c>
    </row>
    <row r="196" spans="1:5" x14ac:dyDescent="0.3">
      <c r="A196" s="9"/>
      <c r="B196" s="10"/>
      <c r="C196" s="15"/>
      <c r="D196" s="15"/>
      <c r="E196" s="4" t="str">
        <f>IF(AND(A196="",B196="",C196="",D196=""),"",IF(OR(A196="",B196=""),"БЛОК: нужны и дата, и сумма",IF(B196&lt;=0,"БЛОК: сумма должна быть больше нуля",IF(D196="","БЛОК: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вас",IF(COUNTIF(Акты!$B$5:$B$16,D196)=0,"БЛОК: такого акта нет на листе «Акты» — добавьте акт или исправьте идентификатор",IF(NOT(ISNUMBER(INDEX(Акты!$E$5:$E$16,MATCH(D196,Акты!$B$5:$B$16,0)))),"БЛОК: у этого акта на листе «Акты» не указан первый день просрочки",IF(A196&lt;INDEX(Акты!$E$5:$E$16,MATCH(D196,Акты!$B$5:$B$16,0)),"БЛОК: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сюда",IF(A196&gt;Ввод!$B$4,"БЛОК: оплата после последнего дня расчёта — продлите расчёт или уберите строку","ок"))))))))</f>
        <v/>
      </c>
    </row>
    <row r="197" spans="1:5" x14ac:dyDescent="0.3">
      <c r="A197" s="9"/>
      <c r="B197" s="10"/>
      <c r="C197" s="15"/>
      <c r="D197" s="15"/>
      <c r="E197" s="4" t="str">
        <f>IF(AND(A197="",B197="",C197="",D197=""),"",IF(OR(A197="",B197=""),"БЛОК: нужны и дата, и сумма",IF(B197&lt;=0,"БЛОК: сумма должна быть больше нуля",IF(D197="","БЛОК: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вас",IF(COUNTIF(Акты!$B$5:$B$16,D197)=0,"БЛОК: такого акта нет на листе «Акты» — добавьте акт или исправьте идентификатор",IF(NOT(ISNUMBER(INDEX(Акты!$E$5:$E$16,MATCH(D197,Акты!$B$5:$B$16,0)))),"БЛОК: у этого акта на листе «Акты» не указан первый день просрочки",IF(A197&lt;INDEX(Акты!$E$5:$E$16,MATCH(D197,Акты!$B$5:$B$16,0)),"БЛОК: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сюда",IF(A197&gt;Ввод!$B$4,"БЛОК: оплата после последнего дня расчёта — продлите расчёт или уберите строку","ок"))))))))</f>
        <v/>
      </c>
    </row>
    <row r="198" spans="1:5" x14ac:dyDescent="0.3">
      <c r="A198" s="9"/>
      <c r="B198" s="10"/>
      <c r="C198" s="15"/>
      <c r="D198" s="15"/>
      <c r="E198" s="4" t="str">
        <f>IF(AND(A198="",B198="",C198="",D198=""),"",IF(OR(A198="",B198=""),"БЛОК: нужны и дата, и сумма",IF(B198&lt;=0,"БЛОК: сумма должна быть больше нуля",IF(D198="","БЛОК: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вас",IF(COUNTIF(Акты!$B$5:$B$16,D198)=0,"БЛОК: такого акта нет на листе «Акты» — добавьте акт или исправьте идентификатор",IF(NOT(ISNUMBER(INDEX(Акты!$E$5:$E$16,MATCH(D198,Акты!$B$5:$B$16,0)))),"БЛОК: у этого акта на листе «Акты» не указан первый день просрочки",IF(A198&lt;INDEX(Акты!$E$5:$E$16,MATCH(D198,Акты!$B$5:$B$16,0)),"БЛОК: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сюда",IF(A198&gt;Ввод!$B$4,"БЛОК: оплата после последнего дня расчёта — продлите расчёт или уберите строку","ок"))))))))</f>
        <v/>
      </c>
    </row>
    <row r="199" spans="1:5" x14ac:dyDescent="0.3">
      <c r="A199" s="9"/>
      <c r="B199" s="10"/>
      <c r="C199" s="15"/>
      <c r="D199" s="15"/>
      <c r="E199" s="4" t="str">
        <f>IF(AND(A199="",B199="",C199="",D199=""),"",IF(OR(A199="",B199=""),"БЛОК: нужны и дата, и сумма",IF(B199&lt;=0,"БЛОК: сумма должна быть больше нуля",IF(D199="","БЛОК: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вас",IF(COUNTIF(Акты!$B$5:$B$16,D199)=0,"БЛОК: такого акта нет на листе «Акты» — добавьте акт или исправьте идентификатор",IF(NOT(ISNUMBER(INDEX(Акты!$E$5:$E$16,MATCH(D199,Акты!$B$5:$B$16,0)))),"БЛОК: у этого акта на листе «Акты» не указан первый день просрочки",IF(A199&lt;INDEX(Акты!$E$5:$E$16,MATCH(D199,Акты!$B$5:$B$16,0)),"БЛОК: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сюда",IF(A199&gt;Ввод!$B$4,"БЛОК: оплата после последнего дня расчёта — продлите расчёт или уберите строку","ок"))))))))</f>
        <v/>
      </c>
    </row>
    <row r="200" spans="1:5" x14ac:dyDescent="0.3">
      <c r="A200" s="9"/>
      <c r="B200" s="10"/>
      <c r="C200" s="15"/>
      <c r="D200" s="15"/>
      <c r="E200" s="4" t="str">
        <f>IF(AND(A200="",B200="",C200="",D200=""),"",IF(OR(A200="",B200=""),"БЛОК: нужны и дата, и сумма",IF(B200&lt;=0,"БЛОК: сумма должна быть больше нуля",IF(D200="","БЛОК: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вас",IF(COUNTIF(Акты!$B$5:$B$16,D200)=0,"БЛОК: такого акта нет на листе «Акты» — добавьте акт или исправьте идентификатор",IF(NOT(ISNUMBER(INDEX(Акты!$E$5:$E$16,MATCH(D200,Акты!$B$5:$B$16,0)))),"БЛОК: у этого акта на листе «Акты» не указан первый день просрочки",IF(A200&lt;INDEX(Акты!$E$5:$E$16,MATCH(D200,Акты!$B$5:$B$16,0)),"БЛОК: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сюда",IF(A200&gt;Ввод!$B$4,"БЛОК: оплата после последнего дня расчёта — продлите расчёт или уберите строку","ок"))))))))</f>
        <v/>
      </c>
    </row>
    <row r="201" spans="1:5" x14ac:dyDescent="0.3">
      <c r="A201" s="9"/>
      <c r="B201" s="10"/>
      <c r="C201" s="15"/>
      <c r="D201" s="15"/>
      <c r="E201" s="4" t="str">
        <f>IF(AND(A201="",B201="",C201="",D201=""),"",IF(OR(A201="",B201=""),"БЛОК: нужны и дата, и сумма",IF(B201&lt;=0,"БЛОК: сумма должна быть больше нуля",IF(D201="","БЛОК: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вас",IF(COUNTIF(Акты!$B$5:$B$16,D201)=0,"БЛОК: такого акта нет на листе «Акты» — добавьте акт или исправьте идентификатор",IF(NOT(ISNUMBER(INDEX(Акты!$E$5:$E$16,MATCH(D201,Акты!$B$5:$B$16,0)))),"БЛОК: у этого акта на листе «Акты» не указан первый день просрочки",IF(A201&lt;INDEX(Акты!$E$5:$E$16,MATCH(D201,Акты!$B$5:$B$16,0)),"БЛОК: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сюда",IF(A201&gt;Ввод!$B$4,"БЛОК: оплата после последнего дня расчёта — продлите расчёт или уберите строку","ок"))))))))</f>
        <v/>
      </c>
    </row>
    <row r="202" spans="1:5" x14ac:dyDescent="0.3">
      <c r="A202" s="9"/>
      <c r="B202" s="10"/>
      <c r="C202" s="15"/>
      <c r="D202" s="15"/>
      <c r="E202" s="4" t="str">
        <f>IF(AND(A202="",B202="",C202="",D202=""),"",IF(OR(A202="",B202=""),"БЛОК: нужны и дата, и сумма",IF(B202&lt;=0,"БЛОК: сумма должна быть больше нуля",IF(D202="","БЛОК: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вас",IF(COUNTIF(Акты!$B$5:$B$16,D202)=0,"БЛОК: такого акта нет на листе «Акты» — добавьте акт или исправьте идентификатор",IF(NOT(ISNUMBER(INDEX(Акты!$E$5:$E$16,MATCH(D202,Акты!$B$5:$B$16,0)))),"БЛОК: у этого акта на листе «Акты» не указан первый день просрочки",IF(A202&lt;INDEX(Акты!$E$5:$E$16,MATCH(D202,Акты!$B$5:$B$16,0)),"БЛОК: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сюда",IF(A202&gt;Ввод!$B$4,"БЛОК: оплата после последнего дня расчёта — продлите расчёт или уберите строку","ок"))))))))</f>
        <v/>
      </c>
    </row>
    <row r="203" spans="1:5" x14ac:dyDescent="0.3">
      <c r="A203" s="9"/>
      <c r="B203" s="10"/>
      <c r="C203" s="15"/>
      <c r="D203" s="15"/>
      <c r="E203" s="4" t="str">
        <f>IF(AND(A203="",B203="",C203="",D203=""),"",IF(OR(A203="",B203=""),"БЛОК: нужны и дата, и сумма",IF(B203&lt;=0,"БЛОК: сумма должна быть больше нуля",IF(D203="","БЛОК: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вас",IF(COUNTIF(Акты!$B$5:$B$16,D203)=0,"БЛОК: такого акта нет на листе «Акты» — добавьте акт или исправьте идентификатор",IF(NOT(ISNUMBER(INDEX(Акты!$E$5:$E$16,MATCH(D203,Акты!$B$5:$B$16,0)))),"БЛОК: у этого акта на листе «Акты» не указан первый день просрочки",IF(A203&lt;INDEX(Акты!$E$5:$E$16,MATCH(D203,Акты!$B$5:$B$16,0)),"БЛОК: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сюда",IF(A203&gt;Ввод!$B$4,"БЛОК: оплата после последнего дня расчёта — продлите расчёт или уберите строку","ок"))))))))</f>
        <v/>
      </c>
    </row>
    <row r="204" spans="1:5" x14ac:dyDescent="0.3">
      <c r="A204" s="9"/>
      <c r="B204" s="10"/>
      <c r="C204" s="15"/>
      <c r="D204" s="15"/>
      <c r="E204" s="4" t="str">
        <f>IF(AND(A204="",B204="",C204="",D204=""),"",IF(OR(A204="",B204=""),"БЛОК: нужны и дата, и сумма",IF(B204&lt;=0,"БЛОК: сумма должна быть больше нуля",IF(D204="","БЛОК: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вас",IF(COUNTIF(Акты!$B$5:$B$16,D204)=0,"БЛОК: такого акта нет на листе «Акты» — добавьте акт или исправьте идентификатор",IF(NOT(ISNUMBER(INDEX(Акты!$E$5:$E$16,MATCH(D204,Акты!$B$5:$B$16,0)))),"БЛОК: у этого акта на листе «Акты» не указан первый день просрочки",IF(A204&lt;INDEX(Акты!$E$5:$E$16,MATCH(D204,Акты!$B$5:$B$16,0)),"БЛОК: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сюда",IF(A204&gt;Ввод!$B$4,"БЛОК: оплата после последнего дня расчёта — продлите расчёт или уберите строку","ок"))))))))</f>
        <v/>
      </c>
    </row>
    <row r="205" spans="1:5" x14ac:dyDescent="0.3">
      <c r="A205" s="9"/>
      <c r="B205" s="10"/>
      <c r="C205" s="15"/>
      <c r="D205" s="15"/>
      <c r="E205" s="4" t="str">
        <f>IF(AND(A205="",B205="",C205="",D205=""),"",IF(OR(A205="",B205=""),"БЛОК: нужны и дата, и сумма",IF(B205&lt;=0,"БЛОК: сумма должна быть больше нуля",IF(D205="","БЛОК: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вас",IF(COUNTIF(Акты!$B$5:$B$16,D205)=0,"БЛОК: такого акта нет на листе «Акты» — добавьте акт или исправьте идентификатор",IF(NOT(ISNUMBER(INDEX(Акты!$E$5:$E$16,MATCH(D205,Акты!$B$5:$B$16,0)))),"БЛОК: у этого акта на листе «Акты» не указан первый день просрочки",IF(A205&lt;INDEX(Акты!$E$5:$E$16,MATCH(D205,Акты!$B$5:$B$16,0)),"БЛОК: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сюда",IF(A205&gt;Ввод!$B$4,"БЛОК: оплата после последнего дня расчёта — продлите расчёт или уберите строку","ок"))))))))</f>
        <v/>
      </c>
    </row>
    <row r="206" spans="1:5" x14ac:dyDescent="0.3">
      <c r="A206" s="9"/>
      <c r="B206" s="10"/>
      <c r="C206" s="15"/>
      <c r="D206" s="15"/>
      <c r="E206" s="4" t="str">
        <f>IF(AND(A206="",B206="",C206="",D206=""),"",IF(OR(A206="",B206=""),"БЛОК: нужны и дата, и сумма",IF(B206&lt;=0,"БЛОК: сумма должна быть больше нуля",IF(D206="","БЛОК: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вас",IF(COUNTIF(Акты!$B$5:$B$16,D206)=0,"БЛОК: такого акта нет на листе «Акты» — добавьте акт или исправьте идентификатор",IF(NOT(ISNUMBER(INDEX(Акты!$E$5:$E$16,MATCH(D206,Акты!$B$5:$B$16,0)))),"БЛОК: у этого акта на листе «Акты» не указан первый день просрочки",IF(A206&lt;INDEX(Акты!$E$5:$E$16,MATCH(D206,Акты!$B$5:$B$16,0)),"БЛОК: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сюда",IF(A206&gt;Ввод!$B$4,"БЛОК: оплата после последнего дня расчёта — продлите расчёт или уберите строку","ок"))))))))</f>
        <v/>
      </c>
    </row>
    <row r="207" spans="1:5" x14ac:dyDescent="0.3">
      <c r="A207" s="9"/>
      <c r="B207" s="10"/>
      <c r="C207" s="15"/>
      <c r="D207" s="15"/>
      <c r="E207" s="4" t="str">
        <f>IF(AND(A207="",B207="",C207="",D207=""),"",IF(OR(A207="",B207=""),"БЛОК: нужны и дата, и сумма",IF(B207&lt;=0,"БЛОК: сумма должна быть больше нуля",IF(D207="","БЛОК: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вас",IF(COUNTIF(Акты!$B$5:$B$16,D207)=0,"БЛОК: такого акта нет на листе «Акты» — добавьте акт или исправьте идентификатор",IF(NOT(ISNUMBER(INDEX(Акты!$E$5:$E$16,MATCH(D207,Акты!$B$5:$B$16,0)))),"БЛОК: у этого акта на листе «Акты» не указан первый день просрочки",IF(A207&lt;INDEX(Акты!$E$5:$E$16,MATCH(D207,Акты!$B$5:$B$16,0)),"БЛОК: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сюда",IF(A207&gt;Ввод!$B$4,"БЛОК: оплата после последнего дня расчёта — продлите расчёт или уберите строку","ок"))))))))</f>
        <v/>
      </c>
    </row>
    <row r="208" spans="1:5" x14ac:dyDescent="0.3">
      <c r="A208" s="9"/>
      <c r="B208" s="10"/>
      <c r="C208" s="15"/>
      <c r="D208" s="15"/>
      <c r="E208" s="4" t="str">
        <f>IF(AND(A208="",B208="",C208="",D208=""),"",IF(OR(A208="",B208=""),"БЛОК: нужны и дата, и сумма",IF(B208&lt;=0,"БЛОК: сумма должна быть больше нуля",IF(D208="","БЛОК: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вас",IF(COUNTIF(Акты!$B$5:$B$16,D208)=0,"БЛОК: такого акта нет на листе «Акты» — добавьте акт или исправьте идентификатор",IF(NOT(ISNUMBER(INDEX(Акты!$E$5:$E$16,MATCH(D208,Акты!$B$5:$B$16,0)))),"БЛОК: у этого акта на листе «Акты» не указан первый день просрочки",IF(A208&lt;INDEX(Акты!$E$5:$E$16,MATCH(D208,Акты!$B$5:$B$16,0)),"БЛОК: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сюда",IF(A208&gt;Ввод!$B$4,"БЛОК: оплата после последнего дня расчёта — продлите расчёт или уберите строку","ок"))))))))</f>
        <v/>
      </c>
    </row>
    <row r="209" spans="1:5" x14ac:dyDescent="0.3">
      <c r="A209" s="9"/>
      <c r="B209" s="10"/>
      <c r="C209" s="15"/>
      <c r="D209" s="15"/>
      <c r="E209" s="4" t="str">
        <f>IF(AND(A209="",B209="",C209="",D209=""),"",IF(OR(A209="",B209=""),"БЛОК: нужны и дата, и сумма",IF(B209&lt;=0,"БЛОК: сумма должна быть больше нуля",IF(D209="","БЛОК: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вас",IF(COUNTIF(Акты!$B$5:$B$16,D209)=0,"БЛОК: такого акта нет на листе «Акты» — добавьте акт или исправьте идентификатор",IF(NOT(ISNUMBER(INDEX(Акты!$E$5:$E$16,MATCH(D209,Акты!$B$5:$B$16,0)))),"БЛОК: у этого акта на листе «Акты» не указан первый день просрочки",IF(A209&lt;INDEX(Акты!$E$5:$E$16,MATCH(D209,Акты!$B$5:$B$16,0)),"БЛОК: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сюда",IF(A209&gt;Ввод!$B$4,"БЛОК: оплата после последнего дня расчёта — продлите расчёт или уберите строку","ок"))))))))</f>
        <v/>
      </c>
    </row>
    <row r="210" spans="1:5" x14ac:dyDescent="0.3">
      <c r="A210" s="9"/>
      <c r="B210" s="10"/>
      <c r="C210" s="15"/>
      <c r="D210" s="15"/>
      <c r="E210" s="4" t="str">
        <f>IF(AND(A210="",B210="",C210="",D210=""),"",IF(OR(A210="",B210=""),"БЛОК: нужны и дата, и сумма",IF(B210&lt;=0,"БЛОК: сумма должна быть больше нуля",IF(D210="","БЛОК: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вас",IF(COUNTIF(Акты!$B$5:$B$16,D210)=0,"БЛОК: такого акта нет на листе «Акты» — добавьте акт или исправьте идентификатор",IF(NOT(ISNUMBER(INDEX(Акты!$E$5:$E$16,MATCH(D210,Акты!$B$5:$B$16,0)))),"БЛОК: у этого акта на листе «Акты» не указан первый день просрочки",IF(A210&lt;INDEX(Акты!$E$5:$E$16,MATCH(D210,Акты!$B$5:$B$16,0)),"БЛОК: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сюда",IF(A210&gt;Ввод!$B$4,"БЛОК: оплата после последнего дня расчёта — продлите расчёт или уберите строку","ок"))))))))</f>
        <v/>
      </c>
    </row>
    <row r="211" spans="1:5" x14ac:dyDescent="0.3">
      <c r="A211" s="9"/>
      <c r="B211" s="10"/>
      <c r="C211" s="15"/>
      <c r="D211" s="15"/>
      <c r="E211" s="4" t="str">
        <f>IF(AND(A211="",B211="",C211="",D211=""),"",IF(OR(A211="",B211=""),"БЛОК: нужны и дата, и сумма",IF(B211&lt;=0,"БЛОК: сумма должна быть больше нуля",IF(D211="","БЛОК: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вас",IF(COUNTIF(Акты!$B$5:$B$16,D211)=0,"БЛОК: такого акта нет на листе «Акты» — добавьте акт или исправьте идентификатор",IF(NOT(ISNUMBER(INDEX(Акты!$E$5:$E$16,MATCH(D211,Акты!$B$5:$B$16,0)))),"БЛОК: у этого акта на листе «Акты» не указан первый день просрочки",IF(A211&lt;INDEX(Акты!$E$5:$E$16,MATCH(D211,Акты!$B$5:$B$16,0)),"БЛОК: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сюда",IF(A211&gt;Ввод!$B$4,"БЛОК: оплата после последнего дня расчёта — продлите расчёт или уберите строку","ок"))))))))</f>
        <v/>
      </c>
    </row>
    <row r="212" spans="1:5" x14ac:dyDescent="0.3">
      <c r="A212" s="9"/>
      <c r="B212" s="10"/>
      <c r="C212" s="15"/>
      <c r="D212" s="15"/>
      <c r="E212" s="4" t="str">
        <f>IF(AND(A212="",B212="",C212="",D212=""),"",IF(OR(A212="",B212=""),"БЛОК: нужны и дата, и сумма",IF(B212&lt;=0,"БЛОК: сумма должна быть больше нуля",IF(D212="","БЛОК: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вас",IF(COUNTIF(Акты!$B$5:$B$16,D212)=0,"БЛОК: такого акта нет на листе «Акты» — добавьте акт или исправьте идентификатор",IF(NOT(ISNUMBER(INDEX(Акты!$E$5:$E$16,MATCH(D212,Акты!$B$5:$B$16,0)))),"БЛОК: у этого акта на листе «Акты» не указан первый день просрочки",IF(A212&lt;INDEX(Акты!$E$5:$E$16,MATCH(D212,Акты!$B$5:$B$16,0)),"БЛОК: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сюда",IF(A212&gt;Ввод!$B$4,"БЛОК: оплата после последнего дня расчёта — продлите расчёт или уберите строку","ок"))))))))</f>
        <v/>
      </c>
    </row>
    <row r="213" spans="1:5" x14ac:dyDescent="0.3">
      <c r="A213" s="9"/>
      <c r="B213" s="10"/>
      <c r="C213" s="15"/>
      <c r="D213" s="15"/>
      <c r="E213" s="4" t="str">
        <f>IF(AND(A213="",B213="",C213="",D213=""),"",IF(OR(A213="",B213=""),"БЛОК: нужны и дата, и сумма",IF(B213&lt;=0,"БЛОК: сумма должна быть больше нуля",IF(D213="","БЛОК: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вас",IF(COUNTIF(Акты!$B$5:$B$16,D213)=0,"БЛОК: такого акта нет на листе «Акты» — добавьте акт или исправьте идентификатор",IF(NOT(ISNUMBER(INDEX(Акты!$E$5:$E$16,MATCH(D213,Акты!$B$5:$B$16,0)))),"БЛОК: у этого акта на листе «Акты» не указан первый день просрочки",IF(A213&lt;INDEX(Акты!$E$5:$E$16,MATCH(D213,Акты!$B$5:$B$16,0)),"БЛОК: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сюда",IF(A213&gt;Ввод!$B$4,"БЛОК: оплата после последнего дня расчёта — продлите расчёт или уберите строку","ок"))))))))</f>
        <v/>
      </c>
    </row>
    <row r="214" spans="1:5" x14ac:dyDescent="0.3">
      <c r="A214" s="9"/>
      <c r="B214" s="10"/>
      <c r="C214" s="15"/>
      <c r="D214" s="15"/>
      <c r="E214" s="4" t="str">
        <f>IF(AND(A214="",B214="",C214="",D214=""),"",IF(OR(A214="",B214=""),"БЛОК: нужны и дата, и сумма",IF(B214&lt;=0,"БЛОК: сумма должна быть больше нуля",IF(D214="","БЛОК: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вас",IF(COUNTIF(Акты!$B$5:$B$16,D214)=0,"БЛОК: такого акта нет на листе «Акты» — добавьте акт или исправьте идентификатор",IF(NOT(ISNUMBER(INDEX(Акты!$E$5:$E$16,MATCH(D214,Акты!$B$5:$B$16,0)))),"БЛОК: у этого акта на листе «Акты» не указан первый день просрочки",IF(A214&lt;INDEX(Акты!$E$5:$E$16,MATCH(D214,Акты!$B$5:$B$16,0)),"БЛОК: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сюда",IF(A214&gt;Ввод!$B$4,"БЛОК: оплата после последнего дня расчёта — продлите расчёт или уберите строку","ок"))))))))</f>
        <v/>
      </c>
    </row>
    <row r="215" spans="1:5" x14ac:dyDescent="0.3">
      <c r="A215" s="9"/>
      <c r="B215" s="10"/>
      <c r="C215" s="15"/>
      <c r="D215" s="15"/>
      <c r="E215" s="4" t="str">
        <f>IF(AND(A215="",B215="",C215="",D215=""),"",IF(OR(A215="",B215=""),"БЛОК: нужны и дата, и сумма",IF(B215&lt;=0,"БЛОК: сумма должна быть больше нуля",IF(D215="","БЛОК: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вас",IF(COUNTIF(Акты!$B$5:$B$16,D215)=0,"БЛОК: такого акта нет на листе «Акты» — добавьте акт или исправьте идентификатор",IF(NOT(ISNUMBER(INDEX(Акты!$E$5:$E$16,MATCH(D215,Акты!$B$5:$B$16,0)))),"БЛОК: у этого акта на листе «Акты» не указан первый день просрочки",IF(A215&lt;INDEX(Акты!$E$5:$E$16,MATCH(D215,Акты!$B$5:$B$16,0)),"БЛОК: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сюда",IF(A215&gt;Ввод!$B$4,"БЛОК: оплата после последнего дня расчёта — продлите расчёт или уберите строку","ок"))))))))</f>
        <v/>
      </c>
    </row>
    <row r="216" spans="1:5" x14ac:dyDescent="0.3">
      <c r="A216" s="9"/>
      <c r="B216" s="10"/>
      <c r="C216" s="15"/>
      <c r="D216" s="15"/>
      <c r="E216" s="4" t="str">
        <f>IF(AND(A216="",B216="",C216="",D216=""),"",IF(OR(A216="",B216=""),"БЛОК: нужны и дата, и сумма",IF(B216&lt;=0,"БЛОК: сумма должна быть больше нуля",IF(D216="","БЛОК: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вас",IF(COUNTIF(Акты!$B$5:$B$16,D216)=0,"БЛОК: такого акта нет на листе «Акты» — добавьте акт или исправьте идентификатор",IF(NOT(ISNUMBER(INDEX(Акты!$E$5:$E$16,MATCH(D216,Акты!$B$5:$B$16,0)))),"БЛОК: у этого акта на листе «Акты» не указан первый день просрочки",IF(A216&lt;INDEX(Акты!$E$5:$E$16,MATCH(D216,Акты!$B$5:$B$16,0)),"БЛОК: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сюда",IF(A216&gt;Ввод!$B$4,"БЛОК: оплата после последнего дня расчёта — продлите расчёт или уберите строку","ок"))))))))</f>
        <v/>
      </c>
    </row>
    <row r="217" spans="1:5" x14ac:dyDescent="0.3">
      <c r="A217" s="9"/>
      <c r="B217" s="10"/>
      <c r="C217" s="15"/>
      <c r="D217" s="15"/>
      <c r="E217" s="4" t="str">
        <f>IF(AND(A217="",B217="",C217="",D217=""),"",IF(OR(A217="",B217=""),"БЛОК: нужны и дата, и сумма",IF(B217&lt;=0,"БЛОК: сумма должна быть больше нуля",IF(D217="","БЛОК: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вас",IF(COUNTIF(Акты!$B$5:$B$16,D217)=0,"БЛОК: такого акта нет на листе «Акты» — добавьте акт или исправьте идентификатор",IF(NOT(ISNUMBER(INDEX(Акты!$E$5:$E$16,MATCH(D217,Акты!$B$5:$B$16,0)))),"БЛОК: у этого акта на листе «Акты» не указан первый день просрочки",IF(A217&lt;INDEX(Акты!$E$5:$E$16,MATCH(D217,Акты!$B$5:$B$16,0)),"БЛОК: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сюда",IF(A217&gt;Ввод!$B$4,"БЛОК: оплата после последнего дня расчёта — продлите расчёт или уберите строку","ок"))))))))</f>
        <v/>
      </c>
    </row>
    <row r="218" spans="1:5" x14ac:dyDescent="0.3">
      <c r="A218" s="9"/>
      <c r="B218" s="10"/>
      <c r="C218" s="15"/>
      <c r="D218" s="15"/>
      <c r="E218" s="4" t="str">
        <f>IF(AND(A218="",B218="",C218="",D218=""),"",IF(OR(A218="",B218=""),"БЛОК: нужны и дата, и сумма",IF(B218&lt;=0,"БЛОК: сумма должна быть больше нуля",IF(D218="","БЛОК: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вас",IF(COUNTIF(Акты!$B$5:$B$16,D218)=0,"БЛОК: такого акта нет на листе «Акты» — добавьте акт или исправьте идентификатор",IF(NOT(ISNUMBER(INDEX(Акты!$E$5:$E$16,MATCH(D218,Акты!$B$5:$B$16,0)))),"БЛОК: у этого акта на листе «Акты» не указан первый день просрочки",IF(A218&lt;INDEX(Акты!$E$5:$E$16,MATCH(D218,Акты!$B$5:$B$16,0)),"БЛОК: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сюда",IF(A218&gt;Ввод!$B$4,"БЛОК: оплата после последнего дня расчёта — продлите расчёт или уберите строку","ок"))))))))</f>
        <v/>
      </c>
    </row>
    <row r="219" spans="1:5" x14ac:dyDescent="0.3">
      <c r="A219" s="9"/>
      <c r="B219" s="10"/>
      <c r="C219" s="15"/>
      <c r="D219" s="15"/>
      <c r="E219" s="4" t="str">
        <f>IF(AND(A219="",B219="",C219="",D219=""),"",IF(OR(A219="",B219=""),"БЛОК: нужны и дата, и сумма",IF(B219&lt;=0,"БЛОК: сумма должна быть больше нуля",IF(D219="","БЛОК: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вас",IF(COUNTIF(Акты!$B$5:$B$16,D219)=0,"БЛОК: такого акта нет на листе «Акты» — добавьте акт или исправьте идентификатор",IF(NOT(ISNUMBER(INDEX(Акты!$E$5:$E$16,MATCH(D219,Акты!$B$5:$B$16,0)))),"БЛОК: у этого акта на листе «Акты» не указан первый день просрочки",IF(A219&lt;INDEX(Акты!$E$5:$E$16,MATCH(D219,Акты!$B$5:$B$16,0)),"БЛОК: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сюда",IF(A219&gt;Ввод!$B$4,"БЛОК: оплата после последнего дня расчёта — продлите расчёт или уберите строку","ок"))))))))</f>
        <v/>
      </c>
    </row>
    <row r="220" spans="1:5" x14ac:dyDescent="0.3">
      <c r="A220" s="9"/>
      <c r="B220" s="10"/>
      <c r="C220" s="15"/>
      <c r="D220" s="15"/>
      <c r="E220" s="4" t="str">
        <f>IF(AND(A220="",B220="",C220="",D220=""),"",IF(OR(A220="",B220=""),"БЛОК: нужны и дата, и сумма",IF(B220&lt;=0,"БЛОК: сумма должна быть больше нуля",IF(D220="","БЛОК: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вас",IF(COUNTIF(Акты!$B$5:$B$16,D220)=0,"БЛОК: такого акта нет на листе «Акты» — добавьте акт или исправьте идентификатор",IF(NOT(ISNUMBER(INDEX(Акты!$E$5:$E$16,MATCH(D220,Акты!$B$5:$B$16,0)))),"БЛОК: у этого акта на листе «Акты» не указан первый день просрочки",IF(A220&lt;INDEX(Акты!$E$5:$E$16,MATCH(D220,Акты!$B$5:$B$16,0)),"БЛОК: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сюда",IF(A220&gt;Ввод!$B$4,"БЛОК: оплата после последнего дня расчёта — продлите расчёт или уберите строку","ок"))))))))</f>
        <v/>
      </c>
    </row>
    <row r="221" spans="1:5" x14ac:dyDescent="0.3">
      <c r="A221" s="9"/>
      <c r="B221" s="10"/>
      <c r="C221" s="15"/>
      <c r="D221" s="15"/>
      <c r="E221" s="4" t="str">
        <f>IF(AND(A221="",B221="",C221="",D221=""),"",IF(OR(A221="",B221=""),"БЛОК: нужны и дата, и сумма",IF(B221&lt;=0,"БЛОК: сумма должна быть больше нуля",IF(D221="","БЛОК: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вас",IF(COUNTIF(Акты!$B$5:$B$16,D221)=0,"БЛОК: такого акта нет на листе «Акты» — добавьте акт или исправьте идентификатор",IF(NOT(ISNUMBER(INDEX(Акты!$E$5:$E$16,MATCH(D221,Акты!$B$5:$B$16,0)))),"БЛОК: у этого акта на листе «Акты» не указан первый день просрочки",IF(A221&lt;INDEX(Акты!$E$5:$E$16,MATCH(D221,Акты!$B$5:$B$16,0)),"БЛОК: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сюда",IF(A221&gt;Ввод!$B$4,"БЛОК: оплата после последнего дня расчёта — продлите расчёт или уберите строку","ок"))))))))</f>
        <v/>
      </c>
    </row>
    <row r="222" spans="1:5" x14ac:dyDescent="0.3">
      <c r="A222" s="9"/>
      <c r="B222" s="10"/>
      <c r="C222" s="15"/>
      <c r="D222" s="15"/>
      <c r="E222" s="4" t="str">
        <f>IF(AND(A222="",B222="",C222="",D222=""),"",IF(OR(A222="",B222=""),"БЛОК: нужны и дата, и сумма",IF(B222&lt;=0,"БЛОК: сумма должна быть больше нуля",IF(D222="","БЛОК: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вас",IF(COUNTIF(Акты!$B$5:$B$16,D222)=0,"БЛОК: такого акта нет на листе «Акты» — добавьте акт или исправьте идентификатор",IF(NOT(ISNUMBER(INDEX(Акты!$E$5:$E$16,MATCH(D222,Акты!$B$5:$B$16,0)))),"БЛОК: у этого акта на листе «Акты» не указан первый день просрочки",IF(A222&lt;INDEX(Акты!$E$5:$E$16,MATCH(D222,Акты!$B$5:$B$16,0)),"БЛОК: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сюда",IF(A222&gt;Ввод!$B$4,"БЛОК: оплата после последнего дня расчёта — продлите расчёт или уберите строку","ок"))))))))</f>
        <v/>
      </c>
    </row>
    <row r="223" spans="1:5" x14ac:dyDescent="0.3">
      <c r="A223" s="9"/>
      <c r="B223" s="10"/>
      <c r="C223" s="15"/>
      <c r="D223" s="15"/>
      <c r="E223" s="4" t="str">
        <f>IF(AND(A223="",B223="",C223="",D223=""),"",IF(OR(A223="",B223=""),"БЛОК: нужны и дата, и сумма",IF(B223&lt;=0,"БЛОК: сумма должна быть больше нуля",IF(D223="","БЛОК: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вас",IF(COUNTIF(Акты!$B$5:$B$16,D223)=0,"БЛОК: такого акта нет на листе «Акты» — добавьте акт или исправьте идентификатор",IF(NOT(ISNUMBER(INDEX(Акты!$E$5:$E$16,MATCH(D223,Акты!$B$5:$B$16,0)))),"БЛОК: у этого акта на листе «Акты» не указан первый день просрочки",IF(A223&lt;INDEX(Акты!$E$5:$E$16,MATCH(D223,Акты!$B$5:$B$16,0)),"БЛОК: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сюда",IF(A223&gt;Ввод!$B$4,"БЛОК: оплата после последнего дня расчёта — продлите расчёт или уберите строку","ок"))))))))</f>
        <v/>
      </c>
    </row>
    <row r="224" spans="1:5" x14ac:dyDescent="0.3">
      <c r="A224" s="9"/>
      <c r="B224" s="10"/>
      <c r="C224" s="15"/>
      <c r="D224" s="15"/>
      <c r="E224" s="4" t="str">
        <f>IF(AND(A224="",B224="",C224="",D224=""),"",IF(OR(A224="",B224=""),"БЛОК: нужны и дата, и сумма",IF(B224&lt;=0,"БЛОК: сумма должна быть больше нуля",IF(D224="","БЛОК: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вас",IF(COUNTIF(Акты!$B$5:$B$16,D224)=0,"БЛОК: такого акта нет на листе «Акты» — добавьте акт или исправьте идентификатор",IF(NOT(ISNUMBER(INDEX(Акты!$E$5:$E$16,MATCH(D224,Акты!$B$5:$B$16,0)))),"БЛОК: у этого акта на листе «Акты» не указан первый день просрочки",IF(A224&lt;INDEX(Акты!$E$5:$E$16,MATCH(D224,Акты!$B$5:$B$16,0)),"БЛОК: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сюда",IF(A224&gt;Ввод!$B$4,"БЛОК: оплата после последнего дня расчёта — продлите расчёт или уберите строку","ок"))))))))</f>
        <v/>
      </c>
    </row>
    <row r="225" spans="1:5" x14ac:dyDescent="0.3">
      <c r="A225" s="9"/>
      <c r="B225" s="10"/>
      <c r="C225" s="15"/>
      <c r="D225" s="15"/>
      <c r="E225" s="4" t="str">
        <f>IF(AND(A225="",B225="",C225="",D225=""),"",IF(OR(A225="",B225=""),"БЛОК: нужны и дата, и сумма",IF(B225&lt;=0,"БЛОК: сумма должна быть больше нуля",IF(D225="","БЛОК: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вас",IF(COUNTIF(Акты!$B$5:$B$16,D225)=0,"БЛОК: такого акта нет на листе «Акты» — добавьте акт или исправьте идентификатор",IF(NOT(ISNUMBER(INDEX(Акты!$E$5:$E$16,MATCH(D225,Акты!$B$5:$B$16,0)))),"БЛОК: у этого акта на листе «Акты» не указан первый день просрочки",IF(A225&lt;INDEX(Акты!$E$5:$E$16,MATCH(D225,Акты!$B$5:$B$16,0)),"БЛОК: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сюда",IF(A225&gt;Ввод!$B$4,"БЛОК: оплата после последнего дня расчёта — продлите расчёт или уберите строку","ок"))))))))</f>
        <v/>
      </c>
    </row>
    <row r="226" spans="1:5" x14ac:dyDescent="0.3">
      <c r="A226" s="9"/>
      <c r="B226" s="10"/>
      <c r="C226" s="15"/>
      <c r="D226" s="15"/>
      <c r="E226" s="4" t="str">
        <f>IF(AND(A226="",B226="",C226="",D226=""),"",IF(OR(A226="",B226=""),"БЛОК: нужны и дата, и сумма",IF(B226&lt;=0,"БЛОК: сумма должна быть больше нуля",IF(D226="","БЛОК: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вас",IF(COUNTIF(Акты!$B$5:$B$16,D226)=0,"БЛОК: такого акта нет на листе «Акты» — добавьте акт или исправьте идентификатор",IF(NOT(ISNUMBER(INDEX(Акты!$E$5:$E$16,MATCH(D226,Акты!$B$5:$B$16,0)))),"БЛОК: у этого акта на листе «Акты» не указан первый день просрочки",IF(A226&lt;INDEX(Акты!$E$5:$E$16,MATCH(D226,Акты!$B$5:$B$16,0)),"БЛОК: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сюда",IF(A226&gt;Ввод!$B$4,"БЛОК: оплата после последнего дня расчёта — продлите расчёт или уберите строку","ок"))))))))</f>
        <v/>
      </c>
    </row>
    <row r="227" spans="1:5" x14ac:dyDescent="0.3">
      <c r="A227" s="9"/>
      <c r="B227" s="10"/>
      <c r="C227" s="15"/>
      <c r="D227" s="15"/>
      <c r="E227" s="4" t="str">
        <f>IF(AND(A227="",B227="",C227="",D227=""),"",IF(OR(A227="",B227=""),"БЛОК: нужны и дата, и сумма",IF(B227&lt;=0,"БЛОК: сумма должна быть больше нуля",IF(D227="","БЛОК: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вас",IF(COUNTIF(Акты!$B$5:$B$16,D227)=0,"БЛОК: такого акта нет на листе «Акты» — добавьте акт или исправьте идентификатор",IF(NOT(ISNUMBER(INDEX(Акты!$E$5:$E$16,MATCH(D227,Акты!$B$5:$B$16,0)))),"БЛОК: у этого акта на листе «Акты» не указан первый день просрочки",IF(A227&lt;INDEX(Акты!$E$5:$E$16,MATCH(D227,Акты!$B$5:$B$16,0)),"БЛОК: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сюда",IF(A227&gt;Ввод!$B$4,"БЛОК: оплата после последнего дня расчёта — продлите расчёт или уберите строку","ок"))))))))</f>
        <v/>
      </c>
    </row>
    <row r="228" spans="1:5" x14ac:dyDescent="0.3">
      <c r="A228" s="9"/>
      <c r="B228" s="10"/>
      <c r="C228" s="15"/>
      <c r="D228" s="15"/>
      <c r="E228" s="4" t="str">
        <f>IF(AND(A228="",B228="",C228="",D228=""),"",IF(OR(A228="",B228=""),"БЛОК: нужны и дата, и сумма",IF(B228&lt;=0,"БЛОК: сумма должна быть больше нуля",IF(D228="","БЛОК: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вас",IF(COUNTIF(Акты!$B$5:$B$16,D228)=0,"БЛОК: такого акта нет на листе «Акты» — добавьте акт или исправьте идентификатор",IF(NOT(ISNUMBER(INDEX(Акты!$E$5:$E$16,MATCH(D228,Акты!$B$5:$B$16,0)))),"БЛОК: у этого акта на листе «Акты» не указан первый день просрочки",IF(A228&lt;INDEX(Акты!$E$5:$E$16,MATCH(D228,Акты!$B$5:$B$16,0)),"БЛОК: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сюда",IF(A228&gt;Ввод!$B$4,"БЛОК: оплата после последнего дня расчёта — продлите расчёт или уберите строку","ок"))))))))</f>
        <v/>
      </c>
    </row>
    <row r="229" spans="1:5" x14ac:dyDescent="0.3">
      <c r="A229" s="9"/>
      <c r="B229" s="10"/>
      <c r="C229" s="15"/>
      <c r="D229" s="15"/>
      <c r="E229" s="4" t="str">
        <f>IF(AND(A229="",B229="",C229="",D229=""),"",IF(OR(A229="",B229=""),"БЛОК: нужны и дата, и сумма",IF(B229&lt;=0,"БЛОК: сумма должна быть больше нуля",IF(D229="","БЛОК: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вас",IF(COUNTIF(Акты!$B$5:$B$16,D229)=0,"БЛОК: такого акта нет на листе «Акты» — добавьте акт или исправьте идентификатор",IF(NOT(ISNUMBER(INDEX(Акты!$E$5:$E$16,MATCH(D229,Акты!$B$5:$B$16,0)))),"БЛОК: у этого акта на листе «Акты» не указан первый день просрочки",IF(A229&lt;INDEX(Акты!$E$5:$E$16,MATCH(D229,Акты!$B$5:$B$16,0)),"БЛОК: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сюда",IF(A229&gt;Ввод!$B$4,"БЛОК: оплата после последнего дня расчёта — продлите расчёт или уберите строку","ок"))))))))</f>
        <v/>
      </c>
    </row>
    <row r="230" spans="1:5" x14ac:dyDescent="0.3">
      <c r="A230" s="9"/>
      <c r="B230" s="10"/>
      <c r="C230" s="15"/>
      <c r="D230" s="15"/>
      <c r="E230" s="4" t="str">
        <f>IF(AND(A230="",B230="",C230="",D230=""),"",IF(OR(A230="",B230=""),"БЛОК: нужны и дата, и сумма",IF(B230&lt;=0,"БЛОК: сумма должна быть больше нуля",IF(D230="","БЛОК: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вас",IF(COUNTIF(Акты!$B$5:$B$16,D230)=0,"БЛОК: такого акта нет на листе «Акты» — добавьте акт или исправьте идентификатор",IF(NOT(ISNUMBER(INDEX(Акты!$E$5:$E$16,MATCH(D230,Акты!$B$5:$B$16,0)))),"БЛОК: у этого акта на листе «Акты» не указан первый день просрочки",IF(A230&lt;INDEX(Акты!$E$5:$E$16,MATCH(D230,Акты!$B$5:$B$16,0)),"БЛОК: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сюда",IF(A230&gt;Ввод!$B$4,"БЛОК: оплата после последнего дня расчёта — продлите расчёт или уберите строку","ок"))))))))</f>
        <v/>
      </c>
    </row>
    <row r="231" spans="1:5" x14ac:dyDescent="0.3">
      <c r="A231" s="9"/>
      <c r="B231" s="10"/>
      <c r="C231" s="15"/>
      <c r="D231" s="15"/>
      <c r="E231" s="4" t="str">
        <f>IF(AND(A231="",B231="",C231="",D231=""),"",IF(OR(A231="",B231=""),"БЛОК: нужны и дата, и сумма",IF(B231&lt;=0,"БЛОК: сумма должна быть больше нуля",IF(D231="","БЛОК: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вас",IF(COUNTIF(Акты!$B$5:$B$16,D231)=0,"БЛОК: такого акта нет на листе «Акты» — добавьте акт или исправьте идентификатор",IF(NOT(ISNUMBER(INDEX(Акты!$E$5:$E$16,MATCH(D231,Акты!$B$5:$B$16,0)))),"БЛОК: у этого акта на листе «Акты» не указан первый день просрочки",IF(A231&lt;INDEX(Акты!$E$5:$E$16,MATCH(D231,Акты!$B$5:$B$16,0)),"БЛОК: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сюда",IF(A231&gt;Ввод!$B$4,"БЛОК: оплата после последнего дня расчёта — продлите расчёт или уберите строку","ок"))))))))</f>
        <v/>
      </c>
    </row>
    <row r="232" spans="1:5" x14ac:dyDescent="0.3">
      <c r="A232" s="9"/>
      <c r="B232" s="10"/>
      <c r="C232" s="15"/>
      <c r="D232" s="15"/>
      <c r="E232" s="4" t="str">
        <f>IF(AND(A232="",B232="",C232="",D232=""),"",IF(OR(A232="",B232=""),"БЛОК: нужны и дата, и сумма",IF(B232&lt;=0,"БЛОК: сумма должна быть больше нуля",IF(D232="","БЛОК: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вас",IF(COUNTIF(Акты!$B$5:$B$16,D232)=0,"БЛОК: такого акта нет на листе «Акты» — добавьте акт или исправьте идентификатор",IF(NOT(ISNUMBER(INDEX(Акты!$E$5:$E$16,MATCH(D232,Акты!$B$5:$B$16,0)))),"БЛОК: у этого акта на листе «Акты» не указан первый день просрочки",IF(A232&lt;INDEX(Акты!$E$5:$E$16,MATCH(D232,Акты!$B$5:$B$16,0)),"БЛОК: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сюда",IF(A232&gt;Ввод!$B$4,"БЛОК: оплата после последнего дня расчёта — продлите расчёт или уберите строку","ок"))))))))</f>
        <v/>
      </c>
    </row>
    <row r="233" spans="1:5" x14ac:dyDescent="0.3">
      <c r="A233" s="9"/>
      <c r="B233" s="10"/>
      <c r="C233" s="15"/>
      <c r="D233" s="15"/>
      <c r="E233" s="4" t="str">
        <f>IF(AND(A233="",B233="",C233="",D233=""),"",IF(OR(A233="",B233=""),"БЛОК: нужны и дата, и сумма",IF(B233&lt;=0,"БЛОК: сумма должна быть больше нуля",IF(D233="","БЛОК: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вас",IF(COUNTIF(Акты!$B$5:$B$16,D233)=0,"БЛОК: такого акта нет на листе «Акты» — добавьте акт или исправьте идентификатор",IF(NOT(ISNUMBER(INDEX(Акты!$E$5:$E$16,MATCH(D233,Акты!$B$5:$B$16,0)))),"БЛОК: у этого акта на листе «Акты» не указан первый день просрочки",IF(A233&lt;INDEX(Акты!$E$5:$E$16,MATCH(D233,Акты!$B$5:$B$16,0)),"БЛОК: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сюда",IF(A233&gt;Ввод!$B$4,"БЛОК: оплата после последнего дня расчёта — продлите расчёт или уберите строку","ок"))))))))</f>
        <v/>
      </c>
    </row>
    <row r="234" spans="1:5" x14ac:dyDescent="0.3">
      <c r="A234" s="9"/>
      <c r="B234" s="10"/>
      <c r="C234" s="15"/>
      <c r="D234" s="15"/>
      <c r="E234" s="4" t="str">
        <f>IF(AND(A234="",B234="",C234="",D234=""),"",IF(OR(A234="",B234=""),"БЛОК: нужны и дата, и сумма",IF(B234&lt;=0,"БЛОК: сумма должна быть больше нуля",IF(D234="","БЛОК: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вас",IF(COUNTIF(Акты!$B$5:$B$16,D234)=0,"БЛОК: такого акта нет на листе «Акты» — добавьте акт или исправьте идентификатор",IF(NOT(ISNUMBER(INDEX(Акты!$E$5:$E$16,MATCH(D234,Акты!$B$5:$B$16,0)))),"БЛОК: у этого акта на листе «Акты» не указан первый день просрочки",IF(A234&lt;INDEX(Акты!$E$5:$E$16,MATCH(D234,Акты!$B$5:$B$16,0)),"БЛОК: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сюда",IF(A234&gt;Ввод!$B$4,"БЛОК: оплата после последнего дня расчёта — продлите расчёт или уберите строку","ок"))))))))</f>
        <v/>
      </c>
    </row>
    <row r="235" spans="1:5" x14ac:dyDescent="0.3">
      <c r="A235" s="9"/>
      <c r="B235" s="10"/>
      <c r="C235" s="15"/>
      <c r="D235" s="15"/>
      <c r="E235" s="4" t="str">
        <f>IF(AND(A235="",B235="",C235="",D235=""),"",IF(OR(A235="",B235=""),"БЛОК: нужны и дата, и сумма",IF(B235&lt;=0,"БЛОК: сумма должна быть больше нуля",IF(D235="","БЛОК: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вас",IF(COUNTIF(Акты!$B$5:$B$16,D235)=0,"БЛОК: такого акта нет на листе «Акты» — добавьте акт или исправьте идентификатор",IF(NOT(ISNUMBER(INDEX(Акты!$E$5:$E$16,MATCH(D235,Акты!$B$5:$B$16,0)))),"БЛОК: у этого акта на листе «Акты» не указан первый день просрочки",IF(A235&lt;INDEX(Акты!$E$5:$E$16,MATCH(D235,Акты!$B$5:$B$16,0)),"БЛОК: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сюда",IF(A235&gt;Ввод!$B$4,"БЛОК: оплата после последнего дня расчёта — продлите расчёт или уберите строку","ок"))))))))</f>
        <v/>
      </c>
    </row>
    <row r="236" spans="1:5" x14ac:dyDescent="0.3">
      <c r="A236" s="9"/>
      <c r="B236" s="10"/>
      <c r="C236" s="15"/>
      <c r="D236" s="15"/>
      <c r="E236" s="4" t="str">
        <f>IF(AND(A236="",B236="",C236="",D236=""),"",IF(OR(A236="",B236=""),"БЛОК: нужны и дата, и сумма",IF(B236&lt;=0,"БЛОК: сумма должна быть больше нуля",IF(D236="","БЛОК: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вас",IF(COUNTIF(Акты!$B$5:$B$16,D236)=0,"БЛОК: такого акта нет на листе «Акты» — добавьте акт или исправьте идентификатор",IF(NOT(ISNUMBER(INDEX(Акты!$E$5:$E$16,MATCH(D236,Акты!$B$5:$B$16,0)))),"БЛОК: у этого акта на листе «Акты» не указан первый день просрочки",IF(A236&lt;INDEX(Акты!$E$5:$E$16,MATCH(D236,Акты!$B$5:$B$16,0)),"БЛОК: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сюда",IF(A236&gt;Ввод!$B$4,"БЛОК: оплата после последнего дня расчёта — продлите расчёт или уберите строку","ок"))))))))</f>
        <v/>
      </c>
    </row>
    <row r="237" spans="1:5" x14ac:dyDescent="0.3">
      <c r="A237" s="9"/>
      <c r="B237" s="10"/>
      <c r="C237" s="15"/>
      <c r="D237" s="15"/>
      <c r="E237" s="4" t="str">
        <f>IF(AND(A237="",B237="",C237="",D237=""),"",IF(OR(A237="",B237=""),"БЛОК: нужны и дата, и сумма",IF(B237&lt;=0,"БЛОК: сумма должна быть больше нуля",IF(D237="","БЛОК: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вас",IF(COUNTIF(Акты!$B$5:$B$16,D237)=0,"БЛОК: такого акта нет на листе «Акты» — добавьте акт или исправьте идентификатор",IF(NOT(ISNUMBER(INDEX(Акты!$E$5:$E$16,MATCH(D237,Акты!$B$5:$B$16,0)))),"БЛОК: у этого акта на листе «Акты» не указан первый день просрочки",IF(A237&lt;INDEX(Акты!$E$5:$E$16,MATCH(D237,Акты!$B$5:$B$16,0)),"БЛОК: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сюда",IF(A237&gt;Ввод!$B$4,"БЛОК: оплата после последнего дня расчёта — продлите расчёт или уберите строку","ок"))))))))</f>
        <v/>
      </c>
    </row>
    <row r="238" spans="1:5" x14ac:dyDescent="0.3">
      <c r="A238" s="9"/>
      <c r="B238" s="10"/>
      <c r="C238" s="15"/>
      <c r="D238" s="15"/>
      <c r="E238" s="4" t="str">
        <f>IF(AND(A238="",B238="",C238="",D238=""),"",IF(OR(A238="",B238=""),"БЛОК: нужны и дата, и сумма",IF(B238&lt;=0,"БЛОК: сумма должна быть больше нуля",IF(D238="","БЛОК: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вас",IF(COUNTIF(Акты!$B$5:$B$16,D238)=0,"БЛОК: такого акта нет на листе «Акты» — добавьте акт или исправьте идентификатор",IF(NOT(ISNUMBER(INDEX(Акты!$E$5:$E$16,MATCH(D238,Акты!$B$5:$B$16,0)))),"БЛОК: у этого акта на листе «Акты» не указан первый день просрочки",IF(A238&lt;INDEX(Акты!$E$5:$E$16,MATCH(D238,Акты!$B$5:$B$16,0)),"БЛОК: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сюда",IF(A238&gt;Ввод!$B$4,"БЛОК: оплата после последнего дня расчёта — продлите расчёт или уберите строку","ок"))))))))</f>
        <v/>
      </c>
    </row>
    <row r="239" spans="1:5" x14ac:dyDescent="0.3">
      <c r="A239" s="9"/>
      <c r="B239" s="10"/>
      <c r="C239" s="15"/>
      <c r="D239" s="15"/>
      <c r="E239" s="4" t="str">
        <f>IF(AND(A239="",B239="",C239="",D239=""),"",IF(OR(A239="",B239=""),"БЛОК: нужны и дата, и сумма",IF(B239&lt;=0,"БЛОК: сумма должна быть больше нуля",IF(D239="","БЛОК: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вас",IF(COUNTIF(Акты!$B$5:$B$16,D239)=0,"БЛОК: такого акта нет на листе «Акты» — добавьте акт или исправьте идентификатор",IF(NOT(ISNUMBER(INDEX(Акты!$E$5:$E$16,MATCH(D239,Акты!$B$5:$B$16,0)))),"БЛОК: у этого акта на листе «Акты» не указан первый день просрочки",IF(A239&lt;INDEX(Акты!$E$5:$E$16,MATCH(D239,Акты!$B$5:$B$16,0)),"БЛОК: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сюда",IF(A239&gt;Ввод!$B$4,"БЛОК: оплата после последнего дня расчёта — продлите расчёт или уберите строку","ок"))))))))</f>
        <v/>
      </c>
    </row>
    <row r="240" spans="1:5" x14ac:dyDescent="0.3">
      <c r="A240" s="9"/>
      <c r="B240" s="10"/>
      <c r="C240" s="15"/>
      <c r="D240" s="15"/>
      <c r="E240" s="4" t="str">
        <f>IF(AND(A240="",B240="",C240="",D240=""),"",IF(OR(A240="",B240=""),"БЛОК: нужны и дата, и сумма",IF(B240&lt;=0,"БЛОК: сумма должна быть больше нуля",IF(D240="","БЛОК: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вас",IF(COUNTIF(Акты!$B$5:$B$16,D240)=0,"БЛОК: такого акта нет на листе «Акты» — добавьте акт или исправьте идентификатор",IF(NOT(ISNUMBER(INDEX(Акты!$E$5:$E$16,MATCH(D240,Акты!$B$5:$B$16,0)))),"БЛОК: у этого акта на листе «Акты» не указан первый день просрочки",IF(A240&lt;INDEX(Акты!$E$5:$E$16,MATCH(D240,Акты!$B$5:$B$16,0)),"БЛОК: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сюда",IF(A240&gt;Ввод!$B$4,"БЛОК: оплата после последнего дня расчёта — продлите расчёт или уберите строку","ок"))))))))</f>
        <v/>
      </c>
    </row>
    <row r="241" spans="1:5" x14ac:dyDescent="0.3">
      <c r="A241" s="9"/>
      <c r="B241" s="10"/>
      <c r="C241" s="15"/>
      <c r="D241" s="15"/>
      <c r="E241" s="4" t="str">
        <f>IF(AND(A241="",B241="",C241="",D241=""),"",IF(OR(A241="",B241=""),"БЛОК: нужны и дата, и сумма",IF(B241&lt;=0,"БЛОК: сумма должна быть больше нуля",IF(D241="","БЛОК: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вас",IF(COUNTIF(Акты!$B$5:$B$16,D241)=0,"БЛОК: такого акта нет на листе «Акты» — добавьте акт или исправьте идентификатор",IF(NOT(ISNUMBER(INDEX(Акты!$E$5:$E$16,MATCH(D241,Акты!$B$5:$B$16,0)))),"БЛОК: у этого акта на листе «Акты» не указан первый день просрочки",IF(A241&lt;INDEX(Акты!$E$5:$E$16,MATCH(D241,Акты!$B$5:$B$16,0)),"БЛОК: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сюда",IF(A241&gt;Ввод!$B$4,"БЛОК: оплата после последнего дня расчёта — продлите расчёт или уберите строку","ок"))))))))</f>
        <v/>
      </c>
    </row>
    <row r="242" spans="1:5" x14ac:dyDescent="0.3">
      <c r="A242" s="9"/>
      <c r="B242" s="10"/>
      <c r="C242" s="15"/>
      <c r="D242" s="15"/>
      <c r="E242" s="4" t="str">
        <f>IF(AND(A242="",B242="",C242="",D242=""),"",IF(OR(A242="",B242=""),"БЛОК: нужны и дата, и сумма",IF(B242&lt;=0,"БЛОК: сумма должна быть больше нуля",IF(D242="","БЛОК: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вас",IF(COUNTIF(Акты!$B$5:$B$16,D242)=0,"БЛОК: такого акта нет на листе «Акты» — добавьте акт или исправьте идентификатор",IF(NOT(ISNUMBER(INDEX(Акты!$E$5:$E$16,MATCH(D242,Акты!$B$5:$B$16,0)))),"БЛОК: у этого акта на листе «Акты» не указан первый день просрочки",IF(A242&lt;INDEX(Акты!$E$5:$E$16,MATCH(D242,Акты!$B$5:$B$16,0)),"БЛОК: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сюда",IF(A242&gt;Ввод!$B$4,"БЛОК: оплата после последнего дня расчёта — продлите расчёт или уберите строку","ок"))))))))</f>
        <v/>
      </c>
    </row>
    <row r="243" spans="1:5" x14ac:dyDescent="0.3">
      <c r="A243" s="9"/>
      <c r="B243" s="10"/>
      <c r="C243" s="15"/>
      <c r="D243" s="15"/>
      <c r="E243" s="4" t="str">
        <f>IF(AND(A243="",B243="",C243="",D243=""),"",IF(OR(A243="",B243=""),"БЛОК: нужны и дата, и сумма",IF(B243&lt;=0,"БЛОК: сумма должна быть больше нуля",IF(D243="","БЛОК: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вас",IF(COUNTIF(Акты!$B$5:$B$16,D243)=0,"БЛОК: такого акта нет на листе «Акты» — добавьте акт или исправьте идентификатор",IF(NOT(ISNUMBER(INDEX(Акты!$E$5:$E$16,MATCH(D243,Акты!$B$5:$B$16,0)))),"БЛОК: у этого акта на листе «Акты» не указан первый день просрочки",IF(A243&lt;INDEX(Акты!$E$5:$E$16,MATCH(D243,Акты!$B$5:$B$16,0)),"БЛОК: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сюда",IF(A243&gt;Ввод!$B$4,"БЛОК: оплата после последнего дня расчёта — продлите расчёт или уберите строку","ок"))))))))</f>
        <v/>
      </c>
    </row>
    <row r="244" spans="1:5" x14ac:dyDescent="0.3">
      <c r="A244" s="9"/>
      <c r="B244" s="10"/>
      <c r="C244" s="15"/>
      <c r="D244" s="15"/>
      <c r="E244" s="4" t="str">
        <f>IF(AND(A244="",B244="",C244="",D244=""),"",IF(OR(A244="",B244=""),"БЛОК: нужны и дата, и сумма",IF(B244&lt;=0,"БЛОК: сумма должна быть больше нуля",IF(D244="","БЛОК: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вас",IF(COUNTIF(Акты!$B$5:$B$16,D244)=0,"БЛОК: такого акта нет на листе «Акты» — добавьте акт или исправьте идентификатор",IF(NOT(ISNUMBER(INDEX(Акты!$E$5:$E$16,MATCH(D244,Акты!$B$5:$B$16,0)))),"БЛОК: у этого акта на листе «Акты» не указан первый день просрочки",IF(A244&lt;INDEX(Акты!$E$5:$E$16,MATCH(D244,Акты!$B$5:$B$16,0)),"БЛОК: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сюда",IF(A244&gt;Ввод!$B$4,"БЛОК: оплата после последнего дня расчёта — продлите расчёт или уберите строку","ок"))))))))</f>
        <v/>
      </c>
    </row>
    <row r="245" spans="1:5" x14ac:dyDescent="0.3">
      <c r="A245" s="9"/>
      <c r="B245" s="10"/>
      <c r="C245" s="15"/>
      <c r="D245" s="15"/>
      <c r="E245" s="4" t="str">
        <f>IF(AND(A245="",B245="",C245="",D245=""),"",IF(OR(A245="",B245=""),"БЛОК: нужны и дата, и сумма",IF(B245&lt;=0,"БЛОК: сумма должна быть больше нуля",IF(D245="","БЛОК: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вас",IF(COUNTIF(Акты!$B$5:$B$16,D245)=0,"БЛОК: такого акта нет на листе «Акты» — добавьте акт или исправьте идентификатор",IF(NOT(ISNUMBER(INDEX(Акты!$E$5:$E$16,MATCH(D245,Акты!$B$5:$B$16,0)))),"БЛОК: у этого акта на листе «Акты» не указан первый день просрочки",IF(A245&lt;INDEX(Акты!$E$5:$E$16,MATCH(D245,Акты!$B$5:$B$16,0)),"БЛОК: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сюда",IF(A245&gt;Ввод!$B$4,"БЛОК: оплата после последнего дня расчёта — продлите расчёт или уберите строку","ок"))))))))</f>
        <v/>
      </c>
    </row>
    <row r="246" spans="1:5" x14ac:dyDescent="0.3">
      <c r="A246" s="9"/>
      <c r="B246" s="10"/>
      <c r="C246" s="15"/>
      <c r="D246" s="15"/>
      <c r="E246" s="4" t="str">
        <f>IF(AND(A246="",B246="",C246="",D246=""),"",IF(OR(A246="",B246=""),"БЛОК: нужны и дата, и сумма",IF(B246&lt;=0,"БЛОК: сумма должна быть больше нуля",IF(D246="","БЛОК: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вас",IF(COUNTIF(Акты!$B$5:$B$16,D246)=0,"БЛОК: такого акта нет на листе «Акты» — добавьте акт или исправьте идентификатор",IF(NOT(ISNUMBER(INDEX(Акты!$E$5:$E$16,MATCH(D246,Акты!$B$5:$B$16,0)))),"БЛОК: у этого акта на листе «Акты» не указан первый день просрочки",IF(A246&lt;INDEX(Акты!$E$5:$E$16,MATCH(D246,Акты!$B$5:$B$16,0)),"БЛОК: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сюда",IF(A246&gt;Ввод!$B$4,"БЛОК: оплата после последнего дня расчёта — продлите расчёт или уберите строку","ок"))))))))</f>
        <v/>
      </c>
    </row>
    <row r="247" spans="1:5" x14ac:dyDescent="0.3">
      <c r="A247" s="9"/>
      <c r="B247" s="10"/>
      <c r="C247" s="15"/>
      <c r="D247" s="15"/>
      <c r="E247" s="4" t="str">
        <f>IF(AND(A247="",B247="",C247="",D247=""),"",IF(OR(A247="",B247=""),"БЛОК: нужны и дата, и сумма",IF(B247&lt;=0,"БЛОК: сумма должна быть больше нуля",IF(D247="","БЛОК: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вас",IF(COUNTIF(Акты!$B$5:$B$16,D247)=0,"БЛОК: такого акта нет на листе «Акты» — добавьте акт или исправьте идентификатор",IF(NOT(ISNUMBER(INDEX(Акты!$E$5:$E$16,MATCH(D247,Акты!$B$5:$B$16,0)))),"БЛОК: у этого акта на листе «Акты» не указан первый день просрочки",IF(A247&lt;INDEX(Акты!$E$5:$E$16,MATCH(D247,Акты!$B$5:$B$16,0)),"БЛОК: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сюда",IF(A247&gt;Ввод!$B$4,"БЛОК: оплата после последнего дня расчёта — продлите расчёт или уберите строку","ок"))))))))</f>
        <v/>
      </c>
    </row>
    <row r="248" spans="1:5" x14ac:dyDescent="0.3">
      <c r="A248" s="9"/>
      <c r="B248" s="10"/>
      <c r="C248" s="15"/>
      <c r="D248" s="15"/>
      <c r="E248" s="4" t="str">
        <f>IF(AND(A248="",B248="",C248="",D248=""),"",IF(OR(A248="",B248=""),"БЛОК: нужны и дата, и сумма",IF(B248&lt;=0,"БЛОК: сумма должна быть больше нуля",IF(D248="","БЛОК: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вас",IF(COUNTIF(Акты!$B$5:$B$16,D248)=0,"БЛОК: такого акта нет на листе «Акты» — добавьте акт или исправьте идентификатор",IF(NOT(ISNUMBER(INDEX(Акты!$E$5:$E$16,MATCH(D248,Акты!$B$5:$B$16,0)))),"БЛОК: у этого акта на листе «Акты» не указан первый день просрочки",IF(A248&lt;INDEX(Акты!$E$5:$E$16,MATCH(D248,Акты!$B$5:$B$16,0)),"БЛОК: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сюда",IF(A248&gt;Ввод!$B$4,"БЛОК: оплата после последнего дня расчёта — продлите расчёт или уберите строку","ок"))))))))</f>
        <v/>
      </c>
    </row>
    <row r="249" spans="1:5" x14ac:dyDescent="0.3">
      <c r="A249" s="9"/>
      <c r="B249" s="10"/>
      <c r="C249" s="15"/>
      <c r="D249" s="15"/>
      <c r="E249" s="4" t="str">
        <f>IF(AND(A249="",B249="",C249="",D249=""),"",IF(OR(A249="",B249=""),"БЛОК: нужны и дата, и сумма",IF(B249&lt;=0,"БЛОК: сумма должна быть больше нуля",IF(D249="","БЛОК: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вас",IF(COUNTIF(Акты!$B$5:$B$16,D249)=0,"БЛОК: такого акта нет на листе «Акты» — добавьте акт или исправьте идентификатор",IF(NOT(ISNUMBER(INDEX(Акты!$E$5:$E$16,MATCH(D249,Акты!$B$5:$B$16,0)))),"БЛОК: у этого акта на листе «Акты» не указан первый день просрочки",IF(A249&lt;INDEX(Акты!$E$5:$E$16,MATCH(D249,Акты!$B$5:$B$16,0)),"БЛОК: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сюда",IF(A249&gt;Ввод!$B$4,"БЛОК: оплата после последнего дня расчёта — продлите расчёт или уберите строку","ок"))))))))</f>
        <v/>
      </c>
    </row>
    <row r="250" spans="1:5" x14ac:dyDescent="0.3">
      <c r="A250" s="9"/>
      <c r="B250" s="10"/>
      <c r="C250" s="15"/>
      <c r="D250" s="15"/>
      <c r="E250" s="4" t="str">
        <f>IF(AND(A250="",B250="",C250="",D250=""),"",IF(OR(A250="",B250=""),"БЛОК: нужны и дата, и сумма",IF(B250&lt;=0,"БЛОК: сумма должна быть больше нуля",IF(D250="","БЛОК: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вас",IF(COUNTIF(Акты!$B$5:$B$16,D250)=0,"БЛОК: такого акта нет на листе «Акты» — добавьте акт или исправьте идентификатор",IF(NOT(ISNUMBER(INDEX(Акты!$E$5:$E$16,MATCH(D250,Акты!$B$5:$B$16,0)))),"БЛОК: у этого акта на листе «Акты» не указан первый день просрочки",IF(A250&lt;INDEX(Акты!$E$5:$E$16,MATCH(D250,Акты!$B$5:$B$16,0)),"БЛОК: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сюда",IF(A250&gt;Ввод!$B$4,"БЛОК: оплата после последнего дня расчёта — продлите расчёт или уберите строку","ок"))))))))</f>
        <v/>
      </c>
    </row>
    <row r="251" spans="1:5" x14ac:dyDescent="0.3">
      <c r="A251" s="9"/>
      <c r="B251" s="10"/>
      <c r="C251" s="15"/>
      <c r="D251" s="15"/>
      <c r="E251" s="4" t="str">
        <f>IF(AND(A251="",B251="",C251="",D251=""),"",IF(OR(A251="",B251=""),"БЛОК: нужны и дата, и сумма",IF(B251&lt;=0,"БЛОК: сумма должна быть больше нуля",IF(D251="","БЛОК: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вас",IF(COUNTIF(Акты!$B$5:$B$16,D251)=0,"БЛОК: такого акта нет на листе «Акты» — добавьте акт или исправьте идентификатор",IF(NOT(ISNUMBER(INDEX(Акты!$E$5:$E$16,MATCH(D251,Акты!$B$5:$B$16,0)))),"БЛОК: у этого акта на листе «Акты» не указан первый день просрочки",IF(A251&lt;INDEX(Акты!$E$5:$E$16,MATCH(D251,Акты!$B$5:$B$16,0)),"БЛОК: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сюда",IF(A251&gt;Ввод!$B$4,"БЛОК: оплата после последнего дня расчёта — продлите расчёт или уберите строку","ок"))))))))</f>
        <v/>
      </c>
    </row>
    <row r="252" spans="1:5" x14ac:dyDescent="0.3">
      <c r="A252" s="9"/>
      <c r="B252" s="10"/>
      <c r="C252" s="15"/>
      <c r="D252" s="15"/>
      <c r="E252" s="4" t="str">
        <f>IF(AND(A252="",B252="",C252="",D252=""),"",IF(OR(A252="",B252=""),"БЛОК: нужны и дата, и сумма",IF(B252&lt;=0,"БЛОК: сумма должна быть больше нуля",IF(D252="","БЛОК: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вас",IF(COUNTIF(Акты!$B$5:$B$16,D252)=0,"БЛОК: такого акта нет на листе «Акты» — добавьте акт или исправьте идентификатор",IF(NOT(ISNUMBER(INDEX(Акты!$E$5:$E$16,MATCH(D252,Акты!$B$5:$B$16,0)))),"БЛОК: у этого акта на листе «Акты» не указан первый день просрочки",IF(A252&lt;INDEX(Акты!$E$5:$E$16,MATCH(D252,Акты!$B$5:$B$16,0)),"БЛОК: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сюда",IF(A252&gt;Ввод!$B$4,"БЛОК: оплата после последнего дня расчёта — продлите расчёт или уберите строку","ок"))))))))</f>
        <v/>
      </c>
    </row>
    <row r="253" spans="1:5" x14ac:dyDescent="0.3">
      <c r="A253" s="9"/>
      <c r="B253" s="10"/>
      <c r="C253" s="15"/>
      <c r="D253" s="15"/>
      <c r="E253" s="4" t="str">
        <f>IF(AND(A253="",B253="",C253="",D253=""),"",IF(OR(A253="",B253=""),"БЛОК: нужны и дата, и сумма",IF(B253&lt;=0,"БЛОК: сумма должна быть больше нуля",IF(D253="","БЛОК: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вас",IF(COUNTIF(Акты!$B$5:$B$16,D253)=0,"БЛОК: такого акта нет на листе «Акты» — добавьте акт или исправьте идентификатор",IF(NOT(ISNUMBER(INDEX(Акты!$E$5:$E$16,MATCH(D253,Акты!$B$5:$B$16,0)))),"БЛОК: у этого акта на листе «Акты» не указан первый день просрочки",IF(A253&lt;INDEX(Акты!$E$5:$E$16,MATCH(D253,Акты!$B$5:$B$16,0)),"БЛОК: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сюда",IF(A253&gt;Ввод!$B$4,"БЛОК: оплата после последнего дня расчёта — продлите расчёт или уберите строку","ок"))))))))</f>
        <v/>
      </c>
    </row>
    <row r="254" spans="1:5" x14ac:dyDescent="0.3">
      <c r="A254" s="9"/>
      <c r="B254" s="10"/>
      <c r="C254" s="15"/>
      <c r="D254" s="15"/>
      <c r="E254" s="4" t="str">
        <f>IF(AND(A254="",B254="",C254="",D254=""),"",IF(OR(A254="",B254=""),"БЛОК: нужны и дата, и сумма",IF(B254&lt;=0,"БЛОК: сумма должна быть больше нуля",IF(D254="","БЛОК: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вас",IF(COUNTIF(Акты!$B$5:$B$16,D254)=0,"БЛОК: такого акта нет на листе «Акты» — добавьте акт или исправьте идентификатор",IF(NOT(ISNUMBER(INDEX(Акты!$E$5:$E$16,MATCH(D254,Акты!$B$5:$B$16,0)))),"БЛОК: у этого акта на листе «Акты» не указан первый день просрочки",IF(A254&lt;INDEX(Акты!$E$5:$E$16,MATCH(D254,Акты!$B$5:$B$16,0)),"БЛОК: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сюда",IF(A254&gt;Ввод!$B$4,"БЛОК: оплата после последнего дня расчёта — продлите расчёт или уберите строку","ок"))))))))</f>
        <v/>
      </c>
    </row>
    <row r="255" spans="1:5" x14ac:dyDescent="0.3">
      <c r="A255" s="9"/>
      <c r="B255" s="10"/>
      <c r="C255" s="15"/>
      <c r="D255" s="15"/>
      <c r="E255" s="4" t="str">
        <f>IF(AND(A255="",B255="",C255="",D255=""),"",IF(OR(A255="",B255=""),"БЛОК: нужны и дата, и сумма",IF(B255&lt;=0,"БЛОК: сумма должна быть больше нуля",IF(D255="","БЛОК: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вас",IF(COUNTIF(Акты!$B$5:$B$16,D255)=0,"БЛОК: такого акта нет на листе «Акты» — добавьте акт или исправьте идентификатор",IF(NOT(ISNUMBER(INDEX(Акты!$E$5:$E$16,MATCH(D255,Акты!$B$5:$B$16,0)))),"БЛОК: у этого акта на листе «Акты» не указан первый день просрочки",IF(A255&lt;INDEX(Акты!$E$5:$E$16,MATCH(D255,Акты!$B$5:$B$16,0)),"БЛОК: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сюда",IF(A255&gt;Ввод!$B$4,"БЛОК: оплата после последнего дня расчёта — продлите расчёт или уберите строку","ок"))))))))</f>
        <v/>
      </c>
    </row>
    <row r="256" spans="1:5" x14ac:dyDescent="0.3">
      <c r="A256" s="9"/>
      <c r="B256" s="10"/>
      <c r="C256" s="15"/>
      <c r="D256" s="15"/>
      <c r="E256" s="4" t="str">
        <f>IF(AND(A256="",B256="",C256="",D256=""),"",IF(OR(A256="",B256=""),"БЛОК: нужны и дата, и сумма",IF(B256&lt;=0,"БЛОК: сумма должна быть больше нуля",IF(D256="","БЛОК: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вас",IF(COUNTIF(Акты!$B$5:$B$16,D256)=0,"БЛОК: такого акта нет на листе «Акты» — добавьте акт или исправьте идентификатор",IF(NOT(ISNUMBER(INDEX(Акты!$E$5:$E$16,MATCH(D256,Акты!$B$5:$B$16,0)))),"БЛОК: у этого акта на листе «Акты» не указан первый день просрочки",IF(A256&lt;INDEX(Акты!$E$5:$E$16,MATCH(D256,Акты!$B$5:$B$16,0)),"БЛОК: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сюда",IF(A256&gt;Ввод!$B$4,"БЛОК: оплата после последнего дня расчёта — продлите расчёт или уберите строку","ок"))))))))</f>
        <v/>
      </c>
    </row>
    <row r="257" spans="1:5" x14ac:dyDescent="0.3">
      <c r="A257" s="9"/>
      <c r="B257" s="10"/>
      <c r="C257" s="15"/>
      <c r="D257" s="15"/>
      <c r="E257" s="4" t="str">
        <f>IF(AND(A257="",B257="",C257="",D257=""),"",IF(OR(A257="",B257=""),"БЛОК: нужны и дата, и сумма",IF(B257&lt;=0,"БЛОК: сумма должна быть больше нуля",IF(D257="","БЛОК: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вас",IF(COUNTIF(Акты!$B$5:$B$16,D257)=0,"БЛОК: такого акта нет на листе «Акты» — добавьте акт или исправьте идентификатор",IF(NOT(ISNUMBER(INDEX(Акты!$E$5:$E$16,MATCH(D257,Акты!$B$5:$B$16,0)))),"БЛОК: у этого акта на листе «Акты» не указан первый день просрочки",IF(A257&lt;INDEX(Акты!$E$5:$E$16,MATCH(D257,Акты!$B$5:$B$16,0)),"БЛОК: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сюда",IF(A257&gt;Ввод!$B$4,"БЛОК: оплата после последнего дня расчёта — продлите расчёт или уберите строку","ок"))))))))</f>
        <v/>
      </c>
    </row>
    <row r="258" spans="1:5" x14ac:dyDescent="0.3">
      <c r="A258" s="9"/>
      <c r="B258" s="10"/>
      <c r="C258" s="15"/>
      <c r="D258" s="15"/>
      <c r="E258" s="4" t="str">
        <f>IF(AND(A258="",B258="",C258="",D258=""),"",IF(OR(A258="",B258=""),"БЛОК: нужны и дата, и сумма",IF(B258&lt;=0,"БЛОК: сумма должна быть больше нуля",IF(D258="","БЛОК: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вас",IF(COUNTIF(Акты!$B$5:$B$16,D258)=0,"БЛОК: такого акта нет на листе «Акты» — добавьте акт или исправьте идентификатор",IF(NOT(ISNUMBER(INDEX(Акты!$E$5:$E$16,MATCH(D258,Акты!$B$5:$B$16,0)))),"БЛОК: у этого акта на листе «Акты» не указан первый день просрочки",IF(A258&lt;INDEX(Акты!$E$5:$E$16,MATCH(D258,Акты!$B$5:$B$16,0)),"БЛОК: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сюда",IF(A258&gt;Ввод!$B$4,"БЛОК: оплата после последнего дня расчёта — продлите расчёт или уберите строку","ок"))))))))</f>
        <v/>
      </c>
    </row>
    <row r="259" spans="1:5" x14ac:dyDescent="0.3">
      <c r="A259" s="9"/>
      <c r="B259" s="10"/>
      <c r="C259" s="15"/>
      <c r="D259" s="15"/>
      <c r="E259" s="4" t="str">
        <f>IF(AND(A259="",B259="",C259="",D259=""),"",IF(OR(A259="",B259=""),"БЛОК: нужны и дата, и сумма",IF(B259&lt;=0,"БЛОК: сумма должна быть больше нуля",IF(D259="","БЛОК: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вас",IF(COUNTIF(Акты!$B$5:$B$16,D259)=0,"БЛОК: такого акта нет на листе «Акты» — добавьте акт или исправьте идентификатор",IF(NOT(ISNUMBER(INDEX(Акты!$E$5:$E$16,MATCH(D259,Акты!$B$5:$B$16,0)))),"БЛОК: у этого акта на листе «Акты» не указан первый день просрочки",IF(A259&lt;INDEX(Акты!$E$5:$E$16,MATCH(D259,Акты!$B$5:$B$16,0)),"БЛОК: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сюда",IF(A259&gt;Ввод!$B$4,"БЛОК: оплата после последнего дня расчёта — продлите расчёт или уберите строку","ок"))))))))</f>
        <v/>
      </c>
    </row>
    <row r="260" spans="1:5" x14ac:dyDescent="0.3">
      <c r="A260" s="9"/>
      <c r="B260" s="10"/>
      <c r="C260" s="15"/>
      <c r="D260" s="15"/>
      <c r="E260" s="4" t="str">
        <f>IF(AND(A260="",B260="",C260="",D260=""),"",IF(OR(A260="",B260=""),"БЛОК: нужны и дата, и сумма",IF(B260&lt;=0,"БЛОК: сумма должна быть больше нуля",IF(D260="","БЛОК: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вас",IF(COUNTIF(Акты!$B$5:$B$16,D260)=0,"БЛОК: такого акта нет на листе «Акты» — добавьте акт или исправьте идентификатор",IF(NOT(ISNUMBER(INDEX(Акты!$E$5:$E$16,MATCH(D260,Акты!$B$5:$B$16,0)))),"БЛОК: у этого акта на листе «Акты» не указан первый день просрочки",IF(A260&lt;INDEX(Акты!$E$5:$E$16,MATCH(D260,Акты!$B$5:$B$16,0)),"БЛОК: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сюда",IF(A260&gt;Ввод!$B$4,"БЛОК: оплата после последнего дня расчёта — продлите расчёт или уберите строку","ок"))))))))</f>
        <v/>
      </c>
    </row>
    <row r="261" spans="1:5" x14ac:dyDescent="0.3">
      <c r="A261" s="9"/>
      <c r="B261" s="10"/>
      <c r="C261" s="15"/>
      <c r="D261" s="15"/>
      <c r="E261" s="4" t="str">
        <f>IF(AND(A261="",B261="",C261="",D261=""),"",IF(OR(A261="",B261=""),"БЛОК: нужны и дата, и сумма",IF(B261&lt;=0,"БЛОК: сумма должна быть больше нуля",IF(D261="","БЛОК: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вас",IF(COUNTIF(Акты!$B$5:$B$16,D261)=0,"БЛОК: такого акта нет на листе «Акты» — добавьте акт или исправьте идентификатор",IF(NOT(ISNUMBER(INDEX(Акты!$E$5:$E$16,MATCH(D261,Акты!$B$5:$B$16,0)))),"БЛОК: у этого акта на листе «Акты» не указан первый день просрочки",IF(A261&lt;INDEX(Акты!$E$5:$E$16,MATCH(D261,Акты!$B$5:$B$16,0)),"БЛОК: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сюда",IF(A261&gt;Ввод!$B$4,"БЛОК: оплата после последнего дня расчёта — продлите расчёт или уберите строку","ок"))))))))</f>
        <v/>
      </c>
    </row>
    <row r="262" spans="1:5" x14ac:dyDescent="0.3">
      <c r="A262" s="9"/>
      <c r="B262" s="10"/>
      <c r="C262" s="15"/>
      <c r="D262" s="15"/>
      <c r="E262" s="4" t="str">
        <f>IF(AND(A262="",B262="",C262="",D262=""),"",IF(OR(A262="",B262=""),"БЛОК: нужны и дата, и сумма",IF(B262&lt;=0,"БЛОК: сумма должна быть больше нуля",IF(D262="","БЛОК: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вас",IF(COUNTIF(Акты!$B$5:$B$16,D262)=0,"БЛОК: такого акта нет на листе «Акты» — добавьте акт или исправьте идентификатор",IF(NOT(ISNUMBER(INDEX(Акты!$E$5:$E$16,MATCH(D262,Акты!$B$5:$B$16,0)))),"БЛОК: у этого акта на листе «Акты» не указан первый день просрочки",IF(A262&lt;INDEX(Акты!$E$5:$E$16,MATCH(D262,Акты!$B$5:$B$16,0)),"БЛОК: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сюда",IF(A262&gt;Ввод!$B$4,"БЛОК: оплата после последнего дня расчёта — продлите расчёт или уберите строку","ок"))))))))</f>
        <v/>
      </c>
    </row>
    <row r="263" spans="1:5" x14ac:dyDescent="0.3">
      <c r="A263" s="9"/>
      <c r="B263" s="10"/>
      <c r="C263" s="15"/>
      <c r="D263" s="15"/>
      <c r="E263" s="4" t="str">
        <f>IF(AND(A263="",B263="",C263="",D263=""),"",IF(OR(A263="",B263=""),"БЛОК: нужны и дата, и сумма",IF(B263&lt;=0,"БЛОК: сумма должна быть больше нуля",IF(D263="","БЛОК: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вас",IF(COUNTIF(Акты!$B$5:$B$16,D263)=0,"БЛОК: такого акта нет на листе «Акты» — добавьте акт или исправьте идентификатор",IF(NOT(ISNUMBER(INDEX(Акты!$E$5:$E$16,MATCH(D263,Акты!$B$5:$B$16,0)))),"БЛОК: у этого акта на листе «Акты» не указан первый день просрочки",IF(A263&lt;INDEX(Акты!$E$5:$E$16,MATCH(D263,Акты!$B$5:$B$16,0)),"БЛОК: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сюда",IF(A263&gt;Ввод!$B$4,"БЛОК: оплата после последнего дня расчёта — продлите расчёт или уберите строку","ок"))))))))</f>
        <v/>
      </c>
    </row>
    <row r="264" spans="1:5" x14ac:dyDescent="0.3">
      <c r="A264" s="9"/>
      <c r="B264" s="10"/>
      <c r="C264" s="15"/>
      <c r="D264" s="15"/>
      <c r="E264" s="4" t="str">
        <f>IF(AND(A264="",B264="",C264="",D264=""),"",IF(OR(A264="",B264=""),"БЛОК: нужны и дата, и сумма",IF(B264&lt;=0,"БЛОК: сумма должна быть больше нуля",IF(D264="","БЛОК: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вас",IF(COUNTIF(Акты!$B$5:$B$16,D264)=0,"БЛОК: такого акта нет на листе «Акты» — добавьте акт или исправьте идентификатор",IF(NOT(ISNUMBER(INDEX(Акты!$E$5:$E$16,MATCH(D264,Акты!$B$5:$B$16,0)))),"БЛОК: у этого акта на листе «Акты» не указан первый день просрочки",IF(A264&lt;INDEX(Акты!$E$5:$E$16,MATCH(D264,Акты!$B$5:$B$16,0)),"БЛОК: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сюда",IF(A264&gt;Ввод!$B$4,"БЛОК: оплата после последнего дня расчёта — продлите расчёт или уберите строку","ок"))))))))</f>
        <v/>
      </c>
    </row>
    <row r="265" spans="1:5" x14ac:dyDescent="0.3">
      <c r="A265" s="9"/>
      <c r="B265" s="10"/>
      <c r="C265" s="15"/>
      <c r="D265" s="15"/>
      <c r="E265" s="4" t="str">
        <f>IF(AND(A265="",B265="",C265="",D265=""),"",IF(OR(A265="",B265=""),"БЛОК: нужны и дата, и сумма",IF(B265&lt;=0,"БЛОК: сумма должна быть больше нуля",IF(D265="","БЛОК: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вас",IF(COUNTIF(Акты!$B$5:$B$16,D265)=0,"БЛОК: такого акта нет на листе «Акты» — добавьте акт или исправьте идентификатор",IF(NOT(ISNUMBER(INDEX(Акты!$E$5:$E$16,MATCH(D265,Акты!$B$5:$B$16,0)))),"БЛОК: у этого акта на листе «Акты» не указан первый день просрочки",IF(A265&lt;INDEX(Акты!$E$5:$E$16,MATCH(D265,Акты!$B$5:$B$16,0)),"БЛОК: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сюда",IF(A265&gt;Ввод!$B$4,"БЛОК: оплата после последнего дня расчёта — продлите расчёт или уберите строку","ок"))))))))</f>
        <v/>
      </c>
    </row>
    <row r="266" spans="1:5" x14ac:dyDescent="0.3">
      <c r="A266" s="9"/>
      <c r="B266" s="10"/>
      <c r="C266" s="15"/>
      <c r="D266" s="15"/>
      <c r="E266" s="4" t="str">
        <f>IF(AND(A266="",B266="",C266="",D266=""),"",IF(OR(A266="",B266=""),"БЛОК: нужны и дата, и сумма",IF(B266&lt;=0,"БЛОК: сумма должна быть больше нуля",IF(D266="","БЛОК: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вас",IF(COUNTIF(Акты!$B$5:$B$16,D266)=0,"БЛОК: такого акта нет на листе «Акты» — добавьте акт или исправьте идентификатор",IF(NOT(ISNUMBER(INDEX(Акты!$E$5:$E$16,MATCH(D266,Акты!$B$5:$B$16,0)))),"БЛОК: у этого акта на листе «Акты» не указан первый день просрочки",IF(A266&lt;INDEX(Акты!$E$5:$E$16,MATCH(D266,Акты!$B$5:$B$16,0)),"БЛОК: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сюда",IF(A266&gt;Ввод!$B$4,"БЛОК: оплата после последнего дня расчёта — продлите расчёт или уберите строку","ок"))))))))</f>
        <v/>
      </c>
    </row>
    <row r="267" spans="1:5" x14ac:dyDescent="0.3">
      <c r="A267" s="9"/>
      <c r="B267" s="10"/>
      <c r="C267" s="15"/>
      <c r="D267" s="15"/>
      <c r="E267" s="4" t="str">
        <f>IF(AND(A267="",B267="",C267="",D267=""),"",IF(OR(A267="",B267=""),"БЛОК: нужны и дата, и сумма",IF(B267&lt;=0,"БЛОК: сумма должна быть больше нуля",IF(D267="","БЛОК: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вас",IF(COUNTIF(Акты!$B$5:$B$16,D267)=0,"БЛОК: такого акта нет на листе «Акты» — добавьте акт или исправьте идентификатор",IF(NOT(ISNUMBER(INDEX(Акты!$E$5:$E$16,MATCH(D267,Акты!$B$5:$B$16,0)))),"БЛОК: у этого акта на листе «Акты» не указан первый день просрочки",IF(A267&lt;INDEX(Акты!$E$5:$E$16,MATCH(D267,Акты!$B$5:$B$16,0)),"БЛОК: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сюда",IF(A267&gt;Ввод!$B$4,"БЛОК: оплата после последнего дня расчёта — продлите расчёт или уберите строку","ок"))))))))</f>
        <v/>
      </c>
    </row>
    <row r="268" spans="1:5" x14ac:dyDescent="0.3">
      <c r="A268" s="9"/>
      <c r="B268" s="10"/>
      <c r="C268" s="15"/>
      <c r="D268" s="15"/>
      <c r="E268" s="4" t="str">
        <f>IF(AND(A268="",B268="",C268="",D268=""),"",IF(OR(A268="",B268=""),"БЛОК: нужны и дата, и сумма",IF(B268&lt;=0,"БЛОК: сумма должна быть больше нуля",IF(D268="","БЛОК: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вас",IF(COUNTIF(Акты!$B$5:$B$16,D268)=0,"БЛОК: такого акта нет на листе «Акты» — добавьте акт или исправьте идентификатор",IF(NOT(ISNUMBER(INDEX(Акты!$E$5:$E$16,MATCH(D268,Акты!$B$5:$B$16,0)))),"БЛОК: у этого акта на листе «Акты» не указан первый день просрочки",IF(A268&lt;INDEX(Акты!$E$5:$E$16,MATCH(D268,Акты!$B$5:$B$16,0)),"БЛОК: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сюда",IF(A268&gt;Ввод!$B$4,"БЛОК: оплата после последнего дня расчёта — продлите расчёт или уберите строку","ок"))))))))</f>
        <v/>
      </c>
    </row>
    <row r="269" spans="1:5" x14ac:dyDescent="0.3">
      <c r="A269" s="9"/>
      <c r="B269" s="10"/>
      <c r="C269" s="15"/>
      <c r="D269" s="15"/>
      <c r="E269" s="4" t="str">
        <f>IF(AND(A269="",B269="",C269="",D269=""),"",IF(OR(A269="",B269=""),"БЛОК: нужны и дата, и сумма",IF(B269&lt;=0,"БЛОК: сумма должна быть больше нуля",IF(D269="","БЛОК: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вас",IF(COUNTIF(Акты!$B$5:$B$16,D269)=0,"БЛОК: такого акта нет на листе «Акты» — добавьте акт или исправьте идентификатор",IF(NOT(ISNUMBER(INDEX(Акты!$E$5:$E$16,MATCH(D269,Акты!$B$5:$B$16,0)))),"БЛОК: у этого акта на листе «Акты» не указан первый день просрочки",IF(A269&lt;INDEX(Акты!$E$5:$E$16,MATCH(D269,Акты!$B$5:$B$16,0)),"БЛОК: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сюда",IF(A269&gt;Ввод!$B$4,"БЛОК: оплата после последнего дня расчёта — продлите расчёт или уберите строку","ок"))))))))</f>
        <v/>
      </c>
    </row>
    <row r="270" spans="1:5" x14ac:dyDescent="0.3">
      <c r="A270" s="9"/>
      <c r="B270" s="10"/>
      <c r="C270" s="15"/>
      <c r="D270" s="15"/>
      <c r="E270" s="4" t="str">
        <f>IF(AND(A270="",B270="",C270="",D270=""),"",IF(OR(A270="",B270=""),"БЛОК: нужны и дата, и сумма",IF(B270&lt;=0,"БЛОК: сумма должна быть больше нуля",IF(D270="","БЛОК: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вас",IF(COUNTIF(Акты!$B$5:$B$16,D270)=0,"БЛОК: такого акта нет на листе «Акты» — добавьте акт или исправьте идентификатор",IF(NOT(ISNUMBER(INDEX(Акты!$E$5:$E$16,MATCH(D270,Акты!$B$5:$B$16,0)))),"БЛОК: у этого акта на листе «Акты» не указан первый день просрочки",IF(A270&lt;INDEX(Акты!$E$5:$E$16,MATCH(D270,Акты!$B$5:$B$16,0)),"БЛОК: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сюда",IF(A270&gt;Ввод!$B$4,"БЛОК: оплата после последнего дня расчёта — продлите расчёт или уберите строку","ок"))))))))</f>
        <v/>
      </c>
    </row>
    <row r="271" spans="1:5" x14ac:dyDescent="0.3">
      <c r="A271" s="9"/>
      <c r="B271" s="10"/>
      <c r="C271" s="15"/>
      <c r="D271" s="15"/>
      <c r="E271" s="4" t="str">
        <f>IF(AND(A271="",B271="",C271="",D271=""),"",IF(OR(A271="",B271=""),"БЛОК: нужны и дата, и сумма",IF(B271&lt;=0,"БЛОК: сумма должна быть больше нуля",IF(D271="","БЛОК: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вас",IF(COUNTIF(Акты!$B$5:$B$16,D271)=0,"БЛОК: такого акта нет на листе «Акты» — добавьте акт или исправьте идентификатор",IF(NOT(ISNUMBER(INDEX(Акты!$E$5:$E$16,MATCH(D271,Акты!$B$5:$B$16,0)))),"БЛОК: у этого акта на листе «Акты» не указан первый день просрочки",IF(A271&lt;INDEX(Акты!$E$5:$E$16,MATCH(D271,Акты!$B$5:$B$16,0)),"БЛОК: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сюда",IF(A271&gt;Ввод!$B$4,"БЛОК: оплата после последнего дня расчёта — продлите расчёт или уберите строку","ок"))))))))</f>
        <v/>
      </c>
    </row>
    <row r="272" spans="1:5" x14ac:dyDescent="0.3">
      <c r="A272" s="9"/>
      <c r="B272" s="10"/>
      <c r="C272" s="15"/>
      <c r="D272" s="15"/>
      <c r="E272" s="4" t="str">
        <f>IF(AND(A272="",B272="",C272="",D272=""),"",IF(OR(A272="",B272=""),"БЛОК: нужны и дата, и сумма",IF(B272&lt;=0,"БЛОК: сумма должна быть больше нуля",IF(D272="","БЛОК: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вас",IF(COUNTIF(Акты!$B$5:$B$16,D272)=0,"БЛОК: такого акта нет на листе «Акты» — добавьте акт или исправьте идентификатор",IF(NOT(ISNUMBER(INDEX(Акты!$E$5:$E$16,MATCH(D272,Акты!$B$5:$B$16,0)))),"БЛОК: у этого акта на листе «Акты» не указан первый день просрочки",IF(A272&lt;INDEX(Акты!$E$5:$E$16,MATCH(D272,Акты!$B$5:$B$16,0)),"БЛОК: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сюда",IF(A272&gt;Ввод!$B$4,"БЛОК: оплата после последнего дня расчёта — продлите расчёт или уберите строку","ок"))))))))</f>
        <v/>
      </c>
    </row>
    <row r="273" spans="1:5" x14ac:dyDescent="0.3">
      <c r="A273" s="9"/>
      <c r="B273" s="10"/>
      <c r="C273" s="15"/>
      <c r="D273" s="15"/>
      <c r="E273" s="4" t="str">
        <f>IF(AND(A273="",B273="",C273="",D273=""),"",IF(OR(A273="",B273=""),"БЛОК: нужны и дата, и сумма",IF(B273&lt;=0,"БЛОК: сумма должна быть больше нуля",IF(D273="","БЛОК: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вас",IF(COUNTIF(Акты!$B$5:$B$16,D273)=0,"БЛОК: такого акта нет на листе «Акты» — добавьте акт или исправьте идентификатор",IF(NOT(ISNUMBER(INDEX(Акты!$E$5:$E$16,MATCH(D273,Акты!$B$5:$B$16,0)))),"БЛОК: у этого акта на листе «Акты» не указан первый день просрочки",IF(A273&lt;INDEX(Акты!$E$5:$E$16,MATCH(D273,Акты!$B$5:$B$16,0)),"БЛОК: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сюда",IF(A273&gt;Ввод!$B$4,"БЛОК: оплата после последнего дня расчёта — продлите расчёт или уберите строку","ок"))))))))</f>
        <v/>
      </c>
    </row>
    <row r="274" spans="1:5" x14ac:dyDescent="0.3">
      <c r="A274" s="9"/>
      <c r="B274" s="10"/>
      <c r="C274" s="15"/>
      <c r="D274" s="15"/>
      <c r="E274" s="4" t="str">
        <f>IF(AND(A274="",B274="",C274="",D274=""),"",IF(OR(A274="",B274=""),"БЛОК: нужны и дата, и сумма",IF(B274&lt;=0,"БЛОК: сумма должна быть больше нуля",IF(D274="","БЛОК: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вас",IF(COUNTIF(Акты!$B$5:$B$16,D274)=0,"БЛОК: такого акта нет на листе «Акты» — добавьте акт или исправьте идентификатор",IF(NOT(ISNUMBER(INDEX(Акты!$E$5:$E$16,MATCH(D274,Акты!$B$5:$B$16,0)))),"БЛОК: у этого акта на листе «Акты» не указан первый день просрочки",IF(A274&lt;INDEX(Акты!$E$5:$E$16,MATCH(D274,Акты!$B$5:$B$16,0)),"БЛОК: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сюда",IF(A274&gt;Ввод!$B$4,"БЛОК: оплата после последнего дня расчёта — продлите расчёт или уберите строку","ок"))))))))</f>
        <v/>
      </c>
    </row>
    <row r="275" spans="1:5" x14ac:dyDescent="0.3">
      <c r="A275" s="9"/>
      <c r="B275" s="10"/>
      <c r="C275" s="15"/>
      <c r="D275" s="15"/>
      <c r="E275" s="4" t="str">
        <f>IF(AND(A275="",B275="",C275="",D275=""),"",IF(OR(A275="",B275=""),"БЛОК: нужны и дата, и сумма",IF(B275&lt;=0,"БЛОК: сумма должна быть больше нуля",IF(D275="","БЛОК: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вас",IF(COUNTIF(Акты!$B$5:$B$16,D275)=0,"БЛОК: такого акта нет на листе «Акты» — добавьте акт или исправьте идентификатор",IF(NOT(ISNUMBER(INDEX(Акты!$E$5:$E$16,MATCH(D275,Акты!$B$5:$B$16,0)))),"БЛОК: у этого акта на листе «Акты» не указан первый день просрочки",IF(A275&lt;INDEX(Акты!$E$5:$E$16,MATCH(D275,Акты!$B$5:$B$16,0)),"БЛОК: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сюда",IF(A275&gt;Ввод!$B$4,"БЛОК: оплата после последнего дня расчёта — продлите расчёт или уберите строку","ок"))))))))</f>
        <v/>
      </c>
    </row>
    <row r="276" spans="1:5" x14ac:dyDescent="0.3">
      <c r="A276" s="9"/>
      <c r="B276" s="10"/>
      <c r="C276" s="15"/>
      <c r="D276" s="15"/>
      <c r="E276" s="4" t="str">
        <f>IF(AND(A276="",B276="",C276="",D276=""),"",IF(OR(A276="",B276=""),"БЛОК: нужны и дата, и сумма",IF(B276&lt;=0,"БЛОК: сумма должна быть больше нуля",IF(D276="","БЛОК: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вас",IF(COUNTIF(Акты!$B$5:$B$16,D276)=0,"БЛОК: такого акта нет на листе «Акты» — добавьте акт или исправьте идентификатор",IF(NOT(ISNUMBER(INDEX(Акты!$E$5:$E$16,MATCH(D276,Акты!$B$5:$B$16,0)))),"БЛОК: у этого акта на листе «Акты» не указан первый день просрочки",IF(A276&lt;INDEX(Акты!$E$5:$E$16,MATCH(D276,Акты!$B$5:$B$16,0)),"БЛОК: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сюда",IF(A276&gt;Ввод!$B$4,"БЛОК: оплата после последнего дня расчёта — продлите расчёт или уберите строку","ок"))))))))</f>
        <v/>
      </c>
    </row>
    <row r="277" spans="1:5" x14ac:dyDescent="0.3">
      <c r="A277" s="9"/>
      <c r="B277" s="10"/>
      <c r="C277" s="15"/>
      <c r="D277" s="15"/>
      <c r="E277" s="4" t="str">
        <f>IF(AND(A277="",B277="",C277="",D277=""),"",IF(OR(A277="",B277=""),"БЛОК: нужны и дата, и сумма",IF(B277&lt;=0,"БЛОК: сумма должна быть больше нуля",IF(D277="","БЛОК: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вас",IF(COUNTIF(Акты!$B$5:$B$16,D277)=0,"БЛОК: такого акта нет на листе «Акты» — добавьте акт или исправьте идентификатор",IF(NOT(ISNUMBER(INDEX(Акты!$E$5:$E$16,MATCH(D277,Акты!$B$5:$B$16,0)))),"БЛОК: у этого акта на листе «Акты» не указан первый день просрочки",IF(A277&lt;INDEX(Акты!$E$5:$E$16,MATCH(D277,Акты!$B$5:$B$16,0)),"БЛОК: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сюда",IF(A277&gt;Ввод!$B$4,"БЛОК: оплата после последнего дня расчёта — продлите расчёт или уберите строку","ок"))))))))</f>
        <v/>
      </c>
    </row>
    <row r="278" spans="1:5" x14ac:dyDescent="0.3">
      <c r="A278" s="9"/>
      <c r="B278" s="10"/>
      <c r="C278" s="15"/>
      <c r="D278" s="15"/>
      <c r="E278" s="4" t="str">
        <f>IF(AND(A278="",B278="",C278="",D278=""),"",IF(OR(A278="",B278=""),"БЛОК: нужны и дата, и сумма",IF(B278&lt;=0,"БЛОК: сумма должна быть больше нуля",IF(D278="","БЛОК: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вас",IF(COUNTIF(Акты!$B$5:$B$16,D278)=0,"БЛОК: такого акта нет на листе «Акты» — добавьте акт или исправьте идентификатор",IF(NOT(ISNUMBER(INDEX(Акты!$E$5:$E$16,MATCH(D278,Акты!$B$5:$B$16,0)))),"БЛОК: у этого акта на листе «Акты» не указан первый день просрочки",IF(A278&lt;INDEX(Акты!$E$5:$E$16,MATCH(D278,Акты!$B$5:$B$16,0)),"БЛОК: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сюда",IF(A278&gt;Ввод!$B$4,"БЛОК: оплата после последнего дня расчёта — продлите расчёт или уберите строку","ок"))))))))</f>
        <v/>
      </c>
    </row>
    <row r="279" spans="1:5" x14ac:dyDescent="0.3">
      <c r="A279" s="9"/>
      <c r="B279" s="10"/>
      <c r="C279" s="15"/>
      <c r="D279" s="15"/>
      <c r="E279" s="4" t="str">
        <f>IF(AND(A279="",B279="",C279="",D279=""),"",IF(OR(A279="",B279=""),"БЛОК: нужны и дата, и сумма",IF(B279&lt;=0,"БЛОК: сумма должна быть больше нуля",IF(D279="","БЛОК: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вас",IF(COUNTIF(Акты!$B$5:$B$16,D279)=0,"БЛОК: такого акта нет на листе «Акты» — добавьте акт или исправьте идентификатор",IF(NOT(ISNUMBER(INDEX(Акты!$E$5:$E$16,MATCH(D279,Акты!$B$5:$B$16,0)))),"БЛОК: у этого акта на листе «Акты» не указан первый день просрочки",IF(A279&lt;INDEX(Акты!$E$5:$E$16,MATCH(D279,Акты!$B$5:$B$16,0)),"БЛОК: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сюда",IF(A279&gt;Ввод!$B$4,"БЛОК: оплата после последнего дня расчёта — продлите расчёт или уберите строку","ок"))))))))</f>
        <v/>
      </c>
    </row>
    <row r="280" spans="1:5" x14ac:dyDescent="0.3">
      <c r="A280" s="9"/>
      <c r="B280" s="10"/>
      <c r="C280" s="15"/>
      <c r="D280" s="15"/>
      <c r="E280" s="4" t="str">
        <f>IF(AND(A280="",B280="",C280="",D280=""),"",IF(OR(A280="",B280=""),"БЛОК: нужны и дата, и сумма",IF(B280&lt;=0,"БЛОК: сумма должна быть больше нуля",IF(D280="","БЛОК: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вас",IF(COUNTIF(Акты!$B$5:$B$16,D280)=0,"БЛОК: такого акта нет на листе «Акты» — добавьте акт или исправьте идентификатор",IF(NOT(ISNUMBER(INDEX(Акты!$E$5:$E$16,MATCH(D280,Акты!$B$5:$B$16,0)))),"БЛОК: у этого акта на листе «Акты» не указан первый день просрочки",IF(A280&lt;INDEX(Акты!$E$5:$E$16,MATCH(D280,Акты!$B$5:$B$16,0)),"БЛОК: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сюда",IF(A280&gt;Ввод!$B$4,"БЛОК: оплата после последнего дня расчёта — продлите расчёт или уберите строку","ок"))))))))</f>
        <v/>
      </c>
    </row>
    <row r="281" spans="1:5" x14ac:dyDescent="0.3">
      <c r="A281" s="9"/>
      <c r="B281" s="10"/>
      <c r="C281" s="15"/>
      <c r="D281" s="15"/>
      <c r="E281" s="4" t="str">
        <f>IF(AND(A281="",B281="",C281="",D281=""),"",IF(OR(A281="",B281=""),"БЛОК: нужны и дата, и сумма",IF(B281&lt;=0,"БЛОК: сумма должна быть больше нуля",IF(D281="","БЛОК: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вас",IF(COUNTIF(Акты!$B$5:$B$16,D281)=0,"БЛОК: такого акта нет на листе «Акты» — добавьте акт или исправьте идентификатор",IF(NOT(ISNUMBER(INDEX(Акты!$E$5:$E$16,MATCH(D281,Акты!$B$5:$B$16,0)))),"БЛОК: у этого акта на листе «Акты» не указан первый день просрочки",IF(A281&lt;INDEX(Акты!$E$5:$E$16,MATCH(D281,Акты!$B$5:$B$16,0)),"БЛОК: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сюда",IF(A281&gt;Ввод!$B$4,"БЛОК: оплата после последнего дня расчёта — продлите расчёт или уберите строку","ок"))))))))</f>
        <v/>
      </c>
    </row>
    <row r="282" spans="1:5" x14ac:dyDescent="0.3">
      <c r="A282" s="9"/>
      <c r="B282" s="10"/>
      <c r="C282" s="15"/>
      <c r="D282" s="15"/>
      <c r="E282" s="4" t="str">
        <f>IF(AND(A282="",B282="",C282="",D282=""),"",IF(OR(A282="",B282=""),"БЛОК: нужны и дата, и сумма",IF(B282&lt;=0,"БЛОК: сумма должна быть больше нуля",IF(D282="","БЛОК: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вас",IF(COUNTIF(Акты!$B$5:$B$16,D282)=0,"БЛОК: такого акта нет на листе «Акты» — добавьте акт или исправьте идентификатор",IF(NOT(ISNUMBER(INDEX(Акты!$E$5:$E$16,MATCH(D282,Акты!$B$5:$B$16,0)))),"БЛОК: у этого акта на листе «Акты» не указан первый день просрочки",IF(A282&lt;INDEX(Акты!$E$5:$E$16,MATCH(D282,Акты!$B$5:$B$16,0)),"БЛОК: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сюда",IF(A282&gt;Ввод!$B$4,"БЛОК: оплата после последнего дня расчёта — продлите расчёт или уберите строку","ок"))))))))</f>
        <v/>
      </c>
    </row>
    <row r="283" spans="1:5" x14ac:dyDescent="0.3">
      <c r="A283" s="9"/>
      <c r="B283" s="10"/>
      <c r="C283" s="15"/>
      <c r="D283" s="15"/>
      <c r="E283" s="4" t="str">
        <f>IF(AND(A283="",B283="",C283="",D283=""),"",IF(OR(A283="",B283=""),"БЛОК: нужны и дата, и сумма",IF(B283&lt;=0,"БЛОК: сумма должна быть больше нуля",IF(D283="","БЛОК: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вас",IF(COUNTIF(Акты!$B$5:$B$16,D283)=0,"БЛОК: такого акта нет на листе «Акты» — добавьте акт или исправьте идентификатор",IF(NOT(ISNUMBER(INDEX(Акты!$E$5:$E$16,MATCH(D283,Акты!$B$5:$B$16,0)))),"БЛОК: у этого акта на листе «Акты» не указан первый день просрочки",IF(A283&lt;INDEX(Акты!$E$5:$E$16,MATCH(D283,Акты!$B$5:$B$16,0)),"БЛОК: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сюда",IF(A283&gt;Ввод!$B$4,"БЛОК: оплата после последнего дня расчёта — продлите расчёт или уберите строку","ок"))))))))</f>
        <v/>
      </c>
    </row>
    <row r="284" spans="1:5" x14ac:dyDescent="0.3">
      <c r="A284" s="9"/>
      <c r="B284" s="10"/>
      <c r="C284" s="15"/>
      <c r="D284" s="15"/>
      <c r="E284" s="4" t="str">
        <f>IF(AND(A284="",B284="",C284="",D284=""),"",IF(OR(A284="",B284=""),"БЛОК: нужны и дата, и сумма",IF(B284&lt;=0,"БЛОК: сумма должна быть больше нуля",IF(D284="","БЛОК: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вас",IF(COUNTIF(Акты!$B$5:$B$16,D284)=0,"БЛОК: такого акта нет на листе «Акты» — добавьте акт или исправьте идентификатор",IF(NOT(ISNUMBER(INDEX(Акты!$E$5:$E$16,MATCH(D284,Акты!$B$5:$B$16,0)))),"БЛОК: у этого акта на листе «Акты» не указан первый день просрочки",IF(A284&lt;INDEX(Акты!$E$5:$E$16,MATCH(D284,Акты!$B$5:$B$16,0)),"БЛОК: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сюда",IF(A284&gt;Ввод!$B$4,"БЛОК: оплата после последнего дня расчёта — продлите расчёт или уберите строку","ок"))))))))</f>
        <v/>
      </c>
    </row>
    <row r="285" spans="1:5" x14ac:dyDescent="0.3">
      <c r="A285" s="9"/>
      <c r="B285" s="10"/>
      <c r="C285" s="15"/>
      <c r="D285" s="15"/>
      <c r="E285" s="4" t="str">
        <f>IF(AND(A285="",B285="",C285="",D285=""),"",IF(OR(A285="",B285=""),"БЛОК: нужны и дата, и сумма",IF(B285&lt;=0,"БЛОК: сумма должна быть больше нуля",IF(D285="","БЛОК: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вас",IF(COUNTIF(Акты!$B$5:$B$16,D285)=0,"БЛОК: такого акта нет на листе «Акты» — добавьте акт или исправьте идентификатор",IF(NOT(ISNUMBER(INDEX(Акты!$E$5:$E$16,MATCH(D285,Акты!$B$5:$B$16,0)))),"БЛОК: у этого акта на листе «Акты» не указан первый день просрочки",IF(A285&lt;INDEX(Акты!$E$5:$E$16,MATCH(D285,Акты!$B$5:$B$16,0)),"БЛОК: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сюда",IF(A285&gt;Ввод!$B$4,"БЛОК: оплата после последнего дня расчёта — продлите расчёт или уберите строку","ок"))))))))</f>
        <v/>
      </c>
    </row>
    <row r="286" spans="1:5" x14ac:dyDescent="0.3">
      <c r="A286" s="9"/>
      <c r="B286" s="10"/>
      <c r="C286" s="15"/>
      <c r="D286" s="15"/>
      <c r="E286" s="4" t="str">
        <f>IF(AND(A286="",B286="",C286="",D286=""),"",IF(OR(A286="",B286=""),"БЛОК: нужны и дата, и сумма",IF(B286&lt;=0,"БЛОК: сумма должна быть больше нуля",IF(D286="","БЛОК: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вас",IF(COUNTIF(Акты!$B$5:$B$16,D286)=0,"БЛОК: такого акта нет на листе «Акты» — добавьте акт или исправьте идентификатор",IF(NOT(ISNUMBER(INDEX(Акты!$E$5:$E$16,MATCH(D286,Акты!$B$5:$B$16,0)))),"БЛОК: у этого акта на листе «Акты» не указан первый день просрочки",IF(A286&lt;INDEX(Акты!$E$5:$E$16,MATCH(D286,Акты!$B$5:$B$16,0)),"БЛОК: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сюда",IF(A286&gt;Ввод!$B$4,"БЛОК: оплата после последнего дня расчёта — продлите расчёт или уберите строку","ок"))))))))</f>
        <v/>
      </c>
    </row>
    <row r="287" spans="1:5" x14ac:dyDescent="0.3">
      <c r="A287" s="9"/>
      <c r="B287" s="10"/>
      <c r="C287" s="15"/>
      <c r="D287" s="15"/>
      <c r="E287" s="4" t="str">
        <f>IF(AND(A287="",B287="",C287="",D287=""),"",IF(OR(A287="",B287=""),"БЛОК: нужны и дата, и сумма",IF(B287&lt;=0,"БЛОК: сумма должна быть больше нуля",IF(D287="","БЛОК: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вас",IF(COUNTIF(Акты!$B$5:$B$16,D287)=0,"БЛОК: такого акта нет на листе «Акты» — добавьте акт или исправьте идентификатор",IF(NOT(ISNUMBER(INDEX(Акты!$E$5:$E$16,MATCH(D287,Акты!$B$5:$B$16,0)))),"БЛОК: у этого акта на листе «Акты» не указан первый день просрочки",IF(A287&lt;INDEX(Акты!$E$5:$E$16,MATCH(D287,Акты!$B$5:$B$16,0)),"БЛОК: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сюда",IF(A287&gt;Ввод!$B$4,"БЛОК: оплата после последнего дня расчёта — продлите расчёт или уберите строку","ок"))))))))</f>
        <v/>
      </c>
    </row>
    <row r="288" spans="1:5" x14ac:dyDescent="0.3">
      <c r="A288" s="9"/>
      <c r="B288" s="10"/>
      <c r="C288" s="15"/>
      <c r="D288" s="15"/>
      <c r="E288" s="4" t="str">
        <f>IF(AND(A288="",B288="",C288="",D288=""),"",IF(OR(A288="",B288=""),"БЛОК: нужны и дата, и сумма",IF(B288&lt;=0,"БЛОК: сумма должна быть больше нуля",IF(D288="","БЛОК: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вас",IF(COUNTIF(Акты!$B$5:$B$16,D288)=0,"БЛОК: такого акта нет на листе «Акты» — добавьте акт или исправьте идентификатор",IF(NOT(ISNUMBER(INDEX(Акты!$E$5:$E$16,MATCH(D288,Акты!$B$5:$B$16,0)))),"БЛОК: у этого акта на листе «Акты» не указан первый день просрочки",IF(A288&lt;INDEX(Акты!$E$5:$E$16,MATCH(D288,Акты!$B$5:$B$16,0)),"БЛОК: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сюда",IF(A288&gt;Ввод!$B$4,"БЛОК: оплата после последнего дня расчёта — продлите расчёт или уберите строку","ок"))))))))</f>
        <v/>
      </c>
    </row>
    <row r="289" spans="1:5" x14ac:dyDescent="0.3">
      <c r="A289" s="9"/>
      <c r="B289" s="10"/>
      <c r="C289" s="15"/>
      <c r="D289" s="15"/>
      <c r="E289" s="4" t="str">
        <f>IF(AND(A289="",B289="",C289="",D289=""),"",IF(OR(A289="",B289=""),"БЛОК: нужны и дата, и сумма",IF(B289&lt;=0,"БЛОК: сумма должна быть больше нуля",IF(D289="","БЛОК: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вас",IF(COUNTIF(Акты!$B$5:$B$16,D289)=0,"БЛОК: такого акта нет на листе «Акты» — добавьте акт или исправьте идентификатор",IF(NOT(ISNUMBER(INDEX(Акты!$E$5:$E$16,MATCH(D289,Акты!$B$5:$B$16,0)))),"БЛОК: у этого акта на листе «Акты» не указан первый день просрочки",IF(A289&lt;INDEX(Акты!$E$5:$E$16,MATCH(D289,Акты!$B$5:$B$16,0)),"БЛОК: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сюда",IF(A289&gt;Ввод!$B$4,"БЛОК: оплата после последнего дня расчёта — продлите расчёт или уберите строку","ок"))))))))</f>
        <v/>
      </c>
    </row>
    <row r="290" spans="1:5" x14ac:dyDescent="0.3">
      <c r="A290" s="9"/>
      <c r="B290" s="10"/>
      <c r="C290" s="15"/>
      <c r="D290" s="15"/>
      <c r="E290" s="4" t="str">
        <f>IF(AND(A290="",B290="",C290="",D290=""),"",IF(OR(A290="",B290=""),"БЛОК: нужны и дата, и сумма",IF(B290&lt;=0,"БЛОК: сумма должна быть больше нуля",IF(D290="","БЛОК: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вас",IF(COUNTIF(Акты!$B$5:$B$16,D290)=0,"БЛОК: такого акта нет на листе «Акты» — добавьте акт или исправьте идентификатор",IF(NOT(ISNUMBER(INDEX(Акты!$E$5:$E$16,MATCH(D290,Акты!$B$5:$B$16,0)))),"БЛОК: у этого акта на листе «Акты» не указан первый день просрочки",IF(A290&lt;INDEX(Акты!$E$5:$E$16,MATCH(D290,Акты!$B$5:$B$16,0)),"БЛОК: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сюда",IF(A290&gt;Ввод!$B$4,"БЛОК: оплата после последнего дня расчёта — продлите расчёт или уберите строку","ок"))))))))</f>
        <v/>
      </c>
    </row>
    <row r="291" spans="1:5" x14ac:dyDescent="0.3">
      <c r="A291" s="9"/>
      <c r="B291" s="10"/>
      <c r="C291" s="15"/>
      <c r="D291" s="15"/>
      <c r="E291" s="4" t="str">
        <f>IF(AND(A291="",B291="",C291="",D291=""),"",IF(OR(A291="",B291=""),"БЛОК: нужны и дата, и сумма",IF(B291&lt;=0,"БЛОК: сумма должна быть больше нуля",IF(D291="","БЛОК: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вас",IF(COUNTIF(Акты!$B$5:$B$16,D291)=0,"БЛОК: такого акта нет на листе «Акты» — добавьте акт или исправьте идентификатор",IF(NOT(ISNUMBER(INDEX(Акты!$E$5:$E$16,MATCH(D291,Акты!$B$5:$B$16,0)))),"БЛОК: у этого акта на листе «Акты» не указан первый день просрочки",IF(A291&lt;INDEX(Акты!$E$5:$E$16,MATCH(D291,Акты!$B$5:$B$16,0)),"БЛОК: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сюда",IF(A291&gt;Ввод!$B$4,"БЛОК: оплата после последнего дня расчёта — продлите расчёт или уберите строку","ок"))))))))</f>
        <v/>
      </c>
    </row>
    <row r="292" spans="1:5" x14ac:dyDescent="0.3">
      <c r="A292" s="9"/>
      <c r="B292" s="10"/>
      <c r="C292" s="15"/>
      <c r="D292" s="15"/>
      <c r="E292" s="4" t="str">
        <f>IF(AND(A292="",B292="",C292="",D292=""),"",IF(OR(A292="",B292=""),"БЛОК: нужны и дата, и сумма",IF(B292&lt;=0,"БЛОК: сумма должна быть больше нуля",IF(D292="","БЛОК: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вас",IF(COUNTIF(Акты!$B$5:$B$16,D292)=0,"БЛОК: такого акта нет на листе «Акты» — добавьте акт или исправьте идентификатор",IF(NOT(ISNUMBER(INDEX(Акты!$E$5:$E$16,MATCH(D292,Акты!$B$5:$B$16,0)))),"БЛОК: у этого акта на листе «Акты» не указан первый день просрочки",IF(A292&lt;INDEX(Акты!$E$5:$E$16,MATCH(D292,Акты!$B$5:$B$16,0)),"БЛОК: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сюда",IF(A292&gt;Ввод!$B$4,"БЛОК: оплата после последнего дня расчёта — продлите расчёт или уберите строку","ок"))))))))</f>
        <v/>
      </c>
    </row>
    <row r="293" spans="1:5" x14ac:dyDescent="0.3">
      <c r="A293" s="9"/>
      <c r="B293" s="10"/>
      <c r="C293" s="15"/>
      <c r="D293" s="15"/>
      <c r="E293" s="4" t="str">
        <f>IF(AND(A293="",B293="",C293="",D293=""),"",IF(OR(A293="",B293=""),"БЛОК: нужны и дата, и сумма",IF(B293&lt;=0,"БЛОК: сумма должна быть больше нуля",IF(D293="","БЛОК: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вас",IF(COUNTIF(Акты!$B$5:$B$16,D293)=0,"БЛОК: такого акта нет на листе «Акты» — добавьте акт или исправьте идентификатор",IF(NOT(ISNUMBER(INDEX(Акты!$E$5:$E$16,MATCH(D293,Акты!$B$5:$B$16,0)))),"БЛОК: у этого акта на листе «Акты» не указан первый день просрочки",IF(A293&lt;INDEX(Акты!$E$5:$E$16,MATCH(D293,Акты!$B$5:$B$16,0)),"БЛОК: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сюда",IF(A293&gt;Ввод!$B$4,"БЛОК: оплата после последнего дня расчёта — продлите расчёт или уберите строку","ок"))))))))</f>
        <v/>
      </c>
    </row>
    <row r="294" spans="1:5" x14ac:dyDescent="0.3">
      <c r="A294" s="9"/>
      <c r="B294" s="10"/>
      <c r="C294" s="15"/>
      <c r="D294" s="15"/>
      <c r="E294" s="4" t="str">
        <f>IF(AND(A294="",B294="",C294="",D294=""),"",IF(OR(A294="",B294=""),"БЛОК: нужны и дата, и сумма",IF(B294&lt;=0,"БЛОК: сумма должна быть больше нуля",IF(D294="","БЛОК: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вас",IF(COUNTIF(Акты!$B$5:$B$16,D294)=0,"БЛОК: такого акта нет на листе «Акты» — добавьте акт или исправьте идентификатор",IF(NOT(ISNUMBER(INDEX(Акты!$E$5:$E$16,MATCH(D294,Акты!$B$5:$B$16,0)))),"БЛОК: у этого акта на листе «Акты» не указан первый день просрочки",IF(A294&lt;INDEX(Акты!$E$5:$E$16,MATCH(D294,Акты!$B$5:$B$16,0)),"БЛОК: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сюда",IF(A294&gt;Ввод!$B$4,"БЛОК: оплата после последнего дня расчёта — продлите расчёт или уберите строку","ок"))))))))</f>
        <v/>
      </c>
    </row>
    <row r="295" spans="1:5" x14ac:dyDescent="0.3">
      <c r="A295" s="9"/>
      <c r="B295" s="10"/>
      <c r="C295" s="15"/>
      <c r="D295" s="15"/>
      <c r="E295" s="4" t="str">
        <f>IF(AND(A295="",B295="",C295="",D295=""),"",IF(OR(A295="",B295=""),"БЛОК: нужны и дата, и сумма",IF(B295&lt;=0,"БЛОК: сумма должна быть больше нуля",IF(D295="","БЛОК: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вас",IF(COUNTIF(Акты!$B$5:$B$16,D295)=0,"БЛОК: такого акта нет на листе «Акты» — добавьте акт или исправьте идентификатор",IF(NOT(ISNUMBER(INDEX(Акты!$E$5:$E$16,MATCH(D295,Акты!$B$5:$B$16,0)))),"БЛОК: у этого акта на листе «Акты» не указан первый день просрочки",IF(A295&lt;INDEX(Акты!$E$5:$E$16,MATCH(D295,Акты!$B$5:$B$16,0)),"БЛОК: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сюда",IF(A295&gt;Ввод!$B$4,"БЛОК: оплата после последнего дня расчёта — продлите расчёт или уберите строку","ок"))))))))</f>
        <v/>
      </c>
    </row>
    <row r="296" spans="1:5" x14ac:dyDescent="0.3">
      <c r="A296" s="9"/>
      <c r="B296" s="10"/>
      <c r="C296" s="15"/>
      <c r="D296" s="15"/>
      <c r="E296" s="4" t="str">
        <f>IF(AND(A296="",B296="",C296="",D296=""),"",IF(OR(A296="",B296=""),"БЛОК: нужны и дата, и сумма",IF(B296&lt;=0,"БЛОК: сумма должна быть больше нуля",IF(D296="","БЛОК: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вас",IF(COUNTIF(Акты!$B$5:$B$16,D296)=0,"БЛОК: такого акта нет на листе «Акты» — добавьте акт или исправьте идентификатор",IF(NOT(ISNUMBER(INDEX(Акты!$E$5:$E$16,MATCH(D296,Акты!$B$5:$B$16,0)))),"БЛОК: у этого акта на листе «Акты» не указан первый день просрочки",IF(A296&lt;INDEX(Акты!$E$5:$E$16,MATCH(D296,Акты!$B$5:$B$16,0)),"БЛОК: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сюда",IF(A296&gt;Ввод!$B$4,"БЛОК: оплата после последнего дня расчёта — продлите расчёт или уберите строку","ок"))))))))</f>
        <v/>
      </c>
    </row>
    <row r="297" spans="1:5" x14ac:dyDescent="0.3">
      <c r="A297" s="9"/>
      <c r="B297" s="10"/>
      <c r="C297" s="15"/>
      <c r="D297" s="15"/>
      <c r="E297" s="4" t="str">
        <f>IF(AND(A297="",B297="",C297="",D297=""),"",IF(OR(A297="",B297=""),"БЛОК: нужны и дата, и сумма",IF(B297&lt;=0,"БЛОК: сумма должна быть больше нуля",IF(D297="","БЛОК: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вас",IF(COUNTIF(Акты!$B$5:$B$16,D297)=0,"БЛОК: такого акта нет на листе «Акты» — добавьте акт или исправьте идентификатор",IF(NOT(ISNUMBER(INDEX(Акты!$E$5:$E$16,MATCH(D297,Акты!$B$5:$B$16,0)))),"БЛОК: у этого акта на листе «Акты» не указан первый день просрочки",IF(A297&lt;INDEX(Акты!$E$5:$E$16,MATCH(D297,Акты!$B$5:$B$16,0)),"БЛОК: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сюда",IF(A297&gt;Ввод!$B$4,"БЛОК: оплата после последнего дня расчёта — продлите расчёт или уберите строку","ок"))))))))</f>
        <v/>
      </c>
    </row>
    <row r="298" spans="1:5" x14ac:dyDescent="0.3">
      <c r="A298" s="9"/>
      <c r="B298" s="10"/>
      <c r="C298" s="15"/>
      <c r="D298" s="15"/>
      <c r="E298" s="4" t="str">
        <f>IF(AND(A298="",B298="",C298="",D298=""),"",IF(OR(A298="",B298=""),"БЛОК: нужны и дата, и сумма",IF(B298&lt;=0,"БЛОК: сумма должна быть больше нуля",IF(D298="","БЛОК: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вас",IF(COUNTIF(Акты!$B$5:$B$16,D298)=0,"БЛОК: такого акта нет на листе «Акты» — добавьте акт или исправьте идентификатор",IF(NOT(ISNUMBER(INDEX(Акты!$E$5:$E$16,MATCH(D298,Акты!$B$5:$B$16,0)))),"БЛОК: у этого акта на листе «Акты» не указан первый день просрочки",IF(A298&lt;INDEX(Акты!$E$5:$E$16,MATCH(D298,Акты!$B$5:$B$16,0)),"БЛОК: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сюда",IF(A298&gt;Ввод!$B$4,"БЛОК: оплата после последнего дня расчёта — продлите расчёт или уберите строку","ок"))))))))</f>
        <v/>
      </c>
    </row>
    <row r="299" spans="1:5" x14ac:dyDescent="0.3">
      <c r="A299" s="9"/>
      <c r="B299" s="10"/>
      <c r="C299" s="15"/>
      <c r="D299" s="15"/>
      <c r="E299" s="4" t="str">
        <f>IF(AND(A299="",B299="",C299="",D299=""),"",IF(OR(A299="",B299=""),"БЛОК: нужны и дата, и сумма",IF(B299&lt;=0,"БЛОК: сумма должна быть больше нуля",IF(D299="","БЛОК: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вас",IF(COUNTIF(Акты!$B$5:$B$16,D299)=0,"БЛОК: такого акта нет на листе «Акты» — добавьте акт или исправьте идентификатор",IF(NOT(ISNUMBER(INDEX(Акты!$E$5:$E$16,MATCH(D299,Акты!$B$5:$B$16,0)))),"БЛОК: у этого акта на листе «Акты» не указан первый день просрочки",IF(A299&lt;INDEX(Акты!$E$5:$E$16,MATCH(D299,Акты!$B$5:$B$16,0)),"БЛОК: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сюда",IF(A299&gt;Ввод!$B$4,"БЛОК: оплата после последнего дня расчёта — продлите расчёт или уберите строку","ок"))))))))</f>
        <v/>
      </c>
    </row>
    <row r="300" spans="1:5" x14ac:dyDescent="0.3">
      <c r="A300" s="9"/>
      <c r="B300" s="10"/>
      <c r="C300" s="15"/>
      <c r="D300" s="15"/>
      <c r="E300" s="4" t="str">
        <f>IF(AND(A300="",B300="",C300="",D300=""),"",IF(OR(A300="",B300=""),"БЛОК: нужны и дата, и сумма",IF(B300&lt;=0,"БЛОК: сумма должна быть больше нуля",IF(D300="","БЛОК: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вас",IF(COUNTIF(Акты!$B$5:$B$16,D300)=0,"БЛОК: такого акта нет на листе «Акты» — добавьте акт или исправьте идентификатор",IF(NOT(ISNUMBER(INDEX(Акты!$E$5:$E$16,MATCH(D300,Акты!$B$5:$B$16,0)))),"БЛОК: у этого акта на листе «Акты» не указан первый день просрочки",IF(A300&lt;INDEX(Акты!$E$5:$E$16,MATCH(D300,Акты!$B$5:$B$16,0)),"БЛОК: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сюда",IF(A300&gt;Ввод!$B$4,"БЛОК: оплата после последнего дня расчёта — продлите расчёт или уберите строку","ок"))))))))</f>
        <v/>
      </c>
    </row>
    <row r="301" spans="1:5" x14ac:dyDescent="0.3">
      <c r="A301" s="9"/>
      <c r="B301" s="10"/>
      <c r="C301" s="15"/>
      <c r="D301" s="15"/>
      <c r="E301" s="4" t="str">
        <f>IF(AND(A301="",B301="",C301="",D301=""),"",IF(OR(A301="",B301=""),"БЛОК: нужны и дата, и сумма",IF(B301&lt;=0,"БЛОК: сумма должна быть больше нуля",IF(D301="","БЛОК: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вас",IF(COUNTIF(Акты!$B$5:$B$16,D301)=0,"БЛОК: такого акта нет на листе «Акты» — добавьте акт или исправьте идентификатор",IF(NOT(ISNUMBER(INDEX(Акты!$E$5:$E$16,MATCH(D301,Акты!$B$5:$B$16,0)))),"БЛОК: у этого акта на листе «Акты» не указан первый день просрочки",IF(A301&lt;INDEX(Акты!$E$5:$E$16,MATCH(D301,Акты!$B$5:$B$16,0)),"БЛОК: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сюда",IF(A301&gt;Ввод!$B$4,"БЛОК: оплата после последнего дня расчёта — продлите расчёт или уберите строку","ок"))))))))</f>
        <v/>
      </c>
    </row>
    <row r="302" spans="1:5" x14ac:dyDescent="0.3">
      <c r="A302" s="9"/>
      <c r="B302" s="10"/>
      <c r="C302" s="15"/>
      <c r="D302" s="15"/>
      <c r="E302" s="4" t="str">
        <f>IF(AND(A302="",B302="",C302="",D302=""),"",IF(OR(A302="",B302=""),"БЛОК: нужны и дата, и сумма",IF(B302&lt;=0,"БЛОК: сумма должна быть больше нуля",IF(D302="","БЛОК: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вас",IF(COUNTIF(Акты!$B$5:$B$16,D302)=0,"БЛОК: такого акта нет на листе «Акты» — добавьте акт или исправьте идентификатор",IF(NOT(ISNUMBER(INDEX(Акты!$E$5:$E$16,MATCH(D302,Акты!$B$5:$B$16,0)))),"БЛОК: у этого акта на листе «Акты» не указан первый день просрочки",IF(A302&lt;INDEX(Акты!$E$5:$E$16,MATCH(D302,Акты!$B$5:$B$16,0)),"БЛОК: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сюда",IF(A302&gt;Ввод!$B$4,"БЛОК: оплата после последнего дня расчёта — продлите расчёт или уберите строку","ок"))))))))</f>
        <v/>
      </c>
    </row>
    <row r="303" spans="1:5" x14ac:dyDescent="0.3">
      <c r="A303" s="9"/>
      <c r="B303" s="10"/>
      <c r="C303" s="15"/>
      <c r="D303" s="15"/>
      <c r="E303" s="4" t="str">
        <f>IF(AND(A303="",B303="",C303="",D303=""),"",IF(OR(A303="",B303=""),"БЛОК: нужны и дата, и сумма",IF(B303&lt;=0,"БЛОК: сумма должна быть больше нуля",IF(D303="","БЛОК: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вас",IF(COUNTIF(Акты!$B$5:$B$16,D303)=0,"БЛОК: такого акта нет на листе «Акты» — добавьте акт или исправьте идентификатор",IF(NOT(ISNUMBER(INDEX(Акты!$E$5:$E$16,MATCH(D303,Акты!$B$5:$B$16,0)))),"БЛОК: у этого акта на листе «Акты» не указан первый день просрочки",IF(A303&lt;INDEX(Акты!$E$5:$E$16,MATCH(D303,Акты!$B$5:$B$16,0)),"БЛОК: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сюда",IF(A303&gt;Ввод!$B$4,"БЛОК: оплата после последнего дня расчёта — продлите расчёт или уберите строку","ок"))))))))</f>
        <v/>
      </c>
    </row>
    <row r="304" spans="1:5" x14ac:dyDescent="0.3">
      <c r="A304" s="9"/>
      <c r="B304" s="10"/>
      <c r="C304" s="15"/>
      <c r="D304" s="15"/>
      <c r="E304" s="4" t="str">
        <f>IF(AND(A304="",B304="",C304="",D304=""),"",IF(OR(A304="",B304=""),"БЛОК: нужны и дата, и сумма",IF(B304&lt;=0,"БЛОК: сумма должна быть больше нуля",IF(D304="","БЛОК: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вас",IF(COUNTIF(Акты!$B$5:$B$16,D304)=0,"БЛОК: такого акта нет на листе «Акты» — добавьте акт или исправьте идентификатор",IF(NOT(ISNUMBER(INDEX(Акты!$E$5:$E$16,MATCH(D304,Акты!$B$5:$B$16,0)))),"БЛОК: у этого акта на листе «Акты» не указан первый день просрочки",IF(A304&lt;INDEX(Акты!$E$5:$E$16,MATCH(D304,Акты!$B$5:$B$16,0)),"БЛОК: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сюда",IF(A304&gt;Ввод!$B$4,"БЛОК: оплата после последнего дня расчёта — продлите расчёт или уберите строку","ок"))))))))</f>
        <v/>
      </c>
    </row>
    <row r="305" spans="1:5" x14ac:dyDescent="0.3">
      <c r="A305" s="9"/>
      <c r="B305" s="10"/>
      <c r="C305" s="15"/>
      <c r="D305" s="15"/>
      <c r="E305" s="4" t="str">
        <f>IF(AND(A305="",B305="",C305="",D305=""),"",IF(OR(A305="",B305=""),"БЛОК: нужны и дата, и сумма",IF(B305&lt;=0,"БЛОК: сумма должна быть больше нуля",IF(D305="","БЛОК: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вас",IF(COUNTIF(Акты!$B$5:$B$16,D305)=0,"БЛОК: такого акта нет на листе «Акты» — добавьте акт или исправьте идентификатор",IF(NOT(ISNUMBER(INDEX(Акты!$E$5:$E$16,MATCH(D305,Акты!$B$5:$B$16,0)))),"БЛОК: у этого акта на листе «Акты» не указан первый день просрочки",IF(A305&lt;INDEX(Акты!$E$5:$E$16,MATCH(D305,Акты!$B$5:$B$16,0)),"БЛОК: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сюда",IF(A305&gt;Ввод!$B$4,"БЛОК: оплата после последнего дня расчёта — продлите расчёт или уберите строку","ок"))))))))</f>
        <v/>
      </c>
    </row>
    <row r="306" spans="1:5" x14ac:dyDescent="0.3">
      <c r="A306" s="9"/>
      <c r="B306" s="10"/>
      <c r="C306" s="15"/>
      <c r="D306" s="15"/>
      <c r="E306" s="4" t="str">
        <f>IF(AND(A306="",B306="",C306="",D306=""),"",IF(OR(A306="",B306=""),"БЛОК: нужны и дата, и сумма",IF(B306&lt;=0,"БЛОК: сумма должна быть больше нуля",IF(D306="","БЛОК: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вас",IF(COUNTIF(Акты!$B$5:$B$16,D306)=0,"БЛОК: такого акта нет на листе «Акты» — добавьте акт или исправьте идентификатор",IF(NOT(ISNUMBER(INDEX(Акты!$E$5:$E$16,MATCH(D306,Акты!$B$5:$B$16,0)))),"БЛОК: у этого акта на листе «Акты» не указан первый день просрочки",IF(A306&lt;INDEX(Акты!$E$5:$E$16,MATCH(D306,Акты!$B$5:$B$16,0)),"БЛОК: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сюда",IF(A306&gt;Ввод!$B$4,"БЛОК: оплата после последнего дня расчёта — продлите расчёт или уберите строку","ок"))))))))</f>
        <v/>
      </c>
    </row>
    <row r="307" spans="1:5" x14ac:dyDescent="0.3">
      <c r="A307" s="9"/>
      <c r="B307" s="10"/>
      <c r="C307" s="15"/>
      <c r="D307" s="15"/>
      <c r="E307" s="4" t="str">
        <f>IF(AND(A307="",B307="",C307="",D307=""),"",IF(OR(A307="",B307=""),"БЛОК: нужны и дата, и сумма",IF(B307&lt;=0,"БЛОК: сумма должна быть больше нуля",IF(D307="","БЛОК: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вас",IF(COUNTIF(Акты!$B$5:$B$16,D307)=0,"БЛОК: такого акта нет на листе «Акты» — добавьте акт или исправьте идентификатор",IF(NOT(ISNUMBER(INDEX(Акты!$E$5:$E$16,MATCH(D307,Акты!$B$5:$B$16,0)))),"БЛОК: у этого акта на листе «Акты» не указан первый день просрочки",IF(A307&lt;INDEX(Акты!$E$5:$E$16,MATCH(D307,Акты!$B$5:$B$16,0)),"БЛОК: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сюда",IF(A307&gt;Ввод!$B$4,"БЛОК: оплата после последнего дня расчёта — продлите расчёт или уберите строку","ок"))))))))</f>
        <v/>
      </c>
    </row>
    <row r="308" spans="1:5" x14ac:dyDescent="0.3">
      <c r="A308" s="9"/>
      <c r="B308" s="10"/>
      <c r="C308" s="15"/>
      <c r="D308" s="15"/>
      <c r="E308" s="4" t="str">
        <f>IF(AND(A308="",B308="",C308="",D308=""),"",IF(OR(A308="",B308=""),"БЛОК: нужны и дата, и сумма",IF(B308&lt;=0,"БЛОК: сумма должна быть больше нуля",IF(D308="","БЛОК: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вас",IF(COUNTIF(Акты!$B$5:$B$16,D308)=0,"БЛОК: такого акта нет на листе «Акты» — добавьте акт или исправьте идентификатор",IF(NOT(ISNUMBER(INDEX(Акты!$E$5:$E$16,MATCH(D308,Акты!$B$5:$B$16,0)))),"БЛОК: у этого акта на листе «Акты» не указан первый день просрочки",IF(A308&lt;INDEX(Акты!$E$5:$E$16,MATCH(D308,Акты!$B$5:$B$16,0)),"БЛОК: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сюда",IF(A308&gt;Ввод!$B$4,"БЛОК: оплата после последнего дня расчёта — продлите расчёт или уберите строку","ок"))))))))</f>
        <v/>
      </c>
    </row>
    <row r="309" spans="1:5" x14ac:dyDescent="0.3">
      <c r="A309" s="9"/>
      <c r="B309" s="10"/>
      <c r="C309" s="15"/>
      <c r="D309" s="15"/>
      <c r="E309" s="4" t="str">
        <f>IF(AND(A309="",B309="",C309="",D309=""),"",IF(OR(A309="",B309=""),"БЛОК: нужны и дата, и сумма",IF(B309&lt;=0,"БЛОК: сумма должна быть больше нуля",IF(D309="","БЛОК: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вас",IF(COUNTIF(Акты!$B$5:$B$16,D309)=0,"БЛОК: такого акта нет на листе «Акты» — добавьте акт или исправьте идентификатор",IF(NOT(ISNUMBER(INDEX(Акты!$E$5:$E$16,MATCH(D309,Акты!$B$5:$B$16,0)))),"БЛОК: у этого акта на листе «Акты» не указан первый день просрочки",IF(A309&lt;INDEX(Акты!$E$5:$E$16,MATCH(D309,Акты!$B$5:$B$16,0)),"БЛОК: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сюда",IF(A309&gt;Ввод!$B$4,"БЛОК: оплата после последнего дня расчёта — продлите расчёт или уберите строку","ок"))))))))</f>
        <v/>
      </c>
    </row>
    <row r="310" spans="1:5" x14ac:dyDescent="0.3">
      <c r="A310" s="9"/>
      <c r="B310" s="10"/>
      <c r="C310" s="15"/>
      <c r="D310" s="15"/>
      <c r="E310" s="4" t="str">
        <f>IF(AND(A310="",B310="",C310="",D310=""),"",IF(OR(A310="",B310=""),"БЛОК: нужны и дата, и сумма",IF(B310&lt;=0,"БЛОК: сумма должна быть больше нуля",IF(D310="","БЛОК: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вас",IF(COUNTIF(Акты!$B$5:$B$16,D310)=0,"БЛОК: такого акта нет на листе «Акты» — добавьте акт или исправьте идентификатор",IF(NOT(ISNUMBER(INDEX(Акты!$E$5:$E$16,MATCH(D310,Акты!$B$5:$B$16,0)))),"БЛОК: у этого акта на листе «Акты» не указан первый день просрочки",IF(A310&lt;INDEX(Акты!$E$5:$E$16,MATCH(D310,Акты!$B$5:$B$16,0)),"БЛОК: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сюда",IF(A310&gt;Ввод!$B$4,"БЛОК: оплата после последнего дня расчёта — продлите расчёт или уберите строку","ок"))))))))</f>
        <v/>
      </c>
    </row>
    <row r="311" spans="1:5" x14ac:dyDescent="0.3">
      <c r="A311" s="9"/>
      <c r="B311" s="10"/>
      <c r="C311" s="15"/>
      <c r="D311" s="15"/>
      <c r="E311" s="4" t="str">
        <f>IF(AND(A311="",B311="",C311="",D311=""),"",IF(OR(A311="",B311=""),"БЛОК: нужны и дата, и сумма",IF(B311&lt;=0,"БЛОК: сумма должна быть больше нуля",IF(D311="","БЛОК: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вас",IF(COUNTIF(Акты!$B$5:$B$16,D311)=0,"БЛОК: такого акта нет на листе «Акты» — добавьте акт или исправьте идентификатор",IF(NOT(ISNUMBER(INDEX(Акты!$E$5:$E$16,MATCH(D311,Акты!$B$5:$B$16,0)))),"БЛОК: у этого акта на листе «Акты» не указан первый день просрочки",IF(A311&lt;INDEX(Акты!$E$5:$E$16,MATCH(D311,Акты!$B$5:$B$16,0)),"БЛОК: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сюда",IF(A311&gt;Ввод!$B$4,"БЛОК: оплата после последнего дня расчёта — продлите расчёт или уберите строку","ок"))))))))</f>
        <v/>
      </c>
    </row>
    <row r="312" spans="1:5" x14ac:dyDescent="0.3">
      <c r="A312" s="9"/>
      <c r="B312" s="10"/>
      <c r="C312" s="15"/>
      <c r="D312" s="15"/>
      <c r="E312" s="4" t="str">
        <f>IF(AND(A312="",B312="",C312="",D312=""),"",IF(OR(A312="",B312=""),"БЛОК: нужны и дата, и сумма",IF(B312&lt;=0,"БЛОК: сумма должна быть больше нуля",IF(D312="","БЛОК: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вас",IF(COUNTIF(Акты!$B$5:$B$16,D312)=0,"БЛОК: такого акта нет на листе «Акты» — добавьте акт или исправьте идентификатор",IF(NOT(ISNUMBER(INDEX(Акты!$E$5:$E$16,MATCH(D312,Акты!$B$5:$B$16,0)))),"БЛОК: у этого акта на листе «Акты» не указан первый день просрочки",IF(A312&lt;INDEX(Акты!$E$5:$E$16,MATCH(D312,Акты!$B$5:$B$16,0)),"БЛОК: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сюда",IF(A312&gt;Ввод!$B$4,"БЛОК: оплата после последнего дня расчёта — продлите расчёт или уберите строку","ок"))))))))</f>
        <v/>
      </c>
    </row>
    <row r="313" spans="1:5" x14ac:dyDescent="0.3">
      <c r="A313" s="9"/>
      <c r="B313" s="10"/>
      <c r="C313" s="15"/>
      <c r="D313" s="15"/>
      <c r="E313" s="4" t="str">
        <f>IF(AND(A313="",B313="",C313="",D313=""),"",IF(OR(A313="",B313=""),"БЛОК: нужны и дата, и сумма",IF(B313&lt;=0,"БЛОК: сумма должна быть больше нуля",IF(D313="","БЛОК: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вас",IF(COUNTIF(Акты!$B$5:$B$16,D313)=0,"БЛОК: такого акта нет на листе «Акты» — добавьте акт или исправьте идентификатор",IF(NOT(ISNUMBER(INDEX(Акты!$E$5:$E$16,MATCH(D313,Акты!$B$5:$B$16,0)))),"БЛОК: у этого акта на листе «Акты» не указан первый день просрочки",IF(A313&lt;INDEX(Акты!$E$5:$E$16,MATCH(D313,Акты!$B$5:$B$16,0)),"БЛОК: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сюда",IF(A313&gt;Ввод!$B$4,"БЛОК: оплата после последнего дня расчёта — продлите расчёт или уберите строку","ок"))))))))</f>
        <v/>
      </c>
    </row>
    <row r="314" spans="1:5" x14ac:dyDescent="0.3">
      <c r="A314" s="9"/>
      <c r="B314" s="10"/>
      <c r="C314" s="15"/>
      <c r="D314" s="15"/>
      <c r="E314" s="4" t="str">
        <f>IF(AND(A314="",B314="",C314="",D314=""),"",IF(OR(A314="",B314=""),"БЛОК: нужны и дата, и сумма",IF(B314&lt;=0,"БЛОК: сумма должна быть больше нуля",IF(D314="","БЛОК: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вас",IF(COUNTIF(Акты!$B$5:$B$16,D314)=0,"БЛОК: такого акта нет на листе «Акты» — добавьте акт или исправьте идентификатор",IF(NOT(ISNUMBER(INDEX(Акты!$E$5:$E$16,MATCH(D314,Акты!$B$5:$B$16,0)))),"БЛОК: у этого акта на листе «Акты» не указан первый день просрочки",IF(A314&lt;INDEX(Акты!$E$5:$E$16,MATCH(D314,Акты!$B$5:$B$16,0)),"БЛОК: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сюда",IF(A314&gt;Ввод!$B$4,"БЛОК: оплата после последнего дня расчёта — продлите расчёт или уберите строку","ок"))))))))</f>
        <v/>
      </c>
    </row>
    <row r="315" spans="1:5" x14ac:dyDescent="0.3">
      <c r="A315" s="9"/>
      <c r="B315" s="10"/>
      <c r="C315" s="15"/>
      <c r="D315" s="15"/>
      <c r="E315" s="4" t="str">
        <f>IF(AND(A315="",B315="",C315="",D315=""),"",IF(OR(A315="",B315=""),"БЛОК: нужны и дата, и сумма",IF(B315&lt;=0,"БЛОК: сумма должна быть больше нуля",IF(D315="","БЛОК: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вас",IF(COUNTIF(Акты!$B$5:$B$16,D315)=0,"БЛОК: такого акта нет на листе «Акты» — добавьте акт или исправьте идентификатор",IF(NOT(ISNUMBER(INDEX(Акты!$E$5:$E$16,MATCH(D315,Акты!$B$5:$B$16,0)))),"БЛОК: у этого акта на листе «Акты» не указан первый день просрочки",IF(A315&lt;INDEX(Акты!$E$5:$E$16,MATCH(D315,Акты!$B$5:$B$16,0)),"БЛОК: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сюда",IF(A315&gt;Ввод!$B$4,"БЛОК: оплата после последнего дня расчёта — продлите расчёт или уберите строку","ок"))))))))</f>
        <v/>
      </c>
    </row>
    <row r="316" spans="1:5" x14ac:dyDescent="0.3">
      <c r="A316" s="9"/>
      <c r="B316" s="10"/>
      <c r="C316" s="15"/>
      <c r="D316" s="15"/>
      <c r="E316" s="4" t="str">
        <f>IF(AND(A316="",B316="",C316="",D316=""),"",IF(OR(A316="",B316=""),"БЛОК: нужны и дата, и сумма",IF(B316&lt;=0,"БЛОК: сумма должна быть больше нуля",IF(D316="","БЛОК: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вас",IF(COUNTIF(Акты!$B$5:$B$16,D316)=0,"БЛОК: такого акта нет на листе «Акты» — добавьте акт или исправьте идентификатор",IF(NOT(ISNUMBER(INDEX(Акты!$E$5:$E$16,MATCH(D316,Акты!$B$5:$B$16,0)))),"БЛОК: у этого акта на листе «Акты» не указан первый день просрочки",IF(A316&lt;INDEX(Акты!$E$5:$E$16,MATCH(D316,Акты!$B$5:$B$16,0)),"БЛОК: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сюда",IF(A316&gt;Ввод!$B$4,"БЛОК: оплата после последнего дня расчёта — продлите расчёт или уберите строку","ок"))))))))</f>
        <v/>
      </c>
    </row>
    <row r="317" spans="1:5" x14ac:dyDescent="0.3">
      <c r="A317" s="9"/>
      <c r="B317" s="10"/>
      <c r="C317" s="15"/>
      <c r="D317" s="15"/>
      <c r="E317" s="4" t="str">
        <f>IF(AND(A317="",B317="",C317="",D317=""),"",IF(OR(A317="",B317=""),"БЛОК: нужны и дата, и сумма",IF(B317&lt;=0,"БЛОК: сумма должна быть больше нуля",IF(D317="","БЛОК: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вас",IF(COUNTIF(Акты!$B$5:$B$16,D317)=0,"БЛОК: такого акта нет на листе «Акты» — добавьте акт или исправьте идентификатор",IF(NOT(ISNUMBER(INDEX(Акты!$E$5:$E$16,MATCH(D317,Акты!$B$5:$B$16,0)))),"БЛОК: у этого акта на листе «Акты» не указан первый день просрочки",IF(A317&lt;INDEX(Акты!$E$5:$E$16,MATCH(D317,Акты!$B$5:$B$16,0)),"БЛОК: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сюда",IF(A317&gt;Ввод!$B$4,"БЛОК: оплата после последнего дня расчёта — продлите расчёт или уберите строку","ок"))))))))</f>
        <v/>
      </c>
    </row>
    <row r="318" spans="1:5" x14ac:dyDescent="0.3">
      <c r="A318" s="9"/>
      <c r="B318" s="10"/>
      <c r="C318" s="15"/>
      <c r="D318" s="15"/>
      <c r="E318" s="4" t="str">
        <f>IF(AND(A318="",B318="",C318="",D318=""),"",IF(OR(A318="",B318=""),"БЛОК: нужны и дата, и сумма",IF(B318&lt;=0,"БЛОК: сумма должна быть больше нуля",IF(D318="","БЛОК: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вас",IF(COUNTIF(Акты!$B$5:$B$16,D318)=0,"БЛОК: такого акта нет на листе «Акты» — добавьте акт или исправьте идентификатор",IF(NOT(ISNUMBER(INDEX(Акты!$E$5:$E$16,MATCH(D318,Акты!$B$5:$B$16,0)))),"БЛОК: у этого акта на листе «Акты» не указан первый день просрочки",IF(A318&lt;INDEX(Акты!$E$5:$E$16,MATCH(D318,Акты!$B$5:$B$16,0)),"БЛОК: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сюда",IF(A318&gt;Ввод!$B$4,"БЛОК: оплата после последнего дня расчёта — продлите расчёт или уберите строку","ок"))))))))</f>
        <v/>
      </c>
    </row>
    <row r="319" spans="1:5" x14ac:dyDescent="0.3">
      <c r="A319" s="9"/>
      <c r="B319" s="10"/>
      <c r="C319" s="15"/>
      <c r="D319" s="15"/>
      <c r="E319" s="4" t="str">
        <f>IF(AND(A319="",B319="",C319="",D319=""),"",IF(OR(A319="",B319=""),"БЛОК: нужны и дата, и сумма",IF(B319&lt;=0,"БЛОК: сумма должна быть больше нуля",IF(D319="","БЛОК: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вас",IF(COUNTIF(Акты!$B$5:$B$16,D319)=0,"БЛОК: такого акта нет на листе «Акты» — добавьте акт или исправьте идентификатор",IF(NOT(ISNUMBER(INDEX(Акты!$E$5:$E$16,MATCH(D319,Акты!$B$5:$B$16,0)))),"БЛОК: у этого акта на листе «Акты» не указан первый день просрочки",IF(A319&lt;INDEX(Акты!$E$5:$E$16,MATCH(D319,Акты!$B$5:$B$16,0)),"БЛОК: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сюда",IF(A319&gt;Ввод!$B$4,"БЛОК: оплата после последнего дня расчёта — продлите расчёт или уберите строку","ок"))))))))</f>
        <v/>
      </c>
    </row>
    <row r="320" spans="1:5" x14ac:dyDescent="0.3">
      <c r="A320" s="9"/>
      <c r="B320" s="10"/>
      <c r="C320" s="15"/>
      <c r="D320" s="15"/>
      <c r="E320" s="4" t="str">
        <f>IF(AND(A320="",B320="",C320="",D320=""),"",IF(OR(A320="",B320=""),"БЛОК: нужны и дата, и сумма",IF(B320&lt;=0,"БЛОК: сумма должна быть больше нуля",IF(D320="","БЛОК: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вас",IF(COUNTIF(Акты!$B$5:$B$16,D320)=0,"БЛОК: такого акта нет на листе «Акты» — добавьте акт или исправьте идентификатор",IF(NOT(ISNUMBER(INDEX(Акты!$E$5:$E$16,MATCH(D320,Акты!$B$5:$B$16,0)))),"БЛОК: у этого акта на листе «Акты» не указан первый день просрочки",IF(A320&lt;INDEX(Акты!$E$5:$E$16,MATCH(D320,Акты!$B$5:$B$16,0)),"БЛОК: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сюда",IF(A320&gt;Ввод!$B$4,"БЛОК: оплата после последнего дня расчёта — продлите расчёт или уберите строку","ок"))))))))</f>
        <v/>
      </c>
    </row>
    <row r="321" spans="1:5" x14ac:dyDescent="0.3">
      <c r="A321" s="9"/>
      <c r="B321" s="10"/>
      <c r="C321" s="15"/>
      <c r="D321" s="15"/>
      <c r="E321" s="4" t="str">
        <f>IF(AND(A321="",B321="",C321="",D321=""),"",IF(OR(A321="",B321=""),"БЛОК: нужны и дата, и сумма",IF(B321&lt;=0,"БЛОК: сумма должна быть больше нуля",IF(D321="","БЛОК: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вас",IF(COUNTIF(Акты!$B$5:$B$16,D321)=0,"БЛОК: такого акта нет на листе «Акты» — добавьте акт или исправьте идентификатор",IF(NOT(ISNUMBER(INDEX(Акты!$E$5:$E$16,MATCH(D321,Акты!$B$5:$B$16,0)))),"БЛОК: у этого акта на листе «Акты» не указан первый день просрочки",IF(A321&lt;INDEX(Акты!$E$5:$E$16,MATCH(D321,Акты!$B$5:$B$16,0)),"БЛОК: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сюда",IF(A321&gt;Ввод!$B$4,"БЛОК: оплата после последнего дня расчёта — продлите расчёт или уберите строку","ок"))))))))</f>
        <v/>
      </c>
    </row>
    <row r="322" spans="1:5" x14ac:dyDescent="0.3">
      <c r="A322" s="9"/>
      <c r="B322" s="10"/>
      <c r="C322" s="15"/>
      <c r="D322" s="15"/>
      <c r="E322" s="4" t="str">
        <f>IF(AND(A322="",B322="",C322="",D322=""),"",IF(OR(A322="",B322=""),"БЛОК: нужны и дата, и сумма",IF(B322&lt;=0,"БЛОК: сумма должна быть больше нуля",IF(D322="","БЛОК: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вас",IF(COUNTIF(Акты!$B$5:$B$16,D322)=0,"БЛОК: такого акта нет на листе «Акты» — добавьте акт или исправьте идентификатор",IF(NOT(ISNUMBER(INDEX(Акты!$E$5:$E$16,MATCH(D322,Акты!$B$5:$B$16,0)))),"БЛОК: у этого акта на листе «Акты» не указан первый день просрочки",IF(A322&lt;INDEX(Акты!$E$5:$E$16,MATCH(D322,Акты!$B$5:$B$16,0)),"БЛОК: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сюда",IF(A322&gt;Ввод!$B$4,"БЛОК: оплата после последнего дня расчёта — продлите расчёт или уберите строку","ок"))))))))</f>
        <v/>
      </c>
    </row>
    <row r="323" spans="1:5" x14ac:dyDescent="0.3">
      <c r="A323" s="9"/>
      <c r="B323" s="10"/>
      <c r="C323" s="15"/>
      <c r="D323" s="15"/>
      <c r="E323" s="4" t="str">
        <f>IF(AND(A323="",B323="",C323="",D323=""),"",IF(OR(A323="",B323=""),"БЛОК: нужны и дата, и сумма",IF(B323&lt;=0,"БЛОК: сумма должна быть больше нуля",IF(D323="","БЛОК: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вас",IF(COUNTIF(Акты!$B$5:$B$16,D323)=0,"БЛОК: такого акта нет на листе «Акты» — добавьте акт или исправьте идентификатор",IF(NOT(ISNUMBER(INDEX(Акты!$E$5:$E$16,MATCH(D323,Акты!$B$5:$B$16,0)))),"БЛОК: у этого акта на листе «Акты» не указан первый день просрочки",IF(A323&lt;INDEX(Акты!$E$5:$E$16,MATCH(D323,Акты!$B$5:$B$16,0)),"БЛОК: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сюда",IF(A323&gt;Ввод!$B$4,"БЛОК: оплата после последнего дня расчёта — продлите расчёт или уберите строку","ок"))))))))</f>
        <v/>
      </c>
    </row>
    <row r="324" spans="1:5" x14ac:dyDescent="0.3">
      <c r="A324" s="9"/>
      <c r="B324" s="10"/>
      <c r="C324" s="15"/>
      <c r="D324" s="15"/>
      <c r="E324" s="4" t="str">
        <f>IF(AND(A324="",B324="",C324="",D324=""),"",IF(OR(A324="",B324=""),"БЛОК: нужны и дата, и сумма",IF(B324&lt;=0,"БЛОК: сумма должна быть больше нуля",IF(D324="","БЛОК: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вас",IF(COUNTIF(Акты!$B$5:$B$16,D324)=0,"БЛОК: такого акта нет на листе «Акты» — добавьте акт или исправьте идентификатор",IF(NOT(ISNUMBER(INDEX(Акты!$E$5:$E$16,MATCH(D324,Акты!$B$5:$B$16,0)))),"БЛОК: у этого акта на листе «Акты» не указан первый день просрочки",IF(A324&lt;INDEX(Акты!$E$5:$E$16,MATCH(D324,Акты!$B$5:$B$16,0)),"БЛОК: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сюда",IF(A324&gt;Ввод!$B$4,"БЛОК: оплата после последнего дня расчёта — продлите расчёт или уберите строку","ок"))))))))</f>
        <v/>
      </c>
    </row>
    <row r="325" spans="1:5" x14ac:dyDescent="0.3">
      <c r="A325" s="9"/>
      <c r="B325" s="10"/>
      <c r="C325" s="15"/>
      <c r="D325" s="15"/>
      <c r="E325" s="4" t="str">
        <f>IF(AND(A325="",B325="",C325="",D325=""),"",IF(OR(A325="",B325=""),"БЛОК: нужны и дата, и сумма",IF(B325&lt;=0,"БЛОК: сумма должна быть больше нуля",IF(D325="","БЛОК: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вас",IF(COUNTIF(Акты!$B$5:$B$16,D325)=0,"БЛОК: такого акта нет на листе «Акты» — добавьте акт или исправьте идентификатор",IF(NOT(ISNUMBER(INDEX(Акты!$E$5:$E$16,MATCH(D325,Акты!$B$5:$B$16,0)))),"БЛОК: у этого акта на листе «Акты» не указан первый день просрочки",IF(A325&lt;INDEX(Акты!$E$5:$E$16,MATCH(D325,Акты!$B$5:$B$16,0)),"БЛОК: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сюда",IF(A325&gt;Ввод!$B$4,"БЛОК: оплата после последнего дня расчёта — продлите расчёт или уберите строку","ок"))))))))</f>
        <v/>
      </c>
    </row>
    <row r="326" spans="1:5" x14ac:dyDescent="0.3">
      <c r="A326" s="9"/>
      <c r="B326" s="10"/>
      <c r="C326" s="15"/>
      <c r="D326" s="15"/>
      <c r="E326" s="4" t="str">
        <f>IF(AND(A326="",B326="",C326="",D326=""),"",IF(OR(A326="",B326=""),"БЛОК: нужны и дата, и сумма",IF(B326&lt;=0,"БЛОК: сумма должна быть больше нуля",IF(D326="","БЛОК: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вас",IF(COUNTIF(Акты!$B$5:$B$16,D326)=0,"БЛОК: такого акта нет на листе «Акты» — добавьте акт или исправьте идентификатор",IF(NOT(ISNUMBER(INDEX(Акты!$E$5:$E$16,MATCH(D326,Акты!$B$5:$B$16,0)))),"БЛОК: у этого акта на листе «Акты» не указан первый день просрочки",IF(A326&lt;INDEX(Акты!$E$5:$E$16,MATCH(D326,Акты!$B$5:$B$16,0)),"БЛОК: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сюда",IF(A326&gt;Ввод!$B$4,"БЛОК: оплата после последнего дня расчёта — продлите расчёт или уберите строку","ок"))))))))</f>
        <v/>
      </c>
    </row>
    <row r="327" spans="1:5" x14ac:dyDescent="0.3">
      <c r="A327" s="9"/>
      <c r="B327" s="10"/>
      <c r="C327" s="15"/>
      <c r="D327" s="15"/>
      <c r="E327" s="4" t="str">
        <f>IF(AND(A327="",B327="",C327="",D327=""),"",IF(OR(A327="",B327=""),"БЛОК: нужны и дата, и сумма",IF(B327&lt;=0,"БЛОК: сумма должна быть больше нуля",IF(D327="","БЛОК: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вас",IF(COUNTIF(Акты!$B$5:$B$16,D327)=0,"БЛОК: такого акта нет на листе «Акты» — добавьте акт или исправьте идентификатор",IF(NOT(ISNUMBER(INDEX(Акты!$E$5:$E$16,MATCH(D327,Акты!$B$5:$B$16,0)))),"БЛОК: у этого акта на листе «Акты» не указан первый день просрочки",IF(A327&lt;INDEX(Акты!$E$5:$E$16,MATCH(D327,Акты!$B$5:$B$16,0)),"БЛОК: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сюда",IF(A327&gt;Ввод!$B$4,"БЛОК: оплата после последнего дня расчёта — продлите расчёт или уберите строку","ок"))))))))</f>
        <v/>
      </c>
    </row>
    <row r="328" spans="1:5" x14ac:dyDescent="0.3">
      <c r="A328" s="9"/>
      <c r="B328" s="10"/>
      <c r="C328" s="15"/>
      <c r="D328" s="15"/>
      <c r="E328" s="4" t="str">
        <f>IF(AND(A328="",B328="",C328="",D328=""),"",IF(OR(A328="",B328=""),"БЛОК: нужны и дата, и сумма",IF(B328&lt;=0,"БЛОК: сумма должна быть больше нуля",IF(D328="","БЛОК: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вас",IF(COUNTIF(Акты!$B$5:$B$16,D328)=0,"БЛОК: такого акта нет на листе «Акты» — добавьте акт или исправьте идентификатор",IF(NOT(ISNUMBER(INDEX(Акты!$E$5:$E$16,MATCH(D328,Акты!$B$5:$B$16,0)))),"БЛОК: у этого акта на листе «Акты» не указан первый день просрочки",IF(A328&lt;INDEX(Акты!$E$5:$E$16,MATCH(D328,Акты!$B$5:$B$16,0)),"БЛОК: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сюда",IF(A328&gt;Ввод!$B$4,"БЛОК: оплата после последнего дня расчёта — продлите расчёт или уберите строку","ок"))))))))</f>
        <v/>
      </c>
    </row>
    <row r="329" spans="1:5" x14ac:dyDescent="0.3">
      <c r="A329" s="9"/>
      <c r="B329" s="10"/>
      <c r="C329" s="15"/>
      <c r="D329" s="15"/>
      <c r="E329" s="4" t="str">
        <f>IF(AND(A329="",B329="",C329="",D329=""),"",IF(OR(A329="",B329=""),"БЛОК: нужны и дата, и сумма",IF(B329&lt;=0,"БЛОК: сумма должна быть больше нуля",IF(D329="","БЛОК: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вас",IF(COUNTIF(Акты!$B$5:$B$16,D329)=0,"БЛОК: такого акта нет на листе «Акты» — добавьте акт или исправьте идентификатор",IF(NOT(ISNUMBER(INDEX(Акты!$E$5:$E$16,MATCH(D329,Акты!$B$5:$B$16,0)))),"БЛОК: у этого акта на листе «Акты» не указан первый день просрочки",IF(A329&lt;INDEX(Акты!$E$5:$E$16,MATCH(D329,Акты!$B$5:$B$16,0)),"БЛОК: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сюда",IF(A329&gt;Ввод!$B$4,"БЛОК: оплата после последнего дня расчёта — продлите расчёт или уберите строку","ок"))))))))</f>
        <v/>
      </c>
    </row>
    <row r="330" spans="1:5" x14ac:dyDescent="0.3">
      <c r="A330" s="9"/>
      <c r="B330" s="10"/>
      <c r="C330" s="15"/>
      <c r="D330" s="15"/>
      <c r="E330" s="4" t="str">
        <f>IF(AND(A330="",B330="",C330="",D330=""),"",IF(OR(A330="",B330=""),"БЛОК: нужны и дата, и сумма",IF(B330&lt;=0,"БЛОК: сумма должна быть больше нуля",IF(D330="","БЛОК: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вас",IF(COUNTIF(Акты!$B$5:$B$16,D330)=0,"БЛОК: такого акта нет на листе «Акты» — добавьте акт или исправьте идентификатор",IF(NOT(ISNUMBER(INDEX(Акты!$E$5:$E$16,MATCH(D330,Акты!$B$5:$B$16,0)))),"БЛОК: у этого акта на листе «Акты» не указан первый день просрочки",IF(A330&lt;INDEX(Акты!$E$5:$E$16,MATCH(D330,Акты!$B$5:$B$16,0)),"БЛОК: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сюда",IF(A330&gt;Ввод!$B$4,"БЛОК: оплата после последнего дня расчёта — продлите расчёт или уберите строку","ок"))))))))</f>
        <v/>
      </c>
    </row>
    <row r="331" spans="1:5" x14ac:dyDescent="0.3">
      <c r="A331" s="9"/>
      <c r="B331" s="10"/>
      <c r="C331" s="15"/>
      <c r="D331" s="15"/>
      <c r="E331" s="4" t="str">
        <f>IF(AND(A331="",B331="",C331="",D331=""),"",IF(OR(A331="",B331=""),"БЛОК: нужны и дата, и сумма",IF(B331&lt;=0,"БЛОК: сумма должна быть больше нуля",IF(D331="","БЛОК: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вас",IF(COUNTIF(Акты!$B$5:$B$16,D331)=0,"БЛОК: такого акта нет на листе «Акты» — добавьте акт или исправьте идентификатор",IF(NOT(ISNUMBER(INDEX(Акты!$E$5:$E$16,MATCH(D331,Акты!$B$5:$B$16,0)))),"БЛОК: у этого акта на листе «Акты» не указан первый день просрочки",IF(A331&lt;INDEX(Акты!$E$5:$E$16,MATCH(D331,Акты!$B$5:$B$16,0)),"БЛОК: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сюда",IF(A331&gt;Ввод!$B$4,"БЛОК: оплата после последнего дня расчёта — продлите расчёт или уберите строку","ок"))))))))</f>
        <v/>
      </c>
    </row>
    <row r="332" spans="1:5" x14ac:dyDescent="0.3">
      <c r="A332" s="9"/>
      <c r="B332" s="10"/>
      <c r="C332" s="15"/>
      <c r="D332" s="15"/>
      <c r="E332" s="4" t="str">
        <f>IF(AND(A332="",B332="",C332="",D332=""),"",IF(OR(A332="",B332=""),"БЛОК: нужны и дата, и сумма",IF(B332&lt;=0,"БЛОК: сумма должна быть больше нуля",IF(D332="","БЛОК: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вас",IF(COUNTIF(Акты!$B$5:$B$16,D332)=0,"БЛОК: такого акта нет на листе «Акты» — добавьте акт или исправьте идентификатор",IF(NOT(ISNUMBER(INDEX(Акты!$E$5:$E$16,MATCH(D332,Акты!$B$5:$B$16,0)))),"БЛОК: у этого акта на листе «Акты» не указан первый день просрочки",IF(A332&lt;INDEX(Акты!$E$5:$E$16,MATCH(D332,Акты!$B$5:$B$16,0)),"БЛОК: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сюда",IF(A332&gt;Ввод!$B$4,"БЛОК: оплата после последнего дня расчёта — продлите расчёт или уберите строку","ок"))))))))</f>
        <v/>
      </c>
    </row>
    <row r="333" spans="1:5" x14ac:dyDescent="0.3">
      <c r="A333" s="9"/>
      <c r="B333" s="10"/>
      <c r="C333" s="15"/>
      <c r="D333" s="15"/>
      <c r="E333" s="4" t="str">
        <f>IF(AND(A333="",B333="",C333="",D333=""),"",IF(OR(A333="",B333=""),"БЛОК: нужны и дата, и сумма",IF(B333&lt;=0,"БЛОК: сумма должна быть больше нуля",IF(D333="","БЛОК: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вас",IF(COUNTIF(Акты!$B$5:$B$16,D333)=0,"БЛОК: такого акта нет на листе «Акты» — добавьте акт или исправьте идентификатор",IF(NOT(ISNUMBER(INDEX(Акты!$E$5:$E$16,MATCH(D333,Акты!$B$5:$B$16,0)))),"БЛОК: у этого акта на листе «Акты» не указан первый день просрочки",IF(A333&lt;INDEX(Акты!$E$5:$E$16,MATCH(D333,Акты!$B$5:$B$16,0)),"БЛОК: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сюда",IF(A333&gt;Ввод!$B$4,"БЛОК: оплата после последнего дня расчёта — продлите расчёт или уберите строку","ок"))))))))</f>
        <v/>
      </c>
    </row>
    <row r="334" spans="1:5" x14ac:dyDescent="0.3">
      <c r="A334" s="9"/>
      <c r="B334" s="10"/>
      <c r="C334" s="15"/>
      <c r="D334" s="15"/>
      <c r="E334" s="4" t="str">
        <f>IF(AND(A334="",B334="",C334="",D334=""),"",IF(OR(A334="",B334=""),"БЛОК: нужны и дата, и сумма",IF(B334&lt;=0,"БЛОК: сумма должна быть больше нуля",IF(D334="","БЛОК: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вас",IF(COUNTIF(Акты!$B$5:$B$16,D334)=0,"БЛОК: такого акта нет на листе «Акты» — добавьте акт или исправьте идентификатор",IF(NOT(ISNUMBER(INDEX(Акты!$E$5:$E$16,MATCH(D334,Акты!$B$5:$B$16,0)))),"БЛОК: у этого акта на листе «Акты» не указан первый день просрочки",IF(A334&lt;INDEX(Акты!$E$5:$E$16,MATCH(D334,Акты!$B$5:$B$16,0)),"БЛОК: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сюда",IF(A334&gt;Ввод!$B$4,"БЛОК: оплата после последнего дня расчёта — продлите расчёт или уберите строку","ок"))))))))</f>
        <v/>
      </c>
    </row>
    <row r="335" spans="1:5" x14ac:dyDescent="0.3">
      <c r="A335" s="9"/>
      <c r="B335" s="10"/>
      <c r="C335" s="15"/>
      <c r="D335" s="15"/>
      <c r="E335" s="4" t="str">
        <f>IF(AND(A335="",B335="",C335="",D335=""),"",IF(OR(A335="",B335=""),"БЛОК: нужны и дата, и сумма",IF(B335&lt;=0,"БЛОК: сумма должна быть больше нуля",IF(D335="","БЛОК: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вас",IF(COUNTIF(Акты!$B$5:$B$16,D335)=0,"БЛОК: такого акта нет на листе «Акты» — добавьте акт или исправьте идентификатор",IF(NOT(ISNUMBER(INDEX(Акты!$E$5:$E$16,MATCH(D335,Акты!$B$5:$B$16,0)))),"БЛОК: у этого акта на листе «Акты» не указан первый день просрочки",IF(A335&lt;INDEX(Акты!$E$5:$E$16,MATCH(D335,Акты!$B$5:$B$16,0)),"БЛОК: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сюда",IF(A335&gt;Ввод!$B$4,"БЛОК: оплата после последнего дня расчёта — продлите расчёт или уберите строку","ок"))))))))</f>
        <v/>
      </c>
    </row>
    <row r="336" spans="1:5" x14ac:dyDescent="0.3">
      <c r="A336" s="9"/>
      <c r="B336" s="10"/>
      <c r="C336" s="15"/>
      <c r="D336" s="15"/>
      <c r="E336" s="4" t="str">
        <f>IF(AND(A336="",B336="",C336="",D336=""),"",IF(OR(A336="",B336=""),"БЛОК: нужны и дата, и сумма",IF(B336&lt;=0,"БЛОК: сумма должна быть больше нуля",IF(D336="","БЛОК: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вас",IF(COUNTIF(Акты!$B$5:$B$16,D336)=0,"БЛОК: такого акта нет на листе «Акты» — добавьте акт или исправьте идентификатор",IF(NOT(ISNUMBER(INDEX(Акты!$E$5:$E$16,MATCH(D336,Акты!$B$5:$B$16,0)))),"БЛОК: у этого акта на листе «Акты» не указан первый день просрочки",IF(A336&lt;INDEX(Акты!$E$5:$E$16,MATCH(D336,Акты!$B$5:$B$16,0)),"БЛОК: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сюда",IF(A336&gt;Ввод!$B$4,"БЛОК: оплата после последнего дня расчёта — продлите расчёт или уберите строку","ок"))))))))</f>
        <v/>
      </c>
    </row>
    <row r="337" spans="1:5" x14ac:dyDescent="0.3">
      <c r="A337" s="9"/>
      <c r="B337" s="10"/>
      <c r="C337" s="15"/>
      <c r="D337" s="15"/>
      <c r="E337" s="4" t="str">
        <f>IF(AND(A337="",B337="",C337="",D337=""),"",IF(OR(A337="",B337=""),"БЛОК: нужны и дата, и сумма",IF(B337&lt;=0,"БЛОК: сумма должна быть больше нуля",IF(D337="","БЛОК: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вас",IF(COUNTIF(Акты!$B$5:$B$16,D337)=0,"БЛОК: такого акта нет на листе «Акты» — добавьте акт или исправьте идентификатор",IF(NOT(ISNUMBER(INDEX(Акты!$E$5:$E$16,MATCH(D337,Акты!$B$5:$B$16,0)))),"БЛОК: у этого акта на листе «Акты» не указан первый день просрочки",IF(A337&lt;INDEX(Акты!$E$5:$E$16,MATCH(D337,Акты!$B$5:$B$16,0)),"БЛОК: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сюда",IF(A337&gt;Ввод!$B$4,"БЛОК: оплата после последнего дня расчёта — продлите расчёт или уберите строку","ок"))))))))</f>
        <v/>
      </c>
    </row>
    <row r="338" spans="1:5" x14ac:dyDescent="0.3">
      <c r="A338" s="9"/>
      <c r="B338" s="10"/>
      <c r="C338" s="15"/>
      <c r="D338" s="15"/>
      <c r="E338" s="4" t="str">
        <f>IF(AND(A338="",B338="",C338="",D338=""),"",IF(OR(A338="",B338=""),"БЛОК: нужны и дата, и сумма",IF(B338&lt;=0,"БЛОК: сумма должна быть больше нуля",IF(D338="","БЛОК: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вас",IF(COUNTIF(Акты!$B$5:$B$16,D338)=0,"БЛОК: такого акта нет на листе «Акты» — добавьте акт или исправьте идентификатор",IF(NOT(ISNUMBER(INDEX(Акты!$E$5:$E$16,MATCH(D338,Акты!$B$5:$B$16,0)))),"БЛОК: у этого акта на листе «Акты» не указан первый день просрочки",IF(A338&lt;INDEX(Акты!$E$5:$E$16,MATCH(D338,Акты!$B$5:$B$16,0)),"БЛОК: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сюда",IF(A338&gt;Ввод!$B$4,"БЛОК: оплата после последнего дня расчёта — продлите расчёт или уберите строку","ок"))))))))</f>
        <v/>
      </c>
    </row>
    <row r="339" spans="1:5" x14ac:dyDescent="0.3">
      <c r="A339" s="9"/>
      <c r="B339" s="10"/>
      <c r="C339" s="15"/>
      <c r="D339" s="15"/>
      <c r="E339" s="4" t="str">
        <f>IF(AND(A339="",B339="",C339="",D339=""),"",IF(OR(A339="",B339=""),"БЛОК: нужны и дата, и сумма",IF(B339&lt;=0,"БЛОК: сумма должна быть больше нуля",IF(D339="","БЛОК: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вас",IF(COUNTIF(Акты!$B$5:$B$16,D339)=0,"БЛОК: такого акта нет на листе «Акты» — добавьте акт или исправьте идентификатор",IF(NOT(ISNUMBER(INDEX(Акты!$E$5:$E$16,MATCH(D339,Акты!$B$5:$B$16,0)))),"БЛОК: у этого акта на листе «Акты» не указан первый день просрочки",IF(A339&lt;INDEX(Акты!$E$5:$E$16,MATCH(D339,Акты!$B$5:$B$16,0)),"БЛОК: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сюда",IF(A339&gt;Ввод!$B$4,"БЛОК: оплата после последнего дня расчёта — продлите расчёт или уберите строку","ок"))))))))</f>
        <v/>
      </c>
    </row>
    <row r="340" spans="1:5" x14ac:dyDescent="0.3">
      <c r="A340" s="9"/>
      <c r="B340" s="10"/>
      <c r="C340" s="15"/>
      <c r="D340" s="15"/>
      <c r="E340" s="4" t="str">
        <f>IF(AND(A340="",B340="",C340="",D340=""),"",IF(OR(A340="",B340=""),"БЛОК: нужны и дата, и сумма",IF(B340&lt;=0,"БЛОК: сумма должна быть больше нуля",IF(D340="","БЛОК: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вас",IF(COUNTIF(Акты!$B$5:$B$16,D340)=0,"БЛОК: такого акта нет на листе «Акты» — добавьте акт или исправьте идентификатор",IF(NOT(ISNUMBER(INDEX(Акты!$E$5:$E$16,MATCH(D340,Акты!$B$5:$B$16,0)))),"БЛОК: у этого акта на листе «Акты» не указан первый день просрочки",IF(A340&lt;INDEX(Акты!$E$5:$E$16,MATCH(D340,Акты!$B$5:$B$16,0)),"БЛОК: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сюда",IF(A340&gt;Ввод!$B$4,"БЛОК: оплата после последнего дня расчёта — продлите расчёт или уберите строку","ок"))))))))</f>
        <v/>
      </c>
    </row>
    <row r="341" spans="1:5" x14ac:dyDescent="0.3">
      <c r="A341" s="9"/>
      <c r="B341" s="10"/>
      <c r="C341" s="15"/>
      <c r="D341" s="15"/>
      <c r="E341" s="4" t="str">
        <f>IF(AND(A341="",B341="",C341="",D341=""),"",IF(OR(A341="",B341=""),"БЛОК: нужны и дата, и сумма",IF(B341&lt;=0,"БЛОК: сумма должна быть больше нуля",IF(D341="","БЛОК: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вас",IF(COUNTIF(Акты!$B$5:$B$16,D341)=0,"БЛОК: такого акта нет на листе «Акты» — добавьте акт или исправьте идентификатор",IF(NOT(ISNUMBER(INDEX(Акты!$E$5:$E$16,MATCH(D341,Акты!$B$5:$B$16,0)))),"БЛОК: у этого акта на листе «Акты» не указан первый день просрочки",IF(A341&lt;INDEX(Акты!$E$5:$E$16,MATCH(D341,Акты!$B$5:$B$16,0)),"БЛОК: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сюда",IF(A341&gt;Ввод!$B$4,"БЛОК: оплата после последнего дня расчёта — продлите расчёт или уберите строку","ок"))))))))</f>
        <v/>
      </c>
    </row>
    <row r="342" spans="1:5" x14ac:dyDescent="0.3">
      <c r="A342" s="9"/>
      <c r="B342" s="10"/>
      <c r="C342" s="15"/>
      <c r="D342" s="15"/>
      <c r="E342" s="4" t="str">
        <f>IF(AND(A342="",B342="",C342="",D342=""),"",IF(OR(A342="",B342=""),"БЛОК: нужны и дата, и сумма",IF(B342&lt;=0,"БЛОК: сумма должна быть больше нуля",IF(D342="","БЛОК: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вас",IF(COUNTIF(Акты!$B$5:$B$16,D342)=0,"БЛОК: такого акта нет на листе «Акты» — добавьте акт или исправьте идентификатор",IF(NOT(ISNUMBER(INDEX(Акты!$E$5:$E$16,MATCH(D342,Акты!$B$5:$B$16,0)))),"БЛОК: у этого акта на листе «Акты» не указан первый день просрочки",IF(A342&lt;INDEX(Акты!$E$5:$E$16,MATCH(D342,Акты!$B$5:$B$16,0)),"БЛОК: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сюда",IF(A342&gt;Ввод!$B$4,"БЛОК: оплата после последнего дня расчёта — продлите расчёт или уберите строку","ок"))))))))</f>
        <v/>
      </c>
    </row>
    <row r="343" spans="1:5" x14ac:dyDescent="0.3">
      <c r="A343" s="9"/>
      <c r="B343" s="10"/>
      <c r="C343" s="15"/>
      <c r="D343" s="15"/>
      <c r="E343" s="4" t="str">
        <f>IF(AND(A343="",B343="",C343="",D343=""),"",IF(OR(A343="",B343=""),"БЛОК: нужны и дата, и сумма",IF(B343&lt;=0,"БЛОК: сумма должна быть больше нуля",IF(D343="","БЛОК: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вас",IF(COUNTIF(Акты!$B$5:$B$16,D343)=0,"БЛОК: такого акта нет на листе «Акты» — добавьте акт или исправьте идентификатор",IF(NOT(ISNUMBER(INDEX(Акты!$E$5:$E$16,MATCH(D343,Акты!$B$5:$B$16,0)))),"БЛОК: у этого акта на листе «Акты» не указан первый день просрочки",IF(A343&lt;INDEX(Акты!$E$5:$E$16,MATCH(D343,Акты!$B$5:$B$16,0)),"БЛОК: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сюда",IF(A343&gt;Ввод!$B$4,"БЛОК: оплата после последнего дня расчёта — продлите расчёт или уберите строку","ок"))))))))</f>
        <v/>
      </c>
    </row>
    <row r="344" spans="1:5" x14ac:dyDescent="0.3">
      <c r="A344" s="9"/>
      <c r="B344" s="10"/>
      <c r="C344" s="15"/>
      <c r="D344" s="15"/>
      <c r="E344" s="4" t="str">
        <f>IF(AND(A344="",B344="",C344="",D344=""),"",IF(OR(A344="",B344=""),"БЛОК: нужны и дата, и сумма",IF(B344&lt;=0,"БЛОК: сумма должна быть больше нуля",IF(D344="","БЛОК: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вас",IF(COUNTIF(Акты!$B$5:$B$16,D344)=0,"БЛОК: такого акта нет на листе «Акты» — добавьте акт или исправьте идентификатор",IF(NOT(ISNUMBER(INDEX(Акты!$E$5:$E$16,MATCH(D344,Акты!$B$5:$B$16,0)))),"БЛОК: у этого акта на листе «Акты» не указан первый день просрочки",IF(A344&lt;INDEX(Акты!$E$5:$E$16,MATCH(D344,Акты!$B$5:$B$16,0)),"БЛОК: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сюда",IF(A344&gt;Ввод!$B$4,"БЛОК: оплата после последнего дня расчёта — продлите расчёт или уберите строку","ок"))))))))</f>
        <v/>
      </c>
    </row>
    <row r="345" spans="1:5" x14ac:dyDescent="0.3">
      <c r="A345" s="9"/>
      <c r="B345" s="10"/>
      <c r="C345" s="15"/>
      <c r="D345" s="15"/>
      <c r="E345" s="4" t="str">
        <f>IF(AND(A345="",B345="",C345="",D345=""),"",IF(OR(A345="",B345=""),"БЛОК: нужны и дата, и сумма",IF(B345&lt;=0,"БЛОК: сумма должна быть больше нуля",IF(D345="","БЛОК: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вас",IF(COUNTIF(Акты!$B$5:$B$16,D345)=0,"БЛОК: такого акта нет на листе «Акты» — добавьте акт или исправьте идентификатор",IF(NOT(ISNUMBER(INDEX(Акты!$E$5:$E$16,MATCH(D345,Акты!$B$5:$B$16,0)))),"БЛОК: у этого акта на листе «Акты» не указан первый день просрочки",IF(A345&lt;INDEX(Акты!$E$5:$E$16,MATCH(D345,Акты!$B$5:$B$16,0)),"БЛОК: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сюда",IF(A345&gt;Ввод!$B$4,"БЛОК: оплата после последнего дня расчёта — продлите расчёт или уберите строку","ок"))))))))</f>
        <v/>
      </c>
    </row>
    <row r="346" spans="1:5" x14ac:dyDescent="0.3">
      <c r="A346" s="9"/>
      <c r="B346" s="10"/>
      <c r="C346" s="15"/>
      <c r="D346" s="15"/>
      <c r="E346" s="4" t="str">
        <f>IF(AND(A346="",B346="",C346="",D346=""),"",IF(OR(A346="",B346=""),"БЛОК: нужны и дата, и сумма",IF(B346&lt;=0,"БЛОК: сумма должна быть больше нуля",IF(D346="","БЛОК: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вас",IF(COUNTIF(Акты!$B$5:$B$16,D346)=0,"БЛОК: такого акта нет на листе «Акты» — добавьте акт или исправьте идентификатор",IF(NOT(ISNUMBER(INDEX(Акты!$E$5:$E$16,MATCH(D346,Акты!$B$5:$B$16,0)))),"БЛОК: у этого акта на листе «Акты» не указан первый день просрочки",IF(A346&lt;INDEX(Акты!$E$5:$E$16,MATCH(D346,Акты!$B$5:$B$16,0)),"БЛОК: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сюда",IF(A346&gt;Ввод!$B$4,"БЛОК: оплата после последнего дня расчёта — продлите расчёт или уберите строку","ок"))))))))</f>
        <v/>
      </c>
    </row>
    <row r="347" spans="1:5" x14ac:dyDescent="0.3">
      <c r="A347" s="9"/>
      <c r="B347" s="10"/>
      <c r="C347" s="15"/>
      <c r="D347" s="15"/>
      <c r="E347" s="4" t="str">
        <f>IF(AND(A347="",B347="",C347="",D347=""),"",IF(OR(A347="",B347=""),"БЛОК: нужны и дата, и сумма",IF(B347&lt;=0,"БЛОК: сумма должна быть больше нуля",IF(D347="","БЛОК: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вас",IF(COUNTIF(Акты!$B$5:$B$16,D347)=0,"БЛОК: такого акта нет на листе «Акты» — добавьте акт или исправьте идентификатор",IF(NOT(ISNUMBER(INDEX(Акты!$E$5:$E$16,MATCH(D347,Акты!$B$5:$B$16,0)))),"БЛОК: у этого акта на листе «Акты» не указан первый день просрочки",IF(A347&lt;INDEX(Акты!$E$5:$E$16,MATCH(D347,Акты!$B$5:$B$16,0)),"БЛОК: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сюда",IF(A347&gt;Ввод!$B$4,"БЛОК: оплата после последнего дня расчёта — продлите расчёт или уберите строку","ок"))))))))</f>
        <v/>
      </c>
    </row>
    <row r="348" spans="1:5" x14ac:dyDescent="0.3">
      <c r="A348" s="9"/>
      <c r="B348" s="10"/>
      <c r="C348" s="15"/>
      <c r="D348" s="15"/>
      <c r="E348" s="4" t="str">
        <f>IF(AND(A348="",B348="",C348="",D348=""),"",IF(OR(A348="",B348=""),"БЛОК: нужны и дата, и сумма",IF(B348&lt;=0,"БЛОК: сумма должна быть больше нуля",IF(D348="","БЛОК: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вас",IF(COUNTIF(Акты!$B$5:$B$16,D348)=0,"БЛОК: такого акта нет на листе «Акты» — добавьте акт или исправьте идентификатор",IF(NOT(ISNUMBER(INDEX(Акты!$E$5:$E$16,MATCH(D348,Акты!$B$5:$B$16,0)))),"БЛОК: у этого акта на листе «Акты» не указан первый день просрочки",IF(A348&lt;INDEX(Акты!$E$5:$E$16,MATCH(D348,Акты!$B$5:$B$16,0)),"БЛОК: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сюда",IF(A348&gt;Ввод!$B$4,"БЛОК: оплата после последнего дня расчёта — продлите расчёт или уберите строку","ок"))))))))</f>
        <v/>
      </c>
    </row>
    <row r="349" spans="1:5" x14ac:dyDescent="0.3">
      <c r="A349" s="9"/>
      <c r="B349" s="10"/>
      <c r="C349" s="15"/>
      <c r="D349" s="15"/>
      <c r="E349" s="4" t="str">
        <f>IF(AND(A349="",B349="",C349="",D349=""),"",IF(OR(A349="",B349=""),"БЛОК: нужны и дата, и сумма",IF(B349&lt;=0,"БЛОК: сумма должна быть больше нуля",IF(D349="","БЛОК: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вас",IF(COUNTIF(Акты!$B$5:$B$16,D349)=0,"БЛОК: такого акта нет на листе «Акты» — добавьте акт или исправьте идентификатор",IF(NOT(ISNUMBER(INDEX(Акты!$E$5:$E$16,MATCH(D349,Акты!$B$5:$B$16,0)))),"БЛОК: у этого акта на листе «Акты» не указан первый день просрочки",IF(A349&lt;INDEX(Акты!$E$5:$E$16,MATCH(D349,Акты!$B$5:$B$16,0)),"БЛОК: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сюда",IF(A349&gt;Ввод!$B$4,"БЛОК: оплата после последнего дня расчёта — продлите расчёт или уберите строку","ок"))))))))</f>
        <v/>
      </c>
    </row>
    <row r="350" spans="1:5" x14ac:dyDescent="0.3">
      <c r="A350" s="9"/>
      <c r="B350" s="10"/>
      <c r="C350" s="15"/>
      <c r="D350" s="15"/>
      <c r="E350" s="4" t="str">
        <f>IF(AND(A350="",B350="",C350="",D350=""),"",IF(OR(A350="",B350=""),"БЛОК: нужны и дата, и сумма",IF(B350&lt;=0,"БЛОК: сумма должна быть больше нуля",IF(D350="","БЛОК: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вас",IF(COUNTIF(Акты!$B$5:$B$16,D350)=0,"БЛОК: такого акта нет на листе «Акты» — добавьте акт или исправьте идентификатор",IF(NOT(ISNUMBER(INDEX(Акты!$E$5:$E$16,MATCH(D350,Акты!$B$5:$B$16,0)))),"БЛОК: у этого акта на листе «Акты» не указан первый день просрочки",IF(A350&lt;INDEX(Акты!$E$5:$E$16,MATCH(D350,Акты!$B$5:$B$16,0)),"БЛОК: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сюда",IF(A350&gt;Ввод!$B$4,"БЛОК: оплата после последнего дня расчёта — продлите расчёт или уберите строку","ок"))))))))</f>
        <v/>
      </c>
    </row>
    <row r="351" spans="1:5" x14ac:dyDescent="0.3">
      <c r="A351" s="9"/>
      <c r="B351" s="10"/>
      <c r="C351" s="15"/>
      <c r="D351" s="15"/>
      <c r="E351" s="4" t="str">
        <f>IF(AND(A351="",B351="",C351="",D351=""),"",IF(OR(A351="",B351=""),"БЛОК: нужны и дата, и сумма",IF(B351&lt;=0,"БЛОК: сумма должна быть больше нуля",IF(D351="","БЛОК: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вас",IF(COUNTIF(Акты!$B$5:$B$16,D351)=0,"БЛОК: такого акта нет на листе «Акты» — добавьте акт или исправьте идентификатор",IF(NOT(ISNUMBER(INDEX(Акты!$E$5:$E$16,MATCH(D351,Акты!$B$5:$B$16,0)))),"БЛОК: у этого акта на листе «Акты» не указан первый день просрочки",IF(A351&lt;INDEX(Акты!$E$5:$E$16,MATCH(D351,Акты!$B$5:$B$16,0)),"БЛОК: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сюда",IF(A351&gt;Ввод!$B$4,"БЛОК: оплата после последнего дня расчёта — продлите расчёт или уберите строку","ок"))))))))</f>
        <v/>
      </c>
    </row>
    <row r="352" spans="1:5" x14ac:dyDescent="0.3">
      <c r="A352" s="9"/>
      <c r="B352" s="10"/>
      <c r="C352" s="15"/>
      <c r="D352" s="15"/>
      <c r="E352" s="4" t="str">
        <f>IF(AND(A352="",B352="",C352="",D352=""),"",IF(OR(A352="",B352=""),"БЛОК: нужны и дата, и сумма",IF(B352&lt;=0,"БЛОК: сумма должна быть больше нуля",IF(D352="","БЛОК: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вас",IF(COUNTIF(Акты!$B$5:$B$16,D352)=0,"БЛОК: такого акта нет на листе «Акты» — добавьте акт или исправьте идентификатор",IF(NOT(ISNUMBER(INDEX(Акты!$E$5:$E$16,MATCH(D352,Акты!$B$5:$B$16,0)))),"БЛОК: у этого акта на листе «Акты» не указан первый день просрочки",IF(A352&lt;INDEX(Акты!$E$5:$E$16,MATCH(D352,Акты!$B$5:$B$16,0)),"БЛОК: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сюда",IF(A352&gt;Ввод!$B$4,"БЛОК: оплата после последнего дня расчёта — продлите расчёт или уберите строку","ок"))))))))</f>
        <v/>
      </c>
    </row>
    <row r="353" spans="1:5" x14ac:dyDescent="0.3">
      <c r="A353" s="9"/>
      <c r="B353" s="10"/>
      <c r="C353" s="15"/>
      <c r="D353" s="15"/>
      <c r="E353" s="4" t="str">
        <f>IF(AND(A353="",B353="",C353="",D353=""),"",IF(OR(A353="",B353=""),"БЛОК: нужны и дата, и сумма",IF(B353&lt;=0,"БЛОК: сумма должна быть больше нуля",IF(D353="","БЛОК: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вас",IF(COUNTIF(Акты!$B$5:$B$16,D353)=0,"БЛОК: такого акта нет на листе «Акты» — добавьте акт или исправьте идентификатор",IF(NOT(ISNUMBER(INDEX(Акты!$E$5:$E$16,MATCH(D353,Акты!$B$5:$B$16,0)))),"БЛОК: у этого акта на листе «Акты» не указан первый день просрочки",IF(A353&lt;INDEX(Акты!$E$5:$E$16,MATCH(D353,Акты!$B$5:$B$16,0)),"БЛОК: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сюда",IF(A353&gt;Ввод!$B$4,"БЛОК: оплата после последнего дня расчёта — продлите расчёт или уберите строку","ок"))))))))</f>
        <v/>
      </c>
    </row>
    <row r="354" spans="1:5" x14ac:dyDescent="0.3">
      <c r="A354" s="9"/>
      <c r="B354" s="10"/>
      <c r="C354" s="15"/>
      <c r="D354" s="15"/>
      <c r="E354" s="4" t="str">
        <f>IF(AND(A354="",B354="",C354="",D354=""),"",IF(OR(A354="",B354=""),"БЛОК: нужны и дата, и сумма",IF(B354&lt;=0,"БЛОК: сумма должна быть больше нуля",IF(D354="","БЛОК: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вас",IF(COUNTIF(Акты!$B$5:$B$16,D354)=0,"БЛОК: такого акта нет на листе «Акты» — добавьте акт или исправьте идентификатор",IF(NOT(ISNUMBER(INDEX(Акты!$E$5:$E$16,MATCH(D354,Акты!$B$5:$B$16,0)))),"БЛОК: у этого акта на листе «Акты» не указан первый день просрочки",IF(A354&lt;INDEX(Акты!$E$5:$E$16,MATCH(D354,Акты!$B$5:$B$16,0)),"БЛОК: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сюда",IF(A354&gt;Ввод!$B$4,"БЛОК: оплата после последнего дня расчёта — продлите расчёт или уберите строку","ок"))))))))</f>
        <v/>
      </c>
    </row>
    <row r="355" spans="1:5" x14ac:dyDescent="0.3">
      <c r="A355" s="9"/>
      <c r="B355" s="10"/>
      <c r="C355" s="15"/>
      <c r="D355" s="15"/>
      <c r="E355" s="4" t="str">
        <f>IF(AND(A355="",B355="",C355="",D355=""),"",IF(OR(A355="",B355=""),"БЛОК: нужны и дата, и сумма",IF(B355&lt;=0,"БЛОК: сумма должна быть больше нуля",IF(D355="","БЛОК: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вас",IF(COUNTIF(Акты!$B$5:$B$16,D355)=0,"БЛОК: такого акта нет на листе «Акты» — добавьте акт или исправьте идентификатор",IF(NOT(ISNUMBER(INDEX(Акты!$E$5:$E$16,MATCH(D355,Акты!$B$5:$B$16,0)))),"БЛОК: у этого акта на листе «Акты» не указан первый день просрочки",IF(A355&lt;INDEX(Акты!$E$5:$E$16,MATCH(D355,Акты!$B$5:$B$16,0)),"БЛОК: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сюда",IF(A355&gt;Ввод!$B$4,"БЛОК: оплата после последнего дня расчёта — продлите расчёт или уберите строку","ок"))))))))</f>
        <v/>
      </c>
    </row>
    <row r="356" spans="1:5" x14ac:dyDescent="0.3">
      <c r="A356" s="9"/>
      <c r="B356" s="10"/>
      <c r="C356" s="15"/>
      <c r="D356" s="15"/>
      <c r="E356" s="4" t="str">
        <f>IF(AND(A356="",B356="",C356="",D356=""),"",IF(OR(A356="",B356=""),"БЛОК: нужны и дата, и сумма",IF(B356&lt;=0,"БЛОК: сумма должна быть больше нуля",IF(D356="","БЛОК: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вас",IF(COUNTIF(Акты!$B$5:$B$16,D356)=0,"БЛОК: такого акта нет на листе «Акты» — добавьте акт или исправьте идентификатор",IF(NOT(ISNUMBER(INDEX(Акты!$E$5:$E$16,MATCH(D356,Акты!$B$5:$B$16,0)))),"БЛОК: у этого акта на листе «Акты» не указан первый день просрочки",IF(A356&lt;INDEX(Акты!$E$5:$E$16,MATCH(D356,Акты!$B$5:$B$16,0)),"БЛОК: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сюда",IF(A356&gt;Ввод!$B$4,"БЛОК: оплата после последнего дня расчёта — продлите расчёт или уберите строку","ок"))))))))</f>
        <v/>
      </c>
    </row>
    <row r="357" spans="1:5" x14ac:dyDescent="0.3">
      <c r="A357" s="9"/>
      <c r="B357" s="10"/>
      <c r="C357" s="15"/>
      <c r="D357" s="15"/>
      <c r="E357" s="4" t="str">
        <f>IF(AND(A357="",B357="",C357="",D357=""),"",IF(OR(A357="",B357=""),"БЛОК: нужны и дата, и сумма",IF(B357&lt;=0,"БЛОК: сумма должна быть больше нуля",IF(D357="","БЛОК: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вас",IF(COUNTIF(Акты!$B$5:$B$16,D357)=0,"БЛОК: такого акта нет на листе «Акты» — добавьте акт или исправьте идентификатор",IF(NOT(ISNUMBER(INDEX(Акты!$E$5:$E$16,MATCH(D357,Акты!$B$5:$B$16,0)))),"БЛОК: у этого акта на листе «Акты» не указан первый день просрочки",IF(A357&lt;INDEX(Акты!$E$5:$E$16,MATCH(D357,Акты!$B$5:$B$16,0)),"БЛОК: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сюда",IF(A357&gt;Ввод!$B$4,"БЛОК: оплата после последнего дня расчёта — продлите расчёт или уберите строку","ок"))))))))</f>
        <v/>
      </c>
    </row>
    <row r="358" spans="1:5" x14ac:dyDescent="0.3">
      <c r="A358" s="9"/>
      <c r="B358" s="10"/>
      <c r="C358" s="15"/>
      <c r="D358" s="15"/>
      <c r="E358" s="4" t="str">
        <f>IF(AND(A358="",B358="",C358="",D358=""),"",IF(OR(A358="",B358=""),"БЛОК: нужны и дата, и сумма",IF(B358&lt;=0,"БЛОК: сумма должна быть больше нуля",IF(D358="","БЛОК: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вас",IF(COUNTIF(Акты!$B$5:$B$16,D358)=0,"БЛОК: такого акта нет на листе «Акты» — добавьте акт или исправьте идентификатор",IF(NOT(ISNUMBER(INDEX(Акты!$E$5:$E$16,MATCH(D358,Акты!$B$5:$B$16,0)))),"БЛОК: у этого акта на листе «Акты» не указан первый день просрочки",IF(A358&lt;INDEX(Акты!$E$5:$E$16,MATCH(D358,Акты!$B$5:$B$16,0)),"БЛОК: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сюда",IF(A358&gt;Ввод!$B$4,"БЛОК: оплата после последнего дня расчёта — продлите расчёт или уберите строку","ок"))))))))</f>
        <v/>
      </c>
    </row>
    <row r="359" spans="1:5" x14ac:dyDescent="0.3">
      <c r="A359" s="9"/>
      <c r="B359" s="10"/>
      <c r="C359" s="15"/>
      <c r="D359" s="15"/>
      <c r="E359" s="4" t="str">
        <f>IF(AND(A359="",B359="",C359="",D359=""),"",IF(OR(A359="",B359=""),"БЛОК: нужны и дата, и сумма",IF(B359&lt;=0,"БЛОК: сумма должна быть больше нуля",IF(D359="","БЛОК: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вас",IF(COUNTIF(Акты!$B$5:$B$16,D359)=0,"БЛОК: такого акта нет на листе «Акты» — добавьте акт или исправьте идентификатор",IF(NOT(ISNUMBER(INDEX(Акты!$E$5:$E$16,MATCH(D359,Акты!$B$5:$B$16,0)))),"БЛОК: у этого акта на листе «Акты» не указан первый день просрочки",IF(A359&lt;INDEX(Акты!$E$5:$E$16,MATCH(D359,Акты!$B$5:$B$16,0)),"БЛОК: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сюда",IF(A359&gt;Ввод!$B$4,"БЛОК: оплата после последнего дня расчёта — продлите расчёт или уберите строку","ок"))))))))</f>
        <v/>
      </c>
    </row>
    <row r="360" spans="1:5" x14ac:dyDescent="0.3">
      <c r="A360" s="9"/>
      <c r="B360" s="10"/>
      <c r="C360" s="15"/>
      <c r="D360" s="15"/>
      <c r="E360" s="4" t="str">
        <f>IF(AND(A360="",B360="",C360="",D360=""),"",IF(OR(A360="",B360=""),"БЛОК: нужны и дата, и сумма",IF(B360&lt;=0,"БЛОК: сумма должна быть больше нуля",IF(D360="","БЛОК: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вас",IF(COUNTIF(Акты!$B$5:$B$16,D360)=0,"БЛОК: такого акта нет на листе «Акты» — добавьте акт или исправьте идентификатор",IF(NOT(ISNUMBER(INDEX(Акты!$E$5:$E$16,MATCH(D360,Акты!$B$5:$B$16,0)))),"БЛОК: у этого акта на листе «Акты» не указан первый день просрочки",IF(A360&lt;INDEX(Акты!$E$5:$E$16,MATCH(D360,Акты!$B$5:$B$16,0)),"БЛОК: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сюда",IF(A360&gt;Ввод!$B$4,"БЛОК: оплата после последнего дня расчёта — продлите расчёт или уберите строку","ок"))))))))</f>
        <v/>
      </c>
    </row>
    <row r="361" spans="1:5" x14ac:dyDescent="0.3">
      <c r="A361" s="9"/>
      <c r="B361" s="10"/>
      <c r="C361" s="15"/>
      <c r="D361" s="15"/>
      <c r="E361" s="4" t="str">
        <f>IF(AND(A361="",B361="",C361="",D361=""),"",IF(OR(A361="",B361=""),"БЛОК: нужны и дата, и сумма",IF(B361&lt;=0,"БЛОК: сумма должна быть больше нуля",IF(D361="","БЛОК: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вас",IF(COUNTIF(Акты!$B$5:$B$16,D361)=0,"БЛОК: такого акта нет на листе «Акты» — добавьте акт или исправьте идентификатор",IF(NOT(ISNUMBER(INDEX(Акты!$E$5:$E$16,MATCH(D361,Акты!$B$5:$B$16,0)))),"БЛОК: у этого акта на листе «Акты» не указан первый день просрочки",IF(A361&lt;INDEX(Акты!$E$5:$E$16,MATCH(D361,Акты!$B$5:$B$16,0)),"БЛОК: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сюда",IF(A361&gt;Ввод!$B$4,"БЛОК: оплата после последнего дня расчёта — продлите расчёт или уберите строку","ок"))))))))</f>
        <v/>
      </c>
    </row>
    <row r="362" spans="1:5" x14ac:dyDescent="0.3">
      <c r="A362" s="9"/>
      <c r="B362" s="10"/>
      <c r="C362" s="15"/>
      <c r="D362" s="15"/>
      <c r="E362" s="4" t="str">
        <f>IF(AND(A362="",B362="",C362="",D362=""),"",IF(OR(A362="",B362=""),"БЛОК: нужны и дата, и сумма",IF(B362&lt;=0,"БЛОК: сумма должна быть больше нуля",IF(D362="","БЛОК: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вас",IF(COUNTIF(Акты!$B$5:$B$16,D362)=0,"БЛОК: такого акта нет на листе «Акты» — добавьте акт или исправьте идентификатор",IF(NOT(ISNUMBER(INDEX(Акты!$E$5:$E$16,MATCH(D362,Акты!$B$5:$B$16,0)))),"БЛОК: у этого акта на листе «Акты» не указан первый день просрочки",IF(A362&lt;INDEX(Акты!$E$5:$E$16,MATCH(D362,Акты!$B$5:$B$16,0)),"БЛОК: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сюда",IF(A362&gt;Ввод!$B$4,"БЛОК: оплата после последнего дня расчёта — продлите расчёт или уберите строку","ок"))))))))</f>
        <v/>
      </c>
    </row>
    <row r="363" spans="1:5" x14ac:dyDescent="0.3">
      <c r="A363" s="9"/>
      <c r="B363" s="10"/>
      <c r="C363" s="15"/>
      <c r="D363" s="15"/>
      <c r="E363" s="4" t="str">
        <f>IF(AND(A363="",B363="",C363="",D363=""),"",IF(OR(A363="",B363=""),"БЛОК: нужны и дата, и сумма",IF(B363&lt;=0,"БЛОК: сумма должна быть больше нуля",IF(D363="","БЛОК: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вас",IF(COUNTIF(Акты!$B$5:$B$16,D363)=0,"БЛОК: такого акта нет на листе «Акты» — добавьте акт или исправьте идентификатор",IF(NOT(ISNUMBER(INDEX(Акты!$E$5:$E$16,MATCH(D363,Акты!$B$5:$B$16,0)))),"БЛОК: у этого акта на листе «Акты» не указан первый день просрочки",IF(A363&lt;INDEX(Акты!$E$5:$E$16,MATCH(D363,Акты!$B$5:$B$16,0)),"БЛОК: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сюда",IF(A363&gt;Ввод!$B$4,"БЛОК: оплата после последнего дня расчёта — продлите расчёт или уберите строку","ок"))))))))</f>
        <v/>
      </c>
    </row>
    <row r="364" spans="1:5" x14ac:dyDescent="0.3">
      <c r="A364" s="9"/>
      <c r="B364" s="10"/>
      <c r="C364" s="15"/>
      <c r="D364" s="15"/>
      <c r="E364" s="4" t="str">
        <f>IF(AND(A364="",B364="",C364="",D364=""),"",IF(OR(A364="",B364=""),"БЛОК: нужны и дата, и сумма",IF(B364&lt;=0,"БЛОК: сумма должна быть больше нуля",IF(D364="","БЛОК: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вас",IF(COUNTIF(Акты!$B$5:$B$16,D364)=0,"БЛОК: такого акта нет на листе «Акты» — добавьте акт или исправьте идентификатор",IF(NOT(ISNUMBER(INDEX(Акты!$E$5:$E$16,MATCH(D364,Акты!$B$5:$B$16,0)))),"БЛОК: у этого акта на листе «Акты» не указан первый день просрочки",IF(A364&lt;INDEX(Акты!$E$5:$E$16,MATCH(D364,Акты!$B$5:$B$16,0)),"БЛОК: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сюда",IF(A364&gt;Ввод!$B$4,"БЛОК: оплата после последнего дня расчёта — продлите расчёт или уберите строку","ок"))))))))</f>
        <v/>
      </c>
    </row>
    <row r="365" spans="1:5" x14ac:dyDescent="0.3">
      <c r="A365" s="9"/>
      <c r="B365" s="10"/>
      <c r="C365" s="15"/>
      <c r="D365" s="15"/>
      <c r="E365" s="4" t="str">
        <f>IF(AND(A365="",B365="",C365="",D365=""),"",IF(OR(A365="",B365=""),"БЛОК: нужны и дата, и сумма",IF(B365&lt;=0,"БЛОК: сумма должна быть больше нуля",IF(D365="","БЛОК: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вас",IF(COUNTIF(Акты!$B$5:$B$16,D365)=0,"БЛОК: такого акта нет на листе «Акты» — добавьте акт или исправьте идентификатор",IF(NOT(ISNUMBER(INDEX(Акты!$E$5:$E$16,MATCH(D365,Акты!$B$5:$B$16,0)))),"БЛОК: у этого акта на листе «Акты» не указан первый день просрочки",IF(A365&lt;INDEX(Акты!$E$5:$E$16,MATCH(D365,Акты!$B$5:$B$16,0)),"БЛОК: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сюда",IF(A365&gt;Ввод!$B$4,"БЛОК: оплата после последнего дня расчёта — продлите расчёт или уберите строку","ок"))))))))</f>
        <v/>
      </c>
    </row>
    <row r="366" spans="1:5" x14ac:dyDescent="0.3">
      <c r="A366" s="9"/>
      <c r="B366" s="10"/>
      <c r="C366" s="15"/>
      <c r="D366" s="15"/>
      <c r="E366" s="4" t="str">
        <f>IF(AND(A366="",B366="",C366="",D366=""),"",IF(OR(A366="",B366=""),"БЛОК: нужны и дата, и сумма",IF(B366&lt;=0,"БЛОК: сумма должна быть больше нуля",IF(D366="","БЛОК: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вас",IF(COUNTIF(Акты!$B$5:$B$16,D366)=0,"БЛОК: такого акта нет на листе «Акты» — добавьте акт или исправьте идентификатор",IF(NOT(ISNUMBER(INDEX(Акты!$E$5:$E$16,MATCH(D366,Акты!$B$5:$B$16,0)))),"БЛОК: у этого акта на листе «Акты» не указан первый день просрочки",IF(A366&lt;INDEX(Акты!$E$5:$E$16,MATCH(D366,Акты!$B$5:$B$16,0)),"БЛОК: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сюда",IF(A366&gt;Ввод!$B$4,"БЛОК: оплата после последнего дня расчёта — продлите расчёт или уберите строку","ок"))))))))</f>
        <v/>
      </c>
    </row>
    <row r="367" spans="1:5" x14ac:dyDescent="0.3">
      <c r="A367" s="9"/>
      <c r="B367" s="10"/>
      <c r="C367" s="15"/>
      <c r="D367" s="15"/>
      <c r="E367" s="4" t="str">
        <f>IF(AND(A367="",B367="",C367="",D367=""),"",IF(OR(A367="",B367=""),"БЛОК: нужны и дата, и сумма",IF(B367&lt;=0,"БЛОК: сумма должна быть больше нуля",IF(D367="","БЛОК: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вас",IF(COUNTIF(Акты!$B$5:$B$16,D367)=0,"БЛОК: такого акта нет на листе «Акты» — добавьте акт или исправьте идентификатор",IF(NOT(ISNUMBER(INDEX(Акты!$E$5:$E$16,MATCH(D367,Акты!$B$5:$B$16,0)))),"БЛОК: у этого акта на листе «Акты» не указан первый день просрочки",IF(A367&lt;INDEX(Акты!$E$5:$E$16,MATCH(D367,Акты!$B$5:$B$16,0)),"БЛОК: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сюда",IF(A367&gt;Ввод!$B$4,"БЛОК: оплата после последнего дня расчёта — продлите расчёт или уберите строку","ок"))))))))</f>
        <v/>
      </c>
    </row>
    <row r="368" spans="1:5" x14ac:dyDescent="0.3">
      <c r="A368" s="9"/>
      <c r="B368" s="10"/>
      <c r="C368" s="15"/>
      <c r="D368" s="15"/>
      <c r="E368" s="4" t="str">
        <f>IF(AND(A368="",B368="",C368="",D368=""),"",IF(OR(A368="",B368=""),"БЛОК: нужны и дата, и сумма",IF(B368&lt;=0,"БЛОК: сумма должна быть больше нуля",IF(D368="","БЛОК: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вас",IF(COUNTIF(Акты!$B$5:$B$16,D368)=0,"БЛОК: такого акта нет на листе «Акты» — добавьте акт или исправьте идентификатор",IF(NOT(ISNUMBER(INDEX(Акты!$E$5:$E$16,MATCH(D368,Акты!$B$5:$B$16,0)))),"БЛОК: у этого акта на листе «Акты» не указан первый день просрочки",IF(A368&lt;INDEX(Акты!$E$5:$E$16,MATCH(D368,Акты!$B$5:$B$16,0)),"БЛОК: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сюда",IF(A368&gt;Ввод!$B$4,"БЛОК: оплата после последнего дня расчёта — продлите расчёт или уберите строку","ок"))))))))</f>
        <v/>
      </c>
    </row>
    <row r="369" spans="1:5" x14ac:dyDescent="0.3">
      <c r="A369" s="9"/>
      <c r="B369" s="10"/>
      <c r="C369" s="15"/>
      <c r="D369" s="15"/>
      <c r="E369" s="4" t="str">
        <f>IF(AND(A369="",B369="",C369="",D369=""),"",IF(OR(A369="",B369=""),"БЛОК: нужны и дата, и сумма",IF(B369&lt;=0,"БЛОК: сумма должна быть больше нуля",IF(D369="","БЛОК: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вас",IF(COUNTIF(Акты!$B$5:$B$16,D369)=0,"БЛОК: такого акта нет на листе «Акты» — добавьте акт или исправьте идентификатор",IF(NOT(ISNUMBER(INDEX(Акты!$E$5:$E$16,MATCH(D369,Акты!$B$5:$B$16,0)))),"БЛОК: у этого акта на листе «Акты» не указан первый день просрочки",IF(A369&lt;INDEX(Акты!$E$5:$E$16,MATCH(D369,Акты!$B$5:$B$16,0)),"БЛОК: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сюда",IF(A369&gt;Ввод!$B$4,"БЛОК: оплата после последнего дня расчёта — продлите расчёт или уберите строку","ок"))))))))</f>
        <v/>
      </c>
    </row>
    <row r="370" spans="1:5" x14ac:dyDescent="0.3">
      <c r="A370" s="9"/>
      <c r="B370" s="10"/>
      <c r="C370" s="15"/>
      <c r="D370" s="15"/>
      <c r="E370" s="4" t="str">
        <f>IF(AND(A370="",B370="",C370="",D370=""),"",IF(OR(A370="",B370=""),"БЛОК: нужны и дата, и сумма",IF(B370&lt;=0,"БЛОК: сумма должна быть больше нуля",IF(D370="","БЛОК: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вас",IF(COUNTIF(Акты!$B$5:$B$16,D370)=0,"БЛОК: такого акта нет на листе «Акты» — добавьте акт или исправьте идентификатор",IF(NOT(ISNUMBER(INDEX(Акты!$E$5:$E$16,MATCH(D370,Акты!$B$5:$B$16,0)))),"БЛОК: у этого акта на листе «Акты» не указан первый день просрочки",IF(A370&lt;INDEX(Акты!$E$5:$E$16,MATCH(D370,Акты!$B$5:$B$16,0)),"БЛОК: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сюда",IF(A370&gt;Ввод!$B$4,"БЛОК: оплата после последнего дня расчёта — продлите расчёт или уберите строку","ок"))))))))</f>
        <v/>
      </c>
    </row>
    <row r="371" spans="1:5" x14ac:dyDescent="0.3">
      <c r="A371" s="9"/>
      <c r="B371" s="10"/>
      <c r="C371" s="15"/>
      <c r="D371" s="15"/>
      <c r="E371" s="4" t="str">
        <f>IF(AND(A371="",B371="",C371="",D371=""),"",IF(OR(A371="",B371=""),"БЛОК: нужны и дата, и сумма",IF(B371&lt;=0,"БЛОК: сумма должна быть больше нуля",IF(D371="","БЛОК: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вас",IF(COUNTIF(Акты!$B$5:$B$16,D371)=0,"БЛОК: такого акта нет на листе «Акты» — добавьте акт или исправьте идентификатор",IF(NOT(ISNUMBER(INDEX(Акты!$E$5:$E$16,MATCH(D371,Акты!$B$5:$B$16,0)))),"БЛОК: у этого акта на листе «Акты» не указан первый день просрочки",IF(A371&lt;INDEX(Акты!$E$5:$E$16,MATCH(D371,Акты!$B$5:$B$16,0)),"БЛОК: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сюда",IF(A371&gt;Ввод!$B$4,"БЛОК: оплата после последнего дня расчёта — продлите расчёт или уберите строку","ок"))))))))</f>
        <v/>
      </c>
    </row>
    <row r="372" spans="1:5" x14ac:dyDescent="0.3">
      <c r="A372" s="9"/>
      <c r="B372" s="10"/>
      <c r="C372" s="15"/>
      <c r="D372" s="15"/>
      <c r="E372" s="4" t="str">
        <f>IF(AND(A372="",B372="",C372="",D372=""),"",IF(OR(A372="",B372=""),"БЛОК: нужны и дата, и сумма",IF(B372&lt;=0,"БЛОК: сумма должна быть больше нуля",IF(D372="","БЛОК: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вас",IF(COUNTIF(Акты!$B$5:$B$16,D372)=0,"БЛОК: такого акта нет на листе «Акты» — добавьте акт или исправьте идентификатор",IF(NOT(ISNUMBER(INDEX(Акты!$E$5:$E$16,MATCH(D372,Акты!$B$5:$B$16,0)))),"БЛОК: у этого акта на листе «Акты» не указан первый день просрочки",IF(A372&lt;INDEX(Акты!$E$5:$E$16,MATCH(D372,Акты!$B$5:$B$16,0)),"БЛОК: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сюда",IF(A372&gt;Ввод!$B$4,"БЛОК: оплата после последнего дня расчёта — продлите расчёт или уберите строку","ок"))))))))</f>
        <v/>
      </c>
    </row>
    <row r="373" spans="1:5" x14ac:dyDescent="0.3">
      <c r="A373" s="9"/>
      <c r="B373" s="10"/>
      <c r="C373" s="15"/>
      <c r="D373" s="15"/>
      <c r="E373" s="4" t="str">
        <f>IF(AND(A373="",B373="",C373="",D373=""),"",IF(OR(A373="",B373=""),"БЛОК: нужны и дата, и сумма",IF(B373&lt;=0,"БЛОК: сумма должна быть больше нуля",IF(D373="","БЛОК: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вас",IF(COUNTIF(Акты!$B$5:$B$16,D373)=0,"БЛОК: такого акта нет на листе «Акты» — добавьте акт или исправьте идентификатор",IF(NOT(ISNUMBER(INDEX(Акты!$E$5:$E$16,MATCH(D373,Акты!$B$5:$B$16,0)))),"БЛОК: у этого акта на листе «Акты» не указан первый день просрочки",IF(A373&lt;INDEX(Акты!$E$5:$E$16,MATCH(D373,Акты!$B$5:$B$16,0)),"БЛОК: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сюда",IF(A373&gt;Ввод!$B$4,"БЛОК: оплата после последнего дня расчёта — продлите расчёт или уберите строку","ок"))))))))</f>
        <v/>
      </c>
    </row>
    <row r="374" spans="1:5" x14ac:dyDescent="0.3">
      <c r="A374" s="9"/>
      <c r="B374" s="10"/>
      <c r="C374" s="15"/>
      <c r="D374" s="15"/>
      <c r="E374" s="4" t="str">
        <f>IF(AND(A374="",B374="",C374="",D374=""),"",IF(OR(A374="",B374=""),"БЛОК: нужны и дата, и сумма",IF(B374&lt;=0,"БЛОК: сумма должна быть больше нуля",IF(D374="","БЛОК: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вас",IF(COUNTIF(Акты!$B$5:$B$16,D374)=0,"БЛОК: такого акта нет на листе «Акты» — добавьте акт или исправьте идентификатор",IF(NOT(ISNUMBER(INDEX(Акты!$E$5:$E$16,MATCH(D374,Акты!$B$5:$B$16,0)))),"БЛОК: у этого акта на листе «Акты» не указан первый день просрочки",IF(A374&lt;INDEX(Акты!$E$5:$E$16,MATCH(D374,Акты!$B$5:$B$16,0)),"БЛОК: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сюда",IF(A374&gt;Ввод!$B$4,"БЛОК: оплата после последнего дня расчёта — продлите расчёт или уберите строку","ок"))))))))</f>
        <v/>
      </c>
    </row>
    <row r="375" spans="1:5" x14ac:dyDescent="0.3">
      <c r="A375" s="9"/>
      <c r="B375" s="10"/>
      <c r="C375" s="15"/>
      <c r="D375" s="15"/>
      <c r="E375" s="4" t="str">
        <f>IF(AND(A375="",B375="",C375="",D375=""),"",IF(OR(A375="",B375=""),"БЛОК: нужны и дата, и сумма",IF(B375&lt;=0,"БЛОК: сумма должна быть больше нуля",IF(D375="","БЛОК: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вас",IF(COUNTIF(Акты!$B$5:$B$16,D375)=0,"БЛОК: такого акта нет на листе «Акты» — добавьте акт или исправьте идентификатор",IF(NOT(ISNUMBER(INDEX(Акты!$E$5:$E$16,MATCH(D375,Акты!$B$5:$B$16,0)))),"БЛОК: у этого акта на листе «Акты» не указан первый день просрочки",IF(A375&lt;INDEX(Акты!$E$5:$E$16,MATCH(D375,Акты!$B$5:$B$16,0)),"БЛОК: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сюда",IF(A375&gt;Ввод!$B$4,"БЛОК: оплата после последнего дня расчёта — продлите расчёт или уберите строку","ок"))))))))</f>
        <v/>
      </c>
    </row>
    <row r="376" spans="1:5" x14ac:dyDescent="0.3">
      <c r="A376" s="9"/>
      <c r="B376" s="10"/>
      <c r="C376" s="15"/>
      <c r="D376" s="15"/>
      <c r="E376" s="4" t="str">
        <f>IF(AND(A376="",B376="",C376="",D376=""),"",IF(OR(A376="",B376=""),"БЛОК: нужны и дата, и сумма",IF(B376&lt;=0,"БЛОК: сумма должна быть больше нуля",IF(D376="","БЛОК: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вас",IF(COUNTIF(Акты!$B$5:$B$16,D376)=0,"БЛОК: такого акта нет на листе «Акты» — добавьте акт или исправьте идентификатор",IF(NOT(ISNUMBER(INDEX(Акты!$E$5:$E$16,MATCH(D376,Акты!$B$5:$B$16,0)))),"БЛОК: у этого акта на листе «Акты» не указан первый день просрочки",IF(A376&lt;INDEX(Акты!$E$5:$E$16,MATCH(D376,Акты!$B$5:$B$16,0)),"БЛОК: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сюда",IF(A376&gt;Ввод!$B$4,"БЛОК: оплата после последнего дня расчёта — продлите расчёт или уберите строку","ок"))))))))</f>
        <v/>
      </c>
    </row>
    <row r="377" spans="1:5" x14ac:dyDescent="0.3">
      <c r="A377" s="9"/>
      <c r="B377" s="10"/>
      <c r="C377" s="15"/>
      <c r="D377" s="15"/>
      <c r="E377" s="4" t="str">
        <f>IF(AND(A377="",B377="",C377="",D377=""),"",IF(OR(A377="",B377=""),"БЛОК: нужны и дата, и сумма",IF(B377&lt;=0,"БЛОК: сумма должна быть больше нуля",IF(D377="","БЛОК: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вас",IF(COUNTIF(Акты!$B$5:$B$16,D377)=0,"БЛОК: такого акта нет на листе «Акты» — добавьте акт или исправьте идентификатор",IF(NOT(ISNUMBER(INDEX(Акты!$E$5:$E$16,MATCH(D377,Акты!$B$5:$B$16,0)))),"БЛОК: у этого акта на листе «Акты» не указан первый день просрочки",IF(A377&lt;INDEX(Акты!$E$5:$E$16,MATCH(D377,Акты!$B$5:$B$16,0)),"БЛОК: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сюда",IF(A377&gt;Ввод!$B$4,"БЛОК: оплата после последнего дня расчёта — продлите расчёт или уберите строку","ок"))))))))</f>
        <v/>
      </c>
    </row>
    <row r="378" spans="1:5" x14ac:dyDescent="0.3">
      <c r="A378" s="9"/>
      <c r="B378" s="10"/>
      <c r="C378" s="15"/>
      <c r="D378" s="15"/>
      <c r="E378" s="4" t="str">
        <f>IF(AND(A378="",B378="",C378="",D378=""),"",IF(OR(A378="",B378=""),"БЛОК: нужны и дата, и сумма",IF(B378&lt;=0,"БЛОК: сумма должна быть больше нуля",IF(D378="","БЛОК: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вас",IF(COUNTIF(Акты!$B$5:$B$16,D378)=0,"БЛОК: такого акта нет на листе «Акты» — добавьте акт или исправьте идентификатор",IF(NOT(ISNUMBER(INDEX(Акты!$E$5:$E$16,MATCH(D378,Акты!$B$5:$B$16,0)))),"БЛОК: у этого акта на листе «Акты» не указан первый день просрочки",IF(A378&lt;INDEX(Акты!$E$5:$E$16,MATCH(D378,Акты!$B$5:$B$16,0)),"БЛОК: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сюда",IF(A378&gt;Ввод!$B$4,"БЛОК: оплата после последнего дня расчёта — продлите расчёт или уберите строку","ок"))))))))</f>
        <v/>
      </c>
    </row>
    <row r="379" spans="1:5" x14ac:dyDescent="0.3">
      <c r="A379" s="9"/>
      <c r="B379" s="10"/>
      <c r="C379" s="15"/>
      <c r="D379" s="15"/>
      <c r="E379" s="4" t="str">
        <f>IF(AND(A379="",B379="",C379="",D379=""),"",IF(OR(A379="",B379=""),"БЛОК: нужны и дата, и сумма",IF(B379&lt;=0,"БЛОК: сумма должна быть больше нуля",IF(D379="","БЛОК: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вас",IF(COUNTIF(Акты!$B$5:$B$16,D379)=0,"БЛОК: такого акта нет на листе «Акты» — добавьте акт или исправьте идентификатор",IF(NOT(ISNUMBER(INDEX(Акты!$E$5:$E$16,MATCH(D379,Акты!$B$5:$B$16,0)))),"БЛОК: у этого акта на листе «Акты» не указан первый день просрочки",IF(A379&lt;INDEX(Акты!$E$5:$E$16,MATCH(D379,Акты!$B$5:$B$16,0)),"БЛОК: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сюда",IF(A379&gt;Ввод!$B$4,"БЛОК: оплата после последнего дня расчёта — продлите расчёт или уберите строку","ок"))))))))</f>
        <v/>
      </c>
    </row>
    <row r="380" spans="1:5" x14ac:dyDescent="0.3">
      <c r="A380" s="9"/>
      <c r="B380" s="10"/>
      <c r="C380" s="15"/>
      <c r="D380" s="15"/>
      <c r="E380" s="4" t="str">
        <f>IF(AND(A380="",B380="",C380="",D380=""),"",IF(OR(A380="",B380=""),"БЛОК: нужны и дата, и сумма",IF(B380&lt;=0,"БЛОК: сумма должна быть больше нуля",IF(D380="","БЛОК: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вас",IF(COUNTIF(Акты!$B$5:$B$16,D380)=0,"БЛОК: такого акта нет на листе «Акты» — добавьте акт или исправьте идентификатор",IF(NOT(ISNUMBER(INDEX(Акты!$E$5:$E$16,MATCH(D380,Акты!$B$5:$B$16,0)))),"БЛОК: у этого акта на листе «Акты» не указан первый день просрочки",IF(A380&lt;INDEX(Акты!$E$5:$E$16,MATCH(D380,Акты!$B$5:$B$16,0)),"БЛОК: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сюда",IF(A380&gt;Ввод!$B$4,"БЛОК: оплата после последнего дня расчёта — продлите расчёт или уберите строку","ок"))))))))</f>
        <v/>
      </c>
    </row>
    <row r="381" spans="1:5" x14ac:dyDescent="0.3">
      <c r="A381" s="9"/>
      <c r="B381" s="10"/>
      <c r="C381" s="15"/>
      <c r="D381" s="15"/>
      <c r="E381" s="4" t="str">
        <f>IF(AND(A381="",B381="",C381="",D381=""),"",IF(OR(A381="",B381=""),"БЛОК: нужны и дата, и сумма",IF(B381&lt;=0,"БЛОК: сумма должна быть больше нуля",IF(D381="","БЛОК: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вас",IF(COUNTIF(Акты!$B$5:$B$16,D381)=0,"БЛОК: такого акта нет на листе «Акты» — добавьте акт или исправьте идентификатор",IF(NOT(ISNUMBER(INDEX(Акты!$E$5:$E$16,MATCH(D381,Акты!$B$5:$B$16,0)))),"БЛОК: у этого акта на листе «Акты» не указан первый день просрочки",IF(A381&lt;INDEX(Акты!$E$5:$E$16,MATCH(D381,Акты!$B$5:$B$16,0)),"БЛОК: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сюда",IF(A381&gt;Ввод!$B$4,"БЛОК: оплата после последнего дня расчёта — продлите расчёт или уберите строку","ок"))))))))</f>
        <v/>
      </c>
    </row>
    <row r="382" spans="1:5" x14ac:dyDescent="0.3">
      <c r="A382" s="9"/>
      <c r="B382" s="10"/>
      <c r="C382" s="15"/>
      <c r="D382" s="15"/>
      <c r="E382" s="4" t="str">
        <f>IF(AND(A382="",B382="",C382="",D382=""),"",IF(OR(A382="",B382=""),"БЛОК: нужны и дата, и сумма",IF(B382&lt;=0,"БЛОК: сумма должна быть больше нуля",IF(D382="","БЛОК: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вас",IF(COUNTIF(Акты!$B$5:$B$16,D382)=0,"БЛОК: такого акта нет на листе «Акты» — добавьте акт или исправьте идентификатор",IF(NOT(ISNUMBER(INDEX(Акты!$E$5:$E$16,MATCH(D382,Акты!$B$5:$B$16,0)))),"БЛОК: у этого акта на листе «Акты» не указан первый день просрочки",IF(A382&lt;INDEX(Акты!$E$5:$E$16,MATCH(D382,Акты!$B$5:$B$16,0)),"БЛОК: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сюда",IF(A382&gt;Ввод!$B$4,"БЛОК: оплата после последнего дня расчёта — продлите расчёт или уберите строку","ок"))))))))</f>
        <v/>
      </c>
    </row>
    <row r="383" spans="1:5" x14ac:dyDescent="0.3">
      <c r="A383" s="9"/>
      <c r="B383" s="10"/>
      <c r="C383" s="15"/>
      <c r="D383" s="15"/>
      <c r="E383" s="4" t="str">
        <f>IF(AND(A383="",B383="",C383="",D383=""),"",IF(OR(A383="",B383=""),"БЛОК: нужны и дата, и сумма",IF(B383&lt;=0,"БЛОК: сумма должна быть больше нуля",IF(D383="","БЛОК: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вас",IF(COUNTIF(Акты!$B$5:$B$16,D383)=0,"БЛОК: такого акта нет на листе «Акты» — добавьте акт или исправьте идентификатор",IF(NOT(ISNUMBER(INDEX(Акты!$E$5:$E$16,MATCH(D383,Акты!$B$5:$B$16,0)))),"БЛОК: у этого акта на листе «Акты» не указан первый день просрочки",IF(A383&lt;INDEX(Акты!$E$5:$E$16,MATCH(D383,Акты!$B$5:$B$16,0)),"БЛОК: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сюда",IF(A383&gt;Ввод!$B$4,"БЛОК: оплата после последнего дня расчёта — продлите расчёт или уберите строку","ок"))))))))</f>
        <v/>
      </c>
    </row>
    <row r="384" spans="1:5" x14ac:dyDescent="0.3">
      <c r="A384" s="9"/>
      <c r="B384" s="10"/>
      <c r="C384" s="15"/>
      <c r="D384" s="15"/>
      <c r="E384" s="4" t="str">
        <f>IF(AND(A384="",B384="",C384="",D384=""),"",IF(OR(A384="",B384=""),"БЛОК: нужны и дата, и сумма",IF(B384&lt;=0,"БЛОК: сумма должна быть больше нуля",IF(D384="","БЛОК: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вас",IF(COUNTIF(Акты!$B$5:$B$16,D384)=0,"БЛОК: такого акта нет на листе «Акты» — добавьте акт или исправьте идентификатор",IF(NOT(ISNUMBER(INDEX(Акты!$E$5:$E$16,MATCH(D384,Акты!$B$5:$B$16,0)))),"БЛОК: у этого акта на листе «Акты» не указан первый день просрочки",IF(A384&lt;INDEX(Акты!$E$5:$E$16,MATCH(D384,Акты!$B$5:$B$16,0)),"БЛОК: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сюда",IF(A384&gt;Ввод!$B$4,"БЛОК: оплата после последнего дня расчёта — продлите расчёт или уберите строку","ок"))))))))</f>
        <v/>
      </c>
    </row>
    <row r="385" spans="1:5" x14ac:dyDescent="0.3">
      <c r="A385" s="9"/>
      <c r="B385" s="10"/>
      <c r="C385" s="15"/>
      <c r="D385" s="15"/>
      <c r="E385" s="4" t="str">
        <f>IF(AND(A385="",B385="",C385="",D385=""),"",IF(OR(A385="",B385=""),"БЛОК: нужны и дата, и сумма",IF(B385&lt;=0,"БЛОК: сумма должна быть больше нуля",IF(D385="","БЛОК: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вас",IF(COUNTIF(Акты!$B$5:$B$16,D385)=0,"БЛОК: такого акта нет на листе «Акты» — добавьте акт или исправьте идентификатор",IF(NOT(ISNUMBER(INDEX(Акты!$E$5:$E$16,MATCH(D385,Акты!$B$5:$B$16,0)))),"БЛОК: у этого акта на листе «Акты» не указан первый день просрочки",IF(A385&lt;INDEX(Акты!$E$5:$E$16,MATCH(D385,Акты!$B$5:$B$16,0)),"БЛОК: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сюда",IF(A385&gt;Ввод!$B$4,"БЛОК: оплата после последнего дня расчёта — продлите расчёт или уберите строку","ок"))))))))</f>
        <v/>
      </c>
    </row>
    <row r="386" spans="1:5" x14ac:dyDescent="0.3">
      <c r="A386" s="9"/>
      <c r="B386" s="10"/>
      <c r="C386" s="15"/>
      <c r="D386" s="15"/>
      <c r="E386" s="4" t="str">
        <f>IF(AND(A386="",B386="",C386="",D386=""),"",IF(OR(A386="",B386=""),"БЛОК: нужны и дата, и сумма",IF(B386&lt;=0,"БЛОК: сумма должна быть больше нуля",IF(D386="","БЛОК: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вас",IF(COUNTIF(Акты!$B$5:$B$16,D386)=0,"БЛОК: такого акта нет на листе «Акты» — добавьте акт или исправьте идентификатор",IF(NOT(ISNUMBER(INDEX(Акты!$E$5:$E$16,MATCH(D386,Акты!$B$5:$B$16,0)))),"БЛОК: у этого акта на листе «Акты» не указан первый день просрочки",IF(A386&lt;INDEX(Акты!$E$5:$E$16,MATCH(D386,Акты!$B$5:$B$16,0)),"БЛОК: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сюда",IF(A386&gt;Ввод!$B$4,"БЛОК: оплата после последнего дня расчёта — продлите расчёт или уберите строку","ок"))))))))</f>
        <v/>
      </c>
    </row>
    <row r="387" spans="1:5" x14ac:dyDescent="0.3">
      <c r="A387" s="9"/>
      <c r="B387" s="10"/>
      <c r="C387" s="15"/>
      <c r="D387" s="15"/>
      <c r="E387" s="4" t="str">
        <f>IF(AND(A387="",B387="",C387="",D387=""),"",IF(OR(A387="",B387=""),"БЛОК: нужны и дата, и сумма",IF(B387&lt;=0,"БЛОК: сумма должна быть больше нуля",IF(D387="","БЛОК: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вас",IF(COUNTIF(Акты!$B$5:$B$16,D387)=0,"БЛОК: такого акта нет на листе «Акты» — добавьте акт или исправьте идентификатор",IF(NOT(ISNUMBER(INDEX(Акты!$E$5:$E$16,MATCH(D387,Акты!$B$5:$B$16,0)))),"БЛОК: у этого акта на листе «Акты» не указан первый день просрочки",IF(A387&lt;INDEX(Акты!$E$5:$E$16,MATCH(D387,Акты!$B$5:$B$16,0)),"БЛОК: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сюда",IF(A387&gt;Ввод!$B$4,"БЛОК: оплата после последнего дня расчёта — продлите расчёт или уберите строку","ок"))))))))</f>
        <v/>
      </c>
    </row>
    <row r="388" spans="1:5" x14ac:dyDescent="0.3">
      <c r="A388" s="9"/>
      <c r="B388" s="10"/>
      <c r="C388" s="15"/>
      <c r="D388" s="15"/>
      <c r="E388" s="4" t="str">
        <f>IF(AND(A388="",B388="",C388="",D388=""),"",IF(OR(A388="",B388=""),"БЛОК: нужны и дата, и сумма",IF(B388&lt;=0,"БЛОК: сумма должна быть больше нуля",IF(D388="","БЛОК: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вас",IF(COUNTIF(Акты!$B$5:$B$16,D388)=0,"БЛОК: такого акта нет на листе «Акты» — добавьте акт или исправьте идентификатор",IF(NOT(ISNUMBER(INDEX(Акты!$E$5:$E$16,MATCH(D388,Акты!$B$5:$B$16,0)))),"БЛОК: у этого акта на листе «Акты» не указан первый день просрочки",IF(A388&lt;INDEX(Акты!$E$5:$E$16,MATCH(D388,Акты!$B$5:$B$16,0)),"БЛОК: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сюда",IF(A388&gt;Ввод!$B$4,"БЛОК: оплата после последнего дня расчёта — продлите расчёт или уберите строку","ок"))))))))</f>
        <v/>
      </c>
    </row>
    <row r="389" spans="1:5" x14ac:dyDescent="0.3">
      <c r="A389" s="9"/>
      <c r="B389" s="10"/>
      <c r="C389" s="15"/>
      <c r="D389" s="15"/>
      <c r="E389" s="4" t="str">
        <f>IF(AND(A389="",B389="",C389="",D389=""),"",IF(OR(A389="",B389=""),"БЛОК: нужны и дата, и сумма",IF(B389&lt;=0,"БЛОК: сумма должна быть больше нуля",IF(D389="","БЛОК: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вас",IF(COUNTIF(Акты!$B$5:$B$16,D389)=0,"БЛОК: такого акта нет на листе «Акты» — добавьте акт или исправьте идентификатор",IF(NOT(ISNUMBER(INDEX(Акты!$E$5:$E$16,MATCH(D389,Акты!$B$5:$B$16,0)))),"БЛОК: у этого акта на листе «Акты» не указан первый день просрочки",IF(A389&lt;INDEX(Акты!$E$5:$E$16,MATCH(D389,Акты!$B$5:$B$16,0)),"БЛОК: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сюда",IF(A389&gt;Ввод!$B$4,"БЛОК: оплата после последнего дня расчёта — продлите расчёт или уберите строку","ок"))))))))</f>
        <v/>
      </c>
    </row>
    <row r="390" spans="1:5" x14ac:dyDescent="0.3">
      <c r="A390" s="9"/>
      <c r="B390" s="10"/>
      <c r="C390" s="15"/>
      <c r="D390" s="15"/>
      <c r="E390" s="4" t="str">
        <f>IF(AND(A390="",B390="",C390="",D390=""),"",IF(OR(A390="",B390=""),"БЛОК: нужны и дата, и сумма",IF(B390&lt;=0,"БЛОК: сумма должна быть больше нуля",IF(D390="","БЛОК: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вас",IF(COUNTIF(Акты!$B$5:$B$16,D390)=0,"БЛОК: такого акта нет на листе «Акты» — добавьте акт или исправьте идентификатор",IF(NOT(ISNUMBER(INDEX(Акты!$E$5:$E$16,MATCH(D390,Акты!$B$5:$B$16,0)))),"БЛОК: у этого акта на листе «Акты» не указан первый день просрочки",IF(A390&lt;INDEX(Акты!$E$5:$E$16,MATCH(D390,Акты!$B$5:$B$16,0)),"БЛОК: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сюда",IF(A390&gt;Ввод!$B$4,"БЛОК: оплата после последнего дня расчёта — продлите расчёт или уберите строку","ок"))))))))</f>
        <v/>
      </c>
    </row>
    <row r="391" spans="1:5" x14ac:dyDescent="0.3">
      <c r="A391" s="9"/>
      <c r="B391" s="10"/>
      <c r="C391" s="15"/>
      <c r="D391" s="15"/>
      <c r="E391" s="4" t="str">
        <f>IF(AND(A391="",B391="",C391="",D391=""),"",IF(OR(A391="",B391=""),"БЛОК: нужны и дата, и сумма",IF(B391&lt;=0,"БЛОК: сумма должна быть больше нуля",IF(D391="","БЛОК: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вас",IF(COUNTIF(Акты!$B$5:$B$16,D391)=0,"БЛОК: такого акта нет на листе «Акты» — добавьте акт или исправьте идентификатор",IF(NOT(ISNUMBER(INDEX(Акты!$E$5:$E$16,MATCH(D391,Акты!$B$5:$B$16,0)))),"БЛОК: у этого акта на листе «Акты» не указан первый день просрочки",IF(A391&lt;INDEX(Акты!$E$5:$E$16,MATCH(D391,Акты!$B$5:$B$16,0)),"БЛОК: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сюда",IF(A391&gt;Ввод!$B$4,"БЛОК: оплата после последнего дня расчёта — продлите расчёт или уберите строку","ок"))))))))</f>
        <v/>
      </c>
    </row>
    <row r="392" spans="1:5" x14ac:dyDescent="0.3">
      <c r="A392" s="9"/>
      <c r="B392" s="10"/>
      <c r="C392" s="15"/>
      <c r="D392" s="15"/>
      <c r="E392" s="4" t="str">
        <f>IF(AND(A392="",B392="",C392="",D392=""),"",IF(OR(A392="",B392=""),"БЛОК: нужны и дата, и сумма",IF(B392&lt;=0,"БЛОК: сумма должна быть больше нуля",IF(D392="","БЛОК: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вас",IF(COUNTIF(Акты!$B$5:$B$16,D392)=0,"БЛОК: такого акта нет на листе «Акты» — добавьте акт или исправьте идентификатор",IF(NOT(ISNUMBER(INDEX(Акты!$E$5:$E$16,MATCH(D392,Акты!$B$5:$B$16,0)))),"БЛОК: у этого акта на листе «Акты» не указан первый день просрочки",IF(A392&lt;INDEX(Акты!$E$5:$E$16,MATCH(D392,Акты!$B$5:$B$16,0)),"БЛОК: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сюда",IF(A392&gt;Ввод!$B$4,"БЛОК: оплата после последнего дня расчёта — продлите расчёт или уберите строку","ок"))))))))</f>
        <v/>
      </c>
    </row>
    <row r="393" spans="1:5" x14ac:dyDescent="0.3">
      <c r="A393" s="9"/>
      <c r="B393" s="10"/>
      <c r="C393" s="15"/>
      <c r="D393" s="15"/>
      <c r="E393" s="4" t="str">
        <f>IF(AND(A393="",B393="",C393="",D393=""),"",IF(OR(A393="",B393=""),"БЛОК: нужны и дата, и сумма",IF(B393&lt;=0,"БЛОК: сумма должна быть больше нуля",IF(D393="","БЛОК: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вас",IF(COUNTIF(Акты!$B$5:$B$16,D393)=0,"БЛОК: такого акта нет на листе «Акты» — добавьте акт или исправьте идентификатор",IF(NOT(ISNUMBER(INDEX(Акты!$E$5:$E$16,MATCH(D393,Акты!$B$5:$B$16,0)))),"БЛОК: у этого акта на листе «Акты» не указан первый день просрочки",IF(A393&lt;INDEX(Акты!$E$5:$E$16,MATCH(D393,Акты!$B$5:$B$16,0)),"БЛОК: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сюда",IF(A393&gt;Ввод!$B$4,"БЛОК: оплата после последнего дня расчёта — продлите расчёт или уберите строку","ок"))))))))</f>
        <v/>
      </c>
    </row>
    <row r="394" spans="1:5" x14ac:dyDescent="0.3">
      <c r="A394" s="9"/>
      <c r="B394" s="10"/>
      <c r="C394" s="15"/>
      <c r="D394" s="15"/>
      <c r="E394" s="4" t="str">
        <f>IF(AND(A394="",B394="",C394="",D394=""),"",IF(OR(A394="",B394=""),"БЛОК: нужны и дата, и сумма",IF(B394&lt;=0,"БЛОК: сумма должна быть больше нуля",IF(D394="","БЛОК: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вас",IF(COUNTIF(Акты!$B$5:$B$16,D394)=0,"БЛОК: такого акта нет на листе «Акты» — добавьте акт или исправьте идентификатор",IF(NOT(ISNUMBER(INDEX(Акты!$E$5:$E$16,MATCH(D394,Акты!$B$5:$B$16,0)))),"БЛОК: у этого акта на листе «Акты» не указан первый день просрочки",IF(A394&lt;INDEX(Акты!$E$5:$E$16,MATCH(D394,Акты!$B$5:$B$16,0)),"БЛОК: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сюда",IF(A394&gt;Ввод!$B$4,"БЛОК: оплата после последнего дня расчёта — продлите расчёт или уберите строку","ок"))))))))</f>
        <v/>
      </c>
    </row>
    <row r="395" spans="1:5" x14ac:dyDescent="0.3">
      <c r="A395" s="9"/>
      <c r="B395" s="10"/>
      <c r="C395" s="15"/>
      <c r="D395" s="15"/>
      <c r="E395" s="4" t="str">
        <f>IF(AND(A395="",B395="",C395="",D395=""),"",IF(OR(A395="",B395=""),"БЛОК: нужны и дата, и сумма",IF(B395&lt;=0,"БЛОК: сумма должна быть больше нуля",IF(D395="","БЛОК: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вас",IF(COUNTIF(Акты!$B$5:$B$16,D395)=0,"БЛОК: такого акта нет на листе «Акты» — добавьте акт или исправьте идентификатор",IF(NOT(ISNUMBER(INDEX(Акты!$E$5:$E$16,MATCH(D395,Акты!$B$5:$B$16,0)))),"БЛОК: у этого акта на листе «Акты» не указан первый день просрочки",IF(A395&lt;INDEX(Акты!$E$5:$E$16,MATCH(D395,Акты!$B$5:$B$16,0)),"БЛОК: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сюда",IF(A395&gt;Ввод!$B$4,"БЛОК: оплата после последнего дня расчёта — продлите расчёт или уберите строку","ок"))))))))</f>
        <v/>
      </c>
    </row>
    <row r="396" spans="1:5" x14ac:dyDescent="0.3">
      <c r="A396" s="9"/>
      <c r="B396" s="10"/>
      <c r="C396" s="15"/>
      <c r="D396" s="15"/>
      <c r="E396" s="4" t="str">
        <f>IF(AND(A396="",B396="",C396="",D396=""),"",IF(OR(A396="",B396=""),"БЛОК: нужны и дата, и сумма",IF(B396&lt;=0,"БЛОК: сумма должна быть больше нуля",IF(D396="","БЛОК: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вас",IF(COUNTIF(Акты!$B$5:$B$16,D396)=0,"БЛОК: такого акта нет на листе «Акты» — добавьте акт или исправьте идентификатор",IF(NOT(ISNUMBER(INDEX(Акты!$E$5:$E$16,MATCH(D396,Акты!$B$5:$B$16,0)))),"БЛОК: у этого акта на листе «Акты» не указан первый день просрочки",IF(A396&lt;INDEX(Акты!$E$5:$E$16,MATCH(D396,Акты!$B$5:$B$16,0)),"БЛОК: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сюда",IF(A396&gt;Ввод!$B$4,"БЛОК: оплата после последнего дня расчёта — продлите расчёт или уберите строку","ок"))))))))</f>
        <v/>
      </c>
    </row>
    <row r="397" spans="1:5" x14ac:dyDescent="0.3">
      <c r="A397" s="9"/>
      <c r="B397" s="10"/>
      <c r="C397" s="15"/>
      <c r="D397" s="15"/>
      <c r="E397" s="4" t="str">
        <f>IF(AND(A397="",B397="",C397="",D397=""),"",IF(OR(A397="",B397=""),"БЛОК: нужны и дата, и сумма",IF(B397&lt;=0,"БЛОК: сумма должна быть больше нуля",IF(D397="","БЛОК: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вас",IF(COUNTIF(Акты!$B$5:$B$16,D397)=0,"БЛОК: такого акта нет на листе «Акты» — добавьте акт или исправьте идентификатор",IF(NOT(ISNUMBER(INDEX(Акты!$E$5:$E$16,MATCH(D397,Акты!$B$5:$B$16,0)))),"БЛОК: у этого акта на листе «Акты» не указан первый день просрочки",IF(A397&lt;INDEX(Акты!$E$5:$E$16,MATCH(D397,Акты!$B$5:$B$16,0)),"БЛОК: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сюда",IF(A397&gt;Ввод!$B$4,"БЛОК: оплата после последнего дня расчёта — продлите расчёт или уберите строку","ок"))))))))</f>
        <v/>
      </c>
    </row>
    <row r="398" spans="1:5" x14ac:dyDescent="0.3">
      <c r="A398" s="9"/>
      <c r="B398" s="10"/>
      <c r="C398" s="15"/>
      <c r="D398" s="15"/>
      <c r="E398" s="4" t="str">
        <f>IF(AND(A398="",B398="",C398="",D398=""),"",IF(OR(A398="",B398=""),"БЛОК: нужны и дата, и сумма",IF(B398&lt;=0,"БЛОК: сумма должна быть больше нуля",IF(D398="","БЛОК: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вас",IF(COUNTIF(Акты!$B$5:$B$16,D398)=0,"БЛОК: такого акта нет на листе «Акты» — добавьте акт или исправьте идентификатор",IF(NOT(ISNUMBER(INDEX(Акты!$E$5:$E$16,MATCH(D398,Акты!$B$5:$B$16,0)))),"БЛОК: у этого акта на листе «Акты» не указан первый день просрочки",IF(A398&lt;INDEX(Акты!$E$5:$E$16,MATCH(D398,Акты!$B$5:$B$16,0)),"БЛОК: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сюда",IF(A398&gt;Ввод!$B$4,"БЛОК: оплата после последнего дня расчёта — продлите расчёт или уберите строку","ок"))))))))</f>
        <v/>
      </c>
    </row>
    <row r="399" spans="1:5" x14ac:dyDescent="0.3">
      <c r="A399" s="9"/>
      <c r="B399" s="10"/>
      <c r="C399" s="15"/>
      <c r="D399" s="15"/>
      <c r="E399" s="4" t="str">
        <f>IF(AND(A399="",B399="",C399="",D399=""),"",IF(OR(A399="",B399=""),"БЛОК: нужны и дата, и сумма",IF(B399&lt;=0,"БЛОК: сумма должна быть больше нуля",IF(D399="","БЛОК: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вас",IF(COUNTIF(Акты!$B$5:$B$16,D399)=0,"БЛОК: такого акта нет на листе «Акты» — добавьте акт или исправьте идентификатор",IF(NOT(ISNUMBER(INDEX(Акты!$E$5:$E$16,MATCH(D399,Акты!$B$5:$B$16,0)))),"БЛОК: у этого акта на листе «Акты» не указан первый день просрочки",IF(A399&lt;INDEX(Акты!$E$5:$E$16,MATCH(D399,Акты!$B$5:$B$16,0)),"БЛОК: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сюда",IF(A399&gt;Ввод!$B$4,"БЛОК: оплата после последнего дня расчёта — продлите расчёт или уберите строку","ок"))))))))</f>
        <v/>
      </c>
    </row>
    <row r="400" spans="1:5" x14ac:dyDescent="0.3">
      <c r="A400" s="9"/>
      <c r="B400" s="10"/>
      <c r="C400" s="15"/>
      <c r="D400" s="15"/>
      <c r="E400" s="4" t="str">
        <f>IF(AND(A400="",B400="",C400="",D400=""),"",IF(OR(A400="",B400=""),"БЛОК: нужны и дата, и сумма",IF(B400&lt;=0,"БЛОК: сумма должна быть больше нуля",IF(D400="","БЛОК: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вас",IF(COUNTIF(Акты!$B$5:$B$16,D400)=0,"БЛОК: такого акта нет на листе «Акты» — добавьте акт или исправьте идентификатор",IF(NOT(ISNUMBER(INDEX(Акты!$E$5:$E$16,MATCH(D400,Акты!$B$5:$B$16,0)))),"БЛОК: у этого акта на листе «Акты» не указан первый день просрочки",IF(A400&lt;INDEX(Акты!$E$5:$E$16,MATCH(D400,Акты!$B$5:$B$16,0)),"БЛОК: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сюда",IF(A400&gt;Ввод!$B$4,"БЛОК: оплата после последнего дня расчёта — продлите расчёт или уберите строку","ок"))))))))</f>
        <v/>
      </c>
    </row>
    <row r="401" spans="1:5" x14ac:dyDescent="0.3">
      <c r="A401" s="9"/>
      <c r="B401" s="10"/>
      <c r="C401" s="15"/>
      <c r="D401" s="15"/>
      <c r="E401" s="4" t="str">
        <f>IF(AND(A401="",B401="",C401="",D401=""),"",IF(OR(A401="",B401=""),"БЛОК: нужны и дата, и сумма",IF(B401&lt;=0,"БЛОК: сумма должна быть больше нуля",IF(D401="","БЛОК: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вас",IF(COUNTIF(Акты!$B$5:$B$16,D401)=0,"БЛОК: такого акта нет на листе «Акты» — добавьте акт или исправьте идентификатор",IF(NOT(ISNUMBER(INDEX(Акты!$E$5:$E$16,MATCH(D401,Акты!$B$5:$B$16,0)))),"БЛОК: у этого акта на листе «Акты» не указан первый день просрочки",IF(A401&lt;INDEX(Акты!$E$5:$E$16,MATCH(D401,Акты!$B$5:$B$16,0)),"БЛОК: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сюда",IF(A401&gt;Ввод!$B$4,"БЛОК: оплата после последнего дня расчёта — продлите расчёт или уберите строку","ок"))))))))</f>
        <v/>
      </c>
    </row>
    <row r="402" spans="1:5" x14ac:dyDescent="0.3">
      <c r="A402" s="9"/>
      <c r="B402" s="10"/>
      <c r="C402" s="15"/>
      <c r="D402" s="15"/>
      <c r="E402" s="4" t="str">
        <f>IF(AND(A402="",B402="",C402="",D402=""),"",IF(OR(A402="",B402=""),"БЛОК: нужны и дата, и сумма",IF(B402&lt;=0,"БЛОК: сумма должна быть больше нуля",IF(D402="","БЛОК: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вас",IF(COUNTIF(Акты!$B$5:$B$16,D402)=0,"БЛОК: такого акта нет на листе «Акты» — добавьте акт или исправьте идентификатор",IF(NOT(ISNUMBER(INDEX(Акты!$E$5:$E$16,MATCH(D402,Акты!$B$5:$B$16,0)))),"БЛОК: у этого акта на листе «Акты» не указан первый день просрочки",IF(A402&lt;INDEX(Акты!$E$5:$E$16,MATCH(D402,Акты!$B$5:$B$16,0)),"БЛОК: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сюда",IF(A402&gt;Ввод!$B$4,"БЛОК: оплата после последнего дня расчёта — продлите расчёт или уберите строку","ок"))))))))</f>
        <v/>
      </c>
    </row>
    <row r="403" spans="1:5" x14ac:dyDescent="0.3">
      <c r="A403" s="9"/>
      <c r="B403" s="10"/>
      <c r="C403" s="15"/>
      <c r="D403" s="15"/>
      <c r="E403" s="4" t="str">
        <f>IF(AND(A403="",B403="",C403="",D403=""),"",IF(OR(A403="",B403=""),"БЛОК: нужны и дата, и сумма",IF(B403&lt;=0,"БЛОК: сумма должна быть больше нуля",IF(D403="","БЛОК: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вас",IF(COUNTIF(Акты!$B$5:$B$16,D403)=0,"БЛОК: такого акта нет на листе «Акты» — добавьте акт или исправьте идентификатор",IF(NOT(ISNUMBER(INDEX(Акты!$E$5:$E$16,MATCH(D403,Акты!$B$5:$B$16,0)))),"БЛОК: у этого акта на листе «Акты» не указан первый день просрочки",IF(A403&lt;INDEX(Акты!$E$5:$E$16,MATCH(D403,Акты!$B$5:$B$16,0)),"БЛОК: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сюда",IF(A403&gt;Ввод!$B$4,"БЛОК: оплата после последнего дня расчёта — продлите расчёт или уберите строку","ок"))))))))</f>
        <v/>
      </c>
    </row>
    <row r="404" spans="1:5" x14ac:dyDescent="0.3">
      <c r="A404" s="9"/>
      <c r="B404" s="10"/>
      <c r="C404" s="15"/>
      <c r="D404" s="15"/>
      <c r="E404" s="4" t="str">
        <f>IF(AND(A404="",B404="",C404="",D404=""),"",IF(OR(A404="",B404=""),"БЛОК: нужны и дата, и сумма",IF(B404&lt;=0,"БЛОК: сумма должна быть больше нуля",IF(D404="","БЛОК: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вас",IF(COUNTIF(Акты!$B$5:$B$16,D404)=0,"БЛОК: такого акта нет на листе «Акты» — добавьте акт или исправьте идентификатор",IF(NOT(ISNUMBER(INDEX(Акты!$E$5:$E$16,MATCH(D404,Акты!$B$5:$B$16,0)))),"БЛОК: у этого акта на листе «Акты» не указан первый день просрочки",IF(A404&lt;INDEX(Акты!$E$5:$E$16,MATCH(D404,Акты!$B$5:$B$16,0)),"БЛОК: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сюда",IF(A404&gt;Ввод!$B$4,"БЛОК: оплата после последнего дня расчёта — продлите расчёт или уберите строку","ок"))))))))</f>
        <v/>
      </c>
    </row>
    <row r="405" spans="1:5" x14ac:dyDescent="0.3">
      <c r="A405" s="9"/>
      <c r="B405" s="10"/>
      <c r="C405" s="15"/>
      <c r="D405" s="15"/>
      <c r="E405" s="4" t="str">
        <f>IF(AND(A405="",B405="",C405="",D405=""),"",IF(OR(A405="",B405=""),"БЛОК: нужны и дата, и сумма",IF(B405&lt;=0,"БЛОК: сумма должна быть больше нуля",IF(D405="","БЛОК: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вас",IF(COUNTIF(Акты!$B$5:$B$16,D405)=0,"БЛОК: такого акта нет на листе «Акты» — добавьте акт или исправьте идентификатор",IF(NOT(ISNUMBER(INDEX(Акты!$E$5:$E$16,MATCH(D405,Акты!$B$5:$B$16,0)))),"БЛОК: у этого акта на листе «Акты» не указан первый день просрочки",IF(A405&lt;INDEX(Акты!$E$5:$E$16,MATCH(D405,Акты!$B$5:$B$16,0)),"БЛОК: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сюда",IF(A405&gt;Ввод!$B$4,"БЛОК: оплата после последнего дня расчёта — продлите расчёт или уберите строку","ок"))))))))</f>
        <v/>
      </c>
    </row>
    <row r="406" spans="1:5" x14ac:dyDescent="0.3">
      <c r="A406" s="9"/>
      <c r="B406" s="10"/>
      <c r="C406" s="15"/>
      <c r="D406" s="15"/>
      <c r="E406" s="4" t="str">
        <f>IF(AND(A406="",B406="",C406="",D406=""),"",IF(OR(A406="",B406=""),"БЛОК: нужны и дата, и сумма",IF(B406&lt;=0,"БЛОК: сумма должна быть больше нуля",IF(D406="","БЛОК: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вас",IF(COUNTIF(Акты!$B$5:$B$16,D406)=0,"БЛОК: такого акта нет на листе «Акты» — добавьте акт или исправьте идентификатор",IF(NOT(ISNUMBER(INDEX(Акты!$E$5:$E$16,MATCH(D406,Акты!$B$5:$B$16,0)))),"БЛОК: у этого акта на листе «Акты» не указан первый день просрочки",IF(A406&lt;INDEX(Акты!$E$5:$E$16,MATCH(D406,Акты!$B$5:$B$16,0)),"БЛОК: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сюда",IF(A406&gt;Ввод!$B$4,"БЛОК: оплата после последнего дня расчёта — продлите расчёт или уберите строку","ок"))))))))</f>
        <v/>
      </c>
    </row>
    <row r="407" spans="1:5" x14ac:dyDescent="0.3">
      <c r="A407" s="9"/>
      <c r="B407" s="10"/>
      <c r="C407" s="15"/>
      <c r="D407" s="15"/>
      <c r="E407" s="4" t="str">
        <f>IF(AND(A407="",B407="",C407="",D407=""),"",IF(OR(A407="",B407=""),"БЛОК: нужны и дата, и сумма",IF(B407&lt;=0,"БЛОК: сумма должна быть больше нуля",IF(D407="","БЛОК: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вас",IF(COUNTIF(Акты!$B$5:$B$16,D407)=0,"БЛОК: такого акта нет на листе «Акты» — добавьте акт или исправьте идентификатор",IF(NOT(ISNUMBER(INDEX(Акты!$E$5:$E$16,MATCH(D407,Акты!$B$5:$B$16,0)))),"БЛОК: у этого акта на листе «Акты» не указан первый день просрочки",IF(A407&lt;INDEX(Акты!$E$5:$E$16,MATCH(D407,Акты!$B$5:$B$16,0)),"БЛОК: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сюда",IF(A407&gt;Ввод!$B$4,"БЛОК: оплата после последнего дня расчёта — продлите расчёт или уберите строку","ок"))))))))</f>
        <v/>
      </c>
    </row>
    <row r="408" spans="1:5" x14ac:dyDescent="0.3">
      <c r="A408" s="9"/>
      <c r="B408" s="10"/>
      <c r="C408" s="15"/>
      <c r="D408" s="15"/>
      <c r="E408" s="4" t="str">
        <f>IF(AND(A408="",B408="",C408="",D408=""),"",IF(OR(A408="",B408=""),"БЛОК: нужны и дата, и сумма",IF(B408&lt;=0,"БЛОК: сумма должна быть больше нуля",IF(D408="","БЛОК: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вас",IF(COUNTIF(Акты!$B$5:$B$16,D408)=0,"БЛОК: такого акта нет на листе «Акты» — добавьте акт или исправьте идентификатор",IF(NOT(ISNUMBER(INDEX(Акты!$E$5:$E$16,MATCH(D408,Акты!$B$5:$B$16,0)))),"БЛОК: у этого акта на листе «Акты» не указан первый день просрочки",IF(A408&lt;INDEX(Акты!$E$5:$E$16,MATCH(D408,Акты!$B$5:$B$16,0)),"БЛОК: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сюда",IF(A408&gt;Ввод!$B$4,"БЛОК: оплата после последнего дня расчёта — продлите расчёт или уберите строку","ок"))))))))</f>
        <v/>
      </c>
    </row>
    <row r="409" spans="1:5" x14ac:dyDescent="0.3">
      <c r="A409" s="9"/>
      <c r="B409" s="10"/>
      <c r="C409" s="15"/>
      <c r="D409" s="15"/>
      <c r="E409" s="4" t="str">
        <f>IF(AND(A409="",B409="",C409="",D409=""),"",IF(OR(A409="",B409=""),"БЛОК: нужны и дата, и сумма",IF(B409&lt;=0,"БЛОК: сумма должна быть больше нуля",IF(D409="","БЛОК: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вас",IF(COUNTIF(Акты!$B$5:$B$16,D409)=0,"БЛОК: такого акта нет на листе «Акты» — добавьте акт или исправьте идентификатор",IF(NOT(ISNUMBER(INDEX(Акты!$E$5:$E$16,MATCH(D409,Акты!$B$5:$B$16,0)))),"БЛОК: у этого акта на листе «Акты» не указан первый день просрочки",IF(A409&lt;INDEX(Акты!$E$5:$E$16,MATCH(D409,Акты!$B$5:$B$16,0)),"БЛОК: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сюда",IF(A409&gt;Ввод!$B$4,"БЛОК: оплата после последнего дня расчёта — продлите расчёт или уберите строку","ок"))))))))</f>
        <v/>
      </c>
    </row>
    <row r="410" spans="1:5" x14ac:dyDescent="0.3">
      <c r="A410" s="9"/>
      <c r="B410" s="10"/>
      <c r="C410" s="15"/>
      <c r="D410" s="15"/>
      <c r="E410" s="4" t="str">
        <f>IF(AND(A410="",B410="",C410="",D410=""),"",IF(OR(A410="",B410=""),"БЛОК: нужны и дата, и сумма",IF(B410&lt;=0,"БЛОК: сумма должна быть больше нуля",IF(D410="","БЛОК: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вас",IF(COUNTIF(Акты!$B$5:$B$16,D410)=0,"БЛОК: такого акта нет на листе «Акты» — добавьте акт или исправьте идентификатор",IF(NOT(ISNUMBER(INDEX(Акты!$E$5:$E$16,MATCH(D410,Акты!$B$5:$B$16,0)))),"БЛОК: у этого акта на листе «Акты» не указан первый день просрочки",IF(A410&lt;INDEX(Акты!$E$5:$E$16,MATCH(D410,Акты!$B$5:$B$16,0)),"БЛОК: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сюда",IF(A410&gt;Ввод!$B$4,"БЛОК: оплата после последнего дня расчёта — продлите расчёт или уберите строку","ок"))))))))</f>
        <v/>
      </c>
    </row>
    <row r="411" spans="1:5" x14ac:dyDescent="0.3">
      <c r="A411" s="9"/>
      <c r="B411" s="10"/>
      <c r="C411" s="15"/>
      <c r="D411" s="15"/>
      <c r="E411" s="4" t="str">
        <f>IF(AND(A411="",B411="",C411="",D411=""),"",IF(OR(A411="",B411=""),"БЛОК: нужны и дата, и сумма",IF(B411&lt;=0,"БЛОК: сумма должна быть больше нуля",IF(D411="","БЛОК: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вас",IF(COUNTIF(Акты!$B$5:$B$16,D411)=0,"БЛОК: такого акта нет на листе «Акты» — добавьте акт или исправьте идентификатор",IF(NOT(ISNUMBER(INDEX(Акты!$E$5:$E$16,MATCH(D411,Акты!$B$5:$B$16,0)))),"БЛОК: у этого акта на листе «Акты» не указан первый день просрочки",IF(A411&lt;INDEX(Акты!$E$5:$E$16,MATCH(D411,Акты!$B$5:$B$16,0)),"БЛОК: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сюда",IF(A411&gt;Ввод!$B$4,"БЛОК: оплата после последнего дня расчёта — продлите расчёт или уберите строку","ок"))))))))</f>
        <v/>
      </c>
    </row>
    <row r="412" spans="1:5" x14ac:dyDescent="0.3">
      <c r="A412" s="9"/>
      <c r="B412" s="10"/>
      <c r="C412" s="15"/>
      <c r="D412" s="15"/>
      <c r="E412" s="4" t="str">
        <f>IF(AND(A412="",B412="",C412="",D412=""),"",IF(OR(A412="",B412=""),"БЛОК: нужны и дата, и сумма",IF(B412&lt;=0,"БЛОК: сумма должна быть больше нуля",IF(D412="","БЛОК: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вас",IF(COUNTIF(Акты!$B$5:$B$16,D412)=0,"БЛОК: такого акта нет на листе «Акты» — добавьте акт или исправьте идентификатор",IF(NOT(ISNUMBER(INDEX(Акты!$E$5:$E$16,MATCH(D412,Акты!$B$5:$B$16,0)))),"БЛОК: у этого акта на листе «Акты» не указан первый день просрочки",IF(A412&lt;INDEX(Акты!$E$5:$E$16,MATCH(D412,Акты!$B$5:$B$16,0)),"БЛОК: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сюда",IF(A412&gt;Ввод!$B$4,"БЛОК: оплата после последнего дня расчёта — продлите расчёт или уберите строку","ок"))))))))</f>
        <v/>
      </c>
    </row>
    <row r="413" spans="1:5" x14ac:dyDescent="0.3">
      <c r="A413" s="9"/>
      <c r="B413" s="10"/>
      <c r="C413" s="15"/>
      <c r="D413" s="15"/>
      <c r="E413" s="4" t="str">
        <f>IF(AND(A413="",B413="",C413="",D413=""),"",IF(OR(A413="",B413=""),"БЛОК: нужны и дата, и сумма",IF(B413&lt;=0,"БЛОК: сумма должна быть больше нуля",IF(D413="","БЛОК: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вас",IF(COUNTIF(Акты!$B$5:$B$16,D413)=0,"БЛОК: такого акта нет на листе «Акты» — добавьте акт или исправьте идентификатор",IF(NOT(ISNUMBER(INDEX(Акты!$E$5:$E$16,MATCH(D413,Акты!$B$5:$B$16,0)))),"БЛОК: у этого акта на листе «Акты» не указан первый день просрочки",IF(A413&lt;INDEX(Акты!$E$5:$E$16,MATCH(D413,Акты!$B$5:$B$16,0)),"БЛОК: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сюда",IF(A413&gt;Ввод!$B$4,"БЛОК: оплата после последнего дня расчёта — продлите расчёт или уберите строку","ок"))))))))</f>
        <v/>
      </c>
    </row>
    <row r="414" spans="1:5" x14ac:dyDescent="0.3">
      <c r="A414" s="9"/>
      <c r="B414" s="10"/>
      <c r="C414" s="15"/>
      <c r="D414" s="15"/>
      <c r="E414" s="4" t="str">
        <f>IF(AND(A414="",B414="",C414="",D414=""),"",IF(OR(A414="",B414=""),"БЛОК: нужны и дата, и сумма",IF(B414&lt;=0,"БЛОК: сумма должна быть больше нуля",IF(D414="","БЛОК: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вас",IF(COUNTIF(Акты!$B$5:$B$16,D414)=0,"БЛОК: такого акта нет на листе «Акты» — добавьте акт или исправьте идентификатор",IF(NOT(ISNUMBER(INDEX(Акты!$E$5:$E$16,MATCH(D414,Акты!$B$5:$B$16,0)))),"БЛОК: у этого акта на листе «Акты» не указан первый день просрочки",IF(A414&lt;INDEX(Акты!$E$5:$E$16,MATCH(D414,Акты!$B$5:$B$16,0)),"БЛОК: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сюда",IF(A414&gt;Ввод!$B$4,"БЛОК: оплата после последнего дня расчёта — продлите расчёт или уберите строку","ок"))))))))</f>
        <v/>
      </c>
    </row>
    <row r="415" spans="1:5" x14ac:dyDescent="0.3">
      <c r="A415" s="9"/>
      <c r="B415" s="10"/>
      <c r="C415" s="15"/>
      <c r="D415" s="15"/>
      <c r="E415" s="4" t="str">
        <f>IF(AND(A415="",B415="",C415="",D415=""),"",IF(OR(A415="",B415=""),"БЛОК: нужны и дата, и сумма",IF(B415&lt;=0,"БЛОК: сумма должна быть больше нуля",IF(D415="","БЛОК: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вас",IF(COUNTIF(Акты!$B$5:$B$16,D415)=0,"БЛОК: такого акта нет на листе «Акты» — добавьте акт или исправьте идентификатор",IF(NOT(ISNUMBER(INDEX(Акты!$E$5:$E$16,MATCH(D415,Акты!$B$5:$B$16,0)))),"БЛОК: у этого акта на листе «Акты» не указан первый день просрочки",IF(A415&lt;INDEX(Акты!$E$5:$E$16,MATCH(D415,Акты!$B$5:$B$16,0)),"БЛОК: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сюда",IF(A415&gt;Ввод!$B$4,"БЛОК: оплата после последнего дня расчёта — продлите расчёт или уберите строку","ок"))))))))</f>
        <v/>
      </c>
    </row>
    <row r="416" spans="1:5" x14ac:dyDescent="0.3">
      <c r="A416" s="9"/>
      <c r="B416" s="10"/>
      <c r="C416" s="15"/>
      <c r="D416" s="15"/>
      <c r="E416" s="4" t="str">
        <f>IF(AND(A416="",B416="",C416="",D416=""),"",IF(OR(A416="",B416=""),"БЛОК: нужны и дата, и сумма",IF(B416&lt;=0,"БЛОК: сумма должна быть больше нуля",IF(D416="","БЛОК: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вас",IF(COUNTIF(Акты!$B$5:$B$16,D416)=0,"БЛОК: такого акта нет на листе «Акты» — добавьте акт или исправьте идентификатор",IF(NOT(ISNUMBER(INDEX(Акты!$E$5:$E$16,MATCH(D416,Акты!$B$5:$B$16,0)))),"БЛОК: у этого акта на листе «Акты» не указан первый день просрочки",IF(A416&lt;INDEX(Акты!$E$5:$E$16,MATCH(D416,Акты!$B$5:$B$16,0)),"БЛОК: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сюда",IF(A416&gt;Ввод!$B$4,"БЛОК: оплата после последнего дня расчёта — продлите расчёт или уберите строку","ок"))))))))</f>
        <v/>
      </c>
    </row>
    <row r="417" spans="1:5" x14ac:dyDescent="0.3">
      <c r="A417" s="9"/>
      <c r="B417" s="10"/>
      <c r="C417" s="15"/>
      <c r="D417" s="15"/>
      <c r="E417" s="4" t="str">
        <f>IF(AND(A417="",B417="",C417="",D417=""),"",IF(OR(A417="",B417=""),"БЛОК: нужны и дата, и сумма",IF(B417&lt;=0,"БЛОК: сумма должна быть больше нуля",IF(D417="","БЛОК: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вас",IF(COUNTIF(Акты!$B$5:$B$16,D417)=0,"БЛОК: такого акта нет на листе «Акты» — добавьте акт или исправьте идентификатор",IF(NOT(ISNUMBER(INDEX(Акты!$E$5:$E$16,MATCH(D417,Акты!$B$5:$B$16,0)))),"БЛОК: у этого акта на листе «Акты» не указан первый день просрочки",IF(A417&lt;INDEX(Акты!$E$5:$E$16,MATCH(D417,Акты!$B$5:$B$16,0)),"БЛОК: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сюда",IF(A417&gt;Ввод!$B$4,"БЛОК: оплата после последнего дня расчёта — продлите расчёт или уберите строку","ок"))))))))</f>
        <v/>
      </c>
    </row>
    <row r="418" spans="1:5" x14ac:dyDescent="0.3">
      <c r="A418" s="9"/>
      <c r="B418" s="10"/>
      <c r="C418" s="15"/>
      <c r="D418" s="15"/>
      <c r="E418" s="4" t="str">
        <f>IF(AND(A418="",B418="",C418="",D418=""),"",IF(OR(A418="",B418=""),"БЛОК: нужны и дата, и сумма",IF(B418&lt;=0,"БЛОК: сумма должна быть больше нуля",IF(D418="","БЛОК: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вас",IF(COUNTIF(Акты!$B$5:$B$16,D418)=0,"БЛОК: такого акта нет на листе «Акты» — добавьте акт или исправьте идентификатор",IF(NOT(ISNUMBER(INDEX(Акты!$E$5:$E$16,MATCH(D418,Акты!$B$5:$B$16,0)))),"БЛОК: у этого акта на листе «Акты» не указан первый день просрочки",IF(A418&lt;INDEX(Акты!$E$5:$E$16,MATCH(D418,Акты!$B$5:$B$16,0)),"БЛОК: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сюда",IF(A418&gt;Ввод!$B$4,"БЛОК: оплата после последнего дня расчёта — продлите расчёт или уберите строку","ок"))))))))</f>
        <v/>
      </c>
    </row>
    <row r="419" spans="1:5" x14ac:dyDescent="0.3">
      <c r="A419" s="9"/>
      <c r="B419" s="10"/>
      <c r="C419" s="15"/>
      <c r="D419" s="15"/>
      <c r="E419" s="4" t="str">
        <f>IF(AND(A419="",B419="",C419="",D419=""),"",IF(OR(A419="",B419=""),"БЛОК: нужны и дата, и сумма",IF(B419&lt;=0,"БЛОК: сумма должна быть больше нуля",IF(D419="","БЛОК: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вас",IF(COUNTIF(Акты!$B$5:$B$16,D419)=0,"БЛОК: такого акта нет на листе «Акты» — добавьте акт или исправьте идентификатор",IF(NOT(ISNUMBER(INDEX(Акты!$E$5:$E$16,MATCH(D419,Акты!$B$5:$B$16,0)))),"БЛОК: у этого акта на листе «Акты» не указан первый день просрочки",IF(A419&lt;INDEX(Акты!$E$5:$E$16,MATCH(D419,Акты!$B$5:$B$16,0)),"БЛОК: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сюда",IF(A419&gt;Ввод!$B$4,"БЛОК: оплата после последнего дня расчёта — продлите расчёт или уберите строку","ок"))))))))</f>
        <v/>
      </c>
    </row>
    <row r="420" spans="1:5" x14ac:dyDescent="0.3">
      <c r="A420" s="9"/>
      <c r="B420" s="10"/>
      <c r="C420" s="15"/>
      <c r="D420" s="15"/>
      <c r="E420" s="4" t="str">
        <f>IF(AND(A420="",B420="",C420="",D420=""),"",IF(OR(A420="",B420=""),"БЛОК: нужны и дата, и сумма",IF(B420&lt;=0,"БЛОК: сумма должна быть больше нуля",IF(D420="","БЛОК: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вас",IF(COUNTIF(Акты!$B$5:$B$16,D420)=0,"БЛОК: такого акта нет на листе «Акты» — добавьте акт или исправьте идентификатор",IF(NOT(ISNUMBER(INDEX(Акты!$E$5:$E$16,MATCH(D420,Акты!$B$5:$B$16,0)))),"БЛОК: у этого акта на листе «Акты» не указан первый день просрочки",IF(A420&lt;INDEX(Акты!$E$5:$E$16,MATCH(D420,Акты!$B$5:$B$16,0)),"БЛОК: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сюда",IF(A420&gt;Ввод!$B$4,"БЛОК: оплата после последнего дня расчёта — продлите расчёт или уберите строку","ок"))))))))</f>
        <v/>
      </c>
    </row>
    <row r="421" spans="1:5" x14ac:dyDescent="0.3">
      <c r="A421" s="9"/>
      <c r="B421" s="10"/>
      <c r="C421" s="15"/>
      <c r="D421" s="15"/>
      <c r="E421" s="4" t="str">
        <f>IF(AND(A421="",B421="",C421="",D421=""),"",IF(OR(A421="",B421=""),"БЛОК: нужны и дата, и сумма",IF(B421&lt;=0,"БЛОК: сумма должна быть больше нуля",IF(D421="","БЛОК: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вас",IF(COUNTIF(Акты!$B$5:$B$16,D421)=0,"БЛОК: такого акта нет на листе «Акты» — добавьте акт или исправьте идентификатор",IF(NOT(ISNUMBER(INDEX(Акты!$E$5:$E$16,MATCH(D421,Акты!$B$5:$B$16,0)))),"БЛОК: у этого акта на листе «Акты» не указан первый день просрочки",IF(A421&lt;INDEX(Акты!$E$5:$E$16,MATCH(D421,Акты!$B$5:$B$16,0)),"БЛОК: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сюда",IF(A421&gt;Ввод!$B$4,"БЛОК: оплата после последнего дня расчёта — продлите расчёт или уберите строку","ок"))))))))</f>
        <v/>
      </c>
    </row>
    <row r="422" spans="1:5" x14ac:dyDescent="0.3">
      <c r="A422" s="9"/>
      <c r="B422" s="10"/>
      <c r="C422" s="15"/>
      <c r="D422" s="15"/>
      <c r="E422" s="4" t="str">
        <f>IF(AND(A422="",B422="",C422="",D422=""),"",IF(OR(A422="",B422=""),"БЛОК: нужны и дата, и сумма",IF(B422&lt;=0,"БЛОК: сумма должна быть больше нуля",IF(D422="","БЛОК: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вас",IF(COUNTIF(Акты!$B$5:$B$16,D422)=0,"БЛОК: такого акта нет на листе «Акты» — добавьте акт или исправьте идентификатор",IF(NOT(ISNUMBER(INDEX(Акты!$E$5:$E$16,MATCH(D422,Акты!$B$5:$B$16,0)))),"БЛОК: у этого акта на листе «Акты» не указан первый день просрочки",IF(A422&lt;INDEX(Акты!$E$5:$E$16,MATCH(D422,Акты!$B$5:$B$16,0)),"БЛОК: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сюда",IF(A422&gt;Ввод!$B$4,"БЛОК: оплата после последнего дня расчёта — продлите расчёт или уберите строку","ок"))))))))</f>
        <v/>
      </c>
    </row>
    <row r="423" spans="1:5" x14ac:dyDescent="0.3">
      <c r="A423" s="9"/>
      <c r="B423" s="10"/>
      <c r="C423" s="15"/>
      <c r="D423" s="15"/>
      <c r="E423" s="4" t="str">
        <f>IF(AND(A423="",B423="",C423="",D423=""),"",IF(OR(A423="",B423=""),"БЛОК: нужны и дата, и сумма",IF(B423&lt;=0,"БЛОК: сумма должна быть больше нуля",IF(D423="","БЛОК: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вас",IF(COUNTIF(Акты!$B$5:$B$16,D423)=0,"БЛОК: такого акта нет на листе «Акты» — добавьте акт или исправьте идентификатор",IF(NOT(ISNUMBER(INDEX(Акты!$E$5:$E$16,MATCH(D423,Акты!$B$5:$B$16,0)))),"БЛОК: у этого акта на листе «Акты» не указан первый день просрочки",IF(A423&lt;INDEX(Акты!$E$5:$E$16,MATCH(D423,Акты!$B$5:$B$16,0)),"БЛОК: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сюда",IF(A423&gt;Ввод!$B$4,"БЛОК: оплата после последнего дня расчёта — продлите расчёт или уберите строку","ок"))))))))</f>
        <v/>
      </c>
    </row>
    <row r="424" spans="1:5" x14ac:dyDescent="0.3">
      <c r="A424" s="9"/>
      <c r="B424" s="10"/>
      <c r="C424" s="15"/>
      <c r="D424" s="15"/>
      <c r="E424" s="4" t="str">
        <f>IF(AND(A424="",B424="",C424="",D424=""),"",IF(OR(A424="",B424=""),"БЛОК: нужны и дата, и сумма",IF(B424&lt;=0,"БЛОК: сумма должна быть больше нуля",IF(D424="","БЛОК: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вас",IF(COUNTIF(Акты!$B$5:$B$16,D424)=0,"БЛОК: такого акта нет на листе «Акты» — добавьте акт или исправьте идентификатор",IF(NOT(ISNUMBER(INDEX(Акты!$E$5:$E$16,MATCH(D424,Акты!$B$5:$B$16,0)))),"БЛОК: у этого акта на листе «Акты» не указан первый день просрочки",IF(A424&lt;INDEX(Акты!$E$5:$E$16,MATCH(D424,Акты!$B$5:$B$16,0)),"БЛОК: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сюда",IF(A424&gt;Ввод!$B$4,"БЛОК: оплата после последнего дня расчёта — продлите расчёт или уберите строку","ок"))))))))</f>
        <v/>
      </c>
    </row>
    <row r="425" spans="1:5" x14ac:dyDescent="0.3">
      <c r="A425" s="9"/>
      <c r="B425" s="10"/>
      <c r="C425" s="15"/>
      <c r="D425" s="15"/>
      <c r="E425" s="4" t="str">
        <f>IF(AND(A425="",B425="",C425="",D425=""),"",IF(OR(A425="",B425=""),"БЛОК: нужны и дата, и сумма",IF(B425&lt;=0,"БЛОК: сумма должна быть больше нуля",IF(D425="","БЛОК: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вас",IF(COUNTIF(Акты!$B$5:$B$16,D425)=0,"БЛОК: такого акта нет на листе «Акты» — добавьте акт или исправьте идентификатор",IF(NOT(ISNUMBER(INDEX(Акты!$E$5:$E$16,MATCH(D425,Акты!$B$5:$B$16,0)))),"БЛОК: у этого акта на листе «Акты» не указан первый день просрочки",IF(A425&lt;INDEX(Акты!$E$5:$E$16,MATCH(D425,Акты!$B$5:$B$16,0)),"БЛОК: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сюда",IF(A425&gt;Ввод!$B$4,"БЛОК: оплата после последнего дня расчёта — продлите расчёт или уберите строку","ок"))))))))</f>
        <v/>
      </c>
    </row>
    <row r="426" spans="1:5" x14ac:dyDescent="0.3">
      <c r="A426" s="9"/>
      <c r="B426" s="10"/>
      <c r="C426" s="15"/>
      <c r="D426" s="15"/>
      <c r="E426" s="4" t="str">
        <f>IF(AND(A426="",B426="",C426="",D426=""),"",IF(OR(A426="",B426=""),"БЛОК: нужны и дата, и сумма",IF(B426&lt;=0,"БЛОК: сумма должна быть больше нуля",IF(D426="","БЛОК: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вас",IF(COUNTIF(Акты!$B$5:$B$16,D426)=0,"БЛОК: такого акта нет на листе «Акты» — добавьте акт или исправьте идентификатор",IF(NOT(ISNUMBER(INDEX(Акты!$E$5:$E$16,MATCH(D426,Акты!$B$5:$B$16,0)))),"БЛОК: у этого акта на листе «Акты» не указан первый день просрочки",IF(A426&lt;INDEX(Акты!$E$5:$E$16,MATCH(D426,Акты!$B$5:$B$16,0)),"БЛОК: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сюда",IF(A426&gt;Ввод!$B$4,"БЛОК: оплата после последнего дня расчёта — продлите расчёт или уберите строку","ок"))))))))</f>
        <v/>
      </c>
    </row>
    <row r="427" spans="1:5" x14ac:dyDescent="0.3">
      <c r="A427" s="9"/>
      <c r="B427" s="10"/>
      <c r="C427" s="15"/>
      <c r="D427" s="15"/>
      <c r="E427" s="4" t="str">
        <f>IF(AND(A427="",B427="",C427="",D427=""),"",IF(OR(A427="",B427=""),"БЛОК: нужны и дата, и сумма",IF(B427&lt;=0,"БЛОК: сумма должна быть больше нуля",IF(D427="","БЛОК: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вас",IF(COUNTIF(Акты!$B$5:$B$16,D427)=0,"БЛОК: такого акта нет на листе «Акты» — добавьте акт или исправьте идентификатор",IF(NOT(ISNUMBER(INDEX(Акты!$E$5:$E$16,MATCH(D427,Акты!$B$5:$B$16,0)))),"БЛОК: у этого акта на листе «Акты» не указан первый день просрочки",IF(A427&lt;INDEX(Акты!$E$5:$E$16,MATCH(D427,Акты!$B$5:$B$16,0)),"БЛОК: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сюда",IF(A427&gt;Ввод!$B$4,"БЛОК: оплата после последнего дня расчёта — продлите расчёт или уберите строку","ок"))))))))</f>
        <v/>
      </c>
    </row>
    <row r="428" spans="1:5" x14ac:dyDescent="0.3">
      <c r="A428" s="9"/>
      <c r="B428" s="10"/>
      <c r="C428" s="15"/>
      <c r="D428" s="15"/>
      <c r="E428" s="4" t="str">
        <f>IF(AND(A428="",B428="",C428="",D428=""),"",IF(OR(A428="",B428=""),"БЛОК: нужны и дата, и сумма",IF(B428&lt;=0,"БЛОК: сумма должна быть больше нуля",IF(D428="","БЛОК: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вас",IF(COUNTIF(Акты!$B$5:$B$16,D428)=0,"БЛОК: такого акта нет на листе «Акты» — добавьте акт или исправьте идентификатор",IF(NOT(ISNUMBER(INDEX(Акты!$E$5:$E$16,MATCH(D428,Акты!$B$5:$B$16,0)))),"БЛОК: у этого акта на листе «Акты» не указан первый день просрочки",IF(A428&lt;INDEX(Акты!$E$5:$E$16,MATCH(D428,Акты!$B$5:$B$16,0)),"БЛОК: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сюда",IF(A428&gt;Ввод!$B$4,"БЛОК: оплата после последнего дня расчёта — продлите расчёт или уберите строку","ок"))))))))</f>
        <v/>
      </c>
    </row>
    <row r="429" spans="1:5" x14ac:dyDescent="0.3">
      <c r="A429" s="9"/>
      <c r="B429" s="10"/>
      <c r="C429" s="15"/>
      <c r="D429" s="15"/>
      <c r="E429" s="4" t="str">
        <f>IF(AND(A429="",B429="",C429="",D429=""),"",IF(OR(A429="",B429=""),"БЛОК: нужны и дата, и сумма",IF(B429&lt;=0,"БЛОК: сумма должна быть больше нуля",IF(D429="","БЛОК: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вас",IF(COUNTIF(Акты!$B$5:$B$16,D429)=0,"БЛОК: такого акта нет на листе «Акты» — добавьте акт или исправьте идентификатор",IF(NOT(ISNUMBER(INDEX(Акты!$E$5:$E$16,MATCH(D429,Акты!$B$5:$B$16,0)))),"БЛОК: у этого акта на листе «Акты» не указан первый день просрочки",IF(A429&lt;INDEX(Акты!$E$5:$E$16,MATCH(D429,Акты!$B$5:$B$16,0)),"БЛОК: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сюда",IF(A429&gt;Ввод!$B$4,"БЛОК: оплата после последнего дня расчёта — продлите расчёт или уберите строку","ок"))))))))</f>
        <v/>
      </c>
    </row>
    <row r="430" spans="1:5" x14ac:dyDescent="0.3">
      <c r="A430" s="9"/>
      <c r="B430" s="10"/>
      <c r="C430" s="15"/>
      <c r="D430" s="15"/>
      <c r="E430" s="4" t="str">
        <f>IF(AND(A430="",B430="",C430="",D430=""),"",IF(OR(A430="",B430=""),"БЛОК: нужны и дата, и сумма",IF(B430&lt;=0,"БЛОК: сумма должна быть больше нуля",IF(D430="","БЛОК: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вас",IF(COUNTIF(Акты!$B$5:$B$16,D430)=0,"БЛОК: такого акта нет на листе «Акты» — добавьте акт или исправьте идентификатор",IF(NOT(ISNUMBER(INDEX(Акты!$E$5:$E$16,MATCH(D430,Акты!$B$5:$B$16,0)))),"БЛОК: у этого акта на листе «Акты» не указан первый день просрочки",IF(A430&lt;INDEX(Акты!$E$5:$E$16,MATCH(D430,Акты!$B$5:$B$16,0)),"БЛОК: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сюда",IF(A430&gt;Ввод!$B$4,"БЛОК: оплата после последнего дня расчёта — продлите расчёт или уберите строку","ок"))))))))</f>
        <v/>
      </c>
    </row>
    <row r="431" spans="1:5" x14ac:dyDescent="0.3">
      <c r="A431" s="9"/>
      <c r="B431" s="10"/>
      <c r="C431" s="15"/>
      <c r="D431" s="15"/>
      <c r="E431" s="4" t="str">
        <f>IF(AND(A431="",B431="",C431="",D431=""),"",IF(OR(A431="",B431=""),"БЛОК: нужны и дата, и сумма",IF(B431&lt;=0,"БЛОК: сумма должна быть больше нуля",IF(D431="","БЛОК: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вас",IF(COUNTIF(Акты!$B$5:$B$16,D431)=0,"БЛОК: такого акта нет на листе «Акты» — добавьте акт или исправьте идентификатор",IF(NOT(ISNUMBER(INDEX(Акты!$E$5:$E$16,MATCH(D431,Акты!$B$5:$B$16,0)))),"БЛОК: у этого акта на листе «Акты» не указан первый день просрочки",IF(A431&lt;INDEX(Акты!$E$5:$E$16,MATCH(D431,Акты!$B$5:$B$16,0)),"БЛОК: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сюда",IF(A431&gt;Ввод!$B$4,"БЛОК: оплата после последнего дня расчёта — продлите расчёт или уберите строку","ок"))))))))</f>
        <v/>
      </c>
    </row>
    <row r="432" spans="1:5" x14ac:dyDescent="0.3">
      <c r="A432" s="9"/>
      <c r="B432" s="10"/>
      <c r="C432" s="15"/>
      <c r="D432" s="15"/>
      <c r="E432" s="4" t="str">
        <f>IF(AND(A432="",B432="",C432="",D432=""),"",IF(OR(A432="",B432=""),"БЛОК: нужны и дата, и сумма",IF(B432&lt;=0,"БЛОК: сумма должна быть больше нуля",IF(D432="","БЛОК: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вас",IF(COUNTIF(Акты!$B$5:$B$16,D432)=0,"БЛОК: такого акта нет на листе «Акты» — добавьте акт или исправьте идентификатор",IF(NOT(ISNUMBER(INDEX(Акты!$E$5:$E$16,MATCH(D432,Акты!$B$5:$B$16,0)))),"БЛОК: у этого акта на листе «Акты» не указан первый день просрочки",IF(A432&lt;INDEX(Акты!$E$5:$E$16,MATCH(D432,Акты!$B$5:$B$16,0)),"БЛОК: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сюда",IF(A432&gt;Ввод!$B$4,"БЛОК: оплата после последнего дня расчёта — продлите расчёт или уберите строку","ок"))))))))</f>
        <v/>
      </c>
    </row>
    <row r="433" spans="1:5" x14ac:dyDescent="0.3">
      <c r="A433" s="9"/>
      <c r="B433" s="10"/>
      <c r="C433" s="15"/>
      <c r="D433" s="15"/>
      <c r="E433" s="4" t="str">
        <f>IF(AND(A433="",B433="",C433="",D433=""),"",IF(OR(A433="",B433=""),"БЛОК: нужны и дата, и сумма",IF(B433&lt;=0,"БЛОК: сумма должна быть больше нуля",IF(D433="","БЛОК: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вас",IF(COUNTIF(Акты!$B$5:$B$16,D433)=0,"БЛОК: такого акта нет на листе «Акты» — добавьте акт или исправьте идентификатор",IF(NOT(ISNUMBER(INDEX(Акты!$E$5:$E$16,MATCH(D433,Акты!$B$5:$B$16,0)))),"БЛОК: у этого акта на листе «Акты» не указан первый день просрочки",IF(A433&lt;INDEX(Акты!$E$5:$E$16,MATCH(D433,Акты!$B$5:$B$16,0)),"БЛОК: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сюда",IF(A433&gt;Ввод!$B$4,"БЛОК: оплата после последнего дня расчёта — продлите расчёт или уберите строку","ок"))))))))</f>
        <v/>
      </c>
    </row>
    <row r="434" spans="1:5" x14ac:dyDescent="0.3">
      <c r="A434" s="9"/>
      <c r="B434" s="10"/>
      <c r="C434" s="15"/>
      <c r="D434" s="15"/>
      <c r="E434" s="4" t="str">
        <f>IF(AND(A434="",B434="",C434="",D434=""),"",IF(OR(A434="",B434=""),"БЛОК: нужны и дата, и сумма",IF(B434&lt;=0,"БЛОК: сумма должна быть больше нуля",IF(D434="","БЛОК: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вас",IF(COUNTIF(Акты!$B$5:$B$16,D434)=0,"БЛОК: такого акта нет на листе «Акты» — добавьте акт или исправьте идентификатор",IF(NOT(ISNUMBER(INDEX(Акты!$E$5:$E$16,MATCH(D434,Акты!$B$5:$B$16,0)))),"БЛОК: у этого акта на листе «Акты» не указан первый день просрочки",IF(A434&lt;INDEX(Акты!$E$5:$E$16,MATCH(D434,Акты!$B$5:$B$16,0)),"БЛОК: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сюда",IF(A434&gt;Ввод!$B$4,"БЛОК: оплата после последнего дня расчёта — продлите расчёт или уберите строку","ок"))))))))</f>
        <v/>
      </c>
    </row>
    <row r="435" spans="1:5" x14ac:dyDescent="0.3">
      <c r="A435" s="9"/>
      <c r="B435" s="10"/>
      <c r="C435" s="15"/>
      <c r="D435" s="15"/>
      <c r="E435" s="4" t="str">
        <f>IF(AND(A435="",B435="",C435="",D435=""),"",IF(OR(A435="",B435=""),"БЛОК: нужны и дата, и сумма",IF(B435&lt;=0,"БЛОК: сумма должна быть больше нуля",IF(D435="","БЛОК: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вас",IF(COUNTIF(Акты!$B$5:$B$16,D435)=0,"БЛОК: такого акта нет на листе «Акты» — добавьте акт или исправьте идентификатор",IF(NOT(ISNUMBER(INDEX(Акты!$E$5:$E$16,MATCH(D435,Акты!$B$5:$B$16,0)))),"БЛОК: у этого акта на листе «Акты» не указан первый день просрочки",IF(A435&lt;INDEX(Акты!$E$5:$E$16,MATCH(D435,Акты!$B$5:$B$16,0)),"БЛОК: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сюда",IF(A435&gt;Ввод!$B$4,"БЛОК: оплата после последнего дня расчёта — продлите расчёт или уберите строку","ок"))))))))</f>
        <v/>
      </c>
    </row>
    <row r="436" spans="1:5" x14ac:dyDescent="0.3">
      <c r="A436" s="9"/>
      <c r="B436" s="10"/>
      <c r="C436" s="15"/>
      <c r="D436" s="15"/>
      <c r="E436" s="4" t="str">
        <f>IF(AND(A436="",B436="",C436="",D436=""),"",IF(OR(A436="",B436=""),"БЛОК: нужны и дата, и сумма",IF(B436&lt;=0,"БЛОК: сумма должна быть больше нуля",IF(D436="","БЛОК: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вас",IF(COUNTIF(Акты!$B$5:$B$16,D436)=0,"БЛОК: такого акта нет на листе «Акты» — добавьте акт или исправьте идентификатор",IF(NOT(ISNUMBER(INDEX(Акты!$E$5:$E$16,MATCH(D436,Акты!$B$5:$B$16,0)))),"БЛОК: у этого акта на листе «Акты» не указан первый день просрочки",IF(A436&lt;INDEX(Акты!$E$5:$E$16,MATCH(D436,Акты!$B$5:$B$16,0)),"БЛОК: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сюда",IF(A436&gt;Ввод!$B$4,"БЛОК: оплата после последнего дня расчёта — продлите расчёт или уберите строку","ок"))))))))</f>
        <v/>
      </c>
    </row>
    <row r="437" spans="1:5" x14ac:dyDescent="0.3">
      <c r="A437" s="9"/>
      <c r="B437" s="10"/>
      <c r="C437" s="15"/>
      <c r="D437" s="15"/>
      <c r="E437" s="4" t="str">
        <f>IF(AND(A437="",B437="",C437="",D437=""),"",IF(OR(A437="",B437=""),"БЛОК: нужны и дата, и сумма",IF(B437&lt;=0,"БЛОК: сумма должна быть больше нуля",IF(D437="","БЛОК: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вас",IF(COUNTIF(Акты!$B$5:$B$16,D437)=0,"БЛОК: такого акта нет на листе «Акты» — добавьте акт или исправьте идентификатор",IF(NOT(ISNUMBER(INDEX(Акты!$E$5:$E$16,MATCH(D437,Акты!$B$5:$B$16,0)))),"БЛОК: у этого акта на листе «Акты» не указан первый день просрочки",IF(A437&lt;INDEX(Акты!$E$5:$E$16,MATCH(D437,Акты!$B$5:$B$16,0)),"БЛОК: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сюда",IF(A437&gt;Ввод!$B$4,"БЛОК: оплата после последнего дня расчёта — продлите расчёт или уберите строку","ок"))))))))</f>
        <v/>
      </c>
    </row>
    <row r="438" spans="1:5" x14ac:dyDescent="0.3">
      <c r="A438" s="9"/>
      <c r="B438" s="10"/>
      <c r="C438" s="15"/>
      <c r="D438" s="15"/>
      <c r="E438" s="4" t="str">
        <f>IF(AND(A438="",B438="",C438="",D438=""),"",IF(OR(A438="",B438=""),"БЛОК: нужны и дата, и сумма",IF(B438&lt;=0,"БЛОК: сумма должна быть больше нуля",IF(D438="","БЛОК: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вас",IF(COUNTIF(Акты!$B$5:$B$16,D438)=0,"БЛОК: такого акта нет на листе «Акты» — добавьте акт или исправьте идентификатор",IF(NOT(ISNUMBER(INDEX(Акты!$E$5:$E$16,MATCH(D438,Акты!$B$5:$B$16,0)))),"БЛОК: у этого акта на листе «Акты» не указан первый день просрочки",IF(A438&lt;INDEX(Акты!$E$5:$E$16,MATCH(D438,Акты!$B$5:$B$16,0)),"БЛОК: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сюда",IF(A438&gt;Ввод!$B$4,"БЛОК: оплата после последнего дня расчёта — продлите расчёт или уберите строку","ок"))))))))</f>
        <v/>
      </c>
    </row>
    <row r="439" spans="1:5" x14ac:dyDescent="0.3">
      <c r="A439" s="9"/>
      <c r="B439" s="10"/>
      <c r="C439" s="15"/>
      <c r="D439" s="15"/>
      <c r="E439" s="4" t="str">
        <f>IF(AND(A439="",B439="",C439="",D439=""),"",IF(OR(A439="",B439=""),"БЛОК: нужны и дата, и сумма",IF(B439&lt;=0,"БЛОК: сумма должна быть больше нуля",IF(D439="","БЛОК: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вас",IF(COUNTIF(Акты!$B$5:$B$16,D439)=0,"БЛОК: такого акта нет на листе «Акты» — добавьте акт или исправьте идентификатор",IF(NOT(ISNUMBER(INDEX(Акты!$E$5:$E$16,MATCH(D439,Акты!$B$5:$B$16,0)))),"БЛОК: у этого акта на листе «Акты» не указан первый день просрочки",IF(A439&lt;INDEX(Акты!$E$5:$E$16,MATCH(D439,Акты!$B$5:$B$16,0)),"БЛОК: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сюда",IF(A439&gt;Ввод!$B$4,"БЛОК: оплата после последнего дня расчёта — продлите расчёт или уберите строку","ок"))))))))</f>
        <v/>
      </c>
    </row>
    <row r="440" spans="1:5" x14ac:dyDescent="0.3">
      <c r="A440" s="9"/>
      <c r="B440" s="10"/>
      <c r="C440" s="15"/>
      <c r="D440" s="15"/>
      <c r="E440" s="4" t="str">
        <f>IF(AND(A440="",B440="",C440="",D440=""),"",IF(OR(A440="",B440=""),"БЛОК: нужны и дата, и сумма",IF(B440&lt;=0,"БЛОК: сумма должна быть больше нуля",IF(D440="","БЛОК: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вас",IF(COUNTIF(Акты!$B$5:$B$16,D440)=0,"БЛОК: такого акта нет на листе «Акты» — добавьте акт или исправьте идентификатор",IF(NOT(ISNUMBER(INDEX(Акты!$E$5:$E$16,MATCH(D440,Акты!$B$5:$B$16,0)))),"БЛОК: у этого акта на листе «Акты» не указан первый день просрочки",IF(A440&lt;INDEX(Акты!$E$5:$E$16,MATCH(D440,Акты!$B$5:$B$16,0)),"БЛОК: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сюда",IF(A440&gt;Ввод!$B$4,"БЛОК: оплата после последнего дня расчёта — продлите расчёт или уберите строку","ок"))))))))</f>
        <v/>
      </c>
    </row>
    <row r="441" spans="1:5" x14ac:dyDescent="0.3">
      <c r="A441" s="9"/>
      <c r="B441" s="10"/>
      <c r="C441" s="15"/>
      <c r="D441" s="15"/>
      <c r="E441" s="4" t="str">
        <f>IF(AND(A441="",B441="",C441="",D441=""),"",IF(OR(A441="",B441=""),"БЛОК: нужны и дата, и сумма",IF(B441&lt;=0,"БЛОК: сумма должна быть больше нуля",IF(D441="","БЛОК: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вас",IF(COUNTIF(Акты!$B$5:$B$16,D441)=0,"БЛОК: такого акта нет на листе «Акты» — добавьте акт или исправьте идентификатор",IF(NOT(ISNUMBER(INDEX(Акты!$E$5:$E$16,MATCH(D441,Акты!$B$5:$B$16,0)))),"БЛОК: у этого акта на листе «Акты» не указан первый день просрочки",IF(A441&lt;INDEX(Акты!$E$5:$E$16,MATCH(D441,Акты!$B$5:$B$16,0)),"БЛОК: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сюда",IF(A441&gt;Ввод!$B$4,"БЛОК: оплата после последнего дня расчёта — продлите расчёт или уберите строку","ок"))))))))</f>
        <v/>
      </c>
    </row>
    <row r="442" spans="1:5" x14ac:dyDescent="0.3">
      <c r="A442" s="9"/>
      <c r="B442" s="10"/>
      <c r="C442" s="15"/>
      <c r="D442" s="15"/>
      <c r="E442" s="4" t="str">
        <f>IF(AND(A442="",B442="",C442="",D442=""),"",IF(OR(A442="",B442=""),"БЛОК: нужны и дата, и сумма",IF(B442&lt;=0,"БЛОК: сумма должна быть больше нуля",IF(D442="","БЛОК: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вас",IF(COUNTIF(Акты!$B$5:$B$16,D442)=0,"БЛОК: такого акта нет на листе «Акты» — добавьте акт или исправьте идентификатор",IF(NOT(ISNUMBER(INDEX(Акты!$E$5:$E$16,MATCH(D442,Акты!$B$5:$B$16,0)))),"БЛОК: у этого акта на листе «Акты» не указан первый день просрочки",IF(A442&lt;INDEX(Акты!$E$5:$E$16,MATCH(D442,Акты!$B$5:$B$16,0)),"БЛОК: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сюда",IF(A442&gt;Ввод!$B$4,"БЛОК: оплата после последнего дня расчёта — продлите расчёт или уберите строку","ок"))))))))</f>
        <v/>
      </c>
    </row>
    <row r="443" spans="1:5" x14ac:dyDescent="0.3">
      <c r="A443" s="9"/>
      <c r="B443" s="10"/>
      <c r="C443" s="15"/>
      <c r="D443" s="15"/>
      <c r="E443" s="4" t="str">
        <f>IF(AND(A443="",B443="",C443="",D443=""),"",IF(OR(A443="",B443=""),"БЛОК: нужны и дата, и сумма",IF(B443&lt;=0,"БЛОК: сумма должна быть больше нуля",IF(D443="","БЛОК: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вас",IF(COUNTIF(Акты!$B$5:$B$16,D443)=0,"БЛОК: такого акта нет на листе «Акты» — добавьте акт или исправьте идентификатор",IF(NOT(ISNUMBER(INDEX(Акты!$E$5:$E$16,MATCH(D443,Акты!$B$5:$B$16,0)))),"БЛОК: у этого акта на листе «Акты» не указан первый день просрочки",IF(A443&lt;INDEX(Акты!$E$5:$E$16,MATCH(D443,Акты!$B$5:$B$16,0)),"БЛОК: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сюда",IF(A443&gt;Ввод!$B$4,"БЛОК: оплата после последнего дня расчёта — продлите расчёт или уберите строку","ок"))))))))</f>
        <v/>
      </c>
    </row>
    <row r="444" spans="1:5" x14ac:dyDescent="0.3">
      <c r="A444" s="9"/>
      <c r="B444" s="10"/>
      <c r="C444" s="15"/>
      <c r="D444" s="15"/>
      <c r="E444" s="4" t="str">
        <f>IF(AND(A444="",B444="",C444="",D444=""),"",IF(OR(A444="",B444=""),"БЛОК: нужны и дата, и сумма",IF(B444&lt;=0,"БЛОК: сумма должна быть больше нуля",IF(D444="","БЛОК: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вас",IF(COUNTIF(Акты!$B$5:$B$16,D444)=0,"БЛОК: такого акта нет на листе «Акты» — добавьте акт или исправьте идентификатор",IF(NOT(ISNUMBER(INDEX(Акты!$E$5:$E$16,MATCH(D444,Акты!$B$5:$B$16,0)))),"БЛОК: у этого акта на листе «Акты» не указан первый день просрочки",IF(A444&lt;INDEX(Акты!$E$5:$E$16,MATCH(D444,Акты!$B$5:$B$16,0)),"БЛОК: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сюда",IF(A444&gt;Ввод!$B$4,"БЛОК: оплата после последнего дня расчёта — продлите расчёт или уберите строку","ок"))))))))</f>
        <v/>
      </c>
    </row>
    <row r="445" spans="1:5" x14ac:dyDescent="0.3">
      <c r="A445" s="9"/>
      <c r="B445" s="10"/>
      <c r="C445" s="15"/>
      <c r="D445" s="15"/>
      <c r="E445" s="4" t="str">
        <f>IF(AND(A445="",B445="",C445="",D445=""),"",IF(OR(A445="",B445=""),"БЛОК: нужны и дата, и сумма",IF(B445&lt;=0,"БЛОК: сумма должна быть больше нуля",IF(D445="","БЛОК: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вас",IF(COUNTIF(Акты!$B$5:$B$16,D445)=0,"БЛОК: такого акта нет на листе «Акты» — добавьте акт или исправьте идентификатор",IF(NOT(ISNUMBER(INDEX(Акты!$E$5:$E$16,MATCH(D445,Акты!$B$5:$B$16,0)))),"БЛОК: у этого акта на листе «Акты» не указан первый день просрочки",IF(A445&lt;INDEX(Акты!$E$5:$E$16,MATCH(D445,Акты!$B$5:$B$16,0)),"БЛОК: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сюда",IF(A445&gt;Ввод!$B$4,"БЛОК: оплата после последнего дня расчёта — продлите расчёт или уберите строку","ок"))))))))</f>
        <v/>
      </c>
    </row>
    <row r="446" spans="1:5" x14ac:dyDescent="0.3">
      <c r="A446" s="9"/>
      <c r="B446" s="10"/>
      <c r="C446" s="15"/>
      <c r="D446" s="15"/>
      <c r="E446" s="4" t="str">
        <f>IF(AND(A446="",B446="",C446="",D446=""),"",IF(OR(A446="",B446=""),"БЛОК: нужны и дата, и сумма",IF(B446&lt;=0,"БЛОК: сумма должна быть больше нуля",IF(D446="","БЛОК: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вас",IF(COUNTIF(Акты!$B$5:$B$16,D446)=0,"БЛОК: такого акта нет на листе «Акты» — добавьте акт или исправьте идентификатор",IF(NOT(ISNUMBER(INDEX(Акты!$E$5:$E$16,MATCH(D446,Акты!$B$5:$B$16,0)))),"БЛОК: у этого акта на листе «Акты» не указан первый день просрочки",IF(A446&lt;INDEX(Акты!$E$5:$E$16,MATCH(D446,Акты!$B$5:$B$16,0)),"БЛОК: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сюда",IF(A446&gt;Ввод!$B$4,"БЛОК: оплата после последнего дня расчёта — продлите расчёт или уберите строку","ок"))))))))</f>
        <v/>
      </c>
    </row>
    <row r="447" spans="1:5" x14ac:dyDescent="0.3">
      <c r="A447" s="9"/>
      <c r="B447" s="10"/>
      <c r="C447" s="15"/>
      <c r="D447" s="15"/>
      <c r="E447" s="4" t="str">
        <f>IF(AND(A447="",B447="",C447="",D447=""),"",IF(OR(A447="",B447=""),"БЛОК: нужны и дата, и сумма",IF(B447&lt;=0,"БЛОК: сумма должна быть больше нуля",IF(D447="","БЛОК: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вас",IF(COUNTIF(Акты!$B$5:$B$16,D447)=0,"БЛОК: такого акта нет на листе «Акты» — добавьте акт или исправьте идентификатор",IF(NOT(ISNUMBER(INDEX(Акты!$E$5:$E$16,MATCH(D447,Акты!$B$5:$B$16,0)))),"БЛОК: у этого акта на листе «Акты» не указан первый день просрочки",IF(A447&lt;INDEX(Акты!$E$5:$E$16,MATCH(D447,Акты!$B$5:$B$16,0)),"БЛОК: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сюда",IF(A447&gt;Ввод!$B$4,"БЛОК: оплата после последнего дня расчёта — продлите расчёт или уберите строку","ок"))))))))</f>
        <v/>
      </c>
    </row>
    <row r="448" spans="1:5" x14ac:dyDescent="0.3">
      <c r="A448" s="9"/>
      <c r="B448" s="10"/>
      <c r="C448" s="15"/>
      <c r="D448" s="15"/>
      <c r="E448" s="4" t="str">
        <f>IF(AND(A448="",B448="",C448="",D448=""),"",IF(OR(A448="",B448=""),"БЛОК: нужны и дата, и сумма",IF(B448&lt;=0,"БЛОК: сумма должна быть больше нуля",IF(D448="","БЛОК: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вас",IF(COUNTIF(Акты!$B$5:$B$16,D448)=0,"БЛОК: такого акта нет на листе «Акты» — добавьте акт или исправьте идентификатор",IF(NOT(ISNUMBER(INDEX(Акты!$E$5:$E$16,MATCH(D448,Акты!$B$5:$B$16,0)))),"БЛОК: у этого акта на листе «Акты» не указан первый день просрочки",IF(A448&lt;INDEX(Акты!$E$5:$E$16,MATCH(D448,Акты!$B$5:$B$16,0)),"БЛОК: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сюда",IF(A448&gt;Ввод!$B$4,"БЛОК: оплата после последнего дня расчёта — продлите расчёт или уберите строку","ок"))))))))</f>
        <v/>
      </c>
    </row>
    <row r="449" spans="1:5" x14ac:dyDescent="0.3">
      <c r="A449" s="9"/>
      <c r="B449" s="10"/>
      <c r="C449" s="15"/>
      <c r="D449" s="15"/>
      <c r="E449" s="4" t="str">
        <f>IF(AND(A449="",B449="",C449="",D449=""),"",IF(OR(A449="",B449=""),"БЛОК: нужны и дата, и сумма",IF(B449&lt;=0,"БЛОК: сумма должна быть больше нуля",IF(D449="","БЛОК: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вас",IF(COUNTIF(Акты!$B$5:$B$16,D449)=0,"БЛОК: такого акта нет на листе «Акты» — добавьте акт или исправьте идентификатор",IF(NOT(ISNUMBER(INDEX(Акты!$E$5:$E$16,MATCH(D449,Акты!$B$5:$B$16,0)))),"БЛОК: у этого акта на листе «Акты» не указан первый день просрочки",IF(A449&lt;INDEX(Акты!$E$5:$E$16,MATCH(D449,Акты!$B$5:$B$16,0)),"БЛОК: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сюда",IF(A449&gt;Ввод!$B$4,"БЛОК: оплата после последнего дня расчёта — продлите расчёт или уберите строку","ок"))))))))</f>
        <v/>
      </c>
    </row>
    <row r="450" spans="1:5" x14ac:dyDescent="0.3">
      <c r="A450" s="9"/>
      <c r="B450" s="10"/>
      <c r="C450" s="15"/>
      <c r="D450" s="15"/>
      <c r="E450" s="4" t="str">
        <f>IF(AND(A450="",B450="",C450="",D450=""),"",IF(OR(A450="",B450=""),"БЛОК: нужны и дата, и сумма",IF(B450&lt;=0,"БЛОК: сумма должна быть больше нуля",IF(D450="","БЛОК: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вас",IF(COUNTIF(Акты!$B$5:$B$16,D450)=0,"БЛОК: такого акта нет на листе «Акты» — добавьте акт или исправьте идентификатор",IF(NOT(ISNUMBER(INDEX(Акты!$E$5:$E$16,MATCH(D450,Акты!$B$5:$B$16,0)))),"БЛОК: у этого акта на листе «Акты» не указан первый день просрочки",IF(A450&lt;INDEX(Акты!$E$5:$E$16,MATCH(D450,Акты!$B$5:$B$16,0)),"БЛОК: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сюда",IF(A450&gt;Ввод!$B$4,"БЛОК: оплата после последнего дня расчёта — продлите расчёт или уберите строку","ок"))))))))</f>
        <v/>
      </c>
    </row>
    <row r="451" spans="1:5" x14ac:dyDescent="0.3">
      <c r="A451" s="9"/>
      <c r="B451" s="10"/>
      <c r="C451" s="15"/>
      <c r="D451" s="15"/>
      <c r="E451" s="4" t="str">
        <f>IF(AND(A451="",B451="",C451="",D451=""),"",IF(OR(A451="",B451=""),"БЛОК: нужны и дата, и сумма",IF(B451&lt;=0,"БЛОК: сумма должна быть больше нуля",IF(D451="","БЛОК: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вас",IF(COUNTIF(Акты!$B$5:$B$16,D451)=0,"БЛОК: такого акта нет на листе «Акты» — добавьте акт или исправьте идентификатор",IF(NOT(ISNUMBER(INDEX(Акты!$E$5:$E$16,MATCH(D451,Акты!$B$5:$B$16,0)))),"БЛОК: у этого акта на листе «Акты» не указан первый день просрочки",IF(A451&lt;INDEX(Акты!$E$5:$E$16,MATCH(D451,Акты!$B$5:$B$16,0)),"БЛОК: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сюда",IF(A451&gt;Ввод!$B$4,"БЛОК: оплата после последнего дня расчёта — продлите расчёт или уберите строку","ок"))))))))</f>
        <v/>
      </c>
    </row>
    <row r="452" spans="1:5" x14ac:dyDescent="0.3">
      <c r="A452" s="9"/>
      <c r="B452" s="10"/>
      <c r="C452" s="15"/>
      <c r="D452" s="15"/>
      <c r="E452" s="4" t="str">
        <f>IF(AND(A452="",B452="",C452="",D452=""),"",IF(OR(A452="",B452=""),"БЛОК: нужны и дата, и сумма",IF(B452&lt;=0,"БЛОК: сумма должна быть больше нуля",IF(D452="","БЛОК: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вас",IF(COUNTIF(Акты!$B$5:$B$16,D452)=0,"БЛОК: такого акта нет на листе «Акты» — добавьте акт или исправьте идентификатор",IF(NOT(ISNUMBER(INDEX(Акты!$E$5:$E$16,MATCH(D452,Акты!$B$5:$B$16,0)))),"БЛОК: у этого акта на листе «Акты» не указан первый день просрочки",IF(A452&lt;INDEX(Акты!$E$5:$E$16,MATCH(D452,Акты!$B$5:$B$16,0)),"БЛОК: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сюда",IF(A452&gt;Ввод!$B$4,"БЛОК: оплата после последнего дня расчёта — продлите расчёт или уберите строку","ок"))))))))</f>
        <v/>
      </c>
    </row>
    <row r="453" spans="1:5" x14ac:dyDescent="0.3">
      <c r="A453" s="9"/>
      <c r="B453" s="10"/>
      <c r="C453" s="15"/>
      <c r="D453" s="15"/>
      <c r="E453" s="4" t="str">
        <f>IF(AND(A453="",B453="",C453="",D453=""),"",IF(OR(A453="",B453=""),"БЛОК: нужны и дата, и сумма",IF(B453&lt;=0,"БЛОК: сумма должна быть больше нуля",IF(D453="","БЛОК: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вас",IF(COUNTIF(Акты!$B$5:$B$16,D453)=0,"БЛОК: такого акта нет на листе «Акты» — добавьте акт или исправьте идентификатор",IF(NOT(ISNUMBER(INDEX(Акты!$E$5:$E$16,MATCH(D453,Акты!$B$5:$B$16,0)))),"БЛОК: у этого акта на листе «Акты» не указан первый день просрочки",IF(A453&lt;INDEX(Акты!$E$5:$E$16,MATCH(D453,Акты!$B$5:$B$16,0)),"БЛОК: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сюда",IF(A453&gt;Ввод!$B$4,"БЛОК: оплата после последнего дня расчёта — продлите расчёт или уберите строку","ок"))))))))</f>
        <v/>
      </c>
    </row>
    <row r="454" spans="1:5" x14ac:dyDescent="0.3">
      <c r="A454" s="9"/>
      <c r="B454" s="10"/>
      <c r="C454" s="15"/>
      <c r="D454" s="15"/>
      <c r="E454" s="4" t="str">
        <f>IF(AND(A454="",B454="",C454="",D454=""),"",IF(OR(A454="",B454=""),"БЛОК: нужны и дата, и сумма",IF(B454&lt;=0,"БЛОК: сумма должна быть больше нуля",IF(D454="","БЛОК: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вас",IF(COUNTIF(Акты!$B$5:$B$16,D454)=0,"БЛОК: такого акта нет на листе «Акты» — добавьте акт или исправьте идентификатор",IF(NOT(ISNUMBER(INDEX(Акты!$E$5:$E$16,MATCH(D454,Акты!$B$5:$B$16,0)))),"БЛОК: у этого акта на листе «Акты» не указан первый день просрочки",IF(A454&lt;INDEX(Акты!$E$5:$E$16,MATCH(D454,Акты!$B$5:$B$16,0)),"БЛОК: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сюда",IF(A454&gt;Ввод!$B$4,"БЛОК: оплата после последнего дня расчёта — продлите расчёт или уберите строку","ок"))))))))</f>
        <v/>
      </c>
    </row>
    <row r="455" spans="1:5" x14ac:dyDescent="0.3">
      <c r="A455" s="9"/>
      <c r="B455" s="10"/>
      <c r="C455" s="15"/>
      <c r="D455" s="15"/>
      <c r="E455" s="4" t="str">
        <f>IF(AND(A455="",B455="",C455="",D455=""),"",IF(OR(A455="",B455=""),"БЛОК: нужны и дата, и сумма",IF(B455&lt;=0,"БЛОК: сумма должна быть больше нуля",IF(D455="","БЛОК: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вас",IF(COUNTIF(Акты!$B$5:$B$16,D455)=0,"БЛОК: такого акта нет на листе «Акты» — добавьте акт или исправьте идентификатор",IF(NOT(ISNUMBER(INDEX(Акты!$E$5:$E$16,MATCH(D455,Акты!$B$5:$B$16,0)))),"БЛОК: у этого акта на листе «Акты» не указан первый день просрочки",IF(A455&lt;INDEX(Акты!$E$5:$E$16,MATCH(D455,Акты!$B$5:$B$16,0)),"БЛОК: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сюда",IF(A455&gt;Ввод!$B$4,"БЛОК: оплата после последнего дня расчёта — продлите расчёт или уберите строку","ок"))))))))</f>
        <v/>
      </c>
    </row>
    <row r="456" spans="1:5" x14ac:dyDescent="0.3">
      <c r="A456" s="9"/>
      <c r="B456" s="10"/>
      <c r="C456" s="15"/>
      <c r="D456" s="15"/>
      <c r="E456" s="4" t="str">
        <f>IF(AND(A456="",B456="",C456="",D456=""),"",IF(OR(A456="",B456=""),"БЛОК: нужны и дата, и сумма",IF(B456&lt;=0,"БЛОК: сумма должна быть больше нуля",IF(D456="","БЛОК: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вас",IF(COUNTIF(Акты!$B$5:$B$16,D456)=0,"БЛОК: такого акта нет на листе «Акты» — добавьте акт или исправьте идентификатор",IF(NOT(ISNUMBER(INDEX(Акты!$E$5:$E$16,MATCH(D456,Акты!$B$5:$B$16,0)))),"БЛОК: у этого акта на листе «Акты» не указан первый день просрочки",IF(A456&lt;INDEX(Акты!$E$5:$E$16,MATCH(D456,Акты!$B$5:$B$16,0)),"БЛОК: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сюда",IF(A456&gt;Ввод!$B$4,"БЛОК: оплата после последнего дня расчёта — продлите расчёт или уберите строку","ок"))))))))</f>
        <v/>
      </c>
    </row>
    <row r="457" spans="1:5" x14ac:dyDescent="0.3">
      <c r="A457" s="9"/>
      <c r="B457" s="10"/>
      <c r="C457" s="15"/>
      <c r="D457" s="15"/>
      <c r="E457" s="4" t="str">
        <f>IF(AND(A457="",B457="",C457="",D457=""),"",IF(OR(A457="",B457=""),"БЛОК: нужны и дата, и сумма",IF(B457&lt;=0,"БЛОК: сумма должна быть больше нуля",IF(D457="","БЛОК: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вас",IF(COUNTIF(Акты!$B$5:$B$16,D457)=0,"БЛОК: такого акта нет на листе «Акты» — добавьте акт или исправьте идентификатор",IF(NOT(ISNUMBER(INDEX(Акты!$E$5:$E$16,MATCH(D457,Акты!$B$5:$B$16,0)))),"БЛОК: у этого акта на листе «Акты» не указан первый день просрочки",IF(A457&lt;INDEX(Акты!$E$5:$E$16,MATCH(D457,Акты!$B$5:$B$16,0)),"БЛОК: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сюда",IF(A457&gt;Ввод!$B$4,"БЛОК: оплата после последнего дня расчёта — продлите расчёт или уберите строку","ок"))))))))</f>
        <v/>
      </c>
    </row>
    <row r="458" spans="1:5" x14ac:dyDescent="0.3">
      <c r="A458" s="9"/>
      <c r="B458" s="10"/>
      <c r="C458" s="15"/>
      <c r="D458" s="15"/>
      <c r="E458" s="4" t="str">
        <f>IF(AND(A458="",B458="",C458="",D458=""),"",IF(OR(A458="",B458=""),"БЛОК: нужны и дата, и сумма",IF(B458&lt;=0,"БЛОК: сумма должна быть больше нуля",IF(D458="","БЛОК: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вас",IF(COUNTIF(Акты!$B$5:$B$16,D458)=0,"БЛОК: такого акта нет на листе «Акты» — добавьте акт или исправьте идентификатор",IF(NOT(ISNUMBER(INDEX(Акты!$E$5:$E$16,MATCH(D458,Акты!$B$5:$B$16,0)))),"БЛОК: у этого акта на листе «Акты» не указан первый день просрочки",IF(A458&lt;INDEX(Акты!$E$5:$E$16,MATCH(D458,Акты!$B$5:$B$16,0)),"БЛОК: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сюда",IF(A458&gt;Ввод!$B$4,"БЛОК: оплата после последнего дня расчёта — продлите расчёт или уберите строку","ок"))))))))</f>
        <v/>
      </c>
    </row>
    <row r="459" spans="1:5" x14ac:dyDescent="0.3">
      <c r="A459" s="9"/>
      <c r="B459" s="10"/>
      <c r="C459" s="15"/>
      <c r="D459" s="15"/>
      <c r="E459" s="4" t="str">
        <f>IF(AND(A459="",B459="",C459="",D459=""),"",IF(OR(A459="",B459=""),"БЛОК: нужны и дата, и сумма",IF(B459&lt;=0,"БЛОК: сумма должна быть больше нуля",IF(D459="","БЛОК: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вас",IF(COUNTIF(Акты!$B$5:$B$16,D459)=0,"БЛОК: такого акта нет на листе «Акты» — добавьте акт или исправьте идентификатор",IF(NOT(ISNUMBER(INDEX(Акты!$E$5:$E$16,MATCH(D459,Акты!$B$5:$B$16,0)))),"БЛОК: у этого акта на листе «Акты» не указан первый день просрочки",IF(A459&lt;INDEX(Акты!$E$5:$E$16,MATCH(D459,Акты!$B$5:$B$16,0)),"БЛОК: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сюда",IF(A459&gt;Ввод!$B$4,"БЛОК: оплата после последнего дня расчёта — продлите расчёт или уберите строку","ок"))))))))</f>
        <v/>
      </c>
    </row>
    <row r="460" spans="1:5" x14ac:dyDescent="0.3">
      <c r="A460" s="9"/>
      <c r="B460" s="10"/>
      <c r="C460" s="15"/>
      <c r="D460" s="15"/>
      <c r="E460" s="4" t="str">
        <f>IF(AND(A460="",B460="",C460="",D460=""),"",IF(OR(A460="",B460=""),"БЛОК: нужны и дата, и сумма",IF(B460&lt;=0,"БЛОК: сумма должна быть больше нуля",IF(D460="","БЛОК: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вас",IF(COUNTIF(Акты!$B$5:$B$16,D460)=0,"БЛОК: такого акта нет на листе «Акты» — добавьте акт или исправьте идентификатор",IF(NOT(ISNUMBER(INDEX(Акты!$E$5:$E$16,MATCH(D460,Акты!$B$5:$B$16,0)))),"БЛОК: у этого акта на листе «Акты» не указан первый день просрочки",IF(A460&lt;INDEX(Акты!$E$5:$E$16,MATCH(D460,Акты!$B$5:$B$16,0)),"БЛОК: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сюда",IF(A460&gt;Ввод!$B$4,"БЛОК: оплата после последнего дня расчёта — продлите расчёт или уберите строку","ок"))))))))</f>
        <v/>
      </c>
    </row>
    <row r="461" spans="1:5" x14ac:dyDescent="0.3">
      <c r="A461" s="9"/>
      <c r="B461" s="10"/>
      <c r="C461" s="15"/>
      <c r="D461" s="15"/>
      <c r="E461" s="4" t="str">
        <f>IF(AND(A461="",B461="",C461="",D461=""),"",IF(OR(A461="",B461=""),"БЛОК: нужны и дата, и сумма",IF(B461&lt;=0,"БЛОК: сумма должна быть больше нуля",IF(D461="","БЛОК: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вас",IF(COUNTIF(Акты!$B$5:$B$16,D461)=0,"БЛОК: такого акта нет на листе «Акты» — добавьте акт или исправьте идентификатор",IF(NOT(ISNUMBER(INDEX(Акты!$E$5:$E$16,MATCH(D461,Акты!$B$5:$B$16,0)))),"БЛОК: у этого акта на листе «Акты» не указан первый день просрочки",IF(A461&lt;INDEX(Акты!$E$5:$E$16,MATCH(D461,Акты!$B$5:$B$16,0)),"БЛОК: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сюда",IF(A461&gt;Ввод!$B$4,"БЛОК: оплата после последнего дня расчёта — продлите расчёт или уберите строку","ок"))))))))</f>
        <v/>
      </c>
    </row>
    <row r="462" spans="1:5" x14ac:dyDescent="0.3">
      <c r="A462" s="9"/>
      <c r="B462" s="10"/>
      <c r="C462" s="15"/>
      <c r="D462" s="15"/>
      <c r="E462" s="4" t="str">
        <f>IF(AND(A462="",B462="",C462="",D462=""),"",IF(OR(A462="",B462=""),"БЛОК: нужны и дата, и сумма",IF(B462&lt;=0,"БЛОК: сумма должна быть больше нуля",IF(D462="","БЛОК: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вас",IF(COUNTIF(Акты!$B$5:$B$16,D462)=0,"БЛОК: такого акта нет на листе «Акты» — добавьте акт или исправьте идентификатор",IF(NOT(ISNUMBER(INDEX(Акты!$E$5:$E$16,MATCH(D462,Акты!$B$5:$B$16,0)))),"БЛОК: у этого акта на листе «Акты» не указан первый день просрочки",IF(A462&lt;INDEX(Акты!$E$5:$E$16,MATCH(D462,Акты!$B$5:$B$16,0)),"БЛОК: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сюда",IF(A462&gt;Ввод!$B$4,"БЛОК: оплата после последнего дня расчёта — продлите расчёт или уберите строку","ок"))))))))</f>
        <v/>
      </c>
    </row>
    <row r="463" spans="1:5" x14ac:dyDescent="0.3">
      <c r="A463" s="9"/>
      <c r="B463" s="10"/>
      <c r="C463" s="15"/>
      <c r="D463" s="15"/>
      <c r="E463" s="4" t="str">
        <f>IF(AND(A463="",B463="",C463="",D463=""),"",IF(OR(A463="",B463=""),"БЛОК: нужны и дата, и сумма",IF(B463&lt;=0,"БЛОК: сумма должна быть больше нуля",IF(D463="","БЛОК: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вас",IF(COUNTIF(Акты!$B$5:$B$16,D463)=0,"БЛОК: такого акта нет на листе «Акты» — добавьте акт или исправьте идентификатор",IF(NOT(ISNUMBER(INDEX(Акты!$E$5:$E$16,MATCH(D463,Акты!$B$5:$B$16,0)))),"БЛОК: у этого акта на листе «Акты» не указан первый день просрочки",IF(A463&lt;INDEX(Акты!$E$5:$E$16,MATCH(D463,Акты!$B$5:$B$16,0)),"БЛОК: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сюда",IF(A463&gt;Ввод!$B$4,"БЛОК: оплата после последнего дня расчёта — продлите расчёт или уберите строку","ок"))))))))</f>
        <v/>
      </c>
    </row>
    <row r="464" spans="1:5" x14ac:dyDescent="0.3">
      <c r="A464" s="9"/>
      <c r="B464" s="10"/>
      <c r="C464" s="15"/>
      <c r="D464" s="15"/>
      <c r="E464" s="4" t="str">
        <f>IF(AND(A464="",B464="",C464="",D464=""),"",IF(OR(A464="",B464=""),"БЛОК: нужны и дата, и сумма",IF(B464&lt;=0,"БЛОК: сумма должна быть больше нуля",IF(D464="","БЛОК: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вас",IF(COUNTIF(Акты!$B$5:$B$16,D464)=0,"БЛОК: такого акта нет на листе «Акты» — добавьте акт или исправьте идентификатор",IF(NOT(ISNUMBER(INDEX(Акты!$E$5:$E$16,MATCH(D464,Акты!$B$5:$B$16,0)))),"БЛОК: у этого акта на листе «Акты» не указан первый день просрочки",IF(A464&lt;INDEX(Акты!$E$5:$E$16,MATCH(D464,Акты!$B$5:$B$16,0)),"БЛОК: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сюда",IF(A464&gt;Ввод!$B$4,"БЛОК: оплата после последнего дня расчёта — продлите расчёт или уберите строку","ок"))))))))</f>
        <v/>
      </c>
    </row>
    <row r="465" spans="1:5" x14ac:dyDescent="0.3">
      <c r="A465" s="9"/>
      <c r="B465" s="10"/>
      <c r="C465" s="15"/>
      <c r="D465" s="15"/>
      <c r="E465" s="4" t="str">
        <f>IF(AND(A465="",B465="",C465="",D465=""),"",IF(OR(A465="",B465=""),"БЛОК: нужны и дата, и сумма",IF(B465&lt;=0,"БЛОК: сумма должна быть больше нуля",IF(D465="","БЛОК: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вас",IF(COUNTIF(Акты!$B$5:$B$16,D465)=0,"БЛОК: такого акта нет на листе «Акты» — добавьте акт или исправьте идентификатор",IF(NOT(ISNUMBER(INDEX(Акты!$E$5:$E$16,MATCH(D465,Акты!$B$5:$B$16,0)))),"БЛОК: у этого акта на листе «Акты» не указан первый день просрочки",IF(A465&lt;INDEX(Акты!$E$5:$E$16,MATCH(D465,Акты!$B$5:$B$16,0)),"БЛОК: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сюда",IF(A465&gt;Ввод!$B$4,"БЛОК: оплата после последнего дня расчёта — продлите расчёт или уберите строку","ок"))))))))</f>
        <v/>
      </c>
    </row>
    <row r="466" spans="1:5" x14ac:dyDescent="0.3">
      <c r="A466" s="9"/>
      <c r="B466" s="10"/>
      <c r="C466" s="15"/>
      <c r="D466" s="15"/>
      <c r="E466" s="4" t="str">
        <f>IF(AND(A466="",B466="",C466="",D466=""),"",IF(OR(A466="",B466=""),"БЛОК: нужны и дата, и сумма",IF(B466&lt;=0,"БЛОК: сумма должна быть больше нуля",IF(D466="","БЛОК: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вас",IF(COUNTIF(Акты!$B$5:$B$16,D466)=0,"БЛОК: такого акта нет на листе «Акты» — добавьте акт или исправьте идентификатор",IF(NOT(ISNUMBER(INDEX(Акты!$E$5:$E$16,MATCH(D466,Акты!$B$5:$B$16,0)))),"БЛОК: у этого акта на листе «Акты» не указан первый день просрочки",IF(A466&lt;INDEX(Акты!$E$5:$E$16,MATCH(D466,Акты!$B$5:$B$16,0)),"БЛОК: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сюда",IF(A466&gt;Ввод!$B$4,"БЛОК: оплата после последнего дня расчёта — продлите расчёт или уберите строку","ок"))))))))</f>
        <v/>
      </c>
    </row>
    <row r="467" spans="1:5" x14ac:dyDescent="0.3">
      <c r="A467" s="9"/>
      <c r="B467" s="10"/>
      <c r="C467" s="15"/>
      <c r="D467" s="15"/>
      <c r="E467" s="4" t="str">
        <f>IF(AND(A467="",B467="",C467="",D467=""),"",IF(OR(A467="",B467=""),"БЛОК: нужны и дата, и сумма",IF(B467&lt;=0,"БЛОК: сумма должна быть больше нуля",IF(D467="","БЛОК: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вас",IF(COUNTIF(Акты!$B$5:$B$16,D467)=0,"БЛОК: такого акта нет на листе «Акты» — добавьте акт или исправьте идентификатор",IF(NOT(ISNUMBER(INDEX(Акты!$E$5:$E$16,MATCH(D467,Акты!$B$5:$B$16,0)))),"БЛОК: у этого акта на листе «Акты» не указан первый день просрочки",IF(A467&lt;INDEX(Акты!$E$5:$E$16,MATCH(D467,Акты!$B$5:$B$16,0)),"БЛОК: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сюда",IF(A467&gt;Ввод!$B$4,"БЛОК: оплата после последнего дня расчёта — продлите расчёт или уберите строку","ок"))))))))</f>
        <v/>
      </c>
    </row>
    <row r="468" spans="1:5" x14ac:dyDescent="0.3">
      <c r="A468" s="9"/>
      <c r="B468" s="10"/>
      <c r="C468" s="15"/>
      <c r="D468" s="15"/>
      <c r="E468" s="4" t="str">
        <f>IF(AND(A468="",B468="",C468="",D468=""),"",IF(OR(A468="",B468=""),"БЛОК: нужны и дата, и сумма",IF(B468&lt;=0,"БЛОК: сумма должна быть больше нуля",IF(D468="","БЛОК: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вас",IF(COUNTIF(Акты!$B$5:$B$16,D468)=0,"БЛОК: такого акта нет на листе «Акты» — добавьте акт или исправьте идентификатор",IF(NOT(ISNUMBER(INDEX(Акты!$E$5:$E$16,MATCH(D468,Акты!$B$5:$B$16,0)))),"БЛОК: у этого акта на листе «Акты» не указан первый день просрочки",IF(A468&lt;INDEX(Акты!$E$5:$E$16,MATCH(D468,Акты!$B$5:$B$16,0)),"БЛОК: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сюда",IF(A468&gt;Ввод!$B$4,"БЛОК: оплата после последнего дня расчёта — продлите расчёт или уберите строку","ок"))))))))</f>
        <v/>
      </c>
    </row>
    <row r="469" spans="1:5" x14ac:dyDescent="0.3">
      <c r="A469" s="9"/>
      <c r="B469" s="10"/>
      <c r="C469" s="15"/>
      <c r="D469" s="15"/>
      <c r="E469" s="4" t="str">
        <f>IF(AND(A469="",B469="",C469="",D469=""),"",IF(OR(A469="",B469=""),"БЛОК: нужны и дата, и сумма",IF(B469&lt;=0,"БЛОК: сумма должна быть больше нуля",IF(D469="","БЛОК: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вас",IF(COUNTIF(Акты!$B$5:$B$16,D469)=0,"БЛОК: такого акта нет на листе «Акты» — добавьте акт или исправьте идентификатор",IF(NOT(ISNUMBER(INDEX(Акты!$E$5:$E$16,MATCH(D469,Акты!$B$5:$B$16,0)))),"БЛОК: у этого акта на листе «Акты» не указан первый день просрочки",IF(A469&lt;INDEX(Акты!$E$5:$E$16,MATCH(D469,Акты!$B$5:$B$16,0)),"БЛОК: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сюда",IF(A469&gt;Ввод!$B$4,"БЛОК: оплата после последнего дня расчёта — продлите расчёт или уберите строку","ок"))))))))</f>
        <v/>
      </c>
    </row>
    <row r="470" spans="1:5" x14ac:dyDescent="0.3">
      <c r="A470" s="9"/>
      <c r="B470" s="10"/>
      <c r="C470" s="15"/>
      <c r="D470" s="15"/>
      <c r="E470" s="4" t="str">
        <f>IF(AND(A470="",B470="",C470="",D470=""),"",IF(OR(A470="",B470=""),"БЛОК: нужны и дата, и сумма",IF(B470&lt;=0,"БЛОК: сумма должна быть больше нуля",IF(D470="","БЛОК: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вас",IF(COUNTIF(Акты!$B$5:$B$16,D470)=0,"БЛОК: такого акта нет на листе «Акты» — добавьте акт или исправьте идентификатор",IF(NOT(ISNUMBER(INDEX(Акты!$E$5:$E$16,MATCH(D470,Акты!$B$5:$B$16,0)))),"БЛОК: у этого акта на листе «Акты» не указан первый день просрочки",IF(A470&lt;INDEX(Акты!$E$5:$E$16,MATCH(D470,Акты!$B$5:$B$16,0)),"БЛОК: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сюда",IF(A470&gt;Ввод!$B$4,"БЛОК: оплата после последнего дня расчёта — продлите расчёт или уберите строку","ок"))))))))</f>
        <v/>
      </c>
    </row>
    <row r="471" spans="1:5" x14ac:dyDescent="0.3">
      <c r="A471" s="9"/>
      <c r="B471" s="10"/>
      <c r="C471" s="15"/>
      <c r="D471" s="15"/>
      <c r="E471" s="4" t="str">
        <f>IF(AND(A471="",B471="",C471="",D471=""),"",IF(OR(A471="",B471=""),"БЛОК: нужны и дата, и сумма",IF(B471&lt;=0,"БЛОК: сумма должна быть больше нуля",IF(D471="","БЛОК: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вас",IF(COUNTIF(Акты!$B$5:$B$16,D471)=0,"БЛОК: такого акта нет на листе «Акты» — добавьте акт или исправьте идентификатор",IF(NOT(ISNUMBER(INDEX(Акты!$E$5:$E$16,MATCH(D471,Акты!$B$5:$B$16,0)))),"БЛОК: у этого акта на листе «Акты» не указан первый день просрочки",IF(A471&lt;INDEX(Акты!$E$5:$E$16,MATCH(D471,Акты!$B$5:$B$16,0)),"БЛОК: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сюда",IF(A471&gt;Ввод!$B$4,"БЛОК: оплата после последнего дня расчёта — продлите расчёт или уберите строку","ок"))))))))</f>
        <v/>
      </c>
    </row>
    <row r="472" spans="1:5" x14ac:dyDescent="0.3">
      <c r="A472" s="9"/>
      <c r="B472" s="10"/>
      <c r="C472" s="15"/>
      <c r="D472" s="15"/>
      <c r="E472" s="4" t="str">
        <f>IF(AND(A472="",B472="",C472="",D472=""),"",IF(OR(A472="",B472=""),"БЛОК: нужны и дата, и сумма",IF(B472&lt;=0,"БЛОК: сумма должна быть больше нуля",IF(D472="","БЛОК: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вас",IF(COUNTIF(Акты!$B$5:$B$16,D472)=0,"БЛОК: такого акта нет на листе «Акты» — добавьте акт или исправьте идентификатор",IF(NOT(ISNUMBER(INDEX(Акты!$E$5:$E$16,MATCH(D472,Акты!$B$5:$B$16,0)))),"БЛОК: у этого акта на листе «Акты» не указан первый день просрочки",IF(A472&lt;INDEX(Акты!$E$5:$E$16,MATCH(D472,Акты!$B$5:$B$16,0)),"БЛОК: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сюда",IF(A472&gt;Ввод!$B$4,"БЛОК: оплата после последнего дня расчёта — продлите расчёт или уберите строку","ок"))))))))</f>
        <v/>
      </c>
    </row>
    <row r="473" spans="1:5" x14ac:dyDescent="0.3">
      <c r="A473" s="9"/>
      <c r="B473" s="10"/>
      <c r="C473" s="15"/>
      <c r="D473" s="15"/>
      <c r="E473" s="4" t="str">
        <f>IF(AND(A473="",B473="",C473="",D473=""),"",IF(OR(A473="",B473=""),"БЛОК: нужны и дата, и сумма",IF(B473&lt;=0,"БЛОК: сумма должна быть больше нуля",IF(D473="","БЛОК: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вас",IF(COUNTIF(Акты!$B$5:$B$16,D473)=0,"БЛОК: такого акта нет на листе «Акты» — добавьте акт или исправьте идентификатор",IF(NOT(ISNUMBER(INDEX(Акты!$E$5:$E$16,MATCH(D473,Акты!$B$5:$B$16,0)))),"БЛОК: у этого акта на листе «Акты» не указан первый день просрочки",IF(A473&lt;INDEX(Акты!$E$5:$E$16,MATCH(D473,Акты!$B$5:$B$16,0)),"БЛОК: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сюда",IF(A473&gt;Ввод!$B$4,"БЛОК: оплата после последнего дня расчёта — продлите расчёт или уберите строку","ок"))))))))</f>
        <v/>
      </c>
    </row>
    <row r="474" spans="1:5" x14ac:dyDescent="0.3">
      <c r="A474" s="9"/>
      <c r="B474" s="10"/>
      <c r="C474" s="15"/>
      <c r="D474" s="15"/>
      <c r="E474" s="4" t="str">
        <f>IF(AND(A474="",B474="",C474="",D474=""),"",IF(OR(A474="",B474=""),"БЛОК: нужны и дата, и сумма",IF(B474&lt;=0,"БЛОК: сумма должна быть больше нуля",IF(D474="","БЛОК: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вас",IF(COUNTIF(Акты!$B$5:$B$16,D474)=0,"БЛОК: такого акта нет на листе «Акты» — добавьте акт или исправьте идентификатор",IF(NOT(ISNUMBER(INDEX(Акты!$E$5:$E$16,MATCH(D474,Акты!$B$5:$B$16,0)))),"БЛОК: у этого акта на листе «Акты» не указан первый день просрочки",IF(A474&lt;INDEX(Акты!$E$5:$E$16,MATCH(D474,Акты!$B$5:$B$16,0)),"БЛОК: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сюда",IF(A474&gt;Ввод!$B$4,"БЛОК: оплата после последнего дня расчёта — продлите расчёт или уберите строку","ок"))))))))</f>
        <v/>
      </c>
    </row>
    <row r="475" spans="1:5" x14ac:dyDescent="0.3">
      <c r="A475" s="9"/>
      <c r="B475" s="10"/>
      <c r="C475" s="15"/>
      <c r="D475" s="15"/>
      <c r="E475" s="4" t="str">
        <f>IF(AND(A475="",B475="",C475="",D475=""),"",IF(OR(A475="",B475=""),"БЛОК: нужны и дата, и сумма",IF(B475&lt;=0,"БЛОК: сумма должна быть больше нуля",IF(D475="","БЛОК: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вас",IF(COUNTIF(Акты!$B$5:$B$16,D475)=0,"БЛОК: такого акта нет на листе «Акты» — добавьте акт или исправьте идентификатор",IF(NOT(ISNUMBER(INDEX(Акты!$E$5:$E$16,MATCH(D475,Акты!$B$5:$B$16,0)))),"БЛОК: у этого акта на листе «Акты» не указан первый день просрочки",IF(A475&lt;INDEX(Акты!$E$5:$E$16,MATCH(D475,Акты!$B$5:$B$16,0)),"БЛОК: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сюда",IF(A475&gt;Ввод!$B$4,"БЛОК: оплата после последнего дня расчёта — продлите расчёт или уберите строку","ок"))))))))</f>
        <v/>
      </c>
    </row>
    <row r="476" spans="1:5" x14ac:dyDescent="0.3">
      <c r="A476" s="9"/>
      <c r="B476" s="10"/>
      <c r="C476" s="15"/>
      <c r="D476" s="15"/>
      <c r="E476" s="4" t="str">
        <f>IF(AND(A476="",B476="",C476="",D476=""),"",IF(OR(A476="",B476=""),"БЛОК: нужны и дата, и сумма",IF(B476&lt;=0,"БЛОК: сумма должна быть больше нуля",IF(D476="","БЛОК: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вас",IF(COUNTIF(Акты!$B$5:$B$16,D476)=0,"БЛОК: такого акта нет на листе «Акты» — добавьте акт или исправьте идентификатор",IF(NOT(ISNUMBER(INDEX(Акты!$E$5:$E$16,MATCH(D476,Акты!$B$5:$B$16,0)))),"БЛОК: у этого акта на листе «Акты» не указан первый день просрочки",IF(A476&lt;INDEX(Акты!$E$5:$E$16,MATCH(D476,Акты!$B$5:$B$16,0)),"БЛОК: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сюда",IF(A476&gt;Ввод!$B$4,"БЛОК: оплата после последнего дня расчёта — продлите расчёт или уберите строку","ок"))))))))</f>
        <v/>
      </c>
    </row>
    <row r="477" spans="1:5" x14ac:dyDescent="0.3">
      <c r="A477" s="9"/>
      <c r="B477" s="10"/>
      <c r="C477" s="15"/>
      <c r="D477" s="15"/>
      <c r="E477" s="4" t="str">
        <f>IF(AND(A477="",B477="",C477="",D477=""),"",IF(OR(A477="",B477=""),"БЛОК: нужны и дата, и сумма",IF(B477&lt;=0,"БЛОК: сумма должна быть больше нуля",IF(D477="","БЛОК: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вас",IF(COUNTIF(Акты!$B$5:$B$16,D477)=0,"БЛОК: такого акта нет на листе «Акты» — добавьте акт или исправьте идентификатор",IF(NOT(ISNUMBER(INDEX(Акты!$E$5:$E$16,MATCH(D477,Акты!$B$5:$B$16,0)))),"БЛОК: у этого акта на листе «Акты» не указан первый день просрочки",IF(A477&lt;INDEX(Акты!$E$5:$E$16,MATCH(D477,Акты!$B$5:$B$16,0)),"БЛОК: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сюда",IF(A477&gt;Ввод!$B$4,"БЛОК: оплата после последнего дня расчёта — продлите расчёт или уберите строку","ок"))))))))</f>
        <v/>
      </c>
    </row>
    <row r="478" spans="1:5" x14ac:dyDescent="0.3">
      <c r="A478" s="9"/>
      <c r="B478" s="10"/>
      <c r="C478" s="15"/>
      <c r="D478" s="15"/>
      <c r="E478" s="4" t="str">
        <f>IF(AND(A478="",B478="",C478="",D478=""),"",IF(OR(A478="",B478=""),"БЛОК: нужны и дата, и сумма",IF(B478&lt;=0,"БЛОК: сумма должна быть больше нуля",IF(D478="","БЛОК: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вас",IF(COUNTIF(Акты!$B$5:$B$16,D478)=0,"БЛОК: такого акта нет на листе «Акты» — добавьте акт или исправьте идентификатор",IF(NOT(ISNUMBER(INDEX(Акты!$E$5:$E$16,MATCH(D478,Акты!$B$5:$B$16,0)))),"БЛОК: у этого акта на листе «Акты» не указан первый день просрочки",IF(A478&lt;INDEX(Акты!$E$5:$E$16,MATCH(D478,Акты!$B$5:$B$16,0)),"БЛОК: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сюда",IF(A478&gt;Ввод!$B$4,"БЛОК: оплата после последнего дня расчёта — продлите расчёт или уберите строку","ок"))))))))</f>
        <v/>
      </c>
    </row>
    <row r="479" spans="1:5" x14ac:dyDescent="0.3">
      <c r="A479" s="9"/>
      <c r="B479" s="10"/>
      <c r="C479" s="15"/>
      <c r="D479" s="15"/>
      <c r="E479" s="4" t="str">
        <f>IF(AND(A479="",B479="",C479="",D479=""),"",IF(OR(A479="",B479=""),"БЛОК: нужны и дата, и сумма",IF(B479&lt;=0,"БЛОК: сумма должна быть больше нуля",IF(D479="","БЛОК: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вас",IF(COUNTIF(Акты!$B$5:$B$16,D479)=0,"БЛОК: такого акта нет на листе «Акты» — добавьте акт или исправьте идентификатор",IF(NOT(ISNUMBER(INDEX(Акты!$E$5:$E$16,MATCH(D479,Акты!$B$5:$B$16,0)))),"БЛОК: у этого акта на листе «Акты» не указан первый день просрочки",IF(A479&lt;INDEX(Акты!$E$5:$E$16,MATCH(D479,Акты!$B$5:$B$16,0)),"БЛОК: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сюда",IF(A479&gt;Ввод!$B$4,"БЛОК: оплата после последнего дня расчёта — продлите расчёт или уберите строку","ок"))))))))</f>
        <v/>
      </c>
    </row>
    <row r="480" spans="1:5" x14ac:dyDescent="0.3">
      <c r="A480" s="9"/>
      <c r="B480" s="10"/>
      <c r="C480" s="15"/>
      <c r="D480" s="15"/>
      <c r="E480" s="4" t="str">
        <f>IF(AND(A480="",B480="",C480="",D480=""),"",IF(OR(A480="",B480=""),"БЛОК: нужны и дата, и сумма",IF(B480&lt;=0,"БЛОК: сумма должна быть больше нуля",IF(D480="","БЛОК: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вас",IF(COUNTIF(Акты!$B$5:$B$16,D480)=0,"БЛОК: такого акта нет на листе «Акты» — добавьте акт или исправьте идентификатор",IF(NOT(ISNUMBER(INDEX(Акты!$E$5:$E$16,MATCH(D480,Акты!$B$5:$B$16,0)))),"БЛОК: у этого акта на листе «Акты» не указан первый день просрочки",IF(A480&lt;INDEX(Акты!$E$5:$E$16,MATCH(D480,Акты!$B$5:$B$16,0)),"БЛОК: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сюда",IF(A480&gt;Ввод!$B$4,"БЛОК: оплата после последнего дня расчёта — продлите расчёт или уберите строку","ок"))))))))</f>
        <v/>
      </c>
    </row>
    <row r="481" spans="1:5" x14ac:dyDescent="0.3">
      <c r="A481" s="9"/>
      <c r="B481" s="10"/>
      <c r="C481" s="15"/>
      <c r="D481" s="15"/>
      <c r="E481" s="4" t="str">
        <f>IF(AND(A481="",B481="",C481="",D481=""),"",IF(OR(A481="",B481=""),"БЛОК: нужны и дата, и сумма",IF(B481&lt;=0,"БЛОК: сумма должна быть больше нуля",IF(D481="","БЛОК: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вас",IF(COUNTIF(Акты!$B$5:$B$16,D481)=0,"БЛОК: такого акта нет на листе «Акты» — добавьте акт или исправьте идентификатор",IF(NOT(ISNUMBER(INDEX(Акты!$E$5:$E$16,MATCH(D481,Акты!$B$5:$B$16,0)))),"БЛОК: у этого акта на листе «Акты» не указан первый день просрочки",IF(A481&lt;INDEX(Акты!$E$5:$E$16,MATCH(D481,Акты!$B$5:$B$16,0)),"БЛОК: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сюда",IF(A481&gt;Ввод!$B$4,"БЛОК: оплата после последнего дня расчёта — продлите расчёт или уберите строку","ок"))))))))</f>
        <v/>
      </c>
    </row>
    <row r="482" spans="1:5" x14ac:dyDescent="0.3">
      <c r="A482" s="9"/>
      <c r="B482" s="10"/>
      <c r="C482" s="15"/>
      <c r="D482" s="15"/>
      <c r="E482" s="4" t="str">
        <f>IF(AND(A482="",B482="",C482="",D482=""),"",IF(OR(A482="",B482=""),"БЛОК: нужны и дата, и сумма",IF(B482&lt;=0,"БЛОК: сумма должна быть больше нуля",IF(D482="","БЛОК: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вас",IF(COUNTIF(Акты!$B$5:$B$16,D482)=0,"БЛОК: такого акта нет на листе «Акты» — добавьте акт или исправьте идентификатор",IF(NOT(ISNUMBER(INDEX(Акты!$E$5:$E$16,MATCH(D482,Акты!$B$5:$B$16,0)))),"БЛОК: у этого акта на листе «Акты» не указан первый день просрочки",IF(A482&lt;INDEX(Акты!$E$5:$E$16,MATCH(D482,Акты!$B$5:$B$16,0)),"БЛОК: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сюда",IF(A482&gt;Ввод!$B$4,"БЛОК: оплата после последнего дня расчёта — продлите расчёт или уберите строку","ок"))))))))</f>
        <v/>
      </c>
    </row>
    <row r="483" spans="1:5" x14ac:dyDescent="0.3">
      <c r="A483" s="9"/>
      <c r="B483" s="10"/>
      <c r="C483" s="15"/>
      <c r="D483" s="15"/>
      <c r="E483" s="4" t="str">
        <f>IF(AND(A483="",B483="",C483="",D483=""),"",IF(OR(A483="",B483=""),"БЛОК: нужны и дата, и сумма",IF(B483&lt;=0,"БЛОК: сумма должна быть больше нуля",IF(D483="","БЛОК: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вас",IF(COUNTIF(Акты!$B$5:$B$16,D483)=0,"БЛОК: такого акта нет на листе «Акты» — добавьте акт или исправьте идентификатор",IF(NOT(ISNUMBER(INDEX(Акты!$E$5:$E$16,MATCH(D483,Акты!$B$5:$B$16,0)))),"БЛОК: у этого акта на листе «Акты» не указан первый день просрочки",IF(A483&lt;INDEX(Акты!$E$5:$E$16,MATCH(D483,Акты!$B$5:$B$16,0)),"БЛОК: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сюда",IF(A483&gt;Ввод!$B$4,"БЛОК: оплата после последнего дня расчёта — продлите расчёт или уберите строку","ок"))))))))</f>
        <v/>
      </c>
    </row>
    <row r="484" spans="1:5" x14ac:dyDescent="0.3">
      <c r="A484" s="9"/>
      <c r="B484" s="10"/>
      <c r="C484" s="15"/>
      <c r="D484" s="15"/>
      <c r="E484" s="4" t="str">
        <f>IF(AND(A484="",B484="",C484="",D484=""),"",IF(OR(A484="",B484=""),"БЛОК: нужны и дата, и сумма",IF(B484&lt;=0,"БЛОК: сумма должна быть больше нуля",IF(D484="","БЛОК: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вас",IF(COUNTIF(Акты!$B$5:$B$16,D484)=0,"БЛОК: такого акта нет на листе «Акты» — добавьте акт или исправьте идентификатор",IF(NOT(ISNUMBER(INDEX(Акты!$E$5:$E$16,MATCH(D484,Акты!$B$5:$B$16,0)))),"БЛОК: у этого акта на листе «Акты» не указан первый день просрочки",IF(A484&lt;INDEX(Акты!$E$5:$E$16,MATCH(D484,Акты!$B$5:$B$16,0)),"БЛОК: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сюда",IF(A484&gt;Ввод!$B$4,"БЛОК: оплата после последнего дня расчёта — продлите расчёт или уберите строку","ок"))))))))</f>
        <v/>
      </c>
    </row>
    <row r="485" spans="1:5" x14ac:dyDescent="0.3">
      <c r="A485" s="9"/>
      <c r="B485" s="10"/>
      <c r="C485" s="15"/>
      <c r="D485" s="15"/>
      <c r="E485" s="4" t="str">
        <f>IF(AND(A485="",B485="",C485="",D485=""),"",IF(OR(A485="",B485=""),"БЛОК: нужны и дата, и сумма",IF(B485&lt;=0,"БЛОК: сумма должна быть больше нуля",IF(D485="","БЛОК: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вас",IF(COUNTIF(Акты!$B$5:$B$16,D485)=0,"БЛОК: такого акта нет на листе «Акты» — добавьте акт или исправьте идентификатор",IF(NOT(ISNUMBER(INDEX(Акты!$E$5:$E$16,MATCH(D485,Акты!$B$5:$B$16,0)))),"БЛОК: у этого акта на листе «Акты» не указан первый день просрочки",IF(A485&lt;INDEX(Акты!$E$5:$E$16,MATCH(D485,Акты!$B$5:$B$16,0)),"БЛОК: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сюда",IF(A485&gt;Ввод!$B$4,"БЛОК: оплата после последнего дня расчёта — продлите расчёт или уберите строку","ок"))))))))</f>
        <v/>
      </c>
    </row>
    <row r="486" spans="1:5" x14ac:dyDescent="0.3">
      <c r="A486" s="9"/>
      <c r="B486" s="10"/>
      <c r="C486" s="15"/>
      <c r="D486" s="15"/>
      <c r="E486" s="4" t="str">
        <f>IF(AND(A486="",B486="",C486="",D486=""),"",IF(OR(A486="",B486=""),"БЛОК: нужны и дата, и сумма",IF(B486&lt;=0,"БЛОК: сумма должна быть больше нуля",IF(D486="","БЛОК: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вас",IF(COUNTIF(Акты!$B$5:$B$16,D486)=0,"БЛОК: такого акта нет на листе «Акты» — добавьте акт или исправьте идентификатор",IF(NOT(ISNUMBER(INDEX(Акты!$E$5:$E$16,MATCH(D486,Акты!$B$5:$B$16,0)))),"БЛОК: у этого акта на листе «Акты» не указан первый день просрочки",IF(A486&lt;INDEX(Акты!$E$5:$E$16,MATCH(D486,Акты!$B$5:$B$16,0)),"БЛОК: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сюда",IF(A486&gt;Ввод!$B$4,"БЛОК: оплата после последнего дня расчёта — продлите расчёт или уберите строку","ок"))))))))</f>
        <v/>
      </c>
    </row>
    <row r="487" spans="1:5" x14ac:dyDescent="0.3">
      <c r="A487" s="9"/>
      <c r="B487" s="10"/>
      <c r="C487" s="15"/>
      <c r="D487" s="15"/>
      <c r="E487" s="4" t="str">
        <f>IF(AND(A487="",B487="",C487="",D487=""),"",IF(OR(A487="",B487=""),"БЛОК: нужны и дата, и сумма",IF(B487&lt;=0,"БЛОК: сумма должна быть больше нуля",IF(D487="","БЛОК: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вас",IF(COUNTIF(Акты!$B$5:$B$16,D487)=0,"БЛОК: такого акта нет на листе «Акты» — добавьте акт или исправьте идентификатор",IF(NOT(ISNUMBER(INDEX(Акты!$E$5:$E$16,MATCH(D487,Акты!$B$5:$B$16,0)))),"БЛОК: у этого акта на листе «Акты» не указан первый день просрочки",IF(A487&lt;INDEX(Акты!$E$5:$E$16,MATCH(D487,Акты!$B$5:$B$16,0)),"БЛОК: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сюда",IF(A487&gt;Ввод!$B$4,"БЛОК: оплата после последнего дня расчёта — продлите расчёт или уберите строку","ок"))))))))</f>
        <v/>
      </c>
    </row>
    <row r="488" spans="1:5" x14ac:dyDescent="0.3">
      <c r="A488" s="9"/>
      <c r="B488" s="10"/>
      <c r="C488" s="15"/>
      <c r="D488" s="15"/>
      <c r="E488" s="4" t="str">
        <f>IF(AND(A488="",B488="",C488="",D488=""),"",IF(OR(A488="",B488=""),"БЛОК: нужны и дата, и сумма",IF(B488&lt;=0,"БЛОК: сумма должна быть больше нуля",IF(D488="","БЛОК: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вас",IF(COUNTIF(Акты!$B$5:$B$16,D488)=0,"БЛОК: такого акта нет на листе «Акты» — добавьте акт или исправьте идентификатор",IF(NOT(ISNUMBER(INDEX(Акты!$E$5:$E$16,MATCH(D488,Акты!$B$5:$B$16,0)))),"БЛОК: у этого акта на листе «Акты» не указан первый день просрочки",IF(A488&lt;INDEX(Акты!$E$5:$E$16,MATCH(D488,Акты!$B$5:$B$16,0)),"БЛОК: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сюда",IF(A488&gt;Ввод!$B$4,"БЛОК: оплата после последнего дня расчёта — продлите расчёт или уберите строку","ок"))))))))</f>
        <v/>
      </c>
    </row>
    <row r="489" spans="1:5" x14ac:dyDescent="0.3">
      <c r="A489" s="9"/>
      <c r="B489" s="10"/>
      <c r="C489" s="15"/>
      <c r="D489" s="15"/>
      <c r="E489" s="4" t="str">
        <f>IF(AND(A489="",B489="",C489="",D489=""),"",IF(OR(A489="",B489=""),"БЛОК: нужны и дата, и сумма",IF(B489&lt;=0,"БЛОК: сумма должна быть больше нуля",IF(D489="","БЛОК: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вас",IF(COUNTIF(Акты!$B$5:$B$16,D489)=0,"БЛОК: такого акта нет на листе «Акты» — добавьте акт или исправьте идентификатор",IF(NOT(ISNUMBER(INDEX(Акты!$E$5:$E$16,MATCH(D489,Акты!$B$5:$B$16,0)))),"БЛОК: у этого акта на листе «Акты» не указан первый день просрочки",IF(A489&lt;INDEX(Акты!$E$5:$E$16,MATCH(D489,Акты!$B$5:$B$16,0)),"БЛОК: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сюда",IF(A489&gt;Ввод!$B$4,"БЛОК: оплата после последнего дня расчёта — продлите расчёт или уберите строку","ок"))))))))</f>
        <v/>
      </c>
    </row>
    <row r="490" spans="1:5" x14ac:dyDescent="0.3">
      <c r="A490" s="9"/>
      <c r="B490" s="10"/>
      <c r="C490" s="15"/>
      <c r="D490" s="15"/>
      <c r="E490" s="4" t="str">
        <f>IF(AND(A490="",B490="",C490="",D490=""),"",IF(OR(A490="",B490=""),"БЛОК: нужны и дата, и сумма",IF(B490&lt;=0,"БЛОК: сумма должна быть больше нуля",IF(D490="","БЛОК: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вас",IF(COUNTIF(Акты!$B$5:$B$16,D490)=0,"БЛОК: такого акта нет на листе «Акты» — добавьте акт или исправьте идентификатор",IF(NOT(ISNUMBER(INDEX(Акты!$E$5:$E$16,MATCH(D490,Акты!$B$5:$B$16,0)))),"БЛОК: у этого акта на листе «Акты» не указан первый день просрочки",IF(A490&lt;INDEX(Акты!$E$5:$E$16,MATCH(D490,Акты!$B$5:$B$16,0)),"БЛОК: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сюда",IF(A490&gt;Ввод!$B$4,"БЛОК: оплата после последнего дня расчёта — продлите расчёт или уберите строку","ок"))))))))</f>
        <v/>
      </c>
    </row>
    <row r="491" spans="1:5" x14ac:dyDescent="0.3">
      <c r="A491" s="9"/>
      <c r="B491" s="10"/>
      <c r="C491" s="15"/>
      <c r="D491" s="15"/>
      <c r="E491" s="4" t="str">
        <f>IF(AND(A491="",B491="",C491="",D491=""),"",IF(OR(A491="",B491=""),"БЛОК: нужны и дата, и сумма",IF(B491&lt;=0,"БЛОК: сумма должна быть больше нуля",IF(D491="","БЛОК: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вас",IF(COUNTIF(Акты!$B$5:$B$16,D491)=0,"БЛОК: такого акта нет на листе «Акты» — добавьте акт или исправьте идентификатор",IF(NOT(ISNUMBER(INDEX(Акты!$E$5:$E$16,MATCH(D491,Акты!$B$5:$B$16,0)))),"БЛОК: у этого акта на листе «Акты» не указан первый день просрочки",IF(A491&lt;INDEX(Акты!$E$5:$E$16,MATCH(D491,Акты!$B$5:$B$16,0)),"БЛОК: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сюда",IF(A491&gt;Ввод!$B$4,"БЛОК: оплата после последнего дня расчёта — продлите расчёт или уберите строку","ок"))))))))</f>
        <v/>
      </c>
    </row>
    <row r="492" spans="1:5" x14ac:dyDescent="0.3">
      <c r="A492" s="9"/>
      <c r="B492" s="10"/>
      <c r="C492" s="15"/>
      <c r="D492" s="15"/>
      <c r="E492" s="4" t="str">
        <f>IF(AND(A492="",B492="",C492="",D492=""),"",IF(OR(A492="",B492=""),"БЛОК: нужны и дата, и сумма",IF(B492&lt;=0,"БЛОК: сумма должна быть больше нуля",IF(D492="","БЛОК: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вас",IF(COUNTIF(Акты!$B$5:$B$16,D492)=0,"БЛОК: такого акта нет на листе «Акты» — добавьте акт или исправьте идентификатор",IF(NOT(ISNUMBER(INDEX(Акты!$E$5:$E$16,MATCH(D492,Акты!$B$5:$B$16,0)))),"БЛОК: у этого акта на листе «Акты» не указан первый день просрочки",IF(A492&lt;INDEX(Акты!$E$5:$E$16,MATCH(D492,Акты!$B$5:$B$16,0)),"БЛОК: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сюда",IF(A492&gt;Ввод!$B$4,"БЛОК: оплата после последнего дня расчёта — продлите расчёт или уберите строку","ок"))))))))</f>
        <v/>
      </c>
    </row>
    <row r="493" spans="1:5" x14ac:dyDescent="0.3">
      <c r="A493" s="9"/>
      <c r="B493" s="10"/>
      <c r="C493" s="15"/>
      <c r="D493" s="15"/>
      <c r="E493" s="4" t="str">
        <f>IF(AND(A493="",B493="",C493="",D493=""),"",IF(OR(A493="",B493=""),"БЛОК: нужны и дата, и сумма",IF(B493&lt;=0,"БЛОК: сумма должна быть больше нуля",IF(D493="","БЛОК: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вас",IF(COUNTIF(Акты!$B$5:$B$16,D493)=0,"БЛОК: такого акта нет на листе «Акты» — добавьте акт или исправьте идентификатор",IF(NOT(ISNUMBER(INDEX(Акты!$E$5:$E$16,MATCH(D493,Акты!$B$5:$B$16,0)))),"БЛОК: у этого акта на листе «Акты» не указан первый день просрочки",IF(A493&lt;INDEX(Акты!$E$5:$E$16,MATCH(D493,Акты!$B$5:$B$16,0)),"БЛОК: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сюда",IF(A493&gt;Ввод!$B$4,"БЛОК: оплата после последнего дня расчёта — продлите расчёт или уберите строку","ок"))))))))</f>
        <v/>
      </c>
    </row>
    <row r="494" spans="1:5" x14ac:dyDescent="0.3">
      <c r="A494" s="9"/>
      <c r="B494" s="10"/>
      <c r="C494" s="15"/>
      <c r="D494" s="15"/>
      <c r="E494" s="4" t="str">
        <f>IF(AND(A494="",B494="",C494="",D494=""),"",IF(OR(A494="",B494=""),"БЛОК: нужны и дата, и сумма",IF(B494&lt;=0,"БЛОК: сумма должна быть больше нуля",IF(D494="","БЛОК: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вас",IF(COUNTIF(Акты!$B$5:$B$16,D494)=0,"БЛОК: такого акта нет на листе «Акты» — добавьте акт или исправьте идентификатор",IF(NOT(ISNUMBER(INDEX(Акты!$E$5:$E$16,MATCH(D494,Акты!$B$5:$B$16,0)))),"БЛОК: у этого акта на листе «Акты» не указан первый день просрочки",IF(A494&lt;INDEX(Акты!$E$5:$E$16,MATCH(D494,Акты!$B$5:$B$16,0)),"БЛОК: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сюда",IF(A494&gt;Ввод!$B$4,"БЛОК: оплата после последнего дня расчёта — продлите расчёт или уберите строку","ок"))))))))</f>
        <v/>
      </c>
    </row>
    <row r="495" spans="1:5" x14ac:dyDescent="0.3">
      <c r="A495" s="9"/>
      <c r="B495" s="10"/>
      <c r="C495" s="15"/>
      <c r="D495" s="15"/>
      <c r="E495" s="4" t="str">
        <f>IF(AND(A495="",B495="",C495="",D495=""),"",IF(OR(A495="",B495=""),"БЛОК: нужны и дата, и сумма",IF(B495&lt;=0,"БЛОК: сумма должна быть больше нуля",IF(D495="","БЛОК: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вас",IF(COUNTIF(Акты!$B$5:$B$16,D495)=0,"БЛОК: такого акта нет на листе «Акты» — добавьте акт или исправьте идентификатор",IF(NOT(ISNUMBER(INDEX(Акты!$E$5:$E$16,MATCH(D495,Акты!$B$5:$B$16,0)))),"БЛОК: у этого акта на листе «Акты» не указан первый день просрочки",IF(A495&lt;INDEX(Акты!$E$5:$E$16,MATCH(D495,Акты!$B$5:$B$16,0)),"БЛОК: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сюда",IF(A495&gt;Ввод!$B$4,"БЛОК: оплата после последнего дня расчёта — продлите расчёт или уберите строку","ок"))))))))</f>
        <v/>
      </c>
    </row>
    <row r="496" spans="1:5" x14ac:dyDescent="0.3">
      <c r="A496" s="9"/>
      <c r="B496" s="10"/>
      <c r="C496" s="15"/>
      <c r="D496" s="15"/>
      <c r="E496" s="4" t="str">
        <f>IF(AND(A496="",B496="",C496="",D496=""),"",IF(OR(A496="",B496=""),"БЛОК: нужны и дата, и сумма",IF(B496&lt;=0,"БЛОК: сумма должна быть больше нуля",IF(D496="","БЛОК: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вас",IF(COUNTIF(Акты!$B$5:$B$16,D496)=0,"БЛОК: такого акта нет на листе «Акты» — добавьте акт или исправьте идентификатор",IF(NOT(ISNUMBER(INDEX(Акты!$E$5:$E$16,MATCH(D496,Акты!$B$5:$B$16,0)))),"БЛОК: у этого акта на листе «Акты» не указан первый день просрочки",IF(A496&lt;INDEX(Акты!$E$5:$E$16,MATCH(D496,Акты!$B$5:$B$16,0)),"БЛОК: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сюда",IF(A496&gt;Ввод!$B$4,"БЛОК: оплата после последнего дня расчёта — продлите расчёт или уберите строку","ок"))))))))</f>
        <v/>
      </c>
    </row>
    <row r="497" spans="1:5" x14ac:dyDescent="0.3">
      <c r="A497" s="9"/>
      <c r="B497" s="10"/>
      <c r="C497" s="15"/>
      <c r="D497" s="15"/>
      <c r="E497" s="4" t="str">
        <f>IF(AND(A497="",B497="",C497="",D497=""),"",IF(OR(A497="",B497=""),"БЛОК: нужны и дата, и сумма",IF(B497&lt;=0,"БЛОК: сумма должна быть больше нуля",IF(D497="","БЛОК: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вас",IF(COUNTIF(Акты!$B$5:$B$16,D497)=0,"БЛОК: такого акта нет на листе «Акты» — добавьте акт или исправьте идентификатор",IF(NOT(ISNUMBER(INDEX(Акты!$E$5:$E$16,MATCH(D497,Акты!$B$5:$B$16,0)))),"БЛОК: у этого акта на листе «Акты» не указан первый день просрочки",IF(A497&lt;INDEX(Акты!$E$5:$E$16,MATCH(D497,Акты!$B$5:$B$16,0)),"БЛОК: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сюда",IF(A497&gt;Ввод!$B$4,"БЛОК: оплата после последнего дня расчёта — продлите расчёт или уберите строку","ок"))))))))</f>
        <v/>
      </c>
    </row>
    <row r="498" spans="1:5" x14ac:dyDescent="0.3">
      <c r="A498" s="9"/>
      <c r="B498" s="10"/>
      <c r="C498" s="15"/>
      <c r="D498" s="15"/>
      <c r="E498" s="4" t="str">
        <f>IF(AND(A498="",B498="",C498="",D498=""),"",IF(OR(A498="",B498=""),"БЛОК: нужны и дата, и сумма",IF(B498&lt;=0,"БЛОК: сумма должна быть больше нуля",IF(D498="","БЛОК: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вас",IF(COUNTIF(Акты!$B$5:$B$16,D498)=0,"БЛОК: такого акта нет на листе «Акты» — добавьте акт или исправьте идентификатор",IF(NOT(ISNUMBER(INDEX(Акты!$E$5:$E$16,MATCH(D498,Акты!$B$5:$B$16,0)))),"БЛОК: у этого акта на листе «Акты» не указан первый день просрочки",IF(A498&lt;INDEX(Акты!$E$5:$E$16,MATCH(D498,Акты!$B$5:$B$16,0)),"БЛОК: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сюда",IF(A498&gt;Ввод!$B$4,"БЛОК: оплата после последнего дня расчёта — продлите расчёт или уберите строку","ок"))))))))</f>
        <v/>
      </c>
    </row>
    <row r="499" spans="1:5" x14ac:dyDescent="0.3">
      <c r="A499" s="9"/>
      <c r="B499" s="10"/>
      <c r="C499" s="15"/>
      <c r="D499" s="15"/>
      <c r="E499" s="4" t="str">
        <f>IF(AND(A499="",B499="",C499="",D499=""),"",IF(OR(A499="",B499=""),"БЛОК: нужны и дата, и сумма",IF(B499&lt;=0,"БЛОК: сумма должна быть больше нуля",IF(D499="","БЛОК: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вас",IF(COUNTIF(Акты!$B$5:$B$16,D499)=0,"БЛОК: такого акта нет на листе «Акты» — добавьте акт или исправьте идентификатор",IF(NOT(ISNUMBER(INDEX(Акты!$E$5:$E$16,MATCH(D499,Акты!$B$5:$B$16,0)))),"БЛОК: у этого акта на листе «Акты» не указан первый день просрочки",IF(A499&lt;INDEX(Акты!$E$5:$E$16,MATCH(D499,Акты!$B$5:$B$16,0)),"БЛОК: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сюда",IF(A499&gt;Ввод!$B$4,"БЛОК: оплата после последнего дня расчёта — продлите расчёт или уберите строку","ок"))))))))</f>
        <v/>
      </c>
    </row>
    <row r="500" spans="1:5" x14ac:dyDescent="0.3">
      <c r="A500" s="9"/>
      <c r="B500" s="10"/>
      <c r="C500" s="15"/>
      <c r="D500" s="15"/>
      <c r="E500" s="4" t="str">
        <f>IF(AND(A500="",B500="",C500="",D500=""),"",IF(OR(A500="",B500=""),"БЛОК: нужны и дата, и сумма",IF(B500&lt;=0,"БЛОК: сумма должна быть больше нуля",IF(D500="","БЛОК: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вас",IF(COUNTIF(Акты!$B$5:$B$16,D500)=0,"БЛОК: такого акта нет на листе «Акты» — добавьте акт или исправьте идентификатор",IF(NOT(ISNUMBER(INDEX(Акты!$E$5:$E$16,MATCH(D500,Акты!$B$5:$B$16,0)))),"БЛОК: у этого акта на листе «Акты» не указан первый день просрочки",IF(A500&lt;INDEX(Акты!$E$5:$E$16,MATCH(D500,Акты!$B$5:$B$16,0)),"БЛОК: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сюда",IF(A500&gt;Ввод!$B$4,"БЛОК: оплата после последнего дня расчёта — продлите расчёт или уберите строку","ок"))))))))</f>
        <v/>
      </c>
    </row>
    <row r="501" spans="1:5" x14ac:dyDescent="0.3">
      <c r="A501" s="9"/>
      <c r="B501" s="10"/>
      <c r="C501" s="15"/>
      <c r="D501" s="15"/>
      <c r="E501" s="4" t="str">
        <f>IF(AND(A501="",B501="",C501="",D501=""),"",IF(OR(A501="",B501=""),"БЛОК: нужны и дата, и сумма",IF(B501&lt;=0,"БЛОК: сумма должна быть больше нуля",IF(D501="","БЛОК: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вас",IF(COUNTIF(Акты!$B$5:$B$16,D501)=0,"БЛОК: такого акта нет на листе «Акты» — добавьте акт или исправьте идентификатор",IF(NOT(ISNUMBER(INDEX(Акты!$E$5:$E$16,MATCH(D501,Акты!$B$5:$B$16,0)))),"БЛОК: у этого акта на листе «Акты» не указан первый день просрочки",IF(A501&lt;INDEX(Акты!$E$5:$E$16,MATCH(D501,Акты!$B$5:$B$16,0)),"БЛОК: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сюда",IF(A501&gt;Ввод!$B$4,"БЛОК: оплата после последнего дня расчёта — продлите расчёт или уберите строку","ок"))))))))</f>
        <v/>
      </c>
    </row>
    <row r="502" spans="1:5" x14ac:dyDescent="0.3">
      <c r="A502" s="9"/>
      <c r="B502" s="10"/>
      <c r="C502" s="15"/>
      <c r="D502" s="15"/>
      <c r="E502" s="4" t="str">
        <f>IF(AND(A502="",B502="",C502="",D502=""),"",IF(OR(A502="",B502=""),"БЛОК: нужны и дата, и сумма",IF(B502&lt;=0,"БЛОК: сумма должна быть больше нуля",IF(D502="","БЛОК: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вас",IF(COUNTIF(Акты!$B$5:$B$16,D502)=0,"БЛОК: такого акта нет на листе «Акты» — добавьте акт или исправьте идентификатор",IF(NOT(ISNUMBER(INDEX(Акты!$E$5:$E$16,MATCH(D502,Акты!$B$5:$B$16,0)))),"БЛОК: у этого акта на листе «Акты» не указан первый день просрочки",IF(A502&lt;INDEX(Акты!$E$5:$E$16,MATCH(D502,Акты!$B$5:$B$16,0)),"БЛОК: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сюда",IF(A502&gt;Ввод!$B$4,"БЛОК: оплата после последнего дня расчёта — продлите расчёт или уберите строку","ок"))))))))</f>
        <v/>
      </c>
    </row>
    <row r="503" spans="1:5" x14ac:dyDescent="0.3">
      <c r="A503" s="9"/>
      <c r="B503" s="10"/>
      <c r="C503" s="15"/>
      <c r="D503" s="15"/>
      <c r="E503" s="4" t="str">
        <f>IF(AND(A503="",B503="",C503="",D503=""),"",IF(OR(A503="",B503=""),"БЛОК: нужны и дата, и сумма",IF(B503&lt;=0,"БЛОК: сумма должна быть больше нуля",IF(D503="","БЛОК: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вас",IF(COUNTIF(Акты!$B$5:$B$16,D503)=0,"БЛОК: такого акта нет на листе «Акты» — добавьте акт или исправьте идентификатор",IF(NOT(ISNUMBER(INDEX(Акты!$E$5:$E$16,MATCH(D503,Акты!$B$5:$B$16,0)))),"БЛОК: у этого акта на листе «Акты» не указан первый день просрочки",IF(A503&lt;INDEX(Акты!$E$5:$E$16,MATCH(D503,Акты!$B$5:$B$16,0)),"БЛОК: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сюда",IF(A503&gt;Ввод!$B$4,"БЛОК: оплата после последнего дня расчёта — продлите расчёт или уберите строку","ок"))))))))</f>
        <v/>
      </c>
    </row>
    <row r="504" spans="1:5" x14ac:dyDescent="0.3">
      <c r="A504" s="9"/>
      <c r="B504" s="10"/>
      <c r="C504" s="15"/>
      <c r="D504" s="15"/>
      <c r="E504" s="4" t="str">
        <f>IF(AND(A504="",B504="",C504="",D504=""),"",IF(OR(A504="",B504=""),"БЛОК: нужны и дата, и сумма",IF(B504&lt;=0,"БЛОК: сумма должна быть больше нуля",IF(D504="","БЛОК: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вас",IF(COUNTIF(Акты!$B$5:$B$16,D504)=0,"БЛОК: такого акта нет на листе «Акты» — добавьте акт или исправьте идентификатор",IF(NOT(ISNUMBER(INDEX(Акты!$E$5:$E$16,MATCH(D504,Акты!$B$5:$B$16,0)))),"БЛОК: у этого акта на листе «Акты» не указан первый день просрочки",IF(A504&lt;INDEX(Акты!$E$5:$E$16,MATCH(D504,Акты!$B$5:$B$16,0)),"БЛОК: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сюда",IF(A504&gt;Ввод!$B$4,"БЛОК: оплата после последнего дня расчёта — продлите расчёт или уберите строку","ок"))))))))</f>
        <v/>
      </c>
    </row>
    <row r="505" spans="1:5" x14ac:dyDescent="0.3">
      <c r="A505" s="9"/>
      <c r="B505" s="10"/>
      <c r="C505" s="15"/>
      <c r="D505" s="15"/>
      <c r="E505" s="4" t="str">
        <f>IF(AND(A505="",B505="",C505="",D505=""),"",IF(OR(A505="",B505=""),"БЛОК: нужны и дата, и сумма",IF(B505&lt;=0,"БЛОК: сумма должна быть больше нуля",IF(D505="","БЛОК: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вас",IF(COUNTIF(Акты!$B$5:$B$16,D505)=0,"БЛОК: такого акта нет на листе «Акты» — добавьте акт или исправьте идентификатор",IF(NOT(ISNUMBER(INDEX(Акты!$E$5:$E$16,MATCH(D505,Акты!$B$5:$B$16,0)))),"БЛОК: у этого акта на листе «Акты» не указан первый день просрочки",IF(A505&lt;INDEX(Акты!$E$5:$E$16,MATCH(D505,Акты!$B$5:$B$16,0)),"БЛОК: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сюда",IF(A505&gt;Ввод!$B$4,"БЛОК: оплата после последнего дня расчёта — продлите расчёт или уберите строку","ок"))))))))</f>
        <v/>
      </c>
    </row>
  </sheetData>
  <mergeCells count="2">
    <mergeCell ref="A1:E1"/>
    <mergeCell ref="A2:E2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18"/>
  <sheetViews>
    <sheetView workbookViewId="0">
      <pane ySplit="6" topLeftCell="A7" activePane="bottomLeft" state="frozen"/>
      <selection pane="bottomLeft" activeCell="M23" sqref="M23"/>
    </sheetView>
  </sheetViews>
  <sheetFormatPr defaultRowHeight="14.4" x14ac:dyDescent="0.3"/>
  <cols>
    <col min="1" max="1" width="6" customWidth="1"/>
    <col min="2" max="2" width="21.44140625" customWidth="1"/>
    <col min="3" max="4" width="12" customWidth="1"/>
    <col min="5" max="5" width="8" customWidth="1"/>
    <col min="6" max="6" width="16" customWidth="1"/>
    <col min="7" max="7" width="12" customWidth="1"/>
    <col min="8" max="8" width="10" customWidth="1"/>
    <col min="9" max="10" width="16" customWidth="1"/>
    <col min="11" max="12" width="4" customWidth="1"/>
    <col min="13" max="13" width="22" customWidth="1"/>
    <col min="14" max="14" width="16" customWidth="1"/>
    <col min="15" max="15" width="20" customWidth="1"/>
    <col min="16" max="16" width="18" customWidth="1"/>
    <col min="17" max="17" width="20" customWidth="1"/>
  </cols>
  <sheetData>
    <row r="1" spans="1:17" ht="14.4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7" x14ac:dyDescent="0.3">
      <c r="A2" t="s">
        <v>46</v>
      </c>
      <c r="D2" s="16" t="str">
        <f>Проверки!C20</f>
        <v>ЗАБЛОКИРОВАН</v>
      </c>
    </row>
    <row r="3" spans="1:17" x14ac:dyDescent="0.3">
      <c r="A3" t="s">
        <v>47</v>
      </c>
      <c r="D3" s="16" t="str">
        <f>IF(D2="ГОТОВ",SUM(P7:P18),"РАСЧЁТ НЕ ВЫПОЛНЕН — см. лист «Проверки»")</f>
        <v>РАСЧЁТ НЕ ВЫПОЛНЕН — см. лист «Проверки»</v>
      </c>
    </row>
    <row r="4" spans="1:17" x14ac:dyDescent="0.3">
      <c r="A4" t="s">
        <v>48</v>
      </c>
      <c r="D4" s="16" t="str">
        <f>IF(D2="ГОТОВ",SUM(Акты!G5:G16),"")</f>
        <v/>
      </c>
    </row>
    <row r="5" spans="1:17" ht="33.6" customHeight="1" x14ac:dyDescent="0.3">
      <c r="A5" s="33" t="s">
        <v>49</v>
      </c>
      <c r="B5" s="33"/>
      <c r="C5" s="33"/>
      <c r="D5" s="33"/>
      <c r="E5" s="33"/>
      <c r="F5" s="33"/>
      <c r="G5" s="33"/>
      <c r="H5" s="33"/>
      <c r="I5" s="33"/>
      <c r="J5" s="33"/>
      <c r="M5" t="s">
        <v>50</v>
      </c>
    </row>
    <row r="6" spans="1:17" ht="43.2" x14ac:dyDescent="0.3">
      <c r="A6" s="3" t="s">
        <v>16</v>
      </c>
      <c r="B6" s="3" t="s">
        <v>51</v>
      </c>
      <c r="C6" s="3" t="s">
        <v>37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36</v>
      </c>
      <c r="L6" s="3" t="s">
        <v>36</v>
      </c>
      <c r="M6" s="3" t="s">
        <v>51</v>
      </c>
      <c r="N6" s="3" t="s">
        <v>20</v>
      </c>
      <c r="O6" s="3" t="s">
        <v>59</v>
      </c>
      <c r="P6" s="3" t="s">
        <v>60</v>
      </c>
      <c r="Q6" s="3" t="s">
        <v>61</v>
      </c>
    </row>
    <row r="7" spans="1:17" x14ac:dyDescent="0.3">
      <c r="A7" s="4" t="str">
        <f>IF(K7="","",1)</f>
        <v/>
      </c>
      <c r="B7" s="4" t="str">
        <f>IF(K7="","",INDEX(Интервалы!$A$2:$A$513,MATCH(K7,Интервалы!$G$2:$G$513,0)))</f>
        <v/>
      </c>
      <c r="C7" s="17" t="str">
        <f>IF(K7="","",INDEX(Интервалы!$C$2:$C$513,MATCH(K7,Интервалы!$G$2:$G$513,0)))</f>
        <v/>
      </c>
      <c r="D7" s="17" t="str">
        <f>IF(K7="","",INDEX(Интервалы!$D$2:$D$513,MATCH(K7,Интервалы!$G$2:$G$513,0)))</f>
        <v/>
      </c>
      <c r="E7" s="4" t="str">
        <f t="shared" ref="E7:E70" si="0">IF(K7="","",D7-C7+1)</f>
        <v/>
      </c>
      <c r="F7" s="8" t="str">
        <f>IF(K7="","",INDEX(Интервалы!$E$2:$E$513,MATCH(K7,Интервалы!$G$2:$G$513,0)))</f>
        <v/>
      </c>
      <c r="G7" s="18" t="str">
        <f>IF(K7="","",IF(H7=1,INDEX('По дням'!$B$2:$B$4000,MATCH(C7,'По дням'!$A$2:$A$4000,0)),"по периодам ставки"))</f>
        <v/>
      </c>
      <c r="H7" s="4" t="str">
        <f>IF(K7="","",INDEX(Интервалы!$I$2:$I$513,MATCH(K7,Интервалы!$G$2:$G$513,0)))</f>
        <v/>
      </c>
      <c r="I7" s="8" t="str">
        <f>IF(K7="","",INDEX(Интервалы!$F$2:$F$513,MATCH(K7,Интервалы!$G$2:$G$513,0)))</f>
        <v/>
      </c>
      <c r="J7" s="8" t="str">
        <f>IF(K7="","",INDEX(Интервалы!$H$2:$H$513,MATCH(K7,Интервалы!$G$2:$G$513,0)))</f>
        <v/>
      </c>
      <c r="K7" t="str">
        <f>IFERROR(SMALL(Интервалы!$G$2:$G$513,1),"")</f>
        <v/>
      </c>
      <c r="L7" t="str">
        <f>IF(K7="","",INDEX(Интервалы!$B$2:$B$513,MATCH(K7,Интервалы!$G$2:$G$513,0)))</f>
        <v/>
      </c>
      <c r="M7" s="4" t="str">
        <f>IF(Акты!$B$5="","",Акты!$B$5)</f>
        <v/>
      </c>
      <c r="N7" s="17" t="str">
        <f>IF(M7="","",Акты!$E$5)</f>
        <v/>
      </c>
      <c r="O7" s="8" t="str">
        <f>IF(M7="","",Акты!$D$5)</f>
        <v/>
      </c>
      <c r="P7" s="8" t="str">
        <f>IF(M7="","",SUMIF($L$7:$L$518,1,$I$7:$I$518))</f>
        <v/>
      </c>
      <c r="Q7" s="8" t="str">
        <f>IF(M7="","",Акты!$G$5)</f>
        <v/>
      </c>
    </row>
    <row r="8" spans="1:17" x14ac:dyDescent="0.3">
      <c r="A8" s="4" t="str">
        <f>IF(K8="","",2)</f>
        <v/>
      </c>
      <c r="B8" s="4" t="str">
        <f>IF(K8="","",INDEX(Интервалы!$A$2:$A$513,MATCH(K8,Интервалы!$G$2:$G$513,0)))</f>
        <v/>
      </c>
      <c r="C8" s="17" t="str">
        <f>IF(K8="","",INDEX(Интервалы!$C$2:$C$513,MATCH(K8,Интервалы!$G$2:$G$513,0)))</f>
        <v/>
      </c>
      <c r="D8" s="17" t="str">
        <f>IF(K8="","",INDEX(Интервалы!$D$2:$D$513,MATCH(K8,Интервалы!$G$2:$G$513,0)))</f>
        <v/>
      </c>
      <c r="E8" s="4" t="str">
        <f t="shared" si="0"/>
        <v/>
      </c>
      <c r="F8" s="8" t="str">
        <f>IF(K8="","",INDEX(Интервалы!$E$2:$E$513,MATCH(K8,Интервалы!$G$2:$G$513,0)))</f>
        <v/>
      </c>
      <c r="G8" s="18" t="str">
        <f>IF(K8="","",IF(H8=1,INDEX('По дням'!$B$2:$B$4000,MATCH(C8,'По дням'!$A$2:$A$4000,0)),"по периодам ставки"))</f>
        <v/>
      </c>
      <c r="H8" s="4" t="str">
        <f>IF(K8="","",INDEX(Интервалы!$I$2:$I$513,MATCH(K8,Интервалы!$G$2:$G$513,0)))</f>
        <v/>
      </c>
      <c r="I8" s="8" t="str">
        <f>IF(K8="","",INDEX(Интервалы!$F$2:$F$513,MATCH(K8,Интервалы!$G$2:$G$513,0)))</f>
        <v/>
      </c>
      <c r="J8" s="8" t="str">
        <f>IF(K8="","",INDEX(Интервалы!$H$2:$H$513,MATCH(K8,Интервалы!$G$2:$G$513,0)))</f>
        <v/>
      </c>
      <c r="K8" t="str">
        <f>IFERROR(SMALL(Интервалы!$G$2:$G$513,2),"")</f>
        <v/>
      </c>
      <c r="L8" t="str">
        <f>IF(K8="","",INDEX(Интервалы!$B$2:$B$513,MATCH(K8,Интервалы!$G$2:$G$513,0)))</f>
        <v/>
      </c>
      <c r="M8" s="4" t="str">
        <f>IF(Акты!$B$6="","",Акты!$B$6)</f>
        <v/>
      </c>
      <c r="N8" s="17" t="str">
        <f>IF(M8="","",Акты!$E$6)</f>
        <v/>
      </c>
      <c r="O8" s="8" t="str">
        <f>IF(M8="","",Акты!$D$6)</f>
        <v/>
      </c>
      <c r="P8" s="8" t="str">
        <f>IF(M8="","",SUMIF($L$7:$L$518,2,$I$7:$I$518))</f>
        <v/>
      </c>
      <c r="Q8" s="8" t="str">
        <f>IF(M8="","",Акты!$G$6)</f>
        <v/>
      </c>
    </row>
    <row r="9" spans="1:17" x14ac:dyDescent="0.3">
      <c r="A9" s="4" t="str">
        <f>IF(K9="","",3)</f>
        <v/>
      </c>
      <c r="B9" s="4" t="str">
        <f>IF(K9="","",INDEX(Интервалы!$A$2:$A$513,MATCH(K9,Интервалы!$G$2:$G$513,0)))</f>
        <v/>
      </c>
      <c r="C9" s="17" t="str">
        <f>IF(K9="","",INDEX(Интервалы!$C$2:$C$513,MATCH(K9,Интервалы!$G$2:$G$513,0)))</f>
        <v/>
      </c>
      <c r="D9" s="17" t="str">
        <f>IF(K9="","",INDEX(Интервалы!$D$2:$D$513,MATCH(K9,Интервалы!$G$2:$G$513,0)))</f>
        <v/>
      </c>
      <c r="E9" s="4" t="str">
        <f t="shared" si="0"/>
        <v/>
      </c>
      <c r="F9" s="8" t="str">
        <f>IF(K9="","",INDEX(Интервалы!$E$2:$E$513,MATCH(K9,Интервалы!$G$2:$G$513,0)))</f>
        <v/>
      </c>
      <c r="G9" s="18" t="str">
        <f>IF(K9="","",IF(H9=1,INDEX('По дням'!$B$2:$B$4000,MATCH(C9,'По дням'!$A$2:$A$4000,0)),"по периодам ставки"))</f>
        <v/>
      </c>
      <c r="H9" s="4" t="str">
        <f>IF(K9="","",INDEX(Интервалы!$I$2:$I$513,MATCH(K9,Интервалы!$G$2:$G$513,0)))</f>
        <v/>
      </c>
      <c r="I9" s="8" t="str">
        <f>IF(K9="","",INDEX(Интервалы!$F$2:$F$513,MATCH(K9,Интервалы!$G$2:$G$513,0)))</f>
        <v/>
      </c>
      <c r="J9" s="8" t="str">
        <f>IF(K9="","",INDEX(Интервалы!$H$2:$H$513,MATCH(K9,Интервалы!$G$2:$G$513,0)))</f>
        <v/>
      </c>
      <c r="K9" t="str">
        <f>IFERROR(SMALL(Интервалы!$G$2:$G$513,3),"")</f>
        <v/>
      </c>
      <c r="L9" t="str">
        <f>IF(K9="","",INDEX(Интервалы!$B$2:$B$513,MATCH(K9,Интервалы!$G$2:$G$513,0)))</f>
        <v/>
      </c>
      <c r="M9" s="4" t="str">
        <f>IF(Акты!$B$7="","",Акты!$B$7)</f>
        <v/>
      </c>
      <c r="N9" s="17" t="str">
        <f>IF(M9="","",Акты!$E$7)</f>
        <v/>
      </c>
      <c r="O9" s="8" t="str">
        <f>IF(M9="","",Акты!$D$7)</f>
        <v/>
      </c>
      <c r="P9" s="8" t="str">
        <f>IF(M9="","",SUMIF($L$7:$L$518,3,$I$7:$I$518))</f>
        <v/>
      </c>
      <c r="Q9" s="8" t="str">
        <f>IF(M9="","",Акты!$G$7)</f>
        <v/>
      </c>
    </row>
    <row r="10" spans="1:17" x14ac:dyDescent="0.3">
      <c r="A10" s="4" t="str">
        <f>IF(K10="","",4)</f>
        <v/>
      </c>
      <c r="B10" s="4" t="str">
        <f>IF(K10="","",INDEX(Интервалы!$A$2:$A$513,MATCH(K10,Интервалы!$G$2:$G$513,0)))</f>
        <v/>
      </c>
      <c r="C10" s="17" t="str">
        <f>IF(K10="","",INDEX(Интервалы!$C$2:$C$513,MATCH(K10,Интервалы!$G$2:$G$513,0)))</f>
        <v/>
      </c>
      <c r="D10" s="17" t="str">
        <f>IF(K10="","",INDEX(Интервалы!$D$2:$D$513,MATCH(K10,Интервалы!$G$2:$G$513,0)))</f>
        <v/>
      </c>
      <c r="E10" s="4" t="str">
        <f t="shared" si="0"/>
        <v/>
      </c>
      <c r="F10" s="8" t="str">
        <f>IF(K10="","",INDEX(Интервалы!$E$2:$E$513,MATCH(K10,Интервалы!$G$2:$G$513,0)))</f>
        <v/>
      </c>
      <c r="G10" s="18" t="str">
        <f>IF(K10="","",IF(H10=1,INDEX('По дням'!$B$2:$B$4000,MATCH(C10,'По дням'!$A$2:$A$4000,0)),"по периодам ставки"))</f>
        <v/>
      </c>
      <c r="H10" s="4" t="str">
        <f>IF(K10="","",INDEX(Интервалы!$I$2:$I$513,MATCH(K10,Интервалы!$G$2:$G$513,0)))</f>
        <v/>
      </c>
      <c r="I10" s="8" t="str">
        <f>IF(K10="","",INDEX(Интервалы!$F$2:$F$513,MATCH(K10,Интервалы!$G$2:$G$513,0)))</f>
        <v/>
      </c>
      <c r="J10" s="8" t="str">
        <f>IF(K10="","",INDEX(Интервалы!$H$2:$H$513,MATCH(K10,Интервалы!$G$2:$G$513,0)))</f>
        <v/>
      </c>
      <c r="K10" t="str">
        <f>IFERROR(SMALL(Интервалы!$G$2:$G$513,4),"")</f>
        <v/>
      </c>
      <c r="L10" t="str">
        <f>IF(K10="","",INDEX(Интервалы!$B$2:$B$513,MATCH(K10,Интервалы!$G$2:$G$513,0)))</f>
        <v/>
      </c>
      <c r="M10" s="4" t="str">
        <f>IF(Акты!$B$8="","",Акты!$B$8)</f>
        <v/>
      </c>
      <c r="N10" s="17" t="str">
        <f>IF(M10="","",Акты!$E$8)</f>
        <v/>
      </c>
      <c r="O10" s="8" t="str">
        <f>IF(M10="","",Акты!$D$8)</f>
        <v/>
      </c>
      <c r="P10" s="8" t="str">
        <f>IF(M10="","",SUMIF($L$7:$L$518,4,$I$7:$I$518))</f>
        <v/>
      </c>
      <c r="Q10" s="8" t="str">
        <f>IF(M10="","",Акты!$G$8)</f>
        <v/>
      </c>
    </row>
    <row r="11" spans="1:17" x14ac:dyDescent="0.3">
      <c r="A11" s="4" t="str">
        <f>IF(K11="","",5)</f>
        <v/>
      </c>
      <c r="B11" s="4" t="str">
        <f>IF(K11="","",INDEX(Интервалы!$A$2:$A$513,MATCH(K11,Интервалы!$G$2:$G$513,0)))</f>
        <v/>
      </c>
      <c r="C11" s="17" t="str">
        <f>IF(K11="","",INDEX(Интервалы!$C$2:$C$513,MATCH(K11,Интервалы!$G$2:$G$513,0)))</f>
        <v/>
      </c>
      <c r="D11" s="17" t="str">
        <f>IF(K11="","",INDEX(Интервалы!$D$2:$D$513,MATCH(K11,Интервалы!$G$2:$G$513,0)))</f>
        <v/>
      </c>
      <c r="E11" s="4" t="str">
        <f t="shared" si="0"/>
        <v/>
      </c>
      <c r="F11" s="8" t="str">
        <f>IF(K11="","",INDEX(Интервалы!$E$2:$E$513,MATCH(K11,Интервалы!$G$2:$G$513,0)))</f>
        <v/>
      </c>
      <c r="G11" s="18" t="str">
        <f>IF(K11="","",IF(H11=1,INDEX('По дням'!$B$2:$B$4000,MATCH(C11,'По дням'!$A$2:$A$4000,0)),"по периодам ставки"))</f>
        <v/>
      </c>
      <c r="H11" s="4" t="str">
        <f>IF(K11="","",INDEX(Интервалы!$I$2:$I$513,MATCH(K11,Интервалы!$G$2:$G$513,0)))</f>
        <v/>
      </c>
      <c r="I11" s="8" t="str">
        <f>IF(K11="","",INDEX(Интервалы!$F$2:$F$513,MATCH(K11,Интервалы!$G$2:$G$513,0)))</f>
        <v/>
      </c>
      <c r="J11" s="8" t="str">
        <f>IF(K11="","",INDEX(Интервалы!$H$2:$H$513,MATCH(K11,Интервалы!$G$2:$G$513,0)))</f>
        <v/>
      </c>
      <c r="K11" t="str">
        <f>IFERROR(SMALL(Интервалы!$G$2:$G$513,5),"")</f>
        <v/>
      </c>
      <c r="L11" t="str">
        <f>IF(K11="","",INDEX(Интервалы!$B$2:$B$513,MATCH(K11,Интервалы!$G$2:$G$513,0)))</f>
        <v/>
      </c>
      <c r="M11" s="4" t="str">
        <f>IF(Акты!$B$9="","",Акты!$B$9)</f>
        <v/>
      </c>
      <c r="N11" s="17" t="str">
        <f>IF(M11="","",Акты!$E$9)</f>
        <v/>
      </c>
      <c r="O11" s="8" t="str">
        <f>IF(M11="","",Акты!$D$9)</f>
        <v/>
      </c>
      <c r="P11" s="8" t="str">
        <f>IF(M11="","",SUMIF($L$7:$L$518,5,$I$7:$I$518))</f>
        <v/>
      </c>
      <c r="Q11" s="8" t="str">
        <f>IF(M11="","",Акты!$G$9)</f>
        <v/>
      </c>
    </row>
    <row r="12" spans="1:17" x14ac:dyDescent="0.3">
      <c r="A12" s="4" t="str">
        <f>IF(K12="","",6)</f>
        <v/>
      </c>
      <c r="B12" s="4" t="str">
        <f>IF(K12="","",INDEX(Интервалы!$A$2:$A$513,MATCH(K12,Интервалы!$G$2:$G$513,0)))</f>
        <v/>
      </c>
      <c r="C12" s="17" t="str">
        <f>IF(K12="","",INDEX(Интервалы!$C$2:$C$513,MATCH(K12,Интервалы!$G$2:$G$513,0)))</f>
        <v/>
      </c>
      <c r="D12" s="17" t="str">
        <f>IF(K12="","",INDEX(Интервалы!$D$2:$D$513,MATCH(K12,Интервалы!$G$2:$G$513,0)))</f>
        <v/>
      </c>
      <c r="E12" s="4" t="str">
        <f t="shared" si="0"/>
        <v/>
      </c>
      <c r="F12" s="8" t="str">
        <f>IF(K12="","",INDEX(Интервалы!$E$2:$E$513,MATCH(K12,Интервалы!$G$2:$G$513,0)))</f>
        <v/>
      </c>
      <c r="G12" s="18" t="str">
        <f>IF(K12="","",IF(H12=1,INDEX('По дням'!$B$2:$B$4000,MATCH(C12,'По дням'!$A$2:$A$4000,0)),"по периодам ставки"))</f>
        <v/>
      </c>
      <c r="H12" s="4" t="str">
        <f>IF(K12="","",INDEX(Интервалы!$I$2:$I$513,MATCH(K12,Интервалы!$G$2:$G$513,0)))</f>
        <v/>
      </c>
      <c r="I12" s="8" t="str">
        <f>IF(K12="","",INDEX(Интервалы!$F$2:$F$513,MATCH(K12,Интервалы!$G$2:$G$513,0)))</f>
        <v/>
      </c>
      <c r="J12" s="8" t="str">
        <f>IF(K12="","",INDEX(Интервалы!$H$2:$H$513,MATCH(K12,Интервалы!$G$2:$G$513,0)))</f>
        <v/>
      </c>
      <c r="K12" t="str">
        <f>IFERROR(SMALL(Интервалы!$G$2:$G$513,6),"")</f>
        <v/>
      </c>
      <c r="L12" t="str">
        <f>IF(K12="","",INDEX(Интервалы!$B$2:$B$513,MATCH(K12,Интервалы!$G$2:$G$513,0)))</f>
        <v/>
      </c>
      <c r="M12" s="4" t="str">
        <f>IF(Акты!$B$10="","",Акты!$B$10)</f>
        <v/>
      </c>
      <c r="N12" s="17" t="str">
        <f>IF(M12="","",Акты!$E$10)</f>
        <v/>
      </c>
      <c r="O12" s="8" t="str">
        <f>IF(M12="","",Акты!$D$10)</f>
        <v/>
      </c>
      <c r="P12" s="8" t="str">
        <f>IF(M12="","",SUMIF($L$7:$L$518,6,$I$7:$I$518))</f>
        <v/>
      </c>
      <c r="Q12" s="8" t="str">
        <f>IF(M12="","",Акты!$G$10)</f>
        <v/>
      </c>
    </row>
    <row r="13" spans="1:17" x14ac:dyDescent="0.3">
      <c r="A13" s="4" t="str">
        <f>IF(K13="","",7)</f>
        <v/>
      </c>
      <c r="B13" s="4" t="str">
        <f>IF(K13="","",INDEX(Интервалы!$A$2:$A$513,MATCH(K13,Интервалы!$G$2:$G$513,0)))</f>
        <v/>
      </c>
      <c r="C13" s="17" t="str">
        <f>IF(K13="","",INDEX(Интервалы!$C$2:$C$513,MATCH(K13,Интервалы!$G$2:$G$513,0)))</f>
        <v/>
      </c>
      <c r="D13" s="17" t="str">
        <f>IF(K13="","",INDEX(Интервалы!$D$2:$D$513,MATCH(K13,Интервалы!$G$2:$G$513,0)))</f>
        <v/>
      </c>
      <c r="E13" s="4" t="str">
        <f t="shared" si="0"/>
        <v/>
      </c>
      <c r="F13" s="8" t="str">
        <f>IF(K13="","",INDEX(Интервалы!$E$2:$E$513,MATCH(K13,Интервалы!$G$2:$G$513,0)))</f>
        <v/>
      </c>
      <c r="G13" s="18" t="str">
        <f>IF(K13="","",IF(H13=1,INDEX('По дням'!$B$2:$B$4000,MATCH(C13,'По дням'!$A$2:$A$4000,0)),"по периодам ставки"))</f>
        <v/>
      </c>
      <c r="H13" s="4" t="str">
        <f>IF(K13="","",INDEX(Интервалы!$I$2:$I$513,MATCH(K13,Интервалы!$G$2:$G$513,0)))</f>
        <v/>
      </c>
      <c r="I13" s="8" t="str">
        <f>IF(K13="","",INDEX(Интервалы!$F$2:$F$513,MATCH(K13,Интервалы!$G$2:$G$513,0)))</f>
        <v/>
      </c>
      <c r="J13" s="8" t="str">
        <f>IF(K13="","",INDEX(Интервалы!$H$2:$H$513,MATCH(K13,Интервалы!$G$2:$G$513,0)))</f>
        <v/>
      </c>
      <c r="K13" t="str">
        <f>IFERROR(SMALL(Интервалы!$G$2:$G$513,7),"")</f>
        <v/>
      </c>
      <c r="L13" t="str">
        <f>IF(K13="","",INDEX(Интервалы!$B$2:$B$513,MATCH(K13,Интервалы!$G$2:$G$513,0)))</f>
        <v/>
      </c>
      <c r="M13" s="4" t="str">
        <f>IF(Акты!$B$11="","",Акты!$B$11)</f>
        <v/>
      </c>
      <c r="N13" s="17" t="str">
        <f>IF(M13="","",Акты!$E$11)</f>
        <v/>
      </c>
      <c r="O13" s="8" t="str">
        <f>IF(M13="","",Акты!$D$11)</f>
        <v/>
      </c>
      <c r="P13" s="8" t="str">
        <f>IF(M13="","",SUMIF($L$7:$L$518,7,$I$7:$I$518))</f>
        <v/>
      </c>
      <c r="Q13" s="8" t="str">
        <f>IF(M13="","",Акты!$G$11)</f>
        <v/>
      </c>
    </row>
    <row r="14" spans="1:17" x14ac:dyDescent="0.3">
      <c r="A14" s="4" t="str">
        <f>IF(K14="","",8)</f>
        <v/>
      </c>
      <c r="B14" s="4" t="str">
        <f>IF(K14="","",INDEX(Интервалы!$A$2:$A$513,MATCH(K14,Интервалы!$G$2:$G$513,0)))</f>
        <v/>
      </c>
      <c r="C14" s="17" t="str">
        <f>IF(K14="","",INDEX(Интервалы!$C$2:$C$513,MATCH(K14,Интервалы!$G$2:$G$513,0)))</f>
        <v/>
      </c>
      <c r="D14" s="17" t="str">
        <f>IF(K14="","",INDEX(Интервалы!$D$2:$D$513,MATCH(K14,Интервалы!$G$2:$G$513,0)))</f>
        <v/>
      </c>
      <c r="E14" s="4" t="str">
        <f t="shared" si="0"/>
        <v/>
      </c>
      <c r="F14" s="8" t="str">
        <f>IF(K14="","",INDEX(Интервалы!$E$2:$E$513,MATCH(K14,Интервалы!$G$2:$G$513,0)))</f>
        <v/>
      </c>
      <c r="G14" s="18" t="str">
        <f>IF(K14="","",IF(H14=1,INDEX('По дням'!$B$2:$B$4000,MATCH(C14,'По дням'!$A$2:$A$4000,0)),"по периодам ставки"))</f>
        <v/>
      </c>
      <c r="H14" s="4" t="str">
        <f>IF(K14="","",INDEX(Интервалы!$I$2:$I$513,MATCH(K14,Интервалы!$G$2:$G$513,0)))</f>
        <v/>
      </c>
      <c r="I14" s="8" t="str">
        <f>IF(K14="","",INDEX(Интервалы!$F$2:$F$513,MATCH(K14,Интервалы!$G$2:$G$513,0)))</f>
        <v/>
      </c>
      <c r="J14" s="8" t="str">
        <f>IF(K14="","",INDEX(Интервалы!$H$2:$H$513,MATCH(K14,Интервалы!$G$2:$G$513,0)))</f>
        <v/>
      </c>
      <c r="K14" t="str">
        <f>IFERROR(SMALL(Интервалы!$G$2:$G$513,8),"")</f>
        <v/>
      </c>
      <c r="L14" t="str">
        <f>IF(K14="","",INDEX(Интервалы!$B$2:$B$513,MATCH(K14,Интервалы!$G$2:$G$513,0)))</f>
        <v/>
      </c>
      <c r="M14" s="4" t="str">
        <f>IF(Акты!$B$12="","",Акты!$B$12)</f>
        <v/>
      </c>
      <c r="N14" s="17" t="str">
        <f>IF(M14="","",Акты!$E$12)</f>
        <v/>
      </c>
      <c r="O14" s="8" t="str">
        <f>IF(M14="","",Акты!$D$12)</f>
        <v/>
      </c>
      <c r="P14" s="8" t="str">
        <f>IF(M14="","",SUMIF($L$7:$L$518,8,$I$7:$I$518))</f>
        <v/>
      </c>
      <c r="Q14" s="8" t="str">
        <f>IF(M14="","",Акты!$G$12)</f>
        <v/>
      </c>
    </row>
    <row r="15" spans="1:17" x14ac:dyDescent="0.3">
      <c r="A15" s="4" t="str">
        <f>IF(K15="","",9)</f>
        <v/>
      </c>
      <c r="B15" s="4" t="str">
        <f>IF(K15="","",INDEX(Интервалы!$A$2:$A$513,MATCH(K15,Интервалы!$G$2:$G$513,0)))</f>
        <v/>
      </c>
      <c r="C15" s="17" t="str">
        <f>IF(K15="","",INDEX(Интервалы!$C$2:$C$513,MATCH(K15,Интервалы!$G$2:$G$513,0)))</f>
        <v/>
      </c>
      <c r="D15" s="17" t="str">
        <f>IF(K15="","",INDEX(Интервалы!$D$2:$D$513,MATCH(K15,Интервалы!$G$2:$G$513,0)))</f>
        <v/>
      </c>
      <c r="E15" s="4" t="str">
        <f t="shared" si="0"/>
        <v/>
      </c>
      <c r="F15" s="8" t="str">
        <f>IF(K15="","",INDEX(Интервалы!$E$2:$E$513,MATCH(K15,Интервалы!$G$2:$G$513,0)))</f>
        <v/>
      </c>
      <c r="G15" s="18" t="str">
        <f>IF(K15="","",IF(H15=1,INDEX('По дням'!$B$2:$B$4000,MATCH(C15,'По дням'!$A$2:$A$4000,0)),"по периодам ставки"))</f>
        <v/>
      </c>
      <c r="H15" s="4" t="str">
        <f>IF(K15="","",INDEX(Интервалы!$I$2:$I$513,MATCH(K15,Интервалы!$G$2:$G$513,0)))</f>
        <v/>
      </c>
      <c r="I15" s="8" t="str">
        <f>IF(K15="","",INDEX(Интервалы!$F$2:$F$513,MATCH(K15,Интервалы!$G$2:$G$513,0)))</f>
        <v/>
      </c>
      <c r="J15" s="8" t="str">
        <f>IF(K15="","",INDEX(Интервалы!$H$2:$H$513,MATCH(K15,Интервалы!$G$2:$G$513,0)))</f>
        <v/>
      </c>
      <c r="K15" t="str">
        <f>IFERROR(SMALL(Интервалы!$G$2:$G$513,9),"")</f>
        <v/>
      </c>
      <c r="L15" t="str">
        <f>IF(K15="","",INDEX(Интервалы!$B$2:$B$513,MATCH(K15,Интервалы!$G$2:$G$513,0)))</f>
        <v/>
      </c>
      <c r="M15" s="4" t="str">
        <f>IF(Акты!$B$13="","",Акты!$B$13)</f>
        <v/>
      </c>
      <c r="N15" s="17" t="str">
        <f>IF(M15="","",Акты!$E$13)</f>
        <v/>
      </c>
      <c r="O15" s="8" t="str">
        <f>IF(M15="","",Акты!$D$13)</f>
        <v/>
      </c>
      <c r="P15" s="8" t="str">
        <f>IF(M15="","",SUMIF($L$7:$L$518,9,$I$7:$I$518))</f>
        <v/>
      </c>
      <c r="Q15" s="8" t="str">
        <f>IF(M15="","",Акты!$G$13)</f>
        <v/>
      </c>
    </row>
    <row r="16" spans="1:17" x14ac:dyDescent="0.3">
      <c r="A16" s="4" t="str">
        <f>IF(K16="","",10)</f>
        <v/>
      </c>
      <c r="B16" s="4" t="str">
        <f>IF(K16="","",INDEX(Интервалы!$A$2:$A$513,MATCH(K16,Интервалы!$G$2:$G$513,0)))</f>
        <v/>
      </c>
      <c r="C16" s="17" t="str">
        <f>IF(K16="","",INDEX(Интервалы!$C$2:$C$513,MATCH(K16,Интервалы!$G$2:$G$513,0)))</f>
        <v/>
      </c>
      <c r="D16" s="17" t="str">
        <f>IF(K16="","",INDEX(Интервалы!$D$2:$D$513,MATCH(K16,Интервалы!$G$2:$G$513,0)))</f>
        <v/>
      </c>
      <c r="E16" s="4" t="str">
        <f t="shared" si="0"/>
        <v/>
      </c>
      <c r="F16" s="8" t="str">
        <f>IF(K16="","",INDEX(Интервалы!$E$2:$E$513,MATCH(K16,Интервалы!$G$2:$G$513,0)))</f>
        <v/>
      </c>
      <c r="G16" s="18" t="str">
        <f>IF(K16="","",IF(H16=1,INDEX('По дням'!$B$2:$B$4000,MATCH(C16,'По дням'!$A$2:$A$4000,0)),"по периодам ставки"))</f>
        <v/>
      </c>
      <c r="H16" s="4" t="str">
        <f>IF(K16="","",INDEX(Интервалы!$I$2:$I$513,MATCH(K16,Интервалы!$G$2:$G$513,0)))</f>
        <v/>
      </c>
      <c r="I16" s="8" t="str">
        <f>IF(K16="","",INDEX(Интервалы!$F$2:$F$513,MATCH(K16,Интервалы!$G$2:$G$513,0)))</f>
        <v/>
      </c>
      <c r="J16" s="8" t="str">
        <f>IF(K16="","",INDEX(Интервалы!$H$2:$H$513,MATCH(K16,Интервалы!$G$2:$G$513,0)))</f>
        <v/>
      </c>
      <c r="K16" t="str">
        <f>IFERROR(SMALL(Интервалы!$G$2:$G$513,10),"")</f>
        <v/>
      </c>
      <c r="L16" t="str">
        <f>IF(K16="","",INDEX(Интервалы!$B$2:$B$513,MATCH(K16,Интервалы!$G$2:$G$513,0)))</f>
        <v/>
      </c>
      <c r="M16" s="4" t="str">
        <f>IF(Акты!$B$14="","",Акты!$B$14)</f>
        <v/>
      </c>
      <c r="N16" s="17" t="str">
        <f>IF(M16="","",Акты!$E$14)</f>
        <v/>
      </c>
      <c r="O16" s="8" t="str">
        <f>IF(M16="","",Акты!$D$14)</f>
        <v/>
      </c>
      <c r="P16" s="8" t="str">
        <f>IF(M16="","",SUMIF($L$7:$L$518,10,$I$7:$I$518))</f>
        <v/>
      </c>
      <c r="Q16" s="8" t="str">
        <f>IF(M16="","",Акты!$G$14)</f>
        <v/>
      </c>
    </row>
    <row r="17" spans="1:17" x14ac:dyDescent="0.3">
      <c r="A17" s="4" t="str">
        <f>IF(K17="","",11)</f>
        <v/>
      </c>
      <c r="B17" s="4" t="str">
        <f>IF(K17="","",INDEX(Интервалы!$A$2:$A$513,MATCH(K17,Интервалы!$G$2:$G$513,0)))</f>
        <v/>
      </c>
      <c r="C17" s="17" t="str">
        <f>IF(K17="","",INDEX(Интервалы!$C$2:$C$513,MATCH(K17,Интервалы!$G$2:$G$513,0)))</f>
        <v/>
      </c>
      <c r="D17" s="17" t="str">
        <f>IF(K17="","",INDEX(Интервалы!$D$2:$D$513,MATCH(K17,Интервалы!$G$2:$G$513,0)))</f>
        <v/>
      </c>
      <c r="E17" s="4" t="str">
        <f t="shared" si="0"/>
        <v/>
      </c>
      <c r="F17" s="8" t="str">
        <f>IF(K17="","",INDEX(Интервалы!$E$2:$E$513,MATCH(K17,Интервалы!$G$2:$G$513,0)))</f>
        <v/>
      </c>
      <c r="G17" s="18" t="str">
        <f>IF(K17="","",IF(H17=1,INDEX('По дням'!$B$2:$B$4000,MATCH(C17,'По дням'!$A$2:$A$4000,0)),"по периодам ставки"))</f>
        <v/>
      </c>
      <c r="H17" s="4" t="str">
        <f>IF(K17="","",INDEX(Интервалы!$I$2:$I$513,MATCH(K17,Интервалы!$G$2:$G$513,0)))</f>
        <v/>
      </c>
      <c r="I17" s="8" t="str">
        <f>IF(K17="","",INDEX(Интервалы!$F$2:$F$513,MATCH(K17,Интервалы!$G$2:$G$513,0)))</f>
        <v/>
      </c>
      <c r="J17" s="8" t="str">
        <f>IF(K17="","",INDEX(Интервалы!$H$2:$H$513,MATCH(K17,Интервалы!$G$2:$G$513,0)))</f>
        <v/>
      </c>
      <c r="K17" t="str">
        <f>IFERROR(SMALL(Интервалы!$G$2:$G$513,11),"")</f>
        <v/>
      </c>
      <c r="L17" t="str">
        <f>IF(K17="","",INDEX(Интервалы!$B$2:$B$513,MATCH(K17,Интервалы!$G$2:$G$513,0)))</f>
        <v/>
      </c>
      <c r="M17" s="4" t="str">
        <f>IF(Акты!$B$15="","",Акты!$B$15)</f>
        <v/>
      </c>
      <c r="N17" s="17" t="str">
        <f>IF(M17="","",Акты!$E$15)</f>
        <v/>
      </c>
      <c r="O17" s="8" t="str">
        <f>IF(M17="","",Акты!$D$15)</f>
        <v/>
      </c>
      <c r="P17" s="8" t="str">
        <f>IF(M17="","",SUMIF($L$7:$L$518,11,$I$7:$I$518))</f>
        <v/>
      </c>
      <c r="Q17" s="8" t="str">
        <f>IF(M17="","",Акты!$G$15)</f>
        <v/>
      </c>
    </row>
    <row r="18" spans="1:17" x14ac:dyDescent="0.3">
      <c r="A18" s="4" t="str">
        <f>IF(K18="","",12)</f>
        <v/>
      </c>
      <c r="B18" s="4" t="str">
        <f>IF(K18="","",INDEX(Интервалы!$A$2:$A$513,MATCH(K18,Интервалы!$G$2:$G$513,0)))</f>
        <v/>
      </c>
      <c r="C18" s="17" t="str">
        <f>IF(K18="","",INDEX(Интервалы!$C$2:$C$513,MATCH(K18,Интервалы!$G$2:$G$513,0)))</f>
        <v/>
      </c>
      <c r="D18" s="17" t="str">
        <f>IF(K18="","",INDEX(Интервалы!$D$2:$D$513,MATCH(K18,Интервалы!$G$2:$G$513,0)))</f>
        <v/>
      </c>
      <c r="E18" s="4" t="str">
        <f t="shared" si="0"/>
        <v/>
      </c>
      <c r="F18" s="8" t="str">
        <f>IF(K18="","",INDEX(Интервалы!$E$2:$E$513,MATCH(K18,Интервалы!$G$2:$G$513,0)))</f>
        <v/>
      </c>
      <c r="G18" s="18" t="str">
        <f>IF(K18="","",IF(H18=1,INDEX('По дням'!$B$2:$B$4000,MATCH(C18,'По дням'!$A$2:$A$4000,0)),"по периодам ставки"))</f>
        <v/>
      </c>
      <c r="H18" s="4" t="str">
        <f>IF(K18="","",INDEX(Интервалы!$I$2:$I$513,MATCH(K18,Интервалы!$G$2:$G$513,0)))</f>
        <v/>
      </c>
      <c r="I18" s="8" t="str">
        <f>IF(K18="","",INDEX(Интервалы!$F$2:$F$513,MATCH(K18,Интервалы!$G$2:$G$513,0)))</f>
        <v/>
      </c>
      <c r="J18" s="8" t="str">
        <f>IF(K18="","",INDEX(Интервалы!$H$2:$H$513,MATCH(K18,Интервалы!$G$2:$G$513,0)))</f>
        <v/>
      </c>
      <c r="K18" t="str">
        <f>IFERROR(SMALL(Интервалы!$G$2:$G$513,12),"")</f>
        <v/>
      </c>
      <c r="L18" t="str">
        <f>IF(K18="","",INDEX(Интервалы!$B$2:$B$513,MATCH(K18,Интервалы!$G$2:$G$513,0)))</f>
        <v/>
      </c>
      <c r="M18" s="4" t="str">
        <f>IF(Акты!$B$16="","",Акты!$B$16)</f>
        <v/>
      </c>
      <c r="N18" s="17" t="str">
        <f>IF(M18="","",Акты!$E$16)</f>
        <v/>
      </c>
      <c r="O18" s="8" t="str">
        <f>IF(M18="","",Акты!$D$16)</f>
        <v/>
      </c>
      <c r="P18" s="8" t="str">
        <f>IF(M18="","",SUMIF($L$7:$L$518,12,$I$7:$I$518))</f>
        <v/>
      </c>
      <c r="Q18" s="8" t="str">
        <f>IF(M18="","",Акты!$G$16)</f>
        <v/>
      </c>
    </row>
    <row r="19" spans="1:17" x14ac:dyDescent="0.3">
      <c r="A19" s="4" t="str">
        <f>IF(K19="","",13)</f>
        <v/>
      </c>
      <c r="B19" s="4" t="str">
        <f>IF(K19="","",INDEX(Интервалы!$A$2:$A$513,MATCH(K19,Интервалы!$G$2:$G$513,0)))</f>
        <v/>
      </c>
      <c r="C19" s="17" t="str">
        <f>IF(K19="","",INDEX(Интервалы!$C$2:$C$513,MATCH(K19,Интервалы!$G$2:$G$513,0)))</f>
        <v/>
      </c>
      <c r="D19" s="17" t="str">
        <f>IF(K19="","",INDEX(Интервалы!$D$2:$D$513,MATCH(K19,Интервалы!$G$2:$G$513,0)))</f>
        <v/>
      </c>
      <c r="E19" s="4" t="str">
        <f t="shared" si="0"/>
        <v/>
      </c>
      <c r="F19" s="8" t="str">
        <f>IF(K19="","",INDEX(Интервалы!$E$2:$E$513,MATCH(K19,Интервалы!$G$2:$G$513,0)))</f>
        <v/>
      </c>
      <c r="G19" s="18" t="str">
        <f>IF(K19="","",IF(H19=1,INDEX('По дням'!$B$2:$B$4000,MATCH(C19,'По дням'!$A$2:$A$4000,0)),"по периодам ставки"))</f>
        <v/>
      </c>
      <c r="H19" s="4" t="str">
        <f>IF(K19="","",INDEX(Интервалы!$I$2:$I$513,MATCH(K19,Интервалы!$G$2:$G$513,0)))</f>
        <v/>
      </c>
      <c r="I19" s="8" t="str">
        <f>IF(K19="","",INDEX(Интервалы!$F$2:$F$513,MATCH(K19,Интервалы!$G$2:$G$513,0)))</f>
        <v/>
      </c>
      <c r="J19" s="8" t="str">
        <f>IF(K19="","",INDEX(Интервалы!$H$2:$H$513,MATCH(K19,Интервалы!$G$2:$G$513,0)))</f>
        <v/>
      </c>
      <c r="K19" t="str">
        <f>IFERROR(SMALL(Интервалы!$G$2:$G$513,13),"")</f>
        <v/>
      </c>
      <c r="L19" t="str">
        <f>IF(K19="","",INDEX(Интервалы!$B$2:$B$513,MATCH(K19,Интервалы!$G$2:$G$513,0)))</f>
        <v/>
      </c>
      <c r="M19" s="19" t="s">
        <v>93</v>
      </c>
      <c r="N19" s="4"/>
      <c r="O19" s="4"/>
      <c r="P19" s="20">
        <f>SUM(P7:P18)</f>
        <v>0</v>
      </c>
      <c r="Q19" s="20">
        <f>SUM(Q7:Q18)</f>
        <v>0</v>
      </c>
    </row>
    <row r="20" spans="1:17" x14ac:dyDescent="0.3">
      <c r="A20" s="4" t="str">
        <f>IF(K20="","",14)</f>
        <v/>
      </c>
      <c r="B20" s="4" t="str">
        <f>IF(K20="","",INDEX(Интервалы!$A$2:$A$513,MATCH(K20,Интервалы!$G$2:$G$513,0)))</f>
        <v/>
      </c>
      <c r="C20" s="17" t="str">
        <f>IF(K20="","",INDEX(Интервалы!$C$2:$C$513,MATCH(K20,Интервалы!$G$2:$G$513,0)))</f>
        <v/>
      </c>
      <c r="D20" s="17" t="str">
        <f>IF(K20="","",INDEX(Интервалы!$D$2:$D$513,MATCH(K20,Интервалы!$G$2:$G$513,0)))</f>
        <v/>
      </c>
      <c r="E20" s="4" t="str">
        <f t="shared" si="0"/>
        <v/>
      </c>
      <c r="F20" s="8" t="str">
        <f>IF(K20="","",INDEX(Интервалы!$E$2:$E$513,MATCH(K20,Интервалы!$G$2:$G$513,0)))</f>
        <v/>
      </c>
      <c r="G20" s="18" t="str">
        <f>IF(K20="","",IF(H20=1,INDEX('По дням'!$B$2:$B$4000,MATCH(C20,'По дням'!$A$2:$A$4000,0)),"по периодам ставки"))</f>
        <v/>
      </c>
      <c r="H20" s="4" t="str">
        <f>IF(K20="","",INDEX(Интервалы!$I$2:$I$513,MATCH(K20,Интервалы!$G$2:$G$513,0)))</f>
        <v/>
      </c>
      <c r="I20" s="8" t="str">
        <f>IF(K20="","",INDEX(Интервалы!$F$2:$F$513,MATCH(K20,Интервалы!$G$2:$G$513,0)))</f>
        <v/>
      </c>
      <c r="J20" s="8" t="str">
        <f>IF(K20="","",INDEX(Интервалы!$H$2:$H$513,MATCH(K20,Интервалы!$G$2:$G$513,0)))</f>
        <v/>
      </c>
      <c r="K20" t="str">
        <f>IFERROR(SMALL(Интервалы!$G$2:$G$513,14),"")</f>
        <v/>
      </c>
      <c r="L20" t="str">
        <f>IF(K20="","",INDEX(Интервалы!$B$2:$B$513,MATCH(K20,Интервалы!$G$2:$G$513,0)))</f>
        <v/>
      </c>
    </row>
    <row r="21" spans="1:17" x14ac:dyDescent="0.3">
      <c r="A21" s="4" t="str">
        <f>IF(K21="","",15)</f>
        <v/>
      </c>
      <c r="B21" s="4" t="str">
        <f>IF(K21="","",INDEX(Интервалы!$A$2:$A$513,MATCH(K21,Интервалы!$G$2:$G$513,0)))</f>
        <v/>
      </c>
      <c r="C21" s="17" t="str">
        <f>IF(K21="","",INDEX(Интервалы!$C$2:$C$513,MATCH(K21,Интервалы!$G$2:$G$513,0)))</f>
        <v/>
      </c>
      <c r="D21" s="17" t="str">
        <f>IF(K21="","",INDEX(Интервалы!$D$2:$D$513,MATCH(K21,Интервалы!$G$2:$G$513,0)))</f>
        <v/>
      </c>
      <c r="E21" s="4" t="str">
        <f t="shared" si="0"/>
        <v/>
      </c>
      <c r="F21" s="8" t="str">
        <f>IF(K21="","",INDEX(Интервалы!$E$2:$E$513,MATCH(K21,Интервалы!$G$2:$G$513,0)))</f>
        <v/>
      </c>
      <c r="G21" s="18" t="str">
        <f>IF(K21="","",IF(H21=1,INDEX('По дням'!$B$2:$B$4000,MATCH(C21,'По дням'!$A$2:$A$4000,0)),"по периодам ставки"))</f>
        <v/>
      </c>
      <c r="H21" s="4" t="str">
        <f>IF(K21="","",INDEX(Интервалы!$I$2:$I$513,MATCH(K21,Интервалы!$G$2:$G$513,0)))</f>
        <v/>
      </c>
      <c r="I21" s="8" t="str">
        <f>IF(K21="","",INDEX(Интервалы!$F$2:$F$513,MATCH(K21,Интервалы!$G$2:$G$513,0)))</f>
        <v/>
      </c>
      <c r="J21" s="8" t="str">
        <f>IF(K21="","",INDEX(Интервалы!$H$2:$H$513,MATCH(K21,Интервалы!$G$2:$G$513,0)))</f>
        <v/>
      </c>
      <c r="K21" t="str">
        <f>IFERROR(SMALL(Интервалы!$G$2:$G$513,15),"")</f>
        <v/>
      </c>
      <c r="L21" t="str">
        <f>IF(K21="","",INDEX(Интервалы!$B$2:$B$513,MATCH(K21,Интервалы!$G$2:$G$513,0)))</f>
        <v/>
      </c>
    </row>
    <row r="22" spans="1:17" x14ac:dyDescent="0.3">
      <c r="A22" s="4" t="str">
        <f>IF(K22="","",16)</f>
        <v/>
      </c>
      <c r="B22" s="4" t="str">
        <f>IF(K22="","",INDEX(Интервалы!$A$2:$A$513,MATCH(K22,Интервалы!$G$2:$G$513,0)))</f>
        <v/>
      </c>
      <c r="C22" s="17" t="str">
        <f>IF(K22="","",INDEX(Интервалы!$C$2:$C$513,MATCH(K22,Интервалы!$G$2:$G$513,0)))</f>
        <v/>
      </c>
      <c r="D22" s="17" t="str">
        <f>IF(K22="","",INDEX(Интервалы!$D$2:$D$513,MATCH(K22,Интервалы!$G$2:$G$513,0)))</f>
        <v/>
      </c>
      <c r="E22" s="4" t="str">
        <f t="shared" si="0"/>
        <v/>
      </c>
      <c r="F22" s="8" t="str">
        <f>IF(K22="","",INDEX(Интервалы!$E$2:$E$513,MATCH(K22,Интервалы!$G$2:$G$513,0)))</f>
        <v/>
      </c>
      <c r="G22" s="18" t="str">
        <f>IF(K22="","",IF(H22=1,INDEX('По дням'!$B$2:$B$4000,MATCH(C22,'По дням'!$A$2:$A$4000,0)),"по периодам ставки"))</f>
        <v/>
      </c>
      <c r="H22" s="4" t="str">
        <f>IF(K22="","",INDEX(Интервалы!$I$2:$I$513,MATCH(K22,Интервалы!$G$2:$G$513,0)))</f>
        <v/>
      </c>
      <c r="I22" s="8" t="str">
        <f>IF(K22="","",INDEX(Интервалы!$F$2:$F$513,MATCH(K22,Интервалы!$G$2:$G$513,0)))</f>
        <v/>
      </c>
      <c r="J22" s="8" t="str">
        <f>IF(K22="","",INDEX(Интервалы!$H$2:$H$513,MATCH(K22,Интервалы!$G$2:$G$513,0)))</f>
        <v/>
      </c>
      <c r="K22" t="str">
        <f>IFERROR(SMALL(Интервалы!$G$2:$G$513,16),"")</f>
        <v/>
      </c>
      <c r="L22" t="str">
        <f>IF(K22="","",INDEX(Интервалы!$B$2:$B$513,MATCH(K22,Интервалы!$G$2:$G$513,0)))</f>
        <v/>
      </c>
    </row>
    <row r="23" spans="1:17" x14ac:dyDescent="0.3">
      <c r="A23" s="4" t="str">
        <f>IF(K23="","",17)</f>
        <v/>
      </c>
      <c r="B23" s="4" t="str">
        <f>IF(K23="","",INDEX(Интервалы!$A$2:$A$513,MATCH(K23,Интервалы!$G$2:$G$513,0)))</f>
        <v/>
      </c>
      <c r="C23" s="17" t="str">
        <f>IF(K23="","",INDEX(Интервалы!$C$2:$C$513,MATCH(K23,Интервалы!$G$2:$G$513,0)))</f>
        <v/>
      </c>
      <c r="D23" s="17" t="str">
        <f>IF(K23="","",INDEX(Интервалы!$D$2:$D$513,MATCH(K23,Интервалы!$G$2:$G$513,0)))</f>
        <v/>
      </c>
      <c r="E23" s="4" t="str">
        <f t="shared" si="0"/>
        <v/>
      </c>
      <c r="F23" s="8" t="str">
        <f>IF(K23="","",INDEX(Интервалы!$E$2:$E$513,MATCH(K23,Интервалы!$G$2:$G$513,0)))</f>
        <v/>
      </c>
      <c r="G23" s="18" t="str">
        <f>IF(K23="","",IF(H23=1,INDEX('По дням'!$B$2:$B$4000,MATCH(C23,'По дням'!$A$2:$A$4000,0)),"по периодам ставки"))</f>
        <v/>
      </c>
      <c r="H23" s="4" t="str">
        <f>IF(K23="","",INDEX(Интервалы!$I$2:$I$513,MATCH(K23,Интервалы!$G$2:$G$513,0)))</f>
        <v/>
      </c>
      <c r="I23" s="8" t="str">
        <f>IF(K23="","",INDEX(Интервалы!$F$2:$F$513,MATCH(K23,Интервалы!$G$2:$G$513,0)))</f>
        <v/>
      </c>
      <c r="J23" s="8" t="str">
        <f>IF(K23="","",INDEX(Интервалы!$H$2:$H$513,MATCH(K23,Интервалы!$G$2:$G$513,0)))</f>
        <v/>
      </c>
      <c r="K23" t="str">
        <f>IFERROR(SMALL(Интервалы!$G$2:$G$513,17),"")</f>
        <v/>
      </c>
      <c r="L23" t="str">
        <f>IF(K23="","",INDEX(Интервалы!$B$2:$B$513,MATCH(K23,Интервалы!$G$2:$G$513,0)))</f>
        <v/>
      </c>
    </row>
    <row r="24" spans="1:17" x14ac:dyDescent="0.3">
      <c r="A24" s="4" t="str">
        <f>IF(K24="","",18)</f>
        <v/>
      </c>
      <c r="B24" s="4" t="str">
        <f>IF(K24="","",INDEX(Интервалы!$A$2:$A$513,MATCH(K24,Интервалы!$G$2:$G$513,0)))</f>
        <v/>
      </c>
      <c r="C24" s="17" t="str">
        <f>IF(K24="","",INDEX(Интервалы!$C$2:$C$513,MATCH(K24,Интервалы!$G$2:$G$513,0)))</f>
        <v/>
      </c>
      <c r="D24" s="17" t="str">
        <f>IF(K24="","",INDEX(Интервалы!$D$2:$D$513,MATCH(K24,Интервалы!$G$2:$G$513,0)))</f>
        <v/>
      </c>
      <c r="E24" s="4" t="str">
        <f t="shared" si="0"/>
        <v/>
      </c>
      <c r="F24" s="8" t="str">
        <f>IF(K24="","",INDEX(Интервалы!$E$2:$E$513,MATCH(K24,Интервалы!$G$2:$G$513,0)))</f>
        <v/>
      </c>
      <c r="G24" s="18" t="str">
        <f>IF(K24="","",IF(H24=1,INDEX('По дням'!$B$2:$B$4000,MATCH(C24,'По дням'!$A$2:$A$4000,0)),"по периодам ставки"))</f>
        <v/>
      </c>
      <c r="H24" s="4" t="str">
        <f>IF(K24="","",INDEX(Интервалы!$I$2:$I$513,MATCH(K24,Интервалы!$G$2:$G$513,0)))</f>
        <v/>
      </c>
      <c r="I24" s="8" t="str">
        <f>IF(K24="","",INDEX(Интервалы!$F$2:$F$513,MATCH(K24,Интервалы!$G$2:$G$513,0)))</f>
        <v/>
      </c>
      <c r="J24" s="8" t="str">
        <f>IF(K24="","",INDEX(Интервалы!$H$2:$H$513,MATCH(K24,Интервалы!$G$2:$G$513,0)))</f>
        <v/>
      </c>
      <c r="K24" t="str">
        <f>IFERROR(SMALL(Интервалы!$G$2:$G$513,18),"")</f>
        <v/>
      </c>
      <c r="L24" t="str">
        <f>IF(K24="","",INDEX(Интервалы!$B$2:$B$513,MATCH(K24,Интервалы!$G$2:$G$513,0)))</f>
        <v/>
      </c>
    </row>
    <row r="25" spans="1:17" x14ac:dyDescent="0.3">
      <c r="A25" s="4" t="str">
        <f>IF(K25="","",19)</f>
        <v/>
      </c>
      <c r="B25" s="4" t="str">
        <f>IF(K25="","",INDEX(Интервалы!$A$2:$A$513,MATCH(K25,Интервалы!$G$2:$G$513,0)))</f>
        <v/>
      </c>
      <c r="C25" s="17" t="str">
        <f>IF(K25="","",INDEX(Интервалы!$C$2:$C$513,MATCH(K25,Интервалы!$G$2:$G$513,0)))</f>
        <v/>
      </c>
      <c r="D25" s="17" t="str">
        <f>IF(K25="","",INDEX(Интервалы!$D$2:$D$513,MATCH(K25,Интервалы!$G$2:$G$513,0)))</f>
        <v/>
      </c>
      <c r="E25" s="4" t="str">
        <f t="shared" si="0"/>
        <v/>
      </c>
      <c r="F25" s="8" t="str">
        <f>IF(K25="","",INDEX(Интервалы!$E$2:$E$513,MATCH(K25,Интервалы!$G$2:$G$513,0)))</f>
        <v/>
      </c>
      <c r="G25" s="18" t="str">
        <f>IF(K25="","",IF(H25=1,INDEX('По дням'!$B$2:$B$4000,MATCH(C25,'По дням'!$A$2:$A$4000,0)),"по периодам ставки"))</f>
        <v/>
      </c>
      <c r="H25" s="4" t="str">
        <f>IF(K25="","",INDEX(Интервалы!$I$2:$I$513,MATCH(K25,Интервалы!$G$2:$G$513,0)))</f>
        <v/>
      </c>
      <c r="I25" s="8" t="str">
        <f>IF(K25="","",INDEX(Интервалы!$F$2:$F$513,MATCH(K25,Интервалы!$G$2:$G$513,0)))</f>
        <v/>
      </c>
      <c r="J25" s="8" t="str">
        <f>IF(K25="","",INDEX(Интервалы!$H$2:$H$513,MATCH(K25,Интервалы!$G$2:$G$513,0)))</f>
        <v/>
      </c>
      <c r="K25" t="str">
        <f>IFERROR(SMALL(Интервалы!$G$2:$G$513,19),"")</f>
        <v/>
      </c>
      <c r="L25" t="str">
        <f>IF(K25="","",INDEX(Интервалы!$B$2:$B$513,MATCH(K25,Интервалы!$G$2:$G$513,0)))</f>
        <v/>
      </c>
    </row>
    <row r="26" spans="1:17" x14ac:dyDescent="0.3">
      <c r="A26" s="4" t="str">
        <f>IF(K26="","",20)</f>
        <v/>
      </c>
      <c r="B26" s="4" t="str">
        <f>IF(K26="","",INDEX(Интервалы!$A$2:$A$513,MATCH(K26,Интервалы!$G$2:$G$513,0)))</f>
        <v/>
      </c>
      <c r="C26" s="17" t="str">
        <f>IF(K26="","",INDEX(Интервалы!$C$2:$C$513,MATCH(K26,Интервалы!$G$2:$G$513,0)))</f>
        <v/>
      </c>
      <c r="D26" s="17" t="str">
        <f>IF(K26="","",INDEX(Интервалы!$D$2:$D$513,MATCH(K26,Интервалы!$G$2:$G$513,0)))</f>
        <v/>
      </c>
      <c r="E26" s="4" t="str">
        <f t="shared" si="0"/>
        <v/>
      </c>
      <c r="F26" s="8" t="str">
        <f>IF(K26="","",INDEX(Интервалы!$E$2:$E$513,MATCH(K26,Интервалы!$G$2:$G$513,0)))</f>
        <v/>
      </c>
      <c r="G26" s="18" t="str">
        <f>IF(K26="","",IF(H26=1,INDEX('По дням'!$B$2:$B$4000,MATCH(C26,'По дням'!$A$2:$A$4000,0)),"по периодам ставки"))</f>
        <v/>
      </c>
      <c r="H26" s="4" t="str">
        <f>IF(K26="","",INDEX(Интервалы!$I$2:$I$513,MATCH(K26,Интервалы!$G$2:$G$513,0)))</f>
        <v/>
      </c>
      <c r="I26" s="8" t="str">
        <f>IF(K26="","",INDEX(Интервалы!$F$2:$F$513,MATCH(K26,Интервалы!$G$2:$G$513,0)))</f>
        <v/>
      </c>
      <c r="J26" s="8" t="str">
        <f>IF(K26="","",INDEX(Интервалы!$H$2:$H$513,MATCH(K26,Интервалы!$G$2:$G$513,0)))</f>
        <v/>
      </c>
      <c r="K26" t="str">
        <f>IFERROR(SMALL(Интервалы!$G$2:$G$513,20),"")</f>
        <v/>
      </c>
      <c r="L26" t="str">
        <f>IF(K26="","",INDEX(Интервалы!$B$2:$B$513,MATCH(K26,Интервалы!$G$2:$G$513,0)))</f>
        <v/>
      </c>
    </row>
    <row r="27" spans="1:17" x14ac:dyDescent="0.3">
      <c r="A27" s="4" t="str">
        <f>IF(K27="","",21)</f>
        <v/>
      </c>
      <c r="B27" s="4" t="str">
        <f>IF(K27="","",INDEX(Интервалы!$A$2:$A$513,MATCH(K27,Интервалы!$G$2:$G$513,0)))</f>
        <v/>
      </c>
      <c r="C27" s="17" t="str">
        <f>IF(K27="","",INDEX(Интервалы!$C$2:$C$513,MATCH(K27,Интервалы!$G$2:$G$513,0)))</f>
        <v/>
      </c>
      <c r="D27" s="17" t="str">
        <f>IF(K27="","",INDEX(Интервалы!$D$2:$D$513,MATCH(K27,Интервалы!$G$2:$G$513,0)))</f>
        <v/>
      </c>
      <c r="E27" s="4" t="str">
        <f t="shared" si="0"/>
        <v/>
      </c>
      <c r="F27" s="8" t="str">
        <f>IF(K27="","",INDEX(Интервалы!$E$2:$E$513,MATCH(K27,Интервалы!$G$2:$G$513,0)))</f>
        <v/>
      </c>
      <c r="G27" s="18" t="str">
        <f>IF(K27="","",IF(H27=1,INDEX('По дням'!$B$2:$B$4000,MATCH(C27,'По дням'!$A$2:$A$4000,0)),"по периодам ставки"))</f>
        <v/>
      </c>
      <c r="H27" s="4" t="str">
        <f>IF(K27="","",INDEX(Интервалы!$I$2:$I$513,MATCH(K27,Интервалы!$G$2:$G$513,0)))</f>
        <v/>
      </c>
      <c r="I27" s="8" t="str">
        <f>IF(K27="","",INDEX(Интервалы!$F$2:$F$513,MATCH(K27,Интервалы!$G$2:$G$513,0)))</f>
        <v/>
      </c>
      <c r="J27" s="8" t="str">
        <f>IF(K27="","",INDEX(Интервалы!$H$2:$H$513,MATCH(K27,Интервалы!$G$2:$G$513,0)))</f>
        <v/>
      </c>
      <c r="K27" t="str">
        <f>IFERROR(SMALL(Интервалы!$G$2:$G$513,21),"")</f>
        <v/>
      </c>
      <c r="L27" t="str">
        <f>IF(K27="","",INDEX(Интервалы!$B$2:$B$513,MATCH(K27,Интервалы!$G$2:$G$513,0)))</f>
        <v/>
      </c>
    </row>
    <row r="28" spans="1:17" x14ac:dyDescent="0.3">
      <c r="A28" s="4" t="str">
        <f>IF(K28="","",22)</f>
        <v/>
      </c>
      <c r="B28" s="4" t="str">
        <f>IF(K28="","",INDEX(Интервалы!$A$2:$A$513,MATCH(K28,Интервалы!$G$2:$G$513,0)))</f>
        <v/>
      </c>
      <c r="C28" s="17" t="str">
        <f>IF(K28="","",INDEX(Интервалы!$C$2:$C$513,MATCH(K28,Интервалы!$G$2:$G$513,0)))</f>
        <v/>
      </c>
      <c r="D28" s="17" t="str">
        <f>IF(K28="","",INDEX(Интервалы!$D$2:$D$513,MATCH(K28,Интервалы!$G$2:$G$513,0)))</f>
        <v/>
      </c>
      <c r="E28" s="4" t="str">
        <f t="shared" si="0"/>
        <v/>
      </c>
      <c r="F28" s="8" t="str">
        <f>IF(K28="","",INDEX(Интервалы!$E$2:$E$513,MATCH(K28,Интервалы!$G$2:$G$513,0)))</f>
        <v/>
      </c>
      <c r="G28" s="18" t="str">
        <f>IF(K28="","",IF(H28=1,INDEX('По дням'!$B$2:$B$4000,MATCH(C28,'По дням'!$A$2:$A$4000,0)),"по периодам ставки"))</f>
        <v/>
      </c>
      <c r="H28" s="4" t="str">
        <f>IF(K28="","",INDEX(Интервалы!$I$2:$I$513,MATCH(K28,Интервалы!$G$2:$G$513,0)))</f>
        <v/>
      </c>
      <c r="I28" s="8" t="str">
        <f>IF(K28="","",INDEX(Интервалы!$F$2:$F$513,MATCH(K28,Интервалы!$G$2:$G$513,0)))</f>
        <v/>
      </c>
      <c r="J28" s="8" t="str">
        <f>IF(K28="","",INDEX(Интервалы!$H$2:$H$513,MATCH(K28,Интервалы!$G$2:$G$513,0)))</f>
        <v/>
      </c>
      <c r="K28" t="str">
        <f>IFERROR(SMALL(Интервалы!$G$2:$G$513,22),"")</f>
        <v/>
      </c>
      <c r="L28" t="str">
        <f>IF(K28="","",INDEX(Интервалы!$B$2:$B$513,MATCH(K28,Интервалы!$G$2:$G$513,0)))</f>
        <v/>
      </c>
    </row>
    <row r="29" spans="1:17" x14ac:dyDescent="0.3">
      <c r="A29" s="4" t="str">
        <f>IF(K29="","",23)</f>
        <v/>
      </c>
      <c r="B29" s="4" t="str">
        <f>IF(K29="","",INDEX(Интервалы!$A$2:$A$513,MATCH(K29,Интервалы!$G$2:$G$513,0)))</f>
        <v/>
      </c>
      <c r="C29" s="17" t="str">
        <f>IF(K29="","",INDEX(Интервалы!$C$2:$C$513,MATCH(K29,Интервалы!$G$2:$G$513,0)))</f>
        <v/>
      </c>
      <c r="D29" s="17" t="str">
        <f>IF(K29="","",INDEX(Интервалы!$D$2:$D$513,MATCH(K29,Интервалы!$G$2:$G$513,0)))</f>
        <v/>
      </c>
      <c r="E29" s="4" t="str">
        <f t="shared" si="0"/>
        <v/>
      </c>
      <c r="F29" s="8" t="str">
        <f>IF(K29="","",INDEX(Интервалы!$E$2:$E$513,MATCH(K29,Интервалы!$G$2:$G$513,0)))</f>
        <v/>
      </c>
      <c r="G29" s="18" t="str">
        <f>IF(K29="","",IF(H29=1,INDEX('По дням'!$B$2:$B$4000,MATCH(C29,'По дням'!$A$2:$A$4000,0)),"по периодам ставки"))</f>
        <v/>
      </c>
      <c r="H29" s="4" t="str">
        <f>IF(K29="","",INDEX(Интервалы!$I$2:$I$513,MATCH(K29,Интервалы!$G$2:$G$513,0)))</f>
        <v/>
      </c>
      <c r="I29" s="8" t="str">
        <f>IF(K29="","",INDEX(Интервалы!$F$2:$F$513,MATCH(K29,Интервалы!$G$2:$G$513,0)))</f>
        <v/>
      </c>
      <c r="J29" s="8" t="str">
        <f>IF(K29="","",INDEX(Интервалы!$H$2:$H$513,MATCH(K29,Интервалы!$G$2:$G$513,0)))</f>
        <v/>
      </c>
      <c r="K29" t="str">
        <f>IFERROR(SMALL(Интервалы!$G$2:$G$513,23),"")</f>
        <v/>
      </c>
      <c r="L29" t="str">
        <f>IF(K29="","",INDEX(Интервалы!$B$2:$B$513,MATCH(K29,Интервалы!$G$2:$G$513,0)))</f>
        <v/>
      </c>
    </row>
    <row r="30" spans="1:17" x14ac:dyDescent="0.3">
      <c r="A30" s="4" t="str">
        <f>IF(K30="","",24)</f>
        <v/>
      </c>
      <c r="B30" s="4" t="str">
        <f>IF(K30="","",INDEX(Интервалы!$A$2:$A$513,MATCH(K30,Интервалы!$G$2:$G$513,0)))</f>
        <v/>
      </c>
      <c r="C30" s="17" t="str">
        <f>IF(K30="","",INDEX(Интервалы!$C$2:$C$513,MATCH(K30,Интервалы!$G$2:$G$513,0)))</f>
        <v/>
      </c>
      <c r="D30" s="17" t="str">
        <f>IF(K30="","",INDEX(Интервалы!$D$2:$D$513,MATCH(K30,Интервалы!$G$2:$G$513,0)))</f>
        <v/>
      </c>
      <c r="E30" s="4" t="str">
        <f t="shared" si="0"/>
        <v/>
      </c>
      <c r="F30" s="8" t="str">
        <f>IF(K30="","",INDEX(Интервалы!$E$2:$E$513,MATCH(K30,Интервалы!$G$2:$G$513,0)))</f>
        <v/>
      </c>
      <c r="G30" s="18" t="str">
        <f>IF(K30="","",IF(H30=1,INDEX('По дням'!$B$2:$B$4000,MATCH(C30,'По дням'!$A$2:$A$4000,0)),"по периодам ставки"))</f>
        <v/>
      </c>
      <c r="H30" s="4" t="str">
        <f>IF(K30="","",INDEX(Интервалы!$I$2:$I$513,MATCH(K30,Интервалы!$G$2:$G$513,0)))</f>
        <v/>
      </c>
      <c r="I30" s="8" t="str">
        <f>IF(K30="","",INDEX(Интервалы!$F$2:$F$513,MATCH(K30,Интервалы!$G$2:$G$513,0)))</f>
        <v/>
      </c>
      <c r="J30" s="8" t="str">
        <f>IF(K30="","",INDEX(Интервалы!$H$2:$H$513,MATCH(K30,Интервалы!$G$2:$G$513,0)))</f>
        <v/>
      </c>
      <c r="K30" t="str">
        <f>IFERROR(SMALL(Интервалы!$G$2:$G$513,24),"")</f>
        <v/>
      </c>
      <c r="L30" t="str">
        <f>IF(K30="","",INDEX(Интервалы!$B$2:$B$513,MATCH(K30,Интервалы!$G$2:$G$513,0)))</f>
        <v/>
      </c>
    </row>
    <row r="31" spans="1:17" x14ac:dyDescent="0.3">
      <c r="A31" s="4" t="str">
        <f>IF(K31="","",25)</f>
        <v/>
      </c>
      <c r="B31" s="4" t="str">
        <f>IF(K31="","",INDEX(Интервалы!$A$2:$A$513,MATCH(K31,Интервалы!$G$2:$G$513,0)))</f>
        <v/>
      </c>
      <c r="C31" s="17" t="str">
        <f>IF(K31="","",INDEX(Интервалы!$C$2:$C$513,MATCH(K31,Интервалы!$G$2:$G$513,0)))</f>
        <v/>
      </c>
      <c r="D31" s="17" t="str">
        <f>IF(K31="","",INDEX(Интервалы!$D$2:$D$513,MATCH(K31,Интервалы!$G$2:$G$513,0)))</f>
        <v/>
      </c>
      <c r="E31" s="4" t="str">
        <f t="shared" si="0"/>
        <v/>
      </c>
      <c r="F31" s="8" t="str">
        <f>IF(K31="","",INDEX(Интервалы!$E$2:$E$513,MATCH(K31,Интервалы!$G$2:$G$513,0)))</f>
        <v/>
      </c>
      <c r="G31" s="18" t="str">
        <f>IF(K31="","",IF(H31=1,INDEX('По дням'!$B$2:$B$4000,MATCH(C31,'По дням'!$A$2:$A$4000,0)),"по периодам ставки"))</f>
        <v/>
      </c>
      <c r="H31" s="4" t="str">
        <f>IF(K31="","",INDEX(Интервалы!$I$2:$I$513,MATCH(K31,Интервалы!$G$2:$G$513,0)))</f>
        <v/>
      </c>
      <c r="I31" s="8" t="str">
        <f>IF(K31="","",INDEX(Интервалы!$F$2:$F$513,MATCH(K31,Интервалы!$G$2:$G$513,0)))</f>
        <v/>
      </c>
      <c r="J31" s="8" t="str">
        <f>IF(K31="","",INDEX(Интервалы!$H$2:$H$513,MATCH(K31,Интервалы!$G$2:$G$513,0)))</f>
        <v/>
      </c>
      <c r="K31" t="str">
        <f>IFERROR(SMALL(Интервалы!$G$2:$G$513,25),"")</f>
        <v/>
      </c>
      <c r="L31" t="str">
        <f>IF(K31="","",INDEX(Интервалы!$B$2:$B$513,MATCH(K31,Интервалы!$G$2:$G$513,0)))</f>
        <v/>
      </c>
    </row>
    <row r="32" spans="1:17" x14ac:dyDescent="0.3">
      <c r="A32" s="4" t="str">
        <f>IF(K32="","",26)</f>
        <v/>
      </c>
      <c r="B32" s="4" t="str">
        <f>IF(K32="","",INDEX(Интервалы!$A$2:$A$513,MATCH(K32,Интервалы!$G$2:$G$513,0)))</f>
        <v/>
      </c>
      <c r="C32" s="17" t="str">
        <f>IF(K32="","",INDEX(Интервалы!$C$2:$C$513,MATCH(K32,Интервалы!$G$2:$G$513,0)))</f>
        <v/>
      </c>
      <c r="D32" s="17" t="str">
        <f>IF(K32="","",INDEX(Интервалы!$D$2:$D$513,MATCH(K32,Интервалы!$G$2:$G$513,0)))</f>
        <v/>
      </c>
      <c r="E32" s="4" t="str">
        <f t="shared" si="0"/>
        <v/>
      </c>
      <c r="F32" s="8" t="str">
        <f>IF(K32="","",INDEX(Интервалы!$E$2:$E$513,MATCH(K32,Интервалы!$G$2:$G$513,0)))</f>
        <v/>
      </c>
      <c r="G32" s="18" t="str">
        <f>IF(K32="","",IF(H32=1,INDEX('По дням'!$B$2:$B$4000,MATCH(C32,'По дням'!$A$2:$A$4000,0)),"по периодам ставки"))</f>
        <v/>
      </c>
      <c r="H32" s="4" t="str">
        <f>IF(K32="","",INDEX(Интервалы!$I$2:$I$513,MATCH(K32,Интервалы!$G$2:$G$513,0)))</f>
        <v/>
      </c>
      <c r="I32" s="8" t="str">
        <f>IF(K32="","",INDEX(Интервалы!$F$2:$F$513,MATCH(K32,Интервалы!$G$2:$G$513,0)))</f>
        <v/>
      </c>
      <c r="J32" s="8" t="str">
        <f>IF(K32="","",INDEX(Интервалы!$H$2:$H$513,MATCH(K32,Интервалы!$G$2:$G$513,0)))</f>
        <v/>
      </c>
      <c r="K32" t="str">
        <f>IFERROR(SMALL(Интервалы!$G$2:$G$513,26),"")</f>
        <v/>
      </c>
      <c r="L32" t="str">
        <f>IF(K32="","",INDEX(Интервалы!$B$2:$B$513,MATCH(K32,Интервалы!$G$2:$G$513,0)))</f>
        <v/>
      </c>
    </row>
    <row r="33" spans="1:12" x14ac:dyDescent="0.3">
      <c r="A33" s="4" t="str">
        <f>IF(K33="","",27)</f>
        <v/>
      </c>
      <c r="B33" s="4" t="str">
        <f>IF(K33="","",INDEX(Интервалы!$A$2:$A$513,MATCH(K33,Интервалы!$G$2:$G$513,0)))</f>
        <v/>
      </c>
      <c r="C33" s="17" t="str">
        <f>IF(K33="","",INDEX(Интервалы!$C$2:$C$513,MATCH(K33,Интервалы!$G$2:$G$513,0)))</f>
        <v/>
      </c>
      <c r="D33" s="17" t="str">
        <f>IF(K33="","",INDEX(Интервалы!$D$2:$D$513,MATCH(K33,Интервалы!$G$2:$G$513,0)))</f>
        <v/>
      </c>
      <c r="E33" s="4" t="str">
        <f t="shared" si="0"/>
        <v/>
      </c>
      <c r="F33" s="8" t="str">
        <f>IF(K33="","",INDEX(Интервалы!$E$2:$E$513,MATCH(K33,Интервалы!$G$2:$G$513,0)))</f>
        <v/>
      </c>
      <c r="G33" s="18" t="str">
        <f>IF(K33="","",IF(H33=1,INDEX('По дням'!$B$2:$B$4000,MATCH(C33,'По дням'!$A$2:$A$4000,0)),"по периодам ставки"))</f>
        <v/>
      </c>
      <c r="H33" s="4" t="str">
        <f>IF(K33="","",INDEX(Интервалы!$I$2:$I$513,MATCH(K33,Интервалы!$G$2:$G$513,0)))</f>
        <v/>
      </c>
      <c r="I33" s="8" t="str">
        <f>IF(K33="","",INDEX(Интервалы!$F$2:$F$513,MATCH(K33,Интервалы!$G$2:$G$513,0)))</f>
        <v/>
      </c>
      <c r="J33" s="8" t="str">
        <f>IF(K33="","",INDEX(Интервалы!$H$2:$H$513,MATCH(K33,Интервалы!$G$2:$G$513,0)))</f>
        <v/>
      </c>
      <c r="K33" t="str">
        <f>IFERROR(SMALL(Интервалы!$G$2:$G$513,27),"")</f>
        <v/>
      </c>
      <c r="L33" t="str">
        <f>IF(K33="","",INDEX(Интервалы!$B$2:$B$513,MATCH(K33,Интервалы!$G$2:$G$513,0)))</f>
        <v/>
      </c>
    </row>
    <row r="34" spans="1:12" x14ac:dyDescent="0.3">
      <c r="A34" s="4" t="str">
        <f>IF(K34="","",28)</f>
        <v/>
      </c>
      <c r="B34" s="4" t="str">
        <f>IF(K34="","",INDEX(Интервалы!$A$2:$A$513,MATCH(K34,Интервалы!$G$2:$G$513,0)))</f>
        <v/>
      </c>
      <c r="C34" s="17" t="str">
        <f>IF(K34="","",INDEX(Интервалы!$C$2:$C$513,MATCH(K34,Интервалы!$G$2:$G$513,0)))</f>
        <v/>
      </c>
      <c r="D34" s="17" t="str">
        <f>IF(K34="","",INDEX(Интервалы!$D$2:$D$513,MATCH(K34,Интервалы!$G$2:$G$513,0)))</f>
        <v/>
      </c>
      <c r="E34" s="4" t="str">
        <f t="shared" si="0"/>
        <v/>
      </c>
      <c r="F34" s="8" t="str">
        <f>IF(K34="","",INDEX(Интервалы!$E$2:$E$513,MATCH(K34,Интервалы!$G$2:$G$513,0)))</f>
        <v/>
      </c>
      <c r="G34" s="18" t="str">
        <f>IF(K34="","",IF(H34=1,INDEX('По дням'!$B$2:$B$4000,MATCH(C34,'По дням'!$A$2:$A$4000,0)),"по периодам ставки"))</f>
        <v/>
      </c>
      <c r="H34" s="4" t="str">
        <f>IF(K34="","",INDEX(Интервалы!$I$2:$I$513,MATCH(K34,Интервалы!$G$2:$G$513,0)))</f>
        <v/>
      </c>
      <c r="I34" s="8" t="str">
        <f>IF(K34="","",INDEX(Интервалы!$F$2:$F$513,MATCH(K34,Интервалы!$G$2:$G$513,0)))</f>
        <v/>
      </c>
      <c r="J34" s="8" t="str">
        <f>IF(K34="","",INDEX(Интервалы!$H$2:$H$513,MATCH(K34,Интервалы!$G$2:$G$513,0)))</f>
        <v/>
      </c>
      <c r="K34" t="str">
        <f>IFERROR(SMALL(Интервалы!$G$2:$G$513,28),"")</f>
        <v/>
      </c>
      <c r="L34" t="str">
        <f>IF(K34="","",INDEX(Интервалы!$B$2:$B$513,MATCH(K34,Интервалы!$G$2:$G$513,0)))</f>
        <v/>
      </c>
    </row>
    <row r="35" spans="1:12" x14ac:dyDescent="0.3">
      <c r="A35" s="4" t="str">
        <f>IF(K35="","",29)</f>
        <v/>
      </c>
      <c r="B35" s="4" t="str">
        <f>IF(K35="","",INDEX(Интервалы!$A$2:$A$513,MATCH(K35,Интервалы!$G$2:$G$513,0)))</f>
        <v/>
      </c>
      <c r="C35" s="17" t="str">
        <f>IF(K35="","",INDEX(Интервалы!$C$2:$C$513,MATCH(K35,Интервалы!$G$2:$G$513,0)))</f>
        <v/>
      </c>
      <c r="D35" s="17" t="str">
        <f>IF(K35="","",INDEX(Интервалы!$D$2:$D$513,MATCH(K35,Интервалы!$G$2:$G$513,0)))</f>
        <v/>
      </c>
      <c r="E35" s="4" t="str">
        <f t="shared" si="0"/>
        <v/>
      </c>
      <c r="F35" s="8" t="str">
        <f>IF(K35="","",INDEX(Интервалы!$E$2:$E$513,MATCH(K35,Интервалы!$G$2:$G$513,0)))</f>
        <v/>
      </c>
      <c r="G35" s="18" t="str">
        <f>IF(K35="","",IF(H35=1,INDEX('По дням'!$B$2:$B$4000,MATCH(C35,'По дням'!$A$2:$A$4000,0)),"по периодам ставки"))</f>
        <v/>
      </c>
      <c r="H35" s="4" t="str">
        <f>IF(K35="","",INDEX(Интервалы!$I$2:$I$513,MATCH(K35,Интервалы!$G$2:$G$513,0)))</f>
        <v/>
      </c>
      <c r="I35" s="8" t="str">
        <f>IF(K35="","",INDEX(Интервалы!$F$2:$F$513,MATCH(K35,Интервалы!$G$2:$G$513,0)))</f>
        <v/>
      </c>
      <c r="J35" s="8" t="str">
        <f>IF(K35="","",INDEX(Интервалы!$H$2:$H$513,MATCH(K35,Интервалы!$G$2:$G$513,0)))</f>
        <v/>
      </c>
      <c r="K35" t="str">
        <f>IFERROR(SMALL(Интервалы!$G$2:$G$513,29),"")</f>
        <v/>
      </c>
      <c r="L35" t="str">
        <f>IF(K35="","",INDEX(Интервалы!$B$2:$B$513,MATCH(K35,Интервалы!$G$2:$G$513,0)))</f>
        <v/>
      </c>
    </row>
    <row r="36" spans="1:12" x14ac:dyDescent="0.3">
      <c r="A36" s="4" t="str">
        <f>IF(K36="","",30)</f>
        <v/>
      </c>
      <c r="B36" s="4" t="str">
        <f>IF(K36="","",INDEX(Интервалы!$A$2:$A$513,MATCH(K36,Интервалы!$G$2:$G$513,0)))</f>
        <v/>
      </c>
      <c r="C36" s="17" t="str">
        <f>IF(K36="","",INDEX(Интервалы!$C$2:$C$513,MATCH(K36,Интервалы!$G$2:$G$513,0)))</f>
        <v/>
      </c>
      <c r="D36" s="17" t="str">
        <f>IF(K36="","",INDEX(Интервалы!$D$2:$D$513,MATCH(K36,Интервалы!$G$2:$G$513,0)))</f>
        <v/>
      </c>
      <c r="E36" s="4" t="str">
        <f t="shared" si="0"/>
        <v/>
      </c>
      <c r="F36" s="8" t="str">
        <f>IF(K36="","",INDEX(Интервалы!$E$2:$E$513,MATCH(K36,Интервалы!$G$2:$G$513,0)))</f>
        <v/>
      </c>
      <c r="G36" s="18" t="str">
        <f>IF(K36="","",IF(H36=1,INDEX('По дням'!$B$2:$B$4000,MATCH(C36,'По дням'!$A$2:$A$4000,0)),"по периодам ставки"))</f>
        <v/>
      </c>
      <c r="H36" s="4" t="str">
        <f>IF(K36="","",INDEX(Интервалы!$I$2:$I$513,MATCH(K36,Интервалы!$G$2:$G$513,0)))</f>
        <v/>
      </c>
      <c r="I36" s="8" t="str">
        <f>IF(K36="","",INDEX(Интервалы!$F$2:$F$513,MATCH(K36,Интервалы!$G$2:$G$513,0)))</f>
        <v/>
      </c>
      <c r="J36" s="8" t="str">
        <f>IF(K36="","",INDEX(Интервалы!$H$2:$H$513,MATCH(K36,Интервалы!$G$2:$G$513,0)))</f>
        <v/>
      </c>
      <c r="K36" t="str">
        <f>IFERROR(SMALL(Интервалы!$G$2:$G$513,30),"")</f>
        <v/>
      </c>
      <c r="L36" t="str">
        <f>IF(K36="","",INDEX(Интервалы!$B$2:$B$513,MATCH(K36,Интервалы!$G$2:$G$513,0)))</f>
        <v/>
      </c>
    </row>
    <row r="37" spans="1:12" x14ac:dyDescent="0.3">
      <c r="A37" s="4" t="str">
        <f>IF(K37="","",31)</f>
        <v/>
      </c>
      <c r="B37" s="4" t="str">
        <f>IF(K37="","",INDEX(Интервалы!$A$2:$A$513,MATCH(K37,Интервалы!$G$2:$G$513,0)))</f>
        <v/>
      </c>
      <c r="C37" s="17" t="str">
        <f>IF(K37="","",INDEX(Интервалы!$C$2:$C$513,MATCH(K37,Интервалы!$G$2:$G$513,0)))</f>
        <v/>
      </c>
      <c r="D37" s="17" t="str">
        <f>IF(K37="","",INDEX(Интервалы!$D$2:$D$513,MATCH(K37,Интервалы!$G$2:$G$513,0)))</f>
        <v/>
      </c>
      <c r="E37" s="4" t="str">
        <f t="shared" si="0"/>
        <v/>
      </c>
      <c r="F37" s="8" t="str">
        <f>IF(K37="","",INDEX(Интервалы!$E$2:$E$513,MATCH(K37,Интервалы!$G$2:$G$513,0)))</f>
        <v/>
      </c>
      <c r="G37" s="18" t="str">
        <f>IF(K37="","",IF(H37=1,INDEX('По дням'!$B$2:$B$4000,MATCH(C37,'По дням'!$A$2:$A$4000,0)),"по периодам ставки"))</f>
        <v/>
      </c>
      <c r="H37" s="4" t="str">
        <f>IF(K37="","",INDEX(Интервалы!$I$2:$I$513,MATCH(K37,Интервалы!$G$2:$G$513,0)))</f>
        <v/>
      </c>
      <c r="I37" s="8" t="str">
        <f>IF(K37="","",INDEX(Интервалы!$F$2:$F$513,MATCH(K37,Интервалы!$G$2:$G$513,0)))</f>
        <v/>
      </c>
      <c r="J37" s="8" t="str">
        <f>IF(K37="","",INDEX(Интервалы!$H$2:$H$513,MATCH(K37,Интервалы!$G$2:$G$513,0)))</f>
        <v/>
      </c>
      <c r="K37" t="str">
        <f>IFERROR(SMALL(Интервалы!$G$2:$G$513,31),"")</f>
        <v/>
      </c>
      <c r="L37" t="str">
        <f>IF(K37="","",INDEX(Интервалы!$B$2:$B$513,MATCH(K37,Интервалы!$G$2:$G$513,0)))</f>
        <v/>
      </c>
    </row>
    <row r="38" spans="1:12" x14ac:dyDescent="0.3">
      <c r="A38" s="4" t="str">
        <f>IF(K38="","",32)</f>
        <v/>
      </c>
      <c r="B38" s="4" t="str">
        <f>IF(K38="","",INDEX(Интервалы!$A$2:$A$513,MATCH(K38,Интервалы!$G$2:$G$513,0)))</f>
        <v/>
      </c>
      <c r="C38" s="17" t="str">
        <f>IF(K38="","",INDEX(Интервалы!$C$2:$C$513,MATCH(K38,Интервалы!$G$2:$G$513,0)))</f>
        <v/>
      </c>
      <c r="D38" s="17" t="str">
        <f>IF(K38="","",INDEX(Интервалы!$D$2:$D$513,MATCH(K38,Интервалы!$G$2:$G$513,0)))</f>
        <v/>
      </c>
      <c r="E38" s="4" t="str">
        <f t="shared" si="0"/>
        <v/>
      </c>
      <c r="F38" s="8" t="str">
        <f>IF(K38="","",INDEX(Интервалы!$E$2:$E$513,MATCH(K38,Интервалы!$G$2:$G$513,0)))</f>
        <v/>
      </c>
      <c r="G38" s="18" t="str">
        <f>IF(K38="","",IF(H38=1,INDEX('По дням'!$B$2:$B$4000,MATCH(C38,'По дням'!$A$2:$A$4000,0)),"по периодам ставки"))</f>
        <v/>
      </c>
      <c r="H38" s="4" t="str">
        <f>IF(K38="","",INDEX(Интервалы!$I$2:$I$513,MATCH(K38,Интервалы!$G$2:$G$513,0)))</f>
        <v/>
      </c>
      <c r="I38" s="8" t="str">
        <f>IF(K38="","",INDEX(Интервалы!$F$2:$F$513,MATCH(K38,Интервалы!$G$2:$G$513,0)))</f>
        <v/>
      </c>
      <c r="J38" s="8" t="str">
        <f>IF(K38="","",INDEX(Интервалы!$H$2:$H$513,MATCH(K38,Интервалы!$G$2:$G$513,0)))</f>
        <v/>
      </c>
      <c r="K38" t="str">
        <f>IFERROR(SMALL(Интервалы!$G$2:$G$513,32),"")</f>
        <v/>
      </c>
      <c r="L38" t="str">
        <f>IF(K38="","",INDEX(Интервалы!$B$2:$B$513,MATCH(K38,Интервалы!$G$2:$G$513,0)))</f>
        <v/>
      </c>
    </row>
    <row r="39" spans="1:12" x14ac:dyDescent="0.3">
      <c r="A39" s="4" t="str">
        <f>IF(K39="","",33)</f>
        <v/>
      </c>
      <c r="B39" s="4" t="str">
        <f>IF(K39="","",INDEX(Интервалы!$A$2:$A$513,MATCH(K39,Интервалы!$G$2:$G$513,0)))</f>
        <v/>
      </c>
      <c r="C39" s="17" t="str">
        <f>IF(K39="","",INDEX(Интервалы!$C$2:$C$513,MATCH(K39,Интервалы!$G$2:$G$513,0)))</f>
        <v/>
      </c>
      <c r="D39" s="17" t="str">
        <f>IF(K39="","",INDEX(Интервалы!$D$2:$D$513,MATCH(K39,Интервалы!$G$2:$G$513,0)))</f>
        <v/>
      </c>
      <c r="E39" s="4" t="str">
        <f t="shared" si="0"/>
        <v/>
      </c>
      <c r="F39" s="8" t="str">
        <f>IF(K39="","",INDEX(Интервалы!$E$2:$E$513,MATCH(K39,Интервалы!$G$2:$G$513,0)))</f>
        <v/>
      </c>
      <c r="G39" s="18" t="str">
        <f>IF(K39="","",IF(H39=1,INDEX('По дням'!$B$2:$B$4000,MATCH(C39,'По дням'!$A$2:$A$4000,0)),"по периодам ставки"))</f>
        <v/>
      </c>
      <c r="H39" s="4" t="str">
        <f>IF(K39="","",INDEX(Интервалы!$I$2:$I$513,MATCH(K39,Интервалы!$G$2:$G$513,0)))</f>
        <v/>
      </c>
      <c r="I39" s="8" t="str">
        <f>IF(K39="","",INDEX(Интервалы!$F$2:$F$513,MATCH(K39,Интервалы!$G$2:$G$513,0)))</f>
        <v/>
      </c>
      <c r="J39" s="8" t="str">
        <f>IF(K39="","",INDEX(Интервалы!$H$2:$H$513,MATCH(K39,Интервалы!$G$2:$G$513,0)))</f>
        <v/>
      </c>
      <c r="K39" t="str">
        <f>IFERROR(SMALL(Интервалы!$G$2:$G$513,33),"")</f>
        <v/>
      </c>
      <c r="L39" t="str">
        <f>IF(K39="","",INDEX(Интервалы!$B$2:$B$513,MATCH(K39,Интервалы!$G$2:$G$513,0)))</f>
        <v/>
      </c>
    </row>
    <row r="40" spans="1:12" x14ac:dyDescent="0.3">
      <c r="A40" s="4" t="str">
        <f>IF(K40="","",34)</f>
        <v/>
      </c>
      <c r="B40" s="4" t="str">
        <f>IF(K40="","",INDEX(Интервалы!$A$2:$A$513,MATCH(K40,Интервалы!$G$2:$G$513,0)))</f>
        <v/>
      </c>
      <c r="C40" s="17" t="str">
        <f>IF(K40="","",INDEX(Интервалы!$C$2:$C$513,MATCH(K40,Интервалы!$G$2:$G$513,0)))</f>
        <v/>
      </c>
      <c r="D40" s="17" t="str">
        <f>IF(K40="","",INDEX(Интервалы!$D$2:$D$513,MATCH(K40,Интервалы!$G$2:$G$513,0)))</f>
        <v/>
      </c>
      <c r="E40" s="4" t="str">
        <f t="shared" si="0"/>
        <v/>
      </c>
      <c r="F40" s="8" t="str">
        <f>IF(K40="","",INDEX(Интервалы!$E$2:$E$513,MATCH(K40,Интервалы!$G$2:$G$513,0)))</f>
        <v/>
      </c>
      <c r="G40" s="18" t="str">
        <f>IF(K40="","",IF(H40=1,INDEX('По дням'!$B$2:$B$4000,MATCH(C40,'По дням'!$A$2:$A$4000,0)),"по периодам ставки"))</f>
        <v/>
      </c>
      <c r="H40" s="4" t="str">
        <f>IF(K40="","",INDEX(Интервалы!$I$2:$I$513,MATCH(K40,Интервалы!$G$2:$G$513,0)))</f>
        <v/>
      </c>
      <c r="I40" s="8" t="str">
        <f>IF(K40="","",INDEX(Интервалы!$F$2:$F$513,MATCH(K40,Интервалы!$G$2:$G$513,0)))</f>
        <v/>
      </c>
      <c r="J40" s="8" t="str">
        <f>IF(K40="","",INDEX(Интервалы!$H$2:$H$513,MATCH(K40,Интервалы!$G$2:$G$513,0)))</f>
        <v/>
      </c>
      <c r="K40" t="str">
        <f>IFERROR(SMALL(Интервалы!$G$2:$G$513,34),"")</f>
        <v/>
      </c>
      <c r="L40" t="str">
        <f>IF(K40="","",INDEX(Интервалы!$B$2:$B$513,MATCH(K40,Интервалы!$G$2:$G$513,0)))</f>
        <v/>
      </c>
    </row>
    <row r="41" spans="1:12" x14ac:dyDescent="0.3">
      <c r="A41" s="4" t="str">
        <f>IF(K41="","",35)</f>
        <v/>
      </c>
      <c r="B41" s="4" t="str">
        <f>IF(K41="","",INDEX(Интервалы!$A$2:$A$513,MATCH(K41,Интервалы!$G$2:$G$513,0)))</f>
        <v/>
      </c>
      <c r="C41" s="17" t="str">
        <f>IF(K41="","",INDEX(Интервалы!$C$2:$C$513,MATCH(K41,Интервалы!$G$2:$G$513,0)))</f>
        <v/>
      </c>
      <c r="D41" s="17" t="str">
        <f>IF(K41="","",INDEX(Интервалы!$D$2:$D$513,MATCH(K41,Интервалы!$G$2:$G$513,0)))</f>
        <v/>
      </c>
      <c r="E41" s="4" t="str">
        <f t="shared" si="0"/>
        <v/>
      </c>
      <c r="F41" s="8" t="str">
        <f>IF(K41="","",INDEX(Интервалы!$E$2:$E$513,MATCH(K41,Интервалы!$G$2:$G$513,0)))</f>
        <v/>
      </c>
      <c r="G41" s="18" t="str">
        <f>IF(K41="","",IF(H41=1,INDEX('По дням'!$B$2:$B$4000,MATCH(C41,'По дням'!$A$2:$A$4000,0)),"по периодам ставки"))</f>
        <v/>
      </c>
      <c r="H41" s="4" t="str">
        <f>IF(K41="","",INDEX(Интервалы!$I$2:$I$513,MATCH(K41,Интервалы!$G$2:$G$513,0)))</f>
        <v/>
      </c>
      <c r="I41" s="8" t="str">
        <f>IF(K41="","",INDEX(Интервалы!$F$2:$F$513,MATCH(K41,Интервалы!$G$2:$G$513,0)))</f>
        <v/>
      </c>
      <c r="J41" s="8" t="str">
        <f>IF(K41="","",INDEX(Интервалы!$H$2:$H$513,MATCH(K41,Интервалы!$G$2:$G$513,0)))</f>
        <v/>
      </c>
      <c r="K41" t="str">
        <f>IFERROR(SMALL(Интервалы!$G$2:$G$513,35),"")</f>
        <v/>
      </c>
      <c r="L41" t="str">
        <f>IF(K41="","",INDEX(Интервалы!$B$2:$B$513,MATCH(K41,Интервалы!$G$2:$G$513,0)))</f>
        <v/>
      </c>
    </row>
    <row r="42" spans="1:12" x14ac:dyDescent="0.3">
      <c r="A42" s="4" t="str">
        <f>IF(K42="","",36)</f>
        <v/>
      </c>
      <c r="B42" s="4" t="str">
        <f>IF(K42="","",INDEX(Интервалы!$A$2:$A$513,MATCH(K42,Интервалы!$G$2:$G$513,0)))</f>
        <v/>
      </c>
      <c r="C42" s="17" t="str">
        <f>IF(K42="","",INDEX(Интервалы!$C$2:$C$513,MATCH(K42,Интервалы!$G$2:$G$513,0)))</f>
        <v/>
      </c>
      <c r="D42" s="17" t="str">
        <f>IF(K42="","",INDEX(Интервалы!$D$2:$D$513,MATCH(K42,Интервалы!$G$2:$G$513,0)))</f>
        <v/>
      </c>
      <c r="E42" s="4" t="str">
        <f t="shared" si="0"/>
        <v/>
      </c>
      <c r="F42" s="8" t="str">
        <f>IF(K42="","",INDEX(Интервалы!$E$2:$E$513,MATCH(K42,Интервалы!$G$2:$G$513,0)))</f>
        <v/>
      </c>
      <c r="G42" s="18" t="str">
        <f>IF(K42="","",IF(H42=1,INDEX('По дням'!$B$2:$B$4000,MATCH(C42,'По дням'!$A$2:$A$4000,0)),"по периодам ставки"))</f>
        <v/>
      </c>
      <c r="H42" s="4" t="str">
        <f>IF(K42="","",INDEX(Интервалы!$I$2:$I$513,MATCH(K42,Интервалы!$G$2:$G$513,0)))</f>
        <v/>
      </c>
      <c r="I42" s="8" t="str">
        <f>IF(K42="","",INDEX(Интервалы!$F$2:$F$513,MATCH(K42,Интервалы!$G$2:$G$513,0)))</f>
        <v/>
      </c>
      <c r="J42" s="8" t="str">
        <f>IF(K42="","",INDEX(Интервалы!$H$2:$H$513,MATCH(K42,Интервалы!$G$2:$G$513,0)))</f>
        <v/>
      </c>
      <c r="K42" t="str">
        <f>IFERROR(SMALL(Интервалы!$G$2:$G$513,36),"")</f>
        <v/>
      </c>
      <c r="L42" t="str">
        <f>IF(K42="","",INDEX(Интервалы!$B$2:$B$513,MATCH(K42,Интервалы!$G$2:$G$513,0)))</f>
        <v/>
      </c>
    </row>
    <row r="43" spans="1:12" x14ac:dyDescent="0.3">
      <c r="A43" s="4" t="str">
        <f>IF(K43="","",37)</f>
        <v/>
      </c>
      <c r="B43" s="4" t="str">
        <f>IF(K43="","",INDEX(Интервалы!$A$2:$A$513,MATCH(K43,Интервалы!$G$2:$G$513,0)))</f>
        <v/>
      </c>
      <c r="C43" s="17" t="str">
        <f>IF(K43="","",INDEX(Интервалы!$C$2:$C$513,MATCH(K43,Интервалы!$G$2:$G$513,0)))</f>
        <v/>
      </c>
      <c r="D43" s="17" t="str">
        <f>IF(K43="","",INDEX(Интервалы!$D$2:$D$513,MATCH(K43,Интервалы!$G$2:$G$513,0)))</f>
        <v/>
      </c>
      <c r="E43" s="4" t="str">
        <f t="shared" si="0"/>
        <v/>
      </c>
      <c r="F43" s="8" t="str">
        <f>IF(K43="","",INDEX(Интервалы!$E$2:$E$513,MATCH(K43,Интервалы!$G$2:$G$513,0)))</f>
        <v/>
      </c>
      <c r="G43" s="18" t="str">
        <f>IF(K43="","",IF(H43=1,INDEX('По дням'!$B$2:$B$4000,MATCH(C43,'По дням'!$A$2:$A$4000,0)),"по периодам ставки"))</f>
        <v/>
      </c>
      <c r="H43" s="4" t="str">
        <f>IF(K43="","",INDEX(Интервалы!$I$2:$I$513,MATCH(K43,Интервалы!$G$2:$G$513,0)))</f>
        <v/>
      </c>
      <c r="I43" s="8" t="str">
        <f>IF(K43="","",INDEX(Интервалы!$F$2:$F$513,MATCH(K43,Интервалы!$G$2:$G$513,0)))</f>
        <v/>
      </c>
      <c r="J43" s="8" t="str">
        <f>IF(K43="","",INDEX(Интервалы!$H$2:$H$513,MATCH(K43,Интервалы!$G$2:$G$513,0)))</f>
        <v/>
      </c>
      <c r="K43" t="str">
        <f>IFERROR(SMALL(Интервалы!$G$2:$G$513,37),"")</f>
        <v/>
      </c>
      <c r="L43" t="str">
        <f>IF(K43="","",INDEX(Интервалы!$B$2:$B$513,MATCH(K43,Интервалы!$G$2:$G$513,0)))</f>
        <v/>
      </c>
    </row>
    <row r="44" spans="1:12" x14ac:dyDescent="0.3">
      <c r="A44" s="4" t="str">
        <f>IF(K44="","",38)</f>
        <v/>
      </c>
      <c r="B44" s="4" t="str">
        <f>IF(K44="","",INDEX(Интервалы!$A$2:$A$513,MATCH(K44,Интервалы!$G$2:$G$513,0)))</f>
        <v/>
      </c>
      <c r="C44" s="17" t="str">
        <f>IF(K44="","",INDEX(Интервалы!$C$2:$C$513,MATCH(K44,Интервалы!$G$2:$G$513,0)))</f>
        <v/>
      </c>
      <c r="D44" s="17" t="str">
        <f>IF(K44="","",INDEX(Интервалы!$D$2:$D$513,MATCH(K44,Интервалы!$G$2:$G$513,0)))</f>
        <v/>
      </c>
      <c r="E44" s="4" t="str">
        <f t="shared" si="0"/>
        <v/>
      </c>
      <c r="F44" s="8" t="str">
        <f>IF(K44="","",INDEX(Интервалы!$E$2:$E$513,MATCH(K44,Интервалы!$G$2:$G$513,0)))</f>
        <v/>
      </c>
      <c r="G44" s="18" t="str">
        <f>IF(K44="","",IF(H44=1,INDEX('По дням'!$B$2:$B$4000,MATCH(C44,'По дням'!$A$2:$A$4000,0)),"по периодам ставки"))</f>
        <v/>
      </c>
      <c r="H44" s="4" t="str">
        <f>IF(K44="","",INDEX(Интервалы!$I$2:$I$513,MATCH(K44,Интервалы!$G$2:$G$513,0)))</f>
        <v/>
      </c>
      <c r="I44" s="8" t="str">
        <f>IF(K44="","",INDEX(Интервалы!$F$2:$F$513,MATCH(K44,Интервалы!$G$2:$G$513,0)))</f>
        <v/>
      </c>
      <c r="J44" s="8" t="str">
        <f>IF(K44="","",INDEX(Интервалы!$H$2:$H$513,MATCH(K44,Интервалы!$G$2:$G$513,0)))</f>
        <v/>
      </c>
      <c r="K44" t="str">
        <f>IFERROR(SMALL(Интервалы!$G$2:$G$513,38),"")</f>
        <v/>
      </c>
      <c r="L44" t="str">
        <f>IF(K44="","",INDEX(Интервалы!$B$2:$B$513,MATCH(K44,Интервалы!$G$2:$G$513,0)))</f>
        <v/>
      </c>
    </row>
    <row r="45" spans="1:12" x14ac:dyDescent="0.3">
      <c r="A45" s="4" t="str">
        <f>IF(K45="","",39)</f>
        <v/>
      </c>
      <c r="B45" s="4" t="str">
        <f>IF(K45="","",INDEX(Интервалы!$A$2:$A$513,MATCH(K45,Интервалы!$G$2:$G$513,0)))</f>
        <v/>
      </c>
      <c r="C45" s="17" t="str">
        <f>IF(K45="","",INDEX(Интервалы!$C$2:$C$513,MATCH(K45,Интервалы!$G$2:$G$513,0)))</f>
        <v/>
      </c>
      <c r="D45" s="17" t="str">
        <f>IF(K45="","",INDEX(Интервалы!$D$2:$D$513,MATCH(K45,Интервалы!$G$2:$G$513,0)))</f>
        <v/>
      </c>
      <c r="E45" s="4" t="str">
        <f t="shared" si="0"/>
        <v/>
      </c>
      <c r="F45" s="8" t="str">
        <f>IF(K45="","",INDEX(Интервалы!$E$2:$E$513,MATCH(K45,Интервалы!$G$2:$G$513,0)))</f>
        <v/>
      </c>
      <c r="G45" s="18" t="str">
        <f>IF(K45="","",IF(H45=1,INDEX('По дням'!$B$2:$B$4000,MATCH(C45,'По дням'!$A$2:$A$4000,0)),"по периодам ставки"))</f>
        <v/>
      </c>
      <c r="H45" s="4" t="str">
        <f>IF(K45="","",INDEX(Интервалы!$I$2:$I$513,MATCH(K45,Интервалы!$G$2:$G$513,0)))</f>
        <v/>
      </c>
      <c r="I45" s="8" t="str">
        <f>IF(K45="","",INDEX(Интервалы!$F$2:$F$513,MATCH(K45,Интервалы!$G$2:$G$513,0)))</f>
        <v/>
      </c>
      <c r="J45" s="8" t="str">
        <f>IF(K45="","",INDEX(Интервалы!$H$2:$H$513,MATCH(K45,Интервалы!$G$2:$G$513,0)))</f>
        <v/>
      </c>
      <c r="K45" t="str">
        <f>IFERROR(SMALL(Интервалы!$G$2:$G$513,39),"")</f>
        <v/>
      </c>
      <c r="L45" t="str">
        <f>IF(K45="","",INDEX(Интервалы!$B$2:$B$513,MATCH(K45,Интервалы!$G$2:$G$513,0)))</f>
        <v/>
      </c>
    </row>
    <row r="46" spans="1:12" x14ac:dyDescent="0.3">
      <c r="A46" s="4" t="str">
        <f>IF(K46="","",40)</f>
        <v/>
      </c>
      <c r="B46" s="4" t="str">
        <f>IF(K46="","",INDEX(Интервалы!$A$2:$A$513,MATCH(K46,Интервалы!$G$2:$G$513,0)))</f>
        <v/>
      </c>
      <c r="C46" s="17" t="str">
        <f>IF(K46="","",INDEX(Интервалы!$C$2:$C$513,MATCH(K46,Интервалы!$G$2:$G$513,0)))</f>
        <v/>
      </c>
      <c r="D46" s="17" t="str">
        <f>IF(K46="","",INDEX(Интервалы!$D$2:$D$513,MATCH(K46,Интервалы!$G$2:$G$513,0)))</f>
        <v/>
      </c>
      <c r="E46" s="4" t="str">
        <f t="shared" si="0"/>
        <v/>
      </c>
      <c r="F46" s="8" t="str">
        <f>IF(K46="","",INDEX(Интервалы!$E$2:$E$513,MATCH(K46,Интервалы!$G$2:$G$513,0)))</f>
        <v/>
      </c>
      <c r="G46" s="18" t="str">
        <f>IF(K46="","",IF(H46=1,INDEX('По дням'!$B$2:$B$4000,MATCH(C46,'По дням'!$A$2:$A$4000,0)),"по периодам ставки"))</f>
        <v/>
      </c>
      <c r="H46" s="4" t="str">
        <f>IF(K46="","",INDEX(Интервалы!$I$2:$I$513,MATCH(K46,Интервалы!$G$2:$G$513,0)))</f>
        <v/>
      </c>
      <c r="I46" s="8" t="str">
        <f>IF(K46="","",INDEX(Интервалы!$F$2:$F$513,MATCH(K46,Интервалы!$G$2:$G$513,0)))</f>
        <v/>
      </c>
      <c r="J46" s="8" t="str">
        <f>IF(K46="","",INDEX(Интервалы!$H$2:$H$513,MATCH(K46,Интервалы!$G$2:$G$513,0)))</f>
        <v/>
      </c>
      <c r="K46" t="str">
        <f>IFERROR(SMALL(Интервалы!$G$2:$G$513,40),"")</f>
        <v/>
      </c>
      <c r="L46" t="str">
        <f>IF(K46="","",INDEX(Интервалы!$B$2:$B$513,MATCH(K46,Интервалы!$G$2:$G$513,0)))</f>
        <v/>
      </c>
    </row>
    <row r="47" spans="1:12" x14ac:dyDescent="0.3">
      <c r="A47" s="4" t="str">
        <f>IF(K47="","",41)</f>
        <v/>
      </c>
      <c r="B47" s="4" t="str">
        <f>IF(K47="","",INDEX(Интервалы!$A$2:$A$513,MATCH(K47,Интервалы!$G$2:$G$513,0)))</f>
        <v/>
      </c>
      <c r="C47" s="17" t="str">
        <f>IF(K47="","",INDEX(Интервалы!$C$2:$C$513,MATCH(K47,Интервалы!$G$2:$G$513,0)))</f>
        <v/>
      </c>
      <c r="D47" s="17" t="str">
        <f>IF(K47="","",INDEX(Интервалы!$D$2:$D$513,MATCH(K47,Интервалы!$G$2:$G$513,0)))</f>
        <v/>
      </c>
      <c r="E47" s="4" t="str">
        <f t="shared" si="0"/>
        <v/>
      </c>
      <c r="F47" s="8" t="str">
        <f>IF(K47="","",INDEX(Интервалы!$E$2:$E$513,MATCH(K47,Интервалы!$G$2:$G$513,0)))</f>
        <v/>
      </c>
      <c r="G47" s="18" t="str">
        <f>IF(K47="","",IF(H47=1,INDEX('По дням'!$B$2:$B$4000,MATCH(C47,'По дням'!$A$2:$A$4000,0)),"по периодам ставки"))</f>
        <v/>
      </c>
      <c r="H47" s="4" t="str">
        <f>IF(K47="","",INDEX(Интервалы!$I$2:$I$513,MATCH(K47,Интервалы!$G$2:$G$513,0)))</f>
        <v/>
      </c>
      <c r="I47" s="8" t="str">
        <f>IF(K47="","",INDEX(Интервалы!$F$2:$F$513,MATCH(K47,Интервалы!$G$2:$G$513,0)))</f>
        <v/>
      </c>
      <c r="J47" s="8" t="str">
        <f>IF(K47="","",INDEX(Интервалы!$H$2:$H$513,MATCH(K47,Интервалы!$G$2:$G$513,0)))</f>
        <v/>
      </c>
      <c r="K47" t="str">
        <f>IFERROR(SMALL(Интервалы!$G$2:$G$513,41),"")</f>
        <v/>
      </c>
      <c r="L47" t="str">
        <f>IF(K47="","",INDEX(Интервалы!$B$2:$B$513,MATCH(K47,Интервалы!$G$2:$G$513,0)))</f>
        <v/>
      </c>
    </row>
    <row r="48" spans="1:12" x14ac:dyDescent="0.3">
      <c r="A48" s="4" t="str">
        <f>IF(K48="","",42)</f>
        <v/>
      </c>
      <c r="B48" s="4" t="str">
        <f>IF(K48="","",INDEX(Интервалы!$A$2:$A$513,MATCH(K48,Интервалы!$G$2:$G$513,0)))</f>
        <v/>
      </c>
      <c r="C48" s="17" t="str">
        <f>IF(K48="","",INDEX(Интервалы!$C$2:$C$513,MATCH(K48,Интервалы!$G$2:$G$513,0)))</f>
        <v/>
      </c>
      <c r="D48" s="17" t="str">
        <f>IF(K48="","",INDEX(Интервалы!$D$2:$D$513,MATCH(K48,Интервалы!$G$2:$G$513,0)))</f>
        <v/>
      </c>
      <c r="E48" s="4" t="str">
        <f t="shared" si="0"/>
        <v/>
      </c>
      <c r="F48" s="8" t="str">
        <f>IF(K48="","",INDEX(Интервалы!$E$2:$E$513,MATCH(K48,Интервалы!$G$2:$G$513,0)))</f>
        <v/>
      </c>
      <c r="G48" s="18" t="str">
        <f>IF(K48="","",IF(H48=1,INDEX('По дням'!$B$2:$B$4000,MATCH(C48,'По дням'!$A$2:$A$4000,0)),"по периодам ставки"))</f>
        <v/>
      </c>
      <c r="H48" s="4" t="str">
        <f>IF(K48="","",INDEX(Интервалы!$I$2:$I$513,MATCH(K48,Интервалы!$G$2:$G$513,0)))</f>
        <v/>
      </c>
      <c r="I48" s="8" t="str">
        <f>IF(K48="","",INDEX(Интервалы!$F$2:$F$513,MATCH(K48,Интервалы!$G$2:$G$513,0)))</f>
        <v/>
      </c>
      <c r="J48" s="8" t="str">
        <f>IF(K48="","",INDEX(Интервалы!$H$2:$H$513,MATCH(K48,Интервалы!$G$2:$G$513,0)))</f>
        <v/>
      </c>
      <c r="K48" t="str">
        <f>IFERROR(SMALL(Интервалы!$G$2:$G$513,42),"")</f>
        <v/>
      </c>
      <c r="L48" t="str">
        <f>IF(K48="","",INDEX(Интервалы!$B$2:$B$513,MATCH(K48,Интервалы!$G$2:$G$513,0)))</f>
        <v/>
      </c>
    </row>
    <row r="49" spans="1:12" x14ac:dyDescent="0.3">
      <c r="A49" s="4" t="str">
        <f>IF(K49="","",43)</f>
        <v/>
      </c>
      <c r="B49" s="4" t="str">
        <f>IF(K49="","",INDEX(Интервалы!$A$2:$A$513,MATCH(K49,Интервалы!$G$2:$G$513,0)))</f>
        <v/>
      </c>
      <c r="C49" s="17" t="str">
        <f>IF(K49="","",INDEX(Интервалы!$C$2:$C$513,MATCH(K49,Интервалы!$G$2:$G$513,0)))</f>
        <v/>
      </c>
      <c r="D49" s="17" t="str">
        <f>IF(K49="","",INDEX(Интервалы!$D$2:$D$513,MATCH(K49,Интервалы!$G$2:$G$513,0)))</f>
        <v/>
      </c>
      <c r="E49" s="4" t="str">
        <f t="shared" si="0"/>
        <v/>
      </c>
      <c r="F49" s="8" t="str">
        <f>IF(K49="","",INDEX(Интервалы!$E$2:$E$513,MATCH(K49,Интервалы!$G$2:$G$513,0)))</f>
        <v/>
      </c>
      <c r="G49" s="18" t="str">
        <f>IF(K49="","",IF(H49=1,INDEX('По дням'!$B$2:$B$4000,MATCH(C49,'По дням'!$A$2:$A$4000,0)),"по периодам ставки"))</f>
        <v/>
      </c>
      <c r="H49" s="4" t="str">
        <f>IF(K49="","",INDEX(Интервалы!$I$2:$I$513,MATCH(K49,Интервалы!$G$2:$G$513,0)))</f>
        <v/>
      </c>
      <c r="I49" s="8" t="str">
        <f>IF(K49="","",INDEX(Интервалы!$F$2:$F$513,MATCH(K49,Интервалы!$G$2:$G$513,0)))</f>
        <v/>
      </c>
      <c r="J49" s="8" t="str">
        <f>IF(K49="","",INDEX(Интервалы!$H$2:$H$513,MATCH(K49,Интервалы!$G$2:$G$513,0)))</f>
        <v/>
      </c>
      <c r="K49" t="str">
        <f>IFERROR(SMALL(Интервалы!$G$2:$G$513,43),"")</f>
        <v/>
      </c>
      <c r="L49" t="str">
        <f>IF(K49="","",INDEX(Интервалы!$B$2:$B$513,MATCH(K49,Интервалы!$G$2:$G$513,0)))</f>
        <v/>
      </c>
    </row>
    <row r="50" spans="1:12" x14ac:dyDescent="0.3">
      <c r="A50" s="4" t="str">
        <f>IF(K50="","",44)</f>
        <v/>
      </c>
      <c r="B50" s="4" t="str">
        <f>IF(K50="","",INDEX(Интервалы!$A$2:$A$513,MATCH(K50,Интервалы!$G$2:$G$513,0)))</f>
        <v/>
      </c>
      <c r="C50" s="17" t="str">
        <f>IF(K50="","",INDEX(Интервалы!$C$2:$C$513,MATCH(K50,Интервалы!$G$2:$G$513,0)))</f>
        <v/>
      </c>
      <c r="D50" s="17" t="str">
        <f>IF(K50="","",INDEX(Интервалы!$D$2:$D$513,MATCH(K50,Интервалы!$G$2:$G$513,0)))</f>
        <v/>
      </c>
      <c r="E50" s="4" t="str">
        <f t="shared" si="0"/>
        <v/>
      </c>
      <c r="F50" s="8" t="str">
        <f>IF(K50="","",INDEX(Интервалы!$E$2:$E$513,MATCH(K50,Интервалы!$G$2:$G$513,0)))</f>
        <v/>
      </c>
      <c r="G50" s="18" t="str">
        <f>IF(K50="","",IF(H50=1,INDEX('По дням'!$B$2:$B$4000,MATCH(C50,'По дням'!$A$2:$A$4000,0)),"по периодам ставки"))</f>
        <v/>
      </c>
      <c r="H50" s="4" t="str">
        <f>IF(K50="","",INDEX(Интервалы!$I$2:$I$513,MATCH(K50,Интервалы!$G$2:$G$513,0)))</f>
        <v/>
      </c>
      <c r="I50" s="8" t="str">
        <f>IF(K50="","",INDEX(Интервалы!$F$2:$F$513,MATCH(K50,Интервалы!$G$2:$G$513,0)))</f>
        <v/>
      </c>
      <c r="J50" s="8" t="str">
        <f>IF(K50="","",INDEX(Интервалы!$H$2:$H$513,MATCH(K50,Интервалы!$G$2:$G$513,0)))</f>
        <v/>
      </c>
      <c r="K50" t="str">
        <f>IFERROR(SMALL(Интервалы!$G$2:$G$513,44),"")</f>
        <v/>
      </c>
      <c r="L50" t="str">
        <f>IF(K50="","",INDEX(Интервалы!$B$2:$B$513,MATCH(K50,Интервалы!$G$2:$G$513,0)))</f>
        <v/>
      </c>
    </row>
    <row r="51" spans="1:12" x14ac:dyDescent="0.3">
      <c r="A51" s="4" t="str">
        <f>IF(K51="","",45)</f>
        <v/>
      </c>
      <c r="B51" s="4" t="str">
        <f>IF(K51="","",INDEX(Интервалы!$A$2:$A$513,MATCH(K51,Интервалы!$G$2:$G$513,0)))</f>
        <v/>
      </c>
      <c r="C51" s="17" t="str">
        <f>IF(K51="","",INDEX(Интервалы!$C$2:$C$513,MATCH(K51,Интервалы!$G$2:$G$513,0)))</f>
        <v/>
      </c>
      <c r="D51" s="17" t="str">
        <f>IF(K51="","",INDEX(Интервалы!$D$2:$D$513,MATCH(K51,Интервалы!$G$2:$G$513,0)))</f>
        <v/>
      </c>
      <c r="E51" s="4" t="str">
        <f t="shared" si="0"/>
        <v/>
      </c>
      <c r="F51" s="8" t="str">
        <f>IF(K51="","",INDEX(Интервалы!$E$2:$E$513,MATCH(K51,Интервалы!$G$2:$G$513,0)))</f>
        <v/>
      </c>
      <c r="G51" s="18" t="str">
        <f>IF(K51="","",IF(H51=1,INDEX('По дням'!$B$2:$B$4000,MATCH(C51,'По дням'!$A$2:$A$4000,0)),"по периодам ставки"))</f>
        <v/>
      </c>
      <c r="H51" s="4" t="str">
        <f>IF(K51="","",INDEX(Интервалы!$I$2:$I$513,MATCH(K51,Интервалы!$G$2:$G$513,0)))</f>
        <v/>
      </c>
      <c r="I51" s="8" t="str">
        <f>IF(K51="","",INDEX(Интервалы!$F$2:$F$513,MATCH(K51,Интервалы!$G$2:$G$513,0)))</f>
        <v/>
      </c>
      <c r="J51" s="8" t="str">
        <f>IF(K51="","",INDEX(Интервалы!$H$2:$H$513,MATCH(K51,Интервалы!$G$2:$G$513,0)))</f>
        <v/>
      </c>
      <c r="K51" t="str">
        <f>IFERROR(SMALL(Интервалы!$G$2:$G$513,45),"")</f>
        <v/>
      </c>
      <c r="L51" t="str">
        <f>IF(K51="","",INDEX(Интервалы!$B$2:$B$513,MATCH(K51,Интервалы!$G$2:$G$513,0)))</f>
        <v/>
      </c>
    </row>
    <row r="52" spans="1:12" x14ac:dyDescent="0.3">
      <c r="A52" s="4" t="str">
        <f>IF(K52="","",46)</f>
        <v/>
      </c>
      <c r="B52" s="4" t="str">
        <f>IF(K52="","",INDEX(Интервалы!$A$2:$A$513,MATCH(K52,Интервалы!$G$2:$G$513,0)))</f>
        <v/>
      </c>
      <c r="C52" s="17" t="str">
        <f>IF(K52="","",INDEX(Интервалы!$C$2:$C$513,MATCH(K52,Интервалы!$G$2:$G$513,0)))</f>
        <v/>
      </c>
      <c r="D52" s="17" t="str">
        <f>IF(K52="","",INDEX(Интервалы!$D$2:$D$513,MATCH(K52,Интервалы!$G$2:$G$513,0)))</f>
        <v/>
      </c>
      <c r="E52" s="4" t="str">
        <f t="shared" si="0"/>
        <v/>
      </c>
      <c r="F52" s="8" t="str">
        <f>IF(K52="","",INDEX(Интервалы!$E$2:$E$513,MATCH(K52,Интервалы!$G$2:$G$513,0)))</f>
        <v/>
      </c>
      <c r="G52" s="18" t="str">
        <f>IF(K52="","",IF(H52=1,INDEX('По дням'!$B$2:$B$4000,MATCH(C52,'По дням'!$A$2:$A$4000,0)),"по периодам ставки"))</f>
        <v/>
      </c>
      <c r="H52" s="4" t="str">
        <f>IF(K52="","",INDEX(Интервалы!$I$2:$I$513,MATCH(K52,Интервалы!$G$2:$G$513,0)))</f>
        <v/>
      </c>
      <c r="I52" s="8" t="str">
        <f>IF(K52="","",INDEX(Интервалы!$F$2:$F$513,MATCH(K52,Интервалы!$G$2:$G$513,0)))</f>
        <v/>
      </c>
      <c r="J52" s="8" t="str">
        <f>IF(K52="","",INDEX(Интервалы!$H$2:$H$513,MATCH(K52,Интервалы!$G$2:$G$513,0)))</f>
        <v/>
      </c>
      <c r="K52" t="str">
        <f>IFERROR(SMALL(Интервалы!$G$2:$G$513,46),"")</f>
        <v/>
      </c>
      <c r="L52" t="str">
        <f>IF(K52="","",INDEX(Интервалы!$B$2:$B$513,MATCH(K52,Интервалы!$G$2:$G$513,0)))</f>
        <v/>
      </c>
    </row>
    <row r="53" spans="1:12" x14ac:dyDescent="0.3">
      <c r="A53" s="4" t="str">
        <f>IF(K53="","",47)</f>
        <v/>
      </c>
      <c r="B53" s="4" t="str">
        <f>IF(K53="","",INDEX(Интервалы!$A$2:$A$513,MATCH(K53,Интервалы!$G$2:$G$513,0)))</f>
        <v/>
      </c>
      <c r="C53" s="17" t="str">
        <f>IF(K53="","",INDEX(Интервалы!$C$2:$C$513,MATCH(K53,Интервалы!$G$2:$G$513,0)))</f>
        <v/>
      </c>
      <c r="D53" s="17" t="str">
        <f>IF(K53="","",INDEX(Интервалы!$D$2:$D$513,MATCH(K53,Интервалы!$G$2:$G$513,0)))</f>
        <v/>
      </c>
      <c r="E53" s="4" t="str">
        <f t="shared" si="0"/>
        <v/>
      </c>
      <c r="F53" s="8" t="str">
        <f>IF(K53="","",INDEX(Интервалы!$E$2:$E$513,MATCH(K53,Интервалы!$G$2:$G$513,0)))</f>
        <v/>
      </c>
      <c r="G53" s="18" t="str">
        <f>IF(K53="","",IF(H53=1,INDEX('По дням'!$B$2:$B$4000,MATCH(C53,'По дням'!$A$2:$A$4000,0)),"по периодам ставки"))</f>
        <v/>
      </c>
      <c r="H53" s="4" t="str">
        <f>IF(K53="","",INDEX(Интервалы!$I$2:$I$513,MATCH(K53,Интервалы!$G$2:$G$513,0)))</f>
        <v/>
      </c>
      <c r="I53" s="8" t="str">
        <f>IF(K53="","",INDEX(Интервалы!$F$2:$F$513,MATCH(K53,Интервалы!$G$2:$G$513,0)))</f>
        <v/>
      </c>
      <c r="J53" s="8" t="str">
        <f>IF(K53="","",INDEX(Интервалы!$H$2:$H$513,MATCH(K53,Интервалы!$G$2:$G$513,0)))</f>
        <v/>
      </c>
      <c r="K53" t="str">
        <f>IFERROR(SMALL(Интервалы!$G$2:$G$513,47),"")</f>
        <v/>
      </c>
      <c r="L53" t="str">
        <f>IF(K53="","",INDEX(Интервалы!$B$2:$B$513,MATCH(K53,Интервалы!$G$2:$G$513,0)))</f>
        <v/>
      </c>
    </row>
    <row r="54" spans="1:12" x14ac:dyDescent="0.3">
      <c r="A54" s="4" t="str">
        <f>IF(K54="","",48)</f>
        <v/>
      </c>
      <c r="B54" s="4" t="str">
        <f>IF(K54="","",INDEX(Интервалы!$A$2:$A$513,MATCH(K54,Интервалы!$G$2:$G$513,0)))</f>
        <v/>
      </c>
      <c r="C54" s="17" t="str">
        <f>IF(K54="","",INDEX(Интервалы!$C$2:$C$513,MATCH(K54,Интервалы!$G$2:$G$513,0)))</f>
        <v/>
      </c>
      <c r="D54" s="17" t="str">
        <f>IF(K54="","",INDEX(Интервалы!$D$2:$D$513,MATCH(K54,Интервалы!$G$2:$G$513,0)))</f>
        <v/>
      </c>
      <c r="E54" s="4" t="str">
        <f t="shared" si="0"/>
        <v/>
      </c>
      <c r="F54" s="8" t="str">
        <f>IF(K54="","",INDEX(Интервалы!$E$2:$E$513,MATCH(K54,Интервалы!$G$2:$G$513,0)))</f>
        <v/>
      </c>
      <c r="G54" s="18" t="str">
        <f>IF(K54="","",IF(H54=1,INDEX('По дням'!$B$2:$B$4000,MATCH(C54,'По дням'!$A$2:$A$4000,0)),"по периодам ставки"))</f>
        <v/>
      </c>
      <c r="H54" s="4" t="str">
        <f>IF(K54="","",INDEX(Интервалы!$I$2:$I$513,MATCH(K54,Интервалы!$G$2:$G$513,0)))</f>
        <v/>
      </c>
      <c r="I54" s="8" t="str">
        <f>IF(K54="","",INDEX(Интервалы!$F$2:$F$513,MATCH(K54,Интервалы!$G$2:$G$513,0)))</f>
        <v/>
      </c>
      <c r="J54" s="8" t="str">
        <f>IF(K54="","",INDEX(Интервалы!$H$2:$H$513,MATCH(K54,Интервалы!$G$2:$G$513,0)))</f>
        <v/>
      </c>
      <c r="K54" t="str">
        <f>IFERROR(SMALL(Интервалы!$G$2:$G$513,48),"")</f>
        <v/>
      </c>
      <c r="L54" t="str">
        <f>IF(K54="","",INDEX(Интервалы!$B$2:$B$513,MATCH(K54,Интервалы!$G$2:$G$513,0)))</f>
        <v/>
      </c>
    </row>
    <row r="55" spans="1:12" x14ac:dyDescent="0.3">
      <c r="A55" s="4" t="str">
        <f>IF(K55="","",49)</f>
        <v/>
      </c>
      <c r="B55" s="4" t="str">
        <f>IF(K55="","",INDEX(Интервалы!$A$2:$A$513,MATCH(K55,Интервалы!$G$2:$G$513,0)))</f>
        <v/>
      </c>
      <c r="C55" s="17" t="str">
        <f>IF(K55="","",INDEX(Интервалы!$C$2:$C$513,MATCH(K55,Интервалы!$G$2:$G$513,0)))</f>
        <v/>
      </c>
      <c r="D55" s="17" t="str">
        <f>IF(K55="","",INDEX(Интервалы!$D$2:$D$513,MATCH(K55,Интервалы!$G$2:$G$513,0)))</f>
        <v/>
      </c>
      <c r="E55" s="4" t="str">
        <f t="shared" si="0"/>
        <v/>
      </c>
      <c r="F55" s="8" t="str">
        <f>IF(K55="","",INDEX(Интервалы!$E$2:$E$513,MATCH(K55,Интервалы!$G$2:$G$513,0)))</f>
        <v/>
      </c>
      <c r="G55" s="18" t="str">
        <f>IF(K55="","",IF(H55=1,INDEX('По дням'!$B$2:$B$4000,MATCH(C55,'По дням'!$A$2:$A$4000,0)),"по периодам ставки"))</f>
        <v/>
      </c>
      <c r="H55" s="4" t="str">
        <f>IF(K55="","",INDEX(Интервалы!$I$2:$I$513,MATCH(K55,Интервалы!$G$2:$G$513,0)))</f>
        <v/>
      </c>
      <c r="I55" s="8" t="str">
        <f>IF(K55="","",INDEX(Интервалы!$F$2:$F$513,MATCH(K55,Интервалы!$G$2:$G$513,0)))</f>
        <v/>
      </c>
      <c r="J55" s="8" t="str">
        <f>IF(K55="","",INDEX(Интервалы!$H$2:$H$513,MATCH(K55,Интервалы!$G$2:$G$513,0)))</f>
        <v/>
      </c>
      <c r="K55" t="str">
        <f>IFERROR(SMALL(Интервалы!$G$2:$G$513,49),"")</f>
        <v/>
      </c>
      <c r="L55" t="str">
        <f>IF(K55="","",INDEX(Интервалы!$B$2:$B$513,MATCH(K55,Интервалы!$G$2:$G$513,0)))</f>
        <v/>
      </c>
    </row>
    <row r="56" spans="1:12" x14ac:dyDescent="0.3">
      <c r="A56" s="4" t="str">
        <f>IF(K56="","",50)</f>
        <v/>
      </c>
      <c r="B56" s="4" t="str">
        <f>IF(K56="","",INDEX(Интервалы!$A$2:$A$513,MATCH(K56,Интервалы!$G$2:$G$513,0)))</f>
        <v/>
      </c>
      <c r="C56" s="17" t="str">
        <f>IF(K56="","",INDEX(Интервалы!$C$2:$C$513,MATCH(K56,Интервалы!$G$2:$G$513,0)))</f>
        <v/>
      </c>
      <c r="D56" s="17" t="str">
        <f>IF(K56="","",INDEX(Интервалы!$D$2:$D$513,MATCH(K56,Интервалы!$G$2:$G$513,0)))</f>
        <v/>
      </c>
      <c r="E56" s="4" t="str">
        <f t="shared" si="0"/>
        <v/>
      </c>
      <c r="F56" s="8" t="str">
        <f>IF(K56="","",INDEX(Интервалы!$E$2:$E$513,MATCH(K56,Интервалы!$G$2:$G$513,0)))</f>
        <v/>
      </c>
      <c r="G56" s="18" t="str">
        <f>IF(K56="","",IF(H56=1,INDEX('По дням'!$B$2:$B$4000,MATCH(C56,'По дням'!$A$2:$A$4000,0)),"по периодам ставки"))</f>
        <v/>
      </c>
      <c r="H56" s="4" t="str">
        <f>IF(K56="","",INDEX(Интервалы!$I$2:$I$513,MATCH(K56,Интервалы!$G$2:$G$513,0)))</f>
        <v/>
      </c>
      <c r="I56" s="8" t="str">
        <f>IF(K56="","",INDEX(Интервалы!$F$2:$F$513,MATCH(K56,Интервалы!$G$2:$G$513,0)))</f>
        <v/>
      </c>
      <c r="J56" s="8" t="str">
        <f>IF(K56="","",INDEX(Интервалы!$H$2:$H$513,MATCH(K56,Интервалы!$G$2:$G$513,0)))</f>
        <v/>
      </c>
      <c r="K56" t="str">
        <f>IFERROR(SMALL(Интервалы!$G$2:$G$513,50),"")</f>
        <v/>
      </c>
      <c r="L56" t="str">
        <f>IF(K56="","",INDEX(Интервалы!$B$2:$B$513,MATCH(K56,Интервалы!$G$2:$G$513,0)))</f>
        <v/>
      </c>
    </row>
    <row r="57" spans="1:12" x14ac:dyDescent="0.3">
      <c r="A57" s="4" t="str">
        <f>IF(K57="","",51)</f>
        <v/>
      </c>
      <c r="B57" s="4" t="str">
        <f>IF(K57="","",INDEX(Интервалы!$A$2:$A$513,MATCH(K57,Интервалы!$G$2:$G$513,0)))</f>
        <v/>
      </c>
      <c r="C57" s="17" t="str">
        <f>IF(K57="","",INDEX(Интервалы!$C$2:$C$513,MATCH(K57,Интервалы!$G$2:$G$513,0)))</f>
        <v/>
      </c>
      <c r="D57" s="17" t="str">
        <f>IF(K57="","",INDEX(Интервалы!$D$2:$D$513,MATCH(K57,Интервалы!$G$2:$G$513,0)))</f>
        <v/>
      </c>
      <c r="E57" s="4" t="str">
        <f t="shared" si="0"/>
        <v/>
      </c>
      <c r="F57" s="8" t="str">
        <f>IF(K57="","",INDEX(Интервалы!$E$2:$E$513,MATCH(K57,Интервалы!$G$2:$G$513,0)))</f>
        <v/>
      </c>
      <c r="G57" s="18" t="str">
        <f>IF(K57="","",IF(H57=1,INDEX('По дням'!$B$2:$B$4000,MATCH(C57,'По дням'!$A$2:$A$4000,0)),"по периодам ставки"))</f>
        <v/>
      </c>
      <c r="H57" s="4" t="str">
        <f>IF(K57="","",INDEX(Интервалы!$I$2:$I$513,MATCH(K57,Интервалы!$G$2:$G$513,0)))</f>
        <v/>
      </c>
      <c r="I57" s="8" t="str">
        <f>IF(K57="","",INDEX(Интервалы!$F$2:$F$513,MATCH(K57,Интервалы!$G$2:$G$513,0)))</f>
        <v/>
      </c>
      <c r="J57" s="8" t="str">
        <f>IF(K57="","",INDEX(Интервалы!$H$2:$H$513,MATCH(K57,Интервалы!$G$2:$G$513,0)))</f>
        <v/>
      </c>
      <c r="K57" t="str">
        <f>IFERROR(SMALL(Интервалы!$G$2:$G$513,51),"")</f>
        <v/>
      </c>
      <c r="L57" t="str">
        <f>IF(K57="","",INDEX(Интервалы!$B$2:$B$513,MATCH(K57,Интервалы!$G$2:$G$513,0)))</f>
        <v/>
      </c>
    </row>
    <row r="58" spans="1:12" x14ac:dyDescent="0.3">
      <c r="A58" s="4" t="str">
        <f>IF(K58="","",52)</f>
        <v/>
      </c>
      <c r="B58" s="4" t="str">
        <f>IF(K58="","",INDEX(Интервалы!$A$2:$A$513,MATCH(K58,Интервалы!$G$2:$G$513,0)))</f>
        <v/>
      </c>
      <c r="C58" s="17" t="str">
        <f>IF(K58="","",INDEX(Интервалы!$C$2:$C$513,MATCH(K58,Интервалы!$G$2:$G$513,0)))</f>
        <v/>
      </c>
      <c r="D58" s="17" t="str">
        <f>IF(K58="","",INDEX(Интервалы!$D$2:$D$513,MATCH(K58,Интервалы!$G$2:$G$513,0)))</f>
        <v/>
      </c>
      <c r="E58" s="4" t="str">
        <f t="shared" si="0"/>
        <v/>
      </c>
      <c r="F58" s="8" t="str">
        <f>IF(K58="","",INDEX(Интервалы!$E$2:$E$513,MATCH(K58,Интервалы!$G$2:$G$513,0)))</f>
        <v/>
      </c>
      <c r="G58" s="18" t="str">
        <f>IF(K58="","",IF(H58=1,INDEX('По дням'!$B$2:$B$4000,MATCH(C58,'По дням'!$A$2:$A$4000,0)),"по периодам ставки"))</f>
        <v/>
      </c>
      <c r="H58" s="4" t="str">
        <f>IF(K58="","",INDEX(Интервалы!$I$2:$I$513,MATCH(K58,Интервалы!$G$2:$G$513,0)))</f>
        <v/>
      </c>
      <c r="I58" s="8" t="str">
        <f>IF(K58="","",INDEX(Интервалы!$F$2:$F$513,MATCH(K58,Интервалы!$G$2:$G$513,0)))</f>
        <v/>
      </c>
      <c r="J58" s="8" t="str">
        <f>IF(K58="","",INDEX(Интервалы!$H$2:$H$513,MATCH(K58,Интервалы!$G$2:$G$513,0)))</f>
        <v/>
      </c>
      <c r="K58" t="str">
        <f>IFERROR(SMALL(Интервалы!$G$2:$G$513,52),"")</f>
        <v/>
      </c>
      <c r="L58" t="str">
        <f>IF(K58="","",INDEX(Интервалы!$B$2:$B$513,MATCH(K58,Интервалы!$G$2:$G$513,0)))</f>
        <v/>
      </c>
    </row>
    <row r="59" spans="1:12" x14ac:dyDescent="0.3">
      <c r="A59" s="4" t="str">
        <f>IF(K59="","",53)</f>
        <v/>
      </c>
      <c r="B59" s="4" t="str">
        <f>IF(K59="","",INDEX(Интервалы!$A$2:$A$513,MATCH(K59,Интервалы!$G$2:$G$513,0)))</f>
        <v/>
      </c>
      <c r="C59" s="17" t="str">
        <f>IF(K59="","",INDEX(Интервалы!$C$2:$C$513,MATCH(K59,Интервалы!$G$2:$G$513,0)))</f>
        <v/>
      </c>
      <c r="D59" s="17" t="str">
        <f>IF(K59="","",INDEX(Интервалы!$D$2:$D$513,MATCH(K59,Интервалы!$G$2:$G$513,0)))</f>
        <v/>
      </c>
      <c r="E59" s="4" t="str">
        <f t="shared" si="0"/>
        <v/>
      </c>
      <c r="F59" s="8" t="str">
        <f>IF(K59="","",INDEX(Интервалы!$E$2:$E$513,MATCH(K59,Интервалы!$G$2:$G$513,0)))</f>
        <v/>
      </c>
      <c r="G59" s="18" t="str">
        <f>IF(K59="","",IF(H59=1,INDEX('По дням'!$B$2:$B$4000,MATCH(C59,'По дням'!$A$2:$A$4000,0)),"по периодам ставки"))</f>
        <v/>
      </c>
      <c r="H59" s="4" t="str">
        <f>IF(K59="","",INDEX(Интервалы!$I$2:$I$513,MATCH(K59,Интервалы!$G$2:$G$513,0)))</f>
        <v/>
      </c>
      <c r="I59" s="8" t="str">
        <f>IF(K59="","",INDEX(Интервалы!$F$2:$F$513,MATCH(K59,Интервалы!$G$2:$G$513,0)))</f>
        <v/>
      </c>
      <c r="J59" s="8" t="str">
        <f>IF(K59="","",INDEX(Интервалы!$H$2:$H$513,MATCH(K59,Интервалы!$G$2:$G$513,0)))</f>
        <v/>
      </c>
      <c r="K59" t="str">
        <f>IFERROR(SMALL(Интервалы!$G$2:$G$513,53),"")</f>
        <v/>
      </c>
      <c r="L59" t="str">
        <f>IF(K59="","",INDEX(Интервалы!$B$2:$B$513,MATCH(K59,Интервалы!$G$2:$G$513,0)))</f>
        <v/>
      </c>
    </row>
    <row r="60" spans="1:12" x14ac:dyDescent="0.3">
      <c r="A60" s="4" t="str">
        <f>IF(K60="","",54)</f>
        <v/>
      </c>
      <c r="B60" s="4" t="str">
        <f>IF(K60="","",INDEX(Интервалы!$A$2:$A$513,MATCH(K60,Интервалы!$G$2:$G$513,0)))</f>
        <v/>
      </c>
      <c r="C60" s="17" t="str">
        <f>IF(K60="","",INDEX(Интервалы!$C$2:$C$513,MATCH(K60,Интервалы!$G$2:$G$513,0)))</f>
        <v/>
      </c>
      <c r="D60" s="17" t="str">
        <f>IF(K60="","",INDEX(Интервалы!$D$2:$D$513,MATCH(K60,Интервалы!$G$2:$G$513,0)))</f>
        <v/>
      </c>
      <c r="E60" s="4" t="str">
        <f t="shared" si="0"/>
        <v/>
      </c>
      <c r="F60" s="8" t="str">
        <f>IF(K60="","",INDEX(Интервалы!$E$2:$E$513,MATCH(K60,Интервалы!$G$2:$G$513,0)))</f>
        <v/>
      </c>
      <c r="G60" s="18" t="str">
        <f>IF(K60="","",IF(H60=1,INDEX('По дням'!$B$2:$B$4000,MATCH(C60,'По дням'!$A$2:$A$4000,0)),"по периодам ставки"))</f>
        <v/>
      </c>
      <c r="H60" s="4" t="str">
        <f>IF(K60="","",INDEX(Интервалы!$I$2:$I$513,MATCH(K60,Интервалы!$G$2:$G$513,0)))</f>
        <v/>
      </c>
      <c r="I60" s="8" t="str">
        <f>IF(K60="","",INDEX(Интервалы!$F$2:$F$513,MATCH(K60,Интервалы!$G$2:$G$513,0)))</f>
        <v/>
      </c>
      <c r="J60" s="8" t="str">
        <f>IF(K60="","",INDEX(Интервалы!$H$2:$H$513,MATCH(K60,Интервалы!$G$2:$G$513,0)))</f>
        <v/>
      </c>
      <c r="K60" t="str">
        <f>IFERROR(SMALL(Интервалы!$G$2:$G$513,54),"")</f>
        <v/>
      </c>
      <c r="L60" t="str">
        <f>IF(K60="","",INDEX(Интервалы!$B$2:$B$513,MATCH(K60,Интервалы!$G$2:$G$513,0)))</f>
        <v/>
      </c>
    </row>
    <row r="61" spans="1:12" x14ac:dyDescent="0.3">
      <c r="A61" s="4" t="str">
        <f>IF(K61="","",55)</f>
        <v/>
      </c>
      <c r="B61" s="4" t="str">
        <f>IF(K61="","",INDEX(Интервалы!$A$2:$A$513,MATCH(K61,Интервалы!$G$2:$G$513,0)))</f>
        <v/>
      </c>
      <c r="C61" s="17" t="str">
        <f>IF(K61="","",INDEX(Интервалы!$C$2:$C$513,MATCH(K61,Интервалы!$G$2:$G$513,0)))</f>
        <v/>
      </c>
      <c r="D61" s="17" t="str">
        <f>IF(K61="","",INDEX(Интервалы!$D$2:$D$513,MATCH(K61,Интервалы!$G$2:$G$513,0)))</f>
        <v/>
      </c>
      <c r="E61" s="4" t="str">
        <f t="shared" si="0"/>
        <v/>
      </c>
      <c r="F61" s="8" t="str">
        <f>IF(K61="","",INDEX(Интервалы!$E$2:$E$513,MATCH(K61,Интервалы!$G$2:$G$513,0)))</f>
        <v/>
      </c>
      <c r="G61" s="18" t="str">
        <f>IF(K61="","",IF(H61=1,INDEX('По дням'!$B$2:$B$4000,MATCH(C61,'По дням'!$A$2:$A$4000,0)),"по периодам ставки"))</f>
        <v/>
      </c>
      <c r="H61" s="4" t="str">
        <f>IF(K61="","",INDEX(Интервалы!$I$2:$I$513,MATCH(K61,Интервалы!$G$2:$G$513,0)))</f>
        <v/>
      </c>
      <c r="I61" s="8" t="str">
        <f>IF(K61="","",INDEX(Интервалы!$F$2:$F$513,MATCH(K61,Интервалы!$G$2:$G$513,0)))</f>
        <v/>
      </c>
      <c r="J61" s="8" t="str">
        <f>IF(K61="","",INDEX(Интервалы!$H$2:$H$513,MATCH(K61,Интервалы!$G$2:$G$513,0)))</f>
        <v/>
      </c>
      <c r="K61" t="str">
        <f>IFERROR(SMALL(Интервалы!$G$2:$G$513,55),"")</f>
        <v/>
      </c>
      <c r="L61" t="str">
        <f>IF(K61="","",INDEX(Интервалы!$B$2:$B$513,MATCH(K61,Интервалы!$G$2:$G$513,0)))</f>
        <v/>
      </c>
    </row>
    <row r="62" spans="1:12" x14ac:dyDescent="0.3">
      <c r="A62" s="4" t="str">
        <f>IF(K62="","",56)</f>
        <v/>
      </c>
      <c r="B62" s="4" t="str">
        <f>IF(K62="","",INDEX(Интервалы!$A$2:$A$513,MATCH(K62,Интервалы!$G$2:$G$513,0)))</f>
        <v/>
      </c>
      <c r="C62" s="17" t="str">
        <f>IF(K62="","",INDEX(Интервалы!$C$2:$C$513,MATCH(K62,Интервалы!$G$2:$G$513,0)))</f>
        <v/>
      </c>
      <c r="D62" s="17" t="str">
        <f>IF(K62="","",INDEX(Интервалы!$D$2:$D$513,MATCH(K62,Интервалы!$G$2:$G$513,0)))</f>
        <v/>
      </c>
      <c r="E62" s="4" t="str">
        <f t="shared" si="0"/>
        <v/>
      </c>
      <c r="F62" s="8" t="str">
        <f>IF(K62="","",INDEX(Интервалы!$E$2:$E$513,MATCH(K62,Интервалы!$G$2:$G$513,0)))</f>
        <v/>
      </c>
      <c r="G62" s="18" t="str">
        <f>IF(K62="","",IF(H62=1,INDEX('По дням'!$B$2:$B$4000,MATCH(C62,'По дням'!$A$2:$A$4000,0)),"по периодам ставки"))</f>
        <v/>
      </c>
      <c r="H62" s="4" t="str">
        <f>IF(K62="","",INDEX(Интервалы!$I$2:$I$513,MATCH(K62,Интервалы!$G$2:$G$513,0)))</f>
        <v/>
      </c>
      <c r="I62" s="8" t="str">
        <f>IF(K62="","",INDEX(Интервалы!$F$2:$F$513,MATCH(K62,Интервалы!$G$2:$G$513,0)))</f>
        <v/>
      </c>
      <c r="J62" s="8" t="str">
        <f>IF(K62="","",INDEX(Интервалы!$H$2:$H$513,MATCH(K62,Интервалы!$G$2:$G$513,0)))</f>
        <v/>
      </c>
      <c r="K62" t="str">
        <f>IFERROR(SMALL(Интервалы!$G$2:$G$513,56),"")</f>
        <v/>
      </c>
      <c r="L62" t="str">
        <f>IF(K62="","",INDEX(Интервалы!$B$2:$B$513,MATCH(K62,Интервалы!$G$2:$G$513,0)))</f>
        <v/>
      </c>
    </row>
    <row r="63" spans="1:12" x14ac:dyDescent="0.3">
      <c r="A63" s="4" t="str">
        <f>IF(K63="","",57)</f>
        <v/>
      </c>
      <c r="B63" s="4" t="str">
        <f>IF(K63="","",INDEX(Интервалы!$A$2:$A$513,MATCH(K63,Интервалы!$G$2:$G$513,0)))</f>
        <v/>
      </c>
      <c r="C63" s="17" t="str">
        <f>IF(K63="","",INDEX(Интервалы!$C$2:$C$513,MATCH(K63,Интервалы!$G$2:$G$513,0)))</f>
        <v/>
      </c>
      <c r="D63" s="17" t="str">
        <f>IF(K63="","",INDEX(Интервалы!$D$2:$D$513,MATCH(K63,Интервалы!$G$2:$G$513,0)))</f>
        <v/>
      </c>
      <c r="E63" s="4" t="str">
        <f t="shared" si="0"/>
        <v/>
      </c>
      <c r="F63" s="8" t="str">
        <f>IF(K63="","",INDEX(Интервалы!$E$2:$E$513,MATCH(K63,Интервалы!$G$2:$G$513,0)))</f>
        <v/>
      </c>
      <c r="G63" s="18" t="str">
        <f>IF(K63="","",IF(H63=1,INDEX('По дням'!$B$2:$B$4000,MATCH(C63,'По дням'!$A$2:$A$4000,0)),"по периодам ставки"))</f>
        <v/>
      </c>
      <c r="H63" s="4" t="str">
        <f>IF(K63="","",INDEX(Интервалы!$I$2:$I$513,MATCH(K63,Интервалы!$G$2:$G$513,0)))</f>
        <v/>
      </c>
      <c r="I63" s="8" t="str">
        <f>IF(K63="","",INDEX(Интервалы!$F$2:$F$513,MATCH(K63,Интервалы!$G$2:$G$513,0)))</f>
        <v/>
      </c>
      <c r="J63" s="8" t="str">
        <f>IF(K63="","",INDEX(Интервалы!$H$2:$H$513,MATCH(K63,Интервалы!$G$2:$G$513,0)))</f>
        <v/>
      </c>
      <c r="K63" t="str">
        <f>IFERROR(SMALL(Интервалы!$G$2:$G$513,57),"")</f>
        <v/>
      </c>
      <c r="L63" t="str">
        <f>IF(K63="","",INDEX(Интервалы!$B$2:$B$513,MATCH(K63,Интервалы!$G$2:$G$513,0)))</f>
        <v/>
      </c>
    </row>
    <row r="64" spans="1:12" x14ac:dyDescent="0.3">
      <c r="A64" s="4" t="str">
        <f>IF(K64="","",58)</f>
        <v/>
      </c>
      <c r="B64" s="4" t="str">
        <f>IF(K64="","",INDEX(Интервалы!$A$2:$A$513,MATCH(K64,Интервалы!$G$2:$G$513,0)))</f>
        <v/>
      </c>
      <c r="C64" s="17" t="str">
        <f>IF(K64="","",INDEX(Интервалы!$C$2:$C$513,MATCH(K64,Интервалы!$G$2:$G$513,0)))</f>
        <v/>
      </c>
      <c r="D64" s="17" t="str">
        <f>IF(K64="","",INDEX(Интервалы!$D$2:$D$513,MATCH(K64,Интервалы!$G$2:$G$513,0)))</f>
        <v/>
      </c>
      <c r="E64" s="4" t="str">
        <f t="shared" si="0"/>
        <v/>
      </c>
      <c r="F64" s="8" t="str">
        <f>IF(K64="","",INDEX(Интервалы!$E$2:$E$513,MATCH(K64,Интервалы!$G$2:$G$513,0)))</f>
        <v/>
      </c>
      <c r="G64" s="18" t="str">
        <f>IF(K64="","",IF(H64=1,INDEX('По дням'!$B$2:$B$4000,MATCH(C64,'По дням'!$A$2:$A$4000,0)),"по периодам ставки"))</f>
        <v/>
      </c>
      <c r="H64" s="4" t="str">
        <f>IF(K64="","",INDEX(Интервалы!$I$2:$I$513,MATCH(K64,Интервалы!$G$2:$G$513,0)))</f>
        <v/>
      </c>
      <c r="I64" s="8" t="str">
        <f>IF(K64="","",INDEX(Интервалы!$F$2:$F$513,MATCH(K64,Интервалы!$G$2:$G$513,0)))</f>
        <v/>
      </c>
      <c r="J64" s="8" t="str">
        <f>IF(K64="","",INDEX(Интервалы!$H$2:$H$513,MATCH(K64,Интервалы!$G$2:$G$513,0)))</f>
        <v/>
      </c>
      <c r="K64" t="str">
        <f>IFERROR(SMALL(Интервалы!$G$2:$G$513,58),"")</f>
        <v/>
      </c>
      <c r="L64" t="str">
        <f>IF(K64="","",INDEX(Интервалы!$B$2:$B$513,MATCH(K64,Интервалы!$G$2:$G$513,0)))</f>
        <v/>
      </c>
    </row>
    <row r="65" spans="1:12" x14ac:dyDescent="0.3">
      <c r="A65" s="4" t="str">
        <f>IF(K65="","",59)</f>
        <v/>
      </c>
      <c r="B65" s="4" t="str">
        <f>IF(K65="","",INDEX(Интервалы!$A$2:$A$513,MATCH(K65,Интервалы!$G$2:$G$513,0)))</f>
        <v/>
      </c>
      <c r="C65" s="17" t="str">
        <f>IF(K65="","",INDEX(Интервалы!$C$2:$C$513,MATCH(K65,Интервалы!$G$2:$G$513,0)))</f>
        <v/>
      </c>
      <c r="D65" s="17" t="str">
        <f>IF(K65="","",INDEX(Интервалы!$D$2:$D$513,MATCH(K65,Интервалы!$G$2:$G$513,0)))</f>
        <v/>
      </c>
      <c r="E65" s="4" t="str">
        <f t="shared" si="0"/>
        <v/>
      </c>
      <c r="F65" s="8" t="str">
        <f>IF(K65="","",INDEX(Интервалы!$E$2:$E$513,MATCH(K65,Интервалы!$G$2:$G$513,0)))</f>
        <v/>
      </c>
      <c r="G65" s="18" t="str">
        <f>IF(K65="","",IF(H65=1,INDEX('По дням'!$B$2:$B$4000,MATCH(C65,'По дням'!$A$2:$A$4000,0)),"по периодам ставки"))</f>
        <v/>
      </c>
      <c r="H65" s="4" t="str">
        <f>IF(K65="","",INDEX(Интервалы!$I$2:$I$513,MATCH(K65,Интервалы!$G$2:$G$513,0)))</f>
        <v/>
      </c>
      <c r="I65" s="8" t="str">
        <f>IF(K65="","",INDEX(Интервалы!$F$2:$F$513,MATCH(K65,Интервалы!$G$2:$G$513,0)))</f>
        <v/>
      </c>
      <c r="J65" s="8" t="str">
        <f>IF(K65="","",INDEX(Интервалы!$H$2:$H$513,MATCH(K65,Интервалы!$G$2:$G$513,0)))</f>
        <v/>
      </c>
      <c r="K65" t="str">
        <f>IFERROR(SMALL(Интервалы!$G$2:$G$513,59),"")</f>
        <v/>
      </c>
      <c r="L65" t="str">
        <f>IF(K65="","",INDEX(Интервалы!$B$2:$B$513,MATCH(K65,Интервалы!$G$2:$G$513,0)))</f>
        <v/>
      </c>
    </row>
    <row r="66" spans="1:12" x14ac:dyDescent="0.3">
      <c r="A66" s="4" t="str">
        <f>IF(K66="","",60)</f>
        <v/>
      </c>
      <c r="B66" s="4" t="str">
        <f>IF(K66="","",INDEX(Интервалы!$A$2:$A$513,MATCH(K66,Интервалы!$G$2:$G$513,0)))</f>
        <v/>
      </c>
      <c r="C66" s="17" t="str">
        <f>IF(K66="","",INDEX(Интервалы!$C$2:$C$513,MATCH(K66,Интервалы!$G$2:$G$513,0)))</f>
        <v/>
      </c>
      <c r="D66" s="17" t="str">
        <f>IF(K66="","",INDEX(Интервалы!$D$2:$D$513,MATCH(K66,Интервалы!$G$2:$G$513,0)))</f>
        <v/>
      </c>
      <c r="E66" s="4" t="str">
        <f t="shared" si="0"/>
        <v/>
      </c>
      <c r="F66" s="8" t="str">
        <f>IF(K66="","",INDEX(Интервалы!$E$2:$E$513,MATCH(K66,Интервалы!$G$2:$G$513,0)))</f>
        <v/>
      </c>
      <c r="G66" s="18" t="str">
        <f>IF(K66="","",IF(H66=1,INDEX('По дням'!$B$2:$B$4000,MATCH(C66,'По дням'!$A$2:$A$4000,0)),"по периодам ставки"))</f>
        <v/>
      </c>
      <c r="H66" s="4" t="str">
        <f>IF(K66="","",INDEX(Интервалы!$I$2:$I$513,MATCH(K66,Интервалы!$G$2:$G$513,0)))</f>
        <v/>
      </c>
      <c r="I66" s="8" t="str">
        <f>IF(K66="","",INDEX(Интервалы!$F$2:$F$513,MATCH(K66,Интервалы!$G$2:$G$513,0)))</f>
        <v/>
      </c>
      <c r="J66" s="8" t="str">
        <f>IF(K66="","",INDEX(Интервалы!$H$2:$H$513,MATCH(K66,Интервалы!$G$2:$G$513,0)))</f>
        <v/>
      </c>
      <c r="K66" t="str">
        <f>IFERROR(SMALL(Интервалы!$G$2:$G$513,60),"")</f>
        <v/>
      </c>
      <c r="L66" t="str">
        <f>IF(K66="","",INDEX(Интервалы!$B$2:$B$513,MATCH(K66,Интервалы!$G$2:$G$513,0)))</f>
        <v/>
      </c>
    </row>
    <row r="67" spans="1:12" x14ac:dyDescent="0.3">
      <c r="A67" s="4" t="str">
        <f>IF(K67="","",61)</f>
        <v/>
      </c>
      <c r="B67" s="4" t="str">
        <f>IF(K67="","",INDEX(Интервалы!$A$2:$A$513,MATCH(K67,Интервалы!$G$2:$G$513,0)))</f>
        <v/>
      </c>
      <c r="C67" s="17" t="str">
        <f>IF(K67="","",INDEX(Интервалы!$C$2:$C$513,MATCH(K67,Интервалы!$G$2:$G$513,0)))</f>
        <v/>
      </c>
      <c r="D67" s="17" t="str">
        <f>IF(K67="","",INDEX(Интервалы!$D$2:$D$513,MATCH(K67,Интервалы!$G$2:$G$513,0)))</f>
        <v/>
      </c>
      <c r="E67" s="4" t="str">
        <f t="shared" si="0"/>
        <v/>
      </c>
      <c r="F67" s="8" t="str">
        <f>IF(K67="","",INDEX(Интервалы!$E$2:$E$513,MATCH(K67,Интервалы!$G$2:$G$513,0)))</f>
        <v/>
      </c>
      <c r="G67" s="18" t="str">
        <f>IF(K67="","",IF(H67=1,INDEX('По дням'!$B$2:$B$4000,MATCH(C67,'По дням'!$A$2:$A$4000,0)),"по периодам ставки"))</f>
        <v/>
      </c>
      <c r="H67" s="4" t="str">
        <f>IF(K67="","",INDEX(Интервалы!$I$2:$I$513,MATCH(K67,Интервалы!$G$2:$G$513,0)))</f>
        <v/>
      </c>
      <c r="I67" s="8" t="str">
        <f>IF(K67="","",INDEX(Интервалы!$F$2:$F$513,MATCH(K67,Интервалы!$G$2:$G$513,0)))</f>
        <v/>
      </c>
      <c r="J67" s="8" t="str">
        <f>IF(K67="","",INDEX(Интервалы!$H$2:$H$513,MATCH(K67,Интервалы!$G$2:$G$513,0)))</f>
        <v/>
      </c>
      <c r="K67" t="str">
        <f>IFERROR(SMALL(Интервалы!$G$2:$G$513,61),"")</f>
        <v/>
      </c>
      <c r="L67" t="str">
        <f>IF(K67="","",INDEX(Интервалы!$B$2:$B$513,MATCH(K67,Интервалы!$G$2:$G$513,0)))</f>
        <v/>
      </c>
    </row>
    <row r="68" spans="1:12" x14ac:dyDescent="0.3">
      <c r="A68" s="4" t="str">
        <f>IF(K68="","",62)</f>
        <v/>
      </c>
      <c r="B68" s="4" t="str">
        <f>IF(K68="","",INDEX(Интервалы!$A$2:$A$513,MATCH(K68,Интервалы!$G$2:$G$513,0)))</f>
        <v/>
      </c>
      <c r="C68" s="17" t="str">
        <f>IF(K68="","",INDEX(Интервалы!$C$2:$C$513,MATCH(K68,Интервалы!$G$2:$G$513,0)))</f>
        <v/>
      </c>
      <c r="D68" s="17" t="str">
        <f>IF(K68="","",INDEX(Интервалы!$D$2:$D$513,MATCH(K68,Интервалы!$G$2:$G$513,0)))</f>
        <v/>
      </c>
      <c r="E68" s="4" t="str">
        <f t="shared" si="0"/>
        <v/>
      </c>
      <c r="F68" s="8" t="str">
        <f>IF(K68="","",INDEX(Интервалы!$E$2:$E$513,MATCH(K68,Интервалы!$G$2:$G$513,0)))</f>
        <v/>
      </c>
      <c r="G68" s="18" t="str">
        <f>IF(K68="","",IF(H68=1,INDEX('По дням'!$B$2:$B$4000,MATCH(C68,'По дням'!$A$2:$A$4000,0)),"по периодам ставки"))</f>
        <v/>
      </c>
      <c r="H68" s="4" t="str">
        <f>IF(K68="","",INDEX(Интервалы!$I$2:$I$513,MATCH(K68,Интервалы!$G$2:$G$513,0)))</f>
        <v/>
      </c>
      <c r="I68" s="8" t="str">
        <f>IF(K68="","",INDEX(Интервалы!$F$2:$F$513,MATCH(K68,Интервалы!$G$2:$G$513,0)))</f>
        <v/>
      </c>
      <c r="J68" s="8" t="str">
        <f>IF(K68="","",INDEX(Интервалы!$H$2:$H$513,MATCH(K68,Интервалы!$G$2:$G$513,0)))</f>
        <v/>
      </c>
      <c r="K68" t="str">
        <f>IFERROR(SMALL(Интервалы!$G$2:$G$513,62),"")</f>
        <v/>
      </c>
      <c r="L68" t="str">
        <f>IF(K68="","",INDEX(Интервалы!$B$2:$B$513,MATCH(K68,Интервалы!$G$2:$G$513,0)))</f>
        <v/>
      </c>
    </row>
    <row r="69" spans="1:12" x14ac:dyDescent="0.3">
      <c r="A69" s="4" t="str">
        <f>IF(K69="","",63)</f>
        <v/>
      </c>
      <c r="B69" s="4" t="str">
        <f>IF(K69="","",INDEX(Интервалы!$A$2:$A$513,MATCH(K69,Интервалы!$G$2:$G$513,0)))</f>
        <v/>
      </c>
      <c r="C69" s="17" t="str">
        <f>IF(K69="","",INDEX(Интервалы!$C$2:$C$513,MATCH(K69,Интервалы!$G$2:$G$513,0)))</f>
        <v/>
      </c>
      <c r="D69" s="17" t="str">
        <f>IF(K69="","",INDEX(Интервалы!$D$2:$D$513,MATCH(K69,Интервалы!$G$2:$G$513,0)))</f>
        <v/>
      </c>
      <c r="E69" s="4" t="str">
        <f t="shared" si="0"/>
        <v/>
      </c>
      <c r="F69" s="8" t="str">
        <f>IF(K69="","",INDEX(Интервалы!$E$2:$E$513,MATCH(K69,Интервалы!$G$2:$G$513,0)))</f>
        <v/>
      </c>
      <c r="G69" s="18" t="str">
        <f>IF(K69="","",IF(H69=1,INDEX('По дням'!$B$2:$B$4000,MATCH(C69,'По дням'!$A$2:$A$4000,0)),"по периодам ставки"))</f>
        <v/>
      </c>
      <c r="H69" s="4" t="str">
        <f>IF(K69="","",INDEX(Интервалы!$I$2:$I$513,MATCH(K69,Интервалы!$G$2:$G$513,0)))</f>
        <v/>
      </c>
      <c r="I69" s="8" t="str">
        <f>IF(K69="","",INDEX(Интервалы!$F$2:$F$513,MATCH(K69,Интервалы!$G$2:$G$513,0)))</f>
        <v/>
      </c>
      <c r="J69" s="8" t="str">
        <f>IF(K69="","",INDEX(Интервалы!$H$2:$H$513,MATCH(K69,Интервалы!$G$2:$G$513,0)))</f>
        <v/>
      </c>
      <c r="K69" t="str">
        <f>IFERROR(SMALL(Интервалы!$G$2:$G$513,63),"")</f>
        <v/>
      </c>
      <c r="L69" t="str">
        <f>IF(K69="","",INDEX(Интервалы!$B$2:$B$513,MATCH(K69,Интервалы!$G$2:$G$513,0)))</f>
        <v/>
      </c>
    </row>
    <row r="70" spans="1:12" x14ac:dyDescent="0.3">
      <c r="A70" s="4" t="str">
        <f>IF(K70="","",64)</f>
        <v/>
      </c>
      <c r="B70" s="4" t="str">
        <f>IF(K70="","",INDEX(Интервалы!$A$2:$A$513,MATCH(K70,Интервалы!$G$2:$G$513,0)))</f>
        <v/>
      </c>
      <c r="C70" s="17" t="str">
        <f>IF(K70="","",INDEX(Интервалы!$C$2:$C$513,MATCH(K70,Интервалы!$G$2:$G$513,0)))</f>
        <v/>
      </c>
      <c r="D70" s="17" t="str">
        <f>IF(K70="","",INDEX(Интервалы!$D$2:$D$513,MATCH(K70,Интервалы!$G$2:$G$513,0)))</f>
        <v/>
      </c>
      <c r="E70" s="4" t="str">
        <f t="shared" si="0"/>
        <v/>
      </c>
      <c r="F70" s="8" t="str">
        <f>IF(K70="","",INDEX(Интервалы!$E$2:$E$513,MATCH(K70,Интервалы!$G$2:$G$513,0)))</f>
        <v/>
      </c>
      <c r="G70" s="18" t="str">
        <f>IF(K70="","",IF(H70=1,INDEX('По дням'!$B$2:$B$4000,MATCH(C70,'По дням'!$A$2:$A$4000,0)),"по периодам ставки"))</f>
        <v/>
      </c>
      <c r="H70" s="4" t="str">
        <f>IF(K70="","",INDEX(Интервалы!$I$2:$I$513,MATCH(K70,Интервалы!$G$2:$G$513,0)))</f>
        <v/>
      </c>
      <c r="I70" s="8" t="str">
        <f>IF(K70="","",INDEX(Интервалы!$F$2:$F$513,MATCH(K70,Интервалы!$G$2:$G$513,0)))</f>
        <v/>
      </c>
      <c r="J70" s="8" t="str">
        <f>IF(K70="","",INDEX(Интервалы!$H$2:$H$513,MATCH(K70,Интервалы!$G$2:$G$513,0)))</f>
        <v/>
      </c>
      <c r="K70" t="str">
        <f>IFERROR(SMALL(Интервалы!$G$2:$G$513,64),"")</f>
        <v/>
      </c>
      <c r="L70" t="str">
        <f>IF(K70="","",INDEX(Интервалы!$B$2:$B$513,MATCH(K70,Интервалы!$G$2:$G$513,0)))</f>
        <v/>
      </c>
    </row>
    <row r="71" spans="1:12" x14ac:dyDescent="0.3">
      <c r="A71" s="4" t="str">
        <f>IF(K71="","",65)</f>
        <v/>
      </c>
      <c r="B71" s="4" t="str">
        <f>IF(K71="","",INDEX(Интервалы!$A$2:$A$513,MATCH(K71,Интервалы!$G$2:$G$513,0)))</f>
        <v/>
      </c>
      <c r="C71" s="17" t="str">
        <f>IF(K71="","",INDEX(Интервалы!$C$2:$C$513,MATCH(K71,Интервалы!$G$2:$G$513,0)))</f>
        <v/>
      </c>
      <c r="D71" s="17" t="str">
        <f>IF(K71="","",INDEX(Интервалы!$D$2:$D$513,MATCH(K71,Интервалы!$G$2:$G$513,0)))</f>
        <v/>
      </c>
      <c r="E71" s="4" t="str">
        <f t="shared" ref="E71:E134" si="1">IF(K71="","",D71-C71+1)</f>
        <v/>
      </c>
      <c r="F71" s="8" t="str">
        <f>IF(K71="","",INDEX(Интервалы!$E$2:$E$513,MATCH(K71,Интервалы!$G$2:$G$513,0)))</f>
        <v/>
      </c>
      <c r="G71" s="18" t="str">
        <f>IF(K71="","",IF(H71=1,INDEX('По дням'!$B$2:$B$4000,MATCH(C71,'По дням'!$A$2:$A$4000,0)),"по периодам ставки"))</f>
        <v/>
      </c>
      <c r="H71" s="4" t="str">
        <f>IF(K71="","",INDEX(Интервалы!$I$2:$I$513,MATCH(K71,Интервалы!$G$2:$G$513,0)))</f>
        <v/>
      </c>
      <c r="I71" s="8" t="str">
        <f>IF(K71="","",INDEX(Интервалы!$F$2:$F$513,MATCH(K71,Интервалы!$G$2:$G$513,0)))</f>
        <v/>
      </c>
      <c r="J71" s="8" t="str">
        <f>IF(K71="","",INDEX(Интервалы!$H$2:$H$513,MATCH(K71,Интервалы!$G$2:$G$513,0)))</f>
        <v/>
      </c>
      <c r="K71" t="str">
        <f>IFERROR(SMALL(Интервалы!$G$2:$G$513,65),"")</f>
        <v/>
      </c>
      <c r="L71" t="str">
        <f>IF(K71="","",INDEX(Интервалы!$B$2:$B$513,MATCH(K71,Интервалы!$G$2:$G$513,0)))</f>
        <v/>
      </c>
    </row>
    <row r="72" spans="1:12" x14ac:dyDescent="0.3">
      <c r="A72" s="4" t="str">
        <f>IF(K72="","",66)</f>
        <v/>
      </c>
      <c r="B72" s="4" t="str">
        <f>IF(K72="","",INDEX(Интервалы!$A$2:$A$513,MATCH(K72,Интервалы!$G$2:$G$513,0)))</f>
        <v/>
      </c>
      <c r="C72" s="17" t="str">
        <f>IF(K72="","",INDEX(Интервалы!$C$2:$C$513,MATCH(K72,Интервалы!$G$2:$G$513,0)))</f>
        <v/>
      </c>
      <c r="D72" s="17" t="str">
        <f>IF(K72="","",INDEX(Интервалы!$D$2:$D$513,MATCH(K72,Интервалы!$G$2:$G$513,0)))</f>
        <v/>
      </c>
      <c r="E72" s="4" t="str">
        <f t="shared" si="1"/>
        <v/>
      </c>
      <c r="F72" s="8" t="str">
        <f>IF(K72="","",INDEX(Интервалы!$E$2:$E$513,MATCH(K72,Интервалы!$G$2:$G$513,0)))</f>
        <v/>
      </c>
      <c r="G72" s="18" t="str">
        <f>IF(K72="","",IF(H72=1,INDEX('По дням'!$B$2:$B$4000,MATCH(C72,'По дням'!$A$2:$A$4000,0)),"по периодам ставки"))</f>
        <v/>
      </c>
      <c r="H72" s="4" t="str">
        <f>IF(K72="","",INDEX(Интервалы!$I$2:$I$513,MATCH(K72,Интервалы!$G$2:$G$513,0)))</f>
        <v/>
      </c>
      <c r="I72" s="8" t="str">
        <f>IF(K72="","",INDEX(Интервалы!$F$2:$F$513,MATCH(K72,Интервалы!$G$2:$G$513,0)))</f>
        <v/>
      </c>
      <c r="J72" s="8" t="str">
        <f>IF(K72="","",INDEX(Интервалы!$H$2:$H$513,MATCH(K72,Интервалы!$G$2:$G$513,0)))</f>
        <v/>
      </c>
      <c r="K72" t="str">
        <f>IFERROR(SMALL(Интервалы!$G$2:$G$513,66),"")</f>
        <v/>
      </c>
      <c r="L72" t="str">
        <f>IF(K72="","",INDEX(Интервалы!$B$2:$B$513,MATCH(K72,Интервалы!$G$2:$G$513,0)))</f>
        <v/>
      </c>
    </row>
    <row r="73" spans="1:12" x14ac:dyDescent="0.3">
      <c r="A73" s="4" t="str">
        <f>IF(K73="","",67)</f>
        <v/>
      </c>
      <c r="B73" s="4" t="str">
        <f>IF(K73="","",INDEX(Интервалы!$A$2:$A$513,MATCH(K73,Интервалы!$G$2:$G$513,0)))</f>
        <v/>
      </c>
      <c r="C73" s="17" t="str">
        <f>IF(K73="","",INDEX(Интервалы!$C$2:$C$513,MATCH(K73,Интервалы!$G$2:$G$513,0)))</f>
        <v/>
      </c>
      <c r="D73" s="17" t="str">
        <f>IF(K73="","",INDEX(Интервалы!$D$2:$D$513,MATCH(K73,Интервалы!$G$2:$G$513,0)))</f>
        <v/>
      </c>
      <c r="E73" s="4" t="str">
        <f t="shared" si="1"/>
        <v/>
      </c>
      <c r="F73" s="8" t="str">
        <f>IF(K73="","",INDEX(Интервалы!$E$2:$E$513,MATCH(K73,Интервалы!$G$2:$G$513,0)))</f>
        <v/>
      </c>
      <c r="G73" s="18" t="str">
        <f>IF(K73="","",IF(H73=1,INDEX('По дням'!$B$2:$B$4000,MATCH(C73,'По дням'!$A$2:$A$4000,0)),"по периодам ставки"))</f>
        <v/>
      </c>
      <c r="H73" s="4" t="str">
        <f>IF(K73="","",INDEX(Интервалы!$I$2:$I$513,MATCH(K73,Интервалы!$G$2:$G$513,0)))</f>
        <v/>
      </c>
      <c r="I73" s="8" t="str">
        <f>IF(K73="","",INDEX(Интервалы!$F$2:$F$513,MATCH(K73,Интервалы!$G$2:$G$513,0)))</f>
        <v/>
      </c>
      <c r="J73" s="8" t="str">
        <f>IF(K73="","",INDEX(Интервалы!$H$2:$H$513,MATCH(K73,Интервалы!$G$2:$G$513,0)))</f>
        <v/>
      </c>
      <c r="K73" t="str">
        <f>IFERROR(SMALL(Интервалы!$G$2:$G$513,67),"")</f>
        <v/>
      </c>
      <c r="L73" t="str">
        <f>IF(K73="","",INDEX(Интервалы!$B$2:$B$513,MATCH(K73,Интервалы!$G$2:$G$513,0)))</f>
        <v/>
      </c>
    </row>
    <row r="74" spans="1:12" x14ac:dyDescent="0.3">
      <c r="A74" s="4" t="str">
        <f>IF(K74="","",68)</f>
        <v/>
      </c>
      <c r="B74" s="4" t="str">
        <f>IF(K74="","",INDEX(Интервалы!$A$2:$A$513,MATCH(K74,Интервалы!$G$2:$G$513,0)))</f>
        <v/>
      </c>
      <c r="C74" s="17" t="str">
        <f>IF(K74="","",INDEX(Интервалы!$C$2:$C$513,MATCH(K74,Интервалы!$G$2:$G$513,0)))</f>
        <v/>
      </c>
      <c r="D74" s="17" t="str">
        <f>IF(K74="","",INDEX(Интервалы!$D$2:$D$513,MATCH(K74,Интервалы!$G$2:$G$513,0)))</f>
        <v/>
      </c>
      <c r="E74" s="4" t="str">
        <f t="shared" si="1"/>
        <v/>
      </c>
      <c r="F74" s="8" t="str">
        <f>IF(K74="","",INDEX(Интервалы!$E$2:$E$513,MATCH(K74,Интервалы!$G$2:$G$513,0)))</f>
        <v/>
      </c>
      <c r="G74" s="18" t="str">
        <f>IF(K74="","",IF(H74=1,INDEX('По дням'!$B$2:$B$4000,MATCH(C74,'По дням'!$A$2:$A$4000,0)),"по периодам ставки"))</f>
        <v/>
      </c>
      <c r="H74" s="4" t="str">
        <f>IF(K74="","",INDEX(Интервалы!$I$2:$I$513,MATCH(K74,Интервалы!$G$2:$G$513,0)))</f>
        <v/>
      </c>
      <c r="I74" s="8" t="str">
        <f>IF(K74="","",INDEX(Интервалы!$F$2:$F$513,MATCH(K74,Интервалы!$G$2:$G$513,0)))</f>
        <v/>
      </c>
      <c r="J74" s="8" t="str">
        <f>IF(K74="","",INDEX(Интервалы!$H$2:$H$513,MATCH(K74,Интервалы!$G$2:$G$513,0)))</f>
        <v/>
      </c>
      <c r="K74" t="str">
        <f>IFERROR(SMALL(Интервалы!$G$2:$G$513,68),"")</f>
        <v/>
      </c>
      <c r="L74" t="str">
        <f>IF(K74="","",INDEX(Интервалы!$B$2:$B$513,MATCH(K74,Интервалы!$G$2:$G$513,0)))</f>
        <v/>
      </c>
    </row>
    <row r="75" spans="1:12" x14ac:dyDescent="0.3">
      <c r="A75" s="4" t="str">
        <f>IF(K75="","",69)</f>
        <v/>
      </c>
      <c r="B75" s="4" t="str">
        <f>IF(K75="","",INDEX(Интервалы!$A$2:$A$513,MATCH(K75,Интервалы!$G$2:$G$513,0)))</f>
        <v/>
      </c>
      <c r="C75" s="17" t="str">
        <f>IF(K75="","",INDEX(Интервалы!$C$2:$C$513,MATCH(K75,Интервалы!$G$2:$G$513,0)))</f>
        <v/>
      </c>
      <c r="D75" s="17" t="str">
        <f>IF(K75="","",INDEX(Интервалы!$D$2:$D$513,MATCH(K75,Интервалы!$G$2:$G$513,0)))</f>
        <v/>
      </c>
      <c r="E75" s="4" t="str">
        <f t="shared" si="1"/>
        <v/>
      </c>
      <c r="F75" s="8" t="str">
        <f>IF(K75="","",INDEX(Интервалы!$E$2:$E$513,MATCH(K75,Интервалы!$G$2:$G$513,0)))</f>
        <v/>
      </c>
      <c r="G75" s="18" t="str">
        <f>IF(K75="","",IF(H75=1,INDEX('По дням'!$B$2:$B$4000,MATCH(C75,'По дням'!$A$2:$A$4000,0)),"по периодам ставки"))</f>
        <v/>
      </c>
      <c r="H75" s="4" t="str">
        <f>IF(K75="","",INDEX(Интервалы!$I$2:$I$513,MATCH(K75,Интервалы!$G$2:$G$513,0)))</f>
        <v/>
      </c>
      <c r="I75" s="8" t="str">
        <f>IF(K75="","",INDEX(Интервалы!$F$2:$F$513,MATCH(K75,Интервалы!$G$2:$G$513,0)))</f>
        <v/>
      </c>
      <c r="J75" s="8" t="str">
        <f>IF(K75="","",INDEX(Интервалы!$H$2:$H$513,MATCH(K75,Интервалы!$G$2:$G$513,0)))</f>
        <v/>
      </c>
      <c r="K75" t="str">
        <f>IFERROR(SMALL(Интервалы!$G$2:$G$513,69),"")</f>
        <v/>
      </c>
      <c r="L75" t="str">
        <f>IF(K75="","",INDEX(Интервалы!$B$2:$B$513,MATCH(K75,Интервалы!$G$2:$G$513,0)))</f>
        <v/>
      </c>
    </row>
    <row r="76" spans="1:12" x14ac:dyDescent="0.3">
      <c r="A76" s="4" t="str">
        <f>IF(K76="","",70)</f>
        <v/>
      </c>
      <c r="B76" s="4" t="str">
        <f>IF(K76="","",INDEX(Интервалы!$A$2:$A$513,MATCH(K76,Интервалы!$G$2:$G$513,0)))</f>
        <v/>
      </c>
      <c r="C76" s="17" t="str">
        <f>IF(K76="","",INDEX(Интервалы!$C$2:$C$513,MATCH(K76,Интервалы!$G$2:$G$513,0)))</f>
        <v/>
      </c>
      <c r="D76" s="17" t="str">
        <f>IF(K76="","",INDEX(Интервалы!$D$2:$D$513,MATCH(K76,Интервалы!$G$2:$G$513,0)))</f>
        <v/>
      </c>
      <c r="E76" s="4" t="str">
        <f t="shared" si="1"/>
        <v/>
      </c>
      <c r="F76" s="8" t="str">
        <f>IF(K76="","",INDEX(Интервалы!$E$2:$E$513,MATCH(K76,Интервалы!$G$2:$G$513,0)))</f>
        <v/>
      </c>
      <c r="G76" s="18" t="str">
        <f>IF(K76="","",IF(H76=1,INDEX('По дням'!$B$2:$B$4000,MATCH(C76,'По дням'!$A$2:$A$4000,0)),"по периодам ставки"))</f>
        <v/>
      </c>
      <c r="H76" s="4" t="str">
        <f>IF(K76="","",INDEX(Интервалы!$I$2:$I$513,MATCH(K76,Интервалы!$G$2:$G$513,0)))</f>
        <v/>
      </c>
      <c r="I76" s="8" t="str">
        <f>IF(K76="","",INDEX(Интервалы!$F$2:$F$513,MATCH(K76,Интервалы!$G$2:$G$513,0)))</f>
        <v/>
      </c>
      <c r="J76" s="8" t="str">
        <f>IF(K76="","",INDEX(Интервалы!$H$2:$H$513,MATCH(K76,Интервалы!$G$2:$G$513,0)))</f>
        <v/>
      </c>
      <c r="K76" t="str">
        <f>IFERROR(SMALL(Интервалы!$G$2:$G$513,70),"")</f>
        <v/>
      </c>
      <c r="L76" t="str">
        <f>IF(K76="","",INDEX(Интервалы!$B$2:$B$513,MATCH(K76,Интервалы!$G$2:$G$513,0)))</f>
        <v/>
      </c>
    </row>
    <row r="77" spans="1:12" x14ac:dyDescent="0.3">
      <c r="A77" s="4" t="str">
        <f>IF(K77="","",71)</f>
        <v/>
      </c>
      <c r="B77" s="4" t="str">
        <f>IF(K77="","",INDEX(Интервалы!$A$2:$A$513,MATCH(K77,Интервалы!$G$2:$G$513,0)))</f>
        <v/>
      </c>
      <c r="C77" s="17" t="str">
        <f>IF(K77="","",INDEX(Интервалы!$C$2:$C$513,MATCH(K77,Интервалы!$G$2:$G$513,0)))</f>
        <v/>
      </c>
      <c r="D77" s="17" t="str">
        <f>IF(K77="","",INDEX(Интервалы!$D$2:$D$513,MATCH(K77,Интервалы!$G$2:$G$513,0)))</f>
        <v/>
      </c>
      <c r="E77" s="4" t="str">
        <f t="shared" si="1"/>
        <v/>
      </c>
      <c r="F77" s="8" t="str">
        <f>IF(K77="","",INDEX(Интервалы!$E$2:$E$513,MATCH(K77,Интервалы!$G$2:$G$513,0)))</f>
        <v/>
      </c>
      <c r="G77" s="18" t="str">
        <f>IF(K77="","",IF(H77=1,INDEX('По дням'!$B$2:$B$4000,MATCH(C77,'По дням'!$A$2:$A$4000,0)),"по периодам ставки"))</f>
        <v/>
      </c>
      <c r="H77" s="4" t="str">
        <f>IF(K77="","",INDEX(Интервалы!$I$2:$I$513,MATCH(K77,Интервалы!$G$2:$G$513,0)))</f>
        <v/>
      </c>
      <c r="I77" s="8" t="str">
        <f>IF(K77="","",INDEX(Интервалы!$F$2:$F$513,MATCH(K77,Интервалы!$G$2:$G$513,0)))</f>
        <v/>
      </c>
      <c r="J77" s="8" t="str">
        <f>IF(K77="","",INDEX(Интервалы!$H$2:$H$513,MATCH(K77,Интервалы!$G$2:$G$513,0)))</f>
        <v/>
      </c>
      <c r="K77" t="str">
        <f>IFERROR(SMALL(Интервалы!$G$2:$G$513,71),"")</f>
        <v/>
      </c>
      <c r="L77" t="str">
        <f>IF(K77="","",INDEX(Интервалы!$B$2:$B$513,MATCH(K77,Интервалы!$G$2:$G$513,0)))</f>
        <v/>
      </c>
    </row>
    <row r="78" spans="1:12" x14ac:dyDescent="0.3">
      <c r="A78" s="4" t="str">
        <f>IF(K78="","",72)</f>
        <v/>
      </c>
      <c r="B78" s="4" t="str">
        <f>IF(K78="","",INDEX(Интервалы!$A$2:$A$513,MATCH(K78,Интервалы!$G$2:$G$513,0)))</f>
        <v/>
      </c>
      <c r="C78" s="17" t="str">
        <f>IF(K78="","",INDEX(Интервалы!$C$2:$C$513,MATCH(K78,Интервалы!$G$2:$G$513,0)))</f>
        <v/>
      </c>
      <c r="D78" s="17" t="str">
        <f>IF(K78="","",INDEX(Интервалы!$D$2:$D$513,MATCH(K78,Интервалы!$G$2:$G$513,0)))</f>
        <v/>
      </c>
      <c r="E78" s="4" t="str">
        <f t="shared" si="1"/>
        <v/>
      </c>
      <c r="F78" s="8" t="str">
        <f>IF(K78="","",INDEX(Интервалы!$E$2:$E$513,MATCH(K78,Интервалы!$G$2:$G$513,0)))</f>
        <v/>
      </c>
      <c r="G78" s="18" t="str">
        <f>IF(K78="","",IF(H78=1,INDEX('По дням'!$B$2:$B$4000,MATCH(C78,'По дням'!$A$2:$A$4000,0)),"по периодам ставки"))</f>
        <v/>
      </c>
      <c r="H78" s="4" t="str">
        <f>IF(K78="","",INDEX(Интервалы!$I$2:$I$513,MATCH(K78,Интервалы!$G$2:$G$513,0)))</f>
        <v/>
      </c>
      <c r="I78" s="8" t="str">
        <f>IF(K78="","",INDEX(Интервалы!$F$2:$F$513,MATCH(K78,Интервалы!$G$2:$G$513,0)))</f>
        <v/>
      </c>
      <c r="J78" s="8" t="str">
        <f>IF(K78="","",INDEX(Интервалы!$H$2:$H$513,MATCH(K78,Интервалы!$G$2:$G$513,0)))</f>
        <v/>
      </c>
      <c r="K78" t="str">
        <f>IFERROR(SMALL(Интервалы!$G$2:$G$513,72),"")</f>
        <v/>
      </c>
      <c r="L78" t="str">
        <f>IF(K78="","",INDEX(Интервалы!$B$2:$B$513,MATCH(K78,Интервалы!$G$2:$G$513,0)))</f>
        <v/>
      </c>
    </row>
    <row r="79" spans="1:12" x14ac:dyDescent="0.3">
      <c r="A79" s="4" t="str">
        <f>IF(K79="","",73)</f>
        <v/>
      </c>
      <c r="B79" s="4" t="str">
        <f>IF(K79="","",INDEX(Интервалы!$A$2:$A$513,MATCH(K79,Интервалы!$G$2:$G$513,0)))</f>
        <v/>
      </c>
      <c r="C79" s="17" t="str">
        <f>IF(K79="","",INDEX(Интервалы!$C$2:$C$513,MATCH(K79,Интервалы!$G$2:$G$513,0)))</f>
        <v/>
      </c>
      <c r="D79" s="17" t="str">
        <f>IF(K79="","",INDEX(Интервалы!$D$2:$D$513,MATCH(K79,Интервалы!$G$2:$G$513,0)))</f>
        <v/>
      </c>
      <c r="E79" s="4" t="str">
        <f t="shared" si="1"/>
        <v/>
      </c>
      <c r="F79" s="8" t="str">
        <f>IF(K79="","",INDEX(Интервалы!$E$2:$E$513,MATCH(K79,Интервалы!$G$2:$G$513,0)))</f>
        <v/>
      </c>
      <c r="G79" s="18" t="str">
        <f>IF(K79="","",IF(H79=1,INDEX('По дням'!$B$2:$B$4000,MATCH(C79,'По дням'!$A$2:$A$4000,0)),"по периодам ставки"))</f>
        <v/>
      </c>
      <c r="H79" s="4" t="str">
        <f>IF(K79="","",INDEX(Интервалы!$I$2:$I$513,MATCH(K79,Интервалы!$G$2:$G$513,0)))</f>
        <v/>
      </c>
      <c r="I79" s="8" t="str">
        <f>IF(K79="","",INDEX(Интервалы!$F$2:$F$513,MATCH(K79,Интервалы!$G$2:$G$513,0)))</f>
        <v/>
      </c>
      <c r="J79" s="8" t="str">
        <f>IF(K79="","",INDEX(Интервалы!$H$2:$H$513,MATCH(K79,Интервалы!$G$2:$G$513,0)))</f>
        <v/>
      </c>
      <c r="K79" t="str">
        <f>IFERROR(SMALL(Интервалы!$G$2:$G$513,73),"")</f>
        <v/>
      </c>
      <c r="L79" t="str">
        <f>IF(K79="","",INDEX(Интервалы!$B$2:$B$513,MATCH(K79,Интервалы!$G$2:$G$513,0)))</f>
        <v/>
      </c>
    </row>
    <row r="80" spans="1:12" x14ac:dyDescent="0.3">
      <c r="A80" s="4" t="str">
        <f>IF(K80="","",74)</f>
        <v/>
      </c>
      <c r="B80" s="4" t="str">
        <f>IF(K80="","",INDEX(Интервалы!$A$2:$A$513,MATCH(K80,Интервалы!$G$2:$G$513,0)))</f>
        <v/>
      </c>
      <c r="C80" s="17" t="str">
        <f>IF(K80="","",INDEX(Интервалы!$C$2:$C$513,MATCH(K80,Интервалы!$G$2:$G$513,0)))</f>
        <v/>
      </c>
      <c r="D80" s="17" t="str">
        <f>IF(K80="","",INDEX(Интервалы!$D$2:$D$513,MATCH(K80,Интервалы!$G$2:$G$513,0)))</f>
        <v/>
      </c>
      <c r="E80" s="4" t="str">
        <f t="shared" si="1"/>
        <v/>
      </c>
      <c r="F80" s="8" t="str">
        <f>IF(K80="","",INDEX(Интервалы!$E$2:$E$513,MATCH(K80,Интервалы!$G$2:$G$513,0)))</f>
        <v/>
      </c>
      <c r="G80" s="18" t="str">
        <f>IF(K80="","",IF(H80=1,INDEX('По дням'!$B$2:$B$4000,MATCH(C80,'По дням'!$A$2:$A$4000,0)),"по периодам ставки"))</f>
        <v/>
      </c>
      <c r="H80" s="4" t="str">
        <f>IF(K80="","",INDEX(Интервалы!$I$2:$I$513,MATCH(K80,Интервалы!$G$2:$G$513,0)))</f>
        <v/>
      </c>
      <c r="I80" s="8" t="str">
        <f>IF(K80="","",INDEX(Интервалы!$F$2:$F$513,MATCH(K80,Интервалы!$G$2:$G$513,0)))</f>
        <v/>
      </c>
      <c r="J80" s="8" t="str">
        <f>IF(K80="","",INDEX(Интервалы!$H$2:$H$513,MATCH(K80,Интервалы!$G$2:$G$513,0)))</f>
        <v/>
      </c>
      <c r="K80" t="str">
        <f>IFERROR(SMALL(Интервалы!$G$2:$G$513,74),"")</f>
        <v/>
      </c>
      <c r="L80" t="str">
        <f>IF(K80="","",INDEX(Интервалы!$B$2:$B$513,MATCH(K80,Интервалы!$G$2:$G$513,0)))</f>
        <v/>
      </c>
    </row>
    <row r="81" spans="1:12" x14ac:dyDescent="0.3">
      <c r="A81" s="4" t="str">
        <f>IF(K81="","",75)</f>
        <v/>
      </c>
      <c r="B81" s="4" t="str">
        <f>IF(K81="","",INDEX(Интервалы!$A$2:$A$513,MATCH(K81,Интервалы!$G$2:$G$513,0)))</f>
        <v/>
      </c>
      <c r="C81" s="17" t="str">
        <f>IF(K81="","",INDEX(Интервалы!$C$2:$C$513,MATCH(K81,Интервалы!$G$2:$G$513,0)))</f>
        <v/>
      </c>
      <c r="D81" s="17" t="str">
        <f>IF(K81="","",INDEX(Интервалы!$D$2:$D$513,MATCH(K81,Интервалы!$G$2:$G$513,0)))</f>
        <v/>
      </c>
      <c r="E81" s="4" t="str">
        <f t="shared" si="1"/>
        <v/>
      </c>
      <c r="F81" s="8" t="str">
        <f>IF(K81="","",INDEX(Интервалы!$E$2:$E$513,MATCH(K81,Интервалы!$G$2:$G$513,0)))</f>
        <v/>
      </c>
      <c r="G81" s="18" t="str">
        <f>IF(K81="","",IF(H81=1,INDEX('По дням'!$B$2:$B$4000,MATCH(C81,'По дням'!$A$2:$A$4000,0)),"по периодам ставки"))</f>
        <v/>
      </c>
      <c r="H81" s="4" t="str">
        <f>IF(K81="","",INDEX(Интервалы!$I$2:$I$513,MATCH(K81,Интервалы!$G$2:$G$513,0)))</f>
        <v/>
      </c>
      <c r="I81" s="8" t="str">
        <f>IF(K81="","",INDEX(Интервалы!$F$2:$F$513,MATCH(K81,Интервалы!$G$2:$G$513,0)))</f>
        <v/>
      </c>
      <c r="J81" s="8" t="str">
        <f>IF(K81="","",INDEX(Интервалы!$H$2:$H$513,MATCH(K81,Интервалы!$G$2:$G$513,0)))</f>
        <v/>
      </c>
      <c r="K81" t="str">
        <f>IFERROR(SMALL(Интервалы!$G$2:$G$513,75),"")</f>
        <v/>
      </c>
      <c r="L81" t="str">
        <f>IF(K81="","",INDEX(Интервалы!$B$2:$B$513,MATCH(K81,Интервалы!$G$2:$G$513,0)))</f>
        <v/>
      </c>
    </row>
    <row r="82" spans="1:12" x14ac:dyDescent="0.3">
      <c r="A82" s="4" t="str">
        <f>IF(K82="","",76)</f>
        <v/>
      </c>
      <c r="B82" s="4" t="str">
        <f>IF(K82="","",INDEX(Интервалы!$A$2:$A$513,MATCH(K82,Интервалы!$G$2:$G$513,0)))</f>
        <v/>
      </c>
      <c r="C82" s="17" t="str">
        <f>IF(K82="","",INDEX(Интервалы!$C$2:$C$513,MATCH(K82,Интервалы!$G$2:$G$513,0)))</f>
        <v/>
      </c>
      <c r="D82" s="17" t="str">
        <f>IF(K82="","",INDEX(Интервалы!$D$2:$D$513,MATCH(K82,Интервалы!$G$2:$G$513,0)))</f>
        <v/>
      </c>
      <c r="E82" s="4" t="str">
        <f t="shared" si="1"/>
        <v/>
      </c>
      <c r="F82" s="8" t="str">
        <f>IF(K82="","",INDEX(Интервалы!$E$2:$E$513,MATCH(K82,Интервалы!$G$2:$G$513,0)))</f>
        <v/>
      </c>
      <c r="G82" s="18" t="str">
        <f>IF(K82="","",IF(H82=1,INDEX('По дням'!$B$2:$B$4000,MATCH(C82,'По дням'!$A$2:$A$4000,0)),"по периодам ставки"))</f>
        <v/>
      </c>
      <c r="H82" s="4" t="str">
        <f>IF(K82="","",INDEX(Интервалы!$I$2:$I$513,MATCH(K82,Интервалы!$G$2:$G$513,0)))</f>
        <v/>
      </c>
      <c r="I82" s="8" t="str">
        <f>IF(K82="","",INDEX(Интервалы!$F$2:$F$513,MATCH(K82,Интервалы!$G$2:$G$513,0)))</f>
        <v/>
      </c>
      <c r="J82" s="8" t="str">
        <f>IF(K82="","",INDEX(Интервалы!$H$2:$H$513,MATCH(K82,Интервалы!$G$2:$G$513,0)))</f>
        <v/>
      </c>
      <c r="K82" t="str">
        <f>IFERROR(SMALL(Интервалы!$G$2:$G$513,76),"")</f>
        <v/>
      </c>
      <c r="L82" t="str">
        <f>IF(K82="","",INDEX(Интервалы!$B$2:$B$513,MATCH(K82,Интервалы!$G$2:$G$513,0)))</f>
        <v/>
      </c>
    </row>
    <row r="83" spans="1:12" x14ac:dyDescent="0.3">
      <c r="A83" s="4" t="str">
        <f>IF(K83="","",77)</f>
        <v/>
      </c>
      <c r="B83" s="4" t="str">
        <f>IF(K83="","",INDEX(Интервалы!$A$2:$A$513,MATCH(K83,Интервалы!$G$2:$G$513,0)))</f>
        <v/>
      </c>
      <c r="C83" s="17" t="str">
        <f>IF(K83="","",INDEX(Интервалы!$C$2:$C$513,MATCH(K83,Интервалы!$G$2:$G$513,0)))</f>
        <v/>
      </c>
      <c r="D83" s="17" t="str">
        <f>IF(K83="","",INDEX(Интервалы!$D$2:$D$513,MATCH(K83,Интервалы!$G$2:$G$513,0)))</f>
        <v/>
      </c>
      <c r="E83" s="4" t="str">
        <f t="shared" si="1"/>
        <v/>
      </c>
      <c r="F83" s="8" t="str">
        <f>IF(K83="","",INDEX(Интервалы!$E$2:$E$513,MATCH(K83,Интервалы!$G$2:$G$513,0)))</f>
        <v/>
      </c>
      <c r="G83" s="18" t="str">
        <f>IF(K83="","",IF(H83=1,INDEX('По дням'!$B$2:$B$4000,MATCH(C83,'По дням'!$A$2:$A$4000,0)),"по периодам ставки"))</f>
        <v/>
      </c>
      <c r="H83" s="4" t="str">
        <f>IF(K83="","",INDEX(Интервалы!$I$2:$I$513,MATCH(K83,Интервалы!$G$2:$G$513,0)))</f>
        <v/>
      </c>
      <c r="I83" s="8" t="str">
        <f>IF(K83="","",INDEX(Интервалы!$F$2:$F$513,MATCH(K83,Интервалы!$G$2:$G$513,0)))</f>
        <v/>
      </c>
      <c r="J83" s="8" t="str">
        <f>IF(K83="","",INDEX(Интервалы!$H$2:$H$513,MATCH(K83,Интервалы!$G$2:$G$513,0)))</f>
        <v/>
      </c>
      <c r="K83" t="str">
        <f>IFERROR(SMALL(Интервалы!$G$2:$G$513,77),"")</f>
        <v/>
      </c>
      <c r="L83" t="str">
        <f>IF(K83="","",INDEX(Интервалы!$B$2:$B$513,MATCH(K83,Интервалы!$G$2:$G$513,0)))</f>
        <v/>
      </c>
    </row>
    <row r="84" spans="1:12" x14ac:dyDescent="0.3">
      <c r="A84" s="4" t="str">
        <f>IF(K84="","",78)</f>
        <v/>
      </c>
      <c r="B84" s="4" t="str">
        <f>IF(K84="","",INDEX(Интервалы!$A$2:$A$513,MATCH(K84,Интервалы!$G$2:$G$513,0)))</f>
        <v/>
      </c>
      <c r="C84" s="17" t="str">
        <f>IF(K84="","",INDEX(Интервалы!$C$2:$C$513,MATCH(K84,Интервалы!$G$2:$G$513,0)))</f>
        <v/>
      </c>
      <c r="D84" s="17" t="str">
        <f>IF(K84="","",INDEX(Интервалы!$D$2:$D$513,MATCH(K84,Интервалы!$G$2:$G$513,0)))</f>
        <v/>
      </c>
      <c r="E84" s="4" t="str">
        <f t="shared" si="1"/>
        <v/>
      </c>
      <c r="F84" s="8" t="str">
        <f>IF(K84="","",INDEX(Интервалы!$E$2:$E$513,MATCH(K84,Интервалы!$G$2:$G$513,0)))</f>
        <v/>
      </c>
      <c r="G84" s="18" t="str">
        <f>IF(K84="","",IF(H84=1,INDEX('По дням'!$B$2:$B$4000,MATCH(C84,'По дням'!$A$2:$A$4000,0)),"по периодам ставки"))</f>
        <v/>
      </c>
      <c r="H84" s="4" t="str">
        <f>IF(K84="","",INDEX(Интервалы!$I$2:$I$513,MATCH(K84,Интервалы!$G$2:$G$513,0)))</f>
        <v/>
      </c>
      <c r="I84" s="8" t="str">
        <f>IF(K84="","",INDEX(Интервалы!$F$2:$F$513,MATCH(K84,Интервалы!$G$2:$G$513,0)))</f>
        <v/>
      </c>
      <c r="J84" s="8" t="str">
        <f>IF(K84="","",INDEX(Интервалы!$H$2:$H$513,MATCH(K84,Интервалы!$G$2:$G$513,0)))</f>
        <v/>
      </c>
      <c r="K84" t="str">
        <f>IFERROR(SMALL(Интервалы!$G$2:$G$513,78),"")</f>
        <v/>
      </c>
      <c r="L84" t="str">
        <f>IF(K84="","",INDEX(Интервалы!$B$2:$B$513,MATCH(K84,Интервалы!$G$2:$G$513,0)))</f>
        <v/>
      </c>
    </row>
    <row r="85" spans="1:12" x14ac:dyDescent="0.3">
      <c r="A85" s="4" t="str">
        <f>IF(K85="","",79)</f>
        <v/>
      </c>
      <c r="B85" s="4" t="str">
        <f>IF(K85="","",INDEX(Интервалы!$A$2:$A$513,MATCH(K85,Интервалы!$G$2:$G$513,0)))</f>
        <v/>
      </c>
      <c r="C85" s="17" t="str">
        <f>IF(K85="","",INDEX(Интервалы!$C$2:$C$513,MATCH(K85,Интервалы!$G$2:$G$513,0)))</f>
        <v/>
      </c>
      <c r="D85" s="17" t="str">
        <f>IF(K85="","",INDEX(Интервалы!$D$2:$D$513,MATCH(K85,Интервалы!$G$2:$G$513,0)))</f>
        <v/>
      </c>
      <c r="E85" s="4" t="str">
        <f t="shared" si="1"/>
        <v/>
      </c>
      <c r="F85" s="8" t="str">
        <f>IF(K85="","",INDEX(Интервалы!$E$2:$E$513,MATCH(K85,Интервалы!$G$2:$G$513,0)))</f>
        <v/>
      </c>
      <c r="G85" s="18" t="str">
        <f>IF(K85="","",IF(H85=1,INDEX('По дням'!$B$2:$B$4000,MATCH(C85,'По дням'!$A$2:$A$4000,0)),"по периодам ставки"))</f>
        <v/>
      </c>
      <c r="H85" s="4" t="str">
        <f>IF(K85="","",INDEX(Интервалы!$I$2:$I$513,MATCH(K85,Интервалы!$G$2:$G$513,0)))</f>
        <v/>
      </c>
      <c r="I85" s="8" t="str">
        <f>IF(K85="","",INDEX(Интервалы!$F$2:$F$513,MATCH(K85,Интервалы!$G$2:$G$513,0)))</f>
        <v/>
      </c>
      <c r="J85" s="8" t="str">
        <f>IF(K85="","",INDEX(Интервалы!$H$2:$H$513,MATCH(K85,Интервалы!$G$2:$G$513,0)))</f>
        <v/>
      </c>
      <c r="K85" t="str">
        <f>IFERROR(SMALL(Интервалы!$G$2:$G$513,79),"")</f>
        <v/>
      </c>
      <c r="L85" t="str">
        <f>IF(K85="","",INDEX(Интервалы!$B$2:$B$513,MATCH(K85,Интервалы!$G$2:$G$513,0)))</f>
        <v/>
      </c>
    </row>
    <row r="86" spans="1:12" x14ac:dyDescent="0.3">
      <c r="A86" s="4" t="str">
        <f>IF(K86="","",80)</f>
        <v/>
      </c>
      <c r="B86" s="4" t="str">
        <f>IF(K86="","",INDEX(Интервалы!$A$2:$A$513,MATCH(K86,Интервалы!$G$2:$G$513,0)))</f>
        <v/>
      </c>
      <c r="C86" s="17" t="str">
        <f>IF(K86="","",INDEX(Интервалы!$C$2:$C$513,MATCH(K86,Интервалы!$G$2:$G$513,0)))</f>
        <v/>
      </c>
      <c r="D86" s="17" t="str">
        <f>IF(K86="","",INDEX(Интервалы!$D$2:$D$513,MATCH(K86,Интервалы!$G$2:$G$513,0)))</f>
        <v/>
      </c>
      <c r="E86" s="4" t="str">
        <f t="shared" si="1"/>
        <v/>
      </c>
      <c r="F86" s="8" t="str">
        <f>IF(K86="","",INDEX(Интервалы!$E$2:$E$513,MATCH(K86,Интервалы!$G$2:$G$513,0)))</f>
        <v/>
      </c>
      <c r="G86" s="18" t="str">
        <f>IF(K86="","",IF(H86=1,INDEX('По дням'!$B$2:$B$4000,MATCH(C86,'По дням'!$A$2:$A$4000,0)),"по периодам ставки"))</f>
        <v/>
      </c>
      <c r="H86" s="4" t="str">
        <f>IF(K86="","",INDEX(Интервалы!$I$2:$I$513,MATCH(K86,Интервалы!$G$2:$G$513,0)))</f>
        <v/>
      </c>
      <c r="I86" s="8" t="str">
        <f>IF(K86="","",INDEX(Интервалы!$F$2:$F$513,MATCH(K86,Интервалы!$G$2:$G$513,0)))</f>
        <v/>
      </c>
      <c r="J86" s="8" t="str">
        <f>IF(K86="","",INDEX(Интервалы!$H$2:$H$513,MATCH(K86,Интервалы!$G$2:$G$513,0)))</f>
        <v/>
      </c>
      <c r="K86" t="str">
        <f>IFERROR(SMALL(Интервалы!$G$2:$G$513,80),"")</f>
        <v/>
      </c>
      <c r="L86" t="str">
        <f>IF(K86="","",INDEX(Интервалы!$B$2:$B$513,MATCH(K86,Интервалы!$G$2:$G$513,0)))</f>
        <v/>
      </c>
    </row>
    <row r="87" spans="1:12" x14ac:dyDescent="0.3">
      <c r="A87" s="4" t="str">
        <f>IF(K87="","",81)</f>
        <v/>
      </c>
      <c r="B87" s="4" t="str">
        <f>IF(K87="","",INDEX(Интервалы!$A$2:$A$513,MATCH(K87,Интервалы!$G$2:$G$513,0)))</f>
        <v/>
      </c>
      <c r="C87" s="17" t="str">
        <f>IF(K87="","",INDEX(Интервалы!$C$2:$C$513,MATCH(K87,Интервалы!$G$2:$G$513,0)))</f>
        <v/>
      </c>
      <c r="D87" s="17" t="str">
        <f>IF(K87="","",INDEX(Интервалы!$D$2:$D$513,MATCH(K87,Интервалы!$G$2:$G$513,0)))</f>
        <v/>
      </c>
      <c r="E87" s="4" t="str">
        <f t="shared" si="1"/>
        <v/>
      </c>
      <c r="F87" s="8" t="str">
        <f>IF(K87="","",INDEX(Интервалы!$E$2:$E$513,MATCH(K87,Интервалы!$G$2:$G$513,0)))</f>
        <v/>
      </c>
      <c r="G87" s="18" t="str">
        <f>IF(K87="","",IF(H87=1,INDEX('По дням'!$B$2:$B$4000,MATCH(C87,'По дням'!$A$2:$A$4000,0)),"по периодам ставки"))</f>
        <v/>
      </c>
      <c r="H87" s="4" t="str">
        <f>IF(K87="","",INDEX(Интервалы!$I$2:$I$513,MATCH(K87,Интервалы!$G$2:$G$513,0)))</f>
        <v/>
      </c>
      <c r="I87" s="8" t="str">
        <f>IF(K87="","",INDEX(Интервалы!$F$2:$F$513,MATCH(K87,Интервалы!$G$2:$G$513,0)))</f>
        <v/>
      </c>
      <c r="J87" s="8" t="str">
        <f>IF(K87="","",INDEX(Интервалы!$H$2:$H$513,MATCH(K87,Интервалы!$G$2:$G$513,0)))</f>
        <v/>
      </c>
      <c r="K87" t="str">
        <f>IFERROR(SMALL(Интервалы!$G$2:$G$513,81),"")</f>
        <v/>
      </c>
      <c r="L87" t="str">
        <f>IF(K87="","",INDEX(Интервалы!$B$2:$B$513,MATCH(K87,Интервалы!$G$2:$G$513,0)))</f>
        <v/>
      </c>
    </row>
    <row r="88" spans="1:12" x14ac:dyDescent="0.3">
      <c r="A88" s="4" t="str">
        <f>IF(K88="","",82)</f>
        <v/>
      </c>
      <c r="B88" s="4" t="str">
        <f>IF(K88="","",INDEX(Интервалы!$A$2:$A$513,MATCH(K88,Интервалы!$G$2:$G$513,0)))</f>
        <v/>
      </c>
      <c r="C88" s="17" t="str">
        <f>IF(K88="","",INDEX(Интервалы!$C$2:$C$513,MATCH(K88,Интервалы!$G$2:$G$513,0)))</f>
        <v/>
      </c>
      <c r="D88" s="17" t="str">
        <f>IF(K88="","",INDEX(Интервалы!$D$2:$D$513,MATCH(K88,Интервалы!$G$2:$G$513,0)))</f>
        <v/>
      </c>
      <c r="E88" s="4" t="str">
        <f t="shared" si="1"/>
        <v/>
      </c>
      <c r="F88" s="8" t="str">
        <f>IF(K88="","",INDEX(Интервалы!$E$2:$E$513,MATCH(K88,Интервалы!$G$2:$G$513,0)))</f>
        <v/>
      </c>
      <c r="G88" s="18" t="str">
        <f>IF(K88="","",IF(H88=1,INDEX('По дням'!$B$2:$B$4000,MATCH(C88,'По дням'!$A$2:$A$4000,0)),"по периодам ставки"))</f>
        <v/>
      </c>
      <c r="H88" s="4" t="str">
        <f>IF(K88="","",INDEX(Интервалы!$I$2:$I$513,MATCH(K88,Интервалы!$G$2:$G$513,0)))</f>
        <v/>
      </c>
      <c r="I88" s="8" t="str">
        <f>IF(K88="","",INDEX(Интервалы!$F$2:$F$513,MATCH(K88,Интервалы!$G$2:$G$513,0)))</f>
        <v/>
      </c>
      <c r="J88" s="8" t="str">
        <f>IF(K88="","",INDEX(Интервалы!$H$2:$H$513,MATCH(K88,Интервалы!$G$2:$G$513,0)))</f>
        <v/>
      </c>
      <c r="K88" t="str">
        <f>IFERROR(SMALL(Интервалы!$G$2:$G$513,82),"")</f>
        <v/>
      </c>
      <c r="L88" t="str">
        <f>IF(K88="","",INDEX(Интервалы!$B$2:$B$513,MATCH(K88,Интервалы!$G$2:$G$513,0)))</f>
        <v/>
      </c>
    </row>
    <row r="89" spans="1:12" x14ac:dyDescent="0.3">
      <c r="A89" s="4" t="str">
        <f>IF(K89="","",83)</f>
        <v/>
      </c>
      <c r="B89" s="4" t="str">
        <f>IF(K89="","",INDEX(Интервалы!$A$2:$A$513,MATCH(K89,Интервалы!$G$2:$G$513,0)))</f>
        <v/>
      </c>
      <c r="C89" s="17" t="str">
        <f>IF(K89="","",INDEX(Интервалы!$C$2:$C$513,MATCH(K89,Интервалы!$G$2:$G$513,0)))</f>
        <v/>
      </c>
      <c r="D89" s="17" t="str">
        <f>IF(K89="","",INDEX(Интервалы!$D$2:$D$513,MATCH(K89,Интервалы!$G$2:$G$513,0)))</f>
        <v/>
      </c>
      <c r="E89" s="4" t="str">
        <f t="shared" si="1"/>
        <v/>
      </c>
      <c r="F89" s="8" t="str">
        <f>IF(K89="","",INDEX(Интервалы!$E$2:$E$513,MATCH(K89,Интервалы!$G$2:$G$513,0)))</f>
        <v/>
      </c>
      <c r="G89" s="18" t="str">
        <f>IF(K89="","",IF(H89=1,INDEX('По дням'!$B$2:$B$4000,MATCH(C89,'По дням'!$A$2:$A$4000,0)),"по периодам ставки"))</f>
        <v/>
      </c>
      <c r="H89" s="4" t="str">
        <f>IF(K89="","",INDEX(Интервалы!$I$2:$I$513,MATCH(K89,Интервалы!$G$2:$G$513,0)))</f>
        <v/>
      </c>
      <c r="I89" s="8" t="str">
        <f>IF(K89="","",INDEX(Интервалы!$F$2:$F$513,MATCH(K89,Интервалы!$G$2:$G$513,0)))</f>
        <v/>
      </c>
      <c r="J89" s="8" t="str">
        <f>IF(K89="","",INDEX(Интервалы!$H$2:$H$513,MATCH(K89,Интервалы!$G$2:$G$513,0)))</f>
        <v/>
      </c>
      <c r="K89" t="str">
        <f>IFERROR(SMALL(Интервалы!$G$2:$G$513,83),"")</f>
        <v/>
      </c>
      <c r="L89" t="str">
        <f>IF(K89="","",INDEX(Интервалы!$B$2:$B$513,MATCH(K89,Интервалы!$G$2:$G$513,0)))</f>
        <v/>
      </c>
    </row>
    <row r="90" spans="1:12" x14ac:dyDescent="0.3">
      <c r="A90" s="4" t="str">
        <f>IF(K90="","",84)</f>
        <v/>
      </c>
      <c r="B90" s="4" t="str">
        <f>IF(K90="","",INDEX(Интервалы!$A$2:$A$513,MATCH(K90,Интервалы!$G$2:$G$513,0)))</f>
        <v/>
      </c>
      <c r="C90" s="17" t="str">
        <f>IF(K90="","",INDEX(Интервалы!$C$2:$C$513,MATCH(K90,Интервалы!$G$2:$G$513,0)))</f>
        <v/>
      </c>
      <c r="D90" s="17" t="str">
        <f>IF(K90="","",INDEX(Интервалы!$D$2:$D$513,MATCH(K90,Интервалы!$G$2:$G$513,0)))</f>
        <v/>
      </c>
      <c r="E90" s="4" t="str">
        <f t="shared" si="1"/>
        <v/>
      </c>
      <c r="F90" s="8" t="str">
        <f>IF(K90="","",INDEX(Интервалы!$E$2:$E$513,MATCH(K90,Интервалы!$G$2:$G$513,0)))</f>
        <v/>
      </c>
      <c r="G90" s="18" t="str">
        <f>IF(K90="","",IF(H90=1,INDEX('По дням'!$B$2:$B$4000,MATCH(C90,'По дням'!$A$2:$A$4000,0)),"по периодам ставки"))</f>
        <v/>
      </c>
      <c r="H90" s="4" t="str">
        <f>IF(K90="","",INDEX(Интервалы!$I$2:$I$513,MATCH(K90,Интервалы!$G$2:$G$513,0)))</f>
        <v/>
      </c>
      <c r="I90" s="8" t="str">
        <f>IF(K90="","",INDEX(Интервалы!$F$2:$F$513,MATCH(K90,Интервалы!$G$2:$G$513,0)))</f>
        <v/>
      </c>
      <c r="J90" s="8" t="str">
        <f>IF(K90="","",INDEX(Интервалы!$H$2:$H$513,MATCH(K90,Интервалы!$G$2:$G$513,0)))</f>
        <v/>
      </c>
      <c r="K90" t="str">
        <f>IFERROR(SMALL(Интервалы!$G$2:$G$513,84),"")</f>
        <v/>
      </c>
      <c r="L90" t="str">
        <f>IF(K90="","",INDEX(Интервалы!$B$2:$B$513,MATCH(K90,Интервалы!$G$2:$G$513,0)))</f>
        <v/>
      </c>
    </row>
    <row r="91" spans="1:12" x14ac:dyDescent="0.3">
      <c r="A91" s="4" t="str">
        <f>IF(K91="","",85)</f>
        <v/>
      </c>
      <c r="B91" s="4" t="str">
        <f>IF(K91="","",INDEX(Интервалы!$A$2:$A$513,MATCH(K91,Интервалы!$G$2:$G$513,0)))</f>
        <v/>
      </c>
      <c r="C91" s="17" t="str">
        <f>IF(K91="","",INDEX(Интервалы!$C$2:$C$513,MATCH(K91,Интервалы!$G$2:$G$513,0)))</f>
        <v/>
      </c>
      <c r="D91" s="17" t="str">
        <f>IF(K91="","",INDEX(Интервалы!$D$2:$D$513,MATCH(K91,Интервалы!$G$2:$G$513,0)))</f>
        <v/>
      </c>
      <c r="E91" s="4" t="str">
        <f t="shared" si="1"/>
        <v/>
      </c>
      <c r="F91" s="8" t="str">
        <f>IF(K91="","",INDEX(Интервалы!$E$2:$E$513,MATCH(K91,Интервалы!$G$2:$G$513,0)))</f>
        <v/>
      </c>
      <c r="G91" s="18" t="str">
        <f>IF(K91="","",IF(H91=1,INDEX('По дням'!$B$2:$B$4000,MATCH(C91,'По дням'!$A$2:$A$4000,0)),"по периодам ставки"))</f>
        <v/>
      </c>
      <c r="H91" s="4" t="str">
        <f>IF(K91="","",INDEX(Интервалы!$I$2:$I$513,MATCH(K91,Интервалы!$G$2:$G$513,0)))</f>
        <v/>
      </c>
      <c r="I91" s="8" t="str">
        <f>IF(K91="","",INDEX(Интервалы!$F$2:$F$513,MATCH(K91,Интервалы!$G$2:$G$513,0)))</f>
        <v/>
      </c>
      <c r="J91" s="8" t="str">
        <f>IF(K91="","",INDEX(Интервалы!$H$2:$H$513,MATCH(K91,Интервалы!$G$2:$G$513,0)))</f>
        <v/>
      </c>
      <c r="K91" t="str">
        <f>IFERROR(SMALL(Интервалы!$G$2:$G$513,85),"")</f>
        <v/>
      </c>
      <c r="L91" t="str">
        <f>IF(K91="","",INDEX(Интервалы!$B$2:$B$513,MATCH(K91,Интервалы!$G$2:$G$513,0)))</f>
        <v/>
      </c>
    </row>
    <row r="92" spans="1:12" x14ac:dyDescent="0.3">
      <c r="A92" s="4" t="str">
        <f>IF(K92="","",86)</f>
        <v/>
      </c>
      <c r="B92" s="4" t="str">
        <f>IF(K92="","",INDEX(Интервалы!$A$2:$A$513,MATCH(K92,Интервалы!$G$2:$G$513,0)))</f>
        <v/>
      </c>
      <c r="C92" s="17" t="str">
        <f>IF(K92="","",INDEX(Интервалы!$C$2:$C$513,MATCH(K92,Интервалы!$G$2:$G$513,0)))</f>
        <v/>
      </c>
      <c r="D92" s="17" t="str">
        <f>IF(K92="","",INDEX(Интервалы!$D$2:$D$513,MATCH(K92,Интервалы!$G$2:$G$513,0)))</f>
        <v/>
      </c>
      <c r="E92" s="4" t="str">
        <f t="shared" si="1"/>
        <v/>
      </c>
      <c r="F92" s="8" t="str">
        <f>IF(K92="","",INDEX(Интервалы!$E$2:$E$513,MATCH(K92,Интервалы!$G$2:$G$513,0)))</f>
        <v/>
      </c>
      <c r="G92" s="18" t="str">
        <f>IF(K92="","",IF(H92=1,INDEX('По дням'!$B$2:$B$4000,MATCH(C92,'По дням'!$A$2:$A$4000,0)),"по периодам ставки"))</f>
        <v/>
      </c>
      <c r="H92" s="4" t="str">
        <f>IF(K92="","",INDEX(Интервалы!$I$2:$I$513,MATCH(K92,Интервалы!$G$2:$G$513,0)))</f>
        <v/>
      </c>
      <c r="I92" s="8" t="str">
        <f>IF(K92="","",INDEX(Интервалы!$F$2:$F$513,MATCH(K92,Интервалы!$G$2:$G$513,0)))</f>
        <v/>
      </c>
      <c r="J92" s="8" t="str">
        <f>IF(K92="","",INDEX(Интервалы!$H$2:$H$513,MATCH(K92,Интервалы!$G$2:$G$513,0)))</f>
        <v/>
      </c>
      <c r="K92" t="str">
        <f>IFERROR(SMALL(Интервалы!$G$2:$G$513,86),"")</f>
        <v/>
      </c>
      <c r="L92" t="str">
        <f>IF(K92="","",INDEX(Интервалы!$B$2:$B$513,MATCH(K92,Интервалы!$G$2:$G$513,0)))</f>
        <v/>
      </c>
    </row>
    <row r="93" spans="1:12" x14ac:dyDescent="0.3">
      <c r="A93" s="4" t="str">
        <f>IF(K93="","",87)</f>
        <v/>
      </c>
      <c r="B93" s="4" t="str">
        <f>IF(K93="","",INDEX(Интервалы!$A$2:$A$513,MATCH(K93,Интервалы!$G$2:$G$513,0)))</f>
        <v/>
      </c>
      <c r="C93" s="17" t="str">
        <f>IF(K93="","",INDEX(Интервалы!$C$2:$C$513,MATCH(K93,Интервалы!$G$2:$G$513,0)))</f>
        <v/>
      </c>
      <c r="D93" s="17" t="str">
        <f>IF(K93="","",INDEX(Интервалы!$D$2:$D$513,MATCH(K93,Интервалы!$G$2:$G$513,0)))</f>
        <v/>
      </c>
      <c r="E93" s="4" t="str">
        <f t="shared" si="1"/>
        <v/>
      </c>
      <c r="F93" s="8" t="str">
        <f>IF(K93="","",INDEX(Интервалы!$E$2:$E$513,MATCH(K93,Интервалы!$G$2:$G$513,0)))</f>
        <v/>
      </c>
      <c r="G93" s="18" t="str">
        <f>IF(K93="","",IF(H93=1,INDEX('По дням'!$B$2:$B$4000,MATCH(C93,'По дням'!$A$2:$A$4000,0)),"по периодам ставки"))</f>
        <v/>
      </c>
      <c r="H93" s="4" t="str">
        <f>IF(K93="","",INDEX(Интервалы!$I$2:$I$513,MATCH(K93,Интервалы!$G$2:$G$513,0)))</f>
        <v/>
      </c>
      <c r="I93" s="8" t="str">
        <f>IF(K93="","",INDEX(Интервалы!$F$2:$F$513,MATCH(K93,Интервалы!$G$2:$G$513,0)))</f>
        <v/>
      </c>
      <c r="J93" s="8" t="str">
        <f>IF(K93="","",INDEX(Интервалы!$H$2:$H$513,MATCH(K93,Интервалы!$G$2:$G$513,0)))</f>
        <v/>
      </c>
      <c r="K93" t="str">
        <f>IFERROR(SMALL(Интервалы!$G$2:$G$513,87),"")</f>
        <v/>
      </c>
      <c r="L93" t="str">
        <f>IF(K93="","",INDEX(Интервалы!$B$2:$B$513,MATCH(K93,Интервалы!$G$2:$G$513,0)))</f>
        <v/>
      </c>
    </row>
    <row r="94" spans="1:12" x14ac:dyDescent="0.3">
      <c r="A94" s="4" t="str">
        <f>IF(K94="","",88)</f>
        <v/>
      </c>
      <c r="B94" s="4" t="str">
        <f>IF(K94="","",INDEX(Интервалы!$A$2:$A$513,MATCH(K94,Интервалы!$G$2:$G$513,0)))</f>
        <v/>
      </c>
      <c r="C94" s="17" t="str">
        <f>IF(K94="","",INDEX(Интервалы!$C$2:$C$513,MATCH(K94,Интервалы!$G$2:$G$513,0)))</f>
        <v/>
      </c>
      <c r="D94" s="17" t="str">
        <f>IF(K94="","",INDEX(Интервалы!$D$2:$D$513,MATCH(K94,Интервалы!$G$2:$G$513,0)))</f>
        <v/>
      </c>
      <c r="E94" s="4" t="str">
        <f t="shared" si="1"/>
        <v/>
      </c>
      <c r="F94" s="8" t="str">
        <f>IF(K94="","",INDEX(Интервалы!$E$2:$E$513,MATCH(K94,Интервалы!$G$2:$G$513,0)))</f>
        <v/>
      </c>
      <c r="G94" s="18" t="str">
        <f>IF(K94="","",IF(H94=1,INDEX('По дням'!$B$2:$B$4000,MATCH(C94,'По дням'!$A$2:$A$4000,0)),"по периодам ставки"))</f>
        <v/>
      </c>
      <c r="H94" s="4" t="str">
        <f>IF(K94="","",INDEX(Интервалы!$I$2:$I$513,MATCH(K94,Интервалы!$G$2:$G$513,0)))</f>
        <v/>
      </c>
      <c r="I94" s="8" t="str">
        <f>IF(K94="","",INDEX(Интервалы!$F$2:$F$513,MATCH(K94,Интервалы!$G$2:$G$513,0)))</f>
        <v/>
      </c>
      <c r="J94" s="8" t="str">
        <f>IF(K94="","",INDEX(Интервалы!$H$2:$H$513,MATCH(K94,Интервалы!$G$2:$G$513,0)))</f>
        <v/>
      </c>
      <c r="K94" t="str">
        <f>IFERROR(SMALL(Интервалы!$G$2:$G$513,88),"")</f>
        <v/>
      </c>
      <c r="L94" t="str">
        <f>IF(K94="","",INDEX(Интервалы!$B$2:$B$513,MATCH(K94,Интервалы!$G$2:$G$513,0)))</f>
        <v/>
      </c>
    </row>
    <row r="95" spans="1:12" x14ac:dyDescent="0.3">
      <c r="A95" s="4" t="str">
        <f>IF(K95="","",89)</f>
        <v/>
      </c>
      <c r="B95" s="4" t="str">
        <f>IF(K95="","",INDEX(Интервалы!$A$2:$A$513,MATCH(K95,Интервалы!$G$2:$G$513,0)))</f>
        <v/>
      </c>
      <c r="C95" s="17" t="str">
        <f>IF(K95="","",INDEX(Интервалы!$C$2:$C$513,MATCH(K95,Интервалы!$G$2:$G$513,0)))</f>
        <v/>
      </c>
      <c r="D95" s="17" t="str">
        <f>IF(K95="","",INDEX(Интервалы!$D$2:$D$513,MATCH(K95,Интервалы!$G$2:$G$513,0)))</f>
        <v/>
      </c>
      <c r="E95" s="4" t="str">
        <f t="shared" si="1"/>
        <v/>
      </c>
      <c r="F95" s="8" t="str">
        <f>IF(K95="","",INDEX(Интервалы!$E$2:$E$513,MATCH(K95,Интервалы!$G$2:$G$513,0)))</f>
        <v/>
      </c>
      <c r="G95" s="18" t="str">
        <f>IF(K95="","",IF(H95=1,INDEX('По дням'!$B$2:$B$4000,MATCH(C95,'По дням'!$A$2:$A$4000,0)),"по периодам ставки"))</f>
        <v/>
      </c>
      <c r="H95" s="4" t="str">
        <f>IF(K95="","",INDEX(Интервалы!$I$2:$I$513,MATCH(K95,Интервалы!$G$2:$G$513,0)))</f>
        <v/>
      </c>
      <c r="I95" s="8" t="str">
        <f>IF(K95="","",INDEX(Интервалы!$F$2:$F$513,MATCH(K95,Интервалы!$G$2:$G$513,0)))</f>
        <v/>
      </c>
      <c r="J95" s="8" t="str">
        <f>IF(K95="","",INDEX(Интервалы!$H$2:$H$513,MATCH(K95,Интервалы!$G$2:$G$513,0)))</f>
        <v/>
      </c>
      <c r="K95" t="str">
        <f>IFERROR(SMALL(Интервалы!$G$2:$G$513,89),"")</f>
        <v/>
      </c>
      <c r="L95" t="str">
        <f>IF(K95="","",INDEX(Интервалы!$B$2:$B$513,MATCH(K95,Интервалы!$G$2:$G$513,0)))</f>
        <v/>
      </c>
    </row>
    <row r="96" spans="1:12" x14ac:dyDescent="0.3">
      <c r="A96" s="4" t="str">
        <f>IF(K96="","",90)</f>
        <v/>
      </c>
      <c r="B96" s="4" t="str">
        <f>IF(K96="","",INDEX(Интервалы!$A$2:$A$513,MATCH(K96,Интервалы!$G$2:$G$513,0)))</f>
        <v/>
      </c>
      <c r="C96" s="17" t="str">
        <f>IF(K96="","",INDEX(Интервалы!$C$2:$C$513,MATCH(K96,Интервалы!$G$2:$G$513,0)))</f>
        <v/>
      </c>
      <c r="D96" s="17" t="str">
        <f>IF(K96="","",INDEX(Интервалы!$D$2:$D$513,MATCH(K96,Интервалы!$G$2:$G$513,0)))</f>
        <v/>
      </c>
      <c r="E96" s="4" t="str">
        <f t="shared" si="1"/>
        <v/>
      </c>
      <c r="F96" s="8" t="str">
        <f>IF(K96="","",INDEX(Интервалы!$E$2:$E$513,MATCH(K96,Интервалы!$G$2:$G$513,0)))</f>
        <v/>
      </c>
      <c r="G96" s="18" t="str">
        <f>IF(K96="","",IF(H96=1,INDEX('По дням'!$B$2:$B$4000,MATCH(C96,'По дням'!$A$2:$A$4000,0)),"по периодам ставки"))</f>
        <v/>
      </c>
      <c r="H96" s="4" t="str">
        <f>IF(K96="","",INDEX(Интервалы!$I$2:$I$513,MATCH(K96,Интервалы!$G$2:$G$513,0)))</f>
        <v/>
      </c>
      <c r="I96" s="8" t="str">
        <f>IF(K96="","",INDEX(Интервалы!$F$2:$F$513,MATCH(K96,Интервалы!$G$2:$G$513,0)))</f>
        <v/>
      </c>
      <c r="J96" s="8" t="str">
        <f>IF(K96="","",INDEX(Интервалы!$H$2:$H$513,MATCH(K96,Интервалы!$G$2:$G$513,0)))</f>
        <v/>
      </c>
      <c r="K96" t="str">
        <f>IFERROR(SMALL(Интервалы!$G$2:$G$513,90),"")</f>
        <v/>
      </c>
      <c r="L96" t="str">
        <f>IF(K96="","",INDEX(Интервалы!$B$2:$B$513,MATCH(K96,Интервалы!$G$2:$G$513,0)))</f>
        <v/>
      </c>
    </row>
    <row r="97" spans="1:12" x14ac:dyDescent="0.3">
      <c r="A97" s="4" t="str">
        <f>IF(K97="","",91)</f>
        <v/>
      </c>
      <c r="B97" s="4" t="str">
        <f>IF(K97="","",INDEX(Интервалы!$A$2:$A$513,MATCH(K97,Интервалы!$G$2:$G$513,0)))</f>
        <v/>
      </c>
      <c r="C97" s="17" t="str">
        <f>IF(K97="","",INDEX(Интервалы!$C$2:$C$513,MATCH(K97,Интервалы!$G$2:$G$513,0)))</f>
        <v/>
      </c>
      <c r="D97" s="17" t="str">
        <f>IF(K97="","",INDEX(Интервалы!$D$2:$D$513,MATCH(K97,Интервалы!$G$2:$G$513,0)))</f>
        <v/>
      </c>
      <c r="E97" s="4" t="str">
        <f t="shared" si="1"/>
        <v/>
      </c>
      <c r="F97" s="8" t="str">
        <f>IF(K97="","",INDEX(Интервалы!$E$2:$E$513,MATCH(K97,Интервалы!$G$2:$G$513,0)))</f>
        <v/>
      </c>
      <c r="G97" s="18" t="str">
        <f>IF(K97="","",IF(H97=1,INDEX('По дням'!$B$2:$B$4000,MATCH(C97,'По дням'!$A$2:$A$4000,0)),"по периодам ставки"))</f>
        <v/>
      </c>
      <c r="H97" s="4" t="str">
        <f>IF(K97="","",INDEX(Интервалы!$I$2:$I$513,MATCH(K97,Интервалы!$G$2:$G$513,0)))</f>
        <v/>
      </c>
      <c r="I97" s="8" t="str">
        <f>IF(K97="","",INDEX(Интервалы!$F$2:$F$513,MATCH(K97,Интервалы!$G$2:$G$513,0)))</f>
        <v/>
      </c>
      <c r="J97" s="8" t="str">
        <f>IF(K97="","",INDEX(Интервалы!$H$2:$H$513,MATCH(K97,Интервалы!$G$2:$G$513,0)))</f>
        <v/>
      </c>
      <c r="K97" t="str">
        <f>IFERROR(SMALL(Интервалы!$G$2:$G$513,91),"")</f>
        <v/>
      </c>
      <c r="L97" t="str">
        <f>IF(K97="","",INDEX(Интервалы!$B$2:$B$513,MATCH(K97,Интервалы!$G$2:$G$513,0)))</f>
        <v/>
      </c>
    </row>
    <row r="98" spans="1:12" x14ac:dyDescent="0.3">
      <c r="A98" s="4" t="str">
        <f>IF(K98="","",92)</f>
        <v/>
      </c>
      <c r="B98" s="4" t="str">
        <f>IF(K98="","",INDEX(Интервалы!$A$2:$A$513,MATCH(K98,Интервалы!$G$2:$G$513,0)))</f>
        <v/>
      </c>
      <c r="C98" s="17" t="str">
        <f>IF(K98="","",INDEX(Интервалы!$C$2:$C$513,MATCH(K98,Интервалы!$G$2:$G$513,0)))</f>
        <v/>
      </c>
      <c r="D98" s="17" t="str">
        <f>IF(K98="","",INDEX(Интервалы!$D$2:$D$513,MATCH(K98,Интервалы!$G$2:$G$513,0)))</f>
        <v/>
      </c>
      <c r="E98" s="4" t="str">
        <f t="shared" si="1"/>
        <v/>
      </c>
      <c r="F98" s="8" t="str">
        <f>IF(K98="","",INDEX(Интервалы!$E$2:$E$513,MATCH(K98,Интервалы!$G$2:$G$513,0)))</f>
        <v/>
      </c>
      <c r="G98" s="18" t="str">
        <f>IF(K98="","",IF(H98=1,INDEX('По дням'!$B$2:$B$4000,MATCH(C98,'По дням'!$A$2:$A$4000,0)),"по периодам ставки"))</f>
        <v/>
      </c>
      <c r="H98" s="4" t="str">
        <f>IF(K98="","",INDEX(Интервалы!$I$2:$I$513,MATCH(K98,Интервалы!$G$2:$G$513,0)))</f>
        <v/>
      </c>
      <c r="I98" s="8" t="str">
        <f>IF(K98="","",INDEX(Интервалы!$F$2:$F$513,MATCH(K98,Интервалы!$G$2:$G$513,0)))</f>
        <v/>
      </c>
      <c r="J98" s="8" t="str">
        <f>IF(K98="","",INDEX(Интервалы!$H$2:$H$513,MATCH(K98,Интервалы!$G$2:$G$513,0)))</f>
        <v/>
      </c>
      <c r="K98" t="str">
        <f>IFERROR(SMALL(Интервалы!$G$2:$G$513,92),"")</f>
        <v/>
      </c>
      <c r="L98" t="str">
        <f>IF(K98="","",INDEX(Интервалы!$B$2:$B$513,MATCH(K98,Интервалы!$G$2:$G$513,0)))</f>
        <v/>
      </c>
    </row>
    <row r="99" spans="1:12" x14ac:dyDescent="0.3">
      <c r="A99" s="4" t="str">
        <f>IF(K99="","",93)</f>
        <v/>
      </c>
      <c r="B99" s="4" t="str">
        <f>IF(K99="","",INDEX(Интервалы!$A$2:$A$513,MATCH(K99,Интервалы!$G$2:$G$513,0)))</f>
        <v/>
      </c>
      <c r="C99" s="17" t="str">
        <f>IF(K99="","",INDEX(Интервалы!$C$2:$C$513,MATCH(K99,Интервалы!$G$2:$G$513,0)))</f>
        <v/>
      </c>
      <c r="D99" s="17" t="str">
        <f>IF(K99="","",INDEX(Интервалы!$D$2:$D$513,MATCH(K99,Интервалы!$G$2:$G$513,0)))</f>
        <v/>
      </c>
      <c r="E99" s="4" t="str">
        <f t="shared" si="1"/>
        <v/>
      </c>
      <c r="F99" s="8" t="str">
        <f>IF(K99="","",INDEX(Интервалы!$E$2:$E$513,MATCH(K99,Интервалы!$G$2:$G$513,0)))</f>
        <v/>
      </c>
      <c r="G99" s="18" t="str">
        <f>IF(K99="","",IF(H99=1,INDEX('По дням'!$B$2:$B$4000,MATCH(C99,'По дням'!$A$2:$A$4000,0)),"по периодам ставки"))</f>
        <v/>
      </c>
      <c r="H99" s="4" t="str">
        <f>IF(K99="","",INDEX(Интервалы!$I$2:$I$513,MATCH(K99,Интервалы!$G$2:$G$513,0)))</f>
        <v/>
      </c>
      <c r="I99" s="8" t="str">
        <f>IF(K99="","",INDEX(Интервалы!$F$2:$F$513,MATCH(K99,Интервалы!$G$2:$G$513,0)))</f>
        <v/>
      </c>
      <c r="J99" s="8" t="str">
        <f>IF(K99="","",INDEX(Интервалы!$H$2:$H$513,MATCH(K99,Интервалы!$G$2:$G$513,0)))</f>
        <v/>
      </c>
      <c r="K99" t="str">
        <f>IFERROR(SMALL(Интервалы!$G$2:$G$513,93),"")</f>
        <v/>
      </c>
      <c r="L99" t="str">
        <f>IF(K99="","",INDEX(Интервалы!$B$2:$B$513,MATCH(K99,Интервалы!$G$2:$G$513,0)))</f>
        <v/>
      </c>
    </row>
    <row r="100" spans="1:12" x14ac:dyDescent="0.3">
      <c r="A100" s="4" t="str">
        <f>IF(K100="","",94)</f>
        <v/>
      </c>
      <c r="B100" s="4" t="str">
        <f>IF(K100="","",INDEX(Интервалы!$A$2:$A$513,MATCH(K100,Интервалы!$G$2:$G$513,0)))</f>
        <v/>
      </c>
      <c r="C100" s="17" t="str">
        <f>IF(K100="","",INDEX(Интервалы!$C$2:$C$513,MATCH(K100,Интервалы!$G$2:$G$513,0)))</f>
        <v/>
      </c>
      <c r="D100" s="17" t="str">
        <f>IF(K100="","",INDEX(Интервалы!$D$2:$D$513,MATCH(K100,Интервалы!$G$2:$G$513,0)))</f>
        <v/>
      </c>
      <c r="E100" s="4" t="str">
        <f t="shared" si="1"/>
        <v/>
      </c>
      <c r="F100" s="8" t="str">
        <f>IF(K100="","",INDEX(Интервалы!$E$2:$E$513,MATCH(K100,Интервалы!$G$2:$G$513,0)))</f>
        <v/>
      </c>
      <c r="G100" s="18" t="str">
        <f>IF(K100="","",IF(H100=1,INDEX('По дням'!$B$2:$B$4000,MATCH(C100,'По дням'!$A$2:$A$4000,0)),"по периодам ставки"))</f>
        <v/>
      </c>
      <c r="H100" s="4" t="str">
        <f>IF(K100="","",INDEX(Интервалы!$I$2:$I$513,MATCH(K100,Интервалы!$G$2:$G$513,0)))</f>
        <v/>
      </c>
      <c r="I100" s="8" t="str">
        <f>IF(K100="","",INDEX(Интервалы!$F$2:$F$513,MATCH(K100,Интервалы!$G$2:$G$513,0)))</f>
        <v/>
      </c>
      <c r="J100" s="8" t="str">
        <f>IF(K100="","",INDEX(Интервалы!$H$2:$H$513,MATCH(K100,Интервалы!$G$2:$G$513,0)))</f>
        <v/>
      </c>
      <c r="K100" t="str">
        <f>IFERROR(SMALL(Интервалы!$G$2:$G$513,94),"")</f>
        <v/>
      </c>
      <c r="L100" t="str">
        <f>IF(K100="","",INDEX(Интервалы!$B$2:$B$513,MATCH(K100,Интервалы!$G$2:$G$513,0)))</f>
        <v/>
      </c>
    </row>
    <row r="101" spans="1:12" x14ac:dyDescent="0.3">
      <c r="A101" s="4" t="str">
        <f>IF(K101="","",95)</f>
        <v/>
      </c>
      <c r="B101" s="4" t="str">
        <f>IF(K101="","",INDEX(Интервалы!$A$2:$A$513,MATCH(K101,Интервалы!$G$2:$G$513,0)))</f>
        <v/>
      </c>
      <c r="C101" s="17" t="str">
        <f>IF(K101="","",INDEX(Интервалы!$C$2:$C$513,MATCH(K101,Интервалы!$G$2:$G$513,0)))</f>
        <v/>
      </c>
      <c r="D101" s="17" t="str">
        <f>IF(K101="","",INDEX(Интервалы!$D$2:$D$513,MATCH(K101,Интервалы!$G$2:$G$513,0)))</f>
        <v/>
      </c>
      <c r="E101" s="4" t="str">
        <f t="shared" si="1"/>
        <v/>
      </c>
      <c r="F101" s="8" t="str">
        <f>IF(K101="","",INDEX(Интервалы!$E$2:$E$513,MATCH(K101,Интервалы!$G$2:$G$513,0)))</f>
        <v/>
      </c>
      <c r="G101" s="18" t="str">
        <f>IF(K101="","",IF(H101=1,INDEX('По дням'!$B$2:$B$4000,MATCH(C101,'По дням'!$A$2:$A$4000,0)),"по периодам ставки"))</f>
        <v/>
      </c>
      <c r="H101" s="4" t="str">
        <f>IF(K101="","",INDEX(Интервалы!$I$2:$I$513,MATCH(K101,Интервалы!$G$2:$G$513,0)))</f>
        <v/>
      </c>
      <c r="I101" s="8" t="str">
        <f>IF(K101="","",INDEX(Интервалы!$F$2:$F$513,MATCH(K101,Интервалы!$G$2:$G$513,0)))</f>
        <v/>
      </c>
      <c r="J101" s="8" t="str">
        <f>IF(K101="","",INDEX(Интервалы!$H$2:$H$513,MATCH(K101,Интервалы!$G$2:$G$513,0)))</f>
        <v/>
      </c>
      <c r="K101" t="str">
        <f>IFERROR(SMALL(Интервалы!$G$2:$G$513,95),"")</f>
        <v/>
      </c>
      <c r="L101" t="str">
        <f>IF(K101="","",INDEX(Интервалы!$B$2:$B$513,MATCH(K101,Интервалы!$G$2:$G$513,0)))</f>
        <v/>
      </c>
    </row>
    <row r="102" spans="1:12" x14ac:dyDescent="0.3">
      <c r="A102" s="4" t="str">
        <f>IF(K102="","",96)</f>
        <v/>
      </c>
      <c r="B102" s="4" t="str">
        <f>IF(K102="","",INDEX(Интервалы!$A$2:$A$513,MATCH(K102,Интервалы!$G$2:$G$513,0)))</f>
        <v/>
      </c>
      <c r="C102" s="17" t="str">
        <f>IF(K102="","",INDEX(Интервалы!$C$2:$C$513,MATCH(K102,Интервалы!$G$2:$G$513,0)))</f>
        <v/>
      </c>
      <c r="D102" s="17" t="str">
        <f>IF(K102="","",INDEX(Интервалы!$D$2:$D$513,MATCH(K102,Интервалы!$G$2:$G$513,0)))</f>
        <v/>
      </c>
      <c r="E102" s="4" t="str">
        <f t="shared" si="1"/>
        <v/>
      </c>
      <c r="F102" s="8" t="str">
        <f>IF(K102="","",INDEX(Интервалы!$E$2:$E$513,MATCH(K102,Интервалы!$G$2:$G$513,0)))</f>
        <v/>
      </c>
      <c r="G102" s="18" t="str">
        <f>IF(K102="","",IF(H102=1,INDEX('По дням'!$B$2:$B$4000,MATCH(C102,'По дням'!$A$2:$A$4000,0)),"по периодам ставки"))</f>
        <v/>
      </c>
      <c r="H102" s="4" t="str">
        <f>IF(K102="","",INDEX(Интервалы!$I$2:$I$513,MATCH(K102,Интервалы!$G$2:$G$513,0)))</f>
        <v/>
      </c>
      <c r="I102" s="8" t="str">
        <f>IF(K102="","",INDEX(Интервалы!$F$2:$F$513,MATCH(K102,Интервалы!$G$2:$G$513,0)))</f>
        <v/>
      </c>
      <c r="J102" s="8" t="str">
        <f>IF(K102="","",INDEX(Интервалы!$H$2:$H$513,MATCH(K102,Интервалы!$G$2:$G$513,0)))</f>
        <v/>
      </c>
      <c r="K102" t="str">
        <f>IFERROR(SMALL(Интервалы!$G$2:$G$513,96),"")</f>
        <v/>
      </c>
      <c r="L102" t="str">
        <f>IF(K102="","",INDEX(Интервалы!$B$2:$B$513,MATCH(K102,Интервалы!$G$2:$G$513,0)))</f>
        <v/>
      </c>
    </row>
    <row r="103" spans="1:12" x14ac:dyDescent="0.3">
      <c r="A103" s="4" t="str">
        <f>IF(K103="","",97)</f>
        <v/>
      </c>
      <c r="B103" s="4" t="str">
        <f>IF(K103="","",INDEX(Интервалы!$A$2:$A$513,MATCH(K103,Интервалы!$G$2:$G$513,0)))</f>
        <v/>
      </c>
      <c r="C103" s="17" t="str">
        <f>IF(K103="","",INDEX(Интервалы!$C$2:$C$513,MATCH(K103,Интервалы!$G$2:$G$513,0)))</f>
        <v/>
      </c>
      <c r="D103" s="17" t="str">
        <f>IF(K103="","",INDEX(Интервалы!$D$2:$D$513,MATCH(K103,Интервалы!$G$2:$G$513,0)))</f>
        <v/>
      </c>
      <c r="E103" s="4" t="str">
        <f t="shared" si="1"/>
        <v/>
      </c>
      <c r="F103" s="8" t="str">
        <f>IF(K103="","",INDEX(Интервалы!$E$2:$E$513,MATCH(K103,Интервалы!$G$2:$G$513,0)))</f>
        <v/>
      </c>
      <c r="G103" s="18" t="str">
        <f>IF(K103="","",IF(H103=1,INDEX('По дням'!$B$2:$B$4000,MATCH(C103,'По дням'!$A$2:$A$4000,0)),"по периодам ставки"))</f>
        <v/>
      </c>
      <c r="H103" s="4" t="str">
        <f>IF(K103="","",INDEX(Интервалы!$I$2:$I$513,MATCH(K103,Интервалы!$G$2:$G$513,0)))</f>
        <v/>
      </c>
      <c r="I103" s="8" t="str">
        <f>IF(K103="","",INDEX(Интервалы!$F$2:$F$513,MATCH(K103,Интервалы!$G$2:$G$513,0)))</f>
        <v/>
      </c>
      <c r="J103" s="8" t="str">
        <f>IF(K103="","",INDEX(Интервалы!$H$2:$H$513,MATCH(K103,Интервалы!$G$2:$G$513,0)))</f>
        <v/>
      </c>
      <c r="K103" t="str">
        <f>IFERROR(SMALL(Интервалы!$G$2:$G$513,97),"")</f>
        <v/>
      </c>
      <c r="L103" t="str">
        <f>IF(K103="","",INDEX(Интервалы!$B$2:$B$513,MATCH(K103,Интервалы!$G$2:$G$513,0)))</f>
        <v/>
      </c>
    </row>
    <row r="104" spans="1:12" x14ac:dyDescent="0.3">
      <c r="A104" s="4" t="str">
        <f>IF(K104="","",98)</f>
        <v/>
      </c>
      <c r="B104" s="4" t="str">
        <f>IF(K104="","",INDEX(Интервалы!$A$2:$A$513,MATCH(K104,Интервалы!$G$2:$G$513,0)))</f>
        <v/>
      </c>
      <c r="C104" s="17" t="str">
        <f>IF(K104="","",INDEX(Интервалы!$C$2:$C$513,MATCH(K104,Интервалы!$G$2:$G$513,0)))</f>
        <v/>
      </c>
      <c r="D104" s="17" t="str">
        <f>IF(K104="","",INDEX(Интервалы!$D$2:$D$513,MATCH(K104,Интервалы!$G$2:$G$513,0)))</f>
        <v/>
      </c>
      <c r="E104" s="4" t="str">
        <f t="shared" si="1"/>
        <v/>
      </c>
      <c r="F104" s="8" t="str">
        <f>IF(K104="","",INDEX(Интервалы!$E$2:$E$513,MATCH(K104,Интервалы!$G$2:$G$513,0)))</f>
        <v/>
      </c>
      <c r="G104" s="18" t="str">
        <f>IF(K104="","",IF(H104=1,INDEX('По дням'!$B$2:$B$4000,MATCH(C104,'По дням'!$A$2:$A$4000,0)),"по периодам ставки"))</f>
        <v/>
      </c>
      <c r="H104" s="4" t="str">
        <f>IF(K104="","",INDEX(Интервалы!$I$2:$I$513,MATCH(K104,Интервалы!$G$2:$G$513,0)))</f>
        <v/>
      </c>
      <c r="I104" s="8" t="str">
        <f>IF(K104="","",INDEX(Интервалы!$F$2:$F$513,MATCH(K104,Интервалы!$G$2:$G$513,0)))</f>
        <v/>
      </c>
      <c r="J104" s="8" t="str">
        <f>IF(K104="","",INDEX(Интервалы!$H$2:$H$513,MATCH(K104,Интервалы!$G$2:$G$513,0)))</f>
        <v/>
      </c>
      <c r="K104" t="str">
        <f>IFERROR(SMALL(Интервалы!$G$2:$G$513,98),"")</f>
        <v/>
      </c>
      <c r="L104" t="str">
        <f>IF(K104="","",INDEX(Интервалы!$B$2:$B$513,MATCH(K104,Интервалы!$G$2:$G$513,0)))</f>
        <v/>
      </c>
    </row>
    <row r="105" spans="1:12" x14ac:dyDescent="0.3">
      <c r="A105" s="4" t="str">
        <f>IF(K105="","",99)</f>
        <v/>
      </c>
      <c r="B105" s="4" t="str">
        <f>IF(K105="","",INDEX(Интервалы!$A$2:$A$513,MATCH(K105,Интервалы!$G$2:$G$513,0)))</f>
        <v/>
      </c>
      <c r="C105" s="17" t="str">
        <f>IF(K105="","",INDEX(Интервалы!$C$2:$C$513,MATCH(K105,Интервалы!$G$2:$G$513,0)))</f>
        <v/>
      </c>
      <c r="D105" s="17" t="str">
        <f>IF(K105="","",INDEX(Интервалы!$D$2:$D$513,MATCH(K105,Интервалы!$G$2:$G$513,0)))</f>
        <v/>
      </c>
      <c r="E105" s="4" t="str">
        <f t="shared" si="1"/>
        <v/>
      </c>
      <c r="F105" s="8" t="str">
        <f>IF(K105="","",INDEX(Интервалы!$E$2:$E$513,MATCH(K105,Интервалы!$G$2:$G$513,0)))</f>
        <v/>
      </c>
      <c r="G105" s="18" t="str">
        <f>IF(K105="","",IF(H105=1,INDEX('По дням'!$B$2:$B$4000,MATCH(C105,'По дням'!$A$2:$A$4000,0)),"по периодам ставки"))</f>
        <v/>
      </c>
      <c r="H105" s="4" t="str">
        <f>IF(K105="","",INDEX(Интервалы!$I$2:$I$513,MATCH(K105,Интервалы!$G$2:$G$513,0)))</f>
        <v/>
      </c>
      <c r="I105" s="8" t="str">
        <f>IF(K105="","",INDEX(Интервалы!$F$2:$F$513,MATCH(K105,Интервалы!$G$2:$G$513,0)))</f>
        <v/>
      </c>
      <c r="J105" s="8" t="str">
        <f>IF(K105="","",INDEX(Интервалы!$H$2:$H$513,MATCH(K105,Интервалы!$G$2:$G$513,0)))</f>
        <v/>
      </c>
      <c r="K105" t="str">
        <f>IFERROR(SMALL(Интервалы!$G$2:$G$513,99),"")</f>
        <v/>
      </c>
      <c r="L105" t="str">
        <f>IF(K105="","",INDEX(Интервалы!$B$2:$B$513,MATCH(K105,Интервалы!$G$2:$G$513,0)))</f>
        <v/>
      </c>
    </row>
    <row r="106" spans="1:12" x14ac:dyDescent="0.3">
      <c r="A106" s="4" t="str">
        <f>IF(K106="","",100)</f>
        <v/>
      </c>
      <c r="B106" s="4" t="str">
        <f>IF(K106="","",INDEX(Интервалы!$A$2:$A$513,MATCH(K106,Интервалы!$G$2:$G$513,0)))</f>
        <v/>
      </c>
      <c r="C106" s="17" t="str">
        <f>IF(K106="","",INDEX(Интервалы!$C$2:$C$513,MATCH(K106,Интервалы!$G$2:$G$513,0)))</f>
        <v/>
      </c>
      <c r="D106" s="17" t="str">
        <f>IF(K106="","",INDEX(Интервалы!$D$2:$D$513,MATCH(K106,Интервалы!$G$2:$G$513,0)))</f>
        <v/>
      </c>
      <c r="E106" s="4" t="str">
        <f t="shared" si="1"/>
        <v/>
      </c>
      <c r="F106" s="8" t="str">
        <f>IF(K106="","",INDEX(Интервалы!$E$2:$E$513,MATCH(K106,Интервалы!$G$2:$G$513,0)))</f>
        <v/>
      </c>
      <c r="G106" s="18" t="str">
        <f>IF(K106="","",IF(H106=1,INDEX('По дням'!$B$2:$B$4000,MATCH(C106,'По дням'!$A$2:$A$4000,0)),"по периодам ставки"))</f>
        <v/>
      </c>
      <c r="H106" s="4" t="str">
        <f>IF(K106="","",INDEX(Интервалы!$I$2:$I$513,MATCH(K106,Интервалы!$G$2:$G$513,0)))</f>
        <v/>
      </c>
      <c r="I106" s="8" t="str">
        <f>IF(K106="","",INDEX(Интервалы!$F$2:$F$513,MATCH(K106,Интервалы!$G$2:$G$513,0)))</f>
        <v/>
      </c>
      <c r="J106" s="8" t="str">
        <f>IF(K106="","",INDEX(Интервалы!$H$2:$H$513,MATCH(K106,Интервалы!$G$2:$G$513,0)))</f>
        <v/>
      </c>
      <c r="K106" t="str">
        <f>IFERROR(SMALL(Интервалы!$G$2:$G$513,100),"")</f>
        <v/>
      </c>
      <c r="L106" t="str">
        <f>IF(K106="","",INDEX(Интервалы!$B$2:$B$513,MATCH(K106,Интервалы!$G$2:$G$513,0)))</f>
        <v/>
      </c>
    </row>
    <row r="107" spans="1:12" x14ac:dyDescent="0.3">
      <c r="A107" s="4" t="str">
        <f>IF(K107="","",101)</f>
        <v/>
      </c>
      <c r="B107" s="4" t="str">
        <f>IF(K107="","",INDEX(Интервалы!$A$2:$A$513,MATCH(K107,Интервалы!$G$2:$G$513,0)))</f>
        <v/>
      </c>
      <c r="C107" s="17" t="str">
        <f>IF(K107="","",INDEX(Интервалы!$C$2:$C$513,MATCH(K107,Интервалы!$G$2:$G$513,0)))</f>
        <v/>
      </c>
      <c r="D107" s="17" t="str">
        <f>IF(K107="","",INDEX(Интервалы!$D$2:$D$513,MATCH(K107,Интервалы!$G$2:$G$513,0)))</f>
        <v/>
      </c>
      <c r="E107" s="4" t="str">
        <f t="shared" si="1"/>
        <v/>
      </c>
      <c r="F107" s="8" t="str">
        <f>IF(K107="","",INDEX(Интервалы!$E$2:$E$513,MATCH(K107,Интервалы!$G$2:$G$513,0)))</f>
        <v/>
      </c>
      <c r="G107" s="18" t="str">
        <f>IF(K107="","",IF(H107=1,INDEX('По дням'!$B$2:$B$4000,MATCH(C107,'По дням'!$A$2:$A$4000,0)),"по периодам ставки"))</f>
        <v/>
      </c>
      <c r="H107" s="4" t="str">
        <f>IF(K107="","",INDEX(Интервалы!$I$2:$I$513,MATCH(K107,Интервалы!$G$2:$G$513,0)))</f>
        <v/>
      </c>
      <c r="I107" s="8" t="str">
        <f>IF(K107="","",INDEX(Интервалы!$F$2:$F$513,MATCH(K107,Интервалы!$G$2:$G$513,0)))</f>
        <v/>
      </c>
      <c r="J107" s="8" t="str">
        <f>IF(K107="","",INDEX(Интервалы!$H$2:$H$513,MATCH(K107,Интервалы!$G$2:$G$513,0)))</f>
        <v/>
      </c>
      <c r="K107" t="str">
        <f>IFERROR(SMALL(Интервалы!$G$2:$G$513,101),"")</f>
        <v/>
      </c>
      <c r="L107" t="str">
        <f>IF(K107="","",INDEX(Интервалы!$B$2:$B$513,MATCH(K107,Интервалы!$G$2:$G$513,0)))</f>
        <v/>
      </c>
    </row>
    <row r="108" spans="1:12" x14ac:dyDescent="0.3">
      <c r="A108" s="4" t="str">
        <f>IF(K108="","",102)</f>
        <v/>
      </c>
      <c r="B108" s="4" t="str">
        <f>IF(K108="","",INDEX(Интервалы!$A$2:$A$513,MATCH(K108,Интервалы!$G$2:$G$513,0)))</f>
        <v/>
      </c>
      <c r="C108" s="17" t="str">
        <f>IF(K108="","",INDEX(Интервалы!$C$2:$C$513,MATCH(K108,Интервалы!$G$2:$G$513,0)))</f>
        <v/>
      </c>
      <c r="D108" s="17" t="str">
        <f>IF(K108="","",INDEX(Интервалы!$D$2:$D$513,MATCH(K108,Интервалы!$G$2:$G$513,0)))</f>
        <v/>
      </c>
      <c r="E108" s="4" t="str">
        <f t="shared" si="1"/>
        <v/>
      </c>
      <c r="F108" s="8" t="str">
        <f>IF(K108="","",INDEX(Интервалы!$E$2:$E$513,MATCH(K108,Интервалы!$G$2:$G$513,0)))</f>
        <v/>
      </c>
      <c r="G108" s="18" t="str">
        <f>IF(K108="","",IF(H108=1,INDEX('По дням'!$B$2:$B$4000,MATCH(C108,'По дням'!$A$2:$A$4000,0)),"по периодам ставки"))</f>
        <v/>
      </c>
      <c r="H108" s="4" t="str">
        <f>IF(K108="","",INDEX(Интервалы!$I$2:$I$513,MATCH(K108,Интервалы!$G$2:$G$513,0)))</f>
        <v/>
      </c>
      <c r="I108" s="8" t="str">
        <f>IF(K108="","",INDEX(Интервалы!$F$2:$F$513,MATCH(K108,Интервалы!$G$2:$G$513,0)))</f>
        <v/>
      </c>
      <c r="J108" s="8" t="str">
        <f>IF(K108="","",INDEX(Интервалы!$H$2:$H$513,MATCH(K108,Интервалы!$G$2:$G$513,0)))</f>
        <v/>
      </c>
      <c r="K108" t="str">
        <f>IFERROR(SMALL(Интервалы!$G$2:$G$513,102),"")</f>
        <v/>
      </c>
      <c r="L108" t="str">
        <f>IF(K108="","",INDEX(Интервалы!$B$2:$B$513,MATCH(K108,Интервалы!$G$2:$G$513,0)))</f>
        <v/>
      </c>
    </row>
    <row r="109" spans="1:12" x14ac:dyDescent="0.3">
      <c r="A109" s="4" t="str">
        <f>IF(K109="","",103)</f>
        <v/>
      </c>
      <c r="B109" s="4" t="str">
        <f>IF(K109="","",INDEX(Интервалы!$A$2:$A$513,MATCH(K109,Интервалы!$G$2:$G$513,0)))</f>
        <v/>
      </c>
      <c r="C109" s="17" t="str">
        <f>IF(K109="","",INDEX(Интервалы!$C$2:$C$513,MATCH(K109,Интервалы!$G$2:$G$513,0)))</f>
        <v/>
      </c>
      <c r="D109" s="17" t="str">
        <f>IF(K109="","",INDEX(Интервалы!$D$2:$D$513,MATCH(K109,Интервалы!$G$2:$G$513,0)))</f>
        <v/>
      </c>
      <c r="E109" s="4" t="str">
        <f t="shared" si="1"/>
        <v/>
      </c>
      <c r="F109" s="8" t="str">
        <f>IF(K109="","",INDEX(Интервалы!$E$2:$E$513,MATCH(K109,Интервалы!$G$2:$G$513,0)))</f>
        <v/>
      </c>
      <c r="G109" s="18" t="str">
        <f>IF(K109="","",IF(H109=1,INDEX('По дням'!$B$2:$B$4000,MATCH(C109,'По дням'!$A$2:$A$4000,0)),"по периодам ставки"))</f>
        <v/>
      </c>
      <c r="H109" s="4" t="str">
        <f>IF(K109="","",INDEX(Интервалы!$I$2:$I$513,MATCH(K109,Интервалы!$G$2:$G$513,0)))</f>
        <v/>
      </c>
      <c r="I109" s="8" t="str">
        <f>IF(K109="","",INDEX(Интервалы!$F$2:$F$513,MATCH(K109,Интервалы!$G$2:$G$513,0)))</f>
        <v/>
      </c>
      <c r="J109" s="8" t="str">
        <f>IF(K109="","",INDEX(Интервалы!$H$2:$H$513,MATCH(K109,Интервалы!$G$2:$G$513,0)))</f>
        <v/>
      </c>
      <c r="K109" t="str">
        <f>IFERROR(SMALL(Интервалы!$G$2:$G$513,103),"")</f>
        <v/>
      </c>
      <c r="L109" t="str">
        <f>IF(K109="","",INDEX(Интервалы!$B$2:$B$513,MATCH(K109,Интервалы!$G$2:$G$513,0)))</f>
        <v/>
      </c>
    </row>
    <row r="110" spans="1:12" x14ac:dyDescent="0.3">
      <c r="A110" s="4" t="str">
        <f>IF(K110="","",104)</f>
        <v/>
      </c>
      <c r="B110" s="4" t="str">
        <f>IF(K110="","",INDEX(Интервалы!$A$2:$A$513,MATCH(K110,Интервалы!$G$2:$G$513,0)))</f>
        <v/>
      </c>
      <c r="C110" s="17" t="str">
        <f>IF(K110="","",INDEX(Интервалы!$C$2:$C$513,MATCH(K110,Интервалы!$G$2:$G$513,0)))</f>
        <v/>
      </c>
      <c r="D110" s="17" t="str">
        <f>IF(K110="","",INDEX(Интервалы!$D$2:$D$513,MATCH(K110,Интервалы!$G$2:$G$513,0)))</f>
        <v/>
      </c>
      <c r="E110" s="4" t="str">
        <f t="shared" si="1"/>
        <v/>
      </c>
      <c r="F110" s="8" t="str">
        <f>IF(K110="","",INDEX(Интервалы!$E$2:$E$513,MATCH(K110,Интервалы!$G$2:$G$513,0)))</f>
        <v/>
      </c>
      <c r="G110" s="18" t="str">
        <f>IF(K110="","",IF(H110=1,INDEX('По дням'!$B$2:$B$4000,MATCH(C110,'По дням'!$A$2:$A$4000,0)),"по периодам ставки"))</f>
        <v/>
      </c>
      <c r="H110" s="4" t="str">
        <f>IF(K110="","",INDEX(Интервалы!$I$2:$I$513,MATCH(K110,Интервалы!$G$2:$G$513,0)))</f>
        <v/>
      </c>
      <c r="I110" s="8" t="str">
        <f>IF(K110="","",INDEX(Интервалы!$F$2:$F$513,MATCH(K110,Интервалы!$G$2:$G$513,0)))</f>
        <v/>
      </c>
      <c r="J110" s="8" t="str">
        <f>IF(K110="","",INDEX(Интервалы!$H$2:$H$513,MATCH(K110,Интервалы!$G$2:$G$513,0)))</f>
        <v/>
      </c>
      <c r="K110" t="str">
        <f>IFERROR(SMALL(Интервалы!$G$2:$G$513,104),"")</f>
        <v/>
      </c>
      <c r="L110" t="str">
        <f>IF(K110="","",INDEX(Интервалы!$B$2:$B$513,MATCH(K110,Интервалы!$G$2:$G$513,0)))</f>
        <v/>
      </c>
    </row>
    <row r="111" spans="1:12" x14ac:dyDescent="0.3">
      <c r="A111" s="4" t="str">
        <f>IF(K111="","",105)</f>
        <v/>
      </c>
      <c r="B111" s="4" t="str">
        <f>IF(K111="","",INDEX(Интервалы!$A$2:$A$513,MATCH(K111,Интервалы!$G$2:$G$513,0)))</f>
        <v/>
      </c>
      <c r="C111" s="17" t="str">
        <f>IF(K111="","",INDEX(Интервалы!$C$2:$C$513,MATCH(K111,Интервалы!$G$2:$G$513,0)))</f>
        <v/>
      </c>
      <c r="D111" s="17" t="str">
        <f>IF(K111="","",INDEX(Интервалы!$D$2:$D$513,MATCH(K111,Интервалы!$G$2:$G$513,0)))</f>
        <v/>
      </c>
      <c r="E111" s="4" t="str">
        <f t="shared" si="1"/>
        <v/>
      </c>
      <c r="F111" s="8" t="str">
        <f>IF(K111="","",INDEX(Интервалы!$E$2:$E$513,MATCH(K111,Интервалы!$G$2:$G$513,0)))</f>
        <v/>
      </c>
      <c r="G111" s="18" t="str">
        <f>IF(K111="","",IF(H111=1,INDEX('По дням'!$B$2:$B$4000,MATCH(C111,'По дням'!$A$2:$A$4000,0)),"по периодам ставки"))</f>
        <v/>
      </c>
      <c r="H111" s="4" t="str">
        <f>IF(K111="","",INDEX(Интервалы!$I$2:$I$513,MATCH(K111,Интервалы!$G$2:$G$513,0)))</f>
        <v/>
      </c>
      <c r="I111" s="8" t="str">
        <f>IF(K111="","",INDEX(Интервалы!$F$2:$F$513,MATCH(K111,Интервалы!$G$2:$G$513,0)))</f>
        <v/>
      </c>
      <c r="J111" s="8" t="str">
        <f>IF(K111="","",INDEX(Интервалы!$H$2:$H$513,MATCH(K111,Интервалы!$G$2:$G$513,0)))</f>
        <v/>
      </c>
      <c r="K111" t="str">
        <f>IFERROR(SMALL(Интервалы!$G$2:$G$513,105),"")</f>
        <v/>
      </c>
      <c r="L111" t="str">
        <f>IF(K111="","",INDEX(Интервалы!$B$2:$B$513,MATCH(K111,Интервалы!$G$2:$G$513,0)))</f>
        <v/>
      </c>
    </row>
    <row r="112" spans="1:12" x14ac:dyDescent="0.3">
      <c r="A112" s="4" t="str">
        <f>IF(K112="","",106)</f>
        <v/>
      </c>
      <c r="B112" s="4" t="str">
        <f>IF(K112="","",INDEX(Интервалы!$A$2:$A$513,MATCH(K112,Интервалы!$G$2:$G$513,0)))</f>
        <v/>
      </c>
      <c r="C112" s="17" t="str">
        <f>IF(K112="","",INDEX(Интервалы!$C$2:$C$513,MATCH(K112,Интервалы!$G$2:$G$513,0)))</f>
        <v/>
      </c>
      <c r="D112" s="17" t="str">
        <f>IF(K112="","",INDEX(Интервалы!$D$2:$D$513,MATCH(K112,Интервалы!$G$2:$G$513,0)))</f>
        <v/>
      </c>
      <c r="E112" s="4" t="str">
        <f t="shared" si="1"/>
        <v/>
      </c>
      <c r="F112" s="8" t="str">
        <f>IF(K112="","",INDEX(Интервалы!$E$2:$E$513,MATCH(K112,Интервалы!$G$2:$G$513,0)))</f>
        <v/>
      </c>
      <c r="G112" s="18" t="str">
        <f>IF(K112="","",IF(H112=1,INDEX('По дням'!$B$2:$B$4000,MATCH(C112,'По дням'!$A$2:$A$4000,0)),"по периодам ставки"))</f>
        <v/>
      </c>
      <c r="H112" s="4" t="str">
        <f>IF(K112="","",INDEX(Интервалы!$I$2:$I$513,MATCH(K112,Интервалы!$G$2:$G$513,0)))</f>
        <v/>
      </c>
      <c r="I112" s="8" t="str">
        <f>IF(K112="","",INDEX(Интервалы!$F$2:$F$513,MATCH(K112,Интервалы!$G$2:$G$513,0)))</f>
        <v/>
      </c>
      <c r="J112" s="8" t="str">
        <f>IF(K112="","",INDEX(Интервалы!$H$2:$H$513,MATCH(K112,Интервалы!$G$2:$G$513,0)))</f>
        <v/>
      </c>
      <c r="K112" t="str">
        <f>IFERROR(SMALL(Интервалы!$G$2:$G$513,106),"")</f>
        <v/>
      </c>
      <c r="L112" t="str">
        <f>IF(K112="","",INDEX(Интервалы!$B$2:$B$513,MATCH(K112,Интервалы!$G$2:$G$513,0)))</f>
        <v/>
      </c>
    </row>
    <row r="113" spans="1:12" x14ac:dyDescent="0.3">
      <c r="A113" s="4" t="str">
        <f>IF(K113="","",107)</f>
        <v/>
      </c>
      <c r="B113" s="4" t="str">
        <f>IF(K113="","",INDEX(Интервалы!$A$2:$A$513,MATCH(K113,Интервалы!$G$2:$G$513,0)))</f>
        <v/>
      </c>
      <c r="C113" s="17" t="str">
        <f>IF(K113="","",INDEX(Интервалы!$C$2:$C$513,MATCH(K113,Интервалы!$G$2:$G$513,0)))</f>
        <v/>
      </c>
      <c r="D113" s="17" t="str">
        <f>IF(K113="","",INDEX(Интервалы!$D$2:$D$513,MATCH(K113,Интервалы!$G$2:$G$513,0)))</f>
        <v/>
      </c>
      <c r="E113" s="4" t="str">
        <f t="shared" si="1"/>
        <v/>
      </c>
      <c r="F113" s="8" t="str">
        <f>IF(K113="","",INDEX(Интервалы!$E$2:$E$513,MATCH(K113,Интервалы!$G$2:$G$513,0)))</f>
        <v/>
      </c>
      <c r="G113" s="18" t="str">
        <f>IF(K113="","",IF(H113=1,INDEX('По дням'!$B$2:$B$4000,MATCH(C113,'По дням'!$A$2:$A$4000,0)),"по периодам ставки"))</f>
        <v/>
      </c>
      <c r="H113" s="4" t="str">
        <f>IF(K113="","",INDEX(Интервалы!$I$2:$I$513,MATCH(K113,Интервалы!$G$2:$G$513,0)))</f>
        <v/>
      </c>
      <c r="I113" s="8" t="str">
        <f>IF(K113="","",INDEX(Интервалы!$F$2:$F$513,MATCH(K113,Интервалы!$G$2:$G$513,0)))</f>
        <v/>
      </c>
      <c r="J113" s="8" t="str">
        <f>IF(K113="","",INDEX(Интервалы!$H$2:$H$513,MATCH(K113,Интервалы!$G$2:$G$513,0)))</f>
        <v/>
      </c>
      <c r="K113" t="str">
        <f>IFERROR(SMALL(Интервалы!$G$2:$G$513,107),"")</f>
        <v/>
      </c>
      <c r="L113" t="str">
        <f>IF(K113="","",INDEX(Интервалы!$B$2:$B$513,MATCH(K113,Интервалы!$G$2:$G$513,0)))</f>
        <v/>
      </c>
    </row>
    <row r="114" spans="1:12" x14ac:dyDescent="0.3">
      <c r="A114" s="4" t="str">
        <f>IF(K114="","",108)</f>
        <v/>
      </c>
      <c r="B114" s="4" t="str">
        <f>IF(K114="","",INDEX(Интервалы!$A$2:$A$513,MATCH(K114,Интервалы!$G$2:$G$513,0)))</f>
        <v/>
      </c>
      <c r="C114" s="17" t="str">
        <f>IF(K114="","",INDEX(Интервалы!$C$2:$C$513,MATCH(K114,Интервалы!$G$2:$G$513,0)))</f>
        <v/>
      </c>
      <c r="D114" s="17" t="str">
        <f>IF(K114="","",INDEX(Интервалы!$D$2:$D$513,MATCH(K114,Интервалы!$G$2:$G$513,0)))</f>
        <v/>
      </c>
      <c r="E114" s="4" t="str">
        <f t="shared" si="1"/>
        <v/>
      </c>
      <c r="F114" s="8" t="str">
        <f>IF(K114="","",INDEX(Интервалы!$E$2:$E$513,MATCH(K114,Интервалы!$G$2:$G$513,0)))</f>
        <v/>
      </c>
      <c r="G114" s="18" t="str">
        <f>IF(K114="","",IF(H114=1,INDEX('По дням'!$B$2:$B$4000,MATCH(C114,'По дням'!$A$2:$A$4000,0)),"по периодам ставки"))</f>
        <v/>
      </c>
      <c r="H114" s="4" t="str">
        <f>IF(K114="","",INDEX(Интервалы!$I$2:$I$513,MATCH(K114,Интервалы!$G$2:$G$513,0)))</f>
        <v/>
      </c>
      <c r="I114" s="8" t="str">
        <f>IF(K114="","",INDEX(Интервалы!$F$2:$F$513,MATCH(K114,Интервалы!$G$2:$G$513,0)))</f>
        <v/>
      </c>
      <c r="J114" s="8" t="str">
        <f>IF(K114="","",INDEX(Интервалы!$H$2:$H$513,MATCH(K114,Интервалы!$G$2:$G$513,0)))</f>
        <v/>
      </c>
      <c r="K114" t="str">
        <f>IFERROR(SMALL(Интервалы!$G$2:$G$513,108),"")</f>
        <v/>
      </c>
      <c r="L114" t="str">
        <f>IF(K114="","",INDEX(Интервалы!$B$2:$B$513,MATCH(K114,Интервалы!$G$2:$G$513,0)))</f>
        <v/>
      </c>
    </row>
    <row r="115" spans="1:12" x14ac:dyDescent="0.3">
      <c r="A115" s="4" t="str">
        <f>IF(K115="","",109)</f>
        <v/>
      </c>
      <c r="B115" s="4" t="str">
        <f>IF(K115="","",INDEX(Интервалы!$A$2:$A$513,MATCH(K115,Интервалы!$G$2:$G$513,0)))</f>
        <v/>
      </c>
      <c r="C115" s="17" t="str">
        <f>IF(K115="","",INDEX(Интервалы!$C$2:$C$513,MATCH(K115,Интервалы!$G$2:$G$513,0)))</f>
        <v/>
      </c>
      <c r="D115" s="17" t="str">
        <f>IF(K115="","",INDEX(Интервалы!$D$2:$D$513,MATCH(K115,Интервалы!$G$2:$G$513,0)))</f>
        <v/>
      </c>
      <c r="E115" s="4" t="str">
        <f t="shared" si="1"/>
        <v/>
      </c>
      <c r="F115" s="8" t="str">
        <f>IF(K115="","",INDEX(Интервалы!$E$2:$E$513,MATCH(K115,Интервалы!$G$2:$G$513,0)))</f>
        <v/>
      </c>
      <c r="G115" s="18" t="str">
        <f>IF(K115="","",IF(H115=1,INDEX('По дням'!$B$2:$B$4000,MATCH(C115,'По дням'!$A$2:$A$4000,0)),"по периодам ставки"))</f>
        <v/>
      </c>
      <c r="H115" s="4" t="str">
        <f>IF(K115="","",INDEX(Интервалы!$I$2:$I$513,MATCH(K115,Интервалы!$G$2:$G$513,0)))</f>
        <v/>
      </c>
      <c r="I115" s="8" t="str">
        <f>IF(K115="","",INDEX(Интервалы!$F$2:$F$513,MATCH(K115,Интервалы!$G$2:$G$513,0)))</f>
        <v/>
      </c>
      <c r="J115" s="8" t="str">
        <f>IF(K115="","",INDEX(Интервалы!$H$2:$H$513,MATCH(K115,Интервалы!$G$2:$G$513,0)))</f>
        <v/>
      </c>
      <c r="K115" t="str">
        <f>IFERROR(SMALL(Интервалы!$G$2:$G$513,109),"")</f>
        <v/>
      </c>
      <c r="L115" t="str">
        <f>IF(K115="","",INDEX(Интервалы!$B$2:$B$513,MATCH(K115,Интервалы!$G$2:$G$513,0)))</f>
        <v/>
      </c>
    </row>
    <row r="116" spans="1:12" x14ac:dyDescent="0.3">
      <c r="A116" s="4" t="str">
        <f>IF(K116="","",110)</f>
        <v/>
      </c>
      <c r="B116" s="4" t="str">
        <f>IF(K116="","",INDEX(Интервалы!$A$2:$A$513,MATCH(K116,Интервалы!$G$2:$G$513,0)))</f>
        <v/>
      </c>
      <c r="C116" s="17" t="str">
        <f>IF(K116="","",INDEX(Интервалы!$C$2:$C$513,MATCH(K116,Интервалы!$G$2:$G$513,0)))</f>
        <v/>
      </c>
      <c r="D116" s="17" t="str">
        <f>IF(K116="","",INDEX(Интервалы!$D$2:$D$513,MATCH(K116,Интервалы!$G$2:$G$513,0)))</f>
        <v/>
      </c>
      <c r="E116" s="4" t="str">
        <f t="shared" si="1"/>
        <v/>
      </c>
      <c r="F116" s="8" t="str">
        <f>IF(K116="","",INDEX(Интервалы!$E$2:$E$513,MATCH(K116,Интервалы!$G$2:$G$513,0)))</f>
        <v/>
      </c>
      <c r="G116" s="18" t="str">
        <f>IF(K116="","",IF(H116=1,INDEX('По дням'!$B$2:$B$4000,MATCH(C116,'По дням'!$A$2:$A$4000,0)),"по периодам ставки"))</f>
        <v/>
      </c>
      <c r="H116" s="4" t="str">
        <f>IF(K116="","",INDEX(Интервалы!$I$2:$I$513,MATCH(K116,Интервалы!$G$2:$G$513,0)))</f>
        <v/>
      </c>
      <c r="I116" s="8" t="str">
        <f>IF(K116="","",INDEX(Интервалы!$F$2:$F$513,MATCH(K116,Интервалы!$G$2:$G$513,0)))</f>
        <v/>
      </c>
      <c r="J116" s="8" t="str">
        <f>IF(K116="","",INDEX(Интервалы!$H$2:$H$513,MATCH(K116,Интервалы!$G$2:$G$513,0)))</f>
        <v/>
      </c>
      <c r="K116" t="str">
        <f>IFERROR(SMALL(Интервалы!$G$2:$G$513,110),"")</f>
        <v/>
      </c>
      <c r="L116" t="str">
        <f>IF(K116="","",INDEX(Интервалы!$B$2:$B$513,MATCH(K116,Интервалы!$G$2:$G$513,0)))</f>
        <v/>
      </c>
    </row>
    <row r="117" spans="1:12" x14ac:dyDescent="0.3">
      <c r="A117" s="4" t="str">
        <f>IF(K117="","",111)</f>
        <v/>
      </c>
      <c r="B117" s="4" t="str">
        <f>IF(K117="","",INDEX(Интервалы!$A$2:$A$513,MATCH(K117,Интервалы!$G$2:$G$513,0)))</f>
        <v/>
      </c>
      <c r="C117" s="17" t="str">
        <f>IF(K117="","",INDEX(Интервалы!$C$2:$C$513,MATCH(K117,Интервалы!$G$2:$G$513,0)))</f>
        <v/>
      </c>
      <c r="D117" s="17" t="str">
        <f>IF(K117="","",INDEX(Интервалы!$D$2:$D$513,MATCH(K117,Интервалы!$G$2:$G$513,0)))</f>
        <v/>
      </c>
      <c r="E117" s="4" t="str">
        <f t="shared" si="1"/>
        <v/>
      </c>
      <c r="F117" s="8" t="str">
        <f>IF(K117="","",INDEX(Интервалы!$E$2:$E$513,MATCH(K117,Интервалы!$G$2:$G$513,0)))</f>
        <v/>
      </c>
      <c r="G117" s="18" t="str">
        <f>IF(K117="","",IF(H117=1,INDEX('По дням'!$B$2:$B$4000,MATCH(C117,'По дням'!$A$2:$A$4000,0)),"по периодам ставки"))</f>
        <v/>
      </c>
      <c r="H117" s="4" t="str">
        <f>IF(K117="","",INDEX(Интервалы!$I$2:$I$513,MATCH(K117,Интервалы!$G$2:$G$513,0)))</f>
        <v/>
      </c>
      <c r="I117" s="8" t="str">
        <f>IF(K117="","",INDEX(Интервалы!$F$2:$F$513,MATCH(K117,Интервалы!$G$2:$G$513,0)))</f>
        <v/>
      </c>
      <c r="J117" s="8" t="str">
        <f>IF(K117="","",INDEX(Интервалы!$H$2:$H$513,MATCH(K117,Интервалы!$G$2:$G$513,0)))</f>
        <v/>
      </c>
      <c r="K117" t="str">
        <f>IFERROR(SMALL(Интервалы!$G$2:$G$513,111),"")</f>
        <v/>
      </c>
      <c r="L117" t="str">
        <f>IF(K117="","",INDEX(Интервалы!$B$2:$B$513,MATCH(K117,Интервалы!$G$2:$G$513,0)))</f>
        <v/>
      </c>
    </row>
    <row r="118" spans="1:12" x14ac:dyDescent="0.3">
      <c r="A118" s="4" t="str">
        <f>IF(K118="","",112)</f>
        <v/>
      </c>
      <c r="B118" s="4" t="str">
        <f>IF(K118="","",INDEX(Интервалы!$A$2:$A$513,MATCH(K118,Интервалы!$G$2:$G$513,0)))</f>
        <v/>
      </c>
      <c r="C118" s="17" t="str">
        <f>IF(K118="","",INDEX(Интервалы!$C$2:$C$513,MATCH(K118,Интервалы!$G$2:$G$513,0)))</f>
        <v/>
      </c>
      <c r="D118" s="17" t="str">
        <f>IF(K118="","",INDEX(Интервалы!$D$2:$D$513,MATCH(K118,Интервалы!$G$2:$G$513,0)))</f>
        <v/>
      </c>
      <c r="E118" s="4" t="str">
        <f t="shared" si="1"/>
        <v/>
      </c>
      <c r="F118" s="8" t="str">
        <f>IF(K118="","",INDEX(Интервалы!$E$2:$E$513,MATCH(K118,Интервалы!$G$2:$G$513,0)))</f>
        <v/>
      </c>
      <c r="G118" s="18" t="str">
        <f>IF(K118="","",IF(H118=1,INDEX('По дням'!$B$2:$B$4000,MATCH(C118,'По дням'!$A$2:$A$4000,0)),"по периодам ставки"))</f>
        <v/>
      </c>
      <c r="H118" s="4" t="str">
        <f>IF(K118="","",INDEX(Интервалы!$I$2:$I$513,MATCH(K118,Интервалы!$G$2:$G$513,0)))</f>
        <v/>
      </c>
      <c r="I118" s="8" t="str">
        <f>IF(K118="","",INDEX(Интервалы!$F$2:$F$513,MATCH(K118,Интервалы!$G$2:$G$513,0)))</f>
        <v/>
      </c>
      <c r="J118" s="8" t="str">
        <f>IF(K118="","",INDEX(Интервалы!$H$2:$H$513,MATCH(K118,Интервалы!$G$2:$G$513,0)))</f>
        <v/>
      </c>
      <c r="K118" t="str">
        <f>IFERROR(SMALL(Интервалы!$G$2:$G$513,112),"")</f>
        <v/>
      </c>
      <c r="L118" t="str">
        <f>IF(K118="","",INDEX(Интервалы!$B$2:$B$513,MATCH(K118,Интервалы!$G$2:$G$513,0)))</f>
        <v/>
      </c>
    </row>
    <row r="119" spans="1:12" x14ac:dyDescent="0.3">
      <c r="A119" s="4" t="str">
        <f>IF(K119="","",113)</f>
        <v/>
      </c>
      <c r="B119" s="4" t="str">
        <f>IF(K119="","",INDEX(Интервалы!$A$2:$A$513,MATCH(K119,Интервалы!$G$2:$G$513,0)))</f>
        <v/>
      </c>
      <c r="C119" s="17" t="str">
        <f>IF(K119="","",INDEX(Интервалы!$C$2:$C$513,MATCH(K119,Интервалы!$G$2:$G$513,0)))</f>
        <v/>
      </c>
      <c r="D119" s="17" t="str">
        <f>IF(K119="","",INDEX(Интервалы!$D$2:$D$513,MATCH(K119,Интервалы!$G$2:$G$513,0)))</f>
        <v/>
      </c>
      <c r="E119" s="4" t="str">
        <f t="shared" si="1"/>
        <v/>
      </c>
      <c r="F119" s="8" t="str">
        <f>IF(K119="","",INDEX(Интервалы!$E$2:$E$513,MATCH(K119,Интервалы!$G$2:$G$513,0)))</f>
        <v/>
      </c>
      <c r="G119" s="18" t="str">
        <f>IF(K119="","",IF(H119=1,INDEX('По дням'!$B$2:$B$4000,MATCH(C119,'По дням'!$A$2:$A$4000,0)),"по периодам ставки"))</f>
        <v/>
      </c>
      <c r="H119" s="4" t="str">
        <f>IF(K119="","",INDEX(Интервалы!$I$2:$I$513,MATCH(K119,Интервалы!$G$2:$G$513,0)))</f>
        <v/>
      </c>
      <c r="I119" s="8" t="str">
        <f>IF(K119="","",INDEX(Интервалы!$F$2:$F$513,MATCH(K119,Интервалы!$G$2:$G$513,0)))</f>
        <v/>
      </c>
      <c r="J119" s="8" t="str">
        <f>IF(K119="","",INDEX(Интервалы!$H$2:$H$513,MATCH(K119,Интервалы!$G$2:$G$513,0)))</f>
        <v/>
      </c>
      <c r="K119" t="str">
        <f>IFERROR(SMALL(Интервалы!$G$2:$G$513,113),"")</f>
        <v/>
      </c>
      <c r="L119" t="str">
        <f>IF(K119="","",INDEX(Интервалы!$B$2:$B$513,MATCH(K119,Интервалы!$G$2:$G$513,0)))</f>
        <v/>
      </c>
    </row>
    <row r="120" spans="1:12" x14ac:dyDescent="0.3">
      <c r="A120" s="4" t="str">
        <f>IF(K120="","",114)</f>
        <v/>
      </c>
      <c r="B120" s="4" t="str">
        <f>IF(K120="","",INDEX(Интервалы!$A$2:$A$513,MATCH(K120,Интервалы!$G$2:$G$513,0)))</f>
        <v/>
      </c>
      <c r="C120" s="17" t="str">
        <f>IF(K120="","",INDEX(Интервалы!$C$2:$C$513,MATCH(K120,Интервалы!$G$2:$G$513,0)))</f>
        <v/>
      </c>
      <c r="D120" s="17" t="str">
        <f>IF(K120="","",INDEX(Интервалы!$D$2:$D$513,MATCH(K120,Интервалы!$G$2:$G$513,0)))</f>
        <v/>
      </c>
      <c r="E120" s="4" t="str">
        <f t="shared" si="1"/>
        <v/>
      </c>
      <c r="F120" s="8" t="str">
        <f>IF(K120="","",INDEX(Интервалы!$E$2:$E$513,MATCH(K120,Интервалы!$G$2:$G$513,0)))</f>
        <v/>
      </c>
      <c r="G120" s="18" t="str">
        <f>IF(K120="","",IF(H120=1,INDEX('По дням'!$B$2:$B$4000,MATCH(C120,'По дням'!$A$2:$A$4000,0)),"по периодам ставки"))</f>
        <v/>
      </c>
      <c r="H120" s="4" t="str">
        <f>IF(K120="","",INDEX(Интервалы!$I$2:$I$513,MATCH(K120,Интервалы!$G$2:$G$513,0)))</f>
        <v/>
      </c>
      <c r="I120" s="8" t="str">
        <f>IF(K120="","",INDEX(Интервалы!$F$2:$F$513,MATCH(K120,Интервалы!$G$2:$G$513,0)))</f>
        <v/>
      </c>
      <c r="J120" s="8" t="str">
        <f>IF(K120="","",INDEX(Интервалы!$H$2:$H$513,MATCH(K120,Интервалы!$G$2:$G$513,0)))</f>
        <v/>
      </c>
      <c r="K120" t="str">
        <f>IFERROR(SMALL(Интервалы!$G$2:$G$513,114),"")</f>
        <v/>
      </c>
      <c r="L120" t="str">
        <f>IF(K120="","",INDEX(Интервалы!$B$2:$B$513,MATCH(K120,Интервалы!$G$2:$G$513,0)))</f>
        <v/>
      </c>
    </row>
    <row r="121" spans="1:12" x14ac:dyDescent="0.3">
      <c r="A121" s="4" t="str">
        <f>IF(K121="","",115)</f>
        <v/>
      </c>
      <c r="B121" s="4" t="str">
        <f>IF(K121="","",INDEX(Интервалы!$A$2:$A$513,MATCH(K121,Интервалы!$G$2:$G$513,0)))</f>
        <v/>
      </c>
      <c r="C121" s="17" t="str">
        <f>IF(K121="","",INDEX(Интервалы!$C$2:$C$513,MATCH(K121,Интервалы!$G$2:$G$513,0)))</f>
        <v/>
      </c>
      <c r="D121" s="17" t="str">
        <f>IF(K121="","",INDEX(Интервалы!$D$2:$D$513,MATCH(K121,Интервалы!$G$2:$G$513,0)))</f>
        <v/>
      </c>
      <c r="E121" s="4" t="str">
        <f t="shared" si="1"/>
        <v/>
      </c>
      <c r="F121" s="8" t="str">
        <f>IF(K121="","",INDEX(Интервалы!$E$2:$E$513,MATCH(K121,Интервалы!$G$2:$G$513,0)))</f>
        <v/>
      </c>
      <c r="G121" s="18" t="str">
        <f>IF(K121="","",IF(H121=1,INDEX('По дням'!$B$2:$B$4000,MATCH(C121,'По дням'!$A$2:$A$4000,0)),"по периодам ставки"))</f>
        <v/>
      </c>
      <c r="H121" s="4" t="str">
        <f>IF(K121="","",INDEX(Интервалы!$I$2:$I$513,MATCH(K121,Интервалы!$G$2:$G$513,0)))</f>
        <v/>
      </c>
      <c r="I121" s="8" t="str">
        <f>IF(K121="","",INDEX(Интервалы!$F$2:$F$513,MATCH(K121,Интервалы!$G$2:$G$513,0)))</f>
        <v/>
      </c>
      <c r="J121" s="8" t="str">
        <f>IF(K121="","",INDEX(Интервалы!$H$2:$H$513,MATCH(K121,Интервалы!$G$2:$G$513,0)))</f>
        <v/>
      </c>
      <c r="K121" t="str">
        <f>IFERROR(SMALL(Интервалы!$G$2:$G$513,115),"")</f>
        <v/>
      </c>
      <c r="L121" t="str">
        <f>IF(K121="","",INDEX(Интервалы!$B$2:$B$513,MATCH(K121,Интервалы!$G$2:$G$513,0)))</f>
        <v/>
      </c>
    </row>
    <row r="122" spans="1:12" x14ac:dyDescent="0.3">
      <c r="A122" s="4" t="str">
        <f>IF(K122="","",116)</f>
        <v/>
      </c>
      <c r="B122" s="4" t="str">
        <f>IF(K122="","",INDEX(Интервалы!$A$2:$A$513,MATCH(K122,Интервалы!$G$2:$G$513,0)))</f>
        <v/>
      </c>
      <c r="C122" s="17" t="str">
        <f>IF(K122="","",INDEX(Интервалы!$C$2:$C$513,MATCH(K122,Интервалы!$G$2:$G$513,0)))</f>
        <v/>
      </c>
      <c r="D122" s="17" t="str">
        <f>IF(K122="","",INDEX(Интервалы!$D$2:$D$513,MATCH(K122,Интервалы!$G$2:$G$513,0)))</f>
        <v/>
      </c>
      <c r="E122" s="4" t="str">
        <f t="shared" si="1"/>
        <v/>
      </c>
      <c r="F122" s="8" t="str">
        <f>IF(K122="","",INDEX(Интервалы!$E$2:$E$513,MATCH(K122,Интервалы!$G$2:$G$513,0)))</f>
        <v/>
      </c>
      <c r="G122" s="18" t="str">
        <f>IF(K122="","",IF(H122=1,INDEX('По дням'!$B$2:$B$4000,MATCH(C122,'По дням'!$A$2:$A$4000,0)),"по периодам ставки"))</f>
        <v/>
      </c>
      <c r="H122" s="4" t="str">
        <f>IF(K122="","",INDEX(Интервалы!$I$2:$I$513,MATCH(K122,Интервалы!$G$2:$G$513,0)))</f>
        <v/>
      </c>
      <c r="I122" s="8" t="str">
        <f>IF(K122="","",INDEX(Интервалы!$F$2:$F$513,MATCH(K122,Интервалы!$G$2:$G$513,0)))</f>
        <v/>
      </c>
      <c r="J122" s="8" t="str">
        <f>IF(K122="","",INDEX(Интервалы!$H$2:$H$513,MATCH(K122,Интервалы!$G$2:$G$513,0)))</f>
        <v/>
      </c>
      <c r="K122" t="str">
        <f>IFERROR(SMALL(Интервалы!$G$2:$G$513,116),"")</f>
        <v/>
      </c>
      <c r="L122" t="str">
        <f>IF(K122="","",INDEX(Интервалы!$B$2:$B$513,MATCH(K122,Интервалы!$G$2:$G$513,0)))</f>
        <v/>
      </c>
    </row>
    <row r="123" spans="1:12" x14ac:dyDescent="0.3">
      <c r="A123" s="4" t="str">
        <f>IF(K123="","",117)</f>
        <v/>
      </c>
      <c r="B123" s="4" t="str">
        <f>IF(K123="","",INDEX(Интервалы!$A$2:$A$513,MATCH(K123,Интервалы!$G$2:$G$513,0)))</f>
        <v/>
      </c>
      <c r="C123" s="17" t="str">
        <f>IF(K123="","",INDEX(Интервалы!$C$2:$C$513,MATCH(K123,Интервалы!$G$2:$G$513,0)))</f>
        <v/>
      </c>
      <c r="D123" s="17" t="str">
        <f>IF(K123="","",INDEX(Интервалы!$D$2:$D$513,MATCH(K123,Интервалы!$G$2:$G$513,0)))</f>
        <v/>
      </c>
      <c r="E123" s="4" t="str">
        <f t="shared" si="1"/>
        <v/>
      </c>
      <c r="F123" s="8" t="str">
        <f>IF(K123="","",INDEX(Интервалы!$E$2:$E$513,MATCH(K123,Интервалы!$G$2:$G$513,0)))</f>
        <v/>
      </c>
      <c r="G123" s="18" t="str">
        <f>IF(K123="","",IF(H123=1,INDEX('По дням'!$B$2:$B$4000,MATCH(C123,'По дням'!$A$2:$A$4000,0)),"по периодам ставки"))</f>
        <v/>
      </c>
      <c r="H123" s="4" t="str">
        <f>IF(K123="","",INDEX(Интервалы!$I$2:$I$513,MATCH(K123,Интервалы!$G$2:$G$513,0)))</f>
        <v/>
      </c>
      <c r="I123" s="8" t="str">
        <f>IF(K123="","",INDEX(Интервалы!$F$2:$F$513,MATCH(K123,Интервалы!$G$2:$G$513,0)))</f>
        <v/>
      </c>
      <c r="J123" s="8" t="str">
        <f>IF(K123="","",INDEX(Интервалы!$H$2:$H$513,MATCH(K123,Интервалы!$G$2:$G$513,0)))</f>
        <v/>
      </c>
      <c r="K123" t="str">
        <f>IFERROR(SMALL(Интервалы!$G$2:$G$513,117),"")</f>
        <v/>
      </c>
      <c r="L123" t="str">
        <f>IF(K123="","",INDEX(Интервалы!$B$2:$B$513,MATCH(K123,Интервалы!$G$2:$G$513,0)))</f>
        <v/>
      </c>
    </row>
    <row r="124" spans="1:12" x14ac:dyDescent="0.3">
      <c r="A124" s="4" t="str">
        <f>IF(K124="","",118)</f>
        <v/>
      </c>
      <c r="B124" s="4" t="str">
        <f>IF(K124="","",INDEX(Интервалы!$A$2:$A$513,MATCH(K124,Интервалы!$G$2:$G$513,0)))</f>
        <v/>
      </c>
      <c r="C124" s="17" t="str">
        <f>IF(K124="","",INDEX(Интервалы!$C$2:$C$513,MATCH(K124,Интервалы!$G$2:$G$513,0)))</f>
        <v/>
      </c>
      <c r="D124" s="17" t="str">
        <f>IF(K124="","",INDEX(Интервалы!$D$2:$D$513,MATCH(K124,Интервалы!$G$2:$G$513,0)))</f>
        <v/>
      </c>
      <c r="E124" s="4" t="str">
        <f t="shared" si="1"/>
        <v/>
      </c>
      <c r="F124" s="8" t="str">
        <f>IF(K124="","",INDEX(Интервалы!$E$2:$E$513,MATCH(K124,Интервалы!$G$2:$G$513,0)))</f>
        <v/>
      </c>
      <c r="G124" s="18" t="str">
        <f>IF(K124="","",IF(H124=1,INDEX('По дням'!$B$2:$B$4000,MATCH(C124,'По дням'!$A$2:$A$4000,0)),"по периодам ставки"))</f>
        <v/>
      </c>
      <c r="H124" s="4" t="str">
        <f>IF(K124="","",INDEX(Интервалы!$I$2:$I$513,MATCH(K124,Интервалы!$G$2:$G$513,0)))</f>
        <v/>
      </c>
      <c r="I124" s="8" t="str">
        <f>IF(K124="","",INDEX(Интервалы!$F$2:$F$513,MATCH(K124,Интервалы!$G$2:$G$513,0)))</f>
        <v/>
      </c>
      <c r="J124" s="8" t="str">
        <f>IF(K124="","",INDEX(Интервалы!$H$2:$H$513,MATCH(K124,Интервалы!$G$2:$G$513,0)))</f>
        <v/>
      </c>
      <c r="K124" t="str">
        <f>IFERROR(SMALL(Интервалы!$G$2:$G$513,118),"")</f>
        <v/>
      </c>
      <c r="L124" t="str">
        <f>IF(K124="","",INDEX(Интервалы!$B$2:$B$513,MATCH(K124,Интервалы!$G$2:$G$513,0)))</f>
        <v/>
      </c>
    </row>
    <row r="125" spans="1:12" x14ac:dyDescent="0.3">
      <c r="A125" s="4" t="str">
        <f>IF(K125="","",119)</f>
        <v/>
      </c>
      <c r="B125" s="4" t="str">
        <f>IF(K125="","",INDEX(Интервалы!$A$2:$A$513,MATCH(K125,Интервалы!$G$2:$G$513,0)))</f>
        <v/>
      </c>
      <c r="C125" s="17" t="str">
        <f>IF(K125="","",INDEX(Интервалы!$C$2:$C$513,MATCH(K125,Интервалы!$G$2:$G$513,0)))</f>
        <v/>
      </c>
      <c r="D125" s="17" t="str">
        <f>IF(K125="","",INDEX(Интервалы!$D$2:$D$513,MATCH(K125,Интервалы!$G$2:$G$513,0)))</f>
        <v/>
      </c>
      <c r="E125" s="4" t="str">
        <f t="shared" si="1"/>
        <v/>
      </c>
      <c r="F125" s="8" t="str">
        <f>IF(K125="","",INDEX(Интервалы!$E$2:$E$513,MATCH(K125,Интервалы!$G$2:$G$513,0)))</f>
        <v/>
      </c>
      <c r="G125" s="18" t="str">
        <f>IF(K125="","",IF(H125=1,INDEX('По дням'!$B$2:$B$4000,MATCH(C125,'По дням'!$A$2:$A$4000,0)),"по периодам ставки"))</f>
        <v/>
      </c>
      <c r="H125" s="4" t="str">
        <f>IF(K125="","",INDEX(Интервалы!$I$2:$I$513,MATCH(K125,Интервалы!$G$2:$G$513,0)))</f>
        <v/>
      </c>
      <c r="I125" s="8" t="str">
        <f>IF(K125="","",INDEX(Интервалы!$F$2:$F$513,MATCH(K125,Интервалы!$G$2:$G$513,0)))</f>
        <v/>
      </c>
      <c r="J125" s="8" t="str">
        <f>IF(K125="","",INDEX(Интервалы!$H$2:$H$513,MATCH(K125,Интервалы!$G$2:$G$513,0)))</f>
        <v/>
      </c>
      <c r="K125" t="str">
        <f>IFERROR(SMALL(Интервалы!$G$2:$G$513,119),"")</f>
        <v/>
      </c>
      <c r="L125" t="str">
        <f>IF(K125="","",INDEX(Интервалы!$B$2:$B$513,MATCH(K125,Интервалы!$G$2:$G$513,0)))</f>
        <v/>
      </c>
    </row>
    <row r="126" spans="1:12" x14ac:dyDescent="0.3">
      <c r="A126" s="4" t="str">
        <f>IF(K126="","",120)</f>
        <v/>
      </c>
      <c r="B126" s="4" t="str">
        <f>IF(K126="","",INDEX(Интервалы!$A$2:$A$513,MATCH(K126,Интервалы!$G$2:$G$513,0)))</f>
        <v/>
      </c>
      <c r="C126" s="17" t="str">
        <f>IF(K126="","",INDEX(Интервалы!$C$2:$C$513,MATCH(K126,Интервалы!$G$2:$G$513,0)))</f>
        <v/>
      </c>
      <c r="D126" s="17" t="str">
        <f>IF(K126="","",INDEX(Интервалы!$D$2:$D$513,MATCH(K126,Интервалы!$G$2:$G$513,0)))</f>
        <v/>
      </c>
      <c r="E126" s="4" t="str">
        <f t="shared" si="1"/>
        <v/>
      </c>
      <c r="F126" s="8" t="str">
        <f>IF(K126="","",INDEX(Интервалы!$E$2:$E$513,MATCH(K126,Интервалы!$G$2:$G$513,0)))</f>
        <v/>
      </c>
      <c r="G126" s="18" t="str">
        <f>IF(K126="","",IF(H126=1,INDEX('По дням'!$B$2:$B$4000,MATCH(C126,'По дням'!$A$2:$A$4000,0)),"по периодам ставки"))</f>
        <v/>
      </c>
      <c r="H126" s="4" t="str">
        <f>IF(K126="","",INDEX(Интервалы!$I$2:$I$513,MATCH(K126,Интервалы!$G$2:$G$513,0)))</f>
        <v/>
      </c>
      <c r="I126" s="8" t="str">
        <f>IF(K126="","",INDEX(Интервалы!$F$2:$F$513,MATCH(K126,Интервалы!$G$2:$G$513,0)))</f>
        <v/>
      </c>
      <c r="J126" s="8" t="str">
        <f>IF(K126="","",INDEX(Интервалы!$H$2:$H$513,MATCH(K126,Интервалы!$G$2:$G$513,0)))</f>
        <v/>
      </c>
      <c r="K126" t="str">
        <f>IFERROR(SMALL(Интервалы!$G$2:$G$513,120),"")</f>
        <v/>
      </c>
      <c r="L126" t="str">
        <f>IF(K126="","",INDEX(Интервалы!$B$2:$B$513,MATCH(K126,Интервалы!$G$2:$G$513,0)))</f>
        <v/>
      </c>
    </row>
    <row r="127" spans="1:12" x14ac:dyDescent="0.3">
      <c r="A127" s="4" t="str">
        <f>IF(K127="","",121)</f>
        <v/>
      </c>
      <c r="B127" s="4" t="str">
        <f>IF(K127="","",INDEX(Интервалы!$A$2:$A$513,MATCH(K127,Интервалы!$G$2:$G$513,0)))</f>
        <v/>
      </c>
      <c r="C127" s="17" t="str">
        <f>IF(K127="","",INDEX(Интервалы!$C$2:$C$513,MATCH(K127,Интервалы!$G$2:$G$513,0)))</f>
        <v/>
      </c>
      <c r="D127" s="17" t="str">
        <f>IF(K127="","",INDEX(Интервалы!$D$2:$D$513,MATCH(K127,Интервалы!$G$2:$G$513,0)))</f>
        <v/>
      </c>
      <c r="E127" s="4" t="str">
        <f t="shared" si="1"/>
        <v/>
      </c>
      <c r="F127" s="8" t="str">
        <f>IF(K127="","",INDEX(Интервалы!$E$2:$E$513,MATCH(K127,Интервалы!$G$2:$G$513,0)))</f>
        <v/>
      </c>
      <c r="G127" s="18" t="str">
        <f>IF(K127="","",IF(H127=1,INDEX('По дням'!$B$2:$B$4000,MATCH(C127,'По дням'!$A$2:$A$4000,0)),"по периодам ставки"))</f>
        <v/>
      </c>
      <c r="H127" s="4" t="str">
        <f>IF(K127="","",INDEX(Интервалы!$I$2:$I$513,MATCH(K127,Интервалы!$G$2:$G$513,0)))</f>
        <v/>
      </c>
      <c r="I127" s="8" t="str">
        <f>IF(K127="","",INDEX(Интервалы!$F$2:$F$513,MATCH(K127,Интервалы!$G$2:$G$513,0)))</f>
        <v/>
      </c>
      <c r="J127" s="8" t="str">
        <f>IF(K127="","",INDEX(Интервалы!$H$2:$H$513,MATCH(K127,Интервалы!$G$2:$G$513,0)))</f>
        <v/>
      </c>
      <c r="K127" t="str">
        <f>IFERROR(SMALL(Интервалы!$G$2:$G$513,121),"")</f>
        <v/>
      </c>
      <c r="L127" t="str">
        <f>IF(K127="","",INDEX(Интервалы!$B$2:$B$513,MATCH(K127,Интервалы!$G$2:$G$513,0)))</f>
        <v/>
      </c>
    </row>
    <row r="128" spans="1:12" x14ac:dyDescent="0.3">
      <c r="A128" s="4" t="str">
        <f>IF(K128="","",122)</f>
        <v/>
      </c>
      <c r="B128" s="4" t="str">
        <f>IF(K128="","",INDEX(Интервалы!$A$2:$A$513,MATCH(K128,Интервалы!$G$2:$G$513,0)))</f>
        <v/>
      </c>
      <c r="C128" s="17" t="str">
        <f>IF(K128="","",INDEX(Интервалы!$C$2:$C$513,MATCH(K128,Интервалы!$G$2:$G$513,0)))</f>
        <v/>
      </c>
      <c r="D128" s="17" t="str">
        <f>IF(K128="","",INDEX(Интервалы!$D$2:$D$513,MATCH(K128,Интервалы!$G$2:$G$513,0)))</f>
        <v/>
      </c>
      <c r="E128" s="4" t="str">
        <f t="shared" si="1"/>
        <v/>
      </c>
      <c r="F128" s="8" t="str">
        <f>IF(K128="","",INDEX(Интервалы!$E$2:$E$513,MATCH(K128,Интервалы!$G$2:$G$513,0)))</f>
        <v/>
      </c>
      <c r="G128" s="18" t="str">
        <f>IF(K128="","",IF(H128=1,INDEX('По дням'!$B$2:$B$4000,MATCH(C128,'По дням'!$A$2:$A$4000,0)),"по периодам ставки"))</f>
        <v/>
      </c>
      <c r="H128" s="4" t="str">
        <f>IF(K128="","",INDEX(Интервалы!$I$2:$I$513,MATCH(K128,Интервалы!$G$2:$G$513,0)))</f>
        <v/>
      </c>
      <c r="I128" s="8" t="str">
        <f>IF(K128="","",INDEX(Интервалы!$F$2:$F$513,MATCH(K128,Интервалы!$G$2:$G$513,0)))</f>
        <v/>
      </c>
      <c r="J128" s="8" t="str">
        <f>IF(K128="","",INDEX(Интервалы!$H$2:$H$513,MATCH(K128,Интервалы!$G$2:$G$513,0)))</f>
        <v/>
      </c>
      <c r="K128" t="str">
        <f>IFERROR(SMALL(Интервалы!$G$2:$G$513,122),"")</f>
        <v/>
      </c>
      <c r="L128" t="str">
        <f>IF(K128="","",INDEX(Интервалы!$B$2:$B$513,MATCH(K128,Интервалы!$G$2:$G$513,0)))</f>
        <v/>
      </c>
    </row>
    <row r="129" spans="1:12" x14ac:dyDescent="0.3">
      <c r="A129" s="4" t="str">
        <f>IF(K129="","",123)</f>
        <v/>
      </c>
      <c r="B129" s="4" t="str">
        <f>IF(K129="","",INDEX(Интервалы!$A$2:$A$513,MATCH(K129,Интервалы!$G$2:$G$513,0)))</f>
        <v/>
      </c>
      <c r="C129" s="17" t="str">
        <f>IF(K129="","",INDEX(Интервалы!$C$2:$C$513,MATCH(K129,Интервалы!$G$2:$G$513,0)))</f>
        <v/>
      </c>
      <c r="D129" s="17" t="str">
        <f>IF(K129="","",INDEX(Интервалы!$D$2:$D$513,MATCH(K129,Интервалы!$G$2:$G$513,0)))</f>
        <v/>
      </c>
      <c r="E129" s="4" t="str">
        <f t="shared" si="1"/>
        <v/>
      </c>
      <c r="F129" s="8" t="str">
        <f>IF(K129="","",INDEX(Интервалы!$E$2:$E$513,MATCH(K129,Интервалы!$G$2:$G$513,0)))</f>
        <v/>
      </c>
      <c r="G129" s="18" t="str">
        <f>IF(K129="","",IF(H129=1,INDEX('По дням'!$B$2:$B$4000,MATCH(C129,'По дням'!$A$2:$A$4000,0)),"по периодам ставки"))</f>
        <v/>
      </c>
      <c r="H129" s="4" t="str">
        <f>IF(K129="","",INDEX(Интервалы!$I$2:$I$513,MATCH(K129,Интервалы!$G$2:$G$513,0)))</f>
        <v/>
      </c>
      <c r="I129" s="8" t="str">
        <f>IF(K129="","",INDEX(Интервалы!$F$2:$F$513,MATCH(K129,Интервалы!$G$2:$G$513,0)))</f>
        <v/>
      </c>
      <c r="J129" s="8" t="str">
        <f>IF(K129="","",INDEX(Интервалы!$H$2:$H$513,MATCH(K129,Интервалы!$G$2:$G$513,0)))</f>
        <v/>
      </c>
      <c r="K129" t="str">
        <f>IFERROR(SMALL(Интервалы!$G$2:$G$513,123),"")</f>
        <v/>
      </c>
      <c r="L129" t="str">
        <f>IF(K129="","",INDEX(Интервалы!$B$2:$B$513,MATCH(K129,Интервалы!$G$2:$G$513,0)))</f>
        <v/>
      </c>
    </row>
    <row r="130" spans="1:12" x14ac:dyDescent="0.3">
      <c r="A130" s="4" t="str">
        <f>IF(K130="","",124)</f>
        <v/>
      </c>
      <c r="B130" s="4" t="str">
        <f>IF(K130="","",INDEX(Интервалы!$A$2:$A$513,MATCH(K130,Интервалы!$G$2:$G$513,0)))</f>
        <v/>
      </c>
      <c r="C130" s="17" t="str">
        <f>IF(K130="","",INDEX(Интервалы!$C$2:$C$513,MATCH(K130,Интервалы!$G$2:$G$513,0)))</f>
        <v/>
      </c>
      <c r="D130" s="17" t="str">
        <f>IF(K130="","",INDEX(Интервалы!$D$2:$D$513,MATCH(K130,Интервалы!$G$2:$G$513,0)))</f>
        <v/>
      </c>
      <c r="E130" s="4" t="str">
        <f t="shared" si="1"/>
        <v/>
      </c>
      <c r="F130" s="8" t="str">
        <f>IF(K130="","",INDEX(Интервалы!$E$2:$E$513,MATCH(K130,Интервалы!$G$2:$G$513,0)))</f>
        <v/>
      </c>
      <c r="G130" s="18" t="str">
        <f>IF(K130="","",IF(H130=1,INDEX('По дням'!$B$2:$B$4000,MATCH(C130,'По дням'!$A$2:$A$4000,0)),"по периодам ставки"))</f>
        <v/>
      </c>
      <c r="H130" s="4" t="str">
        <f>IF(K130="","",INDEX(Интервалы!$I$2:$I$513,MATCH(K130,Интервалы!$G$2:$G$513,0)))</f>
        <v/>
      </c>
      <c r="I130" s="8" t="str">
        <f>IF(K130="","",INDEX(Интервалы!$F$2:$F$513,MATCH(K130,Интервалы!$G$2:$G$513,0)))</f>
        <v/>
      </c>
      <c r="J130" s="8" t="str">
        <f>IF(K130="","",INDEX(Интервалы!$H$2:$H$513,MATCH(K130,Интервалы!$G$2:$G$513,0)))</f>
        <v/>
      </c>
      <c r="K130" t="str">
        <f>IFERROR(SMALL(Интервалы!$G$2:$G$513,124),"")</f>
        <v/>
      </c>
      <c r="L130" t="str">
        <f>IF(K130="","",INDEX(Интервалы!$B$2:$B$513,MATCH(K130,Интервалы!$G$2:$G$513,0)))</f>
        <v/>
      </c>
    </row>
    <row r="131" spans="1:12" x14ac:dyDescent="0.3">
      <c r="A131" s="4" t="str">
        <f>IF(K131="","",125)</f>
        <v/>
      </c>
      <c r="B131" s="4" t="str">
        <f>IF(K131="","",INDEX(Интервалы!$A$2:$A$513,MATCH(K131,Интервалы!$G$2:$G$513,0)))</f>
        <v/>
      </c>
      <c r="C131" s="17" t="str">
        <f>IF(K131="","",INDEX(Интервалы!$C$2:$C$513,MATCH(K131,Интервалы!$G$2:$G$513,0)))</f>
        <v/>
      </c>
      <c r="D131" s="17" t="str">
        <f>IF(K131="","",INDEX(Интервалы!$D$2:$D$513,MATCH(K131,Интервалы!$G$2:$G$513,0)))</f>
        <v/>
      </c>
      <c r="E131" s="4" t="str">
        <f t="shared" si="1"/>
        <v/>
      </c>
      <c r="F131" s="8" t="str">
        <f>IF(K131="","",INDEX(Интервалы!$E$2:$E$513,MATCH(K131,Интервалы!$G$2:$G$513,0)))</f>
        <v/>
      </c>
      <c r="G131" s="18" t="str">
        <f>IF(K131="","",IF(H131=1,INDEX('По дням'!$B$2:$B$4000,MATCH(C131,'По дням'!$A$2:$A$4000,0)),"по периодам ставки"))</f>
        <v/>
      </c>
      <c r="H131" s="4" t="str">
        <f>IF(K131="","",INDEX(Интервалы!$I$2:$I$513,MATCH(K131,Интервалы!$G$2:$G$513,0)))</f>
        <v/>
      </c>
      <c r="I131" s="8" t="str">
        <f>IF(K131="","",INDEX(Интервалы!$F$2:$F$513,MATCH(K131,Интервалы!$G$2:$G$513,0)))</f>
        <v/>
      </c>
      <c r="J131" s="8" t="str">
        <f>IF(K131="","",INDEX(Интервалы!$H$2:$H$513,MATCH(K131,Интервалы!$G$2:$G$513,0)))</f>
        <v/>
      </c>
      <c r="K131" t="str">
        <f>IFERROR(SMALL(Интервалы!$G$2:$G$513,125),"")</f>
        <v/>
      </c>
      <c r="L131" t="str">
        <f>IF(K131="","",INDEX(Интервалы!$B$2:$B$513,MATCH(K131,Интервалы!$G$2:$G$513,0)))</f>
        <v/>
      </c>
    </row>
    <row r="132" spans="1:12" x14ac:dyDescent="0.3">
      <c r="A132" s="4" t="str">
        <f>IF(K132="","",126)</f>
        <v/>
      </c>
      <c r="B132" s="4" t="str">
        <f>IF(K132="","",INDEX(Интервалы!$A$2:$A$513,MATCH(K132,Интервалы!$G$2:$G$513,0)))</f>
        <v/>
      </c>
      <c r="C132" s="17" t="str">
        <f>IF(K132="","",INDEX(Интервалы!$C$2:$C$513,MATCH(K132,Интервалы!$G$2:$G$513,0)))</f>
        <v/>
      </c>
      <c r="D132" s="17" t="str">
        <f>IF(K132="","",INDEX(Интервалы!$D$2:$D$513,MATCH(K132,Интервалы!$G$2:$G$513,0)))</f>
        <v/>
      </c>
      <c r="E132" s="4" t="str">
        <f t="shared" si="1"/>
        <v/>
      </c>
      <c r="F132" s="8" t="str">
        <f>IF(K132="","",INDEX(Интервалы!$E$2:$E$513,MATCH(K132,Интервалы!$G$2:$G$513,0)))</f>
        <v/>
      </c>
      <c r="G132" s="18" t="str">
        <f>IF(K132="","",IF(H132=1,INDEX('По дням'!$B$2:$B$4000,MATCH(C132,'По дням'!$A$2:$A$4000,0)),"по периодам ставки"))</f>
        <v/>
      </c>
      <c r="H132" s="4" t="str">
        <f>IF(K132="","",INDEX(Интервалы!$I$2:$I$513,MATCH(K132,Интервалы!$G$2:$G$513,0)))</f>
        <v/>
      </c>
      <c r="I132" s="8" t="str">
        <f>IF(K132="","",INDEX(Интервалы!$F$2:$F$513,MATCH(K132,Интервалы!$G$2:$G$513,0)))</f>
        <v/>
      </c>
      <c r="J132" s="8" t="str">
        <f>IF(K132="","",INDEX(Интервалы!$H$2:$H$513,MATCH(K132,Интервалы!$G$2:$G$513,0)))</f>
        <v/>
      </c>
      <c r="K132" t="str">
        <f>IFERROR(SMALL(Интервалы!$G$2:$G$513,126),"")</f>
        <v/>
      </c>
      <c r="L132" t="str">
        <f>IF(K132="","",INDEX(Интервалы!$B$2:$B$513,MATCH(K132,Интервалы!$G$2:$G$513,0)))</f>
        <v/>
      </c>
    </row>
    <row r="133" spans="1:12" x14ac:dyDescent="0.3">
      <c r="A133" s="4" t="str">
        <f>IF(K133="","",127)</f>
        <v/>
      </c>
      <c r="B133" s="4" t="str">
        <f>IF(K133="","",INDEX(Интервалы!$A$2:$A$513,MATCH(K133,Интервалы!$G$2:$G$513,0)))</f>
        <v/>
      </c>
      <c r="C133" s="17" t="str">
        <f>IF(K133="","",INDEX(Интервалы!$C$2:$C$513,MATCH(K133,Интервалы!$G$2:$G$513,0)))</f>
        <v/>
      </c>
      <c r="D133" s="17" t="str">
        <f>IF(K133="","",INDEX(Интервалы!$D$2:$D$513,MATCH(K133,Интервалы!$G$2:$G$513,0)))</f>
        <v/>
      </c>
      <c r="E133" s="4" t="str">
        <f t="shared" si="1"/>
        <v/>
      </c>
      <c r="F133" s="8" t="str">
        <f>IF(K133="","",INDEX(Интервалы!$E$2:$E$513,MATCH(K133,Интервалы!$G$2:$G$513,0)))</f>
        <v/>
      </c>
      <c r="G133" s="18" t="str">
        <f>IF(K133="","",IF(H133=1,INDEX('По дням'!$B$2:$B$4000,MATCH(C133,'По дням'!$A$2:$A$4000,0)),"по периодам ставки"))</f>
        <v/>
      </c>
      <c r="H133" s="4" t="str">
        <f>IF(K133="","",INDEX(Интервалы!$I$2:$I$513,MATCH(K133,Интервалы!$G$2:$G$513,0)))</f>
        <v/>
      </c>
      <c r="I133" s="8" t="str">
        <f>IF(K133="","",INDEX(Интервалы!$F$2:$F$513,MATCH(K133,Интервалы!$G$2:$G$513,0)))</f>
        <v/>
      </c>
      <c r="J133" s="8" t="str">
        <f>IF(K133="","",INDEX(Интервалы!$H$2:$H$513,MATCH(K133,Интервалы!$G$2:$G$513,0)))</f>
        <v/>
      </c>
      <c r="K133" t="str">
        <f>IFERROR(SMALL(Интервалы!$G$2:$G$513,127),"")</f>
        <v/>
      </c>
      <c r="L133" t="str">
        <f>IF(K133="","",INDEX(Интервалы!$B$2:$B$513,MATCH(K133,Интервалы!$G$2:$G$513,0)))</f>
        <v/>
      </c>
    </row>
    <row r="134" spans="1:12" x14ac:dyDescent="0.3">
      <c r="A134" s="4" t="str">
        <f>IF(K134="","",128)</f>
        <v/>
      </c>
      <c r="B134" s="4" t="str">
        <f>IF(K134="","",INDEX(Интервалы!$A$2:$A$513,MATCH(K134,Интервалы!$G$2:$G$513,0)))</f>
        <v/>
      </c>
      <c r="C134" s="17" t="str">
        <f>IF(K134="","",INDEX(Интервалы!$C$2:$C$513,MATCH(K134,Интервалы!$G$2:$G$513,0)))</f>
        <v/>
      </c>
      <c r="D134" s="17" t="str">
        <f>IF(K134="","",INDEX(Интервалы!$D$2:$D$513,MATCH(K134,Интервалы!$G$2:$G$513,0)))</f>
        <v/>
      </c>
      <c r="E134" s="4" t="str">
        <f t="shared" si="1"/>
        <v/>
      </c>
      <c r="F134" s="8" t="str">
        <f>IF(K134="","",INDEX(Интервалы!$E$2:$E$513,MATCH(K134,Интервалы!$G$2:$G$513,0)))</f>
        <v/>
      </c>
      <c r="G134" s="18" t="str">
        <f>IF(K134="","",IF(H134=1,INDEX('По дням'!$B$2:$B$4000,MATCH(C134,'По дням'!$A$2:$A$4000,0)),"по периодам ставки"))</f>
        <v/>
      </c>
      <c r="H134" s="4" t="str">
        <f>IF(K134="","",INDEX(Интервалы!$I$2:$I$513,MATCH(K134,Интервалы!$G$2:$G$513,0)))</f>
        <v/>
      </c>
      <c r="I134" s="8" t="str">
        <f>IF(K134="","",INDEX(Интервалы!$F$2:$F$513,MATCH(K134,Интервалы!$G$2:$G$513,0)))</f>
        <v/>
      </c>
      <c r="J134" s="8" t="str">
        <f>IF(K134="","",INDEX(Интервалы!$H$2:$H$513,MATCH(K134,Интервалы!$G$2:$G$513,0)))</f>
        <v/>
      </c>
      <c r="K134" t="str">
        <f>IFERROR(SMALL(Интервалы!$G$2:$G$513,128),"")</f>
        <v/>
      </c>
      <c r="L134" t="str">
        <f>IF(K134="","",INDEX(Интервалы!$B$2:$B$513,MATCH(K134,Интервалы!$G$2:$G$513,0)))</f>
        <v/>
      </c>
    </row>
    <row r="135" spans="1:12" x14ac:dyDescent="0.3">
      <c r="A135" s="4" t="str">
        <f>IF(K135="","",129)</f>
        <v/>
      </c>
      <c r="B135" s="4" t="str">
        <f>IF(K135="","",INDEX(Интервалы!$A$2:$A$513,MATCH(K135,Интервалы!$G$2:$G$513,0)))</f>
        <v/>
      </c>
      <c r="C135" s="17" t="str">
        <f>IF(K135="","",INDEX(Интервалы!$C$2:$C$513,MATCH(K135,Интервалы!$G$2:$G$513,0)))</f>
        <v/>
      </c>
      <c r="D135" s="17" t="str">
        <f>IF(K135="","",INDEX(Интервалы!$D$2:$D$513,MATCH(K135,Интервалы!$G$2:$G$513,0)))</f>
        <v/>
      </c>
      <c r="E135" s="4" t="str">
        <f t="shared" ref="E135:E198" si="2">IF(K135="","",D135-C135+1)</f>
        <v/>
      </c>
      <c r="F135" s="8" t="str">
        <f>IF(K135="","",INDEX(Интервалы!$E$2:$E$513,MATCH(K135,Интервалы!$G$2:$G$513,0)))</f>
        <v/>
      </c>
      <c r="G135" s="18" t="str">
        <f>IF(K135="","",IF(H135=1,INDEX('По дням'!$B$2:$B$4000,MATCH(C135,'По дням'!$A$2:$A$4000,0)),"по периодам ставки"))</f>
        <v/>
      </c>
      <c r="H135" s="4" t="str">
        <f>IF(K135="","",INDEX(Интервалы!$I$2:$I$513,MATCH(K135,Интервалы!$G$2:$G$513,0)))</f>
        <v/>
      </c>
      <c r="I135" s="8" t="str">
        <f>IF(K135="","",INDEX(Интервалы!$F$2:$F$513,MATCH(K135,Интервалы!$G$2:$G$513,0)))</f>
        <v/>
      </c>
      <c r="J135" s="8" t="str">
        <f>IF(K135="","",INDEX(Интервалы!$H$2:$H$513,MATCH(K135,Интервалы!$G$2:$G$513,0)))</f>
        <v/>
      </c>
      <c r="K135" t="str">
        <f>IFERROR(SMALL(Интервалы!$G$2:$G$513,129),"")</f>
        <v/>
      </c>
      <c r="L135" t="str">
        <f>IF(K135="","",INDEX(Интервалы!$B$2:$B$513,MATCH(K135,Интервалы!$G$2:$G$513,0)))</f>
        <v/>
      </c>
    </row>
    <row r="136" spans="1:12" x14ac:dyDescent="0.3">
      <c r="A136" s="4" t="str">
        <f>IF(K136="","",130)</f>
        <v/>
      </c>
      <c r="B136" s="4" t="str">
        <f>IF(K136="","",INDEX(Интервалы!$A$2:$A$513,MATCH(K136,Интервалы!$G$2:$G$513,0)))</f>
        <v/>
      </c>
      <c r="C136" s="17" t="str">
        <f>IF(K136="","",INDEX(Интервалы!$C$2:$C$513,MATCH(K136,Интервалы!$G$2:$G$513,0)))</f>
        <v/>
      </c>
      <c r="D136" s="17" t="str">
        <f>IF(K136="","",INDEX(Интервалы!$D$2:$D$513,MATCH(K136,Интервалы!$G$2:$G$513,0)))</f>
        <v/>
      </c>
      <c r="E136" s="4" t="str">
        <f t="shared" si="2"/>
        <v/>
      </c>
      <c r="F136" s="8" t="str">
        <f>IF(K136="","",INDEX(Интервалы!$E$2:$E$513,MATCH(K136,Интервалы!$G$2:$G$513,0)))</f>
        <v/>
      </c>
      <c r="G136" s="18" t="str">
        <f>IF(K136="","",IF(H136=1,INDEX('По дням'!$B$2:$B$4000,MATCH(C136,'По дням'!$A$2:$A$4000,0)),"по периодам ставки"))</f>
        <v/>
      </c>
      <c r="H136" s="4" t="str">
        <f>IF(K136="","",INDEX(Интервалы!$I$2:$I$513,MATCH(K136,Интервалы!$G$2:$G$513,0)))</f>
        <v/>
      </c>
      <c r="I136" s="8" t="str">
        <f>IF(K136="","",INDEX(Интервалы!$F$2:$F$513,MATCH(K136,Интервалы!$G$2:$G$513,0)))</f>
        <v/>
      </c>
      <c r="J136" s="8" t="str">
        <f>IF(K136="","",INDEX(Интервалы!$H$2:$H$513,MATCH(K136,Интервалы!$G$2:$G$513,0)))</f>
        <v/>
      </c>
      <c r="K136" t="str">
        <f>IFERROR(SMALL(Интервалы!$G$2:$G$513,130),"")</f>
        <v/>
      </c>
      <c r="L136" t="str">
        <f>IF(K136="","",INDEX(Интервалы!$B$2:$B$513,MATCH(K136,Интервалы!$G$2:$G$513,0)))</f>
        <v/>
      </c>
    </row>
    <row r="137" spans="1:12" x14ac:dyDescent="0.3">
      <c r="A137" s="4" t="str">
        <f>IF(K137="","",131)</f>
        <v/>
      </c>
      <c r="B137" s="4" t="str">
        <f>IF(K137="","",INDEX(Интервалы!$A$2:$A$513,MATCH(K137,Интервалы!$G$2:$G$513,0)))</f>
        <v/>
      </c>
      <c r="C137" s="17" t="str">
        <f>IF(K137="","",INDEX(Интервалы!$C$2:$C$513,MATCH(K137,Интервалы!$G$2:$G$513,0)))</f>
        <v/>
      </c>
      <c r="D137" s="17" t="str">
        <f>IF(K137="","",INDEX(Интервалы!$D$2:$D$513,MATCH(K137,Интервалы!$G$2:$G$513,0)))</f>
        <v/>
      </c>
      <c r="E137" s="4" t="str">
        <f t="shared" si="2"/>
        <v/>
      </c>
      <c r="F137" s="8" t="str">
        <f>IF(K137="","",INDEX(Интервалы!$E$2:$E$513,MATCH(K137,Интервалы!$G$2:$G$513,0)))</f>
        <v/>
      </c>
      <c r="G137" s="18" t="str">
        <f>IF(K137="","",IF(H137=1,INDEX('По дням'!$B$2:$B$4000,MATCH(C137,'По дням'!$A$2:$A$4000,0)),"по периодам ставки"))</f>
        <v/>
      </c>
      <c r="H137" s="4" t="str">
        <f>IF(K137="","",INDEX(Интервалы!$I$2:$I$513,MATCH(K137,Интервалы!$G$2:$G$513,0)))</f>
        <v/>
      </c>
      <c r="I137" s="8" t="str">
        <f>IF(K137="","",INDEX(Интервалы!$F$2:$F$513,MATCH(K137,Интервалы!$G$2:$G$513,0)))</f>
        <v/>
      </c>
      <c r="J137" s="8" t="str">
        <f>IF(K137="","",INDEX(Интервалы!$H$2:$H$513,MATCH(K137,Интервалы!$G$2:$G$513,0)))</f>
        <v/>
      </c>
      <c r="K137" t="str">
        <f>IFERROR(SMALL(Интервалы!$G$2:$G$513,131),"")</f>
        <v/>
      </c>
      <c r="L137" t="str">
        <f>IF(K137="","",INDEX(Интервалы!$B$2:$B$513,MATCH(K137,Интервалы!$G$2:$G$513,0)))</f>
        <v/>
      </c>
    </row>
    <row r="138" spans="1:12" x14ac:dyDescent="0.3">
      <c r="A138" s="4" t="str">
        <f>IF(K138="","",132)</f>
        <v/>
      </c>
      <c r="B138" s="4" t="str">
        <f>IF(K138="","",INDEX(Интервалы!$A$2:$A$513,MATCH(K138,Интервалы!$G$2:$G$513,0)))</f>
        <v/>
      </c>
      <c r="C138" s="17" t="str">
        <f>IF(K138="","",INDEX(Интервалы!$C$2:$C$513,MATCH(K138,Интервалы!$G$2:$G$513,0)))</f>
        <v/>
      </c>
      <c r="D138" s="17" t="str">
        <f>IF(K138="","",INDEX(Интервалы!$D$2:$D$513,MATCH(K138,Интервалы!$G$2:$G$513,0)))</f>
        <v/>
      </c>
      <c r="E138" s="4" t="str">
        <f t="shared" si="2"/>
        <v/>
      </c>
      <c r="F138" s="8" t="str">
        <f>IF(K138="","",INDEX(Интервалы!$E$2:$E$513,MATCH(K138,Интервалы!$G$2:$G$513,0)))</f>
        <v/>
      </c>
      <c r="G138" s="18" t="str">
        <f>IF(K138="","",IF(H138=1,INDEX('По дням'!$B$2:$B$4000,MATCH(C138,'По дням'!$A$2:$A$4000,0)),"по периодам ставки"))</f>
        <v/>
      </c>
      <c r="H138" s="4" t="str">
        <f>IF(K138="","",INDEX(Интервалы!$I$2:$I$513,MATCH(K138,Интервалы!$G$2:$G$513,0)))</f>
        <v/>
      </c>
      <c r="I138" s="8" t="str">
        <f>IF(K138="","",INDEX(Интервалы!$F$2:$F$513,MATCH(K138,Интервалы!$G$2:$G$513,0)))</f>
        <v/>
      </c>
      <c r="J138" s="8" t="str">
        <f>IF(K138="","",INDEX(Интервалы!$H$2:$H$513,MATCH(K138,Интервалы!$G$2:$G$513,0)))</f>
        <v/>
      </c>
      <c r="K138" t="str">
        <f>IFERROR(SMALL(Интервалы!$G$2:$G$513,132),"")</f>
        <v/>
      </c>
      <c r="L138" t="str">
        <f>IF(K138="","",INDEX(Интервалы!$B$2:$B$513,MATCH(K138,Интервалы!$G$2:$G$513,0)))</f>
        <v/>
      </c>
    </row>
    <row r="139" spans="1:12" x14ac:dyDescent="0.3">
      <c r="A139" s="4" t="str">
        <f>IF(K139="","",133)</f>
        <v/>
      </c>
      <c r="B139" s="4" t="str">
        <f>IF(K139="","",INDEX(Интервалы!$A$2:$A$513,MATCH(K139,Интервалы!$G$2:$G$513,0)))</f>
        <v/>
      </c>
      <c r="C139" s="17" t="str">
        <f>IF(K139="","",INDEX(Интервалы!$C$2:$C$513,MATCH(K139,Интервалы!$G$2:$G$513,0)))</f>
        <v/>
      </c>
      <c r="D139" s="17" t="str">
        <f>IF(K139="","",INDEX(Интервалы!$D$2:$D$513,MATCH(K139,Интервалы!$G$2:$G$513,0)))</f>
        <v/>
      </c>
      <c r="E139" s="4" t="str">
        <f t="shared" si="2"/>
        <v/>
      </c>
      <c r="F139" s="8" t="str">
        <f>IF(K139="","",INDEX(Интервалы!$E$2:$E$513,MATCH(K139,Интервалы!$G$2:$G$513,0)))</f>
        <v/>
      </c>
      <c r="G139" s="18" t="str">
        <f>IF(K139="","",IF(H139=1,INDEX('По дням'!$B$2:$B$4000,MATCH(C139,'По дням'!$A$2:$A$4000,0)),"по периодам ставки"))</f>
        <v/>
      </c>
      <c r="H139" s="4" t="str">
        <f>IF(K139="","",INDEX(Интервалы!$I$2:$I$513,MATCH(K139,Интервалы!$G$2:$G$513,0)))</f>
        <v/>
      </c>
      <c r="I139" s="8" t="str">
        <f>IF(K139="","",INDEX(Интервалы!$F$2:$F$513,MATCH(K139,Интервалы!$G$2:$G$513,0)))</f>
        <v/>
      </c>
      <c r="J139" s="8" t="str">
        <f>IF(K139="","",INDEX(Интервалы!$H$2:$H$513,MATCH(K139,Интервалы!$G$2:$G$513,0)))</f>
        <v/>
      </c>
      <c r="K139" t="str">
        <f>IFERROR(SMALL(Интервалы!$G$2:$G$513,133),"")</f>
        <v/>
      </c>
      <c r="L139" t="str">
        <f>IF(K139="","",INDEX(Интервалы!$B$2:$B$513,MATCH(K139,Интервалы!$G$2:$G$513,0)))</f>
        <v/>
      </c>
    </row>
    <row r="140" spans="1:12" x14ac:dyDescent="0.3">
      <c r="A140" s="4" t="str">
        <f>IF(K140="","",134)</f>
        <v/>
      </c>
      <c r="B140" s="4" t="str">
        <f>IF(K140="","",INDEX(Интервалы!$A$2:$A$513,MATCH(K140,Интервалы!$G$2:$G$513,0)))</f>
        <v/>
      </c>
      <c r="C140" s="17" t="str">
        <f>IF(K140="","",INDEX(Интервалы!$C$2:$C$513,MATCH(K140,Интервалы!$G$2:$G$513,0)))</f>
        <v/>
      </c>
      <c r="D140" s="17" t="str">
        <f>IF(K140="","",INDEX(Интервалы!$D$2:$D$513,MATCH(K140,Интервалы!$G$2:$G$513,0)))</f>
        <v/>
      </c>
      <c r="E140" s="4" t="str">
        <f t="shared" si="2"/>
        <v/>
      </c>
      <c r="F140" s="8" t="str">
        <f>IF(K140="","",INDEX(Интервалы!$E$2:$E$513,MATCH(K140,Интервалы!$G$2:$G$513,0)))</f>
        <v/>
      </c>
      <c r="G140" s="18" t="str">
        <f>IF(K140="","",IF(H140=1,INDEX('По дням'!$B$2:$B$4000,MATCH(C140,'По дням'!$A$2:$A$4000,0)),"по периодам ставки"))</f>
        <v/>
      </c>
      <c r="H140" s="4" t="str">
        <f>IF(K140="","",INDEX(Интервалы!$I$2:$I$513,MATCH(K140,Интервалы!$G$2:$G$513,0)))</f>
        <v/>
      </c>
      <c r="I140" s="8" t="str">
        <f>IF(K140="","",INDEX(Интервалы!$F$2:$F$513,MATCH(K140,Интервалы!$G$2:$G$513,0)))</f>
        <v/>
      </c>
      <c r="J140" s="8" t="str">
        <f>IF(K140="","",INDEX(Интервалы!$H$2:$H$513,MATCH(K140,Интервалы!$G$2:$G$513,0)))</f>
        <v/>
      </c>
      <c r="K140" t="str">
        <f>IFERROR(SMALL(Интервалы!$G$2:$G$513,134),"")</f>
        <v/>
      </c>
      <c r="L140" t="str">
        <f>IF(K140="","",INDEX(Интервалы!$B$2:$B$513,MATCH(K140,Интервалы!$G$2:$G$513,0)))</f>
        <v/>
      </c>
    </row>
    <row r="141" spans="1:12" x14ac:dyDescent="0.3">
      <c r="A141" s="4" t="str">
        <f>IF(K141="","",135)</f>
        <v/>
      </c>
      <c r="B141" s="4" t="str">
        <f>IF(K141="","",INDEX(Интервалы!$A$2:$A$513,MATCH(K141,Интервалы!$G$2:$G$513,0)))</f>
        <v/>
      </c>
      <c r="C141" s="17" t="str">
        <f>IF(K141="","",INDEX(Интервалы!$C$2:$C$513,MATCH(K141,Интервалы!$G$2:$G$513,0)))</f>
        <v/>
      </c>
      <c r="D141" s="17" t="str">
        <f>IF(K141="","",INDEX(Интервалы!$D$2:$D$513,MATCH(K141,Интервалы!$G$2:$G$513,0)))</f>
        <v/>
      </c>
      <c r="E141" s="4" t="str">
        <f t="shared" si="2"/>
        <v/>
      </c>
      <c r="F141" s="8" t="str">
        <f>IF(K141="","",INDEX(Интервалы!$E$2:$E$513,MATCH(K141,Интервалы!$G$2:$G$513,0)))</f>
        <v/>
      </c>
      <c r="G141" s="18" t="str">
        <f>IF(K141="","",IF(H141=1,INDEX('По дням'!$B$2:$B$4000,MATCH(C141,'По дням'!$A$2:$A$4000,0)),"по периодам ставки"))</f>
        <v/>
      </c>
      <c r="H141" s="4" t="str">
        <f>IF(K141="","",INDEX(Интервалы!$I$2:$I$513,MATCH(K141,Интервалы!$G$2:$G$513,0)))</f>
        <v/>
      </c>
      <c r="I141" s="8" t="str">
        <f>IF(K141="","",INDEX(Интервалы!$F$2:$F$513,MATCH(K141,Интервалы!$G$2:$G$513,0)))</f>
        <v/>
      </c>
      <c r="J141" s="8" t="str">
        <f>IF(K141="","",INDEX(Интервалы!$H$2:$H$513,MATCH(K141,Интервалы!$G$2:$G$513,0)))</f>
        <v/>
      </c>
      <c r="K141" t="str">
        <f>IFERROR(SMALL(Интервалы!$G$2:$G$513,135),"")</f>
        <v/>
      </c>
      <c r="L141" t="str">
        <f>IF(K141="","",INDEX(Интервалы!$B$2:$B$513,MATCH(K141,Интервалы!$G$2:$G$513,0)))</f>
        <v/>
      </c>
    </row>
    <row r="142" spans="1:12" x14ac:dyDescent="0.3">
      <c r="A142" s="4" t="str">
        <f>IF(K142="","",136)</f>
        <v/>
      </c>
      <c r="B142" s="4" t="str">
        <f>IF(K142="","",INDEX(Интервалы!$A$2:$A$513,MATCH(K142,Интервалы!$G$2:$G$513,0)))</f>
        <v/>
      </c>
      <c r="C142" s="17" t="str">
        <f>IF(K142="","",INDEX(Интервалы!$C$2:$C$513,MATCH(K142,Интервалы!$G$2:$G$513,0)))</f>
        <v/>
      </c>
      <c r="D142" s="17" t="str">
        <f>IF(K142="","",INDEX(Интервалы!$D$2:$D$513,MATCH(K142,Интервалы!$G$2:$G$513,0)))</f>
        <v/>
      </c>
      <c r="E142" s="4" t="str">
        <f t="shared" si="2"/>
        <v/>
      </c>
      <c r="F142" s="8" t="str">
        <f>IF(K142="","",INDEX(Интервалы!$E$2:$E$513,MATCH(K142,Интервалы!$G$2:$G$513,0)))</f>
        <v/>
      </c>
      <c r="G142" s="18" t="str">
        <f>IF(K142="","",IF(H142=1,INDEX('По дням'!$B$2:$B$4000,MATCH(C142,'По дням'!$A$2:$A$4000,0)),"по периодам ставки"))</f>
        <v/>
      </c>
      <c r="H142" s="4" t="str">
        <f>IF(K142="","",INDEX(Интервалы!$I$2:$I$513,MATCH(K142,Интервалы!$G$2:$G$513,0)))</f>
        <v/>
      </c>
      <c r="I142" s="8" t="str">
        <f>IF(K142="","",INDEX(Интервалы!$F$2:$F$513,MATCH(K142,Интервалы!$G$2:$G$513,0)))</f>
        <v/>
      </c>
      <c r="J142" s="8" t="str">
        <f>IF(K142="","",INDEX(Интервалы!$H$2:$H$513,MATCH(K142,Интервалы!$G$2:$G$513,0)))</f>
        <v/>
      </c>
      <c r="K142" t="str">
        <f>IFERROR(SMALL(Интервалы!$G$2:$G$513,136),"")</f>
        <v/>
      </c>
      <c r="L142" t="str">
        <f>IF(K142="","",INDEX(Интервалы!$B$2:$B$513,MATCH(K142,Интервалы!$G$2:$G$513,0)))</f>
        <v/>
      </c>
    </row>
    <row r="143" spans="1:12" x14ac:dyDescent="0.3">
      <c r="A143" s="4" t="str">
        <f>IF(K143="","",137)</f>
        <v/>
      </c>
      <c r="B143" s="4" t="str">
        <f>IF(K143="","",INDEX(Интервалы!$A$2:$A$513,MATCH(K143,Интервалы!$G$2:$G$513,0)))</f>
        <v/>
      </c>
      <c r="C143" s="17" t="str">
        <f>IF(K143="","",INDEX(Интервалы!$C$2:$C$513,MATCH(K143,Интервалы!$G$2:$G$513,0)))</f>
        <v/>
      </c>
      <c r="D143" s="17" t="str">
        <f>IF(K143="","",INDEX(Интервалы!$D$2:$D$513,MATCH(K143,Интервалы!$G$2:$G$513,0)))</f>
        <v/>
      </c>
      <c r="E143" s="4" t="str">
        <f t="shared" si="2"/>
        <v/>
      </c>
      <c r="F143" s="8" t="str">
        <f>IF(K143="","",INDEX(Интервалы!$E$2:$E$513,MATCH(K143,Интервалы!$G$2:$G$513,0)))</f>
        <v/>
      </c>
      <c r="G143" s="18" t="str">
        <f>IF(K143="","",IF(H143=1,INDEX('По дням'!$B$2:$B$4000,MATCH(C143,'По дням'!$A$2:$A$4000,0)),"по периодам ставки"))</f>
        <v/>
      </c>
      <c r="H143" s="4" t="str">
        <f>IF(K143="","",INDEX(Интервалы!$I$2:$I$513,MATCH(K143,Интервалы!$G$2:$G$513,0)))</f>
        <v/>
      </c>
      <c r="I143" s="8" t="str">
        <f>IF(K143="","",INDEX(Интервалы!$F$2:$F$513,MATCH(K143,Интервалы!$G$2:$G$513,0)))</f>
        <v/>
      </c>
      <c r="J143" s="8" t="str">
        <f>IF(K143="","",INDEX(Интервалы!$H$2:$H$513,MATCH(K143,Интервалы!$G$2:$G$513,0)))</f>
        <v/>
      </c>
      <c r="K143" t="str">
        <f>IFERROR(SMALL(Интервалы!$G$2:$G$513,137),"")</f>
        <v/>
      </c>
      <c r="L143" t="str">
        <f>IF(K143="","",INDEX(Интервалы!$B$2:$B$513,MATCH(K143,Интервалы!$G$2:$G$513,0)))</f>
        <v/>
      </c>
    </row>
    <row r="144" spans="1:12" x14ac:dyDescent="0.3">
      <c r="A144" s="4" t="str">
        <f>IF(K144="","",138)</f>
        <v/>
      </c>
      <c r="B144" s="4" t="str">
        <f>IF(K144="","",INDEX(Интервалы!$A$2:$A$513,MATCH(K144,Интервалы!$G$2:$G$513,0)))</f>
        <v/>
      </c>
      <c r="C144" s="17" t="str">
        <f>IF(K144="","",INDEX(Интервалы!$C$2:$C$513,MATCH(K144,Интервалы!$G$2:$G$513,0)))</f>
        <v/>
      </c>
      <c r="D144" s="17" t="str">
        <f>IF(K144="","",INDEX(Интервалы!$D$2:$D$513,MATCH(K144,Интервалы!$G$2:$G$513,0)))</f>
        <v/>
      </c>
      <c r="E144" s="4" t="str">
        <f t="shared" si="2"/>
        <v/>
      </c>
      <c r="F144" s="8" t="str">
        <f>IF(K144="","",INDEX(Интервалы!$E$2:$E$513,MATCH(K144,Интервалы!$G$2:$G$513,0)))</f>
        <v/>
      </c>
      <c r="G144" s="18" t="str">
        <f>IF(K144="","",IF(H144=1,INDEX('По дням'!$B$2:$B$4000,MATCH(C144,'По дням'!$A$2:$A$4000,0)),"по периодам ставки"))</f>
        <v/>
      </c>
      <c r="H144" s="4" t="str">
        <f>IF(K144="","",INDEX(Интервалы!$I$2:$I$513,MATCH(K144,Интервалы!$G$2:$G$513,0)))</f>
        <v/>
      </c>
      <c r="I144" s="8" t="str">
        <f>IF(K144="","",INDEX(Интервалы!$F$2:$F$513,MATCH(K144,Интервалы!$G$2:$G$513,0)))</f>
        <v/>
      </c>
      <c r="J144" s="8" t="str">
        <f>IF(K144="","",INDEX(Интервалы!$H$2:$H$513,MATCH(K144,Интервалы!$G$2:$G$513,0)))</f>
        <v/>
      </c>
      <c r="K144" t="str">
        <f>IFERROR(SMALL(Интервалы!$G$2:$G$513,138),"")</f>
        <v/>
      </c>
      <c r="L144" t="str">
        <f>IF(K144="","",INDEX(Интервалы!$B$2:$B$513,MATCH(K144,Интервалы!$G$2:$G$513,0)))</f>
        <v/>
      </c>
    </row>
    <row r="145" spans="1:12" x14ac:dyDescent="0.3">
      <c r="A145" s="4" t="str">
        <f>IF(K145="","",139)</f>
        <v/>
      </c>
      <c r="B145" s="4" t="str">
        <f>IF(K145="","",INDEX(Интервалы!$A$2:$A$513,MATCH(K145,Интервалы!$G$2:$G$513,0)))</f>
        <v/>
      </c>
      <c r="C145" s="17" t="str">
        <f>IF(K145="","",INDEX(Интервалы!$C$2:$C$513,MATCH(K145,Интервалы!$G$2:$G$513,0)))</f>
        <v/>
      </c>
      <c r="D145" s="17" t="str">
        <f>IF(K145="","",INDEX(Интервалы!$D$2:$D$513,MATCH(K145,Интервалы!$G$2:$G$513,0)))</f>
        <v/>
      </c>
      <c r="E145" s="4" t="str">
        <f t="shared" si="2"/>
        <v/>
      </c>
      <c r="F145" s="8" t="str">
        <f>IF(K145="","",INDEX(Интервалы!$E$2:$E$513,MATCH(K145,Интервалы!$G$2:$G$513,0)))</f>
        <v/>
      </c>
      <c r="G145" s="18" t="str">
        <f>IF(K145="","",IF(H145=1,INDEX('По дням'!$B$2:$B$4000,MATCH(C145,'По дням'!$A$2:$A$4000,0)),"по периодам ставки"))</f>
        <v/>
      </c>
      <c r="H145" s="4" t="str">
        <f>IF(K145="","",INDEX(Интервалы!$I$2:$I$513,MATCH(K145,Интервалы!$G$2:$G$513,0)))</f>
        <v/>
      </c>
      <c r="I145" s="8" t="str">
        <f>IF(K145="","",INDEX(Интервалы!$F$2:$F$513,MATCH(K145,Интервалы!$G$2:$G$513,0)))</f>
        <v/>
      </c>
      <c r="J145" s="8" t="str">
        <f>IF(K145="","",INDEX(Интервалы!$H$2:$H$513,MATCH(K145,Интервалы!$G$2:$G$513,0)))</f>
        <v/>
      </c>
      <c r="K145" t="str">
        <f>IFERROR(SMALL(Интервалы!$G$2:$G$513,139),"")</f>
        <v/>
      </c>
      <c r="L145" t="str">
        <f>IF(K145="","",INDEX(Интервалы!$B$2:$B$513,MATCH(K145,Интервалы!$G$2:$G$513,0)))</f>
        <v/>
      </c>
    </row>
    <row r="146" spans="1:12" x14ac:dyDescent="0.3">
      <c r="A146" s="4" t="str">
        <f>IF(K146="","",140)</f>
        <v/>
      </c>
      <c r="B146" s="4" t="str">
        <f>IF(K146="","",INDEX(Интервалы!$A$2:$A$513,MATCH(K146,Интервалы!$G$2:$G$513,0)))</f>
        <v/>
      </c>
      <c r="C146" s="17" t="str">
        <f>IF(K146="","",INDEX(Интервалы!$C$2:$C$513,MATCH(K146,Интервалы!$G$2:$G$513,0)))</f>
        <v/>
      </c>
      <c r="D146" s="17" t="str">
        <f>IF(K146="","",INDEX(Интервалы!$D$2:$D$513,MATCH(K146,Интервалы!$G$2:$G$513,0)))</f>
        <v/>
      </c>
      <c r="E146" s="4" t="str">
        <f t="shared" si="2"/>
        <v/>
      </c>
      <c r="F146" s="8" t="str">
        <f>IF(K146="","",INDEX(Интервалы!$E$2:$E$513,MATCH(K146,Интервалы!$G$2:$G$513,0)))</f>
        <v/>
      </c>
      <c r="G146" s="18" t="str">
        <f>IF(K146="","",IF(H146=1,INDEX('По дням'!$B$2:$B$4000,MATCH(C146,'По дням'!$A$2:$A$4000,0)),"по периодам ставки"))</f>
        <v/>
      </c>
      <c r="H146" s="4" t="str">
        <f>IF(K146="","",INDEX(Интервалы!$I$2:$I$513,MATCH(K146,Интервалы!$G$2:$G$513,0)))</f>
        <v/>
      </c>
      <c r="I146" s="8" t="str">
        <f>IF(K146="","",INDEX(Интервалы!$F$2:$F$513,MATCH(K146,Интервалы!$G$2:$G$513,0)))</f>
        <v/>
      </c>
      <c r="J146" s="8" t="str">
        <f>IF(K146="","",INDEX(Интервалы!$H$2:$H$513,MATCH(K146,Интервалы!$G$2:$G$513,0)))</f>
        <v/>
      </c>
      <c r="K146" t="str">
        <f>IFERROR(SMALL(Интервалы!$G$2:$G$513,140),"")</f>
        <v/>
      </c>
      <c r="L146" t="str">
        <f>IF(K146="","",INDEX(Интервалы!$B$2:$B$513,MATCH(K146,Интервалы!$G$2:$G$513,0)))</f>
        <v/>
      </c>
    </row>
    <row r="147" spans="1:12" x14ac:dyDescent="0.3">
      <c r="A147" s="4" t="str">
        <f>IF(K147="","",141)</f>
        <v/>
      </c>
      <c r="B147" s="4" t="str">
        <f>IF(K147="","",INDEX(Интервалы!$A$2:$A$513,MATCH(K147,Интервалы!$G$2:$G$513,0)))</f>
        <v/>
      </c>
      <c r="C147" s="17" t="str">
        <f>IF(K147="","",INDEX(Интервалы!$C$2:$C$513,MATCH(K147,Интервалы!$G$2:$G$513,0)))</f>
        <v/>
      </c>
      <c r="D147" s="17" t="str">
        <f>IF(K147="","",INDEX(Интервалы!$D$2:$D$513,MATCH(K147,Интервалы!$G$2:$G$513,0)))</f>
        <v/>
      </c>
      <c r="E147" s="4" t="str">
        <f t="shared" si="2"/>
        <v/>
      </c>
      <c r="F147" s="8" t="str">
        <f>IF(K147="","",INDEX(Интервалы!$E$2:$E$513,MATCH(K147,Интервалы!$G$2:$G$513,0)))</f>
        <v/>
      </c>
      <c r="G147" s="18" t="str">
        <f>IF(K147="","",IF(H147=1,INDEX('По дням'!$B$2:$B$4000,MATCH(C147,'По дням'!$A$2:$A$4000,0)),"по периодам ставки"))</f>
        <v/>
      </c>
      <c r="H147" s="4" t="str">
        <f>IF(K147="","",INDEX(Интервалы!$I$2:$I$513,MATCH(K147,Интервалы!$G$2:$G$513,0)))</f>
        <v/>
      </c>
      <c r="I147" s="8" t="str">
        <f>IF(K147="","",INDEX(Интервалы!$F$2:$F$513,MATCH(K147,Интервалы!$G$2:$G$513,0)))</f>
        <v/>
      </c>
      <c r="J147" s="8" t="str">
        <f>IF(K147="","",INDEX(Интервалы!$H$2:$H$513,MATCH(K147,Интервалы!$G$2:$G$513,0)))</f>
        <v/>
      </c>
      <c r="K147" t="str">
        <f>IFERROR(SMALL(Интервалы!$G$2:$G$513,141),"")</f>
        <v/>
      </c>
      <c r="L147" t="str">
        <f>IF(K147="","",INDEX(Интервалы!$B$2:$B$513,MATCH(K147,Интервалы!$G$2:$G$513,0)))</f>
        <v/>
      </c>
    </row>
    <row r="148" spans="1:12" x14ac:dyDescent="0.3">
      <c r="A148" s="4" t="str">
        <f>IF(K148="","",142)</f>
        <v/>
      </c>
      <c r="B148" s="4" t="str">
        <f>IF(K148="","",INDEX(Интервалы!$A$2:$A$513,MATCH(K148,Интервалы!$G$2:$G$513,0)))</f>
        <v/>
      </c>
      <c r="C148" s="17" t="str">
        <f>IF(K148="","",INDEX(Интервалы!$C$2:$C$513,MATCH(K148,Интервалы!$G$2:$G$513,0)))</f>
        <v/>
      </c>
      <c r="D148" s="17" t="str">
        <f>IF(K148="","",INDEX(Интервалы!$D$2:$D$513,MATCH(K148,Интервалы!$G$2:$G$513,0)))</f>
        <v/>
      </c>
      <c r="E148" s="4" t="str">
        <f t="shared" si="2"/>
        <v/>
      </c>
      <c r="F148" s="8" t="str">
        <f>IF(K148="","",INDEX(Интервалы!$E$2:$E$513,MATCH(K148,Интервалы!$G$2:$G$513,0)))</f>
        <v/>
      </c>
      <c r="G148" s="18" t="str">
        <f>IF(K148="","",IF(H148=1,INDEX('По дням'!$B$2:$B$4000,MATCH(C148,'По дням'!$A$2:$A$4000,0)),"по периодам ставки"))</f>
        <v/>
      </c>
      <c r="H148" s="4" t="str">
        <f>IF(K148="","",INDEX(Интервалы!$I$2:$I$513,MATCH(K148,Интервалы!$G$2:$G$513,0)))</f>
        <v/>
      </c>
      <c r="I148" s="8" t="str">
        <f>IF(K148="","",INDEX(Интервалы!$F$2:$F$513,MATCH(K148,Интервалы!$G$2:$G$513,0)))</f>
        <v/>
      </c>
      <c r="J148" s="8" t="str">
        <f>IF(K148="","",INDEX(Интервалы!$H$2:$H$513,MATCH(K148,Интервалы!$G$2:$G$513,0)))</f>
        <v/>
      </c>
      <c r="K148" t="str">
        <f>IFERROR(SMALL(Интервалы!$G$2:$G$513,142),"")</f>
        <v/>
      </c>
      <c r="L148" t="str">
        <f>IF(K148="","",INDEX(Интервалы!$B$2:$B$513,MATCH(K148,Интервалы!$G$2:$G$513,0)))</f>
        <v/>
      </c>
    </row>
    <row r="149" spans="1:12" x14ac:dyDescent="0.3">
      <c r="A149" s="4" t="str">
        <f>IF(K149="","",143)</f>
        <v/>
      </c>
      <c r="B149" s="4" t="str">
        <f>IF(K149="","",INDEX(Интервалы!$A$2:$A$513,MATCH(K149,Интервалы!$G$2:$G$513,0)))</f>
        <v/>
      </c>
      <c r="C149" s="17" t="str">
        <f>IF(K149="","",INDEX(Интервалы!$C$2:$C$513,MATCH(K149,Интервалы!$G$2:$G$513,0)))</f>
        <v/>
      </c>
      <c r="D149" s="17" t="str">
        <f>IF(K149="","",INDEX(Интервалы!$D$2:$D$513,MATCH(K149,Интервалы!$G$2:$G$513,0)))</f>
        <v/>
      </c>
      <c r="E149" s="4" t="str">
        <f t="shared" si="2"/>
        <v/>
      </c>
      <c r="F149" s="8" t="str">
        <f>IF(K149="","",INDEX(Интервалы!$E$2:$E$513,MATCH(K149,Интервалы!$G$2:$G$513,0)))</f>
        <v/>
      </c>
      <c r="G149" s="18" t="str">
        <f>IF(K149="","",IF(H149=1,INDEX('По дням'!$B$2:$B$4000,MATCH(C149,'По дням'!$A$2:$A$4000,0)),"по периодам ставки"))</f>
        <v/>
      </c>
      <c r="H149" s="4" t="str">
        <f>IF(K149="","",INDEX(Интервалы!$I$2:$I$513,MATCH(K149,Интервалы!$G$2:$G$513,0)))</f>
        <v/>
      </c>
      <c r="I149" s="8" t="str">
        <f>IF(K149="","",INDEX(Интервалы!$F$2:$F$513,MATCH(K149,Интервалы!$G$2:$G$513,0)))</f>
        <v/>
      </c>
      <c r="J149" s="8" t="str">
        <f>IF(K149="","",INDEX(Интервалы!$H$2:$H$513,MATCH(K149,Интервалы!$G$2:$G$513,0)))</f>
        <v/>
      </c>
      <c r="K149" t="str">
        <f>IFERROR(SMALL(Интервалы!$G$2:$G$513,143),"")</f>
        <v/>
      </c>
      <c r="L149" t="str">
        <f>IF(K149="","",INDEX(Интервалы!$B$2:$B$513,MATCH(K149,Интервалы!$G$2:$G$513,0)))</f>
        <v/>
      </c>
    </row>
    <row r="150" spans="1:12" x14ac:dyDescent="0.3">
      <c r="A150" s="4" t="str">
        <f>IF(K150="","",144)</f>
        <v/>
      </c>
      <c r="B150" s="4" t="str">
        <f>IF(K150="","",INDEX(Интервалы!$A$2:$A$513,MATCH(K150,Интервалы!$G$2:$G$513,0)))</f>
        <v/>
      </c>
      <c r="C150" s="17" t="str">
        <f>IF(K150="","",INDEX(Интервалы!$C$2:$C$513,MATCH(K150,Интервалы!$G$2:$G$513,0)))</f>
        <v/>
      </c>
      <c r="D150" s="17" t="str">
        <f>IF(K150="","",INDEX(Интервалы!$D$2:$D$513,MATCH(K150,Интервалы!$G$2:$G$513,0)))</f>
        <v/>
      </c>
      <c r="E150" s="4" t="str">
        <f t="shared" si="2"/>
        <v/>
      </c>
      <c r="F150" s="8" t="str">
        <f>IF(K150="","",INDEX(Интервалы!$E$2:$E$513,MATCH(K150,Интервалы!$G$2:$G$513,0)))</f>
        <v/>
      </c>
      <c r="G150" s="18" t="str">
        <f>IF(K150="","",IF(H150=1,INDEX('По дням'!$B$2:$B$4000,MATCH(C150,'По дням'!$A$2:$A$4000,0)),"по периодам ставки"))</f>
        <v/>
      </c>
      <c r="H150" s="4" t="str">
        <f>IF(K150="","",INDEX(Интервалы!$I$2:$I$513,MATCH(K150,Интервалы!$G$2:$G$513,0)))</f>
        <v/>
      </c>
      <c r="I150" s="8" t="str">
        <f>IF(K150="","",INDEX(Интервалы!$F$2:$F$513,MATCH(K150,Интервалы!$G$2:$G$513,0)))</f>
        <v/>
      </c>
      <c r="J150" s="8" t="str">
        <f>IF(K150="","",INDEX(Интервалы!$H$2:$H$513,MATCH(K150,Интервалы!$G$2:$G$513,0)))</f>
        <v/>
      </c>
      <c r="K150" t="str">
        <f>IFERROR(SMALL(Интервалы!$G$2:$G$513,144),"")</f>
        <v/>
      </c>
      <c r="L150" t="str">
        <f>IF(K150="","",INDEX(Интервалы!$B$2:$B$513,MATCH(K150,Интервалы!$G$2:$G$513,0)))</f>
        <v/>
      </c>
    </row>
    <row r="151" spans="1:12" x14ac:dyDescent="0.3">
      <c r="A151" s="4" t="str">
        <f>IF(K151="","",145)</f>
        <v/>
      </c>
      <c r="B151" s="4" t="str">
        <f>IF(K151="","",INDEX(Интервалы!$A$2:$A$513,MATCH(K151,Интервалы!$G$2:$G$513,0)))</f>
        <v/>
      </c>
      <c r="C151" s="17" t="str">
        <f>IF(K151="","",INDEX(Интервалы!$C$2:$C$513,MATCH(K151,Интервалы!$G$2:$G$513,0)))</f>
        <v/>
      </c>
      <c r="D151" s="17" t="str">
        <f>IF(K151="","",INDEX(Интервалы!$D$2:$D$513,MATCH(K151,Интервалы!$G$2:$G$513,0)))</f>
        <v/>
      </c>
      <c r="E151" s="4" t="str">
        <f t="shared" si="2"/>
        <v/>
      </c>
      <c r="F151" s="8" t="str">
        <f>IF(K151="","",INDEX(Интервалы!$E$2:$E$513,MATCH(K151,Интервалы!$G$2:$G$513,0)))</f>
        <v/>
      </c>
      <c r="G151" s="18" t="str">
        <f>IF(K151="","",IF(H151=1,INDEX('По дням'!$B$2:$B$4000,MATCH(C151,'По дням'!$A$2:$A$4000,0)),"по периодам ставки"))</f>
        <v/>
      </c>
      <c r="H151" s="4" t="str">
        <f>IF(K151="","",INDEX(Интервалы!$I$2:$I$513,MATCH(K151,Интервалы!$G$2:$G$513,0)))</f>
        <v/>
      </c>
      <c r="I151" s="8" t="str">
        <f>IF(K151="","",INDEX(Интервалы!$F$2:$F$513,MATCH(K151,Интервалы!$G$2:$G$513,0)))</f>
        <v/>
      </c>
      <c r="J151" s="8" t="str">
        <f>IF(K151="","",INDEX(Интервалы!$H$2:$H$513,MATCH(K151,Интервалы!$G$2:$G$513,0)))</f>
        <v/>
      </c>
      <c r="K151" t="str">
        <f>IFERROR(SMALL(Интервалы!$G$2:$G$513,145),"")</f>
        <v/>
      </c>
      <c r="L151" t="str">
        <f>IF(K151="","",INDEX(Интервалы!$B$2:$B$513,MATCH(K151,Интервалы!$G$2:$G$513,0)))</f>
        <v/>
      </c>
    </row>
    <row r="152" spans="1:12" x14ac:dyDescent="0.3">
      <c r="A152" s="4" t="str">
        <f>IF(K152="","",146)</f>
        <v/>
      </c>
      <c r="B152" s="4" t="str">
        <f>IF(K152="","",INDEX(Интервалы!$A$2:$A$513,MATCH(K152,Интервалы!$G$2:$G$513,0)))</f>
        <v/>
      </c>
      <c r="C152" s="17" t="str">
        <f>IF(K152="","",INDEX(Интервалы!$C$2:$C$513,MATCH(K152,Интервалы!$G$2:$G$513,0)))</f>
        <v/>
      </c>
      <c r="D152" s="17" t="str">
        <f>IF(K152="","",INDEX(Интервалы!$D$2:$D$513,MATCH(K152,Интервалы!$G$2:$G$513,0)))</f>
        <v/>
      </c>
      <c r="E152" s="4" t="str">
        <f t="shared" si="2"/>
        <v/>
      </c>
      <c r="F152" s="8" t="str">
        <f>IF(K152="","",INDEX(Интервалы!$E$2:$E$513,MATCH(K152,Интервалы!$G$2:$G$513,0)))</f>
        <v/>
      </c>
      <c r="G152" s="18" t="str">
        <f>IF(K152="","",IF(H152=1,INDEX('По дням'!$B$2:$B$4000,MATCH(C152,'По дням'!$A$2:$A$4000,0)),"по периодам ставки"))</f>
        <v/>
      </c>
      <c r="H152" s="4" t="str">
        <f>IF(K152="","",INDEX(Интервалы!$I$2:$I$513,MATCH(K152,Интервалы!$G$2:$G$513,0)))</f>
        <v/>
      </c>
      <c r="I152" s="8" t="str">
        <f>IF(K152="","",INDEX(Интервалы!$F$2:$F$513,MATCH(K152,Интервалы!$G$2:$G$513,0)))</f>
        <v/>
      </c>
      <c r="J152" s="8" t="str">
        <f>IF(K152="","",INDEX(Интервалы!$H$2:$H$513,MATCH(K152,Интервалы!$G$2:$G$513,0)))</f>
        <v/>
      </c>
      <c r="K152" t="str">
        <f>IFERROR(SMALL(Интервалы!$G$2:$G$513,146),"")</f>
        <v/>
      </c>
      <c r="L152" t="str">
        <f>IF(K152="","",INDEX(Интервалы!$B$2:$B$513,MATCH(K152,Интервалы!$G$2:$G$513,0)))</f>
        <v/>
      </c>
    </row>
    <row r="153" spans="1:12" x14ac:dyDescent="0.3">
      <c r="A153" s="4" t="str">
        <f>IF(K153="","",147)</f>
        <v/>
      </c>
      <c r="B153" s="4" t="str">
        <f>IF(K153="","",INDEX(Интервалы!$A$2:$A$513,MATCH(K153,Интервалы!$G$2:$G$513,0)))</f>
        <v/>
      </c>
      <c r="C153" s="17" t="str">
        <f>IF(K153="","",INDEX(Интервалы!$C$2:$C$513,MATCH(K153,Интервалы!$G$2:$G$513,0)))</f>
        <v/>
      </c>
      <c r="D153" s="17" t="str">
        <f>IF(K153="","",INDEX(Интервалы!$D$2:$D$513,MATCH(K153,Интервалы!$G$2:$G$513,0)))</f>
        <v/>
      </c>
      <c r="E153" s="4" t="str">
        <f t="shared" si="2"/>
        <v/>
      </c>
      <c r="F153" s="8" t="str">
        <f>IF(K153="","",INDEX(Интервалы!$E$2:$E$513,MATCH(K153,Интервалы!$G$2:$G$513,0)))</f>
        <v/>
      </c>
      <c r="G153" s="18" t="str">
        <f>IF(K153="","",IF(H153=1,INDEX('По дням'!$B$2:$B$4000,MATCH(C153,'По дням'!$A$2:$A$4000,0)),"по периодам ставки"))</f>
        <v/>
      </c>
      <c r="H153" s="4" t="str">
        <f>IF(K153="","",INDEX(Интервалы!$I$2:$I$513,MATCH(K153,Интервалы!$G$2:$G$513,0)))</f>
        <v/>
      </c>
      <c r="I153" s="8" t="str">
        <f>IF(K153="","",INDEX(Интервалы!$F$2:$F$513,MATCH(K153,Интервалы!$G$2:$G$513,0)))</f>
        <v/>
      </c>
      <c r="J153" s="8" t="str">
        <f>IF(K153="","",INDEX(Интервалы!$H$2:$H$513,MATCH(K153,Интервалы!$G$2:$G$513,0)))</f>
        <v/>
      </c>
      <c r="K153" t="str">
        <f>IFERROR(SMALL(Интервалы!$G$2:$G$513,147),"")</f>
        <v/>
      </c>
      <c r="L153" t="str">
        <f>IF(K153="","",INDEX(Интервалы!$B$2:$B$513,MATCH(K153,Интервалы!$G$2:$G$513,0)))</f>
        <v/>
      </c>
    </row>
    <row r="154" spans="1:12" x14ac:dyDescent="0.3">
      <c r="A154" s="4" t="str">
        <f>IF(K154="","",148)</f>
        <v/>
      </c>
      <c r="B154" s="4" t="str">
        <f>IF(K154="","",INDEX(Интервалы!$A$2:$A$513,MATCH(K154,Интервалы!$G$2:$G$513,0)))</f>
        <v/>
      </c>
      <c r="C154" s="17" t="str">
        <f>IF(K154="","",INDEX(Интервалы!$C$2:$C$513,MATCH(K154,Интервалы!$G$2:$G$513,0)))</f>
        <v/>
      </c>
      <c r="D154" s="17" t="str">
        <f>IF(K154="","",INDEX(Интервалы!$D$2:$D$513,MATCH(K154,Интервалы!$G$2:$G$513,0)))</f>
        <v/>
      </c>
      <c r="E154" s="4" t="str">
        <f t="shared" si="2"/>
        <v/>
      </c>
      <c r="F154" s="8" t="str">
        <f>IF(K154="","",INDEX(Интервалы!$E$2:$E$513,MATCH(K154,Интервалы!$G$2:$G$513,0)))</f>
        <v/>
      </c>
      <c r="G154" s="18" t="str">
        <f>IF(K154="","",IF(H154=1,INDEX('По дням'!$B$2:$B$4000,MATCH(C154,'По дням'!$A$2:$A$4000,0)),"по периодам ставки"))</f>
        <v/>
      </c>
      <c r="H154" s="4" t="str">
        <f>IF(K154="","",INDEX(Интервалы!$I$2:$I$513,MATCH(K154,Интервалы!$G$2:$G$513,0)))</f>
        <v/>
      </c>
      <c r="I154" s="8" t="str">
        <f>IF(K154="","",INDEX(Интервалы!$F$2:$F$513,MATCH(K154,Интервалы!$G$2:$G$513,0)))</f>
        <v/>
      </c>
      <c r="J154" s="8" t="str">
        <f>IF(K154="","",INDEX(Интервалы!$H$2:$H$513,MATCH(K154,Интервалы!$G$2:$G$513,0)))</f>
        <v/>
      </c>
      <c r="K154" t="str">
        <f>IFERROR(SMALL(Интервалы!$G$2:$G$513,148),"")</f>
        <v/>
      </c>
      <c r="L154" t="str">
        <f>IF(K154="","",INDEX(Интервалы!$B$2:$B$513,MATCH(K154,Интервалы!$G$2:$G$513,0)))</f>
        <v/>
      </c>
    </row>
    <row r="155" spans="1:12" x14ac:dyDescent="0.3">
      <c r="A155" s="4" t="str">
        <f>IF(K155="","",149)</f>
        <v/>
      </c>
      <c r="B155" s="4" t="str">
        <f>IF(K155="","",INDEX(Интервалы!$A$2:$A$513,MATCH(K155,Интервалы!$G$2:$G$513,0)))</f>
        <v/>
      </c>
      <c r="C155" s="17" t="str">
        <f>IF(K155="","",INDEX(Интервалы!$C$2:$C$513,MATCH(K155,Интервалы!$G$2:$G$513,0)))</f>
        <v/>
      </c>
      <c r="D155" s="17" t="str">
        <f>IF(K155="","",INDEX(Интервалы!$D$2:$D$513,MATCH(K155,Интервалы!$G$2:$G$513,0)))</f>
        <v/>
      </c>
      <c r="E155" s="4" t="str">
        <f t="shared" si="2"/>
        <v/>
      </c>
      <c r="F155" s="8" t="str">
        <f>IF(K155="","",INDEX(Интервалы!$E$2:$E$513,MATCH(K155,Интервалы!$G$2:$G$513,0)))</f>
        <v/>
      </c>
      <c r="G155" s="18" t="str">
        <f>IF(K155="","",IF(H155=1,INDEX('По дням'!$B$2:$B$4000,MATCH(C155,'По дням'!$A$2:$A$4000,0)),"по периодам ставки"))</f>
        <v/>
      </c>
      <c r="H155" s="4" t="str">
        <f>IF(K155="","",INDEX(Интервалы!$I$2:$I$513,MATCH(K155,Интервалы!$G$2:$G$513,0)))</f>
        <v/>
      </c>
      <c r="I155" s="8" t="str">
        <f>IF(K155="","",INDEX(Интервалы!$F$2:$F$513,MATCH(K155,Интервалы!$G$2:$G$513,0)))</f>
        <v/>
      </c>
      <c r="J155" s="8" t="str">
        <f>IF(K155="","",INDEX(Интервалы!$H$2:$H$513,MATCH(K155,Интервалы!$G$2:$G$513,0)))</f>
        <v/>
      </c>
      <c r="K155" t="str">
        <f>IFERROR(SMALL(Интервалы!$G$2:$G$513,149),"")</f>
        <v/>
      </c>
      <c r="L155" t="str">
        <f>IF(K155="","",INDEX(Интервалы!$B$2:$B$513,MATCH(K155,Интервалы!$G$2:$G$513,0)))</f>
        <v/>
      </c>
    </row>
    <row r="156" spans="1:12" x14ac:dyDescent="0.3">
      <c r="A156" s="4" t="str">
        <f>IF(K156="","",150)</f>
        <v/>
      </c>
      <c r="B156" s="4" t="str">
        <f>IF(K156="","",INDEX(Интервалы!$A$2:$A$513,MATCH(K156,Интервалы!$G$2:$G$513,0)))</f>
        <v/>
      </c>
      <c r="C156" s="17" t="str">
        <f>IF(K156="","",INDEX(Интервалы!$C$2:$C$513,MATCH(K156,Интервалы!$G$2:$G$513,0)))</f>
        <v/>
      </c>
      <c r="D156" s="17" t="str">
        <f>IF(K156="","",INDEX(Интервалы!$D$2:$D$513,MATCH(K156,Интервалы!$G$2:$G$513,0)))</f>
        <v/>
      </c>
      <c r="E156" s="4" t="str">
        <f t="shared" si="2"/>
        <v/>
      </c>
      <c r="F156" s="8" t="str">
        <f>IF(K156="","",INDEX(Интервалы!$E$2:$E$513,MATCH(K156,Интервалы!$G$2:$G$513,0)))</f>
        <v/>
      </c>
      <c r="G156" s="18" t="str">
        <f>IF(K156="","",IF(H156=1,INDEX('По дням'!$B$2:$B$4000,MATCH(C156,'По дням'!$A$2:$A$4000,0)),"по периодам ставки"))</f>
        <v/>
      </c>
      <c r="H156" s="4" t="str">
        <f>IF(K156="","",INDEX(Интервалы!$I$2:$I$513,MATCH(K156,Интервалы!$G$2:$G$513,0)))</f>
        <v/>
      </c>
      <c r="I156" s="8" t="str">
        <f>IF(K156="","",INDEX(Интервалы!$F$2:$F$513,MATCH(K156,Интервалы!$G$2:$G$513,0)))</f>
        <v/>
      </c>
      <c r="J156" s="8" t="str">
        <f>IF(K156="","",INDEX(Интервалы!$H$2:$H$513,MATCH(K156,Интервалы!$G$2:$G$513,0)))</f>
        <v/>
      </c>
      <c r="K156" t="str">
        <f>IFERROR(SMALL(Интервалы!$G$2:$G$513,150),"")</f>
        <v/>
      </c>
      <c r="L156" t="str">
        <f>IF(K156="","",INDEX(Интервалы!$B$2:$B$513,MATCH(K156,Интервалы!$G$2:$G$513,0)))</f>
        <v/>
      </c>
    </row>
    <row r="157" spans="1:12" x14ac:dyDescent="0.3">
      <c r="A157" s="4" t="str">
        <f>IF(K157="","",151)</f>
        <v/>
      </c>
      <c r="B157" s="4" t="str">
        <f>IF(K157="","",INDEX(Интервалы!$A$2:$A$513,MATCH(K157,Интервалы!$G$2:$G$513,0)))</f>
        <v/>
      </c>
      <c r="C157" s="17" t="str">
        <f>IF(K157="","",INDEX(Интервалы!$C$2:$C$513,MATCH(K157,Интервалы!$G$2:$G$513,0)))</f>
        <v/>
      </c>
      <c r="D157" s="17" t="str">
        <f>IF(K157="","",INDEX(Интервалы!$D$2:$D$513,MATCH(K157,Интервалы!$G$2:$G$513,0)))</f>
        <v/>
      </c>
      <c r="E157" s="4" t="str">
        <f t="shared" si="2"/>
        <v/>
      </c>
      <c r="F157" s="8" t="str">
        <f>IF(K157="","",INDEX(Интервалы!$E$2:$E$513,MATCH(K157,Интервалы!$G$2:$G$513,0)))</f>
        <v/>
      </c>
      <c r="G157" s="18" t="str">
        <f>IF(K157="","",IF(H157=1,INDEX('По дням'!$B$2:$B$4000,MATCH(C157,'По дням'!$A$2:$A$4000,0)),"по периодам ставки"))</f>
        <v/>
      </c>
      <c r="H157" s="4" t="str">
        <f>IF(K157="","",INDEX(Интервалы!$I$2:$I$513,MATCH(K157,Интервалы!$G$2:$G$513,0)))</f>
        <v/>
      </c>
      <c r="I157" s="8" t="str">
        <f>IF(K157="","",INDEX(Интервалы!$F$2:$F$513,MATCH(K157,Интервалы!$G$2:$G$513,0)))</f>
        <v/>
      </c>
      <c r="J157" s="8" t="str">
        <f>IF(K157="","",INDEX(Интервалы!$H$2:$H$513,MATCH(K157,Интервалы!$G$2:$G$513,0)))</f>
        <v/>
      </c>
      <c r="K157" t="str">
        <f>IFERROR(SMALL(Интервалы!$G$2:$G$513,151),"")</f>
        <v/>
      </c>
      <c r="L157" t="str">
        <f>IF(K157="","",INDEX(Интервалы!$B$2:$B$513,MATCH(K157,Интервалы!$G$2:$G$513,0)))</f>
        <v/>
      </c>
    </row>
    <row r="158" spans="1:12" x14ac:dyDescent="0.3">
      <c r="A158" s="4" t="str">
        <f>IF(K158="","",152)</f>
        <v/>
      </c>
      <c r="B158" s="4" t="str">
        <f>IF(K158="","",INDEX(Интервалы!$A$2:$A$513,MATCH(K158,Интервалы!$G$2:$G$513,0)))</f>
        <v/>
      </c>
      <c r="C158" s="17" t="str">
        <f>IF(K158="","",INDEX(Интервалы!$C$2:$C$513,MATCH(K158,Интервалы!$G$2:$G$513,0)))</f>
        <v/>
      </c>
      <c r="D158" s="17" t="str">
        <f>IF(K158="","",INDEX(Интервалы!$D$2:$D$513,MATCH(K158,Интервалы!$G$2:$G$513,0)))</f>
        <v/>
      </c>
      <c r="E158" s="4" t="str">
        <f t="shared" si="2"/>
        <v/>
      </c>
      <c r="F158" s="8" t="str">
        <f>IF(K158="","",INDEX(Интервалы!$E$2:$E$513,MATCH(K158,Интервалы!$G$2:$G$513,0)))</f>
        <v/>
      </c>
      <c r="G158" s="18" t="str">
        <f>IF(K158="","",IF(H158=1,INDEX('По дням'!$B$2:$B$4000,MATCH(C158,'По дням'!$A$2:$A$4000,0)),"по периодам ставки"))</f>
        <v/>
      </c>
      <c r="H158" s="4" t="str">
        <f>IF(K158="","",INDEX(Интервалы!$I$2:$I$513,MATCH(K158,Интервалы!$G$2:$G$513,0)))</f>
        <v/>
      </c>
      <c r="I158" s="8" t="str">
        <f>IF(K158="","",INDEX(Интервалы!$F$2:$F$513,MATCH(K158,Интервалы!$G$2:$G$513,0)))</f>
        <v/>
      </c>
      <c r="J158" s="8" t="str">
        <f>IF(K158="","",INDEX(Интервалы!$H$2:$H$513,MATCH(K158,Интервалы!$G$2:$G$513,0)))</f>
        <v/>
      </c>
      <c r="K158" t="str">
        <f>IFERROR(SMALL(Интервалы!$G$2:$G$513,152),"")</f>
        <v/>
      </c>
      <c r="L158" t="str">
        <f>IF(K158="","",INDEX(Интервалы!$B$2:$B$513,MATCH(K158,Интервалы!$G$2:$G$513,0)))</f>
        <v/>
      </c>
    </row>
    <row r="159" spans="1:12" x14ac:dyDescent="0.3">
      <c r="A159" s="4" t="str">
        <f>IF(K159="","",153)</f>
        <v/>
      </c>
      <c r="B159" s="4" t="str">
        <f>IF(K159="","",INDEX(Интервалы!$A$2:$A$513,MATCH(K159,Интервалы!$G$2:$G$513,0)))</f>
        <v/>
      </c>
      <c r="C159" s="17" t="str">
        <f>IF(K159="","",INDEX(Интервалы!$C$2:$C$513,MATCH(K159,Интервалы!$G$2:$G$513,0)))</f>
        <v/>
      </c>
      <c r="D159" s="17" t="str">
        <f>IF(K159="","",INDEX(Интервалы!$D$2:$D$513,MATCH(K159,Интервалы!$G$2:$G$513,0)))</f>
        <v/>
      </c>
      <c r="E159" s="4" t="str">
        <f t="shared" si="2"/>
        <v/>
      </c>
      <c r="F159" s="8" t="str">
        <f>IF(K159="","",INDEX(Интервалы!$E$2:$E$513,MATCH(K159,Интервалы!$G$2:$G$513,0)))</f>
        <v/>
      </c>
      <c r="G159" s="18" t="str">
        <f>IF(K159="","",IF(H159=1,INDEX('По дням'!$B$2:$B$4000,MATCH(C159,'По дням'!$A$2:$A$4000,0)),"по периодам ставки"))</f>
        <v/>
      </c>
      <c r="H159" s="4" t="str">
        <f>IF(K159="","",INDEX(Интервалы!$I$2:$I$513,MATCH(K159,Интервалы!$G$2:$G$513,0)))</f>
        <v/>
      </c>
      <c r="I159" s="8" t="str">
        <f>IF(K159="","",INDEX(Интервалы!$F$2:$F$513,MATCH(K159,Интервалы!$G$2:$G$513,0)))</f>
        <v/>
      </c>
      <c r="J159" s="8" t="str">
        <f>IF(K159="","",INDEX(Интервалы!$H$2:$H$513,MATCH(K159,Интервалы!$G$2:$G$513,0)))</f>
        <v/>
      </c>
      <c r="K159" t="str">
        <f>IFERROR(SMALL(Интервалы!$G$2:$G$513,153),"")</f>
        <v/>
      </c>
      <c r="L159" t="str">
        <f>IF(K159="","",INDEX(Интервалы!$B$2:$B$513,MATCH(K159,Интервалы!$G$2:$G$513,0)))</f>
        <v/>
      </c>
    </row>
    <row r="160" spans="1:12" x14ac:dyDescent="0.3">
      <c r="A160" s="4" t="str">
        <f>IF(K160="","",154)</f>
        <v/>
      </c>
      <c r="B160" s="4" t="str">
        <f>IF(K160="","",INDEX(Интервалы!$A$2:$A$513,MATCH(K160,Интервалы!$G$2:$G$513,0)))</f>
        <v/>
      </c>
      <c r="C160" s="17" t="str">
        <f>IF(K160="","",INDEX(Интервалы!$C$2:$C$513,MATCH(K160,Интервалы!$G$2:$G$513,0)))</f>
        <v/>
      </c>
      <c r="D160" s="17" t="str">
        <f>IF(K160="","",INDEX(Интервалы!$D$2:$D$513,MATCH(K160,Интервалы!$G$2:$G$513,0)))</f>
        <v/>
      </c>
      <c r="E160" s="4" t="str">
        <f t="shared" si="2"/>
        <v/>
      </c>
      <c r="F160" s="8" t="str">
        <f>IF(K160="","",INDEX(Интервалы!$E$2:$E$513,MATCH(K160,Интервалы!$G$2:$G$513,0)))</f>
        <v/>
      </c>
      <c r="G160" s="18" t="str">
        <f>IF(K160="","",IF(H160=1,INDEX('По дням'!$B$2:$B$4000,MATCH(C160,'По дням'!$A$2:$A$4000,0)),"по периодам ставки"))</f>
        <v/>
      </c>
      <c r="H160" s="4" t="str">
        <f>IF(K160="","",INDEX(Интервалы!$I$2:$I$513,MATCH(K160,Интервалы!$G$2:$G$513,0)))</f>
        <v/>
      </c>
      <c r="I160" s="8" t="str">
        <f>IF(K160="","",INDEX(Интервалы!$F$2:$F$513,MATCH(K160,Интервалы!$G$2:$G$513,0)))</f>
        <v/>
      </c>
      <c r="J160" s="8" t="str">
        <f>IF(K160="","",INDEX(Интервалы!$H$2:$H$513,MATCH(K160,Интервалы!$G$2:$G$513,0)))</f>
        <v/>
      </c>
      <c r="K160" t="str">
        <f>IFERROR(SMALL(Интервалы!$G$2:$G$513,154),"")</f>
        <v/>
      </c>
      <c r="L160" t="str">
        <f>IF(K160="","",INDEX(Интервалы!$B$2:$B$513,MATCH(K160,Интервалы!$G$2:$G$513,0)))</f>
        <v/>
      </c>
    </row>
    <row r="161" spans="1:12" x14ac:dyDescent="0.3">
      <c r="A161" s="4" t="str">
        <f>IF(K161="","",155)</f>
        <v/>
      </c>
      <c r="B161" s="4" t="str">
        <f>IF(K161="","",INDEX(Интервалы!$A$2:$A$513,MATCH(K161,Интервалы!$G$2:$G$513,0)))</f>
        <v/>
      </c>
      <c r="C161" s="17" t="str">
        <f>IF(K161="","",INDEX(Интервалы!$C$2:$C$513,MATCH(K161,Интервалы!$G$2:$G$513,0)))</f>
        <v/>
      </c>
      <c r="D161" s="17" t="str">
        <f>IF(K161="","",INDEX(Интервалы!$D$2:$D$513,MATCH(K161,Интервалы!$G$2:$G$513,0)))</f>
        <v/>
      </c>
      <c r="E161" s="4" t="str">
        <f t="shared" si="2"/>
        <v/>
      </c>
      <c r="F161" s="8" t="str">
        <f>IF(K161="","",INDEX(Интервалы!$E$2:$E$513,MATCH(K161,Интервалы!$G$2:$G$513,0)))</f>
        <v/>
      </c>
      <c r="G161" s="18" t="str">
        <f>IF(K161="","",IF(H161=1,INDEX('По дням'!$B$2:$B$4000,MATCH(C161,'По дням'!$A$2:$A$4000,0)),"по периодам ставки"))</f>
        <v/>
      </c>
      <c r="H161" s="4" t="str">
        <f>IF(K161="","",INDEX(Интервалы!$I$2:$I$513,MATCH(K161,Интервалы!$G$2:$G$513,0)))</f>
        <v/>
      </c>
      <c r="I161" s="8" t="str">
        <f>IF(K161="","",INDEX(Интервалы!$F$2:$F$513,MATCH(K161,Интервалы!$G$2:$G$513,0)))</f>
        <v/>
      </c>
      <c r="J161" s="8" t="str">
        <f>IF(K161="","",INDEX(Интервалы!$H$2:$H$513,MATCH(K161,Интервалы!$G$2:$G$513,0)))</f>
        <v/>
      </c>
      <c r="K161" t="str">
        <f>IFERROR(SMALL(Интервалы!$G$2:$G$513,155),"")</f>
        <v/>
      </c>
      <c r="L161" t="str">
        <f>IF(K161="","",INDEX(Интервалы!$B$2:$B$513,MATCH(K161,Интервалы!$G$2:$G$513,0)))</f>
        <v/>
      </c>
    </row>
    <row r="162" spans="1:12" x14ac:dyDescent="0.3">
      <c r="A162" s="4" t="str">
        <f>IF(K162="","",156)</f>
        <v/>
      </c>
      <c r="B162" s="4" t="str">
        <f>IF(K162="","",INDEX(Интервалы!$A$2:$A$513,MATCH(K162,Интервалы!$G$2:$G$513,0)))</f>
        <v/>
      </c>
      <c r="C162" s="17" t="str">
        <f>IF(K162="","",INDEX(Интервалы!$C$2:$C$513,MATCH(K162,Интервалы!$G$2:$G$513,0)))</f>
        <v/>
      </c>
      <c r="D162" s="17" t="str">
        <f>IF(K162="","",INDEX(Интервалы!$D$2:$D$513,MATCH(K162,Интервалы!$G$2:$G$513,0)))</f>
        <v/>
      </c>
      <c r="E162" s="4" t="str">
        <f t="shared" si="2"/>
        <v/>
      </c>
      <c r="F162" s="8" t="str">
        <f>IF(K162="","",INDEX(Интервалы!$E$2:$E$513,MATCH(K162,Интервалы!$G$2:$G$513,0)))</f>
        <v/>
      </c>
      <c r="G162" s="18" t="str">
        <f>IF(K162="","",IF(H162=1,INDEX('По дням'!$B$2:$B$4000,MATCH(C162,'По дням'!$A$2:$A$4000,0)),"по периодам ставки"))</f>
        <v/>
      </c>
      <c r="H162" s="4" t="str">
        <f>IF(K162="","",INDEX(Интервалы!$I$2:$I$513,MATCH(K162,Интервалы!$G$2:$G$513,0)))</f>
        <v/>
      </c>
      <c r="I162" s="8" t="str">
        <f>IF(K162="","",INDEX(Интервалы!$F$2:$F$513,MATCH(K162,Интервалы!$G$2:$G$513,0)))</f>
        <v/>
      </c>
      <c r="J162" s="8" t="str">
        <f>IF(K162="","",INDEX(Интервалы!$H$2:$H$513,MATCH(K162,Интервалы!$G$2:$G$513,0)))</f>
        <v/>
      </c>
      <c r="K162" t="str">
        <f>IFERROR(SMALL(Интервалы!$G$2:$G$513,156),"")</f>
        <v/>
      </c>
      <c r="L162" t="str">
        <f>IF(K162="","",INDEX(Интервалы!$B$2:$B$513,MATCH(K162,Интервалы!$G$2:$G$513,0)))</f>
        <v/>
      </c>
    </row>
    <row r="163" spans="1:12" x14ac:dyDescent="0.3">
      <c r="A163" s="4" t="str">
        <f>IF(K163="","",157)</f>
        <v/>
      </c>
      <c r="B163" s="4" t="str">
        <f>IF(K163="","",INDEX(Интервалы!$A$2:$A$513,MATCH(K163,Интервалы!$G$2:$G$513,0)))</f>
        <v/>
      </c>
      <c r="C163" s="17" t="str">
        <f>IF(K163="","",INDEX(Интервалы!$C$2:$C$513,MATCH(K163,Интервалы!$G$2:$G$513,0)))</f>
        <v/>
      </c>
      <c r="D163" s="17" t="str">
        <f>IF(K163="","",INDEX(Интервалы!$D$2:$D$513,MATCH(K163,Интервалы!$G$2:$G$513,0)))</f>
        <v/>
      </c>
      <c r="E163" s="4" t="str">
        <f t="shared" si="2"/>
        <v/>
      </c>
      <c r="F163" s="8" t="str">
        <f>IF(K163="","",INDEX(Интервалы!$E$2:$E$513,MATCH(K163,Интервалы!$G$2:$G$513,0)))</f>
        <v/>
      </c>
      <c r="G163" s="18" t="str">
        <f>IF(K163="","",IF(H163=1,INDEX('По дням'!$B$2:$B$4000,MATCH(C163,'По дням'!$A$2:$A$4000,0)),"по периодам ставки"))</f>
        <v/>
      </c>
      <c r="H163" s="4" t="str">
        <f>IF(K163="","",INDEX(Интервалы!$I$2:$I$513,MATCH(K163,Интервалы!$G$2:$G$513,0)))</f>
        <v/>
      </c>
      <c r="I163" s="8" t="str">
        <f>IF(K163="","",INDEX(Интервалы!$F$2:$F$513,MATCH(K163,Интервалы!$G$2:$G$513,0)))</f>
        <v/>
      </c>
      <c r="J163" s="8" t="str">
        <f>IF(K163="","",INDEX(Интервалы!$H$2:$H$513,MATCH(K163,Интервалы!$G$2:$G$513,0)))</f>
        <v/>
      </c>
      <c r="K163" t="str">
        <f>IFERROR(SMALL(Интервалы!$G$2:$G$513,157),"")</f>
        <v/>
      </c>
      <c r="L163" t="str">
        <f>IF(K163="","",INDEX(Интервалы!$B$2:$B$513,MATCH(K163,Интервалы!$G$2:$G$513,0)))</f>
        <v/>
      </c>
    </row>
    <row r="164" spans="1:12" x14ac:dyDescent="0.3">
      <c r="A164" s="4" t="str">
        <f>IF(K164="","",158)</f>
        <v/>
      </c>
      <c r="B164" s="4" t="str">
        <f>IF(K164="","",INDEX(Интервалы!$A$2:$A$513,MATCH(K164,Интервалы!$G$2:$G$513,0)))</f>
        <v/>
      </c>
      <c r="C164" s="17" t="str">
        <f>IF(K164="","",INDEX(Интервалы!$C$2:$C$513,MATCH(K164,Интервалы!$G$2:$G$513,0)))</f>
        <v/>
      </c>
      <c r="D164" s="17" t="str">
        <f>IF(K164="","",INDEX(Интервалы!$D$2:$D$513,MATCH(K164,Интервалы!$G$2:$G$513,0)))</f>
        <v/>
      </c>
      <c r="E164" s="4" t="str">
        <f t="shared" si="2"/>
        <v/>
      </c>
      <c r="F164" s="8" t="str">
        <f>IF(K164="","",INDEX(Интервалы!$E$2:$E$513,MATCH(K164,Интервалы!$G$2:$G$513,0)))</f>
        <v/>
      </c>
      <c r="G164" s="18" t="str">
        <f>IF(K164="","",IF(H164=1,INDEX('По дням'!$B$2:$B$4000,MATCH(C164,'По дням'!$A$2:$A$4000,0)),"по периодам ставки"))</f>
        <v/>
      </c>
      <c r="H164" s="4" t="str">
        <f>IF(K164="","",INDEX(Интервалы!$I$2:$I$513,MATCH(K164,Интервалы!$G$2:$G$513,0)))</f>
        <v/>
      </c>
      <c r="I164" s="8" t="str">
        <f>IF(K164="","",INDEX(Интервалы!$F$2:$F$513,MATCH(K164,Интервалы!$G$2:$G$513,0)))</f>
        <v/>
      </c>
      <c r="J164" s="8" t="str">
        <f>IF(K164="","",INDEX(Интервалы!$H$2:$H$513,MATCH(K164,Интервалы!$G$2:$G$513,0)))</f>
        <v/>
      </c>
      <c r="K164" t="str">
        <f>IFERROR(SMALL(Интервалы!$G$2:$G$513,158),"")</f>
        <v/>
      </c>
      <c r="L164" t="str">
        <f>IF(K164="","",INDEX(Интервалы!$B$2:$B$513,MATCH(K164,Интервалы!$G$2:$G$513,0)))</f>
        <v/>
      </c>
    </row>
    <row r="165" spans="1:12" x14ac:dyDescent="0.3">
      <c r="A165" s="4" t="str">
        <f>IF(K165="","",159)</f>
        <v/>
      </c>
      <c r="B165" s="4" t="str">
        <f>IF(K165="","",INDEX(Интервалы!$A$2:$A$513,MATCH(K165,Интервалы!$G$2:$G$513,0)))</f>
        <v/>
      </c>
      <c r="C165" s="17" t="str">
        <f>IF(K165="","",INDEX(Интервалы!$C$2:$C$513,MATCH(K165,Интервалы!$G$2:$G$513,0)))</f>
        <v/>
      </c>
      <c r="D165" s="17" t="str">
        <f>IF(K165="","",INDEX(Интервалы!$D$2:$D$513,MATCH(K165,Интервалы!$G$2:$G$513,0)))</f>
        <v/>
      </c>
      <c r="E165" s="4" t="str">
        <f t="shared" si="2"/>
        <v/>
      </c>
      <c r="F165" s="8" t="str">
        <f>IF(K165="","",INDEX(Интервалы!$E$2:$E$513,MATCH(K165,Интервалы!$G$2:$G$513,0)))</f>
        <v/>
      </c>
      <c r="G165" s="18" t="str">
        <f>IF(K165="","",IF(H165=1,INDEX('По дням'!$B$2:$B$4000,MATCH(C165,'По дням'!$A$2:$A$4000,0)),"по периодам ставки"))</f>
        <v/>
      </c>
      <c r="H165" s="4" t="str">
        <f>IF(K165="","",INDEX(Интервалы!$I$2:$I$513,MATCH(K165,Интервалы!$G$2:$G$513,0)))</f>
        <v/>
      </c>
      <c r="I165" s="8" t="str">
        <f>IF(K165="","",INDEX(Интервалы!$F$2:$F$513,MATCH(K165,Интервалы!$G$2:$G$513,0)))</f>
        <v/>
      </c>
      <c r="J165" s="8" t="str">
        <f>IF(K165="","",INDEX(Интервалы!$H$2:$H$513,MATCH(K165,Интервалы!$G$2:$G$513,0)))</f>
        <v/>
      </c>
      <c r="K165" t="str">
        <f>IFERROR(SMALL(Интервалы!$G$2:$G$513,159),"")</f>
        <v/>
      </c>
      <c r="L165" t="str">
        <f>IF(K165="","",INDEX(Интервалы!$B$2:$B$513,MATCH(K165,Интервалы!$G$2:$G$513,0)))</f>
        <v/>
      </c>
    </row>
    <row r="166" spans="1:12" x14ac:dyDescent="0.3">
      <c r="A166" s="4" t="str">
        <f>IF(K166="","",160)</f>
        <v/>
      </c>
      <c r="B166" s="4" t="str">
        <f>IF(K166="","",INDEX(Интервалы!$A$2:$A$513,MATCH(K166,Интервалы!$G$2:$G$513,0)))</f>
        <v/>
      </c>
      <c r="C166" s="17" t="str">
        <f>IF(K166="","",INDEX(Интервалы!$C$2:$C$513,MATCH(K166,Интервалы!$G$2:$G$513,0)))</f>
        <v/>
      </c>
      <c r="D166" s="17" t="str">
        <f>IF(K166="","",INDEX(Интервалы!$D$2:$D$513,MATCH(K166,Интервалы!$G$2:$G$513,0)))</f>
        <v/>
      </c>
      <c r="E166" s="4" t="str">
        <f t="shared" si="2"/>
        <v/>
      </c>
      <c r="F166" s="8" t="str">
        <f>IF(K166="","",INDEX(Интервалы!$E$2:$E$513,MATCH(K166,Интервалы!$G$2:$G$513,0)))</f>
        <v/>
      </c>
      <c r="G166" s="18" t="str">
        <f>IF(K166="","",IF(H166=1,INDEX('По дням'!$B$2:$B$4000,MATCH(C166,'По дням'!$A$2:$A$4000,0)),"по периодам ставки"))</f>
        <v/>
      </c>
      <c r="H166" s="4" t="str">
        <f>IF(K166="","",INDEX(Интервалы!$I$2:$I$513,MATCH(K166,Интервалы!$G$2:$G$513,0)))</f>
        <v/>
      </c>
      <c r="I166" s="8" t="str">
        <f>IF(K166="","",INDEX(Интервалы!$F$2:$F$513,MATCH(K166,Интервалы!$G$2:$G$513,0)))</f>
        <v/>
      </c>
      <c r="J166" s="8" t="str">
        <f>IF(K166="","",INDEX(Интервалы!$H$2:$H$513,MATCH(K166,Интервалы!$G$2:$G$513,0)))</f>
        <v/>
      </c>
      <c r="K166" t="str">
        <f>IFERROR(SMALL(Интервалы!$G$2:$G$513,160),"")</f>
        <v/>
      </c>
      <c r="L166" t="str">
        <f>IF(K166="","",INDEX(Интервалы!$B$2:$B$513,MATCH(K166,Интервалы!$G$2:$G$513,0)))</f>
        <v/>
      </c>
    </row>
    <row r="167" spans="1:12" x14ac:dyDescent="0.3">
      <c r="A167" s="4" t="str">
        <f>IF(K167="","",161)</f>
        <v/>
      </c>
      <c r="B167" s="4" t="str">
        <f>IF(K167="","",INDEX(Интервалы!$A$2:$A$513,MATCH(K167,Интервалы!$G$2:$G$513,0)))</f>
        <v/>
      </c>
      <c r="C167" s="17" t="str">
        <f>IF(K167="","",INDEX(Интервалы!$C$2:$C$513,MATCH(K167,Интервалы!$G$2:$G$513,0)))</f>
        <v/>
      </c>
      <c r="D167" s="17" t="str">
        <f>IF(K167="","",INDEX(Интервалы!$D$2:$D$513,MATCH(K167,Интервалы!$G$2:$G$513,0)))</f>
        <v/>
      </c>
      <c r="E167" s="4" t="str">
        <f t="shared" si="2"/>
        <v/>
      </c>
      <c r="F167" s="8" t="str">
        <f>IF(K167="","",INDEX(Интервалы!$E$2:$E$513,MATCH(K167,Интервалы!$G$2:$G$513,0)))</f>
        <v/>
      </c>
      <c r="G167" s="18" t="str">
        <f>IF(K167="","",IF(H167=1,INDEX('По дням'!$B$2:$B$4000,MATCH(C167,'По дням'!$A$2:$A$4000,0)),"по периодам ставки"))</f>
        <v/>
      </c>
      <c r="H167" s="4" t="str">
        <f>IF(K167="","",INDEX(Интервалы!$I$2:$I$513,MATCH(K167,Интервалы!$G$2:$G$513,0)))</f>
        <v/>
      </c>
      <c r="I167" s="8" t="str">
        <f>IF(K167="","",INDEX(Интервалы!$F$2:$F$513,MATCH(K167,Интервалы!$G$2:$G$513,0)))</f>
        <v/>
      </c>
      <c r="J167" s="8" t="str">
        <f>IF(K167="","",INDEX(Интервалы!$H$2:$H$513,MATCH(K167,Интервалы!$G$2:$G$513,0)))</f>
        <v/>
      </c>
      <c r="K167" t="str">
        <f>IFERROR(SMALL(Интервалы!$G$2:$G$513,161),"")</f>
        <v/>
      </c>
      <c r="L167" t="str">
        <f>IF(K167="","",INDEX(Интервалы!$B$2:$B$513,MATCH(K167,Интервалы!$G$2:$G$513,0)))</f>
        <v/>
      </c>
    </row>
    <row r="168" spans="1:12" x14ac:dyDescent="0.3">
      <c r="A168" s="4" t="str">
        <f>IF(K168="","",162)</f>
        <v/>
      </c>
      <c r="B168" s="4" t="str">
        <f>IF(K168="","",INDEX(Интервалы!$A$2:$A$513,MATCH(K168,Интервалы!$G$2:$G$513,0)))</f>
        <v/>
      </c>
      <c r="C168" s="17" t="str">
        <f>IF(K168="","",INDEX(Интервалы!$C$2:$C$513,MATCH(K168,Интервалы!$G$2:$G$513,0)))</f>
        <v/>
      </c>
      <c r="D168" s="17" t="str">
        <f>IF(K168="","",INDEX(Интервалы!$D$2:$D$513,MATCH(K168,Интервалы!$G$2:$G$513,0)))</f>
        <v/>
      </c>
      <c r="E168" s="4" t="str">
        <f t="shared" si="2"/>
        <v/>
      </c>
      <c r="F168" s="8" t="str">
        <f>IF(K168="","",INDEX(Интервалы!$E$2:$E$513,MATCH(K168,Интервалы!$G$2:$G$513,0)))</f>
        <v/>
      </c>
      <c r="G168" s="18" t="str">
        <f>IF(K168="","",IF(H168=1,INDEX('По дням'!$B$2:$B$4000,MATCH(C168,'По дням'!$A$2:$A$4000,0)),"по периодам ставки"))</f>
        <v/>
      </c>
      <c r="H168" s="4" t="str">
        <f>IF(K168="","",INDEX(Интервалы!$I$2:$I$513,MATCH(K168,Интервалы!$G$2:$G$513,0)))</f>
        <v/>
      </c>
      <c r="I168" s="8" t="str">
        <f>IF(K168="","",INDEX(Интервалы!$F$2:$F$513,MATCH(K168,Интервалы!$G$2:$G$513,0)))</f>
        <v/>
      </c>
      <c r="J168" s="8" t="str">
        <f>IF(K168="","",INDEX(Интервалы!$H$2:$H$513,MATCH(K168,Интервалы!$G$2:$G$513,0)))</f>
        <v/>
      </c>
      <c r="K168" t="str">
        <f>IFERROR(SMALL(Интервалы!$G$2:$G$513,162),"")</f>
        <v/>
      </c>
      <c r="L168" t="str">
        <f>IF(K168="","",INDEX(Интервалы!$B$2:$B$513,MATCH(K168,Интервалы!$G$2:$G$513,0)))</f>
        <v/>
      </c>
    </row>
    <row r="169" spans="1:12" x14ac:dyDescent="0.3">
      <c r="A169" s="4" t="str">
        <f>IF(K169="","",163)</f>
        <v/>
      </c>
      <c r="B169" s="4" t="str">
        <f>IF(K169="","",INDEX(Интервалы!$A$2:$A$513,MATCH(K169,Интервалы!$G$2:$G$513,0)))</f>
        <v/>
      </c>
      <c r="C169" s="17" t="str">
        <f>IF(K169="","",INDEX(Интервалы!$C$2:$C$513,MATCH(K169,Интервалы!$G$2:$G$513,0)))</f>
        <v/>
      </c>
      <c r="D169" s="17" t="str">
        <f>IF(K169="","",INDEX(Интервалы!$D$2:$D$513,MATCH(K169,Интервалы!$G$2:$G$513,0)))</f>
        <v/>
      </c>
      <c r="E169" s="4" t="str">
        <f t="shared" si="2"/>
        <v/>
      </c>
      <c r="F169" s="8" t="str">
        <f>IF(K169="","",INDEX(Интервалы!$E$2:$E$513,MATCH(K169,Интервалы!$G$2:$G$513,0)))</f>
        <v/>
      </c>
      <c r="G169" s="18" t="str">
        <f>IF(K169="","",IF(H169=1,INDEX('По дням'!$B$2:$B$4000,MATCH(C169,'По дням'!$A$2:$A$4000,0)),"по периодам ставки"))</f>
        <v/>
      </c>
      <c r="H169" s="4" t="str">
        <f>IF(K169="","",INDEX(Интервалы!$I$2:$I$513,MATCH(K169,Интервалы!$G$2:$G$513,0)))</f>
        <v/>
      </c>
      <c r="I169" s="8" t="str">
        <f>IF(K169="","",INDEX(Интервалы!$F$2:$F$513,MATCH(K169,Интервалы!$G$2:$G$513,0)))</f>
        <v/>
      </c>
      <c r="J169" s="8" t="str">
        <f>IF(K169="","",INDEX(Интервалы!$H$2:$H$513,MATCH(K169,Интервалы!$G$2:$G$513,0)))</f>
        <v/>
      </c>
      <c r="K169" t="str">
        <f>IFERROR(SMALL(Интервалы!$G$2:$G$513,163),"")</f>
        <v/>
      </c>
      <c r="L169" t="str">
        <f>IF(K169="","",INDEX(Интервалы!$B$2:$B$513,MATCH(K169,Интервалы!$G$2:$G$513,0)))</f>
        <v/>
      </c>
    </row>
    <row r="170" spans="1:12" x14ac:dyDescent="0.3">
      <c r="A170" s="4" t="str">
        <f>IF(K170="","",164)</f>
        <v/>
      </c>
      <c r="B170" s="4" t="str">
        <f>IF(K170="","",INDEX(Интервалы!$A$2:$A$513,MATCH(K170,Интервалы!$G$2:$G$513,0)))</f>
        <v/>
      </c>
      <c r="C170" s="17" t="str">
        <f>IF(K170="","",INDEX(Интервалы!$C$2:$C$513,MATCH(K170,Интервалы!$G$2:$G$513,0)))</f>
        <v/>
      </c>
      <c r="D170" s="17" t="str">
        <f>IF(K170="","",INDEX(Интервалы!$D$2:$D$513,MATCH(K170,Интервалы!$G$2:$G$513,0)))</f>
        <v/>
      </c>
      <c r="E170" s="4" t="str">
        <f t="shared" si="2"/>
        <v/>
      </c>
      <c r="F170" s="8" t="str">
        <f>IF(K170="","",INDEX(Интервалы!$E$2:$E$513,MATCH(K170,Интервалы!$G$2:$G$513,0)))</f>
        <v/>
      </c>
      <c r="G170" s="18" t="str">
        <f>IF(K170="","",IF(H170=1,INDEX('По дням'!$B$2:$B$4000,MATCH(C170,'По дням'!$A$2:$A$4000,0)),"по периодам ставки"))</f>
        <v/>
      </c>
      <c r="H170" s="4" t="str">
        <f>IF(K170="","",INDEX(Интервалы!$I$2:$I$513,MATCH(K170,Интервалы!$G$2:$G$513,0)))</f>
        <v/>
      </c>
      <c r="I170" s="8" t="str">
        <f>IF(K170="","",INDEX(Интервалы!$F$2:$F$513,MATCH(K170,Интервалы!$G$2:$G$513,0)))</f>
        <v/>
      </c>
      <c r="J170" s="8" t="str">
        <f>IF(K170="","",INDEX(Интервалы!$H$2:$H$513,MATCH(K170,Интервалы!$G$2:$G$513,0)))</f>
        <v/>
      </c>
      <c r="K170" t="str">
        <f>IFERROR(SMALL(Интервалы!$G$2:$G$513,164),"")</f>
        <v/>
      </c>
      <c r="L170" t="str">
        <f>IF(K170="","",INDEX(Интервалы!$B$2:$B$513,MATCH(K170,Интервалы!$G$2:$G$513,0)))</f>
        <v/>
      </c>
    </row>
    <row r="171" spans="1:12" x14ac:dyDescent="0.3">
      <c r="A171" s="4" t="str">
        <f>IF(K171="","",165)</f>
        <v/>
      </c>
      <c r="B171" s="4" t="str">
        <f>IF(K171="","",INDEX(Интервалы!$A$2:$A$513,MATCH(K171,Интервалы!$G$2:$G$513,0)))</f>
        <v/>
      </c>
      <c r="C171" s="17" t="str">
        <f>IF(K171="","",INDEX(Интервалы!$C$2:$C$513,MATCH(K171,Интервалы!$G$2:$G$513,0)))</f>
        <v/>
      </c>
      <c r="D171" s="17" t="str">
        <f>IF(K171="","",INDEX(Интервалы!$D$2:$D$513,MATCH(K171,Интервалы!$G$2:$G$513,0)))</f>
        <v/>
      </c>
      <c r="E171" s="4" t="str">
        <f t="shared" si="2"/>
        <v/>
      </c>
      <c r="F171" s="8" t="str">
        <f>IF(K171="","",INDEX(Интервалы!$E$2:$E$513,MATCH(K171,Интервалы!$G$2:$G$513,0)))</f>
        <v/>
      </c>
      <c r="G171" s="18" t="str">
        <f>IF(K171="","",IF(H171=1,INDEX('По дням'!$B$2:$B$4000,MATCH(C171,'По дням'!$A$2:$A$4000,0)),"по периодам ставки"))</f>
        <v/>
      </c>
      <c r="H171" s="4" t="str">
        <f>IF(K171="","",INDEX(Интервалы!$I$2:$I$513,MATCH(K171,Интервалы!$G$2:$G$513,0)))</f>
        <v/>
      </c>
      <c r="I171" s="8" t="str">
        <f>IF(K171="","",INDEX(Интервалы!$F$2:$F$513,MATCH(K171,Интервалы!$G$2:$G$513,0)))</f>
        <v/>
      </c>
      <c r="J171" s="8" t="str">
        <f>IF(K171="","",INDEX(Интервалы!$H$2:$H$513,MATCH(K171,Интервалы!$G$2:$G$513,0)))</f>
        <v/>
      </c>
      <c r="K171" t="str">
        <f>IFERROR(SMALL(Интервалы!$G$2:$G$513,165),"")</f>
        <v/>
      </c>
      <c r="L171" t="str">
        <f>IF(K171="","",INDEX(Интервалы!$B$2:$B$513,MATCH(K171,Интервалы!$G$2:$G$513,0)))</f>
        <v/>
      </c>
    </row>
    <row r="172" spans="1:12" x14ac:dyDescent="0.3">
      <c r="A172" s="4" t="str">
        <f>IF(K172="","",166)</f>
        <v/>
      </c>
      <c r="B172" s="4" t="str">
        <f>IF(K172="","",INDEX(Интервалы!$A$2:$A$513,MATCH(K172,Интервалы!$G$2:$G$513,0)))</f>
        <v/>
      </c>
      <c r="C172" s="17" t="str">
        <f>IF(K172="","",INDEX(Интервалы!$C$2:$C$513,MATCH(K172,Интервалы!$G$2:$G$513,0)))</f>
        <v/>
      </c>
      <c r="D172" s="17" t="str">
        <f>IF(K172="","",INDEX(Интервалы!$D$2:$D$513,MATCH(K172,Интервалы!$G$2:$G$513,0)))</f>
        <v/>
      </c>
      <c r="E172" s="4" t="str">
        <f t="shared" si="2"/>
        <v/>
      </c>
      <c r="F172" s="8" t="str">
        <f>IF(K172="","",INDEX(Интервалы!$E$2:$E$513,MATCH(K172,Интервалы!$G$2:$G$513,0)))</f>
        <v/>
      </c>
      <c r="G172" s="18" t="str">
        <f>IF(K172="","",IF(H172=1,INDEX('По дням'!$B$2:$B$4000,MATCH(C172,'По дням'!$A$2:$A$4000,0)),"по периодам ставки"))</f>
        <v/>
      </c>
      <c r="H172" s="4" t="str">
        <f>IF(K172="","",INDEX(Интервалы!$I$2:$I$513,MATCH(K172,Интервалы!$G$2:$G$513,0)))</f>
        <v/>
      </c>
      <c r="I172" s="8" t="str">
        <f>IF(K172="","",INDEX(Интервалы!$F$2:$F$513,MATCH(K172,Интервалы!$G$2:$G$513,0)))</f>
        <v/>
      </c>
      <c r="J172" s="8" t="str">
        <f>IF(K172="","",INDEX(Интервалы!$H$2:$H$513,MATCH(K172,Интервалы!$G$2:$G$513,0)))</f>
        <v/>
      </c>
      <c r="K172" t="str">
        <f>IFERROR(SMALL(Интервалы!$G$2:$G$513,166),"")</f>
        <v/>
      </c>
      <c r="L172" t="str">
        <f>IF(K172="","",INDEX(Интервалы!$B$2:$B$513,MATCH(K172,Интервалы!$G$2:$G$513,0)))</f>
        <v/>
      </c>
    </row>
    <row r="173" spans="1:12" x14ac:dyDescent="0.3">
      <c r="A173" s="4" t="str">
        <f>IF(K173="","",167)</f>
        <v/>
      </c>
      <c r="B173" s="4" t="str">
        <f>IF(K173="","",INDEX(Интервалы!$A$2:$A$513,MATCH(K173,Интервалы!$G$2:$G$513,0)))</f>
        <v/>
      </c>
      <c r="C173" s="17" t="str">
        <f>IF(K173="","",INDEX(Интервалы!$C$2:$C$513,MATCH(K173,Интервалы!$G$2:$G$513,0)))</f>
        <v/>
      </c>
      <c r="D173" s="17" t="str">
        <f>IF(K173="","",INDEX(Интервалы!$D$2:$D$513,MATCH(K173,Интервалы!$G$2:$G$513,0)))</f>
        <v/>
      </c>
      <c r="E173" s="4" t="str">
        <f t="shared" si="2"/>
        <v/>
      </c>
      <c r="F173" s="8" t="str">
        <f>IF(K173="","",INDEX(Интервалы!$E$2:$E$513,MATCH(K173,Интервалы!$G$2:$G$513,0)))</f>
        <v/>
      </c>
      <c r="G173" s="18" t="str">
        <f>IF(K173="","",IF(H173=1,INDEX('По дням'!$B$2:$B$4000,MATCH(C173,'По дням'!$A$2:$A$4000,0)),"по периодам ставки"))</f>
        <v/>
      </c>
      <c r="H173" s="4" t="str">
        <f>IF(K173="","",INDEX(Интервалы!$I$2:$I$513,MATCH(K173,Интервалы!$G$2:$G$513,0)))</f>
        <v/>
      </c>
      <c r="I173" s="8" t="str">
        <f>IF(K173="","",INDEX(Интервалы!$F$2:$F$513,MATCH(K173,Интервалы!$G$2:$G$513,0)))</f>
        <v/>
      </c>
      <c r="J173" s="8" t="str">
        <f>IF(K173="","",INDEX(Интервалы!$H$2:$H$513,MATCH(K173,Интервалы!$G$2:$G$513,0)))</f>
        <v/>
      </c>
      <c r="K173" t="str">
        <f>IFERROR(SMALL(Интервалы!$G$2:$G$513,167),"")</f>
        <v/>
      </c>
      <c r="L173" t="str">
        <f>IF(K173="","",INDEX(Интервалы!$B$2:$B$513,MATCH(K173,Интервалы!$G$2:$G$513,0)))</f>
        <v/>
      </c>
    </row>
    <row r="174" spans="1:12" x14ac:dyDescent="0.3">
      <c r="A174" s="4" t="str">
        <f>IF(K174="","",168)</f>
        <v/>
      </c>
      <c r="B174" s="4" t="str">
        <f>IF(K174="","",INDEX(Интервалы!$A$2:$A$513,MATCH(K174,Интервалы!$G$2:$G$513,0)))</f>
        <v/>
      </c>
      <c r="C174" s="17" t="str">
        <f>IF(K174="","",INDEX(Интервалы!$C$2:$C$513,MATCH(K174,Интервалы!$G$2:$G$513,0)))</f>
        <v/>
      </c>
      <c r="D174" s="17" t="str">
        <f>IF(K174="","",INDEX(Интервалы!$D$2:$D$513,MATCH(K174,Интервалы!$G$2:$G$513,0)))</f>
        <v/>
      </c>
      <c r="E174" s="4" t="str">
        <f t="shared" si="2"/>
        <v/>
      </c>
      <c r="F174" s="8" t="str">
        <f>IF(K174="","",INDEX(Интервалы!$E$2:$E$513,MATCH(K174,Интервалы!$G$2:$G$513,0)))</f>
        <v/>
      </c>
      <c r="G174" s="18" t="str">
        <f>IF(K174="","",IF(H174=1,INDEX('По дням'!$B$2:$B$4000,MATCH(C174,'По дням'!$A$2:$A$4000,0)),"по периодам ставки"))</f>
        <v/>
      </c>
      <c r="H174" s="4" t="str">
        <f>IF(K174="","",INDEX(Интервалы!$I$2:$I$513,MATCH(K174,Интервалы!$G$2:$G$513,0)))</f>
        <v/>
      </c>
      <c r="I174" s="8" t="str">
        <f>IF(K174="","",INDEX(Интервалы!$F$2:$F$513,MATCH(K174,Интервалы!$G$2:$G$513,0)))</f>
        <v/>
      </c>
      <c r="J174" s="8" t="str">
        <f>IF(K174="","",INDEX(Интервалы!$H$2:$H$513,MATCH(K174,Интервалы!$G$2:$G$513,0)))</f>
        <v/>
      </c>
      <c r="K174" t="str">
        <f>IFERROR(SMALL(Интервалы!$G$2:$G$513,168),"")</f>
        <v/>
      </c>
      <c r="L174" t="str">
        <f>IF(K174="","",INDEX(Интервалы!$B$2:$B$513,MATCH(K174,Интервалы!$G$2:$G$513,0)))</f>
        <v/>
      </c>
    </row>
    <row r="175" spans="1:12" x14ac:dyDescent="0.3">
      <c r="A175" s="4" t="str">
        <f>IF(K175="","",169)</f>
        <v/>
      </c>
      <c r="B175" s="4" t="str">
        <f>IF(K175="","",INDEX(Интервалы!$A$2:$A$513,MATCH(K175,Интервалы!$G$2:$G$513,0)))</f>
        <v/>
      </c>
      <c r="C175" s="17" t="str">
        <f>IF(K175="","",INDEX(Интервалы!$C$2:$C$513,MATCH(K175,Интервалы!$G$2:$G$513,0)))</f>
        <v/>
      </c>
      <c r="D175" s="17" t="str">
        <f>IF(K175="","",INDEX(Интервалы!$D$2:$D$513,MATCH(K175,Интервалы!$G$2:$G$513,0)))</f>
        <v/>
      </c>
      <c r="E175" s="4" t="str">
        <f t="shared" si="2"/>
        <v/>
      </c>
      <c r="F175" s="8" t="str">
        <f>IF(K175="","",INDEX(Интервалы!$E$2:$E$513,MATCH(K175,Интервалы!$G$2:$G$513,0)))</f>
        <v/>
      </c>
      <c r="G175" s="18" t="str">
        <f>IF(K175="","",IF(H175=1,INDEX('По дням'!$B$2:$B$4000,MATCH(C175,'По дням'!$A$2:$A$4000,0)),"по периодам ставки"))</f>
        <v/>
      </c>
      <c r="H175" s="4" t="str">
        <f>IF(K175="","",INDEX(Интервалы!$I$2:$I$513,MATCH(K175,Интервалы!$G$2:$G$513,0)))</f>
        <v/>
      </c>
      <c r="I175" s="8" t="str">
        <f>IF(K175="","",INDEX(Интервалы!$F$2:$F$513,MATCH(K175,Интервалы!$G$2:$G$513,0)))</f>
        <v/>
      </c>
      <c r="J175" s="8" t="str">
        <f>IF(K175="","",INDEX(Интервалы!$H$2:$H$513,MATCH(K175,Интервалы!$G$2:$G$513,0)))</f>
        <v/>
      </c>
      <c r="K175" t="str">
        <f>IFERROR(SMALL(Интервалы!$G$2:$G$513,169),"")</f>
        <v/>
      </c>
      <c r="L175" t="str">
        <f>IF(K175="","",INDEX(Интервалы!$B$2:$B$513,MATCH(K175,Интервалы!$G$2:$G$513,0)))</f>
        <v/>
      </c>
    </row>
    <row r="176" spans="1:12" x14ac:dyDescent="0.3">
      <c r="A176" s="4" t="str">
        <f>IF(K176="","",170)</f>
        <v/>
      </c>
      <c r="B176" s="4" t="str">
        <f>IF(K176="","",INDEX(Интервалы!$A$2:$A$513,MATCH(K176,Интервалы!$G$2:$G$513,0)))</f>
        <v/>
      </c>
      <c r="C176" s="17" t="str">
        <f>IF(K176="","",INDEX(Интервалы!$C$2:$C$513,MATCH(K176,Интервалы!$G$2:$G$513,0)))</f>
        <v/>
      </c>
      <c r="D176" s="17" t="str">
        <f>IF(K176="","",INDEX(Интервалы!$D$2:$D$513,MATCH(K176,Интервалы!$G$2:$G$513,0)))</f>
        <v/>
      </c>
      <c r="E176" s="4" t="str">
        <f t="shared" si="2"/>
        <v/>
      </c>
      <c r="F176" s="8" t="str">
        <f>IF(K176="","",INDEX(Интервалы!$E$2:$E$513,MATCH(K176,Интервалы!$G$2:$G$513,0)))</f>
        <v/>
      </c>
      <c r="G176" s="18" t="str">
        <f>IF(K176="","",IF(H176=1,INDEX('По дням'!$B$2:$B$4000,MATCH(C176,'По дням'!$A$2:$A$4000,0)),"по периодам ставки"))</f>
        <v/>
      </c>
      <c r="H176" s="4" t="str">
        <f>IF(K176="","",INDEX(Интервалы!$I$2:$I$513,MATCH(K176,Интервалы!$G$2:$G$513,0)))</f>
        <v/>
      </c>
      <c r="I176" s="8" t="str">
        <f>IF(K176="","",INDEX(Интервалы!$F$2:$F$513,MATCH(K176,Интервалы!$G$2:$G$513,0)))</f>
        <v/>
      </c>
      <c r="J176" s="8" t="str">
        <f>IF(K176="","",INDEX(Интервалы!$H$2:$H$513,MATCH(K176,Интервалы!$G$2:$G$513,0)))</f>
        <v/>
      </c>
      <c r="K176" t="str">
        <f>IFERROR(SMALL(Интервалы!$G$2:$G$513,170),"")</f>
        <v/>
      </c>
      <c r="L176" t="str">
        <f>IF(K176="","",INDEX(Интервалы!$B$2:$B$513,MATCH(K176,Интервалы!$G$2:$G$513,0)))</f>
        <v/>
      </c>
    </row>
    <row r="177" spans="1:12" x14ac:dyDescent="0.3">
      <c r="A177" s="4" t="str">
        <f>IF(K177="","",171)</f>
        <v/>
      </c>
      <c r="B177" s="4" t="str">
        <f>IF(K177="","",INDEX(Интервалы!$A$2:$A$513,MATCH(K177,Интервалы!$G$2:$G$513,0)))</f>
        <v/>
      </c>
      <c r="C177" s="17" t="str">
        <f>IF(K177="","",INDEX(Интервалы!$C$2:$C$513,MATCH(K177,Интервалы!$G$2:$G$513,0)))</f>
        <v/>
      </c>
      <c r="D177" s="17" t="str">
        <f>IF(K177="","",INDEX(Интервалы!$D$2:$D$513,MATCH(K177,Интервалы!$G$2:$G$513,0)))</f>
        <v/>
      </c>
      <c r="E177" s="4" t="str">
        <f t="shared" si="2"/>
        <v/>
      </c>
      <c r="F177" s="8" t="str">
        <f>IF(K177="","",INDEX(Интервалы!$E$2:$E$513,MATCH(K177,Интервалы!$G$2:$G$513,0)))</f>
        <v/>
      </c>
      <c r="G177" s="18" t="str">
        <f>IF(K177="","",IF(H177=1,INDEX('По дням'!$B$2:$B$4000,MATCH(C177,'По дням'!$A$2:$A$4000,0)),"по периодам ставки"))</f>
        <v/>
      </c>
      <c r="H177" s="4" t="str">
        <f>IF(K177="","",INDEX(Интервалы!$I$2:$I$513,MATCH(K177,Интервалы!$G$2:$G$513,0)))</f>
        <v/>
      </c>
      <c r="I177" s="8" t="str">
        <f>IF(K177="","",INDEX(Интервалы!$F$2:$F$513,MATCH(K177,Интервалы!$G$2:$G$513,0)))</f>
        <v/>
      </c>
      <c r="J177" s="8" t="str">
        <f>IF(K177="","",INDEX(Интервалы!$H$2:$H$513,MATCH(K177,Интервалы!$G$2:$G$513,0)))</f>
        <v/>
      </c>
      <c r="K177" t="str">
        <f>IFERROR(SMALL(Интервалы!$G$2:$G$513,171),"")</f>
        <v/>
      </c>
      <c r="L177" t="str">
        <f>IF(K177="","",INDEX(Интервалы!$B$2:$B$513,MATCH(K177,Интервалы!$G$2:$G$513,0)))</f>
        <v/>
      </c>
    </row>
    <row r="178" spans="1:12" x14ac:dyDescent="0.3">
      <c r="A178" s="4" t="str">
        <f>IF(K178="","",172)</f>
        <v/>
      </c>
      <c r="B178" s="4" t="str">
        <f>IF(K178="","",INDEX(Интервалы!$A$2:$A$513,MATCH(K178,Интервалы!$G$2:$G$513,0)))</f>
        <v/>
      </c>
      <c r="C178" s="17" t="str">
        <f>IF(K178="","",INDEX(Интервалы!$C$2:$C$513,MATCH(K178,Интервалы!$G$2:$G$513,0)))</f>
        <v/>
      </c>
      <c r="D178" s="17" t="str">
        <f>IF(K178="","",INDEX(Интервалы!$D$2:$D$513,MATCH(K178,Интервалы!$G$2:$G$513,0)))</f>
        <v/>
      </c>
      <c r="E178" s="4" t="str">
        <f t="shared" si="2"/>
        <v/>
      </c>
      <c r="F178" s="8" t="str">
        <f>IF(K178="","",INDEX(Интервалы!$E$2:$E$513,MATCH(K178,Интервалы!$G$2:$G$513,0)))</f>
        <v/>
      </c>
      <c r="G178" s="18" t="str">
        <f>IF(K178="","",IF(H178=1,INDEX('По дням'!$B$2:$B$4000,MATCH(C178,'По дням'!$A$2:$A$4000,0)),"по периодам ставки"))</f>
        <v/>
      </c>
      <c r="H178" s="4" t="str">
        <f>IF(K178="","",INDEX(Интервалы!$I$2:$I$513,MATCH(K178,Интервалы!$G$2:$G$513,0)))</f>
        <v/>
      </c>
      <c r="I178" s="8" t="str">
        <f>IF(K178="","",INDEX(Интервалы!$F$2:$F$513,MATCH(K178,Интервалы!$G$2:$G$513,0)))</f>
        <v/>
      </c>
      <c r="J178" s="8" t="str">
        <f>IF(K178="","",INDEX(Интервалы!$H$2:$H$513,MATCH(K178,Интервалы!$G$2:$G$513,0)))</f>
        <v/>
      </c>
      <c r="K178" t="str">
        <f>IFERROR(SMALL(Интервалы!$G$2:$G$513,172),"")</f>
        <v/>
      </c>
      <c r="L178" t="str">
        <f>IF(K178="","",INDEX(Интервалы!$B$2:$B$513,MATCH(K178,Интервалы!$G$2:$G$513,0)))</f>
        <v/>
      </c>
    </row>
    <row r="179" spans="1:12" x14ac:dyDescent="0.3">
      <c r="A179" s="4" t="str">
        <f>IF(K179="","",173)</f>
        <v/>
      </c>
      <c r="B179" s="4" t="str">
        <f>IF(K179="","",INDEX(Интервалы!$A$2:$A$513,MATCH(K179,Интервалы!$G$2:$G$513,0)))</f>
        <v/>
      </c>
      <c r="C179" s="17" t="str">
        <f>IF(K179="","",INDEX(Интервалы!$C$2:$C$513,MATCH(K179,Интервалы!$G$2:$G$513,0)))</f>
        <v/>
      </c>
      <c r="D179" s="17" t="str">
        <f>IF(K179="","",INDEX(Интервалы!$D$2:$D$513,MATCH(K179,Интервалы!$G$2:$G$513,0)))</f>
        <v/>
      </c>
      <c r="E179" s="4" t="str">
        <f t="shared" si="2"/>
        <v/>
      </c>
      <c r="F179" s="8" t="str">
        <f>IF(K179="","",INDEX(Интервалы!$E$2:$E$513,MATCH(K179,Интервалы!$G$2:$G$513,0)))</f>
        <v/>
      </c>
      <c r="G179" s="18" t="str">
        <f>IF(K179="","",IF(H179=1,INDEX('По дням'!$B$2:$B$4000,MATCH(C179,'По дням'!$A$2:$A$4000,0)),"по периодам ставки"))</f>
        <v/>
      </c>
      <c r="H179" s="4" t="str">
        <f>IF(K179="","",INDEX(Интервалы!$I$2:$I$513,MATCH(K179,Интервалы!$G$2:$G$513,0)))</f>
        <v/>
      </c>
      <c r="I179" s="8" t="str">
        <f>IF(K179="","",INDEX(Интервалы!$F$2:$F$513,MATCH(K179,Интервалы!$G$2:$G$513,0)))</f>
        <v/>
      </c>
      <c r="J179" s="8" t="str">
        <f>IF(K179="","",INDEX(Интервалы!$H$2:$H$513,MATCH(K179,Интервалы!$G$2:$G$513,0)))</f>
        <v/>
      </c>
      <c r="K179" t="str">
        <f>IFERROR(SMALL(Интервалы!$G$2:$G$513,173),"")</f>
        <v/>
      </c>
      <c r="L179" t="str">
        <f>IF(K179="","",INDEX(Интервалы!$B$2:$B$513,MATCH(K179,Интервалы!$G$2:$G$513,0)))</f>
        <v/>
      </c>
    </row>
    <row r="180" spans="1:12" x14ac:dyDescent="0.3">
      <c r="A180" s="4" t="str">
        <f>IF(K180="","",174)</f>
        <v/>
      </c>
      <c r="B180" s="4" t="str">
        <f>IF(K180="","",INDEX(Интервалы!$A$2:$A$513,MATCH(K180,Интервалы!$G$2:$G$513,0)))</f>
        <v/>
      </c>
      <c r="C180" s="17" t="str">
        <f>IF(K180="","",INDEX(Интервалы!$C$2:$C$513,MATCH(K180,Интервалы!$G$2:$G$513,0)))</f>
        <v/>
      </c>
      <c r="D180" s="17" t="str">
        <f>IF(K180="","",INDEX(Интервалы!$D$2:$D$513,MATCH(K180,Интервалы!$G$2:$G$513,0)))</f>
        <v/>
      </c>
      <c r="E180" s="4" t="str">
        <f t="shared" si="2"/>
        <v/>
      </c>
      <c r="F180" s="8" t="str">
        <f>IF(K180="","",INDEX(Интервалы!$E$2:$E$513,MATCH(K180,Интервалы!$G$2:$G$513,0)))</f>
        <v/>
      </c>
      <c r="G180" s="18" t="str">
        <f>IF(K180="","",IF(H180=1,INDEX('По дням'!$B$2:$B$4000,MATCH(C180,'По дням'!$A$2:$A$4000,0)),"по периодам ставки"))</f>
        <v/>
      </c>
      <c r="H180" s="4" t="str">
        <f>IF(K180="","",INDEX(Интервалы!$I$2:$I$513,MATCH(K180,Интервалы!$G$2:$G$513,0)))</f>
        <v/>
      </c>
      <c r="I180" s="8" t="str">
        <f>IF(K180="","",INDEX(Интервалы!$F$2:$F$513,MATCH(K180,Интервалы!$G$2:$G$513,0)))</f>
        <v/>
      </c>
      <c r="J180" s="8" t="str">
        <f>IF(K180="","",INDEX(Интервалы!$H$2:$H$513,MATCH(K180,Интервалы!$G$2:$G$513,0)))</f>
        <v/>
      </c>
      <c r="K180" t="str">
        <f>IFERROR(SMALL(Интервалы!$G$2:$G$513,174),"")</f>
        <v/>
      </c>
      <c r="L180" t="str">
        <f>IF(K180="","",INDEX(Интервалы!$B$2:$B$513,MATCH(K180,Интервалы!$G$2:$G$513,0)))</f>
        <v/>
      </c>
    </row>
    <row r="181" spans="1:12" x14ac:dyDescent="0.3">
      <c r="A181" s="4" t="str">
        <f>IF(K181="","",175)</f>
        <v/>
      </c>
      <c r="B181" s="4" t="str">
        <f>IF(K181="","",INDEX(Интервалы!$A$2:$A$513,MATCH(K181,Интервалы!$G$2:$G$513,0)))</f>
        <v/>
      </c>
      <c r="C181" s="17" t="str">
        <f>IF(K181="","",INDEX(Интервалы!$C$2:$C$513,MATCH(K181,Интервалы!$G$2:$G$513,0)))</f>
        <v/>
      </c>
      <c r="D181" s="17" t="str">
        <f>IF(K181="","",INDEX(Интервалы!$D$2:$D$513,MATCH(K181,Интервалы!$G$2:$G$513,0)))</f>
        <v/>
      </c>
      <c r="E181" s="4" t="str">
        <f t="shared" si="2"/>
        <v/>
      </c>
      <c r="F181" s="8" t="str">
        <f>IF(K181="","",INDEX(Интервалы!$E$2:$E$513,MATCH(K181,Интервалы!$G$2:$G$513,0)))</f>
        <v/>
      </c>
      <c r="G181" s="18" t="str">
        <f>IF(K181="","",IF(H181=1,INDEX('По дням'!$B$2:$B$4000,MATCH(C181,'По дням'!$A$2:$A$4000,0)),"по периодам ставки"))</f>
        <v/>
      </c>
      <c r="H181" s="4" t="str">
        <f>IF(K181="","",INDEX(Интервалы!$I$2:$I$513,MATCH(K181,Интервалы!$G$2:$G$513,0)))</f>
        <v/>
      </c>
      <c r="I181" s="8" t="str">
        <f>IF(K181="","",INDEX(Интервалы!$F$2:$F$513,MATCH(K181,Интервалы!$G$2:$G$513,0)))</f>
        <v/>
      </c>
      <c r="J181" s="8" t="str">
        <f>IF(K181="","",INDEX(Интервалы!$H$2:$H$513,MATCH(K181,Интервалы!$G$2:$G$513,0)))</f>
        <v/>
      </c>
      <c r="K181" t="str">
        <f>IFERROR(SMALL(Интервалы!$G$2:$G$513,175),"")</f>
        <v/>
      </c>
      <c r="L181" t="str">
        <f>IF(K181="","",INDEX(Интервалы!$B$2:$B$513,MATCH(K181,Интервалы!$G$2:$G$513,0)))</f>
        <v/>
      </c>
    </row>
    <row r="182" spans="1:12" x14ac:dyDescent="0.3">
      <c r="A182" s="4" t="str">
        <f>IF(K182="","",176)</f>
        <v/>
      </c>
      <c r="B182" s="4" t="str">
        <f>IF(K182="","",INDEX(Интервалы!$A$2:$A$513,MATCH(K182,Интервалы!$G$2:$G$513,0)))</f>
        <v/>
      </c>
      <c r="C182" s="17" t="str">
        <f>IF(K182="","",INDEX(Интервалы!$C$2:$C$513,MATCH(K182,Интервалы!$G$2:$G$513,0)))</f>
        <v/>
      </c>
      <c r="D182" s="17" t="str">
        <f>IF(K182="","",INDEX(Интервалы!$D$2:$D$513,MATCH(K182,Интервалы!$G$2:$G$513,0)))</f>
        <v/>
      </c>
      <c r="E182" s="4" t="str">
        <f t="shared" si="2"/>
        <v/>
      </c>
      <c r="F182" s="8" t="str">
        <f>IF(K182="","",INDEX(Интервалы!$E$2:$E$513,MATCH(K182,Интервалы!$G$2:$G$513,0)))</f>
        <v/>
      </c>
      <c r="G182" s="18" t="str">
        <f>IF(K182="","",IF(H182=1,INDEX('По дням'!$B$2:$B$4000,MATCH(C182,'По дням'!$A$2:$A$4000,0)),"по периодам ставки"))</f>
        <v/>
      </c>
      <c r="H182" s="4" t="str">
        <f>IF(K182="","",INDEX(Интервалы!$I$2:$I$513,MATCH(K182,Интервалы!$G$2:$G$513,0)))</f>
        <v/>
      </c>
      <c r="I182" s="8" t="str">
        <f>IF(K182="","",INDEX(Интервалы!$F$2:$F$513,MATCH(K182,Интервалы!$G$2:$G$513,0)))</f>
        <v/>
      </c>
      <c r="J182" s="8" t="str">
        <f>IF(K182="","",INDEX(Интервалы!$H$2:$H$513,MATCH(K182,Интервалы!$G$2:$G$513,0)))</f>
        <v/>
      </c>
      <c r="K182" t="str">
        <f>IFERROR(SMALL(Интервалы!$G$2:$G$513,176),"")</f>
        <v/>
      </c>
      <c r="L182" t="str">
        <f>IF(K182="","",INDEX(Интервалы!$B$2:$B$513,MATCH(K182,Интервалы!$G$2:$G$513,0)))</f>
        <v/>
      </c>
    </row>
    <row r="183" spans="1:12" x14ac:dyDescent="0.3">
      <c r="A183" s="4" t="str">
        <f>IF(K183="","",177)</f>
        <v/>
      </c>
      <c r="B183" s="4" t="str">
        <f>IF(K183="","",INDEX(Интервалы!$A$2:$A$513,MATCH(K183,Интервалы!$G$2:$G$513,0)))</f>
        <v/>
      </c>
      <c r="C183" s="17" t="str">
        <f>IF(K183="","",INDEX(Интервалы!$C$2:$C$513,MATCH(K183,Интервалы!$G$2:$G$513,0)))</f>
        <v/>
      </c>
      <c r="D183" s="17" t="str">
        <f>IF(K183="","",INDEX(Интервалы!$D$2:$D$513,MATCH(K183,Интервалы!$G$2:$G$513,0)))</f>
        <v/>
      </c>
      <c r="E183" s="4" t="str">
        <f t="shared" si="2"/>
        <v/>
      </c>
      <c r="F183" s="8" t="str">
        <f>IF(K183="","",INDEX(Интервалы!$E$2:$E$513,MATCH(K183,Интервалы!$G$2:$G$513,0)))</f>
        <v/>
      </c>
      <c r="G183" s="18" t="str">
        <f>IF(K183="","",IF(H183=1,INDEX('По дням'!$B$2:$B$4000,MATCH(C183,'По дням'!$A$2:$A$4000,0)),"по периодам ставки"))</f>
        <v/>
      </c>
      <c r="H183" s="4" t="str">
        <f>IF(K183="","",INDEX(Интервалы!$I$2:$I$513,MATCH(K183,Интервалы!$G$2:$G$513,0)))</f>
        <v/>
      </c>
      <c r="I183" s="8" t="str">
        <f>IF(K183="","",INDEX(Интервалы!$F$2:$F$513,MATCH(K183,Интервалы!$G$2:$G$513,0)))</f>
        <v/>
      </c>
      <c r="J183" s="8" t="str">
        <f>IF(K183="","",INDEX(Интервалы!$H$2:$H$513,MATCH(K183,Интервалы!$G$2:$G$513,0)))</f>
        <v/>
      </c>
      <c r="K183" t="str">
        <f>IFERROR(SMALL(Интервалы!$G$2:$G$513,177),"")</f>
        <v/>
      </c>
      <c r="L183" t="str">
        <f>IF(K183="","",INDEX(Интервалы!$B$2:$B$513,MATCH(K183,Интервалы!$G$2:$G$513,0)))</f>
        <v/>
      </c>
    </row>
    <row r="184" spans="1:12" x14ac:dyDescent="0.3">
      <c r="A184" s="4" t="str">
        <f>IF(K184="","",178)</f>
        <v/>
      </c>
      <c r="B184" s="4" t="str">
        <f>IF(K184="","",INDEX(Интервалы!$A$2:$A$513,MATCH(K184,Интервалы!$G$2:$G$513,0)))</f>
        <v/>
      </c>
      <c r="C184" s="17" t="str">
        <f>IF(K184="","",INDEX(Интервалы!$C$2:$C$513,MATCH(K184,Интервалы!$G$2:$G$513,0)))</f>
        <v/>
      </c>
      <c r="D184" s="17" t="str">
        <f>IF(K184="","",INDEX(Интервалы!$D$2:$D$513,MATCH(K184,Интервалы!$G$2:$G$513,0)))</f>
        <v/>
      </c>
      <c r="E184" s="4" t="str">
        <f t="shared" si="2"/>
        <v/>
      </c>
      <c r="F184" s="8" t="str">
        <f>IF(K184="","",INDEX(Интервалы!$E$2:$E$513,MATCH(K184,Интервалы!$G$2:$G$513,0)))</f>
        <v/>
      </c>
      <c r="G184" s="18" t="str">
        <f>IF(K184="","",IF(H184=1,INDEX('По дням'!$B$2:$B$4000,MATCH(C184,'По дням'!$A$2:$A$4000,0)),"по периодам ставки"))</f>
        <v/>
      </c>
      <c r="H184" s="4" t="str">
        <f>IF(K184="","",INDEX(Интервалы!$I$2:$I$513,MATCH(K184,Интервалы!$G$2:$G$513,0)))</f>
        <v/>
      </c>
      <c r="I184" s="8" t="str">
        <f>IF(K184="","",INDEX(Интервалы!$F$2:$F$513,MATCH(K184,Интервалы!$G$2:$G$513,0)))</f>
        <v/>
      </c>
      <c r="J184" s="8" t="str">
        <f>IF(K184="","",INDEX(Интервалы!$H$2:$H$513,MATCH(K184,Интервалы!$G$2:$G$513,0)))</f>
        <v/>
      </c>
      <c r="K184" t="str">
        <f>IFERROR(SMALL(Интервалы!$G$2:$G$513,178),"")</f>
        <v/>
      </c>
      <c r="L184" t="str">
        <f>IF(K184="","",INDEX(Интервалы!$B$2:$B$513,MATCH(K184,Интервалы!$G$2:$G$513,0)))</f>
        <v/>
      </c>
    </row>
    <row r="185" spans="1:12" x14ac:dyDescent="0.3">
      <c r="A185" s="4" t="str">
        <f>IF(K185="","",179)</f>
        <v/>
      </c>
      <c r="B185" s="4" t="str">
        <f>IF(K185="","",INDEX(Интервалы!$A$2:$A$513,MATCH(K185,Интервалы!$G$2:$G$513,0)))</f>
        <v/>
      </c>
      <c r="C185" s="17" t="str">
        <f>IF(K185="","",INDEX(Интервалы!$C$2:$C$513,MATCH(K185,Интервалы!$G$2:$G$513,0)))</f>
        <v/>
      </c>
      <c r="D185" s="17" t="str">
        <f>IF(K185="","",INDEX(Интервалы!$D$2:$D$513,MATCH(K185,Интервалы!$G$2:$G$513,0)))</f>
        <v/>
      </c>
      <c r="E185" s="4" t="str">
        <f t="shared" si="2"/>
        <v/>
      </c>
      <c r="F185" s="8" t="str">
        <f>IF(K185="","",INDEX(Интервалы!$E$2:$E$513,MATCH(K185,Интервалы!$G$2:$G$513,0)))</f>
        <v/>
      </c>
      <c r="G185" s="18" t="str">
        <f>IF(K185="","",IF(H185=1,INDEX('По дням'!$B$2:$B$4000,MATCH(C185,'По дням'!$A$2:$A$4000,0)),"по периодам ставки"))</f>
        <v/>
      </c>
      <c r="H185" s="4" t="str">
        <f>IF(K185="","",INDEX(Интервалы!$I$2:$I$513,MATCH(K185,Интервалы!$G$2:$G$513,0)))</f>
        <v/>
      </c>
      <c r="I185" s="8" t="str">
        <f>IF(K185="","",INDEX(Интервалы!$F$2:$F$513,MATCH(K185,Интервалы!$G$2:$G$513,0)))</f>
        <v/>
      </c>
      <c r="J185" s="8" t="str">
        <f>IF(K185="","",INDEX(Интервалы!$H$2:$H$513,MATCH(K185,Интервалы!$G$2:$G$513,0)))</f>
        <v/>
      </c>
      <c r="K185" t="str">
        <f>IFERROR(SMALL(Интервалы!$G$2:$G$513,179),"")</f>
        <v/>
      </c>
      <c r="L185" t="str">
        <f>IF(K185="","",INDEX(Интервалы!$B$2:$B$513,MATCH(K185,Интервалы!$G$2:$G$513,0)))</f>
        <v/>
      </c>
    </row>
    <row r="186" spans="1:12" x14ac:dyDescent="0.3">
      <c r="A186" s="4" t="str">
        <f>IF(K186="","",180)</f>
        <v/>
      </c>
      <c r="B186" s="4" t="str">
        <f>IF(K186="","",INDEX(Интервалы!$A$2:$A$513,MATCH(K186,Интервалы!$G$2:$G$513,0)))</f>
        <v/>
      </c>
      <c r="C186" s="17" t="str">
        <f>IF(K186="","",INDEX(Интервалы!$C$2:$C$513,MATCH(K186,Интервалы!$G$2:$G$513,0)))</f>
        <v/>
      </c>
      <c r="D186" s="17" t="str">
        <f>IF(K186="","",INDEX(Интервалы!$D$2:$D$513,MATCH(K186,Интервалы!$G$2:$G$513,0)))</f>
        <v/>
      </c>
      <c r="E186" s="4" t="str">
        <f t="shared" si="2"/>
        <v/>
      </c>
      <c r="F186" s="8" t="str">
        <f>IF(K186="","",INDEX(Интервалы!$E$2:$E$513,MATCH(K186,Интервалы!$G$2:$G$513,0)))</f>
        <v/>
      </c>
      <c r="G186" s="18" t="str">
        <f>IF(K186="","",IF(H186=1,INDEX('По дням'!$B$2:$B$4000,MATCH(C186,'По дням'!$A$2:$A$4000,0)),"по периодам ставки"))</f>
        <v/>
      </c>
      <c r="H186" s="4" t="str">
        <f>IF(K186="","",INDEX(Интервалы!$I$2:$I$513,MATCH(K186,Интервалы!$G$2:$G$513,0)))</f>
        <v/>
      </c>
      <c r="I186" s="8" t="str">
        <f>IF(K186="","",INDEX(Интервалы!$F$2:$F$513,MATCH(K186,Интервалы!$G$2:$G$513,0)))</f>
        <v/>
      </c>
      <c r="J186" s="8" t="str">
        <f>IF(K186="","",INDEX(Интервалы!$H$2:$H$513,MATCH(K186,Интервалы!$G$2:$G$513,0)))</f>
        <v/>
      </c>
      <c r="K186" t="str">
        <f>IFERROR(SMALL(Интервалы!$G$2:$G$513,180),"")</f>
        <v/>
      </c>
      <c r="L186" t="str">
        <f>IF(K186="","",INDEX(Интервалы!$B$2:$B$513,MATCH(K186,Интервалы!$G$2:$G$513,0)))</f>
        <v/>
      </c>
    </row>
    <row r="187" spans="1:12" x14ac:dyDescent="0.3">
      <c r="A187" s="4" t="str">
        <f>IF(K187="","",181)</f>
        <v/>
      </c>
      <c r="B187" s="4" t="str">
        <f>IF(K187="","",INDEX(Интервалы!$A$2:$A$513,MATCH(K187,Интервалы!$G$2:$G$513,0)))</f>
        <v/>
      </c>
      <c r="C187" s="17" t="str">
        <f>IF(K187="","",INDEX(Интервалы!$C$2:$C$513,MATCH(K187,Интервалы!$G$2:$G$513,0)))</f>
        <v/>
      </c>
      <c r="D187" s="17" t="str">
        <f>IF(K187="","",INDEX(Интервалы!$D$2:$D$513,MATCH(K187,Интервалы!$G$2:$G$513,0)))</f>
        <v/>
      </c>
      <c r="E187" s="4" t="str">
        <f t="shared" si="2"/>
        <v/>
      </c>
      <c r="F187" s="8" t="str">
        <f>IF(K187="","",INDEX(Интервалы!$E$2:$E$513,MATCH(K187,Интервалы!$G$2:$G$513,0)))</f>
        <v/>
      </c>
      <c r="G187" s="18" t="str">
        <f>IF(K187="","",IF(H187=1,INDEX('По дням'!$B$2:$B$4000,MATCH(C187,'По дням'!$A$2:$A$4000,0)),"по периодам ставки"))</f>
        <v/>
      </c>
      <c r="H187" s="4" t="str">
        <f>IF(K187="","",INDEX(Интервалы!$I$2:$I$513,MATCH(K187,Интервалы!$G$2:$G$513,0)))</f>
        <v/>
      </c>
      <c r="I187" s="8" t="str">
        <f>IF(K187="","",INDEX(Интервалы!$F$2:$F$513,MATCH(K187,Интервалы!$G$2:$G$513,0)))</f>
        <v/>
      </c>
      <c r="J187" s="8" t="str">
        <f>IF(K187="","",INDEX(Интервалы!$H$2:$H$513,MATCH(K187,Интервалы!$G$2:$G$513,0)))</f>
        <v/>
      </c>
      <c r="K187" t="str">
        <f>IFERROR(SMALL(Интервалы!$G$2:$G$513,181),"")</f>
        <v/>
      </c>
      <c r="L187" t="str">
        <f>IF(K187="","",INDEX(Интервалы!$B$2:$B$513,MATCH(K187,Интервалы!$G$2:$G$513,0)))</f>
        <v/>
      </c>
    </row>
    <row r="188" spans="1:12" x14ac:dyDescent="0.3">
      <c r="A188" s="4" t="str">
        <f>IF(K188="","",182)</f>
        <v/>
      </c>
      <c r="B188" s="4" t="str">
        <f>IF(K188="","",INDEX(Интервалы!$A$2:$A$513,MATCH(K188,Интервалы!$G$2:$G$513,0)))</f>
        <v/>
      </c>
      <c r="C188" s="17" t="str">
        <f>IF(K188="","",INDEX(Интервалы!$C$2:$C$513,MATCH(K188,Интервалы!$G$2:$G$513,0)))</f>
        <v/>
      </c>
      <c r="D188" s="17" t="str">
        <f>IF(K188="","",INDEX(Интервалы!$D$2:$D$513,MATCH(K188,Интервалы!$G$2:$G$513,0)))</f>
        <v/>
      </c>
      <c r="E188" s="4" t="str">
        <f t="shared" si="2"/>
        <v/>
      </c>
      <c r="F188" s="8" t="str">
        <f>IF(K188="","",INDEX(Интервалы!$E$2:$E$513,MATCH(K188,Интервалы!$G$2:$G$513,0)))</f>
        <v/>
      </c>
      <c r="G188" s="18" t="str">
        <f>IF(K188="","",IF(H188=1,INDEX('По дням'!$B$2:$B$4000,MATCH(C188,'По дням'!$A$2:$A$4000,0)),"по периодам ставки"))</f>
        <v/>
      </c>
      <c r="H188" s="4" t="str">
        <f>IF(K188="","",INDEX(Интервалы!$I$2:$I$513,MATCH(K188,Интервалы!$G$2:$G$513,0)))</f>
        <v/>
      </c>
      <c r="I188" s="8" t="str">
        <f>IF(K188="","",INDEX(Интервалы!$F$2:$F$513,MATCH(K188,Интервалы!$G$2:$G$513,0)))</f>
        <v/>
      </c>
      <c r="J188" s="8" t="str">
        <f>IF(K188="","",INDEX(Интервалы!$H$2:$H$513,MATCH(K188,Интервалы!$G$2:$G$513,0)))</f>
        <v/>
      </c>
      <c r="K188" t="str">
        <f>IFERROR(SMALL(Интервалы!$G$2:$G$513,182),"")</f>
        <v/>
      </c>
      <c r="L188" t="str">
        <f>IF(K188="","",INDEX(Интервалы!$B$2:$B$513,MATCH(K188,Интервалы!$G$2:$G$513,0)))</f>
        <v/>
      </c>
    </row>
    <row r="189" spans="1:12" x14ac:dyDescent="0.3">
      <c r="A189" s="4" t="str">
        <f>IF(K189="","",183)</f>
        <v/>
      </c>
      <c r="B189" s="4" t="str">
        <f>IF(K189="","",INDEX(Интервалы!$A$2:$A$513,MATCH(K189,Интервалы!$G$2:$G$513,0)))</f>
        <v/>
      </c>
      <c r="C189" s="17" t="str">
        <f>IF(K189="","",INDEX(Интервалы!$C$2:$C$513,MATCH(K189,Интервалы!$G$2:$G$513,0)))</f>
        <v/>
      </c>
      <c r="D189" s="17" t="str">
        <f>IF(K189="","",INDEX(Интервалы!$D$2:$D$513,MATCH(K189,Интервалы!$G$2:$G$513,0)))</f>
        <v/>
      </c>
      <c r="E189" s="4" t="str">
        <f t="shared" si="2"/>
        <v/>
      </c>
      <c r="F189" s="8" t="str">
        <f>IF(K189="","",INDEX(Интервалы!$E$2:$E$513,MATCH(K189,Интервалы!$G$2:$G$513,0)))</f>
        <v/>
      </c>
      <c r="G189" s="18" t="str">
        <f>IF(K189="","",IF(H189=1,INDEX('По дням'!$B$2:$B$4000,MATCH(C189,'По дням'!$A$2:$A$4000,0)),"по периодам ставки"))</f>
        <v/>
      </c>
      <c r="H189" s="4" t="str">
        <f>IF(K189="","",INDEX(Интервалы!$I$2:$I$513,MATCH(K189,Интервалы!$G$2:$G$513,0)))</f>
        <v/>
      </c>
      <c r="I189" s="8" t="str">
        <f>IF(K189="","",INDEX(Интервалы!$F$2:$F$513,MATCH(K189,Интервалы!$G$2:$G$513,0)))</f>
        <v/>
      </c>
      <c r="J189" s="8" t="str">
        <f>IF(K189="","",INDEX(Интервалы!$H$2:$H$513,MATCH(K189,Интервалы!$G$2:$G$513,0)))</f>
        <v/>
      </c>
      <c r="K189" t="str">
        <f>IFERROR(SMALL(Интервалы!$G$2:$G$513,183),"")</f>
        <v/>
      </c>
      <c r="L189" t="str">
        <f>IF(K189="","",INDEX(Интервалы!$B$2:$B$513,MATCH(K189,Интервалы!$G$2:$G$513,0)))</f>
        <v/>
      </c>
    </row>
    <row r="190" spans="1:12" x14ac:dyDescent="0.3">
      <c r="A190" s="4" t="str">
        <f>IF(K190="","",184)</f>
        <v/>
      </c>
      <c r="B190" s="4" t="str">
        <f>IF(K190="","",INDEX(Интервалы!$A$2:$A$513,MATCH(K190,Интервалы!$G$2:$G$513,0)))</f>
        <v/>
      </c>
      <c r="C190" s="17" t="str">
        <f>IF(K190="","",INDEX(Интервалы!$C$2:$C$513,MATCH(K190,Интервалы!$G$2:$G$513,0)))</f>
        <v/>
      </c>
      <c r="D190" s="17" t="str">
        <f>IF(K190="","",INDEX(Интервалы!$D$2:$D$513,MATCH(K190,Интервалы!$G$2:$G$513,0)))</f>
        <v/>
      </c>
      <c r="E190" s="4" t="str">
        <f t="shared" si="2"/>
        <v/>
      </c>
      <c r="F190" s="8" t="str">
        <f>IF(K190="","",INDEX(Интервалы!$E$2:$E$513,MATCH(K190,Интервалы!$G$2:$G$513,0)))</f>
        <v/>
      </c>
      <c r="G190" s="18" t="str">
        <f>IF(K190="","",IF(H190=1,INDEX('По дням'!$B$2:$B$4000,MATCH(C190,'По дням'!$A$2:$A$4000,0)),"по периодам ставки"))</f>
        <v/>
      </c>
      <c r="H190" s="4" t="str">
        <f>IF(K190="","",INDEX(Интервалы!$I$2:$I$513,MATCH(K190,Интервалы!$G$2:$G$513,0)))</f>
        <v/>
      </c>
      <c r="I190" s="8" t="str">
        <f>IF(K190="","",INDEX(Интервалы!$F$2:$F$513,MATCH(K190,Интервалы!$G$2:$G$513,0)))</f>
        <v/>
      </c>
      <c r="J190" s="8" t="str">
        <f>IF(K190="","",INDEX(Интервалы!$H$2:$H$513,MATCH(K190,Интервалы!$G$2:$G$513,0)))</f>
        <v/>
      </c>
      <c r="K190" t="str">
        <f>IFERROR(SMALL(Интервалы!$G$2:$G$513,184),"")</f>
        <v/>
      </c>
      <c r="L190" t="str">
        <f>IF(K190="","",INDEX(Интервалы!$B$2:$B$513,MATCH(K190,Интервалы!$G$2:$G$513,0)))</f>
        <v/>
      </c>
    </row>
    <row r="191" spans="1:12" x14ac:dyDescent="0.3">
      <c r="A191" s="4" t="str">
        <f>IF(K191="","",185)</f>
        <v/>
      </c>
      <c r="B191" s="4" t="str">
        <f>IF(K191="","",INDEX(Интервалы!$A$2:$A$513,MATCH(K191,Интервалы!$G$2:$G$513,0)))</f>
        <v/>
      </c>
      <c r="C191" s="17" t="str">
        <f>IF(K191="","",INDEX(Интервалы!$C$2:$C$513,MATCH(K191,Интервалы!$G$2:$G$513,0)))</f>
        <v/>
      </c>
      <c r="D191" s="17" t="str">
        <f>IF(K191="","",INDEX(Интервалы!$D$2:$D$513,MATCH(K191,Интервалы!$G$2:$G$513,0)))</f>
        <v/>
      </c>
      <c r="E191" s="4" t="str">
        <f t="shared" si="2"/>
        <v/>
      </c>
      <c r="F191" s="8" t="str">
        <f>IF(K191="","",INDEX(Интервалы!$E$2:$E$513,MATCH(K191,Интервалы!$G$2:$G$513,0)))</f>
        <v/>
      </c>
      <c r="G191" s="18" t="str">
        <f>IF(K191="","",IF(H191=1,INDEX('По дням'!$B$2:$B$4000,MATCH(C191,'По дням'!$A$2:$A$4000,0)),"по периодам ставки"))</f>
        <v/>
      </c>
      <c r="H191" s="4" t="str">
        <f>IF(K191="","",INDEX(Интервалы!$I$2:$I$513,MATCH(K191,Интервалы!$G$2:$G$513,0)))</f>
        <v/>
      </c>
      <c r="I191" s="8" t="str">
        <f>IF(K191="","",INDEX(Интервалы!$F$2:$F$513,MATCH(K191,Интервалы!$G$2:$G$513,0)))</f>
        <v/>
      </c>
      <c r="J191" s="8" t="str">
        <f>IF(K191="","",INDEX(Интервалы!$H$2:$H$513,MATCH(K191,Интервалы!$G$2:$G$513,0)))</f>
        <v/>
      </c>
      <c r="K191" t="str">
        <f>IFERROR(SMALL(Интервалы!$G$2:$G$513,185),"")</f>
        <v/>
      </c>
      <c r="L191" t="str">
        <f>IF(K191="","",INDEX(Интервалы!$B$2:$B$513,MATCH(K191,Интервалы!$G$2:$G$513,0)))</f>
        <v/>
      </c>
    </row>
    <row r="192" spans="1:12" x14ac:dyDescent="0.3">
      <c r="A192" s="4" t="str">
        <f>IF(K192="","",186)</f>
        <v/>
      </c>
      <c r="B192" s="4" t="str">
        <f>IF(K192="","",INDEX(Интервалы!$A$2:$A$513,MATCH(K192,Интервалы!$G$2:$G$513,0)))</f>
        <v/>
      </c>
      <c r="C192" s="17" t="str">
        <f>IF(K192="","",INDEX(Интервалы!$C$2:$C$513,MATCH(K192,Интервалы!$G$2:$G$513,0)))</f>
        <v/>
      </c>
      <c r="D192" s="17" t="str">
        <f>IF(K192="","",INDEX(Интервалы!$D$2:$D$513,MATCH(K192,Интервалы!$G$2:$G$513,0)))</f>
        <v/>
      </c>
      <c r="E192" s="4" t="str">
        <f t="shared" si="2"/>
        <v/>
      </c>
      <c r="F192" s="8" t="str">
        <f>IF(K192="","",INDEX(Интервалы!$E$2:$E$513,MATCH(K192,Интервалы!$G$2:$G$513,0)))</f>
        <v/>
      </c>
      <c r="G192" s="18" t="str">
        <f>IF(K192="","",IF(H192=1,INDEX('По дням'!$B$2:$B$4000,MATCH(C192,'По дням'!$A$2:$A$4000,0)),"по периодам ставки"))</f>
        <v/>
      </c>
      <c r="H192" s="4" t="str">
        <f>IF(K192="","",INDEX(Интервалы!$I$2:$I$513,MATCH(K192,Интервалы!$G$2:$G$513,0)))</f>
        <v/>
      </c>
      <c r="I192" s="8" t="str">
        <f>IF(K192="","",INDEX(Интервалы!$F$2:$F$513,MATCH(K192,Интервалы!$G$2:$G$513,0)))</f>
        <v/>
      </c>
      <c r="J192" s="8" t="str">
        <f>IF(K192="","",INDEX(Интервалы!$H$2:$H$513,MATCH(K192,Интервалы!$G$2:$G$513,0)))</f>
        <v/>
      </c>
      <c r="K192" t="str">
        <f>IFERROR(SMALL(Интервалы!$G$2:$G$513,186),"")</f>
        <v/>
      </c>
      <c r="L192" t="str">
        <f>IF(K192="","",INDEX(Интервалы!$B$2:$B$513,MATCH(K192,Интервалы!$G$2:$G$513,0)))</f>
        <v/>
      </c>
    </row>
    <row r="193" spans="1:12" x14ac:dyDescent="0.3">
      <c r="A193" s="4" t="str">
        <f>IF(K193="","",187)</f>
        <v/>
      </c>
      <c r="B193" s="4" t="str">
        <f>IF(K193="","",INDEX(Интервалы!$A$2:$A$513,MATCH(K193,Интервалы!$G$2:$G$513,0)))</f>
        <v/>
      </c>
      <c r="C193" s="17" t="str">
        <f>IF(K193="","",INDEX(Интервалы!$C$2:$C$513,MATCH(K193,Интервалы!$G$2:$G$513,0)))</f>
        <v/>
      </c>
      <c r="D193" s="17" t="str">
        <f>IF(K193="","",INDEX(Интервалы!$D$2:$D$513,MATCH(K193,Интервалы!$G$2:$G$513,0)))</f>
        <v/>
      </c>
      <c r="E193" s="4" t="str">
        <f t="shared" si="2"/>
        <v/>
      </c>
      <c r="F193" s="8" t="str">
        <f>IF(K193="","",INDEX(Интервалы!$E$2:$E$513,MATCH(K193,Интервалы!$G$2:$G$513,0)))</f>
        <v/>
      </c>
      <c r="G193" s="18" t="str">
        <f>IF(K193="","",IF(H193=1,INDEX('По дням'!$B$2:$B$4000,MATCH(C193,'По дням'!$A$2:$A$4000,0)),"по периодам ставки"))</f>
        <v/>
      </c>
      <c r="H193" s="4" t="str">
        <f>IF(K193="","",INDEX(Интервалы!$I$2:$I$513,MATCH(K193,Интервалы!$G$2:$G$513,0)))</f>
        <v/>
      </c>
      <c r="I193" s="8" t="str">
        <f>IF(K193="","",INDEX(Интервалы!$F$2:$F$513,MATCH(K193,Интервалы!$G$2:$G$513,0)))</f>
        <v/>
      </c>
      <c r="J193" s="8" t="str">
        <f>IF(K193="","",INDEX(Интервалы!$H$2:$H$513,MATCH(K193,Интервалы!$G$2:$G$513,0)))</f>
        <v/>
      </c>
      <c r="K193" t="str">
        <f>IFERROR(SMALL(Интервалы!$G$2:$G$513,187),"")</f>
        <v/>
      </c>
      <c r="L193" t="str">
        <f>IF(K193="","",INDEX(Интервалы!$B$2:$B$513,MATCH(K193,Интервалы!$G$2:$G$513,0)))</f>
        <v/>
      </c>
    </row>
    <row r="194" spans="1:12" x14ac:dyDescent="0.3">
      <c r="A194" s="4" t="str">
        <f>IF(K194="","",188)</f>
        <v/>
      </c>
      <c r="B194" s="4" t="str">
        <f>IF(K194="","",INDEX(Интервалы!$A$2:$A$513,MATCH(K194,Интервалы!$G$2:$G$513,0)))</f>
        <v/>
      </c>
      <c r="C194" s="17" t="str">
        <f>IF(K194="","",INDEX(Интервалы!$C$2:$C$513,MATCH(K194,Интервалы!$G$2:$G$513,0)))</f>
        <v/>
      </c>
      <c r="D194" s="17" t="str">
        <f>IF(K194="","",INDEX(Интервалы!$D$2:$D$513,MATCH(K194,Интервалы!$G$2:$G$513,0)))</f>
        <v/>
      </c>
      <c r="E194" s="4" t="str">
        <f t="shared" si="2"/>
        <v/>
      </c>
      <c r="F194" s="8" t="str">
        <f>IF(K194="","",INDEX(Интервалы!$E$2:$E$513,MATCH(K194,Интервалы!$G$2:$G$513,0)))</f>
        <v/>
      </c>
      <c r="G194" s="18" t="str">
        <f>IF(K194="","",IF(H194=1,INDEX('По дням'!$B$2:$B$4000,MATCH(C194,'По дням'!$A$2:$A$4000,0)),"по периодам ставки"))</f>
        <v/>
      </c>
      <c r="H194" s="4" t="str">
        <f>IF(K194="","",INDEX(Интервалы!$I$2:$I$513,MATCH(K194,Интервалы!$G$2:$G$513,0)))</f>
        <v/>
      </c>
      <c r="I194" s="8" t="str">
        <f>IF(K194="","",INDEX(Интервалы!$F$2:$F$513,MATCH(K194,Интервалы!$G$2:$G$513,0)))</f>
        <v/>
      </c>
      <c r="J194" s="8" t="str">
        <f>IF(K194="","",INDEX(Интервалы!$H$2:$H$513,MATCH(K194,Интервалы!$G$2:$G$513,0)))</f>
        <v/>
      </c>
      <c r="K194" t="str">
        <f>IFERROR(SMALL(Интервалы!$G$2:$G$513,188),"")</f>
        <v/>
      </c>
      <c r="L194" t="str">
        <f>IF(K194="","",INDEX(Интервалы!$B$2:$B$513,MATCH(K194,Интервалы!$G$2:$G$513,0)))</f>
        <v/>
      </c>
    </row>
    <row r="195" spans="1:12" x14ac:dyDescent="0.3">
      <c r="A195" s="4" t="str">
        <f>IF(K195="","",189)</f>
        <v/>
      </c>
      <c r="B195" s="4" t="str">
        <f>IF(K195="","",INDEX(Интервалы!$A$2:$A$513,MATCH(K195,Интервалы!$G$2:$G$513,0)))</f>
        <v/>
      </c>
      <c r="C195" s="17" t="str">
        <f>IF(K195="","",INDEX(Интервалы!$C$2:$C$513,MATCH(K195,Интервалы!$G$2:$G$513,0)))</f>
        <v/>
      </c>
      <c r="D195" s="17" t="str">
        <f>IF(K195="","",INDEX(Интервалы!$D$2:$D$513,MATCH(K195,Интервалы!$G$2:$G$513,0)))</f>
        <v/>
      </c>
      <c r="E195" s="4" t="str">
        <f t="shared" si="2"/>
        <v/>
      </c>
      <c r="F195" s="8" t="str">
        <f>IF(K195="","",INDEX(Интервалы!$E$2:$E$513,MATCH(K195,Интервалы!$G$2:$G$513,0)))</f>
        <v/>
      </c>
      <c r="G195" s="18" t="str">
        <f>IF(K195="","",IF(H195=1,INDEX('По дням'!$B$2:$B$4000,MATCH(C195,'По дням'!$A$2:$A$4000,0)),"по периодам ставки"))</f>
        <v/>
      </c>
      <c r="H195" s="4" t="str">
        <f>IF(K195="","",INDEX(Интервалы!$I$2:$I$513,MATCH(K195,Интервалы!$G$2:$G$513,0)))</f>
        <v/>
      </c>
      <c r="I195" s="8" t="str">
        <f>IF(K195="","",INDEX(Интервалы!$F$2:$F$513,MATCH(K195,Интервалы!$G$2:$G$513,0)))</f>
        <v/>
      </c>
      <c r="J195" s="8" t="str">
        <f>IF(K195="","",INDEX(Интервалы!$H$2:$H$513,MATCH(K195,Интервалы!$G$2:$G$513,0)))</f>
        <v/>
      </c>
      <c r="K195" t="str">
        <f>IFERROR(SMALL(Интервалы!$G$2:$G$513,189),"")</f>
        <v/>
      </c>
      <c r="L195" t="str">
        <f>IF(K195="","",INDEX(Интервалы!$B$2:$B$513,MATCH(K195,Интервалы!$G$2:$G$513,0)))</f>
        <v/>
      </c>
    </row>
    <row r="196" spans="1:12" x14ac:dyDescent="0.3">
      <c r="A196" s="4" t="str">
        <f>IF(K196="","",190)</f>
        <v/>
      </c>
      <c r="B196" s="4" t="str">
        <f>IF(K196="","",INDEX(Интервалы!$A$2:$A$513,MATCH(K196,Интервалы!$G$2:$G$513,0)))</f>
        <v/>
      </c>
      <c r="C196" s="17" t="str">
        <f>IF(K196="","",INDEX(Интервалы!$C$2:$C$513,MATCH(K196,Интервалы!$G$2:$G$513,0)))</f>
        <v/>
      </c>
      <c r="D196" s="17" t="str">
        <f>IF(K196="","",INDEX(Интервалы!$D$2:$D$513,MATCH(K196,Интервалы!$G$2:$G$513,0)))</f>
        <v/>
      </c>
      <c r="E196" s="4" t="str">
        <f t="shared" si="2"/>
        <v/>
      </c>
      <c r="F196" s="8" t="str">
        <f>IF(K196="","",INDEX(Интервалы!$E$2:$E$513,MATCH(K196,Интервалы!$G$2:$G$513,0)))</f>
        <v/>
      </c>
      <c r="G196" s="18" t="str">
        <f>IF(K196="","",IF(H196=1,INDEX('По дням'!$B$2:$B$4000,MATCH(C196,'По дням'!$A$2:$A$4000,0)),"по периодам ставки"))</f>
        <v/>
      </c>
      <c r="H196" s="4" t="str">
        <f>IF(K196="","",INDEX(Интервалы!$I$2:$I$513,MATCH(K196,Интервалы!$G$2:$G$513,0)))</f>
        <v/>
      </c>
      <c r="I196" s="8" t="str">
        <f>IF(K196="","",INDEX(Интервалы!$F$2:$F$513,MATCH(K196,Интервалы!$G$2:$G$513,0)))</f>
        <v/>
      </c>
      <c r="J196" s="8" t="str">
        <f>IF(K196="","",INDEX(Интервалы!$H$2:$H$513,MATCH(K196,Интервалы!$G$2:$G$513,0)))</f>
        <v/>
      </c>
      <c r="K196" t="str">
        <f>IFERROR(SMALL(Интервалы!$G$2:$G$513,190),"")</f>
        <v/>
      </c>
      <c r="L196" t="str">
        <f>IF(K196="","",INDEX(Интервалы!$B$2:$B$513,MATCH(K196,Интервалы!$G$2:$G$513,0)))</f>
        <v/>
      </c>
    </row>
    <row r="197" spans="1:12" x14ac:dyDescent="0.3">
      <c r="A197" s="4" t="str">
        <f>IF(K197="","",191)</f>
        <v/>
      </c>
      <c r="B197" s="4" t="str">
        <f>IF(K197="","",INDEX(Интервалы!$A$2:$A$513,MATCH(K197,Интервалы!$G$2:$G$513,0)))</f>
        <v/>
      </c>
      <c r="C197" s="17" t="str">
        <f>IF(K197="","",INDEX(Интервалы!$C$2:$C$513,MATCH(K197,Интервалы!$G$2:$G$513,0)))</f>
        <v/>
      </c>
      <c r="D197" s="17" t="str">
        <f>IF(K197="","",INDEX(Интервалы!$D$2:$D$513,MATCH(K197,Интервалы!$G$2:$G$513,0)))</f>
        <v/>
      </c>
      <c r="E197" s="4" t="str">
        <f t="shared" si="2"/>
        <v/>
      </c>
      <c r="F197" s="8" t="str">
        <f>IF(K197="","",INDEX(Интервалы!$E$2:$E$513,MATCH(K197,Интервалы!$G$2:$G$513,0)))</f>
        <v/>
      </c>
      <c r="G197" s="18" t="str">
        <f>IF(K197="","",IF(H197=1,INDEX('По дням'!$B$2:$B$4000,MATCH(C197,'По дням'!$A$2:$A$4000,0)),"по периодам ставки"))</f>
        <v/>
      </c>
      <c r="H197" s="4" t="str">
        <f>IF(K197="","",INDEX(Интервалы!$I$2:$I$513,MATCH(K197,Интервалы!$G$2:$G$513,0)))</f>
        <v/>
      </c>
      <c r="I197" s="8" t="str">
        <f>IF(K197="","",INDEX(Интервалы!$F$2:$F$513,MATCH(K197,Интервалы!$G$2:$G$513,0)))</f>
        <v/>
      </c>
      <c r="J197" s="8" t="str">
        <f>IF(K197="","",INDEX(Интервалы!$H$2:$H$513,MATCH(K197,Интервалы!$G$2:$G$513,0)))</f>
        <v/>
      </c>
      <c r="K197" t="str">
        <f>IFERROR(SMALL(Интервалы!$G$2:$G$513,191),"")</f>
        <v/>
      </c>
      <c r="L197" t="str">
        <f>IF(K197="","",INDEX(Интервалы!$B$2:$B$513,MATCH(K197,Интервалы!$G$2:$G$513,0)))</f>
        <v/>
      </c>
    </row>
    <row r="198" spans="1:12" x14ac:dyDescent="0.3">
      <c r="A198" s="4" t="str">
        <f>IF(K198="","",192)</f>
        <v/>
      </c>
      <c r="B198" s="4" t="str">
        <f>IF(K198="","",INDEX(Интервалы!$A$2:$A$513,MATCH(K198,Интервалы!$G$2:$G$513,0)))</f>
        <v/>
      </c>
      <c r="C198" s="17" t="str">
        <f>IF(K198="","",INDEX(Интервалы!$C$2:$C$513,MATCH(K198,Интервалы!$G$2:$G$513,0)))</f>
        <v/>
      </c>
      <c r="D198" s="17" t="str">
        <f>IF(K198="","",INDEX(Интервалы!$D$2:$D$513,MATCH(K198,Интервалы!$G$2:$G$513,0)))</f>
        <v/>
      </c>
      <c r="E198" s="4" t="str">
        <f t="shared" si="2"/>
        <v/>
      </c>
      <c r="F198" s="8" t="str">
        <f>IF(K198="","",INDEX(Интервалы!$E$2:$E$513,MATCH(K198,Интервалы!$G$2:$G$513,0)))</f>
        <v/>
      </c>
      <c r="G198" s="18" t="str">
        <f>IF(K198="","",IF(H198=1,INDEX('По дням'!$B$2:$B$4000,MATCH(C198,'По дням'!$A$2:$A$4000,0)),"по периодам ставки"))</f>
        <v/>
      </c>
      <c r="H198" s="4" t="str">
        <f>IF(K198="","",INDEX(Интервалы!$I$2:$I$513,MATCH(K198,Интервалы!$G$2:$G$513,0)))</f>
        <v/>
      </c>
      <c r="I198" s="8" t="str">
        <f>IF(K198="","",INDEX(Интервалы!$F$2:$F$513,MATCH(K198,Интервалы!$G$2:$G$513,0)))</f>
        <v/>
      </c>
      <c r="J198" s="8" t="str">
        <f>IF(K198="","",INDEX(Интервалы!$H$2:$H$513,MATCH(K198,Интервалы!$G$2:$G$513,0)))</f>
        <v/>
      </c>
      <c r="K198" t="str">
        <f>IFERROR(SMALL(Интервалы!$G$2:$G$513,192),"")</f>
        <v/>
      </c>
      <c r="L198" t="str">
        <f>IF(K198="","",INDEX(Интервалы!$B$2:$B$513,MATCH(K198,Интервалы!$G$2:$G$513,0)))</f>
        <v/>
      </c>
    </row>
    <row r="199" spans="1:12" x14ac:dyDescent="0.3">
      <c r="A199" s="4" t="str">
        <f>IF(K199="","",193)</f>
        <v/>
      </c>
      <c r="B199" s="4" t="str">
        <f>IF(K199="","",INDEX(Интервалы!$A$2:$A$513,MATCH(K199,Интервалы!$G$2:$G$513,0)))</f>
        <v/>
      </c>
      <c r="C199" s="17" t="str">
        <f>IF(K199="","",INDEX(Интервалы!$C$2:$C$513,MATCH(K199,Интервалы!$G$2:$G$513,0)))</f>
        <v/>
      </c>
      <c r="D199" s="17" t="str">
        <f>IF(K199="","",INDEX(Интервалы!$D$2:$D$513,MATCH(K199,Интервалы!$G$2:$G$513,0)))</f>
        <v/>
      </c>
      <c r="E199" s="4" t="str">
        <f t="shared" ref="E199:E262" si="3">IF(K199="","",D199-C199+1)</f>
        <v/>
      </c>
      <c r="F199" s="8" t="str">
        <f>IF(K199="","",INDEX(Интервалы!$E$2:$E$513,MATCH(K199,Интервалы!$G$2:$G$513,0)))</f>
        <v/>
      </c>
      <c r="G199" s="18" t="str">
        <f>IF(K199="","",IF(H199=1,INDEX('По дням'!$B$2:$B$4000,MATCH(C199,'По дням'!$A$2:$A$4000,0)),"по периодам ставки"))</f>
        <v/>
      </c>
      <c r="H199" s="4" t="str">
        <f>IF(K199="","",INDEX(Интервалы!$I$2:$I$513,MATCH(K199,Интервалы!$G$2:$G$513,0)))</f>
        <v/>
      </c>
      <c r="I199" s="8" t="str">
        <f>IF(K199="","",INDEX(Интервалы!$F$2:$F$513,MATCH(K199,Интервалы!$G$2:$G$513,0)))</f>
        <v/>
      </c>
      <c r="J199" s="8" t="str">
        <f>IF(K199="","",INDEX(Интервалы!$H$2:$H$513,MATCH(K199,Интервалы!$G$2:$G$513,0)))</f>
        <v/>
      </c>
      <c r="K199" t="str">
        <f>IFERROR(SMALL(Интервалы!$G$2:$G$513,193),"")</f>
        <v/>
      </c>
      <c r="L199" t="str">
        <f>IF(K199="","",INDEX(Интервалы!$B$2:$B$513,MATCH(K199,Интервалы!$G$2:$G$513,0)))</f>
        <v/>
      </c>
    </row>
    <row r="200" spans="1:12" x14ac:dyDescent="0.3">
      <c r="A200" s="4" t="str">
        <f>IF(K200="","",194)</f>
        <v/>
      </c>
      <c r="B200" s="4" t="str">
        <f>IF(K200="","",INDEX(Интервалы!$A$2:$A$513,MATCH(K200,Интервалы!$G$2:$G$513,0)))</f>
        <v/>
      </c>
      <c r="C200" s="17" t="str">
        <f>IF(K200="","",INDEX(Интервалы!$C$2:$C$513,MATCH(K200,Интервалы!$G$2:$G$513,0)))</f>
        <v/>
      </c>
      <c r="D200" s="17" t="str">
        <f>IF(K200="","",INDEX(Интервалы!$D$2:$D$513,MATCH(K200,Интервалы!$G$2:$G$513,0)))</f>
        <v/>
      </c>
      <c r="E200" s="4" t="str">
        <f t="shared" si="3"/>
        <v/>
      </c>
      <c r="F200" s="8" t="str">
        <f>IF(K200="","",INDEX(Интервалы!$E$2:$E$513,MATCH(K200,Интервалы!$G$2:$G$513,0)))</f>
        <v/>
      </c>
      <c r="G200" s="18" t="str">
        <f>IF(K200="","",IF(H200=1,INDEX('По дням'!$B$2:$B$4000,MATCH(C200,'По дням'!$A$2:$A$4000,0)),"по периодам ставки"))</f>
        <v/>
      </c>
      <c r="H200" s="4" t="str">
        <f>IF(K200="","",INDEX(Интервалы!$I$2:$I$513,MATCH(K200,Интервалы!$G$2:$G$513,0)))</f>
        <v/>
      </c>
      <c r="I200" s="8" t="str">
        <f>IF(K200="","",INDEX(Интервалы!$F$2:$F$513,MATCH(K200,Интервалы!$G$2:$G$513,0)))</f>
        <v/>
      </c>
      <c r="J200" s="8" t="str">
        <f>IF(K200="","",INDEX(Интервалы!$H$2:$H$513,MATCH(K200,Интервалы!$G$2:$G$513,0)))</f>
        <v/>
      </c>
      <c r="K200" t="str">
        <f>IFERROR(SMALL(Интервалы!$G$2:$G$513,194),"")</f>
        <v/>
      </c>
      <c r="L200" t="str">
        <f>IF(K200="","",INDEX(Интервалы!$B$2:$B$513,MATCH(K200,Интервалы!$G$2:$G$513,0)))</f>
        <v/>
      </c>
    </row>
    <row r="201" spans="1:12" x14ac:dyDescent="0.3">
      <c r="A201" s="4" t="str">
        <f>IF(K201="","",195)</f>
        <v/>
      </c>
      <c r="B201" s="4" t="str">
        <f>IF(K201="","",INDEX(Интервалы!$A$2:$A$513,MATCH(K201,Интервалы!$G$2:$G$513,0)))</f>
        <v/>
      </c>
      <c r="C201" s="17" t="str">
        <f>IF(K201="","",INDEX(Интервалы!$C$2:$C$513,MATCH(K201,Интервалы!$G$2:$G$513,0)))</f>
        <v/>
      </c>
      <c r="D201" s="17" t="str">
        <f>IF(K201="","",INDEX(Интервалы!$D$2:$D$513,MATCH(K201,Интервалы!$G$2:$G$513,0)))</f>
        <v/>
      </c>
      <c r="E201" s="4" t="str">
        <f t="shared" si="3"/>
        <v/>
      </c>
      <c r="F201" s="8" t="str">
        <f>IF(K201="","",INDEX(Интервалы!$E$2:$E$513,MATCH(K201,Интервалы!$G$2:$G$513,0)))</f>
        <v/>
      </c>
      <c r="G201" s="18" t="str">
        <f>IF(K201="","",IF(H201=1,INDEX('По дням'!$B$2:$B$4000,MATCH(C201,'По дням'!$A$2:$A$4000,0)),"по периодам ставки"))</f>
        <v/>
      </c>
      <c r="H201" s="4" t="str">
        <f>IF(K201="","",INDEX(Интервалы!$I$2:$I$513,MATCH(K201,Интервалы!$G$2:$G$513,0)))</f>
        <v/>
      </c>
      <c r="I201" s="8" t="str">
        <f>IF(K201="","",INDEX(Интервалы!$F$2:$F$513,MATCH(K201,Интервалы!$G$2:$G$513,0)))</f>
        <v/>
      </c>
      <c r="J201" s="8" t="str">
        <f>IF(K201="","",INDEX(Интервалы!$H$2:$H$513,MATCH(K201,Интервалы!$G$2:$G$513,0)))</f>
        <v/>
      </c>
      <c r="K201" t="str">
        <f>IFERROR(SMALL(Интервалы!$G$2:$G$513,195),"")</f>
        <v/>
      </c>
      <c r="L201" t="str">
        <f>IF(K201="","",INDEX(Интервалы!$B$2:$B$513,MATCH(K201,Интервалы!$G$2:$G$513,0)))</f>
        <v/>
      </c>
    </row>
    <row r="202" spans="1:12" x14ac:dyDescent="0.3">
      <c r="A202" s="4" t="str">
        <f>IF(K202="","",196)</f>
        <v/>
      </c>
      <c r="B202" s="4" t="str">
        <f>IF(K202="","",INDEX(Интервалы!$A$2:$A$513,MATCH(K202,Интервалы!$G$2:$G$513,0)))</f>
        <v/>
      </c>
      <c r="C202" s="17" t="str">
        <f>IF(K202="","",INDEX(Интервалы!$C$2:$C$513,MATCH(K202,Интервалы!$G$2:$G$513,0)))</f>
        <v/>
      </c>
      <c r="D202" s="17" t="str">
        <f>IF(K202="","",INDEX(Интервалы!$D$2:$D$513,MATCH(K202,Интервалы!$G$2:$G$513,0)))</f>
        <v/>
      </c>
      <c r="E202" s="4" t="str">
        <f t="shared" si="3"/>
        <v/>
      </c>
      <c r="F202" s="8" t="str">
        <f>IF(K202="","",INDEX(Интервалы!$E$2:$E$513,MATCH(K202,Интервалы!$G$2:$G$513,0)))</f>
        <v/>
      </c>
      <c r="G202" s="18" t="str">
        <f>IF(K202="","",IF(H202=1,INDEX('По дням'!$B$2:$B$4000,MATCH(C202,'По дням'!$A$2:$A$4000,0)),"по периодам ставки"))</f>
        <v/>
      </c>
      <c r="H202" s="4" t="str">
        <f>IF(K202="","",INDEX(Интервалы!$I$2:$I$513,MATCH(K202,Интервалы!$G$2:$G$513,0)))</f>
        <v/>
      </c>
      <c r="I202" s="8" t="str">
        <f>IF(K202="","",INDEX(Интервалы!$F$2:$F$513,MATCH(K202,Интервалы!$G$2:$G$513,0)))</f>
        <v/>
      </c>
      <c r="J202" s="8" t="str">
        <f>IF(K202="","",INDEX(Интервалы!$H$2:$H$513,MATCH(K202,Интервалы!$G$2:$G$513,0)))</f>
        <v/>
      </c>
      <c r="K202" t="str">
        <f>IFERROR(SMALL(Интервалы!$G$2:$G$513,196),"")</f>
        <v/>
      </c>
      <c r="L202" t="str">
        <f>IF(K202="","",INDEX(Интервалы!$B$2:$B$513,MATCH(K202,Интервалы!$G$2:$G$513,0)))</f>
        <v/>
      </c>
    </row>
    <row r="203" spans="1:12" x14ac:dyDescent="0.3">
      <c r="A203" s="4" t="str">
        <f>IF(K203="","",197)</f>
        <v/>
      </c>
      <c r="B203" s="4" t="str">
        <f>IF(K203="","",INDEX(Интервалы!$A$2:$A$513,MATCH(K203,Интервалы!$G$2:$G$513,0)))</f>
        <v/>
      </c>
      <c r="C203" s="17" t="str">
        <f>IF(K203="","",INDEX(Интервалы!$C$2:$C$513,MATCH(K203,Интервалы!$G$2:$G$513,0)))</f>
        <v/>
      </c>
      <c r="D203" s="17" t="str">
        <f>IF(K203="","",INDEX(Интервалы!$D$2:$D$513,MATCH(K203,Интервалы!$G$2:$G$513,0)))</f>
        <v/>
      </c>
      <c r="E203" s="4" t="str">
        <f t="shared" si="3"/>
        <v/>
      </c>
      <c r="F203" s="8" t="str">
        <f>IF(K203="","",INDEX(Интервалы!$E$2:$E$513,MATCH(K203,Интервалы!$G$2:$G$513,0)))</f>
        <v/>
      </c>
      <c r="G203" s="18" t="str">
        <f>IF(K203="","",IF(H203=1,INDEX('По дням'!$B$2:$B$4000,MATCH(C203,'По дням'!$A$2:$A$4000,0)),"по периодам ставки"))</f>
        <v/>
      </c>
      <c r="H203" s="4" t="str">
        <f>IF(K203="","",INDEX(Интервалы!$I$2:$I$513,MATCH(K203,Интервалы!$G$2:$G$513,0)))</f>
        <v/>
      </c>
      <c r="I203" s="8" t="str">
        <f>IF(K203="","",INDEX(Интервалы!$F$2:$F$513,MATCH(K203,Интервалы!$G$2:$G$513,0)))</f>
        <v/>
      </c>
      <c r="J203" s="8" t="str">
        <f>IF(K203="","",INDEX(Интервалы!$H$2:$H$513,MATCH(K203,Интервалы!$G$2:$G$513,0)))</f>
        <v/>
      </c>
      <c r="K203" t="str">
        <f>IFERROR(SMALL(Интервалы!$G$2:$G$513,197),"")</f>
        <v/>
      </c>
      <c r="L203" t="str">
        <f>IF(K203="","",INDEX(Интервалы!$B$2:$B$513,MATCH(K203,Интервалы!$G$2:$G$513,0)))</f>
        <v/>
      </c>
    </row>
    <row r="204" spans="1:12" x14ac:dyDescent="0.3">
      <c r="A204" s="4" t="str">
        <f>IF(K204="","",198)</f>
        <v/>
      </c>
      <c r="B204" s="4" t="str">
        <f>IF(K204="","",INDEX(Интервалы!$A$2:$A$513,MATCH(K204,Интервалы!$G$2:$G$513,0)))</f>
        <v/>
      </c>
      <c r="C204" s="17" t="str">
        <f>IF(K204="","",INDEX(Интервалы!$C$2:$C$513,MATCH(K204,Интервалы!$G$2:$G$513,0)))</f>
        <v/>
      </c>
      <c r="D204" s="17" t="str">
        <f>IF(K204="","",INDEX(Интервалы!$D$2:$D$513,MATCH(K204,Интервалы!$G$2:$G$513,0)))</f>
        <v/>
      </c>
      <c r="E204" s="4" t="str">
        <f t="shared" si="3"/>
        <v/>
      </c>
      <c r="F204" s="8" t="str">
        <f>IF(K204="","",INDEX(Интервалы!$E$2:$E$513,MATCH(K204,Интервалы!$G$2:$G$513,0)))</f>
        <v/>
      </c>
      <c r="G204" s="18" t="str">
        <f>IF(K204="","",IF(H204=1,INDEX('По дням'!$B$2:$B$4000,MATCH(C204,'По дням'!$A$2:$A$4000,0)),"по периодам ставки"))</f>
        <v/>
      </c>
      <c r="H204" s="4" t="str">
        <f>IF(K204="","",INDEX(Интервалы!$I$2:$I$513,MATCH(K204,Интервалы!$G$2:$G$513,0)))</f>
        <v/>
      </c>
      <c r="I204" s="8" t="str">
        <f>IF(K204="","",INDEX(Интервалы!$F$2:$F$513,MATCH(K204,Интервалы!$G$2:$G$513,0)))</f>
        <v/>
      </c>
      <c r="J204" s="8" t="str">
        <f>IF(K204="","",INDEX(Интервалы!$H$2:$H$513,MATCH(K204,Интервалы!$G$2:$G$513,0)))</f>
        <v/>
      </c>
      <c r="K204" t="str">
        <f>IFERROR(SMALL(Интервалы!$G$2:$G$513,198),"")</f>
        <v/>
      </c>
      <c r="L204" t="str">
        <f>IF(K204="","",INDEX(Интервалы!$B$2:$B$513,MATCH(K204,Интервалы!$G$2:$G$513,0)))</f>
        <v/>
      </c>
    </row>
    <row r="205" spans="1:12" x14ac:dyDescent="0.3">
      <c r="A205" s="4" t="str">
        <f>IF(K205="","",199)</f>
        <v/>
      </c>
      <c r="B205" s="4" t="str">
        <f>IF(K205="","",INDEX(Интервалы!$A$2:$A$513,MATCH(K205,Интервалы!$G$2:$G$513,0)))</f>
        <v/>
      </c>
      <c r="C205" s="17" t="str">
        <f>IF(K205="","",INDEX(Интервалы!$C$2:$C$513,MATCH(K205,Интервалы!$G$2:$G$513,0)))</f>
        <v/>
      </c>
      <c r="D205" s="17" t="str">
        <f>IF(K205="","",INDEX(Интервалы!$D$2:$D$513,MATCH(K205,Интервалы!$G$2:$G$513,0)))</f>
        <v/>
      </c>
      <c r="E205" s="4" t="str">
        <f t="shared" si="3"/>
        <v/>
      </c>
      <c r="F205" s="8" t="str">
        <f>IF(K205="","",INDEX(Интервалы!$E$2:$E$513,MATCH(K205,Интервалы!$G$2:$G$513,0)))</f>
        <v/>
      </c>
      <c r="G205" s="18" t="str">
        <f>IF(K205="","",IF(H205=1,INDEX('По дням'!$B$2:$B$4000,MATCH(C205,'По дням'!$A$2:$A$4000,0)),"по периодам ставки"))</f>
        <v/>
      </c>
      <c r="H205" s="4" t="str">
        <f>IF(K205="","",INDEX(Интервалы!$I$2:$I$513,MATCH(K205,Интервалы!$G$2:$G$513,0)))</f>
        <v/>
      </c>
      <c r="I205" s="8" t="str">
        <f>IF(K205="","",INDEX(Интервалы!$F$2:$F$513,MATCH(K205,Интервалы!$G$2:$G$513,0)))</f>
        <v/>
      </c>
      <c r="J205" s="8" t="str">
        <f>IF(K205="","",INDEX(Интервалы!$H$2:$H$513,MATCH(K205,Интервалы!$G$2:$G$513,0)))</f>
        <v/>
      </c>
      <c r="K205" t="str">
        <f>IFERROR(SMALL(Интервалы!$G$2:$G$513,199),"")</f>
        <v/>
      </c>
      <c r="L205" t="str">
        <f>IF(K205="","",INDEX(Интервалы!$B$2:$B$513,MATCH(K205,Интервалы!$G$2:$G$513,0)))</f>
        <v/>
      </c>
    </row>
    <row r="206" spans="1:12" x14ac:dyDescent="0.3">
      <c r="A206" s="4" t="str">
        <f>IF(K206="","",200)</f>
        <v/>
      </c>
      <c r="B206" s="4" t="str">
        <f>IF(K206="","",INDEX(Интервалы!$A$2:$A$513,MATCH(K206,Интервалы!$G$2:$G$513,0)))</f>
        <v/>
      </c>
      <c r="C206" s="17" t="str">
        <f>IF(K206="","",INDEX(Интервалы!$C$2:$C$513,MATCH(K206,Интервалы!$G$2:$G$513,0)))</f>
        <v/>
      </c>
      <c r="D206" s="17" t="str">
        <f>IF(K206="","",INDEX(Интервалы!$D$2:$D$513,MATCH(K206,Интервалы!$G$2:$G$513,0)))</f>
        <v/>
      </c>
      <c r="E206" s="4" t="str">
        <f t="shared" si="3"/>
        <v/>
      </c>
      <c r="F206" s="8" t="str">
        <f>IF(K206="","",INDEX(Интервалы!$E$2:$E$513,MATCH(K206,Интервалы!$G$2:$G$513,0)))</f>
        <v/>
      </c>
      <c r="G206" s="18" t="str">
        <f>IF(K206="","",IF(H206=1,INDEX('По дням'!$B$2:$B$4000,MATCH(C206,'По дням'!$A$2:$A$4000,0)),"по периодам ставки"))</f>
        <v/>
      </c>
      <c r="H206" s="4" t="str">
        <f>IF(K206="","",INDEX(Интервалы!$I$2:$I$513,MATCH(K206,Интервалы!$G$2:$G$513,0)))</f>
        <v/>
      </c>
      <c r="I206" s="8" t="str">
        <f>IF(K206="","",INDEX(Интервалы!$F$2:$F$513,MATCH(K206,Интервалы!$G$2:$G$513,0)))</f>
        <v/>
      </c>
      <c r="J206" s="8" t="str">
        <f>IF(K206="","",INDEX(Интервалы!$H$2:$H$513,MATCH(K206,Интервалы!$G$2:$G$513,0)))</f>
        <v/>
      </c>
      <c r="K206" t="str">
        <f>IFERROR(SMALL(Интервалы!$G$2:$G$513,200),"")</f>
        <v/>
      </c>
      <c r="L206" t="str">
        <f>IF(K206="","",INDEX(Интервалы!$B$2:$B$513,MATCH(K206,Интервалы!$G$2:$G$513,0)))</f>
        <v/>
      </c>
    </row>
    <row r="207" spans="1:12" x14ac:dyDescent="0.3">
      <c r="A207" s="4" t="str">
        <f>IF(K207="","",201)</f>
        <v/>
      </c>
      <c r="B207" s="4" t="str">
        <f>IF(K207="","",INDEX(Интервалы!$A$2:$A$513,MATCH(K207,Интервалы!$G$2:$G$513,0)))</f>
        <v/>
      </c>
      <c r="C207" s="17" t="str">
        <f>IF(K207="","",INDEX(Интервалы!$C$2:$C$513,MATCH(K207,Интервалы!$G$2:$G$513,0)))</f>
        <v/>
      </c>
      <c r="D207" s="17" t="str">
        <f>IF(K207="","",INDEX(Интервалы!$D$2:$D$513,MATCH(K207,Интервалы!$G$2:$G$513,0)))</f>
        <v/>
      </c>
      <c r="E207" s="4" t="str">
        <f t="shared" si="3"/>
        <v/>
      </c>
      <c r="F207" s="8" t="str">
        <f>IF(K207="","",INDEX(Интервалы!$E$2:$E$513,MATCH(K207,Интервалы!$G$2:$G$513,0)))</f>
        <v/>
      </c>
      <c r="G207" s="18" t="str">
        <f>IF(K207="","",IF(H207=1,INDEX('По дням'!$B$2:$B$4000,MATCH(C207,'По дням'!$A$2:$A$4000,0)),"по периодам ставки"))</f>
        <v/>
      </c>
      <c r="H207" s="4" t="str">
        <f>IF(K207="","",INDEX(Интервалы!$I$2:$I$513,MATCH(K207,Интервалы!$G$2:$G$513,0)))</f>
        <v/>
      </c>
      <c r="I207" s="8" t="str">
        <f>IF(K207="","",INDEX(Интервалы!$F$2:$F$513,MATCH(K207,Интервалы!$G$2:$G$513,0)))</f>
        <v/>
      </c>
      <c r="J207" s="8" t="str">
        <f>IF(K207="","",INDEX(Интервалы!$H$2:$H$513,MATCH(K207,Интервалы!$G$2:$G$513,0)))</f>
        <v/>
      </c>
      <c r="K207" t="str">
        <f>IFERROR(SMALL(Интервалы!$G$2:$G$513,201),"")</f>
        <v/>
      </c>
      <c r="L207" t="str">
        <f>IF(K207="","",INDEX(Интервалы!$B$2:$B$513,MATCH(K207,Интервалы!$G$2:$G$513,0)))</f>
        <v/>
      </c>
    </row>
    <row r="208" spans="1:12" x14ac:dyDescent="0.3">
      <c r="A208" s="4" t="str">
        <f>IF(K208="","",202)</f>
        <v/>
      </c>
      <c r="B208" s="4" t="str">
        <f>IF(K208="","",INDEX(Интервалы!$A$2:$A$513,MATCH(K208,Интервалы!$G$2:$G$513,0)))</f>
        <v/>
      </c>
      <c r="C208" s="17" t="str">
        <f>IF(K208="","",INDEX(Интервалы!$C$2:$C$513,MATCH(K208,Интервалы!$G$2:$G$513,0)))</f>
        <v/>
      </c>
      <c r="D208" s="17" t="str">
        <f>IF(K208="","",INDEX(Интервалы!$D$2:$D$513,MATCH(K208,Интервалы!$G$2:$G$513,0)))</f>
        <v/>
      </c>
      <c r="E208" s="4" t="str">
        <f t="shared" si="3"/>
        <v/>
      </c>
      <c r="F208" s="8" t="str">
        <f>IF(K208="","",INDEX(Интервалы!$E$2:$E$513,MATCH(K208,Интервалы!$G$2:$G$513,0)))</f>
        <v/>
      </c>
      <c r="G208" s="18" t="str">
        <f>IF(K208="","",IF(H208=1,INDEX('По дням'!$B$2:$B$4000,MATCH(C208,'По дням'!$A$2:$A$4000,0)),"по периодам ставки"))</f>
        <v/>
      </c>
      <c r="H208" s="4" t="str">
        <f>IF(K208="","",INDEX(Интервалы!$I$2:$I$513,MATCH(K208,Интервалы!$G$2:$G$513,0)))</f>
        <v/>
      </c>
      <c r="I208" s="8" t="str">
        <f>IF(K208="","",INDEX(Интервалы!$F$2:$F$513,MATCH(K208,Интервалы!$G$2:$G$513,0)))</f>
        <v/>
      </c>
      <c r="J208" s="8" t="str">
        <f>IF(K208="","",INDEX(Интервалы!$H$2:$H$513,MATCH(K208,Интервалы!$G$2:$G$513,0)))</f>
        <v/>
      </c>
      <c r="K208" t="str">
        <f>IFERROR(SMALL(Интервалы!$G$2:$G$513,202),"")</f>
        <v/>
      </c>
      <c r="L208" t="str">
        <f>IF(K208="","",INDEX(Интервалы!$B$2:$B$513,MATCH(K208,Интервалы!$G$2:$G$513,0)))</f>
        <v/>
      </c>
    </row>
    <row r="209" spans="1:12" x14ac:dyDescent="0.3">
      <c r="A209" s="4" t="str">
        <f>IF(K209="","",203)</f>
        <v/>
      </c>
      <c r="B209" s="4" t="str">
        <f>IF(K209="","",INDEX(Интервалы!$A$2:$A$513,MATCH(K209,Интервалы!$G$2:$G$513,0)))</f>
        <v/>
      </c>
      <c r="C209" s="17" t="str">
        <f>IF(K209="","",INDEX(Интервалы!$C$2:$C$513,MATCH(K209,Интервалы!$G$2:$G$513,0)))</f>
        <v/>
      </c>
      <c r="D209" s="17" t="str">
        <f>IF(K209="","",INDEX(Интервалы!$D$2:$D$513,MATCH(K209,Интервалы!$G$2:$G$513,0)))</f>
        <v/>
      </c>
      <c r="E209" s="4" t="str">
        <f t="shared" si="3"/>
        <v/>
      </c>
      <c r="F209" s="8" t="str">
        <f>IF(K209="","",INDEX(Интервалы!$E$2:$E$513,MATCH(K209,Интервалы!$G$2:$G$513,0)))</f>
        <v/>
      </c>
      <c r="G209" s="18" t="str">
        <f>IF(K209="","",IF(H209=1,INDEX('По дням'!$B$2:$B$4000,MATCH(C209,'По дням'!$A$2:$A$4000,0)),"по периодам ставки"))</f>
        <v/>
      </c>
      <c r="H209" s="4" t="str">
        <f>IF(K209="","",INDEX(Интервалы!$I$2:$I$513,MATCH(K209,Интервалы!$G$2:$G$513,0)))</f>
        <v/>
      </c>
      <c r="I209" s="8" t="str">
        <f>IF(K209="","",INDEX(Интервалы!$F$2:$F$513,MATCH(K209,Интервалы!$G$2:$G$513,0)))</f>
        <v/>
      </c>
      <c r="J209" s="8" t="str">
        <f>IF(K209="","",INDEX(Интервалы!$H$2:$H$513,MATCH(K209,Интервалы!$G$2:$G$513,0)))</f>
        <v/>
      </c>
      <c r="K209" t="str">
        <f>IFERROR(SMALL(Интервалы!$G$2:$G$513,203),"")</f>
        <v/>
      </c>
      <c r="L209" t="str">
        <f>IF(K209="","",INDEX(Интервалы!$B$2:$B$513,MATCH(K209,Интервалы!$G$2:$G$513,0)))</f>
        <v/>
      </c>
    </row>
    <row r="210" spans="1:12" x14ac:dyDescent="0.3">
      <c r="A210" s="4" t="str">
        <f>IF(K210="","",204)</f>
        <v/>
      </c>
      <c r="B210" s="4" t="str">
        <f>IF(K210="","",INDEX(Интервалы!$A$2:$A$513,MATCH(K210,Интервалы!$G$2:$G$513,0)))</f>
        <v/>
      </c>
      <c r="C210" s="17" t="str">
        <f>IF(K210="","",INDEX(Интервалы!$C$2:$C$513,MATCH(K210,Интервалы!$G$2:$G$513,0)))</f>
        <v/>
      </c>
      <c r="D210" s="17" t="str">
        <f>IF(K210="","",INDEX(Интервалы!$D$2:$D$513,MATCH(K210,Интервалы!$G$2:$G$513,0)))</f>
        <v/>
      </c>
      <c r="E210" s="4" t="str">
        <f t="shared" si="3"/>
        <v/>
      </c>
      <c r="F210" s="8" t="str">
        <f>IF(K210="","",INDEX(Интервалы!$E$2:$E$513,MATCH(K210,Интервалы!$G$2:$G$513,0)))</f>
        <v/>
      </c>
      <c r="G210" s="18" t="str">
        <f>IF(K210="","",IF(H210=1,INDEX('По дням'!$B$2:$B$4000,MATCH(C210,'По дням'!$A$2:$A$4000,0)),"по периодам ставки"))</f>
        <v/>
      </c>
      <c r="H210" s="4" t="str">
        <f>IF(K210="","",INDEX(Интервалы!$I$2:$I$513,MATCH(K210,Интервалы!$G$2:$G$513,0)))</f>
        <v/>
      </c>
      <c r="I210" s="8" t="str">
        <f>IF(K210="","",INDEX(Интервалы!$F$2:$F$513,MATCH(K210,Интервалы!$G$2:$G$513,0)))</f>
        <v/>
      </c>
      <c r="J210" s="8" t="str">
        <f>IF(K210="","",INDEX(Интервалы!$H$2:$H$513,MATCH(K210,Интервалы!$G$2:$G$513,0)))</f>
        <v/>
      </c>
      <c r="K210" t="str">
        <f>IFERROR(SMALL(Интервалы!$G$2:$G$513,204),"")</f>
        <v/>
      </c>
      <c r="L210" t="str">
        <f>IF(K210="","",INDEX(Интервалы!$B$2:$B$513,MATCH(K210,Интервалы!$G$2:$G$513,0)))</f>
        <v/>
      </c>
    </row>
    <row r="211" spans="1:12" x14ac:dyDescent="0.3">
      <c r="A211" s="4" t="str">
        <f>IF(K211="","",205)</f>
        <v/>
      </c>
      <c r="B211" s="4" t="str">
        <f>IF(K211="","",INDEX(Интервалы!$A$2:$A$513,MATCH(K211,Интервалы!$G$2:$G$513,0)))</f>
        <v/>
      </c>
      <c r="C211" s="17" t="str">
        <f>IF(K211="","",INDEX(Интервалы!$C$2:$C$513,MATCH(K211,Интервалы!$G$2:$G$513,0)))</f>
        <v/>
      </c>
      <c r="D211" s="17" t="str">
        <f>IF(K211="","",INDEX(Интервалы!$D$2:$D$513,MATCH(K211,Интервалы!$G$2:$G$513,0)))</f>
        <v/>
      </c>
      <c r="E211" s="4" t="str">
        <f t="shared" si="3"/>
        <v/>
      </c>
      <c r="F211" s="8" t="str">
        <f>IF(K211="","",INDEX(Интервалы!$E$2:$E$513,MATCH(K211,Интервалы!$G$2:$G$513,0)))</f>
        <v/>
      </c>
      <c r="G211" s="18" t="str">
        <f>IF(K211="","",IF(H211=1,INDEX('По дням'!$B$2:$B$4000,MATCH(C211,'По дням'!$A$2:$A$4000,0)),"по периодам ставки"))</f>
        <v/>
      </c>
      <c r="H211" s="4" t="str">
        <f>IF(K211="","",INDEX(Интервалы!$I$2:$I$513,MATCH(K211,Интервалы!$G$2:$G$513,0)))</f>
        <v/>
      </c>
      <c r="I211" s="8" t="str">
        <f>IF(K211="","",INDEX(Интервалы!$F$2:$F$513,MATCH(K211,Интервалы!$G$2:$G$513,0)))</f>
        <v/>
      </c>
      <c r="J211" s="8" t="str">
        <f>IF(K211="","",INDEX(Интервалы!$H$2:$H$513,MATCH(K211,Интервалы!$G$2:$G$513,0)))</f>
        <v/>
      </c>
      <c r="K211" t="str">
        <f>IFERROR(SMALL(Интервалы!$G$2:$G$513,205),"")</f>
        <v/>
      </c>
      <c r="L211" t="str">
        <f>IF(K211="","",INDEX(Интервалы!$B$2:$B$513,MATCH(K211,Интервалы!$G$2:$G$513,0)))</f>
        <v/>
      </c>
    </row>
    <row r="212" spans="1:12" x14ac:dyDescent="0.3">
      <c r="A212" s="4" t="str">
        <f>IF(K212="","",206)</f>
        <v/>
      </c>
      <c r="B212" s="4" t="str">
        <f>IF(K212="","",INDEX(Интервалы!$A$2:$A$513,MATCH(K212,Интервалы!$G$2:$G$513,0)))</f>
        <v/>
      </c>
      <c r="C212" s="17" t="str">
        <f>IF(K212="","",INDEX(Интервалы!$C$2:$C$513,MATCH(K212,Интервалы!$G$2:$G$513,0)))</f>
        <v/>
      </c>
      <c r="D212" s="17" t="str">
        <f>IF(K212="","",INDEX(Интервалы!$D$2:$D$513,MATCH(K212,Интервалы!$G$2:$G$513,0)))</f>
        <v/>
      </c>
      <c r="E212" s="4" t="str">
        <f t="shared" si="3"/>
        <v/>
      </c>
      <c r="F212" s="8" t="str">
        <f>IF(K212="","",INDEX(Интервалы!$E$2:$E$513,MATCH(K212,Интервалы!$G$2:$G$513,0)))</f>
        <v/>
      </c>
      <c r="G212" s="18" t="str">
        <f>IF(K212="","",IF(H212=1,INDEX('По дням'!$B$2:$B$4000,MATCH(C212,'По дням'!$A$2:$A$4000,0)),"по периодам ставки"))</f>
        <v/>
      </c>
      <c r="H212" s="4" t="str">
        <f>IF(K212="","",INDEX(Интервалы!$I$2:$I$513,MATCH(K212,Интервалы!$G$2:$G$513,0)))</f>
        <v/>
      </c>
      <c r="I212" s="8" t="str">
        <f>IF(K212="","",INDEX(Интервалы!$F$2:$F$513,MATCH(K212,Интервалы!$G$2:$G$513,0)))</f>
        <v/>
      </c>
      <c r="J212" s="8" t="str">
        <f>IF(K212="","",INDEX(Интервалы!$H$2:$H$513,MATCH(K212,Интервалы!$G$2:$G$513,0)))</f>
        <v/>
      </c>
      <c r="K212" t="str">
        <f>IFERROR(SMALL(Интервалы!$G$2:$G$513,206),"")</f>
        <v/>
      </c>
      <c r="L212" t="str">
        <f>IF(K212="","",INDEX(Интервалы!$B$2:$B$513,MATCH(K212,Интервалы!$G$2:$G$513,0)))</f>
        <v/>
      </c>
    </row>
    <row r="213" spans="1:12" x14ac:dyDescent="0.3">
      <c r="A213" s="4" t="str">
        <f>IF(K213="","",207)</f>
        <v/>
      </c>
      <c r="B213" s="4" t="str">
        <f>IF(K213="","",INDEX(Интервалы!$A$2:$A$513,MATCH(K213,Интервалы!$G$2:$G$513,0)))</f>
        <v/>
      </c>
      <c r="C213" s="17" t="str">
        <f>IF(K213="","",INDEX(Интервалы!$C$2:$C$513,MATCH(K213,Интервалы!$G$2:$G$513,0)))</f>
        <v/>
      </c>
      <c r="D213" s="17" t="str">
        <f>IF(K213="","",INDEX(Интервалы!$D$2:$D$513,MATCH(K213,Интервалы!$G$2:$G$513,0)))</f>
        <v/>
      </c>
      <c r="E213" s="4" t="str">
        <f t="shared" si="3"/>
        <v/>
      </c>
      <c r="F213" s="8" t="str">
        <f>IF(K213="","",INDEX(Интервалы!$E$2:$E$513,MATCH(K213,Интервалы!$G$2:$G$513,0)))</f>
        <v/>
      </c>
      <c r="G213" s="18" t="str">
        <f>IF(K213="","",IF(H213=1,INDEX('По дням'!$B$2:$B$4000,MATCH(C213,'По дням'!$A$2:$A$4000,0)),"по периодам ставки"))</f>
        <v/>
      </c>
      <c r="H213" s="4" t="str">
        <f>IF(K213="","",INDEX(Интервалы!$I$2:$I$513,MATCH(K213,Интервалы!$G$2:$G$513,0)))</f>
        <v/>
      </c>
      <c r="I213" s="8" t="str">
        <f>IF(K213="","",INDEX(Интервалы!$F$2:$F$513,MATCH(K213,Интервалы!$G$2:$G$513,0)))</f>
        <v/>
      </c>
      <c r="J213" s="8" t="str">
        <f>IF(K213="","",INDEX(Интервалы!$H$2:$H$513,MATCH(K213,Интервалы!$G$2:$G$513,0)))</f>
        <v/>
      </c>
      <c r="K213" t="str">
        <f>IFERROR(SMALL(Интервалы!$G$2:$G$513,207),"")</f>
        <v/>
      </c>
      <c r="L213" t="str">
        <f>IF(K213="","",INDEX(Интервалы!$B$2:$B$513,MATCH(K213,Интервалы!$G$2:$G$513,0)))</f>
        <v/>
      </c>
    </row>
    <row r="214" spans="1:12" x14ac:dyDescent="0.3">
      <c r="A214" s="4" t="str">
        <f>IF(K214="","",208)</f>
        <v/>
      </c>
      <c r="B214" s="4" t="str">
        <f>IF(K214="","",INDEX(Интервалы!$A$2:$A$513,MATCH(K214,Интервалы!$G$2:$G$513,0)))</f>
        <v/>
      </c>
      <c r="C214" s="17" t="str">
        <f>IF(K214="","",INDEX(Интервалы!$C$2:$C$513,MATCH(K214,Интервалы!$G$2:$G$513,0)))</f>
        <v/>
      </c>
      <c r="D214" s="17" t="str">
        <f>IF(K214="","",INDEX(Интервалы!$D$2:$D$513,MATCH(K214,Интервалы!$G$2:$G$513,0)))</f>
        <v/>
      </c>
      <c r="E214" s="4" t="str">
        <f t="shared" si="3"/>
        <v/>
      </c>
      <c r="F214" s="8" t="str">
        <f>IF(K214="","",INDEX(Интервалы!$E$2:$E$513,MATCH(K214,Интервалы!$G$2:$G$513,0)))</f>
        <v/>
      </c>
      <c r="G214" s="18" t="str">
        <f>IF(K214="","",IF(H214=1,INDEX('По дням'!$B$2:$B$4000,MATCH(C214,'По дням'!$A$2:$A$4000,0)),"по периодам ставки"))</f>
        <v/>
      </c>
      <c r="H214" s="4" t="str">
        <f>IF(K214="","",INDEX(Интервалы!$I$2:$I$513,MATCH(K214,Интервалы!$G$2:$G$513,0)))</f>
        <v/>
      </c>
      <c r="I214" s="8" t="str">
        <f>IF(K214="","",INDEX(Интервалы!$F$2:$F$513,MATCH(K214,Интервалы!$G$2:$G$513,0)))</f>
        <v/>
      </c>
      <c r="J214" s="8" t="str">
        <f>IF(K214="","",INDEX(Интервалы!$H$2:$H$513,MATCH(K214,Интервалы!$G$2:$G$513,0)))</f>
        <v/>
      </c>
      <c r="K214" t="str">
        <f>IFERROR(SMALL(Интервалы!$G$2:$G$513,208),"")</f>
        <v/>
      </c>
      <c r="L214" t="str">
        <f>IF(K214="","",INDEX(Интервалы!$B$2:$B$513,MATCH(K214,Интервалы!$G$2:$G$513,0)))</f>
        <v/>
      </c>
    </row>
    <row r="215" spans="1:12" x14ac:dyDescent="0.3">
      <c r="A215" s="4" t="str">
        <f>IF(K215="","",209)</f>
        <v/>
      </c>
      <c r="B215" s="4" t="str">
        <f>IF(K215="","",INDEX(Интервалы!$A$2:$A$513,MATCH(K215,Интервалы!$G$2:$G$513,0)))</f>
        <v/>
      </c>
      <c r="C215" s="17" t="str">
        <f>IF(K215="","",INDEX(Интервалы!$C$2:$C$513,MATCH(K215,Интервалы!$G$2:$G$513,0)))</f>
        <v/>
      </c>
      <c r="D215" s="17" t="str">
        <f>IF(K215="","",INDEX(Интервалы!$D$2:$D$513,MATCH(K215,Интервалы!$G$2:$G$513,0)))</f>
        <v/>
      </c>
      <c r="E215" s="4" t="str">
        <f t="shared" si="3"/>
        <v/>
      </c>
      <c r="F215" s="8" t="str">
        <f>IF(K215="","",INDEX(Интервалы!$E$2:$E$513,MATCH(K215,Интервалы!$G$2:$G$513,0)))</f>
        <v/>
      </c>
      <c r="G215" s="18" t="str">
        <f>IF(K215="","",IF(H215=1,INDEX('По дням'!$B$2:$B$4000,MATCH(C215,'По дням'!$A$2:$A$4000,0)),"по периодам ставки"))</f>
        <v/>
      </c>
      <c r="H215" s="4" t="str">
        <f>IF(K215="","",INDEX(Интервалы!$I$2:$I$513,MATCH(K215,Интервалы!$G$2:$G$513,0)))</f>
        <v/>
      </c>
      <c r="I215" s="8" t="str">
        <f>IF(K215="","",INDEX(Интервалы!$F$2:$F$513,MATCH(K215,Интервалы!$G$2:$G$513,0)))</f>
        <v/>
      </c>
      <c r="J215" s="8" t="str">
        <f>IF(K215="","",INDEX(Интервалы!$H$2:$H$513,MATCH(K215,Интервалы!$G$2:$G$513,0)))</f>
        <v/>
      </c>
      <c r="K215" t="str">
        <f>IFERROR(SMALL(Интервалы!$G$2:$G$513,209),"")</f>
        <v/>
      </c>
      <c r="L215" t="str">
        <f>IF(K215="","",INDEX(Интервалы!$B$2:$B$513,MATCH(K215,Интервалы!$G$2:$G$513,0)))</f>
        <v/>
      </c>
    </row>
    <row r="216" spans="1:12" x14ac:dyDescent="0.3">
      <c r="A216" s="4" t="str">
        <f>IF(K216="","",210)</f>
        <v/>
      </c>
      <c r="B216" s="4" t="str">
        <f>IF(K216="","",INDEX(Интервалы!$A$2:$A$513,MATCH(K216,Интервалы!$G$2:$G$513,0)))</f>
        <v/>
      </c>
      <c r="C216" s="17" t="str">
        <f>IF(K216="","",INDEX(Интервалы!$C$2:$C$513,MATCH(K216,Интервалы!$G$2:$G$513,0)))</f>
        <v/>
      </c>
      <c r="D216" s="17" t="str">
        <f>IF(K216="","",INDEX(Интервалы!$D$2:$D$513,MATCH(K216,Интервалы!$G$2:$G$513,0)))</f>
        <v/>
      </c>
      <c r="E216" s="4" t="str">
        <f t="shared" si="3"/>
        <v/>
      </c>
      <c r="F216" s="8" t="str">
        <f>IF(K216="","",INDEX(Интервалы!$E$2:$E$513,MATCH(K216,Интервалы!$G$2:$G$513,0)))</f>
        <v/>
      </c>
      <c r="G216" s="18" t="str">
        <f>IF(K216="","",IF(H216=1,INDEX('По дням'!$B$2:$B$4000,MATCH(C216,'По дням'!$A$2:$A$4000,0)),"по периодам ставки"))</f>
        <v/>
      </c>
      <c r="H216" s="4" t="str">
        <f>IF(K216="","",INDEX(Интервалы!$I$2:$I$513,MATCH(K216,Интервалы!$G$2:$G$513,0)))</f>
        <v/>
      </c>
      <c r="I216" s="8" t="str">
        <f>IF(K216="","",INDEX(Интервалы!$F$2:$F$513,MATCH(K216,Интервалы!$G$2:$G$513,0)))</f>
        <v/>
      </c>
      <c r="J216" s="8" t="str">
        <f>IF(K216="","",INDEX(Интервалы!$H$2:$H$513,MATCH(K216,Интервалы!$G$2:$G$513,0)))</f>
        <v/>
      </c>
      <c r="K216" t="str">
        <f>IFERROR(SMALL(Интервалы!$G$2:$G$513,210),"")</f>
        <v/>
      </c>
      <c r="L216" t="str">
        <f>IF(K216="","",INDEX(Интервалы!$B$2:$B$513,MATCH(K216,Интервалы!$G$2:$G$513,0)))</f>
        <v/>
      </c>
    </row>
    <row r="217" spans="1:12" x14ac:dyDescent="0.3">
      <c r="A217" s="4" t="str">
        <f>IF(K217="","",211)</f>
        <v/>
      </c>
      <c r="B217" s="4" t="str">
        <f>IF(K217="","",INDEX(Интервалы!$A$2:$A$513,MATCH(K217,Интервалы!$G$2:$G$513,0)))</f>
        <v/>
      </c>
      <c r="C217" s="17" t="str">
        <f>IF(K217="","",INDEX(Интервалы!$C$2:$C$513,MATCH(K217,Интервалы!$G$2:$G$513,0)))</f>
        <v/>
      </c>
      <c r="D217" s="17" t="str">
        <f>IF(K217="","",INDEX(Интервалы!$D$2:$D$513,MATCH(K217,Интервалы!$G$2:$G$513,0)))</f>
        <v/>
      </c>
      <c r="E217" s="4" t="str">
        <f t="shared" si="3"/>
        <v/>
      </c>
      <c r="F217" s="8" t="str">
        <f>IF(K217="","",INDEX(Интервалы!$E$2:$E$513,MATCH(K217,Интервалы!$G$2:$G$513,0)))</f>
        <v/>
      </c>
      <c r="G217" s="18" t="str">
        <f>IF(K217="","",IF(H217=1,INDEX('По дням'!$B$2:$B$4000,MATCH(C217,'По дням'!$A$2:$A$4000,0)),"по периодам ставки"))</f>
        <v/>
      </c>
      <c r="H217" s="4" t="str">
        <f>IF(K217="","",INDEX(Интервалы!$I$2:$I$513,MATCH(K217,Интервалы!$G$2:$G$513,0)))</f>
        <v/>
      </c>
      <c r="I217" s="8" t="str">
        <f>IF(K217="","",INDEX(Интервалы!$F$2:$F$513,MATCH(K217,Интервалы!$G$2:$G$513,0)))</f>
        <v/>
      </c>
      <c r="J217" s="8" t="str">
        <f>IF(K217="","",INDEX(Интервалы!$H$2:$H$513,MATCH(K217,Интервалы!$G$2:$G$513,0)))</f>
        <v/>
      </c>
      <c r="K217" t="str">
        <f>IFERROR(SMALL(Интервалы!$G$2:$G$513,211),"")</f>
        <v/>
      </c>
      <c r="L217" t="str">
        <f>IF(K217="","",INDEX(Интервалы!$B$2:$B$513,MATCH(K217,Интервалы!$G$2:$G$513,0)))</f>
        <v/>
      </c>
    </row>
    <row r="218" spans="1:12" x14ac:dyDescent="0.3">
      <c r="A218" s="4" t="str">
        <f>IF(K218="","",212)</f>
        <v/>
      </c>
      <c r="B218" s="4" t="str">
        <f>IF(K218="","",INDEX(Интервалы!$A$2:$A$513,MATCH(K218,Интервалы!$G$2:$G$513,0)))</f>
        <v/>
      </c>
      <c r="C218" s="17" t="str">
        <f>IF(K218="","",INDEX(Интервалы!$C$2:$C$513,MATCH(K218,Интервалы!$G$2:$G$513,0)))</f>
        <v/>
      </c>
      <c r="D218" s="17" t="str">
        <f>IF(K218="","",INDEX(Интервалы!$D$2:$D$513,MATCH(K218,Интервалы!$G$2:$G$513,0)))</f>
        <v/>
      </c>
      <c r="E218" s="4" t="str">
        <f t="shared" si="3"/>
        <v/>
      </c>
      <c r="F218" s="8" t="str">
        <f>IF(K218="","",INDEX(Интервалы!$E$2:$E$513,MATCH(K218,Интервалы!$G$2:$G$513,0)))</f>
        <v/>
      </c>
      <c r="G218" s="18" t="str">
        <f>IF(K218="","",IF(H218=1,INDEX('По дням'!$B$2:$B$4000,MATCH(C218,'По дням'!$A$2:$A$4000,0)),"по периодам ставки"))</f>
        <v/>
      </c>
      <c r="H218" s="4" t="str">
        <f>IF(K218="","",INDEX(Интервалы!$I$2:$I$513,MATCH(K218,Интервалы!$G$2:$G$513,0)))</f>
        <v/>
      </c>
      <c r="I218" s="8" t="str">
        <f>IF(K218="","",INDEX(Интервалы!$F$2:$F$513,MATCH(K218,Интервалы!$G$2:$G$513,0)))</f>
        <v/>
      </c>
      <c r="J218" s="8" t="str">
        <f>IF(K218="","",INDEX(Интервалы!$H$2:$H$513,MATCH(K218,Интервалы!$G$2:$G$513,0)))</f>
        <v/>
      </c>
      <c r="K218" t="str">
        <f>IFERROR(SMALL(Интервалы!$G$2:$G$513,212),"")</f>
        <v/>
      </c>
      <c r="L218" t="str">
        <f>IF(K218="","",INDEX(Интервалы!$B$2:$B$513,MATCH(K218,Интервалы!$G$2:$G$513,0)))</f>
        <v/>
      </c>
    </row>
    <row r="219" spans="1:12" x14ac:dyDescent="0.3">
      <c r="A219" s="4" t="str">
        <f>IF(K219="","",213)</f>
        <v/>
      </c>
      <c r="B219" s="4" t="str">
        <f>IF(K219="","",INDEX(Интервалы!$A$2:$A$513,MATCH(K219,Интервалы!$G$2:$G$513,0)))</f>
        <v/>
      </c>
      <c r="C219" s="17" t="str">
        <f>IF(K219="","",INDEX(Интервалы!$C$2:$C$513,MATCH(K219,Интервалы!$G$2:$G$513,0)))</f>
        <v/>
      </c>
      <c r="D219" s="17" t="str">
        <f>IF(K219="","",INDEX(Интервалы!$D$2:$D$513,MATCH(K219,Интервалы!$G$2:$G$513,0)))</f>
        <v/>
      </c>
      <c r="E219" s="4" t="str">
        <f t="shared" si="3"/>
        <v/>
      </c>
      <c r="F219" s="8" t="str">
        <f>IF(K219="","",INDEX(Интервалы!$E$2:$E$513,MATCH(K219,Интервалы!$G$2:$G$513,0)))</f>
        <v/>
      </c>
      <c r="G219" s="18" t="str">
        <f>IF(K219="","",IF(H219=1,INDEX('По дням'!$B$2:$B$4000,MATCH(C219,'По дням'!$A$2:$A$4000,0)),"по периодам ставки"))</f>
        <v/>
      </c>
      <c r="H219" s="4" t="str">
        <f>IF(K219="","",INDEX(Интервалы!$I$2:$I$513,MATCH(K219,Интервалы!$G$2:$G$513,0)))</f>
        <v/>
      </c>
      <c r="I219" s="8" t="str">
        <f>IF(K219="","",INDEX(Интервалы!$F$2:$F$513,MATCH(K219,Интервалы!$G$2:$G$513,0)))</f>
        <v/>
      </c>
      <c r="J219" s="8" t="str">
        <f>IF(K219="","",INDEX(Интервалы!$H$2:$H$513,MATCH(K219,Интервалы!$G$2:$G$513,0)))</f>
        <v/>
      </c>
      <c r="K219" t="str">
        <f>IFERROR(SMALL(Интервалы!$G$2:$G$513,213),"")</f>
        <v/>
      </c>
      <c r="L219" t="str">
        <f>IF(K219="","",INDEX(Интервалы!$B$2:$B$513,MATCH(K219,Интервалы!$G$2:$G$513,0)))</f>
        <v/>
      </c>
    </row>
    <row r="220" spans="1:12" x14ac:dyDescent="0.3">
      <c r="A220" s="4" t="str">
        <f>IF(K220="","",214)</f>
        <v/>
      </c>
      <c r="B220" s="4" t="str">
        <f>IF(K220="","",INDEX(Интервалы!$A$2:$A$513,MATCH(K220,Интервалы!$G$2:$G$513,0)))</f>
        <v/>
      </c>
      <c r="C220" s="17" t="str">
        <f>IF(K220="","",INDEX(Интервалы!$C$2:$C$513,MATCH(K220,Интервалы!$G$2:$G$513,0)))</f>
        <v/>
      </c>
      <c r="D220" s="17" t="str">
        <f>IF(K220="","",INDEX(Интервалы!$D$2:$D$513,MATCH(K220,Интервалы!$G$2:$G$513,0)))</f>
        <v/>
      </c>
      <c r="E220" s="4" t="str">
        <f t="shared" si="3"/>
        <v/>
      </c>
      <c r="F220" s="8" t="str">
        <f>IF(K220="","",INDEX(Интервалы!$E$2:$E$513,MATCH(K220,Интервалы!$G$2:$G$513,0)))</f>
        <v/>
      </c>
      <c r="G220" s="18" t="str">
        <f>IF(K220="","",IF(H220=1,INDEX('По дням'!$B$2:$B$4000,MATCH(C220,'По дням'!$A$2:$A$4000,0)),"по периодам ставки"))</f>
        <v/>
      </c>
      <c r="H220" s="4" t="str">
        <f>IF(K220="","",INDEX(Интервалы!$I$2:$I$513,MATCH(K220,Интервалы!$G$2:$G$513,0)))</f>
        <v/>
      </c>
      <c r="I220" s="8" t="str">
        <f>IF(K220="","",INDEX(Интервалы!$F$2:$F$513,MATCH(K220,Интервалы!$G$2:$G$513,0)))</f>
        <v/>
      </c>
      <c r="J220" s="8" t="str">
        <f>IF(K220="","",INDEX(Интервалы!$H$2:$H$513,MATCH(K220,Интервалы!$G$2:$G$513,0)))</f>
        <v/>
      </c>
      <c r="K220" t="str">
        <f>IFERROR(SMALL(Интервалы!$G$2:$G$513,214),"")</f>
        <v/>
      </c>
      <c r="L220" t="str">
        <f>IF(K220="","",INDEX(Интервалы!$B$2:$B$513,MATCH(K220,Интервалы!$G$2:$G$513,0)))</f>
        <v/>
      </c>
    </row>
    <row r="221" spans="1:12" x14ac:dyDescent="0.3">
      <c r="A221" s="4" t="str">
        <f>IF(K221="","",215)</f>
        <v/>
      </c>
      <c r="B221" s="4" t="str">
        <f>IF(K221="","",INDEX(Интервалы!$A$2:$A$513,MATCH(K221,Интервалы!$G$2:$G$513,0)))</f>
        <v/>
      </c>
      <c r="C221" s="17" t="str">
        <f>IF(K221="","",INDEX(Интервалы!$C$2:$C$513,MATCH(K221,Интервалы!$G$2:$G$513,0)))</f>
        <v/>
      </c>
      <c r="D221" s="17" t="str">
        <f>IF(K221="","",INDEX(Интервалы!$D$2:$D$513,MATCH(K221,Интервалы!$G$2:$G$513,0)))</f>
        <v/>
      </c>
      <c r="E221" s="4" t="str">
        <f t="shared" si="3"/>
        <v/>
      </c>
      <c r="F221" s="8" t="str">
        <f>IF(K221="","",INDEX(Интервалы!$E$2:$E$513,MATCH(K221,Интервалы!$G$2:$G$513,0)))</f>
        <v/>
      </c>
      <c r="G221" s="18" t="str">
        <f>IF(K221="","",IF(H221=1,INDEX('По дням'!$B$2:$B$4000,MATCH(C221,'По дням'!$A$2:$A$4000,0)),"по периодам ставки"))</f>
        <v/>
      </c>
      <c r="H221" s="4" t="str">
        <f>IF(K221="","",INDEX(Интервалы!$I$2:$I$513,MATCH(K221,Интервалы!$G$2:$G$513,0)))</f>
        <v/>
      </c>
      <c r="I221" s="8" t="str">
        <f>IF(K221="","",INDEX(Интервалы!$F$2:$F$513,MATCH(K221,Интервалы!$G$2:$G$513,0)))</f>
        <v/>
      </c>
      <c r="J221" s="8" t="str">
        <f>IF(K221="","",INDEX(Интервалы!$H$2:$H$513,MATCH(K221,Интервалы!$G$2:$G$513,0)))</f>
        <v/>
      </c>
      <c r="K221" t="str">
        <f>IFERROR(SMALL(Интервалы!$G$2:$G$513,215),"")</f>
        <v/>
      </c>
      <c r="L221" t="str">
        <f>IF(K221="","",INDEX(Интервалы!$B$2:$B$513,MATCH(K221,Интервалы!$G$2:$G$513,0)))</f>
        <v/>
      </c>
    </row>
    <row r="222" spans="1:12" x14ac:dyDescent="0.3">
      <c r="A222" s="4" t="str">
        <f>IF(K222="","",216)</f>
        <v/>
      </c>
      <c r="B222" s="4" t="str">
        <f>IF(K222="","",INDEX(Интервалы!$A$2:$A$513,MATCH(K222,Интервалы!$G$2:$G$513,0)))</f>
        <v/>
      </c>
      <c r="C222" s="17" t="str">
        <f>IF(K222="","",INDEX(Интервалы!$C$2:$C$513,MATCH(K222,Интервалы!$G$2:$G$513,0)))</f>
        <v/>
      </c>
      <c r="D222" s="17" t="str">
        <f>IF(K222="","",INDEX(Интервалы!$D$2:$D$513,MATCH(K222,Интервалы!$G$2:$G$513,0)))</f>
        <v/>
      </c>
      <c r="E222" s="4" t="str">
        <f t="shared" si="3"/>
        <v/>
      </c>
      <c r="F222" s="8" t="str">
        <f>IF(K222="","",INDEX(Интервалы!$E$2:$E$513,MATCH(K222,Интервалы!$G$2:$G$513,0)))</f>
        <v/>
      </c>
      <c r="G222" s="18" t="str">
        <f>IF(K222="","",IF(H222=1,INDEX('По дням'!$B$2:$B$4000,MATCH(C222,'По дням'!$A$2:$A$4000,0)),"по периодам ставки"))</f>
        <v/>
      </c>
      <c r="H222" s="4" t="str">
        <f>IF(K222="","",INDEX(Интервалы!$I$2:$I$513,MATCH(K222,Интервалы!$G$2:$G$513,0)))</f>
        <v/>
      </c>
      <c r="I222" s="8" t="str">
        <f>IF(K222="","",INDEX(Интервалы!$F$2:$F$513,MATCH(K222,Интервалы!$G$2:$G$513,0)))</f>
        <v/>
      </c>
      <c r="J222" s="8" t="str">
        <f>IF(K222="","",INDEX(Интервалы!$H$2:$H$513,MATCH(K222,Интервалы!$G$2:$G$513,0)))</f>
        <v/>
      </c>
      <c r="K222" t="str">
        <f>IFERROR(SMALL(Интервалы!$G$2:$G$513,216),"")</f>
        <v/>
      </c>
      <c r="L222" t="str">
        <f>IF(K222="","",INDEX(Интервалы!$B$2:$B$513,MATCH(K222,Интервалы!$G$2:$G$513,0)))</f>
        <v/>
      </c>
    </row>
    <row r="223" spans="1:12" x14ac:dyDescent="0.3">
      <c r="A223" s="4" t="str">
        <f>IF(K223="","",217)</f>
        <v/>
      </c>
      <c r="B223" s="4" t="str">
        <f>IF(K223="","",INDEX(Интервалы!$A$2:$A$513,MATCH(K223,Интервалы!$G$2:$G$513,0)))</f>
        <v/>
      </c>
      <c r="C223" s="17" t="str">
        <f>IF(K223="","",INDEX(Интервалы!$C$2:$C$513,MATCH(K223,Интервалы!$G$2:$G$513,0)))</f>
        <v/>
      </c>
      <c r="D223" s="17" t="str">
        <f>IF(K223="","",INDEX(Интервалы!$D$2:$D$513,MATCH(K223,Интервалы!$G$2:$G$513,0)))</f>
        <v/>
      </c>
      <c r="E223" s="4" t="str">
        <f t="shared" si="3"/>
        <v/>
      </c>
      <c r="F223" s="8" t="str">
        <f>IF(K223="","",INDEX(Интервалы!$E$2:$E$513,MATCH(K223,Интервалы!$G$2:$G$513,0)))</f>
        <v/>
      </c>
      <c r="G223" s="18" t="str">
        <f>IF(K223="","",IF(H223=1,INDEX('По дням'!$B$2:$B$4000,MATCH(C223,'По дням'!$A$2:$A$4000,0)),"по периодам ставки"))</f>
        <v/>
      </c>
      <c r="H223" s="4" t="str">
        <f>IF(K223="","",INDEX(Интервалы!$I$2:$I$513,MATCH(K223,Интервалы!$G$2:$G$513,0)))</f>
        <v/>
      </c>
      <c r="I223" s="8" t="str">
        <f>IF(K223="","",INDEX(Интервалы!$F$2:$F$513,MATCH(K223,Интервалы!$G$2:$G$513,0)))</f>
        <v/>
      </c>
      <c r="J223" s="8" t="str">
        <f>IF(K223="","",INDEX(Интервалы!$H$2:$H$513,MATCH(K223,Интервалы!$G$2:$G$513,0)))</f>
        <v/>
      </c>
      <c r="K223" t="str">
        <f>IFERROR(SMALL(Интервалы!$G$2:$G$513,217),"")</f>
        <v/>
      </c>
      <c r="L223" t="str">
        <f>IF(K223="","",INDEX(Интервалы!$B$2:$B$513,MATCH(K223,Интервалы!$G$2:$G$513,0)))</f>
        <v/>
      </c>
    </row>
    <row r="224" spans="1:12" x14ac:dyDescent="0.3">
      <c r="A224" s="4" t="str">
        <f>IF(K224="","",218)</f>
        <v/>
      </c>
      <c r="B224" s="4" t="str">
        <f>IF(K224="","",INDEX(Интервалы!$A$2:$A$513,MATCH(K224,Интервалы!$G$2:$G$513,0)))</f>
        <v/>
      </c>
      <c r="C224" s="17" t="str">
        <f>IF(K224="","",INDEX(Интервалы!$C$2:$C$513,MATCH(K224,Интервалы!$G$2:$G$513,0)))</f>
        <v/>
      </c>
      <c r="D224" s="17" t="str">
        <f>IF(K224="","",INDEX(Интервалы!$D$2:$D$513,MATCH(K224,Интервалы!$G$2:$G$513,0)))</f>
        <v/>
      </c>
      <c r="E224" s="4" t="str">
        <f t="shared" si="3"/>
        <v/>
      </c>
      <c r="F224" s="8" t="str">
        <f>IF(K224="","",INDEX(Интервалы!$E$2:$E$513,MATCH(K224,Интервалы!$G$2:$G$513,0)))</f>
        <v/>
      </c>
      <c r="G224" s="18" t="str">
        <f>IF(K224="","",IF(H224=1,INDEX('По дням'!$B$2:$B$4000,MATCH(C224,'По дням'!$A$2:$A$4000,0)),"по периодам ставки"))</f>
        <v/>
      </c>
      <c r="H224" s="4" t="str">
        <f>IF(K224="","",INDEX(Интервалы!$I$2:$I$513,MATCH(K224,Интервалы!$G$2:$G$513,0)))</f>
        <v/>
      </c>
      <c r="I224" s="8" t="str">
        <f>IF(K224="","",INDEX(Интервалы!$F$2:$F$513,MATCH(K224,Интервалы!$G$2:$G$513,0)))</f>
        <v/>
      </c>
      <c r="J224" s="8" t="str">
        <f>IF(K224="","",INDEX(Интервалы!$H$2:$H$513,MATCH(K224,Интервалы!$G$2:$G$513,0)))</f>
        <v/>
      </c>
      <c r="K224" t="str">
        <f>IFERROR(SMALL(Интервалы!$G$2:$G$513,218),"")</f>
        <v/>
      </c>
      <c r="L224" t="str">
        <f>IF(K224="","",INDEX(Интервалы!$B$2:$B$513,MATCH(K224,Интервалы!$G$2:$G$513,0)))</f>
        <v/>
      </c>
    </row>
    <row r="225" spans="1:12" x14ac:dyDescent="0.3">
      <c r="A225" s="4" t="str">
        <f>IF(K225="","",219)</f>
        <v/>
      </c>
      <c r="B225" s="4" t="str">
        <f>IF(K225="","",INDEX(Интервалы!$A$2:$A$513,MATCH(K225,Интервалы!$G$2:$G$513,0)))</f>
        <v/>
      </c>
      <c r="C225" s="17" t="str">
        <f>IF(K225="","",INDEX(Интервалы!$C$2:$C$513,MATCH(K225,Интервалы!$G$2:$G$513,0)))</f>
        <v/>
      </c>
      <c r="D225" s="17" t="str">
        <f>IF(K225="","",INDEX(Интервалы!$D$2:$D$513,MATCH(K225,Интервалы!$G$2:$G$513,0)))</f>
        <v/>
      </c>
      <c r="E225" s="4" t="str">
        <f t="shared" si="3"/>
        <v/>
      </c>
      <c r="F225" s="8" t="str">
        <f>IF(K225="","",INDEX(Интервалы!$E$2:$E$513,MATCH(K225,Интервалы!$G$2:$G$513,0)))</f>
        <v/>
      </c>
      <c r="G225" s="18" t="str">
        <f>IF(K225="","",IF(H225=1,INDEX('По дням'!$B$2:$B$4000,MATCH(C225,'По дням'!$A$2:$A$4000,0)),"по периодам ставки"))</f>
        <v/>
      </c>
      <c r="H225" s="4" t="str">
        <f>IF(K225="","",INDEX(Интервалы!$I$2:$I$513,MATCH(K225,Интервалы!$G$2:$G$513,0)))</f>
        <v/>
      </c>
      <c r="I225" s="8" t="str">
        <f>IF(K225="","",INDEX(Интервалы!$F$2:$F$513,MATCH(K225,Интервалы!$G$2:$G$513,0)))</f>
        <v/>
      </c>
      <c r="J225" s="8" t="str">
        <f>IF(K225="","",INDEX(Интервалы!$H$2:$H$513,MATCH(K225,Интервалы!$G$2:$G$513,0)))</f>
        <v/>
      </c>
      <c r="K225" t="str">
        <f>IFERROR(SMALL(Интервалы!$G$2:$G$513,219),"")</f>
        <v/>
      </c>
      <c r="L225" t="str">
        <f>IF(K225="","",INDEX(Интервалы!$B$2:$B$513,MATCH(K225,Интервалы!$G$2:$G$513,0)))</f>
        <v/>
      </c>
    </row>
    <row r="226" spans="1:12" x14ac:dyDescent="0.3">
      <c r="A226" s="4" t="str">
        <f>IF(K226="","",220)</f>
        <v/>
      </c>
      <c r="B226" s="4" t="str">
        <f>IF(K226="","",INDEX(Интервалы!$A$2:$A$513,MATCH(K226,Интервалы!$G$2:$G$513,0)))</f>
        <v/>
      </c>
      <c r="C226" s="17" t="str">
        <f>IF(K226="","",INDEX(Интервалы!$C$2:$C$513,MATCH(K226,Интервалы!$G$2:$G$513,0)))</f>
        <v/>
      </c>
      <c r="D226" s="17" t="str">
        <f>IF(K226="","",INDEX(Интервалы!$D$2:$D$513,MATCH(K226,Интервалы!$G$2:$G$513,0)))</f>
        <v/>
      </c>
      <c r="E226" s="4" t="str">
        <f t="shared" si="3"/>
        <v/>
      </c>
      <c r="F226" s="8" t="str">
        <f>IF(K226="","",INDEX(Интервалы!$E$2:$E$513,MATCH(K226,Интервалы!$G$2:$G$513,0)))</f>
        <v/>
      </c>
      <c r="G226" s="18" t="str">
        <f>IF(K226="","",IF(H226=1,INDEX('По дням'!$B$2:$B$4000,MATCH(C226,'По дням'!$A$2:$A$4000,0)),"по периодам ставки"))</f>
        <v/>
      </c>
      <c r="H226" s="4" t="str">
        <f>IF(K226="","",INDEX(Интервалы!$I$2:$I$513,MATCH(K226,Интервалы!$G$2:$G$513,0)))</f>
        <v/>
      </c>
      <c r="I226" s="8" t="str">
        <f>IF(K226="","",INDEX(Интервалы!$F$2:$F$513,MATCH(K226,Интервалы!$G$2:$G$513,0)))</f>
        <v/>
      </c>
      <c r="J226" s="8" t="str">
        <f>IF(K226="","",INDEX(Интервалы!$H$2:$H$513,MATCH(K226,Интервалы!$G$2:$G$513,0)))</f>
        <v/>
      </c>
      <c r="K226" t="str">
        <f>IFERROR(SMALL(Интервалы!$G$2:$G$513,220),"")</f>
        <v/>
      </c>
      <c r="L226" t="str">
        <f>IF(K226="","",INDEX(Интервалы!$B$2:$B$513,MATCH(K226,Интервалы!$G$2:$G$513,0)))</f>
        <v/>
      </c>
    </row>
    <row r="227" spans="1:12" x14ac:dyDescent="0.3">
      <c r="A227" s="4" t="str">
        <f>IF(K227="","",221)</f>
        <v/>
      </c>
      <c r="B227" s="4" t="str">
        <f>IF(K227="","",INDEX(Интервалы!$A$2:$A$513,MATCH(K227,Интервалы!$G$2:$G$513,0)))</f>
        <v/>
      </c>
      <c r="C227" s="17" t="str">
        <f>IF(K227="","",INDEX(Интервалы!$C$2:$C$513,MATCH(K227,Интервалы!$G$2:$G$513,0)))</f>
        <v/>
      </c>
      <c r="D227" s="17" t="str">
        <f>IF(K227="","",INDEX(Интервалы!$D$2:$D$513,MATCH(K227,Интервалы!$G$2:$G$513,0)))</f>
        <v/>
      </c>
      <c r="E227" s="4" t="str">
        <f t="shared" si="3"/>
        <v/>
      </c>
      <c r="F227" s="8" t="str">
        <f>IF(K227="","",INDEX(Интервалы!$E$2:$E$513,MATCH(K227,Интервалы!$G$2:$G$513,0)))</f>
        <v/>
      </c>
      <c r="G227" s="18" t="str">
        <f>IF(K227="","",IF(H227=1,INDEX('По дням'!$B$2:$B$4000,MATCH(C227,'По дням'!$A$2:$A$4000,0)),"по периодам ставки"))</f>
        <v/>
      </c>
      <c r="H227" s="4" t="str">
        <f>IF(K227="","",INDEX(Интервалы!$I$2:$I$513,MATCH(K227,Интервалы!$G$2:$G$513,0)))</f>
        <v/>
      </c>
      <c r="I227" s="8" t="str">
        <f>IF(K227="","",INDEX(Интервалы!$F$2:$F$513,MATCH(K227,Интервалы!$G$2:$G$513,0)))</f>
        <v/>
      </c>
      <c r="J227" s="8" t="str">
        <f>IF(K227="","",INDEX(Интервалы!$H$2:$H$513,MATCH(K227,Интервалы!$G$2:$G$513,0)))</f>
        <v/>
      </c>
      <c r="K227" t="str">
        <f>IFERROR(SMALL(Интервалы!$G$2:$G$513,221),"")</f>
        <v/>
      </c>
      <c r="L227" t="str">
        <f>IF(K227="","",INDEX(Интервалы!$B$2:$B$513,MATCH(K227,Интервалы!$G$2:$G$513,0)))</f>
        <v/>
      </c>
    </row>
    <row r="228" spans="1:12" x14ac:dyDescent="0.3">
      <c r="A228" s="4" t="str">
        <f>IF(K228="","",222)</f>
        <v/>
      </c>
      <c r="B228" s="4" t="str">
        <f>IF(K228="","",INDEX(Интервалы!$A$2:$A$513,MATCH(K228,Интервалы!$G$2:$G$513,0)))</f>
        <v/>
      </c>
      <c r="C228" s="17" t="str">
        <f>IF(K228="","",INDEX(Интервалы!$C$2:$C$513,MATCH(K228,Интервалы!$G$2:$G$513,0)))</f>
        <v/>
      </c>
      <c r="D228" s="17" t="str">
        <f>IF(K228="","",INDEX(Интервалы!$D$2:$D$513,MATCH(K228,Интервалы!$G$2:$G$513,0)))</f>
        <v/>
      </c>
      <c r="E228" s="4" t="str">
        <f t="shared" si="3"/>
        <v/>
      </c>
      <c r="F228" s="8" t="str">
        <f>IF(K228="","",INDEX(Интервалы!$E$2:$E$513,MATCH(K228,Интервалы!$G$2:$G$513,0)))</f>
        <v/>
      </c>
      <c r="G228" s="18" t="str">
        <f>IF(K228="","",IF(H228=1,INDEX('По дням'!$B$2:$B$4000,MATCH(C228,'По дням'!$A$2:$A$4000,0)),"по периодам ставки"))</f>
        <v/>
      </c>
      <c r="H228" s="4" t="str">
        <f>IF(K228="","",INDEX(Интервалы!$I$2:$I$513,MATCH(K228,Интервалы!$G$2:$G$513,0)))</f>
        <v/>
      </c>
      <c r="I228" s="8" t="str">
        <f>IF(K228="","",INDEX(Интервалы!$F$2:$F$513,MATCH(K228,Интервалы!$G$2:$G$513,0)))</f>
        <v/>
      </c>
      <c r="J228" s="8" t="str">
        <f>IF(K228="","",INDEX(Интервалы!$H$2:$H$513,MATCH(K228,Интервалы!$G$2:$G$513,0)))</f>
        <v/>
      </c>
      <c r="K228" t="str">
        <f>IFERROR(SMALL(Интервалы!$G$2:$G$513,222),"")</f>
        <v/>
      </c>
      <c r="L228" t="str">
        <f>IF(K228="","",INDEX(Интервалы!$B$2:$B$513,MATCH(K228,Интервалы!$G$2:$G$513,0)))</f>
        <v/>
      </c>
    </row>
    <row r="229" spans="1:12" x14ac:dyDescent="0.3">
      <c r="A229" s="4" t="str">
        <f>IF(K229="","",223)</f>
        <v/>
      </c>
      <c r="B229" s="4" t="str">
        <f>IF(K229="","",INDEX(Интервалы!$A$2:$A$513,MATCH(K229,Интервалы!$G$2:$G$513,0)))</f>
        <v/>
      </c>
      <c r="C229" s="17" t="str">
        <f>IF(K229="","",INDEX(Интервалы!$C$2:$C$513,MATCH(K229,Интервалы!$G$2:$G$513,0)))</f>
        <v/>
      </c>
      <c r="D229" s="17" t="str">
        <f>IF(K229="","",INDEX(Интервалы!$D$2:$D$513,MATCH(K229,Интервалы!$G$2:$G$513,0)))</f>
        <v/>
      </c>
      <c r="E229" s="4" t="str">
        <f t="shared" si="3"/>
        <v/>
      </c>
      <c r="F229" s="8" t="str">
        <f>IF(K229="","",INDEX(Интервалы!$E$2:$E$513,MATCH(K229,Интервалы!$G$2:$G$513,0)))</f>
        <v/>
      </c>
      <c r="G229" s="18" t="str">
        <f>IF(K229="","",IF(H229=1,INDEX('По дням'!$B$2:$B$4000,MATCH(C229,'По дням'!$A$2:$A$4000,0)),"по периодам ставки"))</f>
        <v/>
      </c>
      <c r="H229" s="4" t="str">
        <f>IF(K229="","",INDEX(Интервалы!$I$2:$I$513,MATCH(K229,Интервалы!$G$2:$G$513,0)))</f>
        <v/>
      </c>
      <c r="I229" s="8" t="str">
        <f>IF(K229="","",INDEX(Интервалы!$F$2:$F$513,MATCH(K229,Интервалы!$G$2:$G$513,0)))</f>
        <v/>
      </c>
      <c r="J229" s="8" t="str">
        <f>IF(K229="","",INDEX(Интервалы!$H$2:$H$513,MATCH(K229,Интервалы!$G$2:$G$513,0)))</f>
        <v/>
      </c>
      <c r="K229" t="str">
        <f>IFERROR(SMALL(Интервалы!$G$2:$G$513,223),"")</f>
        <v/>
      </c>
      <c r="L229" t="str">
        <f>IF(K229="","",INDEX(Интервалы!$B$2:$B$513,MATCH(K229,Интервалы!$G$2:$G$513,0)))</f>
        <v/>
      </c>
    </row>
    <row r="230" spans="1:12" x14ac:dyDescent="0.3">
      <c r="A230" s="4" t="str">
        <f>IF(K230="","",224)</f>
        <v/>
      </c>
      <c r="B230" s="4" t="str">
        <f>IF(K230="","",INDEX(Интервалы!$A$2:$A$513,MATCH(K230,Интервалы!$G$2:$G$513,0)))</f>
        <v/>
      </c>
      <c r="C230" s="17" t="str">
        <f>IF(K230="","",INDEX(Интервалы!$C$2:$C$513,MATCH(K230,Интервалы!$G$2:$G$513,0)))</f>
        <v/>
      </c>
      <c r="D230" s="17" t="str">
        <f>IF(K230="","",INDEX(Интервалы!$D$2:$D$513,MATCH(K230,Интервалы!$G$2:$G$513,0)))</f>
        <v/>
      </c>
      <c r="E230" s="4" t="str">
        <f t="shared" si="3"/>
        <v/>
      </c>
      <c r="F230" s="8" t="str">
        <f>IF(K230="","",INDEX(Интервалы!$E$2:$E$513,MATCH(K230,Интервалы!$G$2:$G$513,0)))</f>
        <v/>
      </c>
      <c r="G230" s="18" t="str">
        <f>IF(K230="","",IF(H230=1,INDEX('По дням'!$B$2:$B$4000,MATCH(C230,'По дням'!$A$2:$A$4000,0)),"по периодам ставки"))</f>
        <v/>
      </c>
      <c r="H230" s="4" t="str">
        <f>IF(K230="","",INDEX(Интервалы!$I$2:$I$513,MATCH(K230,Интервалы!$G$2:$G$513,0)))</f>
        <v/>
      </c>
      <c r="I230" s="8" t="str">
        <f>IF(K230="","",INDEX(Интервалы!$F$2:$F$513,MATCH(K230,Интервалы!$G$2:$G$513,0)))</f>
        <v/>
      </c>
      <c r="J230" s="8" t="str">
        <f>IF(K230="","",INDEX(Интервалы!$H$2:$H$513,MATCH(K230,Интервалы!$G$2:$G$513,0)))</f>
        <v/>
      </c>
      <c r="K230" t="str">
        <f>IFERROR(SMALL(Интервалы!$G$2:$G$513,224),"")</f>
        <v/>
      </c>
      <c r="L230" t="str">
        <f>IF(K230="","",INDEX(Интервалы!$B$2:$B$513,MATCH(K230,Интервалы!$G$2:$G$513,0)))</f>
        <v/>
      </c>
    </row>
    <row r="231" spans="1:12" x14ac:dyDescent="0.3">
      <c r="A231" s="4" t="str">
        <f>IF(K231="","",225)</f>
        <v/>
      </c>
      <c r="B231" s="4" t="str">
        <f>IF(K231="","",INDEX(Интервалы!$A$2:$A$513,MATCH(K231,Интервалы!$G$2:$G$513,0)))</f>
        <v/>
      </c>
      <c r="C231" s="17" t="str">
        <f>IF(K231="","",INDEX(Интервалы!$C$2:$C$513,MATCH(K231,Интервалы!$G$2:$G$513,0)))</f>
        <v/>
      </c>
      <c r="D231" s="17" t="str">
        <f>IF(K231="","",INDEX(Интервалы!$D$2:$D$513,MATCH(K231,Интервалы!$G$2:$G$513,0)))</f>
        <v/>
      </c>
      <c r="E231" s="4" t="str">
        <f t="shared" si="3"/>
        <v/>
      </c>
      <c r="F231" s="8" t="str">
        <f>IF(K231="","",INDEX(Интервалы!$E$2:$E$513,MATCH(K231,Интервалы!$G$2:$G$513,0)))</f>
        <v/>
      </c>
      <c r="G231" s="18" t="str">
        <f>IF(K231="","",IF(H231=1,INDEX('По дням'!$B$2:$B$4000,MATCH(C231,'По дням'!$A$2:$A$4000,0)),"по периодам ставки"))</f>
        <v/>
      </c>
      <c r="H231" s="4" t="str">
        <f>IF(K231="","",INDEX(Интервалы!$I$2:$I$513,MATCH(K231,Интервалы!$G$2:$G$513,0)))</f>
        <v/>
      </c>
      <c r="I231" s="8" t="str">
        <f>IF(K231="","",INDEX(Интервалы!$F$2:$F$513,MATCH(K231,Интервалы!$G$2:$G$513,0)))</f>
        <v/>
      </c>
      <c r="J231" s="8" t="str">
        <f>IF(K231="","",INDEX(Интервалы!$H$2:$H$513,MATCH(K231,Интервалы!$G$2:$G$513,0)))</f>
        <v/>
      </c>
      <c r="K231" t="str">
        <f>IFERROR(SMALL(Интервалы!$G$2:$G$513,225),"")</f>
        <v/>
      </c>
      <c r="L231" t="str">
        <f>IF(K231="","",INDEX(Интервалы!$B$2:$B$513,MATCH(K231,Интервалы!$G$2:$G$513,0)))</f>
        <v/>
      </c>
    </row>
    <row r="232" spans="1:12" x14ac:dyDescent="0.3">
      <c r="A232" s="4" t="str">
        <f>IF(K232="","",226)</f>
        <v/>
      </c>
      <c r="B232" s="4" t="str">
        <f>IF(K232="","",INDEX(Интервалы!$A$2:$A$513,MATCH(K232,Интервалы!$G$2:$G$513,0)))</f>
        <v/>
      </c>
      <c r="C232" s="17" t="str">
        <f>IF(K232="","",INDEX(Интервалы!$C$2:$C$513,MATCH(K232,Интервалы!$G$2:$G$513,0)))</f>
        <v/>
      </c>
      <c r="D232" s="17" t="str">
        <f>IF(K232="","",INDEX(Интервалы!$D$2:$D$513,MATCH(K232,Интервалы!$G$2:$G$513,0)))</f>
        <v/>
      </c>
      <c r="E232" s="4" t="str">
        <f t="shared" si="3"/>
        <v/>
      </c>
      <c r="F232" s="8" t="str">
        <f>IF(K232="","",INDEX(Интервалы!$E$2:$E$513,MATCH(K232,Интервалы!$G$2:$G$513,0)))</f>
        <v/>
      </c>
      <c r="G232" s="18" t="str">
        <f>IF(K232="","",IF(H232=1,INDEX('По дням'!$B$2:$B$4000,MATCH(C232,'По дням'!$A$2:$A$4000,0)),"по периодам ставки"))</f>
        <v/>
      </c>
      <c r="H232" s="4" t="str">
        <f>IF(K232="","",INDEX(Интервалы!$I$2:$I$513,MATCH(K232,Интервалы!$G$2:$G$513,0)))</f>
        <v/>
      </c>
      <c r="I232" s="8" t="str">
        <f>IF(K232="","",INDEX(Интервалы!$F$2:$F$513,MATCH(K232,Интервалы!$G$2:$G$513,0)))</f>
        <v/>
      </c>
      <c r="J232" s="8" t="str">
        <f>IF(K232="","",INDEX(Интервалы!$H$2:$H$513,MATCH(K232,Интервалы!$G$2:$G$513,0)))</f>
        <v/>
      </c>
      <c r="K232" t="str">
        <f>IFERROR(SMALL(Интервалы!$G$2:$G$513,226),"")</f>
        <v/>
      </c>
      <c r="L232" t="str">
        <f>IF(K232="","",INDEX(Интервалы!$B$2:$B$513,MATCH(K232,Интервалы!$G$2:$G$513,0)))</f>
        <v/>
      </c>
    </row>
    <row r="233" spans="1:12" x14ac:dyDescent="0.3">
      <c r="A233" s="4" t="str">
        <f>IF(K233="","",227)</f>
        <v/>
      </c>
      <c r="B233" s="4" t="str">
        <f>IF(K233="","",INDEX(Интервалы!$A$2:$A$513,MATCH(K233,Интервалы!$G$2:$G$513,0)))</f>
        <v/>
      </c>
      <c r="C233" s="17" t="str">
        <f>IF(K233="","",INDEX(Интервалы!$C$2:$C$513,MATCH(K233,Интервалы!$G$2:$G$513,0)))</f>
        <v/>
      </c>
      <c r="D233" s="17" t="str">
        <f>IF(K233="","",INDEX(Интервалы!$D$2:$D$513,MATCH(K233,Интервалы!$G$2:$G$513,0)))</f>
        <v/>
      </c>
      <c r="E233" s="4" t="str">
        <f t="shared" si="3"/>
        <v/>
      </c>
      <c r="F233" s="8" t="str">
        <f>IF(K233="","",INDEX(Интервалы!$E$2:$E$513,MATCH(K233,Интервалы!$G$2:$G$513,0)))</f>
        <v/>
      </c>
      <c r="G233" s="18" t="str">
        <f>IF(K233="","",IF(H233=1,INDEX('По дням'!$B$2:$B$4000,MATCH(C233,'По дням'!$A$2:$A$4000,0)),"по периодам ставки"))</f>
        <v/>
      </c>
      <c r="H233" s="4" t="str">
        <f>IF(K233="","",INDEX(Интервалы!$I$2:$I$513,MATCH(K233,Интервалы!$G$2:$G$513,0)))</f>
        <v/>
      </c>
      <c r="I233" s="8" t="str">
        <f>IF(K233="","",INDEX(Интервалы!$F$2:$F$513,MATCH(K233,Интервалы!$G$2:$G$513,0)))</f>
        <v/>
      </c>
      <c r="J233" s="8" t="str">
        <f>IF(K233="","",INDEX(Интервалы!$H$2:$H$513,MATCH(K233,Интервалы!$G$2:$G$513,0)))</f>
        <v/>
      </c>
      <c r="K233" t="str">
        <f>IFERROR(SMALL(Интервалы!$G$2:$G$513,227),"")</f>
        <v/>
      </c>
      <c r="L233" t="str">
        <f>IF(K233="","",INDEX(Интервалы!$B$2:$B$513,MATCH(K233,Интервалы!$G$2:$G$513,0)))</f>
        <v/>
      </c>
    </row>
    <row r="234" spans="1:12" x14ac:dyDescent="0.3">
      <c r="A234" s="4" t="str">
        <f>IF(K234="","",228)</f>
        <v/>
      </c>
      <c r="B234" s="4" t="str">
        <f>IF(K234="","",INDEX(Интервалы!$A$2:$A$513,MATCH(K234,Интервалы!$G$2:$G$513,0)))</f>
        <v/>
      </c>
      <c r="C234" s="17" t="str">
        <f>IF(K234="","",INDEX(Интервалы!$C$2:$C$513,MATCH(K234,Интервалы!$G$2:$G$513,0)))</f>
        <v/>
      </c>
      <c r="D234" s="17" t="str">
        <f>IF(K234="","",INDEX(Интервалы!$D$2:$D$513,MATCH(K234,Интервалы!$G$2:$G$513,0)))</f>
        <v/>
      </c>
      <c r="E234" s="4" t="str">
        <f t="shared" si="3"/>
        <v/>
      </c>
      <c r="F234" s="8" t="str">
        <f>IF(K234="","",INDEX(Интервалы!$E$2:$E$513,MATCH(K234,Интервалы!$G$2:$G$513,0)))</f>
        <v/>
      </c>
      <c r="G234" s="18" t="str">
        <f>IF(K234="","",IF(H234=1,INDEX('По дням'!$B$2:$B$4000,MATCH(C234,'По дням'!$A$2:$A$4000,0)),"по периодам ставки"))</f>
        <v/>
      </c>
      <c r="H234" s="4" t="str">
        <f>IF(K234="","",INDEX(Интервалы!$I$2:$I$513,MATCH(K234,Интервалы!$G$2:$G$513,0)))</f>
        <v/>
      </c>
      <c r="I234" s="8" t="str">
        <f>IF(K234="","",INDEX(Интервалы!$F$2:$F$513,MATCH(K234,Интервалы!$G$2:$G$513,0)))</f>
        <v/>
      </c>
      <c r="J234" s="8" t="str">
        <f>IF(K234="","",INDEX(Интервалы!$H$2:$H$513,MATCH(K234,Интервалы!$G$2:$G$513,0)))</f>
        <v/>
      </c>
      <c r="K234" t="str">
        <f>IFERROR(SMALL(Интервалы!$G$2:$G$513,228),"")</f>
        <v/>
      </c>
      <c r="L234" t="str">
        <f>IF(K234="","",INDEX(Интервалы!$B$2:$B$513,MATCH(K234,Интервалы!$G$2:$G$513,0)))</f>
        <v/>
      </c>
    </row>
    <row r="235" spans="1:12" x14ac:dyDescent="0.3">
      <c r="A235" s="4" t="str">
        <f>IF(K235="","",229)</f>
        <v/>
      </c>
      <c r="B235" s="4" t="str">
        <f>IF(K235="","",INDEX(Интервалы!$A$2:$A$513,MATCH(K235,Интервалы!$G$2:$G$513,0)))</f>
        <v/>
      </c>
      <c r="C235" s="17" t="str">
        <f>IF(K235="","",INDEX(Интервалы!$C$2:$C$513,MATCH(K235,Интервалы!$G$2:$G$513,0)))</f>
        <v/>
      </c>
      <c r="D235" s="17" t="str">
        <f>IF(K235="","",INDEX(Интервалы!$D$2:$D$513,MATCH(K235,Интервалы!$G$2:$G$513,0)))</f>
        <v/>
      </c>
      <c r="E235" s="4" t="str">
        <f t="shared" si="3"/>
        <v/>
      </c>
      <c r="F235" s="8" t="str">
        <f>IF(K235="","",INDEX(Интервалы!$E$2:$E$513,MATCH(K235,Интервалы!$G$2:$G$513,0)))</f>
        <v/>
      </c>
      <c r="G235" s="18" t="str">
        <f>IF(K235="","",IF(H235=1,INDEX('По дням'!$B$2:$B$4000,MATCH(C235,'По дням'!$A$2:$A$4000,0)),"по периодам ставки"))</f>
        <v/>
      </c>
      <c r="H235" s="4" t="str">
        <f>IF(K235="","",INDEX(Интервалы!$I$2:$I$513,MATCH(K235,Интервалы!$G$2:$G$513,0)))</f>
        <v/>
      </c>
      <c r="I235" s="8" t="str">
        <f>IF(K235="","",INDEX(Интервалы!$F$2:$F$513,MATCH(K235,Интервалы!$G$2:$G$513,0)))</f>
        <v/>
      </c>
      <c r="J235" s="8" t="str">
        <f>IF(K235="","",INDEX(Интервалы!$H$2:$H$513,MATCH(K235,Интервалы!$G$2:$G$513,0)))</f>
        <v/>
      </c>
      <c r="K235" t="str">
        <f>IFERROR(SMALL(Интервалы!$G$2:$G$513,229),"")</f>
        <v/>
      </c>
      <c r="L235" t="str">
        <f>IF(K235="","",INDEX(Интервалы!$B$2:$B$513,MATCH(K235,Интервалы!$G$2:$G$513,0)))</f>
        <v/>
      </c>
    </row>
    <row r="236" spans="1:12" x14ac:dyDescent="0.3">
      <c r="A236" s="4" t="str">
        <f>IF(K236="","",230)</f>
        <v/>
      </c>
      <c r="B236" s="4" t="str">
        <f>IF(K236="","",INDEX(Интервалы!$A$2:$A$513,MATCH(K236,Интервалы!$G$2:$G$513,0)))</f>
        <v/>
      </c>
      <c r="C236" s="17" t="str">
        <f>IF(K236="","",INDEX(Интервалы!$C$2:$C$513,MATCH(K236,Интервалы!$G$2:$G$513,0)))</f>
        <v/>
      </c>
      <c r="D236" s="17" t="str">
        <f>IF(K236="","",INDEX(Интервалы!$D$2:$D$513,MATCH(K236,Интервалы!$G$2:$G$513,0)))</f>
        <v/>
      </c>
      <c r="E236" s="4" t="str">
        <f t="shared" si="3"/>
        <v/>
      </c>
      <c r="F236" s="8" t="str">
        <f>IF(K236="","",INDEX(Интервалы!$E$2:$E$513,MATCH(K236,Интервалы!$G$2:$G$513,0)))</f>
        <v/>
      </c>
      <c r="G236" s="18" t="str">
        <f>IF(K236="","",IF(H236=1,INDEX('По дням'!$B$2:$B$4000,MATCH(C236,'По дням'!$A$2:$A$4000,0)),"по периодам ставки"))</f>
        <v/>
      </c>
      <c r="H236" s="4" t="str">
        <f>IF(K236="","",INDEX(Интервалы!$I$2:$I$513,MATCH(K236,Интервалы!$G$2:$G$513,0)))</f>
        <v/>
      </c>
      <c r="I236" s="8" t="str">
        <f>IF(K236="","",INDEX(Интервалы!$F$2:$F$513,MATCH(K236,Интервалы!$G$2:$G$513,0)))</f>
        <v/>
      </c>
      <c r="J236" s="8" t="str">
        <f>IF(K236="","",INDEX(Интервалы!$H$2:$H$513,MATCH(K236,Интервалы!$G$2:$G$513,0)))</f>
        <v/>
      </c>
      <c r="K236" t="str">
        <f>IFERROR(SMALL(Интервалы!$G$2:$G$513,230),"")</f>
        <v/>
      </c>
      <c r="L236" t="str">
        <f>IF(K236="","",INDEX(Интервалы!$B$2:$B$513,MATCH(K236,Интервалы!$G$2:$G$513,0)))</f>
        <v/>
      </c>
    </row>
    <row r="237" spans="1:12" x14ac:dyDescent="0.3">
      <c r="A237" s="4" t="str">
        <f>IF(K237="","",231)</f>
        <v/>
      </c>
      <c r="B237" s="4" t="str">
        <f>IF(K237="","",INDEX(Интервалы!$A$2:$A$513,MATCH(K237,Интервалы!$G$2:$G$513,0)))</f>
        <v/>
      </c>
      <c r="C237" s="17" t="str">
        <f>IF(K237="","",INDEX(Интервалы!$C$2:$C$513,MATCH(K237,Интервалы!$G$2:$G$513,0)))</f>
        <v/>
      </c>
      <c r="D237" s="17" t="str">
        <f>IF(K237="","",INDEX(Интервалы!$D$2:$D$513,MATCH(K237,Интервалы!$G$2:$G$513,0)))</f>
        <v/>
      </c>
      <c r="E237" s="4" t="str">
        <f t="shared" si="3"/>
        <v/>
      </c>
      <c r="F237" s="8" t="str">
        <f>IF(K237="","",INDEX(Интервалы!$E$2:$E$513,MATCH(K237,Интервалы!$G$2:$G$513,0)))</f>
        <v/>
      </c>
      <c r="G237" s="18" t="str">
        <f>IF(K237="","",IF(H237=1,INDEX('По дням'!$B$2:$B$4000,MATCH(C237,'По дням'!$A$2:$A$4000,0)),"по периодам ставки"))</f>
        <v/>
      </c>
      <c r="H237" s="4" t="str">
        <f>IF(K237="","",INDEX(Интервалы!$I$2:$I$513,MATCH(K237,Интервалы!$G$2:$G$513,0)))</f>
        <v/>
      </c>
      <c r="I237" s="8" t="str">
        <f>IF(K237="","",INDEX(Интервалы!$F$2:$F$513,MATCH(K237,Интервалы!$G$2:$G$513,0)))</f>
        <v/>
      </c>
      <c r="J237" s="8" t="str">
        <f>IF(K237="","",INDEX(Интервалы!$H$2:$H$513,MATCH(K237,Интервалы!$G$2:$G$513,0)))</f>
        <v/>
      </c>
      <c r="K237" t="str">
        <f>IFERROR(SMALL(Интервалы!$G$2:$G$513,231),"")</f>
        <v/>
      </c>
      <c r="L237" t="str">
        <f>IF(K237="","",INDEX(Интервалы!$B$2:$B$513,MATCH(K237,Интервалы!$G$2:$G$513,0)))</f>
        <v/>
      </c>
    </row>
    <row r="238" spans="1:12" x14ac:dyDescent="0.3">
      <c r="A238" s="4" t="str">
        <f>IF(K238="","",232)</f>
        <v/>
      </c>
      <c r="B238" s="4" t="str">
        <f>IF(K238="","",INDEX(Интервалы!$A$2:$A$513,MATCH(K238,Интервалы!$G$2:$G$513,0)))</f>
        <v/>
      </c>
      <c r="C238" s="17" t="str">
        <f>IF(K238="","",INDEX(Интервалы!$C$2:$C$513,MATCH(K238,Интервалы!$G$2:$G$513,0)))</f>
        <v/>
      </c>
      <c r="D238" s="17" t="str">
        <f>IF(K238="","",INDEX(Интервалы!$D$2:$D$513,MATCH(K238,Интервалы!$G$2:$G$513,0)))</f>
        <v/>
      </c>
      <c r="E238" s="4" t="str">
        <f t="shared" si="3"/>
        <v/>
      </c>
      <c r="F238" s="8" t="str">
        <f>IF(K238="","",INDEX(Интервалы!$E$2:$E$513,MATCH(K238,Интервалы!$G$2:$G$513,0)))</f>
        <v/>
      </c>
      <c r="G238" s="18" t="str">
        <f>IF(K238="","",IF(H238=1,INDEX('По дням'!$B$2:$B$4000,MATCH(C238,'По дням'!$A$2:$A$4000,0)),"по периодам ставки"))</f>
        <v/>
      </c>
      <c r="H238" s="4" t="str">
        <f>IF(K238="","",INDEX(Интервалы!$I$2:$I$513,MATCH(K238,Интервалы!$G$2:$G$513,0)))</f>
        <v/>
      </c>
      <c r="I238" s="8" t="str">
        <f>IF(K238="","",INDEX(Интервалы!$F$2:$F$513,MATCH(K238,Интервалы!$G$2:$G$513,0)))</f>
        <v/>
      </c>
      <c r="J238" s="8" t="str">
        <f>IF(K238="","",INDEX(Интервалы!$H$2:$H$513,MATCH(K238,Интервалы!$G$2:$G$513,0)))</f>
        <v/>
      </c>
      <c r="K238" t="str">
        <f>IFERROR(SMALL(Интервалы!$G$2:$G$513,232),"")</f>
        <v/>
      </c>
      <c r="L238" t="str">
        <f>IF(K238="","",INDEX(Интервалы!$B$2:$B$513,MATCH(K238,Интервалы!$G$2:$G$513,0)))</f>
        <v/>
      </c>
    </row>
    <row r="239" spans="1:12" x14ac:dyDescent="0.3">
      <c r="A239" s="4" t="str">
        <f>IF(K239="","",233)</f>
        <v/>
      </c>
      <c r="B239" s="4" t="str">
        <f>IF(K239="","",INDEX(Интервалы!$A$2:$A$513,MATCH(K239,Интервалы!$G$2:$G$513,0)))</f>
        <v/>
      </c>
      <c r="C239" s="17" t="str">
        <f>IF(K239="","",INDEX(Интервалы!$C$2:$C$513,MATCH(K239,Интервалы!$G$2:$G$513,0)))</f>
        <v/>
      </c>
      <c r="D239" s="17" t="str">
        <f>IF(K239="","",INDEX(Интервалы!$D$2:$D$513,MATCH(K239,Интервалы!$G$2:$G$513,0)))</f>
        <v/>
      </c>
      <c r="E239" s="4" t="str">
        <f t="shared" si="3"/>
        <v/>
      </c>
      <c r="F239" s="8" t="str">
        <f>IF(K239="","",INDEX(Интервалы!$E$2:$E$513,MATCH(K239,Интервалы!$G$2:$G$513,0)))</f>
        <v/>
      </c>
      <c r="G239" s="18" t="str">
        <f>IF(K239="","",IF(H239=1,INDEX('По дням'!$B$2:$B$4000,MATCH(C239,'По дням'!$A$2:$A$4000,0)),"по периодам ставки"))</f>
        <v/>
      </c>
      <c r="H239" s="4" t="str">
        <f>IF(K239="","",INDEX(Интервалы!$I$2:$I$513,MATCH(K239,Интервалы!$G$2:$G$513,0)))</f>
        <v/>
      </c>
      <c r="I239" s="8" t="str">
        <f>IF(K239="","",INDEX(Интервалы!$F$2:$F$513,MATCH(K239,Интервалы!$G$2:$G$513,0)))</f>
        <v/>
      </c>
      <c r="J239" s="8" t="str">
        <f>IF(K239="","",INDEX(Интервалы!$H$2:$H$513,MATCH(K239,Интервалы!$G$2:$G$513,0)))</f>
        <v/>
      </c>
      <c r="K239" t="str">
        <f>IFERROR(SMALL(Интервалы!$G$2:$G$513,233),"")</f>
        <v/>
      </c>
      <c r="L239" t="str">
        <f>IF(K239="","",INDEX(Интервалы!$B$2:$B$513,MATCH(K239,Интервалы!$G$2:$G$513,0)))</f>
        <v/>
      </c>
    </row>
    <row r="240" spans="1:12" x14ac:dyDescent="0.3">
      <c r="A240" s="4" t="str">
        <f>IF(K240="","",234)</f>
        <v/>
      </c>
      <c r="B240" s="4" t="str">
        <f>IF(K240="","",INDEX(Интервалы!$A$2:$A$513,MATCH(K240,Интервалы!$G$2:$G$513,0)))</f>
        <v/>
      </c>
      <c r="C240" s="17" t="str">
        <f>IF(K240="","",INDEX(Интервалы!$C$2:$C$513,MATCH(K240,Интервалы!$G$2:$G$513,0)))</f>
        <v/>
      </c>
      <c r="D240" s="17" t="str">
        <f>IF(K240="","",INDEX(Интервалы!$D$2:$D$513,MATCH(K240,Интервалы!$G$2:$G$513,0)))</f>
        <v/>
      </c>
      <c r="E240" s="4" t="str">
        <f t="shared" si="3"/>
        <v/>
      </c>
      <c r="F240" s="8" t="str">
        <f>IF(K240="","",INDEX(Интервалы!$E$2:$E$513,MATCH(K240,Интервалы!$G$2:$G$513,0)))</f>
        <v/>
      </c>
      <c r="G240" s="18" t="str">
        <f>IF(K240="","",IF(H240=1,INDEX('По дням'!$B$2:$B$4000,MATCH(C240,'По дням'!$A$2:$A$4000,0)),"по периодам ставки"))</f>
        <v/>
      </c>
      <c r="H240" s="4" t="str">
        <f>IF(K240="","",INDEX(Интервалы!$I$2:$I$513,MATCH(K240,Интервалы!$G$2:$G$513,0)))</f>
        <v/>
      </c>
      <c r="I240" s="8" t="str">
        <f>IF(K240="","",INDEX(Интервалы!$F$2:$F$513,MATCH(K240,Интервалы!$G$2:$G$513,0)))</f>
        <v/>
      </c>
      <c r="J240" s="8" t="str">
        <f>IF(K240="","",INDEX(Интервалы!$H$2:$H$513,MATCH(K240,Интервалы!$G$2:$G$513,0)))</f>
        <v/>
      </c>
      <c r="K240" t="str">
        <f>IFERROR(SMALL(Интервалы!$G$2:$G$513,234),"")</f>
        <v/>
      </c>
      <c r="L240" t="str">
        <f>IF(K240="","",INDEX(Интервалы!$B$2:$B$513,MATCH(K240,Интервалы!$G$2:$G$513,0)))</f>
        <v/>
      </c>
    </row>
    <row r="241" spans="1:12" x14ac:dyDescent="0.3">
      <c r="A241" s="4" t="str">
        <f>IF(K241="","",235)</f>
        <v/>
      </c>
      <c r="B241" s="4" t="str">
        <f>IF(K241="","",INDEX(Интервалы!$A$2:$A$513,MATCH(K241,Интервалы!$G$2:$G$513,0)))</f>
        <v/>
      </c>
      <c r="C241" s="17" t="str">
        <f>IF(K241="","",INDEX(Интервалы!$C$2:$C$513,MATCH(K241,Интервалы!$G$2:$G$513,0)))</f>
        <v/>
      </c>
      <c r="D241" s="17" t="str">
        <f>IF(K241="","",INDEX(Интервалы!$D$2:$D$513,MATCH(K241,Интервалы!$G$2:$G$513,0)))</f>
        <v/>
      </c>
      <c r="E241" s="4" t="str">
        <f t="shared" si="3"/>
        <v/>
      </c>
      <c r="F241" s="8" t="str">
        <f>IF(K241="","",INDEX(Интервалы!$E$2:$E$513,MATCH(K241,Интервалы!$G$2:$G$513,0)))</f>
        <v/>
      </c>
      <c r="G241" s="18" t="str">
        <f>IF(K241="","",IF(H241=1,INDEX('По дням'!$B$2:$B$4000,MATCH(C241,'По дням'!$A$2:$A$4000,0)),"по периодам ставки"))</f>
        <v/>
      </c>
      <c r="H241" s="4" t="str">
        <f>IF(K241="","",INDEX(Интервалы!$I$2:$I$513,MATCH(K241,Интервалы!$G$2:$G$513,0)))</f>
        <v/>
      </c>
      <c r="I241" s="8" t="str">
        <f>IF(K241="","",INDEX(Интервалы!$F$2:$F$513,MATCH(K241,Интервалы!$G$2:$G$513,0)))</f>
        <v/>
      </c>
      <c r="J241" s="8" t="str">
        <f>IF(K241="","",INDEX(Интервалы!$H$2:$H$513,MATCH(K241,Интервалы!$G$2:$G$513,0)))</f>
        <v/>
      </c>
      <c r="K241" t="str">
        <f>IFERROR(SMALL(Интервалы!$G$2:$G$513,235),"")</f>
        <v/>
      </c>
      <c r="L241" t="str">
        <f>IF(K241="","",INDEX(Интервалы!$B$2:$B$513,MATCH(K241,Интервалы!$G$2:$G$513,0)))</f>
        <v/>
      </c>
    </row>
    <row r="242" spans="1:12" x14ac:dyDescent="0.3">
      <c r="A242" s="4" t="str">
        <f>IF(K242="","",236)</f>
        <v/>
      </c>
      <c r="B242" s="4" t="str">
        <f>IF(K242="","",INDEX(Интервалы!$A$2:$A$513,MATCH(K242,Интервалы!$G$2:$G$513,0)))</f>
        <v/>
      </c>
      <c r="C242" s="17" t="str">
        <f>IF(K242="","",INDEX(Интервалы!$C$2:$C$513,MATCH(K242,Интервалы!$G$2:$G$513,0)))</f>
        <v/>
      </c>
      <c r="D242" s="17" t="str">
        <f>IF(K242="","",INDEX(Интервалы!$D$2:$D$513,MATCH(K242,Интервалы!$G$2:$G$513,0)))</f>
        <v/>
      </c>
      <c r="E242" s="4" t="str">
        <f t="shared" si="3"/>
        <v/>
      </c>
      <c r="F242" s="8" t="str">
        <f>IF(K242="","",INDEX(Интервалы!$E$2:$E$513,MATCH(K242,Интервалы!$G$2:$G$513,0)))</f>
        <v/>
      </c>
      <c r="G242" s="18" t="str">
        <f>IF(K242="","",IF(H242=1,INDEX('По дням'!$B$2:$B$4000,MATCH(C242,'По дням'!$A$2:$A$4000,0)),"по периодам ставки"))</f>
        <v/>
      </c>
      <c r="H242" s="4" t="str">
        <f>IF(K242="","",INDEX(Интервалы!$I$2:$I$513,MATCH(K242,Интервалы!$G$2:$G$513,0)))</f>
        <v/>
      </c>
      <c r="I242" s="8" t="str">
        <f>IF(K242="","",INDEX(Интервалы!$F$2:$F$513,MATCH(K242,Интервалы!$G$2:$G$513,0)))</f>
        <v/>
      </c>
      <c r="J242" s="8" t="str">
        <f>IF(K242="","",INDEX(Интервалы!$H$2:$H$513,MATCH(K242,Интервалы!$G$2:$G$513,0)))</f>
        <v/>
      </c>
      <c r="K242" t="str">
        <f>IFERROR(SMALL(Интервалы!$G$2:$G$513,236),"")</f>
        <v/>
      </c>
      <c r="L242" t="str">
        <f>IF(K242="","",INDEX(Интервалы!$B$2:$B$513,MATCH(K242,Интервалы!$G$2:$G$513,0)))</f>
        <v/>
      </c>
    </row>
    <row r="243" spans="1:12" x14ac:dyDescent="0.3">
      <c r="A243" s="4" t="str">
        <f>IF(K243="","",237)</f>
        <v/>
      </c>
      <c r="B243" s="4" t="str">
        <f>IF(K243="","",INDEX(Интервалы!$A$2:$A$513,MATCH(K243,Интервалы!$G$2:$G$513,0)))</f>
        <v/>
      </c>
      <c r="C243" s="17" t="str">
        <f>IF(K243="","",INDEX(Интервалы!$C$2:$C$513,MATCH(K243,Интервалы!$G$2:$G$513,0)))</f>
        <v/>
      </c>
      <c r="D243" s="17" t="str">
        <f>IF(K243="","",INDEX(Интервалы!$D$2:$D$513,MATCH(K243,Интервалы!$G$2:$G$513,0)))</f>
        <v/>
      </c>
      <c r="E243" s="4" t="str">
        <f t="shared" si="3"/>
        <v/>
      </c>
      <c r="F243" s="8" t="str">
        <f>IF(K243="","",INDEX(Интервалы!$E$2:$E$513,MATCH(K243,Интервалы!$G$2:$G$513,0)))</f>
        <v/>
      </c>
      <c r="G243" s="18" t="str">
        <f>IF(K243="","",IF(H243=1,INDEX('По дням'!$B$2:$B$4000,MATCH(C243,'По дням'!$A$2:$A$4000,0)),"по периодам ставки"))</f>
        <v/>
      </c>
      <c r="H243" s="4" t="str">
        <f>IF(K243="","",INDEX(Интервалы!$I$2:$I$513,MATCH(K243,Интервалы!$G$2:$G$513,0)))</f>
        <v/>
      </c>
      <c r="I243" s="8" t="str">
        <f>IF(K243="","",INDEX(Интервалы!$F$2:$F$513,MATCH(K243,Интервалы!$G$2:$G$513,0)))</f>
        <v/>
      </c>
      <c r="J243" s="8" t="str">
        <f>IF(K243="","",INDEX(Интервалы!$H$2:$H$513,MATCH(K243,Интервалы!$G$2:$G$513,0)))</f>
        <v/>
      </c>
      <c r="K243" t="str">
        <f>IFERROR(SMALL(Интервалы!$G$2:$G$513,237),"")</f>
        <v/>
      </c>
      <c r="L243" t="str">
        <f>IF(K243="","",INDEX(Интервалы!$B$2:$B$513,MATCH(K243,Интервалы!$G$2:$G$513,0)))</f>
        <v/>
      </c>
    </row>
    <row r="244" spans="1:12" x14ac:dyDescent="0.3">
      <c r="A244" s="4" t="str">
        <f>IF(K244="","",238)</f>
        <v/>
      </c>
      <c r="B244" s="4" t="str">
        <f>IF(K244="","",INDEX(Интервалы!$A$2:$A$513,MATCH(K244,Интервалы!$G$2:$G$513,0)))</f>
        <v/>
      </c>
      <c r="C244" s="17" t="str">
        <f>IF(K244="","",INDEX(Интервалы!$C$2:$C$513,MATCH(K244,Интервалы!$G$2:$G$513,0)))</f>
        <v/>
      </c>
      <c r="D244" s="17" t="str">
        <f>IF(K244="","",INDEX(Интервалы!$D$2:$D$513,MATCH(K244,Интервалы!$G$2:$G$513,0)))</f>
        <v/>
      </c>
      <c r="E244" s="4" t="str">
        <f t="shared" si="3"/>
        <v/>
      </c>
      <c r="F244" s="8" t="str">
        <f>IF(K244="","",INDEX(Интервалы!$E$2:$E$513,MATCH(K244,Интервалы!$G$2:$G$513,0)))</f>
        <v/>
      </c>
      <c r="G244" s="18" t="str">
        <f>IF(K244="","",IF(H244=1,INDEX('По дням'!$B$2:$B$4000,MATCH(C244,'По дням'!$A$2:$A$4000,0)),"по периодам ставки"))</f>
        <v/>
      </c>
      <c r="H244" s="4" t="str">
        <f>IF(K244="","",INDEX(Интервалы!$I$2:$I$513,MATCH(K244,Интервалы!$G$2:$G$513,0)))</f>
        <v/>
      </c>
      <c r="I244" s="8" t="str">
        <f>IF(K244="","",INDEX(Интервалы!$F$2:$F$513,MATCH(K244,Интервалы!$G$2:$G$513,0)))</f>
        <v/>
      </c>
      <c r="J244" s="8" t="str">
        <f>IF(K244="","",INDEX(Интервалы!$H$2:$H$513,MATCH(K244,Интервалы!$G$2:$G$513,0)))</f>
        <v/>
      </c>
      <c r="K244" t="str">
        <f>IFERROR(SMALL(Интервалы!$G$2:$G$513,238),"")</f>
        <v/>
      </c>
      <c r="L244" t="str">
        <f>IF(K244="","",INDEX(Интервалы!$B$2:$B$513,MATCH(K244,Интервалы!$G$2:$G$513,0)))</f>
        <v/>
      </c>
    </row>
    <row r="245" spans="1:12" x14ac:dyDescent="0.3">
      <c r="A245" s="4" t="str">
        <f>IF(K245="","",239)</f>
        <v/>
      </c>
      <c r="B245" s="4" t="str">
        <f>IF(K245="","",INDEX(Интервалы!$A$2:$A$513,MATCH(K245,Интервалы!$G$2:$G$513,0)))</f>
        <v/>
      </c>
      <c r="C245" s="17" t="str">
        <f>IF(K245="","",INDEX(Интервалы!$C$2:$C$513,MATCH(K245,Интервалы!$G$2:$G$513,0)))</f>
        <v/>
      </c>
      <c r="D245" s="17" t="str">
        <f>IF(K245="","",INDEX(Интервалы!$D$2:$D$513,MATCH(K245,Интервалы!$G$2:$G$513,0)))</f>
        <v/>
      </c>
      <c r="E245" s="4" t="str">
        <f t="shared" si="3"/>
        <v/>
      </c>
      <c r="F245" s="8" t="str">
        <f>IF(K245="","",INDEX(Интервалы!$E$2:$E$513,MATCH(K245,Интервалы!$G$2:$G$513,0)))</f>
        <v/>
      </c>
      <c r="G245" s="18" t="str">
        <f>IF(K245="","",IF(H245=1,INDEX('По дням'!$B$2:$B$4000,MATCH(C245,'По дням'!$A$2:$A$4000,0)),"по периодам ставки"))</f>
        <v/>
      </c>
      <c r="H245" s="4" t="str">
        <f>IF(K245="","",INDEX(Интервалы!$I$2:$I$513,MATCH(K245,Интервалы!$G$2:$G$513,0)))</f>
        <v/>
      </c>
      <c r="I245" s="8" t="str">
        <f>IF(K245="","",INDEX(Интервалы!$F$2:$F$513,MATCH(K245,Интервалы!$G$2:$G$513,0)))</f>
        <v/>
      </c>
      <c r="J245" s="8" t="str">
        <f>IF(K245="","",INDEX(Интервалы!$H$2:$H$513,MATCH(K245,Интервалы!$G$2:$G$513,0)))</f>
        <v/>
      </c>
      <c r="K245" t="str">
        <f>IFERROR(SMALL(Интервалы!$G$2:$G$513,239),"")</f>
        <v/>
      </c>
      <c r="L245" t="str">
        <f>IF(K245="","",INDEX(Интервалы!$B$2:$B$513,MATCH(K245,Интервалы!$G$2:$G$513,0)))</f>
        <v/>
      </c>
    </row>
    <row r="246" spans="1:12" x14ac:dyDescent="0.3">
      <c r="A246" s="4" t="str">
        <f>IF(K246="","",240)</f>
        <v/>
      </c>
      <c r="B246" s="4" t="str">
        <f>IF(K246="","",INDEX(Интервалы!$A$2:$A$513,MATCH(K246,Интервалы!$G$2:$G$513,0)))</f>
        <v/>
      </c>
      <c r="C246" s="17" t="str">
        <f>IF(K246="","",INDEX(Интервалы!$C$2:$C$513,MATCH(K246,Интервалы!$G$2:$G$513,0)))</f>
        <v/>
      </c>
      <c r="D246" s="17" t="str">
        <f>IF(K246="","",INDEX(Интервалы!$D$2:$D$513,MATCH(K246,Интервалы!$G$2:$G$513,0)))</f>
        <v/>
      </c>
      <c r="E246" s="4" t="str">
        <f t="shared" si="3"/>
        <v/>
      </c>
      <c r="F246" s="8" t="str">
        <f>IF(K246="","",INDEX(Интервалы!$E$2:$E$513,MATCH(K246,Интервалы!$G$2:$G$513,0)))</f>
        <v/>
      </c>
      <c r="G246" s="18" t="str">
        <f>IF(K246="","",IF(H246=1,INDEX('По дням'!$B$2:$B$4000,MATCH(C246,'По дням'!$A$2:$A$4000,0)),"по периодам ставки"))</f>
        <v/>
      </c>
      <c r="H246" s="4" t="str">
        <f>IF(K246="","",INDEX(Интервалы!$I$2:$I$513,MATCH(K246,Интервалы!$G$2:$G$513,0)))</f>
        <v/>
      </c>
      <c r="I246" s="8" t="str">
        <f>IF(K246="","",INDEX(Интервалы!$F$2:$F$513,MATCH(K246,Интервалы!$G$2:$G$513,0)))</f>
        <v/>
      </c>
      <c r="J246" s="8" t="str">
        <f>IF(K246="","",INDEX(Интервалы!$H$2:$H$513,MATCH(K246,Интервалы!$G$2:$G$513,0)))</f>
        <v/>
      </c>
      <c r="K246" t="str">
        <f>IFERROR(SMALL(Интервалы!$G$2:$G$513,240),"")</f>
        <v/>
      </c>
      <c r="L246" t="str">
        <f>IF(K246="","",INDEX(Интервалы!$B$2:$B$513,MATCH(K246,Интервалы!$G$2:$G$513,0)))</f>
        <v/>
      </c>
    </row>
    <row r="247" spans="1:12" x14ac:dyDescent="0.3">
      <c r="A247" s="4" t="str">
        <f>IF(K247="","",241)</f>
        <v/>
      </c>
      <c r="B247" s="4" t="str">
        <f>IF(K247="","",INDEX(Интервалы!$A$2:$A$513,MATCH(K247,Интервалы!$G$2:$G$513,0)))</f>
        <v/>
      </c>
      <c r="C247" s="17" t="str">
        <f>IF(K247="","",INDEX(Интервалы!$C$2:$C$513,MATCH(K247,Интервалы!$G$2:$G$513,0)))</f>
        <v/>
      </c>
      <c r="D247" s="17" t="str">
        <f>IF(K247="","",INDEX(Интервалы!$D$2:$D$513,MATCH(K247,Интервалы!$G$2:$G$513,0)))</f>
        <v/>
      </c>
      <c r="E247" s="4" t="str">
        <f t="shared" si="3"/>
        <v/>
      </c>
      <c r="F247" s="8" t="str">
        <f>IF(K247="","",INDEX(Интервалы!$E$2:$E$513,MATCH(K247,Интервалы!$G$2:$G$513,0)))</f>
        <v/>
      </c>
      <c r="G247" s="18" t="str">
        <f>IF(K247="","",IF(H247=1,INDEX('По дням'!$B$2:$B$4000,MATCH(C247,'По дням'!$A$2:$A$4000,0)),"по периодам ставки"))</f>
        <v/>
      </c>
      <c r="H247" s="4" t="str">
        <f>IF(K247="","",INDEX(Интервалы!$I$2:$I$513,MATCH(K247,Интервалы!$G$2:$G$513,0)))</f>
        <v/>
      </c>
      <c r="I247" s="8" t="str">
        <f>IF(K247="","",INDEX(Интервалы!$F$2:$F$513,MATCH(K247,Интервалы!$G$2:$G$513,0)))</f>
        <v/>
      </c>
      <c r="J247" s="8" t="str">
        <f>IF(K247="","",INDEX(Интервалы!$H$2:$H$513,MATCH(K247,Интервалы!$G$2:$G$513,0)))</f>
        <v/>
      </c>
      <c r="K247" t="str">
        <f>IFERROR(SMALL(Интервалы!$G$2:$G$513,241),"")</f>
        <v/>
      </c>
      <c r="L247" t="str">
        <f>IF(K247="","",INDEX(Интервалы!$B$2:$B$513,MATCH(K247,Интервалы!$G$2:$G$513,0)))</f>
        <v/>
      </c>
    </row>
    <row r="248" spans="1:12" x14ac:dyDescent="0.3">
      <c r="A248" s="4" t="str">
        <f>IF(K248="","",242)</f>
        <v/>
      </c>
      <c r="B248" s="4" t="str">
        <f>IF(K248="","",INDEX(Интервалы!$A$2:$A$513,MATCH(K248,Интервалы!$G$2:$G$513,0)))</f>
        <v/>
      </c>
      <c r="C248" s="17" t="str">
        <f>IF(K248="","",INDEX(Интервалы!$C$2:$C$513,MATCH(K248,Интервалы!$G$2:$G$513,0)))</f>
        <v/>
      </c>
      <c r="D248" s="17" t="str">
        <f>IF(K248="","",INDEX(Интервалы!$D$2:$D$513,MATCH(K248,Интервалы!$G$2:$G$513,0)))</f>
        <v/>
      </c>
      <c r="E248" s="4" t="str">
        <f t="shared" si="3"/>
        <v/>
      </c>
      <c r="F248" s="8" t="str">
        <f>IF(K248="","",INDEX(Интервалы!$E$2:$E$513,MATCH(K248,Интервалы!$G$2:$G$513,0)))</f>
        <v/>
      </c>
      <c r="G248" s="18" t="str">
        <f>IF(K248="","",IF(H248=1,INDEX('По дням'!$B$2:$B$4000,MATCH(C248,'По дням'!$A$2:$A$4000,0)),"по периодам ставки"))</f>
        <v/>
      </c>
      <c r="H248" s="4" t="str">
        <f>IF(K248="","",INDEX(Интервалы!$I$2:$I$513,MATCH(K248,Интервалы!$G$2:$G$513,0)))</f>
        <v/>
      </c>
      <c r="I248" s="8" t="str">
        <f>IF(K248="","",INDEX(Интервалы!$F$2:$F$513,MATCH(K248,Интервалы!$G$2:$G$513,0)))</f>
        <v/>
      </c>
      <c r="J248" s="8" t="str">
        <f>IF(K248="","",INDEX(Интервалы!$H$2:$H$513,MATCH(K248,Интервалы!$G$2:$G$513,0)))</f>
        <v/>
      </c>
      <c r="K248" t="str">
        <f>IFERROR(SMALL(Интервалы!$G$2:$G$513,242),"")</f>
        <v/>
      </c>
      <c r="L248" t="str">
        <f>IF(K248="","",INDEX(Интервалы!$B$2:$B$513,MATCH(K248,Интервалы!$G$2:$G$513,0)))</f>
        <v/>
      </c>
    </row>
    <row r="249" spans="1:12" x14ac:dyDescent="0.3">
      <c r="A249" s="4" t="str">
        <f>IF(K249="","",243)</f>
        <v/>
      </c>
      <c r="B249" s="4" t="str">
        <f>IF(K249="","",INDEX(Интервалы!$A$2:$A$513,MATCH(K249,Интервалы!$G$2:$G$513,0)))</f>
        <v/>
      </c>
      <c r="C249" s="17" t="str">
        <f>IF(K249="","",INDEX(Интервалы!$C$2:$C$513,MATCH(K249,Интервалы!$G$2:$G$513,0)))</f>
        <v/>
      </c>
      <c r="D249" s="17" t="str">
        <f>IF(K249="","",INDEX(Интервалы!$D$2:$D$513,MATCH(K249,Интервалы!$G$2:$G$513,0)))</f>
        <v/>
      </c>
      <c r="E249" s="4" t="str">
        <f t="shared" si="3"/>
        <v/>
      </c>
      <c r="F249" s="8" t="str">
        <f>IF(K249="","",INDEX(Интервалы!$E$2:$E$513,MATCH(K249,Интервалы!$G$2:$G$513,0)))</f>
        <v/>
      </c>
      <c r="G249" s="18" t="str">
        <f>IF(K249="","",IF(H249=1,INDEX('По дням'!$B$2:$B$4000,MATCH(C249,'По дням'!$A$2:$A$4000,0)),"по периодам ставки"))</f>
        <v/>
      </c>
      <c r="H249" s="4" t="str">
        <f>IF(K249="","",INDEX(Интервалы!$I$2:$I$513,MATCH(K249,Интервалы!$G$2:$G$513,0)))</f>
        <v/>
      </c>
      <c r="I249" s="8" t="str">
        <f>IF(K249="","",INDEX(Интервалы!$F$2:$F$513,MATCH(K249,Интервалы!$G$2:$G$513,0)))</f>
        <v/>
      </c>
      <c r="J249" s="8" t="str">
        <f>IF(K249="","",INDEX(Интервалы!$H$2:$H$513,MATCH(K249,Интервалы!$G$2:$G$513,0)))</f>
        <v/>
      </c>
      <c r="K249" t="str">
        <f>IFERROR(SMALL(Интервалы!$G$2:$G$513,243),"")</f>
        <v/>
      </c>
      <c r="L249" t="str">
        <f>IF(K249="","",INDEX(Интервалы!$B$2:$B$513,MATCH(K249,Интервалы!$G$2:$G$513,0)))</f>
        <v/>
      </c>
    </row>
    <row r="250" spans="1:12" x14ac:dyDescent="0.3">
      <c r="A250" s="4" t="str">
        <f>IF(K250="","",244)</f>
        <v/>
      </c>
      <c r="B250" s="4" t="str">
        <f>IF(K250="","",INDEX(Интервалы!$A$2:$A$513,MATCH(K250,Интервалы!$G$2:$G$513,0)))</f>
        <v/>
      </c>
      <c r="C250" s="17" t="str">
        <f>IF(K250="","",INDEX(Интервалы!$C$2:$C$513,MATCH(K250,Интервалы!$G$2:$G$513,0)))</f>
        <v/>
      </c>
      <c r="D250" s="17" t="str">
        <f>IF(K250="","",INDEX(Интервалы!$D$2:$D$513,MATCH(K250,Интервалы!$G$2:$G$513,0)))</f>
        <v/>
      </c>
      <c r="E250" s="4" t="str">
        <f t="shared" si="3"/>
        <v/>
      </c>
      <c r="F250" s="8" t="str">
        <f>IF(K250="","",INDEX(Интервалы!$E$2:$E$513,MATCH(K250,Интервалы!$G$2:$G$513,0)))</f>
        <v/>
      </c>
      <c r="G250" s="18" t="str">
        <f>IF(K250="","",IF(H250=1,INDEX('По дням'!$B$2:$B$4000,MATCH(C250,'По дням'!$A$2:$A$4000,0)),"по периодам ставки"))</f>
        <v/>
      </c>
      <c r="H250" s="4" t="str">
        <f>IF(K250="","",INDEX(Интервалы!$I$2:$I$513,MATCH(K250,Интервалы!$G$2:$G$513,0)))</f>
        <v/>
      </c>
      <c r="I250" s="8" t="str">
        <f>IF(K250="","",INDEX(Интервалы!$F$2:$F$513,MATCH(K250,Интервалы!$G$2:$G$513,0)))</f>
        <v/>
      </c>
      <c r="J250" s="8" t="str">
        <f>IF(K250="","",INDEX(Интервалы!$H$2:$H$513,MATCH(K250,Интервалы!$G$2:$G$513,0)))</f>
        <v/>
      </c>
      <c r="K250" t="str">
        <f>IFERROR(SMALL(Интервалы!$G$2:$G$513,244),"")</f>
        <v/>
      </c>
      <c r="L250" t="str">
        <f>IF(K250="","",INDEX(Интервалы!$B$2:$B$513,MATCH(K250,Интервалы!$G$2:$G$513,0)))</f>
        <v/>
      </c>
    </row>
    <row r="251" spans="1:12" x14ac:dyDescent="0.3">
      <c r="A251" s="4" t="str">
        <f>IF(K251="","",245)</f>
        <v/>
      </c>
      <c r="B251" s="4" t="str">
        <f>IF(K251="","",INDEX(Интервалы!$A$2:$A$513,MATCH(K251,Интервалы!$G$2:$G$513,0)))</f>
        <v/>
      </c>
      <c r="C251" s="17" t="str">
        <f>IF(K251="","",INDEX(Интервалы!$C$2:$C$513,MATCH(K251,Интервалы!$G$2:$G$513,0)))</f>
        <v/>
      </c>
      <c r="D251" s="17" t="str">
        <f>IF(K251="","",INDEX(Интервалы!$D$2:$D$513,MATCH(K251,Интервалы!$G$2:$G$513,0)))</f>
        <v/>
      </c>
      <c r="E251" s="4" t="str">
        <f t="shared" si="3"/>
        <v/>
      </c>
      <c r="F251" s="8" t="str">
        <f>IF(K251="","",INDEX(Интервалы!$E$2:$E$513,MATCH(K251,Интервалы!$G$2:$G$513,0)))</f>
        <v/>
      </c>
      <c r="G251" s="18" t="str">
        <f>IF(K251="","",IF(H251=1,INDEX('По дням'!$B$2:$B$4000,MATCH(C251,'По дням'!$A$2:$A$4000,0)),"по периодам ставки"))</f>
        <v/>
      </c>
      <c r="H251" s="4" t="str">
        <f>IF(K251="","",INDEX(Интервалы!$I$2:$I$513,MATCH(K251,Интервалы!$G$2:$G$513,0)))</f>
        <v/>
      </c>
      <c r="I251" s="8" t="str">
        <f>IF(K251="","",INDEX(Интервалы!$F$2:$F$513,MATCH(K251,Интервалы!$G$2:$G$513,0)))</f>
        <v/>
      </c>
      <c r="J251" s="8" t="str">
        <f>IF(K251="","",INDEX(Интервалы!$H$2:$H$513,MATCH(K251,Интервалы!$G$2:$G$513,0)))</f>
        <v/>
      </c>
      <c r="K251" t="str">
        <f>IFERROR(SMALL(Интервалы!$G$2:$G$513,245),"")</f>
        <v/>
      </c>
      <c r="L251" t="str">
        <f>IF(K251="","",INDEX(Интервалы!$B$2:$B$513,MATCH(K251,Интервалы!$G$2:$G$513,0)))</f>
        <v/>
      </c>
    </row>
    <row r="252" spans="1:12" x14ac:dyDescent="0.3">
      <c r="A252" s="4" t="str">
        <f>IF(K252="","",246)</f>
        <v/>
      </c>
      <c r="B252" s="4" t="str">
        <f>IF(K252="","",INDEX(Интервалы!$A$2:$A$513,MATCH(K252,Интервалы!$G$2:$G$513,0)))</f>
        <v/>
      </c>
      <c r="C252" s="17" t="str">
        <f>IF(K252="","",INDEX(Интервалы!$C$2:$C$513,MATCH(K252,Интервалы!$G$2:$G$513,0)))</f>
        <v/>
      </c>
      <c r="D252" s="17" t="str">
        <f>IF(K252="","",INDEX(Интервалы!$D$2:$D$513,MATCH(K252,Интервалы!$G$2:$G$513,0)))</f>
        <v/>
      </c>
      <c r="E252" s="4" t="str">
        <f t="shared" si="3"/>
        <v/>
      </c>
      <c r="F252" s="8" t="str">
        <f>IF(K252="","",INDEX(Интервалы!$E$2:$E$513,MATCH(K252,Интервалы!$G$2:$G$513,0)))</f>
        <v/>
      </c>
      <c r="G252" s="18" t="str">
        <f>IF(K252="","",IF(H252=1,INDEX('По дням'!$B$2:$B$4000,MATCH(C252,'По дням'!$A$2:$A$4000,0)),"по периодам ставки"))</f>
        <v/>
      </c>
      <c r="H252" s="4" t="str">
        <f>IF(K252="","",INDEX(Интервалы!$I$2:$I$513,MATCH(K252,Интервалы!$G$2:$G$513,0)))</f>
        <v/>
      </c>
      <c r="I252" s="8" t="str">
        <f>IF(K252="","",INDEX(Интервалы!$F$2:$F$513,MATCH(K252,Интервалы!$G$2:$G$513,0)))</f>
        <v/>
      </c>
      <c r="J252" s="8" t="str">
        <f>IF(K252="","",INDEX(Интервалы!$H$2:$H$513,MATCH(K252,Интервалы!$G$2:$G$513,0)))</f>
        <v/>
      </c>
      <c r="K252" t="str">
        <f>IFERROR(SMALL(Интервалы!$G$2:$G$513,246),"")</f>
        <v/>
      </c>
      <c r="L252" t="str">
        <f>IF(K252="","",INDEX(Интервалы!$B$2:$B$513,MATCH(K252,Интервалы!$G$2:$G$513,0)))</f>
        <v/>
      </c>
    </row>
    <row r="253" spans="1:12" x14ac:dyDescent="0.3">
      <c r="A253" s="4" t="str">
        <f>IF(K253="","",247)</f>
        <v/>
      </c>
      <c r="B253" s="4" t="str">
        <f>IF(K253="","",INDEX(Интервалы!$A$2:$A$513,MATCH(K253,Интервалы!$G$2:$G$513,0)))</f>
        <v/>
      </c>
      <c r="C253" s="17" t="str">
        <f>IF(K253="","",INDEX(Интервалы!$C$2:$C$513,MATCH(K253,Интервалы!$G$2:$G$513,0)))</f>
        <v/>
      </c>
      <c r="D253" s="17" t="str">
        <f>IF(K253="","",INDEX(Интервалы!$D$2:$D$513,MATCH(K253,Интервалы!$G$2:$G$513,0)))</f>
        <v/>
      </c>
      <c r="E253" s="4" t="str">
        <f t="shared" si="3"/>
        <v/>
      </c>
      <c r="F253" s="8" t="str">
        <f>IF(K253="","",INDEX(Интервалы!$E$2:$E$513,MATCH(K253,Интервалы!$G$2:$G$513,0)))</f>
        <v/>
      </c>
      <c r="G253" s="18" t="str">
        <f>IF(K253="","",IF(H253=1,INDEX('По дням'!$B$2:$B$4000,MATCH(C253,'По дням'!$A$2:$A$4000,0)),"по периодам ставки"))</f>
        <v/>
      </c>
      <c r="H253" s="4" t="str">
        <f>IF(K253="","",INDEX(Интервалы!$I$2:$I$513,MATCH(K253,Интервалы!$G$2:$G$513,0)))</f>
        <v/>
      </c>
      <c r="I253" s="8" t="str">
        <f>IF(K253="","",INDEX(Интервалы!$F$2:$F$513,MATCH(K253,Интервалы!$G$2:$G$513,0)))</f>
        <v/>
      </c>
      <c r="J253" s="8" t="str">
        <f>IF(K253="","",INDEX(Интервалы!$H$2:$H$513,MATCH(K253,Интервалы!$G$2:$G$513,0)))</f>
        <v/>
      </c>
      <c r="K253" t="str">
        <f>IFERROR(SMALL(Интервалы!$G$2:$G$513,247),"")</f>
        <v/>
      </c>
      <c r="L253" t="str">
        <f>IF(K253="","",INDEX(Интервалы!$B$2:$B$513,MATCH(K253,Интервалы!$G$2:$G$513,0)))</f>
        <v/>
      </c>
    </row>
    <row r="254" spans="1:12" x14ac:dyDescent="0.3">
      <c r="A254" s="4" t="str">
        <f>IF(K254="","",248)</f>
        <v/>
      </c>
      <c r="B254" s="4" t="str">
        <f>IF(K254="","",INDEX(Интервалы!$A$2:$A$513,MATCH(K254,Интервалы!$G$2:$G$513,0)))</f>
        <v/>
      </c>
      <c r="C254" s="17" t="str">
        <f>IF(K254="","",INDEX(Интервалы!$C$2:$C$513,MATCH(K254,Интервалы!$G$2:$G$513,0)))</f>
        <v/>
      </c>
      <c r="D254" s="17" t="str">
        <f>IF(K254="","",INDEX(Интервалы!$D$2:$D$513,MATCH(K254,Интервалы!$G$2:$G$513,0)))</f>
        <v/>
      </c>
      <c r="E254" s="4" t="str">
        <f t="shared" si="3"/>
        <v/>
      </c>
      <c r="F254" s="8" t="str">
        <f>IF(K254="","",INDEX(Интервалы!$E$2:$E$513,MATCH(K254,Интервалы!$G$2:$G$513,0)))</f>
        <v/>
      </c>
      <c r="G254" s="18" t="str">
        <f>IF(K254="","",IF(H254=1,INDEX('По дням'!$B$2:$B$4000,MATCH(C254,'По дням'!$A$2:$A$4000,0)),"по периодам ставки"))</f>
        <v/>
      </c>
      <c r="H254" s="4" t="str">
        <f>IF(K254="","",INDEX(Интервалы!$I$2:$I$513,MATCH(K254,Интервалы!$G$2:$G$513,0)))</f>
        <v/>
      </c>
      <c r="I254" s="8" t="str">
        <f>IF(K254="","",INDEX(Интервалы!$F$2:$F$513,MATCH(K254,Интервалы!$G$2:$G$513,0)))</f>
        <v/>
      </c>
      <c r="J254" s="8" t="str">
        <f>IF(K254="","",INDEX(Интервалы!$H$2:$H$513,MATCH(K254,Интервалы!$G$2:$G$513,0)))</f>
        <v/>
      </c>
      <c r="K254" t="str">
        <f>IFERROR(SMALL(Интервалы!$G$2:$G$513,248),"")</f>
        <v/>
      </c>
      <c r="L254" t="str">
        <f>IF(K254="","",INDEX(Интервалы!$B$2:$B$513,MATCH(K254,Интервалы!$G$2:$G$513,0)))</f>
        <v/>
      </c>
    </row>
    <row r="255" spans="1:12" x14ac:dyDescent="0.3">
      <c r="A255" s="4" t="str">
        <f>IF(K255="","",249)</f>
        <v/>
      </c>
      <c r="B255" s="4" t="str">
        <f>IF(K255="","",INDEX(Интервалы!$A$2:$A$513,MATCH(K255,Интервалы!$G$2:$G$513,0)))</f>
        <v/>
      </c>
      <c r="C255" s="17" t="str">
        <f>IF(K255="","",INDEX(Интервалы!$C$2:$C$513,MATCH(K255,Интервалы!$G$2:$G$513,0)))</f>
        <v/>
      </c>
      <c r="D255" s="17" t="str">
        <f>IF(K255="","",INDEX(Интервалы!$D$2:$D$513,MATCH(K255,Интервалы!$G$2:$G$513,0)))</f>
        <v/>
      </c>
      <c r="E255" s="4" t="str">
        <f t="shared" si="3"/>
        <v/>
      </c>
      <c r="F255" s="8" t="str">
        <f>IF(K255="","",INDEX(Интервалы!$E$2:$E$513,MATCH(K255,Интервалы!$G$2:$G$513,0)))</f>
        <v/>
      </c>
      <c r="G255" s="18" t="str">
        <f>IF(K255="","",IF(H255=1,INDEX('По дням'!$B$2:$B$4000,MATCH(C255,'По дням'!$A$2:$A$4000,0)),"по периодам ставки"))</f>
        <v/>
      </c>
      <c r="H255" s="4" t="str">
        <f>IF(K255="","",INDEX(Интервалы!$I$2:$I$513,MATCH(K255,Интервалы!$G$2:$G$513,0)))</f>
        <v/>
      </c>
      <c r="I255" s="8" t="str">
        <f>IF(K255="","",INDEX(Интервалы!$F$2:$F$513,MATCH(K255,Интервалы!$G$2:$G$513,0)))</f>
        <v/>
      </c>
      <c r="J255" s="8" t="str">
        <f>IF(K255="","",INDEX(Интервалы!$H$2:$H$513,MATCH(K255,Интервалы!$G$2:$G$513,0)))</f>
        <v/>
      </c>
      <c r="K255" t="str">
        <f>IFERROR(SMALL(Интервалы!$G$2:$G$513,249),"")</f>
        <v/>
      </c>
      <c r="L255" t="str">
        <f>IF(K255="","",INDEX(Интервалы!$B$2:$B$513,MATCH(K255,Интервалы!$G$2:$G$513,0)))</f>
        <v/>
      </c>
    </row>
    <row r="256" spans="1:12" x14ac:dyDescent="0.3">
      <c r="A256" s="4" t="str">
        <f>IF(K256="","",250)</f>
        <v/>
      </c>
      <c r="B256" s="4" t="str">
        <f>IF(K256="","",INDEX(Интервалы!$A$2:$A$513,MATCH(K256,Интервалы!$G$2:$G$513,0)))</f>
        <v/>
      </c>
      <c r="C256" s="17" t="str">
        <f>IF(K256="","",INDEX(Интервалы!$C$2:$C$513,MATCH(K256,Интервалы!$G$2:$G$513,0)))</f>
        <v/>
      </c>
      <c r="D256" s="17" t="str">
        <f>IF(K256="","",INDEX(Интервалы!$D$2:$D$513,MATCH(K256,Интервалы!$G$2:$G$513,0)))</f>
        <v/>
      </c>
      <c r="E256" s="4" t="str">
        <f t="shared" si="3"/>
        <v/>
      </c>
      <c r="F256" s="8" t="str">
        <f>IF(K256="","",INDEX(Интервалы!$E$2:$E$513,MATCH(K256,Интервалы!$G$2:$G$513,0)))</f>
        <v/>
      </c>
      <c r="G256" s="18" t="str">
        <f>IF(K256="","",IF(H256=1,INDEX('По дням'!$B$2:$B$4000,MATCH(C256,'По дням'!$A$2:$A$4000,0)),"по периодам ставки"))</f>
        <v/>
      </c>
      <c r="H256" s="4" t="str">
        <f>IF(K256="","",INDEX(Интервалы!$I$2:$I$513,MATCH(K256,Интервалы!$G$2:$G$513,0)))</f>
        <v/>
      </c>
      <c r="I256" s="8" t="str">
        <f>IF(K256="","",INDEX(Интервалы!$F$2:$F$513,MATCH(K256,Интервалы!$G$2:$G$513,0)))</f>
        <v/>
      </c>
      <c r="J256" s="8" t="str">
        <f>IF(K256="","",INDEX(Интервалы!$H$2:$H$513,MATCH(K256,Интервалы!$G$2:$G$513,0)))</f>
        <v/>
      </c>
      <c r="K256" t="str">
        <f>IFERROR(SMALL(Интервалы!$G$2:$G$513,250),"")</f>
        <v/>
      </c>
      <c r="L256" t="str">
        <f>IF(K256="","",INDEX(Интервалы!$B$2:$B$513,MATCH(K256,Интервалы!$G$2:$G$513,0)))</f>
        <v/>
      </c>
    </row>
    <row r="257" spans="1:12" x14ac:dyDescent="0.3">
      <c r="A257" s="4" t="str">
        <f>IF(K257="","",251)</f>
        <v/>
      </c>
      <c r="B257" s="4" t="str">
        <f>IF(K257="","",INDEX(Интервалы!$A$2:$A$513,MATCH(K257,Интервалы!$G$2:$G$513,0)))</f>
        <v/>
      </c>
      <c r="C257" s="17" t="str">
        <f>IF(K257="","",INDEX(Интервалы!$C$2:$C$513,MATCH(K257,Интервалы!$G$2:$G$513,0)))</f>
        <v/>
      </c>
      <c r="D257" s="17" t="str">
        <f>IF(K257="","",INDEX(Интервалы!$D$2:$D$513,MATCH(K257,Интервалы!$G$2:$G$513,0)))</f>
        <v/>
      </c>
      <c r="E257" s="4" t="str">
        <f t="shared" si="3"/>
        <v/>
      </c>
      <c r="F257" s="8" t="str">
        <f>IF(K257="","",INDEX(Интервалы!$E$2:$E$513,MATCH(K257,Интервалы!$G$2:$G$513,0)))</f>
        <v/>
      </c>
      <c r="G257" s="18" t="str">
        <f>IF(K257="","",IF(H257=1,INDEX('По дням'!$B$2:$B$4000,MATCH(C257,'По дням'!$A$2:$A$4000,0)),"по периодам ставки"))</f>
        <v/>
      </c>
      <c r="H257" s="4" t="str">
        <f>IF(K257="","",INDEX(Интервалы!$I$2:$I$513,MATCH(K257,Интервалы!$G$2:$G$513,0)))</f>
        <v/>
      </c>
      <c r="I257" s="8" t="str">
        <f>IF(K257="","",INDEX(Интервалы!$F$2:$F$513,MATCH(K257,Интервалы!$G$2:$G$513,0)))</f>
        <v/>
      </c>
      <c r="J257" s="8" t="str">
        <f>IF(K257="","",INDEX(Интервалы!$H$2:$H$513,MATCH(K257,Интервалы!$G$2:$G$513,0)))</f>
        <v/>
      </c>
      <c r="K257" t="str">
        <f>IFERROR(SMALL(Интервалы!$G$2:$G$513,251),"")</f>
        <v/>
      </c>
      <c r="L257" t="str">
        <f>IF(K257="","",INDEX(Интервалы!$B$2:$B$513,MATCH(K257,Интервалы!$G$2:$G$513,0)))</f>
        <v/>
      </c>
    </row>
    <row r="258" spans="1:12" x14ac:dyDescent="0.3">
      <c r="A258" s="4" t="str">
        <f>IF(K258="","",252)</f>
        <v/>
      </c>
      <c r="B258" s="4" t="str">
        <f>IF(K258="","",INDEX(Интервалы!$A$2:$A$513,MATCH(K258,Интервалы!$G$2:$G$513,0)))</f>
        <v/>
      </c>
      <c r="C258" s="17" t="str">
        <f>IF(K258="","",INDEX(Интервалы!$C$2:$C$513,MATCH(K258,Интервалы!$G$2:$G$513,0)))</f>
        <v/>
      </c>
      <c r="D258" s="17" t="str">
        <f>IF(K258="","",INDEX(Интервалы!$D$2:$D$513,MATCH(K258,Интервалы!$G$2:$G$513,0)))</f>
        <v/>
      </c>
      <c r="E258" s="4" t="str">
        <f t="shared" si="3"/>
        <v/>
      </c>
      <c r="F258" s="8" t="str">
        <f>IF(K258="","",INDEX(Интервалы!$E$2:$E$513,MATCH(K258,Интервалы!$G$2:$G$513,0)))</f>
        <v/>
      </c>
      <c r="G258" s="18" t="str">
        <f>IF(K258="","",IF(H258=1,INDEX('По дням'!$B$2:$B$4000,MATCH(C258,'По дням'!$A$2:$A$4000,0)),"по периодам ставки"))</f>
        <v/>
      </c>
      <c r="H258" s="4" t="str">
        <f>IF(K258="","",INDEX(Интервалы!$I$2:$I$513,MATCH(K258,Интервалы!$G$2:$G$513,0)))</f>
        <v/>
      </c>
      <c r="I258" s="8" t="str">
        <f>IF(K258="","",INDEX(Интервалы!$F$2:$F$513,MATCH(K258,Интервалы!$G$2:$G$513,0)))</f>
        <v/>
      </c>
      <c r="J258" s="8" t="str">
        <f>IF(K258="","",INDEX(Интервалы!$H$2:$H$513,MATCH(K258,Интервалы!$G$2:$G$513,0)))</f>
        <v/>
      </c>
      <c r="K258" t="str">
        <f>IFERROR(SMALL(Интервалы!$G$2:$G$513,252),"")</f>
        <v/>
      </c>
      <c r="L258" t="str">
        <f>IF(K258="","",INDEX(Интервалы!$B$2:$B$513,MATCH(K258,Интервалы!$G$2:$G$513,0)))</f>
        <v/>
      </c>
    </row>
    <row r="259" spans="1:12" x14ac:dyDescent="0.3">
      <c r="A259" s="4" t="str">
        <f>IF(K259="","",253)</f>
        <v/>
      </c>
      <c r="B259" s="4" t="str">
        <f>IF(K259="","",INDEX(Интервалы!$A$2:$A$513,MATCH(K259,Интервалы!$G$2:$G$513,0)))</f>
        <v/>
      </c>
      <c r="C259" s="17" t="str">
        <f>IF(K259="","",INDEX(Интервалы!$C$2:$C$513,MATCH(K259,Интервалы!$G$2:$G$513,0)))</f>
        <v/>
      </c>
      <c r="D259" s="17" t="str">
        <f>IF(K259="","",INDEX(Интервалы!$D$2:$D$513,MATCH(K259,Интервалы!$G$2:$G$513,0)))</f>
        <v/>
      </c>
      <c r="E259" s="4" t="str">
        <f t="shared" si="3"/>
        <v/>
      </c>
      <c r="F259" s="8" t="str">
        <f>IF(K259="","",INDEX(Интервалы!$E$2:$E$513,MATCH(K259,Интервалы!$G$2:$G$513,0)))</f>
        <v/>
      </c>
      <c r="G259" s="18" t="str">
        <f>IF(K259="","",IF(H259=1,INDEX('По дням'!$B$2:$B$4000,MATCH(C259,'По дням'!$A$2:$A$4000,0)),"по периодам ставки"))</f>
        <v/>
      </c>
      <c r="H259" s="4" t="str">
        <f>IF(K259="","",INDEX(Интервалы!$I$2:$I$513,MATCH(K259,Интервалы!$G$2:$G$513,0)))</f>
        <v/>
      </c>
      <c r="I259" s="8" t="str">
        <f>IF(K259="","",INDEX(Интервалы!$F$2:$F$513,MATCH(K259,Интервалы!$G$2:$G$513,0)))</f>
        <v/>
      </c>
      <c r="J259" s="8" t="str">
        <f>IF(K259="","",INDEX(Интервалы!$H$2:$H$513,MATCH(K259,Интервалы!$G$2:$G$513,0)))</f>
        <v/>
      </c>
      <c r="K259" t="str">
        <f>IFERROR(SMALL(Интервалы!$G$2:$G$513,253),"")</f>
        <v/>
      </c>
      <c r="L259" t="str">
        <f>IF(K259="","",INDEX(Интервалы!$B$2:$B$513,MATCH(K259,Интервалы!$G$2:$G$513,0)))</f>
        <v/>
      </c>
    </row>
    <row r="260" spans="1:12" x14ac:dyDescent="0.3">
      <c r="A260" s="4" t="str">
        <f>IF(K260="","",254)</f>
        <v/>
      </c>
      <c r="B260" s="4" t="str">
        <f>IF(K260="","",INDEX(Интервалы!$A$2:$A$513,MATCH(K260,Интервалы!$G$2:$G$513,0)))</f>
        <v/>
      </c>
      <c r="C260" s="17" t="str">
        <f>IF(K260="","",INDEX(Интервалы!$C$2:$C$513,MATCH(K260,Интервалы!$G$2:$G$513,0)))</f>
        <v/>
      </c>
      <c r="D260" s="17" t="str">
        <f>IF(K260="","",INDEX(Интервалы!$D$2:$D$513,MATCH(K260,Интервалы!$G$2:$G$513,0)))</f>
        <v/>
      </c>
      <c r="E260" s="4" t="str">
        <f t="shared" si="3"/>
        <v/>
      </c>
      <c r="F260" s="8" t="str">
        <f>IF(K260="","",INDEX(Интервалы!$E$2:$E$513,MATCH(K260,Интервалы!$G$2:$G$513,0)))</f>
        <v/>
      </c>
      <c r="G260" s="18" t="str">
        <f>IF(K260="","",IF(H260=1,INDEX('По дням'!$B$2:$B$4000,MATCH(C260,'По дням'!$A$2:$A$4000,0)),"по периодам ставки"))</f>
        <v/>
      </c>
      <c r="H260" s="4" t="str">
        <f>IF(K260="","",INDEX(Интервалы!$I$2:$I$513,MATCH(K260,Интервалы!$G$2:$G$513,0)))</f>
        <v/>
      </c>
      <c r="I260" s="8" t="str">
        <f>IF(K260="","",INDEX(Интервалы!$F$2:$F$513,MATCH(K260,Интервалы!$G$2:$G$513,0)))</f>
        <v/>
      </c>
      <c r="J260" s="8" t="str">
        <f>IF(K260="","",INDEX(Интервалы!$H$2:$H$513,MATCH(K260,Интервалы!$G$2:$G$513,0)))</f>
        <v/>
      </c>
      <c r="K260" t="str">
        <f>IFERROR(SMALL(Интервалы!$G$2:$G$513,254),"")</f>
        <v/>
      </c>
      <c r="L260" t="str">
        <f>IF(K260="","",INDEX(Интервалы!$B$2:$B$513,MATCH(K260,Интервалы!$G$2:$G$513,0)))</f>
        <v/>
      </c>
    </row>
    <row r="261" spans="1:12" x14ac:dyDescent="0.3">
      <c r="A261" s="4" t="str">
        <f>IF(K261="","",255)</f>
        <v/>
      </c>
      <c r="B261" s="4" t="str">
        <f>IF(K261="","",INDEX(Интервалы!$A$2:$A$513,MATCH(K261,Интервалы!$G$2:$G$513,0)))</f>
        <v/>
      </c>
      <c r="C261" s="17" t="str">
        <f>IF(K261="","",INDEX(Интервалы!$C$2:$C$513,MATCH(K261,Интервалы!$G$2:$G$513,0)))</f>
        <v/>
      </c>
      <c r="D261" s="17" t="str">
        <f>IF(K261="","",INDEX(Интервалы!$D$2:$D$513,MATCH(K261,Интервалы!$G$2:$G$513,0)))</f>
        <v/>
      </c>
      <c r="E261" s="4" t="str">
        <f t="shared" si="3"/>
        <v/>
      </c>
      <c r="F261" s="8" t="str">
        <f>IF(K261="","",INDEX(Интервалы!$E$2:$E$513,MATCH(K261,Интервалы!$G$2:$G$513,0)))</f>
        <v/>
      </c>
      <c r="G261" s="18" t="str">
        <f>IF(K261="","",IF(H261=1,INDEX('По дням'!$B$2:$B$4000,MATCH(C261,'По дням'!$A$2:$A$4000,0)),"по периодам ставки"))</f>
        <v/>
      </c>
      <c r="H261" s="4" t="str">
        <f>IF(K261="","",INDEX(Интервалы!$I$2:$I$513,MATCH(K261,Интервалы!$G$2:$G$513,0)))</f>
        <v/>
      </c>
      <c r="I261" s="8" t="str">
        <f>IF(K261="","",INDEX(Интервалы!$F$2:$F$513,MATCH(K261,Интервалы!$G$2:$G$513,0)))</f>
        <v/>
      </c>
      <c r="J261" s="8" t="str">
        <f>IF(K261="","",INDEX(Интервалы!$H$2:$H$513,MATCH(K261,Интервалы!$G$2:$G$513,0)))</f>
        <v/>
      </c>
      <c r="K261" t="str">
        <f>IFERROR(SMALL(Интервалы!$G$2:$G$513,255),"")</f>
        <v/>
      </c>
      <c r="L261" t="str">
        <f>IF(K261="","",INDEX(Интервалы!$B$2:$B$513,MATCH(K261,Интервалы!$G$2:$G$513,0)))</f>
        <v/>
      </c>
    </row>
    <row r="262" spans="1:12" x14ac:dyDescent="0.3">
      <c r="A262" s="4" t="str">
        <f>IF(K262="","",256)</f>
        <v/>
      </c>
      <c r="B262" s="4" t="str">
        <f>IF(K262="","",INDEX(Интервалы!$A$2:$A$513,MATCH(K262,Интервалы!$G$2:$G$513,0)))</f>
        <v/>
      </c>
      <c r="C262" s="17" t="str">
        <f>IF(K262="","",INDEX(Интервалы!$C$2:$C$513,MATCH(K262,Интервалы!$G$2:$G$513,0)))</f>
        <v/>
      </c>
      <c r="D262" s="17" t="str">
        <f>IF(K262="","",INDEX(Интервалы!$D$2:$D$513,MATCH(K262,Интервалы!$G$2:$G$513,0)))</f>
        <v/>
      </c>
      <c r="E262" s="4" t="str">
        <f t="shared" si="3"/>
        <v/>
      </c>
      <c r="F262" s="8" t="str">
        <f>IF(K262="","",INDEX(Интервалы!$E$2:$E$513,MATCH(K262,Интервалы!$G$2:$G$513,0)))</f>
        <v/>
      </c>
      <c r="G262" s="18" t="str">
        <f>IF(K262="","",IF(H262=1,INDEX('По дням'!$B$2:$B$4000,MATCH(C262,'По дням'!$A$2:$A$4000,0)),"по периодам ставки"))</f>
        <v/>
      </c>
      <c r="H262" s="4" t="str">
        <f>IF(K262="","",INDEX(Интервалы!$I$2:$I$513,MATCH(K262,Интервалы!$G$2:$G$513,0)))</f>
        <v/>
      </c>
      <c r="I262" s="8" t="str">
        <f>IF(K262="","",INDEX(Интервалы!$F$2:$F$513,MATCH(K262,Интервалы!$G$2:$G$513,0)))</f>
        <v/>
      </c>
      <c r="J262" s="8" t="str">
        <f>IF(K262="","",INDEX(Интервалы!$H$2:$H$513,MATCH(K262,Интервалы!$G$2:$G$513,0)))</f>
        <v/>
      </c>
      <c r="K262" t="str">
        <f>IFERROR(SMALL(Интервалы!$G$2:$G$513,256),"")</f>
        <v/>
      </c>
      <c r="L262" t="str">
        <f>IF(K262="","",INDEX(Интервалы!$B$2:$B$513,MATCH(K262,Интервалы!$G$2:$G$513,0)))</f>
        <v/>
      </c>
    </row>
    <row r="263" spans="1:12" x14ac:dyDescent="0.3">
      <c r="A263" s="4" t="str">
        <f>IF(K263="","",257)</f>
        <v/>
      </c>
      <c r="B263" s="4" t="str">
        <f>IF(K263="","",INDEX(Интервалы!$A$2:$A$513,MATCH(K263,Интервалы!$G$2:$G$513,0)))</f>
        <v/>
      </c>
      <c r="C263" s="17" t="str">
        <f>IF(K263="","",INDEX(Интервалы!$C$2:$C$513,MATCH(K263,Интервалы!$G$2:$G$513,0)))</f>
        <v/>
      </c>
      <c r="D263" s="17" t="str">
        <f>IF(K263="","",INDEX(Интервалы!$D$2:$D$513,MATCH(K263,Интервалы!$G$2:$G$513,0)))</f>
        <v/>
      </c>
      <c r="E263" s="4" t="str">
        <f t="shared" ref="E263:E326" si="4">IF(K263="","",D263-C263+1)</f>
        <v/>
      </c>
      <c r="F263" s="8" t="str">
        <f>IF(K263="","",INDEX(Интервалы!$E$2:$E$513,MATCH(K263,Интервалы!$G$2:$G$513,0)))</f>
        <v/>
      </c>
      <c r="G263" s="18" t="str">
        <f>IF(K263="","",IF(H263=1,INDEX('По дням'!$B$2:$B$4000,MATCH(C263,'По дням'!$A$2:$A$4000,0)),"по периодам ставки"))</f>
        <v/>
      </c>
      <c r="H263" s="4" t="str">
        <f>IF(K263="","",INDEX(Интервалы!$I$2:$I$513,MATCH(K263,Интервалы!$G$2:$G$513,0)))</f>
        <v/>
      </c>
      <c r="I263" s="8" t="str">
        <f>IF(K263="","",INDEX(Интервалы!$F$2:$F$513,MATCH(K263,Интервалы!$G$2:$G$513,0)))</f>
        <v/>
      </c>
      <c r="J263" s="8" t="str">
        <f>IF(K263="","",INDEX(Интервалы!$H$2:$H$513,MATCH(K263,Интервалы!$G$2:$G$513,0)))</f>
        <v/>
      </c>
      <c r="K263" t="str">
        <f>IFERROR(SMALL(Интервалы!$G$2:$G$513,257),"")</f>
        <v/>
      </c>
      <c r="L263" t="str">
        <f>IF(K263="","",INDEX(Интервалы!$B$2:$B$513,MATCH(K263,Интервалы!$G$2:$G$513,0)))</f>
        <v/>
      </c>
    </row>
    <row r="264" spans="1:12" x14ac:dyDescent="0.3">
      <c r="A264" s="4" t="str">
        <f>IF(K264="","",258)</f>
        <v/>
      </c>
      <c r="B264" s="4" t="str">
        <f>IF(K264="","",INDEX(Интервалы!$A$2:$A$513,MATCH(K264,Интервалы!$G$2:$G$513,0)))</f>
        <v/>
      </c>
      <c r="C264" s="17" t="str">
        <f>IF(K264="","",INDEX(Интервалы!$C$2:$C$513,MATCH(K264,Интервалы!$G$2:$G$513,0)))</f>
        <v/>
      </c>
      <c r="D264" s="17" t="str">
        <f>IF(K264="","",INDEX(Интервалы!$D$2:$D$513,MATCH(K264,Интервалы!$G$2:$G$513,0)))</f>
        <v/>
      </c>
      <c r="E264" s="4" t="str">
        <f t="shared" si="4"/>
        <v/>
      </c>
      <c r="F264" s="8" t="str">
        <f>IF(K264="","",INDEX(Интервалы!$E$2:$E$513,MATCH(K264,Интервалы!$G$2:$G$513,0)))</f>
        <v/>
      </c>
      <c r="G264" s="18" t="str">
        <f>IF(K264="","",IF(H264=1,INDEX('По дням'!$B$2:$B$4000,MATCH(C264,'По дням'!$A$2:$A$4000,0)),"по периодам ставки"))</f>
        <v/>
      </c>
      <c r="H264" s="4" t="str">
        <f>IF(K264="","",INDEX(Интервалы!$I$2:$I$513,MATCH(K264,Интервалы!$G$2:$G$513,0)))</f>
        <v/>
      </c>
      <c r="I264" s="8" t="str">
        <f>IF(K264="","",INDEX(Интервалы!$F$2:$F$513,MATCH(K264,Интервалы!$G$2:$G$513,0)))</f>
        <v/>
      </c>
      <c r="J264" s="8" t="str">
        <f>IF(K264="","",INDEX(Интервалы!$H$2:$H$513,MATCH(K264,Интервалы!$G$2:$G$513,0)))</f>
        <v/>
      </c>
      <c r="K264" t="str">
        <f>IFERROR(SMALL(Интервалы!$G$2:$G$513,258),"")</f>
        <v/>
      </c>
      <c r="L264" t="str">
        <f>IF(K264="","",INDEX(Интервалы!$B$2:$B$513,MATCH(K264,Интервалы!$G$2:$G$513,0)))</f>
        <v/>
      </c>
    </row>
    <row r="265" spans="1:12" x14ac:dyDescent="0.3">
      <c r="A265" s="4" t="str">
        <f>IF(K265="","",259)</f>
        <v/>
      </c>
      <c r="B265" s="4" t="str">
        <f>IF(K265="","",INDEX(Интервалы!$A$2:$A$513,MATCH(K265,Интервалы!$G$2:$G$513,0)))</f>
        <v/>
      </c>
      <c r="C265" s="17" t="str">
        <f>IF(K265="","",INDEX(Интервалы!$C$2:$C$513,MATCH(K265,Интервалы!$G$2:$G$513,0)))</f>
        <v/>
      </c>
      <c r="D265" s="17" t="str">
        <f>IF(K265="","",INDEX(Интервалы!$D$2:$D$513,MATCH(K265,Интервалы!$G$2:$G$513,0)))</f>
        <v/>
      </c>
      <c r="E265" s="4" t="str">
        <f t="shared" si="4"/>
        <v/>
      </c>
      <c r="F265" s="8" t="str">
        <f>IF(K265="","",INDEX(Интервалы!$E$2:$E$513,MATCH(K265,Интервалы!$G$2:$G$513,0)))</f>
        <v/>
      </c>
      <c r="G265" s="18" t="str">
        <f>IF(K265="","",IF(H265=1,INDEX('По дням'!$B$2:$B$4000,MATCH(C265,'По дням'!$A$2:$A$4000,0)),"по периодам ставки"))</f>
        <v/>
      </c>
      <c r="H265" s="4" t="str">
        <f>IF(K265="","",INDEX(Интервалы!$I$2:$I$513,MATCH(K265,Интервалы!$G$2:$G$513,0)))</f>
        <v/>
      </c>
      <c r="I265" s="8" t="str">
        <f>IF(K265="","",INDEX(Интервалы!$F$2:$F$513,MATCH(K265,Интервалы!$G$2:$G$513,0)))</f>
        <v/>
      </c>
      <c r="J265" s="8" t="str">
        <f>IF(K265="","",INDEX(Интервалы!$H$2:$H$513,MATCH(K265,Интервалы!$G$2:$G$513,0)))</f>
        <v/>
      </c>
      <c r="K265" t="str">
        <f>IFERROR(SMALL(Интервалы!$G$2:$G$513,259),"")</f>
        <v/>
      </c>
      <c r="L265" t="str">
        <f>IF(K265="","",INDEX(Интервалы!$B$2:$B$513,MATCH(K265,Интервалы!$G$2:$G$513,0)))</f>
        <v/>
      </c>
    </row>
    <row r="266" spans="1:12" x14ac:dyDescent="0.3">
      <c r="A266" s="4" t="str">
        <f>IF(K266="","",260)</f>
        <v/>
      </c>
      <c r="B266" s="4" t="str">
        <f>IF(K266="","",INDEX(Интервалы!$A$2:$A$513,MATCH(K266,Интервалы!$G$2:$G$513,0)))</f>
        <v/>
      </c>
      <c r="C266" s="17" t="str">
        <f>IF(K266="","",INDEX(Интервалы!$C$2:$C$513,MATCH(K266,Интервалы!$G$2:$G$513,0)))</f>
        <v/>
      </c>
      <c r="D266" s="17" t="str">
        <f>IF(K266="","",INDEX(Интервалы!$D$2:$D$513,MATCH(K266,Интервалы!$G$2:$G$513,0)))</f>
        <v/>
      </c>
      <c r="E266" s="4" t="str">
        <f t="shared" si="4"/>
        <v/>
      </c>
      <c r="F266" s="8" t="str">
        <f>IF(K266="","",INDEX(Интервалы!$E$2:$E$513,MATCH(K266,Интервалы!$G$2:$G$513,0)))</f>
        <v/>
      </c>
      <c r="G266" s="18" t="str">
        <f>IF(K266="","",IF(H266=1,INDEX('По дням'!$B$2:$B$4000,MATCH(C266,'По дням'!$A$2:$A$4000,0)),"по периодам ставки"))</f>
        <v/>
      </c>
      <c r="H266" s="4" t="str">
        <f>IF(K266="","",INDEX(Интервалы!$I$2:$I$513,MATCH(K266,Интервалы!$G$2:$G$513,0)))</f>
        <v/>
      </c>
      <c r="I266" s="8" t="str">
        <f>IF(K266="","",INDEX(Интервалы!$F$2:$F$513,MATCH(K266,Интервалы!$G$2:$G$513,0)))</f>
        <v/>
      </c>
      <c r="J266" s="8" t="str">
        <f>IF(K266="","",INDEX(Интервалы!$H$2:$H$513,MATCH(K266,Интервалы!$G$2:$G$513,0)))</f>
        <v/>
      </c>
      <c r="K266" t="str">
        <f>IFERROR(SMALL(Интервалы!$G$2:$G$513,260),"")</f>
        <v/>
      </c>
      <c r="L266" t="str">
        <f>IF(K266="","",INDEX(Интервалы!$B$2:$B$513,MATCH(K266,Интервалы!$G$2:$G$513,0)))</f>
        <v/>
      </c>
    </row>
    <row r="267" spans="1:12" x14ac:dyDescent="0.3">
      <c r="A267" s="4" t="str">
        <f>IF(K267="","",261)</f>
        <v/>
      </c>
      <c r="B267" s="4" t="str">
        <f>IF(K267="","",INDEX(Интервалы!$A$2:$A$513,MATCH(K267,Интервалы!$G$2:$G$513,0)))</f>
        <v/>
      </c>
      <c r="C267" s="17" t="str">
        <f>IF(K267="","",INDEX(Интервалы!$C$2:$C$513,MATCH(K267,Интервалы!$G$2:$G$513,0)))</f>
        <v/>
      </c>
      <c r="D267" s="17" t="str">
        <f>IF(K267="","",INDEX(Интервалы!$D$2:$D$513,MATCH(K267,Интервалы!$G$2:$G$513,0)))</f>
        <v/>
      </c>
      <c r="E267" s="4" t="str">
        <f t="shared" si="4"/>
        <v/>
      </c>
      <c r="F267" s="8" t="str">
        <f>IF(K267="","",INDEX(Интервалы!$E$2:$E$513,MATCH(K267,Интервалы!$G$2:$G$513,0)))</f>
        <v/>
      </c>
      <c r="G267" s="18" t="str">
        <f>IF(K267="","",IF(H267=1,INDEX('По дням'!$B$2:$B$4000,MATCH(C267,'По дням'!$A$2:$A$4000,0)),"по периодам ставки"))</f>
        <v/>
      </c>
      <c r="H267" s="4" t="str">
        <f>IF(K267="","",INDEX(Интервалы!$I$2:$I$513,MATCH(K267,Интервалы!$G$2:$G$513,0)))</f>
        <v/>
      </c>
      <c r="I267" s="8" t="str">
        <f>IF(K267="","",INDEX(Интервалы!$F$2:$F$513,MATCH(K267,Интервалы!$G$2:$G$513,0)))</f>
        <v/>
      </c>
      <c r="J267" s="8" t="str">
        <f>IF(K267="","",INDEX(Интервалы!$H$2:$H$513,MATCH(K267,Интервалы!$G$2:$G$513,0)))</f>
        <v/>
      </c>
      <c r="K267" t="str">
        <f>IFERROR(SMALL(Интервалы!$G$2:$G$513,261),"")</f>
        <v/>
      </c>
      <c r="L267" t="str">
        <f>IF(K267="","",INDEX(Интервалы!$B$2:$B$513,MATCH(K267,Интервалы!$G$2:$G$513,0)))</f>
        <v/>
      </c>
    </row>
    <row r="268" spans="1:12" x14ac:dyDescent="0.3">
      <c r="A268" s="4" t="str">
        <f>IF(K268="","",262)</f>
        <v/>
      </c>
      <c r="B268" s="4" t="str">
        <f>IF(K268="","",INDEX(Интервалы!$A$2:$A$513,MATCH(K268,Интервалы!$G$2:$G$513,0)))</f>
        <v/>
      </c>
      <c r="C268" s="17" t="str">
        <f>IF(K268="","",INDEX(Интервалы!$C$2:$C$513,MATCH(K268,Интервалы!$G$2:$G$513,0)))</f>
        <v/>
      </c>
      <c r="D268" s="17" t="str">
        <f>IF(K268="","",INDEX(Интервалы!$D$2:$D$513,MATCH(K268,Интервалы!$G$2:$G$513,0)))</f>
        <v/>
      </c>
      <c r="E268" s="4" t="str">
        <f t="shared" si="4"/>
        <v/>
      </c>
      <c r="F268" s="8" t="str">
        <f>IF(K268="","",INDEX(Интервалы!$E$2:$E$513,MATCH(K268,Интервалы!$G$2:$G$513,0)))</f>
        <v/>
      </c>
      <c r="G268" s="18" t="str">
        <f>IF(K268="","",IF(H268=1,INDEX('По дням'!$B$2:$B$4000,MATCH(C268,'По дням'!$A$2:$A$4000,0)),"по периодам ставки"))</f>
        <v/>
      </c>
      <c r="H268" s="4" t="str">
        <f>IF(K268="","",INDEX(Интервалы!$I$2:$I$513,MATCH(K268,Интервалы!$G$2:$G$513,0)))</f>
        <v/>
      </c>
      <c r="I268" s="8" t="str">
        <f>IF(K268="","",INDEX(Интервалы!$F$2:$F$513,MATCH(K268,Интервалы!$G$2:$G$513,0)))</f>
        <v/>
      </c>
      <c r="J268" s="8" t="str">
        <f>IF(K268="","",INDEX(Интервалы!$H$2:$H$513,MATCH(K268,Интервалы!$G$2:$G$513,0)))</f>
        <v/>
      </c>
      <c r="K268" t="str">
        <f>IFERROR(SMALL(Интервалы!$G$2:$G$513,262),"")</f>
        <v/>
      </c>
      <c r="L268" t="str">
        <f>IF(K268="","",INDEX(Интервалы!$B$2:$B$513,MATCH(K268,Интервалы!$G$2:$G$513,0)))</f>
        <v/>
      </c>
    </row>
    <row r="269" spans="1:12" x14ac:dyDescent="0.3">
      <c r="A269" s="4" t="str">
        <f>IF(K269="","",263)</f>
        <v/>
      </c>
      <c r="B269" s="4" t="str">
        <f>IF(K269="","",INDEX(Интервалы!$A$2:$A$513,MATCH(K269,Интервалы!$G$2:$G$513,0)))</f>
        <v/>
      </c>
      <c r="C269" s="17" t="str">
        <f>IF(K269="","",INDEX(Интервалы!$C$2:$C$513,MATCH(K269,Интервалы!$G$2:$G$513,0)))</f>
        <v/>
      </c>
      <c r="D269" s="17" t="str">
        <f>IF(K269="","",INDEX(Интервалы!$D$2:$D$513,MATCH(K269,Интервалы!$G$2:$G$513,0)))</f>
        <v/>
      </c>
      <c r="E269" s="4" t="str">
        <f t="shared" si="4"/>
        <v/>
      </c>
      <c r="F269" s="8" t="str">
        <f>IF(K269="","",INDEX(Интервалы!$E$2:$E$513,MATCH(K269,Интервалы!$G$2:$G$513,0)))</f>
        <v/>
      </c>
      <c r="G269" s="18" t="str">
        <f>IF(K269="","",IF(H269=1,INDEX('По дням'!$B$2:$B$4000,MATCH(C269,'По дням'!$A$2:$A$4000,0)),"по периодам ставки"))</f>
        <v/>
      </c>
      <c r="H269" s="4" t="str">
        <f>IF(K269="","",INDEX(Интервалы!$I$2:$I$513,MATCH(K269,Интервалы!$G$2:$G$513,0)))</f>
        <v/>
      </c>
      <c r="I269" s="8" t="str">
        <f>IF(K269="","",INDEX(Интервалы!$F$2:$F$513,MATCH(K269,Интервалы!$G$2:$G$513,0)))</f>
        <v/>
      </c>
      <c r="J269" s="8" t="str">
        <f>IF(K269="","",INDEX(Интервалы!$H$2:$H$513,MATCH(K269,Интервалы!$G$2:$G$513,0)))</f>
        <v/>
      </c>
      <c r="K269" t="str">
        <f>IFERROR(SMALL(Интервалы!$G$2:$G$513,263),"")</f>
        <v/>
      </c>
      <c r="L269" t="str">
        <f>IF(K269="","",INDEX(Интервалы!$B$2:$B$513,MATCH(K269,Интервалы!$G$2:$G$513,0)))</f>
        <v/>
      </c>
    </row>
    <row r="270" spans="1:12" x14ac:dyDescent="0.3">
      <c r="A270" s="4" t="str">
        <f>IF(K270="","",264)</f>
        <v/>
      </c>
      <c r="B270" s="4" t="str">
        <f>IF(K270="","",INDEX(Интервалы!$A$2:$A$513,MATCH(K270,Интервалы!$G$2:$G$513,0)))</f>
        <v/>
      </c>
      <c r="C270" s="17" t="str">
        <f>IF(K270="","",INDEX(Интервалы!$C$2:$C$513,MATCH(K270,Интервалы!$G$2:$G$513,0)))</f>
        <v/>
      </c>
      <c r="D270" s="17" t="str">
        <f>IF(K270="","",INDEX(Интервалы!$D$2:$D$513,MATCH(K270,Интервалы!$G$2:$G$513,0)))</f>
        <v/>
      </c>
      <c r="E270" s="4" t="str">
        <f t="shared" si="4"/>
        <v/>
      </c>
      <c r="F270" s="8" t="str">
        <f>IF(K270="","",INDEX(Интервалы!$E$2:$E$513,MATCH(K270,Интервалы!$G$2:$G$513,0)))</f>
        <v/>
      </c>
      <c r="G270" s="18" t="str">
        <f>IF(K270="","",IF(H270=1,INDEX('По дням'!$B$2:$B$4000,MATCH(C270,'По дням'!$A$2:$A$4000,0)),"по периодам ставки"))</f>
        <v/>
      </c>
      <c r="H270" s="4" t="str">
        <f>IF(K270="","",INDEX(Интервалы!$I$2:$I$513,MATCH(K270,Интервалы!$G$2:$G$513,0)))</f>
        <v/>
      </c>
      <c r="I270" s="8" t="str">
        <f>IF(K270="","",INDEX(Интервалы!$F$2:$F$513,MATCH(K270,Интервалы!$G$2:$G$513,0)))</f>
        <v/>
      </c>
      <c r="J270" s="8" t="str">
        <f>IF(K270="","",INDEX(Интервалы!$H$2:$H$513,MATCH(K270,Интервалы!$G$2:$G$513,0)))</f>
        <v/>
      </c>
      <c r="K270" t="str">
        <f>IFERROR(SMALL(Интервалы!$G$2:$G$513,264),"")</f>
        <v/>
      </c>
      <c r="L270" t="str">
        <f>IF(K270="","",INDEX(Интервалы!$B$2:$B$513,MATCH(K270,Интервалы!$G$2:$G$513,0)))</f>
        <v/>
      </c>
    </row>
    <row r="271" spans="1:12" x14ac:dyDescent="0.3">
      <c r="A271" s="4" t="str">
        <f>IF(K271="","",265)</f>
        <v/>
      </c>
      <c r="B271" s="4" t="str">
        <f>IF(K271="","",INDEX(Интервалы!$A$2:$A$513,MATCH(K271,Интервалы!$G$2:$G$513,0)))</f>
        <v/>
      </c>
      <c r="C271" s="17" t="str">
        <f>IF(K271="","",INDEX(Интервалы!$C$2:$C$513,MATCH(K271,Интервалы!$G$2:$G$513,0)))</f>
        <v/>
      </c>
      <c r="D271" s="17" t="str">
        <f>IF(K271="","",INDEX(Интервалы!$D$2:$D$513,MATCH(K271,Интервалы!$G$2:$G$513,0)))</f>
        <v/>
      </c>
      <c r="E271" s="4" t="str">
        <f t="shared" si="4"/>
        <v/>
      </c>
      <c r="F271" s="8" t="str">
        <f>IF(K271="","",INDEX(Интервалы!$E$2:$E$513,MATCH(K271,Интервалы!$G$2:$G$513,0)))</f>
        <v/>
      </c>
      <c r="G271" s="18" t="str">
        <f>IF(K271="","",IF(H271=1,INDEX('По дням'!$B$2:$B$4000,MATCH(C271,'По дням'!$A$2:$A$4000,0)),"по периодам ставки"))</f>
        <v/>
      </c>
      <c r="H271" s="4" t="str">
        <f>IF(K271="","",INDEX(Интервалы!$I$2:$I$513,MATCH(K271,Интервалы!$G$2:$G$513,0)))</f>
        <v/>
      </c>
      <c r="I271" s="8" t="str">
        <f>IF(K271="","",INDEX(Интервалы!$F$2:$F$513,MATCH(K271,Интервалы!$G$2:$G$513,0)))</f>
        <v/>
      </c>
      <c r="J271" s="8" t="str">
        <f>IF(K271="","",INDEX(Интервалы!$H$2:$H$513,MATCH(K271,Интервалы!$G$2:$G$513,0)))</f>
        <v/>
      </c>
      <c r="K271" t="str">
        <f>IFERROR(SMALL(Интервалы!$G$2:$G$513,265),"")</f>
        <v/>
      </c>
      <c r="L271" t="str">
        <f>IF(K271="","",INDEX(Интервалы!$B$2:$B$513,MATCH(K271,Интервалы!$G$2:$G$513,0)))</f>
        <v/>
      </c>
    </row>
    <row r="272" spans="1:12" x14ac:dyDescent="0.3">
      <c r="A272" s="4" t="str">
        <f>IF(K272="","",266)</f>
        <v/>
      </c>
      <c r="B272" s="4" t="str">
        <f>IF(K272="","",INDEX(Интервалы!$A$2:$A$513,MATCH(K272,Интервалы!$G$2:$G$513,0)))</f>
        <v/>
      </c>
      <c r="C272" s="17" t="str">
        <f>IF(K272="","",INDEX(Интервалы!$C$2:$C$513,MATCH(K272,Интервалы!$G$2:$G$513,0)))</f>
        <v/>
      </c>
      <c r="D272" s="17" t="str">
        <f>IF(K272="","",INDEX(Интервалы!$D$2:$D$513,MATCH(K272,Интервалы!$G$2:$G$513,0)))</f>
        <v/>
      </c>
      <c r="E272" s="4" t="str">
        <f t="shared" si="4"/>
        <v/>
      </c>
      <c r="F272" s="8" t="str">
        <f>IF(K272="","",INDEX(Интервалы!$E$2:$E$513,MATCH(K272,Интервалы!$G$2:$G$513,0)))</f>
        <v/>
      </c>
      <c r="G272" s="18" t="str">
        <f>IF(K272="","",IF(H272=1,INDEX('По дням'!$B$2:$B$4000,MATCH(C272,'По дням'!$A$2:$A$4000,0)),"по периодам ставки"))</f>
        <v/>
      </c>
      <c r="H272" s="4" t="str">
        <f>IF(K272="","",INDEX(Интервалы!$I$2:$I$513,MATCH(K272,Интервалы!$G$2:$G$513,0)))</f>
        <v/>
      </c>
      <c r="I272" s="8" t="str">
        <f>IF(K272="","",INDEX(Интервалы!$F$2:$F$513,MATCH(K272,Интервалы!$G$2:$G$513,0)))</f>
        <v/>
      </c>
      <c r="J272" s="8" t="str">
        <f>IF(K272="","",INDEX(Интервалы!$H$2:$H$513,MATCH(K272,Интервалы!$G$2:$G$513,0)))</f>
        <v/>
      </c>
      <c r="K272" t="str">
        <f>IFERROR(SMALL(Интервалы!$G$2:$G$513,266),"")</f>
        <v/>
      </c>
      <c r="L272" t="str">
        <f>IF(K272="","",INDEX(Интервалы!$B$2:$B$513,MATCH(K272,Интервалы!$G$2:$G$513,0)))</f>
        <v/>
      </c>
    </row>
    <row r="273" spans="1:12" x14ac:dyDescent="0.3">
      <c r="A273" s="4" t="str">
        <f>IF(K273="","",267)</f>
        <v/>
      </c>
      <c r="B273" s="4" t="str">
        <f>IF(K273="","",INDEX(Интервалы!$A$2:$A$513,MATCH(K273,Интервалы!$G$2:$G$513,0)))</f>
        <v/>
      </c>
      <c r="C273" s="17" t="str">
        <f>IF(K273="","",INDEX(Интервалы!$C$2:$C$513,MATCH(K273,Интервалы!$G$2:$G$513,0)))</f>
        <v/>
      </c>
      <c r="D273" s="17" t="str">
        <f>IF(K273="","",INDEX(Интервалы!$D$2:$D$513,MATCH(K273,Интервалы!$G$2:$G$513,0)))</f>
        <v/>
      </c>
      <c r="E273" s="4" t="str">
        <f t="shared" si="4"/>
        <v/>
      </c>
      <c r="F273" s="8" t="str">
        <f>IF(K273="","",INDEX(Интервалы!$E$2:$E$513,MATCH(K273,Интервалы!$G$2:$G$513,0)))</f>
        <v/>
      </c>
      <c r="G273" s="18" t="str">
        <f>IF(K273="","",IF(H273=1,INDEX('По дням'!$B$2:$B$4000,MATCH(C273,'По дням'!$A$2:$A$4000,0)),"по периодам ставки"))</f>
        <v/>
      </c>
      <c r="H273" s="4" t="str">
        <f>IF(K273="","",INDEX(Интервалы!$I$2:$I$513,MATCH(K273,Интервалы!$G$2:$G$513,0)))</f>
        <v/>
      </c>
      <c r="I273" s="8" t="str">
        <f>IF(K273="","",INDEX(Интервалы!$F$2:$F$513,MATCH(K273,Интервалы!$G$2:$G$513,0)))</f>
        <v/>
      </c>
      <c r="J273" s="8" t="str">
        <f>IF(K273="","",INDEX(Интервалы!$H$2:$H$513,MATCH(K273,Интервалы!$G$2:$G$513,0)))</f>
        <v/>
      </c>
      <c r="K273" t="str">
        <f>IFERROR(SMALL(Интервалы!$G$2:$G$513,267),"")</f>
        <v/>
      </c>
      <c r="L273" t="str">
        <f>IF(K273="","",INDEX(Интервалы!$B$2:$B$513,MATCH(K273,Интервалы!$G$2:$G$513,0)))</f>
        <v/>
      </c>
    </row>
    <row r="274" spans="1:12" x14ac:dyDescent="0.3">
      <c r="A274" s="4" t="str">
        <f>IF(K274="","",268)</f>
        <v/>
      </c>
      <c r="B274" s="4" t="str">
        <f>IF(K274="","",INDEX(Интервалы!$A$2:$A$513,MATCH(K274,Интервалы!$G$2:$G$513,0)))</f>
        <v/>
      </c>
      <c r="C274" s="17" t="str">
        <f>IF(K274="","",INDEX(Интервалы!$C$2:$C$513,MATCH(K274,Интервалы!$G$2:$G$513,0)))</f>
        <v/>
      </c>
      <c r="D274" s="17" t="str">
        <f>IF(K274="","",INDEX(Интервалы!$D$2:$D$513,MATCH(K274,Интервалы!$G$2:$G$513,0)))</f>
        <v/>
      </c>
      <c r="E274" s="4" t="str">
        <f t="shared" si="4"/>
        <v/>
      </c>
      <c r="F274" s="8" t="str">
        <f>IF(K274="","",INDEX(Интервалы!$E$2:$E$513,MATCH(K274,Интервалы!$G$2:$G$513,0)))</f>
        <v/>
      </c>
      <c r="G274" s="18" t="str">
        <f>IF(K274="","",IF(H274=1,INDEX('По дням'!$B$2:$B$4000,MATCH(C274,'По дням'!$A$2:$A$4000,0)),"по периодам ставки"))</f>
        <v/>
      </c>
      <c r="H274" s="4" t="str">
        <f>IF(K274="","",INDEX(Интервалы!$I$2:$I$513,MATCH(K274,Интервалы!$G$2:$G$513,0)))</f>
        <v/>
      </c>
      <c r="I274" s="8" t="str">
        <f>IF(K274="","",INDEX(Интервалы!$F$2:$F$513,MATCH(K274,Интервалы!$G$2:$G$513,0)))</f>
        <v/>
      </c>
      <c r="J274" s="8" t="str">
        <f>IF(K274="","",INDEX(Интервалы!$H$2:$H$513,MATCH(K274,Интервалы!$G$2:$G$513,0)))</f>
        <v/>
      </c>
      <c r="K274" t="str">
        <f>IFERROR(SMALL(Интервалы!$G$2:$G$513,268),"")</f>
        <v/>
      </c>
      <c r="L274" t="str">
        <f>IF(K274="","",INDEX(Интервалы!$B$2:$B$513,MATCH(K274,Интервалы!$G$2:$G$513,0)))</f>
        <v/>
      </c>
    </row>
    <row r="275" spans="1:12" x14ac:dyDescent="0.3">
      <c r="A275" s="4" t="str">
        <f>IF(K275="","",269)</f>
        <v/>
      </c>
      <c r="B275" s="4" t="str">
        <f>IF(K275="","",INDEX(Интервалы!$A$2:$A$513,MATCH(K275,Интервалы!$G$2:$G$513,0)))</f>
        <v/>
      </c>
      <c r="C275" s="17" t="str">
        <f>IF(K275="","",INDEX(Интервалы!$C$2:$C$513,MATCH(K275,Интервалы!$G$2:$G$513,0)))</f>
        <v/>
      </c>
      <c r="D275" s="17" t="str">
        <f>IF(K275="","",INDEX(Интервалы!$D$2:$D$513,MATCH(K275,Интервалы!$G$2:$G$513,0)))</f>
        <v/>
      </c>
      <c r="E275" s="4" t="str">
        <f t="shared" si="4"/>
        <v/>
      </c>
      <c r="F275" s="8" t="str">
        <f>IF(K275="","",INDEX(Интервалы!$E$2:$E$513,MATCH(K275,Интервалы!$G$2:$G$513,0)))</f>
        <v/>
      </c>
      <c r="G275" s="18" t="str">
        <f>IF(K275="","",IF(H275=1,INDEX('По дням'!$B$2:$B$4000,MATCH(C275,'По дням'!$A$2:$A$4000,0)),"по периодам ставки"))</f>
        <v/>
      </c>
      <c r="H275" s="4" t="str">
        <f>IF(K275="","",INDEX(Интервалы!$I$2:$I$513,MATCH(K275,Интервалы!$G$2:$G$513,0)))</f>
        <v/>
      </c>
      <c r="I275" s="8" t="str">
        <f>IF(K275="","",INDEX(Интервалы!$F$2:$F$513,MATCH(K275,Интервалы!$G$2:$G$513,0)))</f>
        <v/>
      </c>
      <c r="J275" s="8" t="str">
        <f>IF(K275="","",INDEX(Интервалы!$H$2:$H$513,MATCH(K275,Интервалы!$G$2:$G$513,0)))</f>
        <v/>
      </c>
      <c r="K275" t="str">
        <f>IFERROR(SMALL(Интервалы!$G$2:$G$513,269),"")</f>
        <v/>
      </c>
      <c r="L275" t="str">
        <f>IF(K275="","",INDEX(Интервалы!$B$2:$B$513,MATCH(K275,Интервалы!$G$2:$G$513,0)))</f>
        <v/>
      </c>
    </row>
    <row r="276" spans="1:12" x14ac:dyDescent="0.3">
      <c r="A276" s="4" t="str">
        <f>IF(K276="","",270)</f>
        <v/>
      </c>
      <c r="B276" s="4" t="str">
        <f>IF(K276="","",INDEX(Интервалы!$A$2:$A$513,MATCH(K276,Интервалы!$G$2:$G$513,0)))</f>
        <v/>
      </c>
      <c r="C276" s="17" t="str">
        <f>IF(K276="","",INDEX(Интервалы!$C$2:$C$513,MATCH(K276,Интервалы!$G$2:$G$513,0)))</f>
        <v/>
      </c>
      <c r="D276" s="17" t="str">
        <f>IF(K276="","",INDEX(Интервалы!$D$2:$D$513,MATCH(K276,Интервалы!$G$2:$G$513,0)))</f>
        <v/>
      </c>
      <c r="E276" s="4" t="str">
        <f t="shared" si="4"/>
        <v/>
      </c>
      <c r="F276" s="8" t="str">
        <f>IF(K276="","",INDEX(Интервалы!$E$2:$E$513,MATCH(K276,Интервалы!$G$2:$G$513,0)))</f>
        <v/>
      </c>
      <c r="G276" s="18" t="str">
        <f>IF(K276="","",IF(H276=1,INDEX('По дням'!$B$2:$B$4000,MATCH(C276,'По дням'!$A$2:$A$4000,0)),"по периодам ставки"))</f>
        <v/>
      </c>
      <c r="H276" s="4" t="str">
        <f>IF(K276="","",INDEX(Интервалы!$I$2:$I$513,MATCH(K276,Интервалы!$G$2:$G$513,0)))</f>
        <v/>
      </c>
      <c r="I276" s="8" t="str">
        <f>IF(K276="","",INDEX(Интервалы!$F$2:$F$513,MATCH(K276,Интервалы!$G$2:$G$513,0)))</f>
        <v/>
      </c>
      <c r="J276" s="8" t="str">
        <f>IF(K276="","",INDEX(Интервалы!$H$2:$H$513,MATCH(K276,Интервалы!$G$2:$G$513,0)))</f>
        <v/>
      </c>
      <c r="K276" t="str">
        <f>IFERROR(SMALL(Интервалы!$G$2:$G$513,270),"")</f>
        <v/>
      </c>
      <c r="L276" t="str">
        <f>IF(K276="","",INDEX(Интервалы!$B$2:$B$513,MATCH(K276,Интервалы!$G$2:$G$513,0)))</f>
        <v/>
      </c>
    </row>
    <row r="277" spans="1:12" x14ac:dyDescent="0.3">
      <c r="A277" s="4" t="str">
        <f>IF(K277="","",271)</f>
        <v/>
      </c>
      <c r="B277" s="4" t="str">
        <f>IF(K277="","",INDEX(Интервалы!$A$2:$A$513,MATCH(K277,Интервалы!$G$2:$G$513,0)))</f>
        <v/>
      </c>
      <c r="C277" s="17" t="str">
        <f>IF(K277="","",INDEX(Интервалы!$C$2:$C$513,MATCH(K277,Интервалы!$G$2:$G$513,0)))</f>
        <v/>
      </c>
      <c r="D277" s="17" t="str">
        <f>IF(K277="","",INDEX(Интервалы!$D$2:$D$513,MATCH(K277,Интервалы!$G$2:$G$513,0)))</f>
        <v/>
      </c>
      <c r="E277" s="4" t="str">
        <f t="shared" si="4"/>
        <v/>
      </c>
      <c r="F277" s="8" t="str">
        <f>IF(K277="","",INDEX(Интервалы!$E$2:$E$513,MATCH(K277,Интервалы!$G$2:$G$513,0)))</f>
        <v/>
      </c>
      <c r="G277" s="18" t="str">
        <f>IF(K277="","",IF(H277=1,INDEX('По дням'!$B$2:$B$4000,MATCH(C277,'По дням'!$A$2:$A$4000,0)),"по периодам ставки"))</f>
        <v/>
      </c>
      <c r="H277" s="4" t="str">
        <f>IF(K277="","",INDEX(Интервалы!$I$2:$I$513,MATCH(K277,Интервалы!$G$2:$G$513,0)))</f>
        <v/>
      </c>
      <c r="I277" s="8" t="str">
        <f>IF(K277="","",INDEX(Интервалы!$F$2:$F$513,MATCH(K277,Интервалы!$G$2:$G$513,0)))</f>
        <v/>
      </c>
      <c r="J277" s="8" t="str">
        <f>IF(K277="","",INDEX(Интервалы!$H$2:$H$513,MATCH(K277,Интервалы!$G$2:$G$513,0)))</f>
        <v/>
      </c>
      <c r="K277" t="str">
        <f>IFERROR(SMALL(Интервалы!$G$2:$G$513,271),"")</f>
        <v/>
      </c>
      <c r="L277" t="str">
        <f>IF(K277="","",INDEX(Интервалы!$B$2:$B$513,MATCH(K277,Интервалы!$G$2:$G$513,0)))</f>
        <v/>
      </c>
    </row>
    <row r="278" spans="1:12" x14ac:dyDescent="0.3">
      <c r="A278" s="4" t="str">
        <f>IF(K278="","",272)</f>
        <v/>
      </c>
      <c r="B278" s="4" t="str">
        <f>IF(K278="","",INDEX(Интервалы!$A$2:$A$513,MATCH(K278,Интервалы!$G$2:$G$513,0)))</f>
        <v/>
      </c>
      <c r="C278" s="17" t="str">
        <f>IF(K278="","",INDEX(Интервалы!$C$2:$C$513,MATCH(K278,Интервалы!$G$2:$G$513,0)))</f>
        <v/>
      </c>
      <c r="D278" s="17" t="str">
        <f>IF(K278="","",INDEX(Интервалы!$D$2:$D$513,MATCH(K278,Интервалы!$G$2:$G$513,0)))</f>
        <v/>
      </c>
      <c r="E278" s="4" t="str">
        <f t="shared" si="4"/>
        <v/>
      </c>
      <c r="F278" s="8" t="str">
        <f>IF(K278="","",INDEX(Интервалы!$E$2:$E$513,MATCH(K278,Интервалы!$G$2:$G$513,0)))</f>
        <v/>
      </c>
      <c r="G278" s="18" t="str">
        <f>IF(K278="","",IF(H278=1,INDEX('По дням'!$B$2:$B$4000,MATCH(C278,'По дням'!$A$2:$A$4000,0)),"по периодам ставки"))</f>
        <v/>
      </c>
      <c r="H278" s="4" t="str">
        <f>IF(K278="","",INDEX(Интервалы!$I$2:$I$513,MATCH(K278,Интервалы!$G$2:$G$513,0)))</f>
        <v/>
      </c>
      <c r="I278" s="8" t="str">
        <f>IF(K278="","",INDEX(Интервалы!$F$2:$F$513,MATCH(K278,Интервалы!$G$2:$G$513,0)))</f>
        <v/>
      </c>
      <c r="J278" s="8" t="str">
        <f>IF(K278="","",INDEX(Интервалы!$H$2:$H$513,MATCH(K278,Интервалы!$G$2:$G$513,0)))</f>
        <v/>
      </c>
      <c r="K278" t="str">
        <f>IFERROR(SMALL(Интервалы!$G$2:$G$513,272),"")</f>
        <v/>
      </c>
      <c r="L278" t="str">
        <f>IF(K278="","",INDEX(Интервалы!$B$2:$B$513,MATCH(K278,Интервалы!$G$2:$G$513,0)))</f>
        <v/>
      </c>
    </row>
    <row r="279" spans="1:12" x14ac:dyDescent="0.3">
      <c r="A279" s="4" t="str">
        <f>IF(K279="","",273)</f>
        <v/>
      </c>
      <c r="B279" s="4" t="str">
        <f>IF(K279="","",INDEX(Интервалы!$A$2:$A$513,MATCH(K279,Интервалы!$G$2:$G$513,0)))</f>
        <v/>
      </c>
      <c r="C279" s="17" t="str">
        <f>IF(K279="","",INDEX(Интервалы!$C$2:$C$513,MATCH(K279,Интервалы!$G$2:$G$513,0)))</f>
        <v/>
      </c>
      <c r="D279" s="17" t="str">
        <f>IF(K279="","",INDEX(Интервалы!$D$2:$D$513,MATCH(K279,Интервалы!$G$2:$G$513,0)))</f>
        <v/>
      </c>
      <c r="E279" s="4" t="str">
        <f t="shared" si="4"/>
        <v/>
      </c>
      <c r="F279" s="8" t="str">
        <f>IF(K279="","",INDEX(Интервалы!$E$2:$E$513,MATCH(K279,Интервалы!$G$2:$G$513,0)))</f>
        <v/>
      </c>
      <c r="G279" s="18" t="str">
        <f>IF(K279="","",IF(H279=1,INDEX('По дням'!$B$2:$B$4000,MATCH(C279,'По дням'!$A$2:$A$4000,0)),"по периодам ставки"))</f>
        <v/>
      </c>
      <c r="H279" s="4" t="str">
        <f>IF(K279="","",INDEX(Интервалы!$I$2:$I$513,MATCH(K279,Интервалы!$G$2:$G$513,0)))</f>
        <v/>
      </c>
      <c r="I279" s="8" t="str">
        <f>IF(K279="","",INDEX(Интервалы!$F$2:$F$513,MATCH(K279,Интервалы!$G$2:$G$513,0)))</f>
        <v/>
      </c>
      <c r="J279" s="8" t="str">
        <f>IF(K279="","",INDEX(Интервалы!$H$2:$H$513,MATCH(K279,Интервалы!$G$2:$G$513,0)))</f>
        <v/>
      </c>
      <c r="K279" t="str">
        <f>IFERROR(SMALL(Интервалы!$G$2:$G$513,273),"")</f>
        <v/>
      </c>
      <c r="L279" t="str">
        <f>IF(K279="","",INDEX(Интервалы!$B$2:$B$513,MATCH(K279,Интервалы!$G$2:$G$513,0)))</f>
        <v/>
      </c>
    </row>
    <row r="280" spans="1:12" x14ac:dyDescent="0.3">
      <c r="A280" s="4" t="str">
        <f>IF(K280="","",274)</f>
        <v/>
      </c>
      <c r="B280" s="4" t="str">
        <f>IF(K280="","",INDEX(Интервалы!$A$2:$A$513,MATCH(K280,Интервалы!$G$2:$G$513,0)))</f>
        <v/>
      </c>
      <c r="C280" s="17" t="str">
        <f>IF(K280="","",INDEX(Интервалы!$C$2:$C$513,MATCH(K280,Интервалы!$G$2:$G$513,0)))</f>
        <v/>
      </c>
      <c r="D280" s="17" t="str">
        <f>IF(K280="","",INDEX(Интервалы!$D$2:$D$513,MATCH(K280,Интервалы!$G$2:$G$513,0)))</f>
        <v/>
      </c>
      <c r="E280" s="4" t="str">
        <f t="shared" si="4"/>
        <v/>
      </c>
      <c r="F280" s="8" t="str">
        <f>IF(K280="","",INDEX(Интервалы!$E$2:$E$513,MATCH(K280,Интервалы!$G$2:$G$513,0)))</f>
        <v/>
      </c>
      <c r="G280" s="18" t="str">
        <f>IF(K280="","",IF(H280=1,INDEX('По дням'!$B$2:$B$4000,MATCH(C280,'По дням'!$A$2:$A$4000,0)),"по периодам ставки"))</f>
        <v/>
      </c>
      <c r="H280" s="4" t="str">
        <f>IF(K280="","",INDEX(Интервалы!$I$2:$I$513,MATCH(K280,Интервалы!$G$2:$G$513,0)))</f>
        <v/>
      </c>
      <c r="I280" s="8" t="str">
        <f>IF(K280="","",INDEX(Интервалы!$F$2:$F$513,MATCH(K280,Интервалы!$G$2:$G$513,0)))</f>
        <v/>
      </c>
      <c r="J280" s="8" t="str">
        <f>IF(K280="","",INDEX(Интервалы!$H$2:$H$513,MATCH(K280,Интервалы!$G$2:$G$513,0)))</f>
        <v/>
      </c>
      <c r="K280" t="str">
        <f>IFERROR(SMALL(Интервалы!$G$2:$G$513,274),"")</f>
        <v/>
      </c>
      <c r="L280" t="str">
        <f>IF(K280="","",INDEX(Интервалы!$B$2:$B$513,MATCH(K280,Интервалы!$G$2:$G$513,0)))</f>
        <v/>
      </c>
    </row>
    <row r="281" spans="1:12" x14ac:dyDescent="0.3">
      <c r="A281" s="4" t="str">
        <f>IF(K281="","",275)</f>
        <v/>
      </c>
      <c r="B281" s="4" t="str">
        <f>IF(K281="","",INDEX(Интервалы!$A$2:$A$513,MATCH(K281,Интервалы!$G$2:$G$513,0)))</f>
        <v/>
      </c>
      <c r="C281" s="17" t="str">
        <f>IF(K281="","",INDEX(Интервалы!$C$2:$C$513,MATCH(K281,Интервалы!$G$2:$G$513,0)))</f>
        <v/>
      </c>
      <c r="D281" s="17" t="str">
        <f>IF(K281="","",INDEX(Интервалы!$D$2:$D$513,MATCH(K281,Интервалы!$G$2:$G$513,0)))</f>
        <v/>
      </c>
      <c r="E281" s="4" t="str">
        <f t="shared" si="4"/>
        <v/>
      </c>
      <c r="F281" s="8" t="str">
        <f>IF(K281="","",INDEX(Интервалы!$E$2:$E$513,MATCH(K281,Интервалы!$G$2:$G$513,0)))</f>
        <v/>
      </c>
      <c r="G281" s="18" t="str">
        <f>IF(K281="","",IF(H281=1,INDEX('По дням'!$B$2:$B$4000,MATCH(C281,'По дням'!$A$2:$A$4000,0)),"по периодам ставки"))</f>
        <v/>
      </c>
      <c r="H281" s="4" t="str">
        <f>IF(K281="","",INDEX(Интервалы!$I$2:$I$513,MATCH(K281,Интервалы!$G$2:$G$513,0)))</f>
        <v/>
      </c>
      <c r="I281" s="8" t="str">
        <f>IF(K281="","",INDEX(Интервалы!$F$2:$F$513,MATCH(K281,Интервалы!$G$2:$G$513,0)))</f>
        <v/>
      </c>
      <c r="J281" s="8" t="str">
        <f>IF(K281="","",INDEX(Интервалы!$H$2:$H$513,MATCH(K281,Интервалы!$G$2:$G$513,0)))</f>
        <v/>
      </c>
      <c r="K281" t="str">
        <f>IFERROR(SMALL(Интервалы!$G$2:$G$513,275),"")</f>
        <v/>
      </c>
      <c r="L281" t="str">
        <f>IF(K281="","",INDEX(Интервалы!$B$2:$B$513,MATCH(K281,Интервалы!$G$2:$G$513,0)))</f>
        <v/>
      </c>
    </row>
    <row r="282" spans="1:12" x14ac:dyDescent="0.3">
      <c r="A282" s="4" t="str">
        <f>IF(K282="","",276)</f>
        <v/>
      </c>
      <c r="B282" s="4" t="str">
        <f>IF(K282="","",INDEX(Интервалы!$A$2:$A$513,MATCH(K282,Интервалы!$G$2:$G$513,0)))</f>
        <v/>
      </c>
      <c r="C282" s="17" t="str">
        <f>IF(K282="","",INDEX(Интервалы!$C$2:$C$513,MATCH(K282,Интервалы!$G$2:$G$513,0)))</f>
        <v/>
      </c>
      <c r="D282" s="17" t="str">
        <f>IF(K282="","",INDEX(Интервалы!$D$2:$D$513,MATCH(K282,Интервалы!$G$2:$G$513,0)))</f>
        <v/>
      </c>
      <c r="E282" s="4" t="str">
        <f t="shared" si="4"/>
        <v/>
      </c>
      <c r="F282" s="8" t="str">
        <f>IF(K282="","",INDEX(Интервалы!$E$2:$E$513,MATCH(K282,Интервалы!$G$2:$G$513,0)))</f>
        <v/>
      </c>
      <c r="G282" s="18" t="str">
        <f>IF(K282="","",IF(H282=1,INDEX('По дням'!$B$2:$B$4000,MATCH(C282,'По дням'!$A$2:$A$4000,0)),"по периодам ставки"))</f>
        <v/>
      </c>
      <c r="H282" s="4" t="str">
        <f>IF(K282="","",INDEX(Интервалы!$I$2:$I$513,MATCH(K282,Интервалы!$G$2:$G$513,0)))</f>
        <v/>
      </c>
      <c r="I282" s="8" t="str">
        <f>IF(K282="","",INDEX(Интервалы!$F$2:$F$513,MATCH(K282,Интервалы!$G$2:$G$513,0)))</f>
        <v/>
      </c>
      <c r="J282" s="8" t="str">
        <f>IF(K282="","",INDEX(Интервалы!$H$2:$H$513,MATCH(K282,Интервалы!$G$2:$G$513,0)))</f>
        <v/>
      </c>
      <c r="K282" t="str">
        <f>IFERROR(SMALL(Интервалы!$G$2:$G$513,276),"")</f>
        <v/>
      </c>
      <c r="L282" t="str">
        <f>IF(K282="","",INDEX(Интервалы!$B$2:$B$513,MATCH(K282,Интервалы!$G$2:$G$513,0)))</f>
        <v/>
      </c>
    </row>
    <row r="283" spans="1:12" x14ac:dyDescent="0.3">
      <c r="A283" s="4" t="str">
        <f>IF(K283="","",277)</f>
        <v/>
      </c>
      <c r="B283" s="4" t="str">
        <f>IF(K283="","",INDEX(Интервалы!$A$2:$A$513,MATCH(K283,Интервалы!$G$2:$G$513,0)))</f>
        <v/>
      </c>
      <c r="C283" s="17" t="str">
        <f>IF(K283="","",INDEX(Интервалы!$C$2:$C$513,MATCH(K283,Интервалы!$G$2:$G$513,0)))</f>
        <v/>
      </c>
      <c r="D283" s="17" t="str">
        <f>IF(K283="","",INDEX(Интервалы!$D$2:$D$513,MATCH(K283,Интервалы!$G$2:$G$513,0)))</f>
        <v/>
      </c>
      <c r="E283" s="4" t="str">
        <f t="shared" si="4"/>
        <v/>
      </c>
      <c r="F283" s="8" t="str">
        <f>IF(K283="","",INDEX(Интервалы!$E$2:$E$513,MATCH(K283,Интервалы!$G$2:$G$513,0)))</f>
        <v/>
      </c>
      <c r="G283" s="18" t="str">
        <f>IF(K283="","",IF(H283=1,INDEX('По дням'!$B$2:$B$4000,MATCH(C283,'По дням'!$A$2:$A$4000,0)),"по периодам ставки"))</f>
        <v/>
      </c>
      <c r="H283" s="4" t="str">
        <f>IF(K283="","",INDEX(Интервалы!$I$2:$I$513,MATCH(K283,Интервалы!$G$2:$G$513,0)))</f>
        <v/>
      </c>
      <c r="I283" s="8" t="str">
        <f>IF(K283="","",INDEX(Интервалы!$F$2:$F$513,MATCH(K283,Интервалы!$G$2:$G$513,0)))</f>
        <v/>
      </c>
      <c r="J283" s="8" t="str">
        <f>IF(K283="","",INDEX(Интервалы!$H$2:$H$513,MATCH(K283,Интервалы!$G$2:$G$513,0)))</f>
        <v/>
      </c>
      <c r="K283" t="str">
        <f>IFERROR(SMALL(Интервалы!$G$2:$G$513,277),"")</f>
        <v/>
      </c>
      <c r="L283" t="str">
        <f>IF(K283="","",INDEX(Интервалы!$B$2:$B$513,MATCH(K283,Интервалы!$G$2:$G$513,0)))</f>
        <v/>
      </c>
    </row>
    <row r="284" spans="1:12" x14ac:dyDescent="0.3">
      <c r="A284" s="4" t="str">
        <f>IF(K284="","",278)</f>
        <v/>
      </c>
      <c r="B284" s="4" t="str">
        <f>IF(K284="","",INDEX(Интервалы!$A$2:$A$513,MATCH(K284,Интервалы!$G$2:$G$513,0)))</f>
        <v/>
      </c>
      <c r="C284" s="17" t="str">
        <f>IF(K284="","",INDEX(Интервалы!$C$2:$C$513,MATCH(K284,Интервалы!$G$2:$G$513,0)))</f>
        <v/>
      </c>
      <c r="D284" s="17" t="str">
        <f>IF(K284="","",INDEX(Интервалы!$D$2:$D$513,MATCH(K284,Интервалы!$G$2:$G$513,0)))</f>
        <v/>
      </c>
      <c r="E284" s="4" t="str">
        <f t="shared" si="4"/>
        <v/>
      </c>
      <c r="F284" s="8" t="str">
        <f>IF(K284="","",INDEX(Интервалы!$E$2:$E$513,MATCH(K284,Интервалы!$G$2:$G$513,0)))</f>
        <v/>
      </c>
      <c r="G284" s="18" t="str">
        <f>IF(K284="","",IF(H284=1,INDEX('По дням'!$B$2:$B$4000,MATCH(C284,'По дням'!$A$2:$A$4000,0)),"по периодам ставки"))</f>
        <v/>
      </c>
      <c r="H284" s="4" t="str">
        <f>IF(K284="","",INDEX(Интервалы!$I$2:$I$513,MATCH(K284,Интервалы!$G$2:$G$513,0)))</f>
        <v/>
      </c>
      <c r="I284" s="8" t="str">
        <f>IF(K284="","",INDEX(Интервалы!$F$2:$F$513,MATCH(K284,Интервалы!$G$2:$G$513,0)))</f>
        <v/>
      </c>
      <c r="J284" s="8" t="str">
        <f>IF(K284="","",INDEX(Интервалы!$H$2:$H$513,MATCH(K284,Интервалы!$G$2:$G$513,0)))</f>
        <v/>
      </c>
      <c r="K284" t="str">
        <f>IFERROR(SMALL(Интервалы!$G$2:$G$513,278),"")</f>
        <v/>
      </c>
      <c r="L284" t="str">
        <f>IF(K284="","",INDEX(Интервалы!$B$2:$B$513,MATCH(K284,Интервалы!$G$2:$G$513,0)))</f>
        <v/>
      </c>
    </row>
    <row r="285" spans="1:12" x14ac:dyDescent="0.3">
      <c r="A285" s="4" t="str">
        <f>IF(K285="","",279)</f>
        <v/>
      </c>
      <c r="B285" s="4" t="str">
        <f>IF(K285="","",INDEX(Интервалы!$A$2:$A$513,MATCH(K285,Интервалы!$G$2:$G$513,0)))</f>
        <v/>
      </c>
      <c r="C285" s="17" t="str">
        <f>IF(K285="","",INDEX(Интервалы!$C$2:$C$513,MATCH(K285,Интервалы!$G$2:$G$513,0)))</f>
        <v/>
      </c>
      <c r="D285" s="17" t="str">
        <f>IF(K285="","",INDEX(Интервалы!$D$2:$D$513,MATCH(K285,Интервалы!$G$2:$G$513,0)))</f>
        <v/>
      </c>
      <c r="E285" s="4" t="str">
        <f t="shared" si="4"/>
        <v/>
      </c>
      <c r="F285" s="8" t="str">
        <f>IF(K285="","",INDEX(Интервалы!$E$2:$E$513,MATCH(K285,Интервалы!$G$2:$G$513,0)))</f>
        <v/>
      </c>
      <c r="G285" s="18" t="str">
        <f>IF(K285="","",IF(H285=1,INDEX('По дням'!$B$2:$B$4000,MATCH(C285,'По дням'!$A$2:$A$4000,0)),"по периодам ставки"))</f>
        <v/>
      </c>
      <c r="H285" s="4" t="str">
        <f>IF(K285="","",INDEX(Интервалы!$I$2:$I$513,MATCH(K285,Интервалы!$G$2:$G$513,0)))</f>
        <v/>
      </c>
      <c r="I285" s="8" t="str">
        <f>IF(K285="","",INDEX(Интервалы!$F$2:$F$513,MATCH(K285,Интервалы!$G$2:$G$513,0)))</f>
        <v/>
      </c>
      <c r="J285" s="8" t="str">
        <f>IF(K285="","",INDEX(Интервалы!$H$2:$H$513,MATCH(K285,Интервалы!$G$2:$G$513,0)))</f>
        <v/>
      </c>
      <c r="K285" t="str">
        <f>IFERROR(SMALL(Интервалы!$G$2:$G$513,279),"")</f>
        <v/>
      </c>
      <c r="L285" t="str">
        <f>IF(K285="","",INDEX(Интервалы!$B$2:$B$513,MATCH(K285,Интервалы!$G$2:$G$513,0)))</f>
        <v/>
      </c>
    </row>
    <row r="286" spans="1:12" x14ac:dyDescent="0.3">
      <c r="A286" s="4" t="str">
        <f>IF(K286="","",280)</f>
        <v/>
      </c>
      <c r="B286" s="4" t="str">
        <f>IF(K286="","",INDEX(Интервалы!$A$2:$A$513,MATCH(K286,Интервалы!$G$2:$G$513,0)))</f>
        <v/>
      </c>
      <c r="C286" s="17" t="str">
        <f>IF(K286="","",INDEX(Интервалы!$C$2:$C$513,MATCH(K286,Интервалы!$G$2:$G$513,0)))</f>
        <v/>
      </c>
      <c r="D286" s="17" t="str">
        <f>IF(K286="","",INDEX(Интервалы!$D$2:$D$513,MATCH(K286,Интервалы!$G$2:$G$513,0)))</f>
        <v/>
      </c>
      <c r="E286" s="4" t="str">
        <f t="shared" si="4"/>
        <v/>
      </c>
      <c r="F286" s="8" t="str">
        <f>IF(K286="","",INDEX(Интервалы!$E$2:$E$513,MATCH(K286,Интервалы!$G$2:$G$513,0)))</f>
        <v/>
      </c>
      <c r="G286" s="18" t="str">
        <f>IF(K286="","",IF(H286=1,INDEX('По дням'!$B$2:$B$4000,MATCH(C286,'По дням'!$A$2:$A$4000,0)),"по периодам ставки"))</f>
        <v/>
      </c>
      <c r="H286" s="4" t="str">
        <f>IF(K286="","",INDEX(Интервалы!$I$2:$I$513,MATCH(K286,Интервалы!$G$2:$G$513,0)))</f>
        <v/>
      </c>
      <c r="I286" s="8" t="str">
        <f>IF(K286="","",INDEX(Интервалы!$F$2:$F$513,MATCH(K286,Интервалы!$G$2:$G$513,0)))</f>
        <v/>
      </c>
      <c r="J286" s="8" t="str">
        <f>IF(K286="","",INDEX(Интервалы!$H$2:$H$513,MATCH(K286,Интервалы!$G$2:$G$513,0)))</f>
        <v/>
      </c>
      <c r="K286" t="str">
        <f>IFERROR(SMALL(Интервалы!$G$2:$G$513,280),"")</f>
        <v/>
      </c>
      <c r="L286" t="str">
        <f>IF(K286="","",INDEX(Интервалы!$B$2:$B$513,MATCH(K286,Интервалы!$G$2:$G$513,0)))</f>
        <v/>
      </c>
    </row>
    <row r="287" spans="1:12" x14ac:dyDescent="0.3">
      <c r="A287" s="4" t="str">
        <f>IF(K287="","",281)</f>
        <v/>
      </c>
      <c r="B287" s="4" t="str">
        <f>IF(K287="","",INDEX(Интервалы!$A$2:$A$513,MATCH(K287,Интервалы!$G$2:$G$513,0)))</f>
        <v/>
      </c>
      <c r="C287" s="17" t="str">
        <f>IF(K287="","",INDEX(Интервалы!$C$2:$C$513,MATCH(K287,Интервалы!$G$2:$G$513,0)))</f>
        <v/>
      </c>
      <c r="D287" s="17" t="str">
        <f>IF(K287="","",INDEX(Интервалы!$D$2:$D$513,MATCH(K287,Интервалы!$G$2:$G$513,0)))</f>
        <v/>
      </c>
      <c r="E287" s="4" t="str">
        <f t="shared" si="4"/>
        <v/>
      </c>
      <c r="F287" s="8" t="str">
        <f>IF(K287="","",INDEX(Интервалы!$E$2:$E$513,MATCH(K287,Интервалы!$G$2:$G$513,0)))</f>
        <v/>
      </c>
      <c r="G287" s="18" t="str">
        <f>IF(K287="","",IF(H287=1,INDEX('По дням'!$B$2:$B$4000,MATCH(C287,'По дням'!$A$2:$A$4000,0)),"по периодам ставки"))</f>
        <v/>
      </c>
      <c r="H287" s="4" t="str">
        <f>IF(K287="","",INDEX(Интервалы!$I$2:$I$513,MATCH(K287,Интервалы!$G$2:$G$513,0)))</f>
        <v/>
      </c>
      <c r="I287" s="8" t="str">
        <f>IF(K287="","",INDEX(Интервалы!$F$2:$F$513,MATCH(K287,Интервалы!$G$2:$G$513,0)))</f>
        <v/>
      </c>
      <c r="J287" s="8" t="str">
        <f>IF(K287="","",INDEX(Интервалы!$H$2:$H$513,MATCH(K287,Интервалы!$G$2:$G$513,0)))</f>
        <v/>
      </c>
      <c r="K287" t="str">
        <f>IFERROR(SMALL(Интервалы!$G$2:$G$513,281),"")</f>
        <v/>
      </c>
      <c r="L287" t="str">
        <f>IF(K287="","",INDEX(Интервалы!$B$2:$B$513,MATCH(K287,Интервалы!$G$2:$G$513,0)))</f>
        <v/>
      </c>
    </row>
    <row r="288" spans="1:12" x14ac:dyDescent="0.3">
      <c r="A288" s="4" t="str">
        <f>IF(K288="","",282)</f>
        <v/>
      </c>
      <c r="B288" s="4" t="str">
        <f>IF(K288="","",INDEX(Интервалы!$A$2:$A$513,MATCH(K288,Интервалы!$G$2:$G$513,0)))</f>
        <v/>
      </c>
      <c r="C288" s="17" t="str">
        <f>IF(K288="","",INDEX(Интервалы!$C$2:$C$513,MATCH(K288,Интервалы!$G$2:$G$513,0)))</f>
        <v/>
      </c>
      <c r="D288" s="17" t="str">
        <f>IF(K288="","",INDEX(Интервалы!$D$2:$D$513,MATCH(K288,Интервалы!$G$2:$G$513,0)))</f>
        <v/>
      </c>
      <c r="E288" s="4" t="str">
        <f t="shared" si="4"/>
        <v/>
      </c>
      <c r="F288" s="8" t="str">
        <f>IF(K288="","",INDEX(Интервалы!$E$2:$E$513,MATCH(K288,Интервалы!$G$2:$G$513,0)))</f>
        <v/>
      </c>
      <c r="G288" s="18" t="str">
        <f>IF(K288="","",IF(H288=1,INDEX('По дням'!$B$2:$B$4000,MATCH(C288,'По дням'!$A$2:$A$4000,0)),"по периодам ставки"))</f>
        <v/>
      </c>
      <c r="H288" s="4" t="str">
        <f>IF(K288="","",INDEX(Интервалы!$I$2:$I$513,MATCH(K288,Интервалы!$G$2:$G$513,0)))</f>
        <v/>
      </c>
      <c r="I288" s="8" t="str">
        <f>IF(K288="","",INDEX(Интервалы!$F$2:$F$513,MATCH(K288,Интервалы!$G$2:$G$513,0)))</f>
        <v/>
      </c>
      <c r="J288" s="8" t="str">
        <f>IF(K288="","",INDEX(Интервалы!$H$2:$H$513,MATCH(K288,Интервалы!$G$2:$G$513,0)))</f>
        <v/>
      </c>
      <c r="K288" t="str">
        <f>IFERROR(SMALL(Интервалы!$G$2:$G$513,282),"")</f>
        <v/>
      </c>
      <c r="L288" t="str">
        <f>IF(K288="","",INDEX(Интервалы!$B$2:$B$513,MATCH(K288,Интервалы!$G$2:$G$513,0)))</f>
        <v/>
      </c>
    </row>
    <row r="289" spans="1:12" x14ac:dyDescent="0.3">
      <c r="A289" s="4" t="str">
        <f>IF(K289="","",283)</f>
        <v/>
      </c>
      <c r="B289" s="4" t="str">
        <f>IF(K289="","",INDEX(Интервалы!$A$2:$A$513,MATCH(K289,Интервалы!$G$2:$G$513,0)))</f>
        <v/>
      </c>
      <c r="C289" s="17" t="str">
        <f>IF(K289="","",INDEX(Интервалы!$C$2:$C$513,MATCH(K289,Интервалы!$G$2:$G$513,0)))</f>
        <v/>
      </c>
      <c r="D289" s="17" t="str">
        <f>IF(K289="","",INDEX(Интервалы!$D$2:$D$513,MATCH(K289,Интервалы!$G$2:$G$513,0)))</f>
        <v/>
      </c>
      <c r="E289" s="4" t="str">
        <f t="shared" si="4"/>
        <v/>
      </c>
      <c r="F289" s="8" t="str">
        <f>IF(K289="","",INDEX(Интервалы!$E$2:$E$513,MATCH(K289,Интервалы!$G$2:$G$513,0)))</f>
        <v/>
      </c>
      <c r="G289" s="18" t="str">
        <f>IF(K289="","",IF(H289=1,INDEX('По дням'!$B$2:$B$4000,MATCH(C289,'По дням'!$A$2:$A$4000,0)),"по периодам ставки"))</f>
        <v/>
      </c>
      <c r="H289" s="4" t="str">
        <f>IF(K289="","",INDEX(Интервалы!$I$2:$I$513,MATCH(K289,Интервалы!$G$2:$G$513,0)))</f>
        <v/>
      </c>
      <c r="I289" s="8" t="str">
        <f>IF(K289="","",INDEX(Интервалы!$F$2:$F$513,MATCH(K289,Интервалы!$G$2:$G$513,0)))</f>
        <v/>
      </c>
      <c r="J289" s="8" t="str">
        <f>IF(K289="","",INDEX(Интервалы!$H$2:$H$513,MATCH(K289,Интервалы!$G$2:$G$513,0)))</f>
        <v/>
      </c>
      <c r="K289" t="str">
        <f>IFERROR(SMALL(Интервалы!$G$2:$G$513,283),"")</f>
        <v/>
      </c>
      <c r="L289" t="str">
        <f>IF(K289="","",INDEX(Интервалы!$B$2:$B$513,MATCH(K289,Интервалы!$G$2:$G$513,0)))</f>
        <v/>
      </c>
    </row>
    <row r="290" spans="1:12" x14ac:dyDescent="0.3">
      <c r="A290" s="4" t="str">
        <f>IF(K290="","",284)</f>
        <v/>
      </c>
      <c r="B290" s="4" t="str">
        <f>IF(K290="","",INDEX(Интервалы!$A$2:$A$513,MATCH(K290,Интервалы!$G$2:$G$513,0)))</f>
        <v/>
      </c>
      <c r="C290" s="17" t="str">
        <f>IF(K290="","",INDEX(Интервалы!$C$2:$C$513,MATCH(K290,Интервалы!$G$2:$G$513,0)))</f>
        <v/>
      </c>
      <c r="D290" s="17" t="str">
        <f>IF(K290="","",INDEX(Интервалы!$D$2:$D$513,MATCH(K290,Интервалы!$G$2:$G$513,0)))</f>
        <v/>
      </c>
      <c r="E290" s="4" t="str">
        <f t="shared" si="4"/>
        <v/>
      </c>
      <c r="F290" s="8" t="str">
        <f>IF(K290="","",INDEX(Интервалы!$E$2:$E$513,MATCH(K290,Интервалы!$G$2:$G$513,0)))</f>
        <v/>
      </c>
      <c r="G290" s="18" t="str">
        <f>IF(K290="","",IF(H290=1,INDEX('По дням'!$B$2:$B$4000,MATCH(C290,'По дням'!$A$2:$A$4000,0)),"по периодам ставки"))</f>
        <v/>
      </c>
      <c r="H290" s="4" t="str">
        <f>IF(K290="","",INDEX(Интервалы!$I$2:$I$513,MATCH(K290,Интервалы!$G$2:$G$513,0)))</f>
        <v/>
      </c>
      <c r="I290" s="8" t="str">
        <f>IF(K290="","",INDEX(Интервалы!$F$2:$F$513,MATCH(K290,Интервалы!$G$2:$G$513,0)))</f>
        <v/>
      </c>
      <c r="J290" s="8" t="str">
        <f>IF(K290="","",INDEX(Интервалы!$H$2:$H$513,MATCH(K290,Интервалы!$G$2:$G$513,0)))</f>
        <v/>
      </c>
      <c r="K290" t="str">
        <f>IFERROR(SMALL(Интервалы!$G$2:$G$513,284),"")</f>
        <v/>
      </c>
      <c r="L290" t="str">
        <f>IF(K290="","",INDEX(Интервалы!$B$2:$B$513,MATCH(K290,Интервалы!$G$2:$G$513,0)))</f>
        <v/>
      </c>
    </row>
    <row r="291" spans="1:12" x14ac:dyDescent="0.3">
      <c r="A291" s="4" t="str">
        <f>IF(K291="","",285)</f>
        <v/>
      </c>
      <c r="B291" s="4" t="str">
        <f>IF(K291="","",INDEX(Интервалы!$A$2:$A$513,MATCH(K291,Интервалы!$G$2:$G$513,0)))</f>
        <v/>
      </c>
      <c r="C291" s="17" t="str">
        <f>IF(K291="","",INDEX(Интервалы!$C$2:$C$513,MATCH(K291,Интервалы!$G$2:$G$513,0)))</f>
        <v/>
      </c>
      <c r="D291" s="17" t="str">
        <f>IF(K291="","",INDEX(Интервалы!$D$2:$D$513,MATCH(K291,Интервалы!$G$2:$G$513,0)))</f>
        <v/>
      </c>
      <c r="E291" s="4" t="str">
        <f t="shared" si="4"/>
        <v/>
      </c>
      <c r="F291" s="8" t="str">
        <f>IF(K291="","",INDEX(Интервалы!$E$2:$E$513,MATCH(K291,Интервалы!$G$2:$G$513,0)))</f>
        <v/>
      </c>
      <c r="G291" s="18" t="str">
        <f>IF(K291="","",IF(H291=1,INDEX('По дням'!$B$2:$B$4000,MATCH(C291,'По дням'!$A$2:$A$4000,0)),"по периодам ставки"))</f>
        <v/>
      </c>
      <c r="H291" s="4" t="str">
        <f>IF(K291="","",INDEX(Интервалы!$I$2:$I$513,MATCH(K291,Интервалы!$G$2:$G$513,0)))</f>
        <v/>
      </c>
      <c r="I291" s="8" t="str">
        <f>IF(K291="","",INDEX(Интервалы!$F$2:$F$513,MATCH(K291,Интервалы!$G$2:$G$513,0)))</f>
        <v/>
      </c>
      <c r="J291" s="8" t="str">
        <f>IF(K291="","",INDEX(Интервалы!$H$2:$H$513,MATCH(K291,Интервалы!$G$2:$G$513,0)))</f>
        <v/>
      </c>
      <c r="K291" t="str">
        <f>IFERROR(SMALL(Интервалы!$G$2:$G$513,285),"")</f>
        <v/>
      </c>
      <c r="L291" t="str">
        <f>IF(K291="","",INDEX(Интервалы!$B$2:$B$513,MATCH(K291,Интервалы!$G$2:$G$513,0)))</f>
        <v/>
      </c>
    </row>
    <row r="292" spans="1:12" x14ac:dyDescent="0.3">
      <c r="A292" s="4" t="str">
        <f>IF(K292="","",286)</f>
        <v/>
      </c>
      <c r="B292" s="4" t="str">
        <f>IF(K292="","",INDEX(Интервалы!$A$2:$A$513,MATCH(K292,Интервалы!$G$2:$G$513,0)))</f>
        <v/>
      </c>
      <c r="C292" s="17" t="str">
        <f>IF(K292="","",INDEX(Интервалы!$C$2:$C$513,MATCH(K292,Интервалы!$G$2:$G$513,0)))</f>
        <v/>
      </c>
      <c r="D292" s="17" t="str">
        <f>IF(K292="","",INDEX(Интервалы!$D$2:$D$513,MATCH(K292,Интервалы!$G$2:$G$513,0)))</f>
        <v/>
      </c>
      <c r="E292" s="4" t="str">
        <f t="shared" si="4"/>
        <v/>
      </c>
      <c r="F292" s="8" t="str">
        <f>IF(K292="","",INDEX(Интервалы!$E$2:$E$513,MATCH(K292,Интервалы!$G$2:$G$513,0)))</f>
        <v/>
      </c>
      <c r="G292" s="18" t="str">
        <f>IF(K292="","",IF(H292=1,INDEX('По дням'!$B$2:$B$4000,MATCH(C292,'По дням'!$A$2:$A$4000,0)),"по периодам ставки"))</f>
        <v/>
      </c>
      <c r="H292" s="4" t="str">
        <f>IF(K292="","",INDEX(Интервалы!$I$2:$I$513,MATCH(K292,Интервалы!$G$2:$G$513,0)))</f>
        <v/>
      </c>
      <c r="I292" s="8" t="str">
        <f>IF(K292="","",INDEX(Интервалы!$F$2:$F$513,MATCH(K292,Интервалы!$G$2:$G$513,0)))</f>
        <v/>
      </c>
      <c r="J292" s="8" t="str">
        <f>IF(K292="","",INDEX(Интервалы!$H$2:$H$513,MATCH(K292,Интервалы!$G$2:$G$513,0)))</f>
        <v/>
      </c>
      <c r="K292" t="str">
        <f>IFERROR(SMALL(Интервалы!$G$2:$G$513,286),"")</f>
        <v/>
      </c>
      <c r="L292" t="str">
        <f>IF(K292="","",INDEX(Интервалы!$B$2:$B$513,MATCH(K292,Интервалы!$G$2:$G$513,0)))</f>
        <v/>
      </c>
    </row>
    <row r="293" spans="1:12" x14ac:dyDescent="0.3">
      <c r="A293" s="4" t="str">
        <f>IF(K293="","",287)</f>
        <v/>
      </c>
      <c r="B293" s="4" t="str">
        <f>IF(K293="","",INDEX(Интервалы!$A$2:$A$513,MATCH(K293,Интервалы!$G$2:$G$513,0)))</f>
        <v/>
      </c>
      <c r="C293" s="17" t="str">
        <f>IF(K293="","",INDEX(Интервалы!$C$2:$C$513,MATCH(K293,Интервалы!$G$2:$G$513,0)))</f>
        <v/>
      </c>
      <c r="D293" s="17" t="str">
        <f>IF(K293="","",INDEX(Интервалы!$D$2:$D$513,MATCH(K293,Интервалы!$G$2:$G$513,0)))</f>
        <v/>
      </c>
      <c r="E293" s="4" t="str">
        <f t="shared" si="4"/>
        <v/>
      </c>
      <c r="F293" s="8" t="str">
        <f>IF(K293="","",INDEX(Интервалы!$E$2:$E$513,MATCH(K293,Интервалы!$G$2:$G$513,0)))</f>
        <v/>
      </c>
      <c r="G293" s="18" t="str">
        <f>IF(K293="","",IF(H293=1,INDEX('По дням'!$B$2:$B$4000,MATCH(C293,'По дням'!$A$2:$A$4000,0)),"по периодам ставки"))</f>
        <v/>
      </c>
      <c r="H293" s="4" t="str">
        <f>IF(K293="","",INDEX(Интервалы!$I$2:$I$513,MATCH(K293,Интервалы!$G$2:$G$513,0)))</f>
        <v/>
      </c>
      <c r="I293" s="8" t="str">
        <f>IF(K293="","",INDEX(Интервалы!$F$2:$F$513,MATCH(K293,Интервалы!$G$2:$G$513,0)))</f>
        <v/>
      </c>
      <c r="J293" s="8" t="str">
        <f>IF(K293="","",INDEX(Интервалы!$H$2:$H$513,MATCH(K293,Интервалы!$G$2:$G$513,0)))</f>
        <v/>
      </c>
      <c r="K293" t="str">
        <f>IFERROR(SMALL(Интервалы!$G$2:$G$513,287),"")</f>
        <v/>
      </c>
      <c r="L293" t="str">
        <f>IF(K293="","",INDEX(Интервалы!$B$2:$B$513,MATCH(K293,Интервалы!$G$2:$G$513,0)))</f>
        <v/>
      </c>
    </row>
    <row r="294" spans="1:12" x14ac:dyDescent="0.3">
      <c r="A294" s="4" t="str">
        <f>IF(K294="","",288)</f>
        <v/>
      </c>
      <c r="B294" s="4" t="str">
        <f>IF(K294="","",INDEX(Интервалы!$A$2:$A$513,MATCH(K294,Интервалы!$G$2:$G$513,0)))</f>
        <v/>
      </c>
      <c r="C294" s="17" t="str">
        <f>IF(K294="","",INDEX(Интервалы!$C$2:$C$513,MATCH(K294,Интервалы!$G$2:$G$513,0)))</f>
        <v/>
      </c>
      <c r="D294" s="17" t="str">
        <f>IF(K294="","",INDEX(Интервалы!$D$2:$D$513,MATCH(K294,Интервалы!$G$2:$G$513,0)))</f>
        <v/>
      </c>
      <c r="E294" s="4" t="str">
        <f t="shared" si="4"/>
        <v/>
      </c>
      <c r="F294" s="8" t="str">
        <f>IF(K294="","",INDEX(Интервалы!$E$2:$E$513,MATCH(K294,Интервалы!$G$2:$G$513,0)))</f>
        <v/>
      </c>
      <c r="G294" s="18" t="str">
        <f>IF(K294="","",IF(H294=1,INDEX('По дням'!$B$2:$B$4000,MATCH(C294,'По дням'!$A$2:$A$4000,0)),"по периодам ставки"))</f>
        <v/>
      </c>
      <c r="H294" s="4" t="str">
        <f>IF(K294="","",INDEX(Интервалы!$I$2:$I$513,MATCH(K294,Интервалы!$G$2:$G$513,0)))</f>
        <v/>
      </c>
      <c r="I294" s="8" t="str">
        <f>IF(K294="","",INDEX(Интервалы!$F$2:$F$513,MATCH(K294,Интервалы!$G$2:$G$513,0)))</f>
        <v/>
      </c>
      <c r="J294" s="8" t="str">
        <f>IF(K294="","",INDEX(Интервалы!$H$2:$H$513,MATCH(K294,Интервалы!$G$2:$G$513,0)))</f>
        <v/>
      </c>
      <c r="K294" t="str">
        <f>IFERROR(SMALL(Интервалы!$G$2:$G$513,288),"")</f>
        <v/>
      </c>
      <c r="L294" t="str">
        <f>IF(K294="","",INDEX(Интервалы!$B$2:$B$513,MATCH(K294,Интервалы!$G$2:$G$513,0)))</f>
        <v/>
      </c>
    </row>
    <row r="295" spans="1:12" x14ac:dyDescent="0.3">
      <c r="A295" s="4" t="str">
        <f>IF(K295="","",289)</f>
        <v/>
      </c>
      <c r="B295" s="4" t="str">
        <f>IF(K295="","",INDEX(Интервалы!$A$2:$A$513,MATCH(K295,Интервалы!$G$2:$G$513,0)))</f>
        <v/>
      </c>
      <c r="C295" s="17" t="str">
        <f>IF(K295="","",INDEX(Интервалы!$C$2:$C$513,MATCH(K295,Интервалы!$G$2:$G$513,0)))</f>
        <v/>
      </c>
      <c r="D295" s="17" t="str">
        <f>IF(K295="","",INDEX(Интервалы!$D$2:$D$513,MATCH(K295,Интервалы!$G$2:$G$513,0)))</f>
        <v/>
      </c>
      <c r="E295" s="4" t="str">
        <f t="shared" si="4"/>
        <v/>
      </c>
      <c r="F295" s="8" t="str">
        <f>IF(K295="","",INDEX(Интервалы!$E$2:$E$513,MATCH(K295,Интервалы!$G$2:$G$513,0)))</f>
        <v/>
      </c>
      <c r="G295" s="18" t="str">
        <f>IF(K295="","",IF(H295=1,INDEX('По дням'!$B$2:$B$4000,MATCH(C295,'По дням'!$A$2:$A$4000,0)),"по периодам ставки"))</f>
        <v/>
      </c>
      <c r="H295" s="4" t="str">
        <f>IF(K295="","",INDEX(Интервалы!$I$2:$I$513,MATCH(K295,Интервалы!$G$2:$G$513,0)))</f>
        <v/>
      </c>
      <c r="I295" s="8" t="str">
        <f>IF(K295="","",INDEX(Интервалы!$F$2:$F$513,MATCH(K295,Интервалы!$G$2:$G$513,0)))</f>
        <v/>
      </c>
      <c r="J295" s="8" t="str">
        <f>IF(K295="","",INDEX(Интервалы!$H$2:$H$513,MATCH(K295,Интервалы!$G$2:$G$513,0)))</f>
        <v/>
      </c>
      <c r="K295" t="str">
        <f>IFERROR(SMALL(Интервалы!$G$2:$G$513,289),"")</f>
        <v/>
      </c>
      <c r="L295" t="str">
        <f>IF(K295="","",INDEX(Интервалы!$B$2:$B$513,MATCH(K295,Интервалы!$G$2:$G$513,0)))</f>
        <v/>
      </c>
    </row>
    <row r="296" spans="1:12" x14ac:dyDescent="0.3">
      <c r="A296" s="4" t="str">
        <f>IF(K296="","",290)</f>
        <v/>
      </c>
      <c r="B296" s="4" t="str">
        <f>IF(K296="","",INDEX(Интервалы!$A$2:$A$513,MATCH(K296,Интервалы!$G$2:$G$513,0)))</f>
        <v/>
      </c>
      <c r="C296" s="17" t="str">
        <f>IF(K296="","",INDEX(Интервалы!$C$2:$C$513,MATCH(K296,Интервалы!$G$2:$G$513,0)))</f>
        <v/>
      </c>
      <c r="D296" s="17" t="str">
        <f>IF(K296="","",INDEX(Интервалы!$D$2:$D$513,MATCH(K296,Интервалы!$G$2:$G$513,0)))</f>
        <v/>
      </c>
      <c r="E296" s="4" t="str">
        <f t="shared" si="4"/>
        <v/>
      </c>
      <c r="F296" s="8" t="str">
        <f>IF(K296="","",INDEX(Интервалы!$E$2:$E$513,MATCH(K296,Интервалы!$G$2:$G$513,0)))</f>
        <v/>
      </c>
      <c r="G296" s="18" t="str">
        <f>IF(K296="","",IF(H296=1,INDEX('По дням'!$B$2:$B$4000,MATCH(C296,'По дням'!$A$2:$A$4000,0)),"по периодам ставки"))</f>
        <v/>
      </c>
      <c r="H296" s="4" t="str">
        <f>IF(K296="","",INDEX(Интервалы!$I$2:$I$513,MATCH(K296,Интервалы!$G$2:$G$513,0)))</f>
        <v/>
      </c>
      <c r="I296" s="8" t="str">
        <f>IF(K296="","",INDEX(Интервалы!$F$2:$F$513,MATCH(K296,Интервалы!$G$2:$G$513,0)))</f>
        <v/>
      </c>
      <c r="J296" s="8" t="str">
        <f>IF(K296="","",INDEX(Интервалы!$H$2:$H$513,MATCH(K296,Интервалы!$G$2:$G$513,0)))</f>
        <v/>
      </c>
      <c r="K296" t="str">
        <f>IFERROR(SMALL(Интервалы!$G$2:$G$513,290),"")</f>
        <v/>
      </c>
      <c r="L296" t="str">
        <f>IF(K296="","",INDEX(Интервалы!$B$2:$B$513,MATCH(K296,Интервалы!$G$2:$G$513,0)))</f>
        <v/>
      </c>
    </row>
    <row r="297" spans="1:12" x14ac:dyDescent="0.3">
      <c r="A297" s="4" t="str">
        <f>IF(K297="","",291)</f>
        <v/>
      </c>
      <c r="B297" s="4" t="str">
        <f>IF(K297="","",INDEX(Интервалы!$A$2:$A$513,MATCH(K297,Интервалы!$G$2:$G$513,0)))</f>
        <v/>
      </c>
      <c r="C297" s="17" t="str">
        <f>IF(K297="","",INDEX(Интервалы!$C$2:$C$513,MATCH(K297,Интервалы!$G$2:$G$513,0)))</f>
        <v/>
      </c>
      <c r="D297" s="17" t="str">
        <f>IF(K297="","",INDEX(Интервалы!$D$2:$D$513,MATCH(K297,Интервалы!$G$2:$G$513,0)))</f>
        <v/>
      </c>
      <c r="E297" s="4" t="str">
        <f t="shared" si="4"/>
        <v/>
      </c>
      <c r="F297" s="8" t="str">
        <f>IF(K297="","",INDEX(Интервалы!$E$2:$E$513,MATCH(K297,Интервалы!$G$2:$G$513,0)))</f>
        <v/>
      </c>
      <c r="G297" s="18" t="str">
        <f>IF(K297="","",IF(H297=1,INDEX('По дням'!$B$2:$B$4000,MATCH(C297,'По дням'!$A$2:$A$4000,0)),"по периодам ставки"))</f>
        <v/>
      </c>
      <c r="H297" s="4" t="str">
        <f>IF(K297="","",INDEX(Интервалы!$I$2:$I$513,MATCH(K297,Интервалы!$G$2:$G$513,0)))</f>
        <v/>
      </c>
      <c r="I297" s="8" t="str">
        <f>IF(K297="","",INDEX(Интервалы!$F$2:$F$513,MATCH(K297,Интервалы!$G$2:$G$513,0)))</f>
        <v/>
      </c>
      <c r="J297" s="8" t="str">
        <f>IF(K297="","",INDEX(Интервалы!$H$2:$H$513,MATCH(K297,Интервалы!$G$2:$G$513,0)))</f>
        <v/>
      </c>
      <c r="K297" t="str">
        <f>IFERROR(SMALL(Интервалы!$G$2:$G$513,291),"")</f>
        <v/>
      </c>
      <c r="L297" t="str">
        <f>IF(K297="","",INDEX(Интервалы!$B$2:$B$513,MATCH(K297,Интервалы!$G$2:$G$513,0)))</f>
        <v/>
      </c>
    </row>
    <row r="298" spans="1:12" x14ac:dyDescent="0.3">
      <c r="A298" s="4" t="str">
        <f>IF(K298="","",292)</f>
        <v/>
      </c>
      <c r="B298" s="4" t="str">
        <f>IF(K298="","",INDEX(Интервалы!$A$2:$A$513,MATCH(K298,Интервалы!$G$2:$G$513,0)))</f>
        <v/>
      </c>
      <c r="C298" s="17" t="str">
        <f>IF(K298="","",INDEX(Интервалы!$C$2:$C$513,MATCH(K298,Интервалы!$G$2:$G$513,0)))</f>
        <v/>
      </c>
      <c r="D298" s="17" t="str">
        <f>IF(K298="","",INDEX(Интервалы!$D$2:$D$513,MATCH(K298,Интервалы!$G$2:$G$513,0)))</f>
        <v/>
      </c>
      <c r="E298" s="4" t="str">
        <f t="shared" si="4"/>
        <v/>
      </c>
      <c r="F298" s="8" t="str">
        <f>IF(K298="","",INDEX(Интервалы!$E$2:$E$513,MATCH(K298,Интервалы!$G$2:$G$513,0)))</f>
        <v/>
      </c>
      <c r="G298" s="18" t="str">
        <f>IF(K298="","",IF(H298=1,INDEX('По дням'!$B$2:$B$4000,MATCH(C298,'По дням'!$A$2:$A$4000,0)),"по периодам ставки"))</f>
        <v/>
      </c>
      <c r="H298" s="4" t="str">
        <f>IF(K298="","",INDEX(Интервалы!$I$2:$I$513,MATCH(K298,Интервалы!$G$2:$G$513,0)))</f>
        <v/>
      </c>
      <c r="I298" s="8" t="str">
        <f>IF(K298="","",INDEX(Интервалы!$F$2:$F$513,MATCH(K298,Интервалы!$G$2:$G$513,0)))</f>
        <v/>
      </c>
      <c r="J298" s="8" t="str">
        <f>IF(K298="","",INDEX(Интервалы!$H$2:$H$513,MATCH(K298,Интервалы!$G$2:$G$513,0)))</f>
        <v/>
      </c>
      <c r="K298" t="str">
        <f>IFERROR(SMALL(Интервалы!$G$2:$G$513,292),"")</f>
        <v/>
      </c>
      <c r="L298" t="str">
        <f>IF(K298="","",INDEX(Интервалы!$B$2:$B$513,MATCH(K298,Интервалы!$G$2:$G$513,0)))</f>
        <v/>
      </c>
    </row>
    <row r="299" spans="1:12" x14ac:dyDescent="0.3">
      <c r="A299" s="4" t="str">
        <f>IF(K299="","",293)</f>
        <v/>
      </c>
      <c r="B299" s="4" t="str">
        <f>IF(K299="","",INDEX(Интервалы!$A$2:$A$513,MATCH(K299,Интервалы!$G$2:$G$513,0)))</f>
        <v/>
      </c>
      <c r="C299" s="17" t="str">
        <f>IF(K299="","",INDEX(Интервалы!$C$2:$C$513,MATCH(K299,Интервалы!$G$2:$G$513,0)))</f>
        <v/>
      </c>
      <c r="D299" s="17" t="str">
        <f>IF(K299="","",INDEX(Интервалы!$D$2:$D$513,MATCH(K299,Интервалы!$G$2:$G$513,0)))</f>
        <v/>
      </c>
      <c r="E299" s="4" t="str">
        <f t="shared" si="4"/>
        <v/>
      </c>
      <c r="F299" s="8" t="str">
        <f>IF(K299="","",INDEX(Интервалы!$E$2:$E$513,MATCH(K299,Интервалы!$G$2:$G$513,0)))</f>
        <v/>
      </c>
      <c r="G299" s="18" t="str">
        <f>IF(K299="","",IF(H299=1,INDEX('По дням'!$B$2:$B$4000,MATCH(C299,'По дням'!$A$2:$A$4000,0)),"по периодам ставки"))</f>
        <v/>
      </c>
      <c r="H299" s="4" t="str">
        <f>IF(K299="","",INDEX(Интервалы!$I$2:$I$513,MATCH(K299,Интервалы!$G$2:$G$513,0)))</f>
        <v/>
      </c>
      <c r="I299" s="8" t="str">
        <f>IF(K299="","",INDEX(Интервалы!$F$2:$F$513,MATCH(K299,Интервалы!$G$2:$G$513,0)))</f>
        <v/>
      </c>
      <c r="J299" s="8" t="str">
        <f>IF(K299="","",INDEX(Интервалы!$H$2:$H$513,MATCH(K299,Интервалы!$G$2:$G$513,0)))</f>
        <v/>
      </c>
      <c r="K299" t="str">
        <f>IFERROR(SMALL(Интервалы!$G$2:$G$513,293),"")</f>
        <v/>
      </c>
      <c r="L299" t="str">
        <f>IF(K299="","",INDEX(Интервалы!$B$2:$B$513,MATCH(K299,Интервалы!$G$2:$G$513,0)))</f>
        <v/>
      </c>
    </row>
    <row r="300" spans="1:12" x14ac:dyDescent="0.3">
      <c r="A300" s="4" t="str">
        <f>IF(K300="","",294)</f>
        <v/>
      </c>
      <c r="B300" s="4" t="str">
        <f>IF(K300="","",INDEX(Интервалы!$A$2:$A$513,MATCH(K300,Интервалы!$G$2:$G$513,0)))</f>
        <v/>
      </c>
      <c r="C300" s="17" t="str">
        <f>IF(K300="","",INDEX(Интервалы!$C$2:$C$513,MATCH(K300,Интервалы!$G$2:$G$513,0)))</f>
        <v/>
      </c>
      <c r="D300" s="17" t="str">
        <f>IF(K300="","",INDEX(Интервалы!$D$2:$D$513,MATCH(K300,Интервалы!$G$2:$G$513,0)))</f>
        <v/>
      </c>
      <c r="E300" s="4" t="str">
        <f t="shared" si="4"/>
        <v/>
      </c>
      <c r="F300" s="8" t="str">
        <f>IF(K300="","",INDEX(Интервалы!$E$2:$E$513,MATCH(K300,Интервалы!$G$2:$G$513,0)))</f>
        <v/>
      </c>
      <c r="G300" s="18" t="str">
        <f>IF(K300="","",IF(H300=1,INDEX('По дням'!$B$2:$B$4000,MATCH(C300,'По дням'!$A$2:$A$4000,0)),"по периодам ставки"))</f>
        <v/>
      </c>
      <c r="H300" s="4" t="str">
        <f>IF(K300="","",INDEX(Интервалы!$I$2:$I$513,MATCH(K300,Интервалы!$G$2:$G$513,0)))</f>
        <v/>
      </c>
      <c r="I300" s="8" t="str">
        <f>IF(K300="","",INDEX(Интервалы!$F$2:$F$513,MATCH(K300,Интервалы!$G$2:$G$513,0)))</f>
        <v/>
      </c>
      <c r="J300" s="8" t="str">
        <f>IF(K300="","",INDEX(Интервалы!$H$2:$H$513,MATCH(K300,Интервалы!$G$2:$G$513,0)))</f>
        <v/>
      </c>
      <c r="K300" t="str">
        <f>IFERROR(SMALL(Интервалы!$G$2:$G$513,294),"")</f>
        <v/>
      </c>
      <c r="L300" t="str">
        <f>IF(K300="","",INDEX(Интервалы!$B$2:$B$513,MATCH(K300,Интервалы!$G$2:$G$513,0)))</f>
        <v/>
      </c>
    </row>
    <row r="301" spans="1:12" x14ac:dyDescent="0.3">
      <c r="A301" s="4" t="str">
        <f>IF(K301="","",295)</f>
        <v/>
      </c>
      <c r="B301" s="4" t="str">
        <f>IF(K301="","",INDEX(Интервалы!$A$2:$A$513,MATCH(K301,Интервалы!$G$2:$G$513,0)))</f>
        <v/>
      </c>
      <c r="C301" s="17" t="str">
        <f>IF(K301="","",INDEX(Интервалы!$C$2:$C$513,MATCH(K301,Интервалы!$G$2:$G$513,0)))</f>
        <v/>
      </c>
      <c r="D301" s="17" t="str">
        <f>IF(K301="","",INDEX(Интервалы!$D$2:$D$513,MATCH(K301,Интервалы!$G$2:$G$513,0)))</f>
        <v/>
      </c>
      <c r="E301" s="4" t="str">
        <f t="shared" si="4"/>
        <v/>
      </c>
      <c r="F301" s="8" t="str">
        <f>IF(K301="","",INDEX(Интервалы!$E$2:$E$513,MATCH(K301,Интервалы!$G$2:$G$513,0)))</f>
        <v/>
      </c>
      <c r="G301" s="18" t="str">
        <f>IF(K301="","",IF(H301=1,INDEX('По дням'!$B$2:$B$4000,MATCH(C301,'По дням'!$A$2:$A$4000,0)),"по периодам ставки"))</f>
        <v/>
      </c>
      <c r="H301" s="4" t="str">
        <f>IF(K301="","",INDEX(Интервалы!$I$2:$I$513,MATCH(K301,Интервалы!$G$2:$G$513,0)))</f>
        <v/>
      </c>
      <c r="I301" s="8" t="str">
        <f>IF(K301="","",INDEX(Интервалы!$F$2:$F$513,MATCH(K301,Интервалы!$G$2:$G$513,0)))</f>
        <v/>
      </c>
      <c r="J301" s="8" t="str">
        <f>IF(K301="","",INDEX(Интервалы!$H$2:$H$513,MATCH(K301,Интервалы!$G$2:$G$513,0)))</f>
        <v/>
      </c>
      <c r="K301" t="str">
        <f>IFERROR(SMALL(Интервалы!$G$2:$G$513,295),"")</f>
        <v/>
      </c>
      <c r="L301" t="str">
        <f>IF(K301="","",INDEX(Интервалы!$B$2:$B$513,MATCH(K301,Интервалы!$G$2:$G$513,0)))</f>
        <v/>
      </c>
    </row>
    <row r="302" spans="1:12" x14ac:dyDescent="0.3">
      <c r="A302" s="4" t="str">
        <f>IF(K302="","",296)</f>
        <v/>
      </c>
      <c r="B302" s="4" t="str">
        <f>IF(K302="","",INDEX(Интервалы!$A$2:$A$513,MATCH(K302,Интервалы!$G$2:$G$513,0)))</f>
        <v/>
      </c>
      <c r="C302" s="17" t="str">
        <f>IF(K302="","",INDEX(Интервалы!$C$2:$C$513,MATCH(K302,Интервалы!$G$2:$G$513,0)))</f>
        <v/>
      </c>
      <c r="D302" s="17" t="str">
        <f>IF(K302="","",INDEX(Интервалы!$D$2:$D$513,MATCH(K302,Интервалы!$G$2:$G$513,0)))</f>
        <v/>
      </c>
      <c r="E302" s="4" t="str">
        <f t="shared" si="4"/>
        <v/>
      </c>
      <c r="F302" s="8" t="str">
        <f>IF(K302="","",INDEX(Интервалы!$E$2:$E$513,MATCH(K302,Интервалы!$G$2:$G$513,0)))</f>
        <v/>
      </c>
      <c r="G302" s="18" t="str">
        <f>IF(K302="","",IF(H302=1,INDEX('По дням'!$B$2:$B$4000,MATCH(C302,'По дням'!$A$2:$A$4000,0)),"по периодам ставки"))</f>
        <v/>
      </c>
      <c r="H302" s="4" t="str">
        <f>IF(K302="","",INDEX(Интервалы!$I$2:$I$513,MATCH(K302,Интервалы!$G$2:$G$513,0)))</f>
        <v/>
      </c>
      <c r="I302" s="8" t="str">
        <f>IF(K302="","",INDEX(Интервалы!$F$2:$F$513,MATCH(K302,Интервалы!$G$2:$G$513,0)))</f>
        <v/>
      </c>
      <c r="J302" s="8" t="str">
        <f>IF(K302="","",INDEX(Интервалы!$H$2:$H$513,MATCH(K302,Интервалы!$G$2:$G$513,0)))</f>
        <v/>
      </c>
      <c r="K302" t="str">
        <f>IFERROR(SMALL(Интервалы!$G$2:$G$513,296),"")</f>
        <v/>
      </c>
      <c r="L302" t="str">
        <f>IF(K302="","",INDEX(Интервалы!$B$2:$B$513,MATCH(K302,Интервалы!$G$2:$G$513,0)))</f>
        <v/>
      </c>
    </row>
    <row r="303" spans="1:12" x14ac:dyDescent="0.3">
      <c r="A303" s="4" t="str">
        <f>IF(K303="","",297)</f>
        <v/>
      </c>
      <c r="B303" s="4" t="str">
        <f>IF(K303="","",INDEX(Интервалы!$A$2:$A$513,MATCH(K303,Интервалы!$G$2:$G$513,0)))</f>
        <v/>
      </c>
      <c r="C303" s="17" t="str">
        <f>IF(K303="","",INDEX(Интервалы!$C$2:$C$513,MATCH(K303,Интервалы!$G$2:$G$513,0)))</f>
        <v/>
      </c>
      <c r="D303" s="17" t="str">
        <f>IF(K303="","",INDEX(Интервалы!$D$2:$D$513,MATCH(K303,Интервалы!$G$2:$G$513,0)))</f>
        <v/>
      </c>
      <c r="E303" s="4" t="str">
        <f t="shared" si="4"/>
        <v/>
      </c>
      <c r="F303" s="8" t="str">
        <f>IF(K303="","",INDEX(Интервалы!$E$2:$E$513,MATCH(K303,Интервалы!$G$2:$G$513,0)))</f>
        <v/>
      </c>
      <c r="G303" s="18" t="str">
        <f>IF(K303="","",IF(H303=1,INDEX('По дням'!$B$2:$B$4000,MATCH(C303,'По дням'!$A$2:$A$4000,0)),"по периодам ставки"))</f>
        <v/>
      </c>
      <c r="H303" s="4" t="str">
        <f>IF(K303="","",INDEX(Интервалы!$I$2:$I$513,MATCH(K303,Интервалы!$G$2:$G$513,0)))</f>
        <v/>
      </c>
      <c r="I303" s="8" t="str">
        <f>IF(K303="","",INDEX(Интервалы!$F$2:$F$513,MATCH(K303,Интервалы!$G$2:$G$513,0)))</f>
        <v/>
      </c>
      <c r="J303" s="8" t="str">
        <f>IF(K303="","",INDEX(Интервалы!$H$2:$H$513,MATCH(K303,Интервалы!$G$2:$G$513,0)))</f>
        <v/>
      </c>
      <c r="K303" t="str">
        <f>IFERROR(SMALL(Интервалы!$G$2:$G$513,297),"")</f>
        <v/>
      </c>
      <c r="L303" t="str">
        <f>IF(K303="","",INDEX(Интервалы!$B$2:$B$513,MATCH(K303,Интервалы!$G$2:$G$513,0)))</f>
        <v/>
      </c>
    </row>
    <row r="304" spans="1:12" x14ac:dyDescent="0.3">
      <c r="A304" s="4" t="str">
        <f>IF(K304="","",298)</f>
        <v/>
      </c>
      <c r="B304" s="4" t="str">
        <f>IF(K304="","",INDEX(Интервалы!$A$2:$A$513,MATCH(K304,Интервалы!$G$2:$G$513,0)))</f>
        <v/>
      </c>
      <c r="C304" s="17" t="str">
        <f>IF(K304="","",INDEX(Интервалы!$C$2:$C$513,MATCH(K304,Интервалы!$G$2:$G$513,0)))</f>
        <v/>
      </c>
      <c r="D304" s="17" t="str">
        <f>IF(K304="","",INDEX(Интервалы!$D$2:$D$513,MATCH(K304,Интервалы!$G$2:$G$513,0)))</f>
        <v/>
      </c>
      <c r="E304" s="4" t="str">
        <f t="shared" si="4"/>
        <v/>
      </c>
      <c r="F304" s="8" t="str">
        <f>IF(K304="","",INDEX(Интервалы!$E$2:$E$513,MATCH(K304,Интервалы!$G$2:$G$513,0)))</f>
        <v/>
      </c>
      <c r="G304" s="18" t="str">
        <f>IF(K304="","",IF(H304=1,INDEX('По дням'!$B$2:$B$4000,MATCH(C304,'По дням'!$A$2:$A$4000,0)),"по периодам ставки"))</f>
        <v/>
      </c>
      <c r="H304" s="4" t="str">
        <f>IF(K304="","",INDEX(Интервалы!$I$2:$I$513,MATCH(K304,Интервалы!$G$2:$G$513,0)))</f>
        <v/>
      </c>
      <c r="I304" s="8" t="str">
        <f>IF(K304="","",INDEX(Интервалы!$F$2:$F$513,MATCH(K304,Интервалы!$G$2:$G$513,0)))</f>
        <v/>
      </c>
      <c r="J304" s="8" t="str">
        <f>IF(K304="","",INDEX(Интервалы!$H$2:$H$513,MATCH(K304,Интервалы!$G$2:$G$513,0)))</f>
        <v/>
      </c>
      <c r="K304" t="str">
        <f>IFERROR(SMALL(Интервалы!$G$2:$G$513,298),"")</f>
        <v/>
      </c>
      <c r="L304" t="str">
        <f>IF(K304="","",INDEX(Интервалы!$B$2:$B$513,MATCH(K304,Интервалы!$G$2:$G$513,0)))</f>
        <v/>
      </c>
    </row>
    <row r="305" spans="1:12" x14ac:dyDescent="0.3">
      <c r="A305" s="4" t="str">
        <f>IF(K305="","",299)</f>
        <v/>
      </c>
      <c r="B305" s="4" t="str">
        <f>IF(K305="","",INDEX(Интервалы!$A$2:$A$513,MATCH(K305,Интервалы!$G$2:$G$513,0)))</f>
        <v/>
      </c>
      <c r="C305" s="17" t="str">
        <f>IF(K305="","",INDEX(Интервалы!$C$2:$C$513,MATCH(K305,Интервалы!$G$2:$G$513,0)))</f>
        <v/>
      </c>
      <c r="D305" s="17" t="str">
        <f>IF(K305="","",INDEX(Интервалы!$D$2:$D$513,MATCH(K305,Интервалы!$G$2:$G$513,0)))</f>
        <v/>
      </c>
      <c r="E305" s="4" t="str">
        <f t="shared" si="4"/>
        <v/>
      </c>
      <c r="F305" s="8" t="str">
        <f>IF(K305="","",INDEX(Интервалы!$E$2:$E$513,MATCH(K305,Интервалы!$G$2:$G$513,0)))</f>
        <v/>
      </c>
      <c r="G305" s="18" t="str">
        <f>IF(K305="","",IF(H305=1,INDEX('По дням'!$B$2:$B$4000,MATCH(C305,'По дням'!$A$2:$A$4000,0)),"по периодам ставки"))</f>
        <v/>
      </c>
      <c r="H305" s="4" t="str">
        <f>IF(K305="","",INDEX(Интервалы!$I$2:$I$513,MATCH(K305,Интервалы!$G$2:$G$513,0)))</f>
        <v/>
      </c>
      <c r="I305" s="8" t="str">
        <f>IF(K305="","",INDEX(Интервалы!$F$2:$F$513,MATCH(K305,Интервалы!$G$2:$G$513,0)))</f>
        <v/>
      </c>
      <c r="J305" s="8" t="str">
        <f>IF(K305="","",INDEX(Интервалы!$H$2:$H$513,MATCH(K305,Интервалы!$G$2:$G$513,0)))</f>
        <v/>
      </c>
      <c r="K305" t="str">
        <f>IFERROR(SMALL(Интервалы!$G$2:$G$513,299),"")</f>
        <v/>
      </c>
      <c r="L305" t="str">
        <f>IF(K305="","",INDEX(Интервалы!$B$2:$B$513,MATCH(K305,Интервалы!$G$2:$G$513,0)))</f>
        <v/>
      </c>
    </row>
    <row r="306" spans="1:12" x14ac:dyDescent="0.3">
      <c r="A306" s="4" t="str">
        <f>IF(K306="","",300)</f>
        <v/>
      </c>
      <c r="B306" s="4" t="str">
        <f>IF(K306="","",INDEX(Интервалы!$A$2:$A$513,MATCH(K306,Интервалы!$G$2:$G$513,0)))</f>
        <v/>
      </c>
      <c r="C306" s="17" t="str">
        <f>IF(K306="","",INDEX(Интервалы!$C$2:$C$513,MATCH(K306,Интервалы!$G$2:$G$513,0)))</f>
        <v/>
      </c>
      <c r="D306" s="17" t="str">
        <f>IF(K306="","",INDEX(Интервалы!$D$2:$D$513,MATCH(K306,Интервалы!$G$2:$G$513,0)))</f>
        <v/>
      </c>
      <c r="E306" s="4" t="str">
        <f t="shared" si="4"/>
        <v/>
      </c>
      <c r="F306" s="8" t="str">
        <f>IF(K306="","",INDEX(Интервалы!$E$2:$E$513,MATCH(K306,Интервалы!$G$2:$G$513,0)))</f>
        <v/>
      </c>
      <c r="G306" s="18" t="str">
        <f>IF(K306="","",IF(H306=1,INDEX('По дням'!$B$2:$B$4000,MATCH(C306,'По дням'!$A$2:$A$4000,0)),"по периодам ставки"))</f>
        <v/>
      </c>
      <c r="H306" s="4" t="str">
        <f>IF(K306="","",INDEX(Интервалы!$I$2:$I$513,MATCH(K306,Интервалы!$G$2:$G$513,0)))</f>
        <v/>
      </c>
      <c r="I306" s="8" t="str">
        <f>IF(K306="","",INDEX(Интервалы!$F$2:$F$513,MATCH(K306,Интервалы!$G$2:$G$513,0)))</f>
        <v/>
      </c>
      <c r="J306" s="8" t="str">
        <f>IF(K306="","",INDEX(Интервалы!$H$2:$H$513,MATCH(K306,Интервалы!$G$2:$G$513,0)))</f>
        <v/>
      </c>
      <c r="K306" t="str">
        <f>IFERROR(SMALL(Интервалы!$G$2:$G$513,300),"")</f>
        <v/>
      </c>
      <c r="L306" t="str">
        <f>IF(K306="","",INDEX(Интервалы!$B$2:$B$513,MATCH(K306,Интервалы!$G$2:$G$513,0)))</f>
        <v/>
      </c>
    </row>
    <row r="307" spans="1:12" x14ac:dyDescent="0.3">
      <c r="A307" s="4" t="str">
        <f>IF(K307="","",301)</f>
        <v/>
      </c>
      <c r="B307" s="4" t="str">
        <f>IF(K307="","",INDEX(Интервалы!$A$2:$A$513,MATCH(K307,Интервалы!$G$2:$G$513,0)))</f>
        <v/>
      </c>
      <c r="C307" s="17" t="str">
        <f>IF(K307="","",INDEX(Интервалы!$C$2:$C$513,MATCH(K307,Интервалы!$G$2:$G$513,0)))</f>
        <v/>
      </c>
      <c r="D307" s="17" t="str">
        <f>IF(K307="","",INDEX(Интервалы!$D$2:$D$513,MATCH(K307,Интервалы!$G$2:$G$513,0)))</f>
        <v/>
      </c>
      <c r="E307" s="4" t="str">
        <f t="shared" si="4"/>
        <v/>
      </c>
      <c r="F307" s="8" t="str">
        <f>IF(K307="","",INDEX(Интервалы!$E$2:$E$513,MATCH(K307,Интервалы!$G$2:$G$513,0)))</f>
        <v/>
      </c>
      <c r="G307" s="18" t="str">
        <f>IF(K307="","",IF(H307=1,INDEX('По дням'!$B$2:$B$4000,MATCH(C307,'По дням'!$A$2:$A$4000,0)),"по периодам ставки"))</f>
        <v/>
      </c>
      <c r="H307" s="4" t="str">
        <f>IF(K307="","",INDEX(Интервалы!$I$2:$I$513,MATCH(K307,Интервалы!$G$2:$G$513,0)))</f>
        <v/>
      </c>
      <c r="I307" s="8" t="str">
        <f>IF(K307="","",INDEX(Интервалы!$F$2:$F$513,MATCH(K307,Интервалы!$G$2:$G$513,0)))</f>
        <v/>
      </c>
      <c r="J307" s="8" t="str">
        <f>IF(K307="","",INDEX(Интервалы!$H$2:$H$513,MATCH(K307,Интервалы!$G$2:$G$513,0)))</f>
        <v/>
      </c>
      <c r="K307" t="str">
        <f>IFERROR(SMALL(Интервалы!$G$2:$G$513,301),"")</f>
        <v/>
      </c>
      <c r="L307" t="str">
        <f>IF(K307="","",INDEX(Интервалы!$B$2:$B$513,MATCH(K307,Интервалы!$G$2:$G$513,0)))</f>
        <v/>
      </c>
    </row>
    <row r="308" spans="1:12" x14ac:dyDescent="0.3">
      <c r="A308" s="4" t="str">
        <f>IF(K308="","",302)</f>
        <v/>
      </c>
      <c r="B308" s="4" t="str">
        <f>IF(K308="","",INDEX(Интервалы!$A$2:$A$513,MATCH(K308,Интервалы!$G$2:$G$513,0)))</f>
        <v/>
      </c>
      <c r="C308" s="17" t="str">
        <f>IF(K308="","",INDEX(Интервалы!$C$2:$C$513,MATCH(K308,Интервалы!$G$2:$G$513,0)))</f>
        <v/>
      </c>
      <c r="D308" s="17" t="str">
        <f>IF(K308="","",INDEX(Интервалы!$D$2:$D$513,MATCH(K308,Интервалы!$G$2:$G$513,0)))</f>
        <v/>
      </c>
      <c r="E308" s="4" t="str">
        <f t="shared" si="4"/>
        <v/>
      </c>
      <c r="F308" s="8" t="str">
        <f>IF(K308="","",INDEX(Интервалы!$E$2:$E$513,MATCH(K308,Интервалы!$G$2:$G$513,0)))</f>
        <v/>
      </c>
      <c r="G308" s="18" t="str">
        <f>IF(K308="","",IF(H308=1,INDEX('По дням'!$B$2:$B$4000,MATCH(C308,'По дням'!$A$2:$A$4000,0)),"по периодам ставки"))</f>
        <v/>
      </c>
      <c r="H308" s="4" t="str">
        <f>IF(K308="","",INDEX(Интервалы!$I$2:$I$513,MATCH(K308,Интервалы!$G$2:$G$513,0)))</f>
        <v/>
      </c>
      <c r="I308" s="8" t="str">
        <f>IF(K308="","",INDEX(Интервалы!$F$2:$F$513,MATCH(K308,Интервалы!$G$2:$G$513,0)))</f>
        <v/>
      </c>
      <c r="J308" s="8" t="str">
        <f>IF(K308="","",INDEX(Интервалы!$H$2:$H$513,MATCH(K308,Интервалы!$G$2:$G$513,0)))</f>
        <v/>
      </c>
      <c r="K308" t="str">
        <f>IFERROR(SMALL(Интервалы!$G$2:$G$513,302),"")</f>
        <v/>
      </c>
      <c r="L308" t="str">
        <f>IF(K308="","",INDEX(Интервалы!$B$2:$B$513,MATCH(K308,Интервалы!$G$2:$G$513,0)))</f>
        <v/>
      </c>
    </row>
    <row r="309" spans="1:12" x14ac:dyDescent="0.3">
      <c r="A309" s="4" t="str">
        <f>IF(K309="","",303)</f>
        <v/>
      </c>
      <c r="B309" s="4" t="str">
        <f>IF(K309="","",INDEX(Интервалы!$A$2:$A$513,MATCH(K309,Интервалы!$G$2:$G$513,0)))</f>
        <v/>
      </c>
      <c r="C309" s="17" t="str">
        <f>IF(K309="","",INDEX(Интервалы!$C$2:$C$513,MATCH(K309,Интервалы!$G$2:$G$513,0)))</f>
        <v/>
      </c>
      <c r="D309" s="17" t="str">
        <f>IF(K309="","",INDEX(Интервалы!$D$2:$D$513,MATCH(K309,Интервалы!$G$2:$G$513,0)))</f>
        <v/>
      </c>
      <c r="E309" s="4" t="str">
        <f t="shared" si="4"/>
        <v/>
      </c>
      <c r="F309" s="8" t="str">
        <f>IF(K309="","",INDEX(Интервалы!$E$2:$E$513,MATCH(K309,Интервалы!$G$2:$G$513,0)))</f>
        <v/>
      </c>
      <c r="G309" s="18" t="str">
        <f>IF(K309="","",IF(H309=1,INDEX('По дням'!$B$2:$B$4000,MATCH(C309,'По дням'!$A$2:$A$4000,0)),"по периодам ставки"))</f>
        <v/>
      </c>
      <c r="H309" s="4" t="str">
        <f>IF(K309="","",INDEX(Интервалы!$I$2:$I$513,MATCH(K309,Интервалы!$G$2:$G$513,0)))</f>
        <v/>
      </c>
      <c r="I309" s="8" t="str">
        <f>IF(K309="","",INDEX(Интервалы!$F$2:$F$513,MATCH(K309,Интервалы!$G$2:$G$513,0)))</f>
        <v/>
      </c>
      <c r="J309" s="8" t="str">
        <f>IF(K309="","",INDEX(Интервалы!$H$2:$H$513,MATCH(K309,Интервалы!$G$2:$G$513,0)))</f>
        <v/>
      </c>
      <c r="K309" t="str">
        <f>IFERROR(SMALL(Интервалы!$G$2:$G$513,303),"")</f>
        <v/>
      </c>
      <c r="L309" t="str">
        <f>IF(K309="","",INDEX(Интервалы!$B$2:$B$513,MATCH(K309,Интервалы!$G$2:$G$513,0)))</f>
        <v/>
      </c>
    </row>
    <row r="310" spans="1:12" x14ac:dyDescent="0.3">
      <c r="A310" s="4" t="str">
        <f>IF(K310="","",304)</f>
        <v/>
      </c>
      <c r="B310" s="4" t="str">
        <f>IF(K310="","",INDEX(Интервалы!$A$2:$A$513,MATCH(K310,Интервалы!$G$2:$G$513,0)))</f>
        <v/>
      </c>
      <c r="C310" s="17" t="str">
        <f>IF(K310="","",INDEX(Интервалы!$C$2:$C$513,MATCH(K310,Интервалы!$G$2:$G$513,0)))</f>
        <v/>
      </c>
      <c r="D310" s="17" t="str">
        <f>IF(K310="","",INDEX(Интервалы!$D$2:$D$513,MATCH(K310,Интервалы!$G$2:$G$513,0)))</f>
        <v/>
      </c>
      <c r="E310" s="4" t="str">
        <f t="shared" si="4"/>
        <v/>
      </c>
      <c r="F310" s="8" t="str">
        <f>IF(K310="","",INDEX(Интервалы!$E$2:$E$513,MATCH(K310,Интервалы!$G$2:$G$513,0)))</f>
        <v/>
      </c>
      <c r="G310" s="18" t="str">
        <f>IF(K310="","",IF(H310=1,INDEX('По дням'!$B$2:$B$4000,MATCH(C310,'По дням'!$A$2:$A$4000,0)),"по периодам ставки"))</f>
        <v/>
      </c>
      <c r="H310" s="4" t="str">
        <f>IF(K310="","",INDEX(Интервалы!$I$2:$I$513,MATCH(K310,Интервалы!$G$2:$G$513,0)))</f>
        <v/>
      </c>
      <c r="I310" s="8" t="str">
        <f>IF(K310="","",INDEX(Интервалы!$F$2:$F$513,MATCH(K310,Интервалы!$G$2:$G$513,0)))</f>
        <v/>
      </c>
      <c r="J310" s="8" t="str">
        <f>IF(K310="","",INDEX(Интервалы!$H$2:$H$513,MATCH(K310,Интервалы!$G$2:$G$513,0)))</f>
        <v/>
      </c>
      <c r="K310" t="str">
        <f>IFERROR(SMALL(Интервалы!$G$2:$G$513,304),"")</f>
        <v/>
      </c>
      <c r="L310" t="str">
        <f>IF(K310="","",INDEX(Интервалы!$B$2:$B$513,MATCH(K310,Интервалы!$G$2:$G$513,0)))</f>
        <v/>
      </c>
    </row>
    <row r="311" spans="1:12" x14ac:dyDescent="0.3">
      <c r="A311" s="4" t="str">
        <f>IF(K311="","",305)</f>
        <v/>
      </c>
      <c r="B311" s="4" t="str">
        <f>IF(K311="","",INDEX(Интервалы!$A$2:$A$513,MATCH(K311,Интервалы!$G$2:$G$513,0)))</f>
        <v/>
      </c>
      <c r="C311" s="17" t="str">
        <f>IF(K311="","",INDEX(Интервалы!$C$2:$C$513,MATCH(K311,Интервалы!$G$2:$G$513,0)))</f>
        <v/>
      </c>
      <c r="D311" s="17" t="str">
        <f>IF(K311="","",INDEX(Интервалы!$D$2:$D$513,MATCH(K311,Интервалы!$G$2:$G$513,0)))</f>
        <v/>
      </c>
      <c r="E311" s="4" t="str">
        <f t="shared" si="4"/>
        <v/>
      </c>
      <c r="F311" s="8" t="str">
        <f>IF(K311="","",INDEX(Интервалы!$E$2:$E$513,MATCH(K311,Интервалы!$G$2:$G$513,0)))</f>
        <v/>
      </c>
      <c r="G311" s="18" t="str">
        <f>IF(K311="","",IF(H311=1,INDEX('По дням'!$B$2:$B$4000,MATCH(C311,'По дням'!$A$2:$A$4000,0)),"по периодам ставки"))</f>
        <v/>
      </c>
      <c r="H311" s="4" t="str">
        <f>IF(K311="","",INDEX(Интервалы!$I$2:$I$513,MATCH(K311,Интервалы!$G$2:$G$513,0)))</f>
        <v/>
      </c>
      <c r="I311" s="8" t="str">
        <f>IF(K311="","",INDEX(Интервалы!$F$2:$F$513,MATCH(K311,Интервалы!$G$2:$G$513,0)))</f>
        <v/>
      </c>
      <c r="J311" s="8" t="str">
        <f>IF(K311="","",INDEX(Интервалы!$H$2:$H$513,MATCH(K311,Интервалы!$G$2:$G$513,0)))</f>
        <v/>
      </c>
      <c r="K311" t="str">
        <f>IFERROR(SMALL(Интервалы!$G$2:$G$513,305),"")</f>
        <v/>
      </c>
      <c r="L311" t="str">
        <f>IF(K311="","",INDEX(Интервалы!$B$2:$B$513,MATCH(K311,Интервалы!$G$2:$G$513,0)))</f>
        <v/>
      </c>
    </row>
    <row r="312" spans="1:12" x14ac:dyDescent="0.3">
      <c r="A312" s="4" t="str">
        <f>IF(K312="","",306)</f>
        <v/>
      </c>
      <c r="B312" s="4" t="str">
        <f>IF(K312="","",INDEX(Интервалы!$A$2:$A$513,MATCH(K312,Интервалы!$G$2:$G$513,0)))</f>
        <v/>
      </c>
      <c r="C312" s="17" t="str">
        <f>IF(K312="","",INDEX(Интервалы!$C$2:$C$513,MATCH(K312,Интервалы!$G$2:$G$513,0)))</f>
        <v/>
      </c>
      <c r="D312" s="17" t="str">
        <f>IF(K312="","",INDEX(Интервалы!$D$2:$D$513,MATCH(K312,Интервалы!$G$2:$G$513,0)))</f>
        <v/>
      </c>
      <c r="E312" s="4" t="str">
        <f t="shared" si="4"/>
        <v/>
      </c>
      <c r="F312" s="8" t="str">
        <f>IF(K312="","",INDEX(Интервалы!$E$2:$E$513,MATCH(K312,Интервалы!$G$2:$G$513,0)))</f>
        <v/>
      </c>
      <c r="G312" s="18" t="str">
        <f>IF(K312="","",IF(H312=1,INDEX('По дням'!$B$2:$B$4000,MATCH(C312,'По дням'!$A$2:$A$4000,0)),"по периодам ставки"))</f>
        <v/>
      </c>
      <c r="H312" s="4" t="str">
        <f>IF(K312="","",INDEX(Интервалы!$I$2:$I$513,MATCH(K312,Интервалы!$G$2:$G$513,0)))</f>
        <v/>
      </c>
      <c r="I312" s="8" t="str">
        <f>IF(K312="","",INDEX(Интервалы!$F$2:$F$513,MATCH(K312,Интервалы!$G$2:$G$513,0)))</f>
        <v/>
      </c>
      <c r="J312" s="8" t="str">
        <f>IF(K312="","",INDEX(Интервалы!$H$2:$H$513,MATCH(K312,Интервалы!$G$2:$G$513,0)))</f>
        <v/>
      </c>
      <c r="K312" t="str">
        <f>IFERROR(SMALL(Интервалы!$G$2:$G$513,306),"")</f>
        <v/>
      </c>
      <c r="L312" t="str">
        <f>IF(K312="","",INDEX(Интервалы!$B$2:$B$513,MATCH(K312,Интервалы!$G$2:$G$513,0)))</f>
        <v/>
      </c>
    </row>
    <row r="313" spans="1:12" x14ac:dyDescent="0.3">
      <c r="A313" s="4" t="str">
        <f>IF(K313="","",307)</f>
        <v/>
      </c>
      <c r="B313" s="4" t="str">
        <f>IF(K313="","",INDEX(Интервалы!$A$2:$A$513,MATCH(K313,Интервалы!$G$2:$G$513,0)))</f>
        <v/>
      </c>
      <c r="C313" s="17" t="str">
        <f>IF(K313="","",INDEX(Интервалы!$C$2:$C$513,MATCH(K313,Интервалы!$G$2:$G$513,0)))</f>
        <v/>
      </c>
      <c r="D313" s="17" t="str">
        <f>IF(K313="","",INDEX(Интервалы!$D$2:$D$513,MATCH(K313,Интервалы!$G$2:$G$513,0)))</f>
        <v/>
      </c>
      <c r="E313" s="4" t="str">
        <f t="shared" si="4"/>
        <v/>
      </c>
      <c r="F313" s="8" t="str">
        <f>IF(K313="","",INDEX(Интервалы!$E$2:$E$513,MATCH(K313,Интервалы!$G$2:$G$513,0)))</f>
        <v/>
      </c>
      <c r="G313" s="18" t="str">
        <f>IF(K313="","",IF(H313=1,INDEX('По дням'!$B$2:$B$4000,MATCH(C313,'По дням'!$A$2:$A$4000,0)),"по периодам ставки"))</f>
        <v/>
      </c>
      <c r="H313" s="4" t="str">
        <f>IF(K313="","",INDEX(Интервалы!$I$2:$I$513,MATCH(K313,Интервалы!$G$2:$G$513,0)))</f>
        <v/>
      </c>
      <c r="I313" s="8" t="str">
        <f>IF(K313="","",INDEX(Интервалы!$F$2:$F$513,MATCH(K313,Интервалы!$G$2:$G$513,0)))</f>
        <v/>
      </c>
      <c r="J313" s="8" t="str">
        <f>IF(K313="","",INDEX(Интервалы!$H$2:$H$513,MATCH(K313,Интервалы!$G$2:$G$513,0)))</f>
        <v/>
      </c>
      <c r="K313" t="str">
        <f>IFERROR(SMALL(Интервалы!$G$2:$G$513,307),"")</f>
        <v/>
      </c>
      <c r="L313" t="str">
        <f>IF(K313="","",INDEX(Интервалы!$B$2:$B$513,MATCH(K313,Интервалы!$G$2:$G$513,0)))</f>
        <v/>
      </c>
    </row>
    <row r="314" spans="1:12" x14ac:dyDescent="0.3">
      <c r="A314" s="4" t="str">
        <f>IF(K314="","",308)</f>
        <v/>
      </c>
      <c r="B314" s="4" t="str">
        <f>IF(K314="","",INDEX(Интервалы!$A$2:$A$513,MATCH(K314,Интервалы!$G$2:$G$513,0)))</f>
        <v/>
      </c>
      <c r="C314" s="17" t="str">
        <f>IF(K314="","",INDEX(Интервалы!$C$2:$C$513,MATCH(K314,Интервалы!$G$2:$G$513,0)))</f>
        <v/>
      </c>
      <c r="D314" s="17" t="str">
        <f>IF(K314="","",INDEX(Интервалы!$D$2:$D$513,MATCH(K314,Интервалы!$G$2:$G$513,0)))</f>
        <v/>
      </c>
      <c r="E314" s="4" t="str">
        <f t="shared" si="4"/>
        <v/>
      </c>
      <c r="F314" s="8" t="str">
        <f>IF(K314="","",INDEX(Интервалы!$E$2:$E$513,MATCH(K314,Интервалы!$G$2:$G$513,0)))</f>
        <v/>
      </c>
      <c r="G314" s="18" t="str">
        <f>IF(K314="","",IF(H314=1,INDEX('По дням'!$B$2:$B$4000,MATCH(C314,'По дням'!$A$2:$A$4000,0)),"по периодам ставки"))</f>
        <v/>
      </c>
      <c r="H314" s="4" t="str">
        <f>IF(K314="","",INDEX(Интервалы!$I$2:$I$513,MATCH(K314,Интервалы!$G$2:$G$513,0)))</f>
        <v/>
      </c>
      <c r="I314" s="8" t="str">
        <f>IF(K314="","",INDEX(Интервалы!$F$2:$F$513,MATCH(K314,Интервалы!$G$2:$G$513,0)))</f>
        <v/>
      </c>
      <c r="J314" s="8" t="str">
        <f>IF(K314="","",INDEX(Интервалы!$H$2:$H$513,MATCH(K314,Интервалы!$G$2:$G$513,0)))</f>
        <v/>
      </c>
      <c r="K314" t="str">
        <f>IFERROR(SMALL(Интервалы!$G$2:$G$513,308),"")</f>
        <v/>
      </c>
      <c r="L314" t="str">
        <f>IF(K314="","",INDEX(Интервалы!$B$2:$B$513,MATCH(K314,Интервалы!$G$2:$G$513,0)))</f>
        <v/>
      </c>
    </row>
    <row r="315" spans="1:12" x14ac:dyDescent="0.3">
      <c r="A315" s="4" t="str">
        <f>IF(K315="","",309)</f>
        <v/>
      </c>
      <c r="B315" s="4" t="str">
        <f>IF(K315="","",INDEX(Интервалы!$A$2:$A$513,MATCH(K315,Интервалы!$G$2:$G$513,0)))</f>
        <v/>
      </c>
      <c r="C315" s="17" t="str">
        <f>IF(K315="","",INDEX(Интервалы!$C$2:$C$513,MATCH(K315,Интервалы!$G$2:$G$513,0)))</f>
        <v/>
      </c>
      <c r="D315" s="17" t="str">
        <f>IF(K315="","",INDEX(Интервалы!$D$2:$D$513,MATCH(K315,Интервалы!$G$2:$G$513,0)))</f>
        <v/>
      </c>
      <c r="E315" s="4" t="str">
        <f t="shared" si="4"/>
        <v/>
      </c>
      <c r="F315" s="8" t="str">
        <f>IF(K315="","",INDEX(Интервалы!$E$2:$E$513,MATCH(K315,Интервалы!$G$2:$G$513,0)))</f>
        <v/>
      </c>
      <c r="G315" s="18" t="str">
        <f>IF(K315="","",IF(H315=1,INDEX('По дням'!$B$2:$B$4000,MATCH(C315,'По дням'!$A$2:$A$4000,0)),"по периодам ставки"))</f>
        <v/>
      </c>
      <c r="H315" s="4" t="str">
        <f>IF(K315="","",INDEX(Интервалы!$I$2:$I$513,MATCH(K315,Интервалы!$G$2:$G$513,0)))</f>
        <v/>
      </c>
      <c r="I315" s="8" t="str">
        <f>IF(K315="","",INDEX(Интервалы!$F$2:$F$513,MATCH(K315,Интервалы!$G$2:$G$513,0)))</f>
        <v/>
      </c>
      <c r="J315" s="8" t="str">
        <f>IF(K315="","",INDEX(Интервалы!$H$2:$H$513,MATCH(K315,Интервалы!$G$2:$G$513,0)))</f>
        <v/>
      </c>
      <c r="K315" t="str">
        <f>IFERROR(SMALL(Интервалы!$G$2:$G$513,309),"")</f>
        <v/>
      </c>
      <c r="L315" t="str">
        <f>IF(K315="","",INDEX(Интервалы!$B$2:$B$513,MATCH(K315,Интервалы!$G$2:$G$513,0)))</f>
        <v/>
      </c>
    </row>
    <row r="316" spans="1:12" x14ac:dyDescent="0.3">
      <c r="A316" s="4" t="str">
        <f>IF(K316="","",310)</f>
        <v/>
      </c>
      <c r="B316" s="4" t="str">
        <f>IF(K316="","",INDEX(Интервалы!$A$2:$A$513,MATCH(K316,Интервалы!$G$2:$G$513,0)))</f>
        <v/>
      </c>
      <c r="C316" s="17" t="str">
        <f>IF(K316="","",INDEX(Интервалы!$C$2:$C$513,MATCH(K316,Интервалы!$G$2:$G$513,0)))</f>
        <v/>
      </c>
      <c r="D316" s="17" t="str">
        <f>IF(K316="","",INDEX(Интервалы!$D$2:$D$513,MATCH(K316,Интервалы!$G$2:$G$513,0)))</f>
        <v/>
      </c>
      <c r="E316" s="4" t="str">
        <f t="shared" si="4"/>
        <v/>
      </c>
      <c r="F316" s="8" t="str">
        <f>IF(K316="","",INDEX(Интервалы!$E$2:$E$513,MATCH(K316,Интервалы!$G$2:$G$513,0)))</f>
        <v/>
      </c>
      <c r="G316" s="18" t="str">
        <f>IF(K316="","",IF(H316=1,INDEX('По дням'!$B$2:$B$4000,MATCH(C316,'По дням'!$A$2:$A$4000,0)),"по периодам ставки"))</f>
        <v/>
      </c>
      <c r="H316" s="4" t="str">
        <f>IF(K316="","",INDEX(Интервалы!$I$2:$I$513,MATCH(K316,Интервалы!$G$2:$G$513,0)))</f>
        <v/>
      </c>
      <c r="I316" s="8" t="str">
        <f>IF(K316="","",INDEX(Интервалы!$F$2:$F$513,MATCH(K316,Интервалы!$G$2:$G$513,0)))</f>
        <v/>
      </c>
      <c r="J316" s="8" t="str">
        <f>IF(K316="","",INDEX(Интервалы!$H$2:$H$513,MATCH(K316,Интервалы!$G$2:$G$513,0)))</f>
        <v/>
      </c>
      <c r="K316" t="str">
        <f>IFERROR(SMALL(Интервалы!$G$2:$G$513,310),"")</f>
        <v/>
      </c>
      <c r="L316" t="str">
        <f>IF(K316="","",INDEX(Интервалы!$B$2:$B$513,MATCH(K316,Интервалы!$G$2:$G$513,0)))</f>
        <v/>
      </c>
    </row>
    <row r="317" spans="1:12" x14ac:dyDescent="0.3">
      <c r="A317" s="4" t="str">
        <f>IF(K317="","",311)</f>
        <v/>
      </c>
      <c r="B317" s="4" t="str">
        <f>IF(K317="","",INDEX(Интервалы!$A$2:$A$513,MATCH(K317,Интервалы!$G$2:$G$513,0)))</f>
        <v/>
      </c>
      <c r="C317" s="17" t="str">
        <f>IF(K317="","",INDEX(Интервалы!$C$2:$C$513,MATCH(K317,Интервалы!$G$2:$G$513,0)))</f>
        <v/>
      </c>
      <c r="D317" s="17" t="str">
        <f>IF(K317="","",INDEX(Интервалы!$D$2:$D$513,MATCH(K317,Интервалы!$G$2:$G$513,0)))</f>
        <v/>
      </c>
      <c r="E317" s="4" t="str">
        <f t="shared" si="4"/>
        <v/>
      </c>
      <c r="F317" s="8" t="str">
        <f>IF(K317="","",INDEX(Интервалы!$E$2:$E$513,MATCH(K317,Интервалы!$G$2:$G$513,0)))</f>
        <v/>
      </c>
      <c r="G317" s="18" t="str">
        <f>IF(K317="","",IF(H317=1,INDEX('По дням'!$B$2:$B$4000,MATCH(C317,'По дням'!$A$2:$A$4000,0)),"по периодам ставки"))</f>
        <v/>
      </c>
      <c r="H317" s="4" t="str">
        <f>IF(K317="","",INDEX(Интервалы!$I$2:$I$513,MATCH(K317,Интервалы!$G$2:$G$513,0)))</f>
        <v/>
      </c>
      <c r="I317" s="8" t="str">
        <f>IF(K317="","",INDEX(Интервалы!$F$2:$F$513,MATCH(K317,Интервалы!$G$2:$G$513,0)))</f>
        <v/>
      </c>
      <c r="J317" s="8" t="str">
        <f>IF(K317="","",INDEX(Интервалы!$H$2:$H$513,MATCH(K317,Интервалы!$G$2:$G$513,0)))</f>
        <v/>
      </c>
      <c r="K317" t="str">
        <f>IFERROR(SMALL(Интервалы!$G$2:$G$513,311),"")</f>
        <v/>
      </c>
      <c r="L317" t="str">
        <f>IF(K317="","",INDEX(Интервалы!$B$2:$B$513,MATCH(K317,Интервалы!$G$2:$G$513,0)))</f>
        <v/>
      </c>
    </row>
    <row r="318" spans="1:12" x14ac:dyDescent="0.3">
      <c r="A318" s="4" t="str">
        <f>IF(K318="","",312)</f>
        <v/>
      </c>
      <c r="B318" s="4" t="str">
        <f>IF(K318="","",INDEX(Интервалы!$A$2:$A$513,MATCH(K318,Интервалы!$G$2:$G$513,0)))</f>
        <v/>
      </c>
      <c r="C318" s="17" t="str">
        <f>IF(K318="","",INDEX(Интервалы!$C$2:$C$513,MATCH(K318,Интервалы!$G$2:$G$513,0)))</f>
        <v/>
      </c>
      <c r="D318" s="17" t="str">
        <f>IF(K318="","",INDEX(Интервалы!$D$2:$D$513,MATCH(K318,Интервалы!$G$2:$G$513,0)))</f>
        <v/>
      </c>
      <c r="E318" s="4" t="str">
        <f t="shared" si="4"/>
        <v/>
      </c>
      <c r="F318" s="8" t="str">
        <f>IF(K318="","",INDEX(Интервалы!$E$2:$E$513,MATCH(K318,Интервалы!$G$2:$G$513,0)))</f>
        <v/>
      </c>
      <c r="G318" s="18" t="str">
        <f>IF(K318="","",IF(H318=1,INDEX('По дням'!$B$2:$B$4000,MATCH(C318,'По дням'!$A$2:$A$4000,0)),"по периодам ставки"))</f>
        <v/>
      </c>
      <c r="H318" s="4" t="str">
        <f>IF(K318="","",INDEX(Интервалы!$I$2:$I$513,MATCH(K318,Интервалы!$G$2:$G$513,0)))</f>
        <v/>
      </c>
      <c r="I318" s="8" t="str">
        <f>IF(K318="","",INDEX(Интервалы!$F$2:$F$513,MATCH(K318,Интервалы!$G$2:$G$513,0)))</f>
        <v/>
      </c>
      <c r="J318" s="8" t="str">
        <f>IF(K318="","",INDEX(Интервалы!$H$2:$H$513,MATCH(K318,Интервалы!$G$2:$G$513,0)))</f>
        <v/>
      </c>
      <c r="K318" t="str">
        <f>IFERROR(SMALL(Интервалы!$G$2:$G$513,312),"")</f>
        <v/>
      </c>
      <c r="L318" t="str">
        <f>IF(K318="","",INDEX(Интервалы!$B$2:$B$513,MATCH(K318,Интервалы!$G$2:$G$513,0)))</f>
        <v/>
      </c>
    </row>
    <row r="319" spans="1:12" x14ac:dyDescent="0.3">
      <c r="A319" s="4" t="str">
        <f>IF(K319="","",313)</f>
        <v/>
      </c>
      <c r="B319" s="4" t="str">
        <f>IF(K319="","",INDEX(Интервалы!$A$2:$A$513,MATCH(K319,Интервалы!$G$2:$G$513,0)))</f>
        <v/>
      </c>
      <c r="C319" s="17" t="str">
        <f>IF(K319="","",INDEX(Интервалы!$C$2:$C$513,MATCH(K319,Интервалы!$G$2:$G$513,0)))</f>
        <v/>
      </c>
      <c r="D319" s="17" t="str">
        <f>IF(K319="","",INDEX(Интервалы!$D$2:$D$513,MATCH(K319,Интервалы!$G$2:$G$513,0)))</f>
        <v/>
      </c>
      <c r="E319" s="4" t="str">
        <f t="shared" si="4"/>
        <v/>
      </c>
      <c r="F319" s="8" t="str">
        <f>IF(K319="","",INDEX(Интервалы!$E$2:$E$513,MATCH(K319,Интервалы!$G$2:$G$513,0)))</f>
        <v/>
      </c>
      <c r="G319" s="18" t="str">
        <f>IF(K319="","",IF(H319=1,INDEX('По дням'!$B$2:$B$4000,MATCH(C319,'По дням'!$A$2:$A$4000,0)),"по периодам ставки"))</f>
        <v/>
      </c>
      <c r="H319" s="4" t="str">
        <f>IF(K319="","",INDEX(Интервалы!$I$2:$I$513,MATCH(K319,Интервалы!$G$2:$G$513,0)))</f>
        <v/>
      </c>
      <c r="I319" s="8" t="str">
        <f>IF(K319="","",INDEX(Интервалы!$F$2:$F$513,MATCH(K319,Интервалы!$G$2:$G$513,0)))</f>
        <v/>
      </c>
      <c r="J319" s="8" t="str">
        <f>IF(K319="","",INDEX(Интервалы!$H$2:$H$513,MATCH(K319,Интервалы!$G$2:$G$513,0)))</f>
        <v/>
      </c>
      <c r="K319" t="str">
        <f>IFERROR(SMALL(Интервалы!$G$2:$G$513,313),"")</f>
        <v/>
      </c>
      <c r="L319" t="str">
        <f>IF(K319="","",INDEX(Интервалы!$B$2:$B$513,MATCH(K319,Интервалы!$G$2:$G$513,0)))</f>
        <v/>
      </c>
    </row>
    <row r="320" spans="1:12" x14ac:dyDescent="0.3">
      <c r="A320" s="4" t="str">
        <f>IF(K320="","",314)</f>
        <v/>
      </c>
      <c r="B320" s="4" t="str">
        <f>IF(K320="","",INDEX(Интервалы!$A$2:$A$513,MATCH(K320,Интервалы!$G$2:$G$513,0)))</f>
        <v/>
      </c>
      <c r="C320" s="17" t="str">
        <f>IF(K320="","",INDEX(Интервалы!$C$2:$C$513,MATCH(K320,Интервалы!$G$2:$G$513,0)))</f>
        <v/>
      </c>
      <c r="D320" s="17" t="str">
        <f>IF(K320="","",INDEX(Интервалы!$D$2:$D$513,MATCH(K320,Интервалы!$G$2:$G$513,0)))</f>
        <v/>
      </c>
      <c r="E320" s="4" t="str">
        <f t="shared" si="4"/>
        <v/>
      </c>
      <c r="F320" s="8" t="str">
        <f>IF(K320="","",INDEX(Интервалы!$E$2:$E$513,MATCH(K320,Интервалы!$G$2:$G$513,0)))</f>
        <v/>
      </c>
      <c r="G320" s="18" t="str">
        <f>IF(K320="","",IF(H320=1,INDEX('По дням'!$B$2:$B$4000,MATCH(C320,'По дням'!$A$2:$A$4000,0)),"по периодам ставки"))</f>
        <v/>
      </c>
      <c r="H320" s="4" t="str">
        <f>IF(K320="","",INDEX(Интервалы!$I$2:$I$513,MATCH(K320,Интервалы!$G$2:$G$513,0)))</f>
        <v/>
      </c>
      <c r="I320" s="8" t="str">
        <f>IF(K320="","",INDEX(Интервалы!$F$2:$F$513,MATCH(K320,Интервалы!$G$2:$G$513,0)))</f>
        <v/>
      </c>
      <c r="J320" s="8" t="str">
        <f>IF(K320="","",INDEX(Интервалы!$H$2:$H$513,MATCH(K320,Интервалы!$G$2:$G$513,0)))</f>
        <v/>
      </c>
      <c r="K320" t="str">
        <f>IFERROR(SMALL(Интервалы!$G$2:$G$513,314),"")</f>
        <v/>
      </c>
      <c r="L320" t="str">
        <f>IF(K320="","",INDEX(Интервалы!$B$2:$B$513,MATCH(K320,Интервалы!$G$2:$G$513,0)))</f>
        <v/>
      </c>
    </row>
    <row r="321" spans="1:12" x14ac:dyDescent="0.3">
      <c r="A321" s="4" t="str">
        <f>IF(K321="","",315)</f>
        <v/>
      </c>
      <c r="B321" s="4" t="str">
        <f>IF(K321="","",INDEX(Интервалы!$A$2:$A$513,MATCH(K321,Интервалы!$G$2:$G$513,0)))</f>
        <v/>
      </c>
      <c r="C321" s="17" t="str">
        <f>IF(K321="","",INDEX(Интервалы!$C$2:$C$513,MATCH(K321,Интервалы!$G$2:$G$513,0)))</f>
        <v/>
      </c>
      <c r="D321" s="17" t="str">
        <f>IF(K321="","",INDEX(Интервалы!$D$2:$D$513,MATCH(K321,Интервалы!$G$2:$G$513,0)))</f>
        <v/>
      </c>
      <c r="E321" s="4" t="str">
        <f t="shared" si="4"/>
        <v/>
      </c>
      <c r="F321" s="8" t="str">
        <f>IF(K321="","",INDEX(Интервалы!$E$2:$E$513,MATCH(K321,Интервалы!$G$2:$G$513,0)))</f>
        <v/>
      </c>
      <c r="G321" s="18" t="str">
        <f>IF(K321="","",IF(H321=1,INDEX('По дням'!$B$2:$B$4000,MATCH(C321,'По дням'!$A$2:$A$4000,0)),"по периодам ставки"))</f>
        <v/>
      </c>
      <c r="H321" s="4" t="str">
        <f>IF(K321="","",INDEX(Интервалы!$I$2:$I$513,MATCH(K321,Интервалы!$G$2:$G$513,0)))</f>
        <v/>
      </c>
      <c r="I321" s="8" t="str">
        <f>IF(K321="","",INDEX(Интервалы!$F$2:$F$513,MATCH(K321,Интервалы!$G$2:$G$513,0)))</f>
        <v/>
      </c>
      <c r="J321" s="8" t="str">
        <f>IF(K321="","",INDEX(Интервалы!$H$2:$H$513,MATCH(K321,Интервалы!$G$2:$G$513,0)))</f>
        <v/>
      </c>
      <c r="K321" t="str">
        <f>IFERROR(SMALL(Интервалы!$G$2:$G$513,315),"")</f>
        <v/>
      </c>
      <c r="L321" t="str">
        <f>IF(K321="","",INDEX(Интервалы!$B$2:$B$513,MATCH(K321,Интервалы!$G$2:$G$513,0)))</f>
        <v/>
      </c>
    </row>
    <row r="322" spans="1:12" x14ac:dyDescent="0.3">
      <c r="A322" s="4" t="str">
        <f>IF(K322="","",316)</f>
        <v/>
      </c>
      <c r="B322" s="4" t="str">
        <f>IF(K322="","",INDEX(Интервалы!$A$2:$A$513,MATCH(K322,Интервалы!$G$2:$G$513,0)))</f>
        <v/>
      </c>
      <c r="C322" s="17" t="str">
        <f>IF(K322="","",INDEX(Интервалы!$C$2:$C$513,MATCH(K322,Интервалы!$G$2:$G$513,0)))</f>
        <v/>
      </c>
      <c r="D322" s="17" t="str">
        <f>IF(K322="","",INDEX(Интервалы!$D$2:$D$513,MATCH(K322,Интервалы!$G$2:$G$513,0)))</f>
        <v/>
      </c>
      <c r="E322" s="4" t="str">
        <f t="shared" si="4"/>
        <v/>
      </c>
      <c r="F322" s="8" t="str">
        <f>IF(K322="","",INDEX(Интервалы!$E$2:$E$513,MATCH(K322,Интервалы!$G$2:$G$513,0)))</f>
        <v/>
      </c>
      <c r="G322" s="18" t="str">
        <f>IF(K322="","",IF(H322=1,INDEX('По дням'!$B$2:$B$4000,MATCH(C322,'По дням'!$A$2:$A$4000,0)),"по периодам ставки"))</f>
        <v/>
      </c>
      <c r="H322" s="4" t="str">
        <f>IF(K322="","",INDEX(Интервалы!$I$2:$I$513,MATCH(K322,Интервалы!$G$2:$G$513,0)))</f>
        <v/>
      </c>
      <c r="I322" s="8" t="str">
        <f>IF(K322="","",INDEX(Интервалы!$F$2:$F$513,MATCH(K322,Интервалы!$G$2:$G$513,0)))</f>
        <v/>
      </c>
      <c r="J322" s="8" t="str">
        <f>IF(K322="","",INDEX(Интервалы!$H$2:$H$513,MATCH(K322,Интервалы!$G$2:$G$513,0)))</f>
        <v/>
      </c>
      <c r="K322" t="str">
        <f>IFERROR(SMALL(Интервалы!$G$2:$G$513,316),"")</f>
        <v/>
      </c>
      <c r="L322" t="str">
        <f>IF(K322="","",INDEX(Интервалы!$B$2:$B$513,MATCH(K322,Интервалы!$G$2:$G$513,0)))</f>
        <v/>
      </c>
    </row>
    <row r="323" spans="1:12" x14ac:dyDescent="0.3">
      <c r="A323" s="4" t="str">
        <f>IF(K323="","",317)</f>
        <v/>
      </c>
      <c r="B323" s="4" t="str">
        <f>IF(K323="","",INDEX(Интервалы!$A$2:$A$513,MATCH(K323,Интервалы!$G$2:$G$513,0)))</f>
        <v/>
      </c>
      <c r="C323" s="17" t="str">
        <f>IF(K323="","",INDEX(Интервалы!$C$2:$C$513,MATCH(K323,Интервалы!$G$2:$G$513,0)))</f>
        <v/>
      </c>
      <c r="D323" s="17" t="str">
        <f>IF(K323="","",INDEX(Интервалы!$D$2:$D$513,MATCH(K323,Интервалы!$G$2:$G$513,0)))</f>
        <v/>
      </c>
      <c r="E323" s="4" t="str">
        <f t="shared" si="4"/>
        <v/>
      </c>
      <c r="F323" s="8" t="str">
        <f>IF(K323="","",INDEX(Интервалы!$E$2:$E$513,MATCH(K323,Интервалы!$G$2:$G$513,0)))</f>
        <v/>
      </c>
      <c r="G323" s="18" t="str">
        <f>IF(K323="","",IF(H323=1,INDEX('По дням'!$B$2:$B$4000,MATCH(C323,'По дням'!$A$2:$A$4000,0)),"по периодам ставки"))</f>
        <v/>
      </c>
      <c r="H323" s="4" t="str">
        <f>IF(K323="","",INDEX(Интервалы!$I$2:$I$513,MATCH(K323,Интервалы!$G$2:$G$513,0)))</f>
        <v/>
      </c>
      <c r="I323" s="8" t="str">
        <f>IF(K323="","",INDEX(Интервалы!$F$2:$F$513,MATCH(K323,Интервалы!$G$2:$G$513,0)))</f>
        <v/>
      </c>
      <c r="J323" s="8" t="str">
        <f>IF(K323="","",INDEX(Интервалы!$H$2:$H$513,MATCH(K323,Интервалы!$G$2:$G$513,0)))</f>
        <v/>
      </c>
      <c r="K323" t="str">
        <f>IFERROR(SMALL(Интервалы!$G$2:$G$513,317),"")</f>
        <v/>
      </c>
      <c r="L323" t="str">
        <f>IF(K323="","",INDEX(Интервалы!$B$2:$B$513,MATCH(K323,Интервалы!$G$2:$G$513,0)))</f>
        <v/>
      </c>
    </row>
    <row r="324" spans="1:12" x14ac:dyDescent="0.3">
      <c r="A324" s="4" t="str">
        <f>IF(K324="","",318)</f>
        <v/>
      </c>
      <c r="B324" s="4" t="str">
        <f>IF(K324="","",INDEX(Интервалы!$A$2:$A$513,MATCH(K324,Интервалы!$G$2:$G$513,0)))</f>
        <v/>
      </c>
      <c r="C324" s="17" t="str">
        <f>IF(K324="","",INDEX(Интервалы!$C$2:$C$513,MATCH(K324,Интервалы!$G$2:$G$513,0)))</f>
        <v/>
      </c>
      <c r="D324" s="17" t="str">
        <f>IF(K324="","",INDEX(Интервалы!$D$2:$D$513,MATCH(K324,Интервалы!$G$2:$G$513,0)))</f>
        <v/>
      </c>
      <c r="E324" s="4" t="str">
        <f t="shared" si="4"/>
        <v/>
      </c>
      <c r="F324" s="8" t="str">
        <f>IF(K324="","",INDEX(Интервалы!$E$2:$E$513,MATCH(K324,Интервалы!$G$2:$G$513,0)))</f>
        <v/>
      </c>
      <c r="G324" s="18" t="str">
        <f>IF(K324="","",IF(H324=1,INDEX('По дням'!$B$2:$B$4000,MATCH(C324,'По дням'!$A$2:$A$4000,0)),"по периодам ставки"))</f>
        <v/>
      </c>
      <c r="H324" s="4" t="str">
        <f>IF(K324="","",INDEX(Интервалы!$I$2:$I$513,MATCH(K324,Интервалы!$G$2:$G$513,0)))</f>
        <v/>
      </c>
      <c r="I324" s="8" t="str">
        <f>IF(K324="","",INDEX(Интервалы!$F$2:$F$513,MATCH(K324,Интервалы!$G$2:$G$513,0)))</f>
        <v/>
      </c>
      <c r="J324" s="8" t="str">
        <f>IF(K324="","",INDEX(Интервалы!$H$2:$H$513,MATCH(K324,Интервалы!$G$2:$G$513,0)))</f>
        <v/>
      </c>
      <c r="K324" t="str">
        <f>IFERROR(SMALL(Интервалы!$G$2:$G$513,318),"")</f>
        <v/>
      </c>
      <c r="L324" t="str">
        <f>IF(K324="","",INDEX(Интервалы!$B$2:$B$513,MATCH(K324,Интервалы!$G$2:$G$513,0)))</f>
        <v/>
      </c>
    </row>
    <row r="325" spans="1:12" x14ac:dyDescent="0.3">
      <c r="A325" s="4" t="str">
        <f>IF(K325="","",319)</f>
        <v/>
      </c>
      <c r="B325" s="4" t="str">
        <f>IF(K325="","",INDEX(Интервалы!$A$2:$A$513,MATCH(K325,Интервалы!$G$2:$G$513,0)))</f>
        <v/>
      </c>
      <c r="C325" s="17" t="str">
        <f>IF(K325="","",INDEX(Интервалы!$C$2:$C$513,MATCH(K325,Интервалы!$G$2:$G$513,0)))</f>
        <v/>
      </c>
      <c r="D325" s="17" t="str">
        <f>IF(K325="","",INDEX(Интервалы!$D$2:$D$513,MATCH(K325,Интервалы!$G$2:$G$513,0)))</f>
        <v/>
      </c>
      <c r="E325" s="4" t="str">
        <f t="shared" si="4"/>
        <v/>
      </c>
      <c r="F325" s="8" t="str">
        <f>IF(K325="","",INDEX(Интервалы!$E$2:$E$513,MATCH(K325,Интервалы!$G$2:$G$513,0)))</f>
        <v/>
      </c>
      <c r="G325" s="18" t="str">
        <f>IF(K325="","",IF(H325=1,INDEX('По дням'!$B$2:$B$4000,MATCH(C325,'По дням'!$A$2:$A$4000,0)),"по периодам ставки"))</f>
        <v/>
      </c>
      <c r="H325" s="4" t="str">
        <f>IF(K325="","",INDEX(Интервалы!$I$2:$I$513,MATCH(K325,Интервалы!$G$2:$G$513,0)))</f>
        <v/>
      </c>
      <c r="I325" s="8" t="str">
        <f>IF(K325="","",INDEX(Интервалы!$F$2:$F$513,MATCH(K325,Интервалы!$G$2:$G$513,0)))</f>
        <v/>
      </c>
      <c r="J325" s="8" t="str">
        <f>IF(K325="","",INDEX(Интервалы!$H$2:$H$513,MATCH(K325,Интервалы!$G$2:$G$513,0)))</f>
        <v/>
      </c>
      <c r="K325" t="str">
        <f>IFERROR(SMALL(Интервалы!$G$2:$G$513,319),"")</f>
        <v/>
      </c>
      <c r="L325" t="str">
        <f>IF(K325="","",INDEX(Интервалы!$B$2:$B$513,MATCH(K325,Интервалы!$G$2:$G$513,0)))</f>
        <v/>
      </c>
    </row>
    <row r="326" spans="1:12" x14ac:dyDescent="0.3">
      <c r="A326" s="4" t="str">
        <f>IF(K326="","",320)</f>
        <v/>
      </c>
      <c r="B326" s="4" t="str">
        <f>IF(K326="","",INDEX(Интервалы!$A$2:$A$513,MATCH(K326,Интервалы!$G$2:$G$513,0)))</f>
        <v/>
      </c>
      <c r="C326" s="17" t="str">
        <f>IF(K326="","",INDEX(Интервалы!$C$2:$C$513,MATCH(K326,Интервалы!$G$2:$G$513,0)))</f>
        <v/>
      </c>
      <c r="D326" s="17" t="str">
        <f>IF(K326="","",INDEX(Интервалы!$D$2:$D$513,MATCH(K326,Интервалы!$G$2:$G$513,0)))</f>
        <v/>
      </c>
      <c r="E326" s="4" t="str">
        <f t="shared" si="4"/>
        <v/>
      </c>
      <c r="F326" s="8" t="str">
        <f>IF(K326="","",INDEX(Интервалы!$E$2:$E$513,MATCH(K326,Интервалы!$G$2:$G$513,0)))</f>
        <v/>
      </c>
      <c r="G326" s="18" t="str">
        <f>IF(K326="","",IF(H326=1,INDEX('По дням'!$B$2:$B$4000,MATCH(C326,'По дням'!$A$2:$A$4000,0)),"по периодам ставки"))</f>
        <v/>
      </c>
      <c r="H326" s="4" t="str">
        <f>IF(K326="","",INDEX(Интервалы!$I$2:$I$513,MATCH(K326,Интервалы!$G$2:$G$513,0)))</f>
        <v/>
      </c>
      <c r="I326" s="8" t="str">
        <f>IF(K326="","",INDEX(Интервалы!$F$2:$F$513,MATCH(K326,Интервалы!$G$2:$G$513,0)))</f>
        <v/>
      </c>
      <c r="J326" s="8" t="str">
        <f>IF(K326="","",INDEX(Интервалы!$H$2:$H$513,MATCH(K326,Интервалы!$G$2:$G$513,0)))</f>
        <v/>
      </c>
      <c r="K326" t="str">
        <f>IFERROR(SMALL(Интервалы!$G$2:$G$513,320),"")</f>
        <v/>
      </c>
      <c r="L326" t="str">
        <f>IF(K326="","",INDEX(Интервалы!$B$2:$B$513,MATCH(K326,Интервалы!$G$2:$G$513,0)))</f>
        <v/>
      </c>
    </row>
    <row r="327" spans="1:12" x14ac:dyDescent="0.3">
      <c r="A327" s="4" t="str">
        <f>IF(K327="","",321)</f>
        <v/>
      </c>
      <c r="B327" s="4" t="str">
        <f>IF(K327="","",INDEX(Интервалы!$A$2:$A$513,MATCH(K327,Интервалы!$G$2:$G$513,0)))</f>
        <v/>
      </c>
      <c r="C327" s="17" t="str">
        <f>IF(K327="","",INDEX(Интервалы!$C$2:$C$513,MATCH(K327,Интервалы!$G$2:$G$513,0)))</f>
        <v/>
      </c>
      <c r="D327" s="17" t="str">
        <f>IF(K327="","",INDEX(Интервалы!$D$2:$D$513,MATCH(K327,Интервалы!$G$2:$G$513,0)))</f>
        <v/>
      </c>
      <c r="E327" s="4" t="str">
        <f t="shared" ref="E327:E390" si="5">IF(K327="","",D327-C327+1)</f>
        <v/>
      </c>
      <c r="F327" s="8" t="str">
        <f>IF(K327="","",INDEX(Интервалы!$E$2:$E$513,MATCH(K327,Интервалы!$G$2:$G$513,0)))</f>
        <v/>
      </c>
      <c r="G327" s="18" t="str">
        <f>IF(K327="","",IF(H327=1,INDEX('По дням'!$B$2:$B$4000,MATCH(C327,'По дням'!$A$2:$A$4000,0)),"по периодам ставки"))</f>
        <v/>
      </c>
      <c r="H327" s="4" t="str">
        <f>IF(K327="","",INDEX(Интервалы!$I$2:$I$513,MATCH(K327,Интервалы!$G$2:$G$513,0)))</f>
        <v/>
      </c>
      <c r="I327" s="8" t="str">
        <f>IF(K327="","",INDEX(Интервалы!$F$2:$F$513,MATCH(K327,Интервалы!$G$2:$G$513,0)))</f>
        <v/>
      </c>
      <c r="J327" s="8" t="str">
        <f>IF(K327="","",INDEX(Интервалы!$H$2:$H$513,MATCH(K327,Интервалы!$G$2:$G$513,0)))</f>
        <v/>
      </c>
      <c r="K327" t="str">
        <f>IFERROR(SMALL(Интервалы!$G$2:$G$513,321),"")</f>
        <v/>
      </c>
      <c r="L327" t="str">
        <f>IF(K327="","",INDEX(Интервалы!$B$2:$B$513,MATCH(K327,Интервалы!$G$2:$G$513,0)))</f>
        <v/>
      </c>
    </row>
    <row r="328" spans="1:12" x14ac:dyDescent="0.3">
      <c r="A328" s="4" t="str">
        <f>IF(K328="","",322)</f>
        <v/>
      </c>
      <c r="B328" s="4" t="str">
        <f>IF(K328="","",INDEX(Интервалы!$A$2:$A$513,MATCH(K328,Интервалы!$G$2:$G$513,0)))</f>
        <v/>
      </c>
      <c r="C328" s="17" t="str">
        <f>IF(K328="","",INDEX(Интервалы!$C$2:$C$513,MATCH(K328,Интервалы!$G$2:$G$513,0)))</f>
        <v/>
      </c>
      <c r="D328" s="17" t="str">
        <f>IF(K328="","",INDEX(Интервалы!$D$2:$D$513,MATCH(K328,Интервалы!$G$2:$G$513,0)))</f>
        <v/>
      </c>
      <c r="E328" s="4" t="str">
        <f t="shared" si="5"/>
        <v/>
      </c>
      <c r="F328" s="8" t="str">
        <f>IF(K328="","",INDEX(Интервалы!$E$2:$E$513,MATCH(K328,Интервалы!$G$2:$G$513,0)))</f>
        <v/>
      </c>
      <c r="G328" s="18" t="str">
        <f>IF(K328="","",IF(H328=1,INDEX('По дням'!$B$2:$B$4000,MATCH(C328,'По дням'!$A$2:$A$4000,0)),"по периодам ставки"))</f>
        <v/>
      </c>
      <c r="H328" s="4" t="str">
        <f>IF(K328="","",INDEX(Интервалы!$I$2:$I$513,MATCH(K328,Интервалы!$G$2:$G$513,0)))</f>
        <v/>
      </c>
      <c r="I328" s="8" t="str">
        <f>IF(K328="","",INDEX(Интервалы!$F$2:$F$513,MATCH(K328,Интервалы!$G$2:$G$513,0)))</f>
        <v/>
      </c>
      <c r="J328" s="8" t="str">
        <f>IF(K328="","",INDEX(Интервалы!$H$2:$H$513,MATCH(K328,Интервалы!$G$2:$G$513,0)))</f>
        <v/>
      </c>
      <c r="K328" t="str">
        <f>IFERROR(SMALL(Интервалы!$G$2:$G$513,322),"")</f>
        <v/>
      </c>
      <c r="L328" t="str">
        <f>IF(K328="","",INDEX(Интервалы!$B$2:$B$513,MATCH(K328,Интервалы!$G$2:$G$513,0)))</f>
        <v/>
      </c>
    </row>
    <row r="329" spans="1:12" x14ac:dyDescent="0.3">
      <c r="A329" s="4" t="str">
        <f>IF(K329="","",323)</f>
        <v/>
      </c>
      <c r="B329" s="4" t="str">
        <f>IF(K329="","",INDEX(Интервалы!$A$2:$A$513,MATCH(K329,Интервалы!$G$2:$G$513,0)))</f>
        <v/>
      </c>
      <c r="C329" s="17" t="str">
        <f>IF(K329="","",INDEX(Интервалы!$C$2:$C$513,MATCH(K329,Интервалы!$G$2:$G$513,0)))</f>
        <v/>
      </c>
      <c r="D329" s="17" t="str">
        <f>IF(K329="","",INDEX(Интервалы!$D$2:$D$513,MATCH(K329,Интервалы!$G$2:$G$513,0)))</f>
        <v/>
      </c>
      <c r="E329" s="4" t="str">
        <f t="shared" si="5"/>
        <v/>
      </c>
      <c r="F329" s="8" t="str">
        <f>IF(K329="","",INDEX(Интервалы!$E$2:$E$513,MATCH(K329,Интервалы!$G$2:$G$513,0)))</f>
        <v/>
      </c>
      <c r="G329" s="18" t="str">
        <f>IF(K329="","",IF(H329=1,INDEX('По дням'!$B$2:$B$4000,MATCH(C329,'По дням'!$A$2:$A$4000,0)),"по периодам ставки"))</f>
        <v/>
      </c>
      <c r="H329" s="4" t="str">
        <f>IF(K329="","",INDEX(Интервалы!$I$2:$I$513,MATCH(K329,Интервалы!$G$2:$G$513,0)))</f>
        <v/>
      </c>
      <c r="I329" s="8" t="str">
        <f>IF(K329="","",INDEX(Интервалы!$F$2:$F$513,MATCH(K329,Интервалы!$G$2:$G$513,0)))</f>
        <v/>
      </c>
      <c r="J329" s="8" t="str">
        <f>IF(K329="","",INDEX(Интервалы!$H$2:$H$513,MATCH(K329,Интервалы!$G$2:$G$513,0)))</f>
        <v/>
      </c>
      <c r="K329" t="str">
        <f>IFERROR(SMALL(Интервалы!$G$2:$G$513,323),"")</f>
        <v/>
      </c>
      <c r="L329" t="str">
        <f>IF(K329="","",INDEX(Интервалы!$B$2:$B$513,MATCH(K329,Интервалы!$G$2:$G$513,0)))</f>
        <v/>
      </c>
    </row>
    <row r="330" spans="1:12" x14ac:dyDescent="0.3">
      <c r="A330" s="4" t="str">
        <f>IF(K330="","",324)</f>
        <v/>
      </c>
      <c r="B330" s="4" t="str">
        <f>IF(K330="","",INDEX(Интервалы!$A$2:$A$513,MATCH(K330,Интервалы!$G$2:$G$513,0)))</f>
        <v/>
      </c>
      <c r="C330" s="17" t="str">
        <f>IF(K330="","",INDEX(Интервалы!$C$2:$C$513,MATCH(K330,Интервалы!$G$2:$G$513,0)))</f>
        <v/>
      </c>
      <c r="D330" s="17" t="str">
        <f>IF(K330="","",INDEX(Интервалы!$D$2:$D$513,MATCH(K330,Интервалы!$G$2:$G$513,0)))</f>
        <v/>
      </c>
      <c r="E330" s="4" t="str">
        <f t="shared" si="5"/>
        <v/>
      </c>
      <c r="F330" s="8" t="str">
        <f>IF(K330="","",INDEX(Интервалы!$E$2:$E$513,MATCH(K330,Интервалы!$G$2:$G$513,0)))</f>
        <v/>
      </c>
      <c r="G330" s="18" t="str">
        <f>IF(K330="","",IF(H330=1,INDEX('По дням'!$B$2:$B$4000,MATCH(C330,'По дням'!$A$2:$A$4000,0)),"по периодам ставки"))</f>
        <v/>
      </c>
      <c r="H330" s="4" t="str">
        <f>IF(K330="","",INDEX(Интервалы!$I$2:$I$513,MATCH(K330,Интервалы!$G$2:$G$513,0)))</f>
        <v/>
      </c>
      <c r="I330" s="8" t="str">
        <f>IF(K330="","",INDEX(Интервалы!$F$2:$F$513,MATCH(K330,Интервалы!$G$2:$G$513,0)))</f>
        <v/>
      </c>
      <c r="J330" s="8" t="str">
        <f>IF(K330="","",INDEX(Интервалы!$H$2:$H$513,MATCH(K330,Интервалы!$G$2:$G$513,0)))</f>
        <v/>
      </c>
      <c r="K330" t="str">
        <f>IFERROR(SMALL(Интервалы!$G$2:$G$513,324),"")</f>
        <v/>
      </c>
      <c r="L330" t="str">
        <f>IF(K330="","",INDEX(Интервалы!$B$2:$B$513,MATCH(K330,Интервалы!$G$2:$G$513,0)))</f>
        <v/>
      </c>
    </row>
    <row r="331" spans="1:12" x14ac:dyDescent="0.3">
      <c r="A331" s="4" t="str">
        <f>IF(K331="","",325)</f>
        <v/>
      </c>
      <c r="B331" s="4" t="str">
        <f>IF(K331="","",INDEX(Интервалы!$A$2:$A$513,MATCH(K331,Интервалы!$G$2:$G$513,0)))</f>
        <v/>
      </c>
      <c r="C331" s="17" t="str">
        <f>IF(K331="","",INDEX(Интервалы!$C$2:$C$513,MATCH(K331,Интервалы!$G$2:$G$513,0)))</f>
        <v/>
      </c>
      <c r="D331" s="17" t="str">
        <f>IF(K331="","",INDEX(Интервалы!$D$2:$D$513,MATCH(K331,Интервалы!$G$2:$G$513,0)))</f>
        <v/>
      </c>
      <c r="E331" s="4" t="str">
        <f t="shared" si="5"/>
        <v/>
      </c>
      <c r="F331" s="8" t="str">
        <f>IF(K331="","",INDEX(Интервалы!$E$2:$E$513,MATCH(K331,Интервалы!$G$2:$G$513,0)))</f>
        <v/>
      </c>
      <c r="G331" s="18" t="str">
        <f>IF(K331="","",IF(H331=1,INDEX('По дням'!$B$2:$B$4000,MATCH(C331,'По дням'!$A$2:$A$4000,0)),"по периодам ставки"))</f>
        <v/>
      </c>
      <c r="H331" s="4" t="str">
        <f>IF(K331="","",INDEX(Интервалы!$I$2:$I$513,MATCH(K331,Интервалы!$G$2:$G$513,0)))</f>
        <v/>
      </c>
      <c r="I331" s="8" t="str">
        <f>IF(K331="","",INDEX(Интервалы!$F$2:$F$513,MATCH(K331,Интервалы!$G$2:$G$513,0)))</f>
        <v/>
      </c>
      <c r="J331" s="8" t="str">
        <f>IF(K331="","",INDEX(Интервалы!$H$2:$H$513,MATCH(K331,Интервалы!$G$2:$G$513,0)))</f>
        <v/>
      </c>
      <c r="K331" t="str">
        <f>IFERROR(SMALL(Интервалы!$G$2:$G$513,325),"")</f>
        <v/>
      </c>
      <c r="L331" t="str">
        <f>IF(K331="","",INDEX(Интервалы!$B$2:$B$513,MATCH(K331,Интервалы!$G$2:$G$513,0)))</f>
        <v/>
      </c>
    </row>
    <row r="332" spans="1:12" x14ac:dyDescent="0.3">
      <c r="A332" s="4" t="str">
        <f>IF(K332="","",326)</f>
        <v/>
      </c>
      <c r="B332" s="4" t="str">
        <f>IF(K332="","",INDEX(Интервалы!$A$2:$A$513,MATCH(K332,Интервалы!$G$2:$G$513,0)))</f>
        <v/>
      </c>
      <c r="C332" s="17" t="str">
        <f>IF(K332="","",INDEX(Интервалы!$C$2:$C$513,MATCH(K332,Интервалы!$G$2:$G$513,0)))</f>
        <v/>
      </c>
      <c r="D332" s="17" t="str">
        <f>IF(K332="","",INDEX(Интервалы!$D$2:$D$513,MATCH(K332,Интервалы!$G$2:$G$513,0)))</f>
        <v/>
      </c>
      <c r="E332" s="4" t="str">
        <f t="shared" si="5"/>
        <v/>
      </c>
      <c r="F332" s="8" t="str">
        <f>IF(K332="","",INDEX(Интервалы!$E$2:$E$513,MATCH(K332,Интервалы!$G$2:$G$513,0)))</f>
        <v/>
      </c>
      <c r="G332" s="18" t="str">
        <f>IF(K332="","",IF(H332=1,INDEX('По дням'!$B$2:$B$4000,MATCH(C332,'По дням'!$A$2:$A$4000,0)),"по периодам ставки"))</f>
        <v/>
      </c>
      <c r="H332" s="4" t="str">
        <f>IF(K332="","",INDEX(Интервалы!$I$2:$I$513,MATCH(K332,Интервалы!$G$2:$G$513,0)))</f>
        <v/>
      </c>
      <c r="I332" s="8" t="str">
        <f>IF(K332="","",INDEX(Интервалы!$F$2:$F$513,MATCH(K332,Интервалы!$G$2:$G$513,0)))</f>
        <v/>
      </c>
      <c r="J332" s="8" t="str">
        <f>IF(K332="","",INDEX(Интервалы!$H$2:$H$513,MATCH(K332,Интервалы!$G$2:$G$513,0)))</f>
        <v/>
      </c>
      <c r="K332" t="str">
        <f>IFERROR(SMALL(Интервалы!$G$2:$G$513,326),"")</f>
        <v/>
      </c>
      <c r="L332" t="str">
        <f>IF(K332="","",INDEX(Интервалы!$B$2:$B$513,MATCH(K332,Интервалы!$G$2:$G$513,0)))</f>
        <v/>
      </c>
    </row>
    <row r="333" spans="1:12" x14ac:dyDescent="0.3">
      <c r="A333" s="4" t="str">
        <f>IF(K333="","",327)</f>
        <v/>
      </c>
      <c r="B333" s="4" t="str">
        <f>IF(K333="","",INDEX(Интервалы!$A$2:$A$513,MATCH(K333,Интервалы!$G$2:$G$513,0)))</f>
        <v/>
      </c>
      <c r="C333" s="17" t="str">
        <f>IF(K333="","",INDEX(Интервалы!$C$2:$C$513,MATCH(K333,Интервалы!$G$2:$G$513,0)))</f>
        <v/>
      </c>
      <c r="D333" s="17" t="str">
        <f>IF(K333="","",INDEX(Интервалы!$D$2:$D$513,MATCH(K333,Интервалы!$G$2:$G$513,0)))</f>
        <v/>
      </c>
      <c r="E333" s="4" t="str">
        <f t="shared" si="5"/>
        <v/>
      </c>
      <c r="F333" s="8" t="str">
        <f>IF(K333="","",INDEX(Интервалы!$E$2:$E$513,MATCH(K333,Интервалы!$G$2:$G$513,0)))</f>
        <v/>
      </c>
      <c r="G333" s="18" t="str">
        <f>IF(K333="","",IF(H333=1,INDEX('По дням'!$B$2:$B$4000,MATCH(C333,'По дням'!$A$2:$A$4000,0)),"по периодам ставки"))</f>
        <v/>
      </c>
      <c r="H333" s="4" t="str">
        <f>IF(K333="","",INDEX(Интервалы!$I$2:$I$513,MATCH(K333,Интервалы!$G$2:$G$513,0)))</f>
        <v/>
      </c>
      <c r="I333" s="8" t="str">
        <f>IF(K333="","",INDEX(Интервалы!$F$2:$F$513,MATCH(K333,Интервалы!$G$2:$G$513,0)))</f>
        <v/>
      </c>
      <c r="J333" s="8" t="str">
        <f>IF(K333="","",INDEX(Интервалы!$H$2:$H$513,MATCH(K333,Интервалы!$G$2:$G$513,0)))</f>
        <v/>
      </c>
      <c r="K333" t="str">
        <f>IFERROR(SMALL(Интервалы!$G$2:$G$513,327),"")</f>
        <v/>
      </c>
      <c r="L333" t="str">
        <f>IF(K333="","",INDEX(Интервалы!$B$2:$B$513,MATCH(K333,Интервалы!$G$2:$G$513,0)))</f>
        <v/>
      </c>
    </row>
    <row r="334" spans="1:12" x14ac:dyDescent="0.3">
      <c r="A334" s="4" t="str">
        <f>IF(K334="","",328)</f>
        <v/>
      </c>
      <c r="B334" s="4" t="str">
        <f>IF(K334="","",INDEX(Интервалы!$A$2:$A$513,MATCH(K334,Интервалы!$G$2:$G$513,0)))</f>
        <v/>
      </c>
      <c r="C334" s="17" t="str">
        <f>IF(K334="","",INDEX(Интервалы!$C$2:$C$513,MATCH(K334,Интервалы!$G$2:$G$513,0)))</f>
        <v/>
      </c>
      <c r="D334" s="17" t="str">
        <f>IF(K334="","",INDEX(Интервалы!$D$2:$D$513,MATCH(K334,Интервалы!$G$2:$G$513,0)))</f>
        <v/>
      </c>
      <c r="E334" s="4" t="str">
        <f t="shared" si="5"/>
        <v/>
      </c>
      <c r="F334" s="8" t="str">
        <f>IF(K334="","",INDEX(Интервалы!$E$2:$E$513,MATCH(K334,Интервалы!$G$2:$G$513,0)))</f>
        <v/>
      </c>
      <c r="G334" s="18" t="str">
        <f>IF(K334="","",IF(H334=1,INDEX('По дням'!$B$2:$B$4000,MATCH(C334,'По дням'!$A$2:$A$4000,0)),"по периодам ставки"))</f>
        <v/>
      </c>
      <c r="H334" s="4" t="str">
        <f>IF(K334="","",INDEX(Интервалы!$I$2:$I$513,MATCH(K334,Интервалы!$G$2:$G$513,0)))</f>
        <v/>
      </c>
      <c r="I334" s="8" t="str">
        <f>IF(K334="","",INDEX(Интервалы!$F$2:$F$513,MATCH(K334,Интервалы!$G$2:$G$513,0)))</f>
        <v/>
      </c>
      <c r="J334" s="8" t="str">
        <f>IF(K334="","",INDEX(Интервалы!$H$2:$H$513,MATCH(K334,Интервалы!$G$2:$G$513,0)))</f>
        <v/>
      </c>
      <c r="K334" t="str">
        <f>IFERROR(SMALL(Интервалы!$G$2:$G$513,328),"")</f>
        <v/>
      </c>
      <c r="L334" t="str">
        <f>IF(K334="","",INDEX(Интервалы!$B$2:$B$513,MATCH(K334,Интервалы!$G$2:$G$513,0)))</f>
        <v/>
      </c>
    </row>
    <row r="335" spans="1:12" x14ac:dyDescent="0.3">
      <c r="A335" s="4" t="str">
        <f>IF(K335="","",329)</f>
        <v/>
      </c>
      <c r="B335" s="4" t="str">
        <f>IF(K335="","",INDEX(Интервалы!$A$2:$A$513,MATCH(K335,Интервалы!$G$2:$G$513,0)))</f>
        <v/>
      </c>
      <c r="C335" s="17" t="str">
        <f>IF(K335="","",INDEX(Интервалы!$C$2:$C$513,MATCH(K335,Интервалы!$G$2:$G$513,0)))</f>
        <v/>
      </c>
      <c r="D335" s="17" t="str">
        <f>IF(K335="","",INDEX(Интервалы!$D$2:$D$513,MATCH(K335,Интервалы!$G$2:$G$513,0)))</f>
        <v/>
      </c>
      <c r="E335" s="4" t="str">
        <f t="shared" si="5"/>
        <v/>
      </c>
      <c r="F335" s="8" t="str">
        <f>IF(K335="","",INDEX(Интервалы!$E$2:$E$513,MATCH(K335,Интервалы!$G$2:$G$513,0)))</f>
        <v/>
      </c>
      <c r="G335" s="18" t="str">
        <f>IF(K335="","",IF(H335=1,INDEX('По дням'!$B$2:$B$4000,MATCH(C335,'По дням'!$A$2:$A$4000,0)),"по периодам ставки"))</f>
        <v/>
      </c>
      <c r="H335" s="4" t="str">
        <f>IF(K335="","",INDEX(Интервалы!$I$2:$I$513,MATCH(K335,Интервалы!$G$2:$G$513,0)))</f>
        <v/>
      </c>
      <c r="I335" s="8" t="str">
        <f>IF(K335="","",INDEX(Интервалы!$F$2:$F$513,MATCH(K335,Интервалы!$G$2:$G$513,0)))</f>
        <v/>
      </c>
      <c r="J335" s="8" t="str">
        <f>IF(K335="","",INDEX(Интервалы!$H$2:$H$513,MATCH(K335,Интервалы!$G$2:$G$513,0)))</f>
        <v/>
      </c>
      <c r="K335" t="str">
        <f>IFERROR(SMALL(Интервалы!$G$2:$G$513,329),"")</f>
        <v/>
      </c>
      <c r="L335" t="str">
        <f>IF(K335="","",INDEX(Интервалы!$B$2:$B$513,MATCH(K335,Интервалы!$G$2:$G$513,0)))</f>
        <v/>
      </c>
    </row>
    <row r="336" spans="1:12" x14ac:dyDescent="0.3">
      <c r="A336" s="4" t="str">
        <f>IF(K336="","",330)</f>
        <v/>
      </c>
      <c r="B336" s="4" t="str">
        <f>IF(K336="","",INDEX(Интервалы!$A$2:$A$513,MATCH(K336,Интервалы!$G$2:$G$513,0)))</f>
        <v/>
      </c>
      <c r="C336" s="17" t="str">
        <f>IF(K336="","",INDEX(Интервалы!$C$2:$C$513,MATCH(K336,Интервалы!$G$2:$G$513,0)))</f>
        <v/>
      </c>
      <c r="D336" s="17" t="str">
        <f>IF(K336="","",INDEX(Интервалы!$D$2:$D$513,MATCH(K336,Интервалы!$G$2:$G$513,0)))</f>
        <v/>
      </c>
      <c r="E336" s="4" t="str">
        <f t="shared" si="5"/>
        <v/>
      </c>
      <c r="F336" s="8" t="str">
        <f>IF(K336="","",INDEX(Интервалы!$E$2:$E$513,MATCH(K336,Интервалы!$G$2:$G$513,0)))</f>
        <v/>
      </c>
      <c r="G336" s="18" t="str">
        <f>IF(K336="","",IF(H336=1,INDEX('По дням'!$B$2:$B$4000,MATCH(C336,'По дням'!$A$2:$A$4000,0)),"по периодам ставки"))</f>
        <v/>
      </c>
      <c r="H336" s="4" t="str">
        <f>IF(K336="","",INDEX(Интервалы!$I$2:$I$513,MATCH(K336,Интервалы!$G$2:$G$513,0)))</f>
        <v/>
      </c>
      <c r="I336" s="8" t="str">
        <f>IF(K336="","",INDEX(Интервалы!$F$2:$F$513,MATCH(K336,Интервалы!$G$2:$G$513,0)))</f>
        <v/>
      </c>
      <c r="J336" s="8" t="str">
        <f>IF(K336="","",INDEX(Интервалы!$H$2:$H$513,MATCH(K336,Интервалы!$G$2:$G$513,0)))</f>
        <v/>
      </c>
      <c r="K336" t="str">
        <f>IFERROR(SMALL(Интервалы!$G$2:$G$513,330),"")</f>
        <v/>
      </c>
      <c r="L336" t="str">
        <f>IF(K336="","",INDEX(Интервалы!$B$2:$B$513,MATCH(K336,Интервалы!$G$2:$G$513,0)))</f>
        <v/>
      </c>
    </row>
    <row r="337" spans="1:12" x14ac:dyDescent="0.3">
      <c r="A337" s="4" t="str">
        <f>IF(K337="","",331)</f>
        <v/>
      </c>
      <c r="B337" s="4" t="str">
        <f>IF(K337="","",INDEX(Интервалы!$A$2:$A$513,MATCH(K337,Интервалы!$G$2:$G$513,0)))</f>
        <v/>
      </c>
      <c r="C337" s="17" t="str">
        <f>IF(K337="","",INDEX(Интервалы!$C$2:$C$513,MATCH(K337,Интервалы!$G$2:$G$513,0)))</f>
        <v/>
      </c>
      <c r="D337" s="17" t="str">
        <f>IF(K337="","",INDEX(Интервалы!$D$2:$D$513,MATCH(K337,Интервалы!$G$2:$G$513,0)))</f>
        <v/>
      </c>
      <c r="E337" s="4" t="str">
        <f t="shared" si="5"/>
        <v/>
      </c>
      <c r="F337" s="8" t="str">
        <f>IF(K337="","",INDEX(Интервалы!$E$2:$E$513,MATCH(K337,Интервалы!$G$2:$G$513,0)))</f>
        <v/>
      </c>
      <c r="G337" s="18" t="str">
        <f>IF(K337="","",IF(H337=1,INDEX('По дням'!$B$2:$B$4000,MATCH(C337,'По дням'!$A$2:$A$4000,0)),"по периодам ставки"))</f>
        <v/>
      </c>
      <c r="H337" s="4" t="str">
        <f>IF(K337="","",INDEX(Интервалы!$I$2:$I$513,MATCH(K337,Интервалы!$G$2:$G$513,0)))</f>
        <v/>
      </c>
      <c r="I337" s="8" t="str">
        <f>IF(K337="","",INDEX(Интервалы!$F$2:$F$513,MATCH(K337,Интервалы!$G$2:$G$513,0)))</f>
        <v/>
      </c>
      <c r="J337" s="8" t="str">
        <f>IF(K337="","",INDEX(Интервалы!$H$2:$H$513,MATCH(K337,Интервалы!$G$2:$G$513,0)))</f>
        <v/>
      </c>
      <c r="K337" t="str">
        <f>IFERROR(SMALL(Интервалы!$G$2:$G$513,331),"")</f>
        <v/>
      </c>
      <c r="L337" t="str">
        <f>IF(K337="","",INDEX(Интервалы!$B$2:$B$513,MATCH(K337,Интервалы!$G$2:$G$513,0)))</f>
        <v/>
      </c>
    </row>
    <row r="338" spans="1:12" x14ac:dyDescent="0.3">
      <c r="A338" s="4" t="str">
        <f>IF(K338="","",332)</f>
        <v/>
      </c>
      <c r="B338" s="4" t="str">
        <f>IF(K338="","",INDEX(Интервалы!$A$2:$A$513,MATCH(K338,Интервалы!$G$2:$G$513,0)))</f>
        <v/>
      </c>
      <c r="C338" s="17" t="str">
        <f>IF(K338="","",INDEX(Интервалы!$C$2:$C$513,MATCH(K338,Интервалы!$G$2:$G$513,0)))</f>
        <v/>
      </c>
      <c r="D338" s="17" t="str">
        <f>IF(K338="","",INDEX(Интервалы!$D$2:$D$513,MATCH(K338,Интервалы!$G$2:$G$513,0)))</f>
        <v/>
      </c>
      <c r="E338" s="4" t="str">
        <f t="shared" si="5"/>
        <v/>
      </c>
      <c r="F338" s="8" t="str">
        <f>IF(K338="","",INDEX(Интервалы!$E$2:$E$513,MATCH(K338,Интервалы!$G$2:$G$513,0)))</f>
        <v/>
      </c>
      <c r="G338" s="18" t="str">
        <f>IF(K338="","",IF(H338=1,INDEX('По дням'!$B$2:$B$4000,MATCH(C338,'По дням'!$A$2:$A$4000,0)),"по периодам ставки"))</f>
        <v/>
      </c>
      <c r="H338" s="4" t="str">
        <f>IF(K338="","",INDEX(Интервалы!$I$2:$I$513,MATCH(K338,Интервалы!$G$2:$G$513,0)))</f>
        <v/>
      </c>
      <c r="I338" s="8" t="str">
        <f>IF(K338="","",INDEX(Интервалы!$F$2:$F$513,MATCH(K338,Интервалы!$G$2:$G$513,0)))</f>
        <v/>
      </c>
      <c r="J338" s="8" t="str">
        <f>IF(K338="","",INDEX(Интервалы!$H$2:$H$513,MATCH(K338,Интервалы!$G$2:$G$513,0)))</f>
        <v/>
      </c>
      <c r="K338" t="str">
        <f>IFERROR(SMALL(Интервалы!$G$2:$G$513,332),"")</f>
        <v/>
      </c>
      <c r="L338" t="str">
        <f>IF(K338="","",INDEX(Интервалы!$B$2:$B$513,MATCH(K338,Интервалы!$G$2:$G$513,0)))</f>
        <v/>
      </c>
    </row>
    <row r="339" spans="1:12" x14ac:dyDescent="0.3">
      <c r="A339" s="4" t="str">
        <f>IF(K339="","",333)</f>
        <v/>
      </c>
      <c r="B339" s="4" t="str">
        <f>IF(K339="","",INDEX(Интервалы!$A$2:$A$513,MATCH(K339,Интервалы!$G$2:$G$513,0)))</f>
        <v/>
      </c>
      <c r="C339" s="17" t="str">
        <f>IF(K339="","",INDEX(Интервалы!$C$2:$C$513,MATCH(K339,Интервалы!$G$2:$G$513,0)))</f>
        <v/>
      </c>
      <c r="D339" s="17" t="str">
        <f>IF(K339="","",INDEX(Интервалы!$D$2:$D$513,MATCH(K339,Интервалы!$G$2:$G$513,0)))</f>
        <v/>
      </c>
      <c r="E339" s="4" t="str">
        <f t="shared" si="5"/>
        <v/>
      </c>
      <c r="F339" s="8" t="str">
        <f>IF(K339="","",INDEX(Интервалы!$E$2:$E$513,MATCH(K339,Интервалы!$G$2:$G$513,0)))</f>
        <v/>
      </c>
      <c r="G339" s="18" t="str">
        <f>IF(K339="","",IF(H339=1,INDEX('По дням'!$B$2:$B$4000,MATCH(C339,'По дням'!$A$2:$A$4000,0)),"по периодам ставки"))</f>
        <v/>
      </c>
      <c r="H339" s="4" t="str">
        <f>IF(K339="","",INDEX(Интервалы!$I$2:$I$513,MATCH(K339,Интервалы!$G$2:$G$513,0)))</f>
        <v/>
      </c>
      <c r="I339" s="8" t="str">
        <f>IF(K339="","",INDEX(Интервалы!$F$2:$F$513,MATCH(K339,Интервалы!$G$2:$G$513,0)))</f>
        <v/>
      </c>
      <c r="J339" s="8" t="str">
        <f>IF(K339="","",INDEX(Интервалы!$H$2:$H$513,MATCH(K339,Интервалы!$G$2:$G$513,0)))</f>
        <v/>
      </c>
      <c r="K339" t="str">
        <f>IFERROR(SMALL(Интервалы!$G$2:$G$513,333),"")</f>
        <v/>
      </c>
      <c r="L339" t="str">
        <f>IF(K339="","",INDEX(Интервалы!$B$2:$B$513,MATCH(K339,Интервалы!$G$2:$G$513,0)))</f>
        <v/>
      </c>
    </row>
    <row r="340" spans="1:12" x14ac:dyDescent="0.3">
      <c r="A340" s="4" t="str">
        <f>IF(K340="","",334)</f>
        <v/>
      </c>
      <c r="B340" s="4" t="str">
        <f>IF(K340="","",INDEX(Интервалы!$A$2:$A$513,MATCH(K340,Интервалы!$G$2:$G$513,0)))</f>
        <v/>
      </c>
      <c r="C340" s="17" t="str">
        <f>IF(K340="","",INDEX(Интервалы!$C$2:$C$513,MATCH(K340,Интервалы!$G$2:$G$513,0)))</f>
        <v/>
      </c>
      <c r="D340" s="17" t="str">
        <f>IF(K340="","",INDEX(Интервалы!$D$2:$D$513,MATCH(K340,Интервалы!$G$2:$G$513,0)))</f>
        <v/>
      </c>
      <c r="E340" s="4" t="str">
        <f t="shared" si="5"/>
        <v/>
      </c>
      <c r="F340" s="8" t="str">
        <f>IF(K340="","",INDEX(Интервалы!$E$2:$E$513,MATCH(K340,Интервалы!$G$2:$G$513,0)))</f>
        <v/>
      </c>
      <c r="G340" s="18" t="str">
        <f>IF(K340="","",IF(H340=1,INDEX('По дням'!$B$2:$B$4000,MATCH(C340,'По дням'!$A$2:$A$4000,0)),"по периодам ставки"))</f>
        <v/>
      </c>
      <c r="H340" s="4" t="str">
        <f>IF(K340="","",INDEX(Интервалы!$I$2:$I$513,MATCH(K340,Интервалы!$G$2:$G$513,0)))</f>
        <v/>
      </c>
      <c r="I340" s="8" t="str">
        <f>IF(K340="","",INDEX(Интервалы!$F$2:$F$513,MATCH(K340,Интервалы!$G$2:$G$513,0)))</f>
        <v/>
      </c>
      <c r="J340" s="8" t="str">
        <f>IF(K340="","",INDEX(Интервалы!$H$2:$H$513,MATCH(K340,Интервалы!$G$2:$G$513,0)))</f>
        <v/>
      </c>
      <c r="K340" t="str">
        <f>IFERROR(SMALL(Интервалы!$G$2:$G$513,334),"")</f>
        <v/>
      </c>
      <c r="L340" t="str">
        <f>IF(K340="","",INDEX(Интервалы!$B$2:$B$513,MATCH(K340,Интервалы!$G$2:$G$513,0)))</f>
        <v/>
      </c>
    </row>
    <row r="341" spans="1:12" x14ac:dyDescent="0.3">
      <c r="A341" s="4" t="str">
        <f>IF(K341="","",335)</f>
        <v/>
      </c>
      <c r="B341" s="4" t="str">
        <f>IF(K341="","",INDEX(Интервалы!$A$2:$A$513,MATCH(K341,Интервалы!$G$2:$G$513,0)))</f>
        <v/>
      </c>
      <c r="C341" s="17" t="str">
        <f>IF(K341="","",INDEX(Интервалы!$C$2:$C$513,MATCH(K341,Интервалы!$G$2:$G$513,0)))</f>
        <v/>
      </c>
      <c r="D341" s="17" t="str">
        <f>IF(K341="","",INDEX(Интервалы!$D$2:$D$513,MATCH(K341,Интервалы!$G$2:$G$513,0)))</f>
        <v/>
      </c>
      <c r="E341" s="4" t="str">
        <f t="shared" si="5"/>
        <v/>
      </c>
      <c r="F341" s="8" t="str">
        <f>IF(K341="","",INDEX(Интервалы!$E$2:$E$513,MATCH(K341,Интервалы!$G$2:$G$513,0)))</f>
        <v/>
      </c>
      <c r="G341" s="18" t="str">
        <f>IF(K341="","",IF(H341=1,INDEX('По дням'!$B$2:$B$4000,MATCH(C341,'По дням'!$A$2:$A$4000,0)),"по периодам ставки"))</f>
        <v/>
      </c>
      <c r="H341" s="4" t="str">
        <f>IF(K341="","",INDEX(Интервалы!$I$2:$I$513,MATCH(K341,Интервалы!$G$2:$G$513,0)))</f>
        <v/>
      </c>
      <c r="I341" s="8" t="str">
        <f>IF(K341="","",INDEX(Интервалы!$F$2:$F$513,MATCH(K341,Интервалы!$G$2:$G$513,0)))</f>
        <v/>
      </c>
      <c r="J341" s="8" t="str">
        <f>IF(K341="","",INDEX(Интервалы!$H$2:$H$513,MATCH(K341,Интервалы!$G$2:$G$513,0)))</f>
        <v/>
      </c>
      <c r="K341" t="str">
        <f>IFERROR(SMALL(Интервалы!$G$2:$G$513,335),"")</f>
        <v/>
      </c>
      <c r="L341" t="str">
        <f>IF(K341="","",INDEX(Интервалы!$B$2:$B$513,MATCH(K341,Интервалы!$G$2:$G$513,0)))</f>
        <v/>
      </c>
    </row>
    <row r="342" spans="1:12" x14ac:dyDescent="0.3">
      <c r="A342" s="4" t="str">
        <f>IF(K342="","",336)</f>
        <v/>
      </c>
      <c r="B342" s="4" t="str">
        <f>IF(K342="","",INDEX(Интервалы!$A$2:$A$513,MATCH(K342,Интервалы!$G$2:$G$513,0)))</f>
        <v/>
      </c>
      <c r="C342" s="17" t="str">
        <f>IF(K342="","",INDEX(Интервалы!$C$2:$C$513,MATCH(K342,Интервалы!$G$2:$G$513,0)))</f>
        <v/>
      </c>
      <c r="D342" s="17" t="str">
        <f>IF(K342="","",INDEX(Интервалы!$D$2:$D$513,MATCH(K342,Интервалы!$G$2:$G$513,0)))</f>
        <v/>
      </c>
      <c r="E342" s="4" t="str">
        <f t="shared" si="5"/>
        <v/>
      </c>
      <c r="F342" s="8" t="str">
        <f>IF(K342="","",INDEX(Интервалы!$E$2:$E$513,MATCH(K342,Интервалы!$G$2:$G$513,0)))</f>
        <v/>
      </c>
      <c r="G342" s="18" t="str">
        <f>IF(K342="","",IF(H342=1,INDEX('По дням'!$B$2:$B$4000,MATCH(C342,'По дням'!$A$2:$A$4000,0)),"по периодам ставки"))</f>
        <v/>
      </c>
      <c r="H342" s="4" t="str">
        <f>IF(K342="","",INDEX(Интервалы!$I$2:$I$513,MATCH(K342,Интервалы!$G$2:$G$513,0)))</f>
        <v/>
      </c>
      <c r="I342" s="8" t="str">
        <f>IF(K342="","",INDEX(Интервалы!$F$2:$F$513,MATCH(K342,Интервалы!$G$2:$G$513,0)))</f>
        <v/>
      </c>
      <c r="J342" s="8" t="str">
        <f>IF(K342="","",INDEX(Интервалы!$H$2:$H$513,MATCH(K342,Интервалы!$G$2:$G$513,0)))</f>
        <v/>
      </c>
      <c r="K342" t="str">
        <f>IFERROR(SMALL(Интервалы!$G$2:$G$513,336),"")</f>
        <v/>
      </c>
      <c r="L342" t="str">
        <f>IF(K342="","",INDEX(Интервалы!$B$2:$B$513,MATCH(K342,Интервалы!$G$2:$G$513,0)))</f>
        <v/>
      </c>
    </row>
    <row r="343" spans="1:12" x14ac:dyDescent="0.3">
      <c r="A343" s="4" t="str">
        <f>IF(K343="","",337)</f>
        <v/>
      </c>
      <c r="B343" s="4" t="str">
        <f>IF(K343="","",INDEX(Интервалы!$A$2:$A$513,MATCH(K343,Интервалы!$G$2:$G$513,0)))</f>
        <v/>
      </c>
      <c r="C343" s="17" t="str">
        <f>IF(K343="","",INDEX(Интервалы!$C$2:$C$513,MATCH(K343,Интервалы!$G$2:$G$513,0)))</f>
        <v/>
      </c>
      <c r="D343" s="17" t="str">
        <f>IF(K343="","",INDEX(Интервалы!$D$2:$D$513,MATCH(K343,Интервалы!$G$2:$G$513,0)))</f>
        <v/>
      </c>
      <c r="E343" s="4" t="str">
        <f t="shared" si="5"/>
        <v/>
      </c>
      <c r="F343" s="8" t="str">
        <f>IF(K343="","",INDEX(Интервалы!$E$2:$E$513,MATCH(K343,Интервалы!$G$2:$G$513,0)))</f>
        <v/>
      </c>
      <c r="G343" s="18" t="str">
        <f>IF(K343="","",IF(H343=1,INDEX('По дням'!$B$2:$B$4000,MATCH(C343,'По дням'!$A$2:$A$4000,0)),"по периодам ставки"))</f>
        <v/>
      </c>
      <c r="H343" s="4" t="str">
        <f>IF(K343="","",INDEX(Интервалы!$I$2:$I$513,MATCH(K343,Интервалы!$G$2:$G$513,0)))</f>
        <v/>
      </c>
      <c r="I343" s="8" t="str">
        <f>IF(K343="","",INDEX(Интервалы!$F$2:$F$513,MATCH(K343,Интервалы!$G$2:$G$513,0)))</f>
        <v/>
      </c>
      <c r="J343" s="8" t="str">
        <f>IF(K343="","",INDEX(Интервалы!$H$2:$H$513,MATCH(K343,Интервалы!$G$2:$G$513,0)))</f>
        <v/>
      </c>
      <c r="K343" t="str">
        <f>IFERROR(SMALL(Интервалы!$G$2:$G$513,337),"")</f>
        <v/>
      </c>
      <c r="L343" t="str">
        <f>IF(K343="","",INDEX(Интервалы!$B$2:$B$513,MATCH(K343,Интервалы!$G$2:$G$513,0)))</f>
        <v/>
      </c>
    </row>
    <row r="344" spans="1:12" x14ac:dyDescent="0.3">
      <c r="A344" s="4" t="str">
        <f>IF(K344="","",338)</f>
        <v/>
      </c>
      <c r="B344" s="4" t="str">
        <f>IF(K344="","",INDEX(Интервалы!$A$2:$A$513,MATCH(K344,Интервалы!$G$2:$G$513,0)))</f>
        <v/>
      </c>
      <c r="C344" s="17" t="str">
        <f>IF(K344="","",INDEX(Интервалы!$C$2:$C$513,MATCH(K344,Интервалы!$G$2:$G$513,0)))</f>
        <v/>
      </c>
      <c r="D344" s="17" t="str">
        <f>IF(K344="","",INDEX(Интервалы!$D$2:$D$513,MATCH(K344,Интервалы!$G$2:$G$513,0)))</f>
        <v/>
      </c>
      <c r="E344" s="4" t="str">
        <f t="shared" si="5"/>
        <v/>
      </c>
      <c r="F344" s="8" t="str">
        <f>IF(K344="","",INDEX(Интервалы!$E$2:$E$513,MATCH(K344,Интервалы!$G$2:$G$513,0)))</f>
        <v/>
      </c>
      <c r="G344" s="18" t="str">
        <f>IF(K344="","",IF(H344=1,INDEX('По дням'!$B$2:$B$4000,MATCH(C344,'По дням'!$A$2:$A$4000,0)),"по периодам ставки"))</f>
        <v/>
      </c>
      <c r="H344" s="4" t="str">
        <f>IF(K344="","",INDEX(Интервалы!$I$2:$I$513,MATCH(K344,Интервалы!$G$2:$G$513,0)))</f>
        <v/>
      </c>
      <c r="I344" s="8" t="str">
        <f>IF(K344="","",INDEX(Интервалы!$F$2:$F$513,MATCH(K344,Интервалы!$G$2:$G$513,0)))</f>
        <v/>
      </c>
      <c r="J344" s="8" t="str">
        <f>IF(K344="","",INDEX(Интервалы!$H$2:$H$513,MATCH(K344,Интервалы!$G$2:$G$513,0)))</f>
        <v/>
      </c>
      <c r="K344" t="str">
        <f>IFERROR(SMALL(Интервалы!$G$2:$G$513,338),"")</f>
        <v/>
      </c>
      <c r="L344" t="str">
        <f>IF(K344="","",INDEX(Интервалы!$B$2:$B$513,MATCH(K344,Интервалы!$G$2:$G$513,0)))</f>
        <v/>
      </c>
    </row>
    <row r="345" spans="1:12" x14ac:dyDescent="0.3">
      <c r="A345" s="4" t="str">
        <f>IF(K345="","",339)</f>
        <v/>
      </c>
      <c r="B345" s="4" t="str">
        <f>IF(K345="","",INDEX(Интервалы!$A$2:$A$513,MATCH(K345,Интервалы!$G$2:$G$513,0)))</f>
        <v/>
      </c>
      <c r="C345" s="17" t="str">
        <f>IF(K345="","",INDEX(Интервалы!$C$2:$C$513,MATCH(K345,Интервалы!$G$2:$G$513,0)))</f>
        <v/>
      </c>
      <c r="D345" s="17" t="str">
        <f>IF(K345="","",INDEX(Интервалы!$D$2:$D$513,MATCH(K345,Интервалы!$G$2:$G$513,0)))</f>
        <v/>
      </c>
      <c r="E345" s="4" t="str">
        <f t="shared" si="5"/>
        <v/>
      </c>
      <c r="F345" s="8" t="str">
        <f>IF(K345="","",INDEX(Интервалы!$E$2:$E$513,MATCH(K345,Интервалы!$G$2:$G$513,0)))</f>
        <v/>
      </c>
      <c r="G345" s="18" t="str">
        <f>IF(K345="","",IF(H345=1,INDEX('По дням'!$B$2:$B$4000,MATCH(C345,'По дням'!$A$2:$A$4000,0)),"по периодам ставки"))</f>
        <v/>
      </c>
      <c r="H345" s="4" t="str">
        <f>IF(K345="","",INDEX(Интервалы!$I$2:$I$513,MATCH(K345,Интервалы!$G$2:$G$513,0)))</f>
        <v/>
      </c>
      <c r="I345" s="8" t="str">
        <f>IF(K345="","",INDEX(Интервалы!$F$2:$F$513,MATCH(K345,Интервалы!$G$2:$G$513,0)))</f>
        <v/>
      </c>
      <c r="J345" s="8" t="str">
        <f>IF(K345="","",INDEX(Интервалы!$H$2:$H$513,MATCH(K345,Интервалы!$G$2:$G$513,0)))</f>
        <v/>
      </c>
      <c r="K345" t="str">
        <f>IFERROR(SMALL(Интервалы!$G$2:$G$513,339),"")</f>
        <v/>
      </c>
      <c r="L345" t="str">
        <f>IF(K345="","",INDEX(Интервалы!$B$2:$B$513,MATCH(K345,Интервалы!$G$2:$G$513,0)))</f>
        <v/>
      </c>
    </row>
    <row r="346" spans="1:12" x14ac:dyDescent="0.3">
      <c r="A346" s="4" t="str">
        <f>IF(K346="","",340)</f>
        <v/>
      </c>
      <c r="B346" s="4" t="str">
        <f>IF(K346="","",INDEX(Интервалы!$A$2:$A$513,MATCH(K346,Интервалы!$G$2:$G$513,0)))</f>
        <v/>
      </c>
      <c r="C346" s="17" t="str">
        <f>IF(K346="","",INDEX(Интервалы!$C$2:$C$513,MATCH(K346,Интервалы!$G$2:$G$513,0)))</f>
        <v/>
      </c>
      <c r="D346" s="17" t="str">
        <f>IF(K346="","",INDEX(Интервалы!$D$2:$D$513,MATCH(K346,Интервалы!$G$2:$G$513,0)))</f>
        <v/>
      </c>
      <c r="E346" s="4" t="str">
        <f t="shared" si="5"/>
        <v/>
      </c>
      <c r="F346" s="8" t="str">
        <f>IF(K346="","",INDEX(Интервалы!$E$2:$E$513,MATCH(K346,Интервалы!$G$2:$G$513,0)))</f>
        <v/>
      </c>
      <c r="G346" s="18" t="str">
        <f>IF(K346="","",IF(H346=1,INDEX('По дням'!$B$2:$B$4000,MATCH(C346,'По дням'!$A$2:$A$4000,0)),"по периодам ставки"))</f>
        <v/>
      </c>
      <c r="H346" s="4" t="str">
        <f>IF(K346="","",INDEX(Интервалы!$I$2:$I$513,MATCH(K346,Интервалы!$G$2:$G$513,0)))</f>
        <v/>
      </c>
      <c r="I346" s="8" t="str">
        <f>IF(K346="","",INDEX(Интервалы!$F$2:$F$513,MATCH(K346,Интервалы!$G$2:$G$513,0)))</f>
        <v/>
      </c>
      <c r="J346" s="8" t="str">
        <f>IF(K346="","",INDEX(Интервалы!$H$2:$H$513,MATCH(K346,Интервалы!$G$2:$G$513,0)))</f>
        <v/>
      </c>
      <c r="K346" t="str">
        <f>IFERROR(SMALL(Интервалы!$G$2:$G$513,340),"")</f>
        <v/>
      </c>
      <c r="L346" t="str">
        <f>IF(K346="","",INDEX(Интервалы!$B$2:$B$513,MATCH(K346,Интервалы!$G$2:$G$513,0)))</f>
        <v/>
      </c>
    </row>
    <row r="347" spans="1:12" x14ac:dyDescent="0.3">
      <c r="A347" s="4" t="str">
        <f>IF(K347="","",341)</f>
        <v/>
      </c>
      <c r="B347" s="4" t="str">
        <f>IF(K347="","",INDEX(Интервалы!$A$2:$A$513,MATCH(K347,Интервалы!$G$2:$G$513,0)))</f>
        <v/>
      </c>
      <c r="C347" s="17" t="str">
        <f>IF(K347="","",INDEX(Интервалы!$C$2:$C$513,MATCH(K347,Интервалы!$G$2:$G$513,0)))</f>
        <v/>
      </c>
      <c r="D347" s="17" t="str">
        <f>IF(K347="","",INDEX(Интервалы!$D$2:$D$513,MATCH(K347,Интервалы!$G$2:$G$513,0)))</f>
        <v/>
      </c>
      <c r="E347" s="4" t="str">
        <f t="shared" si="5"/>
        <v/>
      </c>
      <c r="F347" s="8" t="str">
        <f>IF(K347="","",INDEX(Интервалы!$E$2:$E$513,MATCH(K347,Интервалы!$G$2:$G$513,0)))</f>
        <v/>
      </c>
      <c r="G347" s="18" t="str">
        <f>IF(K347="","",IF(H347=1,INDEX('По дням'!$B$2:$B$4000,MATCH(C347,'По дням'!$A$2:$A$4000,0)),"по периодам ставки"))</f>
        <v/>
      </c>
      <c r="H347" s="4" t="str">
        <f>IF(K347="","",INDEX(Интервалы!$I$2:$I$513,MATCH(K347,Интервалы!$G$2:$G$513,0)))</f>
        <v/>
      </c>
      <c r="I347" s="8" t="str">
        <f>IF(K347="","",INDEX(Интервалы!$F$2:$F$513,MATCH(K347,Интервалы!$G$2:$G$513,0)))</f>
        <v/>
      </c>
      <c r="J347" s="8" t="str">
        <f>IF(K347="","",INDEX(Интервалы!$H$2:$H$513,MATCH(K347,Интервалы!$G$2:$G$513,0)))</f>
        <v/>
      </c>
      <c r="K347" t="str">
        <f>IFERROR(SMALL(Интервалы!$G$2:$G$513,341),"")</f>
        <v/>
      </c>
      <c r="L347" t="str">
        <f>IF(K347="","",INDEX(Интервалы!$B$2:$B$513,MATCH(K347,Интервалы!$G$2:$G$513,0)))</f>
        <v/>
      </c>
    </row>
    <row r="348" spans="1:12" x14ac:dyDescent="0.3">
      <c r="A348" s="4" t="str">
        <f>IF(K348="","",342)</f>
        <v/>
      </c>
      <c r="B348" s="4" t="str">
        <f>IF(K348="","",INDEX(Интервалы!$A$2:$A$513,MATCH(K348,Интервалы!$G$2:$G$513,0)))</f>
        <v/>
      </c>
      <c r="C348" s="17" t="str">
        <f>IF(K348="","",INDEX(Интервалы!$C$2:$C$513,MATCH(K348,Интервалы!$G$2:$G$513,0)))</f>
        <v/>
      </c>
      <c r="D348" s="17" t="str">
        <f>IF(K348="","",INDEX(Интервалы!$D$2:$D$513,MATCH(K348,Интервалы!$G$2:$G$513,0)))</f>
        <v/>
      </c>
      <c r="E348" s="4" t="str">
        <f t="shared" si="5"/>
        <v/>
      </c>
      <c r="F348" s="8" t="str">
        <f>IF(K348="","",INDEX(Интервалы!$E$2:$E$513,MATCH(K348,Интервалы!$G$2:$G$513,0)))</f>
        <v/>
      </c>
      <c r="G348" s="18" t="str">
        <f>IF(K348="","",IF(H348=1,INDEX('По дням'!$B$2:$B$4000,MATCH(C348,'По дням'!$A$2:$A$4000,0)),"по периодам ставки"))</f>
        <v/>
      </c>
      <c r="H348" s="4" t="str">
        <f>IF(K348="","",INDEX(Интервалы!$I$2:$I$513,MATCH(K348,Интервалы!$G$2:$G$513,0)))</f>
        <v/>
      </c>
      <c r="I348" s="8" t="str">
        <f>IF(K348="","",INDEX(Интервалы!$F$2:$F$513,MATCH(K348,Интервалы!$G$2:$G$513,0)))</f>
        <v/>
      </c>
      <c r="J348" s="8" t="str">
        <f>IF(K348="","",INDEX(Интервалы!$H$2:$H$513,MATCH(K348,Интервалы!$G$2:$G$513,0)))</f>
        <v/>
      </c>
      <c r="K348" t="str">
        <f>IFERROR(SMALL(Интервалы!$G$2:$G$513,342),"")</f>
        <v/>
      </c>
      <c r="L348" t="str">
        <f>IF(K348="","",INDEX(Интервалы!$B$2:$B$513,MATCH(K348,Интервалы!$G$2:$G$513,0)))</f>
        <v/>
      </c>
    </row>
    <row r="349" spans="1:12" x14ac:dyDescent="0.3">
      <c r="A349" s="4" t="str">
        <f>IF(K349="","",343)</f>
        <v/>
      </c>
      <c r="B349" s="4" t="str">
        <f>IF(K349="","",INDEX(Интервалы!$A$2:$A$513,MATCH(K349,Интервалы!$G$2:$G$513,0)))</f>
        <v/>
      </c>
      <c r="C349" s="17" t="str">
        <f>IF(K349="","",INDEX(Интервалы!$C$2:$C$513,MATCH(K349,Интервалы!$G$2:$G$513,0)))</f>
        <v/>
      </c>
      <c r="D349" s="17" t="str">
        <f>IF(K349="","",INDEX(Интервалы!$D$2:$D$513,MATCH(K349,Интервалы!$G$2:$G$513,0)))</f>
        <v/>
      </c>
      <c r="E349" s="4" t="str">
        <f t="shared" si="5"/>
        <v/>
      </c>
      <c r="F349" s="8" t="str">
        <f>IF(K349="","",INDEX(Интервалы!$E$2:$E$513,MATCH(K349,Интервалы!$G$2:$G$513,0)))</f>
        <v/>
      </c>
      <c r="G349" s="18" t="str">
        <f>IF(K349="","",IF(H349=1,INDEX('По дням'!$B$2:$B$4000,MATCH(C349,'По дням'!$A$2:$A$4000,0)),"по периодам ставки"))</f>
        <v/>
      </c>
      <c r="H349" s="4" t="str">
        <f>IF(K349="","",INDEX(Интервалы!$I$2:$I$513,MATCH(K349,Интервалы!$G$2:$G$513,0)))</f>
        <v/>
      </c>
      <c r="I349" s="8" t="str">
        <f>IF(K349="","",INDEX(Интервалы!$F$2:$F$513,MATCH(K349,Интервалы!$G$2:$G$513,0)))</f>
        <v/>
      </c>
      <c r="J349" s="8" t="str">
        <f>IF(K349="","",INDEX(Интервалы!$H$2:$H$513,MATCH(K349,Интервалы!$G$2:$G$513,0)))</f>
        <v/>
      </c>
      <c r="K349" t="str">
        <f>IFERROR(SMALL(Интервалы!$G$2:$G$513,343),"")</f>
        <v/>
      </c>
      <c r="L349" t="str">
        <f>IF(K349="","",INDEX(Интервалы!$B$2:$B$513,MATCH(K349,Интервалы!$G$2:$G$513,0)))</f>
        <v/>
      </c>
    </row>
    <row r="350" spans="1:12" x14ac:dyDescent="0.3">
      <c r="A350" s="4" t="str">
        <f>IF(K350="","",344)</f>
        <v/>
      </c>
      <c r="B350" s="4" t="str">
        <f>IF(K350="","",INDEX(Интервалы!$A$2:$A$513,MATCH(K350,Интервалы!$G$2:$G$513,0)))</f>
        <v/>
      </c>
      <c r="C350" s="17" t="str">
        <f>IF(K350="","",INDEX(Интервалы!$C$2:$C$513,MATCH(K350,Интервалы!$G$2:$G$513,0)))</f>
        <v/>
      </c>
      <c r="D350" s="17" t="str">
        <f>IF(K350="","",INDEX(Интервалы!$D$2:$D$513,MATCH(K350,Интервалы!$G$2:$G$513,0)))</f>
        <v/>
      </c>
      <c r="E350" s="4" t="str">
        <f t="shared" si="5"/>
        <v/>
      </c>
      <c r="F350" s="8" t="str">
        <f>IF(K350="","",INDEX(Интервалы!$E$2:$E$513,MATCH(K350,Интервалы!$G$2:$G$513,0)))</f>
        <v/>
      </c>
      <c r="G350" s="18" t="str">
        <f>IF(K350="","",IF(H350=1,INDEX('По дням'!$B$2:$B$4000,MATCH(C350,'По дням'!$A$2:$A$4000,0)),"по периодам ставки"))</f>
        <v/>
      </c>
      <c r="H350" s="4" t="str">
        <f>IF(K350="","",INDEX(Интервалы!$I$2:$I$513,MATCH(K350,Интервалы!$G$2:$G$513,0)))</f>
        <v/>
      </c>
      <c r="I350" s="8" t="str">
        <f>IF(K350="","",INDEX(Интервалы!$F$2:$F$513,MATCH(K350,Интервалы!$G$2:$G$513,0)))</f>
        <v/>
      </c>
      <c r="J350" s="8" t="str">
        <f>IF(K350="","",INDEX(Интервалы!$H$2:$H$513,MATCH(K350,Интервалы!$G$2:$G$513,0)))</f>
        <v/>
      </c>
      <c r="K350" t="str">
        <f>IFERROR(SMALL(Интервалы!$G$2:$G$513,344),"")</f>
        <v/>
      </c>
      <c r="L350" t="str">
        <f>IF(K350="","",INDEX(Интервалы!$B$2:$B$513,MATCH(K350,Интервалы!$G$2:$G$513,0)))</f>
        <v/>
      </c>
    </row>
    <row r="351" spans="1:12" x14ac:dyDescent="0.3">
      <c r="A351" s="4" t="str">
        <f>IF(K351="","",345)</f>
        <v/>
      </c>
      <c r="B351" s="4" t="str">
        <f>IF(K351="","",INDEX(Интервалы!$A$2:$A$513,MATCH(K351,Интервалы!$G$2:$G$513,0)))</f>
        <v/>
      </c>
      <c r="C351" s="17" t="str">
        <f>IF(K351="","",INDEX(Интервалы!$C$2:$C$513,MATCH(K351,Интервалы!$G$2:$G$513,0)))</f>
        <v/>
      </c>
      <c r="D351" s="17" t="str">
        <f>IF(K351="","",INDEX(Интервалы!$D$2:$D$513,MATCH(K351,Интервалы!$G$2:$G$513,0)))</f>
        <v/>
      </c>
      <c r="E351" s="4" t="str">
        <f t="shared" si="5"/>
        <v/>
      </c>
      <c r="F351" s="8" t="str">
        <f>IF(K351="","",INDEX(Интервалы!$E$2:$E$513,MATCH(K351,Интервалы!$G$2:$G$513,0)))</f>
        <v/>
      </c>
      <c r="G351" s="18" t="str">
        <f>IF(K351="","",IF(H351=1,INDEX('По дням'!$B$2:$B$4000,MATCH(C351,'По дням'!$A$2:$A$4000,0)),"по периодам ставки"))</f>
        <v/>
      </c>
      <c r="H351" s="4" t="str">
        <f>IF(K351="","",INDEX(Интервалы!$I$2:$I$513,MATCH(K351,Интервалы!$G$2:$G$513,0)))</f>
        <v/>
      </c>
      <c r="I351" s="8" t="str">
        <f>IF(K351="","",INDEX(Интервалы!$F$2:$F$513,MATCH(K351,Интервалы!$G$2:$G$513,0)))</f>
        <v/>
      </c>
      <c r="J351" s="8" t="str">
        <f>IF(K351="","",INDEX(Интервалы!$H$2:$H$513,MATCH(K351,Интервалы!$G$2:$G$513,0)))</f>
        <v/>
      </c>
      <c r="K351" t="str">
        <f>IFERROR(SMALL(Интервалы!$G$2:$G$513,345),"")</f>
        <v/>
      </c>
      <c r="L351" t="str">
        <f>IF(K351="","",INDEX(Интервалы!$B$2:$B$513,MATCH(K351,Интервалы!$G$2:$G$513,0)))</f>
        <v/>
      </c>
    </row>
    <row r="352" spans="1:12" x14ac:dyDescent="0.3">
      <c r="A352" s="4" t="str">
        <f>IF(K352="","",346)</f>
        <v/>
      </c>
      <c r="B352" s="4" t="str">
        <f>IF(K352="","",INDEX(Интервалы!$A$2:$A$513,MATCH(K352,Интервалы!$G$2:$G$513,0)))</f>
        <v/>
      </c>
      <c r="C352" s="17" t="str">
        <f>IF(K352="","",INDEX(Интервалы!$C$2:$C$513,MATCH(K352,Интервалы!$G$2:$G$513,0)))</f>
        <v/>
      </c>
      <c r="D352" s="17" t="str">
        <f>IF(K352="","",INDEX(Интервалы!$D$2:$D$513,MATCH(K352,Интервалы!$G$2:$G$513,0)))</f>
        <v/>
      </c>
      <c r="E352" s="4" t="str">
        <f t="shared" si="5"/>
        <v/>
      </c>
      <c r="F352" s="8" t="str">
        <f>IF(K352="","",INDEX(Интервалы!$E$2:$E$513,MATCH(K352,Интервалы!$G$2:$G$513,0)))</f>
        <v/>
      </c>
      <c r="G352" s="18" t="str">
        <f>IF(K352="","",IF(H352=1,INDEX('По дням'!$B$2:$B$4000,MATCH(C352,'По дням'!$A$2:$A$4000,0)),"по периодам ставки"))</f>
        <v/>
      </c>
      <c r="H352" s="4" t="str">
        <f>IF(K352="","",INDEX(Интервалы!$I$2:$I$513,MATCH(K352,Интервалы!$G$2:$G$513,0)))</f>
        <v/>
      </c>
      <c r="I352" s="8" t="str">
        <f>IF(K352="","",INDEX(Интервалы!$F$2:$F$513,MATCH(K352,Интервалы!$G$2:$G$513,0)))</f>
        <v/>
      </c>
      <c r="J352" s="8" t="str">
        <f>IF(K352="","",INDEX(Интервалы!$H$2:$H$513,MATCH(K352,Интервалы!$G$2:$G$513,0)))</f>
        <v/>
      </c>
      <c r="K352" t="str">
        <f>IFERROR(SMALL(Интервалы!$G$2:$G$513,346),"")</f>
        <v/>
      </c>
      <c r="L352" t="str">
        <f>IF(K352="","",INDEX(Интервалы!$B$2:$B$513,MATCH(K352,Интервалы!$G$2:$G$513,0)))</f>
        <v/>
      </c>
    </row>
    <row r="353" spans="1:12" x14ac:dyDescent="0.3">
      <c r="A353" s="4" t="str">
        <f>IF(K353="","",347)</f>
        <v/>
      </c>
      <c r="B353" s="4" t="str">
        <f>IF(K353="","",INDEX(Интервалы!$A$2:$A$513,MATCH(K353,Интервалы!$G$2:$G$513,0)))</f>
        <v/>
      </c>
      <c r="C353" s="17" t="str">
        <f>IF(K353="","",INDEX(Интервалы!$C$2:$C$513,MATCH(K353,Интервалы!$G$2:$G$513,0)))</f>
        <v/>
      </c>
      <c r="D353" s="17" t="str">
        <f>IF(K353="","",INDEX(Интервалы!$D$2:$D$513,MATCH(K353,Интервалы!$G$2:$G$513,0)))</f>
        <v/>
      </c>
      <c r="E353" s="4" t="str">
        <f t="shared" si="5"/>
        <v/>
      </c>
      <c r="F353" s="8" t="str">
        <f>IF(K353="","",INDEX(Интервалы!$E$2:$E$513,MATCH(K353,Интервалы!$G$2:$G$513,0)))</f>
        <v/>
      </c>
      <c r="G353" s="18" t="str">
        <f>IF(K353="","",IF(H353=1,INDEX('По дням'!$B$2:$B$4000,MATCH(C353,'По дням'!$A$2:$A$4000,0)),"по периодам ставки"))</f>
        <v/>
      </c>
      <c r="H353" s="4" t="str">
        <f>IF(K353="","",INDEX(Интервалы!$I$2:$I$513,MATCH(K353,Интервалы!$G$2:$G$513,0)))</f>
        <v/>
      </c>
      <c r="I353" s="8" t="str">
        <f>IF(K353="","",INDEX(Интервалы!$F$2:$F$513,MATCH(K353,Интервалы!$G$2:$G$513,0)))</f>
        <v/>
      </c>
      <c r="J353" s="8" t="str">
        <f>IF(K353="","",INDEX(Интервалы!$H$2:$H$513,MATCH(K353,Интервалы!$G$2:$G$513,0)))</f>
        <v/>
      </c>
      <c r="K353" t="str">
        <f>IFERROR(SMALL(Интервалы!$G$2:$G$513,347),"")</f>
        <v/>
      </c>
      <c r="L353" t="str">
        <f>IF(K353="","",INDEX(Интервалы!$B$2:$B$513,MATCH(K353,Интервалы!$G$2:$G$513,0)))</f>
        <v/>
      </c>
    </row>
    <row r="354" spans="1:12" x14ac:dyDescent="0.3">
      <c r="A354" s="4" t="str">
        <f>IF(K354="","",348)</f>
        <v/>
      </c>
      <c r="B354" s="4" t="str">
        <f>IF(K354="","",INDEX(Интервалы!$A$2:$A$513,MATCH(K354,Интервалы!$G$2:$G$513,0)))</f>
        <v/>
      </c>
      <c r="C354" s="17" t="str">
        <f>IF(K354="","",INDEX(Интервалы!$C$2:$C$513,MATCH(K354,Интервалы!$G$2:$G$513,0)))</f>
        <v/>
      </c>
      <c r="D354" s="17" t="str">
        <f>IF(K354="","",INDEX(Интервалы!$D$2:$D$513,MATCH(K354,Интервалы!$G$2:$G$513,0)))</f>
        <v/>
      </c>
      <c r="E354" s="4" t="str">
        <f t="shared" si="5"/>
        <v/>
      </c>
      <c r="F354" s="8" t="str">
        <f>IF(K354="","",INDEX(Интервалы!$E$2:$E$513,MATCH(K354,Интервалы!$G$2:$G$513,0)))</f>
        <v/>
      </c>
      <c r="G354" s="18" t="str">
        <f>IF(K354="","",IF(H354=1,INDEX('По дням'!$B$2:$B$4000,MATCH(C354,'По дням'!$A$2:$A$4000,0)),"по периодам ставки"))</f>
        <v/>
      </c>
      <c r="H354" s="4" t="str">
        <f>IF(K354="","",INDEX(Интервалы!$I$2:$I$513,MATCH(K354,Интервалы!$G$2:$G$513,0)))</f>
        <v/>
      </c>
      <c r="I354" s="8" t="str">
        <f>IF(K354="","",INDEX(Интервалы!$F$2:$F$513,MATCH(K354,Интервалы!$G$2:$G$513,0)))</f>
        <v/>
      </c>
      <c r="J354" s="8" t="str">
        <f>IF(K354="","",INDEX(Интервалы!$H$2:$H$513,MATCH(K354,Интервалы!$G$2:$G$513,0)))</f>
        <v/>
      </c>
      <c r="K354" t="str">
        <f>IFERROR(SMALL(Интервалы!$G$2:$G$513,348),"")</f>
        <v/>
      </c>
      <c r="L354" t="str">
        <f>IF(K354="","",INDEX(Интервалы!$B$2:$B$513,MATCH(K354,Интервалы!$G$2:$G$513,0)))</f>
        <v/>
      </c>
    </row>
    <row r="355" spans="1:12" x14ac:dyDescent="0.3">
      <c r="A355" s="4" t="str">
        <f>IF(K355="","",349)</f>
        <v/>
      </c>
      <c r="B355" s="4" t="str">
        <f>IF(K355="","",INDEX(Интервалы!$A$2:$A$513,MATCH(K355,Интервалы!$G$2:$G$513,0)))</f>
        <v/>
      </c>
      <c r="C355" s="17" t="str">
        <f>IF(K355="","",INDEX(Интервалы!$C$2:$C$513,MATCH(K355,Интервалы!$G$2:$G$513,0)))</f>
        <v/>
      </c>
      <c r="D355" s="17" t="str">
        <f>IF(K355="","",INDEX(Интервалы!$D$2:$D$513,MATCH(K355,Интервалы!$G$2:$G$513,0)))</f>
        <v/>
      </c>
      <c r="E355" s="4" t="str">
        <f t="shared" si="5"/>
        <v/>
      </c>
      <c r="F355" s="8" t="str">
        <f>IF(K355="","",INDEX(Интервалы!$E$2:$E$513,MATCH(K355,Интервалы!$G$2:$G$513,0)))</f>
        <v/>
      </c>
      <c r="G355" s="18" t="str">
        <f>IF(K355="","",IF(H355=1,INDEX('По дням'!$B$2:$B$4000,MATCH(C355,'По дням'!$A$2:$A$4000,0)),"по периодам ставки"))</f>
        <v/>
      </c>
      <c r="H355" s="4" t="str">
        <f>IF(K355="","",INDEX(Интервалы!$I$2:$I$513,MATCH(K355,Интервалы!$G$2:$G$513,0)))</f>
        <v/>
      </c>
      <c r="I355" s="8" t="str">
        <f>IF(K355="","",INDEX(Интервалы!$F$2:$F$513,MATCH(K355,Интервалы!$G$2:$G$513,0)))</f>
        <v/>
      </c>
      <c r="J355" s="8" t="str">
        <f>IF(K355="","",INDEX(Интервалы!$H$2:$H$513,MATCH(K355,Интервалы!$G$2:$G$513,0)))</f>
        <v/>
      </c>
      <c r="K355" t="str">
        <f>IFERROR(SMALL(Интервалы!$G$2:$G$513,349),"")</f>
        <v/>
      </c>
      <c r="L355" t="str">
        <f>IF(K355="","",INDEX(Интервалы!$B$2:$B$513,MATCH(K355,Интервалы!$G$2:$G$513,0)))</f>
        <v/>
      </c>
    </row>
    <row r="356" spans="1:12" x14ac:dyDescent="0.3">
      <c r="A356" s="4" t="str">
        <f>IF(K356="","",350)</f>
        <v/>
      </c>
      <c r="B356" s="4" t="str">
        <f>IF(K356="","",INDEX(Интервалы!$A$2:$A$513,MATCH(K356,Интервалы!$G$2:$G$513,0)))</f>
        <v/>
      </c>
      <c r="C356" s="17" t="str">
        <f>IF(K356="","",INDEX(Интервалы!$C$2:$C$513,MATCH(K356,Интервалы!$G$2:$G$513,0)))</f>
        <v/>
      </c>
      <c r="D356" s="17" t="str">
        <f>IF(K356="","",INDEX(Интервалы!$D$2:$D$513,MATCH(K356,Интервалы!$G$2:$G$513,0)))</f>
        <v/>
      </c>
      <c r="E356" s="4" t="str">
        <f t="shared" si="5"/>
        <v/>
      </c>
      <c r="F356" s="8" t="str">
        <f>IF(K356="","",INDEX(Интервалы!$E$2:$E$513,MATCH(K356,Интервалы!$G$2:$G$513,0)))</f>
        <v/>
      </c>
      <c r="G356" s="18" t="str">
        <f>IF(K356="","",IF(H356=1,INDEX('По дням'!$B$2:$B$4000,MATCH(C356,'По дням'!$A$2:$A$4000,0)),"по периодам ставки"))</f>
        <v/>
      </c>
      <c r="H356" s="4" t="str">
        <f>IF(K356="","",INDEX(Интервалы!$I$2:$I$513,MATCH(K356,Интервалы!$G$2:$G$513,0)))</f>
        <v/>
      </c>
      <c r="I356" s="8" t="str">
        <f>IF(K356="","",INDEX(Интервалы!$F$2:$F$513,MATCH(K356,Интервалы!$G$2:$G$513,0)))</f>
        <v/>
      </c>
      <c r="J356" s="8" t="str">
        <f>IF(K356="","",INDEX(Интервалы!$H$2:$H$513,MATCH(K356,Интервалы!$G$2:$G$513,0)))</f>
        <v/>
      </c>
      <c r="K356" t="str">
        <f>IFERROR(SMALL(Интервалы!$G$2:$G$513,350),"")</f>
        <v/>
      </c>
      <c r="L356" t="str">
        <f>IF(K356="","",INDEX(Интервалы!$B$2:$B$513,MATCH(K356,Интервалы!$G$2:$G$513,0)))</f>
        <v/>
      </c>
    </row>
    <row r="357" spans="1:12" x14ac:dyDescent="0.3">
      <c r="A357" s="4" t="str">
        <f>IF(K357="","",351)</f>
        <v/>
      </c>
      <c r="B357" s="4" t="str">
        <f>IF(K357="","",INDEX(Интервалы!$A$2:$A$513,MATCH(K357,Интервалы!$G$2:$G$513,0)))</f>
        <v/>
      </c>
      <c r="C357" s="17" t="str">
        <f>IF(K357="","",INDEX(Интервалы!$C$2:$C$513,MATCH(K357,Интервалы!$G$2:$G$513,0)))</f>
        <v/>
      </c>
      <c r="D357" s="17" t="str">
        <f>IF(K357="","",INDEX(Интервалы!$D$2:$D$513,MATCH(K357,Интервалы!$G$2:$G$513,0)))</f>
        <v/>
      </c>
      <c r="E357" s="4" t="str">
        <f t="shared" si="5"/>
        <v/>
      </c>
      <c r="F357" s="8" t="str">
        <f>IF(K357="","",INDEX(Интервалы!$E$2:$E$513,MATCH(K357,Интервалы!$G$2:$G$513,0)))</f>
        <v/>
      </c>
      <c r="G357" s="18" t="str">
        <f>IF(K357="","",IF(H357=1,INDEX('По дням'!$B$2:$B$4000,MATCH(C357,'По дням'!$A$2:$A$4000,0)),"по периодам ставки"))</f>
        <v/>
      </c>
      <c r="H357" s="4" t="str">
        <f>IF(K357="","",INDEX(Интервалы!$I$2:$I$513,MATCH(K357,Интервалы!$G$2:$G$513,0)))</f>
        <v/>
      </c>
      <c r="I357" s="8" t="str">
        <f>IF(K357="","",INDEX(Интервалы!$F$2:$F$513,MATCH(K357,Интервалы!$G$2:$G$513,0)))</f>
        <v/>
      </c>
      <c r="J357" s="8" t="str">
        <f>IF(K357="","",INDEX(Интервалы!$H$2:$H$513,MATCH(K357,Интервалы!$G$2:$G$513,0)))</f>
        <v/>
      </c>
      <c r="K357" t="str">
        <f>IFERROR(SMALL(Интервалы!$G$2:$G$513,351),"")</f>
        <v/>
      </c>
      <c r="L357" t="str">
        <f>IF(K357="","",INDEX(Интервалы!$B$2:$B$513,MATCH(K357,Интервалы!$G$2:$G$513,0)))</f>
        <v/>
      </c>
    </row>
    <row r="358" spans="1:12" x14ac:dyDescent="0.3">
      <c r="A358" s="4" t="str">
        <f>IF(K358="","",352)</f>
        <v/>
      </c>
      <c r="B358" s="4" t="str">
        <f>IF(K358="","",INDEX(Интервалы!$A$2:$A$513,MATCH(K358,Интервалы!$G$2:$G$513,0)))</f>
        <v/>
      </c>
      <c r="C358" s="17" t="str">
        <f>IF(K358="","",INDEX(Интервалы!$C$2:$C$513,MATCH(K358,Интервалы!$G$2:$G$513,0)))</f>
        <v/>
      </c>
      <c r="D358" s="17" t="str">
        <f>IF(K358="","",INDEX(Интервалы!$D$2:$D$513,MATCH(K358,Интервалы!$G$2:$G$513,0)))</f>
        <v/>
      </c>
      <c r="E358" s="4" t="str">
        <f t="shared" si="5"/>
        <v/>
      </c>
      <c r="F358" s="8" t="str">
        <f>IF(K358="","",INDEX(Интервалы!$E$2:$E$513,MATCH(K358,Интервалы!$G$2:$G$513,0)))</f>
        <v/>
      </c>
      <c r="G358" s="18" t="str">
        <f>IF(K358="","",IF(H358=1,INDEX('По дням'!$B$2:$B$4000,MATCH(C358,'По дням'!$A$2:$A$4000,0)),"по периодам ставки"))</f>
        <v/>
      </c>
      <c r="H358" s="4" t="str">
        <f>IF(K358="","",INDEX(Интервалы!$I$2:$I$513,MATCH(K358,Интервалы!$G$2:$G$513,0)))</f>
        <v/>
      </c>
      <c r="I358" s="8" t="str">
        <f>IF(K358="","",INDEX(Интервалы!$F$2:$F$513,MATCH(K358,Интервалы!$G$2:$G$513,0)))</f>
        <v/>
      </c>
      <c r="J358" s="8" t="str">
        <f>IF(K358="","",INDEX(Интервалы!$H$2:$H$513,MATCH(K358,Интервалы!$G$2:$G$513,0)))</f>
        <v/>
      </c>
      <c r="K358" t="str">
        <f>IFERROR(SMALL(Интервалы!$G$2:$G$513,352),"")</f>
        <v/>
      </c>
      <c r="L358" t="str">
        <f>IF(K358="","",INDEX(Интервалы!$B$2:$B$513,MATCH(K358,Интервалы!$G$2:$G$513,0)))</f>
        <v/>
      </c>
    </row>
    <row r="359" spans="1:12" x14ac:dyDescent="0.3">
      <c r="A359" s="4" t="str">
        <f>IF(K359="","",353)</f>
        <v/>
      </c>
      <c r="B359" s="4" t="str">
        <f>IF(K359="","",INDEX(Интервалы!$A$2:$A$513,MATCH(K359,Интервалы!$G$2:$G$513,0)))</f>
        <v/>
      </c>
      <c r="C359" s="17" t="str">
        <f>IF(K359="","",INDEX(Интервалы!$C$2:$C$513,MATCH(K359,Интервалы!$G$2:$G$513,0)))</f>
        <v/>
      </c>
      <c r="D359" s="17" t="str">
        <f>IF(K359="","",INDEX(Интервалы!$D$2:$D$513,MATCH(K359,Интервалы!$G$2:$G$513,0)))</f>
        <v/>
      </c>
      <c r="E359" s="4" t="str">
        <f t="shared" si="5"/>
        <v/>
      </c>
      <c r="F359" s="8" t="str">
        <f>IF(K359="","",INDEX(Интервалы!$E$2:$E$513,MATCH(K359,Интервалы!$G$2:$G$513,0)))</f>
        <v/>
      </c>
      <c r="G359" s="18" t="str">
        <f>IF(K359="","",IF(H359=1,INDEX('По дням'!$B$2:$B$4000,MATCH(C359,'По дням'!$A$2:$A$4000,0)),"по периодам ставки"))</f>
        <v/>
      </c>
      <c r="H359" s="4" t="str">
        <f>IF(K359="","",INDEX(Интервалы!$I$2:$I$513,MATCH(K359,Интервалы!$G$2:$G$513,0)))</f>
        <v/>
      </c>
      <c r="I359" s="8" t="str">
        <f>IF(K359="","",INDEX(Интервалы!$F$2:$F$513,MATCH(K359,Интервалы!$G$2:$G$513,0)))</f>
        <v/>
      </c>
      <c r="J359" s="8" t="str">
        <f>IF(K359="","",INDEX(Интервалы!$H$2:$H$513,MATCH(K359,Интервалы!$G$2:$G$513,0)))</f>
        <v/>
      </c>
      <c r="K359" t="str">
        <f>IFERROR(SMALL(Интервалы!$G$2:$G$513,353),"")</f>
        <v/>
      </c>
      <c r="L359" t="str">
        <f>IF(K359="","",INDEX(Интервалы!$B$2:$B$513,MATCH(K359,Интервалы!$G$2:$G$513,0)))</f>
        <v/>
      </c>
    </row>
    <row r="360" spans="1:12" x14ac:dyDescent="0.3">
      <c r="A360" s="4" t="str">
        <f>IF(K360="","",354)</f>
        <v/>
      </c>
      <c r="B360" s="4" t="str">
        <f>IF(K360="","",INDEX(Интервалы!$A$2:$A$513,MATCH(K360,Интервалы!$G$2:$G$513,0)))</f>
        <v/>
      </c>
      <c r="C360" s="17" t="str">
        <f>IF(K360="","",INDEX(Интервалы!$C$2:$C$513,MATCH(K360,Интервалы!$G$2:$G$513,0)))</f>
        <v/>
      </c>
      <c r="D360" s="17" t="str">
        <f>IF(K360="","",INDEX(Интервалы!$D$2:$D$513,MATCH(K360,Интервалы!$G$2:$G$513,0)))</f>
        <v/>
      </c>
      <c r="E360" s="4" t="str">
        <f t="shared" si="5"/>
        <v/>
      </c>
      <c r="F360" s="8" t="str">
        <f>IF(K360="","",INDEX(Интервалы!$E$2:$E$513,MATCH(K360,Интервалы!$G$2:$G$513,0)))</f>
        <v/>
      </c>
      <c r="G360" s="18" t="str">
        <f>IF(K360="","",IF(H360=1,INDEX('По дням'!$B$2:$B$4000,MATCH(C360,'По дням'!$A$2:$A$4000,0)),"по периодам ставки"))</f>
        <v/>
      </c>
      <c r="H360" s="4" t="str">
        <f>IF(K360="","",INDEX(Интервалы!$I$2:$I$513,MATCH(K360,Интервалы!$G$2:$G$513,0)))</f>
        <v/>
      </c>
      <c r="I360" s="8" t="str">
        <f>IF(K360="","",INDEX(Интервалы!$F$2:$F$513,MATCH(K360,Интервалы!$G$2:$G$513,0)))</f>
        <v/>
      </c>
      <c r="J360" s="8" t="str">
        <f>IF(K360="","",INDEX(Интервалы!$H$2:$H$513,MATCH(K360,Интервалы!$G$2:$G$513,0)))</f>
        <v/>
      </c>
      <c r="K360" t="str">
        <f>IFERROR(SMALL(Интервалы!$G$2:$G$513,354),"")</f>
        <v/>
      </c>
      <c r="L360" t="str">
        <f>IF(K360="","",INDEX(Интервалы!$B$2:$B$513,MATCH(K360,Интервалы!$G$2:$G$513,0)))</f>
        <v/>
      </c>
    </row>
    <row r="361" spans="1:12" x14ac:dyDescent="0.3">
      <c r="A361" s="4" t="str">
        <f>IF(K361="","",355)</f>
        <v/>
      </c>
      <c r="B361" s="4" t="str">
        <f>IF(K361="","",INDEX(Интервалы!$A$2:$A$513,MATCH(K361,Интервалы!$G$2:$G$513,0)))</f>
        <v/>
      </c>
      <c r="C361" s="17" t="str">
        <f>IF(K361="","",INDEX(Интервалы!$C$2:$C$513,MATCH(K361,Интервалы!$G$2:$G$513,0)))</f>
        <v/>
      </c>
      <c r="D361" s="17" t="str">
        <f>IF(K361="","",INDEX(Интервалы!$D$2:$D$513,MATCH(K361,Интервалы!$G$2:$G$513,0)))</f>
        <v/>
      </c>
      <c r="E361" s="4" t="str">
        <f t="shared" si="5"/>
        <v/>
      </c>
      <c r="F361" s="8" t="str">
        <f>IF(K361="","",INDEX(Интервалы!$E$2:$E$513,MATCH(K361,Интервалы!$G$2:$G$513,0)))</f>
        <v/>
      </c>
      <c r="G361" s="18" t="str">
        <f>IF(K361="","",IF(H361=1,INDEX('По дням'!$B$2:$B$4000,MATCH(C361,'По дням'!$A$2:$A$4000,0)),"по периодам ставки"))</f>
        <v/>
      </c>
      <c r="H361" s="4" t="str">
        <f>IF(K361="","",INDEX(Интервалы!$I$2:$I$513,MATCH(K361,Интервалы!$G$2:$G$513,0)))</f>
        <v/>
      </c>
      <c r="I361" s="8" t="str">
        <f>IF(K361="","",INDEX(Интервалы!$F$2:$F$513,MATCH(K361,Интервалы!$G$2:$G$513,0)))</f>
        <v/>
      </c>
      <c r="J361" s="8" t="str">
        <f>IF(K361="","",INDEX(Интервалы!$H$2:$H$513,MATCH(K361,Интервалы!$G$2:$G$513,0)))</f>
        <v/>
      </c>
      <c r="K361" t="str">
        <f>IFERROR(SMALL(Интервалы!$G$2:$G$513,355),"")</f>
        <v/>
      </c>
      <c r="L361" t="str">
        <f>IF(K361="","",INDEX(Интервалы!$B$2:$B$513,MATCH(K361,Интервалы!$G$2:$G$513,0)))</f>
        <v/>
      </c>
    </row>
    <row r="362" spans="1:12" x14ac:dyDescent="0.3">
      <c r="A362" s="4" t="str">
        <f>IF(K362="","",356)</f>
        <v/>
      </c>
      <c r="B362" s="4" t="str">
        <f>IF(K362="","",INDEX(Интервалы!$A$2:$A$513,MATCH(K362,Интервалы!$G$2:$G$513,0)))</f>
        <v/>
      </c>
      <c r="C362" s="17" t="str">
        <f>IF(K362="","",INDEX(Интервалы!$C$2:$C$513,MATCH(K362,Интервалы!$G$2:$G$513,0)))</f>
        <v/>
      </c>
      <c r="D362" s="17" t="str">
        <f>IF(K362="","",INDEX(Интервалы!$D$2:$D$513,MATCH(K362,Интервалы!$G$2:$G$513,0)))</f>
        <v/>
      </c>
      <c r="E362" s="4" t="str">
        <f t="shared" si="5"/>
        <v/>
      </c>
      <c r="F362" s="8" t="str">
        <f>IF(K362="","",INDEX(Интервалы!$E$2:$E$513,MATCH(K362,Интервалы!$G$2:$G$513,0)))</f>
        <v/>
      </c>
      <c r="G362" s="18" t="str">
        <f>IF(K362="","",IF(H362=1,INDEX('По дням'!$B$2:$B$4000,MATCH(C362,'По дням'!$A$2:$A$4000,0)),"по периодам ставки"))</f>
        <v/>
      </c>
      <c r="H362" s="4" t="str">
        <f>IF(K362="","",INDEX(Интервалы!$I$2:$I$513,MATCH(K362,Интервалы!$G$2:$G$513,0)))</f>
        <v/>
      </c>
      <c r="I362" s="8" t="str">
        <f>IF(K362="","",INDEX(Интервалы!$F$2:$F$513,MATCH(K362,Интервалы!$G$2:$G$513,0)))</f>
        <v/>
      </c>
      <c r="J362" s="8" t="str">
        <f>IF(K362="","",INDEX(Интервалы!$H$2:$H$513,MATCH(K362,Интервалы!$G$2:$G$513,0)))</f>
        <v/>
      </c>
      <c r="K362" t="str">
        <f>IFERROR(SMALL(Интервалы!$G$2:$G$513,356),"")</f>
        <v/>
      </c>
      <c r="L362" t="str">
        <f>IF(K362="","",INDEX(Интервалы!$B$2:$B$513,MATCH(K362,Интервалы!$G$2:$G$513,0)))</f>
        <v/>
      </c>
    </row>
    <row r="363" spans="1:12" x14ac:dyDescent="0.3">
      <c r="A363" s="4" t="str">
        <f>IF(K363="","",357)</f>
        <v/>
      </c>
      <c r="B363" s="4" t="str">
        <f>IF(K363="","",INDEX(Интервалы!$A$2:$A$513,MATCH(K363,Интервалы!$G$2:$G$513,0)))</f>
        <v/>
      </c>
      <c r="C363" s="17" t="str">
        <f>IF(K363="","",INDEX(Интервалы!$C$2:$C$513,MATCH(K363,Интервалы!$G$2:$G$513,0)))</f>
        <v/>
      </c>
      <c r="D363" s="17" t="str">
        <f>IF(K363="","",INDEX(Интервалы!$D$2:$D$513,MATCH(K363,Интервалы!$G$2:$G$513,0)))</f>
        <v/>
      </c>
      <c r="E363" s="4" t="str">
        <f t="shared" si="5"/>
        <v/>
      </c>
      <c r="F363" s="8" t="str">
        <f>IF(K363="","",INDEX(Интервалы!$E$2:$E$513,MATCH(K363,Интервалы!$G$2:$G$513,0)))</f>
        <v/>
      </c>
      <c r="G363" s="18" t="str">
        <f>IF(K363="","",IF(H363=1,INDEX('По дням'!$B$2:$B$4000,MATCH(C363,'По дням'!$A$2:$A$4000,0)),"по периодам ставки"))</f>
        <v/>
      </c>
      <c r="H363" s="4" t="str">
        <f>IF(K363="","",INDEX(Интервалы!$I$2:$I$513,MATCH(K363,Интервалы!$G$2:$G$513,0)))</f>
        <v/>
      </c>
      <c r="I363" s="8" t="str">
        <f>IF(K363="","",INDEX(Интервалы!$F$2:$F$513,MATCH(K363,Интервалы!$G$2:$G$513,0)))</f>
        <v/>
      </c>
      <c r="J363" s="8" t="str">
        <f>IF(K363="","",INDEX(Интервалы!$H$2:$H$513,MATCH(K363,Интервалы!$G$2:$G$513,0)))</f>
        <v/>
      </c>
      <c r="K363" t="str">
        <f>IFERROR(SMALL(Интервалы!$G$2:$G$513,357),"")</f>
        <v/>
      </c>
      <c r="L363" t="str">
        <f>IF(K363="","",INDEX(Интервалы!$B$2:$B$513,MATCH(K363,Интервалы!$G$2:$G$513,0)))</f>
        <v/>
      </c>
    </row>
    <row r="364" spans="1:12" x14ac:dyDescent="0.3">
      <c r="A364" s="4" t="str">
        <f>IF(K364="","",358)</f>
        <v/>
      </c>
      <c r="B364" s="4" t="str">
        <f>IF(K364="","",INDEX(Интервалы!$A$2:$A$513,MATCH(K364,Интервалы!$G$2:$G$513,0)))</f>
        <v/>
      </c>
      <c r="C364" s="17" t="str">
        <f>IF(K364="","",INDEX(Интервалы!$C$2:$C$513,MATCH(K364,Интервалы!$G$2:$G$513,0)))</f>
        <v/>
      </c>
      <c r="D364" s="17" t="str">
        <f>IF(K364="","",INDEX(Интервалы!$D$2:$D$513,MATCH(K364,Интервалы!$G$2:$G$513,0)))</f>
        <v/>
      </c>
      <c r="E364" s="4" t="str">
        <f t="shared" si="5"/>
        <v/>
      </c>
      <c r="F364" s="8" t="str">
        <f>IF(K364="","",INDEX(Интервалы!$E$2:$E$513,MATCH(K364,Интервалы!$G$2:$G$513,0)))</f>
        <v/>
      </c>
      <c r="G364" s="18" t="str">
        <f>IF(K364="","",IF(H364=1,INDEX('По дням'!$B$2:$B$4000,MATCH(C364,'По дням'!$A$2:$A$4000,0)),"по периодам ставки"))</f>
        <v/>
      </c>
      <c r="H364" s="4" t="str">
        <f>IF(K364="","",INDEX(Интервалы!$I$2:$I$513,MATCH(K364,Интервалы!$G$2:$G$513,0)))</f>
        <v/>
      </c>
      <c r="I364" s="8" t="str">
        <f>IF(K364="","",INDEX(Интервалы!$F$2:$F$513,MATCH(K364,Интервалы!$G$2:$G$513,0)))</f>
        <v/>
      </c>
      <c r="J364" s="8" t="str">
        <f>IF(K364="","",INDEX(Интервалы!$H$2:$H$513,MATCH(K364,Интервалы!$G$2:$G$513,0)))</f>
        <v/>
      </c>
      <c r="K364" t="str">
        <f>IFERROR(SMALL(Интервалы!$G$2:$G$513,358),"")</f>
        <v/>
      </c>
      <c r="L364" t="str">
        <f>IF(K364="","",INDEX(Интервалы!$B$2:$B$513,MATCH(K364,Интервалы!$G$2:$G$513,0)))</f>
        <v/>
      </c>
    </row>
    <row r="365" spans="1:12" x14ac:dyDescent="0.3">
      <c r="A365" s="4" t="str">
        <f>IF(K365="","",359)</f>
        <v/>
      </c>
      <c r="B365" s="4" t="str">
        <f>IF(K365="","",INDEX(Интервалы!$A$2:$A$513,MATCH(K365,Интервалы!$G$2:$G$513,0)))</f>
        <v/>
      </c>
      <c r="C365" s="17" t="str">
        <f>IF(K365="","",INDEX(Интервалы!$C$2:$C$513,MATCH(K365,Интервалы!$G$2:$G$513,0)))</f>
        <v/>
      </c>
      <c r="D365" s="17" t="str">
        <f>IF(K365="","",INDEX(Интервалы!$D$2:$D$513,MATCH(K365,Интервалы!$G$2:$G$513,0)))</f>
        <v/>
      </c>
      <c r="E365" s="4" t="str">
        <f t="shared" si="5"/>
        <v/>
      </c>
      <c r="F365" s="8" t="str">
        <f>IF(K365="","",INDEX(Интервалы!$E$2:$E$513,MATCH(K365,Интервалы!$G$2:$G$513,0)))</f>
        <v/>
      </c>
      <c r="G365" s="18" t="str">
        <f>IF(K365="","",IF(H365=1,INDEX('По дням'!$B$2:$B$4000,MATCH(C365,'По дням'!$A$2:$A$4000,0)),"по периодам ставки"))</f>
        <v/>
      </c>
      <c r="H365" s="4" t="str">
        <f>IF(K365="","",INDEX(Интервалы!$I$2:$I$513,MATCH(K365,Интервалы!$G$2:$G$513,0)))</f>
        <v/>
      </c>
      <c r="I365" s="8" t="str">
        <f>IF(K365="","",INDEX(Интервалы!$F$2:$F$513,MATCH(K365,Интервалы!$G$2:$G$513,0)))</f>
        <v/>
      </c>
      <c r="J365" s="8" t="str">
        <f>IF(K365="","",INDEX(Интервалы!$H$2:$H$513,MATCH(K365,Интервалы!$G$2:$G$513,0)))</f>
        <v/>
      </c>
      <c r="K365" t="str">
        <f>IFERROR(SMALL(Интервалы!$G$2:$G$513,359),"")</f>
        <v/>
      </c>
      <c r="L365" t="str">
        <f>IF(K365="","",INDEX(Интервалы!$B$2:$B$513,MATCH(K365,Интервалы!$G$2:$G$513,0)))</f>
        <v/>
      </c>
    </row>
    <row r="366" spans="1:12" x14ac:dyDescent="0.3">
      <c r="A366" s="4" t="str">
        <f>IF(K366="","",360)</f>
        <v/>
      </c>
      <c r="B366" s="4" t="str">
        <f>IF(K366="","",INDEX(Интервалы!$A$2:$A$513,MATCH(K366,Интервалы!$G$2:$G$513,0)))</f>
        <v/>
      </c>
      <c r="C366" s="17" t="str">
        <f>IF(K366="","",INDEX(Интервалы!$C$2:$C$513,MATCH(K366,Интервалы!$G$2:$G$513,0)))</f>
        <v/>
      </c>
      <c r="D366" s="17" t="str">
        <f>IF(K366="","",INDEX(Интервалы!$D$2:$D$513,MATCH(K366,Интервалы!$G$2:$G$513,0)))</f>
        <v/>
      </c>
      <c r="E366" s="4" t="str">
        <f t="shared" si="5"/>
        <v/>
      </c>
      <c r="F366" s="8" t="str">
        <f>IF(K366="","",INDEX(Интервалы!$E$2:$E$513,MATCH(K366,Интервалы!$G$2:$G$513,0)))</f>
        <v/>
      </c>
      <c r="G366" s="18" t="str">
        <f>IF(K366="","",IF(H366=1,INDEX('По дням'!$B$2:$B$4000,MATCH(C366,'По дням'!$A$2:$A$4000,0)),"по периодам ставки"))</f>
        <v/>
      </c>
      <c r="H366" s="4" t="str">
        <f>IF(K366="","",INDEX(Интервалы!$I$2:$I$513,MATCH(K366,Интервалы!$G$2:$G$513,0)))</f>
        <v/>
      </c>
      <c r="I366" s="8" t="str">
        <f>IF(K366="","",INDEX(Интервалы!$F$2:$F$513,MATCH(K366,Интервалы!$G$2:$G$513,0)))</f>
        <v/>
      </c>
      <c r="J366" s="8" t="str">
        <f>IF(K366="","",INDEX(Интервалы!$H$2:$H$513,MATCH(K366,Интервалы!$G$2:$G$513,0)))</f>
        <v/>
      </c>
      <c r="K366" t="str">
        <f>IFERROR(SMALL(Интервалы!$G$2:$G$513,360),"")</f>
        <v/>
      </c>
      <c r="L366" t="str">
        <f>IF(K366="","",INDEX(Интервалы!$B$2:$B$513,MATCH(K366,Интервалы!$G$2:$G$513,0)))</f>
        <v/>
      </c>
    </row>
    <row r="367" spans="1:12" x14ac:dyDescent="0.3">
      <c r="A367" s="4" t="str">
        <f>IF(K367="","",361)</f>
        <v/>
      </c>
      <c r="B367" s="4" t="str">
        <f>IF(K367="","",INDEX(Интервалы!$A$2:$A$513,MATCH(K367,Интервалы!$G$2:$G$513,0)))</f>
        <v/>
      </c>
      <c r="C367" s="17" t="str">
        <f>IF(K367="","",INDEX(Интервалы!$C$2:$C$513,MATCH(K367,Интервалы!$G$2:$G$513,0)))</f>
        <v/>
      </c>
      <c r="D367" s="17" t="str">
        <f>IF(K367="","",INDEX(Интервалы!$D$2:$D$513,MATCH(K367,Интервалы!$G$2:$G$513,0)))</f>
        <v/>
      </c>
      <c r="E367" s="4" t="str">
        <f t="shared" si="5"/>
        <v/>
      </c>
      <c r="F367" s="8" t="str">
        <f>IF(K367="","",INDEX(Интервалы!$E$2:$E$513,MATCH(K367,Интервалы!$G$2:$G$513,0)))</f>
        <v/>
      </c>
      <c r="G367" s="18" t="str">
        <f>IF(K367="","",IF(H367=1,INDEX('По дням'!$B$2:$B$4000,MATCH(C367,'По дням'!$A$2:$A$4000,0)),"по периодам ставки"))</f>
        <v/>
      </c>
      <c r="H367" s="4" t="str">
        <f>IF(K367="","",INDEX(Интервалы!$I$2:$I$513,MATCH(K367,Интервалы!$G$2:$G$513,0)))</f>
        <v/>
      </c>
      <c r="I367" s="8" t="str">
        <f>IF(K367="","",INDEX(Интервалы!$F$2:$F$513,MATCH(K367,Интервалы!$G$2:$G$513,0)))</f>
        <v/>
      </c>
      <c r="J367" s="8" t="str">
        <f>IF(K367="","",INDEX(Интервалы!$H$2:$H$513,MATCH(K367,Интервалы!$G$2:$G$513,0)))</f>
        <v/>
      </c>
      <c r="K367" t="str">
        <f>IFERROR(SMALL(Интервалы!$G$2:$G$513,361),"")</f>
        <v/>
      </c>
      <c r="L367" t="str">
        <f>IF(K367="","",INDEX(Интервалы!$B$2:$B$513,MATCH(K367,Интервалы!$G$2:$G$513,0)))</f>
        <v/>
      </c>
    </row>
    <row r="368" spans="1:12" x14ac:dyDescent="0.3">
      <c r="A368" s="4" t="str">
        <f>IF(K368="","",362)</f>
        <v/>
      </c>
      <c r="B368" s="4" t="str">
        <f>IF(K368="","",INDEX(Интервалы!$A$2:$A$513,MATCH(K368,Интервалы!$G$2:$G$513,0)))</f>
        <v/>
      </c>
      <c r="C368" s="17" t="str">
        <f>IF(K368="","",INDEX(Интервалы!$C$2:$C$513,MATCH(K368,Интервалы!$G$2:$G$513,0)))</f>
        <v/>
      </c>
      <c r="D368" s="17" t="str">
        <f>IF(K368="","",INDEX(Интервалы!$D$2:$D$513,MATCH(K368,Интервалы!$G$2:$G$513,0)))</f>
        <v/>
      </c>
      <c r="E368" s="4" t="str">
        <f t="shared" si="5"/>
        <v/>
      </c>
      <c r="F368" s="8" t="str">
        <f>IF(K368="","",INDEX(Интервалы!$E$2:$E$513,MATCH(K368,Интервалы!$G$2:$G$513,0)))</f>
        <v/>
      </c>
      <c r="G368" s="18" t="str">
        <f>IF(K368="","",IF(H368=1,INDEX('По дням'!$B$2:$B$4000,MATCH(C368,'По дням'!$A$2:$A$4000,0)),"по периодам ставки"))</f>
        <v/>
      </c>
      <c r="H368" s="4" t="str">
        <f>IF(K368="","",INDEX(Интервалы!$I$2:$I$513,MATCH(K368,Интервалы!$G$2:$G$513,0)))</f>
        <v/>
      </c>
      <c r="I368" s="8" t="str">
        <f>IF(K368="","",INDEX(Интервалы!$F$2:$F$513,MATCH(K368,Интервалы!$G$2:$G$513,0)))</f>
        <v/>
      </c>
      <c r="J368" s="8" t="str">
        <f>IF(K368="","",INDEX(Интервалы!$H$2:$H$513,MATCH(K368,Интервалы!$G$2:$G$513,0)))</f>
        <v/>
      </c>
      <c r="K368" t="str">
        <f>IFERROR(SMALL(Интервалы!$G$2:$G$513,362),"")</f>
        <v/>
      </c>
      <c r="L368" t="str">
        <f>IF(K368="","",INDEX(Интервалы!$B$2:$B$513,MATCH(K368,Интервалы!$G$2:$G$513,0)))</f>
        <v/>
      </c>
    </row>
    <row r="369" spans="1:12" x14ac:dyDescent="0.3">
      <c r="A369" s="4" t="str">
        <f>IF(K369="","",363)</f>
        <v/>
      </c>
      <c r="B369" s="4" t="str">
        <f>IF(K369="","",INDEX(Интервалы!$A$2:$A$513,MATCH(K369,Интервалы!$G$2:$G$513,0)))</f>
        <v/>
      </c>
      <c r="C369" s="17" t="str">
        <f>IF(K369="","",INDEX(Интервалы!$C$2:$C$513,MATCH(K369,Интервалы!$G$2:$G$513,0)))</f>
        <v/>
      </c>
      <c r="D369" s="17" t="str">
        <f>IF(K369="","",INDEX(Интервалы!$D$2:$D$513,MATCH(K369,Интервалы!$G$2:$G$513,0)))</f>
        <v/>
      </c>
      <c r="E369" s="4" t="str">
        <f t="shared" si="5"/>
        <v/>
      </c>
      <c r="F369" s="8" t="str">
        <f>IF(K369="","",INDEX(Интервалы!$E$2:$E$513,MATCH(K369,Интервалы!$G$2:$G$513,0)))</f>
        <v/>
      </c>
      <c r="G369" s="18" t="str">
        <f>IF(K369="","",IF(H369=1,INDEX('По дням'!$B$2:$B$4000,MATCH(C369,'По дням'!$A$2:$A$4000,0)),"по периодам ставки"))</f>
        <v/>
      </c>
      <c r="H369" s="4" t="str">
        <f>IF(K369="","",INDEX(Интервалы!$I$2:$I$513,MATCH(K369,Интервалы!$G$2:$G$513,0)))</f>
        <v/>
      </c>
      <c r="I369" s="8" t="str">
        <f>IF(K369="","",INDEX(Интервалы!$F$2:$F$513,MATCH(K369,Интервалы!$G$2:$G$513,0)))</f>
        <v/>
      </c>
      <c r="J369" s="8" t="str">
        <f>IF(K369="","",INDEX(Интервалы!$H$2:$H$513,MATCH(K369,Интервалы!$G$2:$G$513,0)))</f>
        <v/>
      </c>
      <c r="K369" t="str">
        <f>IFERROR(SMALL(Интервалы!$G$2:$G$513,363),"")</f>
        <v/>
      </c>
      <c r="L369" t="str">
        <f>IF(K369="","",INDEX(Интервалы!$B$2:$B$513,MATCH(K369,Интервалы!$G$2:$G$513,0)))</f>
        <v/>
      </c>
    </row>
    <row r="370" spans="1:12" x14ac:dyDescent="0.3">
      <c r="A370" s="4" t="str">
        <f>IF(K370="","",364)</f>
        <v/>
      </c>
      <c r="B370" s="4" t="str">
        <f>IF(K370="","",INDEX(Интервалы!$A$2:$A$513,MATCH(K370,Интервалы!$G$2:$G$513,0)))</f>
        <v/>
      </c>
      <c r="C370" s="17" t="str">
        <f>IF(K370="","",INDEX(Интервалы!$C$2:$C$513,MATCH(K370,Интервалы!$G$2:$G$513,0)))</f>
        <v/>
      </c>
      <c r="D370" s="17" t="str">
        <f>IF(K370="","",INDEX(Интервалы!$D$2:$D$513,MATCH(K370,Интервалы!$G$2:$G$513,0)))</f>
        <v/>
      </c>
      <c r="E370" s="4" t="str">
        <f t="shared" si="5"/>
        <v/>
      </c>
      <c r="F370" s="8" t="str">
        <f>IF(K370="","",INDEX(Интервалы!$E$2:$E$513,MATCH(K370,Интервалы!$G$2:$G$513,0)))</f>
        <v/>
      </c>
      <c r="G370" s="18" t="str">
        <f>IF(K370="","",IF(H370=1,INDEX('По дням'!$B$2:$B$4000,MATCH(C370,'По дням'!$A$2:$A$4000,0)),"по периодам ставки"))</f>
        <v/>
      </c>
      <c r="H370" s="4" t="str">
        <f>IF(K370="","",INDEX(Интервалы!$I$2:$I$513,MATCH(K370,Интервалы!$G$2:$G$513,0)))</f>
        <v/>
      </c>
      <c r="I370" s="8" t="str">
        <f>IF(K370="","",INDEX(Интервалы!$F$2:$F$513,MATCH(K370,Интервалы!$G$2:$G$513,0)))</f>
        <v/>
      </c>
      <c r="J370" s="8" t="str">
        <f>IF(K370="","",INDEX(Интервалы!$H$2:$H$513,MATCH(K370,Интервалы!$G$2:$G$513,0)))</f>
        <v/>
      </c>
      <c r="K370" t="str">
        <f>IFERROR(SMALL(Интервалы!$G$2:$G$513,364),"")</f>
        <v/>
      </c>
      <c r="L370" t="str">
        <f>IF(K370="","",INDEX(Интервалы!$B$2:$B$513,MATCH(K370,Интервалы!$G$2:$G$513,0)))</f>
        <v/>
      </c>
    </row>
    <row r="371" spans="1:12" x14ac:dyDescent="0.3">
      <c r="A371" s="4" t="str">
        <f>IF(K371="","",365)</f>
        <v/>
      </c>
      <c r="B371" s="4" t="str">
        <f>IF(K371="","",INDEX(Интервалы!$A$2:$A$513,MATCH(K371,Интервалы!$G$2:$G$513,0)))</f>
        <v/>
      </c>
      <c r="C371" s="17" t="str">
        <f>IF(K371="","",INDEX(Интервалы!$C$2:$C$513,MATCH(K371,Интервалы!$G$2:$G$513,0)))</f>
        <v/>
      </c>
      <c r="D371" s="17" t="str">
        <f>IF(K371="","",INDEX(Интервалы!$D$2:$D$513,MATCH(K371,Интервалы!$G$2:$G$513,0)))</f>
        <v/>
      </c>
      <c r="E371" s="4" t="str">
        <f t="shared" si="5"/>
        <v/>
      </c>
      <c r="F371" s="8" t="str">
        <f>IF(K371="","",INDEX(Интервалы!$E$2:$E$513,MATCH(K371,Интервалы!$G$2:$G$513,0)))</f>
        <v/>
      </c>
      <c r="G371" s="18" t="str">
        <f>IF(K371="","",IF(H371=1,INDEX('По дням'!$B$2:$B$4000,MATCH(C371,'По дням'!$A$2:$A$4000,0)),"по периодам ставки"))</f>
        <v/>
      </c>
      <c r="H371" s="4" t="str">
        <f>IF(K371="","",INDEX(Интервалы!$I$2:$I$513,MATCH(K371,Интервалы!$G$2:$G$513,0)))</f>
        <v/>
      </c>
      <c r="I371" s="8" t="str">
        <f>IF(K371="","",INDEX(Интервалы!$F$2:$F$513,MATCH(K371,Интервалы!$G$2:$G$513,0)))</f>
        <v/>
      </c>
      <c r="J371" s="8" t="str">
        <f>IF(K371="","",INDEX(Интервалы!$H$2:$H$513,MATCH(K371,Интервалы!$G$2:$G$513,0)))</f>
        <v/>
      </c>
      <c r="K371" t="str">
        <f>IFERROR(SMALL(Интервалы!$G$2:$G$513,365),"")</f>
        <v/>
      </c>
      <c r="L371" t="str">
        <f>IF(K371="","",INDEX(Интервалы!$B$2:$B$513,MATCH(K371,Интервалы!$G$2:$G$513,0)))</f>
        <v/>
      </c>
    </row>
    <row r="372" spans="1:12" x14ac:dyDescent="0.3">
      <c r="A372" s="4" t="str">
        <f>IF(K372="","",366)</f>
        <v/>
      </c>
      <c r="B372" s="4" t="str">
        <f>IF(K372="","",INDEX(Интервалы!$A$2:$A$513,MATCH(K372,Интервалы!$G$2:$G$513,0)))</f>
        <v/>
      </c>
      <c r="C372" s="17" t="str">
        <f>IF(K372="","",INDEX(Интервалы!$C$2:$C$513,MATCH(K372,Интервалы!$G$2:$G$513,0)))</f>
        <v/>
      </c>
      <c r="D372" s="17" t="str">
        <f>IF(K372="","",INDEX(Интервалы!$D$2:$D$513,MATCH(K372,Интервалы!$G$2:$G$513,0)))</f>
        <v/>
      </c>
      <c r="E372" s="4" t="str">
        <f t="shared" si="5"/>
        <v/>
      </c>
      <c r="F372" s="8" t="str">
        <f>IF(K372="","",INDEX(Интервалы!$E$2:$E$513,MATCH(K372,Интервалы!$G$2:$G$513,0)))</f>
        <v/>
      </c>
      <c r="G372" s="18" t="str">
        <f>IF(K372="","",IF(H372=1,INDEX('По дням'!$B$2:$B$4000,MATCH(C372,'По дням'!$A$2:$A$4000,0)),"по периодам ставки"))</f>
        <v/>
      </c>
      <c r="H372" s="4" t="str">
        <f>IF(K372="","",INDEX(Интервалы!$I$2:$I$513,MATCH(K372,Интервалы!$G$2:$G$513,0)))</f>
        <v/>
      </c>
      <c r="I372" s="8" t="str">
        <f>IF(K372="","",INDEX(Интервалы!$F$2:$F$513,MATCH(K372,Интервалы!$G$2:$G$513,0)))</f>
        <v/>
      </c>
      <c r="J372" s="8" t="str">
        <f>IF(K372="","",INDEX(Интервалы!$H$2:$H$513,MATCH(K372,Интервалы!$G$2:$G$513,0)))</f>
        <v/>
      </c>
      <c r="K372" t="str">
        <f>IFERROR(SMALL(Интервалы!$G$2:$G$513,366),"")</f>
        <v/>
      </c>
      <c r="L372" t="str">
        <f>IF(K372="","",INDEX(Интервалы!$B$2:$B$513,MATCH(K372,Интервалы!$G$2:$G$513,0)))</f>
        <v/>
      </c>
    </row>
    <row r="373" spans="1:12" x14ac:dyDescent="0.3">
      <c r="A373" s="4" t="str">
        <f>IF(K373="","",367)</f>
        <v/>
      </c>
      <c r="B373" s="4" t="str">
        <f>IF(K373="","",INDEX(Интервалы!$A$2:$A$513,MATCH(K373,Интервалы!$G$2:$G$513,0)))</f>
        <v/>
      </c>
      <c r="C373" s="17" t="str">
        <f>IF(K373="","",INDEX(Интервалы!$C$2:$C$513,MATCH(K373,Интервалы!$G$2:$G$513,0)))</f>
        <v/>
      </c>
      <c r="D373" s="17" t="str">
        <f>IF(K373="","",INDEX(Интервалы!$D$2:$D$513,MATCH(K373,Интервалы!$G$2:$G$513,0)))</f>
        <v/>
      </c>
      <c r="E373" s="4" t="str">
        <f t="shared" si="5"/>
        <v/>
      </c>
      <c r="F373" s="8" t="str">
        <f>IF(K373="","",INDEX(Интервалы!$E$2:$E$513,MATCH(K373,Интервалы!$G$2:$G$513,0)))</f>
        <v/>
      </c>
      <c r="G373" s="18" t="str">
        <f>IF(K373="","",IF(H373=1,INDEX('По дням'!$B$2:$B$4000,MATCH(C373,'По дням'!$A$2:$A$4000,0)),"по периодам ставки"))</f>
        <v/>
      </c>
      <c r="H373" s="4" t="str">
        <f>IF(K373="","",INDEX(Интервалы!$I$2:$I$513,MATCH(K373,Интервалы!$G$2:$G$513,0)))</f>
        <v/>
      </c>
      <c r="I373" s="8" t="str">
        <f>IF(K373="","",INDEX(Интервалы!$F$2:$F$513,MATCH(K373,Интервалы!$G$2:$G$513,0)))</f>
        <v/>
      </c>
      <c r="J373" s="8" t="str">
        <f>IF(K373="","",INDEX(Интервалы!$H$2:$H$513,MATCH(K373,Интервалы!$G$2:$G$513,0)))</f>
        <v/>
      </c>
      <c r="K373" t="str">
        <f>IFERROR(SMALL(Интервалы!$G$2:$G$513,367),"")</f>
        <v/>
      </c>
      <c r="L373" t="str">
        <f>IF(K373="","",INDEX(Интервалы!$B$2:$B$513,MATCH(K373,Интервалы!$G$2:$G$513,0)))</f>
        <v/>
      </c>
    </row>
    <row r="374" spans="1:12" x14ac:dyDescent="0.3">
      <c r="A374" s="4" t="str">
        <f>IF(K374="","",368)</f>
        <v/>
      </c>
      <c r="B374" s="4" t="str">
        <f>IF(K374="","",INDEX(Интервалы!$A$2:$A$513,MATCH(K374,Интервалы!$G$2:$G$513,0)))</f>
        <v/>
      </c>
      <c r="C374" s="17" t="str">
        <f>IF(K374="","",INDEX(Интервалы!$C$2:$C$513,MATCH(K374,Интервалы!$G$2:$G$513,0)))</f>
        <v/>
      </c>
      <c r="D374" s="17" t="str">
        <f>IF(K374="","",INDEX(Интервалы!$D$2:$D$513,MATCH(K374,Интервалы!$G$2:$G$513,0)))</f>
        <v/>
      </c>
      <c r="E374" s="4" t="str">
        <f t="shared" si="5"/>
        <v/>
      </c>
      <c r="F374" s="8" t="str">
        <f>IF(K374="","",INDEX(Интервалы!$E$2:$E$513,MATCH(K374,Интервалы!$G$2:$G$513,0)))</f>
        <v/>
      </c>
      <c r="G374" s="18" t="str">
        <f>IF(K374="","",IF(H374=1,INDEX('По дням'!$B$2:$B$4000,MATCH(C374,'По дням'!$A$2:$A$4000,0)),"по периодам ставки"))</f>
        <v/>
      </c>
      <c r="H374" s="4" t="str">
        <f>IF(K374="","",INDEX(Интервалы!$I$2:$I$513,MATCH(K374,Интервалы!$G$2:$G$513,0)))</f>
        <v/>
      </c>
      <c r="I374" s="8" t="str">
        <f>IF(K374="","",INDEX(Интервалы!$F$2:$F$513,MATCH(K374,Интервалы!$G$2:$G$513,0)))</f>
        <v/>
      </c>
      <c r="J374" s="8" t="str">
        <f>IF(K374="","",INDEX(Интервалы!$H$2:$H$513,MATCH(K374,Интервалы!$G$2:$G$513,0)))</f>
        <v/>
      </c>
      <c r="K374" t="str">
        <f>IFERROR(SMALL(Интервалы!$G$2:$G$513,368),"")</f>
        <v/>
      </c>
      <c r="L374" t="str">
        <f>IF(K374="","",INDEX(Интервалы!$B$2:$B$513,MATCH(K374,Интервалы!$G$2:$G$513,0)))</f>
        <v/>
      </c>
    </row>
    <row r="375" spans="1:12" x14ac:dyDescent="0.3">
      <c r="A375" s="4" t="str">
        <f>IF(K375="","",369)</f>
        <v/>
      </c>
      <c r="B375" s="4" t="str">
        <f>IF(K375="","",INDEX(Интервалы!$A$2:$A$513,MATCH(K375,Интервалы!$G$2:$G$513,0)))</f>
        <v/>
      </c>
      <c r="C375" s="17" t="str">
        <f>IF(K375="","",INDEX(Интервалы!$C$2:$C$513,MATCH(K375,Интервалы!$G$2:$G$513,0)))</f>
        <v/>
      </c>
      <c r="D375" s="17" t="str">
        <f>IF(K375="","",INDEX(Интервалы!$D$2:$D$513,MATCH(K375,Интервалы!$G$2:$G$513,0)))</f>
        <v/>
      </c>
      <c r="E375" s="4" t="str">
        <f t="shared" si="5"/>
        <v/>
      </c>
      <c r="F375" s="8" t="str">
        <f>IF(K375="","",INDEX(Интервалы!$E$2:$E$513,MATCH(K375,Интервалы!$G$2:$G$513,0)))</f>
        <v/>
      </c>
      <c r="G375" s="18" t="str">
        <f>IF(K375="","",IF(H375=1,INDEX('По дням'!$B$2:$B$4000,MATCH(C375,'По дням'!$A$2:$A$4000,0)),"по периодам ставки"))</f>
        <v/>
      </c>
      <c r="H375" s="4" t="str">
        <f>IF(K375="","",INDEX(Интервалы!$I$2:$I$513,MATCH(K375,Интервалы!$G$2:$G$513,0)))</f>
        <v/>
      </c>
      <c r="I375" s="8" t="str">
        <f>IF(K375="","",INDEX(Интервалы!$F$2:$F$513,MATCH(K375,Интервалы!$G$2:$G$513,0)))</f>
        <v/>
      </c>
      <c r="J375" s="8" t="str">
        <f>IF(K375="","",INDEX(Интервалы!$H$2:$H$513,MATCH(K375,Интервалы!$G$2:$G$513,0)))</f>
        <v/>
      </c>
      <c r="K375" t="str">
        <f>IFERROR(SMALL(Интервалы!$G$2:$G$513,369),"")</f>
        <v/>
      </c>
      <c r="L375" t="str">
        <f>IF(K375="","",INDEX(Интервалы!$B$2:$B$513,MATCH(K375,Интервалы!$G$2:$G$513,0)))</f>
        <v/>
      </c>
    </row>
    <row r="376" spans="1:12" x14ac:dyDescent="0.3">
      <c r="A376" s="4" t="str">
        <f>IF(K376="","",370)</f>
        <v/>
      </c>
      <c r="B376" s="4" t="str">
        <f>IF(K376="","",INDEX(Интервалы!$A$2:$A$513,MATCH(K376,Интервалы!$G$2:$G$513,0)))</f>
        <v/>
      </c>
      <c r="C376" s="17" t="str">
        <f>IF(K376="","",INDEX(Интервалы!$C$2:$C$513,MATCH(K376,Интервалы!$G$2:$G$513,0)))</f>
        <v/>
      </c>
      <c r="D376" s="17" t="str">
        <f>IF(K376="","",INDEX(Интервалы!$D$2:$D$513,MATCH(K376,Интервалы!$G$2:$G$513,0)))</f>
        <v/>
      </c>
      <c r="E376" s="4" t="str">
        <f t="shared" si="5"/>
        <v/>
      </c>
      <c r="F376" s="8" t="str">
        <f>IF(K376="","",INDEX(Интервалы!$E$2:$E$513,MATCH(K376,Интервалы!$G$2:$G$513,0)))</f>
        <v/>
      </c>
      <c r="G376" s="18" t="str">
        <f>IF(K376="","",IF(H376=1,INDEX('По дням'!$B$2:$B$4000,MATCH(C376,'По дням'!$A$2:$A$4000,0)),"по периодам ставки"))</f>
        <v/>
      </c>
      <c r="H376" s="4" t="str">
        <f>IF(K376="","",INDEX(Интервалы!$I$2:$I$513,MATCH(K376,Интервалы!$G$2:$G$513,0)))</f>
        <v/>
      </c>
      <c r="I376" s="8" t="str">
        <f>IF(K376="","",INDEX(Интервалы!$F$2:$F$513,MATCH(K376,Интервалы!$G$2:$G$513,0)))</f>
        <v/>
      </c>
      <c r="J376" s="8" t="str">
        <f>IF(K376="","",INDEX(Интервалы!$H$2:$H$513,MATCH(K376,Интервалы!$G$2:$G$513,0)))</f>
        <v/>
      </c>
      <c r="K376" t="str">
        <f>IFERROR(SMALL(Интервалы!$G$2:$G$513,370),"")</f>
        <v/>
      </c>
      <c r="L376" t="str">
        <f>IF(K376="","",INDEX(Интервалы!$B$2:$B$513,MATCH(K376,Интервалы!$G$2:$G$513,0)))</f>
        <v/>
      </c>
    </row>
    <row r="377" spans="1:12" x14ac:dyDescent="0.3">
      <c r="A377" s="4" t="str">
        <f>IF(K377="","",371)</f>
        <v/>
      </c>
      <c r="B377" s="4" t="str">
        <f>IF(K377="","",INDEX(Интервалы!$A$2:$A$513,MATCH(K377,Интервалы!$G$2:$G$513,0)))</f>
        <v/>
      </c>
      <c r="C377" s="17" t="str">
        <f>IF(K377="","",INDEX(Интервалы!$C$2:$C$513,MATCH(K377,Интервалы!$G$2:$G$513,0)))</f>
        <v/>
      </c>
      <c r="D377" s="17" t="str">
        <f>IF(K377="","",INDEX(Интервалы!$D$2:$D$513,MATCH(K377,Интервалы!$G$2:$G$513,0)))</f>
        <v/>
      </c>
      <c r="E377" s="4" t="str">
        <f t="shared" si="5"/>
        <v/>
      </c>
      <c r="F377" s="8" t="str">
        <f>IF(K377="","",INDEX(Интервалы!$E$2:$E$513,MATCH(K377,Интервалы!$G$2:$G$513,0)))</f>
        <v/>
      </c>
      <c r="G377" s="18" t="str">
        <f>IF(K377="","",IF(H377=1,INDEX('По дням'!$B$2:$B$4000,MATCH(C377,'По дням'!$A$2:$A$4000,0)),"по периодам ставки"))</f>
        <v/>
      </c>
      <c r="H377" s="4" t="str">
        <f>IF(K377="","",INDEX(Интервалы!$I$2:$I$513,MATCH(K377,Интервалы!$G$2:$G$513,0)))</f>
        <v/>
      </c>
      <c r="I377" s="8" t="str">
        <f>IF(K377="","",INDEX(Интервалы!$F$2:$F$513,MATCH(K377,Интервалы!$G$2:$G$513,0)))</f>
        <v/>
      </c>
      <c r="J377" s="8" t="str">
        <f>IF(K377="","",INDEX(Интервалы!$H$2:$H$513,MATCH(K377,Интервалы!$G$2:$G$513,0)))</f>
        <v/>
      </c>
      <c r="K377" t="str">
        <f>IFERROR(SMALL(Интервалы!$G$2:$G$513,371),"")</f>
        <v/>
      </c>
      <c r="L377" t="str">
        <f>IF(K377="","",INDEX(Интервалы!$B$2:$B$513,MATCH(K377,Интервалы!$G$2:$G$513,0)))</f>
        <v/>
      </c>
    </row>
    <row r="378" spans="1:12" x14ac:dyDescent="0.3">
      <c r="A378" s="4" t="str">
        <f>IF(K378="","",372)</f>
        <v/>
      </c>
      <c r="B378" s="4" t="str">
        <f>IF(K378="","",INDEX(Интервалы!$A$2:$A$513,MATCH(K378,Интервалы!$G$2:$G$513,0)))</f>
        <v/>
      </c>
      <c r="C378" s="17" t="str">
        <f>IF(K378="","",INDEX(Интервалы!$C$2:$C$513,MATCH(K378,Интервалы!$G$2:$G$513,0)))</f>
        <v/>
      </c>
      <c r="D378" s="17" t="str">
        <f>IF(K378="","",INDEX(Интервалы!$D$2:$D$513,MATCH(K378,Интервалы!$G$2:$G$513,0)))</f>
        <v/>
      </c>
      <c r="E378" s="4" t="str">
        <f t="shared" si="5"/>
        <v/>
      </c>
      <c r="F378" s="8" t="str">
        <f>IF(K378="","",INDEX(Интервалы!$E$2:$E$513,MATCH(K378,Интервалы!$G$2:$G$513,0)))</f>
        <v/>
      </c>
      <c r="G378" s="18" t="str">
        <f>IF(K378="","",IF(H378=1,INDEX('По дням'!$B$2:$B$4000,MATCH(C378,'По дням'!$A$2:$A$4000,0)),"по периодам ставки"))</f>
        <v/>
      </c>
      <c r="H378" s="4" t="str">
        <f>IF(K378="","",INDEX(Интервалы!$I$2:$I$513,MATCH(K378,Интервалы!$G$2:$G$513,0)))</f>
        <v/>
      </c>
      <c r="I378" s="8" t="str">
        <f>IF(K378="","",INDEX(Интервалы!$F$2:$F$513,MATCH(K378,Интервалы!$G$2:$G$513,0)))</f>
        <v/>
      </c>
      <c r="J378" s="8" t="str">
        <f>IF(K378="","",INDEX(Интервалы!$H$2:$H$513,MATCH(K378,Интервалы!$G$2:$G$513,0)))</f>
        <v/>
      </c>
      <c r="K378" t="str">
        <f>IFERROR(SMALL(Интервалы!$G$2:$G$513,372),"")</f>
        <v/>
      </c>
      <c r="L378" t="str">
        <f>IF(K378="","",INDEX(Интервалы!$B$2:$B$513,MATCH(K378,Интервалы!$G$2:$G$513,0)))</f>
        <v/>
      </c>
    </row>
    <row r="379" spans="1:12" x14ac:dyDescent="0.3">
      <c r="A379" s="4" t="str">
        <f>IF(K379="","",373)</f>
        <v/>
      </c>
      <c r="B379" s="4" t="str">
        <f>IF(K379="","",INDEX(Интервалы!$A$2:$A$513,MATCH(K379,Интервалы!$G$2:$G$513,0)))</f>
        <v/>
      </c>
      <c r="C379" s="17" t="str">
        <f>IF(K379="","",INDEX(Интервалы!$C$2:$C$513,MATCH(K379,Интервалы!$G$2:$G$513,0)))</f>
        <v/>
      </c>
      <c r="D379" s="17" t="str">
        <f>IF(K379="","",INDEX(Интервалы!$D$2:$D$513,MATCH(K379,Интервалы!$G$2:$G$513,0)))</f>
        <v/>
      </c>
      <c r="E379" s="4" t="str">
        <f t="shared" si="5"/>
        <v/>
      </c>
      <c r="F379" s="8" t="str">
        <f>IF(K379="","",INDEX(Интервалы!$E$2:$E$513,MATCH(K379,Интервалы!$G$2:$G$513,0)))</f>
        <v/>
      </c>
      <c r="G379" s="18" t="str">
        <f>IF(K379="","",IF(H379=1,INDEX('По дням'!$B$2:$B$4000,MATCH(C379,'По дням'!$A$2:$A$4000,0)),"по периодам ставки"))</f>
        <v/>
      </c>
      <c r="H379" s="4" t="str">
        <f>IF(K379="","",INDEX(Интервалы!$I$2:$I$513,MATCH(K379,Интервалы!$G$2:$G$513,0)))</f>
        <v/>
      </c>
      <c r="I379" s="8" t="str">
        <f>IF(K379="","",INDEX(Интервалы!$F$2:$F$513,MATCH(K379,Интервалы!$G$2:$G$513,0)))</f>
        <v/>
      </c>
      <c r="J379" s="8" t="str">
        <f>IF(K379="","",INDEX(Интервалы!$H$2:$H$513,MATCH(K379,Интервалы!$G$2:$G$513,0)))</f>
        <v/>
      </c>
      <c r="K379" t="str">
        <f>IFERROR(SMALL(Интервалы!$G$2:$G$513,373),"")</f>
        <v/>
      </c>
      <c r="L379" t="str">
        <f>IF(K379="","",INDEX(Интервалы!$B$2:$B$513,MATCH(K379,Интервалы!$G$2:$G$513,0)))</f>
        <v/>
      </c>
    </row>
    <row r="380" spans="1:12" x14ac:dyDescent="0.3">
      <c r="A380" s="4" t="str">
        <f>IF(K380="","",374)</f>
        <v/>
      </c>
      <c r="B380" s="4" t="str">
        <f>IF(K380="","",INDEX(Интервалы!$A$2:$A$513,MATCH(K380,Интервалы!$G$2:$G$513,0)))</f>
        <v/>
      </c>
      <c r="C380" s="17" t="str">
        <f>IF(K380="","",INDEX(Интервалы!$C$2:$C$513,MATCH(K380,Интервалы!$G$2:$G$513,0)))</f>
        <v/>
      </c>
      <c r="D380" s="17" t="str">
        <f>IF(K380="","",INDEX(Интервалы!$D$2:$D$513,MATCH(K380,Интервалы!$G$2:$G$513,0)))</f>
        <v/>
      </c>
      <c r="E380" s="4" t="str">
        <f t="shared" si="5"/>
        <v/>
      </c>
      <c r="F380" s="8" t="str">
        <f>IF(K380="","",INDEX(Интервалы!$E$2:$E$513,MATCH(K380,Интервалы!$G$2:$G$513,0)))</f>
        <v/>
      </c>
      <c r="G380" s="18" t="str">
        <f>IF(K380="","",IF(H380=1,INDEX('По дням'!$B$2:$B$4000,MATCH(C380,'По дням'!$A$2:$A$4000,0)),"по периодам ставки"))</f>
        <v/>
      </c>
      <c r="H380" s="4" t="str">
        <f>IF(K380="","",INDEX(Интервалы!$I$2:$I$513,MATCH(K380,Интервалы!$G$2:$G$513,0)))</f>
        <v/>
      </c>
      <c r="I380" s="8" t="str">
        <f>IF(K380="","",INDEX(Интервалы!$F$2:$F$513,MATCH(K380,Интервалы!$G$2:$G$513,0)))</f>
        <v/>
      </c>
      <c r="J380" s="8" t="str">
        <f>IF(K380="","",INDEX(Интервалы!$H$2:$H$513,MATCH(K380,Интервалы!$G$2:$G$513,0)))</f>
        <v/>
      </c>
      <c r="K380" t="str">
        <f>IFERROR(SMALL(Интервалы!$G$2:$G$513,374),"")</f>
        <v/>
      </c>
      <c r="L380" t="str">
        <f>IF(K380="","",INDEX(Интервалы!$B$2:$B$513,MATCH(K380,Интервалы!$G$2:$G$513,0)))</f>
        <v/>
      </c>
    </row>
    <row r="381" spans="1:12" x14ac:dyDescent="0.3">
      <c r="A381" s="4" t="str">
        <f>IF(K381="","",375)</f>
        <v/>
      </c>
      <c r="B381" s="4" t="str">
        <f>IF(K381="","",INDEX(Интервалы!$A$2:$A$513,MATCH(K381,Интервалы!$G$2:$G$513,0)))</f>
        <v/>
      </c>
      <c r="C381" s="17" t="str">
        <f>IF(K381="","",INDEX(Интервалы!$C$2:$C$513,MATCH(K381,Интервалы!$G$2:$G$513,0)))</f>
        <v/>
      </c>
      <c r="D381" s="17" t="str">
        <f>IF(K381="","",INDEX(Интервалы!$D$2:$D$513,MATCH(K381,Интервалы!$G$2:$G$513,0)))</f>
        <v/>
      </c>
      <c r="E381" s="4" t="str">
        <f t="shared" si="5"/>
        <v/>
      </c>
      <c r="F381" s="8" t="str">
        <f>IF(K381="","",INDEX(Интервалы!$E$2:$E$513,MATCH(K381,Интервалы!$G$2:$G$513,0)))</f>
        <v/>
      </c>
      <c r="G381" s="18" t="str">
        <f>IF(K381="","",IF(H381=1,INDEX('По дням'!$B$2:$B$4000,MATCH(C381,'По дням'!$A$2:$A$4000,0)),"по периодам ставки"))</f>
        <v/>
      </c>
      <c r="H381" s="4" t="str">
        <f>IF(K381="","",INDEX(Интервалы!$I$2:$I$513,MATCH(K381,Интервалы!$G$2:$G$513,0)))</f>
        <v/>
      </c>
      <c r="I381" s="8" t="str">
        <f>IF(K381="","",INDEX(Интервалы!$F$2:$F$513,MATCH(K381,Интервалы!$G$2:$G$513,0)))</f>
        <v/>
      </c>
      <c r="J381" s="8" t="str">
        <f>IF(K381="","",INDEX(Интервалы!$H$2:$H$513,MATCH(K381,Интервалы!$G$2:$G$513,0)))</f>
        <v/>
      </c>
      <c r="K381" t="str">
        <f>IFERROR(SMALL(Интервалы!$G$2:$G$513,375),"")</f>
        <v/>
      </c>
      <c r="L381" t="str">
        <f>IF(K381="","",INDEX(Интервалы!$B$2:$B$513,MATCH(K381,Интервалы!$G$2:$G$513,0)))</f>
        <v/>
      </c>
    </row>
    <row r="382" spans="1:12" x14ac:dyDescent="0.3">
      <c r="A382" s="4" t="str">
        <f>IF(K382="","",376)</f>
        <v/>
      </c>
      <c r="B382" s="4" t="str">
        <f>IF(K382="","",INDEX(Интервалы!$A$2:$A$513,MATCH(K382,Интервалы!$G$2:$G$513,0)))</f>
        <v/>
      </c>
      <c r="C382" s="17" t="str">
        <f>IF(K382="","",INDEX(Интервалы!$C$2:$C$513,MATCH(K382,Интервалы!$G$2:$G$513,0)))</f>
        <v/>
      </c>
      <c r="D382" s="17" t="str">
        <f>IF(K382="","",INDEX(Интервалы!$D$2:$D$513,MATCH(K382,Интервалы!$G$2:$G$513,0)))</f>
        <v/>
      </c>
      <c r="E382" s="4" t="str">
        <f t="shared" si="5"/>
        <v/>
      </c>
      <c r="F382" s="8" t="str">
        <f>IF(K382="","",INDEX(Интервалы!$E$2:$E$513,MATCH(K382,Интервалы!$G$2:$G$513,0)))</f>
        <v/>
      </c>
      <c r="G382" s="18" t="str">
        <f>IF(K382="","",IF(H382=1,INDEX('По дням'!$B$2:$B$4000,MATCH(C382,'По дням'!$A$2:$A$4000,0)),"по периодам ставки"))</f>
        <v/>
      </c>
      <c r="H382" s="4" t="str">
        <f>IF(K382="","",INDEX(Интервалы!$I$2:$I$513,MATCH(K382,Интервалы!$G$2:$G$513,0)))</f>
        <v/>
      </c>
      <c r="I382" s="8" t="str">
        <f>IF(K382="","",INDEX(Интервалы!$F$2:$F$513,MATCH(K382,Интервалы!$G$2:$G$513,0)))</f>
        <v/>
      </c>
      <c r="J382" s="8" t="str">
        <f>IF(K382="","",INDEX(Интервалы!$H$2:$H$513,MATCH(K382,Интервалы!$G$2:$G$513,0)))</f>
        <v/>
      </c>
      <c r="K382" t="str">
        <f>IFERROR(SMALL(Интервалы!$G$2:$G$513,376),"")</f>
        <v/>
      </c>
      <c r="L382" t="str">
        <f>IF(K382="","",INDEX(Интервалы!$B$2:$B$513,MATCH(K382,Интервалы!$G$2:$G$513,0)))</f>
        <v/>
      </c>
    </row>
    <row r="383" spans="1:12" x14ac:dyDescent="0.3">
      <c r="A383" s="4" t="str">
        <f>IF(K383="","",377)</f>
        <v/>
      </c>
      <c r="B383" s="4" t="str">
        <f>IF(K383="","",INDEX(Интервалы!$A$2:$A$513,MATCH(K383,Интервалы!$G$2:$G$513,0)))</f>
        <v/>
      </c>
      <c r="C383" s="17" t="str">
        <f>IF(K383="","",INDEX(Интервалы!$C$2:$C$513,MATCH(K383,Интервалы!$G$2:$G$513,0)))</f>
        <v/>
      </c>
      <c r="D383" s="17" t="str">
        <f>IF(K383="","",INDEX(Интервалы!$D$2:$D$513,MATCH(K383,Интервалы!$G$2:$G$513,0)))</f>
        <v/>
      </c>
      <c r="E383" s="4" t="str">
        <f t="shared" si="5"/>
        <v/>
      </c>
      <c r="F383" s="8" t="str">
        <f>IF(K383="","",INDEX(Интервалы!$E$2:$E$513,MATCH(K383,Интервалы!$G$2:$G$513,0)))</f>
        <v/>
      </c>
      <c r="G383" s="18" t="str">
        <f>IF(K383="","",IF(H383=1,INDEX('По дням'!$B$2:$B$4000,MATCH(C383,'По дням'!$A$2:$A$4000,0)),"по периодам ставки"))</f>
        <v/>
      </c>
      <c r="H383" s="4" t="str">
        <f>IF(K383="","",INDEX(Интервалы!$I$2:$I$513,MATCH(K383,Интервалы!$G$2:$G$513,0)))</f>
        <v/>
      </c>
      <c r="I383" s="8" t="str">
        <f>IF(K383="","",INDEX(Интервалы!$F$2:$F$513,MATCH(K383,Интервалы!$G$2:$G$513,0)))</f>
        <v/>
      </c>
      <c r="J383" s="8" t="str">
        <f>IF(K383="","",INDEX(Интервалы!$H$2:$H$513,MATCH(K383,Интервалы!$G$2:$G$513,0)))</f>
        <v/>
      </c>
      <c r="K383" t="str">
        <f>IFERROR(SMALL(Интервалы!$G$2:$G$513,377),"")</f>
        <v/>
      </c>
      <c r="L383" t="str">
        <f>IF(K383="","",INDEX(Интервалы!$B$2:$B$513,MATCH(K383,Интервалы!$G$2:$G$513,0)))</f>
        <v/>
      </c>
    </row>
    <row r="384" spans="1:12" x14ac:dyDescent="0.3">
      <c r="A384" s="4" t="str">
        <f>IF(K384="","",378)</f>
        <v/>
      </c>
      <c r="B384" s="4" t="str">
        <f>IF(K384="","",INDEX(Интервалы!$A$2:$A$513,MATCH(K384,Интервалы!$G$2:$G$513,0)))</f>
        <v/>
      </c>
      <c r="C384" s="17" t="str">
        <f>IF(K384="","",INDEX(Интервалы!$C$2:$C$513,MATCH(K384,Интервалы!$G$2:$G$513,0)))</f>
        <v/>
      </c>
      <c r="D384" s="17" t="str">
        <f>IF(K384="","",INDEX(Интервалы!$D$2:$D$513,MATCH(K384,Интервалы!$G$2:$G$513,0)))</f>
        <v/>
      </c>
      <c r="E384" s="4" t="str">
        <f t="shared" si="5"/>
        <v/>
      </c>
      <c r="F384" s="8" t="str">
        <f>IF(K384="","",INDEX(Интервалы!$E$2:$E$513,MATCH(K384,Интервалы!$G$2:$G$513,0)))</f>
        <v/>
      </c>
      <c r="G384" s="18" t="str">
        <f>IF(K384="","",IF(H384=1,INDEX('По дням'!$B$2:$B$4000,MATCH(C384,'По дням'!$A$2:$A$4000,0)),"по периодам ставки"))</f>
        <v/>
      </c>
      <c r="H384" s="4" t="str">
        <f>IF(K384="","",INDEX(Интервалы!$I$2:$I$513,MATCH(K384,Интервалы!$G$2:$G$513,0)))</f>
        <v/>
      </c>
      <c r="I384" s="8" t="str">
        <f>IF(K384="","",INDEX(Интервалы!$F$2:$F$513,MATCH(K384,Интервалы!$G$2:$G$513,0)))</f>
        <v/>
      </c>
      <c r="J384" s="8" t="str">
        <f>IF(K384="","",INDEX(Интервалы!$H$2:$H$513,MATCH(K384,Интервалы!$G$2:$G$513,0)))</f>
        <v/>
      </c>
      <c r="K384" t="str">
        <f>IFERROR(SMALL(Интервалы!$G$2:$G$513,378),"")</f>
        <v/>
      </c>
      <c r="L384" t="str">
        <f>IF(K384="","",INDEX(Интервалы!$B$2:$B$513,MATCH(K384,Интервалы!$G$2:$G$513,0)))</f>
        <v/>
      </c>
    </row>
    <row r="385" spans="1:12" x14ac:dyDescent="0.3">
      <c r="A385" s="4" t="str">
        <f>IF(K385="","",379)</f>
        <v/>
      </c>
      <c r="B385" s="4" t="str">
        <f>IF(K385="","",INDEX(Интервалы!$A$2:$A$513,MATCH(K385,Интервалы!$G$2:$G$513,0)))</f>
        <v/>
      </c>
      <c r="C385" s="17" t="str">
        <f>IF(K385="","",INDEX(Интервалы!$C$2:$C$513,MATCH(K385,Интервалы!$G$2:$G$513,0)))</f>
        <v/>
      </c>
      <c r="D385" s="17" t="str">
        <f>IF(K385="","",INDEX(Интервалы!$D$2:$D$513,MATCH(K385,Интервалы!$G$2:$G$513,0)))</f>
        <v/>
      </c>
      <c r="E385" s="4" t="str">
        <f t="shared" si="5"/>
        <v/>
      </c>
      <c r="F385" s="8" t="str">
        <f>IF(K385="","",INDEX(Интервалы!$E$2:$E$513,MATCH(K385,Интервалы!$G$2:$G$513,0)))</f>
        <v/>
      </c>
      <c r="G385" s="18" t="str">
        <f>IF(K385="","",IF(H385=1,INDEX('По дням'!$B$2:$B$4000,MATCH(C385,'По дням'!$A$2:$A$4000,0)),"по периодам ставки"))</f>
        <v/>
      </c>
      <c r="H385" s="4" t="str">
        <f>IF(K385="","",INDEX(Интервалы!$I$2:$I$513,MATCH(K385,Интервалы!$G$2:$G$513,0)))</f>
        <v/>
      </c>
      <c r="I385" s="8" t="str">
        <f>IF(K385="","",INDEX(Интервалы!$F$2:$F$513,MATCH(K385,Интервалы!$G$2:$G$513,0)))</f>
        <v/>
      </c>
      <c r="J385" s="8" t="str">
        <f>IF(K385="","",INDEX(Интервалы!$H$2:$H$513,MATCH(K385,Интервалы!$G$2:$G$513,0)))</f>
        <v/>
      </c>
      <c r="K385" t="str">
        <f>IFERROR(SMALL(Интервалы!$G$2:$G$513,379),"")</f>
        <v/>
      </c>
      <c r="L385" t="str">
        <f>IF(K385="","",INDEX(Интервалы!$B$2:$B$513,MATCH(K385,Интервалы!$G$2:$G$513,0)))</f>
        <v/>
      </c>
    </row>
    <row r="386" spans="1:12" x14ac:dyDescent="0.3">
      <c r="A386" s="4" t="str">
        <f>IF(K386="","",380)</f>
        <v/>
      </c>
      <c r="B386" s="4" t="str">
        <f>IF(K386="","",INDEX(Интервалы!$A$2:$A$513,MATCH(K386,Интервалы!$G$2:$G$513,0)))</f>
        <v/>
      </c>
      <c r="C386" s="17" t="str">
        <f>IF(K386="","",INDEX(Интервалы!$C$2:$C$513,MATCH(K386,Интервалы!$G$2:$G$513,0)))</f>
        <v/>
      </c>
      <c r="D386" s="17" t="str">
        <f>IF(K386="","",INDEX(Интервалы!$D$2:$D$513,MATCH(K386,Интервалы!$G$2:$G$513,0)))</f>
        <v/>
      </c>
      <c r="E386" s="4" t="str">
        <f t="shared" si="5"/>
        <v/>
      </c>
      <c r="F386" s="8" t="str">
        <f>IF(K386="","",INDEX(Интервалы!$E$2:$E$513,MATCH(K386,Интервалы!$G$2:$G$513,0)))</f>
        <v/>
      </c>
      <c r="G386" s="18" t="str">
        <f>IF(K386="","",IF(H386=1,INDEX('По дням'!$B$2:$B$4000,MATCH(C386,'По дням'!$A$2:$A$4000,0)),"по периодам ставки"))</f>
        <v/>
      </c>
      <c r="H386" s="4" t="str">
        <f>IF(K386="","",INDEX(Интервалы!$I$2:$I$513,MATCH(K386,Интервалы!$G$2:$G$513,0)))</f>
        <v/>
      </c>
      <c r="I386" s="8" t="str">
        <f>IF(K386="","",INDEX(Интервалы!$F$2:$F$513,MATCH(K386,Интервалы!$G$2:$G$513,0)))</f>
        <v/>
      </c>
      <c r="J386" s="8" t="str">
        <f>IF(K386="","",INDEX(Интервалы!$H$2:$H$513,MATCH(K386,Интервалы!$G$2:$G$513,0)))</f>
        <v/>
      </c>
      <c r="K386" t="str">
        <f>IFERROR(SMALL(Интервалы!$G$2:$G$513,380),"")</f>
        <v/>
      </c>
      <c r="L386" t="str">
        <f>IF(K386="","",INDEX(Интервалы!$B$2:$B$513,MATCH(K386,Интервалы!$G$2:$G$513,0)))</f>
        <v/>
      </c>
    </row>
    <row r="387" spans="1:12" x14ac:dyDescent="0.3">
      <c r="A387" s="4" t="str">
        <f>IF(K387="","",381)</f>
        <v/>
      </c>
      <c r="B387" s="4" t="str">
        <f>IF(K387="","",INDEX(Интервалы!$A$2:$A$513,MATCH(K387,Интервалы!$G$2:$G$513,0)))</f>
        <v/>
      </c>
      <c r="C387" s="17" t="str">
        <f>IF(K387="","",INDEX(Интервалы!$C$2:$C$513,MATCH(K387,Интервалы!$G$2:$G$513,0)))</f>
        <v/>
      </c>
      <c r="D387" s="17" t="str">
        <f>IF(K387="","",INDEX(Интервалы!$D$2:$D$513,MATCH(K387,Интервалы!$G$2:$G$513,0)))</f>
        <v/>
      </c>
      <c r="E387" s="4" t="str">
        <f t="shared" si="5"/>
        <v/>
      </c>
      <c r="F387" s="8" t="str">
        <f>IF(K387="","",INDEX(Интервалы!$E$2:$E$513,MATCH(K387,Интервалы!$G$2:$G$513,0)))</f>
        <v/>
      </c>
      <c r="G387" s="18" t="str">
        <f>IF(K387="","",IF(H387=1,INDEX('По дням'!$B$2:$B$4000,MATCH(C387,'По дням'!$A$2:$A$4000,0)),"по периодам ставки"))</f>
        <v/>
      </c>
      <c r="H387" s="4" t="str">
        <f>IF(K387="","",INDEX(Интервалы!$I$2:$I$513,MATCH(K387,Интервалы!$G$2:$G$513,0)))</f>
        <v/>
      </c>
      <c r="I387" s="8" t="str">
        <f>IF(K387="","",INDEX(Интервалы!$F$2:$F$513,MATCH(K387,Интервалы!$G$2:$G$513,0)))</f>
        <v/>
      </c>
      <c r="J387" s="8" t="str">
        <f>IF(K387="","",INDEX(Интервалы!$H$2:$H$513,MATCH(K387,Интервалы!$G$2:$G$513,0)))</f>
        <v/>
      </c>
      <c r="K387" t="str">
        <f>IFERROR(SMALL(Интервалы!$G$2:$G$513,381),"")</f>
        <v/>
      </c>
      <c r="L387" t="str">
        <f>IF(K387="","",INDEX(Интервалы!$B$2:$B$513,MATCH(K387,Интервалы!$G$2:$G$513,0)))</f>
        <v/>
      </c>
    </row>
    <row r="388" spans="1:12" x14ac:dyDescent="0.3">
      <c r="A388" s="4" t="str">
        <f>IF(K388="","",382)</f>
        <v/>
      </c>
      <c r="B388" s="4" t="str">
        <f>IF(K388="","",INDEX(Интервалы!$A$2:$A$513,MATCH(K388,Интервалы!$G$2:$G$513,0)))</f>
        <v/>
      </c>
      <c r="C388" s="17" t="str">
        <f>IF(K388="","",INDEX(Интервалы!$C$2:$C$513,MATCH(K388,Интервалы!$G$2:$G$513,0)))</f>
        <v/>
      </c>
      <c r="D388" s="17" t="str">
        <f>IF(K388="","",INDEX(Интервалы!$D$2:$D$513,MATCH(K388,Интервалы!$G$2:$G$513,0)))</f>
        <v/>
      </c>
      <c r="E388" s="4" t="str">
        <f t="shared" si="5"/>
        <v/>
      </c>
      <c r="F388" s="8" t="str">
        <f>IF(K388="","",INDEX(Интервалы!$E$2:$E$513,MATCH(K388,Интервалы!$G$2:$G$513,0)))</f>
        <v/>
      </c>
      <c r="G388" s="18" t="str">
        <f>IF(K388="","",IF(H388=1,INDEX('По дням'!$B$2:$B$4000,MATCH(C388,'По дням'!$A$2:$A$4000,0)),"по периодам ставки"))</f>
        <v/>
      </c>
      <c r="H388" s="4" t="str">
        <f>IF(K388="","",INDEX(Интервалы!$I$2:$I$513,MATCH(K388,Интервалы!$G$2:$G$513,0)))</f>
        <v/>
      </c>
      <c r="I388" s="8" t="str">
        <f>IF(K388="","",INDEX(Интервалы!$F$2:$F$513,MATCH(K388,Интервалы!$G$2:$G$513,0)))</f>
        <v/>
      </c>
      <c r="J388" s="8" t="str">
        <f>IF(K388="","",INDEX(Интервалы!$H$2:$H$513,MATCH(K388,Интервалы!$G$2:$G$513,0)))</f>
        <v/>
      </c>
      <c r="K388" t="str">
        <f>IFERROR(SMALL(Интервалы!$G$2:$G$513,382),"")</f>
        <v/>
      </c>
      <c r="L388" t="str">
        <f>IF(K388="","",INDEX(Интервалы!$B$2:$B$513,MATCH(K388,Интервалы!$G$2:$G$513,0)))</f>
        <v/>
      </c>
    </row>
    <row r="389" spans="1:12" x14ac:dyDescent="0.3">
      <c r="A389" s="4" t="str">
        <f>IF(K389="","",383)</f>
        <v/>
      </c>
      <c r="B389" s="4" t="str">
        <f>IF(K389="","",INDEX(Интервалы!$A$2:$A$513,MATCH(K389,Интервалы!$G$2:$G$513,0)))</f>
        <v/>
      </c>
      <c r="C389" s="17" t="str">
        <f>IF(K389="","",INDEX(Интервалы!$C$2:$C$513,MATCH(K389,Интервалы!$G$2:$G$513,0)))</f>
        <v/>
      </c>
      <c r="D389" s="17" t="str">
        <f>IF(K389="","",INDEX(Интервалы!$D$2:$D$513,MATCH(K389,Интервалы!$G$2:$G$513,0)))</f>
        <v/>
      </c>
      <c r="E389" s="4" t="str">
        <f t="shared" si="5"/>
        <v/>
      </c>
      <c r="F389" s="8" t="str">
        <f>IF(K389="","",INDEX(Интервалы!$E$2:$E$513,MATCH(K389,Интервалы!$G$2:$G$513,0)))</f>
        <v/>
      </c>
      <c r="G389" s="18" t="str">
        <f>IF(K389="","",IF(H389=1,INDEX('По дням'!$B$2:$B$4000,MATCH(C389,'По дням'!$A$2:$A$4000,0)),"по периодам ставки"))</f>
        <v/>
      </c>
      <c r="H389" s="4" t="str">
        <f>IF(K389="","",INDEX(Интервалы!$I$2:$I$513,MATCH(K389,Интервалы!$G$2:$G$513,0)))</f>
        <v/>
      </c>
      <c r="I389" s="8" t="str">
        <f>IF(K389="","",INDEX(Интервалы!$F$2:$F$513,MATCH(K389,Интервалы!$G$2:$G$513,0)))</f>
        <v/>
      </c>
      <c r="J389" s="8" t="str">
        <f>IF(K389="","",INDEX(Интервалы!$H$2:$H$513,MATCH(K389,Интервалы!$G$2:$G$513,0)))</f>
        <v/>
      </c>
      <c r="K389" t="str">
        <f>IFERROR(SMALL(Интервалы!$G$2:$G$513,383),"")</f>
        <v/>
      </c>
      <c r="L389" t="str">
        <f>IF(K389="","",INDEX(Интервалы!$B$2:$B$513,MATCH(K389,Интервалы!$G$2:$G$513,0)))</f>
        <v/>
      </c>
    </row>
    <row r="390" spans="1:12" x14ac:dyDescent="0.3">
      <c r="A390" s="4" t="str">
        <f>IF(K390="","",384)</f>
        <v/>
      </c>
      <c r="B390" s="4" t="str">
        <f>IF(K390="","",INDEX(Интервалы!$A$2:$A$513,MATCH(K390,Интервалы!$G$2:$G$513,0)))</f>
        <v/>
      </c>
      <c r="C390" s="17" t="str">
        <f>IF(K390="","",INDEX(Интервалы!$C$2:$C$513,MATCH(K390,Интервалы!$G$2:$G$513,0)))</f>
        <v/>
      </c>
      <c r="D390" s="17" t="str">
        <f>IF(K390="","",INDEX(Интервалы!$D$2:$D$513,MATCH(K390,Интервалы!$G$2:$G$513,0)))</f>
        <v/>
      </c>
      <c r="E390" s="4" t="str">
        <f t="shared" si="5"/>
        <v/>
      </c>
      <c r="F390" s="8" t="str">
        <f>IF(K390="","",INDEX(Интервалы!$E$2:$E$513,MATCH(K390,Интервалы!$G$2:$G$513,0)))</f>
        <v/>
      </c>
      <c r="G390" s="18" t="str">
        <f>IF(K390="","",IF(H390=1,INDEX('По дням'!$B$2:$B$4000,MATCH(C390,'По дням'!$A$2:$A$4000,0)),"по периодам ставки"))</f>
        <v/>
      </c>
      <c r="H390" s="4" t="str">
        <f>IF(K390="","",INDEX(Интервалы!$I$2:$I$513,MATCH(K390,Интервалы!$G$2:$G$513,0)))</f>
        <v/>
      </c>
      <c r="I390" s="8" t="str">
        <f>IF(K390="","",INDEX(Интервалы!$F$2:$F$513,MATCH(K390,Интервалы!$G$2:$G$513,0)))</f>
        <v/>
      </c>
      <c r="J390" s="8" t="str">
        <f>IF(K390="","",INDEX(Интервалы!$H$2:$H$513,MATCH(K390,Интервалы!$G$2:$G$513,0)))</f>
        <v/>
      </c>
      <c r="K390" t="str">
        <f>IFERROR(SMALL(Интервалы!$G$2:$G$513,384),"")</f>
        <v/>
      </c>
      <c r="L390" t="str">
        <f>IF(K390="","",INDEX(Интервалы!$B$2:$B$513,MATCH(K390,Интервалы!$G$2:$G$513,0)))</f>
        <v/>
      </c>
    </row>
    <row r="391" spans="1:12" x14ac:dyDescent="0.3">
      <c r="A391" s="4" t="str">
        <f>IF(K391="","",385)</f>
        <v/>
      </c>
      <c r="B391" s="4" t="str">
        <f>IF(K391="","",INDEX(Интервалы!$A$2:$A$513,MATCH(K391,Интервалы!$G$2:$G$513,0)))</f>
        <v/>
      </c>
      <c r="C391" s="17" t="str">
        <f>IF(K391="","",INDEX(Интервалы!$C$2:$C$513,MATCH(K391,Интервалы!$G$2:$G$513,0)))</f>
        <v/>
      </c>
      <c r="D391" s="17" t="str">
        <f>IF(K391="","",INDEX(Интервалы!$D$2:$D$513,MATCH(K391,Интервалы!$G$2:$G$513,0)))</f>
        <v/>
      </c>
      <c r="E391" s="4" t="str">
        <f t="shared" ref="E391:E454" si="6">IF(K391="","",D391-C391+1)</f>
        <v/>
      </c>
      <c r="F391" s="8" t="str">
        <f>IF(K391="","",INDEX(Интервалы!$E$2:$E$513,MATCH(K391,Интервалы!$G$2:$G$513,0)))</f>
        <v/>
      </c>
      <c r="G391" s="18" t="str">
        <f>IF(K391="","",IF(H391=1,INDEX('По дням'!$B$2:$B$4000,MATCH(C391,'По дням'!$A$2:$A$4000,0)),"по периодам ставки"))</f>
        <v/>
      </c>
      <c r="H391" s="4" t="str">
        <f>IF(K391="","",INDEX(Интервалы!$I$2:$I$513,MATCH(K391,Интервалы!$G$2:$G$513,0)))</f>
        <v/>
      </c>
      <c r="I391" s="8" t="str">
        <f>IF(K391="","",INDEX(Интервалы!$F$2:$F$513,MATCH(K391,Интервалы!$G$2:$G$513,0)))</f>
        <v/>
      </c>
      <c r="J391" s="8" t="str">
        <f>IF(K391="","",INDEX(Интервалы!$H$2:$H$513,MATCH(K391,Интервалы!$G$2:$G$513,0)))</f>
        <v/>
      </c>
      <c r="K391" t="str">
        <f>IFERROR(SMALL(Интервалы!$G$2:$G$513,385),"")</f>
        <v/>
      </c>
      <c r="L391" t="str">
        <f>IF(K391="","",INDEX(Интервалы!$B$2:$B$513,MATCH(K391,Интервалы!$G$2:$G$513,0)))</f>
        <v/>
      </c>
    </row>
    <row r="392" spans="1:12" x14ac:dyDescent="0.3">
      <c r="A392" s="4" t="str">
        <f>IF(K392="","",386)</f>
        <v/>
      </c>
      <c r="B392" s="4" t="str">
        <f>IF(K392="","",INDEX(Интервалы!$A$2:$A$513,MATCH(K392,Интервалы!$G$2:$G$513,0)))</f>
        <v/>
      </c>
      <c r="C392" s="17" t="str">
        <f>IF(K392="","",INDEX(Интервалы!$C$2:$C$513,MATCH(K392,Интервалы!$G$2:$G$513,0)))</f>
        <v/>
      </c>
      <c r="D392" s="17" t="str">
        <f>IF(K392="","",INDEX(Интервалы!$D$2:$D$513,MATCH(K392,Интервалы!$G$2:$G$513,0)))</f>
        <v/>
      </c>
      <c r="E392" s="4" t="str">
        <f t="shared" si="6"/>
        <v/>
      </c>
      <c r="F392" s="8" t="str">
        <f>IF(K392="","",INDEX(Интервалы!$E$2:$E$513,MATCH(K392,Интервалы!$G$2:$G$513,0)))</f>
        <v/>
      </c>
      <c r="G392" s="18" t="str">
        <f>IF(K392="","",IF(H392=1,INDEX('По дням'!$B$2:$B$4000,MATCH(C392,'По дням'!$A$2:$A$4000,0)),"по периодам ставки"))</f>
        <v/>
      </c>
      <c r="H392" s="4" t="str">
        <f>IF(K392="","",INDEX(Интервалы!$I$2:$I$513,MATCH(K392,Интервалы!$G$2:$G$513,0)))</f>
        <v/>
      </c>
      <c r="I392" s="8" t="str">
        <f>IF(K392="","",INDEX(Интервалы!$F$2:$F$513,MATCH(K392,Интервалы!$G$2:$G$513,0)))</f>
        <v/>
      </c>
      <c r="J392" s="8" t="str">
        <f>IF(K392="","",INDEX(Интервалы!$H$2:$H$513,MATCH(K392,Интервалы!$G$2:$G$513,0)))</f>
        <v/>
      </c>
      <c r="K392" t="str">
        <f>IFERROR(SMALL(Интервалы!$G$2:$G$513,386),"")</f>
        <v/>
      </c>
      <c r="L392" t="str">
        <f>IF(K392="","",INDEX(Интервалы!$B$2:$B$513,MATCH(K392,Интервалы!$G$2:$G$513,0)))</f>
        <v/>
      </c>
    </row>
    <row r="393" spans="1:12" x14ac:dyDescent="0.3">
      <c r="A393" s="4" t="str">
        <f>IF(K393="","",387)</f>
        <v/>
      </c>
      <c r="B393" s="4" t="str">
        <f>IF(K393="","",INDEX(Интервалы!$A$2:$A$513,MATCH(K393,Интервалы!$G$2:$G$513,0)))</f>
        <v/>
      </c>
      <c r="C393" s="17" t="str">
        <f>IF(K393="","",INDEX(Интервалы!$C$2:$C$513,MATCH(K393,Интервалы!$G$2:$G$513,0)))</f>
        <v/>
      </c>
      <c r="D393" s="17" t="str">
        <f>IF(K393="","",INDEX(Интервалы!$D$2:$D$513,MATCH(K393,Интервалы!$G$2:$G$513,0)))</f>
        <v/>
      </c>
      <c r="E393" s="4" t="str">
        <f t="shared" si="6"/>
        <v/>
      </c>
      <c r="F393" s="8" t="str">
        <f>IF(K393="","",INDEX(Интервалы!$E$2:$E$513,MATCH(K393,Интервалы!$G$2:$G$513,0)))</f>
        <v/>
      </c>
      <c r="G393" s="18" t="str">
        <f>IF(K393="","",IF(H393=1,INDEX('По дням'!$B$2:$B$4000,MATCH(C393,'По дням'!$A$2:$A$4000,0)),"по периодам ставки"))</f>
        <v/>
      </c>
      <c r="H393" s="4" t="str">
        <f>IF(K393="","",INDEX(Интервалы!$I$2:$I$513,MATCH(K393,Интервалы!$G$2:$G$513,0)))</f>
        <v/>
      </c>
      <c r="I393" s="8" t="str">
        <f>IF(K393="","",INDEX(Интервалы!$F$2:$F$513,MATCH(K393,Интервалы!$G$2:$G$513,0)))</f>
        <v/>
      </c>
      <c r="J393" s="8" t="str">
        <f>IF(K393="","",INDEX(Интервалы!$H$2:$H$513,MATCH(K393,Интервалы!$G$2:$G$513,0)))</f>
        <v/>
      </c>
      <c r="K393" t="str">
        <f>IFERROR(SMALL(Интервалы!$G$2:$G$513,387),"")</f>
        <v/>
      </c>
      <c r="L393" t="str">
        <f>IF(K393="","",INDEX(Интервалы!$B$2:$B$513,MATCH(K393,Интервалы!$G$2:$G$513,0)))</f>
        <v/>
      </c>
    </row>
    <row r="394" spans="1:12" x14ac:dyDescent="0.3">
      <c r="A394" s="4" t="str">
        <f>IF(K394="","",388)</f>
        <v/>
      </c>
      <c r="B394" s="4" t="str">
        <f>IF(K394="","",INDEX(Интервалы!$A$2:$A$513,MATCH(K394,Интервалы!$G$2:$G$513,0)))</f>
        <v/>
      </c>
      <c r="C394" s="17" t="str">
        <f>IF(K394="","",INDEX(Интервалы!$C$2:$C$513,MATCH(K394,Интервалы!$G$2:$G$513,0)))</f>
        <v/>
      </c>
      <c r="D394" s="17" t="str">
        <f>IF(K394="","",INDEX(Интервалы!$D$2:$D$513,MATCH(K394,Интервалы!$G$2:$G$513,0)))</f>
        <v/>
      </c>
      <c r="E394" s="4" t="str">
        <f t="shared" si="6"/>
        <v/>
      </c>
      <c r="F394" s="8" t="str">
        <f>IF(K394="","",INDEX(Интервалы!$E$2:$E$513,MATCH(K394,Интервалы!$G$2:$G$513,0)))</f>
        <v/>
      </c>
      <c r="G394" s="18" t="str">
        <f>IF(K394="","",IF(H394=1,INDEX('По дням'!$B$2:$B$4000,MATCH(C394,'По дням'!$A$2:$A$4000,0)),"по периодам ставки"))</f>
        <v/>
      </c>
      <c r="H394" s="4" t="str">
        <f>IF(K394="","",INDEX(Интервалы!$I$2:$I$513,MATCH(K394,Интервалы!$G$2:$G$513,0)))</f>
        <v/>
      </c>
      <c r="I394" s="8" t="str">
        <f>IF(K394="","",INDEX(Интервалы!$F$2:$F$513,MATCH(K394,Интервалы!$G$2:$G$513,0)))</f>
        <v/>
      </c>
      <c r="J394" s="8" t="str">
        <f>IF(K394="","",INDEX(Интервалы!$H$2:$H$513,MATCH(K394,Интервалы!$G$2:$G$513,0)))</f>
        <v/>
      </c>
      <c r="K394" t="str">
        <f>IFERROR(SMALL(Интервалы!$G$2:$G$513,388),"")</f>
        <v/>
      </c>
      <c r="L394" t="str">
        <f>IF(K394="","",INDEX(Интервалы!$B$2:$B$513,MATCH(K394,Интервалы!$G$2:$G$513,0)))</f>
        <v/>
      </c>
    </row>
    <row r="395" spans="1:12" x14ac:dyDescent="0.3">
      <c r="A395" s="4" t="str">
        <f>IF(K395="","",389)</f>
        <v/>
      </c>
      <c r="B395" s="4" t="str">
        <f>IF(K395="","",INDEX(Интервалы!$A$2:$A$513,MATCH(K395,Интервалы!$G$2:$G$513,0)))</f>
        <v/>
      </c>
      <c r="C395" s="17" t="str">
        <f>IF(K395="","",INDEX(Интервалы!$C$2:$C$513,MATCH(K395,Интервалы!$G$2:$G$513,0)))</f>
        <v/>
      </c>
      <c r="D395" s="17" t="str">
        <f>IF(K395="","",INDEX(Интервалы!$D$2:$D$513,MATCH(K395,Интервалы!$G$2:$G$513,0)))</f>
        <v/>
      </c>
      <c r="E395" s="4" t="str">
        <f t="shared" si="6"/>
        <v/>
      </c>
      <c r="F395" s="8" t="str">
        <f>IF(K395="","",INDEX(Интервалы!$E$2:$E$513,MATCH(K395,Интервалы!$G$2:$G$513,0)))</f>
        <v/>
      </c>
      <c r="G395" s="18" t="str">
        <f>IF(K395="","",IF(H395=1,INDEX('По дням'!$B$2:$B$4000,MATCH(C395,'По дням'!$A$2:$A$4000,0)),"по периодам ставки"))</f>
        <v/>
      </c>
      <c r="H395" s="4" t="str">
        <f>IF(K395="","",INDEX(Интервалы!$I$2:$I$513,MATCH(K395,Интервалы!$G$2:$G$513,0)))</f>
        <v/>
      </c>
      <c r="I395" s="8" t="str">
        <f>IF(K395="","",INDEX(Интервалы!$F$2:$F$513,MATCH(K395,Интервалы!$G$2:$G$513,0)))</f>
        <v/>
      </c>
      <c r="J395" s="8" t="str">
        <f>IF(K395="","",INDEX(Интервалы!$H$2:$H$513,MATCH(K395,Интервалы!$G$2:$G$513,0)))</f>
        <v/>
      </c>
      <c r="K395" t="str">
        <f>IFERROR(SMALL(Интервалы!$G$2:$G$513,389),"")</f>
        <v/>
      </c>
      <c r="L395" t="str">
        <f>IF(K395="","",INDEX(Интервалы!$B$2:$B$513,MATCH(K395,Интервалы!$G$2:$G$513,0)))</f>
        <v/>
      </c>
    </row>
    <row r="396" spans="1:12" x14ac:dyDescent="0.3">
      <c r="A396" s="4" t="str">
        <f>IF(K396="","",390)</f>
        <v/>
      </c>
      <c r="B396" s="4" t="str">
        <f>IF(K396="","",INDEX(Интервалы!$A$2:$A$513,MATCH(K396,Интервалы!$G$2:$G$513,0)))</f>
        <v/>
      </c>
      <c r="C396" s="17" t="str">
        <f>IF(K396="","",INDEX(Интервалы!$C$2:$C$513,MATCH(K396,Интервалы!$G$2:$G$513,0)))</f>
        <v/>
      </c>
      <c r="D396" s="17" t="str">
        <f>IF(K396="","",INDEX(Интервалы!$D$2:$D$513,MATCH(K396,Интервалы!$G$2:$G$513,0)))</f>
        <v/>
      </c>
      <c r="E396" s="4" t="str">
        <f t="shared" si="6"/>
        <v/>
      </c>
      <c r="F396" s="8" t="str">
        <f>IF(K396="","",INDEX(Интервалы!$E$2:$E$513,MATCH(K396,Интервалы!$G$2:$G$513,0)))</f>
        <v/>
      </c>
      <c r="G396" s="18" t="str">
        <f>IF(K396="","",IF(H396=1,INDEX('По дням'!$B$2:$B$4000,MATCH(C396,'По дням'!$A$2:$A$4000,0)),"по периодам ставки"))</f>
        <v/>
      </c>
      <c r="H396" s="4" t="str">
        <f>IF(K396="","",INDEX(Интервалы!$I$2:$I$513,MATCH(K396,Интервалы!$G$2:$G$513,0)))</f>
        <v/>
      </c>
      <c r="I396" s="8" t="str">
        <f>IF(K396="","",INDEX(Интервалы!$F$2:$F$513,MATCH(K396,Интервалы!$G$2:$G$513,0)))</f>
        <v/>
      </c>
      <c r="J396" s="8" t="str">
        <f>IF(K396="","",INDEX(Интервалы!$H$2:$H$513,MATCH(K396,Интервалы!$G$2:$G$513,0)))</f>
        <v/>
      </c>
      <c r="K396" t="str">
        <f>IFERROR(SMALL(Интервалы!$G$2:$G$513,390),"")</f>
        <v/>
      </c>
      <c r="L396" t="str">
        <f>IF(K396="","",INDEX(Интервалы!$B$2:$B$513,MATCH(K396,Интервалы!$G$2:$G$513,0)))</f>
        <v/>
      </c>
    </row>
    <row r="397" spans="1:12" x14ac:dyDescent="0.3">
      <c r="A397" s="4" t="str">
        <f>IF(K397="","",391)</f>
        <v/>
      </c>
      <c r="B397" s="4" t="str">
        <f>IF(K397="","",INDEX(Интервалы!$A$2:$A$513,MATCH(K397,Интервалы!$G$2:$G$513,0)))</f>
        <v/>
      </c>
      <c r="C397" s="17" t="str">
        <f>IF(K397="","",INDEX(Интервалы!$C$2:$C$513,MATCH(K397,Интервалы!$G$2:$G$513,0)))</f>
        <v/>
      </c>
      <c r="D397" s="17" t="str">
        <f>IF(K397="","",INDEX(Интервалы!$D$2:$D$513,MATCH(K397,Интервалы!$G$2:$G$513,0)))</f>
        <v/>
      </c>
      <c r="E397" s="4" t="str">
        <f t="shared" si="6"/>
        <v/>
      </c>
      <c r="F397" s="8" t="str">
        <f>IF(K397="","",INDEX(Интервалы!$E$2:$E$513,MATCH(K397,Интервалы!$G$2:$G$513,0)))</f>
        <v/>
      </c>
      <c r="G397" s="18" t="str">
        <f>IF(K397="","",IF(H397=1,INDEX('По дням'!$B$2:$B$4000,MATCH(C397,'По дням'!$A$2:$A$4000,0)),"по периодам ставки"))</f>
        <v/>
      </c>
      <c r="H397" s="4" t="str">
        <f>IF(K397="","",INDEX(Интервалы!$I$2:$I$513,MATCH(K397,Интервалы!$G$2:$G$513,0)))</f>
        <v/>
      </c>
      <c r="I397" s="8" t="str">
        <f>IF(K397="","",INDEX(Интервалы!$F$2:$F$513,MATCH(K397,Интервалы!$G$2:$G$513,0)))</f>
        <v/>
      </c>
      <c r="J397" s="8" t="str">
        <f>IF(K397="","",INDEX(Интервалы!$H$2:$H$513,MATCH(K397,Интервалы!$G$2:$G$513,0)))</f>
        <v/>
      </c>
      <c r="K397" t="str">
        <f>IFERROR(SMALL(Интервалы!$G$2:$G$513,391),"")</f>
        <v/>
      </c>
      <c r="L397" t="str">
        <f>IF(K397="","",INDEX(Интервалы!$B$2:$B$513,MATCH(K397,Интервалы!$G$2:$G$513,0)))</f>
        <v/>
      </c>
    </row>
    <row r="398" spans="1:12" x14ac:dyDescent="0.3">
      <c r="A398" s="4" t="str">
        <f>IF(K398="","",392)</f>
        <v/>
      </c>
      <c r="B398" s="4" t="str">
        <f>IF(K398="","",INDEX(Интервалы!$A$2:$A$513,MATCH(K398,Интервалы!$G$2:$G$513,0)))</f>
        <v/>
      </c>
      <c r="C398" s="17" t="str">
        <f>IF(K398="","",INDEX(Интервалы!$C$2:$C$513,MATCH(K398,Интервалы!$G$2:$G$513,0)))</f>
        <v/>
      </c>
      <c r="D398" s="17" t="str">
        <f>IF(K398="","",INDEX(Интервалы!$D$2:$D$513,MATCH(K398,Интервалы!$G$2:$G$513,0)))</f>
        <v/>
      </c>
      <c r="E398" s="4" t="str">
        <f t="shared" si="6"/>
        <v/>
      </c>
      <c r="F398" s="8" t="str">
        <f>IF(K398="","",INDEX(Интервалы!$E$2:$E$513,MATCH(K398,Интервалы!$G$2:$G$513,0)))</f>
        <v/>
      </c>
      <c r="G398" s="18" t="str">
        <f>IF(K398="","",IF(H398=1,INDEX('По дням'!$B$2:$B$4000,MATCH(C398,'По дням'!$A$2:$A$4000,0)),"по периодам ставки"))</f>
        <v/>
      </c>
      <c r="H398" s="4" t="str">
        <f>IF(K398="","",INDEX(Интервалы!$I$2:$I$513,MATCH(K398,Интервалы!$G$2:$G$513,0)))</f>
        <v/>
      </c>
      <c r="I398" s="8" t="str">
        <f>IF(K398="","",INDEX(Интервалы!$F$2:$F$513,MATCH(K398,Интервалы!$G$2:$G$513,0)))</f>
        <v/>
      </c>
      <c r="J398" s="8" t="str">
        <f>IF(K398="","",INDEX(Интервалы!$H$2:$H$513,MATCH(K398,Интервалы!$G$2:$G$513,0)))</f>
        <v/>
      </c>
      <c r="K398" t="str">
        <f>IFERROR(SMALL(Интервалы!$G$2:$G$513,392),"")</f>
        <v/>
      </c>
      <c r="L398" t="str">
        <f>IF(K398="","",INDEX(Интервалы!$B$2:$B$513,MATCH(K398,Интервалы!$G$2:$G$513,0)))</f>
        <v/>
      </c>
    </row>
    <row r="399" spans="1:12" x14ac:dyDescent="0.3">
      <c r="A399" s="4" t="str">
        <f>IF(K399="","",393)</f>
        <v/>
      </c>
      <c r="B399" s="4" t="str">
        <f>IF(K399="","",INDEX(Интервалы!$A$2:$A$513,MATCH(K399,Интервалы!$G$2:$G$513,0)))</f>
        <v/>
      </c>
      <c r="C399" s="17" t="str">
        <f>IF(K399="","",INDEX(Интервалы!$C$2:$C$513,MATCH(K399,Интервалы!$G$2:$G$513,0)))</f>
        <v/>
      </c>
      <c r="D399" s="17" t="str">
        <f>IF(K399="","",INDEX(Интервалы!$D$2:$D$513,MATCH(K399,Интервалы!$G$2:$G$513,0)))</f>
        <v/>
      </c>
      <c r="E399" s="4" t="str">
        <f t="shared" si="6"/>
        <v/>
      </c>
      <c r="F399" s="8" t="str">
        <f>IF(K399="","",INDEX(Интервалы!$E$2:$E$513,MATCH(K399,Интервалы!$G$2:$G$513,0)))</f>
        <v/>
      </c>
      <c r="G399" s="18" t="str">
        <f>IF(K399="","",IF(H399=1,INDEX('По дням'!$B$2:$B$4000,MATCH(C399,'По дням'!$A$2:$A$4000,0)),"по периодам ставки"))</f>
        <v/>
      </c>
      <c r="H399" s="4" t="str">
        <f>IF(K399="","",INDEX(Интервалы!$I$2:$I$513,MATCH(K399,Интервалы!$G$2:$G$513,0)))</f>
        <v/>
      </c>
      <c r="I399" s="8" t="str">
        <f>IF(K399="","",INDEX(Интервалы!$F$2:$F$513,MATCH(K399,Интервалы!$G$2:$G$513,0)))</f>
        <v/>
      </c>
      <c r="J399" s="8" t="str">
        <f>IF(K399="","",INDEX(Интервалы!$H$2:$H$513,MATCH(K399,Интервалы!$G$2:$G$513,0)))</f>
        <v/>
      </c>
      <c r="K399" t="str">
        <f>IFERROR(SMALL(Интервалы!$G$2:$G$513,393),"")</f>
        <v/>
      </c>
      <c r="L399" t="str">
        <f>IF(K399="","",INDEX(Интервалы!$B$2:$B$513,MATCH(K399,Интервалы!$G$2:$G$513,0)))</f>
        <v/>
      </c>
    </row>
    <row r="400" spans="1:12" x14ac:dyDescent="0.3">
      <c r="A400" s="4" t="str">
        <f>IF(K400="","",394)</f>
        <v/>
      </c>
      <c r="B400" s="4" t="str">
        <f>IF(K400="","",INDEX(Интервалы!$A$2:$A$513,MATCH(K400,Интервалы!$G$2:$G$513,0)))</f>
        <v/>
      </c>
      <c r="C400" s="17" t="str">
        <f>IF(K400="","",INDEX(Интервалы!$C$2:$C$513,MATCH(K400,Интервалы!$G$2:$G$513,0)))</f>
        <v/>
      </c>
      <c r="D400" s="17" t="str">
        <f>IF(K400="","",INDEX(Интервалы!$D$2:$D$513,MATCH(K400,Интервалы!$G$2:$G$513,0)))</f>
        <v/>
      </c>
      <c r="E400" s="4" t="str">
        <f t="shared" si="6"/>
        <v/>
      </c>
      <c r="F400" s="8" t="str">
        <f>IF(K400="","",INDEX(Интервалы!$E$2:$E$513,MATCH(K400,Интервалы!$G$2:$G$513,0)))</f>
        <v/>
      </c>
      <c r="G400" s="18" t="str">
        <f>IF(K400="","",IF(H400=1,INDEX('По дням'!$B$2:$B$4000,MATCH(C400,'По дням'!$A$2:$A$4000,0)),"по периодам ставки"))</f>
        <v/>
      </c>
      <c r="H400" s="4" t="str">
        <f>IF(K400="","",INDEX(Интервалы!$I$2:$I$513,MATCH(K400,Интервалы!$G$2:$G$513,0)))</f>
        <v/>
      </c>
      <c r="I400" s="8" t="str">
        <f>IF(K400="","",INDEX(Интервалы!$F$2:$F$513,MATCH(K400,Интервалы!$G$2:$G$513,0)))</f>
        <v/>
      </c>
      <c r="J400" s="8" t="str">
        <f>IF(K400="","",INDEX(Интервалы!$H$2:$H$513,MATCH(K400,Интервалы!$G$2:$G$513,0)))</f>
        <v/>
      </c>
      <c r="K400" t="str">
        <f>IFERROR(SMALL(Интервалы!$G$2:$G$513,394),"")</f>
        <v/>
      </c>
      <c r="L400" t="str">
        <f>IF(K400="","",INDEX(Интервалы!$B$2:$B$513,MATCH(K400,Интервалы!$G$2:$G$513,0)))</f>
        <v/>
      </c>
    </row>
    <row r="401" spans="1:12" x14ac:dyDescent="0.3">
      <c r="A401" s="4" t="str">
        <f>IF(K401="","",395)</f>
        <v/>
      </c>
      <c r="B401" s="4" t="str">
        <f>IF(K401="","",INDEX(Интервалы!$A$2:$A$513,MATCH(K401,Интервалы!$G$2:$G$513,0)))</f>
        <v/>
      </c>
      <c r="C401" s="17" t="str">
        <f>IF(K401="","",INDEX(Интервалы!$C$2:$C$513,MATCH(K401,Интервалы!$G$2:$G$513,0)))</f>
        <v/>
      </c>
      <c r="D401" s="17" t="str">
        <f>IF(K401="","",INDEX(Интервалы!$D$2:$D$513,MATCH(K401,Интервалы!$G$2:$G$513,0)))</f>
        <v/>
      </c>
      <c r="E401" s="4" t="str">
        <f t="shared" si="6"/>
        <v/>
      </c>
      <c r="F401" s="8" t="str">
        <f>IF(K401="","",INDEX(Интервалы!$E$2:$E$513,MATCH(K401,Интервалы!$G$2:$G$513,0)))</f>
        <v/>
      </c>
      <c r="G401" s="18" t="str">
        <f>IF(K401="","",IF(H401=1,INDEX('По дням'!$B$2:$B$4000,MATCH(C401,'По дням'!$A$2:$A$4000,0)),"по периодам ставки"))</f>
        <v/>
      </c>
      <c r="H401" s="4" t="str">
        <f>IF(K401="","",INDEX(Интервалы!$I$2:$I$513,MATCH(K401,Интервалы!$G$2:$G$513,0)))</f>
        <v/>
      </c>
      <c r="I401" s="8" t="str">
        <f>IF(K401="","",INDEX(Интервалы!$F$2:$F$513,MATCH(K401,Интервалы!$G$2:$G$513,0)))</f>
        <v/>
      </c>
      <c r="J401" s="8" t="str">
        <f>IF(K401="","",INDEX(Интервалы!$H$2:$H$513,MATCH(K401,Интервалы!$G$2:$G$513,0)))</f>
        <v/>
      </c>
      <c r="K401" t="str">
        <f>IFERROR(SMALL(Интервалы!$G$2:$G$513,395),"")</f>
        <v/>
      </c>
      <c r="L401" t="str">
        <f>IF(K401="","",INDEX(Интервалы!$B$2:$B$513,MATCH(K401,Интервалы!$G$2:$G$513,0)))</f>
        <v/>
      </c>
    </row>
    <row r="402" spans="1:12" x14ac:dyDescent="0.3">
      <c r="A402" s="4" t="str">
        <f>IF(K402="","",396)</f>
        <v/>
      </c>
      <c r="B402" s="4" t="str">
        <f>IF(K402="","",INDEX(Интервалы!$A$2:$A$513,MATCH(K402,Интервалы!$G$2:$G$513,0)))</f>
        <v/>
      </c>
      <c r="C402" s="17" t="str">
        <f>IF(K402="","",INDEX(Интервалы!$C$2:$C$513,MATCH(K402,Интервалы!$G$2:$G$513,0)))</f>
        <v/>
      </c>
      <c r="D402" s="17" t="str">
        <f>IF(K402="","",INDEX(Интервалы!$D$2:$D$513,MATCH(K402,Интервалы!$G$2:$G$513,0)))</f>
        <v/>
      </c>
      <c r="E402" s="4" t="str">
        <f t="shared" si="6"/>
        <v/>
      </c>
      <c r="F402" s="8" t="str">
        <f>IF(K402="","",INDEX(Интервалы!$E$2:$E$513,MATCH(K402,Интервалы!$G$2:$G$513,0)))</f>
        <v/>
      </c>
      <c r="G402" s="18" t="str">
        <f>IF(K402="","",IF(H402=1,INDEX('По дням'!$B$2:$B$4000,MATCH(C402,'По дням'!$A$2:$A$4000,0)),"по периодам ставки"))</f>
        <v/>
      </c>
      <c r="H402" s="4" t="str">
        <f>IF(K402="","",INDEX(Интервалы!$I$2:$I$513,MATCH(K402,Интервалы!$G$2:$G$513,0)))</f>
        <v/>
      </c>
      <c r="I402" s="8" t="str">
        <f>IF(K402="","",INDEX(Интервалы!$F$2:$F$513,MATCH(K402,Интервалы!$G$2:$G$513,0)))</f>
        <v/>
      </c>
      <c r="J402" s="8" t="str">
        <f>IF(K402="","",INDEX(Интервалы!$H$2:$H$513,MATCH(K402,Интервалы!$G$2:$G$513,0)))</f>
        <v/>
      </c>
      <c r="K402" t="str">
        <f>IFERROR(SMALL(Интервалы!$G$2:$G$513,396),"")</f>
        <v/>
      </c>
      <c r="L402" t="str">
        <f>IF(K402="","",INDEX(Интервалы!$B$2:$B$513,MATCH(K402,Интервалы!$G$2:$G$513,0)))</f>
        <v/>
      </c>
    </row>
    <row r="403" spans="1:12" x14ac:dyDescent="0.3">
      <c r="A403" s="4" t="str">
        <f>IF(K403="","",397)</f>
        <v/>
      </c>
      <c r="B403" s="4" t="str">
        <f>IF(K403="","",INDEX(Интервалы!$A$2:$A$513,MATCH(K403,Интервалы!$G$2:$G$513,0)))</f>
        <v/>
      </c>
      <c r="C403" s="17" t="str">
        <f>IF(K403="","",INDEX(Интервалы!$C$2:$C$513,MATCH(K403,Интервалы!$G$2:$G$513,0)))</f>
        <v/>
      </c>
      <c r="D403" s="17" t="str">
        <f>IF(K403="","",INDEX(Интервалы!$D$2:$D$513,MATCH(K403,Интервалы!$G$2:$G$513,0)))</f>
        <v/>
      </c>
      <c r="E403" s="4" t="str">
        <f t="shared" si="6"/>
        <v/>
      </c>
      <c r="F403" s="8" t="str">
        <f>IF(K403="","",INDEX(Интервалы!$E$2:$E$513,MATCH(K403,Интервалы!$G$2:$G$513,0)))</f>
        <v/>
      </c>
      <c r="G403" s="18" t="str">
        <f>IF(K403="","",IF(H403=1,INDEX('По дням'!$B$2:$B$4000,MATCH(C403,'По дням'!$A$2:$A$4000,0)),"по периодам ставки"))</f>
        <v/>
      </c>
      <c r="H403" s="4" t="str">
        <f>IF(K403="","",INDEX(Интервалы!$I$2:$I$513,MATCH(K403,Интервалы!$G$2:$G$513,0)))</f>
        <v/>
      </c>
      <c r="I403" s="8" t="str">
        <f>IF(K403="","",INDEX(Интервалы!$F$2:$F$513,MATCH(K403,Интервалы!$G$2:$G$513,0)))</f>
        <v/>
      </c>
      <c r="J403" s="8" t="str">
        <f>IF(K403="","",INDEX(Интервалы!$H$2:$H$513,MATCH(K403,Интервалы!$G$2:$G$513,0)))</f>
        <v/>
      </c>
      <c r="K403" t="str">
        <f>IFERROR(SMALL(Интервалы!$G$2:$G$513,397),"")</f>
        <v/>
      </c>
      <c r="L403" t="str">
        <f>IF(K403="","",INDEX(Интервалы!$B$2:$B$513,MATCH(K403,Интервалы!$G$2:$G$513,0)))</f>
        <v/>
      </c>
    </row>
    <row r="404" spans="1:12" x14ac:dyDescent="0.3">
      <c r="A404" s="4" t="str">
        <f>IF(K404="","",398)</f>
        <v/>
      </c>
      <c r="B404" s="4" t="str">
        <f>IF(K404="","",INDEX(Интервалы!$A$2:$A$513,MATCH(K404,Интервалы!$G$2:$G$513,0)))</f>
        <v/>
      </c>
      <c r="C404" s="17" t="str">
        <f>IF(K404="","",INDEX(Интервалы!$C$2:$C$513,MATCH(K404,Интервалы!$G$2:$G$513,0)))</f>
        <v/>
      </c>
      <c r="D404" s="17" t="str">
        <f>IF(K404="","",INDEX(Интервалы!$D$2:$D$513,MATCH(K404,Интервалы!$G$2:$G$513,0)))</f>
        <v/>
      </c>
      <c r="E404" s="4" t="str">
        <f t="shared" si="6"/>
        <v/>
      </c>
      <c r="F404" s="8" t="str">
        <f>IF(K404="","",INDEX(Интервалы!$E$2:$E$513,MATCH(K404,Интервалы!$G$2:$G$513,0)))</f>
        <v/>
      </c>
      <c r="G404" s="18" t="str">
        <f>IF(K404="","",IF(H404=1,INDEX('По дням'!$B$2:$B$4000,MATCH(C404,'По дням'!$A$2:$A$4000,0)),"по периодам ставки"))</f>
        <v/>
      </c>
      <c r="H404" s="4" t="str">
        <f>IF(K404="","",INDEX(Интервалы!$I$2:$I$513,MATCH(K404,Интервалы!$G$2:$G$513,0)))</f>
        <v/>
      </c>
      <c r="I404" s="8" t="str">
        <f>IF(K404="","",INDEX(Интервалы!$F$2:$F$513,MATCH(K404,Интервалы!$G$2:$G$513,0)))</f>
        <v/>
      </c>
      <c r="J404" s="8" t="str">
        <f>IF(K404="","",INDEX(Интервалы!$H$2:$H$513,MATCH(K404,Интервалы!$G$2:$G$513,0)))</f>
        <v/>
      </c>
      <c r="K404" t="str">
        <f>IFERROR(SMALL(Интервалы!$G$2:$G$513,398),"")</f>
        <v/>
      </c>
      <c r="L404" t="str">
        <f>IF(K404="","",INDEX(Интервалы!$B$2:$B$513,MATCH(K404,Интервалы!$G$2:$G$513,0)))</f>
        <v/>
      </c>
    </row>
    <row r="405" spans="1:12" x14ac:dyDescent="0.3">
      <c r="A405" s="4" t="str">
        <f>IF(K405="","",399)</f>
        <v/>
      </c>
      <c r="B405" s="4" t="str">
        <f>IF(K405="","",INDEX(Интервалы!$A$2:$A$513,MATCH(K405,Интервалы!$G$2:$G$513,0)))</f>
        <v/>
      </c>
      <c r="C405" s="17" t="str">
        <f>IF(K405="","",INDEX(Интервалы!$C$2:$C$513,MATCH(K405,Интервалы!$G$2:$G$513,0)))</f>
        <v/>
      </c>
      <c r="D405" s="17" t="str">
        <f>IF(K405="","",INDEX(Интервалы!$D$2:$D$513,MATCH(K405,Интервалы!$G$2:$G$513,0)))</f>
        <v/>
      </c>
      <c r="E405" s="4" t="str">
        <f t="shared" si="6"/>
        <v/>
      </c>
      <c r="F405" s="8" t="str">
        <f>IF(K405="","",INDEX(Интервалы!$E$2:$E$513,MATCH(K405,Интервалы!$G$2:$G$513,0)))</f>
        <v/>
      </c>
      <c r="G405" s="18" t="str">
        <f>IF(K405="","",IF(H405=1,INDEX('По дням'!$B$2:$B$4000,MATCH(C405,'По дням'!$A$2:$A$4000,0)),"по периодам ставки"))</f>
        <v/>
      </c>
      <c r="H405" s="4" t="str">
        <f>IF(K405="","",INDEX(Интервалы!$I$2:$I$513,MATCH(K405,Интервалы!$G$2:$G$513,0)))</f>
        <v/>
      </c>
      <c r="I405" s="8" t="str">
        <f>IF(K405="","",INDEX(Интервалы!$F$2:$F$513,MATCH(K405,Интервалы!$G$2:$G$513,0)))</f>
        <v/>
      </c>
      <c r="J405" s="8" t="str">
        <f>IF(K405="","",INDEX(Интервалы!$H$2:$H$513,MATCH(K405,Интервалы!$G$2:$G$513,0)))</f>
        <v/>
      </c>
      <c r="K405" t="str">
        <f>IFERROR(SMALL(Интервалы!$G$2:$G$513,399),"")</f>
        <v/>
      </c>
      <c r="L405" t="str">
        <f>IF(K405="","",INDEX(Интервалы!$B$2:$B$513,MATCH(K405,Интервалы!$G$2:$G$513,0)))</f>
        <v/>
      </c>
    </row>
    <row r="406" spans="1:12" x14ac:dyDescent="0.3">
      <c r="A406" s="4" t="str">
        <f>IF(K406="","",400)</f>
        <v/>
      </c>
      <c r="B406" s="4" t="str">
        <f>IF(K406="","",INDEX(Интервалы!$A$2:$A$513,MATCH(K406,Интервалы!$G$2:$G$513,0)))</f>
        <v/>
      </c>
      <c r="C406" s="17" t="str">
        <f>IF(K406="","",INDEX(Интервалы!$C$2:$C$513,MATCH(K406,Интервалы!$G$2:$G$513,0)))</f>
        <v/>
      </c>
      <c r="D406" s="17" t="str">
        <f>IF(K406="","",INDEX(Интервалы!$D$2:$D$513,MATCH(K406,Интервалы!$G$2:$G$513,0)))</f>
        <v/>
      </c>
      <c r="E406" s="4" t="str">
        <f t="shared" si="6"/>
        <v/>
      </c>
      <c r="F406" s="8" t="str">
        <f>IF(K406="","",INDEX(Интервалы!$E$2:$E$513,MATCH(K406,Интервалы!$G$2:$G$513,0)))</f>
        <v/>
      </c>
      <c r="G406" s="18" t="str">
        <f>IF(K406="","",IF(H406=1,INDEX('По дням'!$B$2:$B$4000,MATCH(C406,'По дням'!$A$2:$A$4000,0)),"по периодам ставки"))</f>
        <v/>
      </c>
      <c r="H406" s="4" t="str">
        <f>IF(K406="","",INDEX(Интервалы!$I$2:$I$513,MATCH(K406,Интервалы!$G$2:$G$513,0)))</f>
        <v/>
      </c>
      <c r="I406" s="8" t="str">
        <f>IF(K406="","",INDEX(Интервалы!$F$2:$F$513,MATCH(K406,Интервалы!$G$2:$G$513,0)))</f>
        <v/>
      </c>
      <c r="J406" s="8" t="str">
        <f>IF(K406="","",INDEX(Интервалы!$H$2:$H$513,MATCH(K406,Интервалы!$G$2:$G$513,0)))</f>
        <v/>
      </c>
      <c r="K406" t="str">
        <f>IFERROR(SMALL(Интервалы!$G$2:$G$513,400),"")</f>
        <v/>
      </c>
      <c r="L406" t="str">
        <f>IF(K406="","",INDEX(Интервалы!$B$2:$B$513,MATCH(K406,Интервалы!$G$2:$G$513,0)))</f>
        <v/>
      </c>
    </row>
    <row r="407" spans="1:12" x14ac:dyDescent="0.3">
      <c r="A407" s="4" t="str">
        <f>IF(K407="","",401)</f>
        <v/>
      </c>
      <c r="B407" s="4" t="str">
        <f>IF(K407="","",INDEX(Интервалы!$A$2:$A$513,MATCH(K407,Интервалы!$G$2:$G$513,0)))</f>
        <v/>
      </c>
      <c r="C407" s="17" t="str">
        <f>IF(K407="","",INDEX(Интервалы!$C$2:$C$513,MATCH(K407,Интервалы!$G$2:$G$513,0)))</f>
        <v/>
      </c>
      <c r="D407" s="17" t="str">
        <f>IF(K407="","",INDEX(Интервалы!$D$2:$D$513,MATCH(K407,Интервалы!$G$2:$G$513,0)))</f>
        <v/>
      </c>
      <c r="E407" s="4" t="str">
        <f t="shared" si="6"/>
        <v/>
      </c>
      <c r="F407" s="8" t="str">
        <f>IF(K407="","",INDEX(Интервалы!$E$2:$E$513,MATCH(K407,Интервалы!$G$2:$G$513,0)))</f>
        <v/>
      </c>
      <c r="G407" s="18" t="str">
        <f>IF(K407="","",IF(H407=1,INDEX('По дням'!$B$2:$B$4000,MATCH(C407,'По дням'!$A$2:$A$4000,0)),"по периодам ставки"))</f>
        <v/>
      </c>
      <c r="H407" s="4" t="str">
        <f>IF(K407="","",INDEX(Интервалы!$I$2:$I$513,MATCH(K407,Интервалы!$G$2:$G$513,0)))</f>
        <v/>
      </c>
      <c r="I407" s="8" t="str">
        <f>IF(K407="","",INDEX(Интервалы!$F$2:$F$513,MATCH(K407,Интервалы!$G$2:$G$513,0)))</f>
        <v/>
      </c>
      <c r="J407" s="8" t="str">
        <f>IF(K407="","",INDEX(Интервалы!$H$2:$H$513,MATCH(K407,Интервалы!$G$2:$G$513,0)))</f>
        <v/>
      </c>
      <c r="K407" t="str">
        <f>IFERROR(SMALL(Интервалы!$G$2:$G$513,401),"")</f>
        <v/>
      </c>
      <c r="L407" t="str">
        <f>IF(K407="","",INDEX(Интервалы!$B$2:$B$513,MATCH(K407,Интервалы!$G$2:$G$513,0)))</f>
        <v/>
      </c>
    </row>
    <row r="408" spans="1:12" x14ac:dyDescent="0.3">
      <c r="A408" s="4" t="str">
        <f>IF(K408="","",402)</f>
        <v/>
      </c>
      <c r="B408" s="4" t="str">
        <f>IF(K408="","",INDEX(Интервалы!$A$2:$A$513,MATCH(K408,Интервалы!$G$2:$G$513,0)))</f>
        <v/>
      </c>
      <c r="C408" s="17" t="str">
        <f>IF(K408="","",INDEX(Интервалы!$C$2:$C$513,MATCH(K408,Интервалы!$G$2:$G$513,0)))</f>
        <v/>
      </c>
      <c r="D408" s="17" t="str">
        <f>IF(K408="","",INDEX(Интервалы!$D$2:$D$513,MATCH(K408,Интервалы!$G$2:$G$513,0)))</f>
        <v/>
      </c>
      <c r="E408" s="4" t="str">
        <f t="shared" si="6"/>
        <v/>
      </c>
      <c r="F408" s="8" t="str">
        <f>IF(K408="","",INDEX(Интервалы!$E$2:$E$513,MATCH(K408,Интервалы!$G$2:$G$513,0)))</f>
        <v/>
      </c>
      <c r="G408" s="18" t="str">
        <f>IF(K408="","",IF(H408=1,INDEX('По дням'!$B$2:$B$4000,MATCH(C408,'По дням'!$A$2:$A$4000,0)),"по периодам ставки"))</f>
        <v/>
      </c>
      <c r="H408" s="4" t="str">
        <f>IF(K408="","",INDEX(Интервалы!$I$2:$I$513,MATCH(K408,Интервалы!$G$2:$G$513,0)))</f>
        <v/>
      </c>
      <c r="I408" s="8" t="str">
        <f>IF(K408="","",INDEX(Интервалы!$F$2:$F$513,MATCH(K408,Интервалы!$G$2:$G$513,0)))</f>
        <v/>
      </c>
      <c r="J408" s="8" t="str">
        <f>IF(K408="","",INDEX(Интервалы!$H$2:$H$513,MATCH(K408,Интервалы!$G$2:$G$513,0)))</f>
        <v/>
      </c>
      <c r="K408" t="str">
        <f>IFERROR(SMALL(Интервалы!$G$2:$G$513,402),"")</f>
        <v/>
      </c>
      <c r="L408" t="str">
        <f>IF(K408="","",INDEX(Интервалы!$B$2:$B$513,MATCH(K408,Интервалы!$G$2:$G$513,0)))</f>
        <v/>
      </c>
    </row>
    <row r="409" spans="1:12" x14ac:dyDescent="0.3">
      <c r="A409" s="4" t="str">
        <f>IF(K409="","",403)</f>
        <v/>
      </c>
      <c r="B409" s="4" t="str">
        <f>IF(K409="","",INDEX(Интервалы!$A$2:$A$513,MATCH(K409,Интервалы!$G$2:$G$513,0)))</f>
        <v/>
      </c>
      <c r="C409" s="17" t="str">
        <f>IF(K409="","",INDEX(Интервалы!$C$2:$C$513,MATCH(K409,Интервалы!$G$2:$G$513,0)))</f>
        <v/>
      </c>
      <c r="D409" s="17" t="str">
        <f>IF(K409="","",INDEX(Интервалы!$D$2:$D$513,MATCH(K409,Интервалы!$G$2:$G$513,0)))</f>
        <v/>
      </c>
      <c r="E409" s="4" t="str">
        <f t="shared" si="6"/>
        <v/>
      </c>
      <c r="F409" s="8" t="str">
        <f>IF(K409="","",INDEX(Интервалы!$E$2:$E$513,MATCH(K409,Интервалы!$G$2:$G$513,0)))</f>
        <v/>
      </c>
      <c r="G409" s="18" t="str">
        <f>IF(K409="","",IF(H409=1,INDEX('По дням'!$B$2:$B$4000,MATCH(C409,'По дням'!$A$2:$A$4000,0)),"по периодам ставки"))</f>
        <v/>
      </c>
      <c r="H409" s="4" t="str">
        <f>IF(K409="","",INDEX(Интервалы!$I$2:$I$513,MATCH(K409,Интервалы!$G$2:$G$513,0)))</f>
        <v/>
      </c>
      <c r="I409" s="8" t="str">
        <f>IF(K409="","",INDEX(Интервалы!$F$2:$F$513,MATCH(K409,Интервалы!$G$2:$G$513,0)))</f>
        <v/>
      </c>
      <c r="J409" s="8" t="str">
        <f>IF(K409="","",INDEX(Интервалы!$H$2:$H$513,MATCH(K409,Интервалы!$G$2:$G$513,0)))</f>
        <v/>
      </c>
      <c r="K409" t="str">
        <f>IFERROR(SMALL(Интервалы!$G$2:$G$513,403),"")</f>
        <v/>
      </c>
      <c r="L409" t="str">
        <f>IF(K409="","",INDEX(Интервалы!$B$2:$B$513,MATCH(K409,Интервалы!$G$2:$G$513,0)))</f>
        <v/>
      </c>
    </row>
    <row r="410" spans="1:12" x14ac:dyDescent="0.3">
      <c r="A410" s="4" t="str">
        <f>IF(K410="","",404)</f>
        <v/>
      </c>
      <c r="B410" s="4" t="str">
        <f>IF(K410="","",INDEX(Интервалы!$A$2:$A$513,MATCH(K410,Интервалы!$G$2:$G$513,0)))</f>
        <v/>
      </c>
      <c r="C410" s="17" t="str">
        <f>IF(K410="","",INDEX(Интервалы!$C$2:$C$513,MATCH(K410,Интервалы!$G$2:$G$513,0)))</f>
        <v/>
      </c>
      <c r="D410" s="17" t="str">
        <f>IF(K410="","",INDEX(Интервалы!$D$2:$D$513,MATCH(K410,Интервалы!$G$2:$G$513,0)))</f>
        <v/>
      </c>
      <c r="E410" s="4" t="str">
        <f t="shared" si="6"/>
        <v/>
      </c>
      <c r="F410" s="8" t="str">
        <f>IF(K410="","",INDEX(Интервалы!$E$2:$E$513,MATCH(K410,Интервалы!$G$2:$G$513,0)))</f>
        <v/>
      </c>
      <c r="G410" s="18" t="str">
        <f>IF(K410="","",IF(H410=1,INDEX('По дням'!$B$2:$B$4000,MATCH(C410,'По дням'!$A$2:$A$4000,0)),"по периодам ставки"))</f>
        <v/>
      </c>
      <c r="H410" s="4" t="str">
        <f>IF(K410="","",INDEX(Интервалы!$I$2:$I$513,MATCH(K410,Интервалы!$G$2:$G$513,0)))</f>
        <v/>
      </c>
      <c r="I410" s="8" t="str">
        <f>IF(K410="","",INDEX(Интервалы!$F$2:$F$513,MATCH(K410,Интервалы!$G$2:$G$513,0)))</f>
        <v/>
      </c>
      <c r="J410" s="8" t="str">
        <f>IF(K410="","",INDEX(Интервалы!$H$2:$H$513,MATCH(K410,Интервалы!$G$2:$G$513,0)))</f>
        <v/>
      </c>
      <c r="K410" t="str">
        <f>IFERROR(SMALL(Интервалы!$G$2:$G$513,404),"")</f>
        <v/>
      </c>
      <c r="L410" t="str">
        <f>IF(K410="","",INDEX(Интервалы!$B$2:$B$513,MATCH(K410,Интервалы!$G$2:$G$513,0)))</f>
        <v/>
      </c>
    </row>
    <row r="411" spans="1:12" x14ac:dyDescent="0.3">
      <c r="A411" s="4" t="str">
        <f>IF(K411="","",405)</f>
        <v/>
      </c>
      <c r="B411" s="4" t="str">
        <f>IF(K411="","",INDEX(Интервалы!$A$2:$A$513,MATCH(K411,Интервалы!$G$2:$G$513,0)))</f>
        <v/>
      </c>
      <c r="C411" s="17" t="str">
        <f>IF(K411="","",INDEX(Интервалы!$C$2:$C$513,MATCH(K411,Интервалы!$G$2:$G$513,0)))</f>
        <v/>
      </c>
      <c r="D411" s="17" t="str">
        <f>IF(K411="","",INDEX(Интервалы!$D$2:$D$513,MATCH(K411,Интервалы!$G$2:$G$513,0)))</f>
        <v/>
      </c>
      <c r="E411" s="4" t="str">
        <f t="shared" si="6"/>
        <v/>
      </c>
      <c r="F411" s="8" t="str">
        <f>IF(K411="","",INDEX(Интервалы!$E$2:$E$513,MATCH(K411,Интервалы!$G$2:$G$513,0)))</f>
        <v/>
      </c>
      <c r="G411" s="18" t="str">
        <f>IF(K411="","",IF(H411=1,INDEX('По дням'!$B$2:$B$4000,MATCH(C411,'По дням'!$A$2:$A$4000,0)),"по периодам ставки"))</f>
        <v/>
      </c>
      <c r="H411" s="4" t="str">
        <f>IF(K411="","",INDEX(Интервалы!$I$2:$I$513,MATCH(K411,Интервалы!$G$2:$G$513,0)))</f>
        <v/>
      </c>
      <c r="I411" s="8" t="str">
        <f>IF(K411="","",INDEX(Интервалы!$F$2:$F$513,MATCH(K411,Интервалы!$G$2:$G$513,0)))</f>
        <v/>
      </c>
      <c r="J411" s="8" t="str">
        <f>IF(K411="","",INDEX(Интервалы!$H$2:$H$513,MATCH(K411,Интервалы!$G$2:$G$513,0)))</f>
        <v/>
      </c>
      <c r="K411" t="str">
        <f>IFERROR(SMALL(Интервалы!$G$2:$G$513,405),"")</f>
        <v/>
      </c>
      <c r="L411" t="str">
        <f>IF(K411="","",INDEX(Интервалы!$B$2:$B$513,MATCH(K411,Интервалы!$G$2:$G$513,0)))</f>
        <v/>
      </c>
    </row>
    <row r="412" spans="1:12" x14ac:dyDescent="0.3">
      <c r="A412" s="4" t="str">
        <f>IF(K412="","",406)</f>
        <v/>
      </c>
      <c r="B412" s="4" t="str">
        <f>IF(K412="","",INDEX(Интервалы!$A$2:$A$513,MATCH(K412,Интервалы!$G$2:$G$513,0)))</f>
        <v/>
      </c>
      <c r="C412" s="17" t="str">
        <f>IF(K412="","",INDEX(Интервалы!$C$2:$C$513,MATCH(K412,Интервалы!$G$2:$G$513,0)))</f>
        <v/>
      </c>
      <c r="D412" s="17" t="str">
        <f>IF(K412="","",INDEX(Интервалы!$D$2:$D$513,MATCH(K412,Интервалы!$G$2:$G$513,0)))</f>
        <v/>
      </c>
      <c r="E412" s="4" t="str">
        <f t="shared" si="6"/>
        <v/>
      </c>
      <c r="F412" s="8" t="str">
        <f>IF(K412="","",INDEX(Интервалы!$E$2:$E$513,MATCH(K412,Интервалы!$G$2:$G$513,0)))</f>
        <v/>
      </c>
      <c r="G412" s="18" t="str">
        <f>IF(K412="","",IF(H412=1,INDEX('По дням'!$B$2:$B$4000,MATCH(C412,'По дням'!$A$2:$A$4000,0)),"по периодам ставки"))</f>
        <v/>
      </c>
      <c r="H412" s="4" t="str">
        <f>IF(K412="","",INDEX(Интервалы!$I$2:$I$513,MATCH(K412,Интервалы!$G$2:$G$513,0)))</f>
        <v/>
      </c>
      <c r="I412" s="8" t="str">
        <f>IF(K412="","",INDEX(Интервалы!$F$2:$F$513,MATCH(K412,Интервалы!$G$2:$G$513,0)))</f>
        <v/>
      </c>
      <c r="J412" s="8" t="str">
        <f>IF(K412="","",INDEX(Интервалы!$H$2:$H$513,MATCH(K412,Интервалы!$G$2:$G$513,0)))</f>
        <v/>
      </c>
      <c r="K412" t="str">
        <f>IFERROR(SMALL(Интервалы!$G$2:$G$513,406),"")</f>
        <v/>
      </c>
      <c r="L412" t="str">
        <f>IF(K412="","",INDEX(Интервалы!$B$2:$B$513,MATCH(K412,Интервалы!$G$2:$G$513,0)))</f>
        <v/>
      </c>
    </row>
    <row r="413" spans="1:12" x14ac:dyDescent="0.3">
      <c r="A413" s="4" t="str">
        <f>IF(K413="","",407)</f>
        <v/>
      </c>
      <c r="B413" s="4" t="str">
        <f>IF(K413="","",INDEX(Интервалы!$A$2:$A$513,MATCH(K413,Интервалы!$G$2:$G$513,0)))</f>
        <v/>
      </c>
      <c r="C413" s="17" t="str">
        <f>IF(K413="","",INDEX(Интервалы!$C$2:$C$513,MATCH(K413,Интервалы!$G$2:$G$513,0)))</f>
        <v/>
      </c>
      <c r="D413" s="17" t="str">
        <f>IF(K413="","",INDEX(Интервалы!$D$2:$D$513,MATCH(K413,Интервалы!$G$2:$G$513,0)))</f>
        <v/>
      </c>
      <c r="E413" s="4" t="str">
        <f t="shared" si="6"/>
        <v/>
      </c>
      <c r="F413" s="8" t="str">
        <f>IF(K413="","",INDEX(Интервалы!$E$2:$E$513,MATCH(K413,Интервалы!$G$2:$G$513,0)))</f>
        <v/>
      </c>
      <c r="G413" s="18" t="str">
        <f>IF(K413="","",IF(H413=1,INDEX('По дням'!$B$2:$B$4000,MATCH(C413,'По дням'!$A$2:$A$4000,0)),"по периодам ставки"))</f>
        <v/>
      </c>
      <c r="H413" s="4" t="str">
        <f>IF(K413="","",INDEX(Интервалы!$I$2:$I$513,MATCH(K413,Интервалы!$G$2:$G$513,0)))</f>
        <v/>
      </c>
      <c r="I413" s="8" t="str">
        <f>IF(K413="","",INDEX(Интервалы!$F$2:$F$513,MATCH(K413,Интервалы!$G$2:$G$513,0)))</f>
        <v/>
      </c>
      <c r="J413" s="8" t="str">
        <f>IF(K413="","",INDEX(Интервалы!$H$2:$H$513,MATCH(K413,Интервалы!$G$2:$G$513,0)))</f>
        <v/>
      </c>
      <c r="K413" t="str">
        <f>IFERROR(SMALL(Интервалы!$G$2:$G$513,407),"")</f>
        <v/>
      </c>
      <c r="L413" t="str">
        <f>IF(K413="","",INDEX(Интервалы!$B$2:$B$513,MATCH(K413,Интервалы!$G$2:$G$513,0)))</f>
        <v/>
      </c>
    </row>
    <row r="414" spans="1:12" x14ac:dyDescent="0.3">
      <c r="A414" s="4" t="str">
        <f>IF(K414="","",408)</f>
        <v/>
      </c>
      <c r="B414" s="4" t="str">
        <f>IF(K414="","",INDEX(Интервалы!$A$2:$A$513,MATCH(K414,Интервалы!$G$2:$G$513,0)))</f>
        <v/>
      </c>
      <c r="C414" s="17" t="str">
        <f>IF(K414="","",INDEX(Интервалы!$C$2:$C$513,MATCH(K414,Интервалы!$G$2:$G$513,0)))</f>
        <v/>
      </c>
      <c r="D414" s="17" t="str">
        <f>IF(K414="","",INDEX(Интервалы!$D$2:$D$513,MATCH(K414,Интервалы!$G$2:$G$513,0)))</f>
        <v/>
      </c>
      <c r="E414" s="4" t="str">
        <f t="shared" si="6"/>
        <v/>
      </c>
      <c r="F414" s="8" t="str">
        <f>IF(K414="","",INDEX(Интервалы!$E$2:$E$513,MATCH(K414,Интервалы!$G$2:$G$513,0)))</f>
        <v/>
      </c>
      <c r="G414" s="18" t="str">
        <f>IF(K414="","",IF(H414=1,INDEX('По дням'!$B$2:$B$4000,MATCH(C414,'По дням'!$A$2:$A$4000,0)),"по периодам ставки"))</f>
        <v/>
      </c>
      <c r="H414" s="4" t="str">
        <f>IF(K414="","",INDEX(Интервалы!$I$2:$I$513,MATCH(K414,Интервалы!$G$2:$G$513,0)))</f>
        <v/>
      </c>
      <c r="I414" s="8" t="str">
        <f>IF(K414="","",INDEX(Интервалы!$F$2:$F$513,MATCH(K414,Интервалы!$G$2:$G$513,0)))</f>
        <v/>
      </c>
      <c r="J414" s="8" t="str">
        <f>IF(K414="","",INDEX(Интервалы!$H$2:$H$513,MATCH(K414,Интервалы!$G$2:$G$513,0)))</f>
        <v/>
      </c>
      <c r="K414" t="str">
        <f>IFERROR(SMALL(Интервалы!$G$2:$G$513,408),"")</f>
        <v/>
      </c>
      <c r="L414" t="str">
        <f>IF(K414="","",INDEX(Интервалы!$B$2:$B$513,MATCH(K414,Интервалы!$G$2:$G$513,0)))</f>
        <v/>
      </c>
    </row>
    <row r="415" spans="1:12" x14ac:dyDescent="0.3">
      <c r="A415" s="4" t="str">
        <f>IF(K415="","",409)</f>
        <v/>
      </c>
      <c r="B415" s="4" t="str">
        <f>IF(K415="","",INDEX(Интервалы!$A$2:$A$513,MATCH(K415,Интервалы!$G$2:$G$513,0)))</f>
        <v/>
      </c>
      <c r="C415" s="17" t="str">
        <f>IF(K415="","",INDEX(Интервалы!$C$2:$C$513,MATCH(K415,Интервалы!$G$2:$G$513,0)))</f>
        <v/>
      </c>
      <c r="D415" s="17" t="str">
        <f>IF(K415="","",INDEX(Интервалы!$D$2:$D$513,MATCH(K415,Интервалы!$G$2:$G$513,0)))</f>
        <v/>
      </c>
      <c r="E415" s="4" t="str">
        <f t="shared" si="6"/>
        <v/>
      </c>
      <c r="F415" s="8" t="str">
        <f>IF(K415="","",INDEX(Интервалы!$E$2:$E$513,MATCH(K415,Интервалы!$G$2:$G$513,0)))</f>
        <v/>
      </c>
      <c r="G415" s="18" t="str">
        <f>IF(K415="","",IF(H415=1,INDEX('По дням'!$B$2:$B$4000,MATCH(C415,'По дням'!$A$2:$A$4000,0)),"по периодам ставки"))</f>
        <v/>
      </c>
      <c r="H415" s="4" t="str">
        <f>IF(K415="","",INDEX(Интервалы!$I$2:$I$513,MATCH(K415,Интервалы!$G$2:$G$513,0)))</f>
        <v/>
      </c>
      <c r="I415" s="8" t="str">
        <f>IF(K415="","",INDEX(Интервалы!$F$2:$F$513,MATCH(K415,Интервалы!$G$2:$G$513,0)))</f>
        <v/>
      </c>
      <c r="J415" s="8" t="str">
        <f>IF(K415="","",INDEX(Интервалы!$H$2:$H$513,MATCH(K415,Интервалы!$G$2:$G$513,0)))</f>
        <v/>
      </c>
      <c r="K415" t="str">
        <f>IFERROR(SMALL(Интервалы!$G$2:$G$513,409),"")</f>
        <v/>
      </c>
      <c r="L415" t="str">
        <f>IF(K415="","",INDEX(Интервалы!$B$2:$B$513,MATCH(K415,Интервалы!$G$2:$G$513,0)))</f>
        <v/>
      </c>
    </row>
    <row r="416" spans="1:12" x14ac:dyDescent="0.3">
      <c r="A416" s="4" t="str">
        <f>IF(K416="","",410)</f>
        <v/>
      </c>
      <c r="B416" s="4" t="str">
        <f>IF(K416="","",INDEX(Интервалы!$A$2:$A$513,MATCH(K416,Интервалы!$G$2:$G$513,0)))</f>
        <v/>
      </c>
      <c r="C416" s="17" t="str">
        <f>IF(K416="","",INDEX(Интервалы!$C$2:$C$513,MATCH(K416,Интервалы!$G$2:$G$513,0)))</f>
        <v/>
      </c>
      <c r="D416" s="17" t="str">
        <f>IF(K416="","",INDEX(Интервалы!$D$2:$D$513,MATCH(K416,Интервалы!$G$2:$G$513,0)))</f>
        <v/>
      </c>
      <c r="E416" s="4" t="str">
        <f t="shared" si="6"/>
        <v/>
      </c>
      <c r="F416" s="8" t="str">
        <f>IF(K416="","",INDEX(Интервалы!$E$2:$E$513,MATCH(K416,Интервалы!$G$2:$G$513,0)))</f>
        <v/>
      </c>
      <c r="G416" s="18" t="str">
        <f>IF(K416="","",IF(H416=1,INDEX('По дням'!$B$2:$B$4000,MATCH(C416,'По дням'!$A$2:$A$4000,0)),"по периодам ставки"))</f>
        <v/>
      </c>
      <c r="H416" s="4" t="str">
        <f>IF(K416="","",INDEX(Интервалы!$I$2:$I$513,MATCH(K416,Интервалы!$G$2:$G$513,0)))</f>
        <v/>
      </c>
      <c r="I416" s="8" t="str">
        <f>IF(K416="","",INDEX(Интервалы!$F$2:$F$513,MATCH(K416,Интервалы!$G$2:$G$513,0)))</f>
        <v/>
      </c>
      <c r="J416" s="8" t="str">
        <f>IF(K416="","",INDEX(Интервалы!$H$2:$H$513,MATCH(K416,Интервалы!$G$2:$G$513,0)))</f>
        <v/>
      </c>
      <c r="K416" t="str">
        <f>IFERROR(SMALL(Интервалы!$G$2:$G$513,410),"")</f>
        <v/>
      </c>
      <c r="L416" t="str">
        <f>IF(K416="","",INDEX(Интервалы!$B$2:$B$513,MATCH(K416,Интервалы!$G$2:$G$513,0)))</f>
        <v/>
      </c>
    </row>
    <row r="417" spans="1:12" x14ac:dyDescent="0.3">
      <c r="A417" s="4" t="str">
        <f>IF(K417="","",411)</f>
        <v/>
      </c>
      <c r="B417" s="4" t="str">
        <f>IF(K417="","",INDEX(Интервалы!$A$2:$A$513,MATCH(K417,Интервалы!$G$2:$G$513,0)))</f>
        <v/>
      </c>
      <c r="C417" s="17" t="str">
        <f>IF(K417="","",INDEX(Интервалы!$C$2:$C$513,MATCH(K417,Интервалы!$G$2:$G$513,0)))</f>
        <v/>
      </c>
      <c r="D417" s="17" t="str">
        <f>IF(K417="","",INDEX(Интервалы!$D$2:$D$513,MATCH(K417,Интервалы!$G$2:$G$513,0)))</f>
        <v/>
      </c>
      <c r="E417" s="4" t="str">
        <f t="shared" si="6"/>
        <v/>
      </c>
      <c r="F417" s="8" t="str">
        <f>IF(K417="","",INDEX(Интервалы!$E$2:$E$513,MATCH(K417,Интервалы!$G$2:$G$513,0)))</f>
        <v/>
      </c>
      <c r="G417" s="18" t="str">
        <f>IF(K417="","",IF(H417=1,INDEX('По дням'!$B$2:$B$4000,MATCH(C417,'По дням'!$A$2:$A$4000,0)),"по периодам ставки"))</f>
        <v/>
      </c>
      <c r="H417" s="4" t="str">
        <f>IF(K417="","",INDEX(Интервалы!$I$2:$I$513,MATCH(K417,Интервалы!$G$2:$G$513,0)))</f>
        <v/>
      </c>
      <c r="I417" s="8" t="str">
        <f>IF(K417="","",INDEX(Интервалы!$F$2:$F$513,MATCH(K417,Интервалы!$G$2:$G$513,0)))</f>
        <v/>
      </c>
      <c r="J417" s="8" t="str">
        <f>IF(K417="","",INDEX(Интервалы!$H$2:$H$513,MATCH(K417,Интервалы!$G$2:$G$513,0)))</f>
        <v/>
      </c>
      <c r="K417" t="str">
        <f>IFERROR(SMALL(Интервалы!$G$2:$G$513,411),"")</f>
        <v/>
      </c>
      <c r="L417" t="str">
        <f>IF(K417="","",INDEX(Интервалы!$B$2:$B$513,MATCH(K417,Интервалы!$G$2:$G$513,0)))</f>
        <v/>
      </c>
    </row>
    <row r="418" spans="1:12" x14ac:dyDescent="0.3">
      <c r="A418" s="4" t="str">
        <f>IF(K418="","",412)</f>
        <v/>
      </c>
      <c r="B418" s="4" t="str">
        <f>IF(K418="","",INDEX(Интервалы!$A$2:$A$513,MATCH(K418,Интервалы!$G$2:$G$513,0)))</f>
        <v/>
      </c>
      <c r="C418" s="17" t="str">
        <f>IF(K418="","",INDEX(Интервалы!$C$2:$C$513,MATCH(K418,Интервалы!$G$2:$G$513,0)))</f>
        <v/>
      </c>
      <c r="D418" s="17" t="str">
        <f>IF(K418="","",INDEX(Интервалы!$D$2:$D$513,MATCH(K418,Интервалы!$G$2:$G$513,0)))</f>
        <v/>
      </c>
      <c r="E418" s="4" t="str">
        <f t="shared" si="6"/>
        <v/>
      </c>
      <c r="F418" s="8" t="str">
        <f>IF(K418="","",INDEX(Интервалы!$E$2:$E$513,MATCH(K418,Интервалы!$G$2:$G$513,0)))</f>
        <v/>
      </c>
      <c r="G418" s="18" t="str">
        <f>IF(K418="","",IF(H418=1,INDEX('По дням'!$B$2:$B$4000,MATCH(C418,'По дням'!$A$2:$A$4000,0)),"по периодам ставки"))</f>
        <v/>
      </c>
      <c r="H418" s="4" t="str">
        <f>IF(K418="","",INDEX(Интервалы!$I$2:$I$513,MATCH(K418,Интервалы!$G$2:$G$513,0)))</f>
        <v/>
      </c>
      <c r="I418" s="8" t="str">
        <f>IF(K418="","",INDEX(Интервалы!$F$2:$F$513,MATCH(K418,Интервалы!$G$2:$G$513,0)))</f>
        <v/>
      </c>
      <c r="J418" s="8" t="str">
        <f>IF(K418="","",INDEX(Интервалы!$H$2:$H$513,MATCH(K418,Интервалы!$G$2:$G$513,0)))</f>
        <v/>
      </c>
      <c r="K418" t="str">
        <f>IFERROR(SMALL(Интервалы!$G$2:$G$513,412),"")</f>
        <v/>
      </c>
      <c r="L418" t="str">
        <f>IF(K418="","",INDEX(Интервалы!$B$2:$B$513,MATCH(K418,Интервалы!$G$2:$G$513,0)))</f>
        <v/>
      </c>
    </row>
    <row r="419" spans="1:12" x14ac:dyDescent="0.3">
      <c r="A419" s="4" t="str">
        <f>IF(K419="","",413)</f>
        <v/>
      </c>
      <c r="B419" s="4" t="str">
        <f>IF(K419="","",INDEX(Интервалы!$A$2:$A$513,MATCH(K419,Интервалы!$G$2:$G$513,0)))</f>
        <v/>
      </c>
      <c r="C419" s="17" t="str">
        <f>IF(K419="","",INDEX(Интервалы!$C$2:$C$513,MATCH(K419,Интервалы!$G$2:$G$513,0)))</f>
        <v/>
      </c>
      <c r="D419" s="17" t="str">
        <f>IF(K419="","",INDEX(Интервалы!$D$2:$D$513,MATCH(K419,Интервалы!$G$2:$G$513,0)))</f>
        <v/>
      </c>
      <c r="E419" s="4" t="str">
        <f t="shared" si="6"/>
        <v/>
      </c>
      <c r="F419" s="8" t="str">
        <f>IF(K419="","",INDEX(Интервалы!$E$2:$E$513,MATCH(K419,Интервалы!$G$2:$G$513,0)))</f>
        <v/>
      </c>
      <c r="G419" s="18" t="str">
        <f>IF(K419="","",IF(H419=1,INDEX('По дням'!$B$2:$B$4000,MATCH(C419,'По дням'!$A$2:$A$4000,0)),"по периодам ставки"))</f>
        <v/>
      </c>
      <c r="H419" s="4" t="str">
        <f>IF(K419="","",INDEX(Интервалы!$I$2:$I$513,MATCH(K419,Интервалы!$G$2:$G$513,0)))</f>
        <v/>
      </c>
      <c r="I419" s="8" t="str">
        <f>IF(K419="","",INDEX(Интервалы!$F$2:$F$513,MATCH(K419,Интервалы!$G$2:$G$513,0)))</f>
        <v/>
      </c>
      <c r="J419" s="8" t="str">
        <f>IF(K419="","",INDEX(Интервалы!$H$2:$H$513,MATCH(K419,Интервалы!$G$2:$G$513,0)))</f>
        <v/>
      </c>
      <c r="K419" t="str">
        <f>IFERROR(SMALL(Интервалы!$G$2:$G$513,413),"")</f>
        <v/>
      </c>
      <c r="L419" t="str">
        <f>IF(K419="","",INDEX(Интервалы!$B$2:$B$513,MATCH(K419,Интервалы!$G$2:$G$513,0)))</f>
        <v/>
      </c>
    </row>
    <row r="420" spans="1:12" x14ac:dyDescent="0.3">
      <c r="A420" s="4" t="str">
        <f>IF(K420="","",414)</f>
        <v/>
      </c>
      <c r="B420" s="4" t="str">
        <f>IF(K420="","",INDEX(Интервалы!$A$2:$A$513,MATCH(K420,Интервалы!$G$2:$G$513,0)))</f>
        <v/>
      </c>
      <c r="C420" s="17" t="str">
        <f>IF(K420="","",INDEX(Интервалы!$C$2:$C$513,MATCH(K420,Интервалы!$G$2:$G$513,0)))</f>
        <v/>
      </c>
      <c r="D420" s="17" t="str">
        <f>IF(K420="","",INDEX(Интервалы!$D$2:$D$513,MATCH(K420,Интервалы!$G$2:$G$513,0)))</f>
        <v/>
      </c>
      <c r="E420" s="4" t="str">
        <f t="shared" si="6"/>
        <v/>
      </c>
      <c r="F420" s="8" t="str">
        <f>IF(K420="","",INDEX(Интервалы!$E$2:$E$513,MATCH(K420,Интервалы!$G$2:$G$513,0)))</f>
        <v/>
      </c>
      <c r="G420" s="18" t="str">
        <f>IF(K420="","",IF(H420=1,INDEX('По дням'!$B$2:$B$4000,MATCH(C420,'По дням'!$A$2:$A$4000,0)),"по периодам ставки"))</f>
        <v/>
      </c>
      <c r="H420" s="4" t="str">
        <f>IF(K420="","",INDEX(Интервалы!$I$2:$I$513,MATCH(K420,Интервалы!$G$2:$G$513,0)))</f>
        <v/>
      </c>
      <c r="I420" s="8" t="str">
        <f>IF(K420="","",INDEX(Интервалы!$F$2:$F$513,MATCH(K420,Интервалы!$G$2:$G$513,0)))</f>
        <v/>
      </c>
      <c r="J420" s="8" t="str">
        <f>IF(K420="","",INDEX(Интервалы!$H$2:$H$513,MATCH(K420,Интервалы!$G$2:$G$513,0)))</f>
        <v/>
      </c>
      <c r="K420" t="str">
        <f>IFERROR(SMALL(Интервалы!$G$2:$G$513,414),"")</f>
        <v/>
      </c>
      <c r="L420" t="str">
        <f>IF(K420="","",INDEX(Интервалы!$B$2:$B$513,MATCH(K420,Интервалы!$G$2:$G$513,0)))</f>
        <v/>
      </c>
    </row>
    <row r="421" spans="1:12" x14ac:dyDescent="0.3">
      <c r="A421" s="4" t="str">
        <f>IF(K421="","",415)</f>
        <v/>
      </c>
      <c r="B421" s="4" t="str">
        <f>IF(K421="","",INDEX(Интервалы!$A$2:$A$513,MATCH(K421,Интервалы!$G$2:$G$513,0)))</f>
        <v/>
      </c>
      <c r="C421" s="17" t="str">
        <f>IF(K421="","",INDEX(Интервалы!$C$2:$C$513,MATCH(K421,Интервалы!$G$2:$G$513,0)))</f>
        <v/>
      </c>
      <c r="D421" s="17" t="str">
        <f>IF(K421="","",INDEX(Интервалы!$D$2:$D$513,MATCH(K421,Интервалы!$G$2:$G$513,0)))</f>
        <v/>
      </c>
      <c r="E421" s="4" t="str">
        <f t="shared" si="6"/>
        <v/>
      </c>
      <c r="F421" s="8" t="str">
        <f>IF(K421="","",INDEX(Интервалы!$E$2:$E$513,MATCH(K421,Интервалы!$G$2:$G$513,0)))</f>
        <v/>
      </c>
      <c r="G421" s="18" t="str">
        <f>IF(K421="","",IF(H421=1,INDEX('По дням'!$B$2:$B$4000,MATCH(C421,'По дням'!$A$2:$A$4000,0)),"по периодам ставки"))</f>
        <v/>
      </c>
      <c r="H421" s="4" t="str">
        <f>IF(K421="","",INDEX(Интервалы!$I$2:$I$513,MATCH(K421,Интервалы!$G$2:$G$513,0)))</f>
        <v/>
      </c>
      <c r="I421" s="8" t="str">
        <f>IF(K421="","",INDEX(Интервалы!$F$2:$F$513,MATCH(K421,Интервалы!$G$2:$G$513,0)))</f>
        <v/>
      </c>
      <c r="J421" s="8" t="str">
        <f>IF(K421="","",INDEX(Интервалы!$H$2:$H$513,MATCH(K421,Интервалы!$G$2:$G$513,0)))</f>
        <v/>
      </c>
      <c r="K421" t="str">
        <f>IFERROR(SMALL(Интервалы!$G$2:$G$513,415),"")</f>
        <v/>
      </c>
      <c r="L421" t="str">
        <f>IF(K421="","",INDEX(Интервалы!$B$2:$B$513,MATCH(K421,Интервалы!$G$2:$G$513,0)))</f>
        <v/>
      </c>
    </row>
    <row r="422" spans="1:12" x14ac:dyDescent="0.3">
      <c r="A422" s="4" t="str">
        <f>IF(K422="","",416)</f>
        <v/>
      </c>
      <c r="B422" s="4" t="str">
        <f>IF(K422="","",INDEX(Интервалы!$A$2:$A$513,MATCH(K422,Интервалы!$G$2:$G$513,0)))</f>
        <v/>
      </c>
      <c r="C422" s="17" t="str">
        <f>IF(K422="","",INDEX(Интервалы!$C$2:$C$513,MATCH(K422,Интервалы!$G$2:$G$513,0)))</f>
        <v/>
      </c>
      <c r="D422" s="17" t="str">
        <f>IF(K422="","",INDEX(Интервалы!$D$2:$D$513,MATCH(K422,Интервалы!$G$2:$G$513,0)))</f>
        <v/>
      </c>
      <c r="E422" s="4" t="str">
        <f t="shared" si="6"/>
        <v/>
      </c>
      <c r="F422" s="8" t="str">
        <f>IF(K422="","",INDEX(Интервалы!$E$2:$E$513,MATCH(K422,Интервалы!$G$2:$G$513,0)))</f>
        <v/>
      </c>
      <c r="G422" s="18" t="str">
        <f>IF(K422="","",IF(H422=1,INDEX('По дням'!$B$2:$B$4000,MATCH(C422,'По дням'!$A$2:$A$4000,0)),"по периодам ставки"))</f>
        <v/>
      </c>
      <c r="H422" s="4" t="str">
        <f>IF(K422="","",INDEX(Интервалы!$I$2:$I$513,MATCH(K422,Интервалы!$G$2:$G$513,0)))</f>
        <v/>
      </c>
      <c r="I422" s="8" t="str">
        <f>IF(K422="","",INDEX(Интервалы!$F$2:$F$513,MATCH(K422,Интервалы!$G$2:$G$513,0)))</f>
        <v/>
      </c>
      <c r="J422" s="8" t="str">
        <f>IF(K422="","",INDEX(Интервалы!$H$2:$H$513,MATCH(K422,Интервалы!$G$2:$G$513,0)))</f>
        <v/>
      </c>
      <c r="K422" t="str">
        <f>IFERROR(SMALL(Интервалы!$G$2:$G$513,416),"")</f>
        <v/>
      </c>
      <c r="L422" t="str">
        <f>IF(K422="","",INDEX(Интервалы!$B$2:$B$513,MATCH(K422,Интервалы!$G$2:$G$513,0)))</f>
        <v/>
      </c>
    </row>
    <row r="423" spans="1:12" x14ac:dyDescent="0.3">
      <c r="A423" s="4" t="str">
        <f>IF(K423="","",417)</f>
        <v/>
      </c>
      <c r="B423" s="4" t="str">
        <f>IF(K423="","",INDEX(Интервалы!$A$2:$A$513,MATCH(K423,Интервалы!$G$2:$G$513,0)))</f>
        <v/>
      </c>
      <c r="C423" s="17" t="str">
        <f>IF(K423="","",INDEX(Интервалы!$C$2:$C$513,MATCH(K423,Интервалы!$G$2:$G$513,0)))</f>
        <v/>
      </c>
      <c r="D423" s="17" t="str">
        <f>IF(K423="","",INDEX(Интервалы!$D$2:$D$513,MATCH(K423,Интервалы!$G$2:$G$513,0)))</f>
        <v/>
      </c>
      <c r="E423" s="4" t="str">
        <f t="shared" si="6"/>
        <v/>
      </c>
      <c r="F423" s="8" t="str">
        <f>IF(K423="","",INDEX(Интервалы!$E$2:$E$513,MATCH(K423,Интервалы!$G$2:$G$513,0)))</f>
        <v/>
      </c>
      <c r="G423" s="18" t="str">
        <f>IF(K423="","",IF(H423=1,INDEX('По дням'!$B$2:$B$4000,MATCH(C423,'По дням'!$A$2:$A$4000,0)),"по периодам ставки"))</f>
        <v/>
      </c>
      <c r="H423" s="4" t="str">
        <f>IF(K423="","",INDEX(Интервалы!$I$2:$I$513,MATCH(K423,Интервалы!$G$2:$G$513,0)))</f>
        <v/>
      </c>
      <c r="I423" s="8" t="str">
        <f>IF(K423="","",INDEX(Интервалы!$F$2:$F$513,MATCH(K423,Интервалы!$G$2:$G$513,0)))</f>
        <v/>
      </c>
      <c r="J423" s="8" t="str">
        <f>IF(K423="","",INDEX(Интервалы!$H$2:$H$513,MATCH(K423,Интервалы!$G$2:$G$513,0)))</f>
        <v/>
      </c>
      <c r="K423" t="str">
        <f>IFERROR(SMALL(Интервалы!$G$2:$G$513,417),"")</f>
        <v/>
      </c>
      <c r="L423" t="str">
        <f>IF(K423="","",INDEX(Интервалы!$B$2:$B$513,MATCH(K423,Интервалы!$G$2:$G$513,0)))</f>
        <v/>
      </c>
    </row>
    <row r="424" spans="1:12" x14ac:dyDescent="0.3">
      <c r="A424" s="4" t="str">
        <f>IF(K424="","",418)</f>
        <v/>
      </c>
      <c r="B424" s="4" t="str">
        <f>IF(K424="","",INDEX(Интервалы!$A$2:$A$513,MATCH(K424,Интервалы!$G$2:$G$513,0)))</f>
        <v/>
      </c>
      <c r="C424" s="17" t="str">
        <f>IF(K424="","",INDEX(Интервалы!$C$2:$C$513,MATCH(K424,Интервалы!$G$2:$G$513,0)))</f>
        <v/>
      </c>
      <c r="D424" s="17" t="str">
        <f>IF(K424="","",INDEX(Интервалы!$D$2:$D$513,MATCH(K424,Интервалы!$G$2:$G$513,0)))</f>
        <v/>
      </c>
      <c r="E424" s="4" t="str">
        <f t="shared" si="6"/>
        <v/>
      </c>
      <c r="F424" s="8" t="str">
        <f>IF(K424="","",INDEX(Интервалы!$E$2:$E$513,MATCH(K424,Интервалы!$G$2:$G$513,0)))</f>
        <v/>
      </c>
      <c r="G424" s="18" t="str">
        <f>IF(K424="","",IF(H424=1,INDEX('По дням'!$B$2:$B$4000,MATCH(C424,'По дням'!$A$2:$A$4000,0)),"по периодам ставки"))</f>
        <v/>
      </c>
      <c r="H424" s="4" t="str">
        <f>IF(K424="","",INDEX(Интервалы!$I$2:$I$513,MATCH(K424,Интервалы!$G$2:$G$513,0)))</f>
        <v/>
      </c>
      <c r="I424" s="8" t="str">
        <f>IF(K424="","",INDEX(Интервалы!$F$2:$F$513,MATCH(K424,Интервалы!$G$2:$G$513,0)))</f>
        <v/>
      </c>
      <c r="J424" s="8" t="str">
        <f>IF(K424="","",INDEX(Интервалы!$H$2:$H$513,MATCH(K424,Интервалы!$G$2:$G$513,0)))</f>
        <v/>
      </c>
      <c r="K424" t="str">
        <f>IFERROR(SMALL(Интервалы!$G$2:$G$513,418),"")</f>
        <v/>
      </c>
      <c r="L424" t="str">
        <f>IF(K424="","",INDEX(Интервалы!$B$2:$B$513,MATCH(K424,Интервалы!$G$2:$G$513,0)))</f>
        <v/>
      </c>
    </row>
    <row r="425" spans="1:12" x14ac:dyDescent="0.3">
      <c r="A425" s="4" t="str">
        <f>IF(K425="","",419)</f>
        <v/>
      </c>
      <c r="B425" s="4" t="str">
        <f>IF(K425="","",INDEX(Интервалы!$A$2:$A$513,MATCH(K425,Интервалы!$G$2:$G$513,0)))</f>
        <v/>
      </c>
      <c r="C425" s="17" t="str">
        <f>IF(K425="","",INDEX(Интервалы!$C$2:$C$513,MATCH(K425,Интервалы!$G$2:$G$513,0)))</f>
        <v/>
      </c>
      <c r="D425" s="17" t="str">
        <f>IF(K425="","",INDEX(Интервалы!$D$2:$D$513,MATCH(K425,Интервалы!$G$2:$G$513,0)))</f>
        <v/>
      </c>
      <c r="E425" s="4" t="str">
        <f t="shared" si="6"/>
        <v/>
      </c>
      <c r="F425" s="8" t="str">
        <f>IF(K425="","",INDEX(Интервалы!$E$2:$E$513,MATCH(K425,Интервалы!$G$2:$G$513,0)))</f>
        <v/>
      </c>
      <c r="G425" s="18" t="str">
        <f>IF(K425="","",IF(H425=1,INDEX('По дням'!$B$2:$B$4000,MATCH(C425,'По дням'!$A$2:$A$4000,0)),"по периодам ставки"))</f>
        <v/>
      </c>
      <c r="H425" s="4" t="str">
        <f>IF(K425="","",INDEX(Интервалы!$I$2:$I$513,MATCH(K425,Интервалы!$G$2:$G$513,0)))</f>
        <v/>
      </c>
      <c r="I425" s="8" t="str">
        <f>IF(K425="","",INDEX(Интервалы!$F$2:$F$513,MATCH(K425,Интервалы!$G$2:$G$513,0)))</f>
        <v/>
      </c>
      <c r="J425" s="8" t="str">
        <f>IF(K425="","",INDEX(Интервалы!$H$2:$H$513,MATCH(K425,Интервалы!$G$2:$G$513,0)))</f>
        <v/>
      </c>
      <c r="K425" t="str">
        <f>IFERROR(SMALL(Интервалы!$G$2:$G$513,419),"")</f>
        <v/>
      </c>
      <c r="L425" t="str">
        <f>IF(K425="","",INDEX(Интервалы!$B$2:$B$513,MATCH(K425,Интервалы!$G$2:$G$513,0)))</f>
        <v/>
      </c>
    </row>
    <row r="426" spans="1:12" x14ac:dyDescent="0.3">
      <c r="A426" s="4" t="str">
        <f>IF(K426="","",420)</f>
        <v/>
      </c>
      <c r="B426" s="4" t="str">
        <f>IF(K426="","",INDEX(Интервалы!$A$2:$A$513,MATCH(K426,Интервалы!$G$2:$G$513,0)))</f>
        <v/>
      </c>
      <c r="C426" s="17" t="str">
        <f>IF(K426="","",INDEX(Интервалы!$C$2:$C$513,MATCH(K426,Интервалы!$G$2:$G$513,0)))</f>
        <v/>
      </c>
      <c r="D426" s="17" t="str">
        <f>IF(K426="","",INDEX(Интервалы!$D$2:$D$513,MATCH(K426,Интервалы!$G$2:$G$513,0)))</f>
        <v/>
      </c>
      <c r="E426" s="4" t="str">
        <f t="shared" si="6"/>
        <v/>
      </c>
      <c r="F426" s="8" t="str">
        <f>IF(K426="","",INDEX(Интервалы!$E$2:$E$513,MATCH(K426,Интервалы!$G$2:$G$513,0)))</f>
        <v/>
      </c>
      <c r="G426" s="18" t="str">
        <f>IF(K426="","",IF(H426=1,INDEX('По дням'!$B$2:$B$4000,MATCH(C426,'По дням'!$A$2:$A$4000,0)),"по периодам ставки"))</f>
        <v/>
      </c>
      <c r="H426" s="4" t="str">
        <f>IF(K426="","",INDEX(Интервалы!$I$2:$I$513,MATCH(K426,Интервалы!$G$2:$G$513,0)))</f>
        <v/>
      </c>
      <c r="I426" s="8" t="str">
        <f>IF(K426="","",INDEX(Интервалы!$F$2:$F$513,MATCH(K426,Интервалы!$G$2:$G$513,0)))</f>
        <v/>
      </c>
      <c r="J426" s="8" t="str">
        <f>IF(K426="","",INDEX(Интервалы!$H$2:$H$513,MATCH(K426,Интервалы!$G$2:$G$513,0)))</f>
        <v/>
      </c>
      <c r="K426" t="str">
        <f>IFERROR(SMALL(Интервалы!$G$2:$G$513,420),"")</f>
        <v/>
      </c>
      <c r="L426" t="str">
        <f>IF(K426="","",INDEX(Интервалы!$B$2:$B$513,MATCH(K426,Интервалы!$G$2:$G$513,0)))</f>
        <v/>
      </c>
    </row>
    <row r="427" spans="1:12" x14ac:dyDescent="0.3">
      <c r="A427" s="4" t="str">
        <f>IF(K427="","",421)</f>
        <v/>
      </c>
      <c r="B427" s="4" t="str">
        <f>IF(K427="","",INDEX(Интервалы!$A$2:$A$513,MATCH(K427,Интервалы!$G$2:$G$513,0)))</f>
        <v/>
      </c>
      <c r="C427" s="17" t="str">
        <f>IF(K427="","",INDEX(Интервалы!$C$2:$C$513,MATCH(K427,Интервалы!$G$2:$G$513,0)))</f>
        <v/>
      </c>
      <c r="D427" s="17" t="str">
        <f>IF(K427="","",INDEX(Интервалы!$D$2:$D$513,MATCH(K427,Интервалы!$G$2:$G$513,0)))</f>
        <v/>
      </c>
      <c r="E427" s="4" t="str">
        <f t="shared" si="6"/>
        <v/>
      </c>
      <c r="F427" s="8" t="str">
        <f>IF(K427="","",INDEX(Интервалы!$E$2:$E$513,MATCH(K427,Интервалы!$G$2:$G$513,0)))</f>
        <v/>
      </c>
      <c r="G427" s="18" t="str">
        <f>IF(K427="","",IF(H427=1,INDEX('По дням'!$B$2:$B$4000,MATCH(C427,'По дням'!$A$2:$A$4000,0)),"по периодам ставки"))</f>
        <v/>
      </c>
      <c r="H427" s="4" t="str">
        <f>IF(K427="","",INDEX(Интервалы!$I$2:$I$513,MATCH(K427,Интервалы!$G$2:$G$513,0)))</f>
        <v/>
      </c>
      <c r="I427" s="8" t="str">
        <f>IF(K427="","",INDEX(Интервалы!$F$2:$F$513,MATCH(K427,Интервалы!$G$2:$G$513,0)))</f>
        <v/>
      </c>
      <c r="J427" s="8" t="str">
        <f>IF(K427="","",INDEX(Интервалы!$H$2:$H$513,MATCH(K427,Интервалы!$G$2:$G$513,0)))</f>
        <v/>
      </c>
      <c r="K427" t="str">
        <f>IFERROR(SMALL(Интервалы!$G$2:$G$513,421),"")</f>
        <v/>
      </c>
      <c r="L427" t="str">
        <f>IF(K427="","",INDEX(Интервалы!$B$2:$B$513,MATCH(K427,Интервалы!$G$2:$G$513,0)))</f>
        <v/>
      </c>
    </row>
    <row r="428" spans="1:12" x14ac:dyDescent="0.3">
      <c r="A428" s="4" t="str">
        <f>IF(K428="","",422)</f>
        <v/>
      </c>
      <c r="B428" s="4" t="str">
        <f>IF(K428="","",INDEX(Интервалы!$A$2:$A$513,MATCH(K428,Интервалы!$G$2:$G$513,0)))</f>
        <v/>
      </c>
      <c r="C428" s="17" t="str">
        <f>IF(K428="","",INDEX(Интервалы!$C$2:$C$513,MATCH(K428,Интервалы!$G$2:$G$513,0)))</f>
        <v/>
      </c>
      <c r="D428" s="17" t="str">
        <f>IF(K428="","",INDEX(Интервалы!$D$2:$D$513,MATCH(K428,Интервалы!$G$2:$G$513,0)))</f>
        <v/>
      </c>
      <c r="E428" s="4" t="str">
        <f t="shared" si="6"/>
        <v/>
      </c>
      <c r="F428" s="8" t="str">
        <f>IF(K428="","",INDEX(Интервалы!$E$2:$E$513,MATCH(K428,Интервалы!$G$2:$G$513,0)))</f>
        <v/>
      </c>
      <c r="G428" s="18" t="str">
        <f>IF(K428="","",IF(H428=1,INDEX('По дням'!$B$2:$B$4000,MATCH(C428,'По дням'!$A$2:$A$4000,0)),"по периодам ставки"))</f>
        <v/>
      </c>
      <c r="H428" s="4" t="str">
        <f>IF(K428="","",INDEX(Интервалы!$I$2:$I$513,MATCH(K428,Интервалы!$G$2:$G$513,0)))</f>
        <v/>
      </c>
      <c r="I428" s="8" t="str">
        <f>IF(K428="","",INDEX(Интервалы!$F$2:$F$513,MATCH(K428,Интервалы!$G$2:$G$513,0)))</f>
        <v/>
      </c>
      <c r="J428" s="8" t="str">
        <f>IF(K428="","",INDEX(Интервалы!$H$2:$H$513,MATCH(K428,Интервалы!$G$2:$G$513,0)))</f>
        <v/>
      </c>
      <c r="K428" t="str">
        <f>IFERROR(SMALL(Интервалы!$G$2:$G$513,422),"")</f>
        <v/>
      </c>
      <c r="L428" t="str">
        <f>IF(K428="","",INDEX(Интервалы!$B$2:$B$513,MATCH(K428,Интервалы!$G$2:$G$513,0)))</f>
        <v/>
      </c>
    </row>
    <row r="429" spans="1:12" x14ac:dyDescent="0.3">
      <c r="A429" s="4" t="str">
        <f>IF(K429="","",423)</f>
        <v/>
      </c>
      <c r="B429" s="4" t="str">
        <f>IF(K429="","",INDEX(Интервалы!$A$2:$A$513,MATCH(K429,Интервалы!$G$2:$G$513,0)))</f>
        <v/>
      </c>
      <c r="C429" s="17" t="str">
        <f>IF(K429="","",INDEX(Интервалы!$C$2:$C$513,MATCH(K429,Интервалы!$G$2:$G$513,0)))</f>
        <v/>
      </c>
      <c r="D429" s="17" t="str">
        <f>IF(K429="","",INDEX(Интервалы!$D$2:$D$513,MATCH(K429,Интервалы!$G$2:$G$513,0)))</f>
        <v/>
      </c>
      <c r="E429" s="4" t="str">
        <f t="shared" si="6"/>
        <v/>
      </c>
      <c r="F429" s="8" t="str">
        <f>IF(K429="","",INDEX(Интервалы!$E$2:$E$513,MATCH(K429,Интервалы!$G$2:$G$513,0)))</f>
        <v/>
      </c>
      <c r="G429" s="18" t="str">
        <f>IF(K429="","",IF(H429=1,INDEX('По дням'!$B$2:$B$4000,MATCH(C429,'По дням'!$A$2:$A$4000,0)),"по периодам ставки"))</f>
        <v/>
      </c>
      <c r="H429" s="4" t="str">
        <f>IF(K429="","",INDEX(Интервалы!$I$2:$I$513,MATCH(K429,Интервалы!$G$2:$G$513,0)))</f>
        <v/>
      </c>
      <c r="I429" s="8" t="str">
        <f>IF(K429="","",INDEX(Интервалы!$F$2:$F$513,MATCH(K429,Интервалы!$G$2:$G$513,0)))</f>
        <v/>
      </c>
      <c r="J429" s="8" t="str">
        <f>IF(K429="","",INDEX(Интервалы!$H$2:$H$513,MATCH(K429,Интервалы!$G$2:$G$513,0)))</f>
        <v/>
      </c>
      <c r="K429" t="str">
        <f>IFERROR(SMALL(Интервалы!$G$2:$G$513,423),"")</f>
        <v/>
      </c>
      <c r="L429" t="str">
        <f>IF(K429="","",INDEX(Интервалы!$B$2:$B$513,MATCH(K429,Интервалы!$G$2:$G$513,0)))</f>
        <v/>
      </c>
    </row>
    <row r="430" spans="1:12" x14ac:dyDescent="0.3">
      <c r="A430" s="4" t="str">
        <f>IF(K430="","",424)</f>
        <v/>
      </c>
      <c r="B430" s="4" t="str">
        <f>IF(K430="","",INDEX(Интервалы!$A$2:$A$513,MATCH(K430,Интервалы!$G$2:$G$513,0)))</f>
        <v/>
      </c>
      <c r="C430" s="17" t="str">
        <f>IF(K430="","",INDEX(Интервалы!$C$2:$C$513,MATCH(K430,Интервалы!$G$2:$G$513,0)))</f>
        <v/>
      </c>
      <c r="D430" s="17" t="str">
        <f>IF(K430="","",INDEX(Интервалы!$D$2:$D$513,MATCH(K430,Интервалы!$G$2:$G$513,0)))</f>
        <v/>
      </c>
      <c r="E430" s="4" t="str">
        <f t="shared" si="6"/>
        <v/>
      </c>
      <c r="F430" s="8" t="str">
        <f>IF(K430="","",INDEX(Интервалы!$E$2:$E$513,MATCH(K430,Интервалы!$G$2:$G$513,0)))</f>
        <v/>
      </c>
      <c r="G430" s="18" t="str">
        <f>IF(K430="","",IF(H430=1,INDEX('По дням'!$B$2:$B$4000,MATCH(C430,'По дням'!$A$2:$A$4000,0)),"по периодам ставки"))</f>
        <v/>
      </c>
      <c r="H430" s="4" t="str">
        <f>IF(K430="","",INDEX(Интервалы!$I$2:$I$513,MATCH(K430,Интервалы!$G$2:$G$513,0)))</f>
        <v/>
      </c>
      <c r="I430" s="8" t="str">
        <f>IF(K430="","",INDEX(Интервалы!$F$2:$F$513,MATCH(K430,Интервалы!$G$2:$G$513,0)))</f>
        <v/>
      </c>
      <c r="J430" s="8" t="str">
        <f>IF(K430="","",INDEX(Интервалы!$H$2:$H$513,MATCH(K430,Интервалы!$G$2:$G$513,0)))</f>
        <v/>
      </c>
      <c r="K430" t="str">
        <f>IFERROR(SMALL(Интервалы!$G$2:$G$513,424),"")</f>
        <v/>
      </c>
      <c r="L430" t="str">
        <f>IF(K430="","",INDEX(Интервалы!$B$2:$B$513,MATCH(K430,Интервалы!$G$2:$G$513,0)))</f>
        <v/>
      </c>
    </row>
    <row r="431" spans="1:12" x14ac:dyDescent="0.3">
      <c r="A431" s="4" t="str">
        <f>IF(K431="","",425)</f>
        <v/>
      </c>
      <c r="B431" s="4" t="str">
        <f>IF(K431="","",INDEX(Интервалы!$A$2:$A$513,MATCH(K431,Интервалы!$G$2:$G$513,0)))</f>
        <v/>
      </c>
      <c r="C431" s="17" t="str">
        <f>IF(K431="","",INDEX(Интервалы!$C$2:$C$513,MATCH(K431,Интервалы!$G$2:$G$513,0)))</f>
        <v/>
      </c>
      <c r="D431" s="17" t="str">
        <f>IF(K431="","",INDEX(Интервалы!$D$2:$D$513,MATCH(K431,Интервалы!$G$2:$G$513,0)))</f>
        <v/>
      </c>
      <c r="E431" s="4" t="str">
        <f t="shared" si="6"/>
        <v/>
      </c>
      <c r="F431" s="8" t="str">
        <f>IF(K431="","",INDEX(Интервалы!$E$2:$E$513,MATCH(K431,Интервалы!$G$2:$G$513,0)))</f>
        <v/>
      </c>
      <c r="G431" s="18" t="str">
        <f>IF(K431="","",IF(H431=1,INDEX('По дням'!$B$2:$B$4000,MATCH(C431,'По дням'!$A$2:$A$4000,0)),"по периодам ставки"))</f>
        <v/>
      </c>
      <c r="H431" s="4" t="str">
        <f>IF(K431="","",INDEX(Интервалы!$I$2:$I$513,MATCH(K431,Интервалы!$G$2:$G$513,0)))</f>
        <v/>
      </c>
      <c r="I431" s="8" t="str">
        <f>IF(K431="","",INDEX(Интервалы!$F$2:$F$513,MATCH(K431,Интервалы!$G$2:$G$513,0)))</f>
        <v/>
      </c>
      <c r="J431" s="8" t="str">
        <f>IF(K431="","",INDEX(Интервалы!$H$2:$H$513,MATCH(K431,Интервалы!$G$2:$G$513,0)))</f>
        <v/>
      </c>
      <c r="K431" t="str">
        <f>IFERROR(SMALL(Интервалы!$G$2:$G$513,425),"")</f>
        <v/>
      </c>
      <c r="L431" t="str">
        <f>IF(K431="","",INDEX(Интервалы!$B$2:$B$513,MATCH(K431,Интервалы!$G$2:$G$513,0)))</f>
        <v/>
      </c>
    </row>
    <row r="432" spans="1:12" x14ac:dyDescent="0.3">
      <c r="A432" s="4" t="str">
        <f>IF(K432="","",426)</f>
        <v/>
      </c>
      <c r="B432" s="4" t="str">
        <f>IF(K432="","",INDEX(Интервалы!$A$2:$A$513,MATCH(K432,Интервалы!$G$2:$G$513,0)))</f>
        <v/>
      </c>
      <c r="C432" s="17" t="str">
        <f>IF(K432="","",INDEX(Интервалы!$C$2:$C$513,MATCH(K432,Интервалы!$G$2:$G$513,0)))</f>
        <v/>
      </c>
      <c r="D432" s="17" t="str">
        <f>IF(K432="","",INDEX(Интервалы!$D$2:$D$513,MATCH(K432,Интервалы!$G$2:$G$513,0)))</f>
        <v/>
      </c>
      <c r="E432" s="4" t="str">
        <f t="shared" si="6"/>
        <v/>
      </c>
      <c r="F432" s="8" t="str">
        <f>IF(K432="","",INDEX(Интервалы!$E$2:$E$513,MATCH(K432,Интервалы!$G$2:$G$513,0)))</f>
        <v/>
      </c>
      <c r="G432" s="18" t="str">
        <f>IF(K432="","",IF(H432=1,INDEX('По дням'!$B$2:$B$4000,MATCH(C432,'По дням'!$A$2:$A$4000,0)),"по периодам ставки"))</f>
        <v/>
      </c>
      <c r="H432" s="4" t="str">
        <f>IF(K432="","",INDEX(Интервалы!$I$2:$I$513,MATCH(K432,Интервалы!$G$2:$G$513,0)))</f>
        <v/>
      </c>
      <c r="I432" s="8" t="str">
        <f>IF(K432="","",INDEX(Интервалы!$F$2:$F$513,MATCH(K432,Интервалы!$G$2:$G$513,0)))</f>
        <v/>
      </c>
      <c r="J432" s="8" t="str">
        <f>IF(K432="","",INDEX(Интервалы!$H$2:$H$513,MATCH(K432,Интервалы!$G$2:$G$513,0)))</f>
        <v/>
      </c>
      <c r="K432" t="str">
        <f>IFERROR(SMALL(Интервалы!$G$2:$G$513,426),"")</f>
        <v/>
      </c>
      <c r="L432" t="str">
        <f>IF(K432="","",INDEX(Интервалы!$B$2:$B$513,MATCH(K432,Интервалы!$G$2:$G$513,0)))</f>
        <v/>
      </c>
    </row>
    <row r="433" spans="1:12" x14ac:dyDescent="0.3">
      <c r="A433" s="4" t="str">
        <f>IF(K433="","",427)</f>
        <v/>
      </c>
      <c r="B433" s="4" t="str">
        <f>IF(K433="","",INDEX(Интервалы!$A$2:$A$513,MATCH(K433,Интервалы!$G$2:$G$513,0)))</f>
        <v/>
      </c>
      <c r="C433" s="17" t="str">
        <f>IF(K433="","",INDEX(Интервалы!$C$2:$C$513,MATCH(K433,Интервалы!$G$2:$G$513,0)))</f>
        <v/>
      </c>
      <c r="D433" s="17" t="str">
        <f>IF(K433="","",INDEX(Интервалы!$D$2:$D$513,MATCH(K433,Интервалы!$G$2:$G$513,0)))</f>
        <v/>
      </c>
      <c r="E433" s="4" t="str">
        <f t="shared" si="6"/>
        <v/>
      </c>
      <c r="F433" s="8" t="str">
        <f>IF(K433="","",INDEX(Интервалы!$E$2:$E$513,MATCH(K433,Интервалы!$G$2:$G$513,0)))</f>
        <v/>
      </c>
      <c r="G433" s="18" t="str">
        <f>IF(K433="","",IF(H433=1,INDEX('По дням'!$B$2:$B$4000,MATCH(C433,'По дням'!$A$2:$A$4000,0)),"по периодам ставки"))</f>
        <v/>
      </c>
      <c r="H433" s="4" t="str">
        <f>IF(K433="","",INDEX(Интервалы!$I$2:$I$513,MATCH(K433,Интервалы!$G$2:$G$513,0)))</f>
        <v/>
      </c>
      <c r="I433" s="8" t="str">
        <f>IF(K433="","",INDEX(Интервалы!$F$2:$F$513,MATCH(K433,Интервалы!$G$2:$G$513,0)))</f>
        <v/>
      </c>
      <c r="J433" s="8" t="str">
        <f>IF(K433="","",INDEX(Интервалы!$H$2:$H$513,MATCH(K433,Интервалы!$G$2:$G$513,0)))</f>
        <v/>
      </c>
      <c r="K433" t="str">
        <f>IFERROR(SMALL(Интервалы!$G$2:$G$513,427),"")</f>
        <v/>
      </c>
      <c r="L433" t="str">
        <f>IF(K433="","",INDEX(Интервалы!$B$2:$B$513,MATCH(K433,Интервалы!$G$2:$G$513,0)))</f>
        <v/>
      </c>
    </row>
    <row r="434" spans="1:12" x14ac:dyDescent="0.3">
      <c r="A434" s="4" t="str">
        <f>IF(K434="","",428)</f>
        <v/>
      </c>
      <c r="B434" s="4" t="str">
        <f>IF(K434="","",INDEX(Интервалы!$A$2:$A$513,MATCH(K434,Интервалы!$G$2:$G$513,0)))</f>
        <v/>
      </c>
      <c r="C434" s="17" t="str">
        <f>IF(K434="","",INDEX(Интервалы!$C$2:$C$513,MATCH(K434,Интервалы!$G$2:$G$513,0)))</f>
        <v/>
      </c>
      <c r="D434" s="17" t="str">
        <f>IF(K434="","",INDEX(Интервалы!$D$2:$D$513,MATCH(K434,Интервалы!$G$2:$G$513,0)))</f>
        <v/>
      </c>
      <c r="E434" s="4" t="str">
        <f t="shared" si="6"/>
        <v/>
      </c>
      <c r="F434" s="8" t="str">
        <f>IF(K434="","",INDEX(Интервалы!$E$2:$E$513,MATCH(K434,Интервалы!$G$2:$G$513,0)))</f>
        <v/>
      </c>
      <c r="G434" s="18" t="str">
        <f>IF(K434="","",IF(H434=1,INDEX('По дням'!$B$2:$B$4000,MATCH(C434,'По дням'!$A$2:$A$4000,0)),"по периодам ставки"))</f>
        <v/>
      </c>
      <c r="H434" s="4" t="str">
        <f>IF(K434="","",INDEX(Интервалы!$I$2:$I$513,MATCH(K434,Интервалы!$G$2:$G$513,0)))</f>
        <v/>
      </c>
      <c r="I434" s="8" t="str">
        <f>IF(K434="","",INDEX(Интервалы!$F$2:$F$513,MATCH(K434,Интервалы!$G$2:$G$513,0)))</f>
        <v/>
      </c>
      <c r="J434" s="8" t="str">
        <f>IF(K434="","",INDEX(Интервалы!$H$2:$H$513,MATCH(K434,Интервалы!$G$2:$G$513,0)))</f>
        <v/>
      </c>
      <c r="K434" t="str">
        <f>IFERROR(SMALL(Интервалы!$G$2:$G$513,428),"")</f>
        <v/>
      </c>
      <c r="L434" t="str">
        <f>IF(K434="","",INDEX(Интервалы!$B$2:$B$513,MATCH(K434,Интервалы!$G$2:$G$513,0)))</f>
        <v/>
      </c>
    </row>
    <row r="435" spans="1:12" x14ac:dyDescent="0.3">
      <c r="A435" s="4" t="str">
        <f>IF(K435="","",429)</f>
        <v/>
      </c>
      <c r="B435" s="4" t="str">
        <f>IF(K435="","",INDEX(Интервалы!$A$2:$A$513,MATCH(K435,Интервалы!$G$2:$G$513,0)))</f>
        <v/>
      </c>
      <c r="C435" s="17" t="str">
        <f>IF(K435="","",INDEX(Интервалы!$C$2:$C$513,MATCH(K435,Интервалы!$G$2:$G$513,0)))</f>
        <v/>
      </c>
      <c r="D435" s="17" t="str">
        <f>IF(K435="","",INDEX(Интервалы!$D$2:$D$513,MATCH(K435,Интервалы!$G$2:$G$513,0)))</f>
        <v/>
      </c>
      <c r="E435" s="4" t="str">
        <f t="shared" si="6"/>
        <v/>
      </c>
      <c r="F435" s="8" t="str">
        <f>IF(K435="","",INDEX(Интервалы!$E$2:$E$513,MATCH(K435,Интервалы!$G$2:$G$513,0)))</f>
        <v/>
      </c>
      <c r="G435" s="18" t="str">
        <f>IF(K435="","",IF(H435=1,INDEX('По дням'!$B$2:$B$4000,MATCH(C435,'По дням'!$A$2:$A$4000,0)),"по периодам ставки"))</f>
        <v/>
      </c>
      <c r="H435" s="4" t="str">
        <f>IF(K435="","",INDEX(Интервалы!$I$2:$I$513,MATCH(K435,Интервалы!$G$2:$G$513,0)))</f>
        <v/>
      </c>
      <c r="I435" s="8" t="str">
        <f>IF(K435="","",INDEX(Интервалы!$F$2:$F$513,MATCH(K435,Интервалы!$G$2:$G$513,0)))</f>
        <v/>
      </c>
      <c r="J435" s="8" t="str">
        <f>IF(K435="","",INDEX(Интервалы!$H$2:$H$513,MATCH(K435,Интервалы!$G$2:$G$513,0)))</f>
        <v/>
      </c>
      <c r="K435" t="str">
        <f>IFERROR(SMALL(Интервалы!$G$2:$G$513,429),"")</f>
        <v/>
      </c>
      <c r="L435" t="str">
        <f>IF(K435="","",INDEX(Интервалы!$B$2:$B$513,MATCH(K435,Интервалы!$G$2:$G$513,0)))</f>
        <v/>
      </c>
    </row>
    <row r="436" spans="1:12" x14ac:dyDescent="0.3">
      <c r="A436" s="4" t="str">
        <f>IF(K436="","",430)</f>
        <v/>
      </c>
      <c r="B436" s="4" t="str">
        <f>IF(K436="","",INDEX(Интервалы!$A$2:$A$513,MATCH(K436,Интервалы!$G$2:$G$513,0)))</f>
        <v/>
      </c>
      <c r="C436" s="17" t="str">
        <f>IF(K436="","",INDEX(Интервалы!$C$2:$C$513,MATCH(K436,Интервалы!$G$2:$G$513,0)))</f>
        <v/>
      </c>
      <c r="D436" s="17" t="str">
        <f>IF(K436="","",INDEX(Интервалы!$D$2:$D$513,MATCH(K436,Интервалы!$G$2:$G$513,0)))</f>
        <v/>
      </c>
      <c r="E436" s="4" t="str">
        <f t="shared" si="6"/>
        <v/>
      </c>
      <c r="F436" s="8" t="str">
        <f>IF(K436="","",INDEX(Интервалы!$E$2:$E$513,MATCH(K436,Интервалы!$G$2:$G$513,0)))</f>
        <v/>
      </c>
      <c r="G436" s="18" t="str">
        <f>IF(K436="","",IF(H436=1,INDEX('По дням'!$B$2:$B$4000,MATCH(C436,'По дням'!$A$2:$A$4000,0)),"по периодам ставки"))</f>
        <v/>
      </c>
      <c r="H436" s="4" t="str">
        <f>IF(K436="","",INDEX(Интервалы!$I$2:$I$513,MATCH(K436,Интервалы!$G$2:$G$513,0)))</f>
        <v/>
      </c>
      <c r="I436" s="8" t="str">
        <f>IF(K436="","",INDEX(Интервалы!$F$2:$F$513,MATCH(K436,Интервалы!$G$2:$G$513,0)))</f>
        <v/>
      </c>
      <c r="J436" s="8" t="str">
        <f>IF(K436="","",INDEX(Интервалы!$H$2:$H$513,MATCH(K436,Интервалы!$G$2:$G$513,0)))</f>
        <v/>
      </c>
      <c r="K436" t="str">
        <f>IFERROR(SMALL(Интервалы!$G$2:$G$513,430),"")</f>
        <v/>
      </c>
      <c r="L436" t="str">
        <f>IF(K436="","",INDEX(Интервалы!$B$2:$B$513,MATCH(K436,Интервалы!$G$2:$G$513,0)))</f>
        <v/>
      </c>
    </row>
    <row r="437" spans="1:12" x14ac:dyDescent="0.3">
      <c r="A437" s="4" t="str">
        <f>IF(K437="","",431)</f>
        <v/>
      </c>
      <c r="B437" s="4" t="str">
        <f>IF(K437="","",INDEX(Интервалы!$A$2:$A$513,MATCH(K437,Интервалы!$G$2:$G$513,0)))</f>
        <v/>
      </c>
      <c r="C437" s="17" t="str">
        <f>IF(K437="","",INDEX(Интервалы!$C$2:$C$513,MATCH(K437,Интервалы!$G$2:$G$513,0)))</f>
        <v/>
      </c>
      <c r="D437" s="17" t="str">
        <f>IF(K437="","",INDEX(Интервалы!$D$2:$D$513,MATCH(K437,Интервалы!$G$2:$G$513,0)))</f>
        <v/>
      </c>
      <c r="E437" s="4" t="str">
        <f t="shared" si="6"/>
        <v/>
      </c>
      <c r="F437" s="8" t="str">
        <f>IF(K437="","",INDEX(Интервалы!$E$2:$E$513,MATCH(K437,Интервалы!$G$2:$G$513,0)))</f>
        <v/>
      </c>
      <c r="G437" s="18" t="str">
        <f>IF(K437="","",IF(H437=1,INDEX('По дням'!$B$2:$B$4000,MATCH(C437,'По дням'!$A$2:$A$4000,0)),"по периодам ставки"))</f>
        <v/>
      </c>
      <c r="H437" s="4" t="str">
        <f>IF(K437="","",INDEX(Интервалы!$I$2:$I$513,MATCH(K437,Интервалы!$G$2:$G$513,0)))</f>
        <v/>
      </c>
      <c r="I437" s="8" t="str">
        <f>IF(K437="","",INDEX(Интервалы!$F$2:$F$513,MATCH(K437,Интервалы!$G$2:$G$513,0)))</f>
        <v/>
      </c>
      <c r="J437" s="8" t="str">
        <f>IF(K437="","",INDEX(Интервалы!$H$2:$H$513,MATCH(K437,Интервалы!$G$2:$G$513,0)))</f>
        <v/>
      </c>
      <c r="K437" t="str">
        <f>IFERROR(SMALL(Интервалы!$G$2:$G$513,431),"")</f>
        <v/>
      </c>
      <c r="L437" t="str">
        <f>IF(K437="","",INDEX(Интервалы!$B$2:$B$513,MATCH(K437,Интервалы!$G$2:$G$513,0)))</f>
        <v/>
      </c>
    </row>
    <row r="438" spans="1:12" x14ac:dyDescent="0.3">
      <c r="A438" s="4" t="str">
        <f>IF(K438="","",432)</f>
        <v/>
      </c>
      <c r="B438" s="4" t="str">
        <f>IF(K438="","",INDEX(Интервалы!$A$2:$A$513,MATCH(K438,Интервалы!$G$2:$G$513,0)))</f>
        <v/>
      </c>
      <c r="C438" s="17" t="str">
        <f>IF(K438="","",INDEX(Интервалы!$C$2:$C$513,MATCH(K438,Интервалы!$G$2:$G$513,0)))</f>
        <v/>
      </c>
      <c r="D438" s="17" t="str">
        <f>IF(K438="","",INDEX(Интервалы!$D$2:$D$513,MATCH(K438,Интервалы!$G$2:$G$513,0)))</f>
        <v/>
      </c>
      <c r="E438" s="4" t="str">
        <f t="shared" si="6"/>
        <v/>
      </c>
      <c r="F438" s="8" t="str">
        <f>IF(K438="","",INDEX(Интервалы!$E$2:$E$513,MATCH(K438,Интервалы!$G$2:$G$513,0)))</f>
        <v/>
      </c>
      <c r="G438" s="18" t="str">
        <f>IF(K438="","",IF(H438=1,INDEX('По дням'!$B$2:$B$4000,MATCH(C438,'По дням'!$A$2:$A$4000,0)),"по периодам ставки"))</f>
        <v/>
      </c>
      <c r="H438" s="4" t="str">
        <f>IF(K438="","",INDEX(Интервалы!$I$2:$I$513,MATCH(K438,Интервалы!$G$2:$G$513,0)))</f>
        <v/>
      </c>
      <c r="I438" s="8" t="str">
        <f>IF(K438="","",INDEX(Интервалы!$F$2:$F$513,MATCH(K438,Интервалы!$G$2:$G$513,0)))</f>
        <v/>
      </c>
      <c r="J438" s="8" t="str">
        <f>IF(K438="","",INDEX(Интервалы!$H$2:$H$513,MATCH(K438,Интервалы!$G$2:$G$513,0)))</f>
        <v/>
      </c>
      <c r="K438" t="str">
        <f>IFERROR(SMALL(Интервалы!$G$2:$G$513,432),"")</f>
        <v/>
      </c>
      <c r="L438" t="str">
        <f>IF(K438="","",INDEX(Интервалы!$B$2:$B$513,MATCH(K438,Интервалы!$G$2:$G$513,0)))</f>
        <v/>
      </c>
    </row>
    <row r="439" spans="1:12" x14ac:dyDescent="0.3">
      <c r="A439" s="4" t="str">
        <f>IF(K439="","",433)</f>
        <v/>
      </c>
      <c r="B439" s="4" t="str">
        <f>IF(K439="","",INDEX(Интервалы!$A$2:$A$513,MATCH(K439,Интервалы!$G$2:$G$513,0)))</f>
        <v/>
      </c>
      <c r="C439" s="17" t="str">
        <f>IF(K439="","",INDEX(Интервалы!$C$2:$C$513,MATCH(K439,Интервалы!$G$2:$G$513,0)))</f>
        <v/>
      </c>
      <c r="D439" s="17" t="str">
        <f>IF(K439="","",INDEX(Интервалы!$D$2:$D$513,MATCH(K439,Интервалы!$G$2:$G$513,0)))</f>
        <v/>
      </c>
      <c r="E439" s="4" t="str">
        <f t="shared" si="6"/>
        <v/>
      </c>
      <c r="F439" s="8" t="str">
        <f>IF(K439="","",INDEX(Интервалы!$E$2:$E$513,MATCH(K439,Интервалы!$G$2:$G$513,0)))</f>
        <v/>
      </c>
      <c r="G439" s="18" t="str">
        <f>IF(K439="","",IF(H439=1,INDEX('По дням'!$B$2:$B$4000,MATCH(C439,'По дням'!$A$2:$A$4000,0)),"по периодам ставки"))</f>
        <v/>
      </c>
      <c r="H439" s="4" t="str">
        <f>IF(K439="","",INDEX(Интервалы!$I$2:$I$513,MATCH(K439,Интервалы!$G$2:$G$513,0)))</f>
        <v/>
      </c>
      <c r="I439" s="8" t="str">
        <f>IF(K439="","",INDEX(Интервалы!$F$2:$F$513,MATCH(K439,Интервалы!$G$2:$G$513,0)))</f>
        <v/>
      </c>
      <c r="J439" s="8" t="str">
        <f>IF(K439="","",INDEX(Интервалы!$H$2:$H$513,MATCH(K439,Интервалы!$G$2:$G$513,0)))</f>
        <v/>
      </c>
      <c r="K439" t="str">
        <f>IFERROR(SMALL(Интервалы!$G$2:$G$513,433),"")</f>
        <v/>
      </c>
      <c r="L439" t="str">
        <f>IF(K439="","",INDEX(Интервалы!$B$2:$B$513,MATCH(K439,Интервалы!$G$2:$G$513,0)))</f>
        <v/>
      </c>
    </row>
    <row r="440" spans="1:12" x14ac:dyDescent="0.3">
      <c r="A440" s="4" t="str">
        <f>IF(K440="","",434)</f>
        <v/>
      </c>
      <c r="B440" s="4" t="str">
        <f>IF(K440="","",INDEX(Интервалы!$A$2:$A$513,MATCH(K440,Интервалы!$G$2:$G$513,0)))</f>
        <v/>
      </c>
      <c r="C440" s="17" t="str">
        <f>IF(K440="","",INDEX(Интервалы!$C$2:$C$513,MATCH(K440,Интервалы!$G$2:$G$513,0)))</f>
        <v/>
      </c>
      <c r="D440" s="17" t="str">
        <f>IF(K440="","",INDEX(Интервалы!$D$2:$D$513,MATCH(K440,Интервалы!$G$2:$G$513,0)))</f>
        <v/>
      </c>
      <c r="E440" s="4" t="str">
        <f t="shared" si="6"/>
        <v/>
      </c>
      <c r="F440" s="8" t="str">
        <f>IF(K440="","",INDEX(Интервалы!$E$2:$E$513,MATCH(K440,Интервалы!$G$2:$G$513,0)))</f>
        <v/>
      </c>
      <c r="G440" s="18" t="str">
        <f>IF(K440="","",IF(H440=1,INDEX('По дням'!$B$2:$B$4000,MATCH(C440,'По дням'!$A$2:$A$4000,0)),"по периодам ставки"))</f>
        <v/>
      </c>
      <c r="H440" s="4" t="str">
        <f>IF(K440="","",INDEX(Интервалы!$I$2:$I$513,MATCH(K440,Интервалы!$G$2:$G$513,0)))</f>
        <v/>
      </c>
      <c r="I440" s="8" t="str">
        <f>IF(K440="","",INDEX(Интервалы!$F$2:$F$513,MATCH(K440,Интервалы!$G$2:$G$513,0)))</f>
        <v/>
      </c>
      <c r="J440" s="8" t="str">
        <f>IF(K440="","",INDEX(Интервалы!$H$2:$H$513,MATCH(K440,Интервалы!$G$2:$G$513,0)))</f>
        <v/>
      </c>
      <c r="K440" t="str">
        <f>IFERROR(SMALL(Интервалы!$G$2:$G$513,434),"")</f>
        <v/>
      </c>
      <c r="L440" t="str">
        <f>IF(K440="","",INDEX(Интервалы!$B$2:$B$513,MATCH(K440,Интервалы!$G$2:$G$513,0)))</f>
        <v/>
      </c>
    </row>
    <row r="441" spans="1:12" x14ac:dyDescent="0.3">
      <c r="A441" s="4" t="str">
        <f>IF(K441="","",435)</f>
        <v/>
      </c>
      <c r="B441" s="4" t="str">
        <f>IF(K441="","",INDEX(Интервалы!$A$2:$A$513,MATCH(K441,Интервалы!$G$2:$G$513,0)))</f>
        <v/>
      </c>
      <c r="C441" s="17" t="str">
        <f>IF(K441="","",INDEX(Интервалы!$C$2:$C$513,MATCH(K441,Интервалы!$G$2:$G$513,0)))</f>
        <v/>
      </c>
      <c r="D441" s="17" t="str">
        <f>IF(K441="","",INDEX(Интервалы!$D$2:$D$513,MATCH(K441,Интервалы!$G$2:$G$513,0)))</f>
        <v/>
      </c>
      <c r="E441" s="4" t="str">
        <f t="shared" si="6"/>
        <v/>
      </c>
      <c r="F441" s="8" t="str">
        <f>IF(K441="","",INDEX(Интервалы!$E$2:$E$513,MATCH(K441,Интервалы!$G$2:$G$513,0)))</f>
        <v/>
      </c>
      <c r="G441" s="18" t="str">
        <f>IF(K441="","",IF(H441=1,INDEX('По дням'!$B$2:$B$4000,MATCH(C441,'По дням'!$A$2:$A$4000,0)),"по периодам ставки"))</f>
        <v/>
      </c>
      <c r="H441" s="4" t="str">
        <f>IF(K441="","",INDEX(Интервалы!$I$2:$I$513,MATCH(K441,Интервалы!$G$2:$G$513,0)))</f>
        <v/>
      </c>
      <c r="I441" s="8" t="str">
        <f>IF(K441="","",INDEX(Интервалы!$F$2:$F$513,MATCH(K441,Интервалы!$G$2:$G$513,0)))</f>
        <v/>
      </c>
      <c r="J441" s="8" t="str">
        <f>IF(K441="","",INDEX(Интервалы!$H$2:$H$513,MATCH(K441,Интервалы!$G$2:$G$513,0)))</f>
        <v/>
      </c>
      <c r="K441" t="str">
        <f>IFERROR(SMALL(Интервалы!$G$2:$G$513,435),"")</f>
        <v/>
      </c>
      <c r="L441" t="str">
        <f>IF(K441="","",INDEX(Интервалы!$B$2:$B$513,MATCH(K441,Интервалы!$G$2:$G$513,0)))</f>
        <v/>
      </c>
    </row>
    <row r="442" spans="1:12" x14ac:dyDescent="0.3">
      <c r="A442" s="4" t="str">
        <f>IF(K442="","",436)</f>
        <v/>
      </c>
      <c r="B442" s="4" t="str">
        <f>IF(K442="","",INDEX(Интервалы!$A$2:$A$513,MATCH(K442,Интервалы!$G$2:$G$513,0)))</f>
        <v/>
      </c>
      <c r="C442" s="17" t="str">
        <f>IF(K442="","",INDEX(Интервалы!$C$2:$C$513,MATCH(K442,Интервалы!$G$2:$G$513,0)))</f>
        <v/>
      </c>
      <c r="D442" s="17" t="str">
        <f>IF(K442="","",INDEX(Интервалы!$D$2:$D$513,MATCH(K442,Интервалы!$G$2:$G$513,0)))</f>
        <v/>
      </c>
      <c r="E442" s="4" t="str">
        <f t="shared" si="6"/>
        <v/>
      </c>
      <c r="F442" s="8" t="str">
        <f>IF(K442="","",INDEX(Интервалы!$E$2:$E$513,MATCH(K442,Интервалы!$G$2:$G$513,0)))</f>
        <v/>
      </c>
      <c r="G442" s="18" t="str">
        <f>IF(K442="","",IF(H442=1,INDEX('По дням'!$B$2:$B$4000,MATCH(C442,'По дням'!$A$2:$A$4000,0)),"по периодам ставки"))</f>
        <v/>
      </c>
      <c r="H442" s="4" t="str">
        <f>IF(K442="","",INDEX(Интервалы!$I$2:$I$513,MATCH(K442,Интервалы!$G$2:$G$513,0)))</f>
        <v/>
      </c>
      <c r="I442" s="8" t="str">
        <f>IF(K442="","",INDEX(Интервалы!$F$2:$F$513,MATCH(K442,Интервалы!$G$2:$G$513,0)))</f>
        <v/>
      </c>
      <c r="J442" s="8" t="str">
        <f>IF(K442="","",INDEX(Интервалы!$H$2:$H$513,MATCH(K442,Интервалы!$G$2:$G$513,0)))</f>
        <v/>
      </c>
      <c r="K442" t="str">
        <f>IFERROR(SMALL(Интервалы!$G$2:$G$513,436),"")</f>
        <v/>
      </c>
      <c r="L442" t="str">
        <f>IF(K442="","",INDEX(Интервалы!$B$2:$B$513,MATCH(K442,Интервалы!$G$2:$G$513,0)))</f>
        <v/>
      </c>
    </row>
    <row r="443" spans="1:12" x14ac:dyDescent="0.3">
      <c r="A443" s="4" t="str">
        <f>IF(K443="","",437)</f>
        <v/>
      </c>
      <c r="B443" s="4" t="str">
        <f>IF(K443="","",INDEX(Интервалы!$A$2:$A$513,MATCH(K443,Интервалы!$G$2:$G$513,0)))</f>
        <v/>
      </c>
      <c r="C443" s="17" t="str">
        <f>IF(K443="","",INDEX(Интервалы!$C$2:$C$513,MATCH(K443,Интервалы!$G$2:$G$513,0)))</f>
        <v/>
      </c>
      <c r="D443" s="17" t="str">
        <f>IF(K443="","",INDEX(Интервалы!$D$2:$D$513,MATCH(K443,Интервалы!$G$2:$G$513,0)))</f>
        <v/>
      </c>
      <c r="E443" s="4" t="str">
        <f t="shared" si="6"/>
        <v/>
      </c>
      <c r="F443" s="8" t="str">
        <f>IF(K443="","",INDEX(Интервалы!$E$2:$E$513,MATCH(K443,Интервалы!$G$2:$G$513,0)))</f>
        <v/>
      </c>
      <c r="G443" s="18" t="str">
        <f>IF(K443="","",IF(H443=1,INDEX('По дням'!$B$2:$B$4000,MATCH(C443,'По дням'!$A$2:$A$4000,0)),"по периодам ставки"))</f>
        <v/>
      </c>
      <c r="H443" s="4" t="str">
        <f>IF(K443="","",INDEX(Интервалы!$I$2:$I$513,MATCH(K443,Интервалы!$G$2:$G$513,0)))</f>
        <v/>
      </c>
      <c r="I443" s="8" t="str">
        <f>IF(K443="","",INDEX(Интервалы!$F$2:$F$513,MATCH(K443,Интервалы!$G$2:$G$513,0)))</f>
        <v/>
      </c>
      <c r="J443" s="8" t="str">
        <f>IF(K443="","",INDEX(Интервалы!$H$2:$H$513,MATCH(K443,Интервалы!$G$2:$G$513,0)))</f>
        <v/>
      </c>
      <c r="K443" t="str">
        <f>IFERROR(SMALL(Интервалы!$G$2:$G$513,437),"")</f>
        <v/>
      </c>
      <c r="L443" t="str">
        <f>IF(K443="","",INDEX(Интервалы!$B$2:$B$513,MATCH(K443,Интервалы!$G$2:$G$513,0)))</f>
        <v/>
      </c>
    </row>
    <row r="444" spans="1:12" x14ac:dyDescent="0.3">
      <c r="A444" s="4" t="str">
        <f>IF(K444="","",438)</f>
        <v/>
      </c>
      <c r="B444" s="4" t="str">
        <f>IF(K444="","",INDEX(Интервалы!$A$2:$A$513,MATCH(K444,Интервалы!$G$2:$G$513,0)))</f>
        <v/>
      </c>
      <c r="C444" s="17" t="str">
        <f>IF(K444="","",INDEX(Интервалы!$C$2:$C$513,MATCH(K444,Интервалы!$G$2:$G$513,0)))</f>
        <v/>
      </c>
      <c r="D444" s="17" t="str">
        <f>IF(K444="","",INDEX(Интервалы!$D$2:$D$513,MATCH(K444,Интервалы!$G$2:$G$513,0)))</f>
        <v/>
      </c>
      <c r="E444" s="4" t="str">
        <f t="shared" si="6"/>
        <v/>
      </c>
      <c r="F444" s="8" t="str">
        <f>IF(K444="","",INDEX(Интервалы!$E$2:$E$513,MATCH(K444,Интервалы!$G$2:$G$513,0)))</f>
        <v/>
      </c>
      <c r="G444" s="18" t="str">
        <f>IF(K444="","",IF(H444=1,INDEX('По дням'!$B$2:$B$4000,MATCH(C444,'По дням'!$A$2:$A$4000,0)),"по периодам ставки"))</f>
        <v/>
      </c>
      <c r="H444" s="4" t="str">
        <f>IF(K444="","",INDEX(Интервалы!$I$2:$I$513,MATCH(K444,Интервалы!$G$2:$G$513,0)))</f>
        <v/>
      </c>
      <c r="I444" s="8" t="str">
        <f>IF(K444="","",INDEX(Интервалы!$F$2:$F$513,MATCH(K444,Интервалы!$G$2:$G$513,0)))</f>
        <v/>
      </c>
      <c r="J444" s="8" t="str">
        <f>IF(K444="","",INDEX(Интервалы!$H$2:$H$513,MATCH(K444,Интервалы!$G$2:$G$513,0)))</f>
        <v/>
      </c>
      <c r="K444" t="str">
        <f>IFERROR(SMALL(Интервалы!$G$2:$G$513,438),"")</f>
        <v/>
      </c>
      <c r="L444" t="str">
        <f>IF(K444="","",INDEX(Интервалы!$B$2:$B$513,MATCH(K444,Интервалы!$G$2:$G$513,0)))</f>
        <v/>
      </c>
    </row>
    <row r="445" spans="1:12" x14ac:dyDescent="0.3">
      <c r="A445" s="4" t="str">
        <f>IF(K445="","",439)</f>
        <v/>
      </c>
      <c r="B445" s="4" t="str">
        <f>IF(K445="","",INDEX(Интервалы!$A$2:$A$513,MATCH(K445,Интервалы!$G$2:$G$513,0)))</f>
        <v/>
      </c>
      <c r="C445" s="17" t="str">
        <f>IF(K445="","",INDEX(Интервалы!$C$2:$C$513,MATCH(K445,Интервалы!$G$2:$G$513,0)))</f>
        <v/>
      </c>
      <c r="D445" s="17" t="str">
        <f>IF(K445="","",INDEX(Интервалы!$D$2:$D$513,MATCH(K445,Интервалы!$G$2:$G$513,0)))</f>
        <v/>
      </c>
      <c r="E445" s="4" t="str">
        <f t="shared" si="6"/>
        <v/>
      </c>
      <c r="F445" s="8" t="str">
        <f>IF(K445="","",INDEX(Интервалы!$E$2:$E$513,MATCH(K445,Интервалы!$G$2:$G$513,0)))</f>
        <v/>
      </c>
      <c r="G445" s="18" t="str">
        <f>IF(K445="","",IF(H445=1,INDEX('По дням'!$B$2:$B$4000,MATCH(C445,'По дням'!$A$2:$A$4000,0)),"по периодам ставки"))</f>
        <v/>
      </c>
      <c r="H445" s="4" t="str">
        <f>IF(K445="","",INDEX(Интервалы!$I$2:$I$513,MATCH(K445,Интервалы!$G$2:$G$513,0)))</f>
        <v/>
      </c>
      <c r="I445" s="8" t="str">
        <f>IF(K445="","",INDEX(Интервалы!$F$2:$F$513,MATCH(K445,Интервалы!$G$2:$G$513,0)))</f>
        <v/>
      </c>
      <c r="J445" s="8" t="str">
        <f>IF(K445="","",INDEX(Интервалы!$H$2:$H$513,MATCH(K445,Интервалы!$G$2:$G$513,0)))</f>
        <v/>
      </c>
      <c r="K445" t="str">
        <f>IFERROR(SMALL(Интервалы!$G$2:$G$513,439),"")</f>
        <v/>
      </c>
      <c r="L445" t="str">
        <f>IF(K445="","",INDEX(Интервалы!$B$2:$B$513,MATCH(K445,Интервалы!$G$2:$G$513,0)))</f>
        <v/>
      </c>
    </row>
    <row r="446" spans="1:12" x14ac:dyDescent="0.3">
      <c r="A446" s="4" t="str">
        <f>IF(K446="","",440)</f>
        <v/>
      </c>
      <c r="B446" s="4" t="str">
        <f>IF(K446="","",INDEX(Интервалы!$A$2:$A$513,MATCH(K446,Интервалы!$G$2:$G$513,0)))</f>
        <v/>
      </c>
      <c r="C446" s="17" t="str">
        <f>IF(K446="","",INDEX(Интервалы!$C$2:$C$513,MATCH(K446,Интервалы!$G$2:$G$513,0)))</f>
        <v/>
      </c>
      <c r="D446" s="17" t="str">
        <f>IF(K446="","",INDEX(Интервалы!$D$2:$D$513,MATCH(K446,Интервалы!$G$2:$G$513,0)))</f>
        <v/>
      </c>
      <c r="E446" s="4" t="str">
        <f t="shared" si="6"/>
        <v/>
      </c>
      <c r="F446" s="8" t="str">
        <f>IF(K446="","",INDEX(Интервалы!$E$2:$E$513,MATCH(K446,Интервалы!$G$2:$G$513,0)))</f>
        <v/>
      </c>
      <c r="G446" s="18" t="str">
        <f>IF(K446="","",IF(H446=1,INDEX('По дням'!$B$2:$B$4000,MATCH(C446,'По дням'!$A$2:$A$4000,0)),"по периодам ставки"))</f>
        <v/>
      </c>
      <c r="H446" s="4" t="str">
        <f>IF(K446="","",INDEX(Интервалы!$I$2:$I$513,MATCH(K446,Интервалы!$G$2:$G$513,0)))</f>
        <v/>
      </c>
      <c r="I446" s="8" t="str">
        <f>IF(K446="","",INDEX(Интервалы!$F$2:$F$513,MATCH(K446,Интервалы!$G$2:$G$513,0)))</f>
        <v/>
      </c>
      <c r="J446" s="8" t="str">
        <f>IF(K446="","",INDEX(Интервалы!$H$2:$H$513,MATCH(K446,Интервалы!$G$2:$G$513,0)))</f>
        <v/>
      </c>
      <c r="K446" t="str">
        <f>IFERROR(SMALL(Интервалы!$G$2:$G$513,440),"")</f>
        <v/>
      </c>
      <c r="L446" t="str">
        <f>IF(K446="","",INDEX(Интервалы!$B$2:$B$513,MATCH(K446,Интервалы!$G$2:$G$513,0)))</f>
        <v/>
      </c>
    </row>
    <row r="447" spans="1:12" x14ac:dyDescent="0.3">
      <c r="A447" s="4" t="str">
        <f>IF(K447="","",441)</f>
        <v/>
      </c>
      <c r="B447" s="4" t="str">
        <f>IF(K447="","",INDEX(Интервалы!$A$2:$A$513,MATCH(K447,Интервалы!$G$2:$G$513,0)))</f>
        <v/>
      </c>
      <c r="C447" s="17" t="str">
        <f>IF(K447="","",INDEX(Интервалы!$C$2:$C$513,MATCH(K447,Интервалы!$G$2:$G$513,0)))</f>
        <v/>
      </c>
      <c r="D447" s="17" t="str">
        <f>IF(K447="","",INDEX(Интервалы!$D$2:$D$513,MATCH(K447,Интервалы!$G$2:$G$513,0)))</f>
        <v/>
      </c>
      <c r="E447" s="4" t="str">
        <f t="shared" si="6"/>
        <v/>
      </c>
      <c r="F447" s="8" t="str">
        <f>IF(K447="","",INDEX(Интервалы!$E$2:$E$513,MATCH(K447,Интервалы!$G$2:$G$513,0)))</f>
        <v/>
      </c>
      <c r="G447" s="18" t="str">
        <f>IF(K447="","",IF(H447=1,INDEX('По дням'!$B$2:$B$4000,MATCH(C447,'По дням'!$A$2:$A$4000,0)),"по периодам ставки"))</f>
        <v/>
      </c>
      <c r="H447" s="4" t="str">
        <f>IF(K447="","",INDEX(Интервалы!$I$2:$I$513,MATCH(K447,Интервалы!$G$2:$G$513,0)))</f>
        <v/>
      </c>
      <c r="I447" s="8" t="str">
        <f>IF(K447="","",INDEX(Интервалы!$F$2:$F$513,MATCH(K447,Интервалы!$G$2:$G$513,0)))</f>
        <v/>
      </c>
      <c r="J447" s="8" t="str">
        <f>IF(K447="","",INDEX(Интервалы!$H$2:$H$513,MATCH(K447,Интервалы!$G$2:$G$513,0)))</f>
        <v/>
      </c>
      <c r="K447" t="str">
        <f>IFERROR(SMALL(Интервалы!$G$2:$G$513,441),"")</f>
        <v/>
      </c>
      <c r="L447" t="str">
        <f>IF(K447="","",INDEX(Интервалы!$B$2:$B$513,MATCH(K447,Интервалы!$G$2:$G$513,0)))</f>
        <v/>
      </c>
    </row>
    <row r="448" spans="1:12" x14ac:dyDescent="0.3">
      <c r="A448" s="4" t="str">
        <f>IF(K448="","",442)</f>
        <v/>
      </c>
      <c r="B448" s="4" t="str">
        <f>IF(K448="","",INDEX(Интервалы!$A$2:$A$513,MATCH(K448,Интервалы!$G$2:$G$513,0)))</f>
        <v/>
      </c>
      <c r="C448" s="17" t="str">
        <f>IF(K448="","",INDEX(Интервалы!$C$2:$C$513,MATCH(K448,Интервалы!$G$2:$G$513,0)))</f>
        <v/>
      </c>
      <c r="D448" s="17" t="str">
        <f>IF(K448="","",INDEX(Интервалы!$D$2:$D$513,MATCH(K448,Интервалы!$G$2:$G$513,0)))</f>
        <v/>
      </c>
      <c r="E448" s="4" t="str">
        <f t="shared" si="6"/>
        <v/>
      </c>
      <c r="F448" s="8" t="str">
        <f>IF(K448="","",INDEX(Интервалы!$E$2:$E$513,MATCH(K448,Интервалы!$G$2:$G$513,0)))</f>
        <v/>
      </c>
      <c r="G448" s="18" t="str">
        <f>IF(K448="","",IF(H448=1,INDEX('По дням'!$B$2:$B$4000,MATCH(C448,'По дням'!$A$2:$A$4000,0)),"по периодам ставки"))</f>
        <v/>
      </c>
      <c r="H448" s="4" t="str">
        <f>IF(K448="","",INDEX(Интервалы!$I$2:$I$513,MATCH(K448,Интервалы!$G$2:$G$513,0)))</f>
        <v/>
      </c>
      <c r="I448" s="8" t="str">
        <f>IF(K448="","",INDEX(Интервалы!$F$2:$F$513,MATCH(K448,Интервалы!$G$2:$G$513,0)))</f>
        <v/>
      </c>
      <c r="J448" s="8" t="str">
        <f>IF(K448="","",INDEX(Интервалы!$H$2:$H$513,MATCH(K448,Интервалы!$G$2:$G$513,0)))</f>
        <v/>
      </c>
      <c r="K448" t="str">
        <f>IFERROR(SMALL(Интервалы!$G$2:$G$513,442),"")</f>
        <v/>
      </c>
      <c r="L448" t="str">
        <f>IF(K448="","",INDEX(Интервалы!$B$2:$B$513,MATCH(K448,Интервалы!$G$2:$G$513,0)))</f>
        <v/>
      </c>
    </row>
    <row r="449" spans="1:12" x14ac:dyDescent="0.3">
      <c r="A449" s="4" t="str">
        <f>IF(K449="","",443)</f>
        <v/>
      </c>
      <c r="B449" s="4" t="str">
        <f>IF(K449="","",INDEX(Интервалы!$A$2:$A$513,MATCH(K449,Интервалы!$G$2:$G$513,0)))</f>
        <v/>
      </c>
      <c r="C449" s="17" t="str">
        <f>IF(K449="","",INDEX(Интервалы!$C$2:$C$513,MATCH(K449,Интервалы!$G$2:$G$513,0)))</f>
        <v/>
      </c>
      <c r="D449" s="17" t="str">
        <f>IF(K449="","",INDEX(Интервалы!$D$2:$D$513,MATCH(K449,Интервалы!$G$2:$G$513,0)))</f>
        <v/>
      </c>
      <c r="E449" s="4" t="str">
        <f t="shared" si="6"/>
        <v/>
      </c>
      <c r="F449" s="8" t="str">
        <f>IF(K449="","",INDEX(Интервалы!$E$2:$E$513,MATCH(K449,Интервалы!$G$2:$G$513,0)))</f>
        <v/>
      </c>
      <c r="G449" s="18" t="str">
        <f>IF(K449="","",IF(H449=1,INDEX('По дням'!$B$2:$B$4000,MATCH(C449,'По дням'!$A$2:$A$4000,0)),"по периодам ставки"))</f>
        <v/>
      </c>
      <c r="H449" s="4" t="str">
        <f>IF(K449="","",INDEX(Интервалы!$I$2:$I$513,MATCH(K449,Интервалы!$G$2:$G$513,0)))</f>
        <v/>
      </c>
      <c r="I449" s="8" t="str">
        <f>IF(K449="","",INDEX(Интервалы!$F$2:$F$513,MATCH(K449,Интервалы!$G$2:$G$513,0)))</f>
        <v/>
      </c>
      <c r="J449" s="8" t="str">
        <f>IF(K449="","",INDEX(Интервалы!$H$2:$H$513,MATCH(K449,Интервалы!$G$2:$G$513,0)))</f>
        <v/>
      </c>
      <c r="K449" t="str">
        <f>IFERROR(SMALL(Интервалы!$G$2:$G$513,443),"")</f>
        <v/>
      </c>
      <c r="L449" t="str">
        <f>IF(K449="","",INDEX(Интервалы!$B$2:$B$513,MATCH(K449,Интервалы!$G$2:$G$513,0)))</f>
        <v/>
      </c>
    </row>
    <row r="450" spans="1:12" x14ac:dyDescent="0.3">
      <c r="A450" s="4" t="str">
        <f>IF(K450="","",444)</f>
        <v/>
      </c>
      <c r="B450" s="4" t="str">
        <f>IF(K450="","",INDEX(Интервалы!$A$2:$A$513,MATCH(K450,Интервалы!$G$2:$G$513,0)))</f>
        <v/>
      </c>
      <c r="C450" s="17" t="str">
        <f>IF(K450="","",INDEX(Интервалы!$C$2:$C$513,MATCH(K450,Интервалы!$G$2:$G$513,0)))</f>
        <v/>
      </c>
      <c r="D450" s="17" t="str">
        <f>IF(K450="","",INDEX(Интервалы!$D$2:$D$513,MATCH(K450,Интервалы!$G$2:$G$513,0)))</f>
        <v/>
      </c>
      <c r="E450" s="4" t="str">
        <f t="shared" si="6"/>
        <v/>
      </c>
      <c r="F450" s="8" t="str">
        <f>IF(K450="","",INDEX(Интервалы!$E$2:$E$513,MATCH(K450,Интервалы!$G$2:$G$513,0)))</f>
        <v/>
      </c>
      <c r="G450" s="18" t="str">
        <f>IF(K450="","",IF(H450=1,INDEX('По дням'!$B$2:$B$4000,MATCH(C450,'По дням'!$A$2:$A$4000,0)),"по периодам ставки"))</f>
        <v/>
      </c>
      <c r="H450" s="4" t="str">
        <f>IF(K450="","",INDEX(Интервалы!$I$2:$I$513,MATCH(K450,Интервалы!$G$2:$G$513,0)))</f>
        <v/>
      </c>
      <c r="I450" s="8" t="str">
        <f>IF(K450="","",INDEX(Интервалы!$F$2:$F$513,MATCH(K450,Интервалы!$G$2:$G$513,0)))</f>
        <v/>
      </c>
      <c r="J450" s="8" t="str">
        <f>IF(K450="","",INDEX(Интервалы!$H$2:$H$513,MATCH(K450,Интервалы!$G$2:$G$513,0)))</f>
        <v/>
      </c>
      <c r="K450" t="str">
        <f>IFERROR(SMALL(Интервалы!$G$2:$G$513,444),"")</f>
        <v/>
      </c>
      <c r="L450" t="str">
        <f>IF(K450="","",INDEX(Интервалы!$B$2:$B$513,MATCH(K450,Интервалы!$G$2:$G$513,0)))</f>
        <v/>
      </c>
    </row>
    <row r="451" spans="1:12" x14ac:dyDescent="0.3">
      <c r="A451" s="4" t="str">
        <f>IF(K451="","",445)</f>
        <v/>
      </c>
      <c r="B451" s="4" t="str">
        <f>IF(K451="","",INDEX(Интервалы!$A$2:$A$513,MATCH(K451,Интервалы!$G$2:$G$513,0)))</f>
        <v/>
      </c>
      <c r="C451" s="17" t="str">
        <f>IF(K451="","",INDEX(Интервалы!$C$2:$C$513,MATCH(K451,Интервалы!$G$2:$G$513,0)))</f>
        <v/>
      </c>
      <c r="D451" s="17" t="str">
        <f>IF(K451="","",INDEX(Интервалы!$D$2:$D$513,MATCH(K451,Интервалы!$G$2:$G$513,0)))</f>
        <v/>
      </c>
      <c r="E451" s="4" t="str">
        <f t="shared" si="6"/>
        <v/>
      </c>
      <c r="F451" s="8" t="str">
        <f>IF(K451="","",INDEX(Интервалы!$E$2:$E$513,MATCH(K451,Интервалы!$G$2:$G$513,0)))</f>
        <v/>
      </c>
      <c r="G451" s="18" t="str">
        <f>IF(K451="","",IF(H451=1,INDEX('По дням'!$B$2:$B$4000,MATCH(C451,'По дням'!$A$2:$A$4000,0)),"по периодам ставки"))</f>
        <v/>
      </c>
      <c r="H451" s="4" t="str">
        <f>IF(K451="","",INDEX(Интервалы!$I$2:$I$513,MATCH(K451,Интервалы!$G$2:$G$513,0)))</f>
        <v/>
      </c>
      <c r="I451" s="8" t="str">
        <f>IF(K451="","",INDEX(Интервалы!$F$2:$F$513,MATCH(K451,Интервалы!$G$2:$G$513,0)))</f>
        <v/>
      </c>
      <c r="J451" s="8" t="str">
        <f>IF(K451="","",INDEX(Интервалы!$H$2:$H$513,MATCH(K451,Интервалы!$G$2:$G$513,0)))</f>
        <v/>
      </c>
      <c r="K451" t="str">
        <f>IFERROR(SMALL(Интервалы!$G$2:$G$513,445),"")</f>
        <v/>
      </c>
      <c r="L451" t="str">
        <f>IF(K451="","",INDEX(Интервалы!$B$2:$B$513,MATCH(K451,Интервалы!$G$2:$G$513,0)))</f>
        <v/>
      </c>
    </row>
    <row r="452" spans="1:12" x14ac:dyDescent="0.3">
      <c r="A452" s="4" t="str">
        <f>IF(K452="","",446)</f>
        <v/>
      </c>
      <c r="B452" s="4" t="str">
        <f>IF(K452="","",INDEX(Интервалы!$A$2:$A$513,MATCH(K452,Интервалы!$G$2:$G$513,0)))</f>
        <v/>
      </c>
      <c r="C452" s="17" t="str">
        <f>IF(K452="","",INDEX(Интервалы!$C$2:$C$513,MATCH(K452,Интервалы!$G$2:$G$513,0)))</f>
        <v/>
      </c>
      <c r="D452" s="17" t="str">
        <f>IF(K452="","",INDEX(Интервалы!$D$2:$D$513,MATCH(K452,Интервалы!$G$2:$G$513,0)))</f>
        <v/>
      </c>
      <c r="E452" s="4" t="str">
        <f t="shared" si="6"/>
        <v/>
      </c>
      <c r="F452" s="8" t="str">
        <f>IF(K452="","",INDEX(Интервалы!$E$2:$E$513,MATCH(K452,Интервалы!$G$2:$G$513,0)))</f>
        <v/>
      </c>
      <c r="G452" s="18" t="str">
        <f>IF(K452="","",IF(H452=1,INDEX('По дням'!$B$2:$B$4000,MATCH(C452,'По дням'!$A$2:$A$4000,0)),"по периодам ставки"))</f>
        <v/>
      </c>
      <c r="H452" s="4" t="str">
        <f>IF(K452="","",INDEX(Интервалы!$I$2:$I$513,MATCH(K452,Интервалы!$G$2:$G$513,0)))</f>
        <v/>
      </c>
      <c r="I452" s="8" t="str">
        <f>IF(K452="","",INDEX(Интервалы!$F$2:$F$513,MATCH(K452,Интервалы!$G$2:$G$513,0)))</f>
        <v/>
      </c>
      <c r="J452" s="8" t="str">
        <f>IF(K452="","",INDEX(Интервалы!$H$2:$H$513,MATCH(K452,Интервалы!$G$2:$G$513,0)))</f>
        <v/>
      </c>
      <c r="K452" t="str">
        <f>IFERROR(SMALL(Интервалы!$G$2:$G$513,446),"")</f>
        <v/>
      </c>
      <c r="L452" t="str">
        <f>IF(K452="","",INDEX(Интервалы!$B$2:$B$513,MATCH(K452,Интервалы!$G$2:$G$513,0)))</f>
        <v/>
      </c>
    </row>
    <row r="453" spans="1:12" x14ac:dyDescent="0.3">
      <c r="A453" s="4" t="str">
        <f>IF(K453="","",447)</f>
        <v/>
      </c>
      <c r="B453" s="4" t="str">
        <f>IF(K453="","",INDEX(Интервалы!$A$2:$A$513,MATCH(K453,Интервалы!$G$2:$G$513,0)))</f>
        <v/>
      </c>
      <c r="C453" s="17" t="str">
        <f>IF(K453="","",INDEX(Интервалы!$C$2:$C$513,MATCH(K453,Интервалы!$G$2:$G$513,0)))</f>
        <v/>
      </c>
      <c r="D453" s="17" t="str">
        <f>IF(K453="","",INDEX(Интервалы!$D$2:$D$513,MATCH(K453,Интервалы!$G$2:$G$513,0)))</f>
        <v/>
      </c>
      <c r="E453" s="4" t="str">
        <f t="shared" si="6"/>
        <v/>
      </c>
      <c r="F453" s="8" t="str">
        <f>IF(K453="","",INDEX(Интервалы!$E$2:$E$513,MATCH(K453,Интервалы!$G$2:$G$513,0)))</f>
        <v/>
      </c>
      <c r="G453" s="18" t="str">
        <f>IF(K453="","",IF(H453=1,INDEX('По дням'!$B$2:$B$4000,MATCH(C453,'По дням'!$A$2:$A$4000,0)),"по периодам ставки"))</f>
        <v/>
      </c>
      <c r="H453" s="4" t="str">
        <f>IF(K453="","",INDEX(Интервалы!$I$2:$I$513,MATCH(K453,Интервалы!$G$2:$G$513,0)))</f>
        <v/>
      </c>
      <c r="I453" s="8" t="str">
        <f>IF(K453="","",INDEX(Интервалы!$F$2:$F$513,MATCH(K453,Интервалы!$G$2:$G$513,0)))</f>
        <v/>
      </c>
      <c r="J453" s="8" t="str">
        <f>IF(K453="","",INDEX(Интервалы!$H$2:$H$513,MATCH(K453,Интервалы!$G$2:$G$513,0)))</f>
        <v/>
      </c>
      <c r="K453" t="str">
        <f>IFERROR(SMALL(Интервалы!$G$2:$G$513,447),"")</f>
        <v/>
      </c>
      <c r="L453" t="str">
        <f>IF(K453="","",INDEX(Интервалы!$B$2:$B$513,MATCH(K453,Интервалы!$G$2:$G$513,0)))</f>
        <v/>
      </c>
    </row>
    <row r="454" spans="1:12" x14ac:dyDescent="0.3">
      <c r="A454" s="4" t="str">
        <f>IF(K454="","",448)</f>
        <v/>
      </c>
      <c r="B454" s="4" t="str">
        <f>IF(K454="","",INDEX(Интервалы!$A$2:$A$513,MATCH(K454,Интервалы!$G$2:$G$513,0)))</f>
        <v/>
      </c>
      <c r="C454" s="17" t="str">
        <f>IF(K454="","",INDEX(Интервалы!$C$2:$C$513,MATCH(K454,Интервалы!$G$2:$G$513,0)))</f>
        <v/>
      </c>
      <c r="D454" s="17" t="str">
        <f>IF(K454="","",INDEX(Интервалы!$D$2:$D$513,MATCH(K454,Интервалы!$G$2:$G$513,0)))</f>
        <v/>
      </c>
      <c r="E454" s="4" t="str">
        <f t="shared" si="6"/>
        <v/>
      </c>
      <c r="F454" s="8" t="str">
        <f>IF(K454="","",INDEX(Интервалы!$E$2:$E$513,MATCH(K454,Интервалы!$G$2:$G$513,0)))</f>
        <v/>
      </c>
      <c r="G454" s="18" t="str">
        <f>IF(K454="","",IF(H454=1,INDEX('По дням'!$B$2:$B$4000,MATCH(C454,'По дням'!$A$2:$A$4000,0)),"по периодам ставки"))</f>
        <v/>
      </c>
      <c r="H454" s="4" t="str">
        <f>IF(K454="","",INDEX(Интервалы!$I$2:$I$513,MATCH(K454,Интервалы!$G$2:$G$513,0)))</f>
        <v/>
      </c>
      <c r="I454" s="8" t="str">
        <f>IF(K454="","",INDEX(Интервалы!$F$2:$F$513,MATCH(K454,Интервалы!$G$2:$G$513,0)))</f>
        <v/>
      </c>
      <c r="J454" s="8" t="str">
        <f>IF(K454="","",INDEX(Интервалы!$H$2:$H$513,MATCH(K454,Интервалы!$G$2:$G$513,0)))</f>
        <v/>
      </c>
      <c r="K454" t="str">
        <f>IFERROR(SMALL(Интервалы!$G$2:$G$513,448),"")</f>
        <v/>
      </c>
      <c r="L454" t="str">
        <f>IF(K454="","",INDEX(Интервалы!$B$2:$B$513,MATCH(K454,Интервалы!$G$2:$G$513,0)))</f>
        <v/>
      </c>
    </row>
    <row r="455" spans="1:12" x14ac:dyDescent="0.3">
      <c r="A455" s="4" t="str">
        <f>IF(K455="","",449)</f>
        <v/>
      </c>
      <c r="B455" s="4" t="str">
        <f>IF(K455="","",INDEX(Интервалы!$A$2:$A$513,MATCH(K455,Интервалы!$G$2:$G$513,0)))</f>
        <v/>
      </c>
      <c r="C455" s="17" t="str">
        <f>IF(K455="","",INDEX(Интервалы!$C$2:$C$513,MATCH(K455,Интервалы!$G$2:$G$513,0)))</f>
        <v/>
      </c>
      <c r="D455" s="17" t="str">
        <f>IF(K455="","",INDEX(Интервалы!$D$2:$D$513,MATCH(K455,Интервалы!$G$2:$G$513,0)))</f>
        <v/>
      </c>
      <c r="E455" s="4" t="str">
        <f t="shared" ref="E455:E518" si="7">IF(K455="","",D455-C455+1)</f>
        <v/>
      </c>
      <c r="F455" s="8" t="str">
        <f>IF(K455="","",INDEX(Интервалы!$E$2:$E$513,MATCH(K455,Интервалы!$G$2:$G$513,0)))</f>
        <v/>
      </c>
      <c r="G455" s="18" t="str">
        <f>IF(K455="","",IF(H455=1,INDEX('По дням'!$B$2:$B$4000,MATCH(C455,'По дням'!$A$2:$A$4000,0)),"по периодам ставки"))</f>
        <v/>
      </c>
      <c r="H455" s="4" t="str">
        <f>IF(K455="","",INDEX(Интервалы!$I$2:$I$513,MATCH(K455,Интервалы!$G$2:$G$513,0)))</f>
        <v/>
      </c>
      <c r="I455" s="8" t="str">
        <f>IF(K455="","",INDEX(Интервалы!$F$2:$F$513,MATCH(K455,Интервалы!$G$2:$G$513,0)))</f>
        <v/>
      </c>
      <c r="J455" s="8" t="str">
        <f>IF(K455="","",INDEX(Интервалы!$H$2:$H$513,MATCH(K455,Интервалы!$G$2:$G$513,0)))</f>
        <v/>
      </c>
      <c r="K455" t="str">
        <f>IFERROR(SMALL(Интервалы!$G$2:$G$513,449),"")</f>
        <v/>
      </c>
      <c r="L455" t="str">
        <f>IF(K455="","",INDEX(Интервалы!$B$2:$B$513,MATCH(K455,Интервалы!$G$2:$G$513,0)))</f>
        <v/>
      </c>
    </row>
    <row r="456" spans="1:12" x14ac:dyDescent="0.3">
      <c r="A456" s="4" t="str">
        <f>IF(K456="","",450)</f>
        <v/>
      </c>
      <c r="B456" s="4" t="str">
        <f>IF(K456="","",INDEX(Интервалы!$A$2:$A$513,MATCH(K456,Интервалы!$G$2:$G$513,0)))</f>
        <v/>
      </c>
      <c r="C456" s="17" t="str">
        <f>IF(K456="","",INDEX(Интервалы!$C$2:$C$513,MATCH(K456,Интервалы!$G$2:$G$513,0)))</f>
        <v/>
      </c>
      <c r="D456" s="17" t="str">
        <f>IF(K456="","",INDEX(Интервалы!$D$2:$D$513,MATCH(K456,Интервалы!$G$2:$G$513,0)))</f>
        <v/>
      </c>
      <c r="E456" s="4" t="str">
        <f t="shared" si="7"/>
        <v/>
      </c>
      <c r="F456" s="8" t="str">
        <f>IF(K456="","",INDEX(Интервалы!$E$2:$E$513,MATCH(K456,Интервалы!$G$2:$G$513,0)))</f>
        <v/>
      </c>
      <c r="G456" s="18" t="str">
        <f>IF(K456="","",IF(H456=1,INDEX('По дням'!$B$2:$B$4000,MATCH(C456,'По дням'!$A$2:$A$4000,0)),"по периодам ставки"))</f>
        <v/>
      </c>
      <c r="H456" s="4" t="str">
        <f>IF(K456="","",INDEX(Интервалы!$I$2:$I$513,MATCH(K456,Интервалы!$G$2:$G$513,0)))</f>
        <v/>
      </c>
      <c r="I456" s="8" t="str">
        <f>IF(K456="","",INDEX(Интервалы!$F$2:$F$513,MATCH(K456,Интервалы!$G$2:$G$513,0)))</f>
        <v/>
      </c>
      <c r="J456" s="8" t="str">
        <f>IF(K456="","",INDEX(Интервалы!$H$2:$H$513,MATCH(K456,Интервалы!$G$2:$G$513,0)))</f>
        <v/>
      </c>
      <c r="K456" t="str">
        <f>IFERROR(SMALL(Интервалы!$G$2:$G$513,450),"")</f>
        <v/>
      </c>
      <c r="L456" t="str">
        <f>IF(K456="","",INDEX(Интервалы!$B$2:$B$513,MATCH(K456,Интервалы!$G$2:$G$513,0)))</f>
        <v/>
      </c>
    </row>
    <row r="457" spans="1:12" x14ac:dyDescent="0.3">
      <c r="A457" s="4" t="str">
        <f>IF(K457="","",451)</f>
        <v/>
      </c>
      <c r="B457" s="4" t="str">
        <f>IF(K457="","",INDEX(Интервалы!$A$2:$A$513,MATCH(K457,Интервалы!$G$2:$G$513,0)))</f>
        <v/>
      </c>
      <c r="C457" s="17" t="str">
        <f>IF(K457="","",INDEX(Интервалы!$C$2:$C$513,MATCH(K457,Интервалы!$G$2:$G$513,0)))</f>
        <v/>
      </c>
      <c r="D457" s="17" t="str">
        <f>IF(K457="","",INDEX(Интервалы!$D$2:$D$513,MATCH(K457,Интервалы!$G$2:$G$513,0)))</f>
        <v/>
      </c>
      <c r="E457" s="4" t="str">
        <f t="shared" si="7"/>
        <v/>
      </c>
      <c r="F457" s="8" t="str">
        <f>IF(K457="","",INDEX(Интервалы!$E$2:$E$513,MATCH(K457,Интервалы!$G$2:$G$513,0)))</f>
        <v/>
      </c>
      <c r="G457" s="18" t="str">
        <f>IF(K457="","",IF(H457=1,INDEX('По дням'!$B$2:$B$4000,MATCH(C457,'По дням'!$A$2:$A$4000,0)),"по периодам ставки"))</f>
        <v/>
      </c>
      <c r="H457" s="4" t="str">
        <f>IF(K457="","",INDEX(Интервалы!$I$2:$I$513,MATCH(K457,Интервалы!$G$2:$G$513,0)))</f>
        <v/>
      </c>
      <c r="I457" s="8" t="str">
        <f>IF(K457="","",INDEX(Интервалы!$F$2:$F$513,MATCH(K457,Интервалы!$G$2:$G$513,0)))</f>
        <v/>
      </c>
      <c r="J457" s="8" t="str">
        <f>IF(K457="","",INDEX(Интервалы!$H$2:$H$513,MATCH(K457,Интервалы!$G$2:$G$513,0)))</f>
        <v/>
      </c>
      <c r="K457" t="str">
        <f>IFERROR(SMALL(Интервалы!$G$2:$G$513,451),"")</f>
        <v/>
      </c>
      <c r="L457" t="str">
        <f>IF(K457="","",INDEX(Интервалы!$B$2:$B$513,MATCH(K457,Интервалы!$G$2:$G$513,0)))</f>
        <v/>
      </c>
    </row>
    <row r="458" spans="1:12" x14ac:dyDescent="0.3">
      <c r="A458" s="4" t="str">
        <f>IF(K458="","",452)</f>
        <v/>
      </c>
      <c r="B458" s="4" t="str">
        <f>IF(K458="","",INDEX(Интервалы!$A$2:$A$513,MATCH(K458,Интервалы!$G$2:$G$513,0)))</f>
        <v/>
      </c>
      <c r="C458" s="17" t="str">
        <f>IF(K458="","",INDEX(Интервалы!$C$2:$C$513,MATCH(K458,Интервалы!$G$2:$G$513,0)))</f>
        <v/>
      </c>
      <c r="D458" s="17" t="str">
        <f>IF(K458="","",INDEX(Интервалы!$D$2:$D$513,MATCH(K458,Интервалы!$G$2:$G$513,0)))</f>
        <v/>
      </c>
      <c r="E458" s="4" t="str">
        <f t="shared" si="7"/>
        <v/>
      </c>
      <c r="F458" s="8" t="str">
        <f>IF(K458="","",INDEX(Интервалы!$E$2:$E$513,MATCH(K458,Интервалы!$G$2:$G$513,0)))</f>
        <v/>
      </c>
      <c r="G458" s="18" t="str">
        <f>IF(K458="","",IF(H458=1,INDEX('По дням'!$B$2:$B$4000,MATCH(C458,'По дням'!$A$2:$A$4000,0)),"по периодам ставки"))</f>
        <v/>
      </c>
      <c r="H458" s="4" t="str">
        <f>IF(K458="","",INDEX(Интервалы!$I$2:$I$513,MATCH(K458,Интервалы!$G$2:$G$513,0)))</f>
        <v/>
      </c>
      <c r="I458" s="8" t="str">
        <f>IF(K458="","",INDEX(Интервалы!$F$2:$F$513,MATCH(K458,Интервалы!$G$2:$G$513,0)))</f>
        <v/>
      </c>
      <c r="J458" s="8" t="str">
        <f>IF(K458="","",INDEX(Интервалы!$H$2:$H$513,MATCH(K458,Интервалы!$G$2:$G$513,0)))</f>
        <v/>
      </c>
      <c r="K458" t="str">
        <f>IFERROR(SMALL(Интервалы!$G$2:$G$513,452),"")</f>
        <v/>
      </c>
      <c r="L458" t="str">
        <f>IF(K458="","",INDEX(Интервалы!$B$2:$B$513,MATCH(K458,Интервалы!$G$2:$G$513,0)))</f>
        <v/>
      </c>
    </row>
    <row r="459" spans="1:12" x14ac:dyDescent="0.3">
      <c r="A459" s="4" t="str">
        <f>IF(K459="","",453)</f>
        <v/>
      </c>
      <c r="B459" s="4" t="str">
        <f>IF(K459="","",INDEX(Интервалы!$A$2:$A$513,MATCH(K459,Интервалы!$G$2:$G$513,0)))</f>
        <v/>
      </c>
      <c r="C459" s="17" t="str">
        <f>IF(K459="","",INDEX(Интервалы!$C$2:$C$513,MATCH(K459,Интервалы!$G$2:$G$513,0)))</f>
        <v/>
      </c>
      <c r="D459" s="17" t="str">
        <f>IF(K459="","",INDEX(Интервалы!$D$2:$D$513,MATCH(K459,Интервалы!$G$2:$G$513,0)))</f>
        <v/>
      </c>
      <c r="E459" s="4" t="str">
        <f t="shared" si="7"/>
        <v/>
      </c>
      <c r="F459" s="8" t="str">
        <f>IF(K459="","",INDEX(Интервалы!$E$2:$E$513,MATCH(K459,Интервалы!$G$2:$G$513,0)))</f>
        <v/>
      </c>
      <c r="G459" s="18" t="str">
        <f>IF(K459="","",IF(H459=1,INDEX('По дням'!$B$2:$B$4000,MATCH(C459,'По дням'!$A$2:$A$4000,0)),"по периодам ставки"))</f>
        <v/>
      </c>
      <c r="H459" s="4" t="str">
        <f>IF(K459="","",INDEX(Интервалы!$I$2:$I$513,MATCH(K459,Интервалы!$G$2:$G$513,0)))</f>
        <v/>
      </c>
      <c r="I459" s="8" t="str">
        <f>IF(K459="","",INDEX(Интервалы!$F$2:$F$513,MATCH(K459,Интервалы!$G$2:$G$513,0)))</f>
        <v/>
      </c>
      <c r="J459" s="8" t="str">
        <f>IF(K459="","",INDEX(Интервалы!$H$2:$H$513,MATCH(K459,Интервалы!$G$2:$G$513,0)))</f>
        <v/>
      </c>
      <c r="K459" t="str">
        <f>IFERROR(SMALL(Интервалы!$G$2:$G$513,453),"")</f>
        <v/>
      </c>
      <c r="L459" t="str">
        <f>IF(K459="","",INDEX(Интервалы!$B$2:$B$513,MATCH(K459,Интервалы!$G$2:$G$513,0)))</f>
        <v/>
      </c>
    </row>
    <row r="460" spans="1:12" x14ac:dyDescent="0.3">
      <c r="A460" s="4" t="str">
        <f>IF(K460="","",454)</f>
        <v/>
      </c>
      <c r="B460" s="4" t="str">
        <f>IF(K460="","",INDEX(Интервалы!$A$2:$A$513,MATCH(K460,Интервалы!$G$2:$G$513,0)))</f>
        <v/>
      </c>
      <c r="C460" s="17" t="str">
        <f>IF(K460="","",INDEX(Интервалы!$C$2:$C$513,MATCH(K460,Интервалы!$G$2:$G$513,0)))</f>
        <v/>
      </c>
      <c r="D460" s="17" t="str">
        <f>IF(K460="","",INDEX(Интервалы!$D$2:$D$513,MATCH(K460,Интервалы!$G$2:$G$513,0)))</f>
        <v/>
      </c>
      <c r="E460" s="4" t="str">
        <f t="shared" si="7"/>
        <v/>
      </c>
      <c r="F460" s="8" t="str">
        <f>IF(K460="","",INDEX(Интервалы!$E$2:$E$513,MATCH(K460,Интервалы!$G$2:$G$513,0)))</f>
        <v/>
      </c>
      <c r="G460" s="18" t="str">
        <f>IF(K460="","",IF(H460=1,INDEX('По дням'!$B$2:$B$4000,MATCH(C460,'По дням'!$A$2:$A$4000,0)),"по периодам ставки"))</f>
        <v/>
      </c>
      <c r="H460" s="4" t="str">
        <f>IF(K460="","",INDEX(Интервалы!$I$2:$I$513,MATCH(K460,Интервалы!$G$2:$G$513,0)))</f>
        <v/>
      </c>
      <c r="I460" s="8" t="str">
        <f>IF(K460="","",INDEX(Интервалы!$F$2:$F$513,MATCH(K460,Интервалы!$G$2:$G$513,0)))</f>
        <v/>
      </c>
      <c r="J460" s="8" t="str">
        <f>IF(K460="","",INDEX(Интервалы!$H$2:$H$513,MATCH(K460,Интервалы!$G$2:$G$513,0)))</f>
        <v/>
      </c>
      <c r="K460" t="str">
        <f>IFERROR(SMALL(Интервалы!$G$2:$G$513,454),"")</f>
        <v/>
      </c>
      <c r="L460" t="str">
        <f>IF(K460="","",INDEX(Интервалы!$B$2:$B$513,MATCH(K460,Интервалы!$G$2:$G$513,0)))</f>
        <v/>
      </c>
    </row>
    <row r="461" spans="1:12" x14ac:dyDescent="0.3">
      <c r="A461" s="4" t="str">
        <f>IF(K461="","",455)</f>
        <v/>
      </c>
      <c r="B461" s="4" t="str">
        <f>IF(K461="","",INDEX(Интервалы!$A$2:$A$513,MATCH(K461,Интервалы!$G$2:$G$513,0)))</f>
        <v/>
      </c>
      <c r="C461" s="17" t="str">
        <f>IF(K461="","",INDEX(Интервалы!$C$2:$C$513,MATCH(K461,Интервалы!$G$2:$G$513,0)))</f>
        <v/>
      </c>
      <c r="D461" s="17" t="str">
        <f>IF(K461="","",INDEX(Интервалы!$D$2:$D$513,MATCH(K461,Интервалы!$G$2:$G$513,0)))</f>
        <v/>
      </c>
      <c r="E461" s="4" t="str">
        <f t="shared" si="7"/>
        <v/>
      </c>
      <c r="F461" s="8" t="str">
        <f>IF(K461="","",INDEX(Интервалы!$E$2:$E$513,MATCH(K461,Интервалы!$G$2:$G$513,0)))</f>
        <v/>
      </c>
      <c r="G461" s="18" t="str">
        <f>IF(K461="","",IF(H461=1,INDEX('По дням'!$B$2:$B$4000,MATCH(C461,'По дням'!$A$2:$A$4000,0)),"по периодам ставки"))</f>
        <v/>
      </c>
      <c r="H461" s="4" t="str">
        <f>IF(K461="","",INDEX(Интервалы!$I$2:$I$513,MATCH(K461,Интервалы!$G$2:$G$513,0)))</f>
        <v/>
      </c>
      <c r="I461" s="8" t="str">
        <f>IF(K461="","",INDEX(Интервалы!$F$2:$F$513,MATCH(K461,Интервалы!$G$2:$G$513,0)))</f>
        <v/>
      </c>
      <c r="J461" s="8" t="str">
        <f>IF(K461="","",INDEX(Интервалы!$H$2:$H$513,MATCH(K461,Интервалы!$G$2:$G$513,0)))</f>
        <v/>
      </c>
      <c r="K461" t="str">
        <f>IFERROR(SMALL(Интервалы!$G$2:$G$513,455),"")</f>
        <v/>
      </c>
      <c r="L461" t="str">
        <f>IF(K461="","",INDEX(Интервалы!$B$2:$B$513,MATCH(K461,Интервалы!$G$2:$G$513,0)))</f>
        <v/>
      </c>
    </row>
    <row r="462" spans="1:12" x14ac:dyDescent="0.3">
      <c r="A462" s="4" t="str">
        <f>IF(K462="","",456)</f>
        <v/>
      </c>
      <c r="B462" s="4" t="str">
        <f>IF(K462="","",INDEX(Интервалы!$A$2:$A$513,MATCH(K462,Интервалы!$G$2:$G$513,0)))</f>
        <v/>
      </c>
      <c r="C462" s="17" t="str">
        <f>IF(K462="","",INDEX(Интервалы!$C$2:$C$513,MATCH(K462,Интервалы!$G$2:$G$513,0)))</f>
        <v/>
      </c>
      <c r="D462" s="17" t="str">
        <f>IF(K462="","",INDEX(Интервалы!$D$2:$D$513,MATCH(K462,Интервалы!$G$2:$G$513,0)))</f>
        <v/>
      </c>
      <c r="E462" s="4" t="str">
        <f t="shared" si="7"/>
        <v/>
      </c>
      <c r="F462" s="8" t="str">
        <f>IF(K462="","",INDEX(Интервалы!$E$2:$E$513,MATCH(K462,Интервалы!$G$2:$G$513,0)))</f>
        <v/>
      </c>
      <c r="G462" s="18" t="str">
        <f>IF(K462="","",IF(H462=1,INDEX('По дням'!$B$2:$B$4000,MATCH(C462,'По дням'!$A$2:$A$4000,0)),"по периодам ставки"))</f>
        <v/>
      </c>
      <c r="H462" s="4" t="str">
        <f>IF(K462="","",INDEX(Интервалы!$I$2:$I$513,MATCH(K462,Интервалы!$G$2:$G$513,0)))</f>
        <v/>
      </c>
      <c r="I462" s="8" t="str">
        <f>IF(K462="","",INDEX(Интервалы!$F$2:$F$513,MATCH(K462,Интервалы!$G$2:$G$513,0)))</f>
        <v/>
      </c>
      <c r="J462" s="8" t="str">
        <f>IF(K462="","",INDEX(Интервалы!$H$2:$H$513,MATCH(K462,Интервалы!$G$2:$G$513,0)))</f>
        <v/>
      </c>
      <c r="K462" t="str">
        <f>IFERROR(SMALL(Интервалы!$G$2:$G$513,456),"")</f>
        <v/>
      </c>
      <c r="L462" t="str">
        <f>IF(K462="","",INDEX(Интервалы!$B$2:$B$513,MATCH(K462,Интервалы!$G$2:$G$513,0)))</f>
        <v/>
      </c>
    </row>
    <row r="463" spans="1:12" x14ac:dyDescent="0.3">
      <c r="A463" s="4" t="str">
        <f>IF(K463="","",457)</f>
        <v/>
      </c>
      <c r="B463" s="4" t="str">
        <f>IF(K463="","",INDEX(Интервалы!$A$2:$A$513,MATCH(K463,Интервалы!$G$2:$G$513,0)))</f>
        <v/>
      </c>
      <c r="C463" s="17" t="str">
        <f>IF(K463="","",INDEX(Интервалы!$C$2:$C$513,MATCH(K463,Интервалы!$G$2:$G$513,0)))</f>
        <v/>
      </c>
      <c r="D463" s="17" t="str">
        <f>IF(K463="","",INDEX(Интервалы!$D$2:$D$513,MATCH(K463,Интервалы!$G$2:$G$513,0)))</f>
        <v/>
      </c>
      <c r="E463" s="4" t="str">
        <f t="shared" si="7"/>
        <v/>
      </c>
      <c r="F463" s="8" t="str">
        <f>IF(K463="","",INDEX(Интервалы!$E$2:$E$513,MATCH(K463,Интервалы!$G$2:$G$513,0)))</f>
        <v/>
      </c>
      <c r="G463" s="18" t="str">
        <f>IF(K463="","",IF(H463=1,INDEX('По дням'!$B$2:$B$4000,MATCH(C463,'По дням'!$A$2:$A$4000,0)),"по периодам ставки"))</f>
        <v/>
      </c>
      <c r="H463" s="4" t="str">
        <f>IF(K463="","",INDEX(Интервалы!$I$2:$I$513,MATCH(K463,Интервалы!$G$2:$G$513,0)))</f>
        <v/>
      </c>
      <c r="I463" s="8" t="str">
        <f>IF(K463="","",INDEX(Интервалы!$F$2:$F$513,MATCH(K463,Интервалы!$G$2:$G$513,0)))</f>
        <v/>
      </c>
      <c r="J463" s="8" t="str">
        <f>IF(K463="","",INDEX(Интервалы!$H$2:$H$513,MATCH(K463,Интервалы!$G$2:$G$513,0)))</f>
        <v/>
      </c>
      <c r="K463" t="str">
        <f>IFERROR(SMALL(Интервалы!$G$2:$G$513,457),"")</f>
        <v/>
      </c>
      <c r="L463" t="str">
        <f>IF(K463="","",INDEX(Интервалы!$B$2:$B$513,MATCH(K463,Интервалы!$G$2:$G$513,0)))</f>
        <v/>
      </c>
    </row>
    <row r="464" spans="1:12" x14ac:dyDescent="0.3">
      <c r="A464" s="4" t="str">
        <f>IF(K464="","",458)</f>
        <v/>
      </c>
      <c r="B464" s="4" t="str">
        <f>IF(K464="","",INDEX(Интервалы!$A$2:$A$513,MATCH(K464,Интервалы!$G$2:$G$513,0)))</f>
        <v/>
      </c>
      <c r="C464" s="17" t="str">
        <f>IF(K464="","",INDEX(Интервалы!$C$2:$C$513,MATCH(K464,Интервалы!$G$2:$G$513,0)))</f>
        <v/>
      </c>
      <c r="D464" s="17" t="str">
        <f>IF(K464="","",INDEX(Интервалы!$D$2:$D$513,MATCH(K464,Интервалы!$G$2:$G$513,0)))</f>
        <v/>
      </c>
      <c r="E464" s="4" t="str">
        <f t="shared" si="7"/>
        <v/>
      </c>
      <c r="F464" s="8" t="str">
        <f>IF(K464="","",INDEX(Интервалы!$E$2:$E$513,MATCH(K464,Интервалы!$G$2:$G$513,0)))</f>
        <v/>
      </c>
      <c r="G464" s="18" t="str">
        <f>IF(K464="","",IF(H464=1,INDEX('По дням'!$B$2:$B$4000,MATCH(C464,'По дням'!$A$2:$A$4000,0)),"по периодам ставки"))</f>
        <v/>
      </c>
      <c r="H464" s="4" t="str">
        <f>IF(K464="","",INDEX(Интервалы!$I$2:$I$513,MATCH(K464,Интервалы!$G$2:$G$513,0)))</f>
        <v/>
      </c>
      <c r="I464" s="8" t="str">
        <f>IF(K464="","",INDEX(Интервалы!$F$2:$F$513,MATCH(K464,Интервалы!$G$2:$G$513,0)))</f>
        <v/>
      </c>
      <c r="J464" s="8" t="str">
        <f>IF(K464="","",INDEX(Интервалы!$H$2:$H$513,MATCH(K464,Интервалы!$G$2:$G$513,0)))</f>
        <v/>
      </c>
      <c r="K464" t="str">
        <f>IFERROR(SMALL(Интервалы!$G$2:$G$513,458),"")</f>
        <v/>
      </c>
      <c r="L464" t="str">
        <f>IF(K464="","",INDEX(Интервалы!$B$2:$B$513,MATCH(K464,Интервалы!$G$2:$G$513,0)))</f>
        <v/>
      </c>
    </row>
    <row r="465" spans="1:12" x14ac:dyDescent="0.3">
      <c r="A465" s="4" t="str">
        <f>IF(K465="","",459)</f>
        <v/>
      </c>
      <c r="B465" s="4" t="str">
        <f>IF(K465="","",INDEX(Интервалы!$A$2:$A$513,MATCH(K465,Интервалы!$G$2:$G$513,0)))</f>
        <v/>
      </c>
      <c r="C465" s="17" t="str">
        <f>IF(K465="","",INDEX(Интервалы!$C$2:$C$513,MATCH(K465,Интервалы!$G$2:$G$513,0)))</f>
        <v/>
      </c>
      <c r="D465" s="17" t="str">
        <f>IF(K465="","",INDEX(Интервалы!$D$2:$D$513,MATCH(K465,Интервалы!$G$2:$G$513,0)))</f>
        <v/>
      </c>
      <c r="E465" s="4" t="str">
        <f t="shared" si="7"/>
        <v/>
      </c>
      <c r="F465" s="8" t="str">
        <f>IF(K465="","",INDEX(Интервалы!$E$2:$E$513,MATCH(K465,Интервалы!$G$2:$G$513,0)))</f>
        <v/>
      </c>
      <c r="G465" s="18" t="str">
        <f>IF(K465="","",IF(H465=1,INDEX('По дням'!$B$2:$B$4000,MATCH(C465,'По дням'!$A$2:$A$4000,0)),"по периодам ставки"))</f>
        <v/>
      </c>
      <c r="H465" s="4" t="str">
        <f>IF(K465="","",INDEX(Интервалы!$I$2:$I$513,MATCH(K465,Интервалы!$G$2:$G$513,0)))</f>
        <v/>
      </c>
      <c r="I465" s="8" t="str">
        <f>IF(K465="","",INDEX(Интервалы!$F$2:$F$513,MATCH(K465,Интервалы!$G$2:$G$513,0)))</f>
        <v/>
      </c>
      <c r="J465" s="8" t="str">
        <f>IF(K465="","",INDEX(Интервалы!$H$2:$H$513,MATCH(K465,Интервалы!$G$2:$G$513,0)))</f>
        <v/>
      </c>
      <c r="K465" t="str">
        <f>IFERROR(SMALL(Интервалы!$G$2:$G$513,459),"")</f>
        <v/>
      </c>
      <c r="L465" t="str">
        <f>IF(K465="","",INDEX(Интервалы!$B$2:$B$513,MATCH(K465,Интервалы!$G$2:$G$513,0)))</f>
        <v/>
      </c>
    </row>
    <row r="466" spans="1:12" x14ac:dyDescent="0.3">
      <c r="A466" s="4" t="str">
        <f>IF(K466="","",460)</f>
        <v/>
      </c>
      <c r="B466" s="4" t="str">
        <f>IF(K466="","",INDEX(Интервалы!$A$2:$A$513,MATCH(K466,Интервалы!$G$2:$G$513,0)))</f>
        <v/>
      </c>
      <c r="C466" s="17" t="str">
        <f>IF(K466="","",INDEX(Интервалы!$C$2:$C$513,MATCH(K466,Интервалы!$G$2:$G$513,0)))</f>
        <v/>
      </c>
      <c r="D466" s="17" t="str">
        <f>IF(K466="","",INDEX(Интервалы!$D$2:$D$513,MATCH(K466,Интервалы!$G$2:$G$513,0)))</f>
        <v/>
      </c>
      <c r="E466" s="4" t="str">
        <f t="shared" si="7"/>
        <v/>
      </c>
      <c r="F466" s="8" t="str">
        <f>IF(K466="","",INDEX(Интервалы!$E$2:$E$513,MATCH(K466,Интервалы!$G$2:$G$513,0)))</f>
        <v/>
      </c>
      <c r="G466" s="18" t="str">
        <f>IF(K466="","",IF(H466=1,INDEX('По дням'!$B$2:$B$4000,MATCH(C466,'По дням'!$A$2:$A$4000,0)),"по периодам ставки"))</f>
        <v/>
      </c>
      <c r="H466" s="4" t="str">
        <f>IF(K466="","",INDEX(Интервалы!$I$2:$I$513,MATCH(K466,Интервалы!$G$2:$G$513,0)))</f>
        <v/>
      </c>
      <c r="I466" s="8" t="str">
        <f>IF(K466="","",INDEX(Интервалы!$F$2:$F$513,MATCH(K466,Интервалы!$G$2:$G$513,0)))</f>
        <v/>
      </c>
      <c r="J466" s="8" t="str">
        <f>IF(K466="","",INDEX(Интервалы!$H$2:$H$513,MATCH(K466,Интервалы!$G$2:$G$513,0)))</f>
        <v/>
      </c>
      <c r="K466" t="str">
        <f>IFERROR(SMALL(Интервалы!$G$2:$G$513,460),"")</f>
        <v/>
      </c>
      <c r="L466" t="str">
        <f>IF(K466="","",INDEX(Интервалы!$B$2:$B$513,MATCH(K466,Интервалы!$G$2:$G$513,0)))</f>
        <v/>
      </c>
    </row>
    <row r="467" spans="1:12" x14ac:dyDescent="0.3">
      <c r="A467" s="4" t="str">
        <f>IF(K467="","",461)</f>
        <v/>
      </c>
      <c r="B467" s="4" t="str">
        <f>IF(K467="","",INDEX(Интервалы!$A$2:$A$513,MATCH(K467,Интервалы!$G$2:$G$513,0)))</f>
        <v/>
      </c>
      <c r="C467" s="17" t="str">
        <f>IF(K467="","",INDEX(Интервалы!$C$2:$C$513,MATCH(K467,Интервалы!$G$2:$G$513,0)))</f>
        <v/>
      </c>
      <c r="D467" s="17" t="str">
        <f>IF(K467="","",INDEX(Интервалы!$D$2:$D$513,MATCH(K467,Интервалы!$G$2:$G$513,0)))</f>
        <v/>
      </c>
      <c r="E467" s="4" t="str">
        <f t="shared" si="7"/>
        <v/>
      </c>
      <c r="F467" s="8" t="str">
        <f>IF(K467="","",INDEX(Интервалы!$E$2:$E$513,MATCH(K467,Интервалы!$G$2:$G$513,0)))</f>
        <v/>
      </c>
      <c r="G467" s="18" t="str">
        <f>IF(K467="","",IF(H467=1,INDEX('По дням'!$B$2:$B$4000,MATCH(C467,'По дням'!$A$2:$A$4000,0)),"по периодам ставки"))</f>
        <v/>
      </c>
      <c r="H467" s="4" t="str">
        <f>IF(K467="","",INDEX(Интервалы!$I$2:$I$513,MATCH(K467,Интервалы!$G$2:$G$513,0)))</f>
        <v/>
      </c>
      <c r="I467" s="8" t="str">
        <f>IF(K467="","",INDEX(Интервалы!$F$2:$F$513,MATCH(K467,Интервалы!$G$2:$G$513,0)))</f>
        <v/>
      </c>
      <c r="J467" s="8" t="str">
        <f>IF(K467="","",INDEX(Интервалы!$H$2:$H$513,MATCH(K467,Интервалы!$G$2:$G$513,0)))</f>
        <v/>
      </c>
      <c r="K467" t="str">
        <f>IFERROR(SMALL(Интервалы!$G$2:$G$513,461),"")</f>
        <v/>
      </c>
      <c r="L467" t="str">
        <f>IF(K467="","",INDEX(Интервалы!$B$2:$B$513,MATCH(K467,Интервалы!$G$2:$G$513,0)))</f>
        <v/>
      </c>
    </row>
    <row r="468" spans="1:12" x14ac:dyDescent="0.3">
      <c r="A468" s="4" t="str">
        <f>IF(K468="","",462)</f>
        <v/>
      </c>
      <c r="B468" s="4" t="str">
        <f>IF(K468="","",INDEX(Интервалы!$A$2:$A$513,MATCH(K468,Интервалы!$G$2:$G$513,0)))</f>
        <v/>
      </c>
      <c r="C468" s="17" t="str">
        <f>IF(K468="","",INDEX(Интервалы!$C$2:$C$513,MATCH(K468,Интервалы!$G$2:$G$513,0)))</f>
        <v/>
      </c>
      <c r="D468" s="17" t="str">
        <f>IF(K468="","",INDEX(Интервалы!$D$2:$D$513,MATCH(K468,Интервалы!$G$2:$G$513,0)))</f>
        <v/>
      </c>
      <c r="E468" s="4" t="str">
        <f t="shared" si="7"/>
        <v/>
      </c>
      <c r="F468" s="8" t="str">
        <f>IF(K468="","",INDEX(Интервалы!$E$2:$E$513,MATCH(K468,Интервалы!$G$2:$G$513,0)))</f>
        <v/>
      </c>
      <c r="G468" s="18" t="str">
        <f>IF(K468="","",IF(H468=1,INDEX('По дням'!$B$2:$B$4000,MATCH(C468,'По дням'!$A$2:$A$4000,0)),"по периодам ставки"))</f>
        <v/>
      </c>
      <c r="H468" s="4" t="str">
        <f>IF(K468="","",INDEX(Интервалы!$I$2:$I$513,MATCH(K468,Интервалы!$G$2:$G$513,0)))</f>
        <v/>
      </c>
      <c r="I468" s="8" t="str">
        <f>IF(K468="","",INDEX(Интервалы!$F$2:$F$513,MATCH(K468,Интервалы!$G$2:$G$513,0)))</f>
        <v/>
      </c>
      <c r="J468" s="8" t="str">
        <f>IF(K468="","",INDEX(Интервалы!$H$2:$H$513,MATCH(K468,Интервалы!$G$2:$G$513,0)))</f>
        <v/>
      </c>
      <c r="K468" t="str">
        <f>IFERROR(SMALL(Интервалы!$G$2:$G$513,462),"")</f>
        <v/>
      </c>
      <c r="L468" t="str">
        <f>IF(K468="","",INDEX(Интервалы!$B$2:$B$513,MATCH(K468,Интервалы!$G$2:$G$513,0)))</f>
        <v/>
      </c>
    </row>
    <row r="469" spans="1:12" x14ac:dyDescent="0.3">
      <c r="A469" s="4" t="str">
        <f>IF(K469="","",463)</f>
        <v/>
      </c>
      <c r="B469" s="4" t="str">
        <f>IF(K469="","",INDEX(Интервалы!$A$2:$A$513,MATCH(K469,Интервалы!$G$2:$G$513,0)))</f>
        <v/>
      </c>
      <c r="C469" s="17" t="str">
        <f>IF(K469="","",INDEX(Интервалы!$C$2:$C$513,MATCH(K469,Интервалы!$G$2:$G$513,0)))</f>
        <v/>
      </c>
      <c r="D469" s="17" t="str">
        <f>IF(K469="","",INDEX(Интервалы!$D$2:$D$513,MATCH(K469,Интервалы!$G$2:$G$513,0)))</f>
        <v/>
      </c>
      <c r="E469" s="4" t="str">
        <f t="shared" si="7"/>
        <v/>
      </c>
      <c r="F469" s="8" t="str">
        <f>IF(K469="","",INDEX(Интервалы!$E$2:$E$513,MATCH(K469,Интервалы!$G$2:$G$513,0)))</f>
        <v/>
      </c>
      <c r="G469" s="18" t="str">
        <f>IF(K469="","",IF(H469=1,INDEX('По дням'!$B$2:$B$4000,MATCH(C469,'По дням'!$A$2:$A$4000,0)),"по периодам ставки"))</f>
        <v/>
      </c>
      <c r="H469" s="4" t="str">
        <f>IF(K469="","",INDEX(Интервалы!$I$2:$I$513,MATCH(K469,Интервалы!$G$2:$G$513,0)))</f>
        <v/>
      </c>
      <c r="I469" s="8" t="str">
        <f>IF(K469="","",INDEX(Интервалы!$F$2:$F$513,MATCH(K469,Интервалы!$G$2:$G$513,0)))</f>
        <v/>
      </c>
      <c r="J469" s="8" t="str">
        <f>IF(K469="","",INDEX(Интервалы!$H$2:$H$513,MATCH(K469,Интервалы!$G$2:$G$513,0)))</f>
        <v/>
      </c>
      <c r="K469" t="str">
        <f>IFERROR(SMALL(Интервалы!$G$2:$G$513,463),"")</f>
        <v/>
      </c>
      <c r="L469" t="str">
        <f>IF(K469="","",INDEX(Интервалы!$B$2:$B$513,MATCH(K469,Интервалы!$G$2:$G$513,0)))</f>
        <v/>
      </c>
    </row>
    <row r="470" spans="1:12" x14ac:dyDescent="0.3">
      <c r="A470" s="4" t="str">
        <f>IF(K470="","",464)</f>
        <v/>
      </c>
      <c r="B470" s="4" t="str">
        <f>IF(K470="","",INDEX(Интервалы!$A$2:$A$513,MATCH(K470,Интервалы!$G$2:$G$513,0)))</f>
        <v/>
      </c>
      <c r="C470" s="17" t="str">
        <f>IF(K470="","",INDEX(Интервалы!$C$2:$C$513,MATCH(K470,Интервалы!$G$2:$G$513,0)))</f>
        <v/>
      </c>
      <c r="D470" s="17" t="str">
        <f>IF(K470="","",INDEX(Интервалы!$D$2:$D$513,MATCH(K470,Интервалы!$G$2:$G$513,0)))</f>
        <v/>
      </c>
      <c r="E470" s="4" t="str">
        <f t="shared" si="7"/>
        <v/>
      </c>
      <c r="F470" s="8" t="str">
        <f>IF(K470="","",INDEX(Интервалы!$E$2:$E$513,MATCH(K470,Интервалы!$G$2:$G$513,0)))</f>
        <v/>
      </c>
      <c r="G470" s="18" t="str">
        <f>IF(K470="","",IF(H470=1,INDEX('По дням'!$B$2:$B$4000,MATCH(C470,'По дням'!$A$2:$A$4000,0)),"по периодам ставки"))</f>
        <v/>
      </c>
      <c r="H470" s="4" t="str">
        <f>IF(K470="","",INDEX(Интервалы!$I$2:$I$513,MATCH(K470,Интервалы!$G$2:$G$513,0)))</f>
        <v/>
      </c>
      <c r="I470" s="8" t="str">
        <f>IF(K470="","",INDEX(Интервалы!$F$2:$F$513,MATCH(K470,Интервалы!$G$2:$G$513,0)))</f>
        <v/>
      </c>
      <c r="J470" s="8" t="str">
        <f>IF(K470="","",INDEX(Интервалы!$H$2:$H$513,MATCH(K470,Интервалы!$G$2:$G$513,0)))</f>
        <v/>
      </c>
      <c r="K470" t="str">
        <f>IFERROR(SMALL(Интервалы!$G$2:$G$513,464),"")</f>
        <v/>
      </c>
      <c r="L470" t="str">
        <f>IF(K470="","",INDEX(Интервалы!$B$2:$B$513,MATCH(K470,Интервалы!$G$2:$G$513,0)))</f>
        <v/>
      </c>
    </row>
    <row r="471" spans="1:12" x14ac:dyDescent="0.3">
      <c r="A471" s="4" t="str">
        <f>IF(K471="","",465)</f>
        <v/>
      </c>
      <c r="B471" s="4" t="str">
        <f>IF(K471="","",INDEX(Интервалы!$A$2:$A$513,MATCH(K471,Интервалы!$G$2:$G$513,0)))</f>
        <v/>
      </c>
      <c r="C471" s="17" t="str">
        <f>IF(K471="","",INDEX(Интервалы!$C$2:$C$513,MATCH(K471,Интервалы!$G$2:$G$513,0)))</f>
        <v/>
      </c>
      <c r="D471" s="17" t="str">
        <f>IF(K471="","",INDEX(Интервалы!$D$2:$D$513,MATCH(K471,Интервалы!$G$2:$G$513,0)))</f>
        <v/>
      </c>
      <c r="E471" s="4" t="str">
        <f t="shared" si="7"/>
        <v/>
      </c>
      <c r="F471" s="8" t="str">
        <f>IF(K471="","",INDEX(Интервалы!$E$2:$E$513,MATCH(K471,Интервалы!$G$2:$G$513,0)))</f>
        <v/>
      </c>
      <c r="G471" s="18" t="str">
        <f>IF(K471="","",IF(H471=1,INDEX('По дням'!$B$2:$B$4000,MATCH(C471,'По дням'!$A$2:$A$4000,0)),"по периодам ставки"))</f>
        <v/>
      </c>
      <c r="H471" s="4" t="str">
        <f>IF(K471="","",INDEX(Интервалы!$I$2:$I$513,MATCH(K471,Интервалы!$G$2:$G$513,0)))</f>
        <v/>
      </c>
      <c r="I471" s="8" t="str">
        <f>IF(K471="","",INDEX(Интервалы!$F$2:$F$513,MATCH(K471,Интервалы!$G$2:$G$513,0)))</f>
        <v/>
      </c>
      <c r="J471" s="8" t="str">
        <f>IF(K471="","",INDEX(Интервалы!$H$2:$H$513,MATCH(K471,Интервалы!$G$2:$G$513,0)))</f>
        <v/>
      </c>
      <c r="K471" t="str">
        <f>IFERROR(SMALL(Интервалы!$G$2:$G$513,465),"")</f>
        <v/>
      </c>
      <c r="L471" t="str">
        <f>IF(K471="","",INDEX(Интервалы!$B$2:$B$513,MATCH(K471,Интервалы!$G$2:$G$513,0)))</f>
        <v/>
      </c>
    </row>
    <row r="472" spans="1:12" x14ac:dyDescent="0.3">
      <c r="A472" s="4" t="str">
        <f>IF(K472="","",466)</f>
        <v/>
      </c>
      <c r="B472" s="4" t="str">
        <f>IF(K472="","",INDEX(Интервалы!$A$2:$A$513,MATCH(K472,Интервалы!$G$2:$G$513,0)))</f>
        <v/>
      </c>
      <c r="C472" s="17" t="str">
        <f>IF(K472="","",INDEX(Интервалы!$C$2:$C$513,MATCH(K472,Интервалы!$G$2:$G$513,0)))</f>
        <v/>
      </c>
      <c r="D472" s="17" t="str">
        <f>IF(K472="","",INDEX(Интервалы!$D$2:$D$513,MATCH(K472,Интервалы!$G$2:$G$513,0)))</f>
        <v/>
      </c>
      <c r="E472" s="4" t="str">
        <f t="shared" si="7"/>
        <v/>
      </c>
      <c r="F472" s="8" t="str">
        <f>IF(K472="","",INDEX(Интервалы!$E$2:$E$513,MATCH(K472,Интервалы!$G$2:$G$513,0)))</f>
        <v/>
      </c>
      <c r="G472" s="18" t="str">
        <f>IF(K472="","",IF(H472=1,INDEX('По дням'!$B$2:$B$4000,MATCH(C472,'По дням'!$A$2:$A$4000,0)),"по периодам ставки"))</f>
        <v/>
      </c>
      <c r="H472" s="4" t="str">
        <f>IF(K472="","",INDEX(Интервалы!$I$2:$I$513,MATCH(K472,Интервалы!$G$2:$G$513,0)))</f>
        <v/>
      </c>
      <c r="I472" s="8" t="str">
        <f>IF(K472="","",INDEX(Интервалы!$F$2:$F$513,MATCH(K472,Интервалы!$G$2:$G$513,0)))</f>
        <v/>
      </c>
      <c r="J472" s="8" t="str">
        <f>IF(K472="","",INDEX(Интервалы!$H$2:$H$513,MATCH(K472,Интервалы!$G$2:$G$513,0)))</f>
        <v/>
      </c>
      <c r="K472" t="str">
        <f>IFERROR(SMALL(Интервалы!$G$2:$G$513,466),"")</f>
        <v/>
      </c>
      <c r="L472" t="str">
        <f>IF(K472="","",INDEX(Интервалы!$B$2:$B$513,MATCH(K472,Интервалы!$G$2:$G$513,0)))</f>
        <v/>
      </c>
    </row>
    <row r="473" spans="1:12" x14ac:dyDescent="0.3">
      <c r="A473" s="4" t="str">
        <f>IF(K473="","",467)</f>
        <v/>
      </c>
      <c r="B473" s="4" t="str">
        <f>IF(K473="","",INDEX(Интервалы!$A$2:$A$513,MATCH(K473,Интервалы!$G$2:$G$513,0)))</f>
        <v/>
      </c>
      <c r="C473" s="17" t="str">
        <f>IF(K473="","",INDEX(Интервалы!$C$2:$C$513,MATCH(K473,Интервалы!$G$2:$G$513,0)))</f>
        <v/>
      </c>
      <c r="D473" s="17" t="str">
        <f>IF(K473="","",INDEX(Интервалы!$D$2:$D$513,MATCH(K473,Интервалы!$G$2:$G$513,0)))</f>
        <v/>
      </c>
      <c r="E473" s="4" t="str">
        <f t="shared" si="7"/>
        <v/>
      </c>
      <c r="F473" s="8" t="str">
        <f>IF(K473="","",INDEX(Интервалы!$E$2:$E$513,MATCH(K473,Интервалы!$G$2:$G$513,0)))</f>
        <v/>
      </c>
      <c r="G473" s="18" t="str">
        <f>IF(K473="","",IF(H473=1,INDEX('По дням'!$B$2:$B$4000,MATCH(C473,'По дням'!$A$2:$A$4000,0)),"по периодам ставки"))</f>
        <v/>
      </c>
      <c r="H473" s="4" t="str">
        <f>IF(K473="","",INDEX(Интервалы!$I$2:$I$513,MATCH(K473,Интервалы!$G$2:$G$513,0)))</f>
        <v/>
      </c>
      <c r="I473" s="8" t="str">
        <f>IF(K473="","",INDEX(Интервалы!$F$2:$F$513,MATCH(K473,Интервалы!$G$2:$G$513,0)))</f>
        <v/>
      </c>
      <c r="J473" s="8" t="str">
        <f>IF(K473="","",INDEX(Интервалы!$H$2:$H$513,MATCH(K473,Интервалы!$G$2:$G$513,0)))</f>
        <v/>
      </c>
      <c r="K473" t="str">
        <f>IFERROR(SMALL(Интервалы!$G$2:$G$513,467),"")</f>
        <v/>
      </c>
      <c r="L473" t="str">
        <f>IF(K473="","",INDEX(Интервалы!$B$2:$B$513,MATCH(K473,Интервалы!$G$2:$G$513,0)))</f>
        <v/>
      </c>
    </row>
    <row r="474" spans="1:12" x14ac:dyDescent="0.3">
      <c r="A474" s="4" t="str">
        <f>IF(K474="","",468)</f>
        <v/>
      </c>
      <c r="B474" s="4" t="str">
        <f>IF(K474="","",INDEX(Интервалы!$A$2:$A$513,MATCH(K474,Интервалы!$G$2:$G$513,0)))</f>
        <v/>
      </c>
      <c r="C474" s="17" t="str">
        <f>IF(K474="","",INDEX(Интервалы!$C$2:$C$513,MATCH(K474,Интервалы!$G$2:$G$513,0)))</f>
        <v/>
      </c>
      <c r="D474" s="17" t="str">
        <f>IF(K474="","",INDEX(Интервалы!$D$2:$D$513,MATCH(K474,Интервалы!$G$2:$G$513,0)))</f>
        <v/>
      </c>
      <c r="E474" s="4" t="str">
        <f t="shared" si="7"/>
        <v/>
      </c>
      <c r="F474" s="8" t="str">
        <f>IF(K474="","",INDEX(Интервалы!$E$2:$E$513,MATCH(K474,Интервалы!$G$2:$G$513,0)))</f>
        <v/>
      </c>
      <c r="G474" s="18" t="str">
        <f>IF(K474="","",IF(H474=1,INDEX('По дням'!$B$2:$B$4000,MATCH(C474,'По дням'!$A$2:$A$4000,0)),"по периодам ставки"))</f>
        <v/>
      </c>
      <c r="H474" s="4" t="str">
        <f>IF(K474="","",INDEX(Интервалы!$I$2:$I$513,MATCH(K474,Интервалы!$G$2:$G$513,0)))</f>
        <v/>
      </c>
      <c r="I474" s="8" t="str">
        <f>IF(K474="","",INDEX(Интервалы!$F$2:$F$513,MATCH(K474,Интервалы!$G$2:$G$513,0)))</f>
        <v/>
      </c>
      <c r="J474" s="8" t="str">
        <f>IF(K474="","",INDEX(Интервалы!$H$2:$H$513,MATCH(K474,Интервалы!$G$2:$G$513,0)))</f>
        <v/>
      </c>
      <c r="K474" t="str">
        <f>IFERROR(SMALL(Интервалы!$G$2:$G$513,468),"")</f>
        <v/>
      </c>
      <c r="L474" t="str">
        <f>IF(K474="","",INDEX(Интервалы!$B$2:$B$513,MATCH(K474,Интервалы!$G$2:$G$513,0)))</f>
        <v/>
      </c>
    </row>
    <row r="475" spans="1:12" x14ac:dyDescent="0.3">
      <c r="A475" s="4" t="str">
        <f>IF(K475="","",469)</f>
        <v/>
      </c>
      <c r="B475" s="4" t="str">
        <f>IF(K475="","",INDEX(Интервалы!$A$2:$A$513,MATCH(K475,Интервалы!$G$2:$G$513,0)))</f>
        <v/>
      </c>
      <c r="C475" s="17" t="str">
        <f>IF(K475="","",INDEX(Интервалы!$C$2:$C$513,MATCH(K475,Интервалы!$G$2:$G$513,0)))</f>
        <v/>
      </c>
      <c r="D475" s="17" t="str">
        <f>IF(K475="","",INDEX(Интервалы!$D$2:$D$513,MATCH(K475,Интервалы!$G$2:$G$513,0)))</f>
        <v/>
      </c>
      <c r="E475" s="4" t="str">
        <f t="shared" si="7"/>
        <v/>
      </c>
      <c r="F475" s="8" t="str">
        <f>IF(K475="","",INDEX(Интервалы!$E$2:$E$513,MATCH(K475,Интервалы!$G$2:$G$513,0)))</f>
        <v/>
      </c>
      <c r="G475" s="18" t="str">
        <f>IF(K475="","",IF(H475=1,INDEX('По дням'!$B$2:$B$4000,MATCH(C475,'По дням'!$A$2:$A$4000,0)),"по периодам ставки"))</f>
        <v/>
      </c>
      <c r="H475" s="4" t="str">
        <f>IF(K475="","",INDEX(Интервалы!$I$2:$I$513,MATCH(K475,Интервалы!$G$2:$G$513,0)))</f>
        <v/>
      </c>
      <c r="I475" s="8" t="str">
        <f>IF(K475="","",INDEX(Интервалы!$F$2:$F$513,MATCH(K475,Интервалы!$G$2:$G$513,0)))</f>
        <v/>
      </c>
      <c r="J475" s="8" t="str">
        <f>IF(K475="","",INDEX(Интервалы!$H$2:$H$513,MATCH(K475,Интервалы!$G$2:$G$513,0)))</f>
        <v/>
      </c>
      <c r="K475" t="str">
        <f>IFERROR(SMALL(Интервалы!$G$2:$G$513,469),"")</f>
        <v/>
      </c>
      <c r="L475" t="str">
        <f>IF(K475="","",INDEX(Интервалы!$B$2:$B$513,MATCH(K475,Интервалы!$G$2:$G$513,0)))</f>
        <v/>
      </c>
    </row>
    <row r="476" spans="1:12" x14ac:dyDescent="0.3">
      <c r="A476" s="4" t="str">
        <f>IF(K476="","",470)</f>
        <v/>
      </c>
      <c r="B476" s="4" t="str">
        <f>IF(K476="","",INDEX(Интервалы!$A$2:$A$513,MATCH(K476,Интервалы!$G$2:$G$513,0)))</f>
        <v/>
      </c>
      <c r="C476" s="17" t="str">
        <f>IF(K476="","",INDEX(Интервалы!$C$2:$C$513,MATCH(K476,Интервалы!$G$2:$G$513,0)))</f>
        <v/>
      </c>
      <c r="D476" s="17" t="str">
        <f>IF(K476="","",INDEX(Интервалы!$D$2:$D$513,MATCH(K476,Интервалы!$G$2:$G$513,0)))</f>
        <v/>
      </c>
      <c r="E476" s="4" t="str">
        <f t="shared" si="7"/>
        <v/>
      </c>
      <c r="F476" s="8" t="str">
        <f>IF(K476="","",INDEX(Интервалы!$E$2:$E$513,MATCH(K476,Интервалы!$G$2:$G$513,0)))</f>
        <v/>
      </c>
      <c r="G476" s="18" t="str">
        <f>IF(K476="","",IF(H476=1,INDEX('По дням'!$B$2:$B$4000,MATCH(C476,'По дням'!$A$2:$A$4000,0)),"по периодам ставки"))</f>
        <v/>
      </c>
      <c r="H476" s="4" t="str">
        <f>IF(K476="","",INDEX(Интервалы!$I$2:$I$513,MATCH(K476,Интервалы!$G$2:$G$513,0)))</f>
        <v/>
      </c>
      <c r="I476" s="8" t="str">
        <f>IF(K476="","",INDEX(Интервалы!$F$2:$F$513,MATCH(K476,Интервалы!$G$2:$G$513,0)))</f>
        <v/>
      </c>
      <c r="J476" s="8" t="str">
        <f>IF(K476="","",INDEX(Интервалы!$H$2:$H$513,MATCH(K476,Интервалы!$G$2:$G$513,0)))</f>
        <v/>
      </c>
      <c r="K476" t="str">
        <f>IFERROR(SMALL(Интервалы!$G$2:$G$513,470),"")</f>
        <v/>
      </c>
      <c r="L476" t="str">
        <f>IF(K476="","",INDEX(Интервалы!$B$2:$B$513,MATCH(K476,Интервалы!$G$2:$G$513,0)))</f>
        <v/>
      </c>
    </row>
    <row r="477" spans="1:12" x14ac:dyDescent="0.3">
      <c r="A477" s="4" t="str">
        <f>IF(K477="","",471)</f>
        <v/>
      </c>
      <c r="B477" s="4" t="str">
        <f>IF(K477="","",INDEX(Интервалы!$A$2:$A$513,MATCH(K477,Интервалы!$G$2:$G$513,0)))</f>
        <v/>
      </c>
      <c r="C477" s="17" t="str">
        <f>IF(K477="","",INDEX(Интервалы!$C$2:$C$513,MATCH(K477,Интервалы!$G$2:$G$513,0)))</f>
        <v/>
      </c>
      <c r="D477" s="17" t="str">
        <f>IF(K477="","",INDEX(Интервалы!$D$2:$D$513,MATCH(K477,Интервалы!$G$2:$G$513,0)))</f>
        <v/>
      </c>
      <c r="E477" s="4" t="str">
        <f t="shared" si="7"/>
        <v/>
      </c>
      <c r="F477" s="8" t="str">
        <f>IF(K477="","",INDEX(Интервалы!$E$2:$E$513,MATCH(K477,Интервалы!$G$2:$G$513,0)))</f>
        <v/>
      </c>
      <c r="G477" s="18" t="str">
        <f>IF(K477="","",IF(H477=1,INDEX('По дням'!$B$2:$B$4000,MATCH(C477,'По дням'!$A$2:$A$4000,0)),"по периодам ставки"))</f>
        <v/>
      </c>
      <c r="H477" s="4" t="str">
        <f>IF(K477="","",INDEX(Интервалы!$I$2:$I$513,MATCH(K477,Интервалы!$G$2:$G$513,0)))</f>
        <v/>
      </c>
      <c r="I477" s="8" t="str">
        <f>IF(K477="","",INDEX(Интервалы!$F$2:$F$513,MATCH(K477,Интервалы!$G$2:$G$513,0)))</f>
        <v/>
      </c>
      <c r="J477" s="8" t="str">
        <f>IF(K477="","",INDEX(Интервалы!$H$2:$H$513,MATCH(K477,Интервалы!$G$2:$G$513,0)))</f>
        <v/>
      </c>
      <c r="K477" t="str">
        <f>IFERROR(SMALL(Интервалы!$G$2:$G$513,471),"")</f>
        <v/>
      </c>
      <c r="L477" t="str">
        <f>IF(K477="","",INDEX(Интервалы!$B$2:$B$513,MATCH(K477,Интервалы!$G$2:$G$513,0)))</f>
        <v/>
      </c>
    </row>
    <row r="478" spans="1:12" x14ac:dyDescent="0.3">
      <c r="A478" s="4" t="str">
        <f>IF(K478="","",472)</f>
        <v/>
      </c>
      <c r="B478" s="4" t="str">
        <f>IF(K478="","",INDEX(Интервалы!$A$2:$A$513,MATCH(K478,Интервалы!$G$2:$G$513,0)))</f>
        <v/>
      </c>
      <c r="C478" s="17" t="str">
        <f>IF(K478="","",INDEX(Интервалы!$C$2:$C$513,MATCH(K478,Интервалы!$G$2:$G$513,0)))</f>
        <v/>
      </c>
      <c r="D478" s="17" t="str">
        <f>IF(K478="","",INDEX(Интервалы!$D$2:$D$513,MATCH(K478,Интервалы!$G$2:$G$513,0)))</f>
        <v/>
      </c>
      <c r="E478" s="4" t="str">
        <f t="shared" si="7"/>
        <v/>
      </c>
      <c r="F478" s="8" t="str">
        <f>IF(K478="","",INDEX(Интервалы!$E$2:$E$513,MATCH(K478,Интервалы!$G$2:$G$513,0)))</f>
        <v/>
      </c>
      <c r="G478" s="18" t="str">
        <f>IF(K478="","",IF(H478=1,INDEX('По дням'!$B$2:$B$4000,MATCH(C478,'По дням'!$A$2:$A$4000,0)),"по периодам ставки"))</f>
        <v/>
      </c>
      <c r="H478" s="4" t="str">
        <f>IF(K478="","",INDEX(Интервалы!$I$2:$I$513,MATCH(K478,Интервалы!$G$2:$G$513,0)))</f>
        <v/>
      </c>
      <c r="I478" s="8" t="str">
        <f>IF(K478="","",INDEX(Интервалы!$F$2:$F$513,MATCH(K478,Интервалы!$G$2:$G$513,0)))</f>
        <v/>
      </c>
      <c r="J478" s="8" t="str">
        <f>IF(K478="","",INDEX(Интервалы!$H$2:$H$513,MATCH(K478,Интервалы!$G$2:$G$513,0)))</f>
        <v/>
      </c>
      <c r="K478" t="str">
        <f>IFERROR(SMALL(Интервалы!$G$2:$G$513,472),"")</f>
        <v/>
      </c>
      <c r="L478" t="str">
        <f>IF(K478="","",INDEX(Интервалы!$B$2:$B$513,MATCH(K478,Интервалы!$G$2:$G$513,0)))</f>
        <v/>
      </c>
    </row>
    <row r="479" spans="1:12" x14ac:dyDescent="0.3">
      <c r="A479" s="4" t="str">
        <f>IF(K479="","",473)</f>
        <v/>
      </c>
      <c r="B479" s="4" t="str">
        <f>IF(K479="","",INDEX(Интервалы!$A$2:$A$513,MATCH(K479,Интервалы!$G$2:$G$513,0)))</f>
        <v/>
      </c>
      <c r="C479" s="17" t="str">
        <f>IF(K479="","",INDEX(Интервалы!$C$2:$C$513,MATCH(K479,Интервалы!$G$2:$G$513,0)))</f>
        <v/>
      </c>
      <c r="D479" s="17" t="str">
        <f>IF(K479="","",INDEX(Интервалы!$D$2:$D$513,MATCH(K479,Интервалы!$G$2:$G$513,0)))</f>
        <v/>
      </c>
      <c r="E479" s="4" t="str">
        <f t="shared" si="7"/>
        <v/>
      </c>
      <c r="F479" s="8" t="str">
        <f>IF(K479="","",INDEX(Интервалы!$E$2:$E$513,MATCH(K479,Интервалы!$G$2:$G$513,0)))</f>
        <v/>
      </c>
      <c r="G479" s="18" t="str">
        <f>IF(K479="","",IF(H479=1,INDEX('По дням'!$B$2:$B$4000,MATCH(C479,'По дням'!$A$2:$A$4000,0)),"по периодам ставки"))</f>
        <v/>
      </c>
      <c r="H479" s="4" t="str">
        <f>IF(K479="","",INDEX(Интервалы!$I$2:$I$513,MATCH(K479,Интервалы!$G$2:$G$513,0)))</f>
        <v/>
      </c>
      <c r="I479" s="8" t="str">
        <f>IF(K479="","",INDEX(Интервалы!$F$2:$F$513,MATCH(K479,Интервалы!$G$2:$G$513,0)))</f>
        <v/>
      </c>
      <c r="J479" s="8" t="str">
        <f>IF(K479="","",INDEX(Интервалы!$H$2:$H$513,MATCH(K479,Интервалы!$G$2:$G$513,0)))</f>
        <v/>
      </c>
      <c r="K479" t="str">
        <f>IFERROR(SMALL(Интервалы!$G$2:$G$513,473),"")</f>
        <v/>
      </c>
      <c r="L479" t="str">
        <f>IF(K479="","",INDEX(Интервалы!$B$2:$B$513,MATCH(K479,Интервалы!$G$2:$G$513,0)))</f>
        <v/>
      </c>
    </row>
    <row r="480" spans="1:12" x14ac:dyDescent="0.3">
      <c r="A480" s="4" t="str">
        <f>IF(K480="","",474)</f>
        <v/>
      </c>
      <c r="B480" s="4" t="str">
        <f>IF(K480="","",INDEX(Интервалы!$A$2:$A$513,MATCH(K480,Интервалы!$G$2:$G$513,0)))</f>
        <v/>
      </c>
      <c r="C480" s="17" t="str">
        <f>IF(K480="","",INDEX(Интервалы!$C$2:$C$513,MATCH(K480,Интервалы!$G$2:$G$513,0)))</f>
        <v/>
      </c>
      <c r="D480" s="17" t="str">
        <f>IF(K480="","",INDEX(Интервалы!$D$2:$D$513,MATCH(K480,Интервалы!$G$2:$G$513,0)))</f>
        <v/>
      </c>
      <c r="E480" s="4" t="str">
        <f t="shared" si="7"/>
        <v/>
      </c>
      <c r="F480" s="8" t="str">
        <f>IF(K480="","",INDEX(Интервалы!$E$2:$E$513,MATCH(K480,Интервалы!$G$2:$G$513,0)))</f>
        <v/>
      </c>
      <c r="G480" s="18" t="str">
        <f>IF(K480="","",IF(H480=1,INDEX('По дням'!$B$2:$B$4000,MATCH(C480,'По дням'!$A$2:$A$4000,0)),"по периодам ставки"))</f>
        <v/>
      </c>
      <c r="H480" s="4" t="str">
        <f>IF(K480="","",INDEX(Интервалы!$I$2:$I$513,MATCH(K480,Интервалы!$G$2:$G$513,0)))</f>
        <v/>
      </c>
      <c r="I480" s="8" t="str">
        <f>IF(K480="","",INDEX(Интервалы!$F$2:$F$513,MATCH(K480,Интервалы!$G$2:$G$513,0)))</f>
        <v/>
      </c>
      <c r="J480" s="8" t="str">
        <f>IF(K480="","",INDEX(Интервалы!$H$2:$H$513,MATCH(K480,Интервалы!$G$2:$G$513,0)))</f>
        <v/>
      </c>
      <c r="K480" t="str">
        <f>IFERROR(SMALL(Интервалы!$G$2:$G$513,474),"")</f>
        <v/>
      </c>
      <c r="L480" t="str">
        <f>IF(K480="","",INDEX(Интервалы!$B$2:$B$513,MATCH(K480,Интервалы!$G$2:$G$513,0)))</f>
        <v/>
      </c>
    </row>
    <row r="481" spans="1:12" x14ac:dyDescent="0.3">
      <c r="A481" s="4" t="str">
        <f>IF(K481="","",475)</f>
        <v/>
      </c>
      <c r="B481" s="4" t="str">
        <f>IF(K481="","",INDEX(Интервалы!$A$2:$A$513,MATCH(K481,Интервалы!$G$2:$G$513,0)))</f>
        <v/>
      </c>
      <c r="C481" s="17" t="str">
        <f>IF(K481="","",INDEX(Интервалы!$C$2:$C$513,MATCH(K481,Интервалы!$G$2:$G$513,0)))</f>
        <v/>
      </c>
      <c r="D481" s="17" t="str">
        <f>IF(K481="","",INDEX(Интервалы!$D$2:$D$513,MATCH(K481,Интервалы!$G$2:$G$513,0)))</f>
        <v/>
      </c>
      <c r="E481" s="4" t="str">
        <f t="shared" si="7"/>
        <v/>
      </c>
      <c r="F481" s="8" t="str">
        <f>IF(K481="","",INDEX(Интервалы!$E$2:$E$513,MATCH(K481,Интервалы!$G$2:$G$513,0)))</f>
        <v/>
      </c>
      <c r="G481" s="18" t="str">
        <f>IF(K481="","",IF(H481=1,INDEX('По дням'!$B$2:$B$4000,MATCH(C481,'По дням'!$A$2:$A$4000,0)),"по периодам ставки"))</f>
        <v/>
      </c>
      <c r="H481" s="4" t="str">
        <f>IF(K481="","",INDEX(Интервалы!$I$2:$I$513,MATCH(K481,Интервалы!$G$2:$G$513,0)))</f>
        <v/>
      </c>
      <c r="I481" s="8" t="str">
        <f>IF(K481="","",INDEX(Интервалы!$F$2:$F$513,MATCH(K481,Интервалы!$G$2:$G$513,0)))</f>
        <v/>
      </c>
      <c r="J481" s="8" t="str">
        <f>IF(K481="","",INDEX(Интервалы!$H$2:$H$513,MATCH(K481,Интервалы!$G$2:$G$513,0)))</f>
        <v/>
      </c>
      <c r="K481" t="str">
        <f>IFERROR(SMALL(Интервалы!$G$2:$G$513,475),"")</f>
        <v/>
      </c>
      <c r="L481" t="str">
        <f>IF(K481="","",INDEX(Интервалы!$B$2:$B$513,MATCH(K481,Интервалы!$G$2:$G$513,0)))</f>
        <v/>
      </c>
    </row>
    <row r="482" spans="1:12" x14ac:dyDescent="0.3">
      <c r="A482" s="4" t="str">
        <f>IF(K482="","",476)</f>
        <v/>
      </c>
      <c r="B482" s="4" t="str">
        <f>IF(K482="","",INDEX(Интервалы!$A$2:$A$513,MATCH(K482,Интервалы!$G$2:$G$513,0)))</f>
        <v/>
      </c>
      <c r="C482" s="17" t="str">
        <f>IF(K482="","",INDEX(Интервалы!$C$2:$C$513,MATCH(K482,Интервалы!$G$2:$G$513,0)))</f>
        <v/>
      </c>
      <c r="D482" s="17" t="str">
        <f>IF(K482="","",INDEX(Интервалы!$D$2:$D$513,MATCH(K482,Интервалы!$G$2:$G$513,0)))</f>
        <v/>
      </c>
      <c r="E482" s="4" t="str">
        <f t="shared" si="7"/>
        <v/>
      </c>
      <c r="F482" s="8" t="str">
        <f>IF(K482="","",INDEX(Интервалы!$E$2:$E$513,MATCH(K482,Интервалы!$G$2:$G$513,0)))</f>
        <v/>
      </c>
      <c r="G482" s="18" t="str">
        <f>IF(K482="","",IF(H482=1,INDEX('По дням'!$B$2:$B$4000,MATCH(C482,'По дням'!$A$2:$A$4000,0)),"по периодам ставки"))</f>
        <v/>
      </c>
      <c r="H482" s="4" t="str">
        <f>IF(K482="","",INDEX(Интервалы!$I$2:$I$513,MATCH(K482,Интервалы!$G$2:$G$513,0)))</f>
        <v/>
      </c>
      <c r="I482" s="8" t="str">
        <f>IF(K482="","",INDEX(Интервалы!$F$2:$F$513,MATCH(K482,Интервалы!$G$2:$G$513,0)))</f>
        <v/>
      </c>
      <c r="J482" s="8" t="str">
        <f>IF(K482="","",INDEX(Интервалы!$H$2:$H$513,MATCH(K482,Интервалы!$G$2:$G$513,0)))</f>
        <v/>
      </c>
      <c r="K482" t="str">
        <f>IFERROR(SMALL(Интервалы!$G$2:$G$513,476),"")</f>
        <v/>
      </c>
      <c r="L482" t="str">
        <f>IF(K482="","",INDEX(Интервалы!$B$2:$B$513,MATCH(K482,Интервалы!$G$2:$G$513,0)))</f>
        <v/>
      </c>
    </row>
    <row r="483" spans="1:12" x14ac:dyDescent="0.3">
      <c r="A483" s="4" t="str">
        <f>IF(K483="","",477)</f>
        <v/>
      </c>
      <c r="B483" s="4" t="str">
        <f>IF(K483="","",INDEX(Интервалы!$A$2:$A$513,MATCH(K483,Интервалы!$G$2:$G$513,0)))</f>
        <v/>
      </c>
      <c r="C483" s="17" t="str">
        <f>IF(K483="","",INDEX(Интервалы!$C$2:$C$513,MATCH(K483,Интервалы!$G$2:$G$513,0)))</f>
        <v/>
      </c>
      <c r="D483" s="17" t="str">
        <f>IF(K483="","",INDEX(Интервалы!$D$2:$D$513,MATCH(K483,Интервалы!$G$2:$G$513,0)))</f>
        <v/>
      </c>
      <c r="E483" s="4" t="str">
        <f t="shared" si="7"/>
        <v/>
      </c>
      <c r="F483" s="8" t="str">
        <f>IF(K483="","",INDEX(Интервалы!$E$2:$E$513,MATCH(K483,Интервалы!$G$2:$G$513,0)))</f>
        <v/>
      </c>
      <c r="G483" s="18" t="str">
        <f>IF(K483="","",IF(H483=1,INDEX('По дням'!$B$2:$B$4000,MATCH(C483,'По дням'!$A$2:$A$4000,0)),"по периодам ставки"))</f>
        <v/>
      </c>
      <c r="H483" s="4" t="str">
        <f>IF(K483="","",INDEX(Интервалы!$I$2:$I$513,MATCH(K483,Интервалы!$G$2:$G$513,0)))</f>
        <v/>
      </c>
      <c r="I483" s="8" t="str">
        <f>IF(K483="","",INDEX(Интервалы!$F$2:$F$513,MATCH(K483,Интервалы!$G$2:$G$513,0)))</f>
        <v/>
      </c>
      <c r="J483" s="8" t="str">
        <f>IF(K483="","",INDEX(Интервалы!$H$2:$H$513,MATCH(K483,Интервалы!$G$2:$G$513,0)))</f>
        <v/>
      </c>
      <c r="K483" t="str">
        <f>IFERROR(SMALL(Интервалы!$G$2:$G$513,477),"")</f>
        <v/>
      </c>
      <c r="L483" t="str">
        <f>IF(K483="","",INDEX(Интервалы!$B$2:$B$513,MATCH(K483,Интервалы!$G$2:$G$513,0)))</f>
        <v/>
      </c>
    </row>
    <row r="484" spans="1:12" x14ac:dyDescent="0.3">
      <c r="A484" s="4" t="str">
        <f>IF(K484="","",478)</f>
        <v/>
      </c>
      <c r="B484" s="4" t="str">
        <f>IF(K484="","",INDEX(Интервалы!$A$2:$A$513,MATCH(K484,Интервалы!$G$2:$G$513,0)))</f>
        <v/>
      </c>
      <c r="C484" s="17" t="str">
        <f>IF(K484="","",INDEX(Интервалы!$C$2:$C$513,MATCH(K484,Интервалы!$G$2:$G$513,0)))</f>
        <v/>
      </c>
      <c r="D484" s="17" t="str">
        <f>IF(K484="","",INDEX(Интервалы!$D$2:$D$513,MATCH(K484,Интервалы!$G$2:$G$513,0)))</f>
        <v/>
      </c>
      <c r="E484" s="4" t="str">
        <f t="shared" si="7"/>
        <v/>
      </c>
      <c r="F484" s="8" t="str">
        <f>IF(K484="","",INDEX(Интервалы!$E$2:$E$513,MATCH(K484,Интервалы!$G$2:$G$513,0)))</f>
        <v/>
      </c>
      <c r="G484" s="18" t="str">
        <f>IF(K484="","",IF(H484=1,INDEX('По дням'!$B$2:$B$4000,MATCH(C484,'По дням'!$A$2:$A$4000,0)),"по периодам ставки"))</f>
        <v/>
      </c>
      <c r="H484" s="4" t="str">
        <f>IF(K484="","",INDEX(Интервалы!$I$2:$I$513,MATCH(K484,Интервалы!$G$2:$G$513,0)))</f>
        <v/>
      </c>
      <c r="I484" s="8" t="str">
        <f>IF(K484="","",INDEX(Интервалы!$F$2:$F$513,MATCH(K484,Интервалы!$G$2:$G$513,0)))</f>
        <v/>
      </c>
      <c r="J484" s="8" t="str">
        <f>IF(K484="","",INDEX(Интервалы!$H$2:$H$513,MATCH(K484,Интервалы!$G$2:$G$513,0)))</f>
        <v/>
      </c>
      <c r="K484" t="str">
        <f>IFERROR(SMALL(Интервалы!$G$2:$G$513,478),"")</f>
        <v/>
      </c>
      <c r="L484" t="str">
        <f>IF(K484="","",INDEX(Интервалы!$B$2:$B$513,MATCH(K484,Интервалы!$G$2:$G$513,0)))</f>
        <v/>
      </c>
    </row>
    <row r="485" spans="1:12" x14ac:dyDescent="0.3">
      <c r="A485" s="4" t="str">
        <f>IF(K485="","",479)</f>
        <v/>
      </c>
      <c r="B485" s="4" t="str">
        <f>IF(K485="","",INDEX(Интервалы!$A$2:$A$513,MATCH(K485,Интервалы!$G$2:$G$513,0)))</f>
        <v/>
      </c>
      <c r="C485" s="17" t="str">
        <f>IF(K485="","",INDEX(Интервалы!$C$2:$C$513,MATCH(K485,Интервалы!$G$2:$G$513,0)))</f>
        <v/>
      </c>
      <c r="D485" s="17" t="str">
        <f>IF(K485="","",INDEX(Интервалы!$D$2:$D$513,MATCH(K485,Интервалы!$G$2:$G$513,0)))</f>
        <v/>
      </c>
      <c r="E485" s="4" t="str">
        <f t="shared" si="7"/>
        <v/>
      </c>
      <c r="F485" s="8" t="str">
        <f>IF(K485="","",INDEX(Интервалы!$E$2:$E$513,MATCH(K485,Интервалы!$G$2:$G$513,0)))</f>
        <v/>
      </c>
      <c r="G485" s="18" t="str">
        <f>IF(K485="","",IF(H485=1,INDEX('По дням'!$B$2:$B$4000,MATCH(C485,'По дням'!$A$2:$A$4000,0)),"по периодам ставки"))</f>
        <v/>
      </c>
      <c r="H485" s="4" t="str">
        <f>IF(K485="","",INDEX(Интервалы!$I$2:$I$513,MATCH(K485,Интервалы!$G$2:$G$513,0)))</f>
        <v/>
      </c>
      <c r="I485" s="8" t="str">
        <f>IF(K485="","",INDEX(Интервалы!$F$2:$F$513,MATCH(K485,Интервалы!$G$2:$G$513,0)))</f>
        <v/>
      </c>
      <c r="J485" s="8" t="str">
        <f>IF(K485="","",INDEX(Интервалы!$H$2:$H$513,MATCH(K485,Интервалы!$G$2:$G$513,0)))</f>
        <v/>
      </c>
      <c r="K485" t="str">
        <f>IFERROR(SMALL(Интервалы!$G$2:$G$513,479),"")</f>
        <v/>
      </c>
      <c r="L485" t="str">
        <f>IF(K485="","",INDEX(Интервалы!$B$2:$B$513,MATCH(K485,Интервалы!$G$2:$G$513,0)))</f>
        <v/>
      </c>
    </row>
    <row r="486" spans="1:12" x14ac:dyDescent="0.3">
      <c r="A486" s="4" t="str">
        <f>IF(K486="","",480)</f>
        <v/>
      </c>
      <c r="B486" s="4" t="str">
        <f>IF(K486="","",INDEX(Интервалы!$A$2:$A$513,MATCH(K486,Интервалы!$G$2:$G$513,0)))</f>
        <v/>
      </c>
      <c r="C486" s="17" t="str">
        <f>IF(K486="","",INDEX(Интервалы!$C$2:$C$513,MATCH(K486,Интервалы!$G$2:$G$513,0)))</f>
        <v/>
      </c>
      <c r="D486" s="17" t="str">
        <f>IF(K486="","",INDEX(Интервалы!$D$2:$D$513,MATCH(K486,Интервалы!$G$2:$G$513,0)))</f>
        <v/>
      </c>
      <c r="E486" s="4" t="str">
        <f t="shared" si="7"/>
        <v/>
      </c>
      <c r="F486" s="8" t="str">
        <f>IF(K486="","",INDEX(Интервалы!$E$2:$E$513,MATCH(K486,Интервалы!$G$2:$G$513,0)))</f>
        <v/>
      </c>
      <c r="G486" s="18" t="str">
        <f>IF(K486="","",IF(H486=1,INDEX('По дням'!$B$2:$B$4000,MATCH(C486,'По дням'!$A$2:$A$4000,0)),"по периодам ставки"))</f>
        <v/>
      </c>
      <c r="H486" s="4" t="str">
        <f>IF(K486="","",INDEX(Интервалы!$I$2:$I$513,MATCH(K486,Интервалы!$G$2:$G$513,0)))</f>
        <v/>
      </c>
      <c r="I486" s="8" t="str">
        <f>IF(K486="","",INDEX(Интервалы!$F$2:$F$513,MATCH(K486,Интервалы!$G$2:$G$513,0)))</f>
        <v/>
      </c>
      <c r="J486" s="8" t="str">
        <f>IF(K486="","",INDEX(Интервалы!$H$2:$H$513,MATCH(K486,Интервалы!$G$2:$G$513,0)))</f>
        <v/>
      </c>
      <c r="K486" t="str">
        <f>IFERROR(SMALL(Интервалы!$G$2:$G$513,480),"")</f>
        <v/>
      </c>
      <c r="L486" t="str">
        <f>IF(K486="","",INDEX(Интервалы!$B$2:$B$513,MATCH(K486,Интервалы!$G$2:$G$513,0)))</f>
        <v/>
      </c>
    </row>
    <row r="487" spans="1:12" x14ac:dyDescent="0.3">
      <c r="A487" s="4" t="str">
        <f>IF(K487="","",481)</f>
        <v/>
      </c>
      <c r="B487" s="4" t="str">
        <f>IF(K487="","",INDEX(Интервалы!$A$2:$A$513,MATCH(K487,Интервалы!$G$2:$G$513,0)))</f>
        <v/>
      </c>
      <c r="C487" s="17" t="str">
        <f>IF(K487="","",INDEX(Интервалы!$C$2:$C$513,MATCH(K487,Интервалы!$G$2:$G$513,0)))</f>
        <v/>
      </c>
      <c r="D487" s="17" t="str">
        <f>IF(K487="","",INDEX(Интервалы!$D$2:$D$513,MATCH(K487,Интервалы!$G$2:$G$513,0)))</f>
        <v/>
      </c>
      <c r="E487" s="4" t="str">
        <f t="shared" si="7"/>
        <v/>
      </c>
      <c r="F487" s="8" t="str">
        <f>IF(K487="","",INDEX(Интервалы!$E$2:$E$513,MATCH(K487,Интервалы!$G$2:$G$513,0)))</f>
        <v/>
      </c>
      <c r="G487" s="18" t="str">
        <f>IF(K487="","",IF(H487=1,INDEX('По дням'!$B$2:$B$4000,MATCH(C487,'По дням'!$A$2:$A$4000,0)),"по периодам ставки"))</f>
        <v/>
      </c>
      <c r="H487" s="4" t="str">
        <f>IF(K487="","",INDEX(Интервалы!$I$2:$I$513,MATCH(K487,Интервалы!$G$2:$G$513,0)))</f>
        <v/>
      </c>
      <c r="I487" s="8" t="str">
        <f>IF(K487="","",INDEX(Интервалы!$F$2:$F$513,MATCH(K487,Интервалы!$G$2:$G$513,0)))</f>
        <v/>
      </c>
      <c r="J487" s="8" t="str">
        <f>IF(K487="","",INDEX(Интервалы!$H$2:$H$513,MATCH(K487,Интервалы!$G$2:$G$513,0)))</f>
        <v/>
      </c>
      <c r="K487" t="str">
        <f>IFERROR(SMALL(Интервалы!$G$2:$G$513,481),"")</f>
        <v/>
      </c>
      <c r="L487" t="str">
        <f>IF(K487="","",INDEX(Интервалы!$B$2:$B$513,MATCH(K487,Интервалы!$G$2:$G$513,0)))</f>
        <v/>
      </c>
    </row>
    <row r="488" spans="1:12" x14ac:dyDescent="0.3">
      <c r="A488" s="4" t="str">
        <f>IF(K488="","",482)</f>
        <v/>
      </c>
      <c r="B488" s="4" t="str">
        <f>IF(K488="","",INDEX(Интервалы!$A$2:$A$513,MATCH(K488,Интервалы!$G$2:$G$513,0)))</f>
        <v/>
      </c>
      <c r="C488" s="17" t="str">
        <f>IF(K488="","",INDEX(Интервалы!$C$2:$C$513,MATCH(K488,Интервалы!$G$2:$G$513,0)))</f>
        <v/>
      </c>
      <c r="D488" s="17" t="str">
        <f>IF(K488="","",INDEX(Интервалы!$D$2:$D$513,MATCH(K488,Интервалы!$G$2:$G$513,0)))</f>
        <v/>
      </c>
      <c r="E488" s="4" t="str">
        <f t="shared" si="7"/>
        <v/>
      </c>
      <c r="F488" s="8" t="str">
        <f>IF(K488="","",INDEX(Интервалы!$E$2:$E$513,MATCH(K488,Интервалы!$G$2:$G$513,0)))</f>
        <v/>
      </c>
      <c r="G488" s="18" t="str">
        <f>IF(K488="","",IF(H488=1,INDEX('По дням'!$B$2:$B$4000,MATCH(C488,'По дням'!$A$2:$A$4000,0)),"по периодам ставки"))</f>
        <v/>
      </c>
      <c r="H488" s="4" t="str">
        <f>IF(K488="","",INDEX(Интервалы!$I$2:$I$513,MATCH(K488,Интервалы!$G$2:$G$513,0)))</f>
        <v/>
      </c>
      <c r="I488" s="8" t="str">
        <f>IF(K488="","",INDEX(Интервалы!$F$2:$F$513,MATCH(K488,Интервалы!$G$2:$G$513,0)))</f>
        <v/>
      </c>
      <c r="J488" s="8" t="str">
        <f>IF(K488="","",INDEX(Интервалы!$H$2:$H$513,MATCH(K488,Интервалы!$G$2:$G$513,0)))</f>
        <v/>
      </c>
      <c r="K488" t="str">
        <f>IFERROR(SMALL(Интервалы!$G$2:$G$513,482),"")</f>
        <v/>
      </c>
      <c r="L488" t="str">
        <f>IF(K488="","",INDEX(Интервалы!$B$2:$B$513,MATCH(K488,Интервалы!$G$2:$G$513,0)))</f>
        <v/>
      </c>
    </row>
    <row r="489" spans="1:12" x14ac:dyDescent="0.3">
      <c r="A489" s="4" t="str">
        <f>IF(K489="","",483)</f>
        <v/>
      </c>
      <c r="B489" s="4" t="str">
        <f>IF(K489="","",INDEX(Интервалы!$A$2:$A$513,MATCH(K489,Интервалы!$G$2:$G$513,0)))</f>
        <v/>
      </c>
      <c r="C489" s="17" t="str">
        <f>IF(K489="","",INDEX(Интервалы!$C$2:$C$513,MATCH(K489,Интервалы!$G$2:$G$513,0)))</f>
        <v/>
      </c>
      <c r="D489" s="17" t="str">
        <f>IF(K489="","",INDEX(Интервалы!$D$2:$D$513,MATCH(K489,Интервалы!$G$2:$G$513,0)))</f>
        <v/>
      </c>
      <c r="E489" s="4" t="str">
        <f t="shared" si="7"/>
        <v/>
      </c>
      <c r="F489" s="8" t="str">
        <f>IF(K489="","",INDEX(Интервалы!$E$2:$E$513,MATCH(K489,Интервалы!$G$2:$G$513,0)))</f>
        <v/>
      </c>
      <c r="G489" s="18" t="str">
        <f>IF(K489="","",IF(H489=1,INDEX('По дням'!$B$2:$B$4000,MATCH(C489,'По дням'!$A$2:$A$4000,0)),"по периодам ставки"))</f>
        <v/>
      </c>
      <c r="H489" s="4" t="str">
        <f>IF(K489="","",INDEX(Интервалы!$I$2:$I$513,MATCH(K489,Интервалы!$G$2:$G$513,0)))</f>
        <v/>
      </c>
      <c r="I489" s="8" t="str">
        <f>IF(K489="","",INDEX(Интервалы!$F$2:$F$513,MATCH(K489,Интервалы!$G$2:$G$513,0)))</f>
        <v/>
      </c>
      <c r="J489" s="8" t="str">
        <f>IF(K489="","",INDEX(Интервалы!$H$2:$H$513,MATCH(K489,Интервалы!$G$2:$G$513,0)))</f>
        <v/>
      </c>
      <c r="K489" t="str">
        <f>IFERROR(SMALL(Интервалы!$G$2:$G$513,483),"")</f>
        <v/>
      </c>
      <c r="L489" t="str">
        <f>IF(K489="","",INDEX(Интервалы!$B$2:$B$513,MATCH(K489,Интервалы!$G$2:$G$513,0)))</f>
        <v/>
      </c>
    </row>
    <row r="490" spans="1:12" x14ac:dyDescent="0.3">
      <c r="A490" s="4" t="str">
        <f>IF(K490="","",484)</f>
        <v/>
      </c>
      <c r="B490" s="4" t="str">
        <f>IF(K490="","",INDEX(Интервалы!$A$2:$A$513,MATCH(K490,Интервалы!$G$2:$G$513,0)))</f>
        <v/>
      </c>
      <c r="C490" s="17" t="str">
        <f>IF(K490="","",INDEX(Интервалы!$C$2:$C$513,MATCH(K490,Интервалы!$G$2:$G$513,0)))</f>
        <v/>
      </c>
      <c r="D490" s="17" t="str">
        <f>IF(K490="","",INDEX(Интервалы!$D$2:$D$513,MATCH(K490,Интервалы!$G$2:$G$513,0)))</f>
        <v/>
      </c>
      <c r="E490" s="4" t="str">
        <f t="shared" si="7"/>
        <v/>
      </c>
      <c r="F490" s="8" t="str">
        <f>IF(K490="","",INDEX(Интервалы!$E$2:$E$513,MATCH(K490,Интервалы!$G$2:$G$513,0)))</f>
        <v/>
      </c>
      <c r="G490" s="18" t="str">
        <f>IF(K490="","",IF(H490=1,INDEX('По дням'!$B$2:$B$4000,MATCH(C490,'По дням'!$A$2:$A$4000,0)),"по периодам ставки"))</f>
        <v/>
      </c>
      <c r="H490" s="4" t="str">
        <f>IF(K490="","",INDEX(Интервалы!$I$2:$I$513,MATCH(K490,Интервалы!$G$2:$G$513,0)))</f>
        <v/>
      </c>
      <c r="I490" s="8" t="str">
        <f>IF(K490="","",INDEX(Интервалы!$F$2:$F$513,MATCH(K490,Интервалы!$G$2:$G$513,0)))</f>
        <v/>
      </c>
      <c r="J490" s="8" t="str">
        <f>IF(K490="","",INDEX(Интервалы!$H$2:$H$513,MATCH(K490,Интервалы!$G$2:$G$513,0)))</f>
        <v/>
      </c>
      <c r="K490" t="str">
        <f>IFERROR(SMALL(Интервалы!$G$2:$G$513,484),"")</f>
        <v/>
      </c>
      <c r="L490" t="str">
        <f>IF(K490="","",INDEX(Интервалы!$B$2:$B$513,MATCH(K490,Интервалы!$G$2:$G$513,0)))</f>
        <v/>
      </c>
    </row>
    <row r="491" spans="1:12" x14ac:dyDescent="0.3">
      <c r="A491" s="4" t="str">
        <f>IF(K491="","",485)</f>
        <v/>
      </c>
      <c r="B491" s="4" t="str">
        <f>IF(K491="","",INDEX(Интервалы!$A$2:$A$513,MATCH(K491,Интервалы!$G$2:$G$513,0)))</f>
        <v/>
      </c>
      <c r="C491" s="17" t="str">
        <f>IF(K491="","",INDEX(Интервалы!$C$2:$C$513,MATCH(K491,Интервалы!$G$2:$G$513,0)))</f>
        <v/>
      </c>
      <c r="D491" s="17" t="str">
        <f>IF(K491="","",INDEX(Интервалы!$D$2:$D$513,MATCH(K491,Интервалы!$G$2:$G$513,0)))</f>
        <v/>
      </c>
      <c r="E491" s="4" t="str">
        <f t="shared" si="7"/>
        <v/>
      </c>
      <c r="F491" s="8" t="str">
        <f>IF(K491="","",INDEX(Интервалы!$E$2:$E$513,MATCH(K491,Интервалы!$G$2:$G$513,0)))</f>
        <v/>
      </c>
      <c r="G491" s="18" t="str">
        <f>IF(K491="","",IF(H491=1,INDEX('По дням'!$B$2:$B$4000,MATCH(C491,'По дням'!$A$2:$A$4000,0)),"по периодам ставки"))</f>
        <v/>
      </c>
      <c r="H491" s="4" t="str">
        <f>IF(K491="","",INDEX(Интервалы!$I$2:$I$513,MATCH(K491,Интервалы!$G$2:$G$513,0)))</f>
        <v/>
      </c>
      <c r="I491" s="8" t="str">
        <f>IF(K491="","",INDEX(Интервалы!$F$2:$F$513,MATCH(K491,Интервалы!$G$2:$G$513,0)))</f>
        <v/>
      </c>
      <c r="J491" s="8" t="str">
        <f>IF(K491="","",INDEX(Интервалы!$H$2:$H$513,MATCH(K491,Интервалы!$G$2:$G$513,0)))</f>
        <v/>
      </c>
      <c r="K491" t="str">
        <f>IFERROR(SMALL(Интервалы!$G$2:$G$513,485),"")</f>
        <v/>
      </c>
      <c r="L491" t="str">
        <f>IF(K491="","",INDEX(Интервалы!$B$2:$B$513,MATCH(K491,Интервалы!$G$2:$G$513,0)))</f>
        <v/>
      </c>
    </row>
    <row r="492" spans="1:12" x14ac:dyDescent="0.3">
      <c r="A492" s="4" t="str">
        <f>IF(K492="","",486)</f>
        <v/>
      </c>
      <c r="B492" s="4" t="str">
        <f>IF(K492="","",INDEX(Интервалы!$A$2:$A$513,MATCH(K492,Интервалы!$G$2:$G$513,0)))</f>
        <v/>
      </c>
      <c r="C492" s="17" t="str">
        <f>IF(K492="","",INDEX(Интервалы!$C$2:$C$513,MATCH(K492,Интервалы!$G$2:$G$513,0)))</f>
        <v/>
      </c>
      <c r="D492" s="17" t="str">
        <f>IF(K492="","",INDEX(Интервалы!$D$2:$D$513,MATCH(K492,Интервалы!$G$2:$G$513,0)))</f>
        <v/>
      </c>
      <c r="E492" s="4" t="str">
        <f t="shared" si="7"/>
        <v/>
      </c>
      <c r="F492" s="8" t="str">
        <f>IF(K492="","",INDEX(Интервалы!$E$2:$E$513,MATCH(K492,Интервалы!$G$2:$G$513,0)))</f>
        <v/>
      </c>
      <c r="G492" s="18" t="str">
        <f>IF(K492="","",IF(H492=1,INDEX('По дням'!$B$2:$B$4000,MATCH(C492,'По дням'!$A$2:$A$4000,0)),"по периодам ставки"))</f>
        <v/>
      </c>
      <c r="H492" s="4" t="str">
        <f>IF(K492="","",INDEX(Интервалы!$I$2:$I$513,MATCH(K492,Интервалы!$G$2:$G$513,0)))</f>
        <v/>
      </c>
      <c r="I492" s="8" t="str">
        <f>IF(K492="","",INDEX(Интервалы!$F$2:$F$513,MATCH(K492,Интервалы!$G$2:$G$513,0)))</f>
        <v/>
      </c>
      <c r="J492" s="8" t="str">
        <f>IF(K492="","",INDEX(Интервалы!$H$2:$H$513,MATCH(K492,Интервалы!$G$2:$G$513,0)))</f>
        <v/>
      </c>
      <c r="K492" t="str">
        <f>IFERROR(SMALL(Интервалы!$G$2:$G$513,486),"")</f>
        <v/>
      </c>
      <c r="L492" t="str">
        <f>IF(K492="","",INDEX(Интервалы!$B$2:$B$513,MATCH(K492,Интервалы!$G$2:$G$513,0)))</f>
        <v/>
      </c>
    </row>
    <row r="493" spans="1:12" x14ac:dyDescent="0.3">
      <c r="A493" s="4" t="str">
        <f>IF(K493="","",487)</f>
        <v/>
      </c>
      <c r="B493" s="4" t="str">
        <f>IF(K493="","",INDEX(Интервалы!$A$2:$A$513,MATCH(K493,Интервалы!$G$2:$G$513,0)))</f>
        <v/>
      </c>
      <c r="C493" s="17" t="str">
        <f>IF(K493="","",INDEX(Интервалы!$C$2:$C$513,MATCH(K493,Интервалы!$G$2:$G$513,0)))</f>
        <v/>
      </c>
      <c r="D493" s="17" t="str">
        <f>IF(K493="","",INDEX(Интервалы!$D$2:$D$513,MATCH(K493,Интервалы!$G$2:$G$513,0)))</f>
        <v/>
      </c>
      <c r="E493" s="4" t="str">
        <f t="shared" si="7"/>
        <v/>
      </c>
      <c r="F493" s="8" t="str">
        <f>IF(K493="","",INDEX(Интервалы!$E$2:$E$513,MATCH(K493,Интервалы!$G$2:$G$513,0)))</f>
        <v/>
      </c>
      <c r="G493" s="18" t="str">
        <f>IF(K493="","",IF(H493=1,INDEX('По дням'!$B$2:$B$4000,MATCH(C493,'По дням'!$A$2:$A$4000,0)),"по периодам ставки"))</f>
        <v/>
      </c>
      <c r="H493" s="4" t="str">
        <f>IF(K493="","",INDEX(Интервалы!$I$2:$I$513,MATCH(K493,Интервалы!$G$2:$G$513,0)))</f>
        <v/>
      </c>
      <c r="I493" s="8" t="str">
        <f>IF(K493="","",INDEX(Интервалы!$F$2:$F$513,MATCH(K493,Интервалы!$G$2:$G$513,0)))</f>
        <v/>
      </c>
      <c r="J493" s="8" t="str">
        <f>IF(K493="","",INDEX(Интервалы!$H$2:$H$513,MATCH(K493,Интервалы!$G$2:$G$513,0)))</f>
        <v/>
      </c>
      <c r="K493" t="str">
        <f>IFERROR(SMALL(Интервалы!$G$2:$G$513,487),"")</f>
        <v/>
      </c>
      <c r="L493" t="str">
        <f>IF(K493="","",INDEX(Интервалы!$B$2:$B$513,MATCH(K493,Интервалы!$G$2:$G$513,0)))</f>
        <v/>
      </c>
    </row>
    <row r="494" spans="1:12" x14ac:dyDescent="0.3">
      <c r="A494" s="4" t="str">
        <f>IF(K494="","",488)</f>
        <v/>
      </c>
      <c r="B494" s="4" t="str">
        <f>IF(K494="","",INDEX(Интервалы!$A$2:$A$513,MATCH(K494,Интервалы!$G$2:$G$513,0)))</f>
        <v/>
      </c>
      <c r="C494" s="17" t="str">
        <f>IF(K494="","",INDEX(Интервалы!$C$2:$C$513,MATCH(K494,Интервалы!$G$2:$G$513,0)))</f>
        <v/>
      </c>
      <c r="D494" s="17" t="str">
        <f>IF(K494="","",INDEX(Интервалы!$D$2:$D$513,MATCH(K494,Интервалы!$G$2:$G$513,0)))</f>
        <v/>
      </c>
      <c r="E494" s="4" t="str">
        <f t="shared" si="7"/>
        <v/>
      </c>
      <c r="F494" s="8" t="str">
        <f>IF(K494="","",INDEX(Интервалы!$E$2:$E$513,MATCH(K494,Интервалы!$G$2:$G$513,0)))</f>
        <v/>
      </c>
      <c r="G494" s="18" t="str">
        <f>IF(K494="","",IF(H494=1,INDEX('По дням'!$B$2:$B$4000,MATCH(C494,'По дням'!$A$2:$A$4000,0)),"по периодам ставки"))</f>
        <v/>
      </c>
      <c r="H494" s="4" t="str">
        <f>IF(K494="","",INDEX(Интервалы!$I$2:$I$513,MATCH(K494,Интервалы!$G$2:$G$513,0)))</f>
        <v/>
      </c>
      <c r="I494" s="8" t="str">
        <f>IF(K494="","",INDEX(Интервалы!$F$2:$F$513,MATCH(K494,Интервалы!$G$2:$G$513,0)))</f>
        <v/>
      </c>
      <c r="J494" s="8" t="str">
        <f>IF(K494="","",INDEX(Интервалы!$H$2:$H$513,MATCH(K494,Интервалы!$G$2:$G$513,0)))</f>
        <v/>
      </c>
      <c r="K494" t="str">
        <f>IFERROR(SMALL(Интервалы!$G$2:$G$513,488),"")</f>
        <v/>
      </c>
      <c r="L494" t="str">
        <f>IF(K494="","",INDEX(Интервалы!$B$2:$B$513,MATCH(K494,Интервалы!$G$2:$G$513,0)))</f>
        <v/>
      </c>
    </row>
    <row r="495" spans="1:12" x14ac:dyDescent="0.3">
      <c r="A495" s="4" t="str">
        <f>IF(K495="","",489)</f>
        <v/>
      </c>
      <c r="B495" s="4" t="str">
        <f>IF(K495="","",INDEX(Интервалы!$A$2:$A$513,MATCH(K495,Интервалы!$G$2:$G$513,0)))</f>
        <v/>
      </c>
      <c r="C495" s="17" t="str">
        <f>IF(K495="","",INDEX(Интервалы!$C$2:$C$513,MATCH(K495,Интервалы!$G$2:$G$513,0)))</f>
        <v/>
      </c>
      <c r="D495" s="17" t="str">
        <f>IF(K495="","",INDEX(Интервалы!$D$2:$D$513,MATCH(K495,Интервалы!$G$2:$G$513,0)))</f>
        <v/>
      </c>
      <c r="E495" s="4" t="str">
        <f t="shared" si="7"/>
        <v/>
      </c>
      <c r="F495" s="8" t="str">
        <f>IF(K495="","",INDEX(Интервалы!$E$2:$E$513,MATCH(K495,Интервалы!$G$2:$G$513,0)))</f>
        <v/>
      </c>
      <c r="G495" s="18" t="str">
        <f>IF(K495="","",IF(H495=1,INDEX('По дням'!$B$2:$B$4000,MATCH(C495,'По дням'!$A$2:$A$4000,0)),"по периодам ставки"))</f>
        <v/>
      </c>
      <c r="H495" s="4" t="str">
        <f>IF(K495="","",INDEX(Интервалы!$I$2:$I$513,MATCH(K495,Интервалы!$G$2:$G$513,0)))</f>
        <v/>
      </c>
      <c r="I495" s="8" t="str">
        <f>IF(K495="","",INDEX(Интервалы!$F$2:$F$513,MATCH(K495,Интервалы!$G$2:$G$513,0)))</f>
        <v/>
      </c>
      <c r="J495" s="8" t="str">
        <f>IF(K495="","",INDEX(Интервалы!$H$2:$H$513,MATCH(K495,Интервалы!$G$2:$G$513,0)))</f>
        <v/>
      </c>
      <c r="K495" t="str">
        <f>IFERROR(SMALL(Интервалы!$G$2:$G$513,489),"")</f>
        <v/>
      </c>
      <c r="L495" t="str">
        <f>IF(K495="","",INDEX(Интервалы!$B$2:$B$513,MATCH(K495,Интервалы!$G$2:$G$513,0)))</f>
        <v/>
      </c>
    </row>
    <row r="496" spans="1:12" x14ac:dyDescent="0.3">
      <c r="A496" s="4" t="str">
        <f>IF(K496="","",490)</f>
        <v/>
      </c>
      <c r="B496" s="4" t="str">
        <f>IF(K496="","",INDEX(Интервалы!$A$2:$A$513,MATCH(K496,Интервалы!$G$2:$G$513,0)))</f>
        <v/>
      </c>
      <c r="C496" s="17" t="str">
        <f>IF(K496="","",INDEX(Интервалы!$C$2:$C$513,MATCH(K496,Интервалы!$G$2:$G$513,0)))</f>
        <v/>
      </c>
      <c r="D496" s="17" t="str">
        <f>IF(K496="","",INDEX(Интервалы!$D$2:$D$513,MATCH(K496,Интервалы!$G$2:$G$513,0)))</f>
        <v/>
      </c>
      <c r="E496" s="4" t="str">
        <f t="shared" si="7"/>
        <v/>
      </c>
      <c r="F496" s="8" t="str">
        <f>IF(K496="","",INDEX(Интервалы!$E$2:$E$513,MATCH(K496,Интервалы!$G$2:$G$513,0)))</f>
        <v/>
      </c>
      <c r="G496" s="18" t="str">
        <f>IF(K496="","",IF(H496=1,INDEX('По дням'!$B$2:$B$4000,MATCH(C496,'По дням'!$A$2:$A$4000,0)),"по периодам ставки"))</f>
        <v/>
      </c>
      <c r="H496" s="4" t="str">
        <f>IF(K496="","",INDEX(Интервалы!$I$2:$I$513,MATCH(K496,Интервалы!$G$2:$G$513,0)))</f>
        <v/>
      </c>
      <c r="I496" s="8" t="str">
        <f>IF(K496="","",INDEX(Интервалы!$F$2:$F$513,MATCH(K496,Интервалы!$G$2:$G$513,0)))</f>
        <v/>
      </c>
      <c r="J496" s="8" t="str">
        <f>IF(K496="","",INDEX(Интервалы!$H$2:$H$513,MATCH(K496,Интервалы!$G$2:$G$513,0)))</f>
        <v/>
      </c>
      <c r="K496" t="str">
        <f>IFERROR(SMALL(Интервалы!$G$2:$G$513,490),"")</f>
        <v/>
      </c>
      <c r="L496" t="str">
        <f>IF(K496="","",INDEX(Интервалы!$B$2:$B$513,MATCH(K496,Интервалы!$G$2:$G$513,0)))</f>
        <v/>
      </c>
    </row>
    <row r="497" spans="1:12" x14ac:dyDescent="0.3">
      <c r="A497" s="4" t="str">
        <f>IF(K497="","",491)</f>
        <v/>
      </c>
      <c r="B497" s="4" t="str">
        <f>IF(K497="","",INDEX(Интервалы!$A$2:$A$513,MATCH(K497,Интервалы!$G$2:$G$513,0)))</f>
        <v/>
      </c>
      <c r="C497" s="17" t="str">
        <f>IF(K497="","",INDEX(Интервалы!$C$2:$C$513,MATCH(K497,Интервалы!$G$2:$G$513,0)))</f>
        <v/>
      </c>
      <c r="D497" s="17" t="str">
        <f>IF(K497="","",INDEX(Интервалы!$D$2:$D$513,MATCH(K497,Интервалы!$G$2:$G$513,0)))</f>
        <v/>
      </c>
      <c r="E497" s="4" t="str">
        <f t="shared" si="7"/>
        <v/>
      </c>
      <c r="F497" s="8" t="str">
        <f>IF(K497="","",INDEX(Интервалы!$E$2:$E$513,MATCH(K497,Интервалы!$G$2:$G$513,0)))</f>
        <v/>
      </c>
      <c r="G497" s="18" t="str">
        <f>IF(K497="","",IF(H497=1,INDEX('По дням'!$B$2:$B$4000,MATCH(C497,'По дням'!$A$2:$A$4000,0)),"по периодам ставки"))</f>
        <v/>
      </c>
      <c r="H497" s="4" t="str">
        <f>IF(K497="","",INDEX(Интервалы!$I$2:$I$513,MATCH(K497,Интервалы!$G$2:$G$513,0)))</f>
        <v/>
      </c>
      <c r="I497" s="8" t="str">
        <f>IF(K497="","",INDEX(Интервалы!$F$2:$F$513,MATCH(K497,Интервалы!$G$2:$G$513,0)))</f>
        <v/>
      </c>
      <c r="J497" s="8" t="str">
        <f>IF(K497="","",INDEX(Интервалы!$H$2:$H$513,MATCH(K497,Интервалы!$G$2:$G$513,0)))</f>
        <v/>
      </c>
      <c r="K497" t="str">
        <f>IFERROR(SMALL(Интервалы!$G$2:$G$513,491),"")</f>
        <v/>
      </c>
      <c r="L497" t="str">
        <f>IF(K497="","",INDEX(Интервалы!$B$2:$B$513,MATCH(K497,Интервалы!$G$2:$G$513,0)))</f>
        <v/>
      </c>
    </row>
    <row r="498" spans="1:12" x14ac:dyDescent="0.3">
      <c r="A498" s="4" t="str">
        <f>IF(K498="","",492)</f>
        <v/>
      </c>
      <c r="B498" s="4" t="str">
        <f>IF(K498="","",INDEX(Интервалы!$A$2:$A$513,MATCH(K498,Интервалы!$G$2:$G$513,0)))</f>
        <v/>
      </c>
      <c r="C498" s="17" t="str">
        <f>IF(K498="","",INDEX(Интервалы!$C$2:$C$513,MATCH(K498,Интервалы!$G$2:$G$513,0)))</f>
        <v/>
      </c>
      <c r="D498" s="17" t="str">
        <f>IF(K498="","",INDEX(Интервалы!$D$2:$D$513,MATCH(K498,Интервалы!$G$2:$G$513,0)))</f>
        <v/>
      </c>
      <c r="E498" s="4" t="str">
        <f t="shared" si="7"/>
        <v/>
      </c>
      <c r="F498" s="8" t="str">
        <f>IF(K498="","",INDEX(Интервалы!$E$2:$E$513,MATCH(K498,Интервалы!$G$2:$G$513,0)))</f>
        <v/>
      </c>
      <c r="G498" s="18" t="str">
        <f>IF(K498="","",IF(H498=1,INDEX('По дням'!$B$2:$B$4000,MATCH(C498,'По дням'!$A$2:$A$4000,0)),"по периодам ставки"))</f>
        <v/>
      </c>
      <c r="H498" s="4" t="str">
        <f>IF(K498="","",INDEX(Интервалы!$I$2:$I$513,MATCH(K498,Интервалы!$G$2:$G$513,0)))</f>
        <v/>
      </c>
      <c r="I498" s="8" t="str">
        <f>IF(K498="","",INDEX(Интервалы!$F$2:$F$513,MATCH(K498,Интервалы!$G$2:$G$513,0)))</f>
        <v/>
      </c>
      <c r="J498" s="8" t="str">
        <f>IF(K498="","",INDEX(Интервалы!$H$2:$H$513,MATCH(K498,Интервалы!$G$2:$G$513,0)))</f>
        <v/>
      </c>
      <c r="K498" t="str">
        <f>IFERROR(SMALL(Интервалы!$G$2:$G$513,492),"")</f>
        <v/>
      </c>
      <c r="L498" t="str">
        <f>IF(K498="","",INDEX(Интервалы!$B$2:$B$513,MATCH(K498,Интервалы!$G$2:$G$513,0)))</f>
        <v/>
      </c>
    </row>
    <row r="499" spans="1:12" x14ac:dyDescent="0.3">
      <c r="A499" s="4" t="str">
        <f>IF(K499="","",493)</f>
        <v/>
      </c>
      <c r="B499" s="4" t="str">
        <f>IF(K499="","",INDEX(Интервалы!$A$2:$A$513,MATCH(K499,Интервалы!$G$2:$G$513,0)))</f>
        <v/>
      </c>
      <c r="C499" s="17" t="str">
        <f>IF(K499="","",INDEX(Интервалы!$C$2:$C$513,MATCH(K499,Интервалы!$G$2:$G$513,0)))</f>
        <v/>
      </c>
      <c r="D499" s="17" t="str">
        <f>IF(K499="","",INDEX(Интервалы!$D$2:$D$513,MATCH(K499,Интервалы!$G$2:$G$513,0)))</f>
        <v/>
      </c>
      <c r="E499" s="4" t="str">
        <f t="shared" si="7"/>
        <v/>
      </c>
      <c r="F499" s="8" t="str">
        <f>IF(K499="","",INDEX(Интервалы!$E$2:$E$513,MATCH(K499,Интервалы!$G$2:$G$513,0)))</f>
        <v/>
      </c>
      <c r="G499" s="18" t="str">
        <f>IF(K499="","",IF(H499=1,INDEX('По дням'!$B$2:$B$4000,MATCH(C499,'По дням'!$A$2:$A$4000,0)),"по периодам ставки"))</f>
        <v/>
      </c>
      <c r="H499" s="4" t="str">
        <f>IF(K499="","",INDEX(Интервалы!$I$2:$I$513,MATCH(K499,Интервалы!$G$2:$G$513,0)))</f>
        <v/>
      </c>
      <c r="I499" s="8" t="str">
        <f>IF(K499="","",INDEX(Интервалы!$F$2:$F$513,MATCH(K499,Интервалы!$G$2:$G$513,0)))</f>
        <v/>
      </c>
      <c r="J499" s="8" t="str">
        <f>IF(K499="","",INDEX(Интервалы!$H$2:$H$513,MATCH(K499,Интервалы!$G$2:$G$513,0)))</f>
        <v/>
      </c>
      <c r="K499" t="str">
        <f>IFERROR(SMALL(Интервалы!$G$2:$G$513,493),"")</f>
        <v/>
      </c>
      <c r="L499" t="str">
        <f>IF(K499="","",INDEX(Интервалы!$B$2:$B$513,MATCH(K499,Интервалы!$G$2:$G$513,0)))</f>
        <v/>
      </c>
    </row>
    <row r="500" spans="1:12" x14ac:dyDescent="0.3">
      <c r="A500" s="4" t="str">
        <f>IF(K500="","",494)</f>
        <v/>
      </c>
      <c r="B500" s="4" t="str">
        <f>IF(K500="","",INDEX(Интервалы!$A$2:$A$513,MATCH(K500,Интервалы!$G$2:$G$513,0)))</f>
        <v/>
      </c>
      <c r="C500" s="17" t="str">
        <f>IF(K500="","",INDEX(Интервалы!$C$2:$C$513,MATCH(K500,Интервалы!$G$2:$G$513,0)))</f>
        <v/>
      </c>
      <c r="D500" s="17" t="str">
        <f>IF(K500="","",INDEX(Интервалы!$D$2:$D$513,MATCH(K500,Интервалы!$G$2:$G$513,0)))</f>
        <v/>
      </c>
      <c r="E500" s="4" t="str">
        <f t="shared" si="7"/>
        <v/>
      </c>
      <c r="F500" s="8" t="str">
        <f>IF(K500="","",INDEX(Интервалы!$E$2:$E$513,MATCH(K500,Интервалы!$G$2:$G$513,0)))</f>
        <v/>
      </c>
      <c r="G500" s="18" t="str">
        <f>IF(K500="","",IF(H500=1,INDEX('По дням'!$B$2:$B$4000,MATCH(C500,'По дням'!$A$2:$A$4000,0)),"по периодам ставки"))</f>
        <v/>
      </c>
      <c r="H500" s="4" t="str">
        <f>IF(K500="","",INDEX(Интервалы!$I$2:$I$513,MATCH(K500,Интервалы!$G$2:$G$513,0)))</f>
        <v/>
      </c>
      <c r="I500" s="8" t="str">
        <f>IF(K500="","",INDEX(Интервалы!$F$2:$F$513,MATCH(K500,Интервалы!$G$2:$G$513,0)))</f>
        <v/>
      </c>
      <c r="J500" s="8" t="str">
        <f>IF(K500="","",INDEX(Интервалы!$H$2:$H$513,MATCH(K500,Интервалы!$G$2:$G$513,0)))</f>
        <v/>
      </c>
      <c r="K500" t="str">
        <f>IFERROR(SMALL(Интервалы!$G$2:$G$513,494),"")</f>
        <v/>
      </c>
      <c r="L500" t="str">
        <f>IF(K500="","",INDEX(Интервалы!$B$2:$B$513,MATCH(K500,Интервалы!$G$2:$G$513,0)))</f>
        <v/>
      </c>
    </row>
    <row r="501" spans="1:12" x14ac:dyDescent="0.3">
      <c r="A501" s="4" t="str">
        <f>IF(K501="","",495)</f>
        <v/>
      </c>
      <c r="B501" s="4" t="str">
        <f>IF(K501="","",INDEX(Интервалы!$A$2:$A$513,MATCH(K501,Интервалы!$G$2:$G$513,0)))</f>
        <v/>
      </c>
      <c r="C501" s="17" t="str">
        <f>IF(K501="","",INDEX(Интервалы!$C$2:$C$513,MATCH(K501,Интервалы!$G$2:$G$513,0)))</f>
        <v/>
      </c>
      <c r="D501" s="17" t="str">
        <f>IF(K501="","",INDEX(Интервалы!$D$2:$D$513,MATCH(K501,Интервалы!$G$2:$G$513,0)))</f>
        <v/>
      </c>
      <c r="E501" s="4" t="str">
        <f t="shared" si="7"/>
        <v/>
      </c>
      <c r="F501" s="8" t="str">
        <f>IF(K501="","",INDEX(Интервалы!$E$2:$E$513,MATCH(K501,Интервалы!$G$2:$G$513,0)))</f>
        <v/>
      </c>
      <c r="G501" s="18" t="str">
        <f>IF(K501="","",IF(H501=1,INDEX('По дням'!$B$2:$B$4000,MATCH(C501,'По дням'!$A$2:$A$4000,0)),"по периодам ставки"))</f>
        <v/>
      </c>
      <c r="H501" s="4" t="str">
        <f>IF(K501="","",INDEX(Интервалы!$I$2:$I$513,MATCH(K501,Интервалы!$G$2:$G$513,0)))</f>
        <v/>
      </c>
      <c r="I501" s="8" t="str">
        <f>IF(K501="","",INDEX(Интервалы!$F$2:$F$513,MATCH(K501,Интервалы!$G$2:$G$513,0)))</f>
        <v/>
      </c>
      <c r="J501" s="8" t="str">
        <f>IF(K501="","",INDEX(Интервалы!$H$2:$H$513,MATCH(K501,Интервалы!$G$2:$G$513,0)))</f>
        <v/>
      </c>
      <c r="K501" t="str">
        <f>IFERROR(SMALL(Интервалы!$G$2:$G$513,495),"")</f>
        <v/>
      </c>
      <c r="L501" t="str">
        <f>IF(K501="","",INDEX(Интервалы!$B$2:$B$513,MATCH(K501,Интервалы!$G$2:$G$513,0)))</f>
        <v/>
      </c>
    </row>
    <row r="502" spans="1:12" x14ac:dyDescent="0.3">
      <c r="A502" s="4" t="str">
        <f>IF(K502="","",496)</f>
        <v/>
      </c>
      <c r="B502" s="4" t="str">
        <f>IF(K502="","",INDEX(Интервалы!$A$2:$A$513,MATCH(K502,Интервалы!$G$2:$G$513,0)))</f>
        <v/>
      </c>
      <c r="C502" s="17" t="str">
        <f>IF(K502="","",INDEX(Интервалы!$C$2:$C$513,MATCH(K502,Интервалы!$G$2:$G$513,0)))</f>
        <v/>
      </c>
      <c r="D502" s="17" t="str">
        <f>IF(K502="","",INDEX(Интервалы!$D$2:$D$513,MATCH(K502,Интервалы!$G$2:$G$513,0)))</f>
        <v/>
      </c>
      <c r="E502" s="4" t="str">
        <f t="shared" si="7"/>
        <v/>
      </c>
      <c r="F502" s="8" t="str">
        <f>IF(K502="","",INDEX(Интервалы!$E$2:$E$513,MATCH(K502,Интервалы!$G$2:$G$513,0)))</f>
        <v/>
      </c>
      <c r="G502" s="18" t="str">
        <f>IF(K502="","",IF(H502=1,INDEX('По дням'!$B$2:$B$4000,MATCH(C502,'По дням'!$A$2:$A$4000,0)),"по периодам ставки"))</f>
        <v/>
      </c>
      <c r="H502" s="4" t="str">
        <f>IF(K502="","",INDEX(Интервалы!$I$2:$I$513,MATCH(K502,Интервалы!$G$2:$G$513,0)))</f>
        <v/>
      </c>
      <c r="I502" s="8" t="str">
        <f>IF(K502="","",INDEX(Интервалы!$F$2:$F$513,MATCH(K502,Интервалы!$G$2:$G$513,0)))</f>
        <v/>
      </c>
      <c r="J502" s="8" t="str">
        <f>IF(K502="","",INDEX(Интервалы!$H$2:$H$513,MATCH(K502,Интервалы!$G$2:$G$513,0)))</f>
        <v/>
      </c>
      <c r="K502" t="str">
        <f>IFERROR(SMALL(Интервалы!$G$2:$G$513,496),"")</f>
        <v/>
      </c>
      <c r="L502" t="str">
        <f>IF(K502="","",INDEX(Интервалы!$B$2:$B$513,MATCH(K502,Интервалы!$G$2:$G$513,0)))</f>
        <v/>
      </c>
    </row>
    <row r="503" spans="1:12" x14ac:dyDescent="0.3">
      <c r="A503" s="4" t="str">
        <f>IF(K503="","",497)</f>
        <v/>
      </c>
      <c r="B503" s="4" t="str">
        <f>IF(K503="","",INDEX(Интервалы!$A$2:$A$513,MATCH(K503,Интервалы!$G$2:$G$513,0)))</f>
        <v/>
      </c>
      <c r="C503" s="17" t="str">
        <f>IF(K503="","",INDEX(Интервалы!$C$2:$C$513,MATCH(K503,Интервалы!$G$2:$G$513,0)))</f>
        <v/>
      </c>
      <c r="D503" s="17" t="str">
        <f>IF(K503="","",INDEX(Интервалы!$D$2:$D$513,MATCH(K503,Интервалы!$G$2:$G$513,0)))</f>
        <v/>
      </c>
      <c r="E503" s="4" t="str">
        <f t="shared" si="7"/>
        <v/>
      </c>
      <c r="F503" s="8" t="str">
        <f>IF(K503="","",INDEX(Интервалы!$E$2:$E$513,MATCH(K503,Интервалы!$G$2:$G$513,0)))</f>
        <v/>
      </c>
      <c r="G503" s="18" t="str">
        <f>IF(K503="","",IF(H503=1,INDEX('По дням'!$B$2:$B$4000,MATCH(C503,'По дням'!$A$2:$A$4000,0)),"по периодам ставки"))</f>
        <v/>
      </c>
      <c r="H503" s="4" t="str">
        <f>IF(K503="","",INDEX(Интервалы!$I$2:$I$513,MATCH(K503,Интервалы!$G$2:$G$513,0)))</f>
        <v/>
      </c>
      <c r="I503" s="8" t="str">
        <f>IF(K503="","",INDEX(Интервалы!$F$2:$F$513,MATCH(K503,Интервалы!$G$2:$G$513,0)))</f>
        <v/>
      </c>
      <c r="J503" s="8" t="str">
        <f>IF(K503="","",INDEX(Интервалы!$H$2:$H$513,MATCH(K503,Интервалы!$G$2:$G$513,0)))</f>
        <v/>
      </c>
      <c r="K503" t="str">
        <f>IFERROR(SMALL(Интервалы!$G$2:$G$513,497),"")</f>
        <v/>
      </c>
      <c r="L503" t="str">
        <f>IF(K503="","",INDEX(Интервалы!$B$2:$B$513,MATCH(K503,Интервалы!$G$2:$G$513,0)))</f>
        <v/>
      </c>
    </row>
    <row r="504" spans="1:12" x14ac:dyDescent="0.3">
      <c r="A504" s="4" t="str">
        <f>IF(K504="","",498)</f>
        <v/>
      </c>
      <c r="B504" s="4" t="str">
        <f>IF(K504="","",INDEX(Интервалы!$A$2:$A$513,MATCH(K504,Интервалы!$G$2:$G$513,0)))</f>
        <v/>
      </c>
      <c r="C504" s="17" t="str">
        <f>IF(K504="","",INDEX(Интервалы!$C$2:$C$513,MATCH(K504,Интервалы!$G$2:$G$513,0)))</f>
        <v/>
      </c>
      <c r="D504" s="17" t="str">
        <f>IF(K504="","",INDEX(Интервалы!$D$2:$D$513,MATCH(K504,Интервалы!$G$2:$G$513,0)))</f>
        <v/>
      </c>
      <c r="E504" s="4" t="str">
        <f t="shared" si="7"/>
        <v/>
      </c>
      <c r="F504" s="8" t="str">
        <f>IF(K504="","",INDEX(Интервалы!$E$2:$E$513,MATCH(K504,Интервалы!$G$2:$G$513,0)))</f>
        <v/>
      </c>
      <c r="G504" s="18" t="str">
        <f>IF(K504="","",IF(H504=1,INDEX('По дням'!$B$2:$B$4000,MATCH(C504,'По дням'!$A$2:$A$4000,0)),"по периодам ставки"))</f>
        <v/>
      </c>
      <c r="H504" s="4" t="str">
        <f>IF(K504="","",INDEX(Интервалы!$I$2:$I$513,MATCH(K504,Интервалы!$G$2:$G$513,0)))</f>
        <v/>
      </c>
      <c r="I504" s="8" t="str">
        <f>IF(K504="","",INDEX(Интервалы!$F$2:$F$513,MATCH(K504,Интервалы!$G$2:$G$513,0)))</f>
        <v/>
      </c>
      <c r="J504" s="8" t="str">
        <f>IF(K504="","",INDEX(Интервалы!$H$2:$H$513,MATCH(K504,Интервалы!$G$2:$G$513,0)))</f>
        <v/>
      </c>
      <c r="K504" t="str">
        <f>IFERROR(SMALL(Интервалы!$G$2:$G$513,498),"")</f>
        <v/>
      </c>
      <c r="L504" t="str">
        <f>IF(K504="","",INDEX(Интервалы!$B$2:$B$513,MATCH(K504,Интервалы!$G$2:$G$513,0)))</f>
        <v/>
      </c>
    </row>
    <row r="505" spans="1:12" x14ac:dyDescent="0.3">
      <c r="A505" s="4" t="str">
        <f>IF(K505="","",499)</f>
        <v/>
      </c>
      <c r="B505" s="4" t="str">
        <f>IF(K505="","",INDEX(Интервалы!$A$2:$A$513,MATCH(K505,Интервалы!$G$2:$G$513,0)))</f>
        <v/>
      </c>
      <c r="C505" s="17" t="str">
        <f>IF(K505="","",INDEX(Интервалы!$C$2:$C$513,MATCH(K505,Интервалы!$G$2:$G$513,0)))</f>
        <v/>
      </c>
      <c r="D505" s="17" t="str">
        <f>IF(K505="","",INDEX(Интервалы!$D$2:$D$513,MATCH(K505,Интервалы!$G$2:$G$513,0)))</f>
        <v/>
      </c>
      <c r="E505" s="4" t="str">
        <f t="shared" si="7"/>
        <v/>
      </c>
      <c r="F505" s="8" t="str">
        <f>IF(K505="","",INDEX(Интервалы!$E$2:$E$513,MATCH(K505,Интервалы!$G$2:$G$513,0)))</f>
        <v/>
      </c>
      <c r="G505" s="18" t="str">
        <f>IF(K505="","",IF(H505=1,INDEX('По дням'!$B$2:$B$4000,MATCH(C505,'По дням'!$A$2:$A$4000,0)),"по периодам ставки"))</f>
        <v/>
      </c>
      <c r="H505" s="4" t="str">
        <f>IF(K505="","",INDEX(Интервалы!$I$2:$I$513,MATCH(K505,Интервалы!$G$2:$G$513,0)))</f>
        <v/>
      </c>
      <c r="I505" s="8" t="str">
        <f>IF(K505="","",INDEX(Интервалы!$F$2:$F$513,MATCH(K505,Интервалы!$G$2:$G$513,0)))</f>
        <v/>
      </c>
      <c r="J505" s="8" t="str">
        <f>IF(K505="","",INDEX(Интервалы!$H$2:$H$513,MATCH(K505,Интервалы!$G$2:$G$513,0)))</f>
        <v/>
      </c>
      <c r="K505" t="str">
        <f>IFERROR(SMALL(Интервалы!$G$2:$G$513,499),"")</f>
        <v/>
      </c>
      <c r="L505" t="str">
        <f>IF(K505="","",INDEX(Интервалы!$B$2:$B$513,MATCH(K505,Интервалы!$G$2:$G$513,0)))</f>
        <v/>
      </c>
    </row>
    <row r="506" spans="1:12" x14ac:dyDescent="0.3">
      <c r="A506" s="4" t="str">
        <f>IF(K506="","",500)</f>
        <v/>
      </c>
      <c r="B506" s="4" t="str">
        <f>IF(K506="","",INDEX(Интервалы!$A$2:$A$513,MATCH(K506,Интервалы!$G$2:$G$513,0)))</f>
        <v/>
      </c>
      <c r="C506" s="17" t="str">
        <f>IF(K506="","",INDEX(Интервалы!$C$2:$C$513,MATCH(K506,Интервалы!$G$2:$G$513,0)))</f>
        <v/>
      </c>
      <c r="D506" s="17" t="str">
        <f>IF(K506="","",INDEX(Интервалы!$D$2:$D$513,MATCH(K506,Интервалы!$G$2:$G$513,0)))</f>
        <v/>
      </c>
      <c r="E506" s="4" t="str">
        <f t="shared" si="7"/>
        <v/>
      </c>
      <c r="F506" s="8" t="str">
        <f>IF(K506="","",INDEX(Интервалы!$E$2:$E$513,MATCH(K506,Интервалы!$G$2:$G$513,0)))</f>
        <v/>
      </c>
      <c r="G506" s="18" t="str">
        <f>IF(K506="","",IF(H506=1,INDEX('По дням'!$B$2:$B$4000,MATCH(C506,'По дням'!$A$2:$A$4000,0)),"по периодам ставки"))</f>
        <v/>
      </c>
      <c r="H506" s="4" t="str">
        <f>IF(K506="","",INDEX(Интервалы!$I$2:$I$513,MATCH(K506,Интервалы!$G$2:$G$513,0)))</f>
        <v/>
      </c>
      <c r="I506" s="8" t="str">
        <f>IF(K506="","",INDEX(Интервалы!$F$2:$F$513,MATCH(K506,Интервалы!$G$2:$G$513,0)))</f>
        <v/>
      </c>
      <c r="J506" s="8" t="str">
        <f>IF(K506="","",INDEX(Интервалы!$H$2:$H$513,MATCH(K506,Интервалы!$G$2:$G$513,0)))</f>
        <v/>
      </c>
      <c r="K506" t="str">
        <f>IFERROR(SMALL(Интервалы!$G$2:$G$513,500),"")</f>
        <v/>
      </c>
      <c r="L506" t="str">
        <f>IF(K506="","",INDEX(Интервалы!$B$2:$B$513,MATCH(K506,Интервалы!$G$2:$G$513,0)))</f>
        <v/>
      </c>
    </row>
    <row r="507" spans="1:12" x14ac:dyDescent="0.3">
      <c r="A507" s="4" t="str">
        <f>IF(K507="","",501)</f>
        <v/>
      </c>
      <c r="B507" s="4" t="str">
        <f>IF(K507="","",INDEX(Интервалы!$A$2:$A$513,MATCH(K507,Интервалы!$G$2:$G$513,0)))</f>
        <v/>
      </c>
      <c r="C507" s="17" t="str">
        <f>IF(K507="","",INDEX(Интервалы!$C$2:$C$513,MATCH(K507,Интервалы!$G$2:$G$513,0)))</f>
        <v/>
      </c>
      <c r="D507" s="17" t="str">
        <f>IF(K507="","",INDEX(Интервалы!$D$2:$D$513,MATCH(K507,Интервалы!$G$2:$G$513,0)))</f>
        <v/>
      </c>
      <c r="E507" s="4" t="str">
        <f t="shared" si="7"/>
        <v/>
      </c>
      <c r="F507" s="8" t="str">
        <f>IF(K507="","",INDEX(Интервалы!$E$2:$E$513,MATCH(K507,Интервалы!$G$2:$G$513,0)))</f>
        <v/>
      </c>
      <c r="G507" s="18" t="str">
        <f>IF(K507="","",IF(H507=1,INDEX('По дням'!$B$2:$B$4000,MATCH(C507,'По дням'!$A$2:$A$4000,0)),"по периодам ставки"))</f>
        <v/>
      </c>
      <c r="H507" s="4" t="str">
        <f>IF(K507="","",INDEX(Интервалы!$I$2:$I$513,MATCH(K507,Интервалы!$G$2:$G$513,0)))</f>
        <v/>
      </c>
      <c r="I507" s="8" t="str">
        <f>IF(K507="","",INDEX(Интервалы!$F$2:$F$513,MATCH(K507,Интервалы!$G$2:$G$513,0)))</f>
        <v/>
      </c>
      <c r="J507" s="8" t="str">
        <f>IF(K507="","",INDEX(Интервалы!$H$2:$H$513,MATCH(K507,Интервалы!$G$2:$G$513,0)))</f>
        <v/>
      </c>
      <c r="K507" t="str">
        <f>IFERROR(SMALL(Интервалы!$G$2:$G$513,501),"")</f>
        <v/>
      </c>
      <c r="L507" t="str">
        <f>IF(K507="","",INDEX(Интервалы!$B$2:$B$513,MATCH(K507,Интервалы!$G$2:$G$513,0)))</f>
        <v/>
      </c>
    </row>
    <row r="508" spans="1:12" x14ac:dyDescent="0.3">
      <c r="A508" s="4" t="str">
        <f>IF(K508="","",502)</f>
        <v/>
      </c>
      <c r="B508" s="4" t="str">
        <f>IF(K508="","",INDEX(Интервалы!$A$2:$A$513,MATCH(K508,Интервалы!$G$2:$G$513,0)))</f>
        <v/>
      </c>
      <c r="C508" s="17" t="str">
        <f>IF(K508="","",INDEX(Интервалы!$C$2:$C$513,MATCH(K508,Интервалы!$G$2:$G$513,0)))</f>
        <v/>
      </c>
      <c r="D508" s="17" t="str">
        <f>IF(K508="","",INDEX(Интервалы!$D$2:$D$513,MATCH(K508,Интервалы!$G$2:$G$513,0)))</f>
        <v/>
      </c>
      <c r="E508" s="4" t="str">
        <f t="shared" si="7"/>
        <v/>
      </c>
      <c r="F508" s="8" t="str">
        <f>IF(K508="","",INDEX(Интервалы!$E$2:$E$513,MATCH(K508,Интервалы!$G$2:$G$513,0)))</f>
        <v/>
      </c>
      <c r="G508" s="18" t="str">
        <f>IF(K508="","",IF(H508=1,INDEX('По дням'!$B$2:$B$4000,MATCH(C508,'По дням'!$A$2:$A$4000,0)),"по периодам ставки"))</f>
        <v/>
      </c>
      <c r="H508" s="4" t="str">
        <f>IF(K508="","",INDEX(Интервалы!$I$2:$I$513,MATCH(K508,Интервалы!$G$2:$G$513,0)))</f>
        <v/>
      </c>
      <c r="I508" s="8" t="str">
        <f>IF(K508="","",INDEX(Интервалы!$F$2:$F$513,MATCH(K508,Интервалы!$G$2:$G$513,0)))</f>
        <v/>
      </c>
      <c r="J508" s="8" t="str">
        <f>IF(K508="","",INDEX(Интервалы!$H$2:$H$513,MATCH(K508,Интервалы!$G$2:$G$513,0)))</f>
        <v/>
      </c>
      <c r="K508" t="str">
        <f>IFERROR(SMALL(Интервалы!$G$2:$G$513,502),"")</f>
        <v/>
      </c>
      <c r="L508" t="str">
        <f>IF(K508="","",INDEX(Интервалы!$B$2:$B$513,MATCH(K508,Интервалы!$G$2:$G$513,0)))</f>
        <v/>
      </c>
    </row>
    <row r="509" spans="1:12" x14ac:dyDescent="0.3">
      <c r="A509" s="4" t="str">
        <f>IF(K509="","",503)</f>
        <v/>
      </c>
      <c r="B509" s="4" t="str">
        <f>IF(K509="","",INDEX(Интервалы!$A$2:$A$513,MATCH(K509,Интервалы!$G$2:$G$513,0)))</f>
        <v/>
      </c>
      <c r="C509" s="17" t="str">
        <f>IF(K509="","",INDEX(Интервалы!$C$2:$C$513,MATCH(K509,Интервалы!$G$2:$G$513,0)))</f>
        <v/>
      </c>
      <c r="D509" s="17" t="str">
        <f>IF(K509="","",INDEX(Интервалы!$D$2:$D$513,MATCH(K509,Интервалы!$G$2:$G$513,0)))</f>
        <v/>
      </c>
      <c r="E509" s="4" t="str">
        <f t="shared" si="7"/>
        <v/>
      </c>
      <c r="F509" s="8" t="str">
        <f>IF(K509="","",INDEX(Интервалы!$E$2:$E$513,MATCH(K509,Интервалы!$G$2:$G$513,0)))</f>
        <v/>
      </c>
      <c r="G509" s="18" t="str">
        <f>IF(K509="","",IF(H509=1,INDEX('По дням'!$B$2:$B$4000,MATCH(C509,'По дням'!$A$2:$A$4000,0)),"по периодам ставки"))</f>
        <v/>
      </c>
      <c r="H509" s="4" t="str">
        <f>IF(K509="","",INDEX(Интервалы!$I$2:$I$513,MATCH(K509,Интервалы!$G$2:$G$513,0)))</f>
        <v/>
      </c>
      <c r="I509" s="8" t="str">
        <f>IF(K509="","",INDEX(Интервалы!$F$2:$F$513,MATCH(K509,Интервалы!$G$2:$G$513,0)))</f>
        <v/>
      </c>
      <c r="J509" s="8" t="str">
        <f>IF(K509="","",INDEX(Интервалы!$H$2:$H$513,MATCH(K509,Интервалы!$G$2:$G$513,0)))</f>
        <v/>
      </c>
      <c r="K509" t="str">
        <f>IFERROR(SMALL(Интервалы!$G$2:$G$513,503),"")</f>
        <v/>
      </c>
      <c r="L509" t="str">
        <f>IF(K509="","",INDEX(Интервалы!$B$2:$B$513,MATCH(K509,Интервалы!$G$2:$G$513,0)))</f>
        <v/>
      </c>
    </row>
    <row r="510" spans="1:12" x14ac:dyDescent="0.3">
      <c r="A510" s="4" t="str">
        <f>IF(K510="","",504)</f>
        <v/>
      </c>
      <c r="B510" s="4" t="str">
        <f>IF(K510="","",INDEX(Интервалы!$A$2:$A$513,MATCH(K510,Интервалы!$G$2:$G$513,0)))</f>
        <v/>
      </c>
      <c r="C510" s="17" t="str">
        <f>IF(K510="","",INDEX(Интервалы!$C$2:$C$513,MATCH(K510,Интервалы!$G$2:$G$513,0)))</f>
        <v/>
      </c>
      <c r="D510" s="17" t="str">
        <f>IF(K510="","",INDEX(Интервалы!$D$2:$D$513,MATCH(K510,Интервалы!$G$2:$G$513,0)))</f>
        <v/>
      </c>
      <c r="E510" s="4" t="str">
        <f t="shared" si="7"/>
        <v/>
      </c>
      <c r="F510" s="8" t="str">
        <f>IF(K510="","",INDEX(Интервалы!$E$2:$E$513,MATCH(K510,Интервалы!$G$2:$G$513,0)))</f>
        <v/>
      </c>
      <c r="G510" s="18" t="str">
        <f>IF(K510="","",IF(H510=1,INDEX('По дням'!$B$2:$B$4000,MATCH(C510,'По дням'!$A$2:$A$4000,0)),"по периодам ставки"))</f>
        <v/>
      </c>
      <c r="H510" s="4" t="str">
        <f>IF(K510="","",INDEX(Интервалы!$I$2:$I$513,MATCH(K510,Интервалы!$G$2:$G$513,0)))</f>
        <v/>
      </c>
      <c r="I510" s="8" t="str">
        <f>IF(K510="","",INDEX(Интервалы!$F$2:$F$513,MATCH(K510,Интервалы!$G$2:$G$513,0)))</f>
        <v/>
      </c>
      <c r="J510" s="8" t="str">
        <f>IF(K510="","",INDEX(Интервалы!$H$2:$H$513,MATCH(K510,Интервалы!$G$2:$G$513,0)))</f>
        <v/>
      </c>
      <c r="K510" t="str">
        <f>IFERROR(SMALL(Интервалы!$G$2:$G$513,504),"")</f>
        <v/>
      </c>
      <c r="L510" t="str">
        <f>IF(K510="","",INDEX(Интервалы!$B$2:$B$513,MATCH(K510,Интервалы!$G$2:$G$513,0)))</f>
        <v/>
      </c>
    </row>
    <row r="511" spans="1:12" x14ac:dyDescent="0.3">
      <c r="A511" s="4" t="str">
        <f>IF(K511="","",505)</f>
        <v/>
      </c>
      <c r="B511" s="4" t="str">
        <f>IF(K511="","",INDEX(Интервалы!$A$2:$A$513,MATCH(K511,Интервалы!$G$2:$G$513,0)))</f>
        <v/>
      </c>
      <c r="C511" s="17" t="str">
        <f>IF(K511="","",INDEX(Интервалы!$C$2:$C$513,MATCH(K511,Интервалы!$G$2:$G$513,0)))</f>
        <v/>
      </c>
      <c r="D511" s="17" t="str">
        <f>IF(K511="","",INDEX(Интервалы!$D$2:$D$513,MATCH(K511,Интервалы!$G$2:$G$513,0)))</f>
        <v/>
      </c>
      <c r="E511" s="4" t="str">
        <f t="shared" si="7"/>
        <v/>
      </c>
      <c r="F511" s="8" t="str">
        <f>IF(K511="","",INDEX(Интервалы!$E$2:$E$513,MATCH(K511,Интервалы!$G$2:$G$513,0)))</f>
        <v/>
      </c>
      <c r="G511" s="18" t="str">
        <f>IF(K511="","",IF(H511=1,INDEX('По дням'!$B$2:$B$4000,MATCH(C511,'По дням'!$A$2:$A$4000,0)),"по периодам ставки"))</f>
        <v/>
      </c>
      <c r="H511" s="4" t="str">
        <f>IF(K511="","",INDEX(Интервалы!$I$2:$I$513,MATCH(K511,Интервалы!$G$2:$G$513,0)))</f>
        <v/>
      </c>
      <c r="I511" s="8" t="str">
        <f>IF(K511="","",INDEX(Интервалы!$F$2:$F$513,MATCH(K511,Интервалы!$G$2:$G$513,0)))</f>
        <v/>
      </c>
      <c r="J511" s="8" t="str">
        <f>IF(K511="","",INDEX(Интервалы!$H$2:$H$513,MATCH(K511,Интервалы!$G$2:$G$513,0)))</f>
        <v/>
      </c>
      <c r="K511" t="str">
        <f>IFERROR(SMALL(Интервалы!$G$2:$G$513,505),"")</f>
        <v/>
      </c>
      <c r="L511" t="str">
        <f>IF(K511="","",INDEX(Интервалы!$B$2:$B$513,MATCH(K511,Интервалы!$G$2:$G$513,0)))</f>
        <v/>
      </c>
    </row>
    <row r="512" spans="1:12" x14ac:dyDescent="0.3">
      <c r="A512" s="4" t="str">
        <f>IF(K512="","",506)</f>
        <v/>
      </c>
      <c r="B512" s="4" t="str">
        <f>IF(K512="","",INDEX(Интервалы!$A$2:$A$513,MATCH(K512,Интервалы!$G$2:$G$513,0)))</f>
        <v/>
      </c>
      <c r="C512" s="17" t="str">
        <f>IF(K512="","",INDEX(Интервалы!$C$2:$C$513,MATCH(K512,Интервалы!$G$2:$G$513,0)))</f>
        <v/>
      </c>
      <c r="D512" s="17" t="str">
        <f>IF(K512="","",INDEX(Интервалы!$D$2:$D$513,MATCH(K512,Интервалы!$G$2:$G$513,0)))</f>
        <v/>
      </c>
      <c r="E512" s="4" t="str">
        <f t="shared" si="7"/>
        <v/>
      </c>
      <c r="F512" s="8" t="str">
        <f>IF(K512="","",INDEX(Интервалы!$E$2:$E$513,MATCH(K512,Интервалы!$G$2:$G$513,0)))</f>
        <v/>
      </c>
      <c r="G512" s="18" t="str">
        <f>IF(K512="","",IF(H512=1,INDEX('По дням'!$B$2:$B$4000,MATCH(C512,'По дням'!$A$2:$A$4000,0)),"по периодам ставки"))</f>
        <v/>
      </c>
      <c r="H512" s="4" t="str">
        <f>IF(K512="","",INDEX(Интервалы!$I$2:$I$513,MATCH(K512,Интервалы!$G$2:$G$513,0)))</f>
        <v/>
      </c>
      <c r="I512" s="8" t="str">
        <f>IF(K512="","",INDEX(Интервалы!$F$2:$F$513,MATCH(K512,Интервалы!$G$2:$G$513,0)))</f>
        <v/>
      </c>
      <c r="J512" s="8" t="str">
        <f>IF(K512="","",INDEX(Интервалы!$H$2:$H$513,MATCH(K512,Интервалы!$G$2:$G$513,0)))</f>
        <v/>
      </c>
      <c r="K512" t="str">
        <f>IFERROR(SMALL(Интервалы!$G$2:$G$513,506),"")</f>
        <v/>
      </c>
      <c r="L512" t="str">
        <f>IF(K512="","",INDEX(Интервалы!$B$2:$B$513,MATCH(K512,Интервалы!$G$2:$G$513,0)))</f>
        <v/>
      </c>
    </row>
    <row r="513" spans="1:12" x14ac:dyDescent="0.3">
      <c r="A513" s="4" t="str">
        <f>IF(K513="","",507)</f>
        <v/>
      </c>
      <c r="B513" s="4" t="str">
        <f>IF(K513="","",INDEX(Интервалы!$A$2:$A$513,MATCH(K513,Интервалы!$G$2:$G$513,0)))</f>
        <v/>
      </c>
      <c r="C513" s="17" t="str">
        <f>IF(K513="","",INDEX(Интервалы!$C$2:$C$513,MATCH(K513,Интервалы!$G$2:$G$513,0)))</f>
        <v/>
      </c>
      <c r="D513" s="17" t="str">
        <f>IF(K513="","",INDEX(Интервалы!$D$2:$D$513,MATCH(K513,Интервалы!$G$2:$G$513,0)))</f>
        <v/>
      </c>
      <c r="E513" s="4" t="str">
        <f t="shared" si="7"/>
        <v/>
      </c>
      <c r="F513" s="8" t="str">
        <f>IF(K513="","",INDEX(Интервалы!$E$2:$E$513,MATCH(K513,Интервалы!$G$2:$G$513,0)))</f>
        <v/>
      </c>
      <c r="G513" s="18" t="str">
        <f>IF(K513="","",IF(H513=1,INDEX('По дням'!$B$2:$B$4000,MATCH(C513,'По дням'!$A$2:$A$4000,0)),"по периодам ставки"))</f>
        <v/>
      </c>
      <c r="H513" s="4" t="str">
        <f>IF(K513="","",INDEX(Интервалы!$I$2:$I$513,MATCH(K513,Интервалы!$G$2:$G$513,0)))</f>
        <v/>
      </c>
      <c r="I513" s="8" t="str">
        <f>IF(K513="","",INDEX(Интервалы!$F$2:$F$513,MATCH(K513,Интервалы!$G$2:$G$513,0)))</f>
        <v/>
      </c>
      <c r="J513" s="8" t="str">
        <f>IF(K513="","",INDEX(Интервалы!$H$2:$H$513,MATCH(K513,Интервалы!$G$2:$G$513,0)))</f>
        <v/>
      </c>
      <c r="K513" t="str">
        <f>IFERROR(SMALL(Интервалы!$G$2:$G$513,507),"")</f>
        <v/>
      </c>
      <c r="L513" t="str">
        <f>IF(K513="","",INDEX(Интервалы!$B$2:$B$513,MATCH(K513,Интервалы!$G$2:$G$513,0)))</f>
        <v/>
      </c>
    </row>
    <row r="514" spans="1:12" x14ac:dyDescent="0.3">
      <c r="A514" s="4" t="str">
        <f>IF(K514="","",508)</f>
        <v/>
      </c>
      <c r="B514" s="4" t="str">
        <f>IF(K514="","",INDEX(Интервалы!$A$2:$A$513,MATCH(K514,Интервалы!$G$2:$G$513,0)))</f>
        <v/>
      </c>
      <c r="C514" s="17" t="str">
        <f>IF(K514="","",INDEX(Интервалы!$C$2:$C$513,MATCH(K514,Интервалы!$G$2:$G$513,0)))</f>
        <v/>
      </c>
      <c r="D514" s="17" t="str">
        <f>IF(K514="","",INDEX(Интервалы!$D$2:$D$513,MATCH(K514,Интервалы!$G$2:$G$513,0)))</f>
        <v/>
      </c>
      <c r="E514" s="4" t="str">
        <f t="shared" si="7"/>
        <v/>
      </c>
      <c r="F514" s="8" t="str">
        <f>IF(K514="","",INDEX(Интервалы!$E$2:$E$513,MATCH(K514,Интервалы!$G$2:$G$513,0)))</f>
        <v/>
      </c>
      <c r="G514" s="18" t="str">
        <f>IF(K514="","",IF(H514=1,INDEX('По дням'!$B$2:$B$4000,MATCH(C514,'По дням'!$A$2:$A$4000,0)),"по периодам ставки"))</f>
        <v/>
      </c>
      <c r="H514" s="4" t="str">
        <f>IF(K514="","",INDEX(Интервалы!$I$2:$I$513,MATCH(K514,Интервалы!$G$2:$G$513,0)))</f>
        <v/>
      </c>
      <c r="I514" s="8" t="str">
        <f>IF(K514="","",INDEX(Интервалы!$F$2:$F$513,MATCH(K514,Интервалы!$G$2:$G$513,0)))</f>
        <v/>
      </c>
      <c r="J514" s="8" t="str">
        <f>IF(K514="","",INDEX(Интервалы!$H$2:$H$513,MATCH(K514,Интервалы!$G$2:$G$513,0)))</f>
        <v/>
      </c>
      <c r="K514" t="str">
        <f>IFERROR(SMALL(Интервалы!$G$2:$G$513,508),"")</f>
        <v/>
      </c>
      <c r="L514" t="str">
        <f>IF(K514="","",INDEX(Интервалы!$B$2:$B$513,MATCH(K514,Интервалы!$G$2:$G$513,0)))</f>
        <v/>
      </c>
    </row>
    <row r="515" spans="1:12" x14ac:dyDescent="0.3">
      <c r="A515" s="4" t="str">
        <f>IF(K515="","",509)</f>
        <v/>
      </c>
      <c r="B515" s="4" t="str">
        <f>IF(K515="","",INDEX(Интервалы!$A$2:$A$513,MATCH(K515,Интервалы!$G$2:$G$513,0)))</f>
        <v/>
      </c>
      <c r="C515" s="17" t="str">
        <f>IF(K515="","",INDEX(Интервалы!$C$2:$C$513,MATCH(K515,Интервалы!$G$2:$G$513,0)))</f>
        <v/>
      </c>
      <c r="D515" s="17" t="str">
        <f>IF(K515="","",INDEX(Интервалы!$D$2:$D$513,MATCH(K515,Интервалы!$G$2:$G$513,0)))</f>
        <v/>
      </c>
      <c r="E515" s="4" t="str">
        <f t="shared" si="7"/>
        <v/>
      </c>
      <c r="F515" s="8" t="str">
        <f>IF(K515="","",INDEX(Интервалы!$E$2:$E$513,MATCH(K515,Интервалы!$G$2:$G$513,0)))</f>
        <v/>
      </c>
      <c r="G515" s="18" t="str">
        <f>IF(K515="","",IF(H515=1,INDEX('По дням'!$B$2:$B$4000,MATCH(C515,'По дням'!$A$2:$A$4000,0)),"по периодам ставки"))</f>
        <v/>
      </c>
      <c r="H515" s="4" t="str">
        <f>IF(K515="","",INDEX(Интервалы!$I$2:$I$513,MATCH(K515,Интервалы!$G$2:$G$513,0)))</f>
        <v/>
      </c>
      <c r="I515" s="8" t="str">
        <f>IF(K515="","",INDEX(Интервалы!$F$2:$F$513,MATCH(K515,Интервалы!$G$2:$G$513,0)))</f>
        <v/>
      </c>
      <c r="J515" s="8" t="str">
        <f>IF(K515="","",INDEX(Интервалы!$H$2:$H$513,MATCH(K515,Интервалы!$G$2:$G$513,0)))</f>
        <v/>
      </c>
      <c r="K515" t="str">
        <f>IFERROR(SMALL(Интервалы!$G$2:$G$513,509),"")</f>
        <v/>
      </c>
      <c r="L515" t="str">
        <f>IF(K515="","",INDEX(Интервалы!$B$2:$B$513,MATCH(K515,Интервалы!$G$2:$G$513,0)))</f>
        <v/>
      </c>
    </row>
    <row r="516" spans="1:12" x14ac:dyDescent="0.3">
      <c r="A516" s="4" t="str">
        <f>IF(K516="","",510)</f>
        <v/>
      </c>
      <c r="B516" s="4" t="str">
        <f>IF(K516="","",INDEX(Интервалы!$A$2:$A$513,MATCH(K516,Интервалы!$G$2:$G$513,0)))</f>
        <v/>
      </c>
      <c r="C516" s="17" t="str">
        <f>IF(K516="","",INDEX(Интервалы!$C$2:$C$513,MATCH(K516,Интервалы!$G$2:$G$513,0)))</f>
        <v/>
      </c>
      <c r="D516" s="17" t="str">
        <f>IF(K516="","",INDEX(Интервалы!$D$2:$D$513,MATCH(K516,Интервалы!$G$2:$G$513,0)))</f>
        <v/>
      </c>
      <c r="E516" s="4" t="str">
        <f t="shared" si="7"/>
        <v/>
      </c>
      <c r="F516" s="8" t="str">
        <f>IF(K516="","",INDEX(Интервалы!$E$2:$E$513,MATCH(K516,Интервалы!$G$2:$G$513,0)))</f>
        <v/>
      </c>
      <c r="G516" s="18" t="str">
        <f>IF(K516="","",IF(H516=1,INDEX('По дням'!$B$2:$B$4000,MATCH(C516,'По дням'!$A$2:$A$4000,0)),"по периодам ставки"))</f>
        <v/>
      </c>
      <c r="H516" s="4" t="str">
        <f>IF(K516="","",INDEX(Интервалы!$I$2:$I$513,MATCH(K516,Интервалы!$G$2:$G$513,0)))</f>
        <v/>
      </c>
      <c r="I516" s="8" t="str">
        <f>IF(K516="","",INDEX(Интервалы!$F$2:$F$513,MATCH(K516,Интервалы!$G$2:$G$513,0)))</f>
        <v/>
      </c>
      <c r="J516" s="8" t="str">
        <f>IF(K516="","",INDEX(Интервалы!$H$2:$H$513,MATCH(K516,Интервалы!$G$2:$G$513,0)))</f>
        <v/>
      </c>
      <c r="K516" t="str">
        <f>IFERROR(SMALL(Интервалы!$G$2:$G$513,510),"")</f>
        <v/>
      </c>
      <c r="L516" t="str">
        <f>IF(K516="","",INDEX(Интервалы!$B$2:$B$513,MATCH(K516,Интервалы!$G$2:$G$513,0)))</f>
        <v/>
      </c>
    </row>
    <row r="517" spans="1:12" x14ac:dyDescent="0.3">
      <c r="A517" s="4" t="str">
        <f>IF(K517="","",511)</f>
        <v/>
      </c>
      <c r="B517" s="4" t="str">
        <f>IF(K517="","",INDEX(Интервалы!$A$2:$A$513,MATCH(K517,Интервалы!$G$2:$G$513,0)))</f>
        <v/>
      </c>
      <c r="C517" s="17" t="str">
        <f>IF(K517="","",INDEX(Интервалы!$C$2:$C$513,MATCH(K517,Интервалы!$G$2:$G$513,0)))</f>
        <v/>
      </c>
      <c r="D517" s="17" t="str">
        <f>IF(K517="","",INDEX(Интервалы!$D$2:$D$513,MATCH(K517,Интервалы!$G$2:$G$513,0)))</f>
        <v/>
      </c>
      <c r="E517" s="4" t="str">
        <f t="shared" si="7"/>
        <v/>
      </c>
      <c r="F517" s="8" t="str">
        <f>IF(K517="","",INDEX(Интервалы!$E$2:$E$513,MATCH(K517,Интервалы!$G$2:$G$513,0)))</f>
        <v/>
      </c>
      <c r="G517" s="18" t="str">
        <f>IF(K517="","",IF(H517=1,INDEX('По дням'!$B$2:$B$4000,MATCH(C517,'По дням'!$A$2:$A$4000,0)),"по периодам ставки"))</f>
        <v/>
      </c>
      <c r="H517" s="4" t="str">
        <f>IF(K517="","",INDEX(Интервалы!$I$2:$I$513,MATCH(K517,Интервалы!$G$2:$G$513,0)))</f>
        <v/>
      </c>
      <c r="I517" s="8" t="str">
        <f>IF(K517="","",INDEX(Интервалы!$F$2:$F$513,MATCH(K517,Интервалы!$G$2:$G$513,0)))</f>
        <v/>
      </c>
      <c r="J517" s="8" t="str">
        <f>IF(K517="","",INDEX(Интервалы!$H$2:$H$513,MATCH(K517,Интервалы!$G$2:$G$513,0)))</f>
        <v/>
      </c>
      <c r="K517" t="str">
        <f>IFERROR(SMALL(Интервалы!$G$2:$G$513,511),"")</f>
        <v/>
      </c>
      <c r="L517" t="str">
        <f>IF(K517="","",INDEX(Интервалы!$B$2:$B$513,MATCH(K517,Интервалы!$G$2:$G$513,0)))</f>
        <v/>
      </c>
    </row>
    <row r="518" spans="1:12" x14ac:dyDescent="0.3">
      <c r="A518" s="4" t="str">
        <f>IF(K518="","",512)</f>
        <v/>
      </c>
      <c r="B518" s="4" t="str">
        <f>IF(K518="","",INDEX(Интервалы!$A$2:$A$513,MATCH(K518,Интервалы!$G$2:$G$513,0)))</f>
        <v/>
      </c>
      <c r="C518" s="17" t="str">
        <f>IF(K518="","",INDEX(Интервалы!$C$2:$C$513,MATCH(K518,Интервалы!$G$2:$G$513,0)))</f>
        <v/>
      </c>
      <c r="D518" s="17" t="str">
        <f>IF(K518="","",INDEX(Интервалы!$D$2:$D$513,MATCH(K518,Интервалы!$G$2:$G$513,0)))</f>
        <v/>
      </c>
      <c r="E518" s="4" t="str">
        <f t="shared" si="7"/>
        <v/>
      </c>
      <c r="F518" s="8" t="str">
        <f>IF(K518="","",INDEX(Интервалы!$E$2:$E$513,MATCH(K518,Интервалы!$G$2:$G$513,0)))</f>
        <v/>
      </c>
      <c r="G518" s="18" t="str">
        <f>IF(K518="","",IF(H518=1,INDEX('По дням'!$B$2:$B$4000,MATCH(C518,'По дням'!$A$2:$A$4000,0)),"по периодам ставки"))</f>
        <v/>
      </c>
      <c r="H518" s="4" t="str">
        <f>IF(K518="","",INDEX(Интервалы!$I$2:$I$513,MATCH(K518,Интервалы!$G$2:$G$513,0)))</f>
        <v/>
      </c>
      <c r="I518" s="8" t="str">
        <f>IF(K518="","",INDEX(Интервалы!$F$2:$F$513,MATCH(K518,Интервалы!$G$2:$G$513,0)))</f>
        <v/>
      </c>
      <c r="J518" s="8" t="str">
        <f>IF(K518="","",INDEX(Интервалы!$H$2:$H$513,MATCH(K518,Интервалы!$G$2:$G$513,0)))</f>
        <v/>
      </c>
      <c r="K518" t="str">
        <f>IFERROR(SMALL(Интервалы!$G$2:$G$513,512),"")</f>
        <v/>
      </c>
      <c r="L518" t="str">
        <f>IF(K518="","",INDEX(Интервалы!$B$2:$B$513,MATCH(K518,Интервалы!$G$2:$G$513,0)))</f>
        <v/>
      </c>
    </row>
  </sheetData>
  <mergeCells count="2">
    <mergeCell ref="A5:J5"/>
    <mergeCell ref="A1:J1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0"/>
  <sheetViews>
    <sheetView workbookViewId="0"/>
  </sheetViews>
  <sheetFormatPr defaultRowHeight="14.4" x14ac:dyDescent="0.3"/>
  <cols>
    <col min="1" max="1" width="5" customWidth="1"/>
    <col min="2" max="2" width="60" customWidth="1"/>
    <col min="3" max="3" width="110" customWidth="1"/>
  </cols>
  <sheetData>
    <row r="1" spans="1:3" x14ac:dyDescent="0.3">
      <c r="A1" s="3" t="s">
        <v>16</v>
      </c>
      <c r="B1" s="3" t="s">
        <v>23</v>
      </c>
      <c r="C1" s="3" t="s">
        <v>62</v>
      </c>
    </row>
    <row r="2" spans="1:3" ht="18" customHeight="1" x14ac:dyDescent="0.3">
      <c r="A2" s="4">
        <v>1</v>
      </c>
      <c r="B2" s="4" t="s">
        <v>63</v>
      </c>
      <c r="C2" s="4" t="str">
        <f>IF(COUNTA(Акты!B5:B16)=0,"БЛОК: добавьте хотя бы один акт с суммой долга на первый день просрочки и датой начала просрочки","ок")</f>
        <v>БЛОК: добавьте хотя бы один акт с суммой долга на первый день просрочки и датой начала просрочки</v>
      </c>
    </row>
    <row r="3" spans="1:3" ht="18" customHeight="1" x14ac:dyDescent="0.3">
      <c r="A3" s="4">
        <v>2</v>
      </c>
      <c r="B3" s="4" t="s">
        <v>64</v>
      </c>
      <c r="C3" s="4" t="str">
        <f>IF(COUNTIF(Акты!H5:H16,"БЛОК*")&gt;0,"БЛОК: ошибка в таблице актов — колонка «Проверка»","ок")</f>
        <v>ок</v>
      </c>
    </row>
    <row r="4" spans="1:3" ht="33" customHeight="1" x14ac:dyDescent="0.3">
      <c r="A4" s="4">
        <v>3</v>
      </c>
      <c r="B4" s="4" t="s">
        <v>65</v>
      </c>
      <c r="C4" s="4" t="str">
        <f>IF(COUNTA(Акты!A17:H400)&gt;0,"БЛОК: ниже строки 16 есть акты — они не были бы учтены. В один расчёт входит до 12 актов; остальные считайте отдельной копией книги","ок")</f>
        <v>ок</v>
      </c>
    </row>
    <row r="5" spans="1:3" ht="18" customHeight="1" x14ac:dyDescent="0.3">
      <c r="A5" s="4">
        <v>4</v>
      </c>
      <c r="B5" s="4" t="s">
        <v>66</v>
      </c>
      <c r="C5" s="4" t="str">
        <f>IF(ISNUMBER(Ввод!B4),"ок","БЛОК: введите последний день расчёта на листе «Ввод»")</f>
        <v>БЛОК: введите последний день расчёта на листе «Ввод»</v>
      </c>
    </row>
    <row r="6" spans="1:3" ht="18" customHeight="1" x14ac:dyDescent="0.3">
      <c r="A6" s="4">
        <v>5</v>
      </c>
      <c r="B6" s="4" t="s">
        <v>67</v>
      </c>
      <c r="C6" s="4" t="str">
        <f>IF(COUNT(Ввод!A12:A71)=0,"БЛОК: введите ставку","ок")</f>
        <v>БЛОК: введите ставку</v>
      </c>
    </row>
    <row r="7" spans="1:3" ht="18" customHeight="1" x14ac:dyDescent="0.3">
      <c r="A7" s="4">
        <v>6</v>
      </c>
      <c r="B7" s="4" t="s">
        <v>68</v>
      </c>
      <c r="C7" s="4" t="str">
        <f>IF(COUNTIF(Ввод!C12:C71,"БЛОК*")&gt;0,"БЛОК: ошибка в таблице ставок — колонка «Проверка»","ок")</f>
        <v>ок</v>
      </c>
    </row>
    <row r="8" spans="1:3" ht="18" customHeight="1" x14ac:dyDescent="0.3">
      <c r="A8" s="4">
        <v>7</v>
      </c>
      <c r="B8" s="4" t="s">
        <v>69</v>
      </c>
      <c r="C8" s="4" t="str">
        <f>IF(COUNTA(Ввод!A72:C400)&gt;0,"БЛОК: ниже строки 71 есть данные — перенесите в таблицу","ок")</f>
        <v>ок</v>
      </c>
    </row>
    <row r="9" spans="1:3" ht="18" customHeight="1" x14ac:dyDescent="0.3">
      <c r="A9" s="4">
        <v>8</v>
      </c>
      <c r="B9" s="4" t="s">
        <v>70</v>
      </c>
      <c r="C9" s="4" t="str">
        <f>IF(COUNTIF(Оплаты!E6:E505,"БЛОК*")&gt;0,"БЛОК: ошибка в оплатах — колонка «Проверка»","ок")</f>
        <v>ок</v>
      </c>
    </row>
    <row r="10" spans="1:3" ht="18" customHeight="1" x14ac:dyDescent="0.3">
      <c r="A10" s="4">
        <v>9</v>
      </c>
      <c r="B10" s="4" t="s">
        <v>71</v>
      </c>
      <c r="C10" s="4" t="str">
        <f>IF(COUNTA(Оплаты!A506:E20000)&gt;0,"БЛОК: ниже строки 505 есть оплаты — они не были бы учтены; перенесите их в таблицу","ок")</f>
        <v>ок</v>
      </c>
    </row>
    <row r="11" spans="1:3" ht="33" customHeight="1" x14ac:dyDescent="0.3">
      <c r="A11" s="4">
        <v>10</v>
      </c>
      <c r="B11" s="4" t="s">
        <v>72</v>
      </c>
      <c r="C11" s="4" t="str">
        <f>IF(SUMPRODUCT((Оплаты!$A$6:$A$505&lt;&gt;"")*(Оплаты!$D$6:$D$505=""))&gt;0,"БЛОК: есть оплата, не отнесённая к конкретному акту. Требуется распределить платёж документально и указать акт: очередность зачёта система за вас не назначает","ок")</f>
        <v>ок</v>
      </c>
    </row>
    <row r="12" spans="1:3" ht="18" customHeight="1" x14ac:dyDescent="0.3">
      <c r="A12" s="4">
        <v>11</v>
      </c>
      <c r="B12" s="4" t="s">
        <v>73</v>
      </c>
      <c r="C12" s="4" t="str">
        <f>IF(SUM(Оплаты!B6:B505)&gt;SUM(Акты!D5:D16),"БЛОК: оплат больше суммы долга — проверьте ввод","ок")</f>
        <v>ок</v>
      </c>
    </row>
    <row r="13" spans="1:3" ht="28.8" x14ac:dyDescent="0.3">
      <c r="A13" s="4">
        <v>12</v>
      </c>
      <c r="B13" s="4" t="s">
        <v>74</v>
      </c>
      <c r="C13" s="4" t="str">
        <f>IF(NOT(ISNUMBER(Ввод!B5)),"БЛОК: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часть",IF(Ввод!B5&lt;0,"БЛОК: бесспорная часть по файлу 04 не может быть отрицательной",IF(AND(Ввод!B6&lt;&gt;"",OR(NOT(ISNUMBER(Ввод!B6)),N(Ввод!B6)&lt;0)),"БЛОК: на листе «Ввод» сумма актов вне расчёта — число не меньше нуля или пусто",IF(ROUND(SUM(Акты!F5:F16)-(Ввод!B5-N(Ввод!B6)),2)&lt;&gt;0,"БЛОК: сверка с файлом 04 не сходится. Текущие остатки на листе «Акты» (колонка F) в сумме = "&amp;FIXED(SUM(Акты!F5:F16),2)&amp;" руб., а бесспорная часть по файлу 04 за вычетом актов вне расчёта = "&amp;FIXED(Ввод!B5-N(Ввод!B6),2)&amp;" руб. Если на листе «Акты» больше — похоже, перенесён общий долг вместе со спорной частью: в колонки D и F нужны только бесспорные суммы (файл 04, «Долг по актам», колонки J и M)","ок"))))</f>
        <v>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</v>
      </c>
    </row>
    <row r="14" spans="1:3" ht="18" customHeight="1" x14ac:dyDescent="0.3">
      <c r="A14" s="4">
        <v>13</v>
      </c>
      <c r="B14" s="4" t="s">
        <v>75</v>
      </c>
      <c r="C14" s="4" t="str">
        <f>IF(COUNTIF(Ввод!H12:H31,"БЛОК*")+COUNTA(Ввод!F32:H400)&gt;0,"БЛОК: ошибка или данные ниже таблицы","ок")</f>
        <v>ок</v>
      </c>
    </row>
    <row r="15" spans="1:3" ht="33" customHeight="1" x14ac:dyDescent="0.3">
      <c r="A15" s="4">
        <v>14</v>
      </c>
      <c r="B15" s="4" t="s">
        <v>76</v>
      </c>
      <c r="C15" s="4" t="str">
        <f>IF(AND(ISNUMBER('По дням'!J3),ISNUMBER(Ввод!B4)),IF(Ввод!B4-'По дням'!J3+1&gt;3999,"БЛОК: от первого дня просрочки самого раннего акта до последнего дня расчёта более 3999 дней — разбейте расчёт на части","ок"),"ок")</f>
        <v>ок</v>
      </c>
    </row>
    <row r="16" spans="1:3" ht="18" customHeight="1" x14ac:dyDescent="0.3">
      <c r="A16" s="4">
        <v>15</v>
      </c>
      <c r="B16" s="4" t="s">
        <v>77</v>
      </c>
      <c r="C16" s="4" t="str">
        <f>IF(COUNT('По дням'!$A$2:$A$4000)=COUNT('По дням'!$B$2:$B$4000),"ок","БЛОК: не на каждый день найдена ставка")</f>
        <v>ок</v>
      </c>
    </row>
    <row r="17" spans="1:3" ht="18" customHeight="1" x14ac:dyDescent="0.3">
      <c r="A17" s="4">
        <v>16</v>
      </c>
      <c r="B17" s="4" t="s">
        <v>78</v>
      </c>
      <c r="C17" s="4" t="str">
        <f>IF(N(MAX('По дням'!$G$2:$G$4000))&gt;150,"БЛОК: периодов ставки больше 150 — разбейте расчёт","ок")</f>
        <v>ок</v>
      </c>
    </row>
    <row r="18" spans="1:3" ht="18" customHeight="1" x14ac:dyDescent="0.3">
      <c r="A18" s="4">
        <v>17</v>
      </c>
      <c r="B18" s="4" t="s">
        <v>79</v>
      </c>
      <c r="C18" s="4" t="str">
        <f>IFERROR(IF(ROUND(SUM(Расчёт!I7:I518)-SUM(Расчёт!P7:P18),2)=0,"ок","БЛОК: сумма строк расчёта не равна сумме итогов по актам"),"БЛОК: ошибка в строках расчёта")</f>
        <v>ок</v>
      </c>
    </row>
    <row r="20" spans="1:3" x14ac:dyDescent="0.3">
      <c r="B20" s="11" t="s">
        <v>80</v>
      </c>
      <c r="C20" s="11" t="str">
        <f>IF(COUNTIF(C2:C18,"БЛОК*")&gt;0,"ЗАБЛОКИРОВАН","ГОТОВ")</f>
        <v>ЗАБЛОКИРОВАН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4" width="12" customWidth="1"/>
    <col min="5" max="5" width="16" customWidth="1"/>
    <col min="6" max="7" width="14" customWidth="1"/>
    <col min="8" max="8" width="16" customWidth="1"/>
    <col min="9" max="9" width="10" customWidth="1"/>
  </cols>
  <sheetData>
    <row r="1" spans="1:9" ht="43.2" x14ac:dyDescent="0.3">
      <c r="A1" s="3" t="s">
        <v>51</v>
      </c>
      <c r="B1" s="3" t="s">
        <v>81</v>
      </c>
      <c r="C1" s="3" t="s">
        <v>37</v>
      </c>
      <c r="D1" s="3" t="s">
        <v>52</v>
      </c>
      <c r="E1" s="3" t="s">
        <v>54</v>
      </c>
      <c r="F1" s="3" t="s">
        <v>57</v>
      </c>
      <c r="G1" s="3" t="s">
        <v>82</v>
      </c>
      <c r="H1" s="3" t="s">
        <v>83</v>
      </c>
      <c r="I1" s="3" t="s">
        <v>56</v>
      </c>
    </row>
    <row r="2" spans="1:9" x14ac:dyDescent="0.3">
      <c r="A2" t="str">
        <f>IF(Акты!$H$5="ок",Акты!$B$5,"")</f>
        <v/>
      </c>
      <c r="B2" t="str">
        <f>IF(A2="","",1)</f>
        <v/>
      </c>
      <c r="C2" s="21" t="str">
        <f>IF(A2="","",Акты!$E$5)</f>
        <v/>
      </c>
      <c r="D2" s="21" t="str">
        <f>IF(A2="","",MIN(Ввод!$B$4,Ввод!$B$4+1-SUMPRODUCT(MAX((Оплаты!$D$6:$D$505=A2)*(Оплаты!$A$6:$A$505&gt;=C2)*(Ввод!$B$4+1-Оплаты!$A$6:$A$505)))))</f>
        <v/>
      </c>
      <c r="E2" s="14" t="str">
        <f>IF(A2="","",Акты!$D$5)</f>
        <v/>
      </c>
      <c r="F2" s="14" t="str">
        <f>IF(G2="","",SUMPRODUCT(ROUND(E2*'По дням'!$L$6:$L$155/100*((((D2+'По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дням'!$J$6:$J$155)))/2+1)/'По дням'!$M$6:$M$155,2)*(1-'По дням'!$N$6:$N$155)))</f>
        <v/>
      </c>
      <c r="G2" s="22" t="str">
        <f t="shared" ref="G2:G65" si="0">IF(A2="","",IF(C2&gt;D2,"",B2*1000000+C2))</f>
        <v/>
      </c>
      <c r="H2" s="14" t="str">
        <f>IF(G2="","",SUMIFS(Оплаты!$B$6:$B$505,Оплаты!$D$6:$D$505,A2,Оплаты!$A$6:$A$505,D2))</f>
        <v/>
      </c>
      <c r="I2" t="str">
        <f>IF(G2="","",SUMPRODUCT((((((D2+'По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дням'!$J$6:$J$155)))/2+1)&gt;0)*1))</f>
        <v/>
      </c>
    </row>
    <row r="3" spans="1:9" x14ac:dyDescent="0.3">
      <c r="A3" t="str">
        <f>IF(Акты!$H$6="ок",Акты!$B$6,"")</f>
        <v/>
      </c>
      <c r="B3" t="str">
        <f>IF(A3="","",2)</f>
        <v/>
      </c>
      <c r="C3" s="21" t="str">
        <f>IF(A3="","",Акты!$E$6)</f>
        <v/>
      </c>
      <c r="D3" s="21" t="str">
        <f>IF(A3="","",MIN(Ввод!$B$4,Ввод!$B$4+1-SUMPRODUCT(MAX((Оплаты!$D$6:$D$505=A3)*(Оплаты!$A$6:$A$505&gt;=C3)*(Ввод!$B$4+1-Оплаты!$A$6:$A$505)))))</f>
        <v/>
      </c>
      <c r="E3" s="14" t="str">
        <f>IF(A3="","",Акты!$D$6)</f>
        <v/>
      </c>
      <c r="F3" s="14" t="str">
        <f>IF(G3="","",SUMPRODUCT(ROUND(E3*'По дням'!$L$6:$L$155/100*((((D3+'По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дням'!$J$6:$J$155)))/2+1)/'По дням'!$M$6:$M$155,2)*(1-'По дням'!$N$6:$N$155)))</f>
        <v/>
      </c>
      <c r="G3" s="22" t="str">
        <f t="shared" si="0"/>
        <v/>
      </c>
      <c r="H3" s="14" t="str">
        <f>IF(G3="","",SUMIFS(Оплаты!$B$6:$B$505,Оплаты!$D$6:$D$505,A3,Оплаты!$A$6:$A$505,D3))</f>
        <v/>
      </c>
      <c r="I3" t="str">
        <f>IF(G3="","",SUMPRODUCT((((((D3+'По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дням'!$J$6:$J$155)))/2+1)&gt;0)*1))</f>
        <v/>
      </c>
    </row>
    <row r="4" spans="1:9" x14ac:dyDescent="0.3">
      <c r="A4" t="str">
        <f>IF(Акты!$H$7="ок",Акты!$B$7,"")</f>
        <v/>
      </c>
      <c r="B4" t="str">
        <f>IF(A4="","",3)</f>
        <v/>
      </c>
      <c r="C4" s="21" t="str">
        <f>IF(A4="","",Акты!$E$7)</f>
        <v/>
      </c>
      <c r="D4" s="21" t="str">
        <f>IF(A4="","",MIN(Ввод!$B$4,Ввод!$B$4+1-SUMPRODUCT(MAX((Оплаты!$D$6:$D$505=A4)*(Оплаты!$A$6:$A$505&gt;=C4)*(Ввод!$B$4+1-Оплаты!$A$6:$A$505)))))</f>
        <v/>
      </c>
      <c r="E4" s="14" t="str">
        <f>IF(A4="","",Акты!$D$7)</f>
        <v/>
      </c>
      <c r="F4" s="14" t="str">
        <f>IF(G4="","",SUMPRODUCT(ROUND(E4*'По дням'!$L$6:$L$155/100*((((D4+'По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дням'!$J$6:$J$155)))/2+1)/'По дням'!$M$6:$M$155,2)*(1-'По дням'!$N$6:$N$155)))</f>
        <v/>
      </c>
      <c r="G4" s="22" t="str">
        <f t="shared" si="0"/>
        <v/>
      </c>
      <c r="H4" s="14" t="str">
        <f>IF(G4="","",SUMIFS(Оплаты!$B$6:$B$505,Оплаты!$D$6:$D$505,A4,Оплаты!$A$6:$A$505,D4))</f>
        <v/>
      </c>
      <c r="I4" t="str">
        <f>IF(G4="","",SUMPRODUCT((((((D4+'По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дням'!$J$6:$J$155)))/2+1)&gt;0)*1))</f>
        <v/>
      </c>
    </row>
    <row r="5" spans="1:9" x14ac:dyDescent="0.3">
      <c r="A5" t="str">
        <f>IF(Акты!$H$8="ок",Акты!$B$8,"")</f>
        <v/>
      </c>
      <c r="B5" t="str">
        <f>IF(A5="","",4)</f>
        <v/>
      </c>
      <c r="C5" s="21" t="str">
        <f>IF(A5="","",Акты!$E$8)</f>
        <v/>
      </c>
      <c r="D5" s="21" t="str">
        <f>IF(A5="","",MIN(Ввод!$B$4,Ввод!$B$4+1-SUMPRODUCT(MAX((Оплаты!$D$6:$D$505=A5)*(Оплаты!$A$6:$A$505&gt;=C5)*(Ввод!$B$4+1-Оплаты!$A$6:$A$505)))))</f>
        <v/>
      </c>
      <c r="E5" s="14" t="str">
        <f>IF(A5="","",Акты!$D$8)</f>
        <v/>
      </c>
      <c r="F5" s="14" t="str">
        <f>IF(G5="","",SUMPRODUCT(ROUND(E5*'По дням'!$L$6:$L$155/100*((((D5+'По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дням'!$J$6:$J$155)))/2+1)/'По дням'!$M$6:$M$155,2)*(1-'По дням'!$N$6:$N$155)))</f>
        <v/>
      </c>
      <c r="G5" s="22" t="str">
        <f t="shared" si="0"/>
        <v/>
      </c>
      <c r="H5" s="14" t="str">
        <f>IF(G5="","",SUMIFS(Оплаты!$B$6:$B$505,Оплаты!$D$6:$D$505,A5,Оплаты!$A$6:$A$505,D5))</f>
        <v/>
      </c>
      <c r="I5" t="str">
        <f>IF(G5="","",SUMPRODUCT((((((D5+'По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дням'!$J$6:$J$155)))/2+1)&gt;0)*1))</f>
        <v/>
      </c>
    </row>
    <row r="6" spans="1:9" x14ac:dyDescent="0.3">
      <c r="A6" t="str">
        <f>IF(Акты!$H$9="ок",Акты!$B$9,"")</f>
        <v/>
      </c>
      <c r="B6" t="str">
        <f>IF(A6="","",5)</f>
        <v/>
      </c>
      <c r="C6" s="21" t="str">
        <f>IF(A6="","",Акты!$E$9)</f>
        <v/>
      </c>
      <c r="D6" s="21" t="str">
        <f>IF(A6="","",MIN(Ввод!$B$4,Ввод!$B$4+1-SUMPRODUCT(MAX((Оплаты!$D$6:$D$505=A6)*(Оплаты!$A$6:$A$505&gt;=C6)*(Ввод!$B$4+1-Оплаты!$A$6:$A$505)))))</f>
        <v/>
      </c>
      <c r="E6" s="14" t="str">
        <f>IF(A6="","",Акты!$D$9)</f>
        <v/>
      </c>
      <c r="F6" s="14" t="str">
        <f>IF(G6="","",SUMPRODUCT(ROUND(E6*'По дням'!$L$6:$L$155/100*((((D6+'По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дням'!$J$6:$J$155)))/2+1)/'По дням'!$M$6:$M$155,2)*(1-'По дням'!$N$6:$N$155)))</f>
        <v/>
      </c>
      <c r="G6" s="22" t="str">
        <f t="shared" si="0"/>
        <v/>
      </c>
      <c r="H6" s="14" t="str">
        <f>IF(G6="","",SUMIFS(Оплаты!$B$6:$B$505,Оплаты!$D$6:$D$505,A6,Оплаты!$A$6:$A$505,D6))</f>
        <v/>
      </c>
      <c r="I6" t="str">
        <f>IF(G6="","",SUMPRODUCT((((((D6+'По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дням'!$J$6:$J$155)))/2+1)&gt;0)*1))</f>
        <v/>
      </c>
    </row>
    <row r="7" spans="1:9" x14ac:dyDescent="0.3">
      <c r="A7" t="str">
        <f>IF(Акты!$H$10="ок",Акты!$B$10,"")</f>
        <v/>
      </c>
      <c r="B7" t="str">
        <f>IF(A7="","",6)</f>
        <v/>
      </c>
      <c r="C7" s="21" t="str">
        <f>IF(A7="","",Акты!$E$10)</f>
        <v/>
      </c>
      <c r="D7" s="21" t="str">
        <f>IF(A7="","",MIN(Ввод!$B$4,Ввод!$B$4+1-SUMPRODUCT(MAX((Оплаты!$D$6:$D$505=A7)*(Оплаты!$A$6:$A$505&gt;=C7)*(Ввод!$B$4+1-Оплаты!$A$6:$A$505)))))</f>
        <v/>
      </c>
      <c r="E7" s="14" t="str">
        <f>IF(A7="","",Акты!$D$10)</f>
        <v/>
      </c>
      <c r="F7" s="14" t="str">
        <f>IF(G7="","",SUMPRODUCT(ROUND(E7*'По дням'!$L$6:$L$155/100*((((D7+'По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дням'!$J$6:$J$155)))/2+1)/'По дням'!$M$6:$M$155,2)*(1-'По дням'!$N$6:$N$155)))</f>
        <v/>
      </c>
      <c r="G7" s="22" t="str">
        <f t="shared" si="0"/>
        <v/>
      </c>
      <c r="H7" s="14" t="str">
        <f>IF(G7="","",SUMIFS(Оплаты!$B$6:$B$505,Оплаты!$D$6:$D$505,A7,Оплаты!$A$6:$A$505,D7))</f>
        <v/>
      </c>
      <c r="I7" t="str">
        <f>IF(G7="","",SUMPRODUCT((((((D7+'По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дням'!$J$6:$J$155)))/2+1)&gt;0)*1))</f>
        <v/>
      </c>
    </row>
    <row r="8" spans="1:9" x14ac:dyDescent="0.3">
      <c r="A8" t="str">
        <f>IF(Акты!$H$11="ок",Акты!$B$11,"")</f>
        <v/>
      </c>
      <c r="B8" t="str">
        <f>IF(A8="","",7)</f>
        <v/>
      </c>
      <c r="C8" s="21" t="str">
        <f>IF(A8="","",Акты!$E$11)</f>
        <v/>
      </c>
      <c r="D8" s="21" t="str">
        <f>IF(A8="","",MIN(Ввод!$B$4,Ввод!$B$4+1-SUMPRODUCT(MAX((Оплаты!$D$6:$D$505=A8)*(Оплаты!$A$6:$A$505&gt;=C8)*(Ввод!$B$4+1-Оплаты!$A$6:$A$505)))))</f>
        <v/>
      </c>
      <c r="E8" s="14" t="str">
        <f>IF(A8="","",Акты!$D$11)</f>
        <v/>
      </c>
      <c r="F8" s="14" t="str">
        <f>IF(G8="","",SUMPRODUCT(ROUND(E8*'По дням'!$L$6:$L$155/100*((((D8+'По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дням'!$J$6:$J$155)))/2+1)/'По дням'!$M$6:$M$155,2)*(1-'По дням'!$N$6:$N$155)))</f>
        <v/>
      </c>
      <c r="G8" s="22" t="str">
        <f t="shared" si="0"/>
        <v/>
      </c>
      <c r="H8" s="14" t="str">
        <f>IF(G8="","",SUMIFS(Оплаты!$B$6:$B$505,Оплаты!$D$6:$D$505,A8,Оплаты!$A$6:$A$505,D8))</f>
        <v/>
      </c>
      <c r="I8" t="str">
        <f>IF(G8="","",SUMPRODUCT((((((D8+'По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дням'!$J$6:$J$155)))/2+1)&gt;0)*1))</f>
        <v/>
      </c>
    </row>
    <row r="9" spans="1:9" x14ac:dyDescent="0.3">
      <c r="A9" t="str">
        <f>IF(Акты!$H$12="ок",Акты!$B$12,"")</f>
        <v/>
      </c>
      <c r="B9" t="str">
        <f>IF(A9="","",8)</f>
        <v/>
      </c>
      <c r="C9" s="21" t="str">
        <f>IF(A9="","",Акты!$E$12)</f>
        <v/>
      </c>
      <c r="D9" s="21" t="str">
        <f>IF(A9="","",MIN(Ввод!$B$4,Ввод!$B$4+1-SUMPRODUCT(MAX((Оплаты!$D$6:$D$505=A9)*(Оплаты!$A$6:$A$505&gt;=C9)*(Ввод!$B$4+1-Оплаты!$A$6:$A$505)))))</f>
        <v/>
      </c>
      <c r="E9" s="14" t="str">
        <f>IF(A9="","",Акты!$D$12)</f>
        <v/>
      </c>
      <c r="F9" s="14" t="str">
        <f>IF(G9="","",SUMPRODUCT(ROUND(E9*'По дням'!$L$6:$L$155/100*((((D9+'По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дням'!$J$6:$J$155)))/2+1)/'По дням'!$M$6:$M$155,2)*(1-'По дням'!$N$6:$N$155)))</f>
        <v/>
      </c>
      <c r="G9" s="22" t="str">
        <f t="shared" si="0"/>
        <v/>
      </c>
      <c r="H9" s="14" t="str">
        <f>IF(G9="","",SUMIFS(Оплаты!$B$6:$B$505,Оплаты!$D$6:$D$505,A9,Оплаты!$A$6:$A$505,D9))</f>
        <v/>
      </c>
      <c r="I9" t="str">
        <f>IF(G9="","",SUMPRODUCT((((((D9+'По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дням'!$J$6:$J$155)))/2+1)&gt;0)*1))</f>
        <v/>
      </c>
    </row>
    <row r="10" spans="1:9" x14ac:dyDescent="0.3">
      <c r="A10" t="str">
        <f>IF(Акты!$H$13="ок",Акты!$B$13,"")</f>
        <v/>
      </c>
      <c r="B10" t="str">
        <f>IF(A10="","",9)</f>
        <v/>
      </c>
      <c r="C10" s="21" t="str">
        <f>IF(A10="","",Акты!$E$13)</f>
        <v/>
      </c>
      <c r="D10" s="21" t="str">
        <f>IF(A10="","",MIN(Ввод!$B$4,Ввод!$B$4+1-SUMPRODUCT(MAX((Оплаты!$D$6:$D$505=A10)*(Оплаты!$A$6:$A$505&gt;=C10)*(Ввод!$B$4+1-Оплаты!$A$6:$A$505)))))</f>
        <v/>
      </c>
      <c r="E10" s="14" t="str">
        <f>IF(A10="","",Акты!$D$13)</f>
        <v/>
      </c>
      <c r="F10" s="14" t="str">
        <f>IF(G10="","",SUMPRODUCT(ROUND(E10*'По дням'!$L$6:$L$155/100*((((D10+'По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дням'!$J$6:$J$155)))/2+1)/'По дням'!$M$6:$M$155,2)*(1-'По дням'!$N$6:$N$155)))</f>
        <v/>
      </c>
      <c r="G10" s="22" t="str">
        <f t="shared" si="0"/>
        <v/>
      </c>
      <c r="H10" s="14" t="str">
        <f>IF(G10="","",SUMIFS(Оплаты!$B$6:$B$505,Оплаты!$D$6:$D$505,A10,Оплаты!$A$6:$A$505,D10))</f>
        <v/>
      </c>
      <c r="I10" t="str">
        <f>IF(G10="","",SUMPRODUCT((((((D10+'По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дням'!$J$6:$J$155)))/2+1)&gt;0)*1))</f>
        <v/>
      </c>
    </row>
    <row r="11" spans="1:9" x14ac:dyDescent="0.3">
      <c r="A11" t="str">
        <f>IF(Акты!$H$14="ок",Акты!$B$14,"")</f>
        <v/>
      </c>
      <c r="B11" t="str">
        <f>IF(A11="","",10)</f>
        <v/>
      </c>
      <c r="C11" s="21" t="str">
        <f>IF(A11="","",Акты!$E$14)</f>
        <v/>
      </c>
      <c r="D11" s="21" t="str">
        <f>IF(A11="","",MIN(Ввод!$B$4,Ввод!$B$4+1-SUMPRODUCT(MAX((Оплаты!$D$6:$D$505=A11)*(Оплаты!$A$6:$A$505&gt;=C11)*(Ввод!$B$4+1-Оплаты!$A$6:$A$505)))))</f>
        <v/>
      </c>
      <c r="E11" s="14" t="str">
        <f>IF(A11="","",Акты!$D$14)</f>
        <v/>
      </c>
      <c r="F11" s="14" t="str">
        <f>IF(G11="","",SUMPRODUCT(ROUND(E11*'По дням'!$L$6:$L$155/100*((((D11+'По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дням'!$J$6:$J$155)))/2+1)/'По дням'!$M$6:$M$155,2)*(1-'По дням'!$N$6:$N$155)))</f>
        <v/>
      </c>
      <c r="G11" s="22" t="str">
        <f t="shared" si="0"/>
        <v/>
      </c>
      <c r="H11" s="14" t="str">
        <f>IF(G11="","",SUMIFS(Оплаты!$B$6:$B$505,Оплаты!$D$6:$D$505,A11,Оплаты!$A$6:$A$505,D11))</f>
        <v/>
      </c>
      <c r="I11" t="str">
        <f>IF(G11="","",SUMPRODUCT((((((D11+'По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дням'!$J$6:$J$155)))/2+1)&gt;0)*1))</f>
        <v/>
      </c>
    </row>
    <row r="12" spans="1:9" x14ac:dyDescent="0.3">
      <c r="A12" t="str">
        <f>IF(Акты!$H$15="ок",Акты!$B$15,"")</f>
        <v/>
      </c>
      <c r="B12" t="str">
        <f>IF(A12="","",11)</f>
        <v/>
      </c>
      <c r="C12" s="21" t="str">
        <f>IF(A12="","",Акты!$E$15)</f>
        <v/>
      </c>
      <c r="D12" s="21" t="str">
        <f>IF(A12="","",MIN(Ввод!$B$4,Ввод!$B$4+1-SUMPRODUCT(MAX((Оплаты!$D$6:$D$505=A12)*(Оплаты!$A$6:$A$505&gt;=C12)*(Ввод!$B$4+1-Оплаты!$A$6:$A$505)))))</f>
        <v/>
      </c>
      <c r="E12" s="14" t="str">
        <f>IF(A12="","",Акты!$D$15)</f>
        <v/>
      </c>
      <c r="F12" s="14" t="str">
        <f>IF(G12="","",SUMPRODUCT(ROUND(E12*'По дням'!$L$6:$L$155/100*((((D12+'По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дням'!$J$6:$J$155)))/2+1)/'По дням'!$M$6:$M$155,2)*(1-'По дням'!$N$6:$N$155)))</f>
        <v/>
      </c>
      <c r="G12" s="22" t="str">
        <f t="shared" si="0"/>
        <v/>
      </c>
      <c r="H12" s="14" t="str">
        <f>IF(G12="","",SUMIFS(Оплаты!$B$6:$B$505,Оплаты!$D$6:$D$505,A12,Оплаты!$A$6:$A$505,D12))</f>
        <v/>
      </c>
      <c r="I12" t="str">
        <f>IF(G12="","",SUMPRODUCT((((((D12+'По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дням'!$J$6:$J$155)))/2+1)&gt;0)*1))</f>
        <v/>
      </c>
    </row>
    <row r="13" spans="1:9" x14ac:dyDescent="0.3">
      <c r="A13" t="str">
        <f>IF(Акты!$H$16="ок",Акты!$B$16,"")</f>
        <v/>
      </c>
      <c r="B13" t="str">
        <f>IF(A13="","",12)</f>
        <v/>
      </c>
      <c r="C13" s="21" t="str">
        <f>IF(A13="","",Акты!$E$16)</f>
        <v/>
      </c>
      <c r="D13" s="21" t="str">
        <f>IF(A13="","",MIN(Ввод!$B$4,Ввод!$B$4+1-SUMPRODUCT(MAX((Оплаты!$D$6:$D$505=A13)*(Оплаты!$A$6:$A$505&gt;=C13)*(Ввод!$B$4+1-Оплаты!$A$6:$A$505)))))</f>
        <v/>
      </c>
      <c r="E13" s="14" t="str">
        <f>IF(A13="","",Акты!$D$16)</f>
        <v/>
      </c>
      <c r="F13" s="14" t="str">
        <f>IF(G13="","",SUMPRODUCT(ROUND(E13*'По дням'!$L$6:$L$155/100*((((D13+'По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дням'!$J$6:$J$155)))/2+1)/'По дням'!$M$6:$M$155,2)*(1-'По дням'!$N$6:$N$155)))</f>
        <v/>
      </c>
      <c r="G13" s="22" t="str">
        <f t="shared" si="0"/>
        <v/>
      </c>
      <c r="H13" s="14" t="str">
        <f>IF(G13="","",SUMIFS(Оплаты!$B$6:$B$505,Оплаты!$D$6:$D$505,A13,Оплаты!$A$6:$A$505,D13))</f>
        <v/>
      </c>
      <c r="I13" t="str">
        <f>IF(G13="","",SUMPRODUCT((((((D13+'По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дням'!$J$6:$J$155)))/2+1)&gt;0)*1))</f>
        <v/>
      </c>
    </row>
    <row r="14" spans="1:9" x14ac:dyDescent="0.3">
      <c r="A14" t="str">
        <f>IF(AND(Оплаты!$E$6="ок",COUNTIFS(Акты!$B$5:$B$16,Оплаты!$D$6,Акты!$H$5:$H$16,"ок")&gt;0,TRUE()),Оплаты!$D$6,"")</f>
        <v/>
      </c>
      <c r="B14" t="str">
        <f>IF(A14="","",MATCH(A14,Акты!$B$5:$B$16,0))</f>
        <v/>
      </c>
      <c r="C14" s="21" t="str">
        <f>IF(A14="","",Оплаты!$A$6+1)</f>
        <v/>
      </c>
      <c r="D14" s="21" t="str">
        <f>IF(A14="","",MIN(Ввод!$B$4,Ввод!$B$4+1-SUMPRODUCT(MAX((Оплаты!$D$6:$D$505=A14)*(Оплаты!$A$6:$A$505&gt;Оплаты!$A$6)*(Ввод!$B$4+1-Оплаты!$A$6:$A$505)))))</f>
        <v/>
      </c>
      <c r="E14" s="14" t="str">
        <f>IF(A14="","",INDEX(Акты!$D$5:$D$16,B14)-SUMIFS(Оплаты!$B$6:$B$505,Оплаты!$D$6:$D$505,A14,Оплаты!$A$6:$A$505,"&lt;="&amp;Оплаты!$A$6))</f>
        <v/>
      </c>
      <c r="F14" s="14" t="str">
        <f>IF(G14="","",SUMPRODUCT(ROUND(E14*'По дням'!$L$6:$L$155/100*((((D14+'По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дням'!$J$6:$J$155)))/2+1)/'По дням'!$M$6:$M$155,2)*(1-'По дням'!$N$6:$N$155)))</f>
        <v/>
      </c>
      <c r="G14" s="22" t="str">
        <f t="shared" si="0"/>
        <v/>
      </c>
      <c r="H14" s="14" t="str">
        <f>IF(G14="","",SUMIFS(Оплаты!$B$6:$B$505,Оплаты!$D$6:$D$505,A14,Оплаты!$A$6:$A$505,D14))</f>
        <v/>
      </c>
      <c r="I14" t="str">
        <f>IF(G14="","",SUMPRODUCT((((((D14+'По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дням'!$J$6:$J$155)))/2+1)&gt;0)*1))</f>
        <v/>
      </c>
    </row>
    <row r="15" spans="1:9" x14ac:dyDescent="0.3">
      <c r="A15" t="str">
        <f>IF(AND(Оплаты!$E$7="ок",COUNTIFS(Акты!$B$5:$B$16,Оплаты!$D$7,Акты!$H$5:$H$16,"ок")&gt;0,COUNTIFS(Оплаты!$D$6:$D$6,Оплаты!$D$7,Оплаты!$A$6:$A$6,Оплаты!$A$7)=0),Оплаты!$D$7,"")</f>
        <v/>
      </c>
      <c r="B15" t="str">
        <f>IF(A15="","",MATCH(A15,Акты!$B$5:$B$16,0))</f>
        <v/>
      </c>
      <c r="C15" s="21" t="str">
        <f>IF(A15="","",Оплаты!$A$7+1)</f>
        <v/>
      </c>
      <c r="D15" s="21" t="str">
        <f>IF(A15="","",MIN(Ввод!$B$4,Ввод!$B$4+1-SUMPRODUCT(MAX((Оплаты!$D$6:$D$505=A15)*(Оплаты!$A$6:$A$505&gt;Оплаты!$A$7)*(Ввод!$B$4+1-Оплаты!$A$6:$A$505)))))</f>
        <v/>
      </c>
      <c r="E15" s="14" t="str">
        <f>IF(A15="","",INDEX(Акты!$D$5:$D$16,B15)-SUMIFS(Оплаты!$B$6:$B$505,Оплаты!$D$6:$D$505,A15,Оплаты!$A$6:$A$505,"&lt;="&amp;Оплаты!$A$7))</f>
        <v/>
      </c>
      <c r="F15" s="14" t="str">
        <f>IF(G15="","",SUMPRODUCT(ROUND(E15*'По дням'!$L$6:$L$155/100*((((D15+'По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дням'!$J$6:$J$155)))/2+1)/'По дням'!$M$6:$M$155,2)*(1-'По дням'!$N$6:$N$155)))</f>
        <v/>
      </c>
      <c r="G15" s="22" t="str">
        <f t="shared" si="0"/>
        <v/>
      </c>
      <c r="H15" s="14" t="str">
        <f>IF(G15="","",SUMIFS(Оплаты!$B$6:$B$505,Оплаты!$D$6:$D$505,A15,Оплаты!$A$6:$A$505,D15))</f>
        <v/>
      </c>
      <c r="I15" t="str">
        <f>IF(G15="","",SUMPRODUCT((((((D15+'По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дням'!$J$6:$J$155)))/2+1)&gt;0)*1))</f>
        <v/>
      </c>
    </row>
    <row r="16" spans="1:9" x14ac:dyDescent="0.3">
      <c r="A16" t="str">
        <f>IF(AND(Оплаты!$E$8="ок",COUNTIFS(Акты!$B$5:$B$16,Оплаты!$D$8,Акты!$H$5:$H$16,"ок")&gt;0,COUNTIFS(Оплаты!$D$6:$D$7,Оплаты!$D$8,Оплаты!$A$6:$A$7,Оплаты!$A$8)=0),Оплаты!$D$8,"")</f>
        <v/>
      </c>
      <c r="B16" t="str">
        <f>IF(A16="","",MATCH(A16,Акты!$B$5:$B$16,0))</f>
        <v/>
      </c>
      <c r="C16" s="21" t="str">
        <f>IF(A16="","",Оплаты!$A$8+1)</f>
        <v/>
      </c>
      <c r="D16" s="21" t="str">
        <f>IF(A16="","",MIN(Ввод!$B$4,Ввод!$B$4+1-SUMPRODUCT(MAX((Оплаты!$D$6:$D$505=A16)*(Оплаты!$A$6:$A$505&gt;Оплаты!$A$8)*(Ввод!$B$4+1-Оплаты!$A$6:$A$505)))))</f>
        <v/>
      </c>
      <c r="E16" s="14" t="str">
        <f>IF(A16="","",INDEX(Акты!$D$5:$D$16,B16)-SUMIFS(Оплаты!$B$6:$B$505,Оплаты!$D$6:$D$505,A16,Оплаты!$A$6:$A$505,"&lt;="&amp;Оплаты!$A$8))</f>
        <v/>
      </c>
      <c r="F16" s="14" t="str">
        <f>IF(G16="","",SUMPRODUCT(ROUND(E16*'По дням'!$L$6:$L$155/100*((((D16+'По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дням'!$J$6:$J$155)))/2+1)/'По дням'!$M$6:$M$155,2)*(1-'По дням'!$N$6:$N$155)))</f>
        <v/>
      </c>
      <c r="G16" s="22" t="str">
        <f t="shared" si="0"/>
        <v/>
      </c>
      <c r="H16" s="14" t="str">
        <f>IF(G16="","",SUMIFS(Оплаты!$B$6:$B$505,Оплаты!$D$6:$D$505,A16,Оплаты!$A$6:$A$505,D16))</f>
        <v/>
      </c>
      <c r="I16" t="str">
        <f>IF(G16="","",SUMPRODUCT((((((D16+'По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дням'!$J$6:$J$155)))/2+1)&gt;0)*1))</f>
        <v/>
      </c>
    </row>
    <row r="17" spans="1:9" x14ac:dyDescent="0.3">
      <c r="A17" t="str">
        <f>IF(AND(Оплаты!$E$9="ок",COUNTIFS(Акты!$B$5:$B$16,Оплаты!$D$9,Акты!$H$5:$H$16,"ок")&gt;0,COUNTIFS(Оплаты!$D$6:$D$8,Оплаты!$D$9,Оплаты!$A$6:$A$8,Оплаты!$A$9)=0),Оплаты!$D$9,"")</f>
        <v/>
      </c>
      <c r="B17" t="str">
        <f>IF(A17="","",MATCH(A17,Акты!$B$5:$B$16,0))</f>
        <v/>
      </c>
      <c r="C17" s="21" t="str">
        <f>IF(A17="","",Оплаты!$A$9+1)</f>
        <v/>
      </c>
      <c r="D17" s="21" t="str">
        <f>IF(A17="","",MIN(Ввод!$B$4,Ввод!$B$4+1-SUMPRODUCT(MAX((Оплаты!$D$6:$D$505=A17)*(Оплаты!$A$6:$A$505&gt;Оплаты!$A$9)*(Ввод!$B$4+1-Оплаты!$A$6:$A$505)))))</f>
        <v/>
      </c>
      <c r="E17" s="14" t="str">
        <f>IF(A17="","",INDEX(Акты!$D$5:$D$16,B17)-SUMIFS(Оплаты!$B$6:$B$505,Оплаты!$D$6:$D$505,A17,Оплаты!$A$6:$A$505,"&lt;="&amp;Оплаты!$A$9))</f>
        <v/>
      </c>
      <c r="F17" s="14" t="str">
        <f>IF(G17="","",SUMPRODUCT(ROUND(E17*'По дням'!$L$6:$L$155/100*((((D17+'По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дням'!$J$6:$J$155)))/2+1)/'По дням'!$M$6:$M$155,2)*(1-'По дням'!$N$6:$N$155)))</f>
        <v/>
      </c>
      <c r="G17" s="22" t="str">
        <f t="shared" si="0"/>
        <v/>
      </c>
      <c r="H17" s="14" t="str">
        <f>IF(G17="","",SUMIFS(Оплаты!$B$6:$B$505,Оплаты!$D$6:$D$505,A17,Оплаты!$A$6:$A$505,D17))</f>
        <v/>
      </c>
      <c r="I17" t="str">
        <f>IF(G17="","",SUMPRODUCT((((((D17+'По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дням'!$J$6:$J$155)))/2+1)&gt;0)*1))</f>
        <v/>
      </c>
    </row>
    <row r="18" spans="1:9" x14ac:dyDescent="0.3">
      <c r="A18" t="str">
        <f>IF(AND(Оплаты!$E$10="ок",COUNTIFS(Акты!$B$5:$B$16,Оплаты!$D$10,Акты!$H$5:$H$16,"ок")&gt;0,COUNTIFS(Оплаты!$D$6:$D$9,Оплаты!$D$10,Оплаты!$A$6:$A$9,Оплаты!$A$10)=0),Оплаты!$D$10,"")</f>
        <v/>
      </c>
      <c r="B18" t="str">
        <f>IF(A18="","",MATCH(A18,Акты!$B$5:$B$16,0))</f>
        <v/>
      </c>
      <c r="C18" s="21" t="str">
        <f>IF(A18="","",Оплаты!$A$10+1)</f>
        <v/>
      </c>
      <c r="D18" s="21" t="str">
        <f>IF(A18="","",MIN(Ввод!$B$4,Ввод!$B$4+1-SUMPRODUCT(MAX((Оплаты!$D$6:$D$505=A18)*(Оплаты!$A$6:$A$505&gt;Оплаты!$A$10)*(Ввод!$B$4+1-Оплаты!$A$6:$A$505)))))</f>
        <v/>
      </c>
      <c r="E18" s="14" t="str">
        <f>IF(A18="","",INDEX(Акты!$D$5:$D$16,B18)-SUMIFS(Оплаты!$B$6:$B$505,Оплаты!$D$6:$D$505,A18,Оплаты!$A$6:$A$505,"&lt;="&amp;Оплаты!$A$10))</f>
        <v/>
      </c>
      <c r="F18" s="14" t="str">
        <f>IF(G18="","",SUMPRODUCT(ROUND(E18*'По дням'!$L$6:$L$155/100*((((D18+'По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дням'!$J$6:$J$155)))/2+1)/'По дням'!$M$6:$M$155,2)*(1-'По дням'!$N$6:$N$155)))</f>
        <v/>
      </c>
      <c r="G18" s="22" t="str">
        <f t="shared" si="0"/>
        <v/>
      </c>
      <c r="H18" s="14" t="str">
        <f>IF(G18="","",SUMIFS(Оплаты!$B$6:$B$505,Оплаты!$D$6:$D$505,A18,Оплаты!$A$6:$A$505,D18))</f>
        <v/>
      </c>
      <c r="I18" t="str">
        <f>IF(G18="","",SUMPRODUCT((((((D18+'По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дням'!$J$6:$J$155)))/2+1)&gt;0)*1))</f>
        <v/>
      </c>
    </row>
    <row r="19" spans="1:9" x14ac:dyDescent="0.3">
      <c r="A19" t="str">
        <f>IF(AND(Оплаты!$E$11="ок",COUNTIFS(Акты!$B$5:$B$16,Оплаты!$D$11,Акты!$H$5:$H$16,"ок")&gt;0,COUNTIFS(Оплаты!$D$6:$D$10,Оплаты!$D$11,Оплаты!$A$6:$A$10,Оплаты!$A$11)=0),Оплаты!$D$11,"")</f>
        <v/>
      </c>
      <c r="B19" t="str">
        <f>IF(A19="","",MATCH(A19,Акты!$B$5:$B$16,0))</f>
        <v/>
      </c>
      <c r="C19" s="21" t="str">
        <f>IF(A19="","",Оплаты!$A$11+1)</f>
        <v/>
      </c>
      <c r="D19" s="21" t="str">
        <f>IF(A19="","",MIN(Ввод!$B$4,Ввод!$B$4+1-SUMPRODUCT(MAX((Оплаты!$D$6:$D$505=A19)*(Оплаты!$A$6:$A$505&gt;Оплаты!$A$11)*(Ввод!$B$4+1-Оплаты!$A$6:$A$505)))))</f>
        <v/>
      </c>
      <c r="E19" s="14" t="str">
        <f>IF(A19="","",INDEX(Акты!$D$5:$D$16,B19)-SUMIFS(Оплаты!$B$6:$B$505,Оплаты!$D$6:$D$505,A19,Оплаты!$A$6:$A$505,"&lt;="&amp;Оплаты!$A$11))</f>
        <v/>
      </c>
      <c r="F19" s="14" t="str">
        <f>IF(G19="","",SUMPRODUCT(ROUND(E19*'По дням'!$L$6:$L$155/100*((((D19+'По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дням'!$J$6:$J$155)))/2+1)/'По дням'!$M$6:$M$155,2)*(1-'По дням'!$N$6:$N$155)))</f>
        <v/>
      </c>
      <c r="G19" s="22" t="str">
        <f t="shared" si="0"/>
        <v/>
      </c>
      <c r="H19" s="14" t="str">
        <f>IF(G19="","",SUMIFS(Оплаты!$B$6:$B$505,Оплаты!$D$6:$D$505,A19,Оплаты!$A$6:$A$505,D19))</f>
        <v/>
      </c>
      <c r="I19" t="str">
        <f>IF(G19="","",SUMPRODUCT((((((D19+'По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дням'!$J$6:$J$155)))/2+1)&gt;0)*1))</f>
        <v/>
      </c>
    </row>
    <row r="20" spans="1:9" x14ac:dyDescent="0.3">
      <c r="A20" t="str">
        <f>IF(AND(Оплаты!$E$12="ок",COUNTIFS(Акты!$B$5:$B$16,Оплаты!$D$12,Акты!$H$5:$H$16,"ок")&gt;0,COUNTIFS(Оплаты!$D$6:$D$11,Оплаты!$D$12,Оплаты!$A$6:$A$11,Оплаты!$A$12)=0),Оплаты!$D$12,"")</f>
        <v/>
      </c>
      <c r="B20" t="str">
        <f>IF(A20="","",MATCH(A20,Акты!$B$5:$B$16,0))</f>
        <v/>
      </c>
      <c r="C20" s="21" t="str">
        <f>IF(A20="","",Оплаты!$A$12+1)</f>
        <v/>
      </c>
      <c r="D20" s="21" t="str">
        <f>IF(A20="","",MIN(Ввод!$B$4,Ввод!$B$4+1-SUMPRODUCT(MAX((Оплаты!$D$6:$D$505=A20)*(Оплаты!$A$6:$A$505&gt;Оплаты!$A$12)*(Ввод!$B$4+1-Оплаты!$A$6:$A$505)))))</f>
        <v/>
      </c>
      <c r="E20" s="14" t="str">
        <f>IF(A20="","",INDEX(Акты!$D$5:$D$16,B20)-SUMIFS(Оплаты!$B$6:$B$505,Оплаты!$D$6:$D$505,A20,Оплаты!$A$6:$A$505,"&lt;="&amp;Оплаты!$A$12))</f>
        <v/>
      </c>
      <c r="F20" s="14" t="str">
        <f>IF(G20="","",SUMPRODUCT(ROUND(E20*'По дням'!$L$6:$L$155/100*((((D20+'По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дням'!$J$6:$J$155)))/2+1)/'По дням'!$M$6:$M$155,2)*(1-'По дням'!$N$6:$N$155)))</f>
        <v/>
      </c>
      <c r="G20" s="22" t="str">
        <f t="shared" si="0"/>
        <v/>
      </c>
      <c r="H20" s="14" t="str">
        <f>IF(G20="","",SUMIFS(Оплаты!$B$6:$B$505,Оплаты!$D$6:$D$505,A20,Оплаты!$A$6:$A$505,D20))</f>
        <v/>
      </c>
      <c r="I20" t="str">
        <f>IF(G20="","",SUMPRODUCT((((((D20+'По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дням'!$J$6:$J$155)))/2+1)&gt;0)*1))</f>
        <v/>
      </c>
    </row>
    <row r="21" spans="1:9" x14ac:dyDescent="0.3">
      <c r="A21" t="str">
        <f>IF(AND(Оплаты!$E$13="ок",COUNTIFS(Акты!$B$5:$B$16,Оплаты!$D$13,Акты!$H$5:$H$16,"ок")&gt;0,COUNTIFS(Оплаты!$D$6:$D$12,Оплаты!$D$13,Оплаты!$A$6:$A$12,Оплаты!$A$13)=0),Оплаты!$D$13,"")</f>
        <v/>
      </c>
      <c r="B21" t="str">
        <f>IF(A21="","",MATCH(A21,Акты!$B$5:$B$16,0))</f>
        <v/>
      </c>
      <c r="C21" s="21" t="str">
        <f>IF(A21="","",Оплаты!$A$13+1)</f>
        <v/>
      </c>
      <c r="D21" s="21" t="str">
        <f>IF(A21="","",MIN(Ввод!$B$4,Ввод!$B$4+1-SUMPRODUCT(MAX((Оплаты!$D$6:$D$505=A21)*(Оплаты!$A$6:$A$505&gt;Оплаты!$A$13)*(Ввод!$B$4+1-Оплаты!$A$6:$A$505)))))</f>
        <v/>
      </c>
      <c r="E21" s="14" t="str">
        <f>IF(A21="","",INDEX(Акты!$D$5:$D$16,B21)-SUMIFS(Оплаты!$B$6:$B$505,Оплаты!$D$6:$D$505,A21,Оплаты!$A$6:$A$505,"&lt;="&amp;Оплаты!$A$13))</f>
        <v/>
      </c>
      <c r="F21" s="14" t="str">
        <f>IF(G21="","",SUMPRODUCT(ROUND(E21*'По дням'!$L$6:$L$155/100*((((D21+'По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дням'!$J$6:$J$155)))/2+1)/'По дням'!$M$6:$M$155,2)*(1-'По дням'!$N$6:$N$155)))</f>
        <v/>
      </c>
      <c r="G21" s="22" t="str">
        <f t="shared" si="0"/>
        <v/>
      </c>
      <c r="H21" s="14" t="str">
        <f>IF(G21="","",SUMIFS(Оплаты!$B$6:$B$505,Оплаты!$D$6:$D$505,A21,Оплаты!$A$6:$A$505,D21))</f>
        <v/>
      </c>
      <c r="I21" t="str">
        <f>IF(G21="","",SUMPRODUCT((((((D21+'По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дням'!$J$6:$J$155)))/2+1)&gt;0)*1))</f>
        <v/>
      </c>
    </row>
    <row r="22" spans="1:9" x14ac:dyDescent="0.3">
      <c r="A22" t="str">
        <f>IF(AND(Оплаты!$E$14="ок",COUNTIFS(Акты!$B$5:$B$16,Оплаты!$D$14,Акты!$H$5:$H$16,"ок")&gt;0,COUNTIFS(Оплаты!$D$6:$D$13,Оплаты!$D$14,Оплаты!$A$6:$A$13,Оплаты!$A$14)=0),Оплаты!$D$14,"")</f>
        <v/>
      </c>
      <c r="B22" t="str">
        <f>IF(A22="","",MATCH(A22,Акты!$B$5:$B$16,0))</f>
        <v/>
      </c>
      <c r="C22" s="21" t="str">
        <f>IF(A22="","",Оплаты!$A$14+1)</f>
        <v/>
      </c>
      <c r="D22" s="21" t="str">
        <f>IF(A22="","",MIN(Ввод!$B$4,Ввод!$B$4+1-SUMPRODUCT(MAX((Оплаты!$D$6:$D$505=A22)*(Оплаты!$A$6:$A$505&gt;Оплаты!$A$14)*(Ввод!$B$4+1-Оплаты!$A$6:$A$505)))))</f>
        <v/>
      </c>
      <c r="E22" s="14" t="str">
        <f>IF(A22="","",INDEX(Акты!$D$5:$D$16,B22)-SUMIFS(Оплаты!$B$6:$B$505,Оплаты!$D$6:$D$505,A22,Оплаты!$A$6:$A$505,"&lt;="&amp;Оплаты!$A$14))</f>
        <v/>
      </c>
      <c r="F22" s="14" t="str">
        <f>IF(G22="","",SUMPRODUCT(ROUND(E22*'По дням'!$L$6:$L$155/100*((((D22+'По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дням'!$J$6:$J$155)))/2+1)/'По дням'!$M$6:$M$155,2)*(1-'По дням'!$N$6:$N$155)))</f>
        <v/>
      </c>
      <c r="G22" s="22" t="str">
        <f t="shared" si="0"/>
        <v/>
      </c>
      <c r="H22" s="14" t="str">
        <f>IF(G22="","",SUMIFS(Оплаты!$B$6:$B$505,Оплаты!$D$6:$D$505,A22,Оплаты!$A$6:$A$505,D22))</f>
        <v/>
      </c>
      <c r="I22" t="str">
        <f>IF(G22="","",SUMPRODUCT((((((D22+'По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дням'!$J$6:$J$155)))/2+1)&gt;0)*1))</f>
        <v/>
      </c>
    </row>
    <row r="23" spans="1:9" x14ac:dyDescent="0.3">
      <c r="A23" t="str">
        <f>IF(AND(Оплаты!$E$15="ок",COUNTIFS(Акты!$B$5:$B$16,Оплаты!$D$15,Акты!$H$5:$H$16,"ок")&gt;0,COUNTIFS(Оплаты!$D$6:$D$14,Оплаты!$D$15,Оплаты!$A$6:$A$14,Оплаты!$A$15)=0),Оплаты!$D$15,"")</f>
        <v/>
      </c>
      <c r="B23" t="str">
        <f>IF(A23="","",MATCH(A23,Акты!$B$5:$B$16,0))</f>
        <v/>
      </c>
      <c r="C23" s="21" t="str">
        <f>IF(A23="","",Оплаты!$A$15+1)</f>
        <v/>
      </c>
      <c r="D23" s="21" t="str">
        <f>IF(A23="","",MIN(Ввод!$B$4,Ввод!$B$4+1-SUMPRODUCT(MAX((Оплаты!$D$6:$D$505=A23)*(Оплаты!$A$6:$A$505&gt;Оплаты!$A$15)*(Ввод!$B$4+1-Оплаты!$A$6:$A$505)))))</f>
        <v/>
      </c>
      <c r="E23" s="14" t="str">
        <f>IF(A23="","",INDEX(Акты!$D$5:$D$16,B23)-SUMIFS(Оплаты!$B$6:$B$505,Оплаты!$D$6:$D$505,A23,Оплаты!$A$6:$A$505,"&lt;="&amp;Оплаты!$A$15))</f>
        <v/>
      </c>
      <c r="F23" s="14" t="str">
        <f>IF(G23="","",SUMPRODUCT(ROUND(E23*'По дням'!$L$6:$L$155/100*((((D23+'По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дням'!$J$6:$J$155)))/2+1)/'По дням'!$M$6:$M$155,2)*(1-'По дням'!$N$6:$N$155)))</f>
        <v/>
      </c>
      <c r="G23" s="22" t="str">
        <f t="shared" si="0"/>
        <v/>
      </c>
      <c r="H23" s="14" t="str">
        <f>IF(G23="","",SUMIFS(Оплаты!$B$6:$B$505,Оплаты!$D$6:$D$505,A23,Оплаты!$A$6:$A$505,D23))</f>
        <v/>
      </c>
      <c r="I23" t="str">
        <f>IF(G23="","",SUMPRODUCT((((((D23+'По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дням'!$J$6:$J$155)))/2+1)&gt;0)*1))</f>
        <v/>
      </c>
    </row>
    <row r="24" spans="1:9" x14ac:dyDescent="0.3">
      <c r="A24" t="str">
        <f>IF(AND(Оплаты!$E$16="ок",COUNTIFS(Акты!$B$5:$B$16,Оплаты!$D$16,Акты!$H$5:$H$16,"ок")&gt;0,COUNTIFS(Оплаты!$D$6:$D$15,Оплаты!$D$16,Оплаты!$A$6:$A$15,Оплаты!$A$16)=0),Оплаты!$D$16,"")</f>
        <v/>
      </c>
      <c r="B24" t="str">
        <f>IF(A24="","",MATCH(A24,Акты!$B$5:$B$16,0))</f>
        <v/>
      </c>
      <c r="C24" s="21" t="str">
        <f>IF(A24="","",Оплаты!$A$16+1)</f>
        <v/>
      </c>
      <c r="D24" s="21" t="str">
        <f>IF(A24="","",MIN(Ввод!$B$4,Ввод!$B$4+1-SUMPRODUCT(MAX((Оплаты!$D$6:$D$505=A24)*(Оплаты!$A$6:$A$505&gt;Оплаты!$A$16)*(Ввод!$B$4+1-Оплаты!$A$6:$A$505)))))</f>
        <v/>
      </c>
      <c r="E24" s="14" t="str">
        <f>IF(A24="","",INDEX(Акты!$D$5:$D$16,B24)-SUMIFS(Оплаты!$B$6:$B$505,Оплаты!$D$6:$D$505,A24,Оплаты!$A$6:$A$505,"&lt;="&amp;Оплаты!$A$16))</f>
        <v/>
      </c>
      <c r="F24" s="14" t="str">
        <f>IF(G24="","",SUMPRODUCT(ROUND(E24*'По дням'!$L$6:$L$155/100*((((D24+'По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дням'!$J$6:$J$155)))/2+1)/'По дням'!$M$6:$M$155,2)*(1-'По дням'!$N$6:$N$155)))</f>
        <v/>
      </c>
      <c r="G24" s="22" t="str">
        <f t="shared" si="0"/>
        <v/>
      </c>
      <c r="H24" s="14" t="str">
        <f>IF(G24="","",SUMIFS(Оплаты!$B$6:$B$505,Оплаты!$D$6:$D$505,A24,Оплаты!$A$6:$A$505,D24))</f>
        <v/>
      </c>
      <c r="I24" t="str">
        <f>IF(G24="","",SUMPRODUCT((((((D24+'По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дням'!$J$6:$J$155)))/2+1)&gt;0)*1))</f>
        <v/>
      </c>
    </row>
    <row r="25" spans="1:9" x14ac:dyDescent="0.3">
      <c r="A25" t="str">
        <f>IF(AND(Оплаты!$E$17="ок",COUNTIFS(Акты!$B$5:$B$16,Оплаты!$D$17,Акты!$H$5:$H$16,"ок")&gt;0,COUNTIFS(Оплаты!$D$6:$D$16,Оплаты!$D$17,Оплаты!$A$6:$A$16,Оплаты!$A$17)=0),Оплаты!$D$17,"")</f>
        <v/>
      </c>
      <c r="B25" t="str">
        <f>IF(A25="","",MATCH(A25,Акты!$B$5:$B$16,0))</f>
        <v/>
      </c>
      <c r="C25" s="21" t="str">
        <f>IF(A25="","",Оплаты!$A$17+1)</f>
        <v/>
      </c>
      <c r="D25" s="21" t="str">
        <f>IF(A25="","",MIN(Ввод!$B$4,Ввод!$B$4+1-SUMPRODUCT(MAX((Оплаты!$D$6:$D$505=A25)*(Оплаты!$A$6:$A$505&gt;Оплаты!$A$17)*(Ввод!$B$4+1-Оплаты!$A$6:$A$505)))))</f>
        <v/>
      </c>
      <c r="E25" s="14" t="str">
        <f>IF(A25="","",INDEX(Акты!$D$5:$D$16,B25)-SUMIFS(Оплаты!$B$6:$B$505,Оплаты!$D$6:$D$505,A25,Оплаты!$A$6:$A$505,"&lt;="&amp;Оплаты!$A$17))</f>
        <v/>
      </c>
      <c r="F25" s="14" t="str">
        <f>IF(G25="","",SUMPRODUCT(ROUND(E25*'По дням'!$L$6:$L$155/100*((((D25+'По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дням'!$J$6:$J$155)))/2+1)/'По дням'!$M$6:$M$155,2)*(1-'По дням'!$N$6:$N$155)))</f>
        <v/>
      </c>
      <c r="G25" s="22" t="str">
        <f t="shared" si="0"/>
        <v/>
      </c>
      <c r="H25" s="14" t="str">
        <f>IF(G25="","",SUMIFS(Оплаты!$B$6:$B$505,Оплаты!$D$6:$D$505,A25,Оплаты!$A$6:$A$505,D25))</f>
        <v/>
      </c>
      <c r="I25" t="str">
        <f>IF(G25="","",SUMPRODUCT((((((D25+'По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дням'!$J$6:$J$155)))/2+1)&gt;0)*1))</f>
        <v/>
      </c>
    </row>
    <row r="26" spans="1:9" x14ac:dyDescent="0.3">
      <c r="A26" t="str">
        <f>IF(AND(Оплаты!$E$18="ок",COUNTIFS(Акты!$B$5:$B$16,Оплаты!$D$18,Акты!$H$5:$H$16,"ок")&gt;0,COUNTIFS(Оплаты!$D$6:$D$17,Оплаты!$D$18,Оплаты!$A$6:$A$17,Оплаты!$A$18)=0),Оплаты!$D$18,"")</f>
        <v/>
      </c>
      <c r="B26" t="str">
        <f>IF(A26="","",MATCH(A26,Акты!$B$5:$B$16,0))</f>
        <v/>
      </c>
      <c r="C26" s="21" t="str">
        <f>IF(A26="","",Оплаты!$A$18+1)</f>
        <v/>
      </c>
      <c r="D26" s="21" t="str">
        <f>IF(A26="","",MIN(Ввод!$B$4,Ввод!$B$4+1-SUMPRODUCT(MAX((Оплаты!$D$6:$D$505=A26)*(Оплаты!$A$6:$A$505&gt;Оплаты!$A$18)*(Ввод!$B$4+1-Оплаты!$A$6:$A$505)))))</f>
        <v/>
      </c>
      <c r="E26" s="14" t="str">
        <f>IF(A26="","",INDEX(Акты!$D$5:$D$16,B26)-SUMIFS(Оплаты!$B$6:$B$505,Оплаты!$D$6:$D$505,A26,Оплаты!$A$6:$A$505,"&lt;="&amp;Оплаты!$A$18))</f>
        <v/>
      </c>
      <c r="F26" s="14" t="str">
        <f>IF(G26="","",SUMPRODUCT(ROUND(E26*'По дням'!$L$6:$L$155/100*((((D26+'По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дням'!$J$6:$J$155)))/2+1)/'По дням'!$M$6:$M$155,2)*(1-'По дням'!$N$6:$N$155)))</f>
        <v/>
      </c>
      <c r="G26" s="22" t="str">
        <f t="shared" si="0"/>
        <v/>
      </c>
      <c r="H26" s="14" t="str">
        <f>IF(G26="","",SUMIFS(Оплаты!$B$6:$B$505,Оплаты!$D$6:$D$505,A26,Оплаты!$A$6:$A$505,D26))</f>
        <v/>
      </c>
      <c r="I26" t="str">
        <f>IF(G26="","",SUMPRODUCT((((((D26+'По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дням'!$J$6:$J$155)))/2+1)&gt;0)*1))</f>
        <v/>
      </c>
    </row>
    <row r="27" spans="1:9" x14ac:dyDescent="0.3">
      <c r="A27" t="str">
        <f>IF(AND(Оплаты!$E$19="ок",COUNTIFS(Акты!$B$5:$B$16,Оплаты!$D$19,Акты!$H$5:$H$16,"ок")&gt;0,COUNTIFS(Оплаты!$D$6:$D$18,Оплаты!$D$19,Оплаты!$A$6:$A$18,Оплаты!$A$19)=0),Оплаты!$D$19,"")</f>
        <v/>
      </c>
      <c r="B27" t="str">
        <f>IF(A27="","",MATCH(A27,Акты!$B$5:$B$16,0))</f>
        <v/>
      </c>
      <c r="C27" s="21" t="str">
        <f>IF(A27="","",Оплаты!$A$19+1)</f>
        <v/>
      </c>
      <c r="D27" s="21" t="str">
        <f>IF(A27="","",MIN(Ввод!$B$4,Ввод!$B$4+1-SUMPRODUCT(MAX((Оплаты!$D$6:$D$505=A27)*(Оплаты!$A$6:$A$505&gt;Оплаты!$A$19)*(Ввод!$B$4+1-Оплаты!$A$6:$A$505)))))</f>
        <v/>
      </c>
      <c r="E27" s="14" t="str">
        <f>IF(A27="","",INDEX(Акты!$D$5:$D$16,B27)-SUMIFS(Оплаты!$B$6:$B$505,Оплаты!$D$6:$D$505,A27,Оплаты!$A$6:$A$505,"&lt;="&amp;Оплаты!$A$19))</f>
        <v/>
      </c>
      <c r="F27" s="14" t="str">
        <f>IF(G27="","",SUMPRODUCT(ROUND(E27*'По дням'!$L$6:$L$155/100*((((D27+'По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дням'!$J$6:$J$155)))/2+1)/'По дням'!$M$6:$M$155,2)*(1-'По дням'!$N$6:$N$155)))</f>
        <v/>
      </c>
      <c r="G27" s="22" t="str">
        <f t="shared" si="0"/>
        <v/>
      </c>
      <c r="H27" s="14" t="str">
        <f>IF(G27="","",SUMIFS(Оплаты!$B$6:$B$505,Оплаты!$D$6:$D$505,A27,Оплаты!$A$6:$A$505,D27))</f>
        <v/>
      </c>
      <c r="I27" t="str">
        <f>IF(G27="","",SUMPRODUCT((((((D27+'По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дням'!$J$6:$J$155)))/2+1)&gt;0)*1))</f>
        <v/>
      </c>
    </row>
    <row r="28" spans="1:9" x14ac:dyDescent="0.3">
      <c r="A28" t="str">
        <f>IF(AND(Оплаты!$E$20="ок",COUNTIFS(Акты!$B$5:$B$16,Оплаты!$D$20,Акты!$H$5:$H$16,"ок")&gt;0,COUNTIFS(Оплаты!$D$6:$D$19,Оплаты!$D$20,Оплаты!$A$6:$A$19,Оплаты!$A$20)=0),Оплаты!$D$20,"")</f>
        <v/>
      </c>
      <c r="B28" t="str">
        <f>IF(A28="","",MATCH(A28,Акты!$B$5:$B$16,0))</f>
        <v/>
      </c>
      <c r="C28" s="21" t="str">
        <f>IF(A28="","",Оплаты!$A$20+1)</f>
        <v/>
      </c>
      <c r="D28" s="21" t="str">
        <f>IF(A28="","",MIN(Ввод!$B$4,Ввод!$B$4+1-SUMPRODUCT(MAX((Оплаты!$D$6:$D$505=A28)*(Оплаты!$A$6:$A$505&gt;Оплаты!$A$20)*(Ввод!$B$4+1-Оплаты!$A$6:$A$505)))))</f>
        <v/>
      </c>
      <c r="E28" s="14" t="str">
        <f>IF(A28="","",INDEX(Акты!$D$5:$D$16,B28)-SUMIFS(Оплаты!$B$6:$B$505,Оплаты!$D$6:$D$505,A28,Оплаты!$A$6:$A$505,"&lt;="&amp;Оплаты!$A$20))</f>
        <v/>
      </c>
      <c r="F28" s="14" t="str">
        <f>IF(G28="","",SUMPRODUCT(ROUND(E28*'По дням'!$L$6:$L$155/100*((((D28+'По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дням'!$J$6:$J$155)))/2+1)/'По дням'!$M$6:$M$155,2)*(1-'По дням'!$N$6:$N$155)))</f>
        <v/>
      </c>
      <c r="G28" s="22" t="str">
        <f t="shared" si="0"/>
        <v/>
      </c>
      <c r="H28" s="14" t="str">
        <f>IF(G28="","",SUMIFS(Оплаты!$B$6:$B$505,Оплаты!$D$6:$D$505,A28,Оплаты!$A$6:$A$505,D28))</f>
        <v/>
      </c>
      <c r="I28" t="str">
        <f>IF(G28="","",SUMPRODUCT((((((D28+'По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дням'!$J$6:$J$155)))/2+1)&gt;0)*1))</f>
        <v/>
      </c>
    </row>
    <row r="29" spans="1:9" x14ac:dyDescent="0.3">
      <c r="A29" t="str">
        <f>IF(AND(Оплаты!$E$21="ок",COUNTIFS(Акты!$B$5:$B$16,Оплаты!$D$21,Акты!$H$5:$H$16,"ок")&gt;0,COUNTIFS(Оплаты!$D$6:$D$20,Оплаты!$D$21,Оплаты!$A$6:$A$20,Оплаты!$A$21)=0),Оплаты!$D$21,"")</f>
        <v/>
      </c>
      <c r="B29" t="str">
        <f>IF(A29="","",MATCH(A29,Акты!$B$5:$B$16,0))</f>
        <v/>
      </c>
      <c r="C29" s="21" t="str">
        <f>IF(A29="","",Оплаты!$A$21+1)</f>
        <v/>
      </c>
      <c r="D29" s="21" t="str">
        <f>IF(A29="","",MIN(Ввод!$B$4,Ввод!$B$4+1-SUMPRODUCT(MAX((Оплаты!$D$6:$D$505=A29)*(Оплаты!$A$6:$A$505&gt;Оплаты!$A$21)*(Ввод!$B$4+1-Оплаты!$A$6:$A$505)))))</f>
        <v/>
      </c>
      <c r="E29" s="14" t="str">
        <f>IF(A29="","",INDEX(Акты!$D$5:$D$16,B29)-SUMIFS(Оплаты!$B$6:$B$505,Оплаты!$D$6:$D$505,A29,Оплаты!$A$6:$A$505,"&lt;="&amp;Оплаты!$A$21))</f>
        <v/>
      </c>
      <c r="F29" s="14" t="str">
        <f>IF(G29="","",SUMPRODUCT(ROUND(E29*'По дням'!$L$6:$L$155/100*((((D29+'По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дням'!$J$6:$J$155)))/2+1)/'По дням'!$M$6:$M$155,2)*(1-'По дням'!$N$6:$N$155)))</f>
        <v/>
      </c>
      <c r="G29" s="22" t="str">
        <f t="shared" si="0"/>
        <v/>
      </c>
      <c r="H29" s="14" t="str">
        <f>IF(G29="","",SUMIFS(Оплаты!$B$6:$B$505,Оплаты!$D$6:$D$505,A29,Оплаты!$A$6:$A$505,D29))</f>
        <v/>
      </c>
      <c r="I29" t="str">
        <f>IF(G29="","",SUMPRODUCT((((((D29+'По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дням'!$J$6:$J$155)))/2+1)&gt;0)*1))</f>
        <v/>
      </c>
    </row>
    <row r="30" spans="1:9" x14ac:dyDescent="0.3">
      <c r="A30" t="str">
        <f>IF(AND(Оплаты!$E$22="ок",COUNTIFS(Акты!$B$5:$B$16,Оплаты!$D$22,Акты!$H$5:$H$16,"ок")&gt;0,COUNTIFS(Оплаты!$D$6:$D$21,Оплаты!$D$22,Оплаты!$A$6:$A$21,Оплаты!$A$22)=0),Оплаты!$D$22,"")</f>
        <v/>
      </c>
      <c r="B30" t="str">
        <f>IF(A30="","",MATCH(A30,Акты!$B$5:$B$16,0))</f>
        <v/>
      </c>
      <c r="C30" s="21" t="str">
        <f>IF(A30="","",Оплаты!$A$22+1)</f>
        <v/>
      </c>
      <c r="D30" s="21" t="str">
        <f>IF(A30="","",MIN(Ввод!$B$4,Ввод!$B$4+1-SUMPRODUCT(MAX((Оплаты!$D$6:$D$505=A30)*(Оплаты!$A$6:$A$505&gt;Оплаты!$A$22)*(Ввод!$B$4+1-Оплаты!$A$6:$A$505)))))</f>
        <v/>
      </c>
      <c r="E30" s="14" t="str">
        <f>IF(A30="","",INDEX(Акты!$D$5:$D$16,B30)-SUMIFS(Оплаты!$B$6:$B$505,Оплаты!$D$6:$D$505,A30,Оплаты!$A$6:$A$505,"&lt;="&amp;Оплаты!$A$22))</f>
        <v/>
      </c>
      <c r="F30" s="14" t="str">
        <f>IF(G30="","",SUMPRODUCT(ROUND(E30*'По дням'!$L$6:$L$155/100*((((D30+'По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дням'!$J$6:$J$155)))/2+1)/'По дням'!$M$6:$M$155,2)*(1-'По дням'!$N$6:$N$155)))</f>
        <v/>
      </c>
      <c r="G30" s="22" t="str">
        <f t="shared" si="0"/>
        <v/>
      </c>
      <c r="H30" s="14" t="str">
        <f>IF(G30="","",SUMIFS(Оплаты!$B$6:$B$505,Оплаты!$D$6:$D$505,A30,Оплаты!$A$6:$A$505,D30))</f>
        <v/>
      </c>
      <c r="I30" t="str">
        <f>IF(G30="","",SUMPRODUCT((((((D30+'По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дням'!$J$6:$J$155)))/2+1)&gt;0)*1))</f>
        <v/>
      </c>
    </row>
    <row r="31" spans="1:9" x14ac:dyDescent="0.3">
      <c r="A31" t="str">
        <f>IF(AND(Оплаты!$E$23="ок",COUNTIFS(Акты!$B$5:$B$16,Оплаты!$D$23,Акты!$H$5:$H$16,"ок")&gt;0,COUNTIFS(Оплаты!$D$6:$D$22,Оплаты!$D$23,Оплаты!$A$6:$A$22,Оплаты!$A$23)=0),Оплаты!$D$23,"")</f>
        <v/>
      </c>
      <c r="B31" t="str">
        <f>IF(A31="","",MATCH(A31,Акты!$B$5:$B$16,0))</f>
        <v/>
      </c>
      <c r="C31" s="21" t="str">
        <f>IF(A31="","",Оплаты!$A$23+1)</f>
        <v/>
      </c>
      <c r="D31" s="21" t="str">
        <f>IF(A31="","",MIN(Ввод!$B$4,Ввод!$B$4+1-SUMPRODUCT(MAX((Оплаты!$D$6:$D$505=A31)*(Оплаты!$A$6:$A$505&gt;Оплаты!$A$23)*(Ввод!$B$4+1-Оплаты!$A$6:$A$505)))))</f>
        <v/>
      </c>
      <c r="E31" s="14" t="str">
        <f>IF(A31="","",INDEX(Акты!$D$5:$D$16,B31)-SUMIFS(Оплаты!$B$6:$B$505,Оплаты!$D$6:$D$505,A31,Оплаты!$A$6:$A$505,"&lt;="&amp;Оплаты!$A$23))</f>
        <v/>
      </c>
      <c r="F31" s="14" t="str">
        <f>IF(G31="","",SUMPRODUCT(ROUND(E31*'По дням'!$L$6:$L$155/100*((((D31+'По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дням'!$J$6:$J$155)))/2+1)/'По дням'!$M$6:$M$155,2)*(1-'По дням'!$N$6:$N$155)))</f>
        <v/>
      </c>
      <c r="G31" s="22" t="str">
        <f t="shared" si="0"/>
        <v/>
      </c>
      <c r="H31" s="14" t="str">
        <f>IF(G31="","",SUMIFS(Оплаты!$B$6:$B$505,Оплаты!$D$6:$D$505,A31,Оплаты!$A$6:$A$505,D31))</f>
        <v/>
      </c>
      <c r="I31" t="str">
        <f>IF(G31="","",SUMPRODUCT((((((D31+'По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дням'!$J$6:$J$155)))/2+1)&gt;0)*1))</f>
        <v/>
      </c>
    </row>
    <row r="32" spans="1:9" x14ac:dyDescent="0.3">
      <c r="A32" t="str">
        <f>IF(AND(Оплаты!$E$24="ок",COUNTIFS(Акты!$B$5:$B$16,Оплаты!$D$24,Акты!$H$5:$H$16,"ок")&gt;0,COUNTIFS(Оплаты!$D$6:$D$23,Оплаты!$D$24,Оплаты!$A$6:$A$23,Оплаты!$A$24)=0),Оплаты!$D$24,"")</f>
        <v/>
      </c>
      <c r="B32" t="str">
        <f>IF(A32="","",MATCH(A32,Акты!$B$5:$B$16,0))</f>
        <v/>
      </c>
      <c r="C32" s="21" t="str">
        <f>IF(A32="","",Оплаты!$A$24+1)</f>
        <v/>
      </c>
      <c r="D32" s="21" t="str">
        <f>IF(A32="","",MIN(Ввод!$B$4,Ввод!$B$4+1-SUMPRODUCT(MAX((Оплаты!$D$6:$D$505=A32)*(Оплаты!$A$6:$A$505&gt;Оплаты!$A$24)*(Ввод!$B$4+1-Оплаты!$A$6:$A$505)))))</f>
        <v/>
      </c>
      <c r="E32" s="14" t="str">
        <f>IF(A32="","",INDEX(Акты!$D$5:$D$16,B32)-SUMIFS(Оплаты!$B$6:$B$505,Оплаты!$D$6:$D$505,A32,Оплаты!$A$6:$A$505,"&lt;="&amp;Оплаты!$A$24))</f>
        <v/>
      </c>
      <c r="F32" s="14" t="str">
        <f>IF(G32="","",SUMPRODUCT(ROUND(E32*'По дням'!$L$6:$L$155/100*((((D32+'По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дням'!$J$6:$J$155)))/2+1)/'По дням'!$M$6:$M$155,2)*(1-'По дням'!$N$6:$N$155)))</f>
        <v/>
      </c>
      <c r="G32" s="22" t="str">
        <f t="shared" si="0"/>
        <v/>
      </c>
      <c r="H32" s="14" t="str">
        <f>IF(G32="","",SUMIFS(Оплаты!$B$6:$B$505,Оплаты!$D$6:$D$505,A32,Оплаты!$A$6:$A$505,D32))</f>
        <v/>
      </c>
      <c r="I32" t="str">
        <f>IF(G32="","",SUMPRODUCT((((((D32+'По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дням'!$J$6:$J$155)))/2+1)&gt;0)*1))</f>
        <v/>
      </c>
    </row>
    <row r="33" spans="1:9" x14ac:dyDescent="0.3">
      <c r="A33" t="str">
        <f>IF(AND(Оплаты!$E$25="ок",COUNTIFS(Акты!$B$5:$B$16,Оплаты!$D$25,Акты!$H$5:$H$16,"ок")&gt;0,COUNTIFS(Оплаты!$D$6:$D$24,Оплаты!$D$25,Оплаты!$A$6:$A$24,Оплаты!$A$25)=0),Оплаты!$D$25,"")</f>
        <v/>
      </c>
      <c r="B33" t="str">
        <f>IF(A33="","",MATCH(A33,Акты!$B$5:$B$16,0))</f>
        <v/>
      </c>
      <c r="C33" s="21" t="str">
        <f>IF(A33="","",Оплаты!$A$25+1)</f>
        <v/>
      </c>
      <c r="D33" s="21" t="str">
        <f>IF(A33="","",MIN(Ввод!$B$4,Ввод!$B$4+1-SUMPRODUCT(MAX((Оплаты!$D$6:$D$505=A33)*(Оплаты!$A$6:$A$505&gt;Оплаты!$A$25)*(Ввод!$B$4+1-Оплаты!$A$6:$A$505)))))</f>
        <v/>
      </c>
      <c r="E33" s="14" t="str">
        <f>IF(A33="","",INDEX(Акты!$D$5:$D$16,B33)-SUMIFS(Оплаты!$B$6:$B$505,Оплаты!$D$6:$D$505,A33,Оплаты!$A$6:$A$505,"&lt;="&amp;Оплаты!$A$25))</f>
        <v/>
      </c>
      <c r="F33" s="14" t="str">
        <f>IF(G33="","",SUMPRODUCT(ROUND(E33*'По дням'!$L$6:$L$155/100*((((D33+'По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дням'!$J$6:$J$155)))/2+1)/'По дням'!$M$6:$M$155,2)*(1-'По дням'!$N$6:$N$155)))</f>
        <v/>
      </c>
      <c r="G33" s="22" t="str">
        <f t="shared" si="0"/>
        <v/>
      </c>
      <c r="H33" s="14" t="str">
        <f>IF(G33="","",SUMIFS(Оплаты!$B$6:$B$505,Оплаты!$D$6:$D$505,A33,Оплаты!$A$6:$A$505,D33))</f>
        <v/>
      </c>
      <c r="I33" t="str">
        <f>IF(G33="","",SUMPRODUCT((((((D33+'По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дням'!$J$6:$J$155)))/2+1)&gt;0)*1))</f>
        <v/>
      </c>
    </row>
    <row r="34" spans="1:9" x14ac:dyDescent="0.3">
      <c r="A34" t="str">
        <f>IF(AND(Оплаты!$E$26="ок",COUNTIFS(Акты!$B$5:$B$16,Оплаты!$D$26,Акты!$H$5:$H$16,"ок")&gt;0,COUNTIFS(Оплаты!$D$6:$D$25,Оплаты!$D$26,Оплаты!$A$6:$A$25,Оплаты!$A$26)=0),Оплаты!$D$26,"")</f>
        <v/>
      </c>
      <c r="B34" t="str">
        <f>IF(A34="","",MATCH(A34,Акты!$B$5:$B$16,0))</f>
        <v/>
      </c>
      <c r="C34" s="21" t="str">
        <f>IF(A34="","",Оплаты!$A$26+1)</f>
        <v/>
      </c>
      <c r="D34" s="21" t="str">
        <f>IF(A34="","",MIN(Ввод!$B$4,Ввод!$B$4+1-SUMPRODUCT(MAX((Оплаты!$D$6:$D$505=A34)*(Оплаты!$A$6:$A$505&gt;Оплаты!$A$26)*(Ввод!$B$4+1-Оплаты!$A$6:$A$505)))))</f>
        <v/>
      </c>
      <c r="E34" s="14" t="str">
        <f>IF(A34="","",INDEX(Акты!$D$5:$D$16,B34)-SUMIFS(Оплаты!$B$6:$B$505,Оплаты!$D$6:$D$505,A34,Оплаты!$A$6:$A$505,"&lt;="&amp;Оплаты!$A$26))</f>
        <v/>
      </c>
      <c r="F34" s="14" t="str">
        <f>IF(G34="","",SUMPRODUCT(ROUND(E34*'По дням'!$L$6:$L$155/100*((((D34+'По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дням'!$J$6:$J$155)))/2+1)/'По дням'!$M$6:$M$155,2)*(1-'По дням'!$N$6:$N$155)))</f>
        <v/>
      </c>
      <c r="G34" s="22" t="str">
        <f t="shared" si="0"/>
        <v/>
      </c>
      <c r="H34" s="14" t="str">
        <f>IF(G34="","",SUMIFS(Оплаты!$B$6:$B$505,Оплаты!$D$6:$D$505,A34,Оплаты!$A$6:$A$505,D34))</f>
        <v/>
      </c>
      <c r="I34" t="str">
        <f>IF(G34="","",SUMPRODUCT((((((D34+'По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дням'!$J$6:$J$155)))/2+1)&gt;0)*1))</f>
        <v/>
      </c>
    </row>
    <row r="35" spans="1:9" x14ac:dyDescent="0.3">
      <c r="A35" t="str">
        <f>IF(AND(Оплаты!$E$27="ок",COUNTIFS(Акты!$B$5:$B$16,Оплаты!$D$27,Акты!$H$5:$H$16,"ок")&gt;0,COUNTIFS(Оплаты!$D$6:$D$26,Оплаты!$D$27,Оплаты!$A$6:$A$26,Оплаты!$A$27)=0),Оплаты!$D$27,"")</f>
        <v/>
      </c>
      <c r="B35" t="str">
        <f>IF(A35="","",MATCH(A35,Акты!$B$5:$B$16,0))</f>
        <v/>
      </c>
      <c r="C35" s="21" t="str">
        <f>IF(A35="","",Оплаты!$A$27+1)</f>
        <v/>
      </c>
      <c r="D35" s="21" t="str">
        <f>IF(A35="","",MIN(Ввод!$B$4,Ввод!$B$4+1-SUMPRODUCT(MAX((Оплаты!$D$6:$D$505=A35)*(Оплаты!$A$6:$A$505&gt;Оплаты!$A$27)*(Ввод!$B$4+1-Оплаты!$A$6:$A$505)))))</f>
        <v/>
      </c>
      <c r="E35" s="14" t="str">
        <f>IF(A35="","",INDEX(Акты!$D$5:$D$16,B35)-SUMIFS(Оплаты!$B$6:$B$505,Оплаты!$D$6:$D$505,A35,Оплаты!$A$6:$A$505,"&lt;="&amp;Оплаты!$A$27))</f>
        <v/>
      </c>
      <c r="F35" s="14" t="str">
        <f>IF(G35="","",SUMPRODUCT(ROUND(E35*'По дням'!$L$6:$L$155/100*((((D35+'По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дням'!$J$6:$J$155)))/2+1)/'По дням'!$M$6:$M$155,2)*(1-'По дням'!$N$6:$N$155)))</f>
        <v/>
      </c>
      <c r="G35" s="22" t="str">
        <f t="shared" si="0"/>
        <v/>
      </c>
      <c r="H35" s="14" t="str">
        <f>IF(G35="","",SUMIFS(Оплаты!$B$6:$B$505,Оплаты!$D$6:$D$505,A35,Оплаты!$A$6:$A$505,D35))</f>
        <v/>
      </c>
      <c r="I35" t="str">
        <f>IF(G35="","",SUMPRODUCT((((((D35+'По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дням'!$J$6:$J$155)))/2+1)&gt;0)*1))</f>
        <v/>
      </c>
    </row>
    <row r="36" spans="1:9" x14ac:dyDescent="0.3">
      <c r="A36" t="str">
        <f>IF(AND(Оплаты!$E$28="ок",COUNTIFS(Акты!$B$5:$B$16,Оплаты!$D$28,Акты!$H$5:$H$16,"ок")&gt;0,COUNTIFS(Оплаты!$D$6:$D$27,Оплаты!$D$28,Оплаты!$A$6:$A$27,Оплаты!$A$28)=0),Оплаты!$D$28,"")</f>
        <v/>
      </c>
      <c r="B36" t="str">
        <f>IF(A36="","",MATCH(A36,Акты!$B$5:$B$16,0))</f>
        <v/>
      </c>
      <c r="C36" s="21" t="str">
        <f>IF(A36="","",Оплаты!$A$28+1)</f>
        <v/>
      </c>
      <c r="D36" s="21" t="str">
        <f>IF(A36="","",MIN(Ввод!$B$4,Ввод!$B$4+1-SUMPRODUCT(MAX((Оплаты!$D$6:$D$505=A36)*(Оплаты!$A$6:$A$505&gt;Оплаты!$A$28)*(Ввод!$B$4+1-Оплаты!$A$6:$A$505)))))</f>
        <v/>
      </c>
      <c r="E36" s="14" t="str">
        <f>IF(A36="","",INDEX(Акты!$D$5:$D$16,B36)-SUMIFS(Оплаты!$B$6:$B$505,Оплаты!$D$6:$D$505,A36,Оплаты!$A$6:$A$505,"&lt;="&amp;Оплаты!$A$28))</f>
        <v/>
      </c>
      <c r="F36" s="14" t="str">
        <f>IF(G36="","",SUMPRODUCT(ROUND(E36*'По дням'!$L$6:$L$155/100*((((D36+'По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дням'!$J$6:$J$155)))/2+1)/'По дням'!$M$6:$M$155,2)*(1-'По дням'!$N$6:$N$155)))</f>
        <v/>
      </c>
      <c r="G36" s="22" t="str">
        <f t="shared" si="0"/>
        <v/>
      </c>
      <c r="H36" s="14" t="str">
        <f>IF(G36="","",SUMIFS(Оплаты!$B$6:$B$505,Оплаты!$D$6:$D$505,A36,Оплаты!$A$6:$A$505,D36))</f>
        <v/>
      </c>
      <c r="I36" t="str">
        <f>IF(G36="","",SUMPRODUCT((((((D36+'По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дням'!$J$6:$J$155)))/2+1)&gt;0)*1))</f>
        <v/>
      </c>
    </row>
    <row r="37" spans="1:9" x14ac:dyDescent="0.3">
      <c r="A37" t="str">
        <f>IF(AND(Оплаты!$E$29="ок",COUNTIFS(Акты!$B$5:$B$16,Оплаты!$D$29,Акты!$H$5:$H$16,"ок")&gt;0,COUNTIFS(Оплаты!$D$6:$D$28,Оплаты!$D$29,Оплаты!$A$6:$A$28,Оплаты!$A$29)=0),Оплаты!$D$29,"")</f>
        <v/>
      </c>
      <c r="B37" t="str">
        <f>IF(A37="","",MATCH(A37,Акты!$B$5:$B$16,0))</f>
        <v/>
      </c>
      <c r="C37" s="21" t="str">
        <f>IF(A37="","",Оплаты!$A$29+1)</f>
        <v/>
      </c>
      <c r="D37" s="21" t="str">
        <f>IF(A37="","",MIN(Ввод!$B$4,Ввод!$B$4+1-SUMPRODUCT(MAX((Оплаты!$D$6:$D$505=A37)*(Оплаты!$A$6:$A$505&gt;Оплаты!$A$29)*(Ввод!$B$4+1-Оплаты!$A$6:$A$505)))))</f>
        <v/>
      </c>
      <c r="E37" s="14" t="str">
        <f>IF(A37="","",INDEX(Акты!$D$5:$D$16,B37)-SUMIFS(Оплаты!$B$6:$B$505,Оплаты!$D$6:$D$505,A37,Оплаты!$A$6:$A$505,"&lt;="&amp;Оплаты!$A$29))</f>
        <v/>
      </c>
      <c r="F37" s="14" t="str">
        <f>IF(G37="","",SUMPRODUCT(ROUND(E37*'По дням'!$L$6:$L$155/100*((((D37+'По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дням'!$J$6:$J$155)))/2+1)/'По дням'!$M$6:$M$155,2)*(1-'По дням'!$N$6:$N$155)))</f>
        <v/>
      </c>
      <c r="G37" s="22" t="str">
        <f t="shared" si="0"/>
        <v/>
      </c>
      <c r="H37" s="14" t="str">
        <f>IF(G37="","",SUMIFS(Оплаты!$B$6:$B$505,Оплаты!$D$6:$D$505,A37,Оплаты!$A$6:$A$505,D37))</f>
        <v/>
      </c>
      <c r="I37" t="str">
        <f>IF(G37="","",SUMPRODUCT((((((D37+'По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дням'!$J$6:$J$155)))/2+1)&gt;0)*1))</f>
        <v/>
      </c>
    </row>
    <row r="38" spans="1:9" x14ac:dyDescent="0.3">
      <c r="A38" t="str">
        <f>IF(AND(Оплаты!$E$30="ок",COUNTIFS(Акты!$B$5:$B$16,Оплаты!$D$30,Акты!$H$5:$H$16,"ок")&gt;0,COUNTIFS(Оплаты!$D$6:$D$29,Оплаты!$D$30,Оплаты!$A$6:$A$29,Оплаты!$A$30)=0),Оплаты!$D$30,"")</f>
        <v/>
      </c>
      <c r="B38" t="str">
        <f>IF(A38="","",MATCH(A38,Акты!$B$5:$B$16,0))</f>
        <v/>
      </c>
      <c r="C38" s="21" t="str">
        <f>IF(A38="","",Оплаты!$A$30+1)</f>
        <v/>
      </c>
      <c r="D38" s="21" t="str">
        <f>IF(A38="","",MIN(Ввод!$B$4,Ввод!$B$4+1-SUMPRODUCT(MAX((Оплаты!$D$6:$D$505=A38)*(Оплаты!$A$6:$A$505&gt;Оплаты!$A$30)*(Ввод!$B$4+1-Оплаты!$A$6:$A$505)))))</f>
        <v/>
      </c>
      <c r="E38" s="14" t="str">
        <f>IF(A38="","",INDEX(Акты!$D$5:$D$16,B38)-SUMIFS(Оплаты!$B$6:$B$505,Оплаты!$D$6:$D$505,A38,Оплаты!$A$6:$A$505,"&lt;="&amp;Оплаты!$A$30))</f>
        <v/>
      </c>
      <c r="F38" s="14" t="str">
        <f>IF(G38="","",SUMPRODUCT(ROUND(E38*'По дням'!$L$6:$L$155/100*((((D38+'По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дням'!$J$6:$J$155)))/2+1)/'По дням'!$M$6:$M$155,2)*(1-'По дням'!$N$6:$N$155)))</f>
        <v/>
      </c>
      <c r="G38" s="22" t="str">
        <f t="shared" si="0"/>
        <v/>
      </c>
      <c r="H38" s="14" t="str">
        <f>IF(G38="","",SUMIFS(Оплаты!$B$6:$B$505,Оплаты!$D$6:$D$505,A38,Оплаты!$A$6:$A$505,D38))</f>
        <v/>
      </c>
      <c r="I38" t="str">
        <f>IF(G38="","",SUMPRODUCT((((((D38+'По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дням'!$J$6:$J$155)))/2+1)&gt;0)*1))</f>
        <v/>
      </c>
    </row>
    <row r="39" spans="1:9" x14ac:dyDescent="0.3">
      <c r="A39" t="str">
        <f>IF(AND(Оплаты!$E$31="ок",COUNTIFS(Акты!$B$5:$B$16,Оплаты!$D$31,Акты!$H$5:$H$16,"ок")&gt;0,COUNTIFS(Оплаты!$D$6:$D$30,Оплаты!$D$31,Оплаты!$A$6:$A$30,Оплаты!$A$31)=0),Оплаты!$D$31,"")</f>
        <v/>
      </c>
      <c r="B39" t="str">
        <f>IF(A39="","",MATCH(A39,Акты!$B$5:$B$16,0))</f>
        <v/>
      </c>
      <c r="C39" s="21" t="str">
        <f>IF(A39="","",Оплаты!$A$31+1)</f>
        <v/>
      </c>
      <c r="D39" s="21" t="str">
        <f>IF(A39="","",MIN(Ввод!$B$4,Ввод!$B$4+1-SUMPRODUCT(MAX((Оплаты!$D$6:$D$505=A39)*(Оплаты!$A$6:$A$505&gt;Оплаты!$A$31)*(Ввод!$B$4+1-Оплаты!$A$6:$A$505)))))</f>
        <v/>
      </c>
      <c r="E39" s="14" t="str">
        <f>IF(A39="","",INDEX(Акты!$D$5:$D$16,B39)-SUMIFS(Оплаты!$B$6:$B$505,Оплаты!$D$6:$D$505,A39,Оплаты!$A$6:$A$505,"&lt;="&amp;Оплаты!$A$31))</f>
        <v/>
      </c>
      <c r="F39" s="14" t="str">
        <f>IF(G39="","",SUMPRODUCT(ROUND(E39*'По дням'!$L$6:$L$155/100*((((D39+'По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дням'!$J$6:$J$155)))/2+1)/'По дням'!$M$6:$M$155,2)*(1-'По дням'!$N$6:$N$155)))</f>
        <v/>
      </c>
      <c r="G39" s="22" t="str">
        <f t="shared" si="0"/>
        <v/>
      </c>
      <c r="H39" s="14" t="str">
        <f>IF(G39="","",SUMIFS(Оплаты!$B$6:$B$505,Оплаты!$D$6:$D$505,A39,Оплаты!$A$6:$A$505,D39))</f>
        <v/>
      </c>
      <c r="I39" t="str">
        <f>IF(G39="","",SUMPRODUCT((((((D39+'По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дням'!$J$6:$J$155)))/2+1)&gt;0)*1))</f>
        <v/>
      </c>
    </row>
    <row r="40" spans="1:9" x14ac:dyDescent="0.3">
      <c r="A40" t="str">
        <f>IF(AND(Оплаты!$E$32="ок",COUNTIFS(Акты!$B$5:$B$16,Оплаты!$D$32,Акты!$H$5:$H$16,"ок")&gt;0,COUNTIFS(Оплаты!$D$6:$D$31,Оплаты!$D$32,Оплаты!$A$6:$A$31,Оплаты!$A$32)=0),Оплаты!$D$32,"")</f>
        <v/>
      </c>
      <c r="B40" t="str">
        <f>IF(A40="","",MATCH(A40,Акты!$B$5:$B$16,0))</f>
        <v/>
      </c>
      <c r="C40" s="21" t="str">
        <f>IF(A40="","",Оплаты!$A$32+1)</f>
        <v/>
      </c>
      <c r="D40" s="21" t="str">
        <f>IF(A40="","",MIN(Ввод!$B$4,Ввод!$B$4+1-SUMPRODUCT(MAX((Оплаты!$D$6:$D$505=A40)*(Оплаты!$A$6:$A$505&gt;Оплаты!$A$32)*(Ввод!$B$4+1-Оплаты!$A$6:$A$505)))))</f>
        <v/>
      </c>
      <c r="E40" s="14" t="str">
        <f>IF(A40="","",INDEX(Акты!$D$5:$D$16,B40)-SUMIFS(Оплаты!$B$6:$B$505,Оплаты!$D$6:$D$505,A40,Оплаты!$A$6:$A$505,"&lt;="&amp;Оплаты!$A$32))</f>
        <v/>
      </c>
      <c r="F40" s="14" t="str">
        <f>IF(G40="","",SUMPRODUCT(ROUND(E40*'По дням'!$L$6:$L$155/100*((((D40+'По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дням'!$J$6:$J$155)))/2+1)/'По дням'!$M$6:$M$155,2)*(1-'По дням'!$N$6:$N$155)))</f>
        <v/>
      </c>
      <c r="G40" s="22" t="str">
        <f t="shared" si="0"/>
        <v/>
      </c>
      <c r="H40" s="14" t="str">
        <f>IF(G40="","",SUMIFS(Оплаты!$B$6:$B$505,Оплаты!$D$6:$D$505,A40,Оплаты!$A$6:$A$505,D40))</f>
        <v/>
      </c>
      <c r="I40" t="str">
        <f>IF(G40="","",SUMPRODUCT((((((D40+'По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дням'!$J$6:$J$155)))/2+1)&gt;0)*1))</f>
        <v/>
      </c>
    </row>
    <row r="41" spans="1:9" x14ac:dyDescent="0.3">
      <c r="A41" t="str">
        <f>IF(AND(Оплаты!$E$33="ок",COUNTIFS(Акты!$B$5:$B$16,Оплаты!$D$33,Акты!$H$5:$H$16,"ок")&gt;0,COUNTIFS(Оплаты!$D$6:$D$32,Оплаты!$D$33,Оплаты!$A$6:$A$32,Оплаты!$A$33)=0),Оплаты!$D$33,"")</f>
        <v/>
      </c>
      <c r="B41" t="str">
        <f>IF(A41="","",MATCH(A41,Акты!$B$5:$B$16,0))</f>
        <v/>
      </c>
      <c r="C41" s="21" t="str">
        <f>IF(A41="","",Оплаты!$A$33+1)</f>
        <v/>
      </c>
      <c r="D41" s="21" t="str">
        <f>IF(A41="","",MIN(Ввод!$B$4,Ввод!$B$4+1-SUMPRODUCT(MAX((Оплаты!$D$6:$D$505=A41)*(Оплаты!$A$6:$A$505&gt;Оплаты!$A$33)*(Ввод!$B$4+1-Оплаты!$A$6:$A$505)))))</f>
        <v/>
      </c>
      <c r="E41" s="14" t="str">
        <f>IF(A41="","",INDEX(Акты!$D$5:$D$16,B41)-SUMIFS(Оплаты!$B$6:$B$505,Оплаты!$D$6:$D$505,A41,Оплаты!$A$6:$A$505,"&lt;="&amp;Оплаты!$A$33))</f>
        <v/>
      </c>
      <c r="F41" s="14" t="str">
        <f>IF(G41="","",SUMPRODUCT(ROUND(E41*'По дням'!$L$6:$L$155/100*((((D41+'По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дням'!$J$6:$J$155)))/2+1)/'По дням'!$M$6:$M$155,2)*(1-'По дням'!$N$6:$N$155)))</f>
        <v/>
      </c>
      <c r="G41" s="22" t="str">
        <f t="shared" si="0"/>
        <v/>
      </c>
      <c r="H41" s="14" t="str">
        <f>IF(G41="","",SUMIFS(Оплаты!$B$6:$B$505,Оплаты!$D$6:$D$505,A41,Оплаты!$A$6:$A$505,D41))</f>
        <v/>
      </c>
      <c r="I41" t="str">
        <f>IF(G41="","",SUMPRODUCT((((((D41+'По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дням'!$J$6:$J$155)))/2+1)&gt;0)*1))</f>
        <v/>
      </c>
    </row>
    <row r="42" spans="1:9" x14ac:dyDescent="0.3">
      <c r="A42" t="str">
        <f>IF(AND(Оплаты!$E$34="ок",COUNTIFS(Акты!$B$5:$B$16,Оплаты!$D$34,Акты!$H$5:$H$16,"ок")&gt;0,COUNTIFS(Оплаты!$D$6:$D$33,Оплаты!$D$34,Оплаты!$A$6:$A$33,Оплаты!$A$34)=0),Оплаты!$D$34,"")</f>
        <v/>
      </c>
      <c r="B42" t="str">
        <f>IF(A42="","",MATCH(A42,Акты!$B$5:$B$16,0))</f>
        <v/>
      </c>
      <c r="C42" s="21" t="str">
        <f>IF(A42="","",Оплаты!$A$34+1)</f>
        <v/>
      </c>
      <c r="D42" s="21" t="str">
        <f>IF(A42="","",MIN(Ввод!$B$4,Ввод!$B$4+1-SUMPRODUCT(MAX((Оплаты!$D$6:$D$505=A42)*(Оплаты!$A$6:$A$505&gt;Оплаты!$A$34)*(Ввод!$B$4+1-Оплаты!$A$6:$A$505)))))</f>
        <v/>
      </c>
      <c r="E42" s="14" t="str">
        <f>IF(A42="","",INDEX(Акты!$D$5:$D$16,B42)-SUMIFS(Оплаты!$B$6:$B$505,Оплаты!$D$6:$D$505,A42,Оплаты!$A$6:$A$505,"&lt;="&amp;Оплаты!$A$34))</f>
        <v/>
      </c>
      <c r="F42" s="14" t="str">
        <f>IF(G42="","",SUMPRODUCT(ROUND(E42*'По дням'!$L$6:$L$155/100*((((D42+'По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дням'!$J$6:$J$155)))/2+1)/'По дням'!$M$6:$M$155,2)*(1-'По дням'!$N$6:$N$155)))</f>
        <v/>
      </c>
      <c r="G42" s="22" t="str">
        <f t="shared" si="0"/>
        <v/>
      </c>
      <c r="H42" s="14" t="str">
        <f>IF(G42="","",SUMIFS(Оплаты!$B$6:$B$505,Оплаты!$D$6:$D$505,A42,Оплаты!$A$6:$A$505,D42))</f>
        <v/>
      </c>
      <c r="I42" t="str">
        <f>IF(G42="","",SUMPRODUCT((((((D42+'По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дням'!$J$6:$J$155)))/2+1)&gt;0)*1))</f>
        <v/>
      </c>
    </row>
    <row r="43" spans="1:9" x14ac:dyDescent="0.3">
      <c r="A43" t="str">
        <f>IF(AND(Оплаты!$E$35="ок",COUNTIFS(Акты!$B$5:$B$16,Оплаты!$D$35,Акты!$H$5:$H$16,"ок")&gt;0,COUNTIFS(Оплаты!$D$6:$D$34,Оплаты!$D$35,Оплаты!$A$6:$A$34,Оплаты!$A$35)=0),Оплаты!$D$35,"")</f>
        <v/>
      </c>
      <c r="B43" t="str">
        <f>IF(A43="","",MATCH(A43,Акты!$B$5:$B$16,0))</f>
        <v/>
      </c>
      <c r="C43" s="21" t="str">
        <f>IF(A43="","",Оплаты!$A$35+1)</f>
        <v/>
      </c>
      <c r="D43" s="21" t="str">
        <f>IF(A43="","",MIN(Ввод!$B$4,Ввод!$B$4+1-SUMPRODUCT(MAX((Оплаты!$D$6:$D$505=A43)*(Оплаты!$A$6:$A$505&gt;Оплаты!$A$35)*(Ввод!$B$4+1-Оплаты!$A$6:$A$505)))))</f>
        <v/>
      </c>
      <c r="E43" s="14" t="str">
        <f>IF(A43="","",INDEX(Акты!$D$5:$D$16,B43)-SUMIFS(Оплаты!$B$6:$B$505,Оплаты!$D$6:$D$505,A43,Оплаты!$A$6:$A$505,"&lt;="&amp;Оплаты!$A$35))</f>
        <v/>
      </c>
      <c r="F43" s="14" t="str">
        <f>IF(G43="","",SUMPRODUCT(ROUND(E43*'По дням'!$L$6:$L$155/100*((((D43+'По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дням'!$J$6:$J$155)))/2+1)/'По дням'!$M$6:$M$155,2)*(1-'По дням'!$N$6:$N$155)))</f>
        <v/>
      </c>
      <c r="G43" s="22" t="str">
        <f t="shared" si="0"/>
        <v/>
      </c>
      <c r="H43" s="14" t="str">
        <f>IF(G43="","",SUMIFS(Оплаты!$B$6:$B$505,Оплаты!$D$6:$D$505,A43,Оплаты!$A$6:$A$505,D43))</f>
        <v/>
      </c>
      <c r="I43" t="str">
        <f>IF(G43="","",SUMPRODUCT((((((D43+'По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дням'!$J$6:$J$155)))/2+1)&gt;0)*1))</f>
        <v/>
      </c>
    </row>
    <row r="44" spans="1:9" x14ac:dyDescent="0.3">
      <c r="A44" t="str">
        <f>IF(AND(Оплаты!$E$36="ок",COUNTIFS(Акты!$B$5:$B$16,Оплаты!$D$36,Акты!$H$5:$H$16,"ок")&gt;0,COUNTIFS(Оплаты!$D$6:$D$35,Оплаты!$D$36,Оплаты!$A$6:$A$35,Оплаты!$A$36)=0),Оплаты!$D$36,"")</f>
        <v/>
      </c>
      <c r="B44" t="str">
        <f>IF(A44="","",MATCH(A44,Акты!$B$5:$B$16,0))</f>
        <v/>
      </c>
      <c r="C44" s="21" t="str">
        <f>IF(A44="","",Оплаты!$A$36+1)</f>
        <v/>
      </c>
      <c r="D44" s="21" t="str">
        <f>IF(A44="","",MIN(Ввод!$B$4,Ввод!$B$4+1-SUMPRODUCT(MAX((Оплаты!$D$6:$D$505=A44)*(Оплаты!$A$6:$A$505&gt;Оплаты!$A$36)*(Ввод!$B$4+1-Оплаты!$A$6:$A$505)))))</f>
        <v/>
      </c>
      <c r="E44" s="14" t="str">
        <f>IF(A44="","",INDEX(Акты!$D$5:$D$16,B44)-SUMIFS(Оплаты!$B$6:$B$505,Оплаты!$D$6:$D$505,A44,Оплаты!$A$6:$A$505,"&lt;="&amp;Оплаты!$A$36))</f>
        <v/>
      </c>
      <c r="F44" s="14" t="str">
        <f>IF(G44="","",SUMPRODUCT(ROUND(E44*'По дням'!$L$6:$L$155/100*((((D44+'По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дням'!$J$6:$J$155)))/2+1)/'По дням'!$M$6:$M$155,2)*(1-'По дням'!$N$6:$N$155)))</f>
        <v/>
      </c>
      <c r="G44" s="22" t="str">
        <f t="shared" si="0"/>
        <v/>
      </c>
      <c r="H44" s="14" t="str">
        <f>IF(G44="","",SUMIFS(Оплаты!$B$6:$B$505,Оплаты!$D$6:$D$505,A44,Оплаты!$A$6:$A$505,D44))</f>
        <v/>
      </c>
      <c r="I44" t="str">
        <f>IF(G44="","",SUMPRODUCT((((((D44+'По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дням'!$J$6:$J$155)))/2+1)&gt;0)*1))</f>
        <v/>
      </c>
    </row>
    <row r="45" spans="1:9" x14ac:dyDescent="0.3">
      <c r="A45" t="str">
        <f>IF(AND(Оплаты!$E$37="ок",COUNTIFS(Акты!$B$5:$B$16,Оплаты!$D$37,Акты!$H$5:$H$16,"ок")&gt;0,COUNTIFS(Оплаты!$D$6:$D$36,Оплаты!$D$37,Оплаты!$A$6:$A$36,Оплаты!$A$37)=0),Оплаты!$D$37,"")</f>
        <v/>
      </c>
      <c r="B45" t="str">
        <f>IF(A45="","",MATCH(A45,Акты!$B$5:$B$16,0))</f>
        <v/>
      </c>
      <c r="C45" s="21" t="str">
        <f>IF(A45="","",Оплаты!$A$37+1)</f>
        <v/>
      </c>
      <c r="D45" s="21" t="str">
        <f>IF(A45="","",MIN(Ввод!$B$4,Ввод!$B$4+1-SUMPRODUCT(MAX((Оплаты!$D$6:$D$505=A45)*(Оплаты!$A$6:$A$505&gt;Оплаты!$A$37)*(Ввод!$B$4+1-Оплаты!$A$6:$A$505)))))</f>
        <v/>
      </c>
      <c r="E45" s="14" t="str">
        <f>IF(A45="","",INDEX(Акты!$D$5:$D$16,B45)-SUMIFS(Оплаты!$B$6:$B$505,Оплаты!$D$6:$D$505,A45,Оплаты!$A$6:$A$505,"&lt;="&amp;Оплаты!$A$37))</f>
        <v/>
      </c>
      <c r="F45" s="14" t="str">
        <f>IF(G45="","",SUMPRODUCT(ROUND(E45*'По дням'!$L$6:$L$155/100*((((D45+'По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дням'!$J$6:$J$155)))/2+1)/'По дням'!$M$6:$M$155,2)*(1-'По дням'!$N$6:$N$155)))</f>
        <v/>
      </c>
      <c r="G45" s="22" t="str">
        <f t="shared" si="0"/>
        <v/>
      </c>
      <c r="H45" s="14" t="str">
        <f>IF(G45="","",SUMIFS(Оплаты!$B$6:$B$505,Оплаты!$D$6:$D$505,A45,Оплаты!$A$6:$A$505,D45))</f>
        <v/>
      </c>
      <c r="I45" t="str">
        <f>IF(G45="","",SUMPRODUCT((((((D45+'По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дням'!$J$6:$J$155)))/2+1)&gt;0)*1))</f>
        <v/>
      </c>
    </row>
    <row r="46" spans="1:9" x14ac:dyDescent="0.3">
      <c r="A46" t="str">
        <f>IF(AND(Оплаты!$E$38="ок",COUNTIFS(Акты!$B$5:$B$16,Оплаты!$D$38,Акты!$H$5:$H$16,"ок")&gt;0,COUNTIFS(Оплаты!$D$6:$D$37,Оплаты!$D$38,Оплаты!$A$6:$A$37,Оплаты!$A$38)=0),Оплаты!$D$38,"")</f>
        <v/>
      </c>
      <c r="B46" t="str">
        <f>IF(A46="","",MATCH(A46,Акты!$B$5:$B$16,0))</f>
        <v/>
      </c>
      <c r="C46" s="21" t="str">
        <f>IF(A46="","",Оплаты!$A$38+1)</f>
        <v/>
      </c>
      <c r="D46" s="21" t="str">
        <f>IF(A46="","",MIN(Ввод!$B$4,Ввод!$B$4+1-SUMPRODUCT(MAX((Оплаты!$D$6:$D$505=A46)*(Оплаты!$A$6:$A$505&gt;Оплаты!$A$38)*(Ввод!$B$4+1-Оплаты!$A$6:$A$505)))))</f>
        <v/>
      </c>
      <c r="E46" s="14" t="str">
        <f>IF(A46="","",INDEX(Акты!$D$5:$D$16,B46)-SUMIFS(Оплаты!$B$6:$B$505,Оплаты!$D$6:$D$505,A46,Оплаты!$A$6:$A$505,"&lt;="&amp;Оплаты!$A$38))</f>
        <v/>
      </c>
      <c r="F46" s="14" t="str">
        <f>IF(G46="","",SUMPRODUCT(ROUND(E46*'По дням'!$L$6:$L$155/100*((((D46+'По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дням'!$J$6:$J$155)))/2+1)/'По дням'!$M$6:$M$155,2)*(1-'По дням'!$N$6:$N$155)))</f>
        <v/>
      </c>
      <c r="G46" s="22" t="str">
        <f t="shared" si="0"/>
        <v/>
      </c>
      <c r="H46" s="14" t="str">
        <f>IF(G46="","",SUMIFS(Оплаты!$B$6:$B$505,Оплаты!$D$6:$D$505,A46,Оплаты!$A$6:$A$505,D46))</f>
        <v/>
      </c>
      <c r="I46" t="str">
        <f>IF(G46="","",SUMPRODUCT((((((D46+'По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дням'!$J$6:$J$155)))/2+1)&gt;0)*1))</f>
        <v/>
      </c>
    </row>
    <row r="47" spans="1:9" x14ac:dyDescent="0.3">
      <c r="A47" t="str">
        <f>IF(AND(Оплаты!$E$39="ок",COUNTIFS(Акты!$B$5:$B$16,Оплаты!$D$39,Акты!$H$5:$H$16,"ок")&gt;0,COUNTIFS(Оплаты!$D$6:$D$38,Оплаты!$D$39,Оплаты!$A$6:$A$38,Оплаты!$A$39)=0),Оплаты!$D$39,"")</f>
        <v/>
      </c>
      <c r="B47" t="str">
        <f>IF(A47="","",MATCH(A47,Акты!$B$5:$B$16,0))</f>
        <v/>
      </c>
      <c r="C47" s="21" t="str">
        <f>IF(A47="","",Оплаты!$A$39+1)</f>
        <v/>
      </c>
      <c r="D47" s="21" t="str">
        <f>IF(A47="","",MIN(Ввод!$B$4,Ввод!$B$4+1-SUMPRODUCT(MAX((Оплаты!$D$6:$D$505=A47)*(Оплаты!$A$6:$A$505&gt;Оплаты!$A$39)*(Ввод!$B$4+1-Оплаты!$A$6:$A$505)))))</f>
        <v/>
      </c>
      <c r="E47" s="14" t="str">
        <f>IF(A47="","",INDEX(Акты!$D$5:$D$16,B47)-SUMIFS(Оплаты!$B$6:$B$505,Оплаты!$D$6:$D$505,A47,Оплаты!$A$6:$A$505,"&lt;="&amp;Оплаты!$A$39))</f>
        <v/>
      </c>
      <c r="F47" s="14" t="str">
        <f>IF(G47="","",SUMPRODUCT(ROUND(E47*'По дням'!$L$6:$L$155/100*((((D47+'По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дням'!$J$6:$J$155)))/2+1)/'По дням'!$M$6:$M$155,2)*(1-'По дням'!$N$6:$N$155)))</f>
        <v/>
      </c>
      <c r="G47" s="22" t="str">
        <f t="shared" si="0"/>
        <v/>
      </c>
      <c r="H47" s="14" t="str">
        <f>IF(G47="","",SUMIFS(Оплаты!$B$6:$B$505,Оплаты!$D$6:$D$505,A47,Оплаты!$A$6:$A$505,D47))</f>
        <v/>
      </c>
      <c r="I47" t="str">
        <f>IF(G47="","",SUMPRODUCT((((((D47+'По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дням'!$J$6:$J$155)))/2+1)&gt;0)*1))</f>
        <v/>
      </c>
    </row>
    <row r="48" spans="1:9" x14ac:dyDescent="0.3">
      <c r="A48" t="str">
        <f>IF(AND(Оплаты!$E$40="ок",COUNTIFS(Акты!$B$5:$B$16,Оплаты!$D$40,Акты!$H$5:$H$16,"ок")&gt;0,COUNTIFS(Оплаты!$D$6:$D$39,Оплаты!$D$40,Оплаты!$A$6:$A$39,Оплаты!$A$40)=0),Оплаты!$D$40,"")</f>
        <v/>
      </c>
      <c r="B48" t="str">
        <f>IF(A48="","",MATCH(A48,Акты!$B$5:$B$16,0))</f>
        <v/>
      </c>
      <c r="C48" s="21" t="str">
        <f>IF(A48="","",Оплаты!$A$40+1)</f>
        <v/>
      </c>
      <c r="D48" s="21" t="str">
        <f>IF(A48="","",MIN(Ввод!$B$4,Ввод!$B$4+1-SUMPRODUCT(MAX((Оплаты!$D$6:$D$505=A48)*(Оплаты!$A$6:$A$505&gt;Оплаты!$A$40)*(Ввод!$B$4+1-Оплаты!$A$6:$A$505)))))</f>
        <v/>
      </c>
      <c r="E48" s="14" t="str">
        <f>IF(A48="","",INDEX(Акты!$D$5:$D$16,B48)-SUMIFS(Оплаты!$B$6:$B$505,Оплаты!$D$6:$D$505,A48,Оплаты!$A$6:$A$505,"&lt;="&amp;Оплаты!$A$40))</f>
        <v/>
      </c>
      <c r="F48" s="14" t="str">
        <f>IF(G48="","",SUMPRODUCT(ROUND(E48*'По дням'!$L$6:$L$155/100*((((D48+'По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дням'!$J$6:$J$155)))/2+1)/'По дням'!$M$6:$M$155,2)*(1-'По дням'!$N$6:$N$155)))</f>
        <v/>
      </c>
      <c r="G48" s="22" t="str">
        <f t="shared" si="0"/>
        <v/>
      </c>
      <c r="H48" s="14" t="str">
        <f>IF(G48="","",SUMIFS(Оплаты!$B$6:$B$505,Оплаты!$D$6:$D$505,A48,Оплаты!$A$6:$A$505,D48))</f>
        <v/>
      </c>
      <c r="I48" t="str">
        <f>IF(G48="","",SUMPRODUCT((((((D48+'По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дням'!$J$6:$J$155)))/2+1)&gt;0)*1))</f>
        <v/>
      </c>
    </row>
    <row r="49" spans="1:9" x14ac:dyDescent="0.3">
      <c r="A49" t="str">
        <f>IF(AND(Оплаты!$E$41="ок",COUNTIFS(Акты!$B$5:$B$16,Оплаты!$D$41,Акты!$H$5:$H$16,"ок")&gt;0,COUNTIFS(Оплаты!$D$6:$D$40,Оплаты!$D$41,Оплаты!$A$6:$A$40,Оплаты!$A$41)=0),Оплаты!$D$41,"")</f>
        <v/>
      </c>
      <c r="B49" t="str">
        <f>IF(A49="","",MATCH(A49,Акты!$B$5:$B$16,0))</f>
        <v/>
      </c>
      <c r="C49" s="21" t="str">
        <f>IF(A49="","",Оплаты!$A$41+1)</f>
        <v/>
      </c>
      <c r="D49" s="21" t="str">
        <f>IF(A49="","",MIN(Ввод!$B$4,Ввод!$B$4+1-SUMPRODUCT(MAX((Оплаты!$D$6:$D$505=A49)*(Оплаты!$A$6:$A$505&gt;Оплаты!$A$41)*(Ввод!$B$4+1-Оплаты!$A$6:$A$505)))))</f>
        <v/>
      </c>
      <c r="E49" s="14" t="str">
        <f>IF(A49="","",INDEX(Акты!$D$5:$D$16,B49)-SUMIFS(Оплаты!$B$6:$B$505,Оплаты!$D$6:$D$505,A49,Оплаты!$A$6:$A$505,"&lt;="&amp;Оплаты!$A$41))</f>
        <v/>
      </c>
      <c r="F49" s="14" t="str">
        <f>IF(G49="","",SUMPRODUCT(ROUND(E49*'По дням'!$L$6:$L$155/100*((((D49+'По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дням'!$J$6:$J$155)))/2+1)/'По дням'!$M$6:$M$155,2)*(1-'По дням'!$N$6:$N$155)))</f>
        <v/>
      </c>
      <c r="G49" s="22" t="str">
        <f t="shared" si="0"/>
        <v/>
      </c>
      <c r="H49" s="14" t="str">
        <f>IF(G49="","",SUMIFS(Оплаты!$B$6:$B$505,Оплаты!$D$6:$D$505,A49,Оплаты!$A$6:$A$505,D49))</f>
        <v/>
      </c>
      <c r="I49" t="str">
        <f>IF(G49="","",SUMPRODUCT((((((D49+'По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дням'!$J$6:$J$155)))/2+1)&gt;0)*1))</f>
        <v/>
      </c>
    </row>
    <row r="50" spans="1:9" x14ac:dyDescent="0.3">
      <c r="A50" t="str">
        <f>IF(AND(Оплаты!$E$42="ок",COUNTIFS(Акты!$B$5:$B$16,Оплаты!$D$42,Акты!$H$5:$H$16,"ок")&gt;0,COUNTIFS(Оплаты!$D$6:$D$41,Оплаты!$D$42,Оплаты!$A$6:$A$41,Оплаты!$A$42)=0),Оплаты!$D$42,"")</f>
        <v/>
      </c>
      <c r="B50" t="str">
        <f>IF(A50="","",MATCH(A50,Акты!$B$5:$B$16,0))</f>
        <v/>
      </c>
      <c r="C50" s="21" t="str">
        <f>IF(A50="","",Оплаты!$A$42+1)</f>
        <v/>
      </c>
      <c r="D50" s="21" t="str">
        <f>IF(A50="","",MIN(Ввод!$B$4,Ввод!$B$4+1-SUMPRODUCT(MAX((Оплаты!$D$6:$D$505=A50)*(Оплаты!$A$6:$A$505&gt;Оплаты!$A$42)*(Ввод!$B$4+1-Оплаты!$A$6:$A$505)))))</f>
        <v/>
      </c>
      <c r="E50" s="14" t="str">
        <f>IF(A50="","",INDEX(Акты!$D$5:$D$16,B50)-SUMIFS(Оплаты!$B$6:$B$505,Оплаты!$D$6:$D$505,A50,Оплаты!$A$6:$A$505,"&lt;="&amp;Оплаты!$A$42))</f>
        <v/>
      </c>
      <c r="F50" s="14" t="str">
        <f>IF(G50="","",SUMPRODUCT(ROUND(E50*'По дням'!$L$6:$L$155/100*((((D50+'По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дням'!$J$6:$J$155)))/2+1)/'По дням'!$M$6:$M$155,2)*(1-'По дням'!$N$6:$N$155)))</f>
        <v/>
      </c>
      <c r="G50" s="22" t="str">
        <f t="shared" si="0"/>
        <v/>
      </c>
      <c r="H50" s="14" t="str">
        <f>IF(G50="","",SUMIFS(Оплаты!$B$6:$B$505,Оплаты!$D$6:$D$505,A50,Оплаты!$A$6:$A$505,D50))</f>
        <v/>
      </c>
      <c r="I50" t="str">
        <f>IF(G50="","",SUMPRODUCT((((((D50+'По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дням'!$J$6:$J$155)))/2+1)&gt;0)*1))</f>
        <v/>
      </c>
    </row>
    <row r="51" spans="1:9" x14ac:dyDescent="0.3">
      <c r="A51" t="str">
        <f>IF(AND(Оплаты!$E$43="ок",COUNTIFS(Акты!$B$5:$B$16,Оплаты!$D$43,Акты!$H$5:$H$16,"ок")&gt;0,COUNTIFS(Оплаты!$D$6:$D$42,Оплаты!$D$43,Оплаты!$A$6:$A$42,Оплаты!$A$43)=0),Оплаты!$D$43,"")</f>
        <v/>
      </c>
      <c r="B51" t="str">
        <f>IF(A51="","",MATCH(A51,Акты!$B$5:$B$16,0))</f>
        <v/>
      </c>
      <c r="C51" s="21" t="str">
        <f>IF(A51="","",Оплаты!$A$43+1)</f>
        <v/>
      </c>
      <c r="D51" s="21" t="str">
        <f>IF(A51="","",MIN(Ввод!$B$4,Ввод!$B$4+1-SUMPRODUCT(MAX((Оплаты!$D$6:$D$505=A51)*(Оплаты!$A$6:$A$505&gt;Оплаты!$A$43)*(Ввод!$B$4+1-Оплаты!$A$6:$A$505)))))</f>
        <v/>
      </c>
      <c r="E51" s="14" t="str">
        <f>IF(A51="","",INDEX(Акты!$D$5:$D$16,B51)-SUMIFS(Оплаты!$B$6:$B$505,Оплаты!$D$6:$D$505,A51,Оплаты!$A$6:$A$505,"&lt;="&amp;Оплаты!$A$43))</f>
        <v/>
      </c>
      <c r="F51" s="14" t="str">
        <f>IF(G51="","",SUMPRODUCT(ROUND(E51*'По дням'!$L$6:$L$155/100*((((D51+'По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дням'!$J$6:$J$155)))/2+1)/'По дням'!$M$6:$M$155,2)*(1-'По дням'!$N$6:$N$155)))</f>
        <v/>
      </c>
      <c r="G51" s="22" t="str">
        <f t="shared" si="0"/>
        <v/>
      </c>
      <c r="H51" s="14" t="str">
        <f>IF(G51="","",SUMIFS(Оплаты!$B$6:$B$505,Оплаты!$D$6:$D$505,A51,Оплаты!$A$6:$A$505,D51))</f>
        <v/>
      </c>
      <c r="I51" t="str">
        <f>IF(G51="","",SUMPRODUCT((((((D51+'По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дням'!$J$6:$J$155)))/2+1)&gt;0)*1))</f>
        <v/>
      </c>
    </row>
    <row r="52" spans="1:9" x14ac:dyDescent="0.3">
      <c r="A52" t="str">
        <f>IF(AND(Оплаты!$E$44="ок",COUNTIFS(Акты!$B$5:$B$16,Оплаты!$D$44,Акты!$H$5:$H$16,"ок")&gt;0,COUNTIFS(Оплаты!$D$6:$D$43,Оплаты!$D$44,Оплаты!$A$6:$A$43,Оплаты!$A$44)=0),Оплаты!$D$44,"")</f>
        <v/>
      </c>
      <c r="B52" t="str">
        <f>IF(A52="","",MATCH(A52,Акты!$B$5:$B$16,0))</f>
        <v/>
      </c>
      <c r="C52" s="21" t="str">
        <f>IF(A52="","",Оплаты!$A$44+1)</f>
        <v/>
      </c>
      <c r="D52" s="21" t="str">
        <f>IF(A52="","",MIN(Ввод!$B$4,Ввод!$B$4+1-SUMPRODUCT(MAX((Оплаты!$D$6:$D$505=A52)*(Оплаты!$A$6:$A$505&gt;Оплаты!$A$44)*(Ввод!$B$4+1-Оплаты!$A$6:$A$505)))))</f>
        <v/>
      </c>
      <c r="E52" s="14" t="str">
        <f>IF(A52="","",INDEX(Акты!$D$5:$D$16,B52)-SUMIFS(Оплаты!$B$6:$B$505,Оплаты!$D$6:$D$505,A52,Оплаты!$A$6:$A$505,"&lt;="&amp;Оплаты!$A$44))</f>
        <v/>
      </c>
      <c r="F52" s="14" t="str">
        <f>IF(G52="","",SUMPRODUCT(ROUND(E52*'По дням'!$L$6:$L$155/100*((((D52+'По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дням'!$J$6:$J$155)))/2+1)/'По дням'!$M$6:$M$155,2)*(1-'По дням'!$N$6:$N$155)))</f>
        <v/>
      </c>
      <c r="G52" s="22" t="str">
        <f t="shared" si="0"/>
        <v/>
      </c>
      <c r="H52" s="14" t="str">
        <f>IF(G52="","",SUMIFS(Оплаты!$B$6:$B$505,Оплаты!$D$6:$D$505,A52,Оплаты!$A$6:$A$505,D52))</f>
        <v/>
      </c>
      <c r="I52" t="str">
        <f>IF(G52="","",SUMPRODUCT((((((D52+'По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дням'!$J$6:$J$155)))/2+1)&gt;0)*1))</f>
        <v/>
      </c>
    </row>
    <row r="53" spans="1:9" x14ac:dyDescent="0.3">
      <c r="A53" t="str">
        <f>IF(AND(Оплаты!$E$45="ок",COUNTIFS(Акты!$B$5:$B$16,Оплаты!$D$45,Акты!$H$5:$H$16,"ок")&gt;0,COUNTIFS(Оплаты!$D$6:$D$44,Оплаты!$D$45,Оплаты!$A$6:$A$44,Оплаты!$A$45)=0),Оплаты!$D$45,"")</f>
        <v/>
      </c>
      <c r="B53" t="str">
        <f>IF(A53="","",MATCH(A53,Акты!$B$5:$B$16,0))</f>
        <v/>
      </c>
      <c r="C53" s="21" t="str">
        <f>IF(A53="","",Оплаты!$A$45+1)</f>
        <v/>
      </c>
      <c r="D53" s="21" t="str">
        <f>IF(A53="","",MIN(Ввод!$B$4,Ввод!$B$4+1-SUMPRODUCT(MAX((Оплаты!$D$6:$D$505=A53)*(Оплаты!$A$6:$A$505&gt;Оплаты!$A$45)*(Ввод!$B$4+1-Оплаты!$A$6:$A$505)))))</f>
        <v/>
      </c>
      <c r="E53" s="14" t="str">
        <f>IF(A53="","",INDEX(Акты!$D$5:$D$16,B53)-SUMIFS(Оплаты!$B$6:$B$505,Оплаты!$D$6:$D$505,A53,Оплаты!$A$6:$A$505,"&lt;="&amp;Оплаты!$A$45))</f>
        <v/>
      </c>
      <c r="F53" s="14" t="str">
        <f>IF(G53="","",SUMPRODUCT(ROUND(E53*'По дням'!$L$6:$L$155/100*((((D53+'По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дням'!$J$6:$J$155)))/2+1)/'По дням'!$M$6:$M$155,2)*(1-'По дням'!$N$6:$N$155)))</f>
        <v/>
      </c>
      <c r="G53" s="22" t="str">
        <f t="shared" si="0"/>
        <v/>
      </c>
      <c r="H53" s="14" t="str">
        <f>IF(G53="","",SUMIFS(Оплаты!$B$6:$B$505,Оплаты!$D$6:$D$505,A53,Оплаты!$A$6:$A$505,D53))</f>
        <v/>
      </c>
      <c r="I53" t="str">
        <f>IF(G53="","",SUMPRODUCT((((((D53+'По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дням'!$J$6:$J$155)))/2+1)&gt;0)*1))</f>
        <v/>
      </c>
    </row>
    <row r="54" spans="1:9" x14ac:dyDescent="0.3">
      <c r="A54" t="str">
        <f>IF(AND(Оплаты!$E$46="ок",COUNTIFS(Акты!$B$5:$B$16,Оплаты!$D$46,Акты!$H$5:$H$16,"ок")&gt;0,COUNTIFS(Оплаты!$D$6:$D$45,Оплаты!$D$46,Оплаты!$A$6:$A$45,Оплаты!$A$46)=0),Оплаты!$D$46,"")</f>
        <v/>
      </c>
      <c r="B54" t="str">
        <f>IF(A54="","",MATCH(A54,Акты!$B$5:$B$16,0))</f>
        <v/>
      </c>
      <c r="C54" s="21" t="str">
        <f>IF(A54="","",Оплаты!$A$46+1)</f>
        <v/>
      </c>
      <c r="D54" s="21" t="str">
        <f>IF(A54="","",MIN(Ввод!$B$4,Ввод!$B$4+1-SUMPRODUCT(MAX((Оплаты!$D$6:$D$505=A54)*(Оплаты!$A$6:$A$505&gt;Оплаты!$A$46)*(Ввод!$B$4+1-Оплаты!$A$6:$A$505)))))</f>
        <v/>
      </c>
      <c r="E54" s="14" t="str">
        <f>IF(A54="","",INDEX(Акты!$D$5:$D$16,B54)-SUMIFS(Оплаты!$B$6:$B$505,Оплаты!$D$6:$D$505,A54,Оплаты!$A$6:$A$505,"&lt;="&amp;Оплаты!$A$46))</f>
        <v/>
      </c>
      <c r="F54" s="14" t="str">
        <f>IF(G54="","",SUMPRODUCT(ROUND(E54*'По дням'!$L$6:$L$155/100*((((D54+'По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дням'!$J$6:$J$155)))/2+1)/'По дням'!$M$6:$M$155,2)*(1-'По дням'!$N$6:$N$155)))</f>
        <v/>
      </c>
      <c r="G54" s="22" t="str">
        <f t="shared" si="0"/>
        <v/>
      </c>
      <c r="H54" s="14" t="str">
        <f>IF(G54="","",SUMIFS(Оплаты!$B$6:$B$505,Оплаты!$D$6:$D$505,A54,Оплаты!$A$6:$A$505,D54))</f>
        <v/>
      </c>
      <c r="I54" t="str">
        <f>IF(G54="","",SUMPRODUCT((((((D54+'По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дням'!$J$6:$J$155)))/2+1)&gt;0)*1))</f>
        <v/>
      </c>
    </row>
    <row r="55" spans="1:9" x14ac:dyDescent="0.3">
      <c r="A55" t="str">
        <f>IF(AND(Оплаты!$E$47="ок",COUNTIFS(Акты!$B$5:$B$16,Оплаты!$D$47,Акты!$H$5:$H$16,"ок")&gt;0,COUNTIFS(Оплаты!$D$6:$D$46,Оплаты!$D$47,Оплаты!$A$6:$A$46,Оплаты!$A$47)=0),Оплаты!$D$47,"")</f>
        <v/>
      </c>
      <c r="B55" t="str">
        <f>IF(A55="","",MATCH(A55,Акты!$B$5:$B$16,0))</f>
        <v/>
      </c>
      <c r="C55" s="21" t="str">
        <f>IF(A55="","",Оплаты!$A$47+1)</f>
        <v/>
      </c>
      <c r="D55" s="21" t="str">
        <f>IF(A55="","",MIN(Ввод!$B$4,Ввод!$B$4+1-SUMPRODUCT(MAX((Оплаты!$D$6:$D$505=A55)*(Оплаты!$A$6:$A$505&gt;Оплаты!$A$47)*(Ввод!$B$4+1-Оплаты!$A$6:$A$505)))))</f>
        <v/>
      </c>
      <c r="E55" s="14" t="str">
        <f>IF(A55="","",INDEX(Акты!$D$5:$D$16,B55)-SUMIFS(Оплаты!$B$6:$B$505,Оплаты!$D$6:$D$505,A55,Оплаты!$A$6:$A$505,"&lt;="&amp;Оплаты!$A$47))</f>
        <v/>
      </c>
      <c r="F55" s="14" t="str">
        <f>IF(G55="","",SUMPRODUCT(ROUND(E55*'По дням'!$L$6:$L$155/100*((((D55+'По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дням'!$J$6:$J$155)))/2+1)/'По дням'!$M$6:$M$155,2)*(1-'По дням'!$N$6:$N$155)))</f>
        <v/>
      </c>
      <c r="G55" s="22" t="str">
        <f t="shared" si="0"/>
        <v/>
      </c>
      <c r="H55" s="14" t="str">
        <f>IF(G55="","",SUMIFS(Оплаты!$B$6:$B$505,Оплаты!$D$6:$D$505,A55,Оплаты!$A$6:$A$505,D55))</f>
        <v/>
      </c>
      <c r="I55" t="str">
        <f>IF(G55="","",SUMPRODUCT((((((D55+'По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дням'!$J$6:$J$155)))/2+1)&gt;0)*1))</f>
        <v/>
      </c>
    </row>
    <row r="56" spans="1:9" x14ac:dyDescent="0.3">
      <c r="A56" t="str">
        <f>IF(AND(Оплаты!$E$48="ок",COUNTIFS(Акты!$B$5:$B$16,Оплаты!$D$48,Акты!$H$5:$H$16,"ок")&gt;0,COUNTIFS(Оплаты!$D$6:$D$47,Оплаты!$D$48,Оплаты!$A$6:$A$47,Оплаты!$A$48)=0),Оплаты!$D$48,"")</f>
        <v/>
      </c>
      <c r="B56" t="str">
        <f>IF(A56="","",MATCH(A56,Акты!$B$5:$B$16,0))</f>
        <v/>
      </c>
      <c r="C56" s="21" t="str">
        <f>IF(A56="","",Оплаты!$A$48+1)</f>
        <v/>
      </c>
      <c r="D56" s="21" t="str">
        <f>IF(A56="","",MIN(Ввод!$B$4,Ввод!$B$4+1-SUMPRODUCT(MAX((Оплаты!$D$6:$D$505=A56)*(Оплаты!$A$6:$A$505&gt;Оплаты!$A$48)*(Ввод!$B$4+1-Оплаты!$A$6:$A$505)))))</f>
        <v/>
      </c>
      <c r="E56" s="14" t="str">
        <f>IF(A56="","",INDEX(Акты!$D$5:$D$16,B56)-SUMIFS(Оплаты!$B$6:$B$505,Оплаты!$D$6:$D$505,A56,Оплаты!$A$6:$A$505,"&lt;="&amp;Оплаты!$A$48))</f>
        <v/>
      </c>
      <c r="F56" s="14" t="str">
        <f>IF(G56="","",SUMPRODUCT(ROUND(E56*'По дням'!$L$6:$L$155/100*((((D56+'По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дням'!$J$6:$J$155)))/2+1)/'По дням'!$M$6:$M$155,2)*(1-'По дням'!$N$6:$N$155)))</f>
        <v/>
      </c>
      <c r="G56" s="22" t="str">
        <f t="shared" si="0"/>
        <v/>
      </c>
      <c r="H56" s="14" t="str">
        <f>IF(G56="","",SUMIFS(Оплаты!$B$6:$B$505,Оплаты!$D$6:$D$505,A56,Оплаты!$A$6:$A$505,D56))</f>
        <v/>
      </c>
      <c r="I56" t="str">
        <f>IF(G56="","",SUMPRODUCT((((((D56+'По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дням'!$J$6:$J$155)))/2+1)&gt;0)*1))</f>
        <v/>
      </c>
    </row>
    <row r="57" spans="1:9" x14ac:dyDescent="0.3">
      <c r="A57" t="str">
        <f>IF(AND(Оплаты!$E$49="ок",COUNTIFS(Акты!$B$5:$B$16,Оплаты!$D$49,Акты!$H$5:$H$16,"ок")&gt;0,COUNTIFS(Оплаты!$D$6:$D$48,Оплаты!$D$49,Оплаты!$A$6:$A$48,Оплаты!$A$49)=0),Оплаты!$D$49,"")</f>
        <v/>
      </c>
      <c r="B57" t="str">
        <f>IF(A57="","",MATCH(A57,Акты!$B$5:$B$16,0))</f>
        <v/>
      </c>
      <c r="C57" s="21" t="str">
        <f>IF(A57="","",Оплаты!$A$49+1)</f>
        <v/>
      </c>
      <c r="D57" s="21" t="str">
        <f>IF(A57="","",MIN(Ввод!$B$4,Ввод!$B$4+1-SUMPRODUCT(MAX((Оплаты!$D$6:$D$505=A57)*(Оплаты!$A$6:$A$505&gt;Оплаты!$A$49)*(Ввод!$B$4+1-Оплаты!$A$6:$A$505)))))</f>
        <v/>
      </c>
      <c r="E57" s="14" t="str">
        <f>IF(A57="","",INDEX(Акты!$D$5:$D$16,B57)-SUMIFS(Оплаты!$B$6:$B$505,Оплаты!$D$6:$D$505,A57,Оплаты!$A$6:$A$505,"&lt;="&amp;Оплаты!$A$49))</f>
        <v/>
      </c>
      <c r="F57" s="14" t="str">
        <f>IF(G57="","",SUMPRODUCT(ROUND(E57*'По дням'!$L$6:$L$155/100*((((D57+'По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дням'!$J$6:$J$155)))/2+1)/'По дням'!$M$6:$M$155,2)*(1-'По дням'!$N$6:$N$155)))</f>
        <v/>
      </c>
      <c r="G57" s="22" t="str">
        <f t="shared" si="0"/>
        <v/>
      </c>
      <c r="H57" s="14" t="str">
        <f>IF(G57="","",SUMIFS(Оплаты!$B$6:$B$505,Оплаты!$D$6:$D$505,A57,Оплаты!$A$6:$A$505,D57))</f>
        <v/>
      </c>
      <c r="I57" t="str">
        <f>IF(G57="","",SUMPRODUCT((((((D57+'По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дням'!$J$6:$J$155)))/2+1)&gt;0)*1))</f>
        <v/>
      </c>
    </row>
    <row r="58" spans="1:9" x14ac:dyDescent="0.3">
      <c r="A58" t="str">
        <f>IF(AND(Оплаты!$E$50="ок",COUNTIFS(Акты!$B$5:$B$16,Оплаты!$D$50,Акты!$H$5:$H$16,"ок")&gt;0,COUNTIFS(Оплаты!$D$6:$D$49,Оплаты!$D$50,Оплаты!$A$6:$A$49,Оплаты!$A$50)=0),Оплаты!$D$50,"")</f>
        <v/>
      </c>
      <c r="B58" t="str">
        <f>IF(A58="","",MATCH(A58,Акты!$B$5:$B$16,0))</f>
        <v/>
      </c>
      <c r="C58" s="21" t="str">
        <f>IF(A58="","",Оплаты!$A$50+1)</f>
        <v/>
      </c>
      <c r="D58" s="21" t="str">
        <f>IF(A58="","",MIN(Ввод!$B$4,Ввод!$B$4+1-SUMPRODUCT(MAX((Оплаты!$D$6:$D$505=A58)*(Оплаты!$A$6:$A$505&gt;Оплаты!$A$50)*(Ввод!$B$4+1-Оплаты!$A$6:$A$505)))))</f>
        <v/>
      </c>
      <c r="E58" s="14" t="str">
        <f>IF(A58="","",INDEX(Акты!$D$5:$D$16,B58)-SUMIFS(Оплаты!$B$6:$B$505,Оплаты!$D$6:$D$505,A58,Оплаты!$A$6:$A$505,"&lt;="&amp;Оплаты!$A$50))</f>
        <v/>
      </c>
      <c r="F58" s="14" t="str">
        <f>IF(G58="","",SUMPRODUCT(ROUND(E58*'По дням'!$L$6:$L$155/100*((((D58+'По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дням'!$J$6:$J$155)))/2+1)/'По дням'!$M$6:$M$155,2)*(1-'По дням'!$N$6:$N$155)))</f>
        <v/>
      </c>
      <c r="G58" s="22" t="str">
        <f t="shared" si="0"/>
        <v/>
      </c>
      <c r="H58" s="14" t="str">
        <f>IF(G58="","",SUMIFS(Оплаты!$B$6:$B$505,Оплаты!$D$6:$D$505,A58,Оплаты!$A$6:$A$505,D58))</f>
        <v/>
      </c>
      <c r="I58" t="str">
        <f>IF(G58="","",SUMPRODUCT((((((D58+'По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дням'!$J$6:$J$155)))/2+1)&gt;0)*1))</f>
        <v/>
      </c>
    </row>
    <row r="59" spans="1:9" x14ac:dyDescent="0.3">
      <c r="A59" t="str">
        <f>IF(AND(Оплаты!$E$51="ок",COUNTIFS(Акты!$B$5:$B$16,Оплаты!$D$51,Акты!$H$5:$H$16,"ок")&gt;0,COUNTIFS(Оплаты!$D$6:$D$50,Оплаты!$D$51,Оплаты!$A$6:$A$50,Оплаты!$A$51)=0),Оплаты!$D$51,"")</f>
        <v/>
      </c>
      <c r="B59" t="str">
        <f>IF(A59="","",MATCH(A59,Акты!$B$5:$B$16,0))</f>
        <v/>
      </c>
      <c r="C59" s="21" t="str">
        <f>IF(A59="","",Оплаты!$A$51+1)</f>
        <v/>
      </c>
      <c r="D59" s="21" t="str">
        <f>IF(A59="","",MIN(Ввод!$B$4,Ввод!$B$4+1-SUMPRODUCT(MAX((Оплаты!$D$6:$D$505=A59)*(Оплаты!$A$6:$A$505&gt;Оплаты!$A$51)*(Ввод!$B$4+1-Оплаты!$A$6:$A$505)))))</f>
        <v/>
      </c>
      <c r="E59" s="14" t="str">
        <f>IF(A59="","",INDEX(Акты!$D$5:$D$16,B59)-SUMIFS(Оплаты!$B$6:$B$505,Оплаты!$D$6:$D$505,A59,Оплаты!$A$6:$A$505,"&lt;="&amp;Оплаты!$A$51))</f>
        <v/>
      </c>
      <c r="F59" s="14" t="str">
        <f>IF(G59="","",SUMPRODUCT(ROUND(E59*'По дням'!$L$6:$L$155/100*((((D59+'По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дням'!$J$6:$J$155)))/2+1)/'По дням'!$M$6:$M$155,2)*(1-'По дням'!$N$6:$N$155)))</f>
        <v/>
      </c>
      <c r="G59" s="22" t="str">
        <f t="shared" si="0"/>
        <v/>
      </c>
      <c r="H59" s="14" t="str">
        <f>IF(G59="","",SUMIFS(Оплаты!$B$6:$B$505,Оплаты!$D$6:$D$505,A59,Оплаты!$A$6:$A$505,D59))</f>
        <v/>
      </c>
      <c r="I59" t="str">
        <f>IF(G59="","",SUMPRODUCT((((((D59+'По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дням'!$J$6:$J$155)))/2+1)&gt;0)*1))</f>
        <v/>
      </c>
    </row>
    <row r="60" spans="1:9" x14ac:dyDescent="0.3">
      <c r="A60" t="str">
        <f>IF(AND(Оплаты!$E$52="ок",COUNTIFS(Акты!$B$5:$B$16,Оплаты!$D$52,Акты!$H$5:$H$16,"ок")&gt;0,COUNTIFS(Оплаты!$D$6:$D$51,Оплаты!$D$52,Оплаты!$A$6:$A$51,Оплаты!$A$52)=0),Оплаты!$D$52,"")</f>
        <v/>
      </c>
      <c r="B60" t="str">
        <f>IF(A60="","",MATCH(A60,Акты!$B$5:$B$16,0))</f>
        <v/>
      </c>
      <c r="C60" s="21" t="str">
        <f>IF(A60="","",Оплаты!$A$52+1)</f>
        <v/>
      </c>
      <c r="D60" s="21" t="str">
        <f>IF(A60="","",MIN(Ввод!$B$4,Ввод!$B$4+1-SUMPRODUCT(MAX((Оплаты!$D$6:$D$505=A60)*(Оплаты!$A$6:$A$505&gt;Оплаты!$A$52)*(Ввод!$B$4+1-Оплаты!$A$6:$A$505)))))</f>
        <v/>
      </c>
      <c r="E60" s="14" t="str">
        <f>IF(A60="","",INDEX(Акты!$D$5:$D$16,B60)-SUMIFS(Оплаты!$B$6:$B$505,Оплаты!$D$6:$D$505,A60,Оплаты!$A$6:$A$505,"&lt;="&amp;Оплаты!$A$52))</f>
        <v/>
      </c>
      <c r="F60" s="14" t="str">
        <f>IF(G60="","",SUMPRODUCT(ROUND(E60*'По дням'!$L$6:$L$155/100*((((D60+'По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дням'!$J$6:$J$155)))/2+1)/'По дням'!$M$6:$M$155,2)*(1-'По дням'!$N$6:$N$155)))</f>
        <v/>
      </c>
      <c r="G60" s="22" t="str">
        <f t="shared" si="0"/>
        <v/>
      </c>
      <c r="H60" s="14" t="str">
        <f>IF(G60="","",SUMIFS(Оплаты!$B$6:$B$505,Оплаты!$D$6:$D$505,A60,Оплаты!$A$6:$A$505,D60))</f>
        <v/>
      </c>
      <c r="I60" t="str">
        <f>IF(G60="","",SUMPRODUCT((((((D60+'По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дням'!$J$6:$J$155)))/2+1)&gt;0)*1))</f>
        <v/>
      </c>
    </row>
    <row r="61" spans="1:9" x14ac:dyDescent="0.3">
      <c r="A61" t="str">
        <f>IF(AND(Оплаты!$E$53="ок",COUNTIFS(Акты!$B$5:$B$16,Оплаты!$D$53,Акты!$H$5:$H$16,"ок")&gt;0,COUNTIFS(Оплаты!$D$6:$D$52,Оплаты!$D$53,Оплаты!$A$6:$A$52,Оплаты!$A$53)=0),Оплаты!$D$53,"")</f>
        <v/>
      </c>
      <c r="B61" t="str">
        <f>IF(A61="","",MATCH(A61,Акты!$B$5:$B$16,0))</f>
        <v/>
      </c>
      <c r="C61" s="21" t="str">
        <f>IF(A61="","",Оплаты!$A$53+1)</f>
        <v/>
      </c>
      <c r="D61" s="21" t="str">
        <f>IF(A61="","",MIN(Ввод!$B$4,Ввод!$B$4+1-SUMPRODUCT(MAX((Оплаты!$D$6:$D$505=A61)*(Оплаты!$A$6:$A$505&gt;Оплаты!$A$53)*(Ввод!$B$4+1-Оплаты!$A$6:$A$505)))))</f>
        <v/>
      </c>
      <c r="E61" s="14" t="str">
        <f>IF(A61="","",INDEX(Акты!$D$5:$D$16,B61)-SUMIFS(Оплаты!$B$6:$B$505,Оплаты!$D$6:$D$505,A61,Оплаты!$A$6:$A$505,"&lt;="&amp;Оплаты!$A$53))</f>
        <v/>
      </c>
      <c r="F61" s="14" t="str">
        <f>IF(G61="","",SUMPRODUCT(ROUND(E61*'По дням'!$L$6:$L$155/100*((((D61+'По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дням'!$J$6:$J$155)))/2+1)/'По дням'!$M$6:$M$155,2)*(1-'По дням'!$N$6:$N$155)))</f>
        <v/>
      </c>
      <c r="G61" s="22" t="str">
        <f t="shared" si="0"/>
        <v/>
      </c>
      <c r="H61" s="14" t="str">
        <f>IF(G61="","",SUMIFS(Оплаты!$B$6:$B$505,Оплаты!$D$6:$D$505,A61,Оплаты!$A$6:$A$505,D61))</f>
        <v/>
      </c>
      <c r="I61" t="str">
        <f>IF(G61="","",SUMPRODUCT((((((D61+'По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дням'!$J$6:$J$155)))/2+1)&gt;0)*1))</f>
        <v/>
      </c>
    </row>
    <row r="62" spans="1:9" x14ac:dyDescent="0.3">
      <c r="A62" t="str">
        <f>IF(AND(Оплаты!$E$54="ок",COUNTIFS(Акты!$B$5:$B$16,Оплаты!$D$54,Акты!$H$5:$H$16,"ок")&gt;0,COUNTIFS(Оплаты!$D$6:$D$53,Оплаты!$D$54,Оплаты!$A$6:$A$53,Оплаты!$A$54)=0),Оплаты!$D$54,"")</f>
        <v/>
      </c>
      <c r="B62" t="str">
        <f>IF(A62="","",MATCH(A62,Акты!$B$5:$B$16,0))</f>
        <v/>
      </c>
      <c r="C62" s="21" t="str">
        <f>IF(A62="","",Оплаты!$A$54+1)</f>
        <v/>
      </c>
      <c r="D62" s="21" t="str">
        <f>IF(A62="","",MIN(Ввод!$B$4,Ввод!$B$4+1-SUMPRODUCT(MAX((Оплаты!$D$6:$D$505=A62)*(Оплаты!$A$6:$A$505&gt;Оплаты!$A$54)*(Ввод!$B$4+1-Оплаты!$A$6:$A$505)))))</f>
        <v/>
      </c>
      <c r="E62" s="14" t="str">
        <f>IF(A62="","",INDEX(Акты!$D$5:$D$16,B62)-SUMIFS(Оплаты!$B$6:$B$505,Оплаты!$D$6:$D$505,A62,Оплаты!$A$6:$A$505,"&lt;="&amp;Оплаты!$A$54))</f>
        <v/>
      </c>
      <c r="F62" s="14" t="str">
        <f>IF(G62="","",SUMPRODUCT(ROUND(E62*'По дням'!$L$6:$L$155/100*((((D62+'По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дням'!$J$6:$J$155)))/2+1)/'По дням'!$M$6:$M$155,2)*(1-'По дням'!$N$6:$N$155)))</f>
        <v/>
      </c>
      <c r="G62" s="22" t="str">
        <f t="shared" si="0"/>
        <v/>
      </c>
      <c r="H62" s="14" t="str">
        <f>IF(G62="","",SUMIFS(Оплаты!$B$6:$B$505,Оплаты!$D$6:$D$505,A62,Оплаты!$A$6:$A$505,D62))</f>
        <v/>
      </c>
      <c r="I62" t="str">
        <f>IF(G62="","",SUMPRODUCT((((((D62+'По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дням'!$J$6:$J$155)))/2+1)&gt;0)*1))</f>
        <v/>
      </c>
    </row>
    <row r="63" spans="1:9" x14ac:dyDescent="0.3">
      <c r="A63" t="str">
        <f>IF(AND(Оплаты!$E$55="ок",COUNTIFS(Акты!$B$5:$B$16,Оплаты!$D$55,Акты!$H$5:$H$16,"ок")&gt;0,COUNTIFS(Оплаты!$D$6:$D$54,Оплаты!$D$55,Оплаты!$A$6:$A$54,Оплаты!$A$55)=0),Оплаты!$D$55,"")</f>
        <v/>
      </c>
      <c r="B63" t="str">
        <f>IF(A63="","",MATCH(A63,Акты!$B$5:$B$16,0))</f>
        <v/>
      </c>
      <c r="C63" s="21" t="str">
        <f>IF(A63="","",Оплаты!$A$55+1)</f>
        <v/>
      </c>
      <c r="D63" s="21" t="str">
        <f>IF(A63="","",MIN(Ввод!$B$4,Ввод!$B$4+1-SUMPRODUCT(MAX((Оплаты!$D$6:$D$505=A63)*(Оплаты!$A$6:$A$505&gt;Оплаты!$A$55)*(Ввод!$B$4+1-Оплаты!$A$6:$A$505)))))</f>
        <v/>
      </c>
      <c r="E63" s="14" t="str">
        <f>IF(A63="","",INDEX(Акты!$D$5:$D$16,B63)-SUMIFS(Оплаты!$B$6:$B$505,Оплаты!$D$6:$D$505,A63,Оплаты!$A$6:$A$505,"&lt;="&amp;Оплаты!$A$55))</f>
        <v/>
      </c>
      <c r="F63" s="14" t="str">
        <f>IF(G63="","",SUMPRODUCT(ROUND(E63*'По дням'!$L$6:$L$155/100*((((D63+'По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дням'!$J$6:$J$155)))/2+1)/'По дням'!$M$6:$M$155,2)*(1-'По дням'!$N$6:$N$155)))</f>
        <v/>
      </c>
      <c r="G63" s="22" t="str">
        <f t="shared" si="0"/>
        <v/>
      </c>
      <c r="H63" s="14" t="str">
        <f>IF(G63="","",SUMIFS(Оплаты!$B$6:$B$505,Оплаты!$D$6:$D$505,A63,Оплаты!$A$6:$A$505,D63))</f>
        <v/>
      </c>
      <c r="I63" t="str">
        <f>IF(G63="","",SUMPRODUCT((((((D63+'По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дням'!$J$6:$J$155)))/2+1)&gt;0)*1))</f>
        <v/>
      </c>
    </row>
    <row r="64" spans="1:9" x14ac:dyDescent="0.3">
      <c r="A64" t="str">
        <f>IF(AND(Оплаты!$E$56="ок",COUNTIFS(Акты!$B$5:$B$16,Оплаты!$D$56,Акты!$H$5:$H$16,"ок")&gt;0,COUNTIFS(Оплаты!$D$6:$D$55,Оплаты!$D$56,Оплаты!$A$6:$A$55,Оплаты!$A$56)=0),Оплаты!$D$56,"")</f>
        <v/>
      </c>
      <c r="B64" t="str">
        <f>IF(A64="","",MATCH(A64,Акты!$B$5:$B$16,0))</f>
        <v/>
      </c>
      <c r="C64" s="21" t="str">
        <f>IF(A64="","",Оплаты!$A$56+1)</f>
        <v/>
      </c>
      <c r="D64" s="21" t="str">
        <f>IF(A64="","",MIN(Ввод!$B$4,Ввод!$B$4+1-SUMPRODUCT(MAX((Оплаты!$D$6:$D$505=A64)*(Оплаты!$A$6:$A$505&gt;Оплаты!$A$56)*(Ввод!$B$4+1-Оплаты!$A$6:$A$505)))))</f>
        <v/>
      </c>
      <c r="E64" s="14" t="str">
        <f>IF(A64="","",INDEX(Акты!$D$5:$D$16,B64)-SUMIFS(Оплаты!$B$6:$B$505,Оплаты!$D$6:$D$505,A64,Оплаты!$A$6:$A$505,"&lt;="&amp;Оплаты!$A$56))</f>
        <v/>
      </c>
      <c r="F64" s="14" t="str">
        <f>IF(G64="","",SUMPRODUCT(ROUND(E64*'По дням'!$L$6:$L$155/100*((((D64+'По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дням'!$J$6:$J$155)))/2+1)/'По дням'!$M$6:$M$155,2)*(1-'По дням'!$N$6:$N$155)))</f>
        <v/>
      </c>
      <c r="G64" s="22" t="str">
        <f t="shared" si="0"/>
        <v/>
      </c>
      <c r="H64" s="14" t="str">
        <f>IF(G64="","",SUMIFS(Оплаты!$B$6:$B$505,Оплаты!$D$6:$D$505,A64,Оплаты!$A$6:$A$505,D64))</f>
        <v/>
      </c>
      <c r="I64" t="str">
        <f>IF(G64="","",SUMPRODUCT((((((D64+'По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дням'!$J$6:$J$155)))/2+1)&gt;0)*1))</f>
        <v/>
      </c>
    </row>
    <row r="65" spans="1:9" x14ac:dyDescent="0.3">
      <c r="A65" t="str">
        <f>IF(AND(Оплаты!$E$57="ок",COUNTIFS(Акты!$B$5:$B$16,Оплаты!$D$57,Акты!$H$5:$H$16,"ок")&gt;0,COUNTIFS(Оплаты!$D$6:$D$56,Оплаты!$D$57,Оплаты!$A$6:$A$56,Оплаты!$A$57)=0),Оплаты!$D$57,"")</f>
        <v/>
      </c>
      <c r="B65" t="str">
        <f>IF(A65="","",MATCH(A65,Акты!$B$5:$B$16,0))</f>
        <v/>
      </c>
      <c r="C65" s="21" t="str">
        <f>IF(A65="","",Оплаты!$A$57+1)</f>
        <v/>
      </c>
      <c r="D65" s="21" t="str">
        <f>IF(A65="","",MIN(Ввод!$B$4,Ввод!$B$4+1-SUMPRODUCT(MAX((Оплаты!$D$6:$D$505=A65)*(Оплаты!$A$6:$A$505&gt;Оплаты!$A$57)*(Ввод!$B$4+1-Оплаты!$A$6:$A$505)))))</f>
        <v/>
      </c>
      <c r="E65" s="14" t="str">
        <f>IF(A65="","",INDEX(Акты!$D$5:$D$16,B65)-SUMIFS(Оплаты!$B$6:$B$505,Оплаты!$D$6:$D$505,A65,Оплаты!$A$6:$A$505,"&lt;="&amp;Оплаты!$A$57))</f>
        <v/>
      </c>
      <c r="F65" s="14" t="str">
        <f>IF(G65="","",SUMPRODUCT(ROUND(E65*'По дням'!$L$6:$L$155/100*((((D65+'По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дням'!$J$6:$J$155)))/2+1)/'По дням'!$M$6:$M$155,2)*(1-'По дням'!$N$6:$N$155)))</f>
        <v/>
      </c>
      <c r="G65" s="22" t="str">
        <f t="shared" si="0"/>
        <v/>
      </c>
      <c r="H65" s="14" t="str">
        <f>IF(G65="","",SUMIFS(Оплаты!$B$6:$B$505,Оплаты!$D$6:$D$505,A65,Оплаты!$A$6:$A$505,D65))</f>
        <v/>
      </c>
      <c r="I65" t="str">
        <f>IF(G65="","",SUMPRODUCT((((((D65+'По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дням'!$J$6:$J$155)))/2+1)&gt;0)*1))</f>
        <v/>
      </c>
    </row>
    <row r="66" spans="1:9" x14ac:dyDescent="0.3">
      <c r="A66" t="str">
        <f>IF(AND(Оплаты!$E$58="ок",COUNTIFS(Акты!$B$5:$B$16,Оплаты!$D$58,Акты!$H$5:$H$16,"ок")&gt;0,COUNTIFS(Оплаты!$D$6:$D$57,Оплаты!$D$58,Оплаты!$A$6:$A$57,Оплаты!$A$58)=0),Оплаты!$D$58,"")</f>
        <v/>
      </c>
      <c r="B66" t="str">
        <f>IF(A66="","",MATCH(A66,Акты!$B$5:$B$16,0))</f>
        <v/>
      </c>
      <c r="C66" s="21" t="str">
        <f>IF(A66="","",Оплаты!$A$58+1)</f>
        <v/>
      </c>
      <c r="D66" s="21" t="str">
        <f>IF(A66="","",MIN(Ввод!$B$4,Ввод!$B$4+1-SUMPRODUCT(MAX((Оплаты!$D$6:$D$505=A66)*(Оплаты!$A$6:$A$505&gt;Оплаты!$A$58)*(Ввод!$B$4+1-Оплаты!$A$6:$A$505)))))</f>
        <v/>
      </c>
      <c r="E66" s="14" t="str">
        <f>IF(A66="","",INDEX(Акты!$D$5:$D$16,B66)-SUMIFS(Оплаты!$B$6:$B$505,Оплаты!$D$6:$D$505,A66,Оплаты!$A$6:$A$505,"&lt;="&amp;Оплаты!$A$58))</f>
        <v/>
      </c>
      <c r="F66" s="14" t="str">
        <f>IF(G66="","",SUMPRODUCT(ROUND(E66*'По дням'!$L$6:$L$155/100*((((D66+'По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дням'!$J$6:$J$155)))/2+1)/'По дням'!$M$6:$M$155,2)*(1-'По дням'!$N$6:$N$155)))</f>
        <v/>
      </c>
      <c r="G66" s="22" t="str">
        <f t="shared" ref="G66:G129" si="1">IF(A66="","",IF(C66&gt;D66,"",B66*1000000+C66))</f>
        <v/>
      </c>
      <c r="H66" s="14" t="str">
        <f>IF(G66="","",SUMIFS(Оплаты!$B$6:$B$505,Оплаты!$D$6:$D$505,A66,Оплаты!$A$6:$A$505,D66))</f>
        <v/>
      </c>
      <c r="I66" t="str">
        <f>IF(G66="","",SUMPRODUCT((((((D66+'По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дням'!$J$6:$J$155)))/2+1)&gt;0)*1))</f>
        <v/>
      </c>
    </row>
    <row r="67" spans="1:9" x14ac:dyDescent="0.3">
      <c r="A67" t="str">
        <f>IF(AND(Оплаты!$E$59="ок",COUNTIFS(Акты!$B$5:$B$16,Оплаты!$D$59,Акты!$H$5:$H$16,"ок")&gt;0,COUNTIFS(Оплаты!$D$6:$D$58,Оплаты!$D$59,Оплаты!$A$6:$A$58,Оплаты!$A$59)=0),Оплаты!$D$59,"")</f>
        <v/>
      </c>
      <c r="B67" t="str">
        <f>IF(A67="","",MATCH(A67,Акты!$B$5:$B$16,0))</f>
        <v/>
      </c>
      <c r="C67" s="21" t="str">
        <f>IF(A67="","",Оплаты!$A$59+1)</f>
        <v/>
      </c>
      <c r="D67" s="21" t="str">
        <f>IF(A67="","",MIN(Ввод!$B$4,Ввод!$B$4+1-SUMPRODUCT(MAX((Оплаты!$D$6:$D$505=A67)*(Оплаты!$A$6:$A$505&gt;Оплаты!$A$59)*(Ввод!$B$4+1-Оплаты!$A$6:$A$505)))))</f>
        <v/>
      </c>
      <c r="E67" s="14" t="str">
        <f>IF(A67="","",INDEX(Акты!$D$5:$D$16,B67)-SUMIFS(Оплаты!$B$6:$B$505,Оплаты!$D$6:$D$505,A67,Оплаты!$A$6:$A$505,"&lt;="&amp;Оплаты!$A$59))</f>
        <v/>
      </c>
      <c r="F67" s="14" t="str">
        <f>IF(G67="","",SUMPRODUCT(ROUND(E67*'По дням'!$L$6:$L$155/100*((((D67+'По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дням'!$J$6:$J$155)))/2+1)/'По дням'!$M$6:$M$155,2)*(1-'По дням'!$N$6:$N$155)))</f>
        <v/>
      </c>
      <c r="G67" s="22" t="str">
        <f t="shared" si="1"/>
        <v/>
      </c>
      <c r="H67" s="14" t="str">
        <f>IF(G67="","",SUMIFS(Оплаты!$B$6:$B$505,Оплаты!$D$6:$D$505,A67,Оплаты!$A$6:$A$505,D67))</f>
        <v/>
      </c>
      <c r="I67" t="str">
        <f>IF(G67="","",SUMPRODUCT((((((D67+'По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дням'!$J$6:$J$155)))/2+1)&gt;0)*1))</f>
        <v/>
      </c>
    </row>
    <row r="68" spans="1:9" x14ac:dyDescent="0.3">
      <c r="A68" t="str">
        <f>IF(AND(Оплаты!$E$60="ок",COUNTIFS(Акты!$B$5:$B$16,Оплаты!$D$60,Акты!$H$5:$H$16,"ок")&gt;0,COUNTIFS(Оплаты!$D$6:$D$59,Оплаты!$D$60,Оплаты!$A$6:$A$59,Оплаты!$A$60)=0),Оплаты!$D$60,"")</f>
        <v/>
      </c>
      <c r="B68" t="str">
        <f>IF(A68="","",MATCH(A68,Акты!$B$5:$B$16,0))</f>
        <v/>
      </c>
      <c r="C68" s="21" t="str">
        <f>IF(A68="","",Оплаты!$A$60+1)</f>
        <v/>
      </c>
      <c r="D68" s="21" t="str">
        <f>IF(A68="","",MIN(Ввод!$B$4,Ввод!$B$4+1-SUMPRODUCT(MAX((Оплаты!$D$6:$D$505=A68)*(Оплаты!$A$6:$A$505&gt;Оплаты!$A$60)*(Ввод!$B$4+1-Оплаты!$A$6:$A$505)))))</f>
        <v/>
      </c>
      <c r="E68" s="14" t="str">
        <f>IF(A68="","",INDEX(Акты!$D$5:$D$16,B68)-SUMIFS(Оплаты!$B$6:$B$505,Оплаты!$D$6:$D$505,A68,Оплаты!$A$6:$A$505,"&lt;="&amp;Оплаты!$A$60))</f>
        <v/>
      </c>
      <c r="F68" s="14" t="str">
        <f>IF(G68="","",SUMPRODUCT(ROUND(E68*'По дням'!$L$6:$L$155/100*((((D68+'По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дням'!$J$6:$J$155)))/2+1)/'По дням'!$M$6:$M$155,2)*(1-'По дням'!$N$6:$N$155)))</f>
        <v/>
      </c>
      <c r="G68" s="22" t="str">
        <f t="shared" si="1"/>
        <v/>
      </c>
      <c r="H68" s="14" t="str">
        <f>IF(G68="","",SUMIFS(Оплаты!$B$6:$B$505,Оплаты!$D$6:$D$505,A68,Оплаты!$A$6:$A$505,D68))</f>
        <v/>
      </c>
      <c r="I68" t="str">
        <f>IF(G68="","",SUMPRODUCT((((((D68+'По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дням'!$J$6:$J$155)))/2+1)&gt;0)*1))</f>
        <v/>
      </c>
    </row>
    <row r="69" spans="1:9" x14ac:dyDescent="0.3">
      <c r="A69" t="str">
        <f>IF(AND(Оплаты!$E$61="ок",COUNTIFS(Акты!$B$5:$B$16,Оплаты!$D$61,Акты!$H$5:$H$16,"ок")&gt;0,COUNTIFS(Оплаты!$D$6:$D$60,Оплаты!$D$61,Оплаты!$A$6:$A$60,Оплаты!$A$61)=0),Оплаты!$D$61,"")</f>
        <v/>
      </c>
      <c r="B69" t="str">
        <f>IF(A69="","",MATCH(A69,Акты!$B$5:$B$16,0))</f>
        <v/>
      </c>
      <c r="C69" s="21" t="str">
        <f>IF(A69="","",Оплаты!$A$61+1)</f>
        <v/>
      </c>
      <c r="D69" s="21" t="str">
        <f>IF(A69="","",MIN(Ввод!$B$4,Ввод!$B$4+1-SUMPRODUCT(MAX((Оплаты!$D$6:$D$505=A69)*(Оплаты!$A$6:$A$505&gt;Оплаты!$A$61)*(Ввод!$B$4+1-Оплаты!$A$6:$A$505)))))</f>
        <v/>
      </c>
      <c r="E69" s="14" t="str">
        <f>IF(A69="","",INDEX(Акты!$D$5:$D$16,B69)-SUMIFS(Оплаты!$B$6:$B$505,Оплаты!$D$6:$D$505,A69,Оплаты!$A$6:$A$505,"&lt;="&amp;Оплаты!$A$61))</f>
        <v/>
      </c>
      <c r="F69" s="14" t="str">
        <f>IF(G69="","",SUMPRODUCT(ROUND(E69*'По дням'!$L$6:$L$155/100*((((D69+'По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дням'!$J$6:$J$155)))/2+1)/'По дням'!$M$6:$M$155,2)*(1-'По дням'!$N$6:$N$155)))</f>
        <v/>
      </c>
      <c r="G69" s="22" t="str">
        <f t="shared" si="1"/>
        <v/>
      </c>
      <c r="H69" s="14" t="str">
        <f>IF(G69="","",SUMIFS(Оплаты!$B$6:$B$505,Оплаты!$D$6:$D$505,A69,Оплаты!$A$6:$A$505,D69))</f>
        <v/>
      </c>
      <c r="I69" t="str">
        <f>IF(G69="","",SUMPRODUCT((((((D69+'По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дням'!$J$6:$J$155)))/2+1)&gt;0)*1))</f>
        <v/>
      </c>
    </row>
    <row r="70" spans="1:9" x14ac:dyDescent="0.3">
      <c r="A70" t="str">
        <f>IF(AND(Оплаты!$E$62="ок",COUNTIFS(Акты!$B$5:$B$16,Оплаты!$D$62,Акты!$H$5:$H$16,"ок")&gt;0,COUNTIFS(Оплаты!$D$6:$D$61,Оплаты!$D$62,Оплаты!$A$6:$A$61,Оплаты!$A$62)=0),Оплаты!$D$62,"")</f>
        <v/>
      </c>
      <c r="B70" t="str">
        <f>IF(A70="","",MATCH(A70,Акты!$B$5:$B$16,0))</f>
        <v/>
      </c>
      <c r="C70" s="21" t="str">
        <f>IF(A70="","",Оплаты!$A$62+1)</f>
        <v/>
      </c>
      <c r="D70" s="21" t="str">
        <f>IF(A70="","",MIN(Ввод!$B$4,Ввод!$B$4+1-SUMPRODUCT(MAX((Оплаты!$D$6:$D$505=A70)*(Оплаты!$A$6:$A$505&gt;Оплаты!$A$62)*(Ввод!$B$4+1-Оплаты!$A$6:$A$505)))))</f>
        <v/>
      </c>
      <c r="E70" s="14" t="str">
        <f>IF(A70="","",INDEX(Акты!$D$5:$D$16,B70)-SUMIFS(Оплаты!$B$6:$B$505,Оплаты!$D$6:$D$505,A70,Оплаты!$A$6:$A$505,"&lt;="&amp;Оплаты!$A$62))</f>
        <v/>
      </c>
      <c r="F70" s="14" t="str">
        <f>IF(G70="","",SUMPRODUCT(ROUND(E70*'По дням'!$L$6:$L$155/100*((((D70+'По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дням'!$J$6:$J$155)))/2+1)/'По дням'!$M$6:$M$155,2)*(1-'По дням'!$N$6:$N$155)))</f>
        <v/>
      </c>
      <c r="G70" s="22" t="str">
        <f t="shared" si="1"/>
        <v/>
      </c>
      <c r="H70" s="14" t="str">
        <f>IF(G70="","",SUMIFS(Оплаты!$B$6:$B$505,Оплаты!$D$6:$D$505,A70,Оплаты!$A$6:$A$505,D70))</f>
        <v/>
      </c>
      <c r="I70" t="str">
        <f>IF(G70="","",SUMPRODUCT((((((D70+'По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дням'!$J$6:$J$155)))/2+1)&gt;0)*1))</f>
        <v/>
      </c>
    </row>
    <row r="71" spans="1:9" x14ac:dyDescent="0.3">
      <c r="A71" t="str">
        <f>IF(AND(Оплаты!$E$63="ок",COUNTIFS(Акты!$B$5:$B$16,Оплаты!$D$63,Акты!$H$5:$H$16,"ок")&gt;0,COUNTIFS(Оплаты!$D$6:$D$62,Оплаты!$D$63,Оплаты!$A$6:$A$62,Оплаты!$A$63)=0),Оплаты!$D$63,"")</f>
        <v/>
      </c>
      <c r="B71" t="str">
        <f>IF(A71="","",MATCH(A71,Акты!$B$5:$B$16,0))</f>
        <v/>
      </c>
      <c r="C71" s="21" t="str">
        <f>IF(A71="","",Оплаты!$A$63+1)</f>
        <v/>
      </c>
      <c r="D71" s="21" t="str">
        <f>IF(A71="","",MIN(Ввод!$B$4,Ввод!$B$4+1-SUMPRODUCT(MAX((Оплаты!$D$6:$D$505=A71)*(Оплаты!$A$6:$A$505&gt;Оплаты!$A$63)*(Ввод!$B$4+1-Оплаты!$A$6:$A$505)))))</f>
        <v/>
      </c>
      <c r="E71" s="14" t="str">
        <f>IF(A71="","",INDEX(Акты!$D$5:$D$16,B71)-SUMIFS(Оплаты!$B$6:$B$505,Оплаты!$D$6:$D$505,A71,Оплаты!$A$6:$A$505,"&lt;="&amp;Оплаты!$A$63))</f>
        <v/>
      </c>
      <c r="F71" s="14" t="str">
        <f>IF(G71="","",SUMPRODUCT(ROUND(E71*'По дням'!$L$6:$L$155/100*((((D71+'По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дням'!$J$6:$J$155)))/2+1)/'По дням'!$M$6:$M$155,2)*(1-'По дням'!$N$6:$N$155)))</f>
        <v/>
      </c>
      <c r="G71" s="22" t="str">
        <f t="shared" si="1"/>
        <v/>
      </c>
      <c r="H71" s="14" t="str">
        <f>IF(G71="","",SUMIFS(Оплаты!$B$6:$B$505,Оплаты!$D$6:$D$505,A71,Оплаты!$A$6:$A$505,D71))</f>
        <v/>
      </c>
      <c r="I71" t="str">
        <f>IF(G71="","",SUMPRODUCT((((((D71+'По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дням'!$J$6:$J$155)))/2+1)&gt;0)*1))</f>
        <v/>
      </c>
    </row>
    <row r="72" spans="1:9" x14ac:dyDescent="0.3">
      <c r="A72" t="str">
        <f>IF(AND(Оплаты!$E$64="ок",COUNTIFS(Акты!$B$5:$B$16,Оплаты!$D$64,Акты!$H$5:$H$16,"ок")&gt;0,COUNTIFS(Оплаты!$D$6:$D$63,Оплаты!$D$64,Оплаты!$A$6:$A$63,Оплаты!$A$64)=0),Оплаты!$D$64,"")</f>
        <v/>
      </c>
      <c r="B72" t="str">
        <f>IF(A72="","",MATCH(A72,Акты!$B$5:$B$16,0))</f>
        <v/>
      </c>
      <c r="C72" s="21" t="str">
        <f>IF(A72="","",Оплаты!$A$64+1)</f>
        <v/>
      </c>
      <c r="D72" s="21" t="str">
        <f>IF(A72="","",MIN(Ввод!$B$4,Ввод!$B$4+1-SUMPRODUCT(MAX((Оплаты!$D$6:$D$505=A72)*(Оплаты!$A$6:$A$505&gt;Оплаты!$A$64)*(Ввод!$B$4+1-Оплаты!$A$6:$A$505)))))</f>
        <v/>
      </c>
      <c r="E72" s="14" t="str">
        <f>IF(A72="","",INDEX(Акты!$D$5:$D$16,B72)-SUMIFS(Оплаты!$B$6:$B$505,Оплаты!$D$6:$D$505,A72,Оплаты!$A$6:$A$505,"&lt;="&amp;Оплаты!$A$64))</f>
        <v/>
      </c>
      <c r="F72" s="14" t="str">
        <f>IF(G72="","",SUMPRODUCT(ROUND(E72*'По дням'!$L$6:$L$155/100*((((D72+'По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дням'!$J$6:$J$155)))/2+1)/'По дням'!$M$6:$M$155,2)*(1-'По дням'!$N$6:$N$155)))</f>
        <v/>
      </c>
      <c r="G72" s="22" t="str">
        <f t="shared" si="1"/>
        <v/>
      </c>
      <c r="H72" s="14" t="str">
        <f>IF(G72="","",SUMIFS(Оплаты!$B$6:$B$505,Оплаты!$D$6:$D$505,A72,Оплаты!$A$6:$A$505,D72))</f>
        <v/>
      </c>
      <c r="I72" t="str">
        <f>IF(G72="","",SUMPRODUCT((((((D72+'По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дням'!$J$6:$J$155)))/2+1)&gt;0)*1))</f>
        <v/>
      </c>
    </row>
    <row r="73" spans="1:9" x14ac:dyDescent="0.3">
      <c r="A73" t="str">
        <f>IF(AND(Оплаты!$E$65="ок",COUNTIFS(Акты!$B$5:$B$16,Оплаты!$D$65,Акты!$H$5:$H$16,"ок")&gt;0,COUNTIFS(Оплаты!$D$6:$D$64,Оплаты!$D$65,Оплаты!$A$6:$A$64,Оплаты!$A$65)=0),Оплаты!$D$65,"")</f>
        <v/>
      </c>
      <c r="B73" t="str">
        <f>IF(A73="","",MATCH(A73,Акты!$B$5:$B$16,0))</f>
        <v/>
      </c>
      <c r="C73" s="21" t="str">
        <f>IF(A73="","",Оплаты!$A$65+1)</f>
        <v/>
      </c>
      <c r="D73" s="21" t="str">
        <f>IF(A73="","",MIN(Ввод!$B$4,Ввод!$B$4+1-SUMPRODUCT(MAX((Оплаты!$D$6:$D$505=A73)*(Оплаты!$A$6:$A$505&gt;Оплаты!$A$65)*(Ввод!$B$4+1-Оплаты!$A$6:$A$505)))))</f>
        <v/>
      </c>
      <c r="E73" s="14" t="str">
        <f>IF(A73="","",INDEX(Акты!$D$5:$D$16,B73)-SUMIFS(Оплаты!$B$6:$B$505,Оплаты!$D$6:$D$505,A73,Оплаты!$A$6:$A$505,"&lt;="&amp;Оплаты!$A$65))</f>
        <v/>
      </c>
      <c r="F73" s="14" t="str">
        <f>IF(G73="","",SUMPRODUCT(ROUND(E73*'По дням'!$L$6:$L$155/100*((((D73+'По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дням'!$J$6:$J$155)))/2+1)/'По дням'!$M$6:$M$155,2)*(1-'По дням'!$N$6:$N$155)))</f>
        <v/>
      </c>
      <c r="G73" s="22" t="str">
        <f t="shared" si="1"/>
        <v/>
      </c>
      <c r="H73" s="14" t="str">
        <f>IF(G73="","",SUMIFS(Оплаты!$B$6:$B$505,Оплаты!$D$6:$D$505,A73,Оплаты!$A$6:$A$505,D73))</f>
        <v/>
      </c>
      <c r="I73" t="str">
        <f>IF(G73="","",SUMPRODUCT((((((D73+'По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дням'!$J$6:$J$155)))/2+1)&gt;0)*1))</f>
        <v/>
      </c>
    </row>
    <row r="74" spans="1:9" x14ac:dyDescent="0.3">
      <c r="A74" t="str">
        <f>IF(AND(Оплаты!$E$66="ок",COUNTIFS(Акты!$B$5:$B$16,Оплаты!$D$66,Акты!$H$5:$H$16,"ок")&gt;0,COUNTIFS(Оплаты!$D$6:$D$65,Оплаты!$D$66,Оплаты!$A$6:$A$65,Оплаты!$A$66)=0),Оплаты!$D$66,"")</f>
        <v/>
      </c>
      <c r="B74" t="str">
        <f>IF(A74="","",MATCH(A74,Акты!$B$5:$B$16,0))</f>
        <v/>
      </c>
      <c r="C74" s="21" t="str">
        <f>IF(A74="","",Оплаты!$A$66+1)</f>
        <v/>
      </c>
      <c r="D74" s="21" t="str">
        <f>IF(A74="","",MIN(Ввод!$B$4,Ввод!$B$4+1-SUMPRODUCT(MAX((Оплаты!$D$6:$D$505=A74)*(Оплаты!$A$6:$A$505&gt;Оплаты!$A$66)*(Ввод!$B$4+1-Оплаты!$A$6:$A$505)))))</f>
        <v/>
      </c>
      <c r="E74" s="14" t="str">
        <f>IF(A74="","",INDEX(Акты!$D$5:$D$16,B74)-SUMIFS(Оплаты!$B$6:$B$505,Оплаты!$D$6:$D$505,A74,Оплаты!$A$6:$A$505,"&lt;="&amp;Оплаты!$A$66))</f>
        <v/>
      </c>
      <c r="F74" s="14" t="str">
        <f>IF(G74="","",SUMPRODUCT(ROUND(E74*'По дням'!$L$6:$L$155/100*((((D74+'По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дням'!$J$6:$J$155)))/2+1)/'По дням'!$M$6:$M$155,2)*(1-'По дням'!$N$6:$N$155)))</f>
        <v/>
      </c>
      <c r="G74" s="22" t="str">
        <f t="shared" si="1"/>
        <v/>
      </c>
      <c r="H74" s="14" t="str">
        <f>IF(G74="","",SUMIFS(Оплаты!$B$6:$B$505,Оплаты!$D$6:$D$505,A74,Оплаты!$A$6:$A$505,D74))</f>
        <v/>
      </c>
      <c r="I74" t="str">
        <f>IF(G74="","",SUMPRODUCT((((((D74+'По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дням'!$J$6:$J$155)))/2+1)&gt;0)*1))</f>
        <v/>
      </c>
    </row>
    <row r="75" spans="1:9" x14ac:dyDescent="0.3">
      <c r="A75" t="str">
        <f>IF(AND(Оплаты!$E$67="ок",COUNTIFS(Акты!$B$5:$B$16,Оплаты!$D$67,Акты!$H$5:$H$16,"ок")&gt;0,COUNTIFS(Оплаты!$D$6:$D$66,Оплаты!$D$67,Оплаты!$A$6:$A$66,Оплаты!$A$67)=0),Оплаты!$D$67,"")</f>
        <v/>
      </c>
      <c r="B75" t="str">
        <f>IF(A75="","",MATCH(A75,Акты!$B$5:$B$16,0))</f>
        <v/>
      </c>
      <c r="C75" s="21" t="str">
        <f>IF(A75="","",Оплаты!$A$67+1)</f>
        <v/>
      </c>
      <c r="D75" s="21" t="str">
        <f>IF(A75="","",MIN(Ввод!$B$4,Ввод!$B$4+1-SUMPRODUCT(MAX((Оплаты!$D$6:$D$505=A75)*(Оплаты!$A$6:$A$505&gt;Оплаты!$A$67)*(Ввод!$B$4+1-Оплаты!$A$6:$A$505)))))</f>
        <v/>
      </c>
      <c r="E75" s="14" t="str">
        <f>IF(A75="","",INDEX(Акты!$D$5:$D$16,B75)-SUMIFS(Оплаты!$B$6:$B$505,Оплаты!$D$6:$D$505,A75,Оплаты!$A$6:$A$505,"&lt;="&amp;Оплаты!$A$67))</f>
        <v/>
      </c>
      <c r="F75" s="14" t="str">
        <f>IF(G75="","",SUMPRODUCT(ROUND(E75*'По дням'!$L$6:$L$155/100*((((D75+'По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дням'!$J$6:$J$155)))/2+1)/'По дням'!$M$6:$M$155,2)*(1-'По дням'!$N$6:$N$155)))</f>
        <v/>
      </c>
      <c r="G75" s="22" t="str">
        <f t="shared" si="1"/>
        <v/>
      </c>
      <c r="H75" s="14" t="str">
        <f>IF(G75="","",SUMIFS(Оплаты!$B$6:$B$505,Оплаты!$D$6:$D$505,A75,Оплаты!$A$6:$A$505,D75))</f>
        <v/>
      </c>
      <c r="I75" t="str">
        <f>IF(G75="","",SUMPRODUCT((((((D75+'По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дням'!$J$6:$J$155)))/2+1)&gt;0)*1))</f>
        <v/>
      </c>
    </row>
    <row r="76" spans="1:9" x14ac:dyDescent="0.3">
      <c r="A76" t="str">
        <f>IF(AND(Оплаты!$E$68="ок",COUNTIFS(Акты!$B$5:$B$16,Оплаты!$D$68,Акты!$H$5:$H$16,"ок")&gt;0,COUNTIFS(Оплаты!$D$6:$D$67,Оплаты!$D$68,Оплаты!$A$6:$A$67,Оплаты!$A$68)=0),Оплаты!$D$68,"")</f>
        <v/>
      </c>
      <c r="B76" t="str">
        <f>IF(A76="","",MATCH(A76,Акты!$B$5:$B$16,0))</f>
        <v/>
      </c>
      <c r="C76" s="21" t="str">
        <f>IF(A76="","",Оплаты!$A$68+1)</f>
        <v/>
      </c>
      <c r="D76" s="21" t="str">
        <f>IF(A76="","",MIN(Ввод!$B$4,Ввод!$B$4+1-SUMPRODUCT(MAX((Оплаты!$D$6:$D$505=A76)*(Оплаты!$A$6:$A$505&gt;Оплаты!$A$68)*(Ввод!$B$4+1-Оплаты!$A$6:$A$505)))))</f>
        <v/>
      </c>
      <c r="E76" s="14" t="str">
        <f>IF(A76="","",INDEX(Акты!$D$5:$D$16,B76)-SUMIFS(Оплаты!$B$6:$B$505,Оплаты!$D$6:$D$505,A76,Оплаты!$A$6:$A$505,"&lt;="&amp;Оплаты!$A$68))</f>
        <v/>
      </c>
      <c r="F76" s="14" t="str">
        <f>IF(G76="","",SUMPRODUCT(ROUND(E76*'По дням'!$L$6:$L$155/100*((((D76+'По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дням'!$J$6:$J$155)))/2+1)/'По дням'!$M$6:$M$155,2)*(1-'По дням'!$N$6:$N$155)))</f>
        <v/>
      </c>
      <c r="G76" s="22" t="str">
        <f t="shared" si="1"/>
        <v/>
      </c>
      <c r="H76" s="14" t="str">
        <f>IF(G76="","",SUMIFS(Оплаты!$B$6:$B$505,Оплаты!$D$6:$D$505,A76,Оплаты!$A$6:$A$505,D76))</f>
        <v/>
      </c>
      <c r="I76" t="str">
        <f>IF(G76="","",SUMPRODUCT((((((D76+'По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дням'!$J$6:$J$155)))/2+1)&gt;0)*1))</f>
        <v/>
      </c>
    </row>
    <row r="77" spans="1:9" x14ac:dyDescent="0.3">
      <c r="A77" t="str">
        <f>IF(AND(Оплаты!$E$69="ок",COUNTIFS(Акты!$B$5:$B$16,Оплаты!$D$69,Акты!$H$5:$H$16,"ок")&gt;0,COUNTIFS(Оплаты!$D$6:$D$68,Оплаты!$D$69,Оплаты!$A$6:$A$68,Оплаты!$A$69)=0),Оплаты!$D$69,"")</f>
        <v/>
      </c>
      <c r="B77" t="str">
        <f>IF(A77="","",MATCH(A77,Акты!$B$5:$B$16,0))</f>
        <v/>
      </c>
      <c r="C77" s="21" t="str">
        <f>IF(A77="","",Оплаты!$A$69+1)</f>
        <v/>
      </c>
      <c r="D77" s="21" t="str">
        <f>IF(A77="","",MIN(Ввод!$B$4,Ввод!$B$4+1-SUMPRODUCT(MAX((Оплаты!$D$6:$D$505=A77)*(Оплаты!$A$6:$A$505&gt;Оплаты!$A$69)*(Ввод!$B$4+1-Оплаты!$A$6:$A$505)))))</f>
        <v/>
      </c>
      <c r="E77" s="14" t="str">
        <f>IF(A77="","",INDEX(Акты!$D$5:$D$16,B77)-SUMIFS(Оплаты!$B$6:$B$505,Оплаты!$D$6:$D$505,A77,Оплаты!$A$6:$A$505,"&lt;="&amp;Оплаты!$A$69))</f>
        <v/>
      </c>
      <c r="F77" s="14" t="str">
        <f>IF(G77="","",SUMPRODUCT(ROUND(E77*'По дням'!$L$6:$L$155/100*((((D77+'По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дням'!$J$6:$J$155)))/2+1)/'По дням'!$M$6:$M$155,2)*(1-'По дням'!$N$6:$N$155)))</f>
        <v/>
      </c>
      <c r="G77" s="22" t="str">
        <f t="shared" si="1"/>
        <v/>
      </c>
      <c r="H77" s="14" t="str">
        <f>IF(G77="","",SUMIFS(Оплаты!$B$6:$B$505,Оплаты!$D$6:$D$505,A77,Оплаты!$A$6:$A$505,D77))</f>
        <v/>
      </c>
      <c r="I77" t="str">
        <f>IF(G77="","",SUMPRODUCT((((((D77+'По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дням'!$J$6:$J$155)))/2+1)&gt;0)*1))</f>
        <v/>
      </c>
    </row>
    <row r="78" spans="1:9" x14ac:dyDescent="0.3">
      <c r="A78" t="str">
        <f>IF(AND(Оплаты!$E$70="ок",COUNTIFS(Акты!$B$5:$B$16,Оплаты!$D$70,Акты!$H$5:$H$16,"ок")&gt;0,COUNTIFS(Оплаты!$D$6:$D$69,Оплаты!$D$70,Оплаты!$A$6:$A$69,Оплаты!$A$70)=0),Оплаты!$D$70,"")</f>
        <v/>
      </c>
      <c r="B78" t="str">
        <f>IF(A78="","",MATCH(A78,Акты!$B$5:$B$16,0))</f>
        <v/>
      </c>
      <c r="C78" s="21" t="str">
        <f>IF(A78="","",Оплаты!$A$70+1)</f>
        <v/>
      </c>
      <c r="D78" s="21" t="str">
        <f>IF(A78="","",MIN(Ввод!$B$4,Ввод!$B$4+1-SUMPRODUCT(MAX((Оплаты!$D$6:$D$505=A78)*(Оплаты!$A$6:$A$505&gt;Оплаты!$A$70)*(Ввод!$B$4+1-Оплаты!$A$6:$A$505)))))</f>
        <v/>
      </c>
      <c r="E78" s="14" t="str">
        <f>IF(A78="","",INDEX(Акты!$D$5:$D$16,B78)-SUMIFS(Оплаты!$B$6:$B$505,Оплаты!$D$6:$D$505,A78,Оплаты!$A$6:$A$505,"&lt;="&amp;Оплаты!$A$70))</f>
        <v/>
      </c>
      <c r="F78" s="14" t="str">
        <f>IF(G78="","",SUMPRODUCT(ROUND(E78*'По дням'!$L$6:$L$155/100*((((D78+'По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дням'!$J$6:$J$155)))/2+1)/'По дням'!$M$6:$M$155,2)*(1-'По дням'!$N$6:$N$155)))</f>
        <v/>
      </c>
      <c r="G78" s="22" t="str">
        <f t="shared" si="1"/>
        <v/>
      </c>
      <c r="H78" s="14" t="str">
        <f>IF(G78="","",SUMIFS(Оплаты!$B$6:$B$505,Оплаты!$D$6:$D$505,A78,Оплаты!$A$6:$A$505,D78))</f>
        <v/>
      </c>
      <c r="I78" t="str">
        <f>IF(G78="","",SUMPRODUCT((((((D78+'По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дням'!$J$6:$J$155)))/2+1)&gt;0)*1))</f>
        <v/>
      </c>
    </row>
    <row r="79" spans="1:9" x14ac:dyDescent="0.3">
      <c r="A79" t="str">
        <f>IF(AND(Оплаты!$E$71="ок",COUNTIFS(Акты!$B$5:$B$16,Оплаты!$D$71,Акты!$H$5:$H$16,"ок")&gt;0,COUNTIFS(Оплаты!$D$6:$D$70,Оплаты!$D$71,Оплаты!$A$6:$A$70,Оплаты!$A$71)=0),Оплаты!$D$71,"")</f>
        <v/>
      </c>
      <c r="B79" t="str">
        <f>IF(A79="","",MATCH(A79,Акты!$B$5:$B$16,0))</f>
        <v/>
      </c>
      <c r="C79" s="21" t="str">
        <f>IF(A79="","",Оплаты!$A$71+1)</f>
        <v/>
      </c>
      <c r="D79" s="21" t="str">
        <f>IF(A79="","",MIN(Ввод!$B$4,Ввод!$B$4+1-SUMPRODUCT(MAX((Оплаты!$D$6:$D$505=A79)*(Оплаты!$A$6:$A$505&gt;Оплаты!$A$71)*(Ввод!$B$4+1-Оплаты!$A$6:$A$505)))))</f>
        <v/>
      </c>
      <c r="E79" s="14" t="str">
        <f>IF(A79="","",INDEX(Акты!$D$5:$D$16,B79)-SUMIFS(Оплаты!$B$6:$B$505,Оплаты!$D$6:$D$505,A79,Оплаты!$A$6:$A$505,"&lt;="&amp;Оплаты!$A$71))</f>
        <v/>
      </c>
      <c r="F79" s="14" t="str">
        <f>IF(G79="","",SUMPRODUCT(ROUND(E79*'По дням'!$L$6:$L$155/100*((((D79+'По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дням'!$J$6:$J$155)))/2+1)/'По дням'!$M$6:$M$155,2)*(1-'По дням'!$N$6:$N$155)))</f>
        <v/>
      </c>
      <c r="G79" s="22" t="str">
        <f t="shared" si="1"/>
        <v/>
      </c>
      <c r="H79" s="14" t="str">
        <f>IF(G79="","",SUMIFS(Оплаты!$B$6:$B$505,Оплаты!$D$6:$D$505,A79,Оплаты!$A$6:$A$505,D79))</f>
        <v/>
      </c>
      <c r="I79" t="str">
        <f>IF(G79="","",SUMPRODUCT((((((D79+'По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дням'!$J$6:$J$155)))/2+1)&gt;0)*1))</f>
        <v/>
      </c>
    </row>
    <row r="80" spans="1:9" x14ac:dyDescent="0.3">
      <c r="A80" t="str">
        <f>IF(AND(Оплаты!$E$72="ок",COUNTIFS(Акты!$B$5:$B$16,Оплаты!$D$72,Акты!$H$5:$H$16,"ок")&gt;0,COUNTIFS(Оплаты!$D$6:$D$71,Оплаты!$D$72,Оплаты!$A$6:$A$71,Оплаты!$A$72)=0),Оплаты!$D$72,"")</f>
        <v/>
      </c>
      <c r="B80" t="str">
        <f>IF(A80="","",MATCH(A80,Акты!$B$5:$B$16,0))</f>
        <v/>
      </c>
      <c r="C80" s="21" t="str">
        <f>IF(A80="","",Оплаты!$A$72+1)</f>
        <v/>
      </c>
      <c r="D80" s="21" t="str">
        <f>IF(A80="","",MIN(Ввод!$B$4,Ввод!$B$4+1-SUMPRODUCT(MAX((Оплаты!$D$6:$D$505=A80)*(Оплаты!$A$6:$A$505&gt;Оплаты!$A$72)*(Ввод!$B$4+1-Оплаты!$A$6:$A$505)))))</f>
        <v/>
      </c>
      <c r="E80" s="14" t="str">
        <f>IF(A80="","",INDEX(Акты!$D$5:$D$16,B80)-SUMIFS(Оплаты!$B$6:$B$505,Оплаты!$D$6:$D$505,A80,Оплаты!$A$6:$A$505,"&lt;="&amp;Оплаты!$A$72))</f>
        <v/>
      </c>
      <c r="F80" s="14" t="str">
        <f>IF(G80="","",SUMPRODUCT(ROUND(E80*'По дням'!$L$6:$L$155/100*((((D80+'По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дням'!$J$6:$J$155)))/2+1)/'По дням'!$M$6:$M$155,2)*(1-'По дням'!$N$6:$N$155)))</f>
        <v/>
      </c>
      <c r="G80" s="22" t="str">
        <f t="shared" si="1"/>
        <v/>
      </c>
      <c r="H80" s="14" t="str">
        <f>IF(G80="","",SUMIFS(Оплаты!$B$6:$B$505,Оплаты!$D$6:$D$505,A80,Оплаты!$A$6:$A$505,D80))</f>
        <v/>
      </c>
      <c r="I80" t="str">
        <f>IF(G80="","",SUMPRODUCT((((((D80+'По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дням'!$J$6:$J$155)))/2+1)&gt;0)*1))</f>
        <v/>
      </c>
    </row>
    <row r="81" spans="1:9" x14ac:dyDescent="0.3">
      <c r="A81" t="str">
        <f>IF(AND(Оплаты!$E$73="ок",COUNTIFS(Акты!$B$5:$B$16,Оплаты!$D$73,Акты!$H$5:$H$16,"ок")&gt;0,COUNTIFS(Оплаты!$D$6:$D$72,Оплаты!$D$73,Оплаты!$A$6:$A$72,Оплаты!$A$73)=0),Оплаты!$D$73,"")</f>
        <v/>
      </c>
      <c r="B81" t="str">
        <f>IF(A81="","",MATCH(A81,Акты!$B$5:$B$16,0))</f>
        <v/>
      </c>
      <c r="C81" s="21" t="str">
        <f>IF(A81="","",Оплаты!$A$73+1)</f>
        <v/>
      </c>
      <c r="D81" s="21" t="str">
        <f>IF(A81="","",MIN(Ввод!$B$4,Ввод!$B$4+1-SUMPRODUCT(MAX((Оплаты!$D$6:$D$505=A81)*(Оплаты!$A$6:$A$505&gt;Оплаты!$A$73)*(Ввод!$B$4+1-Оплаты!$A$6:$A$505)))))</f>
        <v/>
      </c>
      <c r="E81" s="14" t="str">
        <f>IF(A81="","",INDEX(Акты!$D$5:$D$16,B81)-SUMIFS(Оплаты!$B$6:$B$505,Оплаты!$D$6:$D$505,A81,Оплаты!$A$6:$A$505,"&lt;="&amp;Оплаты!$A$73))</f>
        <v/>
      </c>
      <c r="F81" s="14" t="str">
        <f>IF(G81="","",SUMPRODUCT(ROUND(E81*'По дням'!$L$6:$L$155/100*((((D81+'По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дням'!$J$6:$J$155)))/2+1)/'По дням'!$M$6:$M$155,2)*(1-'По дням'!$N$6:$N$155)))</f>
        <v/>
      </c>
      <c r="G81" s="22" t="str">
        <f t="shared" si="1"/>
        <v/>
      </c>
      <c r="H81" s="14" t="str">
        <f>IF(G81="","",SUMIFS(Оплаты!$B$6:$B$505,Оплаты!$D$6:$D$505,A81,Оплаты!$A$6:$A$505,D81))</f>
        <v/>
      </c>
      <c r="I81" t="str">
        <f>IF(G81="","",SUMPRODUCT((((((D81+'По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дням'!$J$6:$J$155)))/2+1)&gt;0)*1))</f>
        <v/>
      </c>
    </row>
    <row r="82" spans="1:9" x14ac:dyDescent="0.3">
      <c r="A82" t="str">
        <f>IF(AND(Оплаты!$E$74="ок",COUNTIFS(Акты!$B$5:$B$16,Оплаты!$D$74,Акты!$H$5:$H$16,"ок")&gt;0,COUNTIFS(Оплаты!$D$6:$D$73,Оплаты!$D$74,Оплаты!$A$6:$A$73,Оплаты!$A$74)=0),Оплаты!$D$74,"")</f>
        <v/>
      </c>
      <c r="B82" t="str">
        <f>IF(A82="","",MATCH(A82,Акты!$B$5:$B$16,0))</f>
        <v/>
      </c>
      <c r="C82" s="21" t="str">
        <f>IF(A82="","",Оплаты!$A$74+1)</f>
        <v/>
      </c>
      <c r="D82" s="21" t="str">
        <f>IF(A82="","",MIN(Ввод!$B$4,Ввод!$B$4+1-SUMPRODUCT(MAX((Оплаты!$D$6:$D$505=A82)*(Оплаты!$A$6:$A$505&gt;Оплаты!$A$74)*(Ввод!$B$4+1-Оплаты!$A$6:$A$505)))))</f>
        <v/>
      </c>
      <c r="E82" s="14" t="str">
        <f>IF(A82="","",INDEX(Акты!$D$5:$D$16,B82)-SUMIFS(Оплаты!$B$6:$B$505,Оплаты!$D$6:$D$505,A82,Оплаты!$A$6:$A$505,"&lt;="&amp;Оплаты!$A$74))</f>
        <v/>
      </c>
      <c r="F82" s="14" t="str">
        <f>IF(G82="","",SUMPRODUCT(ROUND(E82*'По дням'!$L$6:$L$155/100*((((D82+'По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дням'!$J$6:$J$155)))/2+1)/'По дням'!$M$6:$M$155,2)*(1-'По дням'!$N$6:$N$155)))</f>
        <v/>
      </c>
      <c r="G82" s="22" t="str">
        <f t="shared" si="1"/>
        <v/>
      </c>
      <c r="H82" s="14" t="str">
        <f>IF(G82="","",SUMIFS(Оплаты!$B$6:$B$505,Оплаты!$D$6:$D$505,A82,Оплаты!$A$6:$A$505,D82))</f>
        <v/>
      </c>
      <c r="I82" t="str">
        <f>IF(G82="","",SUMPRODUCT((((((D82+'По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дням'!$J$6:$J$155)))/2+1)&gt;0)*1))</f>
        <v/>
      </c>
    </row>
    <row r="83" spans="1:9" x14ac:dyDescent="0.3">
      <c r="A83" t="str">
        <f>IF(AND(Оплаты!$E$75="ок",COUNTIFS(Акты!$B$5:$B$16,Оплаты!$D$75,Акты!$H$5:$H$16,"ок")&gt;0,COUNTIFS(Оплаты!$D$6:$D$74,Оплаты!$D$75,Оплаты!$A$6:$A$74,Оплаты!$A$75)=0),Оплаты!$D$75,"")</f>
        <v/>
      </c>
      <c r="B83" t="str">
        <f>IF(A83="","",MATCH(A83,Акты!$B$5:$B$16,0))</f>
        <v/>
      </c>
      <c r="C83" s="21" t="str">
        <f>IF(A83="","",Оплаты!$A$75+1)</f>
        <v/>
      </c>
      <c r="D83" s="21" t="str">
        <f>IF(A83="","",MIN(Ввод!$B$4,Ввод!$B$4+1-SUMPRODUCT(MAX((Оплаты!$D$6:$D$505=A83)*(Оплаты!$A$6:$A$505&gt;Оплаты!$A$75)*(Ввод!$B$4+1-Оплаты!$A$6:$A$505)))))</f>
        <v/>
      </c>
      <c r="E83" s="14" t="str">
        <f>IF(A83="","",INDEX(Акты!$D$5:$D$16,B83)-SUMIFS(Оплаты!$B$6:$B$505,Оплаты!$D$6:$D$505,A83,Оплаты!$A$6:$A$505,"&lt;="&amp;Оплаты!$A$75))</f>
        <v/>
      </c>
      <c r="F83" s="14" t="str">
        <f>IF(G83="","",SUMPRODUCT(ROUND(E83*'По дням'!$L$6:$L$155/100*((((D83+'По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дням'!$J$6:$J$155)))/2+1)/'По дням'!$M$6:$M$155,2)*(1-'По дням'!$N$6:$N$155)))</f>
        <v/>
      </c>
      <c r="G83" s="22" t="str">
        <f t="shared" si="1"/>
        <v/>
      </c>
      <c r="H83" s="14" t="str">
        <f>IF(G83="","",SUMIFS(Оплаты!$B$6:$B$505,Оплаты!$D$6:$D$505,A83,Оплаты!$A$6:$A$505,D83))</f>
        <v/>
      </c>
      <c r="I83" t="str">
        <f>IF(G83="","",SUMPRODUCT((((((D83+'По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дням'!$J$6:$J$155)))/2+1)&gt;0)*1))</f>
        <v/>
      </c>
    </row>
    <row r="84" spans="1:9" x14ac:dyDescent="0.3">
      <c r="A84" t="str">
        <f>IF(AND(Оплаты!$E$76="ок",COUNTIFS(Акты!$B$5:$B$16,Оплаты!$D$76,Акты!$H$5:$H$16,"ок")&gt;0,COUNTIFS(Оплаты!$D$6:$D$75,Оплаты!$D$76,Оплаты!$A$6:$A$75,Оплаты!$A$76)=0),Оплаты!$D$76,"")</f>
        <v/>
      </c>
      <c r="B84" t="str">
        <f>IF(A84="","",MATCH(A84,Акты!$B$5:$B$16,0))</f>
        <v/>
      </c>
      <c r="C84" s="21" t="str">
        <f>IF(A84="","",Оплаты!$A$76+1)</f>
        <v/>
      </c>
      <c r="D84" s="21" t="str">
        <f>IF(A84="","",MIN(Ввод!$B$4,Ввод!$B$4+1-SUMPRODUCT(MAX((Оплаты!$D$6:$D$505=A84)*(Оплаты!$A$6:$A$505&gt;Оплаты!$A$76)*(Ввод!$B$4+1-Оплаты!$A$6:$A$505)))))</f>
        <v/>
      </c>
      <c r="E84" s="14" t="str">
        <f>IF(A84="","",INDEX(Акты!$D$5:$D$16,B84)-SUMIFS(Оплаты!$B$6:$B$505,Оплаты!$D$6:$D$505,A84,Оплаты!$A$6:$A$505,"&lt;="&amp;Оплаты!$A$76))</f>
        <v/>
      </c>
      <c r="F84" s="14" t="str">
        <f>IF(G84="","",SUMPRODUCT(ROUND(E84*'По дням'!$L$6:$L$155/100*((((D84+'По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дням'!$J$6:$J$155)))/2+1)/'По дням'!$M$6:$M$155,2)*(1-'По дням'!$N$6:$N$155)))</f>
        <v/>
      </c>
      <c r="G84" s="22" t="str">
        <f t="shared" si="1"/>
        <v/>
      </c>
      <c r="H84" s="14" t="str">
        <f>IF(G84="","",SUMIFS(Оплаты!$B$6:$B$505,Оплаты!$D$6:$D$505,A84,Оплаты!$A$6:$A$505,D84))</f>
        <v/>
      </c>
      <c r="I84" t="str">
        <f>IF(G84="","",SUMPRODUCT((((((D84+'По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дням'!$J$6:$J$155)))/2+1)&gt;0)*1))</f>
        <v/>
      </c>
    </row>
    <row r="85" spans="1:9" x14ac:dyDescent="0.3">
      <c r="A85" t="str">
        <f>IF(AND(Оплаты!$E$77="ок",COUNTIFS(Акты!$B$5:$B$16,Оплаты!$D$77,Акты!$H$5:$H$16,"ок")&gt;0,COUNTIFS(Оплаты!$D$6:$D$76,Оплаты!$D$77,Оплаты!$A$6:$A$76,Оплаты!$A$77)=0),Оплаты!$D$77,"")</f>
        <v/>
      </c>
      <c r="B85" t="str">
        <f>IF(A85="","",MATCH(A85,Акты!$B$5:$B$16,0))</f>
        <v/>
      </c>
      <c r="C85" s="21" t="str">
        <f>IF(A85="","",Оплаты!$A$77+1)</f>
        <v/>
      </c>
      <c r="D85" s="21" t="str">
        <f>IF(A85="","",MIN(Ввод!$B$4,Ввод!$B$4+1-SUMPRODUCT(MAX((Оплаты!$D$6:$D$505=A85)*(Оплаты!$A$6:$A$505&gt;Оплаты!$A$77)*(Ввод!$B$4+1-Оплаты!$A$6:$A$505)))))</f>
        <v/>
      </c>
      <c r="E85" s="14" t="str">
        <f>IF(A85="","",INDEX(Акты!$D$5:$D$16,B85)-SUMIFS(Оплаты!$B$6:$B$505,Оплаты!$D$6:$D$505,A85,Оплаты!$A$6:$A$505,"&lt;="&amp;Оплаты!$A$77))</f>
        <v/>
      </c>
      <c r="F85" s="14" t="str">
        <f>IF(G85="","",SUMPRODUCT(ROUND(E85*'По дням'!$L$6:$L$155/100*((((D85+'По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дням'!$J$6:$J$155)))/2+1)/'По дням'!$M$6:$M$155,2)*(1-'По дням'!$N$6:$N$155)))</f>
        <v/>
      </c>
      <c r="G85" s="22" t="str">
        <f t="shared" si="1"/>
        <v/>
      </c>
      <c r="H85" s="14" t="str">
        <f>IF(G85="","",SUMIFS(Оплаты!$B$6:$B$505,Оплаты!$D$6:$D$505,A85,Оплаты!$A$6:$A$505,D85))</f>
        <v/>
      </c>
      <c r="I85" t="str">
        <f>IF(G85="","",SUMPRODUCT((((((D85+'По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дням'!$J$6:$J$155)))/2+1)&gt;0)*1))</f>
        <v/>
      </c>
    </row>
    <row r="86" spans="1:9" x14ac:dyDescent="0.3">
      <c r="A86" t="str">
        <f>IF(AND(Оплаты!$E$78="ок",COUNTIFS(Акты!$B$5:$B$16,Оплаты!$D$78,Акты!$H$5:$H$16,"ок")&gt;0,COUNTIFS(Оплаты!$D$6:$D$77,Оплаты!$D$78,Оплаты!$A$6:$A$77,Оплаты!$A$78)=0),Оплаты!$D$78,"")</f>
        <v/>
      </c>
      <c r="B86" t="str">
        <f>IF(A86="","",MATCH(A86,Акты!$B$5:$B$16,0))</f>
        <v/>
      </c>
      <c r="C86" s="21" t="str">
        <f>IF(A86="","",Оплаты!$A$78+1)</f>
        <v/>
      </c>
      <c r="D86" s="21" t="str">
        <f>IF(A86="","",MIN(Ввод!$B$4,Ввод!$B$4+1-SUMPRODUCT(MAX((Оплаты!$D$6:$D$505=A86)*(Оплаты!$A$6:$A$505&gt;Оплаты!$A$78)*(Ввод!$B$4+1-Оплаты!$A$6:$A$505)))))</f>
        <v/>
      </c>
      <c r="E86" s="14" t="str">
        <f>IF(A86="","",INDEX(Акты!$D$5:$D$16,B86)-SUMIFS(Оплаты!$B$6:$B$505,Оплаты!$D$6:$D$505,A86,Оплаты!$A$6:$A$505,"&lt;="&amp;Оплаты!$A$78))</f>
        <v/>
      </c>
      <c r="F86" s="14" t="str">
        <f>IF(G86="","",SUMPRODUCT(ROUND(E86*'По дням'!$L$6:$L$155/100*((((D86+'По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дням'!$J$6:$J$155)))/2+1)/'По дням'!$M$6:$M$155,2)*(1-'По дням'!$N$6:$N$155)))</f>
        <v/>
      </c>
      <c r="G86" s="22" t="str">
        <f t="shared" si="1"/>
        <v/>
      </c>
      <c r="H86" s="14" t="str">
        <f>IF(G86="","",SUMIFS(Оплаты!$B$6:$B$505,Оплаты!$D$6:$D$505,A86,Оплаты!$A$6:$A$505,D86))</f>
        <v/>
      </c>
      <c r="I86" t="str">
        <f>IF(G86="","",SUMPRODUCT((((((D86+'По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дням'!$J$6:$J$155)))/2+1)&gt;0)*1))</f>
        <v/>
      </c>
    </row>
    <row r="87" spans="1:9" x14ac:dyDescent="0.3">
      <c r="A87" t="str">
        <f>IF(AND(Оплаты!$E$79="ок",COUNTIFS(Акты!$B$5:$B$16,Оплаты!$D$79,Акты!$H$5:$H$16,"ок")&gt;0,COUNTIFS(Оплаты!$D$6:$D$78,Оплаты!$D$79,Оплаты!$A$6:$A$78,Оплаты!$A$79)=0),Оплаты!$D$79,"")</f>
        <v/>
      </c>
      <c r="B87" t="str">
        <f>IF(A87="","",MATCH(A87,Акты!$B$5:$B$16,0))</f>
        <v/>
      </c>
      <c r="C87" s="21" t="str">
        <f>IF(A87="","",Оплаты!$A$79+1)</f>
        <v/>
      </c>
      <c r="D87" s="21" t="str">
        <f>IF(A87="","",MIN(Ввод!$B$4,Ввод!$B$4+1-SUMPRODUCT(MAX((Оплаты!$D$6:$D$505=A87)*(Оплаты!$A$6:$A$505&gt;Оплаты!$A$79)*(Ввод!$B$4+1-Оплаты!$A$6:$A$505)))))</f>
        <v/>
      </c>
      <c r="E87" s="14" t="str">
        <f>IF(A87="","",INDEX(Акты!$D$5:$D$16,B87)-SUMIFS(Оплаты!$B$6:$B$505,Оплаты!$D$6:$D$505,A87,Оплаты!$A$6:$A$505,"&lt;="&amp;Оплаты!$A$79))</f>
        <v/>
      </c>
      <c r="F87" s="14" t="str">
        <f>IF(G87="","",SUMPRODUCT(ROUND(E87*'По дням'!$L$6:$L$155/100*((((D87+'По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дням'!$J$6:$J$155)))/2+1)/'По дням'!$M$6:$M$155,2)*(1-'По дням'!$N$6:$N$155)))</f>
        <v/>
      </c>
      <c r="G87" s="22" t="str">
        <f t="shared" si="1"/>
        <v/>
      </c>
      <c r="H87" s="14" t="str">
        <f>IF(G87="","",SUMIFS(Оплаты!$B$6:$B$505,Оплаты!$D$6:$D$505,A87,Оплаты!$A$6:$A$505,D87))</f>
        <v/>
      </c>
      <c r="I87" t="str">
        <f>IF(G87="","",SUMPRODUCT((((((D87+'По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дням'!$J$6:$J$155)))/2+1)&gt;0)*1))</f>
        <v/>
      </c>
    </row>
    <row r="88" spans="1:9" x14ac:dyDescent="0.3">
      <c r="A88" t="str">
        <f>IF(AND(Оплаты!$E$80="ок",COUNTIFS(Акты!$B$5:$B$16,Оплаты!$D$80,Акты!$H$5:$H$16,"ок")&gt;0,COUNTIFS(Оплаты!$D$6:$D$79,Оплаты!$D$80,Оплаты!$A$6:$A$79,Оплаты!$A$80)=0),Оплаты!$D$80,"")</f>
        <v/>
      </c>
      <c r="B88" t="str">
        <f>IF(A88="","",MATCH(A88,Акты!$B$5:$B$16,0))</f>
        <v/>
      </c>
      <c r="C88" s="21" t="str">
        <f>IF(A88="","",Оплаты!$A$80+1)</f>
        <v/>
      </c>
      <c r="D88" s="21" t="str">
        <f>IF(A88="","",MIN(Ввод!$B$4,Ввод!$B$4+1-SUMPRODUCT(MAX((Оплаты!$D$6:$D$505=A88)*(Оплаты!$A$6:$A$505&gt;Оплаты!$A$80)*(Ввод!$B$4+1-Оплаты!$A$6:$A$505)))))</f>
        <v/>
      </c>
      <c r="E88" s="14" t="str">
        <f>IF(A88="","",INDEX(Акты!$D$5:$D$16,B88)-SUMIFS(Оплаты!$B$6:$B$505,Оплаты!$D$6:$D$505,A88,Оплаты!$A$6:$A$505,"&lt;="&amp;Оплаты!$A$80))</f>
        <v/>
      </c>
      <c r="F88" s="14" t="str">
        <f>IF(G88="","",SUMPRODUCT(ROUND(E88*'По дням'!$L$6:$L$155/100*((((D88+'По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дням'!$J$6:$J$155)))/2+1)/'По дням'!$M$6:$M$155,2)*(1-'По дням'!$N$6:$N$155)))</f>
        <v/>
      </c>
      <c r="G88" s="22" t="str">
        <f t="shared" si="1"/>
        <v/>
      </c>
      <c r="H88" s="14" t="str">
        <f>IF(G88="","",SUMIFS(Оплаты!$B$6:$B$505,Оплаты!$D$6:$D$505,A88,Оплаты!$A$6:$A$505,D88))</f>
        <v/>
      </c>
      <c r="I88" t="str">
        <f>IF(G88="","",SUMPRODUCT((((((D88+'По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дням'!$J$6:$J$155)))/2+1)&gt;0)*1))</f>
        <v/>
      </c>
    </row>
    <row r="89" spans="1:9" x14ac:dyDescent="0.3">
      <c r="A89" t="str">
        <f>IF(AND(Оплаты!$E$81="ок",COUNTIFS(Акты!$B$5:$B$16,Оплаты!$D$81,Акты!$H$5:$H$16,"ок")&gt;0,COUNTIFS(Оплаты!$D$6:$D$80,Оплаты!$D$81,Оплаты!$A$6:$A$80,Оплаты!$A$81)=0),Оплаты!$D$81,"")</f>
        <v/>
      </c>
      <c r="B89" t="str">
        <f>IF(A89="","",MATCH(A89,Акты!$B$5:$B$16,0))</f>
        <v/>
      </c>
      <c r="C89" s="21" t="str">
        <f>IF(A89="","",Оплаты!$A$81+1)</f>
        <v/>
      </c>
      <c r="D89" s="21" t="str">
        <f>IF(A89="","",MIN(Ввод!$B$4,Ввод!$B$4+1-SUMPRODUCT(MAX((Оплаты!$D$6:$D$505=A89)*(Оплаты!$A$6:$A$505&gt;Оплаты!$A$81)*(Ввод!$B$4+1-Оплаты!$A$6:$A$505)))))</f>
        <v/>
      </c>
      <c r="E89" s="14" t="str">
        <f>IF(A89="","",INDEX(Акты!$D$5:$D$16,B89)-SUMIFS(Оплаты!$B$6:$B$505,Оплаты!$D$6:$D$505,A89,Оплаты!$A$6:$A$505,"&lt;="&amp;Оплаты!$A$81))</f>
        <v/>
      </c>
      <c r="F89" s="14" t="str">
        <f>IF(G89="","",SUMPRODUCT(ROUND(E89*'По дням'!$L$6:$L$155/100*((((D89+'По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дням'!$J$6:$J$155)))/2+1)/'По дням'!$M$6:$M$155,2)*(1-'По дням'!$N$6:$N$155)))</f>
        <v/>
      </c>
      <c r="G89" s="22" t="str">
        <f t="shared" si="1"/>
        <v/>
      </c>
      <c r="H89" s="14" t="str">
        <f>IF(G89="","",SUMIFS(Оплаты!$B$6:$B$505,Оплаты!$D$6:$D$505,A89,Оплаты!$A$6:$A$505,D89))</f>
        <v/>
      </c>
      <c r="I89" t="str">
        <f>IF(G89="","",SUMPRODUCT((((((D89+'По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дням'!$J$6:$J$155)))/2+1)&gt;0)*1))</f>
        <v/>
      </c>
    </row>
    <row r="90" spans="1:9" x14ac:dyDescent="0.3">
      <c r="A90" t="str">
        <f>IF(AND(Оплаты!$E$82="ок",COUNTIFS(Акты!$B$5:$B$16,Оплаты!$D$82,Акты!$H$5:$H$16,"ок")&gt;0,COUNTIFS(Оплаты!$D$6:$D$81,Оплаты!$D$82,Оплаты!$A$6:$A$81,Оплаты!$A$82)=0),Оплаты!$D$82,"")</f>
        <v/>
      </c>
      <c r="B90" t="str">
        <f>IF(A90="","",MATCH(A90,Акты!$B$5:$B$16,0))</f>
        <v/>
      </c>
      <c r="C90" s="21" t="str">
        <f>IF(A90="","",Оплаты!$A$82+1)</f>
        <v/>
      </c>
      <c r="D90" s="21" t="str">
        <f>IF(A90="","",MIN(Ввод!$B$4,Ввод!$B$4+1-SUMPRODUCT(MAX((Оплаты!$D$6:$D$505=A90)*(Оплаты!$A$6:$A$505&gt;Оплаты!$A$82)*(Ввод!$B$4+1-Оплаты!$A$6:$A$505)))))</f>
        <v/>
      </c>
      <c r="E90" s="14" t="str">
        <f>IF(A90="","",INDEX(Акты!$D$5:$D$16,B90)-SUMIFS(Оплаты!$B$6:$B$505,Оплаты!$D$6:$D$505,A90,Оплаты!$A$6:$A$505,"&lt;="&amp;Оплаты!$A$82))</f>
        <v/>
      </c>
      <c r="F90" s="14" t="str">
        <f>IF(G90="","",SUMPRODUCT(ROUND(E90*'По дням'!$L$6:$L$155/100*((((D90+'По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дням'!$J$6:$J$155)))/2+1)/'По дням'!$M$6:$M$155,2)*(1-'По дням'!$N$6:$N$155)))</f>
        <v/>
      </c>
      <c r="G90" s="22" t="str">
        <f t="shared" si="1"/>
        <v/>
      </c>
      <c r="H90" s="14" t="str">
        <f>IF(G90="","",SUMIFS(Оплаты!$B$6:$B$505,Оплаты!$D$6:$D$505,A90,Оплаты!$A$6:$A$505,D90))</f>
        <v/>
      </c>
      <c r="I90" t="str">
        <f>IF(G90="","",SUMPRODUCT((((((D90+'По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дням'!$J$6:$J$155)))/2+1)&gt;0)*1))</f>
        <v/>
      </c>
    </row>
    <row r="91" spans="1:9" x14ac:dyDescent="0.3">
      <c r="A91" t="str">
        <f>IF(AND(Оплаты!$E$83="ок",COUNTIFS(Акты!$B$5:$B$16,Оплаты!$D$83,Акты!$H$5:$H$16,"ок")&gt;0,COUNTIFS(Оплаты!$D$6:$D$82,Оплаты!$D$83,Оплаты!$A$6:$A$82,Оплаты!$A$83)=0),Оплаты!$D$83,"")</f>
        <v/>
      </c>
      <c r="B91" t="str">
        <f>IF(A91="","",MATCH(A91,Акты!$B$5:$B$16,0))</f>
        <v/>
      </c>
      <c r="C91" s="21" t="str">
        <f>IF(A91="","",Оплаты!$A$83+1)</f>
        <v/>
      </c>
      <c r="D91" s="21" t="str">
        <f>IF(A91="","",MIN(Ввод!$B$4,Ввод!$B$4+1-SUMPRODUCT(MAX((Оплаты!$D$6:$D$505=A91)*(Оплаты!$A$6:$A$505&gt;Оплаты!$A$83)*(Ввод!$B$4+1-Оплаты!$A$6:$A$505)))))</f>
        <v/>
      </c>
      <c r="E91" s="14" t="str">
        <f>IF(A91="","",INDEX(Акты!$D$5:$D$16,B91)-SUMIFS(Оплаты!$B$6:$B$505,Оплаты!$D$6:$D$505,A91,Оплаты!$A$6:$A$505,"&lt;="&amp;Оплаты!$A$83))</f>
        <v/>
      </c>
      <c r="F91" s="14" t="str">
        <f>IF(G91="","",SUMPRODUCT(ROUND(E91*'По дням'!$L$6:$L$155/100*((((D91+'По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дням'!$J$6:$J$155)))/2+1)/'По дням'!$M$6:$M$155,2)*(1-'По дням'!$N$6:$N$155)))</f>
        <v/>
      </c>
      <c r="G91" s="22" t="str">
        <f t="shared" si="1"/>
        <v/>
      </c>
      <c r="H91" s="14" t="str">
        <f>IF(G91="","",SUMIFS(Оплаты!$B$6:$B$505,Оплаты!$D$6:$D$505,A91,Оплаты!$A$6:$A$505,D91))</f>
        <v/>
      </c>
      <c r="I91" t="str">
        <f>IF(G91="","",SUMPRODUCT((((((D91+'По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дням'!$J$6:$J$155)))/2+1)&gt;0)*1))</f>
        <v/>
      </c>
    </row>
    <row r="92" spans="1:9" x14ac:dyDescent="0.3">
      <c r="A92" t="str">
        <f>IF(AND(Оплаты!$E$84="ок",COUNTIFS(Акты!$B$5:$B$16,Оплаты!$D$84,Акты!$H$5:$H$16,"ок")&gt;0,COUNTIFS(Оплаты!$D$6:$D$83,Оплаты!$D$84,Оплаты!$A$6:$A$83,Оплаты!$A$84)=0),Оплаты!$D$84,"")</f>
        <v/>
      </c>
      <c r="B92" t="str">
        <f>IF(A92="","",MATCH(A92,Акты!$B$5:$B$16,0))</f>
        <v/>
      </c>
      <c r="C92" s="21" t="str">
        <f>IF(A92="","",Оплаты!$A$84+1)</f>
        <v/>
      </c>
      <c r="D92" s="21" t="str">
        <f>IF(A92="","",MIN(Ввод!$B$4,Ввод!$B$4+1-SUMPRODUCT(MAX((Оплаты!$D$6:$D$505=A92)*(Оплаты!$A$6:$A$505&gt;Оплаты!$A$84)*(Ввод!$B$4+1-Оплаты!$A$6:$A$505)))))</f>
        <v/>
      </c>
      <c r="E92" s="14" t="str">
        <f>IF(A92="","",INDEX(Акты!$D$5:$D$16,B92)-SUMIFS(Оплаты!$B$6:$B$505,Оплаты!$D$6:$D$505,A92,Оплаты!$A$6:$A$505,"&lt;="&amp;Оплаты!$A$84))</f>
        <v/>
      </c>
      <c r="F92" s="14" t="str">
        <f>IF(G92="","",SUMPRODUCT(ROUND(E92*'По дням'!$L$6:$L$155/100*((((D92+'По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дням'!$J$6:$J$155)))/2+1)/'По дням'!$M$6:$M$155,2)*(1-'По дням'!$N$6:$N$155)))</f>
        <v/>
      </c>
      <c r="G92" s="22" t="str">
        <f t="shared" si="1"/>
        <v/>
      </c>
      <c r="H92" s="14" t="str">
        <f>IF(G92="","",SUMIFS(Оплаты!$B$6:$B$505,Оплаты!$D$6:$D$505,A92,Оплаты!$A$6:$A$505,D92))</f>
        <v/>
      </c>
      <c r="I92" t="str">
        <f>IF(G92="","",SUMPRODUCT((((((D92+'По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дням'!$J$6:$J$155)))/2+1)&gt;0)*1))</f>
        <v/>
      </c>
    </row>
    <row r="93" spans="1:9" x14ac:dyDescent="0.3">
      <c r="A93" t="str">
        <f>IF(AND(Оплаты!$E$85="ок",COUNTIFS(Акты!$B$5:$B$16,Оплаты!$D$85,Акты!$H$5:$H$16,"ок")&gt;0,COUNTIFS(Оплаты!$D$6:$D$84,Оплаты!$D$85,Оплаты!$A$6:$A$84,Оплаты!$A$85)=0),Оплаты!$D$85,"")</f>
        <v/>
      </c>
      <c r="B93" t="str">
        <f>IF(A93="","",MATCH(A93,Акты!$B$5:$B$16,0))</f>
        <v/>
      </c>
      <c r="C93" s="21" t="str">
        <f>IF(A93="","",Оплаты!$A$85+1)</f>
        <v/>
      </c>
      <c r="D93" s="21" t="str">
        <f>IF(A93="","",MIN(Ввод!$B$4,Ввод!$B$4+1-SUMPRODUCT(MAX((Оплаты!$D$6:$D$505=A93)*(Оплаты!$A$6:$A$505&gt;Оплаты!$A$85)*(Ввод!$B$4+1-Оплаты!$A$6:$A$505)))))</f>
        <v/>
      </c>
      <c r="E93" s="14" t="str">
        <f>IF(A93="","",INDEX(Акты!$D$5:$D$16,B93)-SUMIFS(Оплаты!$B$6:$B$505,Оплаты!$D$6:$D$505,A93,Оплаты!$A$6:$A$505,"&lt;="&amp;Оплаты!$A$85))</f>
        <v/>
      </c>
      <c r="F93" s="14" t="str">
        <f>IF(G93="","",SUMPRODUCT(ROUND(E93*'По дням'!$L$6:$L$155/100*((((D93+'По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дням'!$J$6:$J$155)))/2+1)/'По дням'!$M$6:$M$155,2)*(1-'По дням'!$N$6:$N$155)))</f>
        <v/>
      </c>
      <c r="G93" s="22" t="str">
        <f t="shared" si="1"/>
        <v/>
      </c>
      <c r="H93" s="14" t="str">
        <f>IF(G93="","",SUMIFS(Оплаты!$B$6:$B$505,Оплаты!$D$6:$D$505,A93,Оплаты!$A$6:$A$505,D93))</f>
        <v/>
      </c>
      <c r="I93" t="str">
        <f>IF(G93="","",SUMPRODUCT((((((D93+'По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дням'!$J$6:$J$155)))/2+1)&gt;0)*1))</f>
        <v/>
      </c>
    </row>
    <row r="94" spans="1:9" x14ac:dyDescent="0.3">
      <c r="A94" t="str">
        <f>IF(AND(Оплаты!$E$86="ок",COUNTIFS(Акты!$B$5:$B$16,Оплаты!$D$86,Акты!$H$5:$H$16,"ок")&gt;0,COUNTIFS(Оплаты!$D$6:$D$85,Оплаты!$D$86,Оплаты!$A$6:$A$85,Оплаты!$A$86)=0),Оплаты!$D$86,"")</f>
        <v/>
      </c>
      <c r="B94" t="str">
        <f>IF(A94="","",MATCH(A94,Акты!$B$5:$B$16,0))</f>
        <v/>
      </c>
      <c r="C94" s="21" t="str">
        <f>IF(A94="","",Оплаты!$A$86+1)</f>
        <v/>
      </c>
      <c r="D94" s="21" t="str">
        <f>IF(A94="","",MIN(Ввод!$B$4,Ввод!$B$4+1-SUMPRODUCT(MAX((Оплаты!$D$6:$D$505=A94)*(Оплаты!$A$6:$A$505&gt;Оплаты!$A$86)*(Ввод!$B$4+1-Оплаты!$A$6:$A$505)))))</f>
        <v/>
      </c>
      <c r="E94" s="14" t="str">
        <f>IF(A94="","",INDEX(Акты!$D$5:$D$16,B94)-SUMIFS(Оплаты!$B$6:$B$505,Оплаты!$D$6:$D$505,A94,Оплаты!$A$6:$A$505,"&lt;="&amp;Оплаты!$A$86))</f>
        <v/>
      </c>
      <c r="F94" s="14" t="str">
        <f>IF(G94="","",SUMPRODUCT(ROUND(E94*'По дням'!$L$6:$L$155/100*((((D94+'По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дням'!$J$6:$J$155)))/2+1)/'По дням'!$M$6:$M$155,2)*(1-'По дням'!$N$6:$N$155)))</f>
        <v/>
      </c>
      <c r="G94" s="22" t="str">
        <f t="shared" si="1"/>
        <v/>
      </c>
      <c r="H94" s="14" t="str">
        <f>IF(G94="","",SUMIFS(Оплаты!$B$6:$B$505,Оплаты!$D$6:$D$505,A94,Оплаты!$A$6:$A$505,D94))</f>
        <v/>
      </c>
      <c r="I94" t="str">
        <f>IF(G94="","",SUMPRODUCT((((((D94+'По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дням'!$J$6:$J$155)))/2+1)&gt;0)*1))</f>
        <v/>
      </c>
    </row>
    <row r="95" spans="1:9" x14ac:dyDescent="0.3">
      <c r="A95" t="str">
        <f>IF(AND(Оплаты!$E$87="ок",COUNTIFS(Акты!$B$5:$B$16,Оплаты!$D$87,Акты!$H$5:$H$16,"ок")&gt;0,COUNTIFS(Оплаты!$D$6:$D$86,Оплаты!$D$87,Оплаты!$A$6:$A$86,Оплаты!$A$87)=0),Оплаты!$D$87,"")</f>
        <v/>
      </c>
      <c r="B95" t="str">
        <f>IF(A95="","",MATCH(A95,Акты!$B$5:$B$16,0))</f>
        <v/>
      </c>
      <c r="C95" s="21" t="str">
        <f>IF(A95="","",Оплаты!$A$87+1)</f>
        <v/>
      </c>
      <c r="D95" s="21" t="str">
        <f>IF(A95="","",MIN(Ввод!$B$4,Ввод!$B$4+1-SUMPRODUCT(MAX((Оплаты!$D$6:$D$505=A95)*(Оплаты!$A$6:$A$505&gt;Оплаты!$A$87)*(Ввод!$B$4+1-Оплаты!$A$6:$A$505)))))</f>
        <v/>
      </c>
      <c r="E95" s="14" t="str">
        <f>IF(A95="","",INDEX(Акты!$D$5:$D$16,B95)-SUMIFS(Оплаты!$B$6:$B$505,Оплаты!$D$6:$D$505,A95,Оплаты!$A$6:$A$505,"&lt;="&amp;Оплаты!$A$87))</f>
        <v/>
      </c>
      <c r="F95" s="14" t="str">
        <f>IF(G95="","",SUMPRODUCT(ROUND(E95*'По дням'!$L$6:$L$155/100*((((D95+'По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дням'!$J$6:$J$155)))/2+1)/'По дням'!$M$6:$M$155,2)*(1-'По дням'!$N$6:$N$155)))</f>
        <v/>
      </c>
      <c r="G95" s="22" t="str">
        <f t="shared" si="1"/>
        <v/>
      </c>
      <c r="H95" s="14" t="str">
        <f>IF(G95="","",SUMIFS(Оплаты!$B$6:$B$505,Оплаты!$D$6:$D$505,A95,Оплаты!$A$6:$A$505,D95))</f>
        <v/>
      </c>
      <c r="I95" t="str">
        <f>IF(G95="","",SUMPRODUCT((((((D95+'По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дням'!$J$6:$J$155)))/2+1)&gt;0)*1))</f>
        <v/>
      </c>
    </row>
    <row r="96" spans="1:9" x14ac:dyDescent="0.3">
      <c r="A96" t="str">
        <f>IF(AND(Оплаты!$E$88="ок",COUNTIFS(Акты!$B$5:$B$16,Оплаты!$D$88,Акты!$H$5:$H$16,"ок")&gt;0,COUNTIFS(Оплаты!$D$6:$D$87,Оплаты!$D$88,Оплаты!$A$6:$A$87,Оплаты!$A$88)=0),Оплаты!$D$88,"")</f>
        <v/>
      </c>
      <c r="B96" t="str">
        <f>IF(A96="","",MATCH(A96,Акты!$B$5:$B$16,0))</f>
        <v/>
      </c>
      <c r="C96" s="21" t="str">
        <f>IF(A96="","",Оплаты!$A$88+1)</f>
        <v/>
      </c>
      <c r="D96" s="21" t="str">
        <f>IF(A96="","",MIN(Ввод!$B$4,Ввод!$B$4+1-SUMPRODUCT(MAX((Оплаты!$D$6:$D$505=A96)*(Оплаты!$A$6:$A$505&gt;Оплаты!$A$88)*(Ввод!$B$4+1-Оплаты!$A$6:$A$505)))))</f>
        <v/>
      </c>
      <c r="E96" s="14" t="str">
        <f>IF(A96="","",INDEX(Акты!$D$5:$D$16,B96)-SUMIFS(Оплаты!$B$6:$B$505,Оплаты!$D$6:$D$505,A96,Оплаты!$A$6:$A$505,"&lt;="&amp;Оплаты!$A$88))</f>
        <v/>
      </c>
      <c r="F96" s="14" t="str">
        <f>IF(G96="","",SUMPRODUCT(ROUND(E96*'По дням'!$L$6:$L$155/100*((((D96+'По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дням'!$J$6:$J$155)))/2+1)/'По дням'!$M$6:$M$155,2)*(1-'По дням'!$N$6:$N$155)))</f>
        <v/>
      </c>
      <c r="G96" s="22" t="str">
        <f t="shared" si="1"/>
        <v/>
      </c>
      <c r="H96" s="14" t="str">
        <f>IF(G96="","",SUMIFS(Оплаты!$B$6:$B$505,Оплаты!$D$6:$D$505,A96,Оплаты!$A$6:$A$505,D96))</f>
        <v/>
      </c>
      <c r="I96" t="str">
        <f>IF(G96="","",SUMPRODUCT((((((D96+'По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дням'!$J$6:$J$155)))/2+1)&gt;0)*1))</f>
        <v/>
      </c>
    </row>
    <row r="97" spans="1:9" x14ac:dyDescent="0.3">
      <c r="A97" t="str">
        <f>IF(AND(Оплаты!$E$89="ок",COUNTIFS(Акты!$B$5:$B$16,Оплаты!$D$89,Акты!$H$5:$H$16,"ок")&gt;0,COUNTIFS(Оплаты!$D$6:$D$88,Оплаты!$D$89,Оплаты!$A$6:$A$88,Оплаты!$A$89)=0),Оплаты!$D$89,"")</f>
        <v/>
      </c>
      <c r="B97" t="str">
        <f>IF(A97="","",MATCH(A97,Акты!$B$5:$B$16,0))</f>
        <v/>
      </c>
      <c r="C97" s="21" t="str">
        <f>IF(A97="","",Оплаты!$A$89+1)</f>
        <v/>
      </c>
      <c r="D97" s="21" t="str">
        <f>IF(A97="","",MIN(Ввод!$B$4,Ввод!$B$4+1-SUMPRODUCT(MAX((Оплаты!$D$6:$D$505=A97)*(Оплаты!$A$6:$A$505&gt;Оплаты!$A$89)*(Ввод!$B$4+1-Оплаты!$A$6:$A$505)))))</f>
        <v/>
      </c>
      <c r="E97" s="14" t="str">
        <f>IF(A97="","",INDEX(Акты!$D$5:$D$16,B97)-SUMIFS(Оплаты!$B$6:$B$505,Оплаты!$D$6:$D$505,A97,Оплаты!$A$6:$A$505,"&lt;="&amp;Оплаты!$A$89))</f>
        <v/>
      </c>
      <c r="F97" s="14" t="str">
        <f>IF(G97="","",SUMPRODUCT(ROUND(E97*'По дням'!$L$6:$L$155/100*((((D97+'По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дням'!$J$6:$J$155)))/2+1)/'По дням'!$M$6:$M$155,2)*(1-'По дням'!$N$6:$N$155)))</f>
        <v/>
      </c>
      <c r="G97" s="22" t="str">
        <f t="shared" si="1"/>
        <v/>
      </c>
      <c r="H97" s="14" t="str">
        <f>IF(G97="","",SUMIFS(Оплаты!$B$6:$B$505,Оплаты!$D$6:$D$505,A97,Оплаты!$A$6:$A$505,D97))</f>
        <v/>
      </c>
      <c r="I97" t="str">
        <f>IF(G97="","",SUMPRODUCT((((((D97+'По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дням'!$J$6:$J$155)))/2+1)&gt;0)*1))</f>
        <v/>
      </c>
    </row>
    <row r="98" spans="1:9" x14ac:dyDescent="0.3">
      <c r="A98" t="str">
        <f>IF(AND(Оплаты!$E$90="ок",COUNTIFS(Акты!$B$5:$B$16,Оплаты!$D$90,Акты!$H$5:$H$16,"ок")&gt;0,COUNTIFS(Оплаты!$D$6:$D$89,Оплаты!$D$90,Оплаты!$A$6:$A$89,Оплаты!$A$90)=0),Оплаты!$D$90,"")</f>
        <v/>
      </c>
      <c r="B98" t="str">
        <f>IF(A98="","",MATCH(A98,Акты!$B$5:$B$16,0))</f>
        <v/>
      </c>
      <c r="C98" s="21" t="str">
        <f>IF(A98="","",Оплаты!$A$90+1)</f>
        <v/>
      </c>
      <c r="D98" s="21" t="str">
        <f>IF(A98="","",MIN(Ввод!$B$4,Ввод!$B$4+1-SUMPRODUCT(MAX((Оплаты!$D$6:$D$505=A98)*(Оплаты!$A$6:$A$505&gt;Оплаты!$A$90)*(Ввод!$B$4+1-Оплаты!$A$6:$A$505)))))</f>
        <v/>
      </c>
      <c r="E98" s="14" t="str">
        <f>IF(A98="","",INDEX(Акты!$D$5:$D$16,B98)-SUMIFS(Оплаты!$B$6:$B$505,Оплаты!$D$6:$D$505,A98,Оплаты!$A$6:$A$505,"&lt;="&amp;Оплаты!$A$90))</f>
        <v/>
      </c>
      <c r="F98" s="14" t="str">
        <f>IF(G98="","",SUMPRODUCT(ROUND(E98*'По дням'!$L$6:$L$155/100*((((D98+'По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дням'!$J$6:$J$155)))/2+1)/'По дням'!$M$6:$M$155,2)*(1-'По дням'!$N$6:$N$155)))</f>
        <v/>
      </c>
      <c r="G98" s="22" t="str">
        <f t="shared" si="1"/>
        <v/>
      </c>
      <c r="H98" s="14" t="str">
        <f>IF(G98="","",SUMIFS(Оплаты!$B$6:$B$505,Оплаты!$D$6:$D$505,A98,Оплаты!$A$6:$A$505,D98))</f>
        <v/>
      </c>
      <c r="I98" t="str">
        <f>IF(G98="","",SUMPRODUCT((((((D98+'По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дням'!$J$6:$J$155)))/2+1)&gt;0)*1))</f>
        <v/>
      </c>
    </row>
    <row r="99" spans="1:9" x14ac:dyDescent="0.3">
      <c r="A99" t="str">
        <f>IF(AND(Оплаты!$E$91="ок",COUNTIFS(Акты!$B$5:$B$16,Оплаты!$D$91,Акты!$H$5:$H$16,"ок")&gt;0,COUNTIFS(Оплаты!$D$6:$D$90,Оплаты!$D$91,Оплаты!$A$6:$A$90,Оплаты!$A$91)=0),Оплаты!$D$91,"")</f>
        <v/>
      </c>
      <c r="B99" t="str">
        <f>IF(A99="","",MATCH(A99,Акты!$B$5:$B$16,0))</f>
        <v/>
      </c>
      <c r="C99" s="21" t="str">
        <f>IF(A99="","",Оплаты!$A$91+1)</f>
        <v/>
      </c>
      <c r="D99" s="21" t="str">
        <f>IF(A99="","",MIN(Ввод!$B$4,Ввод!$B$4+1-SUMPRODUCT(MAX((Оплаты!$D$6:$D$505=A99)*(Оплаты!$A$6:$A$505&gt;Оплаты!$A$91)*(Ввод!$B$4+1-Оплаты!$A$6:$A$505)))))</f>
        <v/>
      </c>
      <c r="E99" s="14" t="str">
        <f>IF(A99="","",INDEX(Акты!$D$5:$D$16,B99)-SUMIFS(Оплаты!$B$6:$B$505,Оплаты!$D$6:$D$505,A99,Оплаты!$A$6:$A$505,"&lt;="&amp;Оплаты!$A$91))</f>
        <v/>
      </c>
      <c r="F99" s="14" t="str">
        <f>IF(G99="","",SUMPRODUCT(ROUND(E99*'По дням'!$L$6:$L$155/100*((((D99+'По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дням'!$J$6:$J$155)))/2+1)/'По дням'!$M$6:$M$155,2)*(1-'По дням'!$N$6:$N$155)))</f>
        <v/>
      </c>
      <c r="G99" s="22" t="str">
        <f t="shared" si="1"/>
        <v/>
      </c>
      <c r="H99" s="14" t="str">
        <f>IF(G99="","",SUMIFS(Оплаты!$B$6:$B$505,Оплаты!$D$6:$D$505,A99,Оплаты!$A$6:$A$505,D99))</f>
        <v/>
      </c>
      <c r="I99" t="str">
        <f>IF(G99="","",SUMPRODUCT((((((D99+'По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дням'!$J$6:$J$155)))/2+1)&gt;0)*1))</f>
        <v/>
      </c>
    </row>
    <row r="100" spans="1:9" x14ac:dyDescent="0.3">
      <c r="A100" t="str">
        <f>IF(AND(Оплаты!$E$92="ок",COUNTIFS(Акты!$B$5:$B$16,Оплаты!$D$92,Акты!$H$5:$H$16,"ок")&gt;0,COUNTIFS(Оплаты!$D$6:$D$91,Оплаты!$D$92,Оплаты!$A$6:$A$91,Оплаты!$A$92)=0),Оплаты!$D$92,"")</f>
        <v/>
      </c>
      <c r="B100" t="str">
        <f>IF(A100="","",MATCH(A100,Акты!$B$5:$B$16,0))</f>
        <v/>
      </c>
      <c r="C100" s="21" t="str">
        <f>IF(A100="","",Оплаты!$A$92+1)</f>
        <v/>
      </c>
      <c r="D100" s="21" t="str">
        <f>IF(A100="","",MIN(Ввод!$B$4,Ввод!$B$4+1-SUMPRODUCT(MAX((Оплаты!$D$6:$D$505=A100)*(Оплаты!$A$6:$A$505&gt;Оплаты!$A$92)*(Ввод!$B$4+1-Оплаты!$A$6:$A$505)))))</f>
        <v/>
      </c>
      <c r="E100" s="14" t="str">
        <f>IF(A100="","",INDEX(Акты!$D$5:$D$16,B100)-SUMIFS(Оплаты!$B$6:$B$505,Оплаты!$D$6:$D$505,A100,Оплаты!$A$6:$A$505,"&lt;="&amp;Оплаты!$A$92))</f>
        <v/>
      </c>
      <c r="F100" s="14" t="str">
        <f>IF(G100="","",SUMPRODUCT(ROUND(E100*'По дням'!$L$6:$L$155/100*((((D100+'По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дням'!$J$6:$J$155)))/2+1)/'По дням'!$M$6:$M$155,2)*(1-'По дням'!$N$6:$N$155)))</f>
        <v/>
      </c>
      <c r="G100" s="22" t="str">
        <f t="shared" si="1"/>
        <v/>
      </c>
      <c r="H100" s="14" t="str">
        <f>IF(G100="","",SUMIFS(Оплаты!$B$6:$B$505,Оплаты!$D$6:$D$505,A100,Оплаты!$A$6:$A$505,D100))</f>
        <v/>
      </c>
      <c r="I100" t="str">
        <f>IF(G100="","",SUMPRODUCT((((((D100+'По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дням'!$J$6:$J$155)))/2+1)&gt;0)*1))</f>
        <v/>
      </c>
    </row>
    <row r="101" spans="1:9" x14ac:dyDescent="0.3">
      <c r="A101" t="str">
        <f>IF(AND(Оплаты!$E$93="ок",COUNTIFS(Акты!$B$5:$B$16,Оплаты!$D$93,Акты!$H$5:$H$16,"ок")&gt;0,COUNTIFS(Оплаты!$D$6:$D$92,Оплаты!$D$93,Оплаты!$A$6:$A$92,Оплаты!$A$93)=0),Оплаты!$D$93,"")</f>
        <v/>
      </c>
      <c r="B101" t="str">
        <f>IF(A101="","",MATCH(A101,Акты!$B$5:$B$16,0))</f>
        <v/>
      </c>
      <c r="C101" s="21" t="str">
        <f>IF(A101="","",Оплаты!$A$93+1)</f>
        <v/>
      </c>
      <c r="D101" s="21" t="str">
        <f>IF(A101="","",MIN(Ввод!$B$4,Ввод!$B$4+1-SUMPRODUCT(MAX((Оплаты!$D$6:$D$505=A101)*(Оплаты!$A$6:$A$505&gt;Оплаты!$A$93)*(Ввод!$B$4+1-Оплаты!$A$6:$A$505)))))</f>
        <v/>
      </c>
      <c r="E101" s="14" t="str">
        <f>IF(A101="","",INDEX(Акты!$D$5:$D$16,B101)-SUMIFS(Оплаты!$B$6:$B$505,Оплаты!$D$6:$D$505,A101,Оплаты!$A$6:$A$505,"&lt;="&amp;Оплаты!$A$93))</f>
        <v/>
      </c>
      <c r="F101" s="14" t="str">
        <f>IF(G101="","",SUMPRODUCT(ROUND(E101*'По дням'!$L$6:$L$155/100*((((D101+'По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дням'!$J$6:$J$155)))/2+1)/'По дням'!$M$6:$M$155,2)*(1-'По дням'!$N$6:$N$155)))</f>
        <v/>
      </c>
      <c r="G101" s="22" t="str">
        <f t="shared" si="1"/>
        <v/>
      </c>
      <c r="H101" s="14" t="str">
        <f>IF(G101="","",SUMIFS(Оплаты!$B$6:$B$505,Оплаты!$D$6:$D$505,A101,Оплаты!$A$6:$A$505,D101))</f>
        <v/>
      </c>
      <c r="I101" t="str">
        <f>IF(G101="","",SUMPRODUCT((((((D101+'По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дням'!$J$6:$J$155)))/2+1)&gt;0)*1))</f>
        <v/>
      </c>
    </row>
    <row r="102" spans="1:9" x14ac:dyDescent="0.3">
      <c r="A102" t="str">
        <f>IF(AND(Оплаты!$E$94="ок",COUNTIFS(Акты!$B$5:$B$16,Оплаты!$D$94,Акты!$H$5:$H$16,"ок")&gt;0,COUNTIFS(Оплаты!$D$6:$D$93,Оплаты!$D$94,Оплаты!$A$6:$A$93,Оплаты!$A$94)=0),Оплаты!$D$94,"")</f>
        <v/>
      </c>
      <c r="B102" t="str">
        <f>IF(A102="","",MATCH(A102,Акты!$B$5:$B$16,0))</f>
        <v/>
      </c>
      <c r="C102" s="21" t="str">
        <f>IF(A102="","",Оплаты!$A$94+1)</f>
        <v/>
      </c>
      <c r="D102" s="21" t="str">
        <f>IF(A102="","",MIN(Ввод!$B$4,Ввод!$B$4+1-SUMPRODUCT(MAX((Оплаты!$D$6:$D$505=A102)*(Оплаты!$A$6:$A$505&gt;Оплаты!$A$94)*(Ввод!$B$4+1-Оплаты!$A$6:$A$505)))))</f>
        <v/>
      </c>
      <c r="E102" s="14" t="str">
        <f>IF(A102="","",INDEX(Акты!$D$5:$D$16,B102)-SUMIFS(Оплаты!$B$6:$B$505,Оплаты!$D$6:$D$505,A102,Оплаты!$A$6:$A$505,"&lt;="&amp;Оплаты!$A$94))</f>
        <v/>
      </c>
      <c r="F102" s="14" t="str">
        <f>IF(G102="","",SUMPRODUCT(ROUND(E102*'По дням'!$L$6:$L$155/100*((((D102+'По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дням'!$J$6:$J$155)))/2+1)/'По дням'!$M$6:$M$155,2)*(1-'По дням'!$N$6:$N$155)))</f>
        <v/>
      </c>
      <c r="G102" s="22" t="str">
        <f t="shared" si="1"/>
        <v/>
      </c>
      <c r="H102" s="14" t="str">
        <f>IF(G102="","",SUMIFS(Оплаты!$B$6:$B$505,Оплаты!$D$6:$D$505,A102,Оплаты!$A$6:$A$505,D102))</f>
        <v/>
      </c>
      <c r="I102" t="str">
        <f>IF(G102="","",SUMPRODUCT((((((D102+'По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дням'!$J$6:$J$155)))/2+1)&gt;0)*1))</f>
        <v/>
      </c>
    </row>
    <row r="103" spans="1:9" x14ac:dyDescent="0.3">
      <c r="A103" t="str">
        <f>IF(AND(Оплаты!$E$95="ок",COUNTIFS(Акты!$B$5:$B$16,Оплаты!$D$95,Акты!$H$5:$H$16,"ок")&gt;0,COUNTIFS(Оплаты!$D$6:$D$94,Оплаты!$D$95,Оплаты!$A$6:$A$94,Оплаты!$A$95)=0),Оплаты!$D$95,"")</f>
        <v/>
      </c>
      <c r="B103" t="str">
        <f>IF(A103="","",MATCH(A103,Акты!$B$5:$B$16,0))</f>
        <v/>
      </c>
      <c r="C103" s="21" t="str">
        <f>IF(A103="","",Оплаты!$A$95+1)</f>
        <v/>
      </c>
      <c r="D103" s="21" t="str">
        <f>IF(A103="","",MIN(Ввод!$B$4,Ввод!$B$4+1-SUMPRODUCT(MAX((Оплаты!$D$6:$D$505=A103)*(Оплаты!$A$6:$A$505&gt;Оплаты!$A$95)*(Ввод!$B$4+1-Оплаты!$A$6:$A$505)))))</f>
        <v/>
      </c>
      <c r="E103" s="14" t="str">
        <f>IF(A103="","",INDEX(Акты!$D$5:$D$16,B103)-SUMIFS(Оплаты!$B$6:$B$505,Оплаты!$D$6:$D$505,A103,Оплаты!$A$6:$A$505,"&lt;="&amp;Оплаты!$A$95))</f>
        <v/>
      </c>
      <c r="F103" s="14" t="str">
        <f>IF(G103="","",SUMPRODUCT(ROUND(E103*'По дням'!$L$6:$L$155/100*((((D103+'По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дням'!$J$6:$J$155)))/2+1)/'По дням'!$M$6:$M$155,2)*(1-'По дням'!$N$6:$N$155)))</f>
        <v/>
      </c>
      <c r="G103" s="22" t="str">
        <f t="shared" si="1"/>
        <v/>
      </c>
      <c r="H103" s="14" t="str">
        <f>IF(G103="","",SUMIFS(Оплаты!$B$6:$B$505,Оплаты!$D$6:$D$505,A103,Оплаты!$A$6:$A$505,D103))</f>
        <v/>
      </c>
      <c r="I103" t="str">
        <f>IF(G103="","",SUMPRODUCT((((((D103+'По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дням'!$J$6:$J$155)))/2+1)&gt;0)*1))</f>
        <v/>
      </c>
    </row>
    <row r="104" spans="1:9" x14ac:dyDescent="0.3">
      <c r="A104" t="str">
        <f>IF(AND(Оплаты!$E$96="ок",COUNTIFS(Акты!$B$5:$B$16,Оплаты!$D$96,Акты!$H$5:$H$16,"ок")&gt;0,COUNTIFS(Оплаты!$D$6:$D$95,Оплаты!$D$96,Оплаты!$A$6:$A$95,Оплаты!$A$96)=0),Оплаты!$D$96,"")</f>
        <v/>
      </c>
      <c r="B104" t="str">
        <f>IF(A104="","",MATCH(A104,Акты!$B$5:$B$16,0))</f>
        <v/>
      </c>
      <c r="C104" s="21" t="str">
        <f>IF(A104="","",Оплаты!$A$96+1)</f>
        <v/>
      </c>
      <c r="D104" s="21" t="str">
        <f>IF(A104="","",MIN(Ввод!$B$4,Ввод!$B$4+1-SUMPRODUCT(MAX((Оплаты!$D$6:$D$505=A104)*(Оплаты!$A$6:$A$505&gt;Оплаты!$A$96)*(Ввод!$B$4+1-Оплаты!$A$6:$A$505)))))</f>
        <v/>
      </c>
      <c r="E104" s="14" t="str">
        <f>IF(A104="","",INDEX(Акты!$D$5:$D$16,B104)-SUMIFS(Оплаты!$B$6:$B$505,Оплаты!$D$6:$D$505,A104,Оплаты!$A$6:$A$505,"&lt;="&amp;Оплаты!$A$96))</f>
        <v/>
      </c>
      <c r="F104" s="14" t="str">
        <f>IF(G104="","",SUMPRODUCT(ROUND(E104*'По дням'!$L$6:$L$155/100*((((D104+'По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дням'!$J$6:$J$155)))/2+1)/'По дням'!$M$6:$M$155,2)*(1-'По дням'!$N$6:$N$155)))</f>
        <v/>
      </c>
      <c r="G104" s="22" t="str">
        <f t="shared" si="1"/>
        <v/>
      </c>
      <c r="H104" s="14" t="str">
        <f>IF(G104="","",SUMIFS(Оплаты!$B$6:$B$505,Оплаты!$D$6:$D$505,A104,Оплаты!$A$6:$A$505,D104))</f>
        <v/>
      </c>
      <c r="I104" t="str">
        <f>IF(G104="","",SUMPRODUCT((((((D104+'По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дням'!$J$6:$J$155)))/2+1)&gt;0)*1))</f>
        <v/>
      </c>
    </row>
    <row r="105" spans="1:9" x14ac:dyDescent="0.3">
      <c r="A105" t="str">
        <f>IF(AND(Оплаты!$E$97="ок",COUNTIFS(Акты!$B$5:$B$16,Оплаты!$D$97,Акты!$H$5:$H$16,"ок")&gt;0,COUNTIFS(Оплаты!$D$6:$D$96,Оплаты!$D$97,Оплаты!$A$6:$A$96,Оплаты!$A$97)=0),Оплаты!$D$97,"")</f>
        <v/>
      </c>
      <c r="B105" t="str">
        <f>IF(A105="","",MATCH(A105,Акты!$B$5:$B$16,0))</f>
        <v/>
      </c>
      <c r="C105" s="21" t="str">
        <f>IF(A105="","",Оплаты!$A$97+1)</f>
        <v/>
      </c>
      <c r="D105" s="21" t="str">
        <f>IF(A105="","",MIN(Ввод!$B$4,Ввод!$B$4+1-SUMPRODUCT(MAX((Оплаты!$D$6:$D$505=A105)*(Оплаты!$A$6:$A$505&gt;Оплаты!$A$97)*(Ввод!$B$4+1-Оплаты!$A$6:$A$505)))))</f>
        <v/>
      </c>
      <c r="E105" s="14" t="str">
        <f>IF(A105="","",INDEX(Акты!$D$5:$D$16,B105)-SUMIFS(Оплаты!$B$6:$B$505,Оплаты!$D$6:$D$505,A105,Оплаты!$A$6:$A$505,"&lt;="&amp;Оплаты!$A$97))</f>
        <v/>
      </c>
      <c r="F105" s="14" t="str">
        <f>IF(G105="","",SUMPRODUCT(ROUND(E105*'По дням'!$L$6:$L$155/100*((((D105+'По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дням'!$J$6:$J$155)))/2+1)/'По дням'!$M$6:$M$155,2)*(1-'По дням'!$N$6:$N$155)))</f>
        <v/>
      </c>
      <c r="G105" s="22" t="str">
        <f t="shared" si="1"/>
        <v/>
      </c>
      <c r="H105" s="14" t="str">
        <f>IF(G105="","",SUMIFS(Оплаты!$B$6:$B$505,Оплаты!$D$6:$D$505,A105,Оплаты!$A$6:$A$505,D105))</f>
        <v/>
      </c>
      <c r="I105" t="str">
        <f>IF(G105="","",SUMPRODUCT((((((D105+'По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дням'!$J$6:$J$155)))/2+1)&gt;0)*1))</f>
        <v/>
      </c>
    </row>
    <row r="106" spans="1:9" x14ac:dyDescent="0.3">
      <c r="A106" t="str">
        <f>IF(AND(Оплаты!$E$98="ок",COUNTIFS(Акты!$B$5:$B$16,Оплаты!$D$98,Акты!$H$5:$H$16,"ок")&gt;0,COUNTIFS(Оплаты!$D$6:$D$97,Оплаты!$D$98,Оплаты!$A$6:$A$97,Оплаты!$A$98)=0),Оплаты!$D$98,"")</f>
        <v/>
      </c>
      <c r="B106" t="str">
        <f>IF(A106="","",MATCH(A106,Акты!$B$5:$B$16,0))</f>
        <v/>
      </c>
      <c r="C106" s="21" t="str">
        <f>IF(A106="","",Оплаты!$A$98+1)</f>
        <v/>
      </c>
      <c r="D106" s="21" t="str">
        <f>IF(A106="","",MIN(Ввод!$B$4,Ввод!$B$4+1-SUMPRODUCT(MAX((Оплаты!$D$6:$D$505=A106)*(Оплаты!$A$6:$A$505&gt;Оплаты!$A$98)*(Ввод!$B$4+1-Оплаты!$A$6:$A$505)))))</f>
        <v/>
      </c>
      <c r="E106" s="14" t="str">
        <f>IF(A106="","",INDEX(Акты!$D$5:$D$16,B106)-SUMIFS(Оплаты!$B$6:$B$505,Оплаты!$D$6:$D$505,A106,Оплаты!$A$6:$A$505,"&lt;="&amp;Оплаты!$A$98))</f>
        <v/>
      </c>
      <c r="F106" s="14" t="str">
        <f>IF(G106="","",SUMPRODUCT(ROUND(E106*'По дням'!$L$6:$L$155/100*((((D106+'По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дням'!$J$6:$J$155)))/2+1)/'По дням'!$M$6:$M$155,2)*(1-'По дням'!$N$6:$N$155)))</f>
        <v/>
      </c>
      <c r="G106" s="22" t="str">
        <f t="shared" si="1"/>
        <v/>
      </c>
      <c r="H106" s="14" t="str">
        <f>IF(G106="","",SUMIFS(Оплаты!$B$6:$B$505,Оплаты!$D$6:$D$505,A106,Оплаты!$A$6:$A$505,D106))</f>
        <v/>
      </c>
      <c r="I106" t="str">
        <f>IF(G106="","",SUMPRODUCT((((((D106+'По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дням'!$J$6:$J$155)))/2+1)&gt;0)*1))</f>
        <v/>
      </c>
    </row>
    <row r="107" spans="1:9" x14ac:dyDescent="0.3">
      <c r="A107" t="str">
        <f>IF(AND(Оплаты!$E$99="ок",COUNTIFS(Акты!$B$5:$B$16,Оплаты!$D$99,Акты!$H$5:$H$16,"ок")&gt;0,COUNTIFS(Оплаты!$D$6:$D$98,Оплаты!$D$99,Оплаты!$A$6:$A$98,Оплаты!$A$99)=0),Оплаты!$D$99,"")</f>
        <v/>
      </c>
      <c r="B107" t="str">
        <f>IF(A107="","",MATCH(A107,Акты!$B$5:$B$16,0))</f>
        <v/>
      </c>
      <c r="C107" s="21" t="str">
        <f>IF(A107="","",Оплаты!$A$99+1)</f>
        <v/>
      </c>
      <c r="D107" s="21" t="str">
        <f>IF(A107="","",MIN(Ввод!$B$4,Ввод!$B$4+1-SUMPRODUCT(MAX((Оплаты!$D$6:$D$505=A107)*(Оплаты!$A$6:$A$505&gt;Оплаты!$A$99)*(Ввод!$B$4+1-Оплаты!$A$6:$A$505)))))</f>
        <v/>
      </c>
      <c r="E107" s="14" t="str">
        <f>IF(A107="","",INDEX(Акты!$D$5:$D$16,B107)-SUMIFS(Оплаты!$B$6:$B$505,Оплаты!$D$6:$D$505,A107,Оплаты!$A$6:$A$505,"&lt;="&amp;Оплаты!$A$99))</f>
        <v/>
      </c>
      <c r="F107" s="14" t="str">
        <f>IF(G107="","",SUMPRODUCT(ROUND(E107*'По дням'!$L$6:$L$155/100*((((D107+'По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дням'!$J$6:$J$155)))/2+1)/'По дням'!$M$6:$M$155,2)*(1-'По дням'!$N$6:$N$155)))</f>
        <v/>
      </c>
      <c r="G107" s="22" t="str">
        <f t="shared" si="1"/>
        <v/>
      </c>
      <c r="H107" s="14" t="str">
        <f>IF(G107="","",SUMIFS(Оплаты!$B$6:$B$505,Оплаты!$D$6:$D$505,A107,Оплаты!$A$6:$A$505,D107))</f>
        <v/>
      </c>
      <c r="I107" t="str">
        <f>IF(G107="","",SUMPRODUCT((((((D107+'По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дням'!$J$6:$J$155)))/2+1)&gt;0)*1))</f>
        <v/>
      </c>
    </row>
    <row r="108" spans="1:9" x14ac:dyDescent="0.3">
      <c r="A108" t="str">
        <f>IF(AND(Оплаты!$E$100="ок",COUNTIFS(Акты!$B$5:$B$16,Оплаты!$D$100,Акты!$H$5:$H$16,"ок")&gt;0,COUNTIFS(Оплаты!$D$6:$D$99,Оплаты!$D$100,Оплаты!$A$6:$A$99,Оплаты!$A$100)=0),Оплаты!$D$100,"")</f>
        <v/>
      </c>
      <c r="B108" t="str">
        <f>IF(A108="","",MATCH(A108,Акты!$B$5:$B$16,0))</f>
        <v/>
      </c>
      <c r="C108" s="21" t="str">
        <f>IF(A108="","",Оплаты!$A$100+1)</f>
        <v/>
      </c>
      <c r="D108" s="21" t="str">
        <f>IF(A108="","",MIN(Ввод!$B$4,Ввод!$B$4+1-SUMPRODUCT(MAX((Оплаты!$D$6:$D$505=A108)*(Оплаты!$A$6:$A$505&gt;Оплаты!$A$100)*(Ввод!$B$4+1-Оплаты!$A$6:$A$505)))))</f>
        <v/>
      </c>
      <c r="E108" s="14" t="str">
        <f>IF(A108="","",INDEX(Акты!$D$5:$D$16,B108)-SUMIFS(Оплаты!$B$6:$B$505,Оплаты!$D$6:$D$505,A108,Оплаты!$A$6:$A$505,"&lt;="&amp;Оплаты!$A$100))</f>
        <v/>
      </c>
      <c r="F108" s="14" t="str">
        <f>IF(G108="","",SUMPRODUCT(ROUND(E108*'По дням'!$L$6:$L$155/100*((((D108+'По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дням'!$J$6:$J$155)))/2+1)/'По дням'!$M$6:$M$155,2)*(1-'По дням'!$N$6:$N$155)))</f>
        <v/>
      </c>
      <c r="G108" s="22" t="str">
        <f t="shared" si="1"/>
        <v/>
      </c>
      <c r="H108" s="14" t="str">
        <f>IF(G108="","",SUMIFS(Оплаты!$B$6:$B$505,Оплаты!$D$6:$D$505,A108,Оплаты!$A$6:$A$505,D108))</f>
        <v/>
      </c>
      <c r="I108" t="str">
        <f>IF(G108="","",SUMPRODUCT((((((D108+'По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дням'!$J$6:$J$155)))/2+1)&gt;0)*1))</f>
        <v/>
      </c>
    </row>
    <row r="109" spans="1:9" x14ac:dyDescent="0.3">
      <c r="A109" t="str">
        <f>IF(AND(Оплаты!$E$101="ок",COUNTIFS(Акты!$B$5:$B$16,Оплаты!$D$101,Акты!$H$5:$H$16,"ок")&gt;0,COUNTIFS(Оплаты!$D$6:$D$100,Оплаты!$D$101,Оплаты!$A$6:$A$100,Оплаты!$A$101)=0),Оплаты!$D$101,"")</f>
        <v/>
      </c>
      <c r="B109" t="str">
        <f>IF(A109="","",MATCH(A109,Акты!$B$5:$B$16,0))</f>
        <v/>
      </c>
      <c r="C109" s="21" t="str">
        <f>IF(A109="","",Оплаты!$A$101+1)</f>
        <v/>
      </c>
      <c r="D109" s="21" t="str">
        <f>IF(A109="","",MIN(Ввод!$B$4,Ввод!$B$4+1-SUMPRODUCT(MAX((Оплаты!$D$6:$D$505=A109)*(Оплаты!$A$6:$A$505&gt;Оплаты!$A$101)*(Ввод!$B$4+1-Оплаты!$A$6:$A$505)))))</f>
        <v/>
      </c>
      <c r="E109" s="14" t="str">
        <f>IF(A109="","",INDEX(Акты!$D$5:$D$16,B109)-SUMIFS(Оплаты!$B$6:$B$505,Оплаты!$D$6:$D$505,A109,Оплаты!$A$6:$A$505,"&lt;="&amp;Оплаты!$A$101))</f>
        <v/>
      </c>
      <c r="F109" s="14" t="str">
        <f>IF(G109="","",SUMPRODUCT(ROUND(E109*'По дням'!$L$6:$L$155/100*((((D109+'По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дням'!$J$6:$J$155)))/2+1)/'По дням'!$M$6:$M$155,2)*(1-'По дням'!$N$6:$N$155)))</f>
        <v/>
      </c>
      <c r="G109" s="22" t="str">
        <f t="shared" si="1"/>
        <v/>
      </c>
      <c r="H109" s="14" t="str">
        <f>IF(G109="","",SUMIFS(Оплаты!$B$6:$B$505,Оплаты!$D$6:$D$505,A109,Оплаты!$A$6:$A$505,D109))</f>
        <v/>
      </c>
      <c r="I109" t="str">
        <f>IF(G109="","",SUMPRODUCT((((((D109+'По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дням'!$J$6:$J$155)))/2+1)&gt;0)*1))</f>
        <v/>
      </c>
    </row>
    <row r="110" spans="1:9" x14ac:dyDescent="0.3">
      <c r="A110" t="str">
        <f>IF(AND(Оплаты!$E$102="ок",COUNTIFS(Акты!$B$5:$B$16,Оплаты!$D$102,Акты!$H$5:$H$16,"ок")&gt;0,COUNTIFS(Оплаты!$D$6:$D$101,Оплаты!$D$102,Оплаты!$A$6:$A$101,Оплаты!$A$102)=0),Оплаты!$D$102,"")</f>
        <v/>
      </c>
      <c r="B110" t="str">
        <f>IF(A110="","",MATCH(A110,Акты!$B$5:$B$16,0))</f>
        <v/>
      </c>
      <c r="C110" s="21" t="str">
        <f>IF(A110="","",Оплаты!$A$102+1)</f>
        <v/>
      </c>
      <c r="D110" s="21" t="str">
        <f>IF(A110="","",MIN(Ввод!$B$4,Ввод!$B$4+1-SUMPRODUCT(MAX((Оплаты!$D$6:$D$505=A110)*(Оплаты!$A$6:$A$505&gt;Оплаты!$A$102)*(Ввод!$B$4+1-Оплаты!$A$6:$A$505)))))</f>
        <v/>
      </c>
      <c r="E110" s="14" t="str">
        <f>IF(A110="","",INDEX(Акты!$D$5:$D$16,B110)-SUMIFS(Оплаты!$B$6:$B$505,Оплаты!$D$6:$D$505,A110,Оплаты!$A$6:$A$505,"&lt;="&amp;Оплаты!$A$102))</f>
        <v/>
      </c>
      <c r="F110" s="14" t="str">
        <f>IF(G110="","",SUMPRODUCT(ROUND(E110*'По дням'!$L$6:$L$155/100*((((D110+'По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дням'!$J$6:$J$155)))/2+1)/'По дням'!$M$6:$M$155,2)*(1-'По дням'!$N$6:$N$155)))</f>
        <v/>
      </c>
      <c r="G110" s="22" t="str">
        <f t="shared" si="1"/>
        <v/>
      </c>
      <c r="H110" s="14" t="str">
        <f>IF(G110="","",SUMIFS(Оплаты!$B$6:$B$505,Оплаты!$D$6:$D$505,A110,Оплаты!$A$6:$A$505,D110))</f>
        <v/>
      </c>
      <c r="I110" t="str">
        <f>IF(G110="","",SUMPRODUCT((((((D110+'По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дням'!$J$6:$J$155)))/2+1)&gt;0)*1))</f>
        <v/>
      </c>
    </row>
    <row r="111" spans="1:9" x14ac:dyDescent="0.3">
      <c r="A111" t="str">
        <f>IF(AND(Оплаты!$E$103="ок",COUNTIFS(Акты!$B$5:$B$16,Оплаты!$D$103,Акты!$H$5:$H$16,"ок")&gt;0,COUNTIFS(Оплаты!$D$6:$D$102,Оплаты!$D$103,Оплаты!$A$6:$A$102,Оплаты!$A$103)=0),Оплаты!$D$103,"")</f>
        <v/>
      </c>
      <c r="B111" t="str">
        <f>IF(A111="","",MATCH(A111,Акты!$B$5:$B$16,0))</f>
        <v/>
      </c>
      <c r="C111" s="21" t="str">
        <f>IF(A111="","",Оплаты!$A$103+1)</f>
        <v/>
      </c>
      <c r="D111" s="21" t="str">
        <f>IF(A111="","",MIN(Ввод!$B$4,Ввод!$B$4+1-SUMPRODUCT(MAX((Оплаты!$D$6:$D$505=A111)*(Оплаты!$A$6:$A$505&gt;Оплаты!$A$103)*(Ввод!$B$4+1-Оплаты!$A$6:$A$505)))))</f>
        <v/>
      </c>
      <c r="E111" s="14" t="str">
        <f>IF(A111="","",INDEX(Акты!$D$5:$D$16,B111)-SUMIFS(Оплаты!$B$6:$B$505,Оплаты!$D$6:$D$505,A111,Оплаты!$A$6:$A$505,"&lt;="&amp;Оплаты!$A$103))</f>
        <v/>
      </c>
      <c r="F111" s="14" t="str">
        <f>IF(G111="","",SUMPRODUCT(ROUND(E111*'По дням'!$L$6:$L$155/100*((((D111+'По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дням'!$J$6:$J$155)))/2+1)/'По дням'!$M$6:$M$155,2)*(1-'По дням'!$N$6:$N$155)))</f>
        <v/>
      </c>
      <c r="G111" s="22" t="str">
        <f t="shared" si="1"/>
        <v/>
      </c>
      <c r="H111" s="14" t="str">
        <f>IF(G111="","",SUMIFS(Оплаты!$B$6:$B$505,Оплаты!$D$6:$D$505,A111,Оплаты!$A$6:$A$505,D111))</f>
        <v/>
      </c>
      <c r="I111" t="str">
        <f>IF(G111="","",SUMPRODUCT((((((D111+'По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дням'!$J$6:$J$155)))/2+1)&gt;0)*1))</f>
        <v/>
      </c>
    </row>
    <row r="112" spans="1:9" x14ac:dyDescent="0.3">
      <c r="A112" t="str">
        <f>IF(AND(Оплаты!$E$104="ок",COUNTIFS(Акты!$B$5:$B$16,Оплаты!$D$104,Акты!$H$5:$H$16,"ок")&gt;0,COUNTIFS(Оплаты!$D$6:$D$103,Оплаты!$D$104,Оплаты!$A$6:$A$103,Оплаты!$A$104)=0),Оплаты!$D$104,"")</f>
        <v/>
      </c>
      <c r="B112" t="str">
        <f>IF(A112="","",MATCH(A112,Акты!$B$5:$B$16,0))</f>
        <v/>
      </c>
      <c r="C112" s="21" t="str">
        <f>IF(A112="","",Оплаты!$A$104+1)</f>
        <v/>
      </c>
      <c r="D112" s="21" t="str">
        <f>IF(A112="","",MIN(Ввод!$B$4,Ввод!$B$4+1-SUMPRODUCT(MAX((Оплаты!$D$6:$D$505=A112)*(Оплаты!$A$6:$A$505&gt;Оплаты!$A$104)*(Ввод!$B$4+1-Оплаты!$A$6:$A$505)))))</f>
        <v/>
      </c>
      <c r="E112" s="14" t="str">
        <f>IF(A112="","",INDEX(Акты!$D$5:$D$16,B112)-SUMIFS(Оплаты!$B$6:$B$505,Оплаты!$D$6:$D$505,A112,Оплаты!$A$6:$A$505,"&lt;="&amp;Оплаты!$A$104))</f>
        <v/>
      </c>
      <c r="F112" s="14" t="str">
        <f>IF(G112="","",SUMPRODUCT(ROUND(E112*'По дням'!$L$6:$L$155/100*((((D112+'По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дням'!$J$6:$J$155)))/2+1)/'По дням'!$M$6:$M$155,2)*(1-'По дням'!$N$6:$N$155)))</f>
        <v/>
      </c>
      <c r="G112" s="22" t="str">
        <f t="shared" si="1"/>
        <v/>
      </c>
      <c r="H112" s="14" t="str">
        <f>IF(G112="","",SUMIFS(Оплаты!$B$6:$B$505,Оплаты!$D$6:$D$505,A112,Оплаты!$A$6:$A$505,D112))</f>
        <v/>
      </c>
      <c r="I112" t="str">
        <f>IF(G112="","",SUMPRODUCT((((((D112+'По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дням'!$J$6:$J$155)))/2+1)&gt;0)*1))</f>
        <v/>
      </c>
    </row>
    <row r="113" spans="1:9" x14ac:dyDescent="0.3">
      <c r="A113" t="str">
        <f>IF(AND(Оплаты!$E$105="ок",COUNTIFS(Акты!$B$5:$B$16,Оплаты!$D$105,Акты!$H$5:$H$16,"ок")&gt;0,COUNTIFS(Оплаты!$D$6:$D$104,Оплаты!$D$105,Оплаты!$A$6:$A$104,Оплаты!$A$105)=0),Оплаты!$D$105,"")</f>
        <v/>
      </c>
      <c r="B113" t="str">
        <f>IF(A113="","",MATCH(A113,Акты!$B$5:$B$16,0))</f>
        <v/>
      </c>
      <c r="C113" s="21" t="str">
        <f>IF(A113="","",Оплаты!$A$105+1)</f>
        <v/>
      </c>
      <c r="D113" s="21" t="str">
        <f>IF(A113="","",MIN(Ввод!$B$4,Ввод!$B$4+1-SUMPRODUCT(MAX((Оплаты!$D$6:$D$505=A113)*(Оплаты!$A$6:$A$505&gt;Оплаты!$A$105)*(Ввод!$B$4+1-Оплаты!$A$6:$A$505)))))</f>
        <v/>
      </c>
      <c r="E113" s="14" t="str">
        <f>IF(A113="","",INDEX(Акты!$D$5:$D$16,B113)-SUMIFS(Оплаты!$B$6:$B$505,Оплаты!$D$6:$D$505,A113,Оплаты!$A$6:$A$505,"&lt;="&amp;Оплаты!$A$105))</f>
        <v/>
      </c>
      <c r="F113" s="14" t="str">
        <f>IF(G113="","",SUMPRODUCT(ROUND(E113*'По дням'!$L$6:$L$155/100*((((D113+'По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дням'!$J$6:$J$155)))/2+1)/'По дням'!$M$6:$M$155,2)*(1-'По дням'!$N$6:$N$155)))</f>
        <v/>
      </c>
      <c r="G113" s="22" t="str">
        <f t="shared" si="1"/>
        <v/>
      </c>
      <c r="H113" s="14" t="str">
        <f>IF(G113="","",SUMIFS(Оплаты!$B$6:$B$505,Оплаты!$D$6:$D$505,A113,Оплаты!$A$6:$A$505,D113))</f>
        <v/>
      </c>
      <c r="I113" t="str">
        <f>IF(G113="","",SUMPRODUCT((((((D113+'По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дням'!$J$6:$J$155)))/2+1)&gt;0)*1))</f>
        <v/>
      </c>
    </row>
    <row r="114" spans="1:9" x14ac:dyDescent="0.3">
      <c r="A114" t="str">
        <f>IF(AND(Оплаты!$E$106="ок",COUNTIFS(Акты!$B$5:$B$16,Оплаты!$D$106,Акты!$H$5:$H$16,"ок")&gt;0,COUNTIFS(Оплаты!$D$6:$D$105,Оплаты!$D$106,Оплаты!$A$6:$A$105,Оплаты!$A$106)=0),Оплаты!$D$106,"")</f>
        <v/>
      </c>
      <c r="B114" t="str">
        <f>IF(A114="","",MATCH(A114,Акты!$B$5:$B$16,0))</f>
        <v/>
      </c>
      <c r="C114" s="21" t="str">
        <f>IF(A114="","",Оплаты!$A$106+1)</f>
        <v/>
      </c>
      <c r="D114" s="21" t="str">
        <f>IF(A114="","",MIN(Ввод!$B$4,Ввод!$B$4+1-SUMPRODUCT(MAX((Оплаты!$D$6:$D$505=A114)*(Оплаты!$A$6:$A$505&gt;Оплаты!$A$106)*(Ввод!$B$4+1-Оплаты!$A$6:$A$505)))))</f>
        <v/>
      </c>
      <c r="E114" s="14" t="str">
        <f>IF(A114="","",INDEX(Акты!$D$5:$D$16,B114)-SUMIFS(Оплаты!$B$6:$B$505,Оплаты!$D$6:$D$505,A114,Оплаты!$A$6:$A$505,"&lt;="&amp;Оплаты!$A$106))</f>
        <v/>
      </c>
      <c r="F114" s="14" t="str">
        <f>IF(G114="","",SUMPRODUCT(ROUND(E114*'По дням'!$L$6:$L$155/100*((((D114+'По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дням'!$J$6:$J$155)))/2+1)/'По дням'!$M$6:$M$155,2)*(1-'По дням'!$N$6:$N$155)))</f>
        <v/>
      </c>
      <c r="G114" s="22" t="str">
        <f t="shared" si="1"/>
        <v/>
      </c>
      <c r="H114" s="14" t="str">
        <f>IF(G114="","",SUMIFS(Оплаты!$B$6:$B$505,Оплаты!$D$6:$D$505,A114,Оплаты!$A$6:$A$505,D114))</f>
        <v/>
      </c>
      <c r="I114" t="str">
        <f>IF(G114="","",SUMPRODUCT((((((D114+'По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дням'!$J$6:$J$155)))/2+1)&gt;0)*1))</f>
        <v/>
      </c>
    </row>
    <row r="115" spans="1:9" x14ac:dyDescent="0.3">
      <c r="A115" t="str">
        <f>IF(AND(Оплаты!$E$107="ок",COUNTIFS(Акты!$B$5:$B$16,Оплаты!$D$107,Акты!$H$5:$H$16,"ок")&gt;0,COUNTIFS(Оплаты!$D$6:$D$106,Оплаты!$D$107,Оплаты!$A$6:$A$106,Оплаты!$A$107)=0),Оплаты!$D$107,"")</f>
        <v/>
      </c>
      <c r="B115" t="str">
        <f>IF(A115="","",MATCH(A115,Акты!$B$5:$B$16,0))</f>
        <v/>
      </c>
      <c r="C115" s="21" t="str">
        <f>IF(A115="","",Оплаты!$A$107+1)</f>
        <v/>
      </c>
      <c r="D115" s="21" t="str">
        <f>IF(A115="","",MIN(Ввод!$B$4,Ввод!$B$4+1-SUMPRODUCT(MAX((Оплаты!$D$6:$D$505=A115)*(Оплаты!$A$6:$A$505&gt;Оплаты!$A$107)*(Ввод!$B$4+1-Оплаты!$A$6:$A$505)))))</f>
        <v/>
      </c>
      <c r="E115" s="14" t="str">
        <f>IF(A115="","",INDEX(Акты!$D$5:$D$16,B115)-SUMIFS(Оплаты!$B$6:$B$505,Оплаты!$D$6:$D$505,A115,Оплаты!$A$6:$A$505,"&lt;="&amp;Оплаты!$A$107))</f>
        <v/>
      </c>
      <c r="F115" s="14" t="str">
        <f>IF(G115="","",SUMPRODUCT(ROUND(E115*'По дням'!$L$6:$L$155/100*((((D115+'По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дням'!$J$6:$J$155)))/2+1)/'По дням'!$M$6:$M$155,2)*(1-'По дням'!$N$6:$N$155)))</f>
        <v/>
      </c>
      <c r="G115" s="22" t="str">
        <f t="shared" si="1"/>
        <v/>
      </c>
      <c r="H115" s="14" t="str">
        <f>IF(G115="","",SUMIFS(Оплаты!$B$6:$B$505,Оплаты!$D$6:$D$505,A115,Оплаты!$A$6:$A$505,D115))</f>
        <v/>
      </c>
      <c r="I115" t="str">
        <f>IF(G115="","",SUMPRODUCT((((((D115+'По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дням'!$J$6:$J$155)))/2+1)&gt;0)*1))</f>
        <v/>
      </c>
    </row>
    <row r="116" spans="1:9" x14ac:dyDescent="0.3">
      <c r="A116" t="str">
        <f>IF(AND(Оплаты!$E$108="ок",COUNTIFS(Акты!$B$5:$B$16,Оплаты!$D$108,Акты!$H$5:$H$16,"ок")&gt;0,COUNTIFS(Оплаты!$D$6:$D$107,Оплаты!$D$108,Оплаты!$A$6:$A$107,Оплаты!$A$108)=0),Оплаты!$D$108,"")</f>
        <v/>
      </c>
      <c r="B116" t="str">
        <f>IF(A116="","",MATCH(A116,Акты!$B$5:$B$16,0))</f>
        <v/>
      </c>
      <c r="C116" s="21" t="str">
        <f>IF(A116="","",Оплаты!$A$108+1)</f>
        <v/>
      </c>
      <c r="D116" s="21" t="str">
        <f>IF(A116="","",MIN(Ввод!$B$4,Ввод!$B$4+1-SUMPRODUCT(MAX((Оплаты!$D$6:$D$505=A116)*(Оплаты!$A$6:$A$505&gt;Оплаты!$A$108)*(Ввод!$B$4+1-Оплаты!$A$6:$A$505)))))</f>
        <v/>
      </c>
      <c r="E116" s="14" t="str">
        <f>IF(A116="","",INDEX(Акты!$D$5:$D$16,B116)-SUMIFS(Оплаты!$B$6:$B$505,Оплаты!$D$6:$D$505,A116,Оплаты!$A$6:$A$505,"&lt;="&amp;Оплаты!$A$108))</f>
        <v/>
      </c>
      <c r="F116" s="14" t="str">
        <f>IF(G116="","",SUMPRODUCT(ROUND(E116*'По дням'!$L$6:$L$155/100*((((D116+'По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дням'!$J$6:$J$155)))/2+1)/'По дням'!$M$6:$M$155,2)*(1-'По дням'!$N$6:$N$155)))</f>
        <v/>
      </c>
      <c r="G116" s="22" t="str">
        <f t="shared" si="1"/>
        <v/>
      </c>
      <c r="H116" s="14" t="str">
        <f>IF(G116="","",SUMIFS(Оплаты!$B$6:$B$505,Оплаты!$D$6:$D$505,A116,Оплаты!$A$6:$A$505,D116))</f>
        <v/>
      </c>
      <c r="I116" t="str">
        <f>IF(G116="","",SUMPRODUCT((((((D116+'По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дням'!$J$6:$J$155)))/2+1)&gt;0)*1))</f>
        <v/>
      </c>
    </row>
    <row r="117" spans="1:9" x14ac:dyDescent="0.3">
      <c r="A117" t="str">
        <f>IF(AND(Оплаты!$E$109="ок",COUNTIFS(Акты!$B$5:$B$16,Оплаты!$D$109,Акты!$H$5:$H$16,"ок")&gt;0,COUNTIFS(Оплаты!$D$6:$D$108,Оплаты!$D$109,Оплаты!$A$6:$A$108,Оплаты!$A$109)=0),Оплаты!$D$109,"")</f>
        <v/>
      </c>
      <c r="B117" t="str">
        <f>IF(A117="","",MATCH(A117,Акты!$B$5:$B$16,0))</f>
        <v/>
      </c>
      <c r="C117" s="21" t="str">
        <f>IF(A117="","",Оплаты!$A$109+1)</f>
        <v/>
      </c>
      <c r="D117" s="21" t="str">
        <f>IF(A117="","",MIN(Ввод!$B$4,Ввод!$B$4+1-SUMPRODUCT(MAX((Оплаты!$D$6:$D$505=A117)*(Оплаты!$A$6:$A$505&gt;Оплаты!$A$109)*(Ввод!$B$4+1-Оплаты!$A$6:$A$505)))))</f>
        <v/>
      </c>
      <c r="E117" s="14" t="str">
        <f>IF(A117="","",INDEX(Акты!$D$5:$D$16,B117)-SUMIFS(Оплаты!$B$6:$B$505,Оплаты!$D$6:$D$505,A117,Оплаты!$A$6:$A$505,"&lt;="&amp;Оплаты!$A$109))</f>
        <v/>
      </c>
      <c r="F117" s="14" t="str">
        <f>IF(G117="","",SUMPRODUCT(ROUND(E117*'По дням'!$L$6:$L$155/100*((((D117+'По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дням'!$J$6:$J$155)))/2+1)/'По дням'!$M$6:$M$155,2)*(1-'По дням'!$N$6:$N$155)))</f>
        <v/>
      </c>
      <c r="G117" s="22" t="str">
        <f t="shared" si="1"/>
        <v/>
      </c>
      <c r="H117" s="14" t="str">
        <f>IF(G117="","",SUMIFS(Оплаты!$B$6:$B$505,Оплаты!$D$6:$D$505,A117,Оплаты!$A$6:$A$505,D117))</f>
        <v/>
      </c>
      <c r="I117" t="str">
        <f>IF(G117="","",SUMPRODUCT((((((D117+'По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дням'!$J$6:$J$155)))/2+1)&gt;0)*1))</f>
        <v/>
      </c>
    </row>
    <row r="118" spans="1:9" x14ac:dyDescent="0.3">
      <c r="A118" t="str">
        <f>IF(AND(Оплаты!$E$110="ок",COUNTIFS(Акты!$B$5:$B$16,Оплаты!$D$110,Акты!$H$5:$H$16,"ок")&gt;0,COUNTIFS(Оплаты!$D$6:$D$109,Оплаты!$D$110,Оплаты!$A$6:$A$109,Оплаты!$A$110)=0),Оплаты!$D$110,"")</f>
        <v/>
      </c>
      <c r="B118" t="str">
        <f>IF(A118="","",MATCH(A118,Акты!$B$5:$B$16,0))</f>
        <v/>
      </c>
      <c r="C118" s="21" t="str">
        <f>IF(A118="","",Оплаты!$A$110+1)</f>
        <v/>
      </c>
      <c r="D118" s="21" t="str">
        <f>IF(A118="","",MIN(Ввод!$B$4,Ввод!$B$4+1-SUMPRODUCT(MAX((Оплаты!$D$6:$D$505=A118)*(Оплаты!$A$6:$A$505&gt;Оплаты!$A$110)*(Ввод!$B$4+1-Оплаты!$A$6:$A$505)))))</f>
        <v/>
      </c>
      <c r="E118" s="14" t="str">
        <f>IF(A118="","",INDEX(Акты!$D$5:$D$16,B118)-SUMIFS(Оплаты!$B$6:$B$505,Оплаты!$D$6:$D$505,A118,Оплаты!$A$6:$A$505,"&lt;="&amp;Оплаты!$A$110))</f>
        <v/>
      </c>
      <c r="F118" s="14" t="str">
        <f>IF(G118="","",SUMPRODUCT(ROUND(E118*'По дням'!$L$6:$L$155/100*((((D118+'По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дням'!$J$6:$J$155)))/2+1)/'По дням'!$M$6:$M$155,2)*(1-'По дням'!$N$6:$N$155)))</f>
        <v/>
      </c>
      <c r="G118" s="22" t="str">
        <f t="shared" si="1"/>
        <v/>
      </c>
      <c r="H118" s="14" t="str">
        <f>IF(G118="","",SUMIFS(Оплаты!$B$6:$B$505,Оплаты!$D$6:$D$505,A118,Оплаты!$A$6:$A$505,D118))</f>
        <v/>
      </c>
      <c r="I118" t="str">
        <f>IF(G118="","",SUMPRODUCT((((((D118+'По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дням'!$J$6:$J$155)))/2+1)&gt;0)*1))</f>
        <v/>
      </c>
    </row>
    <row r="119" spans="1:9" x14ac:dyDescent="0.3">
      <c r="A119" t="str">
        <f>IF(AND(Оплаты!$E$111="ок",COUNTIFS(Акты!$B$5:$B$16,Оплаты!$D$111,Акты!$H$5:$H$16,"ок")&gt;0,COUNTIFS(Оплаты!$D$6:$D$110,Оплаты!$D$111,Оплаты!$A$6:$A$110,Оплаты!$A$111)=0),Оплаты!$D$111,"")</f>
        <v/>
      </c>
      <c r="B119" t="str">
        <f>IF(A119="","",MATCH(A119,Акты!$B$5:$B$16,0))</f>
        <v/>
      </c>
      <c r="C119" s="21" t="str">
        <f>IF(A119="","",Оплаты!$A$111+1)</f>
        <v/>
      </c>
      <c r="D119" s="21" t="str">
        <f>IF(A119="","",MIN(Ввод!$B$4,Ввод!$B$4+1-SUMPRODUCT(MAX((Оплаты!$D$6:$D$505=A119)*(Оплаты!$A$6:$A$505&gt;Оплаты!$A$111)*(Ввод!$B$4+1-Оплаты!$A$6:$A$505)))))</f>
        <v/>
      </c>
      <c r="E119" s="14" t="str">
        <f>IF(A119="","",INDEX(Акты!$D$5:$D$16,B119)-SUMIFS(Оплаты!$B$6:$B$505,Оплаты!$D$6:$D$505,A119,Оплаты!$A$6:$A$505,"&lt;="&amp;Оплаты!$A$111))</f>
        <v/>
      </c>
      <c r="F119" s="14" t="str">
        <f>IF(G119="","",SUMPRODUCT(ROUND(E119*'По дням'!$L$6:$L$155/100*((((D119+'По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дням'!$J$6:$J$155)))/2+1)/'По дням'!$M$6:$M$155,2)*(1-'По дням'!$N$6:$N$155)))</f>
        <v/>
      </c>
      <c r="G119" s="22" t="str">
        <f t="shared" si="1"/>
        <v/>
      </c>
      <c r="H119" s="14" t="str">
        <f>IF(G119="","",SUMIFS(Оплаты!$B$6:$B$505,Оплаты!$D$6:$D$505,A119,Оплаты!$A$6:$A$505,D119))</f>
        <v/>
      </c>
      <c r="I119" t="str">
        <f>IF(G119="","",SUMPRODUCT((((((D119+'По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дням'!$J$6:$J$155)))/2+1)&gt;0)*1))</f>
        <v/>
      </c>
    </row>
    <row r="120" spans="1:9" x14ac:dyDescent="0.3">
      <c r="A120" t="str">
        <f>IF(AND(Оплаты!$E$112="ок",COUNTIFS(Акты!$B$5:$B$16,Оплаты!$D$112,Акты!$H$5:$H$16,"ок")&gt;0,COUNTIFS(Оплаты!$D$6:$D$111,Оплаты!$D$112,Оплаты!$A$6:$A$111,Оплаты!$A$112)=0),Оплаты!$D$112,"")</f>
        <v/>
      </c>
      <c r="B120" t="str">
        <f>IF(A120="","",MATCH(A120,Акты!$B$5:$B$16,0))</f>
        <v/>
      </c>
      <c r="C120" s="21" t="str">
        <f>IF(A120="","",Оплаты!$A$112+1)</f>
        <v/>
      </c>
      <c r="D120" s="21" t="str">
        <f>IF(A120="","",MIN(Ввод!$B$4,Ввод!$B$4+1-SUMPRODUCT(MAX((Оплаты!$D$6:$D$505=A120)*(Оплаты!$A$6:$A$505&gt;Оплаты!$A$112)*(Ввод!$B$4+1-Оплаты!$A$6:$A$505)))))</f>
        <v/>
      </c>
      <c r="E120" s="14" t="str">
        <f>IF(A120="","",INDEX(Акты!$D$5:$D$16,B120)-SUMIFS(Оплаты!$B$6:$B$505,Оплаты!$D$6:$D$505,A120,Оплаты!$A$6:$A$505,"&lt;="&amp;Оплаты!$A$112))</f>
        <v/>
      </c>
      <c r="F120" s="14" t="str">
        <f>IF(G120="","",SUMPRODUCT(ROUND(E120*'По дням'!$L$6:$L$155/100*((((D120+'По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дням'!$J$6:$J$155)))/2+1)/'По дням'!$M$6:$M$155,2)*(1-'По дням'!$N$6:$N$155)))</f>
        <v/>
      </c>
      <c r="G120" s="22" t="str">
        <f t="shared" si="1"/>
        <v/>
      </c>
      <c r="H120" s="14" t="str">
        <f>IF(G120="","",SUMIFS(Оплаты!$B$6:$B$505,Оплаты!$D$6:$D$505,A120,Оплаты!$A$6:$A$505,D120))</f>
        <v/>
      </c>
      <c r="I120" t="str">
        <f>IF(G120="","",SUMPRODUCT((((((D120+'По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дням'!$J$6:$J$155)))/2+1)&gt;0)*1))</f>
        <v/>
      </c>
    </row>
    <row r="121" spans="1:9" x14ac:dyDescent="0.3">
      <c r="A121" t="str">
        <f>IF(AND(Оплаты!$E$113="ок",COUNTIFS(Акты!$B$5:$B$16,Оплаты!$D$113,Акты!$H$5:$H$16,"ок")&gt;0,COUNTIFS(Оплаты!$D$6:$D$112,Оплаты!$D$113,Оплаты!$A$6:$A$112,Оплаты!$A$113)=0),Оплаты!$D$113,"")</f>
        <v/>
      </c>
      <c r="B121" t="str">
        <f>IF(A121="","",MATCH(A121,Акты!$B$5:$B$16,0))</f>
        <v/>
      </c>
      <c r="C121" s="21" t="str">
        <f>IF(A121="","",Оплаты!$A$113+1)</f>
        <v/>
      </c>
      <c r="D121" s="21" t="str">
        <f>IF(A121="","",MIN(Ввод!$B$4,Ввод!$B$4+1-SUMPRODUCT(MAX((Оплаты!$D$6:$D$505=A121)*(Оплаты!$A$6:$A$505&gt;Оплаты!$A$113)*(Ввод!$B$4+1-Оплаты!$A$6:$A$505)))))</f>
        <v/>
      </c>
      <c r="E121" s="14" t="str">
        <f>IF(A121="","",INDEX(Акты!$D$5:$D$16,B121)-SUMIFS(Оплаты!$B$6:$B$505,Оплаты!$D$6:$D$505,A121,Оплаты!$A$6:$A$505,"&lt;="&amp;Оплаты!$A$113))</f>
        <v/>
      </c>
      <c r="F121" s="14" t="str">
        <f>IF(G121="","",SUMPRODUCT(ROUND(E121*'По дням'!$L$6:$L$155/100*((((D121+'По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дням'!$J$6:$J$155)))/2+1)/'По дням'!$M$6:$M$155,2)*(1-'По дням'!$N$6:$N$155)))</f>
        <v/>
      </c>
      <c r="G121" s="22" t="str">
        <f t="shared" si="1"/>
        <v/>
      </c>
      <c r="H121" s="14" t="str">
        <f>IF(G121="","",SUMIFS(Оплаты!$B$6:$B$505,Оплаты!$D$6:$D$505,A121,Оплаты!$A$6:$A$505,D121))</f>
        <v/>
      </c>
      <c r="I121" t="str">
        <f>IF(G121="","",SUMPRODUCT((((((D121+'По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дням'!$J$6:$J$155)))/2+1)&gt;0)*1))</f>
        <v/>
      </c>
    </row>
    <row r="122" spans="1:9" x14ac:dyDescent="0.3">
      <c r="A122" t="str">
        <f>IF(AND(Оплаты!$E$114="ок",COUNTIFS(Акты!$B$5:$B$16,Оплаты!$D$114,Акты!$H$5:$H$16,"ок")&gt;0,COUNTIFS(Оплаты!$D$6:$D$113,Оплаты!$D$114,Оплаты!$A$6:$A$113,Оплаты!$A$114)=0),Оплаты!$D$114,"")</f>
        <v/>
      </c>
      <c r="B122" t="str">
        <f>IF(A122="","",MATCH(A122,Акты!$B$5:$B$16,0))</f>
        <v/>
      </c>
      <c r="C122" s="21" t="str">
        <f>IF(A122="","",Оплаты!$A$114+1)</f>
        <v/>
      </c>
      <c r="D122" s="21" t="str">
        <f>IF(A122="","",MIN(Ввод!$B$4,Ввод!$B$4+1-SUMPRODUCT(MAX((Оплаты!$D$6:$D$505=A122)*(Оплаты!$A$6:$A$505&gt;Оплаты!$A$114)*(Ввод!$B$4+1-Оплаты!$A$6:$A$505)))))</f>
        <v/>
      </c>
      <c r="E122" s="14" t="str">
        <f>IF(A122="","",INDEX(Акты!$D$5:$D$16,B122)-SUMIFS(Оплаты!$B$6:$B$505,Оплаты!$D$6:$D$505,A122,Оплаты!$A$6:$A$505,"&lt;="&amp;Оплаты!$A$114))</f>
        <v/>
      </c>
      <c r="F122" s="14" t="str">
        <f>IF(G122="","",SUMPRODUCT(ROUND(E122*'По дням'!$L$6:$L$155/100*((((D122+'По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дням'!$J$6:$J$155)))/2+1)/'По дням'!$M$6:$M$155,2)*(1-'По дням'!$N$6:$N$155)))</f>
        <v/>
      </c>
      <c r="G122" s="22" t="str">
        <f t="shared" si="1"/>
        <v/>
      </c>
      <c r="H122" s="14" t="str">
        <f>IF(G122="","",SUMIFS(Оплаты!$B$6:$B$505,Оплаты!$D$6:$D$505,A122,Оплаты!$A$6:$A$505,D122))</f>
        <v/>
      </c>
      <c r="I122" t="str">
        <f>IF(G122="","",SUMPRODUCT((((((D122+'По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дням'!$J$6:$J$155)))/2+1)&gt;0)*1))</f>
        <v/>
      </c>
    </row>
    <row r="123" spans="1:9" x14ac:dyDescent="0.3">
      <c r="A123" t="str">
        <f>IF(AND(Оплаты!$E$115="ок",COUNTIFS(Акты!$B$5:$B$16,Оплаты!$D$115,Акты!$H$5:$H$16,"ок")&gt;0,COUNTIFS(Оплаты!$D$6:$D$114,Оплаты!$D$115,Оплаты!$A$6:$A$114,Оплаты!$A$115)=0),Оплаты!$D$115,"")</f>
        <v/>
      </c>
      <c r="B123" t="str">
        <f>IF(A123="","",MATCH(A123,Акты!$B$5:$B$16,0))</f>
        <v/>
      </c>
      <c r="C123" s="21" t="str">
        <f>IF(A123="","",Оплаты!$A$115+1)</f>
        <v/>
      </c>
      <c r="D123" s="21" t="str">
        <f>IF(A123="","",MIN(Ввод!$B$4,Ввод!$B$4+1-SUMPRODUCT(MAX((Оплаты!$D$6:$D$505=A123)*(Оплаты!$A$6:$A$505&gt;Оплаты!$A$115)*(Ввод!$B$4+1-Оплаты!$A$6:$A$505)))))</f>
        <v/>
      </c>
      <c r="E123" s="14" t="str">
        <f>IF(A123="","",INDEX(Акты!$D$5:$D$16,B123)-SUMIFS(Оплаты!$B$6:$B$505,Оплаты!$D$6:$D$505,A123,Оплаты!$A$6:$A$505,"&lt;="&amp;Оплаты!$A$115))</f>
        <v/>
      </c>
      <c r="F123" s="14" t="str">
        <f>IF(G123="","",SUMPRODUCT(ROUND(E123*'По дням'!$L$6:$L$155/100*((((D123+'По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дням'!$J$6:$J$155)))/2+1)/'По дням'!$M$6:$M$155,2)*(1-'По дням'!$N$6:$N$155)))</f>
        <v/>
      </c>
      <c r="G123" s="22" t="str">
        <f t="shared" si="1"/>
        <v/>
      </c>
      <c r="H123" s="14" t="str">
        <f>IF(G123="","",SUMIFS(Оплаты!$B$6:$B$505,Оплаты!$D$6:$D$505,A123,Оплаты!$A$6:$A$505,D123))</f>
        <v/>
      </c>
      <c r="I123" t="str">
        <f>IF(G123="","",SUMPRODUCT((((((D123+'По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дням'!$J$6:$J$155)))/2+1)&gt;0)*1))</f>
        <v/>
      </c>
    </row>
    <row r="124" spans="1:9" x14ac:dyDescent="0.3">
      <c r="A124" t="str">
        <f>IF(AND(Оплаты!$E$116="ок",COUNTIFS(Акты!$B$5:$B$16,Оплаты!$D$116,Акты!$H$5:$H$16,"ок")&gt;0,COUNTIFS(Оплаты!$D$6:$D$115,Оплаты!$D$116,Оплаты!$A$6:$A$115,Оплаты!$A$116)=0),Оплаты!$D$116,"")</f>
        <v/>
      </c>
      <c r="B124" t="str">
        <f>IF(A124="","",MATCH(A124,Акты!$B$5:$B$16,0))</f>
        <v/>
      </c>
      <c r="C124" s="21" t="str">
        <f>IF(A124="","",Оплаты!$A$116+1)</f>
        <v/>
      </c>
      <c r="D124" s="21" t="str">
        <f>IF(A124="","",MIN(Ввод!$B$4,Ввод!$B$4+1-SUMPRODUCT(MAX((Оплаты!$D$6:$D$505=A124)*(Оплаты!$A$6:$A$505&gt;Оплаты!$A$116)*(Ввод!$B$4+1-Оплаты!$A$6:$A$505)))))</f>
        <v/>
      </c>
      <c r="E124" s="14" t="str">
        <f>IF(A124="","",INDEX(Акты!$D$5:$D$16,B124)-SUMIFS(Оплаты!$B$6:$B$505,Оплаты!$D$6:$D$505,A124,Оплаты!$A$6:$A$505,"&lt;="&amp;Оплаты!$A$116))</f>
        <v/>
      </c>
      <c r="F124" s="14" t="str">
        <f>IF(G124="","",SUMPRODUCT(ROUND(E124*'По дням'!$L$6:$L$155/100*((((D124+'По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дням'!$J$6:$J$155)))/2+1)/'По дням'!$M$6:$M$155,2)*(1-'По дням'!$N$6:$N$155)))</f>
        <v/>
      </c>
      <c r="G124" s="22" t="str">
        <f t="shared" si="1"/>
        <v/>
      </c>
      <c r="H124" s="14" t="str">
        <f>IF(G124="","",SUMIFS(Оплаты!$B$6:$B$505,Оплаты!$D$6:$D$505,A124,Оплаты!$A$6:$A$505,D124))</f>
        <v/>
      </c>
      <c r="I124" t="str">
        <f>IF(G124="","",SUMPRODUCT((((((D124+'По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дням'!$J$6:$J$155)))/2+1)&gt;0)*1))</f>
        <v/>
      </c>
    </row>
    <row r="125" spans="1:9" x14ac:dyDescent="0.3">
      <c r="A125" t="str">
        <f>IF(AND(Оплаты!$E$117="ок",COUNTIFS(Акты!$B$5:$B$16,Оплаты!$D$117,Акты!$H$5:$H$16,"ок")&gt;0,COUNTIFS(Оплаты!$D$6:$D$116,Оплаты!$D$117,Оплаты!$A$6:$A$116,Оплаты!$A$117)=0),Оплаты!$D$117,"")</f>
        <v/>
      </c>
      <c r="B125" t="str">
        <f>IF(A125="","",MATCH(A125,Акты!$B$5:$B$16,0))</f>
        <v/>
      </c>
      <c r="C125" s="21" t="str">
        <f>IF(A125="","",Оплаты!$A$117+1)</f>
        <v/>
      </c>
      <c r="D125" s="21" t="str">
        <f>IF(A125="","",MIN(Ввод!$B$4,Ввод!$B$4+1-SUMPRODUCT(MAX((Оплаты!$D$6:$D$505=A125)*(Оплаты!$A$6:$A$505&gt;Оплаты!$A$117)*(Ввод!$B$4+1-Оплаты!$A$6:$A$505)))))</f>
        <v/>
      </c>
      <c r="E125" s="14" t="str">
        <f>IF(A125="","",INDEX(Акты!$D$5:$D$16,B125)-SUMIFS(Оплаты!$B$6:$B$505,Оплаты!$D$6:$D$505,A125,Оплаты!$A$6:$A$505,"&lt;="&amp;Оплаты!$A$117))</f>
        <v/>
      </c>
      <c r="F125" s="14" t="str">
        <f>IF(G125="","",SUMPRODUCT(ROUND(E125*'По дням'!$L$6:$L$155/100*((((D125+'По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дням'!$J$6:$J$155)))/2+1)/'По дням'!$M$6:$M$155,2)*(1-'По дням'!$N$6:$N$155)))</f>
        <v/>
      </c>
      <c r="G125" s="22" t="str">
        <f t="shared" si="1"/>
        <v/>
      </c>
      <c r="H125" s="14" t="str">
        <f>IF(G125="","",SUMIFS(Оплаты!$B$6:$B$505,Оплаты!$D$6:$D$505,A125,Оплаты!$A$6:$A$505,D125))</f>
        <v/>
      </c>
      <c r="I125" t="str">
        <f>IF(G125="","",SUMPRODUCT((((((D125+'По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дням'!$J$6:$J$155)))/2+1)&gt;0)*1))</f>
        <v/>
      </c>
    </row>
    <row r="126" spans="1:9" x14ac:dyDescent="0.3">
      <c r="A126" t="str">
        <f>IF(AND(Оплаты!$E$118="ок",COUNTIFS(Акты!$B$5:$B$16,Оплаты!$D$118,Акты!$H$5:$H$16,"ок")&gt;0,COUNTIFS(Оплаты!$D$6:$D$117,Оплаты!$D$118,Оплаты!$A$6:$A$117,Оплаты!$A$118)=0),Оплаты!$D$118,"")</f>
        <v/>
      </c>
      <c r="B126" t="str">
        <f>IF(A126="","",MATCH(A126,Акты!$B$5:$B$16,0))</f>
        <v/>
      </c>
      <c r="C126" s="21" t="str">
        <f>IF(A126="","",Оплаты!$A$118+1)</f>
        <v/>
      </c>
      <c r="D126" s="21" t="str">
        <f>IF(A126="","",MIN(Ввод!$B$4,Ввод!$B$4+1-SUMPRODUCT(MAX((Оплаты!$D$6:$D$505=A126)*(Оплаты!$A$6:$A$505&gt;Оплаты!$A$118)*(Ввод!$B$4+1-Оплаты!$A$6:$A$505)))))</f>
        <v/>
      </c>
      <c r="E126" s="14" t="str">
        <f>IF(A126="","",INDEX(Акты!$D$5:$D$16,B126)-SUMIFS(Оплаты!$B$6:$B$505,Оплаты!$D$6:$D$505,A126,Оплаты!$A$6:$A$505,"&lt;="&amp;Оплаты!$A$118))</f>
        <v/>
      </c>
      <c r="F126" s="14" t="str">
        <f>IF(G126="","",SUMPRODUCT(ROUND(E126*'По дням'!$L$6:$L$155/100*((((D126+'По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дням'!$J$6:$J$155)))/2+1)/'По дням'!$M$6:$M$155,2)*(1-'По дням'!$N$6:$N$155)))</f>
        <v/>
      </c>
      <c r="G126" s="22" t="str">
        <f t="shared" si="1"/>
        <v/>
      </c>
      <c r="H126" s="14" t="str">
        <f>IF(G126="","",SUMIFS(Оплаты!$B$6:$B$505,Оплаты!$D$6:$D$505,A126,Оплаты!$A$6:$A$505,D126))</f>
        <v/>
      </c>
      <c r="I126" t="str">
        <f>IF(G126="","",SUMPRODUCT((((((D126+'По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дням'!$J$6:$J$155)))/2+1)&gt;0)*1))</f>
        <v/>
      </c>
    </row>
    <row r="127" spans="1:9" x14ac:dyDescent="0.3">
      <c r="A127" t="str">
        <f>IF(AND(Оплаты!$E$119="ок",COUNTIFS(Акты!$B$5:$B$16,Оплаты!$D$119,Акты!$H$5:$H$16,"ок")&gt;0,COUNTIFS(Оплаты!$D$6:$D$118,Оплаты!$D$119,Оплаты!$A$6:$A$118,Оплаты!$A$119)=0),Оплаты!$D$119,"")</f>
        <v/>
      </c>
      <c r="B127" t="str">
        <f>IF(A127="","",MATCH(A127,Акты!$B$5:$B$16,0))</f>
        <v/>
      </c>
      <c r="C127" s="21" t="str">
        <f>IF(A127="","",Оплаты!$A$119+1)</f>
        <v/>
      </c>
      <c r="D127" s="21" t="str">
        <f>IF(A127="","",MIN(Ввод!$B$4,Ввод!$B$4+1-SUMPRODUCT(MAX((Оплаты!$D$6:$D$505=A127)*(Оплаты!$A$6:$A$505&gt;Оплаты!$A$119)*(Ввод!$B$4+1-Оплаты!$A$6:$A$505)))))</f>
        <v/>
      </c>
      <c r="E127" s="14" t="str">
        <f>IF(A127="","",INDEX(Акты!$D$5:$D$16,B127)-SUMIFS(Оплаты!$B$6:$B$505,Оплаты!$D$6:$D$505,A127,Оплаты!$A$6:$A$505,"&lt;="&amp;Оплаты!$A$119))</f>
        <v/>
      </c>
      <c r="F127" s="14" t="str">
        <f>IF(G127="","",SUMPRODUCT(ROUND(E127*'По дням'!$L$6:$L$155/100*((((D127+'По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дням'!$J$6:$J$155)))/2+1)/'По дням'!$M$6:$M$155,2)*(1-'По дням'!$N$6:$N$155)))</f>
        <v/>
      </c>
      <c r="G127" s="22" t="str">
        <f t="shared" si="1"/>
        <v/>
      </c>
      <c r="H127" s="14" t="str">
        <f>IF(G127="","",SUMIFS(Оплаты!$B$6:$B$505,Оплаты!$D$6:$D$505,A127,Оплаты!$A$6:$A$505,D127))</f>
        <v/>
      </c>
      <c r="I127" t="str">
        <f>IF(G127="","",SUMPRODUCT((((((D127+'По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дням'!$J$6:$J$155)))/2+1)&gt;0)*1))</f>
        <v/>
      </c>
    </row>
    <row r="128" spans="1:9" x14ac:dyDescent="0.3">
      <c r="A128" t="str">
        <f>IF(AND(Оплаты!$E$120="ок",COUNTIFS(Акты!$B$5:$B$16,Оплаты!$D$120,Акты!$H$5:$H$16,"ок")&gt;0,COUNTIFS(Оплаты!$D$6:$D$119,Оплаты!$D$120,Оплаты!$A$6:$A$119,Оплаты!$A$120)=0),Оплаты!$D$120,"")</f>
        <v/>
      </c>
      <c r="B128" t="str">
        <f>IF(A128="","",MATCH(A128,Акты!$B$5:$B$16,0))</f>
        <v/>
      </c>
      <c r="C128" s="21" t="str">
        <f>IF(A128="","",Оплаты!$A$120+1)</f>
        <v/>
      </c>
      <c r="D128" s="21" t="str">
        <f>IF(A128="","",MIN(Ввод!$B$4,Ввод!$B$4+1-SUMPRODUCT(MAX((Оплаты!$D$6:$D$505=A128)*(Оплаты!$A$6:$A$505&gt;Оплаты!$A$120)*(Ввод!$B$4+1-Оплаты!$A$6:$A$505)))))</f>
        <v/>
      </c>
      <c r="E128" s="14" t="str">
        <f>IF(A128="","",INDEX(Акты!$D$5:$D$16,B128)-SUMIFS(Оплаты!$B$6:$B$505,Оплаты!$D$6:$D$505,A128,Оплаты!$A$6:$A$505,"&lt;="&amp;Оплаты!$A$120))</f>
        <v/>
      </c>
      <c r="F128" s="14" t="str">
        <f>IF(G128="","",SUMPRODUCT(ROUND(E128*'По дням'!$L$6:$L$155/100*((((D128+'По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дням'!$J$6:$J$155)))/2+1)/'По дням'!$M$6:$M$155,2)*(1-'По дням'!$N$6:$N$155)))</f>
        <v/>
      </c>
      <c r="G128" s="22" t="str">
        <f t="shared" si="1"/>
        <v/>
      </c>
      <c r="H128" s="14" t="str">
        <f>IF(G128="","",SUMIFS(Оплаты!$B$6:$B$505,Оплаты!$D$6:$D$505,A128,Оплаты!$A$6:$A$505,D128))</f>
        <v/>
      </c>
      <c r="I128" t="str">
        <f>IF(G128="","",SUMPRODUCT((((((D128+'По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дням'!$J$6:$J$155)))/2+1)&gt;0)*1))</f>
        <v/>
      </c>
    </row>
    <row r="129" spans="1:9" x14ac:dyDescent="0.3">
      <c r="A129" t="str">
        <f>IF(AND(Оплаты!$E$121="ок",COUNTIFS(Акты!$B$5:$B$16,Оплаты!$D$121,Акты!$H$5:$H$16,"ок")&gt;0,COUNTIFS(Оплаты!$D$6:$D$120,Оплаты!$D$121,Оплаты!$A$6:$A$120,Оплаты!$A$121)=0),Оплаты!$D$121,"")</f>
        <v/>
      </c>
      <c r="B129" t="str">
        <f>IF(A129="","",MATCH(A129,Акты!$B$5:$B$16,0))</f>
        <v/>
      </c>
      <c r="C129" s="21" t="str">
        <f>IF(A129="","",Оплаты!$A$121+1)</f>
        <v/>
      </c>
      <c r="D129" s="21" t="str">
        <f>IF(A129="","",MIN(Ввод!$B$4,Ввод!$B$4+1-SUMPRODUCT(MAX((Оплаты!$D$6:$D$505=A129)*(Оплаты!$A$6:$A$505&gt;Оплаты!$A$121)*(Ввод!$B$4+1-Оплаты!$A$6:$A$505)))))</f>
        <v/>
      </c>
      <c r="E129" s="14" t="str">
        <f>IF(A129="","",INDEX(Акты!$D$5:$D$16,B129)-SUMIFS(Оплаты!$B$6:$B$505,Оплаты!$D$6:$D$505,A129,Оплаты!$A$6:$A$505,"&lt;="&amp;Оплаты!$A$121))</f>
        <v/>
      </c>
      <c r="F129" s="14" t="str">
        <f>IF(G129="","",SUMPRODUCT(ROUND(E129*'По дням'!$L$6:$L$155/100*((((D129+'По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дням'!$J$6:$J$155)))/2+1)/'По дням'!$M$6:$M$155,2)*(1-'По дням'!$N$6:$N$155)))</f>
        <v/>
      </c>
      <c r="G129" s="22" t="str">
        <f t="shared" si="1"/>
        <v/>
      </c>
      <c r="H129" s="14" t="str">
        <f>IF(G129="","",SUMIFS(Оплаты!$B$6:$B$505,Оплаты!$D$6:$D$505,A129,Оплаты!$A$6:$A$505,D129))</f>
        <v/>
      </c>
      <c r="I129" t="str">
        <f>IF(G129="","",SUMPRODUCT((((((D129+'По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дням'!$J$6:$J$155)))/2+1)&gt;0)*1))</f>
        <v/>
      </c>
    </row>
    <row r="130" spans="1:9" x14ac:dyDescent="0.3">
      <c r="A130" t="str">
        <f>IF(AND(Оплаты!$E$122="ок",COUNTIFS(Акты!$B$5:$B$16,Оплаты!$D$122,Акты!$H$5:$H$16,"ок")&gt;0,COUNTIFS(Оплаты!$D$6:$D$121,Оплаты!$D$122,Оплаты!$A$6:$A$121,Оплаты!$A$122)=0),Оплаты!$D$122,"")</f>
        <v/>
      </c>
      <c r="B130" t="str">
        <f>IF(A130="","",MATCH(A130,Акты!$B$5:$B$16,0))</f>
        <v/>
      </c>
      <c r="C130" s="21" t="str">
        <f>IF(A130="","",Оплаты!$A$122+1)</f>
        <v/>
      </c>
      <c r="D130" s="21" t="str">
        <f>IF(A130="","",MIN(Ввод!$B$4,Ввод!$B$4+1-SUMPRODUCT(MAX((Оплаты!$D$6:$D$505=A130)*(Оплаты!$A$6:$A$505&gt;Оплаты!$A$122)*(Ввод!$B$4+1-Оплаты!$A$6:$A$505)))))</f>
        <v/>
      </c>
      <c r="E130" s="14" t="str">
        <f>IF(A130="","",INDEX(Акты!$D$5:$D$16,B130)-SUMIFS(Оплаты!$B$6:$B$505,Оплаты!$D$6:$D$505,A130,Оплаты!$A$6:$A$505,"&lt;="&amp;Оплаты!$A$122))</f>
        <v/>
      </c>
      <c r="F130" s="14" t="str">
        <f>IF(G130="","",SUMPRODUCT(ROUND(E130*'По дням'!$L$6:$L$155/100*((((D130+'По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дням'!$J$6:$J$155)))/2+1)/'По дням'!$M$6:$M$155,2)*(1-'По дням'!$N$6:$N$155)))</f>
        <v/>
      </c>
      <c r="G130" s="22" t="str">
        <f t="shared" ref="G130:G193" si="2">IF(A130="","",IF(C130&gt;D130,"",B130*1000000+C130))</f>
        <v/>
      </c>
      <c r="H130" s="14" t="str">
        <f>IF(G130="","",SUMIFS(Оплаты!$B$6:$B$505,Оплаты!$D$6:$D$505,A130,Оплаты!$A$6:$A$505,D130))</f>
        <v/>
      </c>
      <c r="I130" t="str">
        <f>IF(G130="","",SUMPRODUCT((((((D130+'По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дням'!$J$6:$J$155)))/2+1)&gt;0)*1))</f>
        <v/>
      </c>
    </row>
    <row r="131" spans="1:9" x14ac:dyDescent="0.3">
      <c r="A131" t="str">
        <f>IF(AND(Оплаты!$E$123="ок",COUNTIFS(Акты!$B$5:$B$16,Оплаты!$D$123,Акты!$H$5:$H$16,"ок")&gt;0,COUNTIFS(Оплаты!$D$6:$D$122,Оплаты!$D$123,Оплаты!$A$6:$A$122,Оплаты!$A$123)=0),Оплаты!$D$123,"")</f>
        <v/>
      </c>
      <c r="B131" t="str">
        <f>IF(A131="","",MATCH(A131,Акты!$B$5:$B$16,0))</f>
        <v/>
      </c>
      <c r="C131" s="21" t="str">
        <f>IF(A131="","",Оплаты!$A$123+1)</f>
        <v/>
      </c>
      <c r="D131" s="21" t="str">
        <f>IF(A131="","",MIN(Ввод!$B$4,Ввод!$B$4+1-SUMPRODUCT(MAX((Оплаты!$D$6:$D$505=A131)*(Оплаты!$A$6:$A$505&gt;Оплаты!$A$123)*(Ввод!$B$4+1-Оплаты!$A$6:$A$505)))))</f>
        <v/>
      </c>
      <c r="E131" s="14" t="str">
        <f>IF(A131="","",INDEX(Акты!$D$5:$D$16,B131)-SUMIFS(Оплаты!$B$6:$B$505,Оплаты!$D$6:$D$505,A131,Оплаты!$A$6:$A$505,"&lt;="&amp;Оплаты!$A$123))</f>
        <v/>
      </c>
      <c r="F131" s="14" t="str">
        <f>IF(G131="","",SUMPRODUCT(ROUND(E131*'По дням'!$L$6:$L$155/100*((((D131+'По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дням'!$J$6:$J$155)))/2+1)/'По дням'!$M$6:$M$155,2)*(1-'По дням'!$N$6:$N$155)))</f>
        <v/>
      </c>
      <c r="G131" s="22" t="str">
        <f t="shared" si="2"/>
        <v/>
      </c>
      <c r="H131" s="14" t="str">
        <f>IF(G131="","",SUMIFS(Оплаты!$B$6:$B$505,Оплаты!$D$6:$D$505,A131,Оплаты!$A$6:$A$505,D131))</f>
        <v/>
      </c>
      <c r="I131" t="str">
        <f>IF(G131="","",SUMPRODUCT((((((D131+'По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дням'!$J$6:$J$155)))/2+1)&gt;0)*1))</f>
        <v/>
      </c>
    </row>
    <row r="132" spans="1:9" x14ac:dyDescent="0.3">
      <c r="A132" t="str">
        <f>IF(AND(Оплаты!$E$124="ок",COUNTIFS(Акты!$B$5:$B$16,Оплаты!$D$124,Акты!$H$5:$H$16,"ок")&gt;0,COUNTIFS(Оплаты!$D$6:$D$123,Оплаты!$D$124,Оплаты!$A$6:$A$123,Оплаты!$A$124)=0),Оплаты!$D$124,"")</f>
        <v/>
      </c>
      <c r="B132" t="str">
        <f>IF(A132="","",MATCH(A132,Акты!$B$5:$B$16,0))</f>
        <v/>
      </c>
      <c r="C132" s="21" t="str">
        <f>IF(A132="","",Оплаты!$A$124+1)</f>
        <v/>
      </c>
      <c r="D132" s="21" t="str">
        <f>IF(A132="","",MIN(Ввод!$B$4,Ввод!$B$4+1-SUMPRODUCT(MAX((Оплаты!$D$6:$D$505=A132)*(Оплаты!$A$6:$A$505&gt;Оплаты!$A$124)*(Ввод!$B$4+1-Оплаты!$A$6:$A$505)))))</f>
        <v/>
      </c>
      <c r="E132" s="14" t="str">
        <f>IF(A132="","",INDEX(Акты!$D$5:$D$16,B132)-SUMIFS(Оплаты!$B$6:$B$505,Оплаты!$D$6:$D$505,A132,Оплаты!$A$6:$A$505,"&lt;="&amp;Оплаты!$A$124))</f>
        <v/>
      </c>
      <c r="F132" s="14" t="str">
        <f>IF(G132="","",SUMPRODUCT(ROUND(E132*'По дням'!$L$6:$L$155/100*((((D132+'По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дням'!$J$6:$J$155)))/2+1)/'По дням'!$M$6:$M$155,2)*(1-'По дням'!$N$6:$N$155)))</f>
        <v/>
      </c>
      <c r="G132" s="22" t="str">
        <f t="shared" si="2"/>
        <v/>
      </c>
      <c r="H132" s="14" t="str">
        <f>IF(G132="","",SUMIFS(Оплаты!$B$6:$B$505,Оплаты!$D$6:$D$505,A132,Оплаты!$A$6:$A$505,D132))</f>
        <v/>
      </c>
      <c r="I132" t="str">
        <f>IF(G132="","",SUMPRODUCT((((((D132+'По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дням'!$J$6:$J$155)))/2+1)&gt;0)*1))</f>
        <v/>
      </c>
    </row>
    <row r="133" spans="1:9" x14ac:dyDescent="0.3">
      <c r="A133" t="str">
        <f>IF(AND(Оплаты!$E$125="ок",COUNTIFS(Акты!$B$5:$B$16,Оплаты!$D$125,Акты!$H$5:$H$16,"ок")&gt;0,COUNTIFS(Оплаты!$D$6:$D$124,Оплаты!$D$125,Оплаты!$A$6:$A$124,Оплаты!$A$125)=0),Оплаты!$D$125,"")</f>
        <v/>
      </c>
      <c r="B133" t="str">
        <f>IF(A133="","",MATCH(A133,Акты!$B$5:$B$16,0))</f>
        <v/>
      </c>
      <c r="C133" s="21" t="str">
        <f>IF(A133="","",Оплаты!$A$125+1)</f>
        <v/>
      </c>
      <c r="D133" s="21" t="str">
        <f>IF(A133="","",MIN(Ввод!$B$4,Ввод!$B$4+1-SUMPRODUCT(MAX((Оплаты!$D$6:$D$505=A133)*(Оплаты!$A$6:$A$505&gt;Оплаты!$A$125)*(Ввод!$B$4+1-Оплаты!$A$6:$A$505)))))</f>
        <v/>
      </c>
      <c r="E133" s="14" t="str">
        <f>IF(A133="","",INDEX(Акты!$D$5:$D$16,B133)-SUMIFS(Оплаты!$B$6:$B$505,Оплаты!$D$6:$D$505,A133,Оплаты!$A$6:$A$505,"&lt;="&amp;Оплаты!$A$125))</f>
        <v/>
      </c>
      <c r="F133" s="14" t="str">
        <f>IF(G133="","",SUMPRODUCT(ROUND(E133*'По дням'!$L$6:$L$155/100*((((D133+'По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дням'!$J$6:$J$155)))/2+1)/'По дням'!$M$6:$M$155,2)*(1-'По дням'!$N$6:$N$155)))</f>
        <v/>
      </c>
      <c r="G133" s="22" t="str">
        <f t="shared" si="2"/>
        <v/>
      </c>
      <c r="H133" s="14" t="str">
        <f>IF(G133="","",SUMIFS(Оплаты!$B$6:$B$505,Оплаты!$D$6:$D$505,A133,Оплаты!$A$6:$A$505,D133))</f>
        <v/>
      </c>
      <c r="I133" t="str">
        <f>IF(G133="","",SUMPRODUCT((((((D133+'По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дням'!$J$6:$J$155)))/2+1)&gt;0)*1))</f>
        <v/>
      </c>
    </row>
    <row r="134" spans="1:9" x14ac:dyDescent="0.3">
      <c r="A134" t="str">
        <f>IF(AND(Оплаты!$E$126="ок",COUNTIFS(Акты!$B$5:$B$16,Оплаты!$D$126,Акты!$H$5:$H$16,"ок")&gt;0,COUNTIFS(Оплаты!$D$6:$D$125,Оплаты!$D$126,Оплаты!$A$6:$A$125,Оплаты!$A$126)=0),Оплаты!$D$126,"")</f>
        <v/>
      </c>
      <c r="B134" t="str">
        <f>IF(A134="","",MATCH(A134,Акты!$B$5:$B$16,0))</f>
        <v/>
      </c>
      <c r="C134" s="21" t="str">
        <f>IF(A134="","",Оплаты!$A$126+1)</f>
        <v/>
      </c>
      <c r="D134" s="21" t="str">
        <f>IF(A134="","",MIN(Ввод!$B$4,Ввод!$B$4+1-SUMPRODUCT(MAX((Оплаты!$D$6:$D$505=A134)*(Оплаты!$A$6:$A$505&gt;Оплаты!$A$126)*(Ввод!$B$4+1-Оплаты!$A$6:$A$505)))))</f>
        <v/>
      </c>
      <c r="E134" s="14" t="str">
        <f>IF(A134="","",INDEX(Акты!$D$5:$D$16,B134)-SUMIFS(Оплаты!$B$6:$B$505,Оплаты!$D$6:$D$505,A134,Оплаты!$A$6:$A$505,"&lt;="&amp;Оплаты!$A$126))</f>
        <v/>
      </c>
      <c r="F134" s="14" t="str">
        <f>IF(G134="","",SUMPRODUCT(ROUND(E134*'По дням'!$L$6:$L$155/100*((((D134+'По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дням'!$J$6:$J$155)))/2+1)/'По дням'!$M$6:$M$155,2)*(1-'По дням'!$N$6:$N$155)))</f>
        <v/>
      </c>
      <c r="G134" s="22" t="str">
        <f t="shared" si="2"/>
        <v/>
      </c>
      <c r="H134" s="14" t="str">
        <f>IF(G134="","",SUMIFS(Оплаты!$B$6:$B$505,Оплаты!$D$6:$D$505,A134,Оплаты!$A$6:$A$505,D134))</f>
        <v/>
      </c>
      <c r="I134" t="str">
        <f>IF(G134="","",SUMPRODUCT((((((D134+'По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дням'!$J$6:$J$155)))/2+1)&gt;0)*1))</f>
        <v/>
      </c>
    </row>
    <row r="135" spans="1:9" x14ac:dyDescent="0.3">
      <c r="A135" t="str">
        <f>IF(AND(Оплаты!$E$127="ок",COUNTIFS(Акты!$B$5:$B$16,Оплаты!$D$127,Акты!$H$5:$H$16,"ок")&gt;0,COUNTIFS(Оплаты!$D$6:$D$126,Оплаты!$D$127,Оплаты!$A$6:$A$126,Оплаты!$A$127)=0),Оплаты!$D$127,"")</f>
        <v/>
      </c>
      <c r="B135" t="str">
        <f>IF(A135="","",MATCH(A135,Акты!$B$5:$B$16,0))</f>
        <v/>
      </c>
      <c r="C135" s="21" t="str">
        <f>IF(A135="","",Оплаты!$A$127+1)</f>
        <v/>
      </c>
      <c r="D135" s="21" t="str">
        <f>IF(A135="","",MIN(Ввод!$B$4,Ввод!$B$4+1-SUMPRODUCT(MAX((Оплаты!$D$6:$D$505=A135)*(Оплаты!$A$6:$A$505&gt;Оплаты!$A$127)*(Ввод!$B$4+1-Оплаты!$A$6:$A$505)))))</f>
        <v/>
      </c>
      <c r="E135" s="14" t="str">
        <f>IF(A135="","",INDEX(Акты!$D$5:$D$16,B135)-SUMIFS(Оплаты!$B$6:$B$505,Оплаты!$D$6:$D$505,A135,Оплаты!$A$6:$A$505,"&lt;="&amp;Оплаты!$A$127))</f>
        <v/>
      </c>
      <c r="F135" s="14" t="str">
        <f>IF(G135="","",SUMPRODUCT(ROUND(E135*'По дням'!$L$6:$L$155/100*((((D135+'По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дням'!$J$6:$J$155)))/2+1)/'По дням'!$M$6:$M$155,2)*(1-'По дням'!$N$6:$N$155)))</f>
        <v/>
      </c>
      <c r="G135" s="22" t="str">
        <f t="shared" si="2"/>
        <v/>
      </c>
      <c r="H135" s="14" t="str">
        <f>IF(G135="","",SUMIFS(Оплаты!$B$6:$B$505,Оплаты!$D$6:$D$505,A135,Оплаты!$A$6:$A$505,D135))</f>
        <v/>
      </c>
      <c r="I135" t="str">
        <f>IF(G135="","",SUMPRODUCT((((((D135+'По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дням'!$J$6:$J$155)))/2+1)&gt;0)*1))</f>
        <v/>
      </c>
    </row>
    <row r="136" spans="1:9" x14ac:dyDescent="0.3">
      <c r="A136" t="str">
        <f>IF(AND(Оплаты!$E$128="ок",COUNTIFS(Акты!$B$5:$B$16,Оплаты!$D$128,Акты!$H$5:$H$16,"ок")&gt;0,COUNTIFS(Оплаты!$D$6:$D$127,Оплаты!$D$128,Оплаты!$A$6:$A$127,Оплаты!$A$128)=0),Оплаты!$D$128,"")</f>
        <v/>
      </c>
      <c r="B136" t="str">
        <f>IF(A136="","",MATCH(A136,Акты!$B$5:$B$16,0))</f>
        <v/>
      </c>
      <c r="C136" s="21" t="str">
        <f>IF(A136="","",Оплаты!$A$128+1)</f>
        <v/>
      </c>
      <c r="D136" s="21" t="str">
        <f>IF(A136="","",MIN(Ввод!$B$4,Ввод!$B$4+1-SUMPRODUCT(MAX((Оплаты!$D$6:$D$505=A136)*(Оплаты!$A$6:$A$505&gt;Оплаты!$A$128)*(Ввод!$B$4+1-Оплаты!$A$6:$A$505)))))</f>
        <v/>
      </c>
      <c r="E136" s="14" t="str">
        <f>IF(A136="","",INDEX(Акты!$D$5:$D$16,B136)-SUMIFS(Оплаты!$B$6:$B$505,Оплаты!$D$6:$D$505,A136,Оплаты!$A$6:$A$505,"&lt;="&amp;Оплаты!$A$128))</f>
        <v/>
      </c>
      <c r="F136" s="14" t="str">
        <f>IF(G136="","",SUMPRODUCT(ROUND(E136*'По дням'!$L$6:$L$155/100*((((D136+'По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дням'!$J$6:$J$155)))/2+1)/'По дням'!$M$6:$M$155,2)*(1-'По дням'!$N$6:$N$155)))</f>
        <v/>
      </c>
      <c r="G136" s="22" t="str">
        <f t="shared" si="2"/>
        <v/>
      </c>
      <c r="H136" s="14" t="str">
        <f>IF(G136="","",SUMIFS(Оплаты!$B$6:$B$505,Оплаты!$D$6:$D$505,A136,Оплаты!$A$6:$A$505,D136))</f>
        <v/>
      </c>
      <c r="I136" t="str">
        <f>IF(G136="","",SUMPRODUCT((((((D136+'По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дням'!$J$6:$J$155)))/2+1)&gt;0)*1))</f>
        <v/>
      </c>
    </row>
    <row r="137" spans="1:9" x14ac:dyDescent="0.3">
      <c r="A137" t="str">
        <f>IF(AND(Оплаты!$E$129="ок",COUNTIFS(Акты!$B$5:$B$16,Оплаты!$D$129,Акты!$H$5:$H$16,"ок")&gt;0,COUNTIFS(Оплаты!$D$6:$D$128,Оплаты!$D$129,Оплаты!$A$6:$A$128,Оплаты!$A$129)=0),Оплаты!$D$129,"")</f>
        <v/>
      </c>
      <c r="B137" t="str">
        <f>IF(A137="","",MATCH(A137,Акты!$B$5:$B$16,0))</f>
        <v/>
      </c>
      <c r="C137" s="21" t="str">
        <f>IF(A137="","",Оплаты!$A$129+1)</f>
        <v/>
      </c>
      <c r="D137" s="21" t="str">
        <f>IF(A137="","",MIN(Ввод!$B$4,Ввод!$B$4+1-SUMPRODUCT(MAX((Оплаты!$D$6:$D$505=A137)*(Оплаты!$A$6:$A$505&gt;Оплаты!$A$129)*(Ввод!$B$4+1-Оплаты!$A$6:$A$505)))))</f>
        <v/>
      </c>
      <c r="E137" s="14" t="str">
        <f>IF(A137="","",INDEX(Акты!$D$5:$D$16,B137)-SUMIFS(Оплаты!$B$6:$B$505,Оплаты!$D$6:$D$505,A137,Оплаты!$A$6:$A$505,"&lt;="&amp;Оплаты!$A$129))</f>
        <v/>
      </c>
      <c r="F137" s="14" t="str">
        <f>IF(G137="","",SUMPRODUCT(ROUND(E137*'По дням'!$L$6:$L$155/100*((((D137+'По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дням'!$J$6:$J$155)))/2+1)/'По дням'!$M$6:$M$155,2)*(1-'По дням'!$N$6:$N$155)))</f>
        <v/>
      </c>
      <c r="G137" s="22" t="str">
        <f t="shared" si="2"/>
        <v/>
      </c>
      <c r="H137" s="14" t="str">
        <f>IF(G137="","",SUMIFS(Оплаты!$B$6:$B$505,Оплаты!$D$6:$D$505,A137,Оплаты!$A$6:$A$505,D137))</f>
        <v/>
      </c>
      <c r="I137" t="str">
        <f>IF(G137="","",SUMPRODUCT((((((D137+'По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дням'!$J$6:$J$155)))/2+1)&gt;0)*1))</f>
        <v/>
      </c>
    </row>
    <row r="138" spans="1:9" x14ac:dyDescent="0.3">
      <c r="A138" t="str">
        <f>IF(AND(Оплаты!$E$130="ок",COUNTIFS(Акты!$B$5:$B$16,Оплаты!$D$130,Акты!$H$5:$H$16,"ок")&gt;0,COUNTIFS(Оплаты!$D$6:$D$129,Оплаты!$D$130,Оплаты!$A$6:$A$129,Оплаты!$A$130)=0),Оплаты!$D$130,"")</f>
        <v/>
      </c>
      <c r="B138" t="str">
        <f>IF(A138="","",MATCH(A138,Акты!$B$5:$B$16,0))</f>
        <v/>
      </c>
      <c r="C138" s="21" t="str">
        <f>IF(A138="","",Оплаты!$A$130+1)</f>
        <v/>
      </c>
      <c r="D138" s="21" t="str">
        <f>IF(A138="","",MIN(Ввод!$B$4,Ввод!$B$4+1-SUMPRODUCT(MAX((Оплаты!$D$6:$D$505=A138)*(Оплаты!$A$6:$A$505&gt;Оплаты!$A$130)*(Ввод!$B$4+1-Оплаты!$A$6:$A$505)))))</f>
        <v/>
      </c>
      <c r="E138" s="14" t="str">
        <f>IF(A138="","",INDEX(Акты!$D$5:$D$16,B138)-SUMIFS(Оплаты!$B$6:$B$505,Оплаты!$D$6:$D$505,A138,Оплаты!$A$6:$A$505,"&lt;="&amp;Оплаты!$A$130))</f>
        <v/>
      </c>
      <c r="F138" s="14" t="str">
        <f>IF(G138="","",SUMPRODUCT(ROUND(E138*'По дням'!$L$6:$L$155/100*((((D138+'По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дням'!$J$6:$J$155)))/2+1)/'По дням'!$M$6:$M$155,2)*(1-'По дням'!$N$6:$N$155)))</f>
        <v/>
      </c>
      <c r="G138" s="22" t="str">
        <f t="shared" si="2"/>
        <v/>
      </c>
      <c r="H138" s="14" t="str">
        <f>IF(G138="","",SUMIFS(Оплаты!$B$6:$B$505,Оплаты!$D$6:$D$505,A138,Оплаты!$A$6:$A$505,D138))</f>
        <v/>
      </c>
      <c r="I138" t="str">
        <f>IF(G138="","",SUMPRODUCT((((((D138+'По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дням'!$J$6:$J$155)))/2+1)&gt;0)*1))</f>
        <v/>
      </c>
    </row>
    <row r="139" spans="1:9" x14ac:dyDescent="0.3">
      <c r="A139" t="str">
        <f>IF(AND(Оплаты!$E$131="ок",COUNTIFS(Акты!$B$5:$B$16,Оплаты!$D$131,Акты!$H$5:$H$16,"ок")&gt;0,COUNTIFS(Оплаты!$D$6:$D$130,Оплаты!$D$131,Оплаты!$A$6:$A$130,Оплаты!$A$131)=0),Оплаты!$D$131,"")</f>
        <v/>
      </c>
      <c r="B139" t="str">
        <f>IF(A139="","",MATCH(A139,Акты!$B$5:$B$16,0))</f>
        <v/>
      </c>
      <c r="C139" s="21" t="str">
        <f>IF(A139="","",Оплаты!$A$131+1)</f>
        <v/>
      </c>
      <c r="D139" s="21" t="str">
        <f>IF(A139="","",MIN(Ввод!$B$4,Ввод!$B$4+1-SUMPRODUCT(MAX((Оплаты!$D$6:$D$505=A139)*(Оплаты!$A$6:$A$505&gt;Оплаты!$A$131)*(Ввод!$B$4+1-Оплаты!$A$6:$A$505)))))</f>
        <v/>
      </c>
      <c r="E139" s="14" t="str">
        <f>IF(A139="","",INDEX(Акты!$D$5:$D$16,B139)-SUMIFS(Оплаты!$B$6:$B$505,Оплаты!$D$6:$D$505,A139,Оплаты!$A$6:$A$505,"&lt;="&amp;Оплаты!$A$131))</f>
        <v/>
      </c>
      <c r="F139" s="14" t="str">
        <f>IF(G139="","",SUMPRODUCT(ROUND(E139*'По дням'!$L$6:$L$155/100*((((D139+'По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дням'!$J$6:$J$155)))/2+1)/'По дням'!$M$6:$M$155,2)*(1-'По дням'!$N$6:$N$155)))</f>
        <v/>
      </c>
      <c r="G139" s="22" t="str">
        <f t="shared" si="2"/>
        <v/>
      </c>
      <c r="H139" s="14" t="str">
        <f>IF(G139="","",SUMIFS(Оплаты!$B$6:$B$505,Оплаты!$D$6:$D$505,A139,Оплаты!$A$6:$A$505,D139))</f>
        <v/>
      </c>
      <c r="I139" t="str">
        <f>IF(G139="","",SUMPRODUCT((((((D139+'По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дням'!$J$6:$J$155)))/2+1)&gt;0)*1))</f>
        <v/>
      </c>
    </row>
    <row r="140" spans="1:9" x14ac:dyDescent="0.3">
      <c r="A140" t="str">
        <f>IF(AND(Оплаты!$E$132="ок",COUNTIFS(Акты!$B$5:$B$16,Оплаты!$D$132,Акты!$H$5:$H$16,"ок")&gt;0,COUNTIFS(Оплаты!$D$6:$D$131,Оплаты!$D$132,Оплаты!$A$6:$A$131,Оплаты!$A$132)=0),Оплаты!$D$132,"")</f>
        <v/>
      </c>
      <c r="B140" t="str">
        <f>IF(A140="","",MATCH(A140,Акты!$B$5:$B$16,0))</f>
        <v/>
      </c>
      <c r="C140" s="21" t="str">
        <f>IF(A140="","",Оплаты!$A$132+1)</f>
        <v/>
      </c>
      <c r="D140" s="21" t="str">
        <f>IF(A140="","",MIN(Ввод!$B$4,Ввод!$B$4+1-SUMPRODUCT(MAX((Оплаты!$D$6:$D$505=A140)*(Оплаты!$A$6:$A$505&gt;Оплаты!$A$132)*(Ввод!$B$4+1-Оплаты!$A$6:$A$505)))))</f>
        <v/>
      </c>
      <c r="E140" s="14" t="str">
        <f>IF(A140="","",INDEX(Акты!$D$5:$D$16,B140)-SUMIFS(Оплаты!$B$6:$B$505,Оплаты!$D$6:$D$505,A140,Оплаты!$A$6:$A$505,"&lt;="&amp;Оплаты!$A$132))</f>
        <v/>
      </c>
      <c r="F140" s="14" t="str">
        <f>IF(G140="","",SUMPRODUCT(ROUND(E140*'По дням'!$L$6:$L$155/100*((((D140+'По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дням'!$J$6:$J$155)))/2+1)/'По дням'!$M$6:$M$155,2)*(1-'По дням'!$N$6:$N$155)))</f>
        <v/>
      </c>
      <c r="G140" s="22" t="str">
        <f t="shared" si="2"/>
        <v/>
      </c>
      <c r="H140" s="14" t="str">
        <f>IF(G140="","",SUMIFS(Оплаты!$B$6:$B$505,Оплаты!$D$6:$D$505,A140,Оплаты!$A$6:$A$505,D140))</f>
        <v/>
      </c>
      <c r="I140" t="str">
        <f>IF(G140="","",SUMPRODUCT((((((D140+'По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дням'!$J$6:$J$155)))/2+1)&gt;0)*1))</f>
        <v/>
      </c>
    </row>
    <row r="141" spans="1:9" x14ac:dyDescent="0.3">
      <c r="A141" t="str">
        <f>IF(AND(Оплаты!$E$133="ок",COUNTIFS(Акты!$B$5:$B$16,Оплаты!$D$133,Акты!$H$5:$H$16,"ок")&gt;0,COUNTIFS(Оплаты!$D$6:$D$132,Оплаты!$D$133,Оплаты!$A$6:$A$132,Оплаты!$A$133)=0),Оплаты!$D$133,"")</f>
        <v/>
      </c>
      <c r="B141" t="str">
        <f>IF(A141="","",MATCH(A141,Акты!$B$5:$B$16,0))</f>
        <v/>
      </c>
      <c r="C141" s="21" t="str">
        <f>IF(A141="","",Оплаты!$A$133+1)</f>
        <v/>
      </c>
      <c r="D141" s="21" t="str">
        <f>IF(A141="","",MIN(Ввод!$B$4,Ввод!$B$4+1-SUMPRODUCT(MAX((Оплаты!$D$6:$D$505=A141)*(Оплаты!$A$6:$A$505&gt;Оплаты!$A$133)*(Ввод!$B$4+1-Оплаты!$A$6:$A$505)))))</f>
        <v/>
      </c>
      <c r="E141" s="14" t="str">
        <f>IF(A141="","",INDEX(Акты!$D$5:$D$16,B141)-SUMIFS(Оплаты!$B$6:$B$505,Оплаты!$D$6:$D$505,A141,Оплаты!$A$6:$A$505,"&lt;="&amp;Оплаты!$A$133))</f>
        <v/>
      </c>
      <c r="F141" s="14" t="str">
        <f>IF(G141="","",SUMPRODUCT(ROUND(E141*'По дням'!$L$6:$L$155/100*((((D141+'По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дням'!$J$6:$J$155)))/2+1)/'По дням'!$M$6:$M$155,2)*(1-'По дням'!$N$6:$N$155)))</f>
        <v/>
      </c>
      <c r="G141" s="22" t="str">
        <f t="shared" si="2"/>
        <v/>
      </c>
      <c r="H141" s="14" t="str">
        <f>IF(G141="","",SUMIFS(Оплаты!$B$6:$B$505,Оплаты!$D$6:$D$505,A141,Оплаты!$A$6:$A$505,D141))</f>
        <v/>
      </c>
      <c r="I141" t="str">
        <f>IF(G141="","",SUMPRODUCT((((((D141+'По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дням'!$J$6:$J$155)))/2+1)&gt;0)*1))</f>
        <v/>
      </c>
    </row>
    <row r="142" spans="1:9" x14ac:dyDescent="0.3">
      <c r="A142" t="str">
        <f>IF(AND(Оплаты!$E$134="ок",COUNTIFS(Акты!$B$5:$B$16,Оплаты!$D$134,Акты!$H$5:$H$16,"ок")&gt;0,COUNTIFS(Оплаты!$D$6:$D$133,Оплаты!$D$134,Оплаты!$A$6:$A$133,Оплаты!$A$134)=0),Оплаты!$D$134,"")</f>
        <v/>
      </c>
      <c r="B142" t="str">
        <f>IF(A142="","",MATCH(A142,Акты!$B$5:$B$16,0))</f>
        <v/>
      </c>
      <c r="C142" s="21" t="str">
        <f>IF(A142="","",Оплаты!$A$134+1)</f>
        <v/>
      </c>
      <c r="D142" s="21" t="str">
        <f>IF(A142="","",MIN(Ввод!$B$4,Ввод!$B$4+1-SUMPRODUCT(MAX((Оплаты!$D$6:$D$505=A142)*(Оплаты!$A$6:$A$505&gt;Оплаты!$A$134)*(Ввод!$B$4+1-Оплаты!$A$6:$A$505)))))</f>
        <v/>
      </c>
      <c r="E142" s="14" t="str">
        <f>IF(A142="","",INDEX(Акты!$D$5:$D$16,B142)-SUMIFS(Оплаты!$B$6:$B$505,Оплаты!$D$6:$D$505,A142,Оплаты!$A$6:$A$505,"&lt;="&amp;Оплаты!$A$134))</f>
        <v/>
      </c>
      <c r="F142" s="14" t="str">
        <f>IF(G142="","",SUMPRODUCT(ROUND(E142*'По дням'!$L$6:$L$155/100*((((D142+'По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дням'!$J$6:$J$155)))/2+1)/'По дням'!$M$6:$M$155,2)*(1-'По дням'!$N$6:$N$155)))</f>
        <v/>
      </c>
      <c r="G142" s="22" t="str">
        <f t="shared" si="2"/>
        <v/>
      </c>
      <c r="H142" s="14" t="str">
        <f>IF(G142="","",SUMIFS(Оплаты!$B$6:$B$505,Оплаты!$D$6:$D$505,A142,Оплаты!$A$6:$A$505,D142))</f>
        <v/>
      </c>
      <c r="I142" t="str">
        <f>IF(G142="","",SUMPRODUCT((((((D142+'По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дням'!$J$6:$J$155)))/2+1)&gt;0)*1))</f>
        <v/>
      </c>
    </row>
    <row r="143" spans="1:9" x14ac:dyDescent="0.3">
      <c r="A143" t="str">
        <f>IF(AND(Оплаты!$E$135="ок",COUNTIFS(Акты!$B$5:$B$16,Оплаты!$D$135,Акты!$H$5:$H$16,"ок")&gt;0,COUNTIFS(Оплаты!$D$6:$D$134,Оплаты!$D$135,Оплаты!$A$6:$A$134,Оплаты!$A$135)=0),Оплаты!$D$135,"")</f>
        <v/>
      </c>
      <c r="B143" t="str">
        <f>IF(A143="","",MATCH(A143,Акты!$B$5:$B$16,0))</f>
        <v/>
      </c>
      <c r="C143" s="21" t="str">
        <f>IF(A143="","",Оплаты!$A$135+1)</f>
        <v/>
      </c>
      <c r="D143" s="21" t="str">
        <f>IF(A143="","",MIN(Ввод!$B$4,Ввод!$B$4+1-SUMPRODUCT(MAX((Оплаты!$D$6:$D$505=A143)*(Оплаты!$A$6:$A$505&gt;Оплаты!$A$135)*(Ввод!$B$4+1-Оплаты!$A$6:$A$505)))))</f>
        <v/>
      </c>
      <c r="E143" s="14" t="str">
        <f>IF(A143="","",INDEX(Акты!$D$5:$D$16,B143)-SUMIFS(Оплаты!$B$6:$B$505,Оплаты!$D$6:$D$505,A143,Оплаты!$A$6:$A$505,"&lt;="&amp;Оплаты!$A$135))</f>
        <v/>
      </c>
      <c r="F143" s="14" t="str">
        <f>IF(G143="","",SUMPRODUCT(ROUND(E143*'По дням'!$L$6:$L$155/100*((((D143+'По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дням'!$J$6:$J$155)))/2+1)/'По дням'!$M$6:$M$155,2)*(1-'По дням'!$N$6:$N$155)))</f>
        <v/>
      </c>
      <c r="G143" s="22" t="str">
        <f t="shared" si="2"/>
        <v/>
      </c>
      <c r="H143" s="14" t="str">
        <f>IF(G143="","",SUMIFS(Оплаты!$B$6:$B$505,Оплаты!$D$6:$D$505,A143,Оплаты!$A$6:$A$505,D143))</f>
        <v/>
      </c>
      <c r="I143" t="str">
        <f>IF(G143="","",SUMPRODUCT((((((D143+'По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дням'!$J$6:$J$155)))/2+1)&gt;0)*1))</f>
        <v/>
      </c>
    </row>
    <row r="144" spans="1:9" x14ac:dyDescent="0.3">
      <c r="A144" t="str">
        <f>IF(AND(Оплаты!$E$136="ок",COUNTIFS(Акты!$B$5:$B$16,Оплаты!$D$136,Акты!$H$5:$H$16,"ок")&gt;0,COUNTIFS(Оплаты!$D$6:$D$135,Оплаты!$D$136,Оплаты!$A$6:$A$135,Оплаты!$A$136)=0),Оплаты!$D$136,"")</f>
        <v/>
      </c>
      <c r="B144" t="str">
        <f>IF(A144="","",MATCH(A144,Акты!$B$5:$B$16,0))</f>
        <v/>
      </c>
      <c r="C144" s="21" t="str">
        <f>IF(A144="","",Оплаты!$A$136+1)</f>
        <v/>
      </c>
      <c r="D144" s="21" t="str">
        <f>IF(A144="","",MIN(Ввод!$B$4,Ввод!$B$4+1-SUMPRODUCT(MAX((Оплаты!$D$6:$D$505=A144)*(Оплаты!$A$6:$A$505&gt;Оплаты!$A$136)*(Ввод!$B$4+1-Оплаты!$A$6:$A$505)))))</f>
        <v/>
      </c>
      <c r="E144" s="14" t="str">
        <f>IF(A144="","",INDEX(Акты!$D$5:$D$16,B144)-SUMIFS(Оплаты!$B$6:$B$505,Оплаты!$D$6:$D$505,A144,Оплаты!$A$6:$A$505,"&lt;="&amp;Оплаты!$A$136))</f>
        <v/>
      </c>
      <c r="F144" s="14" t="str">
        <f>IF(G144="","",SUMPRODUCT(ROUND(E144*'По дням'!$L$6:$L$155/100*((((D144+'По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дням'!$J$6:$J$155)))/2+1)/'По дням'!$M$6:$M$155,2)*(1-'По дням'!$N$6:$N$155)))</f>
        <v/>
      </c>
      <c r="G144" s="22" t="str">
        <f t="shared" si="2"/>
        <v/>
      </c>
      <c r="H144" s="14" t="str">
        <f>IF(G144="","",SUMIFS(Оплаты!$B$6:$B$505,Оплаты!$D$6:$D$505,A144,Оплаты!$A$6:$A$505,D144))</f>
        <v/>
      </c>
      <c r="I144" t="str">
        <f>IF(G144="","",SUMPRODUCT((((((D144+'По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дням'!$J$6:$J$155)))/2+1)&gt;0)*1))</f>
        <v/>
      </c>
    </row>
    <row r="145" spans="1:9" x14ac:dyDescent="0.3">
      <c r="A145" t="str">
        <f>IF(AND(Оплаты!$E$137="ок",COUNTIFS(Акты!$B$5:$B$16,Оплаты!$D$137,Акты!$H$5:$H$16,"ок")&gt;0,COUNTIFS(Оплаты!$D$6:$D$136,Оплаты!$D$137,Оплаты!$A$6:$A$136,Оплаты!$A$137)=0),Оплаты!$D$137,"")</f>
        <v/>
      </c>
      <c r="B145" t="str">
        <f>IF(A145="","",MATCH(A145,Акты!$B$5:$B$16,0))</f>
        <v/>
      </c>
      <c r="C145" s="21" t="str">
        <f>IF(A145="","",Оплаты!$A$137+1)</f>
        <v/>
      </c>
      <c r="D145" s="21" t="str">
        <f>IF(A145="","",MIN(Ввод!$B$4,Ввод!$B$4+1-SUMPRODUCT(MAX((Оплаты!$D$6:$D$505=A145)*(Оплаты!$A$6:$A$505&gt;Оплаты!$A$137)*(Ввод!$B$4+1-Оплаты!$A$6:$A$505)))))</f>
        <v/>
      </c>
      <c r="E145" s="14" t="str">
        <f>IF(A145="","",INDEX(Акты!$D$5:$D$16,B145)-SUMIFS(Оплаты!$B$6:$B$505,Оплаты!$D$6:$D$505,A145,Оплаты!$A$6:$A$505,"&lt;="&amp;Оплаты!$A$137))</f>
        <v/>
      </c>
      <c r="F145" s="14" t="str">
        <f>IF(G145="","",SUMPRODUCT(ROUND(E145*'По дням'!$L$6:$L$155/100*((((D145+'По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дням'!$J$6:$J$155)))/2+1)/'По дням'!$M$6:$M$155,2)*(1-'По дням'!$N$6:$N$155)))</f>
        <v/>
      </c>
      <c r="G145" s="22" t="str">
        <f t="shared" si="2"/>
        <v/>
      </c>
      <c r="H145" s="14" t="str">
        <f>IF(G145="","",SUMIFS(Оплаты!$B$6:$B$505,Оплаты!$D$6:$D$505,A145,Оплаты!$A$6:$A$505,D145))</f>
        <v/>
      </c>
      <c r="I145" t="str">
        <f>IF(G145="","",SUMPRODUCT((((((D145+'По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дням'!$J$6:$J$155)))/2+1)&gt;0)*1))</f>
        <v/>
      </c>
    </row>
    <row r="146" spans="1:9" x14ac:dyDescent="0.3">
      <c r="A146" t="str">
        <f>IF(AND(Оплаты!$E$138="ок",COUNTIFS(Акты!$B$5:$B$16,Оплаты!$D$138,Акты!$H$5:$H$16,"ок")&gt;0,COUNTIFS(Оплаты!$D$6:$D$137,Оплаты!$D$138,Оплаты!$A$6:$A$137,Оплаты!$A$138)=0),Оплаты!$D$138,"")</f>
        <v/>
      </c>
      <c r="B146" t="str">
        <f>IF(A146="","",MATCH(A146,Акты!$B$5:$B$16,0))</f>
        <v/>
      </c>
      <c r="C146" s="21" t="str">
        <f>IF(A146="","",Оплаты!$A$138+1)</f>
        <v/>
      </c>
      <c r="D146" s="21" t="str">
        <f>IF(A146="","",MIN(Ввод!$B$4,Ввод!$B$4+1-SUMPRODUCT(MAX((Оплаты!$D$6:$D$505=A146)*(Оплаты!$A$6:$A$505&gt;Оплаты!$A$138)*(Ввод!$B$4+1-Оплаты!$A$6:$A$505)))))</f>
        <v/>
      </c>
      <c r="E146" s="14" t="str">
        <f>IF(A146="","",INDEX(Акты!$D$5:$D$16,B146)-SUMIFS(Оплаты!$B$6:$B$505,Оплаты!$D$6:$D$505,A146,Оплаты!$A$6:$A$505,"&lt;="&amp;Оплаты!$A$138))</f>
        <v/>
      </c>
      <c r="F146" s="14" t="str">
        <f>IF(G146="","",SUMPRODUCT(ROUND(E146*'По дням'!$L$6:$L$155/100*((((D146+'По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дням'!$J$6:$J$155)))/2+1)/'По дням'!$M$6:$M$155,2)*(1-'По дням'!$N$6:$N$155)))</f>
        <v/>
      </c>
      <c r="G146" s="22" t="str">
        <f t="shared" si="2"/>
        <v/>
      </c>
      <c r="H146" s="14" t="str">
        <f>IF(G146="","",SUMIFS(Оплаты!$B$6:$B$505,Оплаты!$D$6:$D$505,A146,Оплаты!$A$6:$A$505,D146))</f>
        <v/>
      </c>
      <c r="I146" t="str">
        <f>IF(G146="","",SUMPRODUCT((((((D146+'По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дням'!$J$6:$J$155)))/2+1)&gt;0)*1))</f>
        <v/>
      </c>
    </row>
    <row r="147" spans="1:9" x14ac:dyDescent="0.3">
      <c r="A147" t="str">
        <f>IF(AND(Оплаты!$E$139="ок",COUNTIFS(Акты!$B$5:$B$16,Оплаты!$D$139,Акты!$H$5:$H$16,"ок")&gt;0,COUNTIFS(Оплаты!$D$6:$D$138,Оплаты!$D$139,Оплаты!$A$6:$A$138,Оплаты!$A$139)=0),Оплаты!$D$139,"")</f>
        <v/>
      </c>
      <c r="B147" t="str">
        <f>IF(A147="","",MATCH(A147,Акты!$B$5:$B$16,0))</f>
        <v/>
      </c>
      <c r="C147" s="21" t="str">
        <f>IF(A147="","",Оплаты!$A$139+1)</f>
        <v/>
      </c>
      <c r="D147" s="21" t="str">
        <f>IF(A147="","",MIN(Ввод!$B$4,Ввод!$B$4+1-SUMPRODUCT(MAX((Оплаты!$D$6:$D$505=A147)*(Оплаты!$A$6:$A$505&gt;Оплаты!$A$139)*(Ввод!$B$4+1-Оплаты!$A$6:$A$505)))))</f>
        <v/>
      </c>
      <c r="E147" s="14" t="str">
        <f>IF(A147="","",INDEX(Акты!$D$5:$D$16,B147)-SUMIFS(Оплаты!$B$6:$B$505,Оплаты!$D$6:$D$505,A147,Оплаты!$A$6:$A$505,"&lt;="&amp;Оплаты!$A$139))</f>
        <v/>
      </c>
      <c r="F147" s="14" t="str">
        <f>IF(G147="","",SUMPRODUCT(ROUND(E147*'По дням'!$L$6:$L$155/100*((((D147+'По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дням'!$J$6:$J$155)))/2+1)/'По дням'!$M$6:$M$155,2)*(1-'По дням'!$N$6:$N$155)))</f>
        <v/>
      </c>
      <c r="G147" s="22" t="str">
        <f t="shared" si="2"/>
        <v/>
      </c>
      <c r="H147" s="14" t="str">
        <f>IF(G147="","",SUMIFS(Оплаты!$B$6:$B$505,Оплаты!$D$6:$D$505,A147,Оплаты!$A$6:$A$505,D147))</f>
        <v/>
      </c>
      <c r="I147" t="str">
        <f>IF(G147="","",SUMPRODUCT((((((D147+'По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дням'!$J$6:$J$155)))/2+1)&gt;0)*1))</f>
        <v/>
      </c>
    </row>
    <row r="148" spans="1:9" x14ac:dyDescent="0.3">
      <c r="A148" t="str">
        <f>IF(AND(Оплаты!$E$140="ок",COUNTIFS(Акты!$B$5:$B$16,Оплаты!$D$140,Акты!$H$5:$H$16,"ок")&gt;0,COUNTIFS(Оплаты!$D$6:$D$139,Оплаты!$D$140,Оплаты!$A$6:$A$139,Оплаты!$A$140)=0),Оплаты!$D$140,"")</f>
        <v/>
      </c>
      <c r="B148" t="str">
        <f>IF(A148="","",MATCH(A148,Акты!$B$5:$B$16,0))</f>
        <v/>
      </c>
      <c r="C148" s="21" t="str">
        <f>IF(A148="","",Оплаты!$A$140+1)</f>
        <v/>
      </c>
      <c r="D148" s="21" t="str">
        <f>IF(A148="","",MIN(Ввод!$B$4,Ввод!$B$4+1-SUMPRODUCT(MAX((Оплаты!$D$6:$D$505=A148)*(Оплаты!$A$6:$A$505&gt;Оплаты!$A$140)*(Ввод!$B$4+1-Оплаты!$A$6:$A$505)))))</f>
        <v/>
      </c>
      <c r="E148" s="14" t="str">
        <f>IF(A148="","",INDEX(Акты!$D$5:$D$16,B148)-SUMIFS(Оплаты!$B$6:$B$505,Оплаты!$D$6:$D$505,A148,Оплаты!$A$6:$A$505,"&lt;="&amp;Оплаты!$A$140))</f>
        <v/>
      </c>
      <c r="F148" s="14" t="str">
        <f>IF(G148="","",SUMPRODUCT(ROUND(E148*'По дням'!$L$6:$L$155/100*((((D148+'По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дням'!$J$6:$J$155)))/2+1)/'По дням'!$M$6:$M$155,2)*(1-'По дням'!$N$6:$N$155)))</f>
        <v/>
      </c>
      <c r="G148" s="22" t="str">
        <f t="shared" si="2"/>
        <v/>
      </c>
      <c r="H148" s="14" t="str">
        <f>IF(G148="","",SUMIFS(Оплаты!$B$6:$B$505,Оплаты!$D$6:$D$505,A148,Оплаты!$A$6:$A$505,D148))</f>
        <v/>
      </c>
      <c r="I148" t="str">
        <f>IF(G148="","",SUMPRODUCT((((((D148+'По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дням'!$J$6:$J$155)))/2+1)&gt;0)*1))</f>
        <v/>
      </c>
    </row>
    <row r="149" spans="1:9" x14ac:dyDescent="0.3">
      <c r="A149" t="str">
        <f>IF(AND(Оплаты!$E$141="ок",COUNTIFS(Акты!$B$5:$B$16,Оплаты!$D$141,Акты!$H$5:$H$16,"ок")&gt;0,COUNTIFS(Оплаты!$D$6:$D$140,Оплаты!$D$141,Оплаты!$A$6:$A$140,Оплаты!$A$141)=0),Оплаты!$D$141,"")</f>
        <v/>
      </c>
      <c r="B149" t="str">
        <f>IF(A149="","",MATCH(A149,Акты!$B$5:$B$16,0))</f>
        <v/>
      </c>
      <c r="C149" s="21" t="str">
        <f>IF(A149="","",Оплаты!$A$141+1)</f>
        <v/>
      </c>
      <c r="D149" s="21" t="str">
        <f>IF(A149="","",MIN(Ввод!$B$4,Ввод!$B$4+1-SUMPRODUCT(MAX((Оплаты!$D$6:$D$505=A149)*(Оплаты!$A$6:$A$505&gt;Оплаты!$A$141)*(Ввод!$B$4+1-Оплаты!$A$6:$A$505)))))</f>
        <v/>
      </c>
      <c r="E149" s="14" t="str">
        <f>IF(A149="","",INDEX(Акты!$D$5:$D$16,B149)-SUMIFS(Оплаты!$B$6:$B$505,Оплаты!$D$6:$D$505,A149,Оплаты!$A$6:$A$505,"&lt;="&amp;Оплаты!$A$141))</f>
        <v/>
      </c>
      <c r="F149" s="14" t="str">
        <f>IF(G149="","",SUMPRODUCT(ROUND(E149*'По дням'!$L$6:$L$155/100*((((D149+'По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дням'!$J$6:$J$155)))/2+1)/'По дням'!$M$6:$M$155,2)*(1-'По дням'!$N$6:$N$155)))</f>
        <v/>
      </c>
      <c r="G149" s="22" t="str">
        <f t="shared" si="2"/>
        <v/>
      </c>
      <c r="H149" s="14" t="str">
        <f>IF(G149="","",SUMIFS(Оплаты!$B$6:$B$505,Оплаты!$D$6:$D$505,A149,Оплаты!$A$6:$A$505,D149))</f>
        <v/>
      </c>
      <c r="I149" t="str">
        <f>IF(G149="","",SUMPRODUCT((((((D149+'По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дням'!$J$6:$J$155)))/2+1)&gt;0)*1))</f>
        <v/>
      </c>
    </row>
    <row r="150" spans="1:9" x14ac:dyDescent="0.3">
      <c r="A150" t="str">
        <f>IF(AND(Оплаты!$E$142="ок",COUNTIFS(Акты!$B$5:$B$16,Оплаты!$D$142,Акты!$H$5:$H$16,"ок")&gt;0,COUNTIFS(Оплаты!$D$6:$D$141,Оплаты!$D$142,Оплаты!$A$6:$A$141,Оплаты!$A$142)=0),Оплаты!$D$142,"")</f>
        <v/>
      </c>
      <c r="B150" t="str">
        <f>IF(A150="","",MATCH(A150,Акты!$B$5:$B$16,0))</f>
        <v/>
      </c>
      <c r="C150" s="21" t="str">
        <f>IF(A150="","",Оплаты!$A$142+1)</f>
        <v/>
      </c>
      <c r="D150" s="21" t="str">
        <f>IF(A150="","",MIN(Ввод!$B$4,Ввод!$B$4+1-SUMPRODUCT(MAX((Оплаты!$D$6:$D$505=A150)*(Оплаты!$A$6:$A$505&gt;Оплаты!$A$142)*(Ввод!$B$4+1-Оплаты!$A$6:$A$505)))))</f>
        <v/>
      </c>
      <c r="E150" s="14" t="str">
        <f>IF(A150="","",INDEX(Акты!$D$5:$D$16,B150)-SUMIFS(Оплаты!$B$6:$B$505,Оплаты!$D$6:$D$505,A150,Оплаты!$A$6:$A$505,"&lt;="&amp;Оплаты!$A$142))</f>
        <v/>
      </c>
      <c r="F150" s="14" t="str">
        <f>IF(G150="","",SUMPRODUCT(ROUND(E150*'По дням'!$L$6:$L$155/100*((((D150+'По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дням'!$J$6:$J$155)))/2+1)/'По дням'!$M$6:$M$155,2)*(1-'По дням'!$N$6:$N$155)))</f>
        <v/>
      </c>
      <c r="G150" s="22" t="str">
        <f t="shared" si="2"/>
        <v/>
      </c>
      <c r="H150" s="14" t="str">
        <f>IF(G150="","",SUMIFS(Оплаты!$B$6:$B$505,Оплаты!$D$6:$D$505,A150,Оплаты!$A$6:$A$505,D150))</f>
        <v/>
      </c>
      <c r="I150" t="str">
        <f>IF(G150="","",SUMPRODUCT((((((D150+'По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дням'!$J$6:$J$155)))/2+1)&gt;0)*1))</f>
        <v/>
      </c>
    </row>
    <row r="151" spans="1:9" x14ac:dyDescent="0.3">
      <c r="A151" t="str">
        <f>IF(AND(Оплаты!$E$143="ок",COUNTIFS(Акты!$B$5:$B$16,Оплаты!$D$143,Акты!$H$5:$H$16,"ок")&gt;0,COUNTIFS(Оплаты!$D$6:$D$142,Оплаты!$D$143,Оплаты!$A$6:$A$142,Оплаты!$A$143)=0),Оплаты!$D$143,"")</f>
        <v/>
      </c>
      <c r="B151" t="str">
        <f>IF(A151="","",MATCH(A151,Акты!$B$5:$B$16,0))</f>
        <v/>
      </c>
      <c r="C151" s="21" t="str">
        <f>IF(A151="","",Оплаты!$A$143+1)</f>
        <v/>
      </c>
      <c r="D151" s="21" t="str">
        <f>IF(A151="","",MIN(Ввод!$B$4,Ввод!$B$4+1-SUMPRODUCT(MAX((Оплаты!$D$6:$D$505=A151)*(Оплаты!$A$6:$A$505&gt;Оплаты!$A$143)*(Ввод!$B$4+1-Оплаты!$A$6:$A$505)))))</f>
        <v/>
      </c>
      <c r="E151" s="14" t="str">
        <f>IF(A151="","",INDEX(Акты!$D$5:$D$16,B151)-SUMIFS(Оплаты!$B$6:$B$505,Оплаты!$D$6:$D$505,A151,Оплаты!$A$6:$A$505,"&lt;="&amp;Оплаты!$A$143))</f>
        <v/>
      </c>
      <c r="F151" s="14" t="str">
        <f>IF(G151="","",SUMPRODUCT(ROUND(E151*'По дням'!$L$6:$L$155/100*((((D151+'По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дням'!$J$6:$J$155)))/2+1)/'По дням'!$M$6:$M$155,2)*(1-'По дням'!$N$6:$N$155)))</f>
        <v/>
      </c>
      <c r="G151" s="22" t="str">
        <f t="shared" si="2"/>
        <v/>
      </c>
      <c r="H151" s="14" t="str">
        <f>IF(G151="","",SUMIFS(Оплаты!$B$6:$B$505,Оплаты!$D$6:$D$505,A151,Оплаты!$A$6:$A$505,D151))</f>
        <v/>
      </c>
      <c r="I151" t="str">
        <f>IF(G151="","",SUMPRODUCT((((((D151+'По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дням'!$J$6:$J$155)))/2+1)&gt;0)*1))</f>
        <v/>
      </c>
    </row>
    <row r="152" spans="1:9" x14ac:dyDescent="0.3">
      <c r="A152" t="str">
        <f>IF(AND(Оплаты!$E$144="ок",COUNTIFS(Акты!$B$5:$B$16,Оплаты!$D$144,Акты!$H$5:$H$16,"ок")&gt;0,COUNTIFS(Оплаты!$D$6:$D$143,Оплаты!$D$144,Оплаты!$A$6:$A$143,Оплаты!$A$144)=0),Оплаты!$D$144,"")</f>
        <v/>
      </c>
      <c r="B152" t="str">
        <f>IF(A152="","",MATCH(A152,Акты!$B$5:$B$16,0))</f>
        <v/>
      </c>
      <c r="C152" s="21" t="str">
        <f>IF(A152="","",Оплаты!$A$144+1)</f>
        <v/>
      </c>
      <c r="D152" s="21" t="str">
        <f>IF(A152="","",MIN(Ввод!$B$4,Ввод!$B$4+1-SUMPRODUCT(MAX((Оплаты!$D$6:$D$505=A152)*(Оплаты!$A$6:$A$505&gt;Оплаты!$A$144)*(Ввод!$B$4+1-Оплаты!$A$6:$A$505)))))</f>
        <v/>
      </c>
      <c r="E152" s="14" t="str">
        <f>IF(A152="","",INDEX(Акты!$D$5:$D$16,B152)-SUMIFS(Оплаты!$B$6:$B$505,Оплаты!$D$6:$D$505,A152,Оплаты!$A$6:$A$505,"&lt;="&amp;Оплаты!$A$144))</f>
        <v/>
      </c>
      <c r="F152" s="14" t="str">
        <f>IF(G152="","",SUMPRODUCT(ROUND(E152*'По дням'!$L$6:$L$155/100*((((D152+'По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дням'!$J$6:$J$155)))/2+1)/'По дням'!$M$6:$M$155,2)*(1-'По дням'!$N$6:$N$155)))</f>
        <v/>
      </c>
      <c r="G152" s="22" t="str">
        <f t="shared" si="2"/>
        <v/>
      </c>
      <c r="H152" s="14" t="str">
        <f>IF(G152="","",SUMIFS(Оплаты!$B$6:$B$505,Оплаты!$D$6:$D$505,A152,Оплаты!$A$6:$A$505,D152))</f>
        <v/>
      </c>
      <c r="I152" t="str">
        <f>IF(G152="","",SUMPRODUCT((((((D152+'По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дням'!$J$6:$J$155)))/2+1)&gt;0)*1))</f>
        <v/>
      </c>
    </row>
    <row r="153" spans="1:9" x14ac:dyDescent="0.3">
      <c r="A153" t="str">
        <f>IF(AND(Оплаты!$E$145="ок",COUNTIFS(Акты!$B$5:$B$16,Оплаты!$D$145,Акты!$H$5:$H$16,"ок")&gt;0,COUNTIFS(Оплаты!$D$6:$D$144,Оплаты!$D$145,Оплаты!$A$6:$A$144,Оплаты!$A$145)=0),Оплаты!$D$145,"")</f>
        <v/>
      </c>
      <c r="B153" t="str">
        <f>IF(A153="","",MATCH(A153,Акты!$B$5:$B$16,0))</f>
        <v/>
      </c>
      <c r="C153" s="21" t="str">
        <f>IF(A153="","",Оплаты!$A$145+1)</f>
        <v/>
      </c>
      <c r="D153" s="21" t="str">
        <f>IF(A153="","",MIN(Ввод!$B$4,Ввод!$B$4+1-SUMPRODUCT(MAX((Оплаты!$D$6:$D$505=A153)*(Оплаты!$A$6:$A$505&gt;Оплаты!$A$145)*(Ввод!$B$4+1-Оплаты!$A$6:$A$505)))))</f>
        <v/>
      </c>
      <c r="E153" s="14" t="str">
        <f>IF(A153="","",INDEX(Акты!$D$5:$D$16,B153)-SUMIFS(Оплаты!$B$6:$B$505,Оплаты!$D$6:$D$505,A153,Оплаты!$A$6:$A$505,"&lt;="&amp;Оплаты!$A$145))</f>
        <v/>
      </c>
      <c r="F153" s="14" t="str">
        <f>IF(G153="","",SUMPRODUCT(ROUND(E153*'По дням'!$L$6:$L$155/100*((((D153+'По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дням'!$J$6:$J$155)))/2+1)/'По дням'!$M$6:$M$155,2)*(1-'По дням'!$N$6:$N$155)))</f>
        <v/>
      </c>
      <c r="G153" s="22" t="str">
        <f t="shared" si="2"/>
        <v/>
      </c>
      <c r="H153" s="14" t="str">
        <f>IF(G153="","",SUMIFS(Оплаты!$B$6:$B$505,Оплаты!$D$6:$D$505,A153,Оплаты!$A$6:$A$505,D153))</f>
        <v/>
      </c>
      <c r="I153" t="str">
        <f>IF(G153="","",SUMPRODUCT((((((D153+'По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дням'!$J$6:$J$155)))/2+1)&gt;0)*1))</f>
        <v/>
      </c>
    </row>
    <row r="154" spans="1:9" x14ac:dyDescent="0.3">
      <c r="A154" t="str">
        <f>IF(AND(Оплаты!$E$146="ок",COUNTIFS(Акты!$B$5:$B$16,Оплаты!$D$146,Акты!$H$5:$H$16,"ок")&gt;0,COUNTIFS(Оплаты!$D$6:$D$145,Оплаты!$D$146,Оплаты!$A$6:$A$145,Оплаты!$A$146)=0),Оплаты!$D$146,"")</f>
        <v/>
      </c>
      <c r="B154" t="str">
        <f>IF(A154="","",MATCH(A154,Акты!$B$5:$B$16,0))</f>
        <v/>
      </c>
      <c r="C154" s="21" t="str">
        <f>IF(A154="","",Оплаты!$A$146+1)</f>
        <v/>
      </c>
      <c r="D154" s="21" t="str">
        <f>IF(A154="","",MIN(Ввод!$B$4,Ввод!$B$4+1-SUMPRODUCT(MAX((Оплаты!$D$6:$D$505=A154)*(Оплаты!$A$6:$A$505&gt;Оплаты!$A$146)*(Ввод!$B$4+1-Оплаты!$A$6:$A$505)))))</f>
        <v/>
      </c>
      <c r="E154" s="14" t="str">
        <f>IF(A154="","",INDEX(Акты!$D$5:$D$16,B154)-SUMIFS(Оплаты!$B$6:$B$505,Оплаты!$D$6:$D$505,A154,Оплаты!$A$6:$A$505,"&lt;="&amp;Оплаты!$A$146))</f>
        <v/>
      </c>
      <c r="F154" s="14" t="str">
        <f>IF(G154="","",SUMPRODUCT(ROUND(E154*'По дням'!$L$6:$L$155/100*((((D154+'По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дням'!$J$6:$J$155)))/2+1)/'По дням'!$M$6:$M$155,2)*(1-'По дням'!$N$6:$N$155)))</f>
        <v/>
      </c>
      <c r="G154" s="22" t="str">
        <f t="shared" si="2"/>
        <v/>
      </c>
      <c r="H154" s="14" t="str">
        <f>IF(G154="","",SUMIFS(Оплаты!$B$6:$B$505,Оплаты!$D$6:$D$505,A154,Оплаты!$A$6:$A$505,D154))</f>
        <v/>
      </c>
      <c r="I154" t="str">
        <f>IF(G154="","",SUMPRODUCT((((((D154+'По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дням'!$J$6:$J$155)))/2+1)&gt;0)*1))</f>
        <v/>
      </c>
    </row>
    <row r="155" spans="1:9" x14ac:dyDescent="0.3">
      <c r="A155" t="str">
        <f>IF(AND(Оплаты!$E$147="ок",COUNTIFS(Акты!$B$5:$B$16,Оплаты!$D$147,Акты!$H$5:$H$16,"ок")&gt;0,COUNTIFS(Оплаты!$D$6:$D$146,Оплаты!$D$147,Оплаты!$A$6:$A$146,Оплаты!$A$147)=0),Оплаты!$D$147,"")</f>
        <v/>
      </c>
      <c r="B155" t="str">
        <f>IF(A155="","",MATCH(A155,Акты!$B$5:$B$16,0))</f>
        <v/>
      </c>
      <c r="C155" s="21" t="str">
        <f>IF(A155="","",Оплаты!$A$147+1)</f>
        <v/>
      </c>
      <c r="D155" s="21" t="str">
        <f>IF(A155="","",MIN(Ввод!$B$4,Ввод!$B$4+1-SUMPRODUCT(MAX((Оплаты!$D$6:$D$505=A155)*(Оплаты!$A$6:$A$505&gt;Оплаты!$A$147)*(Ввод!$B$4+1-Оплаты!$A$6:$A$505)))))</f>
        <v/>
      </c>
      <c r="E155" s="14" t="str">
        <f>IF(A155="","",INDEX(Акты!$D$5:$D$16,B155)-SUMIFS(Оплаты!$B$6:$B$505,Оплаты!$D$6:$D$505,A155,Оплаты!$A$6:$A$505,"&lt;="&amp;Оплаты!$A$147))</f>
        <v/>
      </c>
      <c r="F155" s="14" t="str">
        <f>IF(G155="","",SUMPRODUCT(ROUND(E155*'По дням'!$L$6:$L$155/100*((((D155+'По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дням'!$J$6:$J$155)))/2+1)/'По дням'!$M$6:$M$155,2)*(1-'По дням'!$N$6:$N$155)))</f>
        <v/>
      </c>
      <c r="G155" s="22" t="str">
        <f t="shared" si="2"/>
        <v/>
      </c>
      <c r="H155" s="14" t="str">
        <f>IF(G155="","",SUMIFS(Оплаты!$B$6:$B$505,Оплаты!$D$6:$D$505,A155,Оплаты!$A$6:$A$505,D155))</f>
        <v/>
      </c>
      <c r="I155" t="str">
        <f>IF(G155="","",SUMPRODUCT((((((D155+'По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дням'!$J$6:$J$155)))/2+1)&gt;0)*1))</f>
        <v/>
      </c>
    </row>
    <row r="156" spans="1:9" x14ac:dyDescent="0.3">
      <c r="A156" t="str">
        <f>IF(AND(Оплаты!$E$148="ок",COUNTIFS(Акты!$B$5:$B$16,Оплаты!$D$148,Акты!$H$5:$H$16,"ок")&gt;0,COUNTIFS(Оплаты!$D$6:$D$147,Оплаты!$D$148,Оплаты!$A$6:$A$147,Оплаты!$A$148)=0),Оплаты!$D$148,"")</f>
        <v/>
      </c>
      <c r="B156" t="str">
        <f>IF(A156="","",MATCH(A156,Акты!$B$5:$B$16,0))</f>
        <v/>
      </c>
      <c r="C156" s="21" t="str">
        <f>IF(A156="","",Оплаты!$A$148+1)</f>
        <v/>
      </c>
      <c r="D156" s="21" t="str">
        <f>IF(A156="","",MIN(Ввод!$B$4,Ввод!$B$4+1-SUMPRODUCT(MAX((Оплаты!$D$6:$D$505=A156)*(Оплаты!$A$6:$A$505&gt;Оплаты!$A$148)*(Ввод!$B$4+1-Оплаты!$A$6:$A$505)))))</f>
        <v/>
      </c>
      <c r="E156" s="14" t="str">
        <f>IF(A156="","",INDEX(Акты!$D$5:$D$16,B156)-SUMIFS(Оплаты!$B$6:$B$505,Оплаты!$D$6:$D$505,A156,Оплаты!$A$6:$A$505,"&lt;="&amp;Оплаты!$A$148))</f>
        <v/>
      </c>
      <c r="F156" s="14" t="str">
        <f>IF(G156="","",SUMPRODUCT(ROUND(E156*'По дням'!$L$6:$L$155/100*((((D156+'По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дням'!$J$6:$J$155)))/2+1)/'По дням'!$M$6:$M$155,2)*(1-'По дням'!$N$6:$N$155)))</f>
        <v/>
      </c>
      <c r="G156" s="22" t="str">
        <f t="shared" si="2"/>
        <v/>
      </c>
      <c r="H156" s="14" t="str">
        <f>IF(G156="","",SUMIFS(Оплаты!$B$6:$B$505,Оплаты!$D$6:$D$505,A156,Оплаты!$A$6:$A$505,D156))</f>
        <v/>
      </c>
      <c r="I156" t="str">
        <f>IF(G156="","",SUMPRODUCT((((((D156+'По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дням'!$J$6:$J$155)))/2+1)&gt;0)*1))</f>
        <v/>
      </c>
    </row>
    <row r="157" spans="1:9" x14ac:dyDescent="0.3">
      <c r="A157" t="str">
        <f>IF(AND(Оплаты!$E$149="ок",COUNTIFS(Акты!$B$5:$B$16,Оплаты!$D$149,Акты!$H$5:$H$16,"ок")&gt;0,COUNTIFS(Оплаты!$D$6:$D$148,Оплаты!$D$149,Оплаты!$A$6:$A$148,Оплаты!$A$149)=0),Оплаты!$D$149,"")</f>
        <v/>
      </c>
      <c r="B157" t="str">
        <f>IF(A157="","",MATCH(A157,Акты!$B$5:$B$16,0))</f>
        <v/>
      </c>
      <c r="C157" s="21" t="str">
        <f>IF(A157="","",Оплаты!$A$149+1)</f>
        <v/>
      </c>
      <c r="D157" s="21" t="str">
        <f>IF(A157="","",MIN(Ввод!$B$4,Ввод!$B$4+1-SUMPRODUCT(MAX((Оплаты!$D$6:$D$505=A157)*(Оплаты!$A$6:$A$505&gt;Оплаты!$A$149)*(Ввод!$B$4+1-Оплаты!$A$6:$A$505)))))</f>
        <v/>
      </c>
      <c r="E157" s="14" t="str">
        <f>IF(A157="","",INDEX(Акты!$D$5:$D$16,B157)-SUMIFS(Оплаты!$B$6:$B$505,Оплаты!$D$6:$D$505,A157,Оплаты!$A$6:$A$505,"&lt;="&amp;Оплаты!$A$149))</f>
        <v/>
      </c>
      <c r="F157" s="14" t="str">
        <f>IF(G157="","",SUMPRODUCT(ROUND(E157*'По дням'!$L$6:$L$155/100*((((D157+'По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дням'!$J$6:$J$155)))/2+1)/'По дням'!$M$6:$M$155,2)*(1-'По дням'!$N$6:$N$155)))</f>
        <v/>
      </c>
      <c r="G157" s="22" t="str">
        <f t="shared" si="2"/>
        <v/>
      </c>
      <c r="H157" s="14" t="str">
        <f>IF(G157="","",SUMIFS(Оплаты!$B$6:$B$505,Оплаты!$D$6:$D$505,A157,Оплаты!$A$6:$A$505,D157))</f>
        <v/>
      </c>
      <c r="I157" t="str">
        <f>IF(G157="","",SUMPRODUCT((((((D157+'По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дням'!$J$6:$J$155)))/2+1)&gt;0)*1))</f>
        <v/>
      </c>
    </row>
    <row r="158" spans="1:9" x14ac:dyDescent="0.3">
      <c r="A158" t="str">
        <f>IF(AND(Оплаты!$E$150="ок",COUNTIFS(Акты!$B$5:$B$16,Оплаты!$D$150,Акты!$H$5:$H$16,"ок")&gt;0,COUNTIFS(Оплаты!$D$6:$D$149,Оплаты!$D$150,Оплаты!$A$6:$A$149,Оплаты!$A$150)=0),Оплаты!$D$150,"")</f>
        <v/>
      </c>
      <c r="B158" t="str">
        <f>IF(A158="","",MATCH(A158,Акты!$B$5:$B$16,0))</f>
        <v/>
      </c>
      <c r="C158" s="21" t="str">
        <f>IF(A158="","",Оплаты!$A$150+1)</f>
        <v/>
      </c>
      <c r="D158" s="21" t="str">
        <f>IF(A158="","",MIN(Ввод!$B$4,Ввод!$B$4+1-SUMPRODUCT(MAX((Оплаты!$D$6:$D$505=A158)*(Оплаты!$A$6:$A$505&gt;Оплаты!$A$150)*(Ввод!$B$4+1-Оплаты!$A$6:$A$505)))))</f>
        <v/>
      </c>
      <c r="E158" s="14" t="str">
        <f>IF(A158="","",INDEX(Акты!$D$5:$D$16,B158)-SUMIFS(Оплаты!$B$6:$B$505,Оплаты!$D$6:$D$505,A158,Оплаты!$A$6:$A$505,"&lt;="&amp;Оплаты!$A$150))</f>
        <v/>
      </c>
      <c r="F158" s="14" t="str">
        <f>IF(G158="","",SUMPRODUCT(ROUND(E158*'По дням'!$L$6:$L$155/100*((((D158+'По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дням'!$J$6:$J$155)))/2+1)/'По дням'!$M$6:$M$155,2)*(1-'По дням'!$N$6:$N$155)))</f>
        <v/>
      </c>
      <c r="G158" s="22" t="str">
        <f t="shared" si="2"/>
        <v/>
      </c>
      <c r="H158" s="14" t="str">
        <f>IF(G158="","",SUMIFS(Оплаты!$B$6:$B$505,Оплаты!$D$6:$D$505,A158,Оплаты!$A$6:$A$505,D158))</f>
        <v/>
      </c>
      <c r="I158" t="str">
        <f>IF(G158="","",SUMPRODUCT((((((D158+'По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дням'!$J$6:$J$155)))/2+1)&gt;0)*1))</f>
        <v/>
      </c>
    </row>
    <row r="159" spans="1:9" x14ac:dyDescent="0.3">
      <c r="A159" t="str">
        <f>IF(AND(Оплаты!$E$151="ок",COUNTIFS(Акты!$B$5:$B$16,Оплаты!$D$151,Акты!$H$5:$H$16,"ок")&gt;0,COUNTIFS(Оплаты!$D$6:$D$150,Оплаты!$D$151,Оплаты!$A$6:$A$150,Оплаты!$A$151)=0),Оплаты!$D$151,"")</f>
        <v/>
      </c>
      <c r="B159" t="str">
        <f>IF(A159="","",MATCH(A159,Акты!$B$5:$B$16,0))</f>
        <v/>
      </c>
      <c r="C159" s="21" t="str">
        <f>IF(A159="","",Оплаты!$A$151+1)</f>
        <v/>
      </c>
      <c r="D159" s="21" t="str">
        <f>IF(A159="","",MIN(Ввод!$B$4,Ввод!$B$4+1-SUMPRODUCT(MAX((Оплаты!$D$6:$D$505=A159)*(Оплаты!$A$6:$A$505&gt;Оплаты!$A$151)*(Ввод!$B$4+1-Оплаты!$A$6:$A$505)))))</f>
        <v/>
      </c>
      <c r="E159" s="14" t="str">
        <f>IF(A159="","",INDEX(Акты!$D$5:$D$16,B159)-SUMIFS(Оплаты!$B$6:$B$505,Оплаты!$D$6:$D$505,A159,Оплаты!$A$6:$A$505,"&lt;="&amp;Оплаты!$A$151))</f>
        <v/>
      </c>
      <c r="F159" s="14" t="str">
        <f>IF(G159="","",SUMPRODUCT(ROUND(E159*'По дням'!$L$6:$L$155/100*((((D159+'По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дням'!$J$6:$J$155)))/2+1)/'По дням'!$M$6:$M$155,2)*(1-'По дням'!$N$6:$N$155)))</f>
        <v/>
      </c>
      <c r="G159" s="22" t="str">
        <f t="shared" si="2"/>
        <v/>
      </c>
      <c r="H159" s="14" t="str">
        <f>IF(G159="","",SUMIFS(Оплаты!$B$6:$B$505,Оплаты!$D$6:$D$505,A159,Оплаты!$A$6:$A$505,D159))</f>
        <v/>
      </c>
      <c r="I159" t="str">
        <f>IF(G159="","",SUMPRODUCT((((((D159+'По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дням'!$J$6:$J$155)))/2+1)&gt;0)*1))</f>
        <v/>
      </c>
    </row>
    <row r="160" spans="1:9" x14ac:dyDescent="0.3">
      <c r="A160" t="str">
        <f>IF(AND(Оплаты!$E$152="ок",COUNTIFS(Акты!$B$5:$B$16,Оплаты!$D$152,Акты!$H$5:$H$16,"ок")&gt;0,COUNTIFS(Оплаты!$D$6:$D$151,Оплаты!$D$152,Оплаты!$A$6:$A$151,Оплаты!$A$152)=0),Оплаты!$D$152,"")</f>
        <v/>
      </c>
      <c r="B160" t="str">
        <f>IF(A160="","",MATCH(A160,Акты!$B$5:$B$16,0))</f>
        <v/>
      </c>
      <c r="C160" s="21" t="str">
        <f>IF(A160="","",Оплаты!$A$152+1)</f>
        <v/>
      </c>
      <c r="D160" s="21" t="str">
        <f>IF(A160="","",MIN(Ввод!$B$4,Ввод!$B$4+1-SUMPRODUCT(MAX((Оплаты!$D$6:$D$505=A160)*(Оплаты!$A$6:$A$505&gt;Оплаты!$A$152)*(Ввод!$B$4+1-Оплаты!$A$6:$A$505)))))</f>
        <v/>
      </c>
      <c r="E160" s="14" t="str">
        <f>IF(A160="","",INDEX(Акты!$D$5:$D$16,B160)-SUMIFS(Оплаты!$B$6:$B$505,Оплаты!$D$6:$D$505,A160,Оплаты!$A$6:$A$505,"&lt;="&amp;Оплаты!$A$152))</f>
        <v/>
      </c>
      <c r="F160" s="14" t="str">
        <f>IF(G160="","",SUMPRODUCT(ROUND(E160*'По дням'!$L$6:$L$155/100*((((D160+'По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дням'!$J$6:$J$155)))/2+1)/'По дням'!$M$6:$M$155,2)*(1-'По дням'!$N$6:$N$155)))</f>
        <v/>
      </c>
      <c r="G160" s="22" t="str">
        <f t="shared" si="2"/>
        <v/>
      </c>
      <c r="H160" s="14" t="str">
        <f>IF(G160="","",SUMIFS(Оплаты!$B$6:$B$505,Оплаты!$D$6:$D$505,A160,Оплаты!$A$6:$A$505,D160))</f>
        <v/>
      </c>
      <c r="I160" t="str">
        <f>IF(G160="","",SUMPRODUCT((((((D160+'По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дням'!$J$6:$J$155)))/2+1)&gt;0)*1))</f>
        <v/>
      </c>
    </row>
    <row r="161" spans="1:9" x14ac:dyDescent="0.3">
      <c r="A161" t="str">
        <f>IF(AND(Оплаты!$E$153="ок",COUNTIFS(Акты!$B$5:$B$16,Оплаты!$D$153,Акты!$H$5:$H$16,"ок")&gt;0,COUNTIFS(Оплаты!$D$6:$D$152,Оплаты!$D$153,Оплаты!$A$6:$A$152,Оплаты!$A$153)=0),Оплаты!$D$153,"")</f>
        <v/>
      </c>
      <c r="B161" t="str">
        <f>IF(A161="","",MATCH(A161,Акты!$B$5:$B$16,0))</f>
        <v/>
      </c>
      <c r="C161" s="21" t="str">
        <f>IF(A161="","",Оплаты!$A$153+1)</f>
        <v/>
      </c>
      <c r="D161" s="21" t="str">
        <f>IF(A161="","",MIN(Ввод!$B$4,Ввод!$B$4+1-SUMPRODUCT(MAX((Оплаты!$D$6:$D$505=A161)*(Оплаты!$A$6:$A$505&gt;Оплаты!$A$153)*(Ввод!$B$4+1-Оплаты!$A$6:$A$505)))))</f>
        <v/>
      </c>
      <c r="E161" s="14" t="str">
        <f>IF(A161="","",INDEX(Акты!$D$5:$D$16,B161)-SUMIFS(Оплаты!$B$6:$B$505,Оплаты!$D$6:$D$505,A161,Оплаты!$A$6:$A$505,"&lt;="&amp;Оплаты!$A$153))</f>
        <v/>
      </c>
      <c r="F161" s="14" t="str">
        <f>IF(G161="","",SUMPRODUCT(ROUND(E161*'По дням'!$L$6:$L$155/100*((((D161+'По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дням'!$J$6:$J$155)))/2+1)/'По дням'!$M$6:$M$155,2)*(1-'По дням'!$N$6:$N$155)))</f>
        <v/>
      </c>
      <c r="G161" s="22" t="str">
        <f t="shared" si="2"/>
        <v/>
      </c>
      <c r="H161" s="14" t="str">
        <f>IF(G161="","",SUMIFS(Оплаты!$B$6:$B$505,Оплаты!$D$6:$D$505,A161,Оплаты!$A$6:$A$505,D161))</f>
        <v/>
      </c>
      <c r="I161" t="str">
        <f>IF(G161="","",SUMPRODUCT((((((D161+'По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дням'!$J$6:$J$155)))/2+1)&gt;0)*1))</f>
        <v/>
      </c>
    </row>
    <row r="162" spans="1:9" x14ac:dyDescent="0.3">
      <c r="A162" t="str">
        <f>IF(AND(Оплаты!$E$154="ок",COUNTIFS(Акты!$B$5:$B$16,Оплаты!$D$154,Акты!$H$5:$H$16,"ок")&gt;0,COUNTIFS(Оплаты!$D$6:$D$153,Оплаты!$D$154,Оплаты!$A$6:$A$153,Оплаты!$A$154)=0),Оплаты!$D$154,"")</f>
        <v/>
      </c>
      <c r="B162" t="str">
        <f>IF(A162="","",MATCH(A162,Акты!$B$5:$B$16,0))</f>
        <v/>
      </c>
      <c r="C162" s="21" t="str">
        <f>IF(A162="","",Оплаты!$A$154+1)</f>
        <v/>
      </c>
      <c r="D162" s="21" t="str">
        <f>IF(A162="","",MIN(Ввод!$B$4,Ввод!$B$4+1-SUMPRODUCT(MAX((Оплаты!$D$6:$D$505=A162)*(Оплаты!$A$6:$A$505&gt;Оплаты!$A$154)*(Ввод!$B$4+1-Оплаты!$A$6:$A$505)))))</f>
        <v/>
      </c>
      <c r="E162" s="14" t="str">
        <f>IF(A162="","",INDEX(Акты!$D$5:$D$16,B162)-SUMIFS(Оплаты!$B$6:$B$505,Оплаты!$D$6:$D$505,A162,Оплаты!$A$6:$A$505,"&lt;="&amp;Оплаты!$A$154))</f>
        <v/>
      </c>
      <c r="F162" s="14" t="str">
        <f>IF(G162="","",SUMPRODUCT(ROUND(E162*'По дням'!$L$6:$L$155/100*((((D162+'По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дням'!$J$6:$J$155)))/2+1)/'По дням'!$M$6:$M$155,2)*(1-'По дням'!$N$6:$N$155)))</f>
        <v/>
      </c>
      <c r="G162" s="22" t="str">
        <f t="shared" si="2"/>
        <v/>
      </c>
      <c r="H162" s="14" t="str">
        <f>IF(G162="","",SUMIFS(Оплаты!$B$6:$B$505,Оплаты!$D$6:$D$505,A162,Оплаты!$A$6:$A$505,D162))</f>
        <v/>
      </c>
      <c r="I162" t="str">
        <f>IF(G162="","",SUMPRODUCT((((((D162+'По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дням'!$J$6:$J$155)))/2+1)&gt;0)*1))</f>
        <v/>
      </c>
    </row>
    <row r="163" spans="1:9" x14ac:dyDescent="0.3">
      <c r="A163" t="str">
        <f>IF(AND(Оплаты!$E$155="ок",COUNTIFS(Акты!$B$5:$B$16,Оплаты!$D$155,Акты!$H$5:$H$16,"ок")&gt;0,COUNTIFS(Оплаты!$D$6:$D$154,Оплаты!$D$155,Оплаты!$A$6:$A$154,Оплаты!$A$155)=0),Оплаты!$D$155,"")</f>
        <v/>
      </c>
      <c r="B163" t="str">
        <f>IF(A163="","",MATCH(A163,Акты!$B$5:$B$16,0))</f>
        <v/>
      </c>
      <c r="C163" s="21" t="str">
        <f>IF(A163="","",Оплаты!$A$155+1)</f>
        <v/>
      </c>
      <c r="D163" s="21" t="str">
        <f>IF(A163="","",MIN(Ввод!$B$4,Ввод!$B$4+1-SUMPRODUCT(MAX((Оплаты!$D$6:$D$505=A163)*(Оплаты!$A$6:$A$505&gt;Оплаты!$A$155)*(Ввод!$B$4+1-Оплаты!$A$6:$A$505)))))</f>
        <v/>
      </c>
      <c r="E163" s="14" t="str">
        <f>IF(A163="","",INDEX(Акты!$D$5:$D$16,B163)-SUMIFS(Оплаты!$B$6:$B$505,Оплаты!$D$6:$D$505,A163,Оплаты!$A$6:$A$505,"&lt;="&amp;Оплаты!$A$155))</f>
        <v/>
      </c>
      <c r="F163" s="14" t="str">
        <f>IF(G163="","",SUMPRODUCT(ROUND(E163*'По дням'!$L$6:$L$155/100*((((D163+'По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дням'!$J$6:$J$155)))/2+1)/'По дням'!$M$6:$M$155,2)*(1-'По дням'!$N$6:$N$155)))</f>
        <v/>
      </c>
      <c r="G163" s="22" t="str">
        <f t="shared" si="2"/>
        <v/>
      </c>
      <c r="H163" s="14" t="str">
        <f>IF(G163="","",SUMIFS(Оплаты!$B$6:$B$505,Оплаты!$D$6:$D$505,A163,Оплаты!$A$6:$A$505,D163))</f>
        <v/>
      </c>
      <c r="I163" t="str">
        <f>IF(G163="","",SUMPRODUCT((((((D163+'По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дням'!$J$6:$J$155)))/2+1)&gt;0)*1))</f>
        <v/>
      </c>
    </row>
    <row r="164" spans="1:9" x14ac:dyDescent="0.3">
      <c r="A164" t="str">
        <f>IF(AND(Оплаты!$E$156="ок",COUNTIFS(Акты!$B$5:$B$16,Оплаты!$D$156,Акты!$H$5:$H$16,"ок")&gt;0,COUNTIFS(Оплаты!$D$6:$D$155,Оплаты!$D$156,Оплаты!$A$6:$A$155,Оплаты!$A$156)=0),Оплаты!$D$156,"")</f>
        <v/>
      </c>
      <c r="B164" t="str">
        <f>IF(A164="","",MATCH(A164,Акты!$B$5:$B$16,0))</f>
        <v/>
      </c>
      <c r="C164" s="21" t="str">
        <f>IF(A164="","",Оплаты!$A$156+1)</f>
        <v/>
      </c>
      <c r="D164" s="21" t="str">
        <f>IF(A164="","",MIN(Ввод!$B$4,Ввод!$B$4+1-SUMPRODUCT(MAX((Оплаты!$D$6:$D$505=A164)*(Оплаты!$A$6:$A$505&gt;Оплаты!$A$156)*(Ввод!$B$4+1-Оплаты!$A$6:$A$505)))))</f>
        <v/>
      </c>
      <c r="E164" s="14" t="str">
        <f>IF(A164="","",INDEX(Акты!$D$5:$D$16,B164)-SUMIFS(Оплаты!$B$6:$B$505,Оплаты!$D$6:$D$505,A164,Оплаты!$A$6:$A$505,"&lt;="&amp;Оплаты!$A$156))</f>
        <v/>
      </c>
      <c r="F164" s="14" t="str">
        <f>IF(G164="","",SUMPRODUCT(ROUND(E164*'По дням'!$L$6:$L$155/100*((((D164+'По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дням'!$J$6:$J$155)))/2+1)/'По дням'!$M$6:$M$155,2)*(1-'По дням'!$N$6:$N$155)))</f>
        <v/>
      </c>
      <c r="G164" s="22" t="str">
        <f t="shared" si="2"/>
        <v/>
      </c>
      <c r="H164" s="14" t="str">
        <f>IF(G164="","",SUMIFS(Оплаты!$B$6:$B$505,Оплаты!$D$6:$D$505,A164,Оплаты!$A$6:$A$505,D164))</f>
        <v/>
      </c>
      <c r="I164" t="str">
        <f>IF(G164="","",SUMPRODUCT((((((D164+'По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дням'!$J$6:$J$155)))/2+1)&gt;0)*1))</f>
        <v/>
      </c>
    </row>
    <row r="165" spans="1:9" x14ac:dyDescent="0.3">
      <c r="A165" t="str">
        <f>IF(AND(Оплаты!$E$157="ок",COUNTIFS(Акты!$B$5:$B$16,Оплаты!$D$157,Акты!$H$5:$H$16,"ок")&gt;0,COUNTIFS(Оплаты!$D$6:$D$156,Оплаты!$D$157,Оплаты!$A$6:$A$156,Оплаты!$A$157)=0),Оплаты!$D$157,"")</f>
        <v/>
      </c>
      <c r="B165" t="str">
        <f>IF(A165="","",MATCH(A165,Акты!$B$5:$B$16,0))</f>
        <v/>
      </c>
      <c r="C165" s="21" t="str">
        <f>IF(A165="","",Оплаты!$A$157+1)</f>
        <v/>
      </c>
      <c r="D165" s="21" t="str">
        <f>IF(A165="","",MIN(Ввод!$B$4,Ввод!$B$4+1-SUMPRODUCT(MAX((Оплаты!$D$6:$D$505=A165)*(Оплаты!$A$6:$A$505&gt;Оплаты!$A$157)*(Ввод!$B$4+1-Оплаты!$A$6:$A$505)))))</f>
        <v/>
      </c>
      <c r="E165" s="14" t="str">
        <f>IF(A165="","",INDEX(Акты!$D$5:$D$16,B165)-SUMIFS(Оплаты!$B$6:$B$505,Оплаты!$D$6:$D$505,A165,Оплаты!$A$6:$A$505,"&lt;="&amp;Оплаты!$A$157))</f>
        <v/>
      </c>
      <c r="F165" s="14" t="str">
        <f>IF(G165="","",SUMPRODUCT(ROUND(E165*'По дням'!$L$6:$L$155/100*((((D165+'По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дням'!$J$6:$J$155)))/2+1)/'По дням'!$M$6:$M$155,2)*(1-'По дням'!$N$6:$N$155)))</f>
        <v/>
      </c>
      <c r="G165" s="22" t="str">
        <f t="shared" si="2"/>
        <v/>
      </c>
      <c r="H165" s="14" t="str">
        <f>IF(G165="","",SUMIFS(Оплаты!$B$6:$B$505,Оплаты!$D$6:$D$505,A165,Оплаты!$A$6:$A$505,D165))</f>
        <v/>
      </c>
      <c r="I165" t="str">
        <f>IF(G165="","",SUMPRODUCT((((((D165+'По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дням'!$J$6:$J$155)))/2+1)&gt;0)*1))</f>
        <v/>
      </c>
    </row>
    <row r="166" spans="1:9" x14ac:dyDescent="0.3">
      <c r="A166" t="str">
        <f>IF(AND(Оплаты!$E$158="ок",COUNTIFS(Акты!$B$5:$B$16,Оплаты!$D$158,Акты!$H$5:$H$16,"ок")&gt;0,COUNTIFS(Оплаты!$D$6:$D$157,Оплаты!$D$158,Оплаты!$A$6:$A$157,Оплаты!$A$158)=0),Оплаты!$D$158,"")</f>
        <v/>
      </c>
      <c r="B166" t="str">
        <f>IF(A166="","",MATCH(A166,Акты!$B$5:$B$16,0))</f>
        <v/>
      </c>
      <c r="C166" s="21" t="str">
        <f>IF(A166="","",Оплаты!$A$158+1)</f>
        <v/>
      </c>
      <c r="D166" s="21" t="str">
        <f>IF(A166="","",MIN(Ввод!$B$4,Ввод!$B$4+1-SUMPRODUCT(MAX((Оплаты!$D$6:$D$505=A166)*(Оплаты!$A$6:$A$505&gt;Оплаты!$A$158)*(Ввод!$B$4+1-Оплаты!$A$6:$A$505)))))</f>
        <v/>
      </c>
      <c r="E166" s="14" t="str">
        <f>IF(A166="","",INDEX(Акты!$D$5:$D$16,B166)-SUMIFS(Оплаты!$B$6:$B$505,Оплаты!$D$6:$D$505,A166,Оплаты!$A$6:$A$505,"&lt;="&amp;Оплаты!$A$158))</f>
        <v/>
      </c>
      <c r="F166" s="14" t="str">
        <f>IF(G166="","",SUMPRODUCT(ROUND(E166*'По дням'!$L$6:$L$155/100*((((D166+'По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дням'!$J$6:$J$155)))/2+1)/'По дням'!$M$6:$M$155,2)*(1-'По дням'!$N$6:$N$155)))</f>
        <v/>
      </c>
      <c r="G166" s="22" t="str">
        <f t="shared" si="2"/>
        <v/>
      </c>
      <c r="H166" s="14" t="str">
        <f>IF(G166="","",SUMIFS(Оплаты!$B$6:$B$505,Оплаты!$D$6:$D$505,A166,Оплаты!$A$6:$A$505,D166))</f>
        <v/>
      </c>
      <c r="I166" t="str">
        <f>IF(G166="","",SUMPRODUCT((((((D166+'По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дням'!$J$6:$J$155)))/2+1)&gt;0)*1))</f>
        <v/>
      </c>
    </row>
    <row r="167" spans="1:9" x14ac:dyDescent="0.3">
      <c r="A167" t="str">
        <f>IF(AND(Оплаты!$E$159="ок",COUNTIFS(Акты!$B$5:$B$16,Оплаты!$D$159,Акты!$H$5:$H$16,"ок")&gt;0,COUNTIFS(Оплаты!$D$6:$D$158,Оплаты!$D$159,Оплаты!$A$6:$A$158,Оплаты!$A$159)=0),Оплаты!$D$159,"")</f>
        <v/>
      </c>
      <c r="B167" t="str">
        <f>IF(A167="","",MATCH(A167,Акты!$B$5:$B$16,0))</f>
        <v/>
      </c>
      <c r="C167" s="21" t="str">
        <f>IF(A167="","",Оплаты!$A$159+1)</f>
        <v/>
      </c>
      <c r="D167" s="21" t="str">
        <f>IF(A167="","",MIN(Ввод!$B$4,Ввод!$B$4+1-SUMPRODUCT(MAX((Оплаты!$D$6:$D$505=A167)*(Оплаты!$A$6:$A$505&gt;Оплаты!$A$159)*(Ввод!$B$4+1-Оплаты!$A$6:$A$505)))))</f>
        <v/>
      </c>
      <c r="E167" s="14" t="str">
        <f>IF(A167="","",INDEX(Акты!$D$5:$D$16,B167)-SUMIFS(Оплаты!$B$6:$B$505,Оплаты!$D$6:$D$505,A167,Оплаты!$A$6:$A$505,"&lt;="&amp;Оплаты!$A$159))</f>
        <v/>
      </c>
      <c r="F167" s="14" t="str">
        <f>IF(G167="","",SUMPRODUCT(ROUND(E167*'По дням'!$L$6:$L$155/100*((((D167+'По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дням'!$J$6:$J$155)))/2+1)/'По дням'!$M$6:$M$155,2)*(1-'По дням'!$N$6:$N$155)))</f>
        <v/>
      </c>
      <c r="G167" s="22" t="str">
        <f t="shared" si="2"/>
        <v/>
      </c>
      <c r="H167" s="14" t="str">
        <f>IF(G167="","",SUMIFS(Оплаты!$B$6:$B$505,Оплаты!$D$6:$D$505,A167,Оплаты!$A$6:$A$505,D167))</f>
        <v/>
      </c>
      <c r="I167" t="str">
        <f>IF(G167="","",SUMPRODUCT((((((D167+'По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дням'!$J$6:$J$155)))/2+1)&gt;0)*1))</f>
        <v/>
      </c>
    </row>
    <row r="168" spans="1:9" x14ac:dyDescent="0.3">
      <c r="A168" t="str">
        <f>IF(AND(Оплаты!$E$160="ок",COUNTIFS(Акты!$B$5:$B$16,Оплаты!$D$160,Акты!$H$5:$H$16,"ок")&gt;0,COUNTIFS(Оплаты!$D$6:$D$159,Оплаты!$D$160,Оплаты!$A$6:$A$159,Оплаты!$A$160)=0),Оплаты!$D$160,"")</f>
        <v/>
      </c>
      <c r="B168" t="str">
        <f>IF(A168="","",MATCH(A168,Акты!$B$5:$B$16,0))</f>
        <v/>
      </c>
      <c r="C168" s="21" t="str">
        <f>IF(A168="","",Оплаты!$A$160+1)</f>
        <v/>
      </c>
      <c r="D168" s="21" t="str">
        <f>IF(A168="","",MIN(Ввод!$B$4,Ввод!$B$4+1-SUMPRODUCT(MAX((Оплаты!$D$6:$D$505=A168)*(Оплаты!$A$6:$A$505&gt;Оплаты!$A$160)*(Ввод!$B$4+1-Оплаты!$A$6:$A$505)))))</f>
        <v/>
      </c>
      <c r="E168" s="14" t="str">
        <f>IF(A168="","",INDEX(Акты!$D$5:$D$16,B168)-SUMIFS(Оплаты!$B$6:$B$505,Оплаты!$D$6:$D$505,A168,Оплаты!$A$6:$A$505,"&lt;="&amp;Оплаты!$A$160))</f>
        <v/>
      </c>
      <c r="F168" s="14" t="str">
        <f>IF(G168="","",SUMPRODUCT(ROUND(E168*'По дням'!$L$6:$L$155/100*((((D168+'По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дням'!$J$6:$J$155)))/2+1)/'По дням'!$M$6:$M$155,2)*(1-'По дням'!$N$6:$N$155)))</f>
        <v/>
      </c>
      <c r="G168" s="22" t="str">
        <f t="shared" si="2"/>
        <v/>
      </c>
      <c r="H168" s="14" t="str">
        <f>IF(G168="","",SUMIFS(Оплаты!$B$6:$B$505,Оплаты!$D$6:$D$505,A168,Оплаты!$A$6:$A$505,D168))</f>
        <v/>
      </c>
      <c r="I168" t="str">
        <f>IF(G168="","",SUMPRODUCT((((((D168+'По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дням'!$J$6:$J$155)))/2+1)&gt;0)*1))</f>
        <v/>
      </c>
    </row>
    <row r="169" spans="1:9" x14ac:dyDescent="0.3">
      <c r="A169" t="str">
        <f>IF(AND(Оплаты!$E$161="ок",COUNTIFS(Акты!$B$5:$B$16,Оплаты!$D$161,Акты!$H$5:$H$16,"ок")&gt;0,COUNTIFS(Оплаты!$D$6:$D$160,Оплаты!$D$161,Оплаты!$A$6:$A$160,Оплаты!$A$161)=0),Оплаты!$D$161,"")</f>
        <v/>
      </c>
      <c r="B169" t="str">
        <f>IF(A169="","",MATCH(A169,Акты!$B$5:$B$16,0))</f>
        <v/>
      </c>
      <c r="C169" s="21" t="str">
        <f>IF(A169="","",Оплаты!$A$161+1)</f>
        <v/>
      </c>
      <c r="D169" s="21" t="str">
        <f>IF(A169="","",MIN(Ввод!$B$4,Ввод!$B$4+1-SUMPRODUCT(MAX((Оплаты!$D$6:$D$505=A169)*(Оплаты!$A$6:$A$505&gt;Оплаты!$A$161)*(Ввод!$B$4+1-Оплаты!$A$6:$A$505)))))</f>
        <v/>
      </c>
      <c r="E169" s="14" t="str">
        <f>IF(A169="","",INDEX(Акты!$D$5:$D$16,B169)-SUMIFS(Оплаты!$B$6:$B$505,Оплаты!$D$6:$D$505,A169,Оплаты!$A$6:$A$505,"&lt;="&amp;Оплаты!$A$161))</f>
        <v/>
      </c>
      <c r="F169" s="14" t="str">
        <f>IF(G169="","",SUMPRODUCT(ROUND(E169*'По дням'!$L$6:$L$155/100*((((D169+'По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дням'!$J$6:$J$155)))/2+1)/'По дням'!$M$6:$M$155,2)*(1-'По дням'!$N$6:$N$155)))</f>
        <v/>
      </c>
      <c r="G169" s="22" t="str">
        <f t="shared" si="2"/>
        <v/>
      </c>
      <c r="H169" s="14" t="str">
        <f>IF(G169="","",SUMIFS(Оплаты!$B$6:$B$505,Оплаты!$D$6:$D$505,A169,Оплаты!$A$6:$A$505,D169))</f>
        <v/>
      </c>
      <c r="I169" t="str">
        <f>IF(G169="","",SUMPRODUCT((((((D169+'По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дням'!$J$6:$J$155)))/2+1)&gt;0)*1))</f>
        <v/>
      </c>
    </row>
    <row r="170" spans="1:9" x14ac:dyDescent="0.3">
      <c r="A170" t="str">
        <f>IF(AND(Оплаты!$E$162="ок",COUNTIFS(Акты!$B$5:$B$16,Оплаты!$D$162,Акты!$H$5:$H$16,"ок")&gt;0,COUNTIFS(Оплаты!$D$6:$D$161,Оплаты!$D$162,Оплаты!$A$6:$A$161,Оплаты!$A$162)=0),Оплаты!$D$162,"")</f>
        <v/>
      </c>
      <c r="B170" t="str">
        <f>IF(A170="","",MATCH(A170,Акты!$B$5:$B$16,0))</f>
        <v/>
      </c>
      <c r="C170" s="21" t="str">
        <f>IF(A170="","",Оплаты!$A$162+1)</f>
        <v/>
      </c>
      <c r="D170" s="21" t="str">
        <f>IF(A170="","",MIN(Ввод!$B$4,Ввод!$B$4+1-SUMPRODUCT(MAX((Оплаты!$D$6:$D$505=A170)*(Оплаты!$A$6:$A$505&gt;Оплаты!$A$162)*(Ввод!$B$4+1-Оплаты!$A$6:$A$505)))))</f>
        <v/>
      </c>
      <c r="E170" s="14" t="str">
        <f>IF(A170="","",INDEX(Акты!$D$5:$D$16,B170)-SUMIFS(Оплаты!$B$6:$B$505,Оплаты!$D$6:$D$505,A170,Оплаты!$A$6:$A$505,"&lt;="&amp;Оплаты!$A$162))</f>
        <v/>
      </c>
      <c r="F170" s="14" t="str">
        <f>IF(G170="","",SUMPRODUCT(ROUND(E170*'По дням'!$L$6:$L$155/100*((((D170+'По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дням'!$J$6:$J$155)))/2+1)/'По дням'!$M$6:$M$155,2)*(1-'По дням'!$N$6:$N$155)))</f>
        <v/>
      </c>
      <c r="G170" s="22" t="str">
        <f t="shared" si="2"/>
        <v/>
      </c>
      <c r="H170" s="14" t="str">
        <f>IF(G170="","",SUMIFS(Оплаты!$B$6:$B$505,Оплаты!$D$6:$D$505,A170,Оплаты!$A$6:$A$505,D170))</f>
        <v/>
      </c>
      <c r="I170" t="str">
        <f>IF(G170="","",SUMPRODUCT((((((D170+'По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дням'!$J$6:$J$155)))/2+1)&gt;0)*1))</f>
        <v/>
      </c>
    </row>
    <row r="171" spans="1:9" x14ac:dyDescent="0.3">
      <c r="A171" t="str">
        <f>IF(AND(Оплаты!$E$163="ок",COUNTIFS(Акты!$B$5:$B$16,Оплаты!$D$163,Акты!$H$5:$H$16,"ок")&gt;0,COUNTIFS(Оплаты!$D$6:$D$162,Оплаты!$D$163,Оплаты!$A$6:$A$162,Оплаты!$A$163)=0),Оплаты!$D$163,"")</f>
        <v/>
      </c>
      <c r="B171" t="str">
        <f>IF(A171="","",MATCH(A171,Акты!$B$5:$B$16,0))</f>
        <v/>
      </c>
      <c r="C171" s="21" t="str">
        <f>IF(A171="","",Оплаты!$A$163+1)</f>
        <v/>
      </c>
      <c r="D171" s="21" t="str">
        <f>IF(A171="","",MIN(Ввод!$B$4,Ввод!$B$4+1-SUMPRODUCT(MAX((Оплаты!$D$6:$D$505=A171)*(Оплаты!$A$6:$A$505&gt;Оплаты!$A$163)*(Ввод!$B$4+1-Оплаты!$A$6:$A$505)))))</f>
        <v/>
      </c>
      <c r="E171" s="14" t="str">
        <f>IF(A171="","",INDEX(Акты!$D$5:$D$16,B171)-SUMIFS(Оплаты!$B$6:$B$505,Оплаты!$D$6:$D$505,A171,Оплаты!$A$6:$A$505,"&lt;="&amp;Оплаты!$A$163))</f>
        <v/>
      </c>
      <c r="F171" s="14" t="str">
        <f>IF(G171="","",SUMPRODUCT(ROUND(E171*'По дням'!$L$6:$L$155/100*((((D171+'По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дням'!$J$6:$J$155)))/2+1)/'По дням'!$M$6:$M$155,2)*(1-'По дням'!$N$6:$N$155)))</f>
        <v/>
      </c>
      <c r="G171" s="22" t="str">
        <f t="shared" si="2"/>
        <v/>
      </c>
      <c r="H171" s="14" t="str">
        <f>IF(G171="","",SUMIFS(Оплаты!$B$6:$B$505,Оплаты!$D$6:$D$505,A171,Оплаты!$A$6:$A$505,D171))</f>
        <v/>
      </c>
      <c r="I171" t="str">
        <f>IF(G171="","",SUMPRODUCT((((((D171+'По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дням'!$J$6:$J$155)))/2+1)&gt;0)*1))</f>
        <v/>
      </c>
    </row>
    <row r="172" spans="1:9" x14ac:dyDescent="0.3">
      <c r="A172" t="str">
        <f>IF(AND(Оплаты!$E$164="ок",COUNTIFS(Акты!$B$5:$B$16,Оплаты!$D$164,Акты!$H$5:$H$16,"ок")&gt;0,COUNTIFS(Оплаты!$D$6:$D$163,Оплаты!$D$164,Оплаты!$A$6:$A$163,Оплаты!$A$164)=0),Оплаты!$D$164,"")</f>
        <v/>
      </c>
      <c r="B172" t="str">
        <f>IF(A172="","",MATCH(A172,Акты!$B$5:$B$16,0))</f>
        <v/>
      </c>
      <c r="C172" s="21" t="str">
        <f>IF(A172="","",Оплаты!$A$164+1)</f>
        <v/>
      </c>
      <c r="D172" s="21" t="str">
        <f>IF(A172="","",MIN(Ввод!$B$4,Ввод!$B$4+1-SUMPRODUCT(MAX((Оплаты!$D$6:$D$505=A172)*(Оплаты!$A$6:$A$505&gt;Оплаты!$A$164)*(Ввод!$B$4+1-Оплаты!$A$6:$A$505)))))</f>
        <v/>
      </c>
      <c r="E172" s="14" t="str">
        <f>IF(A172="","",INDEX(Акты!$D$5:$D$16,B172)-SUMIFS(Оплаты!$B$6:$B$505,Оплаты!$D$6:$D$505,A172,Оплаты!$A$6:$A$505,"&lt;="&amp;Оплаты!$A$164))</f>
        <v/>
      </c>
      <c r="F172" s="14" t="str">
        <f>IF(G172="","",SUMPRODUCT(ROUND(E172*'По дням'!$L$6:$L$155/100*((((D172+'По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дням'!$J$6:$J$155)))/2+1)/'По дням'!$M$6:$M$155,2)*(1-'По дням'!$N$6:$N$155)))</f>
        <v/>
      </c>
      <c r="G172" s="22" t="str">
        <f t="shared" si="2"/>
        <v/>
      </c>
      <c r="H172" s="14" t="str">
        <f>IF(G172="","",SUMIFS(Оплаты!$B$6:$B$505,Оплаты!$D$6:$D$505,A172,Оплаты!$A$6:$A$505,D172))</f>
        <v/>
      </c>
      <c r="I172" t="str">
        <f>IF(G172="","",SUMPRODUCT((((((D172+'По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дням'!$J$6:$J$155)))/2+1)&gt;0)*1))</f>
        <v/>
      </c>
    </row>
    <row r="173" spans="1:9" x14ac:dyDescent="0.3">
      <c r="A173" t="str">
        <f>IF(AND(Оплаты!$E$165="ок",COUNTIFS(Акты!$B$5:$B$16,Оплаты!$D$165,Акты!$H$5:$H$16,"ок")&gt;0,COUNTIFS(Оплаты!$D$6:$D$164,Оплаты!$D$165,Оплаты!$A$6:$A$164,Оплаты!$A$165)=0),Оплаты!$D$165,"")</f>
        <v/>
      </c>
      <c r="B173" t="str">
        <f>IF(A173="","",MATCH(A173,Акты!$B$5:$B$16,0))</f>
        <v/>
      </c>
      <c r="C173" s="21" t="str">
        <f>IF(A173="","",Оплаты!$A$165+1)</f>
        <v/>
      </c>
      <c r="D173" s="21" t="str">
        <f>IF(A173="","",MIN(Ввод!$B$4,Ввод!$B$4+1-SUMPRODUCT(MAX((Оплаты!$D$6:$D$505=A173)*(Оплаты!$A$6:$A$505&gt;Оплаты!$A$165)*(Ввод!$B$4+1-Оплаты!$A$6:$A$505)))))</f>
        <v/>
      </c>
      <c r="E173" s="14" t="str">
        <f>IF(A173="","",INDEX(Акты!$D$5:$D$16,B173)-SUMIFS(Оплаты!$B$6:$B$505,Оплаты!$D$6:$D$505,A173,Оплаты!$A$6:$A$505,"&lt;="&amp;Оплаты!$A$165))</f>
        <v/>
      </c>
      <c r="F173" s="14" t="str">
        <f>IF(G173="","",SUMPRODUCT(ROUND(E173*'По дням'!$L$6:$L$155/100*((((D173+'По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дням'!$J$6:$J$155)))/2+1)/'По дням'!$M$6:$M$155,2)*(1-'По дням'!$N$6:$N$155)))</f>
        <v/>
      </c>
      <c r="G173" s="22" t="str">
        <f t="shared" si="2"/>
        <v/>
      </c>
      <c r="H173" s="14" t="str">
        <f>IF(G173="","",SUMIFS(Оплаты!$B$6:$B$505,Оплаты!$D$6:$D$505,A173,Оплаты!$A$6:$A$505,D173))</f>
        <v/>
      </c>
      <c r="I173" t="str">
        <f>IF(G173="","",SUMPRODUCT((((((D173+'По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дням'!$J$6:$J$155)))/2+1)&gt;0)*1))</f>
        <v/>
      </c>
    </row>
    <row r="174" spans="1:9" x14ac:dyDescent="0.3">
      <c r="A174" t="str">
        <f>IF(AND(Оплаты!$E$166="ок",COUNTIFS(Акты!$B$5:$B$16,Оплаты!$D$166,Акты!$H$5:$H$16,"ок")&gt;0,COUNTIFS(Оплаты!$D$6:$D$165,Оплаты!$D$166,Оплаты!$A$6:$A$165,Оплаты!$A$166)=0),Оплаты!$D$166,"")</f>
        <v/>
      </c>
      <c r="B174" t="str">
        <f>IF(A174="","",MATCH(A174,Акты!$B$5:$B$16,0))</f>
        <v/>
      </c>
      <c r="C174" s="21" t="str">
        <f>IF(A174="","",Оплаты!$A$166+1)</f>
        <v/>
      </c>
      <c r="D174" s="21" t="str">
        <f>IF(A174="","",MIN(Ввод!$B$4,Ввод!$B$4+1-SUMPRODUCT(MAX((Оплаты!$D$6:$D$505=A174)*(Оплаты!$A$6:$A$505&gt;Оплаты!$A$166)*(Ввод!$B$4+1-Оплаты!$A$6:$A$505)))))</f>
        <v/>
      </c>
      <c r="E174" s="14" t="str">
        <f>IF(A174="","",INDEX(Акты!$D$5:$D$16,B174)-SUMIFS(Оплаты!$B$6:$B$505,Оплаты!$D$6:$D$505,A174,Оплаты!$A$6:$A$505,"&lt;="&amp;Оплаты!$A$166))</f>
        <v/>
      </c>
      <c r="F174" s="14" t="str">
        <f>IF(G174="","",SUMPRODUCT(ROUND(E174*'По дням'!$L$6:$L$155/100*((((D174+'По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дням'!$J$6:$J$155)))/2+1)/'По дням'!$M$6:$M$155,2)*(1-'По дням'!$N$6:$N$155)))</f>
        <v/>
      </c>
      <c r="G174" s="22" t="str">
        <f t="shared" si="2"/>
        <v/>
      </c>
      <c r="H174" s="14" t="str">
        <f>IF(G174="","",SUMIFS(Оплаты!$B$6:$B$505,Оплаты!$D$6:$D$505,A174,Оплаты!$A$6:$A$505,D174))</f>
        <v/>
      </c>
      <c r="I174" t="str">
        <f>IF(G174="","",SUMPRODUCT((((((D174+'По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дням'!$J$6:$J$155)))/2+1)&gt;0)*1))</f>
        <v/>
      </c>
    </row>
    <row r="175" spans="1:9" x14ac:dyDescent="0.3">
      <c r="A175" t="str">
        <f>IF(AND(Оплаты!$E$167="ок",COUNTIFS(Акты!$B$5:$B$16,Оплаты!$D$167,Акты!$H$5:$H$16,"ок")&gt;0,COUNTIFS(Оплаты!$D$6:$D$166,Оплаты!$D$167,Оплаты!$A$6:$A$166,Оплаты!$A$167)=0),Оплаты!$D$167,"")</f>
        <v/>
      </c>
      <c r="B175" t="str">
        <f>IF(A175="","",MATCH(A175,Акты!$B$5:$B$16,0))</f>
        <v/>
      </c>
      <c r="C175" s="21" t="str">
        <f>IF(A175="","",Оплаты!$A$167+1)</f>
        <v/>
      </c>
      <c r="D175" s="21" t="str">
        <f>IF(A175="","",MIN(Ввод!$B$4,Ввод!$B$4+1-SUMPRODUCT(MAX((Оплаты!$D$6:$D$505=A175)*(Оплаты!$A$6:$A$505&gt;Оплаты!$A$167)*(Ввод!$B$4+1-Оплаты!$A$6:$A$505)))))</f>
        <v/>
      </c>
      <c r="E175" s="14" t="str">
        <f>IF(A175="","",INDEX(Акты!$D$5:$D$16,B175)-SUMIFS(Оплаты!$B$6:$B$505,Оплаты!$D$6:$D$505,A175,Оплаты!$A$6:$A$505,"&lt;="&amp;Оплаты!$A$167))</f>
        <v/>
      </c>
      <c r="F175" s="14" t="str">
        <f>IF(G175="","",SUMPRODUCT(ROUND(E175*'По дням'!$L$6:$L$155/100*((((D175+'По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дням'!$J$6:$J$155)))/2+1)/'По дням'!$M$6:$M$155,2)*(1-'По дням'!$N$6:$N$155)))</f>
        <v/>
      </c>
      <c r="G175" s="22" t="str">
        <f t="shared" si="2"/>
        <v/>
      </c>
      <c r="H175" s="14" t="str">
        <f>IF(G175="","",SUMIFS(Оплаты!$B$6:$B$505,Оплаты!$D$6:$D$505,A175,Оплаты!$A$6:$A$505,D175))</f>
        <v/>
      </c>
      <c r="I175" t="str">
        <f>IF(G175="","",SUMPRODUCT((((((D175+'По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дням'!$J$6:$J$155)))/2+1)&gt;0)*1))</f>
        <v/>
      </c>
    </row>
    <row r="176" spans="1:9" x14ac:dyDescent="0.3">
      <c r="A176" t="str">
        <f>IF(AND(Оплаты!$E$168="ок",COUNTIFS(Акты!$B$5:$B$16,Оплаты!$D$168,Акты!$H$5:$H$16,"ок")&gt;0,COUNTIFS(Оплаты!$D$6:$D$167,Оплаты!$D$168,Оплаты!$A$6:$A$167,Оплаты!$A$168)=0),Оплаты!$D$168,"")</f>
        <v/>
      </c>
      <c r="B176" t="str">
        <f>IF(A176="","",MATCH(A176,Акты!$B$5:$B$16,0))</f>
        <v/>
      </c>
      <c r="C176" s="21" t="str">
        <f>IF(A176="","",Оплаты!$A$168+1)</f>
        <v/>
      </c>
      <c r="D176" s="21" t="str">
        <f>IF(A176="","",MIN(Ввод!$B$4,Ввод!$B$4+1-SUMPRODUCT(MAX((Оплаты!$D$6:$D$505=A176)*(Оплаты!$A$6:$A$505&gt;Оплаты!$A$168)*(Ввод!$B$4+1-Оплаты!$A$6:$A$505)))))</f>
        <v/>
      </c>
      <c r="E176" s="14" t="str">
        <f>IF(A176="","",INDEX(Акты!$D$5:$D$16,B176)-SUMIFS(Оплаты!$B$6:$B$505,Оплаты!$D$6:$D$505,A176,Оплаты!$A$6:$A$505,"&lt;="&amp;Оплаты!$A$168))</f>
        <v/>
      </c>
      <c r="F176" s="14" t="str">
        <f>IF(G176="","",SUMPRODUCT(ROUND(E176*'По дням'!$L$6:$L$155/100*((((D176+'По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дням'!$J$6:$J$155)))/2+1)/'По дням'!$M$6:$M$155,2)*(1-'По дням'!$N$6:$N$155)))</f>
        <v/>
      </c>
      <c r="G176" s="22" t="str">
        <f t="shared" si="2"/>
        <v/>
      </c>
      <c r="H176" s="14" t="str">
        <f>IF(G176="","",SUMIFS(Оплаты!$B$6:$B$505,Оплаты!$D$6:$D$505,A176,Оплаты!$A$6:$A$505,D176))</f>
        <v/>
      </c>
      <c r="I176" t="str">
        <f>IF(G176="","",SUMPRODUCT((((((D176+'По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дням'!$J$6:$J$155)))/2+1)&gt;0)*1))</f>
        <v/>
      </c>
    </row>
    <row r="177" spans="1:9" x14ac:dyDescent="0.3">
      <c r="A177" t="str">
        <f>IF(AND(Оплаты!$E$169="ок",COUNTIFS(Акты!$B$5:$B$16,Оплаты!$D$169,Акты!$H$5:$H$16,"ок")&gt;0,COUNTIFS(Оплаты!$D$6:$D$168,Оплаты!$D$169,Оплаты!$A$6:$A$168,Оплаты!$A$169)=0),Оплаты!$D$169,"")</f>
        <v/>
      </c>
      <c r="B177" t="str">
        <f>IF(A177="","",MATCH(A177,Акты!$B$5:$B$16,0))</f>
        <v/>
      </c>
      <c r="C177" s="21" t="str">
        <f>IF(A177="","",Оплаты!$A$169+1)</f>
        <v/>
      </c>
      <c r="D177" s="21" t="str">
        <f>IF(A177="","",MIN(Ввод!$B$4,Ввод!$B$4+1-SUMPRODUCT(MAX((Оплаты!$D$6:$D$505=A177)*(Оплаты!$A$6:$A$505&gt;Оплаты!$A$169)*(Ввод!$B$4+1-Оплаты!$A$6:$A$505)))))</f>
        <v/>
      </c>
      <c r="E177" s="14" t="str">
        <f>IF(A177="","",INDEX(Акты!$D$5:$D$16,B177)-SUMIFS(Оплаты!$B$6:$B$505,Оплаты!$D$6:$D$505,A177,Оплаты!$A$6:$A$505,"&lt;="&amp;Оплаты!$A$169))</f>
        <v/>
      </c>
      <c r="F177" s="14" t="str">
        <f>IF(G177="","",SUMPRODUCT(ROUND(E177*'По дням'!$L$6:$L$155/100*((((D177+'По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дням'!$J$6:$J$155)))/2+1)/'По дням'!$M$6:$M$155,2)*(1-'По дням'!$N$6:$N$155)))</f>
        <v/>
      </c>
      <c r="G177" s="22" t="str">
        <f t="shared" si="2"/>
        <v/>
      </c>
      <c r="H177" s="14" t="str">
        <f>IF(G177="","",SUMIFS(Оплаты!$B$6:$B$505,Оплаты!$D$6:$D$505,A177,Оплаты!$A$6:$A$505,D177))</f>
        <v/>
      </c>
      <c r="I177" t="str">
        <f>IF(G177="","",SUMPRODUCT((((((D177+'По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дням'!$J$6:$J$155)))/2+1)&gt;0)*1))</f>
        <v/>
      </c>
    </row>
    <row r="178" spans="1:9" x14ac:dyDescent="0.3">
      <c r="A178" t="str">
        <f>IF(AND(Оплаты!$E$170="ок",COUNTIFS(Акты!$B$5:$B$16,Оплаты!$D$170,Акты!$H$5:$H$16,"ок")&gt;0,COUNTIFS(Оплаты!$D$6:$D$169,Оплаты!$D$170,Оплаты!$A$6:$A$169,Оплаты!$A$170)=0),Оплаты!$D$170,"")</f>
        <v/>
      </c>
      <c r="B178" t="str">
        <f>IF(A178="","",MATCH(A178,Акты!$B$5:$B$16,0))</f>
        <v/>
      </c>
      <c r="C178" s="21" t="str">
        <f>IF(A178="","",Оплаты!$A$170+1)</f>
        <v/>
      </c>
      <c r="D178" s="21" t="str">
        <f>IF(A178="","",MIN(Ввод!$B$4,Ввод!$B$4+1-SUMPRODUCT(MAX((Оплаты!$D$6:$D$505=A178)*(Оплаты!$A$6:$A$505&gt;Оплаты!$A$170)*(Ввод!$B$4+1-Оплаты!$A$6:$A$505)))))</f>
        <v/>
      </c>
      <c r="E178" s="14" t="str">
        <f>IF(A178="","",INDEX(Акты!$D$5:$D$16,B178)-SUMIFS(Оплаты!$B$6:$B$505,Оплаты!$D$6:$D$505,A178,Оплаты!$A$6:$A$505,"&lt;="&amp;Оплаты!$A$170))</f>
        <v/>
      </c>
      <c r="F178" s="14" t="str">
        <f>IF(G178="","",SUMPRODUCT(ROUND(E178*'По дням'!$L$6:$L$155/100*((((D178+'По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дням'!$J$6:$J$155)))/2+1)/'По дням'!$M$6:$M$155,2)*(1-'По дням'!$N$6:$N$155)))</f>
        <v/>
      </c>
      <c r="G178" s="22" t="str">
        <f t="shared" si="2"/>
        <v/>
      </c>
      <c r="H178" s="14" t="str">
        <f>IF(G178="","",SUMIFS(Оплаты!$B$6:$B$505,Оплаты!$D$6:$D$505,A178,Оплаты!$A$6:$A$505,D178))</f>
        <v/>
      </c>
      <c r="I178" t="str">
        <f>IF(G178="","",SUMPRODUCT((((((D178+'По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дням'!$J$6:$J$155)))/2+1)&gt;0)*1))</f>
        <v/>
      </c>
    </row>
    <row r="179" spans="1:9" x14ac:dyDescent="0.3">
      <c r="A179" t="str">
        <f>IF(AND(Оплаты!$E$171="ок",COUNTIFS(Акты!$B$5:$B$16,Оплаты!$D$171,Акты!$H$5:$H$16,"ок")&gt;0,COUNTIFS(Оплаты!$D$6:$D$170,Оплаты!$D$171,Оплаты!$A$6:$A$170,Оплаты!$A$171)=0),Оплаты!$D$171,"")</f>
        <v/>
      </c>
      <c r="B179" t="str">
        <f>IF(A179="","",MATCH(A179,Акты!$B$5:$B$16,0))</f>
        <v/>
      </c>
      <c r="C179" s="21" t="str">
        <f>IF(A179="","",Оплаты!$A$171+1)</f>
        <v/>
      </c>
      <c r="D179" s="21" t="str">
        <f>IF(A179="","",MIN(Ввод!$B$4,Ввод!$B$4+1-SUMPRODUCT(MAX((Оплаты!$D$6:$D$505=A179)*(Оплаты!$A$6:$A$505&gt;Оплаты!$A$171)*(Ввод!$B$4+1-Оплаты!$A$6:$A$505)))))</f>
        <v/>
      </c>
      <c r="E179" s="14" t="str">
        <f>IF(A179="","",INDEX(Акты!$D$5:$D$16,B179)-SUMIFS(Оплаты!$B$6:$B$505,Оплаты!$D$6:$D$505,A179,Оплаты!$A$6:$A$505,"&lt;="&amp;Оплаты!$A$171))</f>
        <v/>
      </c>
      <c r="F179" s="14" t="str">
        <f>IF(G179="","",SUMPRODUCT(ROUND(E179*'По дням'!$L$6:$L$155/100*((((D179+'По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дням'!$J$6:$J$155)))/2+1)/'По дням'!$M$6:$M$155,2)*(1-'По дням'!$N$6:$N$155)))</f>
        <v/>
      </c>
      <c r="G179" s="22" t="str">
        <f t="shared" si="2"/>
        <v/>
      </c>
      <c r="H179" s="14" t="str">
        <f>IF(G179="","",SUMIFS(Оплаты!$B$6:$B$505,Оплаты!$D$6:$D$505,A179,Оплаты!$A$6:$A$505,D179))</f>
        <v/>
      </c>
      <c r="I179" t="str">
        <f>IF(G179="","",SUMPRODUCT((((((D179+'По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дням'!$J$6:$J$155)))/2+1)&gt;0)*1))</f>
        <v/>
      </c>
    </row>
    <row r="180" spans="1:9" x14ac:dyDescent="0.3">
      <c r="A180" t="str">
        <f>IF(AND(Оплаты!$E$172="ок",COUNTIFS(Акты!$B$5:$B$16,Оплаты!$D$172,Акты!$H$5:$H$16,"ок")&gt;0,COUNTIFS(Оплаты!$D$6:$D$171,Оплаты!$D$172,Оплаты!$A$6:$A$171,Оплаты!$A$172)=0),Оплаты!$D$172,"")</f>
        <v/>
      </c>
      <c r="B180" t="str">
        <f>IF(A180="","",MATCH(A180,Акты!$B$5:$B$16,0))</f>
        <v/>
      </c>
      <c r="C180" s="21" t="str">
        <f>IF(A180="","",Оплаты!$A$172+1)</f>
        <v/>
      </c>
      <c r="D180" s="21" t="str">
        <f>IF(A180="","",MIN(Ввод!$B$4,Ввод!$B$4+1-SUMPRODUCT(MAX((Оплаты!$D$6:$D$505=A180)*(Оплаты!$A$6:$A$505&gt;Оплаты!$A$172)*(Ввод!$B$4+1-Оплаты!$A$6:$A$505)))))</f>
        <v/>
      </c>
      <c r="E180" s="14" t="str">
        <f>IF(A180="","",INDEX(Акты!$D$5:$D$16,B180)-SUMIFS(Оплаты!$B$6:$B$505,Оплаты!$D$6:$D$505,A180,Оплаты!$A$6:$A$505,"&lt;="&amp;Оплаты!$A$172))</f>
        <v/>
      </c>
      <c r="F180" s="14" t="str">
        <f>IF(G180="","",SUMPRODUCT(ROUND(E180*'По дням'!$L$6:$L$155/100*((((D180+'По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дням'!$J$6:$J$155)))/2+1)/'По дням'!$M$6:$M$155,2)*(1-'По дням'!$N$6:$N$155)))</f>
        <v/>
      </c>
      <c r="G180" s="22" t="str">
        <f t="shared" si="2"/>
        <v/>
      </c>
      <c r="H180" s="14" t="str">
        <f>IF(G180="","",SUMIFS(Оплаты!$B$6:$B$505,Оплаты!$D$6:$D$505,A180,Оплаты!$A$6:$A$505,D180))</f>
        <v/>
      </c>
      <c r="I180" t="str">
        <f>IF(G180="","",SUMPRODUCT((((((D180+'По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дням'!$J$6:$J$155)))/2+1)&gt;0)*1))</f>
        <v/>
      </c>
    </row>
    <row r="181" spans="1:9" x14ac:dyDescent="0.3">
      <c r="A181" t="str">
        <f>IF(AND(Оплаты!$E$173="ок",COUNTIFS(Акты!$B$5:$B$16,Оплаты!$D$173,Акты!$H$5:$H$16,"ок")&gt;0,COUNTIFS(Оплаты!$D$6:$D$172,Оплаты!$D$173,Оплаты!$A$6:$A$172,Оплаты!$A$173)=0),Оплаты!$D$173,"")</f>
        <v/>
      </c>
      <c r="B181" t="str">
        <f>IF(A181="","",MATCH(A181,Акты!$B$5:$B$16,0))</f>
        <v/>
      </c>
      <c r="C181" s="21" t="str">
        <f>IF(A181="","",Оплаты!$A$173+1)</f>
        <v/>
      </c>
      <c r="D181" s="21" t="str">
        <f>IF(A181="","",MIN(Ввод!$B$4,Ввод!$B$4+1-SUMPRODUCT(MAX((Оплаты!$D$6:$D$505=A181)*(Оплаты!$A$6:$A$505&gt;Оплаты!$A$173)*(Ввод!$B$4+1-Оплаты!$A$6:$A$505)))))</f>
        <v/>
      </c>
      <c r="E181" s="14" t="str">
        <f>IF(A181="","",INDEX(Акты!$D$5:$D$16,B181)-SUMIFS(Оплаты!$B$6:$B$505,Оплаты!$D$6:$D$505,A181,Оплаты!$A$6:$A$505,"&lt;="&amp;Оплаты!$A$173))</f>
        <v/>
      </c>
      <c r="F181" s="14" t="str">
        <f>IF(G181="","",SUMPRODUCT(ROUND(E181*'По дням'!$L$6:$L$155/100*((((D181+'По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дням'!$J$6:$J$155)))/2+1)/'По дням'!$M$6:$M$155,2)*(1-'По дням'!$N$6:$N$155)))</f>
        <v/>
      </c>
      <c r="G181" s="22" t="str">
        <f t="shared" si="2"/>
        <v/>
      </c>
      <c r="H181" s="14" t="str">
        <f>IF(G181="","",SUMIFS(Оплаты!$B$6:$B$505,Оплаты!$D$6:$D$505,A181,Оплаты!$A$6:$A$505,D181))</f>
        <v/>
      </c>
      <c r="I181" t="str">
        <f>IF(G181="","",SUMPRODUCT((((((D181+'По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дням'!$J$6:$J$155)))/2+1)&gt;0)*1))</f>
        <v/>
      </c>
    </row>
    <row r="182" spans="1:9" x14ac:dyDescent="0.3">
      <c r="A182" t="str">
        <f>IF(AND(Оплаты!$E$174="ок",COUNTIFS(Акты!$B$5:$B$16,Оплаты!$D$174,Акты!$H$5:$H$16,"ок")&gt;0,COUNTIFS(Оплаты!$D$6:$D$173,Оплаты!$D$174,Оплаты!$A$6:$A$173,Оплаты!$A$174)=0),Оплаты!$D$174,"")</f>
        <v/>
      </c>
      <c r="B182" t="str">
        <f>IF(A182="","",MATCH(A182,Акты!$B$5:$B$16,0))</f>
        <v/>
      </c>
      <c r="C182" s="21" t="str">
        <f>IF(A182="","",Оплаты!$A$174+1)</f>
        <v/>
      </c>
      <c r="D182" s="21" t="str">
        <f>IF(A182="","",MIN(Ввод!$B$4,Ввод!$B$4+1-SUMPRODUCT(MAX((Оплаты!$D$6:$D$505=A182)*(Оплаты!$A$6:$A$505&gt;Оплаты!$A$174)*(Ввод!$B$4+1-Оплаты!$A$6:$A$505)))))</f>
        <v/>
      </c>
      <c r="E182" s="14" t="str">
        <f>IF(A182="","",INDEX(Акты!$D$5:$D$16,B182)-SUMIFS(Оплаты!$B$6:$B$505,Оплаты!$D$6:$D$505,A182,Оплаты!$A$6:$A$505,"&lt;="&amp;Оплаты!$A$174))</f>
        <v/>
      </c>
      <c r="F182" s="14" t="str">
        <f>IF(G182="","",SUMPRODUCT(ROUND(E182*'По дням'!$L$6:$L$155/100*((((D182+'По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дням'!$J$6:$J$155)))/2+1)/'По дням'!$M$6:$M$155,2)*(1-'По дням'!$N$6:$N$155)))</f>
        <v/>
      </c>
      <c r="G182" s="22" t="str">
        <f t="shared" si="2"/>
        <v/>
      </c>
      <c r="H182" s="14" t="str">
        <f>IF(G182="","",SUMIFS(Оплаты!$B$6:$B$505,Оплаты!$D$6:$D$505,A182,Оплаты!$A$6:$A$505,D182))</f>
        <v/>
      </c>
      <c r="I182" t="str">
        <f>IF(G182="","",SUMPRODUCT((((((D182+'По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дням'!$J$6:$J$155)))/2+1)&gt;0)*1))</f>
        <v/>
      </c>
    </row>
    <row r="183" spans="1:9" x14ac:dyDescent="0.3">
      <c r="A183" t="str">
        <f>IF(AND(Оплаты!$E$175="ок",COUNTIFS(Акты!$B$5:$B$16,Оплаты!$D$175,Акты!$H$5:$H$16,"ок")&gt;0,COUNTIFS(Оплаты!$D$6:$D$174,Оплаты!$D$175,Оплаты!$A$6:$A$174,Оплаты!$A$175)=0),Оплаты!$D$175,"")</f>
        <v/>
      </c>
      <c r="B183" t="str">
        <f>IF(A183="","",MATCH(A183,Акты!$B$5:$B$16,0))</f>
        <v/>
      </c>
      <c r="C183" s="21" t="str">
        <f>IF(A183="","",Оплаты!$A$175+1)</f>
        <v/>
      </c>
      <c r="D183" s="21" t="str">
        <f>IF(A183="","",MIN(Ввод!$B$4,Ввод!$B$4+1-SUMPRODUCT(MAX((Оплаты!$D$6:$D$505=A183)*(Оплаты!$A$6:$A$505&gt;Оплаты!$A$175)*(Ввод!$B$4+1-Оплаты!$A$6:$A$505)))))</f>
        <v/>
      </c>
      <c r="E183" s="14" t="str">
        <f>IF(A183="","",INDEX(Акты!$D$5:$D$16,B183)-SUMIFS(Оплаты!$B$6:$B$505,Оплаты!$D$6:$D$505,A183,Оплаты!$A$6:$A$505,"&lt;="&amp;Оплаты!$A$175))</f>
        <v/>
      </c>
      <c r="F183" s="14" t="str">
        <f>IF(G183="","",SUMPRODUCT(ROUND(E183*'По дням'!$L$6:$L$155/100*((((D183+'По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дням'!$J$6:$J$155)))/2+1)/'По дням'!$M$6:$M$155,2)*(1-'По дням'!$N$6:$N$155)))</f>
        <v/>
      </c>
      <c r="G183" s="22" t="str">
        <f t="shared" si="2"/>
        <v/>
      </c>
      <c r="H183" s="14" t="str">
        <f>IF(G183="","",SUMIFS(Оплаты!$B$6:$B$505,Оплаты!$D$6:$D$505,A183,Оплаты!$A$6:$A$505,D183))</f>
        <v/>
      </c>
      <c r="I183" t="str">
        <f>IF(G183="","",SUMPRODUCT((((((D183+'По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дням'!$J$6:$J$155)))/2+1)&gt;0)*1))</f>
        <v/>
      </c>
    </row>
    <row r="184" spans="1:9" x14ac:dyDescent="0.3">
      <c r="A184" t="str">
        <f>IF(AND(Оплаты!$E$176="ок",COUNTIFS(Акты!$B$5:$B$16,Оплаты!$D$176,Акты!$H$5:$H$16,"ок")&gt;0,COUNTIFS(Оплаты!$D$6:$D$175,Оплаты!$D$176,Оплаты!$A$6:$A$175,Оплаты!$A$176)=0),Оплаты!$D$176,"")</f>
        <v/>
      </c>
      <c r="B184" t="str">
        <f>IF(A184="","",MATCH(A184,Акты!$B$5:$B$16,0))</f>
        <v/>
      </c>
      <c r="C184" s="21" t="str">
        <f>IF(A184="","",Оплаты!$A$176+1)</f>
        <v/>
      </c>
      <c r="D184" s="21" t="str">
        <f>IF(A184="","",MIN(Ввод!$B$4,Ввод!$B$4+1-SUMPRODUCT(MAX((Оплаты!$D$6:$D$505=A184)*(Оплаты!$A$6:$A$505&gt;Оплаты!$A$176)*(Ввод!$B$4+1-Оплаты!$A$6:$A$505)))))</f>
        <v/>
      </c>
      <c r="E184" s="14" t="str">
        <f>IF(A184="","",INDEX(Акты!$D$5:$D$16,B184)-SUMIFS(Оплаты!$B$6:$B$505,Оплаты!$D$6:$D$505,A184,Оплаты!$A$6:$A$505,"&lt;="&amp;Оплаты!$A$176))</f>
        <v/>
      </c>
      <c r="F184" s="14" t="str">
        <f>IF(G184="","",SUMPRODUCT(ROUND(E184*'По дням'!$L$6:$L$155/100*((((D184+'По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дням'!$J$6:$J$155)))/2+1)/'По дням'!$M$6:$M$155,2)*(1-'По дням'!$N$6:$N$155)))</f>
        <v/>
      </c>
      <c r="G184" s="22" t="str">
        <f t="shared" si="2"/>
        <v/>
      </c>
      <c r="H184" s="14" t="str">
        <f>IF(G184="","",SUMIFS(Оплаты!$B$6:$B$505,Оплаты!$D$6:$D$505,A184,Оплаты!$A$6:$A$505,D184))</f>
        <v/>
      </c>
      <c r="I184" t="str">
        <f>IF(G184="","",SUMPRODUCT((((((D184+'По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дням'!$J$6:$J$155)))/2+1)&gt;0)*1))</f>
        <v/>
      </c>
    </row>
    <row r="185" spans="1:9" x14ac:dyDescent="0.3">
      <c r="A185" t="str">
        <f>IF(AND(Оплаты!$E$177="ок",COUNTIFS(Акты!$B$5:$B$16,Оплаты!$D$177,Акты!$H$5:$H$16,"ок")&gt;0,COUNTIFS(Оплаты!$D$6:$D$176,Оплаты!$D$177,Оплаты!$A$6:$A$176,Оплаты!$A$177)=0),Оплаты!$D$177,"")</f>
        <v/>
      </c>
      <c r="B185" t="str">
        <f>IF(A185="","",MATCH(A185,Акты!$B$5:$B$16,0))</f>
        <v/>
      </c>
      <c r="C185" s="21" t="str">
        <f>IF(A185="","",Оплаты!$A$177+1)</f>
        <v/>
      </c>
      <c r="D185" s="21" t="str">
        <f>IF(A185="","",MIN(Ввод!$B$4,Ввод!$B$4+1-SUMPRODUCT(MAX((Оплаты!$D$6:$D$505=A185)*(Оплаты!$A$6:$A$505&gt;Оплаты!$A$177)*(Ввод!$B$4+1-Оплаты!$A$6:$A$505)))))</f>
        <v/>
      </c>
      <c r="E185" s="14" t="str">
        <f>IF(A185="","",INDEX(Акты!$D$5:$D$16,B185)-SUMIFS(Оплаты!$B$6:$B$505,Оплаты!$D$6:$D$505,A185,Оплаты!$A$6:$A$505,"&lt;="&amp;Оплаты!$A$177))</f>
        <v/>
      </c>
      <c r="F185" s="14" t="str">
        <f>IF(G185="","",SUMPRODUCT(ROUND(E185*'По дням'!$L$6:$L$155/100*((((D185+'По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дням'!$J$6:$J$155)))/2+1)/'По дням'!$M$6:$M$155,2)*(1-'По дням'!$N$6:$N$155)))</f>
        <v/>
      </c>
      <c r="G185" s="22" t="str">
        <f t="shared" si="2"/>
        <v/>
      </c>
      <c r="H185" s="14" t="str">
        <f>IF(G185="","",SUMIFS(Оплаты!$B$6:$B$505,Оплаты!$D$6:$D$505,A185,Оплаты!$A$6:$A$505,D185))</f>
        <v/>
      </c>
      <c r="I185" t="str">
        <f>IF(G185="","",SUMPRODUCT((((((D185+'По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дням'!$J$6:$J$155)))/2+1)&gt;0)*1))</f>
        <v/>
      </c>
    </row>
    <row r="186" spans="1:9" x14ac:dyDescent="0.3">
      <c r="A186" t="str">
        <f>IF(AND(Оплаты!$E$178="ок",COUNTIFS(Акты!$B$5:$B$16,Оплаты!$D$178,Акты!$H$5:$H$16,"ок")&gt;0,COUNTIFS(Оплаты!$D$6:$D$177,Оплаты!$D$178,Оплаты!$A$6:$A$177,Оплаты!$A$178)=0),Оплаты!$D$178,"")</f>
        <v/>
      </c>
      <c r="B186" t="str">
        <f>IF(A186="","",MATCH(A186,Акты!$B$5:$B$16,0))</f>
        <v/>
      </c>
      <c r="C186" s="21" t="str">
        <f>IF(A186="","",Оплаты!$A$178+1)</f>
        <v/>
      </c>
      <c r="D186" s="21" t="str">
        <f>IF(A186="","",MIN(Ввод!$B$4,Ввод!$B$4+1-SUMPRODUCT(MAX((Оплаты!$D$6:$D$505=A186)*(Оплаты!$A$6:$A$505&gt;Оплаты!$A$178)*(Ввод!$B$4+1-Оплаты!$A$6:$A$505)))))</f>
        <v/>
      </c>
      <c r="E186" s="14" t="str">
        <f>IF(A186="","",INDEX(Акты!$D$5:$D$16,B186)-SUMIFS(Оплаты!$B$6:$B$505,Оплаты!$D$6:$D$505,A186,Оплаты!$A$6:$A$505,"&lt;="&amp;Оплаты!$A$178))</f>
        <v/>
      </c>
      <c r="F186" s="14" t="str">
        <f>IF(G186="","",SUMPRODUCT(ROUND(E186*'По дням'!$L$6:$L$155/100*((((D186+'По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дням'!$J$6:$J$155)))/2+1)/'По дням'!$M$6:$M$155,2)*(1-'По дням'!$N$6:$N$155)))</f>
        <v/>
      </c>
      <c r="G186" s="22" t="str">
        <f t="shared" si="2"/>
        <v/>
      </c>
      <c r="H186" s="14" t="str">
        <f>IF(G186="","",SUMIFS(Оплаты!$B$6:$B$505,Оплаты!$D$6:$D$505,A186,Оплаты!$A$6:$A$505,D186))</f>
        <v/>
      </c>
      <c r="I186" t="str">
        <f>IF(G186="","",SUMPRODUCT((((((D186+'По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дням'!$J$6:$J$155)))/2+1)&gt;0)*1))</f>
        <v/>
      </c>
    </row>
    <row r="187" spans="1:9" x14ac:dyDescent="0.3">
      <c r="A187" t="str">
        <f>IF(AND(Оплаты!$E$179="ок",COUNTIFS(Акты!$B$5:$B$16,Оплаты!$D$179,Акты!$H$5:$H$16,"ок")&gt;0,COUNTIFS(Оплаты!$D$6:$D$178,Оплаты!$D$179,Оплаты!$A$6:$A$178,Оплаты!$A$179)=0),Оплаты!$D$179,"")</f>
        <v/>
      </c>
      <c r="B187" t="str">
        <f>IF(A187="","",MATCH(A187,Акты!$B$5:$B$16,0))</f>
        <v/>
      </c>
      <c r="C187" s="21" t="str">
        <f>IF(A187="","",Оплаты!$A$179+1)</f>
        <v/>
      </c>
      <c r="D187" s="21" t="str">
        <f>IF(A187="","",MIN(Ввод!$B$4,Ввод!$B$4+1-SUMPRODUCT(MAX((Оплаты!$D$6:$D$505=A187)*(Оплаты!$A$6:$A$505&gt;Оплаты!$A$179)*(Ввод!$B$4+1-Оплаты!$A$6:$A$505)))))</f>
        <v/>
      </c>
      <c r="E187" s="14" t="str">
        <f>IF(A187="","",INDEX(Акты!$D$5:$D$16,B187)-SUMIFS(Оплаты!$B$6:$B$505,Оплаты!$D$6:$D$505,A187,Оплаты!$A$6:$A$505,"&lt;="&amp;Оплаты!$A$179))</f>
        <v/>
      </c>
      <c r="F187" s="14" t="str">
        <f>IF(G187="","",SUMPRODUCT(ROUND(E187*'По дням'!$L$6:$L$155/100*((((D187+'По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дням'!$J$6:$J$155)))/2+1)/'По дням'!$M$6:$M$155,2)*(1-'По дням'!$N$6:$N$155)))</f>
        <v/>
      </c>
      <c r="G187" s="22" t="str">
        <f t="shared" si="2"/>
        <v/>
      </c>
      <c r="H187" s="14" t="str">
        <f>IF(G187="","",SUMIFS(Оплаты!$B$6:$B$505,Оплаты!$D$6:$D$505,A187,Оплаты!$A$6:$A$505,D187))</f>
        <v/>
      </c>
      <c r="I187" t="str">
        <f>IF(G187="","",SUMPRODUCT((((((D187+'По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дням'!$J$6:$J$155)))/2+1)&gt;0)*1))</f>
        <v/>
      </c>
    </row>
    <row r="188" spans="1:9" x14ac:dyDescent="0.3">
      <c r="A188" t="str">
        <f>IF(AND(Оплаты!$E$180="ок",COUNTIFS(Акты!$B$5:$B$16,Оплаты!$D$180,Акты!$H$5:$H$16,"ок")&gt;0,COUNTIFS(Оплаты!$D$6:$D$179,Оплаты!$D$180,Оплаты!$A$6:$A$179,Оплаты!$A$180)=0),Оплаты!$D$180,"")</f>
        <v/>
      </c>
      <c r="B188" t="str">
        <f>IF(A188="","",MATCH(A188,Акты!$B$5:$B$16,0))</f>
        <v/>
      </c>
      <c r="C188" s="21" t="str">
        <f>IF(A188="","",Оплаты!$A$180+1)</f>
        <v/>
      </c>
      <c r="D188" s="21" t="str">
        <f>IF(A188="","",MIN(Ввод!$B$4,Ввод!$B$4+1-SUMPRODUCT(MAX((Оплаты!$D$6:$D$505=A188)*(Оплаты!$A$6:$A$505&gt;Оплаты!$A$180)*(Ввод!$B$4+1-Оплаты!$A$6:$A$505)))))</f>
        <v/>
      </c>
      <c r="E188" s="14" t="str">
        <f>IF(A188="","",INDEX(Акты!$D$5:$D$16,B188)-SUMIFS(Оплаты!$B$6:$B$505,Оплаты!$D$6:$D$505,A188,Оплаты!$A$6:$A$505,"&lt;="&amp;Оплаты!$A$180))</f>
        <v/>
      </c>
      <c r="F188" s="14" t="str">
        <f>IF(G188="","",SUMPRODUCT(ROUND(E188*'По дням'!$L$6:$L$155/100*((((D188+'По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дням'!$J$6:$J$155)))/2+1)/'По дням'!$M$6:$M$155,2)*(1-'По дням'!$N$6:$N$155)))</f>
        <v/>
      </c>
      <c r="G188" s="22" t="str">
        <f t="shared" si="2"/>
        <v/>
      </c>
      <c r="H188" s="14" t="str">
        <f>IF(G188="","",SUMIFS(Оплаты!$B$6:$B$505,Оплаты!$D$6:$D$505,A188,Оплаты!$A$6:$A$505,D188))</f>
        <v/>
      </c>
      <c r="I188" t="str">
        <f>IF(G188="","",SUMPRODUCT((((((D188+'По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дням'!$J$6:$J$155)))/2+1)&gt;0)*1))</f>
        <v/>
      </c>
    </row>
    <row r="189" spans="1:9" x14ac:dyDescent="0.3">
      <c r="A189" t="str">
        <f>IF(AND(Оплаты!$E$181="ок",COUNTIFS(Акты!$B$5:$B$16,Оплаты!$D$181,Акты!$H$5:$H$16,"ок")&gt;0,COUNTIFS(Оплаты!$D$6:$D$180,Оплаты!$D$181,Оплаты!$A$6:$A$180,Оплаты!$A$181)=0),Оплаты!$D$181,"")</f>
        <v/>
      </c>
      <c r="B189" t="str">
        <f>IF(A189="","",MATCH(A189,Акты!$B$5:$B$16,0))</f>
        <v/>
      </c>
      <c r="C189" s="21" t="str">
        <f>IF(A189="","",Оплаты!$A$181+1)</f>
        <v/>
      </c>
      <c r="D189" s="21" t="str">
        <f>IF(A189="","",MIN(Ввод!$B$4,Ввод!$B$4+1-SUMPRODUCT(MAX((Оплаты!$D$6:$D$505=A189)*(Оплаты!$A$6:$A$505&gt;Оплаты!$A$181)*(Ввод!$B$4+1-Оплаты!$A$6:$A$505)))))</f>
        <v/>
      </c>
      <c r="E189" s="14" t="str">
        <f>IF(A189="","",INDEX(Акты!$D$5:$D$16,B189)-SUMIFS(Оплаты!$B$6:$B$505,Оплаты!$D$6:$D$505,A189,Оплаты!$A$6:$A$505,"&lt;="&amp;Оплаты!$A$181))</f>
        <v/>
      </c>
      <c r="F189" s="14" t="str">
        <f>IF(G189="","",SUMPRODUCT(ROUND(E189*'По дням'!$L$6:$L$155/100*((((D189+'По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дням'!$J$6:$J$155)))/2+1)/'По дням'!$M$6:$M$155,2)*(1-'По дням'!$N$6:$N$155)))</f>
        <v/>
      </c>
      <c r="G189" s="22" t="str">
        <f t="shared" si="2"/>
        <v/>
      </c>
      <c r="H189" s="14" t="str">
        <f>IF(G189="","",SUMIFS(Оплаты!$B$6:$B$505,Оплаты!$D$6:$D$505,A189,Оплаты!$A$6:$A$505,D189))</f>
        <v/>
      </c>
      <c r="I189" t="str">
        <f>IF(G189="","",SUMPRODUCT((((((D189+'По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дням'!$J$6:$J$155)))/2+1)&gt;0)*1))</f>
        <v/>
      </c>
    </row>
    <row r="190" spans="1:9" x14ac:dyDescent="0.3">
      <c r="A190" t="str">
        <f>IF(AND(Оплаты!$E$182="ок",COUNTIFS(Акты!$B$5:$B$16,Оплаты!$D$182,Акты!$H$5:$H$16,"ок")&gt;0,COUNTIFS(Оплаты!$D$6:$D$181,Оплаты!$D$182,Оплаты!$A$6:$A$181,Оплаты!$A$182)=0),Оплаты!$D$182,"")</f>
        <v/>
      </c>
      <c r="B190" t="str">
        <f>IF(A190="","",MATCH(A190,Акты!$B$5:$B$16,0))</f>
        <v/>
      </c>
      <c r="C190" s="21" t="str">
        <f>IF(A190="","",Оплаты!$A$182+1)</f>
        <v/>
      </c>
      <c r="D190" s="21" t="str">
        <f>IF(A190="","",MIN(Ввод!$B$4,Ввод!$B$4+1-SUMPRODUCT(MAX((Оплаты!$D$6:$D$505=A190)*(Оплаты!$A$6:$A$505&gt;Оплаты!$A$182)*(Ввод!$B$4+1-Оплаты!$A$6:$A$505)))))</f>
        <v/>
      </c>
      <c r="E190" s="14" t="str">
        <f>IF(A190="","",INDEX(Акты!$D$5:$D$16,B190)-SUMIFS(Оплаты!$B$6:$B$505,Оплаты!$D$6:$D$505,A190,Оплаты!$A$6:$A$505,"&lt;="&amp;Оплаты!$A$182))</f>
        <v/>
      </c>
      <c r="F190" s="14" t="str">
        <f>IF(G190="","",SUMPRODUCT(ROUND(E190*'По дням'!$L$6:$L$155/100*((((D190+'По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дням'!$J$6:$J$155)))/2+1)/'По дням'!$M$6:$M$155,2)*(1-'По дням'!$N$6:$N$155)))</f>
        <v/>
      </c>
      <c r="G190" s="22" t="str">
        <f t="shared" si="2"/>
        <v/>
      </c>
      <c r="H190" s="14" t="str">
        <f>IF(G190="","",SUMIFS(Оплаты!$B$6:$B$505,Оплаты!$D$6:$D$505,A190,Оплаты!$A$6:$A$505,D190))</f>
        <v/>
      </c>
      <c r="I190" t="str">
        <f>IF(G190="","",SUMPRODUCT((((((D190+'По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дням'!$J$6:$J$155)))/2+1)&gt;0)*1))</f>
        <v/>
      </c>
    </row>
    <row r="191" spans="1:9" x14ac:dyDescent="0.3">
      <c r="A191" t="str">
        <f>IF(AND(Оплаты!$E$183="ок",COUNTIFS(Акты!$B$5:$B$16,Оплаты!$D$183,Акты!$H$5:$H$16,"ок")&gt;0,COUNTIFS(Оплаты!$D$6:$D$182,Оплаты!$D$183,Оплаты!$A$6:$A$182,Оплаты!$A$183)=0),Оплаты!$D$183,"")</f>
        <v/>
      </c>
      <c r="B191" t="str">
        <f>IF(A191="","",MATCH(A191,Акты!$B$5:$B$16,0))</f>
        <v/>
      </c>
      <c r="C191" s="21" t="str">
        <f>IF(A191="","",Оплаты!$A$183+1)</f>
        <v/>
      </c>
      <c r="D191" s="21" t="str">
        <f>IF(A191="","",MIN(Ввод!$B$4,Ввод!$B$4+1-SUMPRODUCT(MAX((Оплаты!$D$6:$D$505=A191)*(Оплаты!$A$6:$A$505&gt;Оплаты!$A$183)*(Ввод!$B$4+1-Оплаты!$A$6:$A$505)))))</f>
        <v/>
      </c>
      <c r="E191" s="14" t="str">
        <f>IF(A191="","",INDEX(Акты!$D$5:$D$16,B191)-SUMIFS(Оплаты!$B$6:$B$505,Оплаты!$D$6:$D$505,A191,Оплаты!$A$6:$A$505,"&lt;="&amp;Оплаты!$A$183))</f>
        <v/>
      </c>
      <c r="F191" s="14" t="str">
        <f>IF(G191="","",SUMPRODUCT(ROUND(E191*'По дням'!$L$6:$L$155/100*((((D191+'По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дням'!$J$6:$J$155)))/2+1)/'По дням'!$M$6:$M$155,2)*(1-'По дням'!$N$6:$N$155)))</f>
        <v/>
      </c>
      <c r="G191" s="22" t="str">
        <f t="shared" si="2"/>
        <v/>
      </c>
      <c r="H191" s="14" t="str">
        <f>IF(G191="","",SUMIFS(Оплаты!$B$6:$B$505,Оплаты!$D$6:$D$505,A191,Оплаты!$A$6:$A$505,D191))</f>
        <v/>
      </c>
      <c r="I191" t="str">
        <f>IF(G191="","",SUMPRODUCT((((((D191+'По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дням'!$J$6:$J$155)))/2+1)&gt;0)*1))</f>
        <v/>
      </c>
    </row>
    <row r="192" spans="1:9" x14ac:dyDescent="0.3">
      <c r="A192" t="str">
        <f>IF(AND(Оплаты!$E$184="ок",COUNTIFS(Акты!$B$5:$B$16,Оплаты!$D$184,Акты!$H$5:$H$16,"ок")&gt;0,COUNTIFS(Оплаты!$D$6:$D$183,Оплаты!$D$184,Оплаты!$A$6:$A$183,Оплаты!$A$184)=0),Оплаты!$D$184,"")</f>
        <v/>
      </c>
      <c r="B192" t="str">
        <f>IF(A192="","",MATCH(A192,Акты!$B$5:$B$16,0))</f>
        <v/>
      </c>
      <c r="C192" s="21" t="str">
        <f>IF(A192="","",Оплаты!$A$184+1)</f>
        <v/>
      </c>
      <c r="D192" s="21" t="str">
        <f>IF(A192="","",MIN(Ввод!$B$4,Ввод!$B$4+1-SUMPRODUCT(MAX((Оплаты!$D$6:$D$505=A192)*(Оплаты!$A$6:$A$505&gt;Оплаты!$A$184)*(Ввод!$B$4+1-Оплаты!$A$6:$A$505)))))</f>
        <v/>
      </c>
      <c r="E192" s="14" t="str">
        <f>IF(A192="","",INDEX(Акты!$D$5:$D$16,B192)-SUMIFS(Оплаты!$B$6:$B$505,Оплаты!$D$6:$D$505,A192,Оплаты!$A$6:$A$505,"&lt;="&amp;Оплаты!$A$184))</f>
        <v/>
      </c>
      <c r="F192" s="14" t="str">
        <f>IF(G192="","",SUMPRODUCT(ROUND(E192*'По дням'!$L$6:$L$155/100*((((D192+'По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дням'!$J$6:$J$155)))/2+1)/'По дням'!$M$6:$M$155,2)*(1-'По дням'!$N$6:$N$155)))</f>
        <v/>
      </c>
      <c r="G192" s="22" t="str">
        <f t="shared" si="2"/>
        <v/>
      </c>
      <c r="H192" s="14" t="str">
        <f>IF(G192="","",SUMIFS(Оплаты!$B$6:$B$505,Оплаты!$D$6:$D$505,A192,Оплаты!$A$6:$A$505,D192))</f>
        <v/>
      </c>
      <c r="I192" t="str">
        <f>IF(G192="","",SUMPRODUCT((((((D192+'По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дням'!$J$6:$J$155)))/2+1)&gt;0)*1))</f>
        <v/>
      </c>
    </row>
    <row r="193" spans="1:9" x14ac:dyDescent="0.3">
      <c r="A193" t="str">
        <f>IF(AND(Оплаты!$E$185="ок",COUNTIFS(Акты!$B$5:$B$16,Оплаты!$D$185,Акты!$H$5:$H$16,"ок")&gt;0,COUNTIFS(Оплаты!$D$6:$D$184,Оплаты!$D$185,Оплаты!$A$6:$A$184,Оплаты!$A$185)=0),Оплаты!$D$185,"")</f>
        <v/>
      </c>
      <c r="B193" t="str">
        <f>IF(A193="","",MATCH(A193,Акты!$B$5:$B$16,0))</f>
        <v/>
      </c>
      <c r="C193" s="21" t="str">
        <f>IF(A193="","",Оплаты!$A$185+1)</f>
        <v/>
      </c>
      <c r="D193" s="21" t="str">
        <f>IF(A193="","",MIN(Ввод!$B$4,Ввод!$B$4+1-SUMPRODUCT(MAX((Оплаты!$D$6:$D$505=A193)*(Оплаты!$A$6:$A$505&gt;Оплаты!$A$185)*(Ввод!$B$4+1-Оплаты!$A$6:$A$505)))))</f>
        <v/>
      </c>
      <c r="E193" s="14" t="str">
        <f>IF(A193="","",INDEX(Акты!$D$5:$D$16,B193)-SUMIFS(Оплаты!$B$6:$B$505,Оплаты!$D$6:$D$505,A193,Оплаты!$A$6:$A$505,"&lt;="&amp;Оплаты!$A$185))</f>
        <v/>
      </c>
      <c r="F193" s="14" t="str">
        <f>IF(G193="","",SUMPRODUCT(ROUND(E193*'По дням'!$L$6:$L$155/100*((((D193+'По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дням'!$J$6:$J$155)))/2+1)/'По дням'!$M$6:$M$155,2)*(1-'По дням'!$N$6:$N$155)))</f>
        <v/>
      </c>
      <c r="G193" s="22" t="str">
        <f t="shared" si="2"/>
        <v/>
      </c>
      <c r="H193" s="14" t="str">
        <f>IF(G193="","",SUMIFS(Оплаты!$B$6:$B$505,Оплаты!$D$6:$D$505,A193,Оплаты!$A$6:$A$505,D193))</f>
        <v/>
      </c>
      <c r="I193" t="str">
        <f>IF(G193="","",SUMPRODUCT((((((D193+'По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дням'!$J$6:$J$155)))/2+1)&gt;0)*1))</f>
        <v/>
      </c>
    </row>
    <row r="194" spans="1:9" x14ac:dyDescent="0.3">
      <c r="A194" t="str">
        <f>IF(AND(Оплаты!$E$186="ок",COUNTIFS(Акты!$B$5:$B$16,Оплаты!$D$186,Акты!$H$5:$H$16,"ок")&gt;0,COUNTIFS(Оплаты!$D$6:$D$185,Оплаты!$D$186,Оплаты!$A$6:$A$185,Оплаты!$A$186)=0),Оплаты!$D$186,"")</f>
        <v/>
      </c>
      <c r="B194" t="str">
        <f>IF(A194="","",MATCH(A194,Акты!$B$5:$B$16,0))</f>
        <v/>
      </c>
      <c r="C194" s="21" t="str">
        <f>IF(A194="","",Оплаты!$A$186+1)</f>
        <v/>
      </c>
      <c r="D194" s="21" t="str">
        <f>IF(A194="","",MIN(Ввод!$B$4,Ввод!$B$4+1-SUMPRODUCT(MAX((Оплаты!$D$6:$D$505=A194)*(Оплаты!$A$6:$A$505&gt;Оплаты!$A$186)*(Ввод!$B$4+1-Оплаты!$A$6:$A$505)))))</f>
        <v/>
      </c>
      <c r="E194" s="14" t="str">
        <f>IF(A194="","",INDEX(Акты!$D$5:$D$16,B194)-SUMIFS(Оплаты!$B$6:$B$505,Оплаты!$D$6:$D$505,A194,Оплаты!$A$6:$A$505,"&lt;="&amp;Оплаты!$A$186))</f>
        <v/>
      </c>
      <c r="F194" s="14" t="str">
        <f>IF(G194="","",SUMPRODUCT(ROUND(E194*'По дням'!$L$6:$L$155/100*((((D194+'По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дням'!$J$6:$J$155)))/2+1)/'По дням'!$M$6:$M$155,2)*(1-'По дням'!$N$6:$N$155)))</f>
        <v/>
      </c>
      <c r="G194" s="22" t="str">
        <f t="shared" ref="G194:G257" si="3">IF(A194="","",IF(C194&gt;D194,"",B194*1000000+C194))</f>
        <v/>
      </c>
      <c r="H194" s="14" t="str">
        <f>IF(G194="","",SUMIFS(Оплаты!$B$6:$B$505,Оплаты!$D$6:$D$505,A194,Оплаты!$A$6:$A$505,D194))</f>
        <v/>
      </c>
      <c r="I194" t="str">
        <f>IF(G194="","",SUMPRODUCT((((((D194+'По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дням'!$J$6:$J$155)))/2+1)&gt;0)*1))</f>
        <v/>
      </c>
    </row>
    <row r="195" spans="1:9" x14ac:dyDescent="0.3">
      <c r="A195" t="str">
        <f>IF(AND(Оплаты!$E$187="ок",COUNTIFS(Акты!$B$5:$B$16,Оплаты!$D$187,Акты!$H$5:$H$16,"ок")&gt;0,COUNTIFS(Оплаты!$D$6:$D$186,Оплаты!$D$187,Оплаты!$A$6:$A$186,Оплаты!$A$187)=0),Оплаты!$D$187,"")</f>
        <v/>
      </c>
      <c r="B195" t="str">
        <f>IF(A195="","",MATCH(A195,Акты!$B$5:$B$16,0))</f>
        <v/>
      </c>
      <c r="C195" s="21" t="str">
        <f>IF(A195="","",Оплаты!$A$187+1)</f>
        <v/>
      </c>
      <c r="D195" s="21" t="str">
        <f>IF(A195="","",MIN(Ввод!$B$4,Ввод!$B$4+1-SUMPRODUCT(MAX((Оплаты!$D$6:$D$505=A195)*(Оплаты!$A$6:$A$505&gt;Оплаты!$A$187)*(Ввод!$B$4+1-Оплаты!$A$6:$A$505)))))</f>
        <v/>
      </c>
      <c r="E195" s="14" t="str">
        <f>IF(A195="","",INDEX(Акты!$D$5:$D$16,B195)-SUMIFS(Оплаты!$B$6:$B$505,Оплаты!$D$6:$D$505,A195,Оплаты!$A$6:$A$505,"&lt;="&amp;Оплаты!$A$187))</f>
        <v/>
      </c>
      <c r="F195" s="14" t="str">
        <f>IF(G195="","",SUMPRODUCT(ROUND(E195*'По дням'!$L$6:$L$155/100*((((D195+'По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дням'!$J$6:$J$155)))/2+1)/'По дням'!$M$6:$M$155,2)*(1-'По дням'!$N$6:$N$155)))</f>
        <v/>
      </c>
      <c r="G195" s="22" t="str">
        <f t="shared" si="3"/>
        <v/>
      </c>
      <c r="H195" s="14" t="str">
        <f>IF(G195="","",SUMIFS(Оплаты!$B$6:$B$505,Оплаты!$D$6:$D$505,A195,Оплаты!$A$6:$A$505,D195))</f>
        <v/>
      </c>
      <c r="I195" t="str">
        <f>IF(G195="","",SUMPRODUCT((((((D195+'По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дням'!$J$6:$J$155)))/2+1)&gt;0)*1))</f>
        <v/>
      </c>
    </row>
    <row r="196" spans="1:9" x14ac:dyDescent="0.3">
      <c r="A196" t="str">
        <f>IF(AND(Оплаты!$E$188="ок",COUNTIFS(Акты!$B$5:$B$16,Оплаты!$D$188,Акты!$H$5:$H$16,"ок")&gt;0,COUNTIFS(Оплаты!$D$6:$D$187,Оплаты!$D$188,Оплаты!$A$6:$A$187,Оплаты!$A$188)=0),Оплаты!$D$188,"")</f>
        <v/>
      </c>
      <c r="B196" t="str">
        <f>IF(A196="","",MATCH(A196,Акты!$B$5:$B$16,0))</f>
        <v/>
      </c>
      <c r="C196" s="21" t="str">
        <f>IF(A196="","",Оплаты!$A$188+1)</f>
        <v/>
      </c>
      <c r="D196" s="21" t="str">
        <f>IF(A196="","",MIN(Ввод!$B$4,Ввод!$B$4+1-SUMPRODUCT(MAX((Оплаты!$D$6:$D$505=A196)*(Оплаты!$A$6:$A$505&gt;Оплаты!$A$188)*(Ввод!$B$4+1-Оплаты!$A$6:$A$505)))))</f>
        <v/>
      </c>
      <c r="E196" s="14" t="str">
        <f>IF(A196="","",INDEX(Акты!$D$5:$D$16,B196)-SUMIFS(Оплаты!$B$6:$B$505,Оплаты!$D$6:$D$505,A196,Оплаты!$A$6:$A$505,"&lt;="&amp;Оплаты!$A$188))</f>
        <v/>
      </c>
      <c r="F196" s="14" t="str">
        <f>IF(G196="","",SUMPRODUCT(ROUND(E196*'По дням'!$L$6:$L$155/100*((((D196+'По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дням'!$J$6:$J$155)))/2+1)/'По дням'!$M$6:$M$155,2)*(1-'По дням'!$N$6:$N$155)))</f>
        <v/>
      </c>
      <c r="G196" s="22" t="str">
        <f t="shared" si="3"/>
        <v/>
      </c>
      <c r="H196" s="14" t="str">
        <f>IF(G196="","",SUMIFS(Оплаты!$B$6:$B$505,Оплаты!$D$6:$D$505,A196,Оплаты!$A$6:$A$505,D196))</f>
        <v/>
      </c>
      <c r="I196" t="str">
        <f>IF(G196="","",SUMPRODUCT((((((D196+'По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дням'!$J$6:$J$155)))/2+1)&gt;0)*1))</f>
        <v/>
      </c>
    </row>
    <row r="197" spans="1:9" x14ac:dyDescent="0.3">
      <c r="A197" t="str">
        <f>IF(AND(Оплаты!$E$189="ок",COUNTIFS(Акты!$B$5:$B$16,Оплаты!$D$189,Акты!$H$5:$H$16,"ок")&gt;0,COUNTIFS(Оплаты!$D$6:$D$188,Оплаты!$D$189,Оплаты!$A$6:$A$188,Оплаты!$A$189)=0),Оплаты!$D$189,"")</f>
        <v/>
      </c>
      <c r="B197" t="str">
        <f>IF(A197="","",MATCH(A197,Акты!$B$5:$B$16,0))</f>
        <v/>
      </c>
      <c r="C197" s="21" t="str">
        <f>IF(A197="","",Оплаты!$A$189+1)</f>
        <v/>
      </c>
      <c r="D197" s="21" t="str">
        <f>IF(A197="","",MIN(Ввод!$B$4,Ввод!$B$4+1-SUMPRODUCT(MAX((Оплаты!$D$6:$D$505=A197)*(Оплаты!$A$6:$A$505&gt;Оплаты!$A$189)*(Ввод!$B$4+1-Оплаты!$A$6:$A$505)))))</f>
        <v/>
      </c>
      <c r="E197" s="14" t="str">
        <f>IF(A197="","",INDEX(Акты!$D$5:$D$16,B197)-SUMIFS(Оплаты!$B$6:$B$505,Оплаты!$D$6:$D$505,A197,Оплаты!$A$6:$A$505,"&lt;="&amp;Оплаты!$A$189))</f>
        <v/>
      </c>
      <c r="F197" s="14" t="str">
        <f>IF(G197="","",SUMPRODUCT(ROUND(E197*'По дням'!$L$6:$L$155/100*((((D197+'По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дням'!$J$6:$J$155)))/2+1)/'По дням'!$M$6:$M$155,2)*(1-'По дням'!$N$6:$N$155)))</f>
        <v/>
      </c>
      <c r="G197" s="22" t="str">
        <f t="shared" si="3"/>
        <v/>
      </c>
      <c r="H197" s="14" t="str">
        <f>IF(G197="","",SUMIFS(Оплаты!$B$6:$B$505,Оплаты!$D$6:$D$505,A197,Оплаты!$A$6:$A$505,D197))</f>
        <v/>
      </c>
      <c r="I197" t="str">
        <f>IF(G197="","",SUMPRODUCT((((((D197+'По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дням'!$J$6:$J$155)))/2+1)&gt;0)*1))</f>
        <v/>
      </c>
    </row>
    <row r="198" spans="1:9" x14ac:dyDescent="0.3">
      <c r="A198" t="str">
        <f>IF(AND(Оплаты!$E$190="ок",COUNTIFS(Акты!$B$5:$B$16,Оплаты!$D$190,Акты!$H$5:$H$16,"ок")&gt;0,COUNTIFS(Оплаты!$D$6:$D$189,Оплаты!$D$190,Оплаты!$A$6:$A$189,Оплаты!$A$190)=0),Оплаты!$D$190,"")</f>
        <v/>
      </c>
      <c r="B198" t="str">
        <f>IF(A198="","",MATCH(A198,Акты!$B$5:$B$16,0))</f>
        <v/>
      </c>
      <c r="C198" s="21" t="str">
        <f>IF(A198="","",Оплаты!$A$190+1)</f>
        <v/>
      </c>
      <c r="D198" s="21" t="str">
        <f>IF(A198="","",MIN(Ввод!$B$4,Ввод!$B$4+1-SUMPRODUCT(MAX((Оплаты!$D$6:$D$505=A198)*(Оплаты!$A$6:$A$505&gt;Оплаты!$A$190)*(Ввод!$B$4+1-Оплаты!$A$6:$A$505)))))</f>
        <v/>
      </c>
      <c r="E198" s="14" t="str">
        <f>IF(A198="","",INDEX(Акты!$D$5:$D$16,B198)-SUMIFS(Оплаты!$B$6:$B$505,Оплаты!$D$6:$D$505,A198,Оплаты!$A$6:$A$505,"&lt;="&amp;Оплаты!$A$190))</f>
        <v/>
      </c>
      <c r="F198" s="14" t="str">
        <f>IF(G198="","",SUMPRODUCT(ROUND(E198*'По дням'!$L$6:$L$155/100*((((D198+'По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дням'!$J$6:$J$155)))/2+1)/'По дням'!$M$6:$M$155,2)*(1-'По дням'!$N$6:$N$155)))</f>
        <v/>
      </c>
      <c r="G198" s="22" t="str">
        <f t="shared" si="3"/>
        <v/>
      </c>
      <c r="H198" s="14" t="str">
        <f>IF(G198="","",SUMIFS(Оплаты!$B$6:$B$505,Оплаты!$D$6:$D$505,A198,Оплаты!$A$6:$A$505,D198))</f>
        <v/>
      </c>
      <c r="I198" t="str">
        <f>IF(G198="","",SUMPRODUCT((((((D198+'По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дням'!$J$6:$J$155)))/2+1)&gt;0)*1))</f>
        <v/>
      </c>
    </row>
    <row r="199" spans="1:9" x14ac:dyDescent="0.3">
      <c r="A199" t="str">
        <f>IF(AND(Оплаты!$E$191="ок",COUNTIFS(Акты!$B$5:$B$16,Оплаты!$D$191,Акты!$H$5:$H$16,"ок")&gt;0,COUNTIFS(Оплаты!$D$6:$D$190,Оплаты!$D$191,Оплаты!$A$6:$A$190,Оплаты!$A$191)=0),Оплаты!$D$191,"")</f>
        <v/>
      </c>
      <c r="B199" t="str">
        <f>IF(A199="","",MATCH(A199,Акты!$B$5:$B$16,0))</f>
        <v/>
      </c>
      <c r="C199" s="21" t="str">
        <f>IF(A199="","",Оплаты!$A$191+1)</f>
        <v/>
      </c>
      <c r="D199" s="21" t="str">
        <f>IF(A199="","",MIN(Ввод!$B$4,Ввод!$B$4+1-SUMPRODUCT(MAX((Оплаты!$D$6:$D$505=A199)*(Оплаты!$A$6:$A$505&gt;Оплаты!$A$191)*(Ввод!$B$4+1-Оплаты!$A$6:$A$505)))))</f>
        <v/>
      </c>
      <c r="E199" s="14" t="str">
        <f>IF(A199="","",INDEX(Акты!$D$5:$D$16,B199)-SUMIFS(Оплаты!$B$6:$B$505,Оплаты!$D$6:$D$505,A199,Оплаты!$A$6:$A$505,"&lt;="&amp;Оплаты!$A$191))</f>
        <v/>
      </c>
      <c r="F199" s="14" t="str">
        <f>IF(G199="","",SUMPRODUCT(ROUND(E199*'По дням'!$L$6:$L$155/100*((((D199+'По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дням'!$J$6:$J$155)))/2+1)/'По дням'!$M$6:$M$155,2)*(1-'По дням'!$N$6:$N$155)))</f>
        <v/>
      </c>
      <c r="G199" s="22" t="str">
        <f t="shared" si="3"/>
        <v/>
      </c>
      <c r="H199" s="14" t="str">
        <f>IF(G199="","",SUMIFS(Оплаты!$B$6:$B$505,Оплаты!$D$6:$D$505,A199,Оплаты!$A$6:$A$505,D199))</f>
        <v/>
      </c>
      <c r="I199" t="str">
        <f>IF(G199="","",SUMPRODUCT((((((D199+'По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дням'!$J$6:$J$155)))/2+1)&gt;0)*1))</f>
        <v/>
      </c>
    </row>
    <row r="200" spans="1:9" x14ac:dyDescent="0.3">
      <c r="A200" t="str">
        <f>IF(AND(Оплаты!$E$192="ок",COUNTIFS(Акты!$B$5:$B$16,Оплаты!$D$192,Акты!$H$5:$H$16,"ок")&gt;0,COUNTIFS(Оплаты!$D$6:$D$191,Оплаты!$D$192,Оплаты!$A$6:$A$191,Оплаты!$A$192)=0),Оплаты!$D$192,"")</f>
        <v/>
      </c>
      <c r="B200" t="str">
        <f>IF(A200="","",MATCH(A200,Акты!$B$5:$B$16,0))</f>
        <v/>
      </c>
      <c r="C200" s="21" t="str">
        <f>IF(A200="","",Оплаты!$A$192+1)</f>
        <v/>
      </c>
      <c r="D200" s="21" t="str">
        <f>IF(A200="","",MIN(Ввод!$B$4,Ввод!$B$4+1-SUMPRODUCT(MAX((Оплаты!$D$6:$D$505=A200)*(Оплаты!$A$6:$A$505&gt;Оплаты!$A$192)*(Ввод!$B$4+1-Оплаты!$A$6:$A$505)))))</f>
        <v/>
      </c>
      <c r="E200" s="14" t="str">
        <f>IF(A200="","",INDEX(Акты!$D$5:$D$16,B200)-SUMIFS(Оплаты!$B$6:$B$505,Оплаты!$D$6:$D$505,A200,Оплаты!$A$6:$A$505,"&lt;="&amp;Оплаты!$A$192))</f>
        <v/>
      </c>
      <c r="F200" s="14" t="str">
        <f>IF(G200="","",SUMPRODUCT(ROUND(E200*'По дням'!$L$6:$L$155/100*((((D200+'По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дням'!$J$6:$J$155)))/2+1)/'По дням'!$M$6:$M$155,2)*(1-'По дням'!$N$6:$N$155)))</f>
        <v/>
      </c>
      <c r="G200" s="22" t="str">
        <f t="shared" si="3"/>
        <v/>
      </c>
      <c r="H200" s="14" t="str">
        <f>IF(G200="","",SUMIFS(Оплаты!$B$6:$B$505,Оплаты!$D$6:$D$505,A200,Оплаты!$A$6:$A$505,D200))</f>
        <v/>
      </c>
      <c r="I200" t="str">
        <f>IF(G200="","",SUMPRODUCT((((((D200+'По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дням'!$J$6:$J$155)))/2+1)&gt;0)*1))</f>
        <v/>
      </c>
    </row>
    <row r="201" spans="1:9" x14ac:dyDescent="0.3">
      <c r="A201" t="str">
        <f>IF(AND(Оплаты!$E$193="ок",COUNTIFS(Акты!$B$5:$B$16,Оплаты!$D$193,Акты!$H$5:$H$16,"ок")&gt;0,COUNTIFS(Оплаты!$D$6:$D$192,Оплаты!$D$193,Оплаты!$A$6:$A$192,Оплаты!$A$193)=0),Оплаты!$D$193,"")</f>
        <v/>
      </c>
      <c r="B201" t="str">
        <f>IF(A201="","",MATCH(A201,Акты!$B$5:$B$16,0))</f>
        <v/>
      </c>
      <c r="C201" s="21" t="str">
        <f>IF(A201="","",Оплаты!$A$193+1)</f>
        <v/>
      </c>
      <c r="D201" s="21" t="str">
        <f>IF(A201="","",MIN(Ввод!$B$4,Ввод!$B$4+1-SUMPRODUCT(MAX((Оплаты!$D$6:$D$505=A201)*(Оплаты!$A$6:$A$505&gt;Оплаты!$A$193)*(Ввод!$B$4+1-Оплаты!$A$6:$A$505)))))</f>
        <v/>
      </c>
      <c r="E201" s="14" t="str">
        <f>IF(A201="","",INDEX(Акты!$D$5:$D$16,B201)-SUMIFS(Оплаты!$B$6:$B$505,Оплаты!$D$6:$D$505,A201,Оплаты!$A$6:$A$505,"&lt;="&amp;Оплаты!$A$193))</f>
        <v/>
      </c>
      <c r="F201" s="14" t="str">
        <f>IF(G201="","",SUMPRODUCT(ROUND(E201*'По дням'!$L$6:$L$155/100*((((D201+'По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дням'!$J$6:$J$155)))/2+1)/'По дням'!$M$6:$M$155,2)*(1-'По дням'!$N$6:$N$155)))</f>
        <v/>
      </c>
      <c r="G201" s="22" t="str">
        <f t="shared" si="3"/>
        <v/>
      </c>
      <c r="H201" s="14" t="str">
        <f>IF(G201="","",SUMIFS(Оплаты!$B$6:$B$505,Оплаты!$D$6:$D$505,A201,Оплаты!$A$6:$A$505,D201))</f>
        <v/>
      </c>
      <c r="I201" t="str">
        <f>IF(G201="","",SUMPRODUCT((((((D201+'По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дням'!$J$6:$J$155)))/2+1)&gt;0)*1))</f>
        <v/>
      </c>
    </row>
    <row r="202" spans="1:9" x14ac:dyDescent="0.3">
      <c r="A202" t="str">
        <f>IF(AND(Оплаты!$E$194="ок",COUNTIFS(Акты!$B$5:$B$16,Оплаты!$D$194,Акты!$H$5:$H$16,"ок")&gt;0,COUNTIFS(Оплаты!$D$6:$D$193,Оплаты!$D$194,Оплаты!$A$6:$A$193,Оплаты!$A$194)=0),Оплаты!$D$194,"")</f>
        <v/>
      </c>
      <c r="B202" t="str">
        <f>IF(A202="","",MATCH(A202,Акты!$B$5:$B$16,0))</f>
        <v/>
      </c>
      <c r="C202" s="21" t="str">
        <f>IF(A202="","",Оплаты!$A$194+1)</f>
        <v/>
      </c>
      <c r="D202" s="21" t="str">
        <f>IF(A202="","",MIN(Ввод!$B$4,Ввод!$B$4+1-SUMPRODUCT(MAX((Оплаты!$D$6:$D$505=A202)*(Оплаты!$A$6:$A$505&gt;Оплаты!$A$194)*(Ввод!$B$4+1-Оплаты!$A$6:$A$505)))))</f>
        <v/>
      </c>
      <c r="E202" s="14" t="str">
        <f>IF(A202="","",INDEX(Акты!$D$5:$D$16,B202)-SUMIFS(Оплаты!$B$6:$B$505,Оплаты!$D$6:$D$505,A202,Оплаты!$A$6:$A$505,"&lt;="&amp;Оплаты!$A$194))</f>
        <v/>
      </c>
      <c r="F202" s="14" t="str">
        <f>IF(G202="","",SUMPRODUCT(ROUND(E202*'По дням'!$L$6:$L$155/100*((((D202+'По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дням'!$J$6:$J$155)))/2+1)/'По дням'!$M$6:$M$155,2)*(1-'По дням'!$N$6:$N$155)))</f>
        <v/>
      </c>
      <c r="G202" s="22" t="str">
        <f t="shared" si="3"/>
        <v/>
      </c>
      <c r="H202" s="14" t="str">
        <f>IF(G202="","",SUMIFS(Оплаты!$B$6:$B$505,Оплаты!$D$6:$D$505,A202,Оплаты!$A$6:$A$505,D202))</f>
        <v/>
      </c>
      <c r="I202" t="str">
        <f>IF(G202="","",SUMPRODUCT((((((D202+'По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дням'!$J$6:$J$155)))/2+1)&gt;0)*1))</f>
        <v/>
      </c>
    </row>
    <row r="203" spans="1:9" x14ac:dyDescent="0.3">
      <c r="A203" t="str">
        <f>IF(AND(Оплаты!$E$195="ок",COUNTIFS(Акты!$B$5:$B$16,Оплаты!$D$195,Акты!$H$5:$H$16,"ок")&gt;0,COUNTIFS(Оплаты!$D$6:$D$194,Оплаты!$D$195,Оплаты!$A$6:$A$194,Оплаты!$A$195)=0),Оплаты!$D$195,"")</f>
        <v/>
      </c>
      <c r="B203" t="str">
        <f>IF(A203="","",MATCH(A203,Акты!$B$5:$B$16,0))</f>
        <v/>
      </c>
      <c r="C203" s="21" t="str">
        <f>IF(A203="","",Оплаты!$A$195+1)</f>
        <v/>
      </c>
      <c r="D203" s="21" t="str">
        <f>IF(A203="","",MIN(Ввод!$B$4,Ввод!$B$4+1-SUMPRODUCT(MAX((Оплаты!$D$6:$D$505=A203)*(Оплаты!$A$6:$A$505&gt;Оплаты!$A$195)*(Ввод!$B$4+1-Оплаты!$A$6:$A$505)))))</f>
        <v/>
      </c>
      <c r="E203" s="14" t="str">
        <f>IF(A203="","",INDEX(Акты!$D$5:$D$16,B203)-SUMIFS(Оплаты!$B$6:$B$505,Оплаты!$D$6:$D$505,A203,Оплаты!$A$6:$A$505,"&lt;="&amp;Оплаты!$A$195))</f>
        <v/>
      </c>
      <c r="F203" s="14" t="str">
        <f>IF(G203="","",SUMPRODUCT(ROUND(E203*'По дням'!$L$6:$L$155/100*((((D203+'По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дням'!$J$6:$J$155)))/2+1)/'По дням'!$M$6:$M$155,2)*(1-'По дням'!$N$6:$N$155)))</f>
        <v/>
      </c>
      <c r="G203" s="22" t="str">
        <f t="shared" si="3"/>
        <v/>
      </c>
      <c r="H203" s="14" t="str">
        <f>IF(G203="","",SUMIFS(Оплаты!$B$6:$B$505,Оплаты!$D$6:$D$505,A203,Оплаты!$A$6:$A$505,D203))</f>
        <v/>
      </c>
      <c r="I203" t="str">
        <f>IF(G203="","",SUMPRODUCT((((((D203+'По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дням'!$J$6:$J$155)))/2+1)&gt;0)*1))</f>
        <v/>
      </c>
    </row>
    <row r="204" spans="1:9" x14ac:dyDescent="0.3">
      <c r="A204" t="str">
        <f>IF(AND(Оплаты!$E$196="ок",COUNTIFS(Акты!$B$5:$B$16,Оплаты!$D$196,Акты!$H$5:$H$16,"ок")&gt;0,COUNTIFS(Оплаты!$D$6:$D$195,Оплаты!$D$196,Оплаты!$A$6:$A$195,Оплаты!$A$196)=0),Оплаты!$D$196,"")</f>
        <v/>
      </c>
      <c r="B204" t="str">
        <f>IF(A204="","",MATCH(A204,Акты!$B$5:$B$16,0))</f>
        <v/>
      </c>
      <c r="C204" s="21" t="str">
        <f>IF(A204="","",Оплаты!$A$196+1)</f>
        <v/>
      </c>
      <c r="D204" s="21" t="str">
        <f>IF(A204="","",MIN(Ввод!$B$4,Ввод!$B$4+1-SUMPRODUCT(MAX((Оплаты!$D$6:$D$505=A204)*(Оплаты!$A$6:$A$505&gt;Оплаты!$A$196)*(Ввод!$B$4+1-Оплаты!$A$6:$A$505)))))</f>
        <v/>
      </c>
      <c r="E204" s="14" t="str">
        <f>IF(A204="","",INDEX(Акты!$D$5:$D$16,B204)-SUMIFS(Оплаты!$B$6:$B$505,Оплаты!$D$6:$D$505,A204,Оплаты!$A$6:$A$505,"&lt;="&amp;Оплаты!$A$196))</f>
        <v/>
      </c>
      <c r="F204" s="14" t="str">
        <f>IF(G204="","",SUMPRODUCT(ROUND(E204*'По дням'!$L$6:$L$155/100*((((D204+'По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дням'!$J$6:$J$155)))/2+1)/'По дням'!$M$6:$M$155,2)*(1-'По дням'!$N$6:$N$155)))</f>
        <v/>
      </c>
      <c r="G204" s="22" t="str">
        <f t="shared" si="3"/>
        <v/>
      </c>
      <c r="H204" s="14" t="str">
        <f>IF(G204="","",SUMIFS(Оплаты!$B$6:$B$505,Оплаты!$D$6:$D$505,A204,Оплаты!$A$6:$A$505,D204))</f>
        <v/>
      </c>
      <c r="I204" t="str">
        <f>IF(G204="","",SUMPRODUCT((((((D204+'По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дням'!$J$6:$J$155)))/2+1)&gt;0)*1))</f>
        <v/>
      </c>
    </row>
    <row r="205" spans="1:9" x14ac:dyDescent="0.3">
      <c r="A205" t="str">
        <f>IF(AND(Оплаты!$E$197="ок",COUNTIFS(Акты!$B$5:$B$16,Оплаты!$D$197,Акты!$H$5:$H$16,"ок")&gt;0,COUNTIFS(Оплаты!$D$6:$D$196,Оплаты!$D$197,Оплаты!$A$6:$A$196,Оплаты!$A$197)=0),Оплаты!$D$197,"")</f>
        <v/>
      </c>
      <c r="B205" t="str">
        <f>IF(A205="","",MATCH(A205,Акты!$B$5:$B$16,0))</f>
        <v/>
      </c>
      <c r="C205" s="21" t="str">
        <f>IF(A205="","",Оплаты!$A$197+1)</f>
        <v/>
      </c>
      <c r="D205" s="21" t="str">
        <f>IF(A205="","",MIN(Ввод!$B$4,Ввод!$B$4+1-SUMPRODUCT(MAX((Оплаты!$D$6:$D$505=A205)*(Оплаты!$A$6:$A$505&gt;Оплаты!$A$197)*(Ввод!$B$4+1-Оплаты!$A$6:$A$505)))))</f>
        <v/>
      </c>
      <c r="E205" s="14" t="str">
        <f>IF(A205="","",INDEX(Акты!$D$5:$D$16,B205)-SUMIFS(Оплаты!$B$6:$B$505,Оплаты!$D$6:$D$505,A205,Оплаты!$A$6:$A$505,"&lt;="&amp;Оплаты!$A$197))</f>
        <v/>
      </c>
      <c r="F205" s="14" t="str">
        <f>IF(G205="","",SUMPRODUCT(ROUND(E205*'По дням'!$L$6:$L$155/100*((((D205+'По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дням'!$J$6:$J$155)))/2+1)/'По дням'!$M$6:$M$155,2)*(1-'По дням'!$N$6:$N$155)))</f>
        <v/>
      </c>
      <c r="G205" s="22" t="str">
        <f t="shared" si="3"/>
        <v/>
      </c>
      <c r="H205" s="14" t="str">
        <f>IF(G205="","",SUMIFS(Оплаты!$B$6:$B$505,Оплаты!$D$6:$D$505,A205,Оплаты!$A$6:$A$505,D205))</f>
        <v/>
      </c>
      <c r="I205" t="str">
        <f>IF(G205="","",SUMPRODUCT((((((D205+'По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дням'!$J$6:$J$155)))/2+1)&gt;0)*1))</f>
        <v/>
      </c>
    </row>
    <row r="206" spans="1:9" x14ac:dyDescent="0.3">
      <c r="A206" t="str">
        <f>IF(AND(Оплаты!$E$198="ок",COUNTIFS(Акты!$B$5:$B$16,Оплаты!$D$198,Акты!$H$5:$H$16,"ок")&gt;0,COUNTIFS(Оплаты!$D$6:$D$197,Оплаты!$D$198,Оплаты!$A$6:$A$197,Оплаты!$A$198)=0),Оплаты!$D$198,"")</f>
        <v/>
      </c>
      <c r="B206" t="str">
        <f>IF(A206="","",MATCH(A206,Акты!$B$5:$B$16,0))</f>
        <v/>
      </c>
      <c r="C206" s="21" t="str">
        <f>IF(A206="","",Оплаты!$A$198+1)</f>
        <v/>
      </c>
      <c r="D206" s="21" t="str">
        <f>IF(A206="","",MIN(Ввод!$B$4,Ввод!$B$4+1-SUMPRODUCT(MAX((Оплаты!$D$6:$D$505=A206)*(Оплаты!$A$6:$A$505&gt;Оплаты!$A$198)*(Ввод!$B$4+1-Оплаты!$A$6:$A$505)))))</f>
        <v/>
      </c>
      <c r="E206" s="14" t="str">
        <f>IF(A206="","",INDEX(Акты!$D$5:$D$16,B206)-SUMIFS(Оплаты!$B$6:$B$505,Оплаты!$D$6:$D$505,A206,Оплаты!$A$6:$A$505,"&lt;="&amp;Оплаты!$A$198))</f>
        <v/>
      </c>
      <c r="F206" s="14" t="str">
        <f>IF(G206="","",SUMPRODUCT(ROUND(E206*'По дням'!$L$6:$L$155/100*((((D206+'По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дням'!$J$6:$J$155)))/2+1)/'По дням'!$M$6:$M$155,2)*(1-'По дням'!$N$6:$N$155)))</f>
        <v/>
      </c>
      <c r="G206" s="22" t="str">
        <f t="shared" si="3"/>
        <v/>
      </c>
      <c r="H206" s="14" t="str">
        <f>IF(G206="","",SUMIFS(Оплаты!$B$6:$B$505,Оплаты!$D$6:$D$505,A206,Оплаты!$A$6:$A$505,D206))</f>
        <v/>
      </c>
      <c r="I206" t="str">
        <f>IF(G206="","",SUMPRODUCT((((((D206+'По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дням'!$J$6:$J$155)))/2+1)&gt;0)*1))</f>
        <v/>
      </c>
    </row>
    <row r="207" spans="1:9" x14ac:dyDescent="0.3">
      <c r="A207" t="str">
        <f>IF(AND(Оплаты!$E$199="ок",COUNTIFS(Акты!$B$5:$B$16,Оплаты!$D$199,Акты!$H$5:$H$16,"ок")&gt;0,COUNTIFS(Оплаты!$D$6:$D$198,Оплаты!$D$199,Оплаты!$A$6:$A$198,Оплаты!$A$199)=0),Оплаты!$D$199,"")</f>
        <v/>
      </c>
      <c r="B207" t="str">
        <f>IF(A207="","",MATCH(A207,Акты!$B$5:$B$16,0))</f>
        <v/>
      </c>
      <c r="C207" s="21" t="str">
        <f>IF(A207="","",Оплаты!$A$199+1)</f>
        <v/>
      </c>
      <c r="D207" s="21" t="str">
        <f>IF(A207="","",MIN(Ввод!$B$4,Ввод!$B$4+1-SUMPRODUCT(MAX((Оплаты!$D$6:$D$505=A207)*(Оплаты!$A$6:$A$505&gt;Оплаты!$A$199)*(Ввод!$B$4+1-Оплаты!$A$6:$A$505)))))</f>
        <v/>
      </c>
      <c r="E207" s="14" t="str">
        <f>IF(A207="","",INDEX(Акты!$D$5:$D$16,B207)-SUMIFS(Оплаты!$B$6:$B$505,Оплаты!$D$6:$D$505,A207,Оплаты!$A$6:$A$505,"&lt;="&amp;Оплаты!$A$199))</f>
        <v/>
      </c>
      <c r="F207" s="14" t="str">
        <f>IF(G207="","",SUMPRODUCT(ROUND(E207*'По дням'!$L$6:$L$155/100*((((D207+'По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дням'!$J$6:$J$155)))/2+1)/'По дням'!$M$6:$M$155,2)*(1-'По дням'!$N$6:$N$155)))</f>
        <v/>
      </c>
      <c r="G207" s="22" t="str">
        <f t="shared" si="3"/>
        <v/>
      </c>
      <c r="H207" s="14" t="str">
        <f>IF(G207="","",SUMIFS(Оплаты!$B$6:$B$505,Оплаты!$D$6:$D$505,A207,Оплаты!$A$6:$A$505,D207))</f>
        <v/>
      </c>
      <c r="I207" t="str">
        <f>IF(G207="","",SUMPRODUCT((((((D207+'По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дням'!$J$6:$J$155)))/2+1)&gt;0)*1))</f>
        <v/>
      </c>
    </row>
    <row r="208" spans="1:9" x14ac:dyDescent="0.3">
      <c r="A208" t="str">
        <f>IF(AND(Оплаты!$E$200="ок",COUNTIFS(Акты!$B$5:$B$16,Оплаты!$D$200,Акты!$H$5:$H$16,"ок")&gt;0,COUNTIFS(Оплаты!$D$6:$D$199,Оплаты!$D$200,Оплаты!$A$6:$A$199,Оплаты!$A$200)=0),Оплаты!$D$200,"")</f>
        <v/>
      </c>
      <c r="B208" t="str">
        <f>IF(A208="","",MATCH(A208,Акты!$B$5:$B$16,0))</f>
        <v/>
      </c>
      <c r="C208" s="21" t="str">
        <f>IF(A208="","",Оплаты!$A$200+1)</f>
        <v/>
      </c>
      <c r="D208" s="21" t="str">
        <f>IF(A208="","",MIN(Ввод!$B$4,Ввод!$B$4+1-SUMPRODUCT(MAX((Оплаты!$D$6:$D$505=A208)*(Оплаты!$A$6:$A$505&gt;Оплаты!$A$200)*(Ввод!$B$4+1-Оплаты!$A$6:$A$505)))))</f>
        <v/>
      </c>
      <c r="E208" s="14" t="str">
        <f>IF(A208="","",INDEX(Акты!$D$5:$D$16,B208)-SUMIFS(Оплаты!$B$6:$B$505,Оплаты!$D$6:$D$505,A208,Оплаты!$A$6:$A$505,"&lt;="&amp;Оплаты!$A$200))</f>
        <v/>
      </c>
      <c r="F208" s="14" t="str">
        <f>IF(G208="","",SUMPRODUCT(ROUND(E208*'По дням'!$L$6:$L$155/100*((((D208+'По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дням'!$J$6:$J$155)))/2+1)/'По дням'!$M$6:$M$155,2)*(1-'По дням'!$N$6:$N$155)))</f>
        <v/>
      </c>
      <c r="G208" s="22" t="str">
        <f t="shared" si="3"/>
        <v/>
      </c>
      <c r="H208" s="14" t="str">
        <f>IF(G208="","",SUMIFS(Оплаты!$B$6:$B$505,Оплаты!$D$6:$D$505,A208,Оплаты!$A$6:$A$505,D208))</f>
        <v/>
      </c>
      <c r="I208" t="str">
        <f>IF(G208="","",SUMPRODUCT((((((D208+'По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дням'!$J$6:$J$155)))/2+1)&gt;0)*1))</f>
        <v/>
      </c>
    </row>
    <row r="209" spans="1:9" x14ac:dyDescent="0.3">
      <c r="A209" t="str">
        <f>IF(AND(Оплаты!$E$201="ок",COUNTIFS(Акты!$B$5:$B$16,Оплаты!$D$201,Акты!$H$5:$H$16,"ок")&gt;0,COUNTIFS(Оплаты!$D$6:$D$200,Оплаты!$D$201,Оплаты!$A$6:$A$200,Оплаты!$A$201)=0),Оплаты!$D$201,"")</f>
        <v/>
      </c>
      <c r="B209" t="str">
        <f>IF(A209="","",MATCH(A209,Акты!$B$5:$B$16,0))</f>
        <v/>
      </c>
      <c r="C209" s="21" t="str">
        <f>IF(A209="","",Оплаты!$A$201+1)</f>
        <v/>
      </c>
      <c r="D209" s="21" t="str">
        <f>IF(A209="","",MIN(Ввод!$B$4,Ввод!$B$4+1-SUMPRODUCT(MAX((Оплаты!$D$6:$D$505=A209)*(Оплаты!$A$6:$A$505&gt;Оплаты!$A$201)*(Ввод!$B$4+1-Оплаты!$A$6:$A$505)))))</f>
        <v/>
      </c>
      <c r="E209" s="14" t="str">
        <f>IF(A209="","",INDEX(Акты!$D$5:$D$16,B209)-SUMIFS(Оплаты!$B$6:$B$505,Оплаты!$D$6:$D$505,A209,Оплаты!$A$6:$A$505,"&lt;="&amp;Оплаты!$A$201))</f>
        <v/>
      </c>
      <c r="F209" s="14" t="str">
        <f>IF(G209="","",SUMPRODUCT(ROUND(E209*'По дням'!$L$6:$L$155/100*((((D209+'По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дням'!$J$6:$J$155)))/2+1)/'По дням'!$M$6:$M$155,2)*(1-'По дням'!$N$6:$N$155)))</f>
        <v/>
      </c>
      <c r="G209" s="22" t="str">
        <f t="shared" si="3"/>
        <v/>
      </c>
      <c r="H209" s="14" t="str">
        <f>IF(G209="","",SUMIFS(Оплаты!$B$6:$B$505,Оплаты!$D$6:$D$505,A209,Оплаты!$A$6:$A$505,D209))</f>
        <v/>
      </c>
      <c r="I209" t="str">
        <f>IF(G209="","",SUMPRODUCT((((((D209+'По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дням'!$J$6:$J$155)))/2+1)&gt;0)*1))</f>
        <v/>
      </c>
    </row>
    <row r="210" spans="1:9" x14ac:dyDescent="0.3">
      <c r="A210" t="str">
        <f>IF(AND(Оплаты!$E$202="ок",COUNTIFS(Акты!$B$5:$B$16,Оплаты!$D$202,Акты!$H$5:$H$16,"ок")&gt;0,COUNTIFS(Оплаты!$D$6:$D$201,Оплаты!$D$202,Оплаты!$A$6:$A$201,Оплаты!$A$202)=0),Оплаты!$D$202,"")</f>
        <v/>
      </c>
      <c r="B210" t="str">
        <f>IF(A210="","",MATCH(A210,Акты!$B$5:$B$16,0))</f>
        <v/>
      </c>
      <c r="C210" s="21" t="str">
        <f>IF(A210="","",Оплаты!$A$202+1)</f>
        <v/>
      </c>
      <c r="D210" s="21" t="str">
        <f>IF(A210="","",MIN(Ввод!$B$4,Ввод!$B$4+1-SUMPRODUCT(MAX((Оплаты!$D$6:$D$505=A210)*(Оплаты!$A$6:$A$505&gt;Оплаты!$A$202)*(Ввод!$B$4+1-Оплаты!$A$6:$A$505)))))</f>
        <v/>
      </c>
      <c r="E210" s="14" t="str">
        <f>IF(A210="","",INDEX(Акты!$D$5:$D$16,B210)-SUMIFS(Оплаты!$B$6:$B$505,Оплаты!$D$6:$D$505,A210,Оплаты!$A$6:$A$505,"&lt;="&amp;Оплаты!$A$202))</f>
        <v/>
      </c>
      <c r="F210" s="14" t="str">
        <f>IF(G210="","",SUMPRODUCT(ROUND(E210*'По дням'!$L$6:$L$155/100*((((D210+'По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дням'!$J$6:$J$155)))/2+1)/'По дням'!$M$6:$M$155,2)*(1-'По дням'!$N$6:$N$155)))</f>
        <v/>
      </c>
      <c r="G210" s="22" t="str">
        <f t="shared" si="3"/>
        <v/>
      </c>
      <c r="H210" s="14" t="str">
        <f>IF(G210="","",SUMIFS(Оплаты!$B$6:$B$505,Оплаты!$D$6:$D$505,A210,Оплаты!$A$6:$A$505,D210))</f>
        <v/>
      </c>
      <c r="I210" t="str">
        <f>IF(G210="","",SUMPRODUCT((((((D210+'По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дням'!$J$6:$J$155)))/2+1)&gt;0)*1))</f>
        <v/>
      </c>
    </row>
    <row r="211" spans="1:9" x14ac:dyDescent="0.3">
      <c r="A211" t="str">
        <f>IF(AND(Оплаты!$E$203="ок",COUNTIFS(Акты!$B$5:$B$16,Оплаты!$D$203,Акты!$H$5:$H$16,"ок")&gt;0,COUNTIFS(Оплаты!$D$6:$D$202,Оплаты!$D$203,Оплаты!$A$6:$A$202,Оплаты!$A$203)=0),Оплаты!$D$203,"")</f>
        <v/>
      </c>
      <c r="B211" t="str">
        <f>IF(A211="","",MATCH(A211,Акты!$B$5:$B$16,0))</f>
        <v/>
      </c>
      <c r="C211" s="21" t="str">
        <f>IF(A211="","",Оплаты!$A$203+1)</f>
        <v/>
      </c>
      <c r="D211" s="21" t="str">
        <f>IF(A211="","",MIN(Ввод!$B$4,Ввод!$B$4+1-SUMPRODUCT(MAX((Оплаты!$D$6:$D$505=A211)*(Оплаты!$A$6:$A$505&gt;Оплаты!$A$203)*(Ввод!$B$4+1-Оплаты!$A$6:$A$505)))))</f>
        <v/>
      </c>
      <c r="E211" s="14" t="str">
        <f>IF(A211="","",INDEX(Акты!$D$5:$D$16,B211)-SUMIFS(Оплаты!$B$6:$B$505,Оплаты!$D$6:$D$505,A211,Оплаты!$A$6:$A$505,"&lt;="&amp;Оплаты!$A$203))</f>
        <v/>
      </c>
      <c r="F211" s="14" t="str">
        <f>IF(G211="","",SUMPRODUCT(ROUND(E211*'По дням'!$L$6:$L$155/100*((((D211+'По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дням'!$J$6:$J$155)))/2+1)/'По дням'!$M$6:$M$155,2)*(1-'По дням'!$N$6:$N$155)))</f>
        <v/>
      </c>
      <c r="G211" s="22" t="str">
        <f t="shared" si="3"/>
        <v/>
      </c>
      <c r="H211" s="14" t="str">
        <f>IF(G211="","",SUMIFS(Оплаты!$B$6:$B$505,Оплаты!$D$6:$D$505,A211,Оплаты!$A$6:$A$505,D211))</f>
        <v/>
      </c>
      <c r="I211" t="str">
        <f>IF(G211="","",SUMPRODUCT((((((D211+'По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дням'!$J$6:$J$155)))/2+1)&gt;0)*1))</f>
        <v/>
      </c>
    </row>
    <row r="212" spans="1:9" x14ac:dyDescent="0.3">
      <c r="A212" t="str">
        <f>IF(AND(Оплаты!$E$204="ок",COUNTIFS(Акты!$B$5:$B$16,Оплаты!$D$204,Акты!$H$5:$H$16,"ок")&gt;0,COUNTIFS(Оплаты!$D$6:$D$203,Оплаты!$D$204,Оплаты!$A$6:$A$203,Оплаты!$A$204)=0),Оплаты!$D$204,"")</f>
        <v/>
      </c>
      <c r="B212" t="str">
        <f>IF(A212="","",MATCH(A212,Акты!$B$5:$B$16,0))</f>
        <v/>
      </c>
      <c r="C212" s="21" t="str">
        <f>IF(A212="","",Оплаты!$A$204+1)</f>
        <v/>
      </c>
      <c r="D212" s="21" t="str">
        <f>IF(A212="","",MIN(Ввод!$B$4,Ввод!$B$4+1-SUMPRODUCT(MAX((Оплаты!$D$6:$D$505=A212)*(Оплаты!$A$6:$A$505&gt;Оплаты!$A$204)*(Ввод!$B$4+1-Оплаты!$A$6:$A$505)))))</f>
        <v/>
      </c>
      <c r="E212" s="14" t="str">
        <f>IF(A212="","",INDEX(Акты!$D$5:$D$16,B212)-SUMIFS(Оплаты!$B$6:$B$505,Оплаты!$D$6:$D$505,A212,Оплаты!$A$6:$A$505,"&lt;="&amp;Оплаты!$A$204))</f>
        <v/>
      </c>
      <c r="F212" s="14" t="str">
        <f>IF(G212="","",SUMPRODUCT(ROUND(E212*'По дням'!$L$6:$L$155/100*((((D212+'По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дням'!$J$6:$J$155)))/2+1)/'По дням'!$M$6:$M$155,2)*(1-'По дням'!$N$6:$N$155)))</f>
        <v/>
      </c>
      <c r="G212" s="22" t="str">
        <f t="shared" si="3"/>
        <v/>
      </c>
      <c r="H212" s="14" t="str">
        <f>IF(G212="","",SUMIFS(Оплаты!$B$6:$B$505,Оплаты!$D$6:$D$505,A212,Оплаты!$A$6:$A$505,D212))</f>
        <v/>
      </c>
      <c r="I212" t="str">
        <f>IF(G212="","",SUMPRODUCT((((((D212+'По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дням'!$J$6:$J$155)))/2+1)&gt;0)*1))</f>
        <v/>
      </c>
    </row>
    <row r="213" spans="1:9" x14ac:dyDescent="0.3">
      <c r="A213" t="str">
        <f>IF(AND(Оплаты!$E$205="ок",COUNTIFS(Акты!$B$5:$B$16,Оплаты!$D$205,Акты!$H$5:$H$16,"ок")&gt;0,COUNTIFS(Оплаты!$D$6:$D$204,Оплаты!$D$205,Оплаты!$A$6:$A$204,Оплаты!$A$205)=0),Оплаты!$D$205,"")</f>
        <v/>
      </c>
      <c r="B213" t="str">
        <f>IF(A213="","",MATCH(A213,Акты!$B$5:$B$16,0))</f>
        <v/>
      </c>
      <c r="C213" s="21" t="str">
        <f>IF(A213="","",Оплаты!$A$205+1)</f>
        <v/>
      </c>
      <c r="D213" s="21" t="str">
        <f>IF(A213="","",MIN(Ввод!$B$4,Ввод!$B$4+1-SUMPRODUCT(MAX((Оплаты!$D$6:$D$505=A213)*(Оплаты!$A$6:$A$505&gt;Оплаты!$A$205)*(Ввод!$B$4+1-Оплаты!$A$6:$A$505)))))</f>
        <v/>
      </c>
      <c r="E213" s="14" t="str">
        <f>IF(A213="","",INDEX(Акты!$D$5:$D$16,B213)-SUMIFS(Оплаты!$B$6:$B$505,Оплаты!$D$6:$D$505,A213,Оплаты!$A$6:$A$505,"&lt;="&amp;Оплаты!$A$205))</f>
        <v/>
      </c>
      <c r="F213" s="14" t="str">
        <f>IF(G213="","",SUMPRODUCT(ROUND(E213*'По дням'!$L$6:$L$155/100*((((D213+'По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дням'!$J$6:$J$155)))/2+1)/'По дням'!$M$6:$M$155,2)*(1-'По дням'!$N$6:$N$155)))</f>
        <v/>
      </c>
      <c r="G213" s="22" t="str">
        <f t="shared" si="3"/>
        <v/>
      </c>
      <c r="H213" s="14" t="str">
        <f>IF(G213="","",SUMIFS(Оплаты!$B$6:$B$505,Оплаты!$D$6:$D$505,A213,Оплаты!$A$6:$A$505,D213))</f>
        <v/>
      </c>
      <c r="I213" t="str">
        <f>IF(G213="","",SUMPRODUCT((((((D213+'По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дням'!$J$6:$J$155)))/2+1)&gt;0)*1))</f>
        <v/>
      </c>
    </row>
    <row r="214" spans="1:9" x14ac:dyDescent="0.3">
      <c r="A214" t="str">
        <f>IF(AND(Оплаты!$E$206="ок",COUNTIFS(Акты!$B$5:$B$16,Оплаты!$D$206,Акты!$H$5:$H$16,"ок")&gt;0,COUNTIFS(Оплаты!$D$6:$D$205,Оплаты!$D$206,Оплаты!$A$6:$A$205,Оплаты!$A$206)=0),Оплаты!$D$206,"")</f>
        <v/>
      </c>
      <c r="B214" t="str">
        <f>IF(A214="","",MATCH(A214,Акты!$B$5:$B$16,0))</f>
        <v/>
      </c>
      <c r="C214" s="21" t="str">
        <f>IF(A214="","",Оплаты!$A$206+1)</f>
        <v/>
      </c>
      <c r="D214" s="21" t="str">
        <f>IF(A214="","",MIN(Ввод!$B$4,Ввод!$B$4+1-SUMPRODUCT(MAX((Оплаты!$D$6:$D$505=A214)*(Оплаты!$A$6:$A$505&gt;Оплаты!$A$206)*(Ввод!$B$4+1-Оплаты!$A$6:$A$505)))))</f>
        <v/>
      </c>
      <c r="E214" s="14" t="str">
        <f>IF(A214="","",INDEX(Акты!$D$5:$D$16,B214)-SUMIFS(Оплаты!$B$6:$B$505,Оплаты!$D$6:$D$505,A214,Оплаты!$A$6:$A$505,"&lt;="&amp;Оплаты!$A$206))</f>
        <v/>
      </c>
      <c r="F214" s="14" t="str">
        <f>IF(G214="","",SUMPRODUCT(ROUND(E214*'По дням'!$L$6:$L$155/100*((((D214+'По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дням'!$J$6:$J$155)))/2+1)/'По дням'!$M$6:$M$155,2)*(1-'По дням'!$N$6:$N$155)))</f>
        <v/>
      </c>
      <c r="G214" s="22" t="str">
        <f t="shared" si="3"/>
        <v/>
      </c>
      <c r="H214" s="14" t="str">
        <f>IF(G214="","",SUMIFS(Оплаты!$B$6:$B$505,Оплаты!$D$6:$D$505,A214,Оплаты!$A$6:$A$505,D214))</f>
        <v/>
      </c>
      <c r="I214" t="str">
        <f>IF(G214="","",SUMPRODUCT((((((D214+'По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дням'!$J$6:$J$155)))/2+1)&gt;0)*1))</f>
        <v/>
      </c>
    </row>
    <row r="215" spans="1:9" x14ac:dyDescent="0.3">
      <c r="A215" t="str">
        <f>IF(AND(Оплаты!$E$207="ок",COUNTIFS(Акты!$B$5:$B$16,Оплаты!$D$207,Акты!$H$5:$H$16,"ок")&gt;0,COUNTIFS(Оплаты!$D$6:$D$206,Оплаты!$D$207,Оплаты!$A$6:$A$206,Оплаты!$A$207)=0),Оплаты!$D$207,"")</f>
        <v/>
      </c>
      <c r="B215" t="str">
        <f>IF(A215="","",MATCH(A215,Акты!$B$5:$B$16,0))</f>
        <v/>
      </c>
      <c r="C215" s="21" t="str">
        <f>IF(A215="","",Оплаты!$A$207+1)</f>
        <v/>
      </c>
      <c r="D215" s="21" t="str">
        <f>IF(A215="","",MIN(Ввод!$B$4,Ввод!$B$4+1-SUMPRODUCT(MAX((Оплаты!$D$6:$D$505=A215)*(Оплаты!$A$6:$A$505&gt;Оплаты!$A$207)*(Ввод!$B$4+1-Оплаты!$A$6:$A$505)))))</f>
        <v/>
      </c>
      <c r="E215" s="14" t="str">
        <f>IF(A215="","",INDEX(Акты!$D$5:$D$16,B215)-SUMIFS(Оплаты!$B$6:$B$505,Оплаты!$D$6:$D$505,A215,Оплаты!$A$6:$A$505,"&lt;="&amp;Оплаты!$A$207))</f>
        <v/>
      </c>
      <c r="F215" s="14" t="str">
        <f>IF(G215="","",SUMPRODUCT(ROUND(E215*'По дням'!$L$6:$L$155/100*((((D215+'По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дням'!$J$6:$J$155)))/2+1)/'По дням'!$M$6:$M$155,2)*(1-'По дням'!$N$6:$N$155)))</f>
        <v/>
      </c>
      <c r="G215" s="22" t="str">
        <f t="shared" si="3"/>
        <v/>
      </c>
      <c r="H215" s="14" t="str">
        <f>IF(G215="","",SUMIFS(Оплаты!$B$6:$B$505,Оплаты!$D$6:$D$505,A215,Оплаты!$A$6:$A$505,D215))</f>
        <v/>
      </c>
      <c r="I215" t="str">
        <f>IF(G215="","",SUMPRODUCT((((((D215+'По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дням'!$J$6:$J$155)))/2+1)&gt;0)*1))</f>
        <v/>
      </c>
    </row>
    <row r="216" spans="1:9" x14ac:dyDescent="0.3">
      <c r="A216" t="str">
        <f>IF(AND(Оплаты!$E$208="ок",COUNTIFS(Акты!$B$5:$B$16,Оплаты!$D$208,Акты!$H$5:$H$16,"ок")&gt;0,COUNTIFS(Оплаты!$D$6:$D$207,Оплаты!$D$208,Оплаты!$A$6:$A$207,Оплаты!$A$208)=0),Оплаты!$D$208,"")</f>
        <v/>
      </c>
      <c r="B216" t="str">
        <f>IF(A216="","",MATCH(A216,Акты!$B$5:$B$16,0))</f>
        <v/>
      </c>
      <c r="C216" s="21" t="str">
        <f>IF(A216="","",Оплаты!$A$208+1)</f>
        <v/>
      </c>
      <c r="D216" s="21" t="str">
        <f>IF(A216="","",MIN(Ввод!$B$4,Ввод!$B$4+1-SUMPRODUCT(MAX((Оплаты!$D$6:$D$505=A216)*(Оплаты!$A$6:$A$505&gt;Оплаты!$A$208)*(Ввод!$B$4+1-Оплаты!$A$6:$A$505)))))</f>
        <v/>
      </c>
      <c r="E216" s="14" t="str">
        <f>IF(A216="","",INDEX(Акты!$D$5:$D$16,B216)-SUMIFS(Оплаты!$B$6:$B$505,Оплаты!$D$6:$D$505,A216,Оплаты!$A$6:$A$505,"&lt;="&amp;Оплаты!$A$208))</f>
        <v/>
      </c>
      <c r="F216" s="14" t="str">
        <f>IF(G216="","",SUMPRODUCT(ROUND(E216*'По дням'!$L$6:$L$155/100*((((D216+'По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дням'!$J$6:$J$155)))/2+1)/'По дням'!$M$6:$M$155,2)*(1-'По дням'!$N$6:$N$155)))</f>
        <v/>
      </c>
      <c r="G216" s="22" t="str">
        <f t="shared" si="3"/>
        <v/>
      </c>
      <c r="H216" s="14" t="str">
        <f>IF(G216="","",SUMIFS(Оплаты!$B$6:$B$505,Оплаты!$D$6:$D$505,A216,Оплаты!$A$6:$A$505,D216))</f>
        <v/>
      </c>
      <c r="I216" t="str">
        <f>IF(G216="","",SUMPRODUCT((((((D216+'По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дням'!$J$6:$J$155)))/2+1)&gt;0)*1))</f>
        <v/>
      </c>
    </row>
    <row r="217" spans="1:9" x14ac:dyDescent="0.3">
      <c r="A217" t="str">
        <f>IF(AND(Оплаты!$E$209="ок",COUNTIFS(Акты!$B$5:$B$16,Оплаты!$D$209,Акты!$H$5:$H$16,"ок")&gt;0,COUNTIFS(Оплаты!$D$6:$D$208,Оплаты!$D$209,Оплаты!$A$6:$A$208,Оплаты!$A$209)=0),Оплаты!$D$209,"")</f>
        <v/>
      </c>
      <c r="B217" t="str">
        <f>IF(A217="","",MATCH(A217,Акты!$B$5:$B$16,0))</f>
        <v/>
      </c>
      <c r="C217" s="21" t="str">
        <f>IF(A217="","",Оплаты!$A$209+1)</f>
        <v/>
      </c>
      <c r="D217" s="21" t="str">
        <f>IF(A217="","",MIN(Ввод!$B$4,Ввод!$B$4+1-SUMPRODUCT(MAX((Оплаты!$D$6:$D$505=A217)*(Оплаты!$A$6:$A$505&gt;Оплаты!$A$209)*(Ввод!$B$4+1-Оплаты!$A$6:$A$505)))))</f>
        <v/>
      </c>
      <c r="E217" s="14" t="str">
        <f>IF(A217="","",INDEX(Акты!$D$5:$D$16,B217)-SUMIFS(Оплаты!$B$6:$B$505,Оплаты!$D$6:$D$505,A217,Оплаты!$A$6:$A$505,"&lt;="&amp;Оплаты!$A$209))</f>
        <v/>
      </c>
      <c r="F217" s="14" t="str">
        <f>IF(G217="","",SUMPRODUCT(ROUND(E217*'По дням'!$L$6:$L$155/100*((((D217+'По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дням'!$J$6:$J$155)))/2+1)/'По дням'!$M$6:$M$155,2)*(1-'По дням'!$N$6:$N$155)))</f>
        <v/>
      </c>
      <c r="G217" s="22" t="str">
        <f t="shared" si="3"/>
        <v/>
      </c>
      <c r="H217" s="14" t="str">
        <f>IF(G217="","",SUMIFS(Оплаты!$B$6:$B$505,Оплаты!$D$6:$D$505,A217,Оплаты!$A$6:$A$505,D217))</f>
        <v/>
      </c>
      <c r="I217" t="str">
        <f>IF(G217="","",SUMPRODUCT((((((D217+'По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дням'!$J$6:$J$155)))/2+1)&gt;0)*1))</f>
        <v/>
      </c>
    </row>
    <row r="218" spans="1:9" x14ac:dyDescent="0.3">
      <c r="A218" t="str">
        <f>IF(AND(Оплаты!$E$210="ок",COUNTIFS(Акты!$B$5:$B$16,Оплаты!$D$210,Акты!$H$5:$H$16,"ок")&gt;0,COUNTIFS(Оплаты!$D$6:$D$209,Оплаты!$D$210,Оплаты!$A$6:$A$209,Оплаты!$A$210)=0),Оплаты!$D$210,"")</f>
        <v/>
      </c>
      <c r="B218" t="str">
        <f>IF(A218="","",MATCH(A218,Акты!$B$5:$B$16,0))</f>
        <v/>
      </c>
      <c r="C218" s="21" t="str">
        <f>IF(A218="","",Оплаты!$A$210+1)</f>
        <v/>
      </c>
      <c r="D218" s="21" t="str">
        <f>IF(A218="","",MIN(Ввод!$B$4,Ввод!$B$4+1-SUMPRODUCT(MAX((Оплаты!$D$6:$D$505=A218)*(Оплаты!$A$6:$A$505&gt;Оплаты!$A$210)*(Ввод!$B$4+1-Оплаты!$A$6:$A$505)))))</f>
        <v/>
      </c>
      <c r="E218" s="14" t="str">
        <f>IF(A218="","",INDEX(Акты!$D$5:$D$16,B218)-SUMIFS(Оплаты!$B$6:$B$505,Оплаты!$D$6:$D$505,A218,Оплаты!$A$6:$A$505,"&lt;="&amp;Оплаты!$A$210))</f>
        <v/>
      </c>
      <c r="F218" s="14" t="str">
        <f>IF(G218="","",SUMPRODUCT(ROUND(E218*'По дням'!$L$6:$L$155/100*((((D218+'По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дням'!$J$6:$J$155)))/2+1)/'По дням'!$M$6:$M$155,2)*(1-'По дням'!$N$6:$N$155)))</f>
        <v/>
      </c>
      <c r="G218" s="22" t="str">
        <f t="shared" si="3"/>
        <v/>
      </c>
      <c r="H218" s="14" t="str">
        <f>IF(G218="","",SUMIFS(Оплаты!$B$6:$B$505,Оплаты!$D$6:$D$505,A218,Оплаты!$A$6:$A$505,D218))</f>
        <v/>
      </c>
      <c r="I218" t="str">
        <f>IF(G218="","",SUMPRODUCT((((((D218+'По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дням'!$J$6:$J$155)))/2+1)&gt;0)*1))</f>
        <v/>
      </c>
    </row>
    <row r="219" spans="1:9" x14ac:dyDescent="0.3">
      <c r="A219" t="str">
        <f>IF(AND(Оплаты!$E$211="ок",COUNTIFS(Акты!$B$5:$B$16,Оплаты!$D$211,Акты!$H$5:$H$16,"ок")&gt;0,COUNTIFS(Оплаты!$D$6:$D$210,Оплаты!$D$211,Оплаты!$A$6:$A$210,Оплаты!$A$211)=0),Оплаты!$D$211,"")</f>
        <v/>
      </c>
      <c r="B219" t="str">
        <f>IF(A219="","",MATCH(A219,Акты!$B$5:$B$16,0))</f>
        <v/>
      </c>
      <c r="C219" s="21" t="str">
        <f>IF(A219="","",Оплаты!$A$211+1)</f>
        <v/>
      </c>
      <c r="D219" s="21" t="str">
        <f>IF(A219="","",MIN(Ввод!$B$4,Ввод!$B$4+1-SUMPRODUCT(MAX((Оплаты!$D$6:$D$505=A219)*(Оплаты!$A$6:$A$505&gt;Оплаты!$A$211)*(Ввод!$B$4+1-Оплаты!$A$6:$A$505)))))</f>
        <v/>
      </c>
      <c r="E219" s="14" t="str">
        <f>IF(A219="","",INDEX(Акты!$D$5:$D$16,B219)-SUMIFS(Оплаты!$B$6:$B$505,Оплаты!$D$6:$D$505,A219,Оплаты!$A$6:$A$505,"&lt;="&amp;Оплаты!$A$211))</f>
        <v/>
      </c>
      <c r="F219" s="14" t="str">
        <f>IF(G219="","",SUMPRODUCT(ROUND(E219*'По дням'!$L$6:$L$155/100*((((D219+'По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дням'!$J$6:$J$155)))/2+1)/'По дням'!$M$6:$M$155,2)*(1-'По дням'!$N$6:$N$155)))</f>
        <v/>
      </c>
      <c r="G219" s="22" t="str">
        <f t="shared" si="3"/>
        <v/>
      </c>
      <c r="H219" s="14" t="str">
        <f>IF(G219="","",SUMIFS(Оплаты!$B$6:$B$505,Оплаты!$D$6:$D$505,A219,Оплаты!$A$6:$A$505,D219))</f>
        <v/>
      </c>
      <c r="I219" t="str">
        <f>IF(G219="","",SUMPRODUCT((((((D219+'По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дням'!$J$6:$J$155)))/2+1)&gt;0)*1))</f>
        <v/>
      </c>
    </row>
    <row r="220" spans="1:9" x14ac:dyDescent="0.3">
      <c r="A220" t="str">
        <f>IF(AND(Оплаты!$E$212="ок",COUNTIFS(Акты!$B$5:$B$16,Оплаты!$D$212,Акты!$H$5:$H$16,"ок")&gt;0,COUNTIFS(Оплаты!$D$6:$D$211,Оплаты!$D$212,Оплаты!$A$6:$A$211,Оплаты!$A$212)=0),Оплаты!$D$212,"")</f>
        <v/>
      </c>
      <c r="B220" t="str">
        <f>IF(A220="","",MATCH(A220,Акты!$B$5:$B$16,0))</f>
        <v/>
      </c>
      <c r="C220" s="21" t="str">
        <f>IF(A220="","",Оплаты!$A$212+1)</f>
        <v/>
      </c>
      <c r="D220" s="21" t="str">
        <f>IF(A220="","",MIN(Ввод!$B$4,Ввод!$B$4+1-SUMPRODUCT(MAX((Оплаты!$D$6:$D$505=A220)*(Оплаты!$A$6:$A$505&gt;Оплаты!$A$212)*(Ввод!$B$4+1-Оплаты!$A$6:$A$505)))))</f>
        <v/>
      </c>
      <c r="E220" s="14" t="str">
        <f>IF(A220="","",INDEX(Акты!$D$5:$D$16,B220)-SUMIFS(Оплаты!$B$6:$B$505,Оплаты!$D$6:$D$505,A220,Оплаты!$A$6:$A$505,"&lt;="&amp;Оплаты!$A$212))</f>
        <v/>
      </c>
      <c r="F220" s="14" t="str">
        <f>IF(G220="","",SUMPRODUCT(ROUND(E220*'По дням'!$L$6:$L$155/100*((((D220+'По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дням'!$J$6:$J$155)))/2+1)/'По дням'!$M$6:$M$155,2)*(1-'По дням'!$N$6:$N$155)))</f>
        <v/>
      </c>
      <c r="G220" s="22" t="str">
        <f t="shared" si="3"/>
        <v/>
      </c>
      <c r="H220" s="14" t="str">
        <f>IF(G220="","",SUMIFS(Оплаты!$B$6:$B$505,Оплаты!$D$6:$D$505,A220,Оплаты!$A$6:$A$505,D220))</f>
        <v/>
      </c>
      <c r="I220" t="str">
        <f>IF(G220="","",SUMPRODUCT((((((D220+'По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дням'!$J$6:$J$155)))/2+1)&gt;0)*1))</f>
        <v/>
      </c>
    </row>
    <row r="221" spans="1:9" x14ac:dyDescent="0.3">
      <c r="A221" t="str">
        <f>IF(AND(Оплаты!$E$213="ок",COUNTIFS(Акты!$B$5:$B$16,Оплаты!$D$213,Акты!$H$5:$H$16,"ок")&gt;0,COUNTIFS(Оплаты!$D$6:$D$212,Оплаты!$D$213,Оплаты!$A$6:$A$212,Оплаты!$A$213)=0),Оплаты!$D$213,"")</f>
        <v/>
      </c>
      <c r="B221" t="str">
        <f>IF(A221="","",MATCH(A221,Акты!$B$5:$B$16,0))</f>
        <v/>
      </c>
      <c r="C221" s="21" t="str">
        <f>IF(A221="","",Оплаты!$A$213+1)</f>
        <v/>
      </c>
      <c r="D221" s="21" t="str">
        <f>IF(A221="","",MIN(Ввод!$B$4,Ввод!$B$4+1-SUMPRODUCT(MAX((Оплаты!$D$6:$D$505=A221)*(Оплаты!$A$6:$A$505&gt;Оплаты!$A$213)*(Ввод!$B$4+1-Оплаты!$A$6:$A$505)))))</f>
        <v/>
      </c>
      <c r="E221" s="14" t="str">
        <f>IF(A221="","",INDEX(Акты!$D$5:$D$16,B221)-SUMIFS(Оплаты!$B$6:$B$505,Оплаты!$D$6:$D$505,A221,Оплаты!$A$6:$A$505,"&lt;="&amp;Оплаты!$A$213))</f>
        <v/>
      </c>
      <c r="F221" s="14" t="str">
        <f>IF(G221="","",SUMPRODUCT(ROUND(E221*'По дням'!$L$6:$L$155/100*((((D221+'По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дням'!$J$6:$J$155)))/2+1)/'По дням'!$M$6:$M$155,2)*(1-'По дням'!$N$6:$N$155)))</f>
        <v/>
      </c>
      <c r="G221" s="22" t="str">
        <f t="shared" si="3"/>
        <v/>
      </c>
      <c r="H221" s="14" t="str">
        <f>IF(G221="","",SUMIFS(Оплаты!$B$6:$B$505,Оплаты!$D$6:$D$505,A221,Оплаты!$A$6:$A$505,D221))</f>
        <v/>
      </c>
      <c r="I221" t="str">
        <f>IF(G221="","",SUMPRODUCT((((((D221+'По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дням'!$J$6:$J$155)))/2+1)&gt;0)*1))</f>
        <v/>
      </c>
    </row>
    <row r="222" spans="1:9" x14ac:dyDescent="0.3">
      <c r="A222" t="str">
        <f>IF(AND(Оплаты!$E$214="ок",COUNTIFS(Акты!$B$5:$B$16,Оплаты!$D$214,Акты!$H$5:$H$16,"ок")&gt;0,COUNTIFS(Оплаты!$D$6:$D$213,Оплаты!$D$214,Оплаты!$A$6:$A$213,Оплаты!$A$214)=0),Оплаты!$D$214,"")</f>
        <v/>
      </c>
      <c r="B222" t="str">
        <f>IF(A222="","",MATCH(A222,Акты!$B$5:$B$16,0))</f>
        <v/>
      </c>
      <c r="C222" s="21" t="str">
        <f>IF(A222="","",Оплаты!$A$214+1)</f>
        <v/>
      </c>
      <c r="D222" s="21" t="str">
        <f>IF(A222="","",MIN(Ввод!$B$4,Ввод!$B$4+1-SUMPRODUCT(MAX((Оплаты!$D$6:$D$505=A222)*(Оплаты!$A$6:$A$505&gt;Оплаты!$A$214)*(Ввод!$B$4+1-Оплаты!$A$6:$A$505)))))</f>
        <v/>
      </c>
      <c r="E222" s="14" t="str">
        <f>IF(A222="","",INDEX(Акты!$D$5:$D$16,B222)-SUMIFS(Оплаты!$B$6:$B$505,Оплаты!$D$6:$D$505,A222,Оплаты!$A$6:$A$505,"&lt;="&amp;Оплаты!$A$214))</f>
        <v/>
      </c>
      <c r="F222" s="14" t="str">
        <f>IF(G222="","",SUMPRODUCT(ROUND(E222*'По дням'!$L$6:$L$155/100*((((D222+'По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дням'!$J$6:$J$155)))/2+1)/'По дням'!$M$6:$M$155,2)*(1-'По дням'!$N$6:$N$155)))</f>
        <v/>
      </c>
      <c r="G222" s="22" t="str">
        <f t="shared" si="3"/>
        <v/>
      </c>
      <c r="H222" s="14" t="str">
        <f>IF(G222="","",SUMIFS(Оплаты!$B$6:$B$505,Оплаты!$D$6:$D$505,A222,Оплаты!$A$6:$A$505,D222))</f>
        <v/>
      </c>
      <c r="I222" t="str">
        <f>IF(G222="","",SUMPRODUCT((((((D222+'По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дням'!$J$6:$J$155)))/2+1)&gt;0)*1))</f>
        <v/>
      </c>
    </row>
    <row r="223" spans="1:9" x14ac:dyDescent="0.3">
      <c r="A223" t="str">
        <f>IF(AND(Оплаты!$E$215="ок",COUNTIFS(Акты!$B$5:$B$16,Оплаты!$D$215,Акты!$H$5:$H$16,"ок")&gt;0,COUNTIFS(Оплаты!$D$6:$D$214,Оплаты!$D$215,Оплаты!$A$6:$A$214,Оплаты!$A$215)=0),Оплаты!$D$215,"")</f>
        <v/>
      </c>
      <c r="B223" t="str">
        <f>IF(A223="","",MATCH(A223,Акты!$B$5:$B$16,0))</f>
        <v/>
      </c>
      <c r="C223" s="21" t="str">
        <f>IF(A223="","",Оплаты!$A$215+1)</f>
        <v/>
      </c>
      <c r="D223" s="21" t="str">
        <f>IF(A223="","",MIN(Ввод!$B$4,Ввод!$B$4+1-SUMPRODUCT(MAX((Оплаты!$D$6:$D$505=A223)*(Оплаты!$A$6:$A$505&gt;Оплаты!$A$215)*(Ввод!$B$4+1-Оплаты!$A$6:$A$505)))))</f>
        <v/>
      </c>
      <c r="E223" s="14" t="str">
        <f>IF(A223="","",INDEX(Акты!$D$5:$D$16,B223)-SUMIFS(Оплаты!$B$6:$B$505,Оплаты!$D$6:$D$505,A223,Оплаты!$A$6:$A$505,"&lt;="&amp;Оплаты!$A$215))</f>
        <v/>
      </c>
      <c r="F223" s="14" t="str">
        <f>IF(G223="","",SUMPRODUCT(ROUND(E223*'По дням'!$L$6:$L$155/100*((((D223+'По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дням'!$J$6:$J$155)))/2+1)/'По дням'!$M$6:$M$155,2)*(1-'По дням'!$N$6:$N$155)))</f>
        <v/>
      </c>
      <c r="G223" s="22" t="str">
        <f t="shared" si="3"/>
        <v/>
      </c>
      <c r="H223" s="14" t="str">
        <f>IF(G223="","",SUMIFS(Оплаты!$B$6:$B$505,Оплаты!$D$6:$D$505,A223,Оплаты!$A$6:$A$505,D223))</f>
        <v/>
      </c>
      <c r="I223" t="str">
        <f>IF(G223="","",SUMPRODUCT((((((D223+'По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дням'!$J$6:$J$155)))/2+1)&gt;0)*1))</f>
        <v/>
      </c>
    </row>
    <row r="224" spans="1:9" x14ac:dyDescent="0.3">
      <c r="A224" t="str">
        <f>IF(AND(Оплаты!$E$216="ок",COUNTIFS(Акты!$B$5:$B$16,Оплаты!$D$216,Акты!$H$5:$H$16,"ок")&gt;0,COUNTIFS(Оплаты!$D$6:$D$215,Оплаты!$D$216,Оплаты!$A$6:$A$215,Оплаты!$A$216)=0),Оплаты!$D$216,"")</f>
        <v/>
      </c>
      <c r="B224" t="str">
        <f>IF(A224="","",MATCH(A224,Акты!$B$5:$B$16,0))</f>
        <v/>
      </c>
      <c r="C224" s="21" t="str">
        <f>IF(A224="","",Оплаты!$A$216+1)</f>
        <v/>
      </c>
      <c r="D224" s="21" t="str">
        <f>IF(A224="","",MIN(Ввод!$B$4,Ввод!$B$4+1-SUMPRODUCT(MAX((Оплаты!$D$6:$D$505=A224)*(Оплаты!$A$6:$A$505&gt;Оплаты!$A$216)*(Ввод!$B$4+1-Оплаты!$A$6:$A$505)))))</f>
        <v/>
      </c>
      <c r="E224" s="14" t="str">
        <f>IF(A224="","",INDEX(Акты!$D$5:$D$16,B224)-SUMIFS(Оплаты!$B$6:$B$505,Оплаты!$D$6:$D$505,A224,Оплаты!$A$6:$A$505,"&lt;="&amp;Оплаты!$A$216))</f>
        <v/>
      </c>
      <c r="F224" s="14" t="str">
        <f>IF(G224="","",SUMPRODUCT(ROUND(E224*'По дням'!$L$6:$L$155/100*((((D224+'По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дням'!$J$6:$J$155)))/2+1)/'По дням'!$M$6:$M$155,2)*(1-'По дням'!$N$6:$N$155)))</f>
        <v/>
      </c>
      <c r="G224" s="22" t="str">
        <f t="shared" si="3"/>
        <v/>
      </c>
      <c r="H224" s="14" t="str">
        <f>IF(G224="","",SUMIFS(Оплаты!$B$6:$B$505,Оплаты!$D$6:$D$505,A224,Оплаты!$A$6:$A$505,D224))</f>
        <v/>
      </c>
      <c r="I224" t="str">
        <f>IF(G224="","",SUMPRODUCT((((((D224+'По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дням'!$J$6:$J$155)))/2+1)&gt;0)*1))</f>
        <v/>
      </c>
    </row>
    <row r="225" spans="1:9" x14ac:dyDescent="0.3">
      <c r="A225" t="str">
        <f>IF(AND(Оплаты!$E$217="ок",COUNTIFS(Акты!$B$5:$B$16,Оплаты!$D$217,Акты!$H$5:$H$16,"ок")&gt;0,COUNTIFS(Оплаты!$D$6:$D$216,Оплаты!$D$217,Оплаты!$A$6:$A$216,Оплаты!$A$217)=0),Оплаты!$D$217,"")</f>
        <v/>
      </c>
      <c r="B225" t="str">
        <f>IF(A225="","",MATCH(A225,Акты!$B$5:$B$16,0))</f>
        <v/>
      </c>
      <c r="C225" s="21" t="str">
        <f>IF(A225="","",Оплаты!$A$217+1)</f>
        <v/>
      </c>
      <c r="D225" s="21" t="str">
        <f>IF(A225="","",MIN(Ввод!$B$4,Ввод!$B$4+1-SUMPRODUCT(MAX((Оплаты!$D$6:$D$505=A225)*(Оплаты!$A$6:$A$505&gt;Оплаты!$A$217)*(Ввод!$B$4+1-Оплаты!$A$6:$A$505)))))</f>
        <v/>
      </c>
      <c r="E225" s="14" t="str">
        <f>IF(A225="","",INDEX(Акты!$D$5:$D$16,B225)-SUMIFS(Оплаты!$B$6:$B$505,Оплаты!$D$6:$D$505,A225,Оплаты!$A$6:$A$505,"&lt;="&amp;Оплаты!$A$217))</f>
        <v/>
      </c>
      <c r="F225" s="14" t="str">
        <f>IF(G225="","",SUMPRODUCT(ROUND(E225*'По дням'!$L$6:$L$155/100*((((D225+'По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дням'!$J$6:$J$155)))/2+1)/'По дням'!$M$6:$M$155,2)*(1-'По дням'!$N$6:$N$155)))</f>
        <v/>
      </c>
      <c r="G225" s="22" t="str">
        <f t="shared" si="3"/>
        <v/>
      </c>
      <c r="H225" s="14" t="str">
        <f>IF(G225="","",SUMIFS(Оплаты!$B$6:$B$505,Оплаты!$D$6:$D$505,A225,Оплаты!$A$6:$A$505,D225))</f>
        <v/>
      </c>
      <c r="I225" t="str">
        <f>IF(G225="","",SUMPRODUCT((((((D225+'По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дням'!$J$6:$J$155)))/2+1)&gt;0)*1))</f>
        <v/>
      </c>
    </row>
    <row r="226" spans="1:9" x14ac:dyDescent="0.3">
      <c r="A226" t="str">
        <f>IF(AND(Оплаты!$E$218="ок",COUNTIFS(Акты!$B$5:$B$16,Оплаты!$D$218,Акты!$H$5:$H$16,"ок")&gt;0,COUNTIFS(Оплаты!$D$6:$D$217,Оплаты!$D$218,Оплаты!$A$6:$A$217,Оплаты!$A$218)=0),Оплаты!$D$218,"")</f>
        <v/>
      </c>
      <c r="B226" t="str">
        <f>IF(A226="","",MATCH(A226,Акты!$B$5:$B$16,0))</f>
        <v/>
      </c>
      <c r="C226" s="21" t="str">
        <f>IF(A226="","",Оплаты!$A$218+1)</f>
        <v/>
      </c>
      <c r="D226" s="21" t="str">
        <f>IF(A226="","",MIN(Ввод!$B$4,Ввод!$B$4+1-SUMPRODUCT(MAX((Оплаты!$D$6:$D$505=A226)*(Оплаты!$A$6:$A$505&gt;Оплаты!$A$218)*(Ввод!$B$4+1-Оплаты!$A$6:$A$505)))))</f>
        <v/>
      </c>
      <c r="E226" s="14" t="str">
        <f>IF(A226="","",INDEX(Акты!$D$5:$D$16,B226)-SUMIFS(Оплаты!$B$6:$B$505,Оплаты!$D$6:$D$505,A226,Оплаты!$A$6:$A$505,"&lt;="&amp;Оплаты!$A$218))</f>
        <v/>
      </c>
      <c r="F226" s="14" t="str">
        <f>IF(G226="","",SUMPRODUCT(ROUND(E226*'По дням'!$L$6:$L$155/100*((((D226+'По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дням'!$J$6:$J$155)))/2+1)/'По дням'!$M$6:$M$155,2)*(1-'По дням'!$N$6:$N$155)))</f>
        <v/>
      </c>
      <c r="G226" s="22" t="str">
        <f t="shared" si="3"/>
        <v/>
      </c>
      <c r="H226" s="14" t="str">
        <f>IF(G226="","",SUMIFS(Оплаты!$B$6:$B$505,Оплаты!$D$6:$D$505,A226,Оплаты!$A$6:$A$505,D226))</f>
        <v/>
      </c>
      <c r="I226" t="str">
        <f>IF(G226="","",SUMPRODUCT((((((D226+'По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дням'!$J$6:$J$155)))/2+1)&gt;0)*1))</f>
        <v/>
      </c>
    </row>
    <row r="227" spans="1:9" x14ac:dyDescent="0.3">
      <c r="A227" t="str">
        <f>IF(AND(Оплаты!$E$219="ок",COUNTIFS(Акты!$B$5:$B$16,Оплаты!$D$219,Акты!$H$5:$H$16,"ок")&gt;0,COUNTIFS(Оплаты!$D$6:$D$218,Оплаты!$D$219,Оплаты!$A$6:$A$218,Оплаты!$A$219)=0),Оплаты!$D$219,"")</f>
        <v/>
      </c>
      <c r="B227" t="str">
        <f>IF(A227="","",MATCH(A227,Акты!$B$5:$B$16,0))</f>
        <v/>
      </c>
      <c r="C227" s="21" t="str">
        <f>IF(A227="","",Оплаты!$A$219+1)</f>
        <v/>
      </c>
      <c r="D227" s="21" t="str">
        <f>IF(A227="","",MIN(Ввод!$B$4,Ввод!$B$4+1-SUMPRODUCT(MAX((Оплаты!$D$6:$D$505=A227)*(Оплаты!$A$6:$A$505&gt;Оплаты!$A$219)*(Ввод!$B$4+1-Оплаты!$A$6:$A$505)))))</f>
        <v/>
      </c>
      <c r="E227" s="14" t="str">
        <f>IF(A227="","",INDEX(Акты!$D$5:$D$16,B227)-SUMIFS(Оплаты!$B$6:$B$505,Оплаты!$D$6:$D$505,A227,Оплаты!$A$6:$A$505,"&lt;="&amp;Оплаты!$A$219))</f>
        <v/>
      </c>
      <c r="F227" s="14" t="str">
        <f>IF(G227="","",SUMPRODUCT(ROUND(E227*'По дням'!$L$6:$L$155/100*((((D227+'По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дням'!$J$6:$J$155)))/2+1)/'По дням'!$M$6:$M$155,2)*(1-'По дням'!$N$6:$N$155)))</f>
        <v/>
      </c>
      <c r="G227" s="22" t="str">
        <f t="shared" si="3"/>
        <v/>
      </c>
      <c r="H227" s="14" t="str">
        <f>IF(G227="","",SUMIFS(Оплаты!$B$6:$B$505,Оплаты!$D$6:$D$505,A227,Оплаты!$A$6:$A$505,D227))</f>
        <v/>
      </c>
      <c r="I227" t="str">
        <f>IF(G227="","",SUMPRODUCT((((((D227+'По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дням'!$J$6:$J$155)))/2+1)&gt;0)*1))</f>
        <v/>
      </c>
    </row>
    <row r="228" spans="1:9" x14ac:dyDescent="0.3">
      <c r="A228" t="str">
        <f>IF(AND(Оплаты!$E$220="ок",COUNTIFS(Акты!$B$5:$B$16,Оплаты!$D$220,Акты!$H$5:$H$16,"ок")&gt;0,COUNTIFS(Оплаты!$D$6:$D$219,Оплаты!$D$220,Оплаты!$A$6:$A$219,Оплаты!$A$220)=0),Оплаты!$D$220,"")</f>
        <v/>
      </c>
      <c r="B228" t="str">
        <f>IF(A228="","",MATCH(A228,Акты!$B$5:$B$16,0))</f>
        <v/>
      </c>
      <c r="C228" s="21" t="str">
        <f>IF(A228="","",Оплаты!$A$220+1)</f>
        <v/>
      </c>
      <c r="D228" s="21" t="str">
        <f>IF(A228="","",MIN(Ввод!$B$4,Ввод!$B$4+1-SUMPRODUCT(MAX((Оплаты!$D$6:$D$505=A228)*(Оплаты!$A$6:$A$505&gt;Оплаты!$A$220)*(Ввод!$B$4+1-Оплаты!$A$6:$A$505)))))</f>
        <v/>
      </c>
      <c r="E228" s="14" t="str">
        <f>IF(A228="","",INDEX(Акты!$D$5:$D$16,B228)-SUMIFS(Оплаты!$B$6:$B$505,Оплаты!$D$6:$D$505,A228,Оплаты!$A$6:$A$505,"&lt;="&amp;Оплаты!$A$220))</f>
        <v/>
      </c>
      <c r="F228" s="14" t="str">
        <f>IF(G228="","",SUMPRODUCT(ROUND(E228*'По дням'!$L$6:$L$155/100*((((D228+'По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дням'!$J$6:$J$155)))/2+1)/'По дням'!$M$6:$M$155,2)*(1-'По дням'!$N$6:$N$155)))</f>
        <v/>
      </c>
      <c r="G228" s="22" t="str">
        <f t="shared" si="3"/>
        <v/>
      </c>
      <c r="H228" s="14" t="str">
        <f>IF(G228="","",SUMIFS(Оплаты!$B$6:$B$505,Оплаты!$D$6:$D$505,A228,Оплаты!$A$6:$A$505,D228))</f>
        <v/>
      </c>
      <c r="I228" t="str">
        <f>IF(G228="","",SUMPRODUCT((((((D228+'По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дням'!$J$6:$J$155)))/2+1)&gt;0)*1))</f>
        <v/>
      </c>
    </row>
    <row r="229" spans="1:9" x14ac:dyDescent="0.3">
      <c r="A229" t="str">
        <f>IF(AND(Оплаты!$E$221="ок",COUNTIFS(Акты!$B$5:$B$16,Оплаты!$D$221,Акты!$H$5:$H$16,"ок")&gt;0,COUNTIFS(Оплаты!$D$6:$D$220,Оплаты!$D$221,Оплаты!$A$6:$A$220,Оплаты!$A$221)=0),Оплаты!$D$221,"")</f>
        <v/>
      </c>
      <c r="B229" t="str">
        <f>IF(A229="","",MATCH(A229,Акты!$B$5:$B$16,0))</f>
        <v/>
      </c>
      <c r="C229" s="21" t="str">
        <f>IF(A229="","",Оплаты!$A$221+1)</f>
        <v/>
      </c>
      <c r="D229" s="21" t="str">
        <f>IF(A229="","",MIN(Ввод!$B$4,Ввод!$B$4+1-SUMPRODUCT(MAX((Оплаты!$D$6:$D$505=A229)*(Оплаты!$A$6:$A$505&gt;Оплаты!$A$221)*(Ввод!$B$4+1-Оплаты!$A$6:$A$505)))))</f>
        <v/>
      </c>
      <c r="E229" s="14" t="str">
        <f>IF(A229="","",INDEX(Акты!$D$5:$D$16,B229)-SUMIFS(Оплаты!$B$6:$B$505,Оплаты!$D$6:$D$505,A229,Оплаты!$A$6:$A$505,"&lt;="&amp;Оплаты!$A$221))</f>
        <v/>
      </c>
      <c r="F229" s="14" t="str">
        <f>IF(G229="","",SUMPRODUCT(ROUND(E229*'По дням'!$L$6:$L$155/100*((((D229+'По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дням'!$J$6:$J$155)))/2+1)/'По дням'!$M$6:$M$155,2)*(1-'По дням'!$N$6:$N$155)))</f>
        <v/>
      </c>
      <c r="G229" s="22" t="str">
        <f t="shared" si="3"/>
        <v/>
      </c>
      <c r="H229" s="14" t="str">
        <f>IF(G229="","",SUMIFS(Оплаты!$B$6:$B$505,Оплаты!$D$6:$D$505,A229,Оплаты!$A$6:$A$505,D229))</f>
        <v/>
      </c>
      <c r="I229" t="str">
        <f>IF(G229="","",SUMPRODUCT((((((D229+'По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дням'!$J$6:$J$155)))/2+1)&gt;0)*1))</f>
        <v/>
      </c>
    </row>
    <row r="230" spans="1:9" x14ac:dyDescent="0.3">
      <c r="A230" t="str">
        <f>IF(AND(Оплаты!$E$222="ок",COUNTIFS(Акты!$B$5:$B$16,Оплаты!$D$222,Акты!$H$5:$H$16,"ок")&gt;0,COUNTIFS(Оплаты!$D$6:$D$221,Оплаты!$D$222,Оплаты!$A$6:$A$221,Оплаты!$A$222)=0),Оплаты!$D$222,"")</f>
        <v/>
      </c>
      <c r="B230" t="str">
        <f>IF(A230="","",MATCH(A230,Акты!$B$5:$B$16,0))</f>
        <v/>
      </c>
      <c r="C230" s="21" t="str">
        <f>IF(A230="","",Оплаты!$A$222+1)</f>
        <v/>
      </c>
      <c r="D230" s="21" t="str">
        <f>IF(A230="","",MIN(Ввод!$B$4,Ввод!$B$4+1-SUMPRODUCT(MAX((Оплаты!$D$6:$D$505=A230)*(Оплаты!$A$6:$A$505&gt;Оплаты!$A$222)*(Ввод!$B$4+1-Оплаты!$A$6:$A$505)))))</f>
        <v/>
      </c>
      <c r="E230" s="14" t="str">
        <f>IF(A230="","",INDEX(Акты!$D$5:$D$16,B230)-SUMIFS(Оплаты!$B$6:$B$505,Оплаты!$D$6:$D$505,A230,Оплаты!$A$6:$A$505,"&lt;="&amp;Оплаты!$A$222))</f>
        <v/>
      </c>
      <c r="F230" s="14" t="str">
        <f>IF(G230="","",SUMPRODUCT(ROUND(E230*'По дням'!$L$6:$L$155/100*((((D230+'По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дням'!$J$6:$J$155)))/2+1)/'По дням'!$M$6:$M$155,2)*(1-'По дням'!$N$6:$N$155)))</f>
        <v/>
      </c>
      <c r="G230" s="22" t="str">
        <f t="shared" si="3"/>
        <v/>
      </c>
      <c r="H230" s="14" t="str">
        <f>IF(G230="","",SUMIFS(Оплаты!$B$6:$B$505,Оплаты!$D$6:$D$505,A230,Оплаты!$A$6:$A$505,D230))</f>
        <v/>
      </c>
      <c r="I230" t="str">
        <f>IF(G230="","",SUMPRODUCT((((((D230+'По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дням'!$J$6:$J$155)))/2+1)&gt;0)*1))</f>
        <v/>
      </c>
    </row>
    <row r="231" spans="1:9" x14ac:dyDescent="0.3">
      <c r="A231" t="str">
        <f>IF(AND(Оплаты!$E$223="ок",COUNTIFS(Акты!$B$5:$B$16,Оплаты!$D$223,Акты!$H$5:$H$16,"ок")&gt;0,COUNTIFS(Оплаты!$D$6:$D$222,Оплаты!$D$223,Оплаты!$A$6:$A$222,Оплаты!$A$223)=0),Оплаты!$D$223,"")</f>
        <v/>
      </c>
      <c r="B231" t="str">
        <f>IF(A231="","",MATCH(A231,Акты!$B$5:$B$16,0))</f>
        <v/>
      </c>
      <c r="C231" s="21" t="str">
        <f>IF(A231="","",Оплаты!$A$223+1)</f>
        <v/>
      </c>
      <c r="D231" s="21" t="str">
        <f>IF(A231="","",MIN(Ввод!$B$4,Ввод!$B$4+1-SUMPRODUCT(MAX((Оплаты!$D$6:$D$505=A231)*(Оплаты!$A$6:$A$505&gt;Оплаты!$A$223)*(Ввод!$B$4+1-Оплаты!$A$6:$A$505)))))</f>
        <v/>
      </c>
      <c r="E231" s="14" t="str">
        <f>IF(A231="","",INDEX(Акты!$D$5:$D$16,B231)-SUMIFS(Оплаты!$B$6:$B$505,Оплаты!$D$6:$D$505,A231,Оплаты!$A$6:$A$505,"&lt;="&amp;Оплаты!$A$223))</f>
        <v/>
      </c>
      <c r="F231" s="14" t="str">
        <f>IF(G231="","",SUMPRODUCT(ROUND(E231*'По дням'!$L$6:$L$155/100*((((D231+'По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дням'!$J$6:$J$155)))/2+1)/'По дням'!$M$6:$M$155,2)*(1-'По дням'!$N$6:$N$155)))</f>
        <v/>
      </c>
      <c r="G231" s="22" t="str">
        <f t="shared" si="3"/>
        <v/>
      </c>
      <c r="H231" s="14" t="str">
        <f>IF(G231="","",SUMIFS(Оплаты!$B$6:$B$505,Оплаты!$D$6:$D$505,A231,Оплаты!$A$6:$A$505,D231))</f>
        <v/>
      </c>
      <c r="I231" t="str">
        <f>IF(G231="","",SUMPRODUCT((((((D231+'По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дням'!$J$6:$J$155)))/2+1)&gt;0)*1))</f>
        <v/>
      </c>
    </row>
    <row r="232" spans="1:9" x14ac:dyDescent="0.3">
      <c r="A232" t="str">
        <f>IF(AND(Оплаты!$E$224="ок",COUNTIFS(Акты!$B$5:$B$16,Оплаты!$D$224,Акты!$H$5:$H$16,"ок")&gt;0,COUNTIFS(Оплаты!$D$6:$D$223,Оплаты!$D$224,Оплаты!$A$6:$A$223,Оплаты!$A$224)=0),Оплаты!$D$224,"")</f>
        <v/>
      </c>
      <c r="B232" t="str">
        <f>IF(A232="","",MATCH(A232,Акты!$B$5:$B$16,0))</f>
        <v/>
      </c>
      <c r="C232" s="21" t="str">
        <f>IF(A232="","",Оплаты!$A$224+1)</f>
        <v/>
      </c>
      <c r="D232" s="21" t="str">
        <f>IF(A232="","",MIN(Ввод!$B$4,Ввод!$B$4+1-SUMPRODUCT(MAX((Оплаты!$D$6:$D$505=A232)*(Оплаты!$A$6:$A$505&gt;Оплаты!$A$224)*(Ввод!$B$4+1-Оплаты!$A$6:$A$505)))))</f>
        <v/>
      </c>
      <c r="E232" s="14" t="str">
        <f>IF(A232="","",INDEX(Акты!$D$5:$D$16,B232)-SUMIFS(Оплаты!$B$6:$B$505,Оплаты!$D$6:$D$505,A232,Оплаты!$A$6:$A$505,"&lt;="&amp;Оплаты!$A$224))</f>
        <v/>
      </c>
      <c r="F232" s="14" t="str">
        <f>IF(G232="","",SUMPRODUCT(ROUND(E232*'По дням'!$L$6:$L$155/100*((((D232+'По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дням'!$J$6:$J$155)))/2+1)/'По дням'!$M$6:$M$155,2)*(1-'По дням'!$N$6:$N$155)))</f>
        <v/>
      </c>
      <c r="G232" s="22" t="str">
        <f t="shared" si="3"/>
        <v/>
      </c>
      <c r="H232" s="14" t="str">
        <f>IF(G232="","",SUMIFS(Оплаты!$B$6:$B$505,Оплаты!$D$6:$D$505,A232,Оплаты!$A$6:$A$505,D232))</f>
        <v/>
      </c>
      <c r="I232" t="str">
        <f>IF(G232="","",SUMPRODUCT((((((D232+'По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дням'!$J$6:$J$155)))/2+1)&gt;0)*1))</f>
        <v/>
      </c>
    </row>
    <row r="233" spans="1:9" x14ac:dyDescent="0.3">
      <c r="A233" t="str">
        <f>IF(AND(Оплаты!$E$225="ок",COUNTIFS(Акты!$B$5:$B$16,Оплаты!$D$225,Акты!$H$5:$H$16,"ок")&gt;0,COUNTIFS(Оплаты!$D$6:$D$224,Оплаты!$D$225,Оплаты!$A$6:$A$224,Оплаты!$A$225)=0),Оплаты!$D$225,"")</f>
        <v/>
      </c>
      <c r="B233" t="str">
        <f>IF(A233="","",MATCH(A233,Акты!$B$5:$B$16,0))</f>
        <v/>
      </c>
      <c r="C233" s="21" t="str">
        <f>IF(A233="","",Оплаты!$A$225+1)</f>
        <v/>
      </c>
      <c r="D233" s="21" t="str">
        <f>IF(A233="","",MIN(Ввод!$B$4,Ввод!$B$4+1-SUMPRODUCT(MAX((Оплаты!$D$6:$D$505=A233)*(Оплаты!$A$6:$A$505&gt;Оплаты!$A$225)*(Ввод!$B$4+1-Оплаты!$A$6:$A$505)))))</f>
        <v/>
      </c>
      <c r="E233" s="14" t="str">
        <f>IF(A233="","",INDEX(Акты!$D$5:$D$16,B233)-SUMIFS(Оплаты!$B$6:$B$505,Оплаты!$D$6:$D$505,A233,Оплаты!$A$6:$A$505,"&lt;="&amp;Оплаты!$A$225))</f>
        <v/>
      </c>
      <c r="F233" s="14" t="str">
        <f>IF(G233="","",SUMPRODUCT(ROUND(E233*'По дням'!$L$6:$L$155/100*((((D233+'По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дням'!$J$6:$J$155)))/2+1)/'По дням'!$M$6:$M$155,2)*(1-'По дням'!$N$6:$N$155)))</f>
        <v/>
      </c>
      <c r="G233" s="22" t="str">
        <f t="shared" si="3"/>
        <v/>
      </c>
      <c r="H233" s="14" t="str">
        <f>IF(G233="","",SUMIFS(Оплаты!$B$6:$B$505,Оплаты!$D$6:$D$505,A233,Оплаты!$A$6:$A$505,D233))</f>
        <v/>
      </c>
      <c r="I233" t="str">
        <f>IF(G233="","",SUMPRODUCT((((((D233+'По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дням'!$J$6:$J$155)))/2+1)&gt;0)*1))</f>
        <v/>
      </c>
    </row>
    <row r="234" spans="1:9" x14ac:dyDescent="0.3">
      <c r="A234" t="str">
        <f>IF(AND(Оплаты!$E$226="ок",COUNTIFS(Акты!$B$5:$B$16,Оплаты!$D$226,Акты!$H$5:$H$16,"ок")&gt;0,COUNTIFS(Оплаты!$D$6:$D$225,Оплаты!$D$226,Оплаты!$A$6:$A$225,Оплаты!$A$226)=0),Оплаты!$D$226,"")</f>
        <v/>
      </c>
      <c r="B234" t="str">
        <f>IF(A234="","",MATCH(A234,Акты!$B$5:$B$16,0))</f>
        <v/>
      </c>
      <c r="C234" s="21" t="str">
        <f>IF(A234="","",Оплаты!$A$226+1)</f>
        <v/>
      </c>
      <c r="D234" s="21" t="str">
        <f>IF(A234="","",MIN(Ввод!$B$4,Ввод!$B$4+1-SUMPRODUCT(MAX((Оплаты!$D$6:$D$505=A234)*(Оплаты!$A$6:$A$505&gt;Оплаты!$A$226)*(Ввод!$B$4+1-Оплаты!$A$6:$A$505)))))</f>
        <v/>
      </c>
      <c r="E234" s="14" t="str">
        <f>IF(A234="","",INDEX(Акты!$D$5:$D$16,B234)-SUMIFS(Оплаты!$B$6:$B$505,Оплаты!$D$6:$D$505,A234,Оплаты!$A$6:$A$505,"&lt;="&amp;Оплаты!$A$226))</f>
        <v/>
      </c>
      <c r="F234" s="14" t="str">
        <f>IF(G234="","",SUMPRODUCT(ROUND(E234*'По дням'!$L$6:$L$155/100*((((D234+'По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дням'!$J$6:$J$155)))/2+1)/'По дням'!$M$6:$M$155,2)*(1-'По дням'!$N$6:$N$155)))</f>
        <v/>
      </c>
      <c r="G234" s="22" t="str">
        <f t="shared" si="3"/>
        <v/>
      </c>
      <c r="H234" s="14" t="str">
        <f>IF(G234="","",SUMIFS(Оплаты!$B$6:$B$505,Оплаты!$D$6:$D$505,A234,Оплаты!$A$6:$A$505,D234))</f>
        <v/>
      </c>
      <c r="I234" t="str">
        <f>IF(G234="","",SUMPRODUCT((((((D234+'По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дням'!$J$6:$J$155)))/2+1)&gt;0)*1))</f>
        <v/>
      </c>
    </row>
    <row r="235" spans="1:9" x14ac:dyDescent="0.3">
      <c r="A235" t="str">
        <f>IF(AND(Оплаты!$E$227="ок",COUNTIFS(Акты!$B$5:$B$16,Оплаты!$D$227,Акты!$H$5:$H$16,"ок")&gt;0,COUNTIFS(Оплаты!$D$6:$D$226,Оплаты!$D$227,Оплаты!$A$6:$A$226,Оплаты!$A$227)=0),Оплаты!$D$227,"")</f>
        <v/>
      </c>
      <c r="B235" t="str">
        <f>IF(A235="","",MATCH(A235,Акты!$B$5:$B$16,0))</f>
        <v/>
      </c>
      <c r="C235" s="21" t="str">
        <f>IF(A235="","",Оплаты!$A$227+1)</f>
        <v/>
      </c>
      <c r="D235" s="21" t="str">
        <f>IF(A235="","",MIN(Ввод!$B$4,Ввод!$B$4+1-SUMPRODUCT(MAX((Оплаты!$D$6:$D$505=A235)*(Оплаты!$A$6:$A$505&gt;Оплаты!$A$227)*(Ввод!$B$4+1-Оплаты!$A$6:$A$505)))))</f>
        <v/>
      </c>
      <c r="E235" s="14" t="str">
        <f>IF(A235="","",INDEX(Акты!$D$5:$D$16,B235)-SUMIFS(Оплаты!$B$6:$B$505,Оплаты!$D$6:$D$505,A235,Оплаты!$A$6:$A$505,"&lt;="&amp;Оплаты!$A$227))</f>
        <v/>
      </c>
      <c r="F235" s="14" t="str">
        <f>IF(G235="","",SUMPRODUCT(ROUND(E235*'По дням'!$L$6:$L$155/100*((((D235+'По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дням'!$J$6:$J$155)))/2+1)/'По дням'!$M$6:$M$155,2)*(1-'По дням'!$N$6:$N$155)))</f>
        <v/>
      </c>
      <c r="G235" s="22" t="str">
        <f t="shared" si="3"/>
        <v/>
      </c>
      <c r="H235" s="14" t="str">
        <f>IF(G235="","",SUMIFS(Оплаты!$B$6:$B$505,Оплаты!$D$6:$D$505,A235,Оплаты!$A$6:$A$505,D235))</f>
        <v/>
      </c>
      <c r="I235" t="str">
        <f>IF(G235="","",SUMPRODUCT((((((D235+'По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дням'!$J$6:$J$155)))/2+1)&gt;0)*1))</f>
        <v/>
      </c>
    </row>
    <row r="236" spans="1:9" x14ac:dyDescent="0.3">
      <c r="A236" t="str">
        <f>IF(AND(Оплаты!$E$228="ок",COUNTIFS(Акты!$B$5:$B$16,Оплаты!$D$228,Акты!$H$5:$H$16,"ок")&gt;0,COUNTIFS(Оплаты!$D$6:$D$227,Оплаты!$D$228,Оплаты!$A$6:$A$227,Оплаты!$A$228)=0),Оплаты!$D$228,"")</f>
        <v/>
      </c>
      <c r="B236" t="str">
        <f>IF(A236="","",MATCH(A236,Акты!$B$5:$B$16,0))</f>
        <v/>
      </c>
      <c r="C236" s="21" t="str">
        <f>IF(A236="","",Оплаты!$A$228+1)</f>
        <v/>
      </c>
      <c r="D236" s="21" t="str">
        <f>IF(A236="","",MIN(Ввод!$B$4,Ввод!$B$4+1-SUMPRODUCT(MAX((Оплаты!$D$6:$D$505=A236)*(Оплаты!$A$6:$A$505&gt;Оплаты!$A$228)*(Ввод!$B$4+1-Оплаты!$A$6:$A$505)))))</f>
        <v/>
      </c>
      <c r="E236" s="14" t="str">
        <f>IF(A236="","",INDEX(Акты!$D$5:$D$16,B236)-SUMIFS(Оплаты!$B$6:$B$505,Оплаты!$D$6:$D$505,A236,Оплаты!$A$6:$A$505,"&lt;="&amp;Оплаты!$A$228))</f>
        <v/>
      </c>
      <c r="F236" s="14" t="str">
        <f>IF(G236="","",SUMPRODUCT(ROUND(E236*'По дням'!$L$6:$L$155/100*((((D236+'По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дням'!$J$6:$J$155)))/2+1)/'По дням'!$M$6:$M$155,2)*(1-'По дням'!$N$6:$N$155)))</f>
        <v/>
      </c>
      <c r="G236" s="22" t="str">
        <f t="shared" si="3"/>
        <v/>
      </c>
      <c r="H236" s="14" t="str">
        <f>IF(G236="","",SUMIFS(Оплаты!$B$6:$B$505,Оплаты!$D$6:$D$505,A236,Оплаты!$A$6:$A$505,D236))</f>
        <v/>
      </c>
      <c r="I236" t="str">
        <f>IF(G236="","",SUMPRODUCT((((((D236+'По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дням'!$J$6:$J$155)))/2+1)&gt;0)*1))</f>
        <v/>
      </c>
    </row>
    <row r="237" spans="1:9" x14ac:dyDescent="0.3">
      <c r="A237" t="str">
        <f>IF(AND(Оплаты!$E$229="ок",COUNTIFS(Акты!$B$5:$B$16,Оплаты!$D$229,Акты!$H$5:$H$16,"ок")&gt;0,COUNTIFS(Оплаты!$D$6:$D$228,Оплаты!$D$229,Оплаты!$A$6:$A$228,Оплаты!$A$229)=0),Оплаты!$D$229,"")</f>
        <v/>
      </c>
      <c r="B237" t="str">
        <f>IF(A237="","",MATCH(A237,Акты!$B$5:$B$16,0))</f>
        <v/>
      </c>
      <c r="C237" s="21" t="str">
        <f>IF(A237="","",Оплаты!$A$229+1)</f>
        <v/>
      </c>
      <c r="D237" s="21" t="str">
        <f>IF(A237="","",MIN(Ввод!$B$4,Ввод!$B$4+1-SUMPRODUCT(MAX((Оплаты!$D$6:$D$505=A237)*(Оплаты!$A$6:$A$505&gt;Оплаты!$A$229)*(Ввод!$B$4+1-Оплаты!$A$6:$A$505)))))</f>
        <v/>
      </c>
      <c r="E237" s="14" t="str">
        <f>IF(A237="","",INDEX(Акты!$D$5:$D$16,B237)-SUMIFS(Оплаты!$B$6:$B$505,Оплаты!$D$6:$D$505,A237,Оплаты!$A$6:$A$505,"&lt;="&amp;Оплаты!$A$229))</f>
        <v/>
      </c>
      <c r="F237" s="14" t="str">
        <f>IF(G237="","",SUMPRODUCT(ROUND(E237*'По дням'!$L$6:$L$155/100*((((D237+'По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дням'!$J$6:$J$155)))/2+1)/'По дням'!$M$6:$M$155,2)*(1-'По дням'!$N$6:$N$155)))</f>
        <v/>
      </c>
      <c r="G237" s="22" t="str">
        <f t="shared" si="3"/>
        <v/>
      </c>
      <c r="H237" s="14" t="str">
        <f>IF(G237="","",SUMIFS(Оплаты!$B$6:$B$505,Оплаты!$D$6:$D$505,A237,Оплаты!$A$6:$A$505,D237))</f>
        <v/>
      </c>
      <c r="I237" t="str">
        <f>IF(G237="","",SUMPRODUCT((((((D237+'По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дням'!$J$6:$J$155)))/2+1)&gt;0)*1))</f>
        <v/>
      </c>
    </row>
    <row r="238" spans="1:9" x14ac:dyDescent="0.3">
      <c r="A238" t="str">
        <f>IF(AND(Оплаты!$E$230="ок",COUNTIFS(Акты!$B$5:$B$16,Оплаты!$D$230,Акты!$H$5:$H$16,"ок")&gt;0,COUNTIFS(Оплаты!$D$6:$D$229,Оплаты!$D$230,Оплаты!$A$6:$A$229,Оплаты!$A$230)=0),Оплаты!$D$230,"")</f>
        <v/>
      </c>
      <c r="B238" t="str">
        <f>IF(A238="","",MATCH(A238,Акты!$B$5:$B$16,0))</f>
        <v/>
      </c>
      <c r="C238" s="21" t="str">
        <f>IF(A238="","",Оплаты!$A$230+1)</f>
        <v/>
      </c>
      <c r="D238" s="21" t="str">
        <f>IF(A238="","",MIN(Ввод!$B$4,Ввод!$B$4+1-SUMPRODUCT(MAX((Оплаты!$D$6:$D$505=A238)*(Оплаты!$A$6:$A$505&gt;Оплаты!$A$230)*(Ввод!$B$4+1-Оплаты!$A$6:$A$505)))))</f>
        <v/>
      </c>
      <c r="E238" s="14" t="str">
        <f>IF(A238="","",INDEX(Акты!$D$5:$D$16,B238)-SUMIFS(Оплаты!$B$6:$B$505,Оплаты!$D$6:$D$505,A238,Оплаты!$A$6:$A$505,"&lt;="&amp;Оплаты!$A$230))</f>
        <v/>
      </c>
      <c r="F238" s="14" t="str">
        <f>IF(G238="","",SUMPRODUCT(ROUND(E238*'По дням'!$L$6:$L$155/100*((((D238+'По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дням'!$J$6:$J$155)))/2+1)/'По дням'!$M$6:$M$155,2)*(1-'По дням'!$N$6:$N$155)))</f>
        <v/>
      </c>
      <c r="G238" s="22" t="str">
        <f t="shared" si="3"/>
        <v/>
      </c>
      <c r="H238" s="14" t="str">
        <f>IF(G238="","",SUMIFS(Оплаты!$B$6:$B$505,Оплаты!$D$6:$D$505,A238,Оплаты!$A$6:$A$505,D238))</f>
        <v/>
      </c>
      <c r="I238" t="str">
        <f>IF(G238="","",SUMPRODUCT((((((D238+'По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дням'!$J$6:$J$155)))/2+1)&gt;0)*1))</f>
        <v/>
      </c>
    </row>
    <row r="239" spans="1:9" x14ac:dyDescent="0.3">
      <c r="A239" t="str">
        <f>IF(AND(Оплаты!$E$231="ок",COUNTIFS(Акты!$B$5:$B$16,Оплаты!$D$231,Акты!$H$5:$H$16,"ок")&gt;0,COUNTIFS(Оплаты!$D$6:$D$230,Оплаты!$D$231,Оплаты!$A$6:$A$230,Оплаты!$A$231)=0),Оплаты!$D$231,"")</f>
        <v/>
      </c>
      <c r="B239" t="str">
        <f>IF(A239="","",MATCH(A239,Акты!$B$5:$B$16,0))</f>
        <v/>
      </c>
      <c r="C239" s="21" t="str">
        <f>IF(A239="","",Оплаты!$A$231+1)</f>
        <v/>
      </c>
      <c r="D239" s="21" t="str">
        <f>IF(A239="","",MIN(Ввод!$B$4,Ввод!$B$4+1-SUMPRODUCT(MAX((Оплаты!$D$6:$D$505=A239)*(Оплаты!$A$6:$A$505&gt;Оплаты!$A$231)*(Ввод!$B$4+1-Оплаты!$A$6:$A$505)))))</f>
        <v/>
      </c>
      <c r="E239" s="14" t="str">
        <f>IF(A239="","",INDEX(Акты!$D$5:$D$16,B239)-SUMIFS(Оплаты!$B$6:$B$505,Оплаты!$D$6:$D$505,A239,Оплаты!$A$6:$A$505,"&lt;="&amp;Оплаты!$A$231))</f>
        <v/>
      </c>
      <c r="F239" s="14" t="str">
        <f>IF(G239="","",SUMPRODUCT(ROUND(E239*'По дням'!$L$6:$L$155/100*((((D239+'По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дням'!$J$6:$J$155)))/2+1)/'По дням'!$M$6:$M$155,2)*(1-'По дням'!$N$6:$N$155)))</f>
        <v/>
      </c>
      <c r="G239" s="22" t="str">
        <f t="shared" si="3"/>
        <v/>
      </c>
      <c r="H239" s="14" t="str">
        <f>IF(G239="","",SUMIFS(Оплаты!$B$6:$B$505,Оплаты!$D$6:$D$505,A239,Оплаты!$A$6:$A$505,D239))</f>
        <v/>
      </c>
      <c r="I239" t="str">
        <f>IF(G239="","",SUMPRODUCT((((((D239+'По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дням'!$J$6:$J$155)))/2+1)&gt;0)*1))</f>
        <v/>
      </c>
    </row>
    <row r="240" spans="1:9" x14ac:dyDescent="0.3">
      <c r="A240" t="str">
        <f>IF(AND(Оплаты!$E$232="ок",COUNTIFS(Акты!$B$5:$B$16,Оплаты!$D$232,Акты!$H$5:$H$16,"ок")&gt;0,COUNTIFS(Оплаты!$D$6:$D$231,Оплаты!$D$232,Оплаты!$A$6:$A$231,Оплаты!$A$232)=0),Оплаты!$D$232,"")</f>
        <v/>
      </c>
      <c r="B240" t="str">
        <f>IF(A240="","",MATCH(A240,Акты!$B$5:$B$16,0))</f>
        <v/>
      </c>
      <c r="C240" s="21" t="str">
        <f>IF(A240="","",Оплаты!$A$232+1)</f>
        <v/>
      </c>
      <c r="D240" s="21" t="str">
        <f>IF(A240="","",MIN(Ввод!$B$4,Ввод!$B$4+1-SUMPRODUCT(MAX((Оплаты!$D$6:$D$505=A240)*(Оплаты!$A$6:$A$505&gt;Оплаты!$A$232)*(Ввод!$B$4+1-Оплаты!$A$6:$A$505)))))</f>
        <v/>
      </c>
      <c r="E240" s="14" t="str">
        <f>IF(A240="","",INDEX(Акты!$D$5:$D$16,B240)-SUMIFS(Оплаты!$B$6:$B$505,Оплаты!$D$6:$D$505,A240,Оплаты!$A$6:$A$505,"&lt;="&amp;Оплаты!$A$232))</f>
        <v/>
      </c>
      <c r="F240" s="14" t="str">
        <f>IF(G240="","",SUMPRODUCT(ROUND(E240*'По дням'!$L$6:$L$155/100*((((D240+'По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дням'!$J$6:$J$155)))/2+1)/'По дням'!$M$6:$M$155,2)*(1-'По дням'!$N$6:$N$155)))</f>
        <v/>
      </c>
      <c r="G240" s="22" t="str">
        <f t="shared" si="3"/>
        <v/>
      </c>
      <c r="H240" s="14" t="str">
        <f>IF(G240="","",SUMIFS(Оплаты!$B$6:$B$505,Оплаты!$D$6:$D$505,A240,Оплаты!$A$6:$A$505,D240))</f>
        <v/>
      </c>
      <c r="I240" t="str">
        <f>IF(G240="","",SUMPRODUCT((((((D240+'По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дням'!$J$6:$J$155)))/2+1)&gt;0)*1))</f>
        <v/>
      </c>
    </row>
    <row r="241" spans="1:9" x14ac:dyDescent="0.3">
      <c r="A241" t="str">
        <f>IF(AND(Оплаты!$E$233="ок",COUNTIFS(Акты!$B$5:$B$16,Оплаты!$D$233,Акты!$H$5:$H$16,"ок")&gt;0,COUNTIFS(Оплаты!$D$6:$D$232,Оплаты!$D$233,Оплаты!$A$6:$A$232,Оплаты!$A$233)=0),Оплаты!$D$233,"")</f>
        <v/>
      </c>
      <c r="B241" t="str">
        <f>IF(A241="","",MATCH(A241,Акты!$B$5:$B$16,0))</f>
        <v/>
      </c>
      <c r="C241" s="21" t="str">
        <f>IF(A241="","",Оплаты!$A$233+1)</f>
        <v/>
      </c>
      <c r="D241" s="21" t="str">
        <f>IF(A241="","",MIN(Ввод!$B$4,Ввод!$B$4+1-SUMPRODUCT(MAX((Оплаты!$D$6:$D$505=A241)*(Оплаты!$A$6:$A$505&gt;Оплаты!$A$233)*(Ввод!$B$4+1-Оплаты!$A$6:$A$505)))))</f>
        <v/>
      </c>
      <c r="E241" s="14" t="str">
        <f>IF(A241="","",INDEX(Акты!$D$5:$D$16,B241)-SUMIFS(Оплаты!$B$6:$B$505,Оплаты!$D$6:$D$505,A241,Оплаты!$A$6:$A$505,"&lt;="&amp;Оплаты!$A$233))</f>
        <v/>
      </c>
      <c r="F241" s="14" t="str">
        <f>IF(G241="","",SUMPRODUCT(ROUND(E241*'По дням'!$L$6:$L$155/100*((((D241+'По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дням'!$J$6:$J$155)))/2+1)/'По дням'!$M$6:$M$155,2)*(1-'По дням'!$N$6:$N$155)))</f>
        <v/>
      </c>
      <c r="G241" s="22" t="str">
        <f t="shared" si="3"/>
        <v/>
      </c>
      <c r="H241" s="14" t="str">
        <f>IF(G241="","",SUMIFS(Оплаты!$B$6:$B$505,Оплаты!$D$6:$D$505,A241,Оплаты!$A$6:$A$505,D241))</f>
        <v/>
      </c>
      <c r="I241" t="str">
        <f>IF(G241="","",SUMPRODUCT((((((D241+'По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дням'!$J$6:$J$155)))/2+1)&gt;0)*1))</f>
        <v/>
      </c>
    </row>
    <row r="242" spans="1:9" x14ac:dyDescent="0.3">
      <c r="A242" t="str">
        <f>IF(AND(Оплаты!$E$234="ок",COUNTIFS(Акты!$B$5:$B$16,Оплаты!$D$234,Акты!$H$5:$H$16,"ок")&gt;0,COUNTIFS(Оплаты!$D$6:$D$233,Оплаты!$D$234,Оплаты!$A$6:$A$233,Оплаты!$A$234)=0),Оплаты!$D$234,"")</f>
        <v/>
      </c>
      <c r="B242" t="str">
        <f>IF(A242="","",MATCH(A242,Акты!$B$5:$B$16,0))</f>
        <v/>
      </c>
      <c r="C242" s="21" t="str">
        <f>IF(A242="","",Оплаты!$A$234+1)</f>
        <v/>
      </c>
      <c r="D242" s="21" t="str">
        <f>IF(A242="","",MIN(Ввод!$B$4,Ввод!$B$4+1-SUMPRODUCT(MAX((Оплаты!$D$6:$D$505=A242)*(Оплаты!$A$6:$A$505&gt;Оплаты!$A$234)*(Ввод!$B$4+1-Оплаты!$A$6:$A$505)))))</f>
        <v/>
      </c>
      <c r="E242" s="14" t="str">
        <f>IF(A242="","",INDEX(Акты!$D$5:$D$16,B242)-SUMIFS(Оплаты!$B$6:$B$505,Оплаты!$D$6:$D$505,A242,Оплаты!$A$6:$A$505,"&lt;="&amp;Оплаты!$A$234))</f>
        <v/>
      </c>
      <c r="F242" s="14" t="str">
        <f>IF(G242="","",SUMPRODUCT(ROUND(E242*'По дням'!$L$6:$L$155/100*((((D242+'По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дням'!$J$6:$J$155)))/2+1)/'По дням'!$M$6:$M$155,2)*(1-'По дням'!$N$6:$N$155)))</f>
        <v/>
      </c>
      <c r="G242" s="22" t="str">
        <f t="shared" si="3"/>
        <v/>
      </c>
      <c r="H242" s="14" t="str">
        <f>IF(G242="","",SUMIFS(Оплаты!$B$6:$B$505,Оплаты!$D$6:$D$505,A242,Оплаты!$A$6:$A$505,D242))</f>
        <v/>
      </c>
      <c r="I242" t="str">
        <f>IF(G242="","",SUMPRODUCT((((((D242+'По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дням'!$J$6:$J$155)))/2+1)&gt;0)*1))</f>
        <v/>
      </c>
    </row>
    <row r="243" spans="1:9" x14ac:dyDescent="0.3">
      <c r="A243" t="str">
        <f>IF(AND(Оплаты!$E$235="ок",COUNTIFS(Акты!$B$5:$B$16,Оплаты!$D$235,Акты!$H$5:$H$16,"ок")&gt;0,COUNTIFS(Оплаты!$D$6:$D$234,Оплаты!$D$235,Оплаты!$A$6:$A$234,Оплаты!$A$235)=0),Оплаты!$D$235,"")</f>
        <v/>
      </c>
      <c r="B243" t="str">
        <f>IF(A243="","",MATCH(A243,Акты!$B$5:$B$16,0))</f>
        <v/>
      </c>
      <c r="C243" s="21" t="str">
        <f>IF(A243="","",Оплаты!$A$235+1)</f>
        <v/>
      </c>
      <c r="D243" s="21" t="str">
        <f>IF(A243="","",MIN(Ввод!$B$4,Ввод!$B$4+1-SUMPRODUCT(MAX((Оплаты!$D$6:$D$505=A243)*(Оплаты!$A$6:$A$505&gt;Оплаты!$A$235)*(Ввод!$B$4+1-Оплаты!$A$6:$A$505)))))</f>
        <v/>
      </c>
      <c r="E243" s="14" t="str">
        <f>IF(A243="","",INDEX(Акты!$D$5:$D$16,B243)-SUMIFS(Оплаты!$B$6:$B$505,Оплаты!$D$6:$D$505,A243,Оплаты!$A$6:$A$505,"&lt;="&amp;Оплаты!$A$235))</f>
        <v/>
      </c>
      <c r="F243" s="14" t="str">
        <f>IF(G243="","",SUMPRODUCT(ROUND(E243*'По дням'!$L$6:$L$155/100*((((D243+'По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дням'!$J$6:$J$155)))/2+1)/'По дням'!$M$6:$M$155,2)*(1-'По дням'!$N$6:$N$155)))</f>
        <v/>
      </c>
      <c r="G243" s="22" t="str">
        <f t="shared" si="3"/>
        <v/>
      </c>
      <c r="H243" s="14" t="str">
        <f>IF(G243="","",SUMIFS(Оплаты!$B$6:$B$505,Оплаты!$D$6:$D$505,A243,Оплаты!$A$6:$A$505,D243))</f>
        <v/>
      </c>
      <c r="I243" t="str">
        <f>IF(G243="","",SUMPRODUCT((((((D243+'По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дням'!$J$6:$J$155)))/2+1)&gt;0)*1))</f>
        <v/>
      </c>
    </row>
    <row r="244" spans="1:9" x14ac:dyDescent="0.3">
      <c r="A244" t="str">
        <f>IF(AND(Оплаты!$E$236="ок",COUNTIFS(Акты!$B$5:$B$16,Оплаты!$D$236,Акты!$H$5:$H$16,"ок")&gt;0,COUNTIFS(Оплаты!$D$6:$D$235,Оплаты!$D$236,Оплаты!$A$6:$A$235,Оплаты!$A$236)=0),Оплаты!$D$236,"")</f>
        <v/>
      </c>
      <c r="B244" t="str">
        <f>IF(A244="","",MATCH(A244,Акты!$B$5:$B$16,0))</f>
        <v/>
      </c>
      <c r="C244" s="21" t="str">
        <f>IF(A244="","",Оплаты!$A$236+1)</f>
        <v/>
      </c>
      <c r="D244" s="21" t="str">
        <f>IF(A244="","",MIN(Ввод!$B$4,Ввод!$B$4+1-SUMPRODUCT(MAX((Оплаты!$D$6:$D$505=A244)*(Оплаты!$A$6:$A$505&gt;Оплаты!$A$236)*(Ввод!$B$4+1-Оплаты!$A$6:$A$505)))))</f>
        <v/>
      </c>
      <c r="E244" s="14" t="str">
        <f>IF(A244="","",INDEX(Акты!$D$5:$D$16,B244)-SUMIFS(Оплаты!$B$6:$B$505,Оплаты!$D$6:$D$505,A244,Оплаты!$A$6:$A$505,"&lt;="&amp;Оплаты!$A$236))</f>
        <v/>
      </c>
      <c r="F244" s="14" t="str">
        <f>IF(G244="","",SUMPRODUCT(ROUND(E244*'По дням'!$L$6:$L$155/100*((((D244+'По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дням'!$J$6:$J$155)))/2+1)/'По дням'!$M$6:$M$155,2)*(1-'По дням'!$N$6:$N$155)))</f>
        <v/>
      </c>
      <c r="G244" s="22" t="str">
        <f t="shared" si="3"/>
        <v/>
      </c>
      <c r="H244" s="14" t="str">
        <f>IF(G244="","",SUMIFS(Оплаты!$B$6:$B$505,Оплаты!$D$6:$D$505,A244,Оплаты!$A$6:$A$505,D244))</f>
        <v/>
      </c>
      <c r="I244" t="str">
        <f>IF(G244="","",SUMPRODUCT((((((D244+'По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дням'!$J$6:$J$155)))/2+1)&gt;0)*1))</f>
        <v/>
      </c>
    </row>
    <row r="245" spans="1:9" x14ac:dyDescent="0.3">
      <c r="A245" t="str">
        <f>IF(AND(Оплаты!$E$237="ок",COUNTIFS(Акты!$B$5:$B$16,Оплаты!$D$237,Акты!$H$5:$H$16,"ок")&gt;0,COUNTIFS(Оплаты!$D$6:$D$236,Оплаты!$D$237,Оплаты!$A$6:$A$236,Оплаты!$A$237)=0),Оплаты!$D$237,"")</f>
        <v/>
      </c>
      <c r="B245" t="str">
        <f>IF(A245="","",MATCH(A245,Акты!$B$5:$B$16,0))</f>
        <v/>
      </c>
      <c r="C245" s="21" t="str">
        <f>IF(A245="","",Оплаты!$A$237+1)</f>
        <v/>
      </c>
      <c r="D245" s="21" t="str">
        <f>IF(A245="","",MIN(Ввод!$B$4,Ввод!$B$4+1-SUMPRODUCT(MAX((Оплаты!$D$6:$D$505=A245)*(Оплаты!$A$6:$A$505&gt;Оплаты!$A$237)*(Ввод!$B$4+1-Оплаты!$A$6:$A$505)))))</f>
        <v/>
      </c>
      <c r="E245" s="14" t="str">
        <f>IF(A245="","",INDEX(Акты!$D$5:$D$16,B245)-SUMIFS(Оплаты!$B$6:$B$505,Оплаты!$D$6:$D$505,A245,Оплаты!$A$6:$A$505,"&lt;="&amp;Оплаты!$A$237))</f>
        <v/>
      </c>
      <c r="F245" s="14" t="str">
        <f>IF(G245="","",SUMPRODUCT(ROUND(E245*'По дням'!$L$6:$L$155/100*((((D245+'По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дням'!$J$6:$J$155)))/2+1)/'По дням'!$M$6:$M$155,2)*(1-'По дням'!$N$6:$N$155)))</f>
        <v/>
      </c>
      <c r="G245" s="22" t="str">
        <f t="shared" si="3"/>
        <v/>
      </c>
      <c r="H245" s="14" t="str">
        <f>IF(G245="","",SUMIFS(Оплаты!$B$6:$B$505,Оплаты!$D$6:$D$505,A245,Оплаты!$A$6:$A$505,D245))</f>
        <v/>
      </c>
      <c r="I245" t="str">
        <f>IF(G245="","",SUMPRODUCT((((((D245+'По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дням'!$J$6:$J$155)))/2+1)&gt;0)*1))</f>
        <v/>
      </c>
    </row>
    <row r="246" spans="1:9" x14ac:dyDescent="0.3">
      <c r="A246" t="str">
        <f>IF(AND(Оплаты!$E$238="ок",COUNTIFS(Акты!$B$5:$B$16,Оплаты!$D$238,Акты!$H$5:$H$16,"ок")&gt;0,COUNTIFS(Оплаты!$D$6:$D$237,Оплаты!$D$238,Оплаты!$A$6:$A$237,Оплаты!$A$238)=0),Оплаты!$D$238,"")</f>
        <v/>
      </c>
      <c r="B246" t="str">
        <f>IF(A246="","",MATCH(A246,Акты!$B$5:$B$16,0))</f>
        <v/>
      </c>
      <c r="C246" s="21" t="str">
        <f>IF(A246="","",Оплаты!$A$238+1)</f>
        <v/>
      </c>
      <c r="D246" s="21" t="str">
        <f>IF(A246="","",MIN(Ввод!$B$4,Ввод!$B$4+1-SUMPRODUCT(MAX((Оплаты!$D$6:$D$505=A246)*(Оплаты!$A$6:$A$505&gt;Оплаты!$A$238)*(Ввод!$B$4+1-Оплаты!$A$6:$A$505)))))</f>
        <v/>
      </c>
      <c r="E246" s="14" t="str">
        <f>IF(A246="","",INDEX(Акты!$D$5:$D$16,B246)-SUMIFS(Оплаты!$B$6:$B$505,Оплаты!$D$6:$D$505,A246,Оплаты!$A$6:$A$505,"&lt;="&amp;Оплаты!$A$238))</f>
        <v/>
      </c>
      <c r="F246" s="14" t="str">
        <f>IF(G246="","",SUMPRODUCT(ROUND(E246*'По дням'!$L$6:$L$155/100*((((D246+'По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дням'!$J$6:$J$155)))/2+1)/'По дням'!$M$6:$M$155,2)*(1-'По дням'!$N$6:$N$155)))</f>
        <v/>
      </c>
      <c r="G246" s="22" t="str">
        <f t="shared" si="3"/>
        <v/>
      </c>
      <c r="H246" s="14" t="str">
        <f>IF(G246="","",SUMIFS(Оплаты!$B$6:$B$505,Оплаты!$D$6:$D$505,A246,Оплаты!$A$6:$A$505,D246))</f>
        <v/>
      </c>
      <c r="I246" t="str">
        <f>IF(G246="","",SUMPRODUCT((((((D246+'По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дням'!$J$6:$J$155)))/2+1)&gt;0)*1))</f>
        <v/>
      </c>
    </row>
    <row r="247" spans="1:9" x14ac:dyDescent="0.3">
      <c r="A247" t="str">
        <f>IF(AND(Оплаты!$E$239="ок",COUNTIFS(Акты!$B$5:$B$16,Оплаты!$D$239,Акты!$H$5:$H$16,"ок")&gt;0,COUNTIFS(Оплаты!$D$6:$D$238,Оплаты!$D$239,Оплаты!$A$6:$A$238,Оплаты!$A$239)=0),Оплаты!$D$239,"")</f>
        <v/>
      </c>
      <c r="B247" t="str">
        <f>IF(A247="","",MATCH(A247,Акты!$B$5:$B$16,0))</f>
        <v/>
      </c>
      <c r="C247" s="21" t="str">
        <f>IF(A247="","",Оплаты!$A$239+1)</f>
        <v/>
      </c>
      <c r="D247" s="21" t="str">
        <f>IF(A247="","",MIN(Ввод!$B$4,Ввод!$B$4+1-SUMPRODUCT(MAX((Оплаты!$D$6:$D$505=A247)*(Оплаты!$A$6:$A$505&gt;Оплаты!$A$239)*(Ввод!$B$4+1-Оплаты!$A$6:$A$505)))))</f>
        <v/>
      </c>
      <c r="E247" s="14" t="str">
        <f>IF(A247="","",INDEX(Акты!$D$5:$D$16,B247)-SUMIFS(Оплаты!$B$6:$B$505,Оплаты!$D$6:$D$505,A247,Оплаты!$A$6:$A$505,"&lt;="&amp;Оплаты!$A$239))</f>
        <v/>
      </c>
      <c r="F247" s="14" t="str">
        <f>IF(G247="","",SUMPRODUCT(ROUND(E247*'По дням'!$L$6:$L$155/100*((((D247+'По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дням'!$J$6:$J$155)))/2+1)/'По дням'!$M$6:$M$155,2)*(1-'По дням'!$N$6:$N$155)))</f>
        <v/>
      </c>
      <c r="G247" s="22" t="str">
        <f t="shared" si="3"/>
        <v/>
      </c>
      <c r="H247" s="14" t="str">
        <f>IF(G247="","",SUMIFS(Оплаты!$B$6:$B$505,Оплаты!$D$6:$D$505,A247,Оплаты!$A$6:$A$505,D247))</f>
        <v/>
      </c>
      <c r="I247" t="str">
        <f>IF(G247="","",SUMPRODUCT((((((D247+'По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дням'!$J$6:$J$155)))/2+1)&gt;0)*1))</f>
        <v/>
      </c>
    </row>
    <row r="248" spans="1:9" x14ac:dyDescent="0.3">
      <c r="A248" t="str">
        <f>IF(AND(Оплаты!$E$240="ок",COUNTIFS(Акты!$B$5:$B$16,Оплаты!$D$240,Акты!$H$5:$H$16,"ок")&gt;0,COUNTIFS(Оплаты!$D$6:$D$239,Оплаты!$D$240,Оплаты!$A$6:$A$239,Оплаты!$A$240)=0),Оплаты!$D$240,"")</f>
        <v/>
      </c>
      <c r="B248" t="str">
        <f>IF(A248="","",MATCH(A248,Акты!$B$5:$B$16,0))</f>
        <v/>
      </c>
      <c r="C248" s="21" t="str">
        <f>IF(A248="","",Оплаты!$A$240+1)</f>
        <v/>
      </c>
      <c r="D248" s="21" t="str">
        <f>IF(A248="","",MIN(Ввод!$B$4,Ввод!$B$4+1-SUMPRODUCT(MAX((Оплаты!$D$6:$D$505=A248)*(Оплаты!$A$6:$A$505&gt;Оплаты!$A$240)*(Ввод!$B$4+1-Оплаты!$A$6:$A$505)))))</f>
        <v/>
      </c>
      <c r="E248" s="14" t="str">
        <f>IF(A248="","",INDEX(Акты!$D$5:$D$16,B248)-SUMIFS(Оплаты!$B$6:$B$505,Оплаты!$D$6:$D$505,A248,Оплаты!$A$6:$A$505,"&lt;="&amp;Оплаты!$A$240))</f>
        <v/>
      </c>
      <c r="F248" s="14" t="str">
        <f>IF(G248="","",SUMPRODUCT(ROUND(E248*'По дням'!$L$6:$L$155/100*((((D248+'По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дням'!$J$6:$J$155)))/2+1)/'По дням'!$M$6:$M$155,2)*(1-'По дням'!$N$6:$N$155)))</f>
        <v/>
      </c>
      <c r="G248" s="22" t="str">
        <f t="shared" si="3"/>
        <v/>
      </c>
      <c r="H248" s="14" t="str">
        <f>IF(G248="","",SUMIFS(Оплаты!$B$6:$B$505,Оплаты!$D$6:$D$505,A248,Оплаты!$A$6:$A$505,D248))</f>
        <v/>
      </c>
      <c r="I248" t="str">
        <f>IF(G248="","",SUMPRODUCT((((((D248+'По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дням'!$J$6:$J$155)))/2+1)&gt;0)*1))</f>
        <v/>
      </c>
    </row>
    <row r="249" spans="1:9" x14ac:dyDescent="0.3">
      <c r="A249" t="str">
        <f>IF(AND(Оплаты!$E$241="ок",COUNTIFS(Акты!$B$5:$B$16,Оплаты!$D$241,Акты!$H$5:$H$16,"ок")&gt;0,COUNTIFS(Оплаты!$D$6:$D$240,Оплаты!$D$241,Оплаты!$A$6:$A$240,Оплаты!$A$241)=0),Оплаты!$D$241,"")</f>
        <v/>
      </c>
      <c r="B249" t="str">
        <f>IF(A249="","",MATCH(A249,Акты!$B$5:$B$16,0))</f>
        <v/>
      </c>
      <c r="C249" s="21" t="str">
        <f>IF(A249="","",Оплаты!$A$241+1)</f>
        <v/>
      </c>
      <c r="D249" s="21" t="str">
        <f>IF(A249="","",MIN(Ввод!$B$4,Ввод!$B$4+1-SUMPRODUCT(MAX((Оплаты!$D$6:$D$505=A249)*(Оплаты!$A$6:$A$505&gt;Оплаты!$A$241)*(Ввод!$B$4+1-Оплаты!$A$6:$A$505)))))</f>
        <v/>
      </c>
      <c r="E249" s="14" t="str">
        <f>IF(A249="","",INDEX(Акты!$D$5:$D$16,B249)-SUMIFS(Оплаты!$B$6:$B$505,Оплаты!$D$6:$D$505,A249,Оплаты!$A$6:$A$505,"&lt;="&amp;Оплаты!$A$241))</f>
        <v/>
      </c>
      <c r="F249" s="14" t="str">
        <f>IF(G249="","",SUMPRODUCT(ROUND(E249*'По дням'!$L$6:$L$155/100*((((D249+'По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дням'!$J$6:$J$155)))/2+1)/'По дням'!$M$6:$M$155,2)*(1-'По дням'!$N$6:$N$155)))</f>
        <v/>
      </c>
      <c r="G249" s="22" t="str">
        <f t="shared" si="3"/>
        <v/>
      </c>
      <c r="H249" s="14" t="str">
        <f>IF(G249="","",SUMIFS(Оплаты!$B$6:$B$505,Оплаты!$D$6:$D$505,A249,Оплаты!$A$6:$A$505,D249))</f>
        <v/>
      </c>
      <c r="I249" t="str">
        <f>IF(G249="","",SUMPRODUCT((((((D249+'По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дням'!$J$6:$J$155)))/2+1)&gt;0)*1))</f>
        <v/>
      </c>
    </row>
    <row r="250" spans="1:9" x14ac:dyDescent="0.3">
      <c r="A250" t="str">
        <f>IF(AND(Оплаты!$E$242="ок",COUNTIFS(Акты!$B$5:$B$16,Оплаты!$D$242,Акты!$H$5:$H$16,"ок")&gt;0,COUNTIFS(Оплаты!$D$6:$D$241,Оплаты!$D$242,Оплаты!$A$6:$A$241,Оплаты!$A$242)=0),Оплаты!$D$242,"")</f>
        <v/>
      </c>
      <c r="B250" t="str">
        <f>IF(A250="","",MATCH(A250,Акты!$B$5:$B$16,0))</f>
        <v/>
      </c>
      <c r="C250" s="21" t="str">
        <f>IF(A250="","",Оплаты!$A$242+1)</f>
        <v/>
      </c>
      <c r="D250" s="21" t="str">
        <f>IF(A250="","",MIN(Ввод!$B$4,Ввод!$B$4+1-SUMPRODUCT(MAX((Оплаты!$D$6:$D$505=A250)*(Оплаты!$A$6:$A$505&gt;Оплаты!$A$242)*(Ввод!$B$4+1-Оплаты!$A$6:$A$505)))))</f>
        <v/>
      </c>
      <c r="E250" s="14" t="str">
        <f>IF(A250="","",INDEX(Акты!$D$5:$D$16,B250)-SUMIFS(Оплаты!$B$6:$B$505,Оплаты!$D$6:$D$505,A250,Оплаты!$A$6:$A$505,"&lt;="&amp;Оплаты!$A$242))</f>
        <v/>
      </c>
      <c r="F250" s="14" t="str">
        <f>IF(G250="","",SUMPRODUCT(ROUND(E250*'По дням'!$L$6:$L$155/100*((((D250+'По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дням'!$J$6:$J$155)))/2+1)/'По дням'!$M$6:$M$155,2)*(1-'По дням'!$N$6:$N$155)))</f>
        <v/>
      </c>
      <c r="G250" s="22" t="str">
        <f t="shared" si="3"/>
        <v/>
      </c>
      <c r="H250" s="14" t="str">
        <f>IF(G250="","",SUMIFS(Оплаты!$B$6:$B$505,Оплаты!$D$6:$D$505,A250,Оплаты!$A$6:$A$505,D250))</f>
        <v/>
      </c>
      <c r="I250" t="str">
        <f>IF(G250="","",SUMPRODUCT((((((D250+'По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дням'!$J$6:$J$155)))/2+1)&gt;0)*1))</f>
        <v/>
      </c>
    </row>
    <row r="251" spans="1:9" x14ac:dyDescent="0.3">
      <c r="A251" t="str">
        <f>IF(AND(Оплаты!$E$243="ок",COUNTIFS(Акты!$B$5:$B$16,Оплаты!$D$243,Акты!$H$5:$H$16,"ок")&gt;0,COUNTIFS(Оплаты!$D$6:$D$242,Оплаты!$D$243,Оплаты!$A$6:$A$242,Оплаты!$A$243)=0),Оплаты!$D$243,"")</f>
        <v/>
      </c>
      <c r="B251" t="str">
        <f>IF(A251="","",MATCH(A251,Акты!$B$5:$B$16,0))</f>
        <v/>
      </c>
      <c r="C251" s="21" t="str">
        <f>IF(A251="","",Оплаты!$A$243+1)</f>
        <v/>
      </c>
      <c r="D251" s="21" t="str">
        <f>IF(A251="","",MIN(Ввод!$B$4,Ввод!$B$4+1-SUMPRODUCT(MAX((Оплаты!$D$6:$D$505=A251)*(Оплаты!$A$6:$A$505&gt;Оплаты!$A$243)*(Ввод!$B$4+1-Оплаты!$A$6:$A$505)))))</f>
        <v/>
      </c>
      <c r="E251" s="14" t="str">
        <f>IF(A251="","",INDEX(Акты!$D$5:$D$16,B251)-SUMIFS(Оплаты!$B$6:$B$505,Оплаты!$D$6:$D$505,A251,Оплаты!$A$6:$A$505,"&lt;="&amp;Оплаты!$A$243))</f>
        <v/>
      </c>
      <c r="F251" s="14" t="str">
        <f>IF(G251="","",SUMPRODUCT(ROUND(E251*'По дням'!$L$6:$L$155/100*((((D251+'По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дням'!$J$6:$J$155)))/2+1)/'По дням'!$M$6:$M$155,2)*(1-'По дням'!$N$6:$N$155)))</f>
        <v/>
      </c>
      <c r="G251" s="22" t="str">
        <f t="shared" si="3"/>
        <v/>
      </c>
      <c r="H251" s="14" t="str">
        <f>IF(G251="","",SUMIFS(Оплаты!$B$6:$B$505,Оплаты!$D$6:$D$505,A251,Оплаты!$A$6:$A$505,D251))</f>
        <v/>
      </c>
      <c r="I251" t="str">
        <f>IF(G251="","",SUMPRODUCT((((((D251+'По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дням'!$J$6:$J$155)))/2+1)&gt;0)*1))</f>
        <v/>
      </c>
    </row>
    <row r="252" spans="1:9" x14ac:dyDescent="0.3">
      <c r="A252" t="str">
        <f>IF(AND(Оплаты!$E$244="ок",COUNTIFS(Акты!$B$5:$B$16,Оплаты!$D$244,Акты!$H$5:$H$16,"ок")&gt;0,COUNTIFS(Оплаты!$D$6:$D$243,Оплаты!$D$244,Оплаты!$A$6:$A$243,Оплаты!$A$244)=0),Оплаты!$D$244,"")</f>
        <v/>
      </c>
      <c r="B252" t="str">
        <f>IF(A252="","",MATCH(A252,Акты!$B$5:$B$16,0))</f>
        <v/>
      </c>
      <c r="C252" s="21" t="str">
        <f>IF(A252="","",Оплаты!$A$244+1)</f>
        <v/>
      </c>
      <c r="D252" s="21" t="str">
        <f>IF(A252="","",MIN(Ввод!$B$4,Ввод!$B$4+1-SUMPRODUCT(MAX((Оплаты!$D$6:$D$505=A252)*(Оплаты!$A$6:$A$505&gt;Оплаты!$A$244)*(Ввод!$B$4+1-Оплаты!$A$6:$A$505)))))</f>
        <v/>
      </c>
      <c r="E252" s="14" t="str">
        <f>IF(A252="","",INDEX(Акты!$D$5:$D$16,B252)-SUMIFS(Оплаты!$B$6:$B$505,Оплаты!$D$6:$D$505,A252,Оплаты!$A$6:$A$505,"&lt;="&amp;Оплаты!$A$244))</f>
        <v/>
      </c>
      <c r="F252" s="14" t="str">
        <f>IF(G252="","",SUMPRODUCT(ROUND(E252*'По дням'!$L$6:$L$155/100*((((D252+'По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дням'!$J$6:$J$155)))/2+1)/'По дням'!$M$6:$M$155,2)*(1-'По дням'!$N$6:$N$155)))</f>
        <v/>
      </c>
      <c r="G252" s="22" t="str">
        <f t="shared" si="3"/>
        <v/>
      </c>
      <c r="H252" s="14" t="str">
        <f>IF(G252="","",SUMIFS(Оплаты!$B$6:$B$505,Оплаты!$D$6:$D$505,A252,Оплаты!$A$6:$A$505,D252))</f>
        <v/>
      </c>
      <c r="I252" t="str">
        <f>IF(G252="","",SUMPRODUCT((((((D252+'По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дням'!$J$6:$J$155)))/2+1)&gt;0)*1))</f>
        <v/>
      </c>
    </row>
    <row r="253" spans="1:9" x14ac:dyDescent="0.3">
      <c r="A253" t="str">
        <f>IF(AND(Оплаты!$E$245="ок",COUNTIFS(Акты!$B$5:$B$16,Оплаты!$D$245,Акты!$H$5:$H$16,"ок")&gt;0,COUNTIFS(Оплаты!$D$6:$D$244,Оплаты!$D$245,Оплаты!$A$6:$A$244,Оплаты!$A$245)=0),Оплаты!$D$245,"")</f>
        <v/>
      </c>
      <c r="B253" t="str">
        <f>IF(A253="","",MATCH(A253,Акты!$B$5:$B$16,0))</f>
        <v/>
      </c>
      <c r="C253" s="21" t="str">
        <f>IF(A253="","",Оплаты!$A$245+1)</f>
        <v/>
      </c>
      <c r="D253" s="21" t="str">
        <f>IF(A253="","",MIN(Ввод!$B$4,Ввод!$B$4+1-SUMPRODUCT(MAX((Оплаты!$D$6:$D$505=A253)*(Оплаты!$A$6:$A$505&gt;Оплаты!$A$245)*(Ввод!$B$4+1-Оплаты!$A$6:$A$505)))))</f>
        <v/>
      </c>
      <c r="E253" s="14" t="str">
        <f>IF(A253="","",INDEX(Акты!$D$5:$D$16,B253)-SUMIFS(Оплаты!$B$6:$B$505,Оплаты!$D$6:$D$505,A253,Оплаты!$A$6:$A$505,"&lt;="&amp;Оплаты!$A$245))</f>
        <v/>
      </c>
      <c r="F253" s="14" t="str">
        <f>IF(G253="","",SUMPRODUCT(ROUND(E253*'По дням'!$L$6:$L$155/100*((((D253+'По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дням'!$J$6:$J$155)))/2+1)/'По дням'!$M$6:$M$155,2)*(1-'По дням'!$N$6:$N$155)))</f>
        <v/>
      </c>
      <c r="G253" s="22" t="str">
        <f t="shared" si="3"/>
        <v/>
      </c>
      <c r="H253" s="14" t="str">
        <f>IF(G253="","",SUMIFS(Оплаты!$B$6:$B$505,Оплаты!$D$6:$D$505,A253,Оплаты!$A$6:$A$505,D253))</f>
        <v/>
      </c>
      <c r="I253" t="str">
        <f>IF(G253="","",SUMPRODUCT((((((D253+'По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дням'!$J$6:$J$155)))/2+1)&gt;0)*1))</f>
        <v/>
      </c>
    </row>
    <row r="254" spans="1:9" x14ac:dyDescent="0.3">
      <c r="A254" t="str">
        <f>IF(AND(Оплаты!$E$246="ок",COUNTIFS(Акты!$B$5:$B$16,Оплаты!$D$246,Акты!$H$5:$H$16,"ок")&gt;0,COUNTIFS(Оплаты!$D$6:$D$245,Оплаты!$D$246,Оплаты!$A$6:$A$245,Оплаты!$A$246)=0),Оплаты!$D$246,"")</f>
        <v/>
      </c>
      <c r="B254" t="str">
        <f>IF(A254="","",MATCH(A254,Акты!$B$5:$B$16,0))</f>
        <v/>
      </c>
      <c r="C254" s="21" t="str">
        <f>IF(A254="","",Оплаты!$A$246+1)</f>
        <v/>
      </c>
      <c r="D254" s="21" t="str">
        <f>IF(A254="","",MIN(Ввод!$B$4,Ввод!$B$4+1-SUMPRODUCT(MAX((Оплаты!$D$6:$D$505=A254)*(Оплаты!$A$6:$A$505&gt;Оплаты!$A$246)*(Ввод!$B$4+1-Оплаты!$A$6:$A$505)))))</f>
        <v/>
      </c>
      <c r="E254" s="14" t="str">
        <f>IF(A254="","",INDEX(Акты!$D$5:$D$16,B254)-SUMIFS(Оплаты!$B$6:$B$505,Оплаты!$D$6:$D$505,A254,Оплаты!$A$6:$A$505,"&lt;="&amp;Оплаты!$A$246))</f>
        <v/>
      </c>
      <c r="F254" s="14" t="str">
        <f>IF(G254="","",SUMPRODUCT(ROUND(E254*'По дням'!$L$6:$L$155/100*((((D254+'По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дням'!$J$6:$J$155)))/2+1)/'По дням'!$M$6:$M$155,2)*(1-'По дням'!$N$6:$N$155)))</f>
        <v/>
      </c>
      <c r="G254" s="22" t="str">
        <f t="shared" si="3"/>
        <v/>
      </c>
      <c r="H254" s="14" t="str">
        <f>IF(G254="","",SUMIFS(Оплаты!$B$6:$B$505,Оплаты!$D$6:$D$505,A254,Оплаты!$A$6:$A$505,D254))</f>
        <v/>
      </c>
      <c r="I254" t="str">
        <f>IF(G254="","",SUMPRODUCT((((((D254+'По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дням'!$J$6:$J$155)))/2+1)&gt;0)*1))</f>
        <v/>
      </c>
    </row>
    <row r="255" spans="1:9" x14ac:dyDescent="0.3">
      <c r="A255" t="str">
        <f>IF(AND(Оплаты!$E$247="ок",COUNTIFS(Акты!$B$5:$B$16,Оплаты!$D$247,Акты!$H$5:$H$16,"ок")&gt;0,COUNTIFS(Оплаты!$D$6:$D$246,Оплаты!$D$247,Оплаты!$A$6:$A$246,Оплаты!$A$247)=0),Оплаты!$D$247,"")</f>
        <v/>
      </c>
      <c r="B255" t="str">
        <f>IF(A255="","",MATCH(A255,Акты!$B$5:$B$16,0))</f>
        <v/>
      </c>
      <c r="C255" s="21" t="str">
        <f>IF(A255="","",Оплаты!$A$247+1)</f>
        <v/>
      </c>
      <c r="D255" s="21" t="str">
        <f>IF(A255="","",MIN(Ввод!$B$4,Ввод!$B$4+1-SUMPRODUCT(MAX((Оплаты!$D$6:$D$505=A255)*(Оплаты!$A$6:$A$505&gt;Оплаты!$A$247)*(Ввод!$B$4+1-Оплаты!$A$6:$A$505)))))</f>
        <v/>
      </c>
      <c r="E255" s="14" t="str">
        <f>IF(A255="","",INDEX(Акты!$D$5:$D$16,B255)-SUMIFS(Оплаты!$B$6:$B$505,Оплаты!$D$6:$D$505,A255,Оплаты!$A$6:$A$505,"&lt;="&amp;Оплаты!$A$247))</f>
        <v/>
      </c>
      <c r="F255" s="14" t="str">
        <f>IF(G255="","",SUMPRODUCT(ROUND(E255*'По дням'!$L$6:$L$155/100*((((D255+'По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дням'!$J$6:$J$155)))/2+1)/'По дням'!$M$6:$M$155,2)*(1-'По дням'!$N$6:$N$155)))</f>
        <v/>
      </c>
      <c r="G255" s="22" t="str">
        <f t="shared" si="3"/>
        <v/>
      </c>
      <c r="H255" s="14" t="str">
        <f>IF(G255="","",SUMIFS(Оплаты!$B$6:$B$505,Оплаты!$D$6:$D$505,A255,Оплаты!$A$6:$A$505,D255))</f>
        <v/>
      </c>
      <c r="I255" t="str">
        <f>IF(G255="","",SUMPRODUCT((((((D255+'По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дням'!$J$6:$J$155)))/2+1)&gt;0)*1))</f>
        <v/>
      </c>
    </row>
    <row r="256" spans="1:9" x14ac:dyDescent="0.3">
      <c r="A256" t="str">
        <f>IF(AND(Оплаты!$E$248="ок",COUNTIFS(Акты!$B$5:$B$16,Оплаты!$D$248,Акты!$H$5:$H$16,"ок")&gt;0,COUNTIFS(Оплаты!$D$6:$D$247,Оплаты!$D$248,Оплаты!$A$6:$A$247,Оплаты!$A$248)=0),Оплаты!$D$248,"")</f>
        <v/>
      </c>
      <c r="B256" t="str">
        <f>IF(A256="","",MATCH(A256,Акты!$B$5:$B$16,0))</f>
        <v/>
      </c>
      <c r="C256" s="21" t="str">
        <f>IF(A256="","",Оплаты!$A$248+1)</f>
        <v/>
      </c>
      <c r="D256" s="21" t="str">
        <f>IF(A256="","",MIN(Ввод!$B$4,Ввод!$B$4+1-SUMPRODUCT(MAX((Оплаты!$D$6:$D$505=A256)*(Оплаты!$A$6:$A$505&gt;Оплаты!$A$248)*(Ввод!$B$4+1-Оплаты!$A$6:$A$505)))))</f>
        <v/>
      </c>
      <c r="E256" s="14" t="str">
        <f>IF(A256="","",INDEX(Акты!$D$5:$D$16,B256)-SUMIFS(Оплаты!$B$6:$B$505,Оплаты!$D$6:$D$505,A256,Оплаты!$A$6:$A$505,"&lt;="&amp;Оплаты!$A$248))</f>
        <v/>
      </c>
      <c r="F256" s="14" t="str">
        <f>IF(G256="","",SUMPRODUCT(ROUND(E256*'По дням'!$L$6:$L$155/100*((((D256+'По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дням'!$J$6:$J$155)))/2+1)/'По дням'!$M$6:$M$155,2)*(1-'По дням'!$N$6:$N$155)))</f>
        <v/>
      </c>
      <c r="G256" s="22" t="str">
        <f t="shared" si="3"/>
        <v/>
      </c>
      <c r="H256" s="14" t="str">
        <f>IF(G256="","",SUMIFS(Оплаты!$B$6:$B$505,Оплаты!$D$6:$D$505,A256,Оплаты!$A$6:$A$505,D256))</f>
        <v/>
      </c>
      <c r="I256" t="str">
        <f>IF(G256="","",SUMPRODUCT((((((D256+'По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дням'!$J$6:$J$155)))/2+1)&gt;0)*1))</f>
        <v/>
      </c>
    </row>
    <row r="257" spans="1:9" x14ac:dyDescent="0.3">
      <c r="A257" t="str">
        <f>IF(AND(Оплаты!$E$249="ок",COUNTIFS(Акты!$B$5:$B$16,Оплаты!$D$249,Акты!$H$5:$H$16,"ок")&gt;0,COUNTIFS(Оплаты!$D$6:$D$248,Оплаты!$D$249,Оплаты!$A$6:$A$248,Оплаты!$A$249)=0),Оплаты!$D$249,"")</f>
        <v/>
      </c>
      <c r="B257" t="str">
        <f>IF(A257="","",MATCH(A257,Акты!$B$5:$B$16,0))</f>
        <v/>
      </c>
      <c r="C257" s="21" t="str">
        <f>IF(A257="","",Оплаты!$A$249+1)</f>
        <v/>
      </c>
      <c r="D257" s="21" t="str">
        <f>IF(A257="","",MIN(Ввод!$B$4,Ввод!$B$4+1-SUMPRODUCT(MAX((Оплаты!$D$6:$D$505=A257)*(Оплаты!$A$6:$A$505&gt;Оплаты!$A$249)*(Ввод!$B$4+1-Оплаты!$A$6:$A$505)))))</f>
        <v/>
      </c>
      <c r="E257" s="14" t="str">
        <f>IF(A257="","",INDEX(Акты!$D$5:$D$16,B257)-SUMIFS(Оплаты!$B$6:$B$505,Оплаты!$D$6:$D$505,A257,Оплаты!$A$6:$A$505,"&lt;="&amp;Оплаты!$A$249))</f>
        <v/>
      </c>
      <c r="F257" s="14" t="str">
        <f>IF(G257="","",SUMPRODUCT(ROUND(E257*'По дням'!$L$6:$L$155/100*((((D257+'По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дням'!$J$6:$J$155)))/2+1)/'По дням'!$M$6:$M$155,2)*(1-'По дням'!$N$6:$N$155)))</f>
        <v/>
      </c>
      <c r="G257" s="22" t="str">
        <f t="shared" si="3"/>
        <v/>
      </c>
      <c r="H257" s="14" t="str">
        <f>IF(G257="","",SUMIFS(Оплаты!$B$6:$B$505,Оплаты!$D$6:$D$505,A257,Оплаты!$A$6:$A$505,D257))</f>
        <v/>
      </c>
      <c r="I257" t="str">
        <f>IF(G257="","",SUMPRODUCT((((((D257+'По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дням'!$J$6:$J$155)))/2+1)&gt;0)*1))</f>
        <v/>
      </c>
    </row>
    <row r="258" spans="1:9" x14ac:dyDescent="0.3">
      <c r="A258" t="str">
        <f>IF(AND(Оплаты!$E$250="ок",COUNTIFS(Акты!$B$5:$B$16,Оплаты!$D$250,Акты!$H$5:$H$16,"ок")&gt;0,COUNTIFS(Оплаты!$D$6:$D$249,Оплаты!$D$250,Оплаты!$A$6:$A$249,Оплаты!$A$250)=0),Оплаты!$D$250,"")</f>
        <v/>
      </c>
      <c r="B258" t="str">
        <f>IF(A258="","",MATCH(A258,Акты!$B$5:$B$16,0))</f>
        <v/>
      </c>
      <c r="C258" s="21" t="str">
        <f>IF(A258="","",Оплаты!$A$250+1)</f>
        <v/>
      </c>
      <c r="D258" s="21" t="str">
        <f>IF(A258="","",MIN(Ввод!$B$4,Ввод!$B$4+1-SUMPRODUCT(MAX((Оплаты!$D$6:$D$505=A258)*(Оплаты!$A$6:$A$505&gt;Оплаты!$A$250)*(Ввод!$B$4+1-Оплаты!$A$6:$A$505)))))</f>
        <v/>
      </c>
      <c r="E258" s="14" t="str">
        <f>IF(A258="","",INDEX(Акты!$D$5:$D$16,B258)-SUMIFS(Оплаты!$B$6:$B$505,Оплаты!$D$6:$D$505,A258,Оплаты!$A$6:$A$505,"&lt;="&amp;Оплаты!$A$250))</f>
        <v/>
      </c>
      <c r="F258" s="14" t="str">
        <f>IF(G258="","",SUMPRODUCT(ROUND(E258*'По дням'!$L$6:$L$155/100*((((D258+'По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дням'!$J$6:$J$155)))/2+1)/'По дням'!$M$6:$M$155,2)*(1-'По дням'!$N$6:$N$155)))</f>
        <v/>
      </c>
      <c r="G258" s="22" t="str">
        <f t="shared" ref="G258:G321" si="4">IF(A258="","",IF(C258&gt;D258,"",B258*1000000+C258))</f>
        <v/>
      </c>
      <c r="H258" s="14" t="str">
        <f>IF(G258="","",SUMIFS(Оплаты!$B$6:$B$505,Оплаты!$D$6:$D$505,A258,Оплаты!$A$6:$A$505,D258))</f>
        <v/>
      </c>
      <c r="I258" t="str">
        <f>IF(G258="","",SUMPRODUCT((((((D258+'По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дням'!$J$6:$J$155)))/2+1)&gt;0)*1))</f>
        <v/>
      </c>
    </row>
    <row r="259" spans="1:9" x14ac:dyDescent="0.3">
      <c r="A259" t="str">
        <f>IF(AND(Оплаты!$E$251="ок",COUNTIFS(Акты!$B$5:$B$16,Оплаты!$D$251,Акты!$H$5:$H$16,"ок")&gt;0,COUNTIFS(Оплаты!$D$6:$D$250,Оплаты!$D$251,Оплаты!$A$6:$A$250,Оплаты!$A$251)=0),Оплаты!$D$251,"")</f>
        <v/>
      </c>
      <c r="B259" t="str">
        <f>IF(A259="","",MATCH(A259,Акты!$B$5:$B$16,0))</f>
        <v/>
      </c>
      <c r="C259" s="21" t="str">
        <f>IF(A259="","",Оплаты!$A$251+1)</f>
        <v/>
      </c>
      <c r="D259" s="21" t="str">
        <f>IF(A259="","",MIN(Ввод!$B$4,Ввод!$B$4+1-SUMPRODUCT(MAX((Оплаты!$D$6:$D$505=A259)*(Оплаты!$A$6:$A$505&gt;Оплаты!$A$251)*(Ввод!$B$4+1-Оплаты!$A$6:$A$505)))))</f>
        <v/>
      </c>
      <c r="E259" s="14" t="str">
        <f>IF(A259="","",INDEX(Акты!$D$5:$D$16,B259)-SUMIFS(Оплаты!$B$6:$B$505,Оплаты!$D$6:$D$505,A259,Оплаты!$A$6:$A$505,"&lt;="&amp;Оплаты!$A$251))</f>
        <v/>
      </c>
      <c r="F259" s="14" t="str">
        <f>IF(G259="","",SUMPRODUCT(ROUND(E259*'По дням'!$L$6:$L$155/100*((((D259+'По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дням'!$J$6:$J$155)))/2+1)/'По дням'!$M$6:$M$155,2)*(1-'По дням'!$N$6:$N$155)))</f>
        <v/>
      </c>
      <c r="G259" s="22" t="str">
        <f t="shared" si="4"/>
        <v/>
      </c>
      <c r="H259" s="14" t="str">
        <f>IF(G259="","",SUMIFS(Оплаты!$B$6:$B$505,Оплаты!$D$6:$D$505,A259,Оплаты!$A$6:$A$505,D259))</f>
        <v/>
      </c>
      <c r="I259" t="str">
        <f>IF(G259="","",SUMPRODUCT((((((D259+'По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дням'!$J$6:$J$155)))/2+1)&gt;0)*1))</f>
        <v/>
      </c>
    </row>
    <row r="260" spans="1:9" x14ac:dyDescent="0.3">
      <c r="A260" t="str">
        <f>IF(AND(Оплаты!$E$252="ок",COUNTIFS(Акты!$B$5:$B$16,Оплаты!$D$252,Акты!$H$5:$H$16,"ок")&gt;0,COUNTIFS(Оплаты!$D$6:$D$251,Оплаты!$D$252,Оплаты!$A$6:$A$251,Оплаты!$A$252)=0),Оплаты!$D$252,"")</f>
        <v/>
      </c>
      <c r="B260" t="str">
        <f>IF(A260="","",MATCH(A260,Акты!$B$5:$B$16,0))</f>
        <v/>
      </c>
      <c r="C260" s="21" t="str">
        <f>IF(A260="","",Оплаты!$A$252+1)</f>
        <v/>
      </c>
      <c r="D260" s="21" t="str">
        <f>IF(A260="","",MIN(Ввод!$B$4,Ввод!$B$4+1-SUMPRODUCT(MAX((Оплаты!$D$6:$D$505=A260)*(Оплаты!$A$6:$A$505&gt;Оплаты!$A$252)*(Ввод!$B$4+1-Оплаты!$A$6:$A$505)))))</f>
        <v/>
      </c>
      <c r="E260" s="14" t="str">
        <f>IF(A260="","",INDEX(Акты!$D$5:$D$16,B260)-SUMIFS(Оплаты!$B$6:$B$505,Оплаты!$D$6:$D$505,A260,Оплаты!$A$6:$A$505,"&lt;="&amp;Оплаты!$A$252))</f>
        <v/>
      </c>
      <c r="F260" s="14" t="str">
        <f>IF(G260="","",SUMPRODUCT(ROUND(E260*'По дням'!$L$6:$L$155/100*((((D260+'По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дням'!$J$6:$J$155)))/2+1)/'По дням'!$M$6:$M$155,2)*(1-'По дням'!$N$6:$N$155)))</f>
        <v/>
      </c>
      <c r="G260" s="22" t="str">
        <f t="shared" si="4"/>
        <v/>
      </c>
      <c r="H260" s="14" t="str">
        <f>IF(G260="","",SUMIFS(Оплаты!$B$6:$B$505,Оплаты!$D$6:$D$505,A260,Оплаты!$A$6:$A$505,D260))</f>
        <v/>
      </c>
      <c r="I260" t="str">
        <f>IF(G260="","",SUMPRODUCT((((((D260+'По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дням'!$J$6:$J$155)))/2+1)&gt;0)*1))</f>
        <v/>
      </c>
    </row>
    <row r="261" spans="1:9" x14ac:dyDescent="0.3">
      <c r="A261" t="str">
        <f>IF(AND(Оплаты!$E$253="ок",COUNTIFS(Акты!$B$5:$B$16,Оплаты!$D$253,Акты!$H$5:$H$16,"ок")&gt;0,COUNTIFS(Оплаты!$D$6:$D$252,Оплаты!$D$253,Оплаты!$A$6:$A$252,Оплаты!$A$253)=0),Оплаты!$D$253,"")</f>
        <v/>
      </c>
      <c r="B261" t="str">
        <f>IF(A261="","",MATCH(A261,Акты!$B$5:$B$16,0))</f>
        <v/>
      </c>
      <c r="C261" s="21" t="str">
        <f>IF(A261="","",Оплаты!$A$253+1)</f>
        <v/>
      </c>
      <c r="D261" s="21" t="str">
        <f>IF(A261="","",MIN(Ввод!$B$4,Ввод!$B$4+1-SUMPRODUCT(MAX((Оплаты!$D$6:$D$505=A261)*(Оплаты!$A$6:$A$505&gt;Оплаты!$A$253)*(Ввод!$B$4+1-Оплаты!$A$6:$A$505)))))</f>
        <v/>
      </c>
      <c r="E261" s="14" t="str">
        <f>IF(A261="","",INDEX(Акты!$D$5:$D$16,B261)-SUMIFS(Оплаты!$B$6:$B$505,Оплаты!$D$6:$D$505,A261,Оплаты!$A$6:$A$505,"&lt;="&amp;Оплаты!$A$253))</f>
        <v/>
      </c>
      <c r="F261" s="14" t="str">
        <f>IF(G261="","",SUMPRODUCT(ROUND(E261*'По дням'!$L$6:$L$155/100*((((D261+'По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дням'!$J$6:$J$155)))/2+1)/'По дням'!$M$6:$M$155,2)*(1-'По дням'!$N$6:$N$155)))</f>
        <v/>
      </c>
      <c r="G261" s="22" t="str">
        <f t="shared" si="4"/>
        <v/>
      </c>
      <c r="H261" s="14" t="str">
        <f>IF(G261="","",SUMIFS(Оплаты!$B$6:$B$505,Оплаты!$D$6:$D$505,A261,Оплаты!$A$6:$A$505,D261))</f>
        <v/>
      </c>
      <c r="I261" t="str">
        <f>IF(G261="","",SUMPRODUCT((((((D261+'По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дням'!$J$6:$J$155)))/2+1)&gt;0)*1))</f>
        <v/>
      </c>
    </row>
    <row r="262" spans="1:9" x14ac:dyDescent="0.3">
      <c r="A262" t="str">
        <f>IF(AND(Оплаты!$E$254="ок",COUNTIFS(Акты!$B$5:$B$16,Оплаты!$D$254,Акты!$H$5:$H$16,"ок")&gt;0,COUNTIFS(Оплаты!$D$6:$D$253,Оплаты!$D$254,Оплаты!$A$6:$A$253,Оплаты!$A$254)=0),Оплаты!$D$254,"")</f>
        <v/>
      </c>
      <c r="B262" t="str">
        <f>IF(A262="","",MATCH(A262,Акты!$B$5:$B$16,0))</f>
        <v/>
      </c>
      <c r="C262" s="21" t="str">
        <f>IF(A262="","",Оплаты!$A$254+1)</f>
        <v/>
      </c>
      <c r="D262" s="21" t="str">
        <f>IF(A262="","",MIN(Ввод!$B$4,Ввод!$B$4+1-SUMPRODUCT(MAX((Оплаты!$D$6:$D$505=A262)*(Оплаты!$A$6:$A$505&gt;Оплаты!$A$254)*(Ввод!$B$4+1-Оплаты!$A$6:$A$505)))))</f>
        <v/>
      </c>
      <c r="E262" s="14" t="str">
        <f>IF(A262="","",INDEX(Акты!$D$5:$D$16,B262)-SUMIFS(Оплаты!$B$6:$B$505,Оплаты!$D$6:$D$505,A262,Оплаты!$A$6:$A$505,"&lt;="&amp;Оплаты!$A$254))</f>
        <v/>
      </c>
      <c r="F262" s="14" t="str">
        <f>IF(G262="","",SUMPRODUCT(ROUND(E262*'По дням'!$L$6:$L$155/100*((((D262+'По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дням'!$J$6:$J$155)))/2+1)/'По дням'!$M$6:$M$155,2)*(1-'По дням'!$N$6:$N$155)))</f>
        <v/>
      </c>
      <c r="G262" s="22" t="str">
        <f t="shared" si="4"/>
        <v/>
      </c>
      <c r="H262" s="14" t="str">
        <f>IF(G262="","",SUMIFS(Оплаты!$B$6:$B$505,Оплаты!$D$6:$D$505,A262,Оплаты!$A$6:$A$505,D262))</f>
        <v/>
      </c>
      <c r="I262" t="str">
        <f>IF(G262="","",SUMPRODUCT((((((D262+'По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дням'!$J$6:$J$155)))/2+1)&gt;0)*1))</f>
        <v/>
      </c>
    </row>
    <row r="263" spans="1:9" x14ac:dyDescent="0.3">
      <c r="A263" t="str">
        <f>IF(AND(Оплаты!$E$255="ок",COUNTIFS(Акты!$B$5:$B$16,Оплаты!$D$255,Акты!$H$5:$H$16,"ок")&gt;0,COUNTIFS(Оплаты!$D$6:$D$254,Оплаты!$D$255,Оплаты!$A$6:$A$254,Оплаты!$A$255)=0),Оплаты!$D$255,"")</f>
        <v/>
      </c>
      <c r="B263" t="str">
        <f>IF(A263="","",MATCH(A263,Акты!$B$5:$B$16,0))</f>
        <v/>
      </c>
      <c r="C263" s="21" t="str">
        <f>IF(A263="","",Оплаты!$A$255+1)</f>
        <v/>
      </c>
      <c r="D263" s="21" t="str">
        <f>IF(A263="","",MIN(Ввод!$B$4,Ввод!$B$4+1-SUMPRODUCT(MAX((Оплаты!$D$6:$D$505=A263)*(Оплаты!$A$6:$A$505&gt;Оплаты!$A$255)*(Ввод!$B$4+1-Оплаты!$A$6:$A$505)))))</f>
        <v/>
      </c>
      <c r="E263" s="14" t="str">
        <f>IF(A263="","",INDEX(Акты!$D$5:$D$16,B263)-SUMIFS(Оплаты!$B$6:$B$505,Оплаты!$D$6:$D$505,A263,Оплаты!$A$6:$A$505,"&lt;="&amp;Оплаты!$A$255))</f>
        <v/>
      </c>
      <c r="F263" s="14" t="str">
        <f>IF(G263="","",SUMPRODUCT(ROUND(E263*'По дням'!$L$6:$L$155/100*((((D263+'По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дням'!$J$6:$J$155)))/2+1)/'По дням'!$M$6:$M$155,2)*(1-'По дням'!$N$6:$N$155)))</f>
        <v/>
      </c>
      <c r="G263" s="22" t="str">
        <f t="shared" si="4"/>
        <v/>
      </c>
      <c r="H263" s="14" t="str">
        <f>IF(G263="","",SUMIFS(Оплаты!$B$6:$B$505,Оплаты!$D$6:$D$505,A263,Оплаты!$A$6:$A$505,D263))</f>
        <v/>
      </c>
      <c r="I263" t="str">
        <f>IF(G263="","",SUMPRODUCT((((((D263+'По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дням'!$J$6:$J$155)))/2+1)&gt;0)*1))</f>
        <v/>
      </c>
    </row>
    <row r="264" spans="1:9" x14ac:dyDescent="0.3">
      <c r="A264" t="str">
        <f>IF(AND(Оплаты!$E$256="ок",COUNTIFS(Акты!$B$5:$B$16,Оплаты!$D$256,Акты!$H$5:$H$16,"ок")&gt;0,COUNTIFS(Оплаты!$D$6:$D$255,Оплаты!$D$256,Оплаты!$A$6:$A$255,Оплаты!$A$256)=0),Оплаты!$D$256,"")</f>
        <v/>
      </c>
      <c r="B264" t="str">
        <f>IF(A264="","",MATCH(A264,Акты!$B$5:$B$16,0))</f>
        <v/>
      </c>
      <c r="C264" s="21" t="str">
        <f>IF(A264="","",Оплаты!$A$256+1)</f>
        <v/>
      </c>
      <c r="D264" s="21" t="str">
        <f>IF(A264="","",MIN(Ввод!$B$4,Ввод!$B$4+1-SUMPRODUCT(MAX((Оплаты!$D$6:$D$505=A264)*(Оплаты!$A$6:$A$505&gt;Оплаты!$A$256)*(Ввод!$B$4+1-Оплаты!$A$6:$A$505)))))</f>
        <v/>
      </c>
      <c r="E264" s="14" t="str">
        <f>IF(A264="","",INDEX(Акты!$D$5:$D$16,B264)-SUMIFS(Оплаты!$B$6:$B$505,Оплаты!$D$6:$D$505,A264,Оплаты!$A$6:$A$505,"&lt;="&amp;Оплаты!$A$256))</f>
        <v/>
      </c>
      <c r="F264" s="14" t="str">
        <f>IF(G264="","",SUMPRODUCT(ROUND(E264*'По дням'!$L$6:$L$155/100*((((D264+'По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дням'!$J$6:$J$155)))/2+1)/'По дням'!$M$6:$M$155,2)*(1-'По дням'!$N$6:$N$155)))</f>
        <v/>
      </c>
      <c r="G264" s="22" t="str">
        <f t="shared" si="4"/>
        <v/>
      </c>
      <c r="H264" s="14" t="str">
        <f>IF(G264="","",SUMIFS(Оплаты!$B$6:$B$505,Оплаты!$D$6:$D$505,A264,Оплаты!$A$6:$A$505,D264))</f>
        <v/>
      </c>
      <c r="I264" t="str">
        <f>IF(G264="","",SUMPRODUCT((((((D264+'По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дням'!$J$6:$J$155)))/2+1)&gt;0)*1))</f>
        <v/>
      </c>
    </row>
    <row r="265" spans="1:9" x14ac:dyDescent="0.3">
      <c r="A265" t="str">
        <f>IF(AND(Оплаты!$E$257="ок",COUNTIFS(Акты!$B$5:$B$16,Оплаты!$D$257,Акты!$H$5:$H$16,"ок")&gt;0,COUNTIFS(Оплаты!$D$6:$D$256,Оплаты!$D$257,Оплаты!$A$6:$A$256,Оплаты!$A$257)=0),Оплаты!$D$257,"")</f>
        <v/>
      </c>
      <c r="B265" t="str">
        <f>IF(A265="","",MATCH(A265,Акты!$B$5:$B$16,0))</f>
        <v/>
      </c>
      <c r="C265" s="21" t="str">
        <f>IF(A265="","",Оплаты!$A$257+1)</f>
        <v/>
      </c>
      <c r="D265" s="21" t="str">
        <f>IF(A265="","",MIN(Ввод!$B$4,Ввод!$B$4+1-SUMPRODUCT(MAX((Оплаты!$D$6:$D$505=A265)*(Оплаты!$A$6:$A$505&gt;Оплаты!$A$257)*(Ввод!$B$4+1-Оплаты!$A$6:$A$505)))))</f>
        <v/>
      </c>
      <c r="E265" s="14" t="str">
        <f>IF(A265="","",INDEX(Акты!$D$5:$D$16,B265)-SUMIFS(Оплаты!$B$6:$B$505,Оплаты!$D$6:$D$505,A265,Оплаты!$A$6:$A$505,"&lt;="&amp;Оплаты!$A$257))</f>
        <v/>
      </c>
      <c r="F265" s="14" t="str">
        <f>IF(G265="","",SUMPRODUCT(ROUND(E265*'По дням'!$L$6:$L$155/100*((((D265+'По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дням'!$J$6:$J$155)))/2+1)/'По дням'!$M$6:$M$155,2)*(1-'По дням'!$N$6:$N$155)))</f>
        <v/>
      </c>
      <c r="G265" s="22" t="str">
        <f t="shared" si="4"/>
        <v/>
      </c>
      <c r="H265" s="14" t="str">
        <f>IF(G265="","",SUMIFS(Оплаты!$B$6:$B$505,Оплаты!$D$6:$D$505,A265,Оплаты!$A$6:$A$505,D265))</f>
        <v/>
      </c>
      <c r="I265" t="str">
        <f>IF(G265="","",SUMPRODUCT((((((D265+'По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дням'!$J$6:$J$155)))/2+1)&gt;0)*1))</f>
        <v/>
      </c>
    </row>
    <row r="266" spans="1:9" x14ac:dyDescent="0.3">
      <c r="A266" t="str">
        <f>IF(AND(Оплаты!$E$258="ок",COUNTIFS(Акты!$B$5:$B$16,Оплаты!$D$258,Акты!$H$5:$H$16,"ок")&gt;0,COUNTIFS(Оплаты!$D$6:$D$257,Оплаты!$D$258,Оплаты!$A$6:$A$257,Оплаты!$A$258)=0),Оплаты!$D$258,"")</f>
        <v/>
      </c>
      <c r="B266" t="str">
        <f>IF(A266="","",MATCH(A266,Акты!$B$5:$B$16,0))</f>
        <v/>
      </c>
      <c r="C266" s="21" t="str">
        <f>IF(A266="","",Оплаты!$A$258+1)</f>
        <v/>
      </c>
      <c r="D266" s="21" t="str">
        <f>IF(A266="","",MIN(Ввод!$B$4,Ввод!$B$4+1-SUMPRODUCT(MAX((Оплаты!$D$6:$D$505=A266)*(Оплаты!$A$6:$A$505&gt;Оплаты!$A$258)*(Ввод!$B$4+1-Оплаты!$A$6:$A$505)))))</f>
        <v/>
      </c>
      <c r="E266" s="14" t="str">
        <f>IF(A266="","",INDEX(Акты!$D$5:$D$16,B266)-SUMIFS(Оплаты!$B$6:$B$505,Оплаты!$D$6:$D$505,A266,Оплаты!$A$6:$A$505,"&lt;="&amp;Оплаты!$A$258))</f>
        <v/>
      </c>
      <c r="F266" s="14" t="str">
        <f>IF(G266="","",SUMPRODUCT(ROUND(E266*'По дням'!$L$6:$L$155/100*((((D266+'По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дням'!$J$6:$J$155)))/2+1)/'По дням'!$M$6:$M$155,2)*(1-'По дням'!$N$6:$N$155)))</f>
        <v/>
      </c>
      <c r="G266" s="22" t="str">
        <f t="shared" si="4"/>
        <v/>
      </c>
      <c r="H266" s="14" t="str">
        <f>IF(G266="","",SUMIFS(Оплаты!$B$6:$B$505,Оплаты!$D$6:$D$505,A266,Оплаты!$A$6:$A$505,D266))</f>
        <v/>
      </c>
      <c r="I266" t="str">
        <f>IF(G266="","",SUMPRODUCT((((((D266+'По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дням'!$J$6:$J$155)))/2+1)&gt;0)*1))</f>
        <v/>
      </c>
    </row>
    <row r="267" spans="1:9" x14ac:dyDescent="0.3">
      <c r="A267" t="str">
        <f>IF(AND(Оплаты!$E$259="ок",COUNTIFS(Акты!$B$5:$B$16,Оплаты!$D$259,Акты!$H$5:$H$16,"ок")&gt;0,COUNTIFS(Оплаты!$D$6:$D$258,Оплаты!$D$259,Оплаты!$A$6:$A$258,Оплаты!$A$259)=0),Оплаты!$D$259,"")</f>
        <v/>
      </c>
      <c r="B267" t="str">
        <f>IF(A267="","",MATCH(A267,Акты!$B$5:$B$16,0))</f>
        <v/>
      </c>
      <c r="C267" s="21" t="str">
        <f>IF(A267="","",Оплаты!$A$259+1)</f>
        <v/>
      </c>
      <c r="D267" s="21" t="str">
        <f>IF(A267="","",MIN(Ввод!$B$4,Ввод!$B$4+1-SUMPRODUCT(MAX((Оплаты!$D$6:$D$505=A267)*(Оплаты!$A$6:$A$505&gt;Оплаты!$A$259)*(Ввод!$B$4+1-Оплаты!$A$6:$A$505)))))</f>
        <v/>
      </c>
      <c r="E267" s="14" t="str">
        <f>IF(A267="","",INDEX(Акты!$D$5:$D$16,B267)-SUMIFS(Оплаты!$B$6:$B$505,Оплаты!$D$6:$D$505,A267,Оплаты!$A$6:$A$505,"&lt;="&amp;Оплаты!$A$259))</f>
        <v/>
      </c>
      <c r="F267" s="14" t="str">
        <f>IF(G267="","",SUMPRODUCT(ROUND(E267*'По дням'!$L$6:$L$155/100*((((D267+'По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дням'!$J$6:$J$155)))/2+1)/'По дням'!$M$6:$M$155,2)*(1-'По дням'!$N$6:$N$155)))</f>
        <v/>
      </c>
      <c r="G267" s="22" t="str">
        <f t="shared" si="4"/>
        <v/>
      </c>
      <c r="H267" s="14" t="str">
        <f>IF(G267="","",SUMIFS(Оплаты!$B$6:$B$505,Оплаты!$D$6:$D$505,A267,Оплаты!$A$6:$A$505,D267))</f>
        <v/>
      </c>
      <c r="I267" t="str">
        <f>IF(G267="","",SUMPRODUCT((((((D267+'По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дням'!$J$6:$J$155)))/2+1)&gt;0)*1))</f>
        <v/>
      </c>
    </row>
    <row r="268" spans="1:9" x14ac:dyDescent="0.3">
      <c r="A268" t="str">
        <f>IF(AND(Оплаты!$E$260="ок",COUNTIFS(Акты!$B$5:$B$16,Оплаты!$D$260,Акты!$H$5:$H$16,"ок")&gt;0,COUNTIFS(Оплаты!$D$6:$D$259,Оплаты!$D$260,Оплаты!$A$6:$A$259,Оплаты!$A$260)=0),Оплаты!$D$260,"")</f>
        <v/>
      </c>
      <c r="B268" t="str">
        <f>IF(A268="","",MATCH(A268,Акты!$B$5:$B$16,0))</f>
        <v/>
      </c>
      <c r="C268" s="21" t="str">
        <f>IF(A268="","",Оплаты!$A$260+1)</f>
        <v/>
      </c>
      <c r="D268" s="21" t="str">
        <f>IF(A268="","",MIN(Ввод!$B$4,Ввод!$B$4+1-SUMPRODUCT(MAX((Оплаты!$D$6:$D$505=A268)*(Оплаты!$A$6:$A$505&gt;Оплаты!$A$260)*(Ввод!$B$4+1-Оплаты!$A$6:$A$505)))))</f>
        <v/>
      </c>
      <c r="E268" s="14" t="str">
        <f>IF(A268="","",INDEX(Акты!$D$5:$D$16,B268)-SUMIFS(Оплаты!$B$6:$B$505,Оплаты!$D$6:$D$505,A268,Оплаты!$A$6:$A$505,"&lt;="&amp;Оплаты!$A$260))</f>
        <v/>
      </c>
      <c r="F268" s="14" t="str">
        <f>IF(G268="","",SUMPRODUCT(ROUND(E268*'По дням'!$L$6:$L$155/100*((((D268+'По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дням'!$J$6:$J$155)))/2+1)/'По дням'!$M$6:$M$155,2)*(1-'По дням'!$N$6:$N$155)))</f>
        <v/>
      </c>
      <c r="G268" s="22" t="str">
        <f t="shared" si="4"/>
        <v/>
      </c>
      <c r="H268" s="14" t="str">
        <f>IF(G268="","",SUMIFS(Оплаты!$B$6:$B$505,Оплаты!$D$6:$D$505,A268,Оплаты!$A$6:$A$505,D268))</f>
        <v/>
      </c>
      <c r="I268" t="str">
        <f>IF(G268="","",SUMPRODUCT((((((D268+'По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дням'!$J$6:$J$155)))/2+1)&gt;0)*1))</f>
        <v/>
      </c>
    </row>
    <row r="269" spans="1:9" x14ac:dyDescent="0.3">
      <c r="A269" t="str">
        <f>IF(AND(Оплаты!$E$261="ок",COUNTIFS(Акты!$B$5:$B$16,Оплаты!$D$261,Акты!$H$5:$H$16,"ок")&gt;0,COUNTIFS(Оплаты!$D$6:$D$260,Оплаты!$D$261,Оплаты!$A$6:$A$260,Оплаты!$A$261)=0),Оплаты!$D$261,"")</f>
        <v/>
      </c>
      <c r="B269" t="str">
        <f>IF(A269="","",MATCH(A269,Акты!$B$5:$B$16,0))</f>
        <v/>
      </c>
      <c r="C269" s="21" t="str">
        <f>IF(A269="","",Оплаты!$A$261+1)</f>
        <v/>
      </c>
      <c r="D269" s="21" t="str">
        <f>IF(A269="","",MIN(Ввод!$B$4,Ввод!$B$4+1-SUMPRODUCT(MAX((Оплаты!$D$6:$D$505=A269)*(Оплаты!$A$6:$A$505&gt;Оплаты!$A$261)*(Ввод!$B$4+1-Оплаты!$A$6:$A$505)))))</f>
        <v/>
      </c>
      <c r="E269" s="14" t="str">
        <f>IF(A269="","",INDEX(Акты!$D$5:$D$16,B269)-SUMIFS(Оплаты!$B$6:$B$505,Оплаты!$D$6:$D$505,A269,Оплаты!$A$6:$A$505,"&lt;="&amp;Оплаты!$A$261))</f>
        <v/>
      </c>
      <c r="F269" s="14" t="str">
        <f>IF(G269="","",SUMPRODUCT(ROUND(E269*'По дням'!$L$6:$L$155/100*((((D269+'По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дням'!$J$6:$J$155)))/2+1)/'По дням'!$M$6:$M$155,2)*(1-'По дням'!$N$6:$N$155)))</f>
        <v/>
      </c>
      <c r="G269" s="22" t="str">
        <f t="shared" si="4"/>
        <v/>
      </c>
      <c r="H269" s="14" t="str">
        <f>IF(G269="","",SUMIFS(Оплаты!$B$6:$B$505,Оплаты!$D$6:$D$505,A269,Оплаты!$A$6:$A$505,D269))</f>
        <v/>
      </c>
      <c r="I269" t="str">
        <f>IF(G269="","",SUMPRODUCT((((((D269+'По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дням'!$J$6:$J$155)))/2+1)&gt;0)*1))</f>
        <v/>
      </c>
    </row>
    <row r="270" spans="1:9" x14ac:dyDescent="0.3">
      <c r="A270" t="str">
        <f>IF(AND(Оплаты!$E$262="ок",COUNTIFS(Акты!$B$5:$B$16,Оплаты!$D$262,Акты!$H$5:$H$16,"ок")&gt;0,COUNTIFS(Оплаты!$D$6:$D$261,Оплаты!$D$262,Оплаты!$A$6:$A$261,Оплаты!$A$262)=0),Оплаты!$D$262,"")</f>
        <v/>
      </c>
      <c r="B270" t="str">
        <f>IF(A270="","",MATCH(A270,Акты!$B$5:$B$16,0))</f>
        <v/>
      </c>
      <c r="C270" s="21" t="str">
        <f>IF(A270="","",Оплаты!$A$262+1)</f>
        <v/>
      </c>
      <c r="D270" s="21" t="str">
        <f>IF(A270="","",MIN(Ввод!$B$4,Ввод!$B$4+1-SUMPRODUCT(MAX((Оплаты!$D$6:$D$505=A270)*(Оплаты!$A$6:$A$505&gt;Оплаты!$A$262)*(Ввод!$B$4+1-Оплаты!$A$6:$A$505)))))</f>
        <v/>
      </c>
      <c r="E270" s="14" t="str">
        <f>IF(A270="","",INDEX(Акты!$D$5:$D$16,B270)-SUMIFS(Оплаты!$B$6:$B$505,Оплаты!$D$6:$D$505,A270,Оплаты!$A$6:$A$505,"&lt;="&amp;Оплаты!$A$262))</f>
        <v/>
      </c>
      <c r="F270" s="14" t="str">
        <f>IF(G270="","",SUMPRODUCT(ROUND(E270*'По дням'!$L$6:$L$155/100*((((D270+'По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дням'!$J$6:$J$155)))/2+1)/'По дням'!$M$6:$M$155,2)*(1-'По дням'!$N$6:$N$155)))</f>
        <v/>
      </c>
      <c r="G270" s="22" t="str">
        <f t="shared" si="4"/>
        <v/>
      </c>
      <c r="H270" s="14" t="str">
        <f>IF(G270="","",SUMIFS(Оплаты!$B$6:$B$505,Оплаты!$D$6:$D$505,A270,Оплаты!$A$6:$A$505,D270))</f>
        <v/>
      </c>
      <c r="I270" t="str">
        <f>IF(G270="","",SUMPRODUCT((((((D270+'По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дням'!$J$6:$J$155)))/2+1)&gt;0)*1))</f>
        <v/>
      </c>
    </row>
    <row r="271" spans="1:9" x14ac:dyDescent="0.3">
      <c r="A271" t="str">
        <f>IF(AND(Оплаты!$E$263="ок",COUNTIFS(Акты!$B$5:$B$16,Оплаты!$D$263,Акты!$H$5:$H$16,"ок")&gt;0,COUNTIFS(Оплаты!$D$6:$D$262,Оплаты!$D$263,Оплаты!$A$6:$A$262,Оплаты!$A$263)=0),Оплаты!$D$263,"")</f>
        <v/>
      </c>
      <c r="B271" t="str">
        <f>IF(A271="","",MATCH(A271,Акты!$B$5:$B$16,0))</f>
        <v/>
      </c>
      <c r="C271" s="21" t="str">
        <f>IF(A271="","",Оплаты!$A$263+1)</f>
        <v/>
      </c>
      <c r="D271" s="21" t="str">
        <f>IF(A271="","",MIN(Ввод!$B$4,Ввод!$B$4+1-SUMPRODUCT(MAX((Оплаты!$D$6:$D$505=A271)*(Оплаты!$A$6:$A$505&gt;Оплаты!$A$263)*(Ввод!$B$4+1-Оплаты!$A$6:$A$505)))))</f>
        <v/>
      </c>
      <c r="E271" s="14" t="str">
        <f>IF(A271="","",INDEX(Акты!$D$5:$D$16,B271)-SUMIFS(Оплаты!$B$6:$B$505,Оплаты!$D$6:$D$505,A271,Оплаты!$A$6:$A$505,"&lt;="&amp;Оплаты!$A$263))</f>
        <v/>
      </c>
      <c r="F271" s="14" t="str">
        <f>IF(G271="","",SUMPRODUCT(ROUND(E271*'По дням'!$L$6:$L$155/100*((((D271+'По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дням'!$J$6:$J$155)))/2+1)/'По дням'!$M$6:$M$155,2)*(1-'По дням'!$N$6:$N$155)))</f>
        <v/>
      </c>
      <c r="G271" s="22" t="str">
        <f t="shared" si="4"/>
        <v/>
      </c>
      <c r="H271" s="14" t="str">
        <f>IF(G271="","",SUMIFS(Оплаты!$B$6:$B$505,Оплаты!$D$6:$D$505,A271,Оплаты!$A$6:$A$505,D271))</f>
        <v/>
      </c>
      <c r="I271" t="str">
        <f>IF(G271="","",SUMPRODUCT((((((D271+'По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дням'!$J$6:$J$155)))/2+1)&gt;0)*1))</f>
        <v/>
      </c>
    </row>
    <row r="272" spans="1:9" x14ac:dyDescent="0.3">
      <c r="A272" t="str">
        <f>IF(AND(Оплаты!$E$264="ок",COUNTIFS(Акты!$B$5:$B$16,Оплаты!$D$264,Акты!$H$5:$H$16,"ок")&gt;0,COUNTIFS(Оплаты!$D$6:$D$263,Оплаты!$D$264,Оплаты!$A$6:$A$263,Оплаты!$A$264)=0),Оплаты!$D$264,"")</f>
        <v/>
      </c>
      <c r="B272" t="str">
        <f>IF(A272="","",MATCH(A272,Акты!$B$5:$B$16,0))</f>
        <v/>
      </c>
      <c r="C272" s="21" t="str">
        <f>IF(A272="","",Оплаты!$A$264+1)</f>
        <v/>
      </c>
      <c r="D272" s="21" t="str">
        <f>IF(A272="","",MIN(Ввод!$B$4,Ввод!$B$4+1-SUMPRODUCT(MAX((Оплаты!$D$6:$D$505=A272)*(Оплаты!$A$6:$A$505&gt;Оплаты!$A$264)*(Ввод!$B$4+1-Оплаты!$A$6:$A$505)))))</f>
        <v/>
      </c>
      <c r="E272" s="14" t="str">
        <f>IF(A272="","",INDEX(Акты!$D$5:$D$16,B272)-SUMIFS(Оплаты!$B$6:$B$505,Оплаты!$D$6:$D$505,A272,Оплаты!$A$6:$A$505,"&lt;="&amp;Оплаты!$A$264))</f>
        <v/>
      </c>
      <c r="F272" s="14" t="str">
        <f>IF(G272="","",SUMPRODUCT(ROUND(E272*'По дням'!$L$6:$L$155/100*((((D272+'По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дням'!$J$6:$J$155)))/2+1)/'По дням'!$M$6:$M$155,2)*(1-'По дням'!$N$6:$N$155)))</f>
        <v/>
      </c>
      <c r="G272" s="22" t="str">
        <f t="shared" si="4"/>
        <v/>
      </c>
      <c r="H272" s="14" t="str">
        <f>IF(G272="","",SUMIFS(Оплаты!$B$6:$B$505,Оплаты!$D$6:$D$505,A272,Оплаты!$A$6:$A$505,D272))</f>
        <v/>
      </c>
      <c r="I272" t="str">
        <f>IF(G272="","",SUMPRODUCT((((((D272+'По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дням'!$J$6:$J$155)))/2+1)&gt;0)*1))</f>
        <v/>
      </c>
    </row>
    <row r="273" spans="1:9" x14ac:dyDescent="0.3">
      <c r="A273" t="str">
        <f>IF(AND(Оплаты!$E$265="ок",COUNTIFS(Акты!$B$5:$B$16,Оплаты!$D$265,Акты!$H$5:$H$16,"ок")&gt;0,COUNTIFS(Оплаты!$D$6:$D$264,Оплаты!$D$265,Оплаты!$A$6:$A$264,Оплаты!$A$265)=0),Оплаты!$D$265,"")</f>
        <v/>
      </c>
      <c r="B273" t="str">
        <f>IF(A273="","",MATCH(A273,Акты!$B$5:$B$16,0))</f>
        <v/>
      </c>
      <c r="C273" s="21" t="str">
        <f>IF(A273="","",Оплаты!$A$265+1)</f>
        <v/>
      </c>
      <c r="D273" s="21" t="str">
        <f>IF(A273="","",MIN(Ввод!$B$4,Ввод!$B$4+1-SUMPRODUCT(MAX((Оплаты!$D$6:$D$505=A273)*(Оплаты!$A$6:$A$505&gt;Оплаты!$A$265)*(Ввод!$B$4+1-Оплаты!$A$6:$A$505)))))</f>
        <v/>
      </c>
      <c r="E273" s="14" t="str">
        <f>IF(A273="","",INDEX(Акты!$D$5:$D$16,B273)-SUMIFS(Оплаты!$B$6:$B$505,Оплаты!$D$6:$D$505,A273,Оплаты!$A$6:$A$505,"&lt;="&amp;Оплаты!$A$265))</f>
        <v/>
      </c>
      <c r="F273" s="14" t="str">
        <f>IF(G273="","",SUMPRODUCT(ROUND(E273*'По дням'!$L$6:$L$155/100*((((D273+'По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дням'!$J$6:$J$155)))/2+1)/'По дням'!$M$6:$M$155,2)*(1-'По дням'!$N$6:$N$155)))</f>
        <v/>
      </c>
      <c r="G273" s="22" t="str">
        <f t="shared" si="4"/>
        <v/>
      </c>
      <c r="H273" s="14" t="str">
        <f>IF(G273="","",SUMIFS(Оплаты!$B$6:$B$505,Оплаты!$D$6:$D$505,A273,Оплаты!$A$6:$A$505,D273))</f>
        <v/>
      </c>
      <c r="I273" t="str">
        <f>IF(G273="","",SUMPRODUCT((((((D273+'По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дням'!$J$6:$J$155)))/2+1)&gt;0)*1))</f>
        <v/>
      </c>
    </row>
    <row r="274" spans="1:9" x14ac:dyDescent="0.3">
      <c r="A274" t="str">
        <f>IF(AND(Оплаты!$E$266="ок",COUNTIFS(Акты!$B$5:$B$16,Оплаты!$D$266,Акты!$H$5:$H$16,"ок")&gt;0,COUNTIFS(Оплаты!$D$6:$D$265,Оплаты!$D$266,Оплаты!$A$6:$A$265,Оплаты!$A$266)=0),Оплаты!$D$266,"")</f>
        <v/>
      </c>
      <c r="B274" t="str">
        <f>IF(A274="","",MATCH(A274,Акты!$B$5:$B$16,0))</f>
        <v/>
      </c>
      <c r="C274" s="21" t="str">
        <f>IF(A274="","",Оплаты!$A$266+1)</f>
        <v/>
      </c>
      <c r="D274" s="21" t="str">
        <f>IF(A274="","",MIN(Ввод!$B$4,Ввод!$B$4+1-SUMPRODUCT(MAX((Оплаты!$D$6:$D$505=A274)*(Оплаты!$A$6:$A$505&gt;Оплаты!$A$266)*(Ввод!$B$4+1-Оплаты!$A$6:$A$505)))))</f>
        <v/>
      </c>
      <c r="E274" s="14" t="str">
        <f>IF(A274="","",INDEX(Акты!$D$5:$D$16,B274)-SUMIFS(Оплаты!$B$6:$B$505,Оплаты!$D$6:$D$505,A274,Оплаты!$A$6:$A$505,"&lt;="&amp;Оплаты!$A$266))</f>
        <v/>
      </c>
      <c r="F274" s="14" t="str">
        <f>IF(G274="","",SUMPRODUCT(ROUND(E274*'По дням'!$L$6:$L$155/100*((((D274+'По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дням'!$J$6:$J$155)))/2+1)/'По дням'!$M$6:$M$155,2)*(1-'По дням'!$N$6:$N$155)))</f>
        <v/>
      </c>
      <c r="G274" s="22" t="str">
        <f t="shared" si="4"/>
        <v/>
      </c>
      <c r="H274" s="14" t="str">
        <f>IF(G274="","",SUMIFS(Оплаты!$B$6:$B$505,Оплаты!$D$6:$D$505,A274,Оплаты!$A$6:$A$505,D274))</f>
        <v/>
      </c>
      <c r="I274" t="str">
        <f>IF(G274="","",SUMPRODUCT((((((D274+'По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дням'!$J$6:$J$155)))/2+1)&gt;0)*1))</f>
        <v/>
      </c>
    </row>
    <row r="275" spans="1:9" x14ac:dyDescent="0.3">
      <c r="A275" t="str">
        <f>IF(AND(Оплаты!$E$267="ок",COUNTIFS(Акты!$B$5:$B$16,Оплаты!$D$267,Акты!$H$5:$H$16,"ок")&gt;0,COUNTIFS(Оплаты!$D$6:$D$266,Оплаты!$D$267,Оплаты!$A$6:$A$266,Оплаты!$A$267)=0),Оплаты!$D$267,"")</f>
        <v/>
      </c>
      <c r="B275" t="str">
        <f>IF(A275="","",MATCH(A275,Акты!$B$5:$B$16,0))</f>
        <v/>
      </c>
      <c r="C275" s="21" t="str">
        <f>IF(A275="","",Оплаты!$A$267+1)</f>
        <v/>
      </c>
      <c r="D275" s="21" t="str">
        <f>IF(A275="","",MIN(Ввод!$B$4,Ввод!$B$4+1-SUMPRODUCT(MAX((Оплаты!$D$6:$D$505=A275)*(Оплаты!$A$6:$A$505&gt;Оплаты!$A$267)*(Ввод!$B$4+1-Оплаты!$A$6:$A$505)))))</f>
        <v/>
      </c>
      <c r="E275" s="14" t="str">
        <f>IF(A275="","",INDEX(Акты!$D$5:$D$16,B275)-SUMIFS(Оплаты!$B$6:$B$505,Оплаты!$D$6:$D$505,A275,Оплаты!$A$6:$A$505,"&lt;="&amp;Оплаты!$A$267))</f>
        <v/>
      </c>
      <c r="F275" s="14" t="str">
        <f>IF(G275="","",SUMPRODUCT(ROUND(E275*'По дням'!$L$6:$L$155/100*((((D275+'По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дням'!$J$6:$J$155)))/2+1)/'По дням'!$M$6:$M$155,2)*(1-'По дням'!$N$6:$N$155)))</f>
        <v/>
      </c>
      <c r="G275" s="22" t="str">
        <f t="shared" si="4"/>
        <v/>
      </c>
      <c r="H275" s="14" t="str">
        <f>IF(G275="","",SUMIFS(Оплаты!$B$6:$B$505,Оплаты!$D$6:$D$505,A275,Оплаты!$A$6:$A$505,D275))</f>
        <v/>
      </c>
      <c r="I275" t="str">
        <f>IF(G275="","",SUMPRODUCT((((((D275+'По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дням'!$J$6:$J$155)))/2+1)&gt;0)*1))</f>
        <v/>
      </c>
    </row>
    <row r="276" spans="1:9" x14ac:dyDescent="0.3">
      <c r="A276" t="str">
        <f>IF(AND(Оплаты!$E$268="ок",COUNTIFS(Акты!$B$5:$B$16,Оплаты!$D$268,Акты!$H$5:$H$16,"ок")&gt;0,COUNTIFS(Оплаты!$D$6:$D$267,Оплаты!$D$268,Оплаты!$A$6:$A$267,Оплаты!$A$268)=0),Оплаты!$D$268,"")</f>
        <v/>
      </c>
      <c r="B276" t="str">
        <f>IF(A276="","",MATCH(A276,Акты!$B$5:$B$16,0))</f>
        <v/>
      </c>
      <c r="C276" s="21" t="str">
        <f>IF(A276="","",Оплаты!$A$268+1)</f>
        <v/>
      </c>
      <c r="D276" s="21" t="str">
        <f>IF(A276="","",MIN(Ввод!$B$4,Ввод!$B$4+1-SUMPRODUCT(MAX((Оплаты!$D$6:$D$505=A276)*(Оплаты!$A$6:$A$505&gt;Оплаты!$A$268)*(Ввод!$B$4+1-Оплаты!$A$6:$A$505)))))</f>
        <v/>
      </c>
      <c r="E276" s="14" t="str">
        <f>IF(A276="","",INDEX(Акты!$D$5:$D$16,B276)-SUMIFS(Оплаты!$B$6:$B$505,Оплаты!$D$6:$D$505,A276,Оплаты!$A$6:$A$505,"&lt;="&amp;Оплаты!$A$268))</f>
        <v/>
      </c>
      <c r="F276" s="14" t="str">
        <f>IF(G276="","",SUMPRODUCT(ROUND(E276*'По дням'!$L$6:$L$155/100*((((D276+'По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дням'!$J$6:$J$155)))/2+1)/'По дням'!$M$6:$M$155,2)*(1-'По дням'!$N$6:$N$155)))</f>
        <v/>
      </c>
      <c r="G276" s="22" t="str">
        <f t="shared" si="4"/>
        <v/>
      </c>
      <c r="H276" s="14" t="str">
        <f>IF(G276="","",SUMIFS(Оплаты!$B$6:$B$505,Оплаты!$D$6:$D$505,A276,Оплаты!$A$6:$A$505,D276))</f>
        <v/>
      </c>
      <c r="I276" t="str">
        <f>IF(G276="","",SUMPRODUCT((((((D276+'По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дням'!$J$6:$J$155)))/2+1)&gt;0)*1))</f>
        <v/>
      </c>
    </row>
    <row r="277" spans="1:9" x14ac:dyDescent="0.3">
      <c r="A277" t="str">
        <f>IF(AND(Оплаты!$E$269="ок",COUNTIFS(Акты!$B$5:$B$16,Оплаты!$D$269,Акты!$H$5:$H$16,"ок")&gt;0,COUNTIFS(Оплаты!$D$6:$D$268,Оплаты!$D$269,Оплаты!$A$6:$A$268,Оплаты!$A$269)=0),Оплаты!$D$269,"")</f>
        <v/>
      </c>
      <c r="B277" t="str">
        <f>IF(A277="","",MATCH(A277,Акты!$B$5:$B$16,0))</f>
        <v/>
      </c>
      <c r="C277" s="21" t="str">
        <f>IF(A277="","",Оплаты!$A$269+1)</f>
        <v/>
      </c>
      <c r="D277" s="21" t="str">
        <f>IF(A277="","",MIN(Ввод!$B$4,Ввод!$B$4+1-SUMPRODUCT(MAX((Оплаты!$D$6:$D$505=A277)*(Оплаты!$A$6:$A$505&gt;Оплаты!$A$269)*(Ввод!$B$4+1-Оплаты!$A$6:$A$505)))))</f>
        <v/>
      </c>
      <c r="E277" s="14" t="str">
        <f>IF(A277="","",INDEX(Акты!$D$5:$D$16,B277)-SUMIFS(Оплаты!$B$6:$B$505,Оплаты!$D$6:$D$505,A277,Оплаты!$A$6:$A$505,"&lt;="&amp;Оплаты!$A$269))</f>
        <v/>
      </c>
      <c r="F277" s="14" t="str">
        <f>IF(G277="","",SUMPRODUCT(ROUND(E277*'По дням'!$L$6:$L$155/100*((((D277+'По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дням'!$J$6:$J$155)))/2+1)/'По дням'!$M$6:$M$155,2)*(1-'По дням'!$N$6:$N$155)))</f>
        <v/>
      </c>
      <c r="G277" s="22" t="str">
        <f t="shared" si="4"/>
        <v/>
      </c>
      <c r="H277" s="14" t="str">
        <f>IF(G277="","",SUMIFS(Оплаты!$B$6:$B$505,Оплаты!$D$6:$D$505,A277,Оплаты!$A$6:$A$505,D277))</f>
        <v/>
      </c>
      <c r="I277" t="str">
        <f>IF(G277="","",SUMPRODUCT((((((D277+'По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дням'!$J$6:$J$155)))/2+1)&gt;0)*1))</f>
        <v/>
      </c>
    </row>
    <row r="278" spans="1:9" x14ac:dyDescent="0.3">
      <c r="A278" t="str">
        <f>IF(AND(Оплаты!$E$270="ок",COUNTIFS(Акты!$B$5:$B$16,Оплаты!$D$270,Акты!$H$5:$H$16,"ок")&gt;0,COUNTIFS(Оплаты!$D$6:$D$269,Оплаты!$D$270,Оплаты!$A$6:$A$269,Оплаты!$A$270)=0),Оплаты!$D$270,"")</f>
        <v/>
      </c>
      <c r="B278" t="str">
        <f>IF(A278="","",MATCH(A278,Акты!$B$5:$B$16,0))</f>
        <v/>
      </c>
      <c r="C278" s="21" t="str">
        <f>IF(A278="","",Оплаты!$A$270+1)</f>
        <v/>
      </c>
      <c r="D278" s="21" t="str">
        <f>IF(A278="","",MIN(Ввод!$B$4,Ввод!$B$4+1-SUMPRODUCT(MAX((Оплаты!$D$6:$D$505=A278)*(Оплаты!$A$6:$A$505&gt;Оплаты!$A$270)*(Ввод!$B$4+1-Оплаты!$A$6:$A$505)))))</f>
        <v/>
      </c>
      <c r="E278" s="14" t="str">
        <f>IF(A278="","",INDEX(Акты!$D$5:$D$16,B278)-SUMIFS(Оплаты!$B$6:$B$505,Оплаты!$D$6:$D$505,A278,Оплаты!$A$6:$A$505,"&lt;="&amp;Оплаты!$A$270))</f>
        <v/>
      </c>
      <c r="F278" s="14" t="str">
        <f>IF(G278="","",SUMPRODUCT(ROUND(E278*'По дням'!$L$6:$L$155/100*((((D278+'По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дням'!$J$6:$J$155)))/2+1)/'По дням'!$M$6:$M$155,2)*(1-'По дням'!$N$6:$N$155)))</f>
        <v/>
      </c>
      <c r="G278" s="22" t="str">
        <f t="shared" si="4"/>
        <v/>
      </c>
      <c r="H278" s="14" t="str">
        <f>IF(G278="","",SUMIFS(Оплаты!$B$6:$B$505,Оплаты!$D$6:$D$505,A278,Оплаты!$A$6:$A$505,D278))</f>
        <v/>
      </c>
      <c r="I278" t="str">
        <f>IF(G278="","",SUMPRODUCT((((((D278+'По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дням'!$J$6:$J$155)))/2+1)&gt;0)*1))</f>
        <v/>
      </c>
    </row>
    <row r="279" spans="1:9" x14ac:dyDescent="0.3">
      <c r="A279" t="str">
        <f>IF(AND(Оплаты!$E$271="ок",COUNTIFS(Акты!$B$5:$B$16,Оплаты!$D$271,Акты!$H$5:$H$16,"ок")&gt;0,COUNTIFS(Оплаты!$D$6:$D$270,Оплаты!$D$271,Оплаты!$A$6:$A$270,Оплаты!$A$271)=0),Оплаты!$D$271,"")</f>
        <v/>
      </c>
      <c r="B279" t="str">
        <f>IF(A279="","",MATCH(A279,Акты!$B$5:$B$16,0))</f>
        <v/>
      </c>
      <c r="C279" s="21" t="str">
        <f>IF(A279="","",Оплаты!$A$271+1)</f>
        <v/>
      </c>
      <c r="D279" s="21" t="str">
        <f>IF(A279="","",MIN(Ввод!$B$4,Ввод!$B$4+1-SUMPRODUCT(MAX((Оплаты!$D$6:$D$505=A279)*(Оплаты!$A$6:$A$505&gt;Оплаты!$A$271)*(Ввод!$B$4+1-Оплаты!$A$6:$A$505)))))</f>
        <v/>
      </c>
      <c r="E279" s="14" t="str">
        <f>IF(A279="","",INDEX(Акты!$D$5:$D$16,B279)-SUMIFS(Оплаты!$B$6:$B$505,Оплаты!$D$6:$D$505,A279,Оплаты!$A$6:$A$505,"&lt;="&amp;Оплаты!$A$271))</f>
        <v/>
      </c>
      <c r="F279" s="14" t="str">
        <f>IF(G279="","",SUMPRODUCT(ROUND(E279*'По дням'!$L$6:$L$155/100*((((D279+'По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дням'!$J$6:$J$155)))/2+1)/'По дням'!$M$6:$M$155,2)*(1-'По дням'!$N$6:$N$155)))</f>
        <v/>
      </c>
      <c r="G279" s="22" t="str">
        <f t="shared" si="4"/>
        <v/>
      </c>
      <c r="H279" s="14" t="str">
        <f>IF(G279="","",SUMIFS(Оплаты!$B$6:$B$505,Оплаты!$D$6:$D$505,A279,Оплаты!$A$6:$A$505,D279))</f>
        <v/>
      </c>
      <c r="I279" t="str">
        <f>IF(G279="","",SUMPRODUCT((((((D279+'По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дням'!$J$6:$J$155)))/2+1)&gt;0)*1))</f>
        <v/>
      </c>
    </row>
    <row r="280" spans="1:9" x14ac:dyDescent="0.3">
      <c r="A280" t="str">
        <f>IF(AND(Оплаты!$E$272="ок",COUNTIFS(Акты!$B$5:$B$16,Оплаты!$D$272,Акты!$H$5:$H$16,"ок")&gt;0,COUNTIFS(Оплаты!$D$6:$D$271,Оплаты!$D$272,Оплаты!$A$6:$A$271,Оплаты!$A$272)=0),Оплаты!$D$272,"")</f>
        <v/>
      </c>
      <c r="B280" t="str">
        <f>IF(A280="","",MATCH(A280,Акты!$B$5:$B$16,0))</f>
        <v/>
      </c>
      <c r="C280" s="21" t="str">
        <f>IF(A280="","",Оплаты!$A$272+1)</f>
        <v/>
      </c>
      <c r="D280" s="21" t="str">
        <f>IF(A280="","",MIN(Ввод!$B$4,Ввод!$B$4+1-SUMPRODUCT(MAX((Оплаты!$D$6:$D$505=A280)*(Оплаты!$A$6:$A$505&gt;Оплаты!$A$272)*(Ввод!$B$4+1-Оплаты!$A$6:$A$505)))))</f>
        <v/>
      </c>
      <c r="E280" s="14" t="str">
        <f>IF(A280="","",INDEX(Акты!$D$5:$D$16,B280)-SUMIFS(Оплаты!$B$6:$B$505,Оплаты!$D$6:$D$505,A280,Оплаты!$A$6:$A$505,"&lt;="&amp;Оплаты!$A$272))</f>
        <v/>
      </c>
      <c r="F280" s="14" t="str">
        <f>IF(G280="","",SUMPRODUCT(ROUND(E280*'По дням'!$L$6:$L$155/100*((((D280+'По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дням'!$J$6:$J$155)))/2+1)/'По дням'!$M$6:$M$155,2)*(1-'По дням'!$N$6:$N$155)))</f>
        <v/>
      </c>
      <c r="G280" s="22" t="str">
        <f t="shared" si="4"/>
        <v/>
      </c>
      <c r="H280" s="14" t="str">
        <f>IF(G280="","",SUMIFS(Оплаты!$B$6:$B$505,Оплаты!$D$6:$D$505,A280,Оплаты!$A$6:$A$505,D280))</f>
        <v/>
      </c>
      <c r="I280" t="str">
        <f>IF(G280="","",SUMPRODUCT((((((D280+'По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дням'!$J$6:$J$155)))/2+1)&gt;0)*1))</f>
        <v/>
      </c>
    </row>
    <row r="281" spans="1:9" x14ac:dyDescent="0.3">
      <c r="A281" t="str">
        <f>IF(AND(Оплаты!$E$273="ок",COUNTIFS(Акты!$B$5:$B$16,Оплаты!$D$273,Акты!$H$5:$H$16,"ок")&gt;0,COUNTIFS(Оплаты!$D$6:$D$272,Оплаты!$D$273,Оплаты!$A$6:$A$272,Оплаты!$A$273)=0),Оплаты!$D$273,"")</f>
        <v/>
      </c>
      <c r="B281" t="str">
        <f>IF(A281="","",MATCH(A281,Акты!$B$5:$B$16,0))</f>
        <v/>
      </c>
      <c r="C281" s="21" t="str">
        <f>IF(A281="","",Оплаты!$A$273+1)</f>
        <v/>
      </c>
      <c r="D281" s="21" t="str">
        <f>IF(A281="","",MIN(Ввод!$B$4,Ввод!$B$4+1-SUMPRODUCT(MAX((Оплаты!$D$6:$D$505=A281)*(Оплаты!$A$6:$A$505&gt;Оплаты!$A$273)*(Ввод!$B$4+1-Оплаты!$A$6:$A$505)))))</f>
        <v/>
      </c>
      <c r="E281" s="14" t="str">
        <f>IF(A281="","",INDEX(Акты!$D$5:$D$16,B281)-SUMIFS(Оплаты!$B$6:$B$505,Оплаты!$D$6:$D$505,A281,Оплаты!$A$6:$A$505,"&lt;="&amp;Оплаты!$A$273))</f>
        <v/>
      </c>
      <c r="F281" s="14" t="str">
        <f>IF(G281="","",SUMPRODUCT(ROUND(E281*'По дням'!$L$6:$L$155/100*((((D281+'По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дням'!$J$6:$J$155)))/2+1)/'По дням'!$M$6:$M$155,2)*(1-'По дням'!$N$6:$N$155)))</f>
        <v/>
      </c>
      <c r="G281" s="22" t="str">
        <f t="shared" si="4"/>
        <v/>
      </c>
      <c r="H281" s="14" t="str">
        <f>IF(G281="","",SUMIFS(Оплаты!$B$6:$B$505,Оплаты!$D$6:$D$505,A281,Оплаты!$A$6:$A$505,D281))</f>
        <v/>
      </c>
      <c r="I281" t="str">
        <f>IF(G281="","",SUMPRODUCT((((((D281+'По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дням'!$J$6:$J$155)))/2+1)&gt;0)*1))</f>
        <v/>
      </c>
    </row>
    <row r="282" spans="1:9" x14ac:dyDescent="0.3">
      <c r="A282" t="str">
        <f>IF(AND(Оплаты!$E$274="ок",COUNTIFS(Акты!$B$5:$B$16,Оплаты!$D$274,Акты!$H$5:$H$16,"ок")&gt;0,COUNTIFS(Оплаты!$D$6:$D$273,Оплаты!$D$274,Оплаты!$A$6:$A$273,Оплаты!$A$274)=0),Оплаты!$D$274,"")</f>
        <v/>
      </c>
      <c r="B282" t="str">
        <f>IF(A282="","",MATCH(A282,Акты!$B$5:$B$16,0))</f>
        <v/>
      </c>
      <c r="C282" s="21" t="str">
        <f>IF(A282="","",Оплаты!$A$274+1)</f>
        <v/>
      </c>
      <c r="D282" s="21" t="str">
        <f>IF(A282="","",MIN(Ввод!$B$4,Ввод!$B$4+1-SUMPRODUCT(MAX((Оплаты!$D$6:$D$505=A282)*(Оплаты!$A$6:$A$505&gt;Оплаты!$A$274)*(Ввод!$B$4+1-Оплаты!$A$6:$A$505)))))</f>
        <v/>
      </c>
      <c r="E282" s="14" t="str">
        <f>IF(A282="","",INDEX(Акты!$D$5:$D$16,B282)-SUMIFS(Оплаты!$B$6:$B$505,Оплаты!$D$6:$D$505,A282,Оплаты!$A$6:$A$505,"&lt;="&amp;Оплаты!$A$274))</f>
        <v/>
      </c>
      <c r="F282" s="14" t="str">
        <f>IF(G282="","",SUMPRODUCT(ROUND(E282*'По дням'!$L$6:$L$155/100*((((D282+'По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дням'!$J$6:$J$155)))/2+1)/'По дням'!$M$6:$M$155,2)*(1-'По дням'!$N$6:$N$155)))</f>
        <v/>
      </c>
      <c r="G282" s="22" t="str">
        <f t="shared" si="4"/>
        <v/>
      </c>
      <c r="H282" s="14" t="str">
        <f>IF(G282="","",SUMIFS(Оплаты!$B$6:$B$505,Оплаты!$D$6:$D$505,A282,Оплаты!$A$6:$A$505,D282))</f>
        <v/>
      </c>
      <c r="I282" t="str">
        <f>IF(G282="","",SUMPRODUCT((((((D282+'По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дням'!$J$6:$J$155)))/2+1)&gt;0)*1))</f>
        <v/>
      </c>
    </row>
    <row r="283" spans="1:9" x14ac:dyDescent="0.3">
      <c r="A283" t="str">
        <f>IF(AND(Оплаты!$E$275="ок",COUNTIFS(Акты!$B$5:$B$16,Оплаты!$D$275,Акты!$H$5:$H$16,"ок")&gt;0,COUNTIFS(Оплаты!$D$6:$D$274,Оплаты!$D$275,Оплаты!$A$6:$A$274,Оплаты!$A$275)=0),Оплаты!$D$275,"")</f>
        <v/>
      </c>
      <c r="B283" t="str">
        <f>IF(A283="","",MATCH(A283,Акты!$B$5:$B$16,0))</f>
        <v/>
      </c>
      <c r="C283" s="21" t="str">
        <f>IF(A283="","",Оплаты!$A$275+1)</f>
        <v/>
      </c>
      <c r="D283" s="21" t="str">
        <f>IF(A283="","",MIN(Ввод!$B$4,Ввод!$B$4+1-SUMPRODUCT(MAX((Оплаты!$D$6:$D$505=A283)*(Оплаты!$A$6:$A$505&gt;Оплаты!$A$275)*(Ввод!$B$4+1-Оплаты!$A$6:$A$505)))))</f>
        <v/>
      </c>
      <c r="E283" s="14" t="str">
        <f>IF(A283="","",INDEX(Акты!$D$5:$D$16,B283)-SUMIFS(Оплаты!$B$6:$B$505,Оплаты!$D$6:$D$505,A283,Оплаты!$A$6:$A$505,"&lt;="&amp;Оплаты!$A$275))</f>
        <v/>
      </c>
      <c r="F283" s="14" t="str">
        <f>IF(G283="","",SUMPRODUCT(ROUND(E283*'По дням'!$L$6:$L$155/100*((((D283+'По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дням'!$J$6:$J$155)))/2+1)/'По дням'!$M$6:$M$155,2)*(1-'По дням'!$N$6:$N$155)))</f>
        <v/>
      </c>
      <c r="G283" s="22" t="str">
        <f t="shared" si="4"/>
        <v/>
      </c>
      <c r="H283" s="14" t="str">
        <f>IF(G283="","",SUMIFS(Оплаты!$B$6:$B$505,Оплаты!$D$6:$D$505,A283,Оплаты!$A$6:$A$505,D283))</f>
        <v/>
      </c>
      <c r="I283" t="str">
        <f>IF(G283="","",SUMPRODUCT((((((D283+'По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дням'!$J$6:$J$155)))/2+1)&gt;0)*1))</f>
        <v/>
      </c>
    </row>
    <row r="284" spans="1:9" x14ac:dyDescent="0.3">
      <c r="A284" t="str">
        <f>IF(AND(Оплаты!$E$276="ок",COUNTIFS(Акты!$B$5:$B$16,Оплаты!$D$276,Акты!$H$5:$H$16,"ок")&gt;0,COUNTIFS(Оплаты!$D$6:$D$275,Оплаты!$D$276,Оплаты!$A$6:$A$275,Оплаты!$A$276)=0),Оплаты!$D$276,"")</f>
        <v/>
      </c>
      <c r="B284" t="str">
        <f>IF(A284="","",MATCH(A284,Акты!$B$5:$B$16,0))</f>
        <v/>
      </c>
      <c r="C284" s="21" t="str">
        <f>IF(A284="","",Оплаты!$A$276+1)</f>
        <v/>
      </c>
      <c r="D284" s="21" t="str">
        <f>IF(A284="","",MIN(Ввод!$B$4,Ввод!$B$4+1-SUMPRODUCT(MAX((Оплаты!$D$6:$D$505=A284)*(Оплаты!$A$6:$A$505&gt;Оплаты!$A$276)*(Ввод!$B$4+1-Оплаты!$A$6:$A$505)))))</f>
        <v/>
      </c>
      <c r="E284" s="14" t="str">
        <f>IF(A284="","",INDEX(Акты!$D$5:$D$16,B284)-SUMIFS(Оплаты!$B$6:$B$505,Оплаты!$D$6:$D$505,A284,Оплаты!$A$6:$A$505,"&lt;="&amp;Оплаты!$A$276))</f>
        <v/>
      </c>
      <c r="F284" s="14" t="str">
        <f>IF(G284="","",SUMPRODUCT(ROUND(E284*'По дням'!$L$6:$L$155/100*((((D284+'По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дням'!$J$6:$J$155)))/2+1)/'По дням'!$M$6:$M$155,2)*(1-'По дням'!$N$6:$N$155)))</f>
        <v/>
      </c>
      <c r="G284" s="22" t="str">
        <f t="shared" si="4"/>
        <v/>
      </c>
      <c r="H284" s="14" t="str">
        <f>IF(G284="","",SUMIFS(Оплаты!$B$6:$B$505,Оплаты!$D$6:$D$505,A284,Оплаты!$A$6:$A$505,D284))</f>
        <v/>
      </c>
      <c r="I284" t="str">
        <f>IF(G284="","",SUMPRODUCT((((((D284+'По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дням'!$J$6:$J$155)))/2+1)&gt;0)*1))</f>
        <v/>
      </c>
    </row>
    <row r="285" spans="1:9" x14ac:dyDescent="0.3">
      <c r="A285" t="str">
        <f>IF(AND(Оплаты!$E$277="ок",COUNTIFS(Акты!$B$5:$B$16,Оплаты!$D$277,Акты!$H$5:$H$16,"ок")&gt;0,COUNTIFS(Оплаты!$D$6:$D$276,Оплаты!$D$277,Оплаты!$A$6:$A$276,Оплаты!$A$277)=0),Оплаты!$D$277,"")</f>
        <v/>
      </c>
      <c r="B285" t="str">
        <f>IF(A285="","",MATCH(A285,Акты!$B$5:$B$16,0))</f>
        <v/>
      </c>
      <c r="C285" s="21" t="str">
        <f>IF(A285="","",Оплаты!$A$277+1)</f>
        <v/>
      </c>
      <c r="D285" s="21" t="str">
        <f>IF(A285="","",MIN(Ввод!$B$4,Ввод!$B$4+1-SUMPRODUCT(MAX((Оплаты!$D$6:$D$505=A285)*(Оплаты!$A$6:$A$505&gt;Оплаты!$A$277)*(Ввод!$B$4+1-Оплаты!$A$6:$A$505)))))</f>
        <v/>
      </c>
      <c r="E285" s="14" t="str">
        <f>IF(A285="","",INDEX(Акты!$D$5:$D$16,B285)-SUMIFS(Оплаты!$B$6:$B$505,Оплаты!$D$6:$D$505,A285,Оплаты!$A$6:$A$505,"&lt;="&amp;Оплаты!$A$277))</f>
        <v/>
      </c>
      <c r="F285" s="14" t="str">
        <f>IF(G285="","",SUMPRODUCT(ROUND(E285*'По дням'!$L$6:$L$155/100*((((D285+'По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дням'!$J$6:$J$155)))/2+1)/'По дням'!$M$6:$M$155,2)*(1-'По дням'!$N$6:$N$155)))</f>
        <v/>
      </c>
      <c r="G285" s="22" t="str">
        <f t="shared" si="4"/>
        <v/>
      </c>
      <c r="H285" s="14" t="str">
        <f>IF(G285="","",SUMIFS(Оплаты!$B$6:$B$505,Оплаты!$D$6:$D$505,A285,Оплаты!$A$6:$A$505,D285))</f>
        <v/>
      </c>
      <c r="I285" t="str">
        <f>IF(G285="","",SUMPRODUCT((((((D285+'По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дням'!$J$6:$J$155)))/2+1)&gt;0)*1))</f>
        <v/>
      </c>
    </row>
    <row r="286" spans="1:9" x14ac:dyDescent="0.3">
      <c r="A286" t="str">
        <f>IF(AND(Оплаты!$E$278="ок",COUNTIFS(Акты!$B$5:$B$16,Оплаты!$D$278,Акты!$H$5:$H$16,"ок")&gt;0,COUNTIFS(Оплаты!$D$6:$D$277,Оплаты!$D$278,Оплаты!$A$6:$A$277,Оплаты!$A$278)=0),Оплаты!$D$278,"")</f>
        <v/>
      </c>
      <c r="B286" t="str">
        <f>IF(A286="","",MATCH(A286,Акты!$B$5:$B$16,0))</f>
        <v/>
      </c>
      <c r="C286" s="21" t="str">
        <f>IF(A286="","",Оплаты!$A$278+1)</f>
        <v/>
      </c>
      <c r="D286" s="21" t="str">
        <f>IF(A286="","",MIN(Ввод!$B$4,Ввод!$B$4+1-SUMPRODUCT(MAX((Оплаты!$D$6:$D$505=A286)*(Оплаты!$A$6:$A$505&gt;Оплаты!$A$278)*(Ввод!$B$4+1-Оплаты!$A$6:$A$505)))))</f>
        <v/>
      </c>
      <c r="E286" s="14" t="str">
        <f>IF(A286="","",INDEX(Акты!$D$5:$D$16,B286)-SUMIFS(Оплаты!$B$6:$B$505,Оплаты!$D$6:$D$505,A286,Оплаты!$A$6:$A$505,"&lt;="&amp;Оплаты!$A$278))</f>
        <v/>
      </c>
      <c r="F286" s="14" t="str">
        <f>IF(G286="","",SUMPRODUCT(ROUND(E286*'По дням'!$L$6:$L$155/100*((((D286+'По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дням'!$J$6:$J$155)))/2+1)/'По дням'!$M$6:$M$155,2)*(1-'По дням'!$N$6:$N$155)))</f>
        <v/>
      </c>
      <c r="G286" s="22" t="str">
        <f t="shared" si="4"/>
        <v/>
      </c>
      <c r="H286" s="14" t="str">
        <f>IF(G286="","",SUMIFS(Оплаты!$B$6:$B$505,Оплаты!$D$6:$D$505,A286,Оплаты!$A$6:$A$505,D286))</f>
        <v/>
      </c>
      <c r="I286" t="str">
        <f>IF(G286="","",SUMPRODUCT((((((D286+'По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дням'!$J$6:$J$155)))/2+1)&gt;0)*1))</f>
        <v/>
      </c>
    </row>
    <row r="287" spans="1:9" x14ac:dyDescent="0.3">
      <c r="A287" t="str">
        <f>IF(AND(Оплаты!$E$279="ок",COUNTIFS(Акты!$B$5:$B$16,Оплаты!$D$279,Акты!$H$5:$H$16,"ок")&gt;0,COUNTIFS(Оплаты!$D$6:$D$278,Оплаты!$D$279,Оплаты!$A$6:$A$278,Оплаты!$A$279)=0),Оплаты!$D$279,"")</f>
        <v/>
      </c>
      <c r="B287" t="str">
        <f>IF(A287="","",MATCH(A287,Акты!$B$5:$B$16,0))</f>
        <v/>
      </c>
      <c r="C287" s="21" t="str">
        <f>IF(A287="","",Оплаты!$A$279+1)</f>
        <v/>
      </c>
      <c r="D287" s="21" t="str">
        <f>IF(A287="","",MIN(Ввод!$B$4,Ввод!$B$4+1-SUMPRODUCT(MAX((Оплаты!$D$6:$D$505=A287)*(Оплаты!$A$6:$A$505&gt;Оплаты!$A$279)*(Ввод!$B$4+1-Оплаты!$A$6:$A$505)))))</f>
        <v/>
      </c>
      <c r="E287" s="14" t="str">
        <f>IF(A287="","",INDEX(Акты!$D$5:$D$16,B287)-SUMIFS(Оплаты!$B$6:$B$505,Оплаты!$D$6:$D$505,A287,Оплаты!$A$6:$A$505,"&lt;="&amp;Оплаты!$A$279))</f>
        <v/>
      </c>
      <c r="F287" s="14" t="str">
        <f>IF(G287="","",SUMPRODUCT(ROUND(E287*'По дням'!$L$6:$L$155/100*((((D287+'По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дням'!$J$6:$J$155)))/2+1)/'По дням'!$M$6:$M$155,2)*(1-'По дням'!$N$6:$N$155)))</f>
        <v/>
      </c>
      <c r="G287" s="22" t="str">
        <f t="shared" si="4"/>
        <v/>
      </c>
      <c r="H287" s="14" t="str">
        <f>IF(G287="","",SUMIFS(Оплаты!$B$6:$B$505,Оплаты!$D$6:$D$505,A287,Оплаты!$A$6:$A$505,D287))</f>
        <v/>
      </c>
      <c r="I287" t="str">
        <f>IF(G287="","",SUMPRODUCT((((((D287+'По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дням'!$J$6:$J$155)))/2+1)&gt;0)*1))</f>
        <v/>
      </c>
    </row>
    <row r="288" spans="1:9" x14ac:dyDescent="0.3">
      <c r="A288" t="str">
        <f>IF(AND(Оплаты!$E$280="ок",COUNTIFS(Акты!$B$5:$B$16,Оплаты!$D$280,Акты!$H$5:$H$16,"ок")&gt;0,COUNTIFS(Оплаты!$D$6:$D$279,Оплаты!$D$280,Оплаты!$A$6:$A$279,Оплаты!$A$280)=0),Оплаты!$D$280,"")</f>
        <v/>
      </c>
      <c r="B288" t="str">
        <f>IF(A288="","",MATCH(A288,Акты!$B$5:$B$16,0))</f>
        <v/>
      </c>
      <c r="C288" s="21" t="str">
        <f>IF(A288="","",Оплаты!$A$280+1)</f>
        <v/>
      </c>
      <c r="D288" s="21" t="str">
        <f>IF(A288="","",MIN(Ввод!$B$4,Ввод!$B$4+1-SUMPRODUCT(MAX((Оплаты!$D$6:$D$505=A288)*(Оплаты!$A$6:$A$505&gt;Оплаты!$A$280)*(Ввод!$B$4+1-Оплаты!$A$6:$A$505)))))</f>
        <v/>
      </c>
      <c r="E288" s="14" t="str">
        <f>IF(A288="","",INDEX(Акты!$D$5:$D$16,B288)-SUMIFS(Оплаты!$B$6:$B$505,Оплаты!$D$6:$D$505,A288,Оплаты!$A$6:$A$505,"&lt;="&amp;Оплаты!$A$280))</f>
        <v/>
      </c>
      <c r="F288" s="14" t="str">
        <f>IF(G288="","",SUMPRODUCT(ROUND(E288*'По дням'!$L$6:$L$155/100*((((D288+'По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дням'!$J$6:$J$155)))/2+1)/'По дням'!$M$6:$M$155,2)*(1-'По дням'!$N$6:$N$155)))</f>
        <v/>
      </c>
      <c r="G288" s="22" t="str">
        <f t="shared" si="4"/>
        <v/>
      </c>
      <c r="H288" s="14" t="str">
        <f>IF(G288="","",SUMIFS(Оплаты!$B$6:$B$505,Оплаты!$D$6:$D$505,A288,Оплаты!$A$6:$A$505,D288))</f>
        <v/>
      </c>
      <c r="I288" t="str">
        <f>IF(G288="","",SUMPRODUCT((((((D288+'По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дням'!$J$6:$J$155)))/2+1)&gt;0)*1))</f>
        <v/>
      </c>
    </row>
    <row r="289" spans="1:9" x14ac:dyDescent="0.3">
      <c r="A289" t="str">
        <f>IF(AND(Оплаты!$E$281="ок",COUNTIFS(Акты!$B$5:$B$16,Оплаты!$D$281,Акты!$H$5:$H$16,"ок")&gt;0,COUNTIFS(Оплаты!$D$6:$D$280,Оплаты!$D$281,Оплаты!$A$6:$A$280,Оплаты!$A$281)=0),Оплаты!$D$281,"")</f>
        <v/>
      </c>
      <c r="B289" t="str">
        <f>IF(A289="","",MATCH(A289,Акты!$B$5:$B$16,0))</f>
        <v/>
      </c>
      <c r="C289" s="21" t="str">
        <f>IF(A289="","",Оплаты!$A$281+1)</f>
        <v/>
      </c>
      <c r="D289" s="21" t="str">
        <f>IF(A289="","",MIN(Ввод!$B$4,Ввод!$B$4+1-SUMPRODUCT(MAX((Оплаты!$D$6:$D$505=A289)*(Оплаты!$A$6:$A$505&gt;Оплаты!$A$281)*(Ввод!$B$4+1-Оплаты!$A$6:$A$505)))))</f>
        <v/>
      </c>
      <c r="E289" s="14" t="str">
        <f>IF(A289="","",INDEX(Акты!$D$5:$D$16,B289)-SUMIFS(Оплаты!$B$6:$B$505,Оплаты!$D$6:$D$505,A289,Оплаты!$A$6:$A$505,"&lt;="&amp;Оплаты!$A$281))</f>
        <v/>
      </c>
      <c r="F289" s="14" t="str">
        <f>IF(G289="","",SUMPRODUCT(ROUND(E289*'По дням'!$L$6:$L$155/100*((((D289+'По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дням'!$J$6:$J$155)))/2+1)/'По дням'!$M$6:$M$155,2)*(1-'По дням'!$N$6:$N$155)))</f>
        <v/>
      </c>
      <c r="G289" s="22" t="str">
        <f t="shared" si="4"/>
        <v/>
      </c>
      <c r="H289" s="14" t="str">
        <f>IF(G289="","",SUMIFS(Оплаты!$B$6:$B$505,Оплаты!$D$6:$D$505,A289,Оплаты!$A$6:$A$505,D289))</f>
        <v/>
      </c>
      <c r="I289" t="str">
        <f>IF(G289="","",SUMPRODUCT((((((D289+'По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дням'!$J$6:$J$155)))/2+1)&gt;0)*1))</f>
        <v/>
      </c>
    </row>
    <row r="290" spans="1:9" x14ac:dyDescent="0.3">
      <c r="A290" t="str">
        <f>IF(AND(Оплаты!$E$282="ок",COUNTIFS(Акты!$B$5:$B$16,Оплаты!$D$282,Акты!$H$5:$H$16,"ок")&gt;0,COUNTIFS(Оплаты!$D$6:$D$281,Оплаты!$D$282,Оплаты!$A$6:$A$281,Оплаты!$A$282)=0),Оплаты!$D$282,"")</f>
        <v/>
      </c>
      <c r="B290" t="str">
        <f>IF(A290="","",MATCH(A290,Акты!$B$5:$B$16,0))</f>
        <v/>
      </c>
      <c r="C290" s="21" t="str">
        <f>IF(A290="","",Оплаты!$A$282+1)</f>
        <v/>
      </c>
      <c r="D290" s="21" t="str">
        <f>IF(A290="","",MIN(Ввод!$B$4,Ввод!$B$4+1-SUMPRODUCT(MAX((Оплаты!$D$6:$D$505=A290)*(Оплаты!$A$6:$A$505&gt;Оплаты!$A$282)*(Ввод!$B$4+1-Оплаты!$A$6:$A$505)))))</f>
        <v/>
      </c>
      <c r="E290" s="14" t="str">
        <f>IF(A290="","",INDEX(Акты!$D$5:$D$16,B290)-SUMIFS(Оплаты!$B$6:$B$505,Оплаты!$D$6:$D$505,A290,Оплаты!$A$6:$A$505,"&lt;="&amp;Оплаты!$A$282))</f>
        <v/>
      </c>
      <c r="F290" s="14" t="str">
        <f>IF(G290="","",SUMPRODUCT(ROUND(E290*'По дням'!$L$6:$L$155/100*((((D290+'По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дням'!$J$6:$J$155)))/2+1)/'По дням'!$M$6:$M$155,2)*(1-'По дням'!$N$6:$N$155)))</f>
        <v/>
      </c>
      <c r="G290" s="22" t="str">
        <f t="shared" si="4"/>
        <v/>
      </c>
      <c r="H290" s="14" t="str">
        <f>IF(G290="","",SUMIFS(Оплаты!$B$6:$B$505,Оплаты!$D$6:$D$505,A290,Оплаты!$A$6:$A$505,D290))</f>
        <v/>
      </c>
      <c r="I290" t="str">
        <f>IF(G290="","",SUMPRODUCT((((((D290+'По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дням'!$J$6:$J$155)))/2+1)&gt;0)*1))</f>
        <v/>
      </c>
    </row>
    <row r="291" spans="1:9" x14ac:dyDescent="0.3">
      <c r="A291" t="str">
        <f>IF(AND(Оплаты!$E$283="ок",COUNTIFS(Акты!$B$5:$B$16,Оплаты!$D$283,Акты!$H$5:$H$16,"ок")&gt;0,COUNTIFS(Оплаты!$D$6:$D$282,Оплаты!$D$283,Оплаты!$A$6:$A$282,Оплаты!$A$283)=0),Оплаты!$D$283,"")</f>
        <v/>
      </c>
      <c r="B291" t="str">
        <f>IF(A291="","",MATCH(A291,Акты!$B$5:$B$16,0))</f>
        <v/>
      </c>
      <c r="C291" s="21" t="str">
        <f>IF(A291="","",Оплаты!$A$283+1)</f>
        <v/>
      </c>
      <c r="D291" s="21" t="str">
        <f>IF(A291="","",MIN(Ввод!$B$4,Ввод!$B$4+1-SUMPRODUCT(MAX((Оплаты!$D$6:$D$505=A291)*(Оплаты!$A$6:$A$505&gt;Оплаты!$A$283)*(Ввод!$B$4+1-Оплаты!$A$6:$A$505)))))</f>
        <v/>
      </c>
      <c r="E291" s="14" t="str">
        <f>IF(A291="","",INDEX(Акты!$D$5:$D$16,B291)-SUMIFS(Оплаты!$B$6:$B$505,Оплаты!$D$6:$D$505,A291,Оплаты!$A$6:$A$505,"&lt;="&amp;Оплаты!$A$283))</f>
        <v/>
      </c>
      <c r="F291" s="14" t="str">
        <f>IF(G291="","",SUMPRODUCT(ROUND(E291*'По дням'!$L$6:$L$155/100*((((D291+'По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дням'!$J$6:$J$155)))/2+1)/'По дням'!$M$6:$M$155,2)*(1-'По дням'!$N$6:$N$155)))</f>
        <v/>
      </c>
      <c r="G291" s="22" t="str">
        <f t="shared" si="4"/>
        <v/>
      </c>
      <c r="H291" s="14" t="str">
        <f>IF(G291="","",SUMIFS(Оплаты!$B$6:$B$505,Оплаты!$D$6:$D$505,A291,Оплаты!$A$6:$A$505,D291))</f>
        <v/>
      </c>
      <c r="I291" t="str">
        <f>IF(G291="","",SUMPRODUCT((((((D291+'По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дням'!$J$6:$J$155)))/2+1)&gt;0)*1))</f>
        <v/>
      </c>
    </row>
    <row r="292" spans="1:9" x14ac:dyDescent="0.3">
      <c r="A292" t="str">
        <f>IF(AND(Оплаты!$E$284="ок",COUNTIFS(Акты!$B$5:$B$16,Оплаты!$D$284,Акты!$H$5:$H$16,"ок")&gt;0,COUNTIFS(Оплаты!$D$6:$D$283,Оплаты!$D$284,Оплаты!$A$6:$A$283,Оплаты!$A$284)=0),Оплаты!$D$284,"")</f>
        <v/>
      </c>
      <c r="B292" t="str">
        <f>IF(A292="","",MATCH(A292,Акты!$B$5:$B$16,0))</f>
        <v/>
      </c>
      <c r="C292" s="21" t="str">
        <f>IF(A292="","",Оплаты!$A$284+1)</f>
        <v/>
      </c>
      <c r="D292" s="21" t="str">
        <f>IF(A292="","",MIN(Ввод!$B$4,Ввод!$B$4+1-SUMPRODUCT(MAX((Оплаты!$D$6:$D$505=A292)*(Оплаты!$A$6:$A$505&gt;Оплаты!$A$284)*(Ввод!$B$4+1-Оплаты!$A$6:$A$505)))))</f>
        <v/>
      </c>
      <c r="E292" s="14" t="str">
        <f>IF(A292="","",INDEX(Акты!$D$5:$D$16,B292)-SUMIFS(Оплаты!$B$6:$B$505,Оплаты!$D$6:$D$505,A292,Оплаты!$A$6:$A$505,"&lt;="&amp;Оплаты!$A$284))</f>
        <v/>
      </c>
      <c r="F292" s="14" t="str">
        <f>IF(G292="","",SUMPRODUCT(ROUND(E292*'По дням'!$L$6:$L$155/100*((((D292+'По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дням'!$J$6:$J$155)))/2+1)/'По дням'!$M$6:$M$155,2)*(1-'По дням'!$N$6:$N$155)))</f>
        <v/>
      </c>
      <c r="G292" s="22" t="str">
        <f t="shared" si="4"/>
        <v/>
      </c>
      <c r="H292" s="14" t="str">
        <f>IF(G292="","",SUMIFS(Оплаты!$B$6:$B$505,Оплаты!$D$6:$D$505,A292,Оплаты!$A$6:$A$505,D292))</f>
        <v/>
      </c>
      <c r="I292" t="str">
        <f>IF(G292="","",SUMPRODUCT((((((D292+'По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дням'!$J$6:$J$155)))/2+1)&gt;0)*1))</f>
        <v/>
      </c>
    </row>
    <row r="293" spans="1:9" x14ac:dyDescent="0.3">
      <c r="A293" t="str">
        <f>IF(AND(Оплаты!$E$285="ок",COUNTIFS(Акты!$B$5:$B$16,Оплаты!$D$285,Акты!$H$5:$H$16,"ок")&gt;0,COUNTIFS(Оплаты!$D$6:$D$284,Оплаты!$D$285,Оплаты!$A$6:$A$284,Оплаты!$A$285)=0),Оплаты!$D$285,"")</f>
        <v/>
      </c>
      <c r="B293" t="str">
        <f>IF(A293="","",MATCH(A293,Акты!$B$5:$B$16,0))</f>
        <v/>
      </c>
      <c r="C293" s="21" t="str">
        <f>IF(A293="","",Оплаты!$A$285+1)</f>
        <v/>
      </c>
      <c r="D293" s="21" t="str">
        <f>IF(A293="","",MIN(Ввод!$B$4,Ввод!$B$4+1-SUMPRODUCT(MAX((Оплаты!$D$6:$D$505=A293)*(Оплаты!$A$6:$A$505&gt;Оплаты!$A$285)*(Ввод!$B$4+1-Оплаты!$A$6:$A$505)))))</f>
        <v/>
      </c>
      <c r="E293" s="14" t="str">
        <f>IF(A293="","",INDEX(Акты!$D$5:$D$16,B293)-SUMIFS(Оплаты!$B$6:$B$505,Оплаты!$D$6:$D$505,A293,Оплаты!$A$6:$A$505,"&lt;="&amp;Оплаты!$A$285))</f>
        <v/>
      </c>
      <c r="F293" s="14" t="str">
        <f>IF(G293="","",SUMPRODUCT(ROUND(E293*'По дням'!$L$6:$L$155/100*((((D293+'По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дням'!$J$6:$J$155)))/2+1)/'По дням'!$M$6:$M$155,2)*(1-'По дням'!$N$6:$N$155)))</f>
        <v/>
      </c>
      <c r="G293" s="22" t="str">
        <f t="shared" si="4"/>
        <v/>
      </c>
      <c r="H293" s="14" t="str">
        <f>IF(G293="","",SUMIFS(Оплаты!$B$6:$B$505,Оплаты!$D$6:$D$505,A293,Оплаты!$A$6:$A$505,D293))</f>
        <v/>
      </c>
      <c r="I293" t="str">
        <f>IF(G293="","",SUMPRODUCT((((((D293+'По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дням'!$J$6:$J$155)))/2+1)&gt;0)*1))</f>
        <v/>
      </c>
    </row>
    <row r="294" spans="1:9" x14ac:dyDescent="0.3">
      <c r="A294" t="str">
        <f>IF(AND(Оплаты!$E$286="ок",COUNTIFS(Акты!$B$5:$B$16,Оплаты!$D$286,Акты!$H$5:$H$16,"ок")&gt;0,COUNTIFS(Оплаты!$D$6:$D$285,Оплаты!$D$286,Оплаты!$A$6:$A$285,Оплаты!$A$286)=0),Оплаты!$D$286,"")</f>
        <v/>
      </c>
      <c r="B294" t="str">
        <f>IF(A294="","",MATCH(A294,Акты!$B$5:$B$16,0))</f>
        <v/>
      </c>
      <c r="C294" s="21" t="str">
        <f>IF(A294="","",Оплаты!$A$286+1)</f>
        <v/>
      </c>
      <c r="D294" s="21" t="str">
        <f>IF(A294="","",MIN(Ввод!$B$4,Ввод!$B$4+1-SUMPRODUCT(MAX((Оплаты!$D$6:$D$505=A294)*(Оплаты!$A$6:$A$505&gt;Оплаты!$A$286)*(Ввод!$B$4+1-Оплаты!$A$6:$A$505)))))</f>
        <v/>
      </c>
      <c r="E294" s="14" t="str">
        <f>IF(A294="","",INDEX(Акты!$D$5:$D$16,B294)-SUMIFS(Оплаты!$B$6:$B$505,Оплаты!$D$6:$D$505,A294,Оплаты!$A$6:$A$505,"&lt;="&amp;Оплаты!$A$286))</f>
        <v/>
      </c>
      <c r="F294" s="14" t="str">
        <f>IF(G294="","",SUMPRODUCT(ROUND(E294*'По дням'!$L$6:$L$155/100*((((D294+'По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дням'!$J$6:$J$155)))/2+1)/'По дням'!$M$6:$M$155,2)*(1-'По дням'!$N$6:$N$155)))</f>
        <v/>
      </c>
      <c r="G294" s="22" t="str">
        <f t="shared" si="4"/>
        <v/>
      </c>
      <c r="H294" s="14" t="str">
        <f>IF(G294="","",SUMIFS(Оплаты!$B$6:$B$505,Оплаты!$D$6:$D$505,A294,Оплаты!$A$6:$A$505,D294))</f>
        <v/>
      </c>
      <c r="I294" t="str">
        <f>IF(G294="","",SUMPRODUCT((((((D294+'По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дням'!$J$6:$J$155)))/2+1)&gt;0)*1))</f>
        <v/>
      </c>
    </row>
    <row r="295" spans="1:9" x14ac:dyDescent="0.3">
      <c r="A295" t="str">
        <f>IF(AND(Оплаты!$E$287="ок",COUNTIFS(Акты!$B$5:$B$16,Оплаты!$D$287,Акты!$H$5:$H$16,"ок")&gt;0,COUNTIFS(Оплаты!$D$6:$D$286,Оплаты!$D$287,Оплаты!$A$6:$A$286,Оплаты!$A$287)=0),Оплаты!$D$287,"")</f>
        <v/>
      </c>
      <c r="B295" t="str">
        <f>IF(A295="","",MATCH(A295,Акты!$B$5:$B$16,0))</f>
        <v/>
      </c>
      <c r="C295" s="21" t="str">
        <f>IF(A295="","",Оплаты!$A$287+1)</f>
        <v/>
      </c>
      <c r="D295" s="21" t="str">
        <f>IF(A295="","",MIN(Ввод!$B$4,Ввод!$B$4+1-SUMPRODUCT(MAX((Оплаты!$D$6:$D$505=A295)*(Оплаты!$A$6:$A$505&gt;Оплаты!$A$287)*(Ввод!$B$4+1-Оплаты!$A$6:$A$505)))))</f>
        <v/>
      </c>
      <c r="E295" s="14" t="str">
        <f>IF(A295="","",INDEX(Акты!$D$5:$D$16,B295)-SUMIFS(Оплаты!$B$6:$B$505,Оплаты!$D$6:$D$505,A295,Оплаты!$A$6:$A$505,"&lt;="&amp;Оплаты!$A$287))</f>
        <v/>
      </c>
      <c r="F295" s="14" t="str">
        <f>IF(G295="","",SUMPRODUCT(ROUND(E295*'По дням'!$L$6:$L$155/100*((((D295+'По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дням'!$J$6:$J$155)))/2+1)/'По дням'!$M$6:$M$155,2)*(1-'По дням'!$N$6:$N$155)))</f>
        <v/>
      </c>
      <c r="G295" s="22" t="str">
        <f t="shared" si="4"/>
        <v/>
      </c>
      <c r="H295" s="14" t="str">
        <f>IF(G295="","",SUMIFS(Оплаты!$B$6:$B$505,Оплаты!$D$6:$D$505,A295,Оплаты!$A$6:$A$505,D295))</f>
        <v/>
      </c>
      <c r="I295" t="str">
        <f>IF(G295="","",SUMPRODUCT((((((D295+'По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дням'!$J$6:$J$155)))/2+1)&gt;0)*1))</f>
        <v/>
      </c>
    </row>
    <row r="296" spans="1:9" x14ac:dyDescent="0.3">
      <c r="A296" t="str">
        <f>IF(AND(Оплаты!$E$288="ок",COUNTIFS(Акты!$B$5:$B$16,Оплаты!$D$288,Акты!$H$5:$H$16,"ок")&gt;0,COUNTIFS(Оплаты!$D$6:$D$287,Оплаты!$D$288,Оплаты!$A$6:$A$287,Оплаты!$A$288)=0),Оплаты!$D$288,"")</f>
        <v/>
      </c>
      <c r="B296" t="str">
        <f>IF(A296="","",MATCH(A296,Акты!$B$5:$B$16,0))</f>
        <v/>
      </c>
      <c r="C296" s="21" t="str">
        <f>IF(A296="","",Оплаты!$A$288+1)</f>
        <v/>
      </c>
      <c r="D296" s="21" t="str">
        <f>IF(A296="","",MIN(Ввод!$B$4,Ввод!$B$4+1-SUMPRODUCT(MAX((Оплаты!$D$6:$D$505=A296)*(Оплаты!$A$6:$A$505&gt;Оплаты!$A$288)*(Ввод!$B$4+1-Оплаты!$A$6:$A$505)))))</f>
        <v/>
      </c>
      <c r="E296" s="14" t="str">
        <f>IF(A296="","",INDEX(Акты!$D$5:$D$16,B296)-SUMIFS(Оплаты!$B$6:$B$505,Оплаты!$D$6:$D$505,A296,Оплаты!$A$6:$A$505,"&lt;="&amp;Оплаты!$A$288))</f>
        <v/>
      </c>
      <c r="F296" s="14" t="str">
        <f>IF(G296="","",SUMPRODUCT(ROUND(E296*'По дням'!$L$6:$L$155/100*((((D296+'По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дням'!$J$6:$J$155)))/2+1)/'По дням'!$M$6:$M$155,2)*(1-'По дням'!$N$6:$N$155)))</f>
        <v/>
      </c>
      <c r="G296" s="22" t="str">
        <f t="shared" si="4"/>
        <v/>
      </c>
      <c r="H296" s="14" t="str">
        <f>IF(G296="","",SUMIFS(Оплаты!$B$6:$B$505,Оплаты!$D$6:$D$505,A296,Оплаты!$A$6:$A$505,D296))</f>
        <v/>
      </c>
      <c r="I296" t="str">
        <f>IF(G296="","",SUMPRODUCT((((((D296+'По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дням'!$J$6:$J$155)))/2+1)&gt;0)*1))</f>
        <v/>
      </c>
    </row>
    <row r="297" spans="1:9" x14ac:dyDescent="0.3">
      <c r="A297" t="str">
        <f>IF(AND(Оплаты!$E$289="ок",COUNTIFS(Акты!$B$5:$B$16,Оплаты!$D$289,Акты!$H$5:$H$16,"ок")&gt;0,COUNTIFS(Оплаты!$D$6:$D$288,Оплаты!$D$289,Оплаты!$A$6:$A$288,Оплаты!$A$289)=0),Оплаты!$D$289,"")</f>
        <v/>
      </c>
      <c r="B297" t="str">
        <f>IF(A297="","",MATCH(A297,Акты!$B$5:$B$16,0))</f>
        <v/>
      </c>
      <c r="C297" s="21" t="str">
        <f>IF(A297="","",Оплаты!$A$289+1)</f>
        <v/>
      </c>
      <c r="D297" s="21" t="str">
        <f>IF(A297="","",MIN(Ввод!$B$4,Ввод!$B$4+1-SUMPRODUCT(MAX((Оплаты!$D$6:$D$505=A297)*(Оплаты!$A$6:$A$505&gt;Оплаты!$A$289)*(Ввод!$B$4+1-Оплаты!$A$6:$A$505)))))</f>
        <v/>
      </c>
      <c r="E297" s="14" t="str">
        <f>IF(A297="","",INDEX(Акты!$D$5:$D$16,B297)-SUMIFS(Оплаты!$B$6:$B$505,Оплаты!$D$6:$D$505,A297,Оплаты!$A$6:$A$505,"&lt;="&amp;Оплаты!$A$289))</f>
        <v/>
      </c>
      <c r="F297" s="14" t="str">
        <f>IF(G297="","",SUMPRODUCT(ROUND(E297*'По дням'!$L$6:$L$155/100*((((D297+'По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дням'!$J$6:$J$155)))/2+1)/'По дням'!$M$6:$M$155,2)*(1-'По дням'!$N$6:$N$155)))</f>
        <v/>
      </c>
      <c r="G297" s="22" t="str">
        <f t="shared" si="4"/>
        <v/>
      </c>
      <c r="H297" s="14" t="str">
        <f>IF(G297="","",SUMIFS(Оплаты!$B$6:$B$505,Оплаты!$D$6:$D$505,A297,Оплаты!$A$6:$A$505,D297))</f>
        <v/>
      </c>
      <c r="I297" t="str">
        <f>IF(G297="","",SUMPRODUCT((((((D297+'По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дням'!$J$6:$J$155)))/2+1)&gt;0)*1))</f>
        <v/>
      </c>
    </row>
    <row r="298" spans="1:9" x14ac:dyDescent="0.3">
      <c r="A298" t="str">
        <f>IF(AND(Оплаты!$E$290="ок",COUNTIFS(Акты!$B$5:$B$16,Оплаты!$D$290,Акты!$H$5:$H$16,"ок")&gt;0,COUNTIFS(Оплаты!$D$6:$D$289,Оплаты!$D$290,Оплаты!$A$6:$A$289,Оплаты!$A$290)=0),Оплаты!$D$290,"")</f>
        <v/>
      </c>
      <c r="B298" t="str">
        <f>IF(A298="","",MATCH(A298,Акты!$B$5:$B$16,0))</f>
        <v/>
      </c>
      <c r="C298" s="21" t="str">
        <f>IF(A298="","",Оплаты!$A$290+1)</f>
        <v/>
      </c>
      <c r="D298" s="21" t="str">
        <f>IF(A298="","",MIN(Ввод!$B$4,Ввод!$B$4+1-SUMPRODUCT(MAX((Оплаты!$D$6:$D$505=A298)*(Оплаты!$A$6:$A$505&gt;Оплаты!$A$290)*(Ввод!$B$4+1-Оплаты!$A$6:$A$505)))))</f>
        <v/>
      </c>
      <c r="E298" s="14" t="str">
        <f>IF(A298="","",INDEX(Акты!$D$5:$D$16,B298)-SUMIFS(Оплаты!$B$6:$B$505,Оплаты!$D$6:$D$505,A298,Оплаты!$A$6:$A$505,"&lt;="&amp;Оплаты!$A$290))</f>
        <v/>
      </c>
      <c r="F298" s="14" t="str">
        <f>IF(G298="","",SUMPRODUCT(ROUND(E298*'По дням'!$L$6:$L$155/100*((((D298+'По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дням'!$J$6:$J$155)))/2+1)/'По дням'!$M$6:$M$155,2)*(1-'По дням'!$N$6:$N$155)))</f>
        <v/>
      </c>
      <c r="G298" s="22" t="str">
        <f t="shared" si="4"/>
        <v/>
      </c>
      <c r="H298" s="14" t="str">
        <f>IF(G298="","",SUMIFS(Оплаты!$B$6:$B$505,Оплаты!$D$6:$D$505,A298,Оплаты!$A$6:$A$505,D298))</f>
        <v/>
      </c>
      <c r="I298" t="str">
        <f>IF(G298="","",SUMPRODUCT((((((D298+'По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дням'!$J$6:$J$155)))/2+1)&gt;0)*1))</f>
        <v/>
      </c>
    </row>
    <row r="299" spans="1:9" x14ac:dyDescent="0.3">
      <c r="A299" t="str">
        <f>IF(AND(Оплаты!$E$291="ок",COUNTIFS(Акты!$B$5:$B$16,Оплаты!$D$291,Акты!$H$5:$H$16,"ок")&gt;0,COUNTIFS(Оплаты!$D$6:$D$290,Оплаты!$D$291,Оплаты!$A$6:$A$290,Оплаты!$A$291)=0),Оплаты!$D$291,"")</f>
        <v/>
      </c>
      <c r="B299" t="str">
        <f>IF(A299="","",MATCH(A299,Акты!$B$5:$B$16,0))</f>
        <v/>
      </c>
      <c r="C299" s="21" t="str">
        <f>IF(A299="","",Оплаты!$A$291+1)</f>
        <v/>
      </c>
      <c r="D299" s="21" t="str">
        <f>IF(A299="","",MIN(Ввод!$B$4,Ввод!$B$4+1-SUMPRODUCT(MAX((Оплаты!$D$6:$D$505=A299)*(Оплаты!$A$6:$A$505&gt;Оплаты!$A$291)*(Ввод!$B$4+1-Оплаты!$A$6:$A$505)))))</f>
        <v/>
      </c>
      <c r="E299" s="14" t="str">
        <f>IF(A299="","",INDEX(Акты!$D$5:$D$16,B299)-SUMIFS(Оплаты!$B$6:$B$505,Оплаты!$D$6:$D$505,A299,Оплаты!$A$6:$A$505,"&lt;="&amp;Оплаты!$A$291))</f>
        <v/>
      </c>
      <c r="F299" s="14" t="str">
        <f>IF(G299="","",SUMPRODUCT(ROUND(E299*'По дням'!$L$6:$L$155/100*((((D299+'По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дням'!$J$6:$J$155)))/2+1)/'По дням'!$M$6:$M$155,2)*(1-'По дням'!$N$6:$N$155)))</f>
        <v/>
      </c>
      <c r="G299" s="22" t="str">
        <f t="shared" si="4"/>
        <v/>
      </c>
      <c r="H299" s="14" t="str">
        <f>IF(G299="","",SUMIFS(Оплаты!$B$6:$B$505,Оплаты!$D$6:$D$505,A299,Оплаты!$A$6:$A$505,D299))</f>
        <v/>
      </c>
      <c r="I299" t="str">
        <f>IF(G299="","",SUMPRODUCT((((((D299+'По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дням'!$J$6:$J$155)))/2+1)&gt;0)*1))</f>
        <v/>
      </c>
    </row>
    <row r="300" spans="1:9" x14ac:dyDescent="0.3">
      <c r="A300" t="str">
        <f>IF(AND(Оплаты!$E$292="ок",COUNTIFS(Акты!$B$5:$B$16,Оплаты!$D$292,Акты!$H$5:$H$16,"ок")&gt;0,COUNTIFS(Оплаты!$D$6:$D$291,Оплаты!$D$292,Оплаты!$A$6:$A$291,Оплаты!$A$292)=0),Оплаты!$D$292,"")</f>
        <v/>
      </c>
      <c r="B300" t="str">
        <f>IF(A300="","",MATCH(A300,Акты!$B$5:$B$16,0))</f>
        <v/>
      </c>
      <c r="C300" s="21" t="str">
        <f>IF(A300="","",Оплаты!$A$292+1)</f>
        <v/>
      </c>
      <c r="D300" s="21" t="str">
        <f>IF(A300="","",MIN(Ввод!$B$4,Ввод!$B$4+1-SUMPRODUCT(MAX((Оплаты!$D$6:$D$505=A300)*(Оплаты!$A$6:$A$505&gt;Оплаты!$A$292)*(Ввод!$B$4+1-Оплаты!$A$6:$A$505)))))</f>
        <v/>
      </c>
      <c r="E300" s="14" t="str">
        <f>IF(A300="","",INDEX(Акты!$D$5:$D$16,B300)-SUMIFS(Оплаты!$B$6:$B$505,Оплаты!$D$6:$D$505,A300,Оплаты!$A$6:$A$505,"&lt;="&amp;Оплаты!$A$292))</f>
        <v/>
      </c>
      <c r="F300" s="14" t="str">
        <f>IF(G300="","",SUMPRODUCT(ROUND(E300*'По дням'!$L$6:$L$155/100*((((D300+'По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дням'!$J$6:$J$155)))/2+1)/'По дням'!$M$6:$M$155,2)*(1-'По дням'!$N$6:$N$155)))</f>
        <v/>
      </c>
      <c r="G300" s="22" t="str">
        <f t="shared" si="4"/>
        <v/>
      </c>
      <c r="H300" s="14" t="str">
        <f>IF(G300="","",SUMIFS(Оплаты!$B$6:$B$505,Оплаты!$D$6:$D$505,A300,Оплаты!$A$6:$A$505,D300))</f>
        <v/>
      </c>
      <c r="I300" t="str">
        <f>IF(G300="","",SUMPRODUCT((((((D300+'По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дням'!$J$6:$J$155)))/2+1)&gt;0)*1))</f>
        <v/>
      </c>
    </row>
    <row r="301" spans="1:9" x14ac:dyDescent="0.3">
      <c r="A301" t="str">
        <f>IF(AND(Оплаты!$E$293="ок",COUNTIFS(Акты!$B$5:$B$16,Оплаты!$D$293,Акты!$H$5:$H$16,"ок")&gt;0,COUNTIFS(Оплаты!$D$6:$D$292,Оплаты!$D$293,Оплаты!$A$6:$A$292,Оплаты!$A$293)=0),Оплаты!$D$293,"")</f>
        <v/>
      </c>
      <c r="B301" t="str">
        <f>IF(A301="","",MATCH(A301,Акты!$B$5:$B$16,0))</f>
        <v/>
      </c>
      <c r="C301" s="21" t="str">
        <f>IF(A301="","",Оплаты!$A$293+1)</f>
        <v/>
      </c>
      <c r="D301" s="21" t="str">
        <f>IF(A301="","",MIN(Ввод!$B$4,Ввод!$B$4+1-SUMPRODUCT(MAX((Оплаты!$D$6:$D$505=A301)*(Оплаты!$A$6:$A$505&gt;Оплаты!$A$293)*(Ввод!$B$4+1-Оплаты!$A$6:$A$505)))))</f>
        <v/>
      </c>
      <c r="E301" s="14" t="str">
        <f>IF(A301="","",INDEX(Акты!$D$5:$D$16,B301)-SUMIFS(Оплаты!$B$6:$B$505,Оплаты!$D$6:$D$505,A301,Оплаты!$A$6:$A$505,"&lt;="&amp;Оплаты!$A$293))</f>
        <v/>
      </c>
      <c r="F301" s="14" t="str">
        <f>IF(G301="","",SUMPRODUCT(ROUND(E301*'По дням'!$L$6:$L$155/100*((((D301+'По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дням'!$J$6:$J$155)))/2+1)/'По дням'!$M$6:$M$155,2)*(1-'По дням'!$N$6:$N$155)))</f>
        <v/>
      </c>
      <c r="G301" s="22" t="str">
        <f t="shared" si="4"/>
        <v/>
      </c>
      <c r="H301" s="14" t="str">
        <f>IF(G301="","",SUMIFS(Оплаты!$B$6:$B$505,Оплаты!$D$6:$D$505,A301,Оплаты!$A$6:$A$505,D301))</f>
        <v/>
      </c>
      <c r="I301" t="str">
        <f>IF(G301="","",SUMPRODUCT((((((D301+'По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дням'!$J$6:$J$155)))/2+1)&gt;0)*1))</f>
        <v/>
      </c>
    </row>
    <row r="302" spans="1:9" x14ac:dyDescent="0.3">
      <c r="A302" t="str">
        <f>IF(AND(Оплаты!$E$294="ок",COUNTIFS(Акты!$B$5:$B$16,Оплаты!$D$294,Акты!$H$5:$H$16,"ок")&gt;0,COUNTIFS(Оплаты!$D$6:$D$293,Оплаты!$D$294,Оплаты!$A$6:$A$293,Оплаты!$A$294)=0),Оплаты!$D$294,"")</f>
        <v/>
      </c>
      <c r="B302" t="str">
        <f>IF(A302="","",MATCH(A302,Акты!$B$5:$B$16,0))</f>
        <v/>
      </c>
      <c r="C302" s="21" t="str">
        <f>IF(A302="","",Оплаты!$A$294+1)</f>
        <v/>
      </c>
      <c r="D302" s="21" t="str">
        <f>IF(A302="","",MIN(Ввод!$B$4,Ввод!$B$4+1-SUMPRODUCT(MAX((Оплаты!$D$6:$D$505=A302)*(Оплаты!$A$6:$A$505&gt;Оплаты!$A$294)*(Ввод!$B$4+1-Оплаты!$A$6:$A$505)))))</f>
        <v/>
      </c>
      <c r="E302" s="14" t="str">
        <f>IF(A302="","",INDEX(Акты!$D$5:$D$16,B302)-SUMIFS(Оплаты!$B$6:$B$505,Оплаты!$D$6:$D$505,A302,Оплаты!$A$6:$A$505,"&lt;="&amp;Оплаты!$A$294))</f>
        <v/>
      </c>
      <c r="F302" s="14" t="str">
        <f>IF(G302="","",SUMPRODUCT(ROUND(E302*'По дням'!$L$6:$L$155/100*((((D302+'По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дням'!$J$6:$J$155)))/2+1)/'По дням'!$M$6:$M$155,2)*(1-'По дням'!$N$6:$N$155)))</f>
        <v/>
      </c>
      <c r="G302" s="22" t="str">
        <f t="shared" si="4"/>
        <v/>
      </c>
      <c r="H302" s="14" t="str">
        <f>IF(G302="","",SUMIFS(Оплаты!$B$6:$B$505,Оплаты!$D$6:$D$505,A302,Оплаты!$A$6:$A$505,D302))</f>
        <v/>
      </c>
      <c r="I302" t="str">
        <f>IF(G302="","",SUMPRODUCT((((((D302+'По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дням'!$J$6:$J$155)))/2+1)&gt;0)*1))</f>
        <v/>
      </c>
    </row>
    <row r="303" spans="1:9" x14ac:dyDescent="0.3">
      <c r="A303" t="str">
        <f>IF(AND(Оплаты!$E$295="ок",COUNTIFS(Акты!$B$5:$B$16,Оплаты!$D$295,Акты!$H$5:$H$16,"ок")&gt;0,COUNTIFS(Оплаты!$D$6:$D$294,Оплаты!$D$295,Оплаты!$A$6:$A$294,Оплаты!$A$295)=0),Оплаты!$D$295,"")</f>
        <v/>
      </c>
      <c r="B303" t="str">
        <f>IF(A303="","",MATCH(A303,Акты!$B$5:$B$16,0))</f>
        <v/>
      </c>
      <c r="C303" s="21" t="str">
        <f>IF(A303="","",Оплаты!$A$295+1)</f>
        <v/>
      </c>
      <c r="D303" s="21" t="str">
        <f>IF(A303="","",MIN(Ввод!$B$4,Ввод!$B$4+1-SUMPRODUCT(MAX((Оплаты!$D$6:$D$505=A303)*(Оплаты!$A$6:$A$505&gt;Оплаты!$A$295)*(Ввод!$B$4+1-Оплаты!$A$6:$A$505)))))</f>
        <v/>
      </c>
      <c r="E303" s="14" t="str">
        <f>IF(A303="","",INDEX(Акты!$D$5:$D$16,B303)-SUMIFS(Оплаты!$B$6:$B$505,Оплаты!$D$6:$D$505,A303,Оплаты!$A$6:$A$505,"&lt;="&amp;Оплаты!$A$295))</f>
        <v/>
      </c>
      <c r="F303" s="14" t="str">
        <f>IF(G303="","",SUMPRODUCT(ROUND(E303*'По дням'!$L$6:$L$155/100*((((D303+'По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дням'!$J$6:$J$155)))/2+1)/'По дням'!$M$6:$M$155,2)*(1-'По дням'!$N$6:$N$155)))</f>
        <v/>
      </c>
      <c r="G303" s="22" t="str">
        <f t="shared" si="4"/>
        <v/>
      </c>
      <c r="H303" s="14" t="str">
        <f>IF(G303="","",SUMIFS(Оплаты!$B$6:$B$505,Оплаты!$D$6:$D$505,A303,Оплаты!$A$6:$A$505,D303))</f>
        <v/>
      </c>
      <c r="I303" t="str">
        <f>IF(G303="","",SUMPRODUCT((((((D303+'По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дням'!$J$6:$J$155)))/2+1)&gt;0)*1))</f>
        <v/>
      </c>
    </row>
    <row r="304" spans="1:9" x14ac:dyDescent="0.3">
      <c r="A304" t="str">
        <f>IF(AND(Оплаты!$E$296="ок",COUNTIFS(Акты!$B$5:$B$16,Оплаты!$D$296,Акты!$H$5:$H$16,"ок")&gt;0,COUNTIFS(Оплаты!$D$6:$D$295,Оплаты!$D$296,Оплаты!$A$6:$A$295,Оплаты!$A$296)=0),Оплаты!$D$296,"")</f>
        <v/>
      </c>
      <c r="B304" t="str">
        <f>IF(A304="","",MATCH(A304,Акты!$B$5:$B$16,0))</f>
        <v/>
      </c>
      <c r="C304" s="21" t="str">
        <f>IF(A304="","",Оплаты!$A$296+1)</f>
        <v/>
      </c>
      <c r="D304" s="21" t="str">
        <f>IF(A304="","",MIN(Ввод!$B$4,Ввод!$B$4+1-SUMPRODUCT(MAX((Оплаты!$D$6:$D$505=A304)*(Оплаты!$A$6:$A$505&gt;Оплаты!$A$296)*(Ввод!$B$4+1-Оплаты!$A$6:$A$505)))))</f>
        <v/>
      </c>
      <c r="E304" s="14" t="str">
        <f>IF(A304="","",INDEX(Акты!$D$5:$D$16,B304)-SUMIFS(Оплаты!$B$6:$B$505,Оплаты!$D$6:$D$505,A304,Оплаты!$A$6:$A$505,"&lt;="&amp;Оплаты!$A$296))</f>
        <v/>
      </c>
      <c r="F304" s="14" t="str">
        <f>IF(G304="","",SUMPRODUCT(ROUND(E304*'По дням'!$L$6:$L$155/100*((((D304+'По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дням'!$J$6:$J$155)))/2+1)/'По дням'!$M$6:$M$155,2)*(1-'По дням'!$N$6:$N$155)))</f>
        <v/>
      </c>
      <c r="G304" s="22" t="str">
        <f t="shared" si="4"/>
        <v/>
      </c>
      <c r="H304" s="14" t="str">
        <f>IF(G304="","",SUMIFS(Оплаты!$B$6:$B$505,Оплаты!$D$6:$D$505,A304,Оплаты!$A$6:$A$505,D304))</f>
        <v/>
      </c>
      <c r="I304" t="str">
        <f>IF(G304="","",SUMPRODUCT((((((D304+'По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дням'!$J$6:$J$155)))/2+1)&gt;0)*1))</f>
        <v/>
      </c>
    </row>
    <row r="305" spans="1:9" x14ac:dyDescent="0.3">
      <c r="A305" t="str">
        <f>IF(AND(Оплаты!$E$297="ок",COUNTIFS(Акты!$B$5:$B$16,Оплаты!$D$297,Акты!$H$5:$H$16,"ок")&gt;0,COUNTIFS(Оплаты!$D$6:$D$296,Оплаты!$D$297,Оплаты!$A$6:$A$296,Оплаты!$A$297)=0),Оплаты!$D$297,"")</f>
        <v/>
      </c>
      <c r="B305" t="str">
        <f>IF(A305="","",MATCH(A305,Акты!$B$5:$B$16,0))</f>
        <v/>
      </c>
      <c r="C305" s="21" t="str">
        <f>IF(A305="","",Оплаты!$A$297+1)</f>
        <v/>
      </c>
      <c r="D305" s="21" t="str">
        <f>IF(A305="","",MIN(Ввод!$B$4,Ввод!$B$4+1-SUMPRODUCT(MAX((Оплаты!$D$6:$D$505=A305)*(Оплаты!$A$6:$A$505&gt;Оплаты!$A$297)*(Ввод!$B$4+1-Оплаты!$A$6:$A$505)))))</f>
        <v/>
      </c>
      <c r="E305" s="14" t="str">
        <f>IF(A305="","",INDEX(Акты!$D$5:$D$16,B305)-SUMIFS(Оплаты!$B$6:$B$505,Оплаты!$D$6:$D$505,A305,Оплаты!$A$6:$A$505,"&lt;="&amp;Оплаты!$A$297))</f>
        <v/>
      </c>
      <c r="F305" s="14" t="str">
        <f>IF(G305="","",SUMPRODUCT(ROUND(E305*'По дням'!$L$6:$L$155/100*((((D305+'По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дням'!$J$6:$J$155)))/2+1)/'По дням'!$M$6:$M$155,2)*(1-'По дням'!$N$6:$N$155)))</f>
        <v/>
      </c>
      <c r="G305" s="22" t="str">
        <f t="shared" si="4"/>
        <v/>
      </c>
      <c r="H305" s="14" t="str">
        <f>IF(G305="","",SUMIFS(Оплаты!$B$6:$B$505,Оплаты!$D$6:$D$505,A305,Оплаты!$A$6:$A$505,D305))</f>
        <v/>
      </c>
      <c r="I305" t="str">
        <f>IF(G305="","",SUMPRODUCT((((((D305+'По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дням'!$J$6:$J$155)))/2+1)&gt;0)*1))</f>
        <v/>
      </c>
    </row>
    <row r="306" spans="1:9" x14ac:dyDescent="0.3">
      <c r="A306" t="str">
        <f>IF(AND(Оплаты!$E$298="ок",COUNTIFS(Акты!$B$5:$B$16,Оплаты!$D$298,Акты!$H$5:$H$16,"ок")&gt;0,COUNTIFS(Оплаты!$D$6:$D$297,Оплаты!$D$298,Оплаты!$A$6:$A$297,Оплаты!$A$298)=0),Оплаты!$D$298,"")</f>
        <v/>
      </c>
      <c r="B306" t="str">
        <f>IF(A306="","",MATCH(A306,Акты!$B$5:$B$16,0))</f>
        <v/>
      </c>
      <c r="C306" s="21" t="str">
        <f>IF(A306="","",Оплаты!$A$298+1)</f>
        <v/>
      </c>
      <c r="D306" s="21" t="str">
        <f>IF(A306="","",MIN(Ввод!$B$4,Ввод!$B$4+1-SUMPRODUCT(MAX((Оплаты!$D$6:$D$505=A306)*(Оплаты!$A$6:$A$505&gt;Оплаты!$A$298)*(Ввод!$B$4+1-Оплаты!$A$6:$A$505)))))</f>
        <v/>
      </c>
      <c r="E306" s="14" t="str">
        <f>IF(A306="","",INDEX(Акты!$D$5:$D$16,B306)-SUMIFS(Оплаты!$B$6:$B$505,Оплаты!$D$6:$D$505,A306,Оплаты!$A$6:$A$505,"&lt;="&amp;Оплаты!$A$298))</f>
        <v/>
      </c>
      <c r="F306" s="14" t="str">
        <f>IF(G306="","",SUMPRODUCT(ROUND(E306*'По дням'!$L$6:$L$155/100*((((D306+'По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дням'!$J$6:$J$155)))/2+1)/'По дням'!$M$6:$M$155,2)*(1-'По дням'!$N$6:$N$155)))</f>
        <v/>
      </c>
      <c r="G306" s="22" t="str">
        <f t="shared" si="4"/>
        <v/>
      </c>
      <c r="H306" s="14" t="str">
        <f>IF(G306="","",SUMIFS(Оплаты!$B$6:$B$505,Оплаты!$D$6:$D$505,A306,Оплаты!$A$6:$A$505,D306))</f>
        <v/>
      </c>
      <c r="I306" t="str">
        <f>IF(G306="","",SUMPRODUCT((((((D306+'По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дням'!$J$6:$J$155)))/2+1)&gt;0)*1))</f>
        <v/>
      </c>
    </row>
    <row r="307" spans="1:9" x14ac:dyDescent="0.3">
      <c r="A307" t="str">
        <f>IF(AND(Оплаты!$E$299="ок",COUNTIFS(Акты!$B$5:$B$16,Оплаты!$D$299,Акты!$H$5:$H$16,"ок")&gt;0,COUNTIFS(Оплаты!$D$6:$D$298,Оплаты!$D$299,Оплаты!$A$6:$A$298,Оплаты!$A$299)=0),Оплаты!$D$299,"")</f>
        <v/>
      </c>
      <c r="B307" t="str">
        <f>IF(A307="","",MATCH(A307,Акты!$B$5:$B$16,0))</f>
        <v/>
      </c>
      <c r="C307" s="21" t="str">
        <f>IF(A307="","",Оплаты!$A$299+1)</f>
        <v/>
      </c>
      <c r="D307" s="21" t="str">
        <f>IF(A307="","",MIN(Ввод!$B$4,Ввод!$B$4+1-SUMPRODUCT(MAX((Оплаты!$D$6:$D$505=A307)*(Оплаты!$A$6:$A$505&gt;Оплаты!$A$299)*(Ввод!$B$4+1-Оплаты!$A$6:$A$505)))))</f>
        <v/>
      </c>
      <c r="E307" s="14" t="str">
        <f>IF(A307="","",INDEX(Акты!$D$5:$D$16,B307)-SUMIFS(Оплаты!$B$6:$B$505,Оплаты!$D$6:$D$505,A307,Оплаты!$A$6:$A$505,"&lt;="&amp;Оплаты!$A$299))</f>
        <v/>
      </c>
      <c r="F307" s="14" t="str">
        <f>IF(G307="","",SUMPRODUCT(ROUND(E307*'По дням'!$L$6:$L$155/100*((((D307+'По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дням'!$J$6:$J$155)))/2+1)/'По дням'!$M$6:$M$155,2)*(1-'По дням'!$N$6:$N$155)))</f>
        <v/>
      </c>
      <c r="G307" s="22" t="str">
        <f t="shared" si="4"/>
        <v/>
      </c>
      <c r="H307" s="14" t="str">
        <f>IF(G307="","",SUMIFS(Оплаты!$B$6:$B$505,Оплаты!$D$6:$D$505,A307,Оплаты!$A$6:$A$505,D307))</f>
        <v/>
      </c>
      <c r="I307" t="str">
        <f>IF(G307="","",SUMPRODUCT((((((D307+'По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дням'!$J$6:$J$155)))/2+1)&gt;0)*1))</f>
        <v/>
      </c>
    </row>
    <row r="308" spans="1:9" x14ac:dyDescent="0.3">
      <c r="A308" t="str">
        <f>IF(AND(Оплаты!$E$300="ок",COUNTIFS(Акты!$B$5:$B$16,Оплаты!$D$300,Акты!$H$5:$H$16,"ок")&gt;0,COUNTIFS(Оплаты!$D$6:$D$299,Оплаты!$D$300,Оплаты!$A$6:$A$299,Оплаты!$A$300)=0),Оплаты!$D$300,"")</f>
        <v/>
      </c>
      <c r="B308" t="str">
        <f>IF(A308="","",MATCH(A308,Акты!$B$5:$B$16,0))</f>
        <v/>
      </c>
      <c r="C308" s="21" t="str">
        <f>IF(A308="","",Оплаты!$A$300+1)</f>
        <v/>
      </c>
      <c r="D308" s="21" t="str">
        <f>IF(A308="","",MIN(Ввод!$B$4,Ввод!$B$4+1-SUMPRODUCT(MAX((Оплаты!$D$6:$D$505=A308)*(Оплаты!$A$6:$A$505&gt;Оплаты!$A$300)*(Ввод!$B$4+1-Оплаты!$A$6:$A$505)))))</f>
        <v/>
      </c>
      <c r="E308" s="14" t="str">
        <f>IF(A308="","",INDEX(Акты!$D$5:$D$16,B308)-SUMIFS(Оплаты!$B$6:$B$505,Оплаты!$D$6:$D$505,A308,Оплаты!$A$6:$A$505,"&lt;="&amp;Оплаты!$A$300))</f>
        <v/>
      </c>
      <c r="F308" s="14" t="str">
        <f>IF(G308="","",SUMPRODUCT(ROUND(E308*'По дням'!$L$6:$L$155/100*((((D308+'По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дням'!$J$6:$J$155)))/2+1)/'По дням'!$M$6:$M$155,2)*(1-'По дням'!$N$6:$N$155)))</f>
        <v/>
      </c>
      <c r="G308" s="22" t="str">
        <f t="shared" si="4"/>
        <v/>
      </c>
      <c r="H308" s="14" t="str">
        <f>IF(G308="","",SUMIFS(Оплаты!$B$6:$B$505,Оплаты!$D$6:$D$505,A308,Оплаты!$A$6:$A$505,D308))</f>
        <v/>
      </c>
      <c r="I308" t="str">
        <f>IF(G308="","",SUMPRODUCT((((((D308+'По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дням'!$J$6:$J$155)))/2+1)&gt;0)*1))</f>
        <v/>
      </c>
    </row>
    <row r="309" spans="1:9" x14ac:dyDescent="0.3">
      <c r="A309" t="str">
        <f>IF(AND(Оплаты!$E$301="ок",COUNTIFS(Акты!$B$5:$B$16,Оплаты!$D$301,Акты!$H$5:$H$16,"ок")&gt;0,COUNTIFS(Оплаты!$D$6:$D$300,Оплаты!$D$301,Оплаты!$A$6:$A$300,Оплаты!$A$301)=0),Оплаты!$D$301,"")</f>
        <v/>
      </c>
      <c r="B309" t="str">
        <f>IF(A309="","",MATCH(A309,Акты!$B$5:$B$16,0))</f>
        <v/>
      </c>
      <c r="C309" s="21" t="str">
        <f>IF(A309="","",Оплаты!$A$301+1)</f>
        <v/>
      </c>
      <c r="D309" s="21" t="str">
        <f>IF(A309="","",MIN(Ввод!$B$4,Ввод!$B$4+1-SUMPRODUCT(MAX((Оплаты!$D$6:$D$505=A309)*(Оплаты!$A$6:$A$505&gt;Оплаты!$A$301)*(Ввод!$B$4+1-Оплаты!$A$6:$A$505)))))</f>
        <v/>
      </c>
      <c r="E309" s="14" t="str">
        <f>IF(A309="","",INDEX(Акты!$D$5:$D$16,B309)-SUMIFS(Оплаты!$B$6:$B$505,Оплаты!$D$6:$D$505,A309,Оплаты!$A$6:$A$505,"&lt;="&amp;Оплаты!$A$301))</f>
        <v/>
      </c>
      <c r="F309" s="14" t="str">
        <f>IF(G309="","",SUMPRODUCT(ROUND(E309*'По дням'!$L$6:$L$155/100*((((D309+'По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дням'!$J$6:$J$155)))/2+1)/'По дням'!$M$6:$M$155,2)*(1-'По дням'!$N$6:$N$155)))</f>
        <v/>
      </c>
      <c r="G309" s="22" t="str">
        <f t="shared" si="4"/>
        <v/>
      </c>
      <c r="H309" s="14" t="str">
        <f>IF(G309="","",SUMIFS(Оплаты!$B$6:$B$505,Оплаты!$D$6:$D$505,A309,Оплаты!$A$6:$A$505,D309))</f>
        <v/>
      </c>
      <c r="I309" t="str">
        <f>IF(G309="","",SUMPRODUCT((((((D309+'По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дням'!$J$6:$J$155)))/2+1)&gt;0)*1))</f>
        <v/>
      </c>
    </row>
    <row r="310" spans="1:9" x14ac:dyDescent="0.3">
      <c r="A310" t="str">
        <f>IF(AND(Оплаты!$E$302="ок",COUNTIFS(Акты!$B$5:$B$16,Оплаты!$D$302,Акты!$H$5:$H$16,"ок")&gt;0,COUNTIFS(Оплаты!$D$6:$D$301,Оплаты!$D$302,Оплаты!$A$6:$A$301,Оплаты!$A$302)=0),Оплаты!$D$302,"")</f>
        <v/>
      </c>
      <c r="B310" t="str">
        <f>IF(A310="","",MATCH(A310,Акты!$B$5:$B$16,0))</f>
        <v/>
      </c>
      <c r="C310" s="21" t="str">
        <f>IF(A310="","",Оплаты!$A$302+1)</f>
        <v/>
      </c>
      <c r="D310" s="21" t="str">
        <f>IF(A310="","",MIN(Ввод!$B$4,Ввод!$B$4+1-SUMPRODUCT(MAX((Оплаты!$D$6:$D$505=A310)*(Оплаты!$A$6:$A$505&gt;Оплаты!$A$302)*(Ввод!$B$4+1-Оплаты!$A$6:$A$505)))))</f>
        <v/>
      </c>
      <c r="E310" s="14" t="str">
        <f>IF(A310="","",INDEX(Акты!$D$5:$D$16,B310)-SUMIFS(Оплаты!$B$6:$B$505,Оплаты!$D$6:$D$505,A310,Оплаты!$A$6:$A$505,"&lt;="&amp;Оплаты!$A$302))</f>
        <v/>
      </c>
      <c r="F310" s="14" t="str">
        <f>IF(G310="","",SUMPRODUCT(ROUND(E310*'По дням'!$L$6:$L$155/100*((((D310+'По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дням'!$J$6:$J$155)))/2+1)/'По дням'!$M$6:$M$155,2)*(1-'По дням'!$N$6:$N$155)))</f>
        <v/>
      </c>
      <c r="G310" s="22" t="str">
        <f t="shared" si="4"/>
        <v/>
      </c>
      <c r="H310" s="14" t="str">
        <f>IF(G310="","",SUMIFS(Оплаты!$B$6:$B$505,Оплаты!$D$6:$D$505,A310,Оплаты!$A$6:$A$505,D310))</f>
        <v/>
      </c>
      <c r="I310" t="str">
        <f>IF(G310="","",SUMPRODUCT((((((D310+'По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дням'!$J$6:$J$155)))/2+1)&gt;0)*1))</f>
        <v/>
      </c>
    </row>
    <row r="311" spans="1:9" x14ac:dyDescent="0.3">
      <c r="A311" t="str">
        <f>IF(AND(Оплаты!$E$303="ок",COUNTIFS(Акты!$B$5:$B$16,Оплаты!$D$303,Акты!$H$5:$H$16,"ок")&gt;0,COUNTIFS(Оплаты!$D$6:$D$302,Оплаты!$D$303,Оплаты!$A$6:$A$302,Оплаты!$A$303)=0),Оплаты!$D$303,"")</f>
        <v/>
      </c>
      <c r="B311" t="str">
        <f>IF(A311="","",MATCH(A311,Акты!$B$5:$B$16,0))</f>
        <v/>
      </c>
      <c r="C311" s="21" t="str">
        <f>IF(A311="","",Оплаты!$A$303+1)</f>
        <v/>
      </c>
      <c r="D311" s="21" t="str">
        <f>IF(A311="","",MIN(Ввод!$B$4,Ввод!$B$4+1-SUMPRODUCT(MAX((Оплаты!$D$6:$D$505=A311)*(Оплаты!$A$6:$A$505&gt;Оплаты!$A$303)*(Ввод!$B$4+1-Оплаты!$A$6:$A$505)))))</f>
        <v/>
      </c>
      <c r="E311" s="14" t="str">
        <f>IF(A311="","",INDEX(Акты!$D$5:$D$16,B311)-SUMIFS(Оплаты!$B$6:$B$505,Оплаты!$D$6:$D$505,A311,Оплаты!$A$6:$A$505,"&lt;="&amp;Оплаты!$A$303))</f>
        <v/>
      </c>
      <c r="F311" s="14" t="str">
        <f>IF(G311="","",SUMPRODUCT(ROUND(E311*'По дням'!$L$6:$L$155/100*((((D311+'По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дням'!$J$6:$J$155)))/2+1)/'По дням'!$M$6:$M$155,2)*(1-'По дням'!$N$6:$N$155)))</f>
        <v/>
      </c>
      <c r="G311" s="22" t="str">
        <f t="shared" si="4"/>
        <v/>
      </c>
      <c r="H311" s="14" t="str">
        <f>IF(G311="","",SUMIFS(Оплаты!$B$6:$B$505,Оплаты!$D$6:$D$505,A311,Оплаты!$A$6:$A$505,D311))</f>
        <v/>
      </c>
      <c r="I311" t="str">
        <f>IF(G311="","",SUMPRODUCT((((((D311+'По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дням'!$J$6:$J$155)))/2+1)&gt;0)*1))</f>
        <v/>
      </c>
    </row>
    <row r="312" spans="1:9" x14ac:dyDescent="0.3">
      <c r="A312" t="str">
        <f>IF(AND(Оплаты!$E$304="ок",COUNTIFS(Акты!$B$5:$B$16,Оплаты!$D$304,Акты!$H$5:$H$16,"ок")&gt;0,COUNTIFS(Оплаты!$D$6:$D$303,Оплаты!$D$304,Оплаты!$A$6:$A$303,Оплаты!$A$304)=0),Оплаты!$D$304,"")</f>
        <v/>
      </c>
      <c r="B312" t="str">
        <f>IF(A312="","",MATCH(A312,Акты!$B$5:$B$16,0))</f>
        <v/>
      </c>
      <c r="C312" s="21" t="str">
        <f>IF(A312="","",Оплаты!$A$304+1)</f>
        <v/>
      </c>
      <c r="D312" s="21" t="str">
        <f>IF(A312="","",MIN(Ввод!$B$4,Ввод!$B$4+1-SUMPRODUCT(MAX((Оплаты!$D$6:$D$505=A312)*(Оплаты!$A$6:$A$505&gt;Оплаты!$A$304)*(Ввод!$B$4+1-Оплаты!$A$6:$A$505)))))</f>
        <v/>
      </c>
      <c r="E312" s="14" t="str">
        <f>IF(A312="","",INDEX(Акты!$D$5:$D$16,B312)-SUMIFS(Оплаты!$B$6:$B$505,Оплаты!$D$6:$D$505,A312,Оплаты!$A$6:$A$505,"&lt;="&amp;Оплаты!$A$304))</f>
        <v/>
      </c>
      <c r="F312" s="14" t="str">
        <f>IF(G312="","",SUMPRODUCT(ROUND(E312*'По дням'!$L$6:$L$155/100*((((D312+'По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дням'!$J$6:$J$155)))/2+1)/'По дням'!$M$6:$M$155,2)*(1-'По дням'!$N$6:$N$155)))</f>
        <v/>
      </c>
      <c r="G312" s="22" t="str">
        <f t="shared" si="4"/>
        <v/>
      </c>
      <c r="H312" s="14" t="str">
        <f>IF(G312="","",SUMIFS(Оплаты!$B$6:$B$505,Оплаты!$D$6:$D$505,A312,Оплаты!$A$6:$A$505,D312))</f>
        <v/>
      </c>
      <c r="I312" t="str">
        <f>IF(G312="","",SUMPRODUCT((((((D312+'По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дням'!$J$6:$J$155)))/2+1)&gt;0)*1))</f>
        <v/>
      </c>
    </row>
    <row r="313" spans="1:9" x14ac:dyDescent="0.3">
      <c r="A313" t="str">
        <f>IF(AND(Оплаты!$E$305="ок",COUNTIFS(Акты!$B$5:$B$16,Оплаты!$D$305,Акты!$H$5:$H$16,"ок")&gt;0,COUNTIFS(Оплаты!$D$6:$D$304,Оплаты!$D$305,Оплаты!$A$6:$A$304,Оплаты!$A$305)=0),Оплаты!$D$305,"")</f>
        <v/>
      </c>
      <c r="B313" t="str">
        <f>IF(A313="","",MATCH(A313,Акты!$B$5:$B$16,0))</f>
        <v/>
      </c>
      <c r="C313" s="21" t="str">
        <f>IF(A313="","",Оплаты!$A$305+1)</f>
        <v/>
      </c>
      <c r="D313" s="21" t="str">
        <f>IF(A313="","",MIN(Ввод!$B$4,Ввод!$B$4+1-SUMPRODUCT(MAX((Оплаты!$D$6:$D$505=A313)*(Оплаты!$A$6:$A$505&gt;Оплаты!$A$305)*(Ввод!$B$4+1-Оплаты!$A$6:$A$505)))))</f>
        <v/>
      </c>
      <c r="E313" s="14" t="str">
        <f>IF(A313="","",INDEX(Акты!$D$5:$D$16,B313)-SUMIFS(Оплаты!$B$6:$B$505,Оплаты!$D$6:$D$505,A313,Оплаты!$A$6:$A$505,"&lt;="&amp;Оплаты!$A$305))</f>
        <v/>
      </c>
      <c r="F313" s="14" t="str">
        <f>IF(G313="","",SUMPRODUCT(ROUND(E313*'По дням'!$L$6:$L$155/100*((((D313+'По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дням'!$J$6:$J$155)))/2+1)/'По дням'!$M$6:$M$155,2)*(1-'По дням'!$N$6:$N$155)))</f>
        <v/>
      </c>
      <c r="G313" s="22" t="str">
        <f t="shared" si="4"/>
        <v/>
      </c>
      <c r="H313" s="14" t="str">
        <f>IF(G313="","",SUMIFS(Оплаты!$B$6:$B$505,Оплаты!$D$6:$D$505,A313,Оплаты!$A$6:$A$505,D313))</f>
        <v/>
      </c>
      <c r="I313" t="str">
        <f>IF(G313="","",SUMPRODUCT((((((D313+'По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дням'!$J$6:$J$155)))/2+1)&gt;0)*1))</f>
        <v/>
      </c>
    </row>
    <row r="314" spans="1:9" x14ac:dyDescent="0.3">
      <c r="A314" t="str">
        <f>IF(AND(Оплаты!$E$306="ок",COUNTIFS(Акты!$B$5:$B$16,Оплаты!$D$306,Акты!$H$5:$H$16,"ок")&gt;0,COUNTIFS(Оплаты!$D$6:$D$305,Оплаты!$D$306,Оплаты!$A$6:$A$305,Оплаты!$A$306)=0),Оплаты!$D$306,"")</f>
        <v/>
      </c>
      <c r="B314" t="str">
        <f>IF(A314="","",MATCH(A314,Акты!$B$5:$B$16,0))</f>
        <v/>
      </c>
      <c r="C314" s="21" t="str">
        <f>IF(A314="","",Оплаты!$A$306+1)</f>
        <v/>
      </c>
      <c r="D314" s="21" t="str">
        <f>IF(A314="","",MIN(Ввод!$B$4,Ввод!$B$4+1-SUMPRODUCT(MAX((Оплаты!$D$6:$D$505=A314)*(Оплаты!$A$6:$A$505&gt;Оплаты!$A$306)*(Ввод!$B$4+1-Оплаты!$A$6:$A$505)))))</f>
        <v/>
      </c>
      <c r="E314" s="14" t="str">
        <f>IF(A314="","",INDEX(Акты!$D$5:$D$16,B314)-SUMIFS(Оплаты!$B$6:$B$505,Оплаты!$D$6:$D$505,A314,Оплаты!$A$6:$A$505,"&lt;="&amp;Оплаты!$A$306))</f>
        <v/>
      </c>
      <c r="F314" s="14" t="str">
        <f>IF(G314="","",SUMPRODUCT(ROUND(E314*'По дням'!$L$6:$L$155/100*((((D314+'По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дням'!$J$6:$J$155)))/2+1)/'По дням'!$M$6:$M$155,2)*(1-'По дням'!$N$6:$N$155)))</f>
        <v/>
      </c>
      <c r="G314" s="22" t="str">
        <f t="shared" si="4"/>
        <v/>
      </c>
      <c r="H314" s="14" t="str">
        <f>IF(G314="","",SUMIFS(Оплаты!$B$6:$B$505,Оплаты!$D$6:$D$505,A314,Оплаты!$A$6:$A$505,D314))</f>
        <v/>
      </c>
      <c r="I314" t="str">
        <f>IF(G314="","",SUMPRODUCT((((((D314+'По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дням'!$J$6:$J$155)))/2+1)&gt;0)*1))</f>
        <v/>
      </c>
    </row>
    <row r="315" spans="1:9" x14ac:dyDescent="0.3">
      <c r="A315" t="str">
        <f>IF(AND(Оплаты!$E$307="ок",COUNTIFS(Акты!$B$5:$B$16,Оплаты!$D$307,Акты!$H$5:$H$16,"ок")&gt;0,COUNTIFS(Оплаты!$D$6:$D$306,Оплаты!$D$307,Оплаты!$A$6:$A$306,Оплаты!$A$307)=0),Оплаты!$D$307,"")</f>
        <v/>
      </c>
      <c r="B315" t="str">
        <f>IF(A315="","",MATCH(A315,Акты!$B$5:$B$16,0))</f>
        <v/>
      </c>
      <c r="C315" s="21" t="str">
        <f>IF(A315="","",Оплаты!$A$307+1)</f>
        <v/>
      </c>
      <c r="D315" s="21" t="str">
        <f>IF(A315="","",MIN(Ввод!$B$4,Ввод!$B$4+1-SUMPRODUCT(MAX((Оплаты!$D$6:$D$505=A315)*(Оплаты!$A$6:$A$505&gt;Оплаты!$A$307)*(Ввод!$B$4+1-Оплаты!$A$6:$A$505)))))</f>
        <v/>
      </c>
      <c r="E315" s="14" t="str">
        <f>IF(A315="","",INDEX(Акты!$D$5:$D$16,B315)-SUMIFS(Оплаты!$B$6:$B$505,Оплаты!$D$6:$D$505,A315,Оплаты!$A$6:$A$505,"&lt;="&amp;Оплаты!$A$307))</f>
        <v/>
      </c>
      <c r="F315" s="14" t="str">
        <f>IF(G315="","",SUMPRODUCT(ROUND(E315*'По дням'!$L$6:$L$155/100*((((D315+'По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дням'!$J$6:$J$155)))/2+1)/'По дням'!$M$6:$M$155,2)*(1-'По дням'!$N$6:$N$155)))</f>
        <v/>
      </c>
      <c r="G315" s="22" t="str">
        <f t="shared" si="4"/>
        <v/>
      </c>
      <c r="H315" s="14" t="str">
        <f>IF(G315="","",SUMIFS(Оплаты!$B$6:$B$505,Оплаты!$D$6:$D$505,A315,Оплаты!$A$6:$A$505,D315))</f>
        <v/>
      </c>
      <c r="I315" t="str">
        <f>IF(G315="","",SUMPRODUCT((((((D315+'По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дням'!$J$6:$J$155)))/2+1)&gt;0)*1))</f>
        <v/>
      </c>
    </row>
    <row r="316" spans="1:9" x14ac:dyDescent="0.3">
      <c r="A316" t="str">
        <f>IF(AND(Оплаты!$E$308="ок",COUNTIFS(Акты!$B$5:$B$16,Оплаты!$D$308,Акты!$H$5:$H$16,"ок")&gt;0,COUNTIFS(Оплаты!$D$6:$D$307,Оплаты!$D$308,Оплаты!$A$6:$A$307,Оплаты!$A$308)=0),Оплаты!$D$308,"")</f>
        <v/>
      </c>
      <c r="B316" t="str">
        <f>IF(A316="","",MATCH(A316,Акты!$B$5:$B$16,0))</f>
        <v/>
      </c>
      <c r="C316" s="21" t="str">
        <f>IF(A316="","",Оплаты!$A$308+1)</f>
        <v/>
      </c>
      <c r="D316" s="21" t="str">
        <f>IF(A316="","",MIN(Ввод!$B$4,Ввод!$B$4+1-SUMPRODUCT(MAX((Оплаты!$D$6:$D$505=A316)*(Оплаты!$A$6:$A$505&gt;Оплаты!$A$308)*(Ввод!$B$4+1-Оплаты!$A$6:$A$505)))))</f>
        <v/>
      </c>
      <c r="E316" s="14" t="str">
        <f>IF(A316="","",INDEX(Акты!$D$5:$D$16,B316)-SUMIFS(Оплаты!$B$6:$B$505,Оплаты!$D$6:$D$505,A316,Оплаты!$A$6:$A$505,"&lt;="&amp;Оплаты!$A$308))</f>
        <v/>
      </c>
      <c r="F316" s="14" t="str">
        <f>IF(G316="","",SUMPRODUCT(ROUND(E316*'По дням'!$L$6:$L$155/100*((((D316+'По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дням'!$J$6:$J$155)))/2+1)/'По дням'!$M$6:$M$155,2)*(1-'По дням'!$N$6:$N$155)))</f>
        <v/>
      </c>
      <c r="G316" s="22" t="str">
        <f t="shared" si="4"/>
        <v/>
      </c>
      <c r="H316" s="14" t="str">
        <f>IF(G316="","",SUMIFS(Оплаты!$B$6:$B$505,Оплаты!$D$6:$D$505,A316,Оплаты!$A$6:$A$505,D316))</f>
        <v/>
      </c>
      <c r="I316" t="str">
        <f>IF(G316="","",SUMPRODUCT((((((D316+'По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дням'!$J$6:$J$155)))/2+1)&gt;0)*1))</f>
        <v/>
      </c>
    </row>
    <row r="317" spans="1:9" x14ac:dyDescent="0.3">
      <c r="A317" t="str">
        <f>IF(AND(Оплаты!$E$309="ок",COUNTIFS(Акты!$B$5:$B$16,Оплаты!$D$309,Акты!$H$5:$H$16,"ок")&gt;0,COUNTIFS(Оплаты!$D$6:$D$308,Оплаты!$D$309,Оплаты!$A$6:$A$308,Оплаты!$A$309)=0),Оплаты!$D$309,"")</f>
        <v/>
      </c>
      <c r="B317" t="str">
        <f>IF(A317="","",MATCH(A317,Акты!$B$5:$B$16,0))</f>
        <v/>
      </c>
      <c r="C317" s="21" t="str">
        <f>IF(A317="","",Оплаты!$A$309+1)</f>
        <v/>
      </c>
      <c r="D317" s="21" t="str">
        <f>IF(A317="","",MIN(Ввод!$B$4,Ввод!$B$4+1-SUMPRODUCT(MAX((Оплаты!$D$6:$D$505=A317)*(Оплаты!$A$6:$A$505&gt;Оплаты!$A$309)*(Ввод!$B$4+1-Оплаты!$A$6:$A$505)))))</f>
        <v/>
      </c>
      <c r="E317" s="14" t="str">
        <f>IF(A317="","",INDEX(Акты!$D$5:$D$16,B317)-SUMIFS(Оплаты!$B$6:$B$505,Оплаты!$D$6:$D$505,A317,Оплаты!$A$6:$A$505,"&lt;="&amp;Оплаты!$A$309))</f>
        <v/>
      </c>
      <c r="F317" s="14" t="str">
        <f>IF(G317="","",SUMPRODUCT(ROUND(E317*'По дням'!$L$6:$L$155/100*((((D317+'По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дням'!$J$6:$J$155)))/2+1)/'По дням'!$M$6:$M$155,2)*(1-'По дням'!$N$6:$N$155)))</f>
        <v/>
      </c>
      <c r="G317" s="22" t="str">
        <f t="shared" si="4"/>
        <v/>
      </c>
      <c r="H317" s="14" t="str">
        <f>IF(G317="","",SUMIFS(Оплаты!$B$6:$B$505,Оплаты!$D$6:$D$505,A317,Оплаты!$A$6:$A$505,D317))</f>
        <v/>
      </c>
      <c r="I317" t="str">
        <f>IF(G317="","",SUMPRODUCT((((((D317+'По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дням'!$J$6:$J$155)))/2+1)&gt;0)*1))</f>
        <v/>
      </c>
    </row>
    <row r="318" spans="1:9" x14ac:dyDescent="0.3">
      <c r="A318" t="str">
        <f>IF(AND(Оплаты!$E$310="ок",COUNTIFS(Акты!$B$5:$B$16,Оплаты!$D$310,Акты!$H$5:$H$16,"ок")&gt;0,COUNTIFS(Оплаты!$D$6:$D$309,Оплаты!$D$310,Оплаты!$A$6:$A$309,Оплаты!$A$310)=0),Оплаты!$D$310,"")</f>
        <v/>
      </c>
      <c r="B318" t="str">
        <f>IF(A318="","",MATCH(A318,Акты!$B$5:$B$16,0))</f>
        <v/>
      </c>
      <c r="C318" s="21" t="str">
        <f>IF(A318="","",Оплаты!$A$310+1)</f>
        <v/>
      </c>
      <c r="D318" s="21" t="str">
        <f>IF(A318="","",MIN(Ввод!$B$4,Ввод!$B$4+1-SUMPRODUCT(MAX((Оплаты!$D$6:$D$505=A318)*(Оплаты!$A$6:$A$505&gt;Оплаты!$A$310)*(Ввод!$B$4+1-Оплаты!$A$6:$A$505)))))</f>
        <v/>
      </c>
      <c r="E318" s="14" t="str">
        <f>IF(A318="","",INDEX(Акты!$D$5:$D$16,B318)-SUMIFS(Оплаты!$B$6:$B$505,Оплаты!$D$6:$D$505,A318,Оплаты!$A$6:$A$505,"&lt;="&amp;Оплаты!$A$310))</f>
        <v/>
      </c>
      <c r="F318" s="14" t="str">
        <f>IF(G318="","",SUMPRODUCT(ROUND(E318*'По дням'!$L$6:$L$155/100*((((D318+'По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дням'!$J$6:$J$155)))/2+1)/'По дням'!$M$6:$M$155,2)*(1-'По дням'!$N$6:$N$155)))</f>
        <v/>
      </c>
      <c r="G318" s="22" t="str">
        <f t="shared" si="4"/>
        <v/>
      </c>
      <c r="H318" s="14" t="str">
        <f>IF(G318="","",SUMIFS(Оплаты!$B$6:$B$505,Оплаты!$D$6:$D$505,A318,Оплаты!$A$6:$A$505,D318))</f>
        <v/>
      </c>
      <c r="I318" t="str">
        <f>IF(G318="","",SUMPRODUCT((((((D318+'По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дням'!$J$6:$J$155)))/2+1)&gt;0)*1))</f>
        <v/>
      </c>
    </row>
    <row r="319" spans="1:9" x14ac:dyDescent="0.3">
      <c r="A319" t="str">
        <f>IF(AND(Оплаты!$E$311="ок",COUNTIFS(Акты!$B$5:$B$16,Оплаты!$D$311,Акты!$H$5:$H$16,"ок")&gt;0,COUNTIFS(Оплаты!$D$6:$D$310,Оплаты!$D$311,Оплаты!$A$6:$A$310,Оплаты!$A$311)=0),Оплаты!$D$311,"")</f>
        <v/>
      </c>
      <c r="B319" t="str">
        <f>IF(A319="","",MATCH(A319,Акты!$B$5:$B$16,0))</f>
        <v/>
      </c>
      <c r="C319" s="21" t="str">
        <f>IF(A319="","",Оплаты!$A$311+1)</f>
        <v/>
      </c>
      <c r="D319" s="21" t="str">
        <f>IF(A319="","",MIN(Ввод!$B$4,Ввод!$B$4+1-SUMPRODUCT(MAX((Оплаты!$D$6:$D$505=A319)*(Оплаты!$A$6:$A$505&gt;Оплаты!$A$311)*(Ввод!$B$4+1-Оплаты!$A$6:$A$505)))))</f>
        <v/>
      </c>
      <c r="E319" s="14" t="str">
        <f>IF(A319="","",INDEX(Акты!$D$5:$D$16,B319)-SUMIFS(Оплаты!$B$6:$B$505,Оплаты!$D$6:$D$505,A319,Оплаты!$A$6:$A$505,"&lt;="&amp;Оплаты!$A$311))</f>
        <v/>
      </c>
      <c r="F319" s="14" t="str">
        <f>IF(G319="","",SUMPRODUCT(ROUND(E319*'По дням'!$L$6:$L$155/100*((((D319+'По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дням'!$J$6:$J$155)))/2+1)/'По дням'!$M$6:$M$155,2)*(1-'По дням'!$N$6:$N$155)))</f>
        <v/>
      </c>
      <c r="G319" s="22" t="str">
        <f t="shared" si="4"/>
        <v/>
      </c>
      <c r="H319" s="14" t="str">
        <f>IF(G319="","",SUMIFS(Оплаты!$B$6:$B$505,Оплаты!$D$6:$D$505,A319,Оплаты!$A$6:$A$505,D319))</f>
        <v/>
      </c>
      <c r="I319" t="str">
        <f>IF(G319="","",SUMPRODUCT((((((D319+'По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дням'!$J$6:$J$155)))/2+1)&gt;0)*1))</f>
        <v/>
      </c>
    </row>
    <row r="320" spans="1:9" x14ac:dyDescent="0.3">
      <c r="A320" t="str">
        <f>IF(AND(Оплаты!$E$312="ок",COUNTIFS(Акты!$B$5:$B$16,Оплаты!$D$312,Акты!$H$5:$H$16,"ок")&gt;0,COUNTIFS(Оплаты!$D$6:$D$311,Оплаты!$D$312,Оплаты!$A$6:$A$311,Оплаты!$A$312)=0),Оплаты!$D$312,"")</f>
        <v/>
      </c>
      <c r="B320" t="str">
        <f>IF(A320="","",MATCH(A320,Акты!$B$5:$B$16,0))</f>
        <v/>
      </c>
      <c r="C320" s="21" t="str">
        <f>IF(A320="","",Оплаты!$A$312+1)</f>
        <v/>
      </c>
      <c r="D320" s="21" t="str">
        <f>IF(A320="","",MIN(Ввод!$B$4,Ввод!$B$4+1-SUMPRODUCT(MAX((Оплаты!$D$6:$D$505=A320)*(Оплаты!$A$6:$A$505&gt;Оплаты!$A$312)*(Ввод!$B$4+1-Оплаты!$A$6:$A$505)))))</f>
        <v/>
      </c>
      <c r="E320" s="14" t="str">
        <f>IF(A320="","",INDEX(Акты!$D$5:$D$16,B320)-SUMIFS(Оплаты!$B$6:$B$505,Оплаты!$D$6:$D$505,A320,Оплаты!$A$6:$A$505,"&lt;="&amp;Оплаты!$A$312))</f>
        <v/>
      </c>
      <c r="F320" s="14" t="str">
        <f>IF(G320="","",SUMPRODUCT(ROUND(E320*'По дням'!$L$6:$L$155/100*((((D320+'По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дням'!$J$6:$J$155)))/2+1)/'По дням'!$M$6:$M$155,2)*(1-'По дням'!$N$6:$N$155)))</f>
        <v/>
      </c>
      <c r="G320" s="22" t="str">
        <f t="shared" si="4"/>
        <v/>
      </c>
      <c r="H320" s="14" t="str">
        <f>IF(G320="","",SUMIFS(Оплаты!$B$6:$B$505,Оплаты!$D$6:$D$505,A320,Оплаты!$A$6:$A$505,D320))</f>
        <v/>
      </c>
      <c r="I320" t="str">
        <f>IF(G320="","",SUMPRODUCT((((((D320+'По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дням'!$J$6:$J$155)))/2+1)&gt;0)*1))</f>
        <v/>
      </c>
    </row>
    <row r="321" spans="1:9" x14ac:dyDescent="0.3">
      <c r="A321" t="str">
        <f>IF(AND(Оплаты!$E$313="ок",COUNTIFS(Акты!$B$5:$B$16,Оплаты!$D$313,Акты!$H$5:$H$16,"ок")&gt;0,COUNTIFS(Оплаты!$D$6:$D$312,Оплаты!$D$313,Оплаты!$A$6:$A$312,Оплаты!$A$313)=0),Оплаты!$D$313,"")</f>
        <v/>
      </c>
      <c r="B321" t="str">
        <f>IF(A321="","",MATCH(A321,Акты!$B$5:$B$16,0))</f>
        <v/>
      </c>
      <c r="C321" s="21" t="str">
        <f>IF(A321="","",Оплаты!$A$313+1)</f>
        <v/>
      </c>
      <c r="D321" s="21" t="str">
        <f>IF(A321="","",MIN(Ввод!$B$4,Ввод!$B$4+1-SUMPRODUCT(MAX((Оплаты!$D$6:$D$505=A321)*(Оплаты!$A$6:$A$505&gt;Оплаты!$A$313)*(Ввод!$B$4+1-Оплаты!$A$6:$A$505)))))</f>
        <v/>
      </c>
      <c r="E321" s="14" t="str">
        <f>IF(A321="","",INDEX(Акты!$D$5:$D$16,B321)-SUMIFS(Оплаты!$B$6:$B$505,Оплаты!$D$6:$D$505,A321,Оплаты!$A$6:$A$505,"&lt;="&amp;Оплаты!$A$313))</f>
        <v/>
      </c>
      <c r="F321" s="14" t="str">
        <f>IF(G321="","",SUMPRODUCT(ROUND(E321*'По дням'!$L$6:$L$155/100*((((D321+'По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дням'!$J$6:$J$155)))/2+1)/'По дням'!$M$6:$M$155,2)*(1-'По дням'!$N$6:$N$155)))</f>
        <v/>
      </c>
      <c r="G321" s="22" t="str">
        <f t="shared" si="4"/>
        <v/>
      </c>
      <c r="H321" s="14" t="str">
        <f>IF(G321="","",SUMIFS(Оплаты!$B$6:$B$505,Оплаты!$D$6:$D$505,A321,Оплаты!$A$6:$A$505,D321))</f>
        <v/>
      </c>
      <c r="I321" t="str">
        <f>IF(G321="","",SUMPRODUCT((((((D321+'По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дням'!$J$6:$J$155)))/2+1)&gt;0)*1))</f>
        <v/>
      </c>
    </row>
    <row r="322" spans="1:9" x14ac:dyDescent="0.3">
      <c r="A322" t="str">
        <f>IF(AND(Оплаты!$E$314="ок",COUNTIFS(Акты!$B$5:$B$16,Оплаты!$D$314,Акты!$H$5:$H$16,"ок")&gt;0,COUNTIFS(Оплаты!$D$6:$D$313,Оплаты!$D$314,Оплаты!$A$6:$A$313,Оплаты!$A$314)=0),Оплаты!$D$314,"")</f>
        <v/>
      </c>
      <c r="B322" t="str">
        <f>IF(A322="","",MATCH(A322,Акты!$B$5:$B$16,0))</f>
        <v/>
      </c>
      <c r="C322" s="21" t="str">
        <f>IF(A322="","",Оплаты!$A$314+1)</f>
        <v/>
      </c>
      <c r="D322" s="21" t="str">
        <f>IF(A322="","",MIN(Ввод!$B$4,Ввод!$B$4+1-SUMPRODUCT(MAX((Оплаты!$D$6:$D$505=A322)*(Оплаты!$A$6:$A$505&gt;Оплаты!$A$314)*(Ввод!$B$4+1-Оплаты!$A$6:$A$505)))))</f>
        <v/>
      </c>
      <c r="E322" s="14" t="str">
        <f>IF(A322="","",INDEX(Акты!$D$5:$D$16,B322)-SUMIFS(Оплаты!$B$6:$B$505,Оплаты!$D$6:$D$505,A322,Оплаты!$A$6:$A$505,"&lt;="&amp;Оплаты!$A$314))</f>
        <v/>
      </c>
      <c r="F322" s="14" t="str">
        <f>IF(G322="","",SUMPRODUCT(ROUND(E322*'По дням'!$L$6:$L$155/100*((((D322+'По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дням'!$J$6:$J$155)))/2+1)/'По дням'!$M$6:$M$155,2)*(1-'По дням'!$N$6:$N$155)))</f>
        <v/>
      </c>
      <c r="G322" s="22" t="str">
        <f t="shared" ref="G322:G385" si="5">IF(A322="","",IF(C322&gt;D322,"",B322*1000000+C322))</f>
        <v/>
      </c>
      <c r="H322" s="14" t="str">
        <f>IF(G322="","",SUMIFS(Оплаты!$B$6:$B$505,Оплаты!$D$6:$D$505,A322,Оплаты!$A$6:$A$505,D322))</f>
        <v/>
      </c>
      <c r="I322" t="str">
        <f>IF(G322="","",SUMPRODUCT((((((D322+'По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дням'!$J$6:$J$155)))/2+1)&gt;0)*1))</f>
        <v/>
      </c>
    </row>
    <row r="323" spans="1:9" x14ac:dyDescent="0.3">
      <c r="A323" t="str">
        <f>IF(AND(Оплаты!$E$315="ок",COUNTIFS(Акты!$B$5:$B$16,Оплаты!$D$315,Акты!$H$5:$H$16,"ок")&gt;0,COUNTIFS(Оплаты!$D$6:$D$314,Оплаты!$D$315,Оплаты!$A$6:$A$314,Оплаты!$A$315)=0),Оплаты!$D$315,"")</f>
        <v/>
      </c>
      <c r="B323" t="str">
        <f>IF(A323="","",MATCH(A323,Акты!$B$5:$B$16,0))</f>
        <v/>
      </c>
      <c r="C323" s="21" t="str">
        <f>IF(A323="","",Оплаты!$A$315+1)</f>
        <v/>
      </c>
      <c r="D323" s="21" t="str">
        <f>IF(A323="","",MIN(Ввод!$B$4,Ввод!$B$4+1-SUMPRODUCT(MAX((Оплаты!$D$6:$D$505=A323)*(Оплаты!$A$6:$A$505&gt;Оплаты!$A$315)*(Ввод!$B$4+1-Оплаты!$A$6:$A$505)))))</f>
        <v/>
      </c>
      <c r="E323" s="14" t="str">
        <f>IF(A323="","",INDEX(Акты!$D$5:$D$16,B323)-SUMIFS(Оплаты!$B$6:$B$505,Оплаты!$D$6:$D$505,A323,Оплаты!$A$6:$A$505,"&lt;="&amp;Оплаты!$A$315))</f>
        <v/>
      </c>
      <c r="F323" s="14" t="str">
        <f>IF(G323="","",SUMPRODUCT(ROUND(E323*'По дням'!$L$6:$L$155/100*((((D323+'По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дням'!$J$6:$J$155)))/2+1)/'По дням'!$M$6:$M$155,2)*(1-'По дням'!$N$6:$N$155)))</f>
        <v/>
      </c>
      <c r="G323" s="22" t="str">
        <f t="shared" si="5"/>
        <v/>
      </c>
      <c r="H323" s="14" t="str">
        <f>IF(G323="","",SUMIFS(Оплаты!$B$6:$B$505,Оплаты!$D$6:$D$505,A323,Оплаты!$A$6:$A$505,D323))</f>
        <v/>
      </c>
      <c r="I323" t="str">
        <f>IF(G323="","",SUMPRODUCT((((((D323+'По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дням'!$J$6:$J$155)))/2+1)&gt;0)*1))</f>
        <v/>
      </c>
    </row>
    <row r="324" spans="1:9" x14ac:dyDescent="0.3">
      <c r="A324" t="str">
        <f>IF(AND(Оплаты!$E$316="ок",COUNTIFS(Акты!$B$5:$B$16,Оплаты!$D$316,Акты!$H$5:$H$16,"ок")&gt;0,COUNTIFS(Оплаты!$D$6:$D$315,Оплаты!$D$316,Оплаты!$A$6:$A$315,Оплаты!$A$316)=0),Оплаты!$D$316,"")</f>
        <v/>
      </c>
      <c r="B324" t="str">
        <f>IF(A324="","",MATCH(A324,Акты!$B$5:$B$16,0))</f>
        <v/>
      </c>
      <c r="C324" s="21" t="str">
        <f>IF(A324="","",Оплаты!$A$316+1)</f>
        <v/>
      </c>
      <c r="D324" s="21" t="str">
        <f>IF(A324="","",MIN(Ввод!$B$4,Ввод!$B$4+1-SUMPRODUCT(MAX((Оплаты!$D$6:$D$505=A324)*(Оплаты!$A$6:$A$505&gt;Оплаты!$A$316)*(Ввод!$B$4+1-Оплаты!$A$6:$A$505)))))</f>
        <v/>
      </c>
      <c r="E324" s="14" t="str">
        <f>IF(A324="","",INDEX(Акты!$D$5:$D$16,B324)-SUMIFS(Оплаты!$B$6:$B$505,Оплаты!$D$6:$D$505,A324,Оплаты!$A$6:$A$505,"&lt;="&amp;Оплаты!$A$316))</f>
        <v/>
      </c>
      <c r="F324" s="14" t="str">
        <f>IF(G324="","",SUMPRODUCT(ROUND(E324*'По дням'!$L$6:$L$155/100*((((D324+'По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дням'!$J$6:$J$155)))/2+1)/'По дням'!$M$6:$M$155,2)*(1-'По дням'!$N$6:$N$155)))</f>
        <v/>
      </c>
      <c r="G324" s="22" t="str">
        <f t="shared" si="5"/>
        <v/>
      </c>
      <c r="H324" s="14" t="str">
        <f>IF(G324="","",SUMIFS(Оплаты!$B$6:$B$505,Оплаты!$D$6:$D$505,A324,Оплаты!$A$6:$A$505,D324))</f>
        <v/>
      </c>
      <c r="I324" t="str">
        <f>IF(G324="","",SUMPRODUCT((((((D324+'По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дням'!$J$6:$J$155)))/2+1)&gt;0)*1))</f>
        <v/>
      </c>
    </row>
    <row r="325" spans="1:9" x14ac:dyDescent="0.3">
      <c r="A325" t="str">
        <f>IF(AND(Оплаты!$E$317="ок",COUNTIFS(Акты!$B$5:$B$16,Оплаты!$D$317,Акты!$H$5:$H$16,"ок")&gt;0,COUNTIFS(Оплаты!$D$6:$D$316,Оплаты!$D$317,Оплаты!$A$6:$A$316,Оплаты!$A$317)=0),Оплаты!$D$317,"")</f>
        <v/>
      </c>
      <c r="B325" t="str">
        <f>IF(A325="","",MATCH(A325,Акты!$B$5:$B$16,0))</f>
        <v/>
      </c>
      <c r="C325" s="21" t="str">
        <f>IF(A325="","",Оплаты!$A$317+1)</f>
        <v/>
      </c>
      <c r="D325" s="21" t="str">
        <f>IF(A325="","",MIN(Ввод!$B$4,Ввод!$B$4+1-SUMPRODUCT(MAX((Оплаты!$D$6:$D$505=A325)*(Оплаты!$A$6:$A$505&gt;Оплаты!$A$317)*(Ввод!$B$4+1-Оплаты!$A$6:$A$505)))))</f>
        <v/>
      </c>
      <c r="E325" s="14" t="str">
        <f>IF(A325="","",INDEX(Акты!$D$5:$D$16,B325)-SUMIFS(Оплаты!$B$6:$B$505,Оплаты!$D$6:$D$505,A325,Оплаты!$A$6:$A$505,"&lt;="&amp;Оплаты!$A$317))</f>
        <v/>
      </c>
      <c r="F325" s="14" t="str">
        <f>IF(G325="","",SUMPRODUCT(ROUND(E325*'По дням'!$L$6:$L$155/100*((((D325+'По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дням'!$J$6:$J$155)))/2+1)/'По дням'!$M$6:$M$155,2)*(1-'По дням'!$N$6:$N$155)))</f>
        <v/>
      </c>
      <c r="G325" s="22" t="str">
        <f t="shared" si="5"/>
        <v/>
      </c>
      <c r="H325" s="14" t="str">
        <f>IF(G325="","",SUMIFS(Оплаты!$B$6:$B$505,Оплаты!$D$6:$D$505,A325,Оплаты!$A$6:$A$505,D325))</f>
        <v/>
      </c>
      <c r="I325" t="str">
        <f>IF(G325="","",SUMPRODUCT((((((D325+'По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дням'!$J$6:$J$155)))/2+1)&gt;0)*1))</f>
        <v/>
      </c>
    </row>
    <row r="326" spans="1:9" x14ac:dyDescent="0.3">
      <c r="A326" t="str">
        <f>IF(AND(Оплаты!$E$318="ок",COUNTIFS(Акты!$B$5:$B$16,Оплаты!$D$318,Акты!$H$5:$H$16,"ок")&gt;0,COUNTIFS(Оплаты!$D$6:$D$317,Оплаты!$D$318,Оплаты!$A$6:$A$317,Оплаты!$A$318)=0),Оплаты!$D$318,"")</f>
        <v/>
      </c>
      <c r="B326" t="str">
        <f>IF(A326="","",MATCH(A326,Акты!$B$5:$B$16,0))</f>
        <v/>
      </c>
      <c r="C326" s="21" t="str">
        <f>IF(A326="","",Оплаты!$A$318+1)</f>
        <v/>
      </c>
      <c r="D326" s="21" t="str">
        <f>IF(A326="","",MIN(Ввод!$B$4,Ввод!$B$4+1-SUMPRODUCT(MAX((Оплаты!$D$6:$D$505=A326)*(Оплаты!$A$6:$A$505&gt;Оплаты!$A$318)*(Ввод!$B$4+1-Оплаты!$A$6:$A$505)))))</f>
        <v/>
      </c>
      <c r="E326" s="14" t="str">
        <f>IF(A326="","",INDEX(Акты!$D$5:$D$16,B326)-SUMIFS(Оплаты!$B$6:$B$505,Оплаты!$D$6:$D$505,A326,Оплаты!$A$6:$A$505,"&lt;="&amp;Оплаты!$A$318))</f>
        <v/>
      </c>
      <c r="F326" s="14" t="str">
        <f>IF(G326="","",SUMPRODUCT(ROUND(E326*'По дням'!$L$6:$L$155/100*((((D326+'По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дням'!$J$6:$J$155)))/2+1)/'По дням'!$M$6:$M$155,2)*(1-'По дням'!$N$6:$N$155)))</f>
        <v/>
      </c>
      <c r="G326" s="22" t="str">
        <f t="shared" si="5"/>
        <v/>
      </c>
      <c r="H326" s="14" t="str">
        <f>IF(G326="","",SUMIFS(Оплаты!$B$6:$B$505,Оплаты!$D$6:$D$505,A326,Оплаты!$A$6:$A$505,D326))</f>
        <v/>
      </c>
      <c r="I326" t="str">
        <f>IF(G326="","",SUMPRODUCT((((((D326+'По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дням'!$J$6:$J$155)))/2+1)&gt;0)*1))</f>
        <v/>
      </c>
    </row>
    <row r="327" spans="1:9" x14ac:dyDescent="0.3">
      <c r="A327" t="str">
        <f>IF(AND(Оплаты!$E$319="ок",COUNTIFS(Акты!$B$5:$B$16,Оплаты!$D$319,Акты!$H$5:$H$16,"ок")&gt;0,COUNTIFS(Оплаты!$D$6:$D$318,Оплаты!$D$319,Оплаты!$A$6:$A$318,Оплаты!$A$319)=0),Оплаты!$D$319,"")</f>
        <v/>
      </c>
      <c r="B327" t="str">
        <f>IF(A327="","",MATCH(A327,Акты!$B$5:$B$16,0))</f>
        <v/>
      </c>
      <c r="C327" s="21" t="str">
        <f>IF(A327="","",Оплаты!$A$319+1)</f>
        <v/>
      </c>
      <c r="D327" s="21" t="str">
        <f>IF(A327="","",MIN(Ввод!$B$4,Ввод!$B$4+1-SUMPRODUCT(MAX((Оплаты!$D$6:$D$505=A327)*(Оплаты!$A$6:$A$505&gt;Оплаты!$A$319)*(Ввод!$B$4+1-Оплаты!$A$6:$A$505)))))</f>
        <v/>
      </c>
      <c r="E327" s="14" t="str">
        <f>IF(A327="","",INDEX(Акты!$D$5:$D$16,B327)-SUMIFS(Оплаты!$B$6:$B$505,Оплаты!$D$6:$D$505,A327,Оплаты!$A$6:$A$505,"&lt;="&amp;Оплаты!$A$319))</f>
        <v/>
      </c>
      <c r="F327" s="14" t="str">
        <f>IF(G327="","",SUMPRODUCT(ROUND(E327*'По дням'!$L$6:$L$155/100*((((D327+'По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дням'!$J$6:$J$155)))/2+1)/'По дням'!$M$6:$M$155,2)*(1-'По дням'!$N$6:$N$155)))</f>
        <v/>
      </c>
      <c r="G327" s="22" t="str">
        <f t="shared" si="5"/>
        <v/>
      </c>
      <c r="H327" s="14" t="str">
        <f>IF(G327="","",SUMIFS(Оплаты!$B$6:$B$505,Оплаты!$D$6:$D$505,A327,Оплаты!$A$6:$A$505,D327))</f>
        <v/>
      </c>
      <c r="I327" t="str">
        <f>IF(G327="","",SUMPRODUCT((((((D327+'По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дням'!$J$6:$J$155)))/2+1)&gt;0)*1))</f>
        <v/>
      </c>
    </row>
    <row r="328" spans="1:9" x14ac:dyDescent="0.3">
      <c r="A328" t="str">
        <f>IF(AND(Оплаты!$E$320="ок",COUNTIFS(Акты!$B$5:$B$16,Оплаты!$D$320,Акты!$H$5:$H$16,"ок")&gt;0,COUNTIFS(Оплаты!$D$6:$D$319,Оплаты!$D$320,Оплаты!$A$6:$A$319,Оплаты!$A$320)=0),Оплаты!$D$320,"")</f>
        <v/>
      </c>
      <c r="B328" t="str">
        <f>IF(A328="","",MATCH(A328,Акты!$B$5:$B$16,0))</f>
        <v/>
      </c>
      <c r="C328" s="21" t="str">
        <f>IF(A328="","",Оплаты!$A$320+1)</f>
        <v/>
      </c>
      <c r="D328" s="21" t="str">
        <f>IF(A328="","",MIN(Ввод!$B$4,Ввод!$B$4+1-SUMPRODUCT(MAX((Оплаты!$D$6:$D$505=A328)*(Оплаты!$A$6:$A$505&gt;Оплаты!$A$320)*(Ввод!$B$4+1-Оплаты!$A$6:$A$505)))))</f>
        <v/>
      </c>
      <c r="E328" s="14" t="str">
        <f>IF(A328="","",INDEX(Акты!$D$5:$D$16,B328)-SUMIFS(Оплаты!$B$6:$B$505,Оплаты!$D$6:$D$505,A328,Оплаты!$A$6:$A$505,"&lt;="&amp;Оплаты!$A$320))</f>
        <v/>
      </c>
      <c r="F328" s="14" t="str">
        <f>IF(G328="","",SUMPRODUCT(ROUND(E328*'По дням'!$L$6:$L$155/100*((((D328+'По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дням'!$J$6:$J$155)))/2+1)/'По дням'!$M$6:$M$155,2)*(1-'По дням'!$N$6:$N$155)))</f>
        <v/>
      </c>
      <c r="G328" s="22" t="str">
        <f t="shared" si="5"/>
        <v/>
      </c>
      <c r="H328" s="14" t="str">
        <f>IF(G328="","",SUMIFS(Оплаты!$B$6:$B$505,Оплаты!$D$6:$D$505,A328,Оплаты!$A$6:$A$505,D328))</f>
        <v/>
      </c>
      <c r="I328" t="str">
        <f>IF(G328="","",SUMPRODUCT((((((D328+'По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дням'!$J$6:$J$155)))/2+1)&gt;0)*1))</f>
        <v/>
      </c>
    </row>
    <row r="329" spans="1:9" x14ac:dyDescent="0.3">
      <c r="A329" t="str">
        <f>IF(AND(Оплаты!$E$321="ок",COUNTIFS(Акты!$B$5:$B$16,Оплаты!$D$321,Акты!$H$5:$H$16,"ок")&gt;0,COUNTIFS(Оплаты!$D$6:$D$320,Оплаты!$D$321,Оплаты!$A$6:$A$320,Оплаты!$A$321)=0),Оплаты!$D$321,"")</f>
        <v/>
      </c>
      <c r="B329" t="str">
        <f>IF(A329="","",MATCH(A329,Акты!$B$5:$B$16,0))</f>
        <v/>
      </c>
      <c r="C329" s="21" t="str">
        <f>IF(A329="","",Оплаты!$A$321+1)</f>
        <v/>
      </c>
      <c r="D329" s="21" t="str">
        <f>IF(A329="","",MIN(Ввод!$B$4,Ввод!$B$4+1-SUMPRODUCT(MAX((Оплаты!$D$6:$D$505=A329)*(Оплаты!$A$6:$A$505&gt;Оплаты!$A$321)*(Ввод!$B$4+1-Оплаты!$A$6:$A$505)))))</f>
        <v/>
      </c>
      <c r="E329" s="14" t="str">
        <f>IF(A329="","",INDEX(Акты!$D$5:$D$16,B329)-SUMIFS(Оплаты!$B$6:$B$505,Оплаты!$D$6:$D$505,A329,Оплаты!$A$6:$A$505,"&lt;="&amp;Оплаты!$A$321))</f>
        <v/>
      </c>
      <c r="F329" s="14" t="str">
        <f>IF(G329="","",SUMPRODUCT(ROUND(E329*'По дням'!$L$6:$L$155/100*((((D329+'По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дням'!$J$6:$J$155)))/2+1)/'По дням'!$M$6:$M$155,2)*(1-'По дням'!$N$6:$N$155)))</f>
        <v/>
      </c>
      <c r="G329" s="22" t="str">
        <f t="shared" si="5"/>
        <v/>
      </c>
      <c r="H329" s="14" t="str">
        <f>IF(G329="","",SUMIFS(Оплаты!$B$6:$B$505,Оплаты!$D$6:$D$505,A329,Оплаты!$A$6:$A$505,D329))</f>
        <v/>
      </c>
      <c r="I329" t="str">
        <f>IF(G329="","",SUMPRODUCT((((((D329+'По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дням'!$J$6:$J$155)))/2+1)&gt;0)*1))</f>
        <v/>
      </c>
    </row>
    <row r="330" spans="1:9" x14ac:dyDescent="0.3">
      <c r="A330" t="str">
        <f>IF(AND(Оплаты!$E$322="ок",COUNTIFS(Акты!$B$5:$B$16,Оплаты!$D$322,Акты!$H$5:$H$16,"ок")&gt;0,COUNTIFS(Оплаты!$D$6:$D$321,Оплаты!$D$322,Оплаты!$A$6:$A$321,Оплаты!$A$322)=0),Оплаты!$D$322,"")</f>
        <v/>
      </c>
      <c r="B330" t="str">
        <f>IF(A330="","",MATCH(A330,Акты!$B$5:$B$16,0))</f>
        <v/>
      </c>
      <c r="C330" s="21" t="str">
        <f>IF(A330="","",Оплаты!$A$322+1)</f>
        <v/>
      </c>
      <c r="D330" s="21" t="str">
        <f>IF(A330="","",MIN(Ввод!$B$4,Ввод!$B$4+1-SUMPRODUCT(MAX((Оплаты!$D$6:$D$505=A330)*(Оплаты!$A$6:$A$505&gt;Оплаты!$A$322)*(Ввод!$B$4+1-Оплаты!$A$6:$A$505)))))</f>
        <v/>
      </c>
      <c r="E330" s="14" t="str">
        <f>IF(A330="","",INDEX(Акты!$D$5:$D$16,B330)-SUMIFS(Оплаты!$B$6:$B$505,Оплаты!$D$6:$D$505,A330,Оплаты!$A$6:$A$505,"&lt;="&amp;Оплаты!$A$322))</f>
        <v/>
      </c>
      <c r="F330" s="14" t="str">
        <f>IF(G330="","",SUMPRODUCT(ROUND(E330*'По дням'!$L$6:$L$155/100*((((D330+'По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дням'!$J$6:$J$155)))/2+1)/'По дням'!$M$6:$M$155,2)*(1-'По дням'!$N$6:$N$155)))</f>
        <v/>
      </c>
      <c r="G330" s="22" t="str">
        <f t="shared" si="5"/>
        <v/>
      </c>
      <c r="H330" s="14" t="str">
        <f>IF(G330="","",SUMIFS(Оплаты!$B$6:$B$505,Оплаты!$D$6:$D$505,A330,Оплаты!$A$6:$A$505,D330))</f>
        <v/>
      </c>
      <c r="I330" t="str">
        <f>IF(G330="","",SUMPRODUCT((((((D330+'По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дням'!$J$6:$J$155)))/2+1)&gt;0)*1))</f>
        <v/>
      </c>
    </row>
    <row r="331" spans="1:9" x14ac:dyDescent="0.3">
      <c r="A331" t="str">
        <f>IF(AND(Оплаты!$E$323="ок",COUNTIFS(Акты!$B$5:$B$16,Оплаты!$D$323,Акты!$H$5:$H$16,"ок")&gt;0,COUNTIFS(Оплаты!$D$6:$D$322,Оплаты!$D$323,Оплаты!$A$6:$A$322,Оплаты!$A$323)=0),Оплаты!$D$323,"")</f>
        <v/>
      </c>
      <c r="B331" t="str">
        <f>IF(A331="","",MATCH(A331,Акты!$B$5:$B$16,0))</f>
        <v/>
      </c>
      <c r="C331" s="21" t="str">
        <f>IF(A331="","",Оплаты!$A$323+1)</f>
        <v/>
      </c>
      <c r="D331" s="21" t="str">
        <f>IF(A331="","",MIN(Ввод!$B$4,Ввод!$B$4+1-SUMPRODUCT(MAX((Оплаты!$D$6:$D$505=A331)*(Оплаты!$A$6:$A$505&gt;Оплаты!$A$323)*(Ввод!$B$4+1-Оплаты!$A$6:$A$505)))))</f>
        <v/>
      </c>
      <c r="E331" s="14" t="str">
        <f>IF(A331="","",INDEX(Акты!$D$5:$D$16,B331)-SUMIFS(Оплаты!$B$6:$B$505,Оплаты!$D$6:$D$505,A331,Оплаты!$A$6:$A$505,"&lt;="&amp;Оплаты!$A$323))</f>
        <v/>
      </c>
      <c r="F331" s="14" t="str">
        <f>IF(G331="","",SUMPRODUCT(ROUND(E331*'По дням'!$L$6:$L$155/100*((((D331+'По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дням'!$J$6:$J$155)))/2+1)/'По дням'!$M$6:$M$155,2)*(1-'По дням'!$N$6:$N$155)))</f>
        <v/>
      </c>
      <c r="G331" s="22" t="str">
        <f t="shared" si="5"/>
        <v/>
      </c>
      <c r="H331" s="14" t="str">
        <f>IF(G331="","",SUMIFS(Оплаты!$B$6:$B$505,Оплаты!$D$6:$D$505,A331,Оплаты!$A$6:$A$505,D331))</f>
        <v/>
      </c>
      <c r="I331" t="str">
        <f>IF(G331="","",SUMPRODUCT((((((D331+'По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дням'!$J$6:$J$155)))/2+1)&gt;0)*1))</f>
        <v/>
      </c>
    </row>
    <row r="332" spans="1:9" x14ac:dyDescent="0.3">
      <c r="A332" t="str">
        <f>IF(AND(Оплаты!$E$324="ок",COUNTIFS(Акты!$B$5:$B$16,Оплаты!$D$324,Акты!$H$5:$H$16,"ок")&gt;0,COUNTIFS(Оплаты!$D$6:$D$323,Оплаты!$D$324,Оплаты!$A$6:$A$323,Оплаты!$A$324)=0),Оплаты!$D$324,"")</f>
        <v/>
      </c>
      <c r="B332" t="str">
        <f>IF(A332="","",MATCH(A332,Акты!$B$5:$B$16,0))</f>
        <v/>
      </c>
      <c r="C332" s="21" t="str">
        <f>IF(A332="","",Оплаты!$A$324+1)</f>
        <v/>
      </c>
      <c r="D332" s="21" t="str">
        <f>IF(A332="","",MIN(Ввод!$B$4,Ввод!$B$4+1-SUMPRODUCT(MAX((Оплаты!$D$6:$D$505=A332)*(Оплаты!$A$6:$A$505&gt;Оплаты!$A$324)*(Ввод!$B$4+1-Оплаты!$A$6:$A$505)))))</f>
        <v/>
      </c>
      <c r="E332" s="14" t="str">
        <f>IF(A332="","",INDEX(Акты!$D$5:$D$16,B332)-SUMIFS(Оплаты!$B$6:$B$505,Оплаты!$D$6:$D$505,A332,Оплаты!$A$6:$A$505,"&lt;="&amp;Оплаты!$A$324))</f>
        <v/>
      </c>
      <c r="F332" s="14" t="str">
        <f>IF(G332="","",SUMPRODUCT(ROUND(E332*'По дням'!$L$6:$L$155/100*((((D332+'По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дням'!$J$6:$J$155)))/2+1)/'По дням'!$M$6:$M$155,2)*(1-'По дням'!$N$6:$N$155)))</f>
        <v/>
      </c>
      <c r="G332" s="22" t="str">
        <f t="shared" si="5"/>
        <v/>
      </c>
      <c r="H332" s="14" t="str">
        <f>IF(G332="","",SUMIFS(Оплаты!$B$6:$B$505,Оплаты!$D$6:$D$505,A332,Оплаты!$A$6:$A$505,D332))</f>
        <v/>
      </c>
      <c r="I332" t="str">
        <f>IF(G332="","",SUMPRODUCT((((((D332+'По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дням'!$J$6:$J$155)))/2+1)&gt;0)*1))</f>
        <v/>
      </c>
    </row>
    <row r="333" spans="1:9" x14ac:dyDescent="0.3">
      <c r="A333" t="str">
        <f>IF(AND(Оплаты!$E$325="ок",COUNTIFS(Акты!$B$5:$B$16,Оплаты!$D$325,Акты!$H$5:$H$16,"ок")&gt;0,COUNTIFS(Оплаты!$D$6:$D$324,Оплаты!$D$325,Оплаты!$A$6:$A$324,Оплаты!$A$325)=0),Оплаты!$D$325,"")</f>
        <v/>
      </c>
      <c r="B333" t="str">
        <f>IF(A333="","",MATCH(A333,Акты!$B$5:$B$16,0))</f>
        <v/>
      </c>
      <c r="C333" s="21" t="str">
        <f>IF(A333="","",Оплаты!$A$325+1)</f>
        <v/>
      </c>
      <c r="D333" s="21" t="str">
        <f>IF(A333="","",MIN(Ввод!$B$4,Ввод!$B$4+1-SUMPRODUCT(MAX((Оплаты!$D$6:$D$505=A333)*(Оплаты!$A$6:$A$505&gt;Оплаты!$A$325)*(Ввод!$B$4+1-Оплаты!$A$6:$A$505)))))</f>
        <v/>
      </c>
      <c r="E333" s="14" t="str">
        <f>IF(A333="","",INDEX(Акты!$D$5:$D$16,B333)-SUMIFS(Оплаты!$B$6:$B$505,Оплаты!$D$6:$D$505,A333,Оплаты!$A$6:$A$505,"&lt;="&amp;Оплаты!$A$325))</f>
        <v/>
      </c>
      <c r="F333" s="14" t="str">
        <f>IF(G333="","",SUMPRODUCT(ROUND(E333*'По дням'!$L$6:$L$155/100*((((D333+'По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дням'!$J$6:$J$155)))/2+1)/'По дням'!$M$6:$M$155,2)*(1-'По дням'!$N$6:$N$155)))</f>
        <v/>
      </c>
      <c r="G333" s="22" t="str">
        <f t="shared" si="5"/>
        <v/>
      </c>
      <c r="H333" s="14" t="str">
        <f>IF(G333="","",SUMIFS(Оплаты!$B$6:$B$505,Оплаты!$D$6:$D$505,A333,Оплаты!$A$6:$A$505,D333))</f>
        <v/>
      </c>
      <c r="I333" t="str">
        <f>IF(G333="","",SUMPRODUCT((((((D333+'По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дням'!$J$6:$J$155)))/2+1)&gt;0)*1))</f>
        <v/>
      </c>
    </row>
    <row r="334" spans="1:9" x14ac:dyDescent="0.3">
      <c r="A334" t="str">
        <f>IF(AND(Оплаты!$E$326="ок",COUNTIFS(Акты!$B$5:$B$16,Оплаты!$D$326,Акты!$H$5:$H$16,"ок")&gt;0,COUNTIFS(Оплаты!$D$6:$D$325,Оплаты!$D$326,Оплаты!$A$6:$A$325,Оплаты!$A$326)=0),Оплаты!$D$326,"")</f>
        <v/>
      </c>
      <c r="B334" t="str">
        <f>IF(A334="","",MATCH(A334,Акты!$B$5:$B$16,0))</f>
        <v/>
      </c>
      <c r="C334" s="21" t="str">
        <f>IF(A334="","",Оплаты!$A$326+1)</f>
        <v/>
      </c>
      <c r="D334" s="21" t="str">
        <f>IF(A334="","",MIN(Ввод!$B$4,Ввод!$B$4+1-SUMPRODUCT(MAX((Оплаты!$D$6:$D$505=A334)*(Оплаты!$A$6:$A$505&gt;Оплаты!$A$326)*(Ввод!$B$4+1-Оплаты!$A$6:$A$505)))))</f>
        <v/>
      </c>
      <c r="E334" s="14" t="str">
        <f>IF(A334="","",INDEX(Акты!$D$5:$D$16,B334)-SUMIFS(Оплаты!$B$6:$B$505,Оплаты!$D$6:$D$505,A334,Оплаты!$A$6:$A$505,"&lt;="&amp;Оплаты!$A$326))</f>
        <v/>
      </c>
      <c r="F334" s="14" t="str">
        <f>IF(G334="","",SUMPRODUCT(ROUND(E334*'По дням'!$L$6:$L$155/100*((((D334+'По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дням'!$J$6:$J$155)))/2+1)/'По дням'!$M$6:$M$155,2)*(1-'По дням'!$N$6:$N$155)))</f>
        <v/>
      </c>
      <c r="G334" s="22" t="str">
        <f t="shared" si="5"/>
        <v/>
      </c>
      <c r="H334" s="14" t="str">
        <f>IF(G334="","",SUMIFS(Оплаты!$B$6:$B$505,Оплаты!$D$6:$D$505,A334,Оплаты!$A$6:$A$505,D334))</f>
        <v/>
      </c>
      <c r="I334" t="str">
        <f>IF(G334="","",SUMPRODUCT((((((D334+'По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дням'!$J$6:$J$155)))/2+1)&gt;0)*1))</f>
        <v/>
      </c>
    </row>
    <row r="335" spans="1:9" x14ac:dyDescent="0.3">
      <c r="A335" t="str">
        <f>IF(AND(Оплаты!$E$327="ок",COUNTIFS(Акты!$B$5:$B$16,Оплаты!$D$327,Акты!$H$5:$H$16,"ок")&gt;0,COUNTIFS(Оплаты!$D$6:$D$326,Оплаты!$D$327,Оплаты!$A$6:$A$326,Оплаты!$A$327)=0),Оплаты!$D$327,"")</f>
        <v/>
      </c>
      <c r="B335" t="str">
        <f>IF(A335="","",MATCH(A335,Акты!$B$5:$B$16,0))</f>
        <v/>
      </c>
      <c r="C335" s="21" t="str">
        <f>IF(A335="","",Оплаты!$A$327+1)</f>
        <v/>
      </c>
      <c r="D335" s="21" t="str">
        <f>IF(A335="","",MIN(Ввод!$B$4,Ввод!$B$4+1-SUMPRODUCT(MAX((Оплаты!$D$6:$D$505=A335)*(Оплаты!$A$6:$A$505&gt;Оплаты!$A$327)*(Ввод!$B$4+1-Оплаты!$A$6:$A$505)))))</f>
        <v/>
      </c>
      <c r="E335" s="14" t="str">
        <f>IF(A335="","",INDEX(Акты!$D$5:$D$16,B335)-SUMIFS(Оплаты!$B$6:$B$505,Оплаты!$D$6:$D$505,A335,Оплаты!$A$6:$A$505,"&lt;="&amp;Оплаты!$A$327))</f>
        <v/>
      </c>
      <c r="F335" s="14" t="str">
        <f>IF(G335="","",SUMPRODUCT(ROUND(E335*'По дням'!$L$6:$L$155/100*((((D335+'По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дням'!$J$6:$J$155)))/2+1)/'По дням'!$M$6:$M$155,2)*(1-'По дням'!$N$6:$N$155)))</f>
        <v/>
      </c>
      <c r="G335" s="22" t="str">
        <f t="shared" si="5"/>
        <v/>
      </c>
      <c r="H335" s="14" t="str">
        <f>IF(G335="","",SUMIFS(Оплаты!$B$6:$B$505,Оплаты!$D$6:$D$505,A335,Оплаты!$A$6:$A$505,D335))</f>
        <v/>
      </c>
      <c r="I335" t="str">
        <f>IF(G335="","",SUMPRODUCT((((((D335+'По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дням'!$J$6:$J$155)))/2+1)&gt;0)*1))</f>
        <v/>
      </c>
    </row>
    <row r="336" spans="1:9" x14ac:dyDescent="0.3">
      <c r="A336" t="str">
        <f>IF(AND(Оплаты!$E$328="ок",COUNTIFS(Акты!$B$5:$B$16,Оплаты!$D$328,Акты!$H$5:$H$16,"ок")&gt;0,COUNTIFS(Оплаты!$D$6:$D$327,Оплаты!$D$328,Оплаты!$A$6:$A$327,Оплаты!$A$328)=0),Оплаты!$D$328,"")</f>
        <v/>
      </c>
      <c r="B336" t="str">
        <f>IF(A336="","",MATCH(A336,Акты!$B$5:$B$16,0))</f>
        <v/>
      </c>
      <c r="C336" s="21" t="str">
        <f>IF(A336="","",Оплаты!$A$328+1)</f>
        <v/>
      </c>
      <c r="D336" s="21" t="str">
        <f>IF(A336="","",MIN(Ввод!$B$4,Ввод!$B$4+1-SUMPRODUCT(MAX((Оплаты!$D$6:$D$505=A336)*(Оплаты!$A$6:$A$505&gt;Оплаты!$A$328)*(Ввод!$B$4+1-Оплаты!$A$6:$A$505)))))</f>
        <v/>
      </c>
      <c r="E336" s="14" t="str">
        <f>IF(A336="","",INDEX(Акты!$D$5:$D$16,B336)-SUMIFS(Оплаты!$B$6:$B$505,Оплаты!$D$6:$D$505,A336,Оплаты!$A$6:$A$505,"&lt;="&amp;Оплаты!$A$328))</f>
        <v/>
      </c>
      <c r="F336" s="14" t="str">
        <f>IF(G336="","",SUMPRODUCT(ROUND(E336*'По дням'!$L$6:$L$155/100*((((D336+'По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дням'!$J$6:$J$155)))/2+1)/'По дням'!$M$6:$M$155,2)*(1-'По дням'!$N$6:$N$155)))</f>
        <v/>
      </c>
      <c r="G336" s="22" t="str">
        <f t="shared" si="5"/>
        <v/>
      </c>
      <c r="H336" s="14" t="str">
        <f>IF(G336="","",SUMIFS(Оплаты!$B$6:$B$505,Оплаты!$D$6:$D$505,A336,Оплаты!$A$6:$A$505,D336))</f>
        <v/>
      </c>
      <c r="I336" t="str">
        <f>IF(G336="","",SUMPRODUCT((((((D336+'По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дням'!$J$6:$J$155)))/2+1)&gt;0)*1))</f>
        <v/>
      </c>
    </row>
    <row r="337" spans="1:9" x14ac:dyDescent="0.3">
      <c r="A337" t="str">
        <f>IF(AND(Оплаты!$E$329="ок",COUNTIFS(Акты!$B$5:$B$16,Оплаты!$D$329,Акты!$H$5:$H$16,"ок")&gt;0,COUNTIFS(Оплаты!$D$6:$D$328,Оплаты!$D$329,Оплаты!$A$6:$A$328,Оплаты!$A$329)=0),Оплаты!$D$329,"")</f>
        <v/>
      </c>
      <c r="B337" t="str">
        <f>IF(A337="","",MATCH(A337,Акты!$B$5:$B$16,0))</f>
        <v/>
      </c>
      <c r="C337" s="21" t="str">
        <f>IF(A337="","",Оплаты!$A$329+1)</f>
        <v/>
      </c>
      <c r="D337" s="21" t="str">
        <f>IF(A337="","",MIN(Ввод!$B$4,Ввод!$B$4+1-SUMPRODUCT(MAX((Оплаты!$D$6:$D$505=A337)*(Оплаты!$A$6:$A$505&gt;Оплаты!$A$329)*(Ввод!$B$4+1-Оплаты!$A$6:$A$505)))))</f>
        <v/>
      </c>
      <c r="E337" s="14" t="str">
        <f>IF(A337="","",INDEX(Акты!$D$5:$D$16,B337)-SUMIFS(Оплаты!$B$6:$B$505,Оплаты!$D$6:$D$505,A337,Оплаты!$A$6:$A$505,"&lt;="&amp;Оплаты!$A$329))</f>
        <v/>
      </c>
      <c r="F337" s="14" t="str">
        <f>IF(G337="","",SUMPRODUCT(ROUND(E337*'По дням'!$L$6:$L$155/100*((((D337+'По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дням'!$J$6:$J$155)))/2+1)/'По дням'!$M$6:$M$155,2)*(1-'По дням'!$N$6:$N$155)))</f>
        <v/>
      </c>
      <c r="G337" s="22" t="str">
        <f t="shared" si="5"/>
        <v/>
      </c>
      <c r="H337" s="14" t="str">
        <f>IF(G337="","",SUMIFS(Оплаты!$B$6:$B$505,Оплаты!$D$6:$D$505,A337,Оплаты!$A$6:$A$505,D337))</f>
        <v/>
      </c>
      <c r="I337" t="str">
        <f>IF(G337="","",SUMPRODUCT((((((D337+'По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дням'!$J$6:$J$155)))/2+1)&gt;0)*1))</f>
        <v/>
      </c>
    </row>
    <row r="338" spans="1:9" x14ac:dyDescent="0.3">
      <c r="A338" t="str">
        <f>IF(AND(Оплаты!$E$330="ок",COUNTIFS(Акты!$B$5:$B$16,Оплаты!$D$330,Акты!$H$5:$H$16,"ок")&gt;0,COUNTIFS(Оплаты!$D$6:$D$329,Оплаты!$D$330,Оплаты!$A$6:$A$329,Оплаты!$A$330)=0),Оплаты!$D$330,"")</f>
        <v/>
      </c>
      <c r="B338" t="str">
        <f>IF(A338="","",MATCH(A338,Акты!$B$5:$B$16,0))</f>
        <v/>
      </c>
      <c r="C338" s="21" t="str">
        <f>IF(A338="","",Оплаты!$A$330+1)</f>
        <v/>
      </c>
      <c r="D338" s="21" t="str">
        <f>IF(A338="","",MIN(Ввод!$B$4,Ввод!$B$4+1-SUMPRODUCT(MAX((Оплаты!$D$6:$D$505=A338)*(Оплаты!$A$6:$A$505&gt;Оплаты!$A$330)*(Ввод!$B$4+1-Оплаты!$A$6:$A$505)))))</f>
        <v/>
      </c>
      <c r="E338" s="14" t="str">
        <f>IF(A338="","",INDEX(Акты!$D$5:$D$16,B338)-SUMIFS(Оплаты!$B$6:$B$505,Оплаты!$D$6:$D$505,A338,Оплаты!$A$6:$A$505,"&lt;="&amp;Оплаты!$A$330))</f>
        <v/>
      </c>
      <c r="F338" s="14" t="str">
        <f>IF(G338="","",SUMPRODUCT(ROUND(E338*'По дням'!$L$6:$L$155/100*((((D338+'По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дням'!$J$6:$J$155)))/2+1)/'По дням'!$M$6:$M$155,2)*(1-'По дням'!$N$6:$N$155)))</f>
        <v/>
      </c>
      <c r="G338" s="22" t="str">
        <f t="shared" si="5"/>
        <v/>
      </c>
      <c r="H338" s="14" t="str">
        <f>IF(G338="","",SUMIFS(Оплаты!$B$6:$B$505,Оплаты!$D$6:$D$505,A338,Оплаты!$A$6:$A$505,D338))</f>
        <v/>
      </c>
      <c r="I338" t="str">
        <f>IF(G338="","",SUMPRODUCT((((((D338+'По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дням'!$J$6:$J$155)))/2+1)&gt;0)*1))</f>
        <v/>
      </c>
    </row>
    <row r="339" spans="1:9" x14ac:dyDescent="0.3">
      <c r="A339" t="str">
        <f>IF(AND(Оплаты!$E$331="ок",COUNTIFS(Акты!$B$5:$B$16,Оплаты!$D$331,Акты!$H$5:$H$16,"ок")&gt;0,COUNTIFS(Оплаты!$D$6:$D$330,Оплаты!$D$331,Оплаты!$A$6:$A$330,Оплаты!$A$331)=0),Оплаты!$D$331,"")</f>
        <v/>
      </c>
      <c r="B339" t="str">
        <f>IF(A339="","",MATCH(A339,Акты!$B$5:$B$16,0))</f>
        <v/>
      </c>
      <c r="C339" s="21" t="str">
        <f>IF(A339="","",Оплаты!$A$331+1)</f>
        <v/>
      </c>
      <c r="D339" s="21" t="str">
        <f>IF(A339="","",MIN(Ввод!$B$4,Ввод!$B$4+1-SUMPRODUCT(MAX((Оплаты!$D$6:$D$505=A339)*(Оплаты!$A$6:$A$505&gt;Оплаты!$A$331)*(Ввод!$B$4+1-Оплаты!$A$6:$A$505)))))</f>
        <v/>
      </c>
      <c r="E339" s="14" t="str">
        <f>IF(A339="","",INDEX(Акты!$D$5:$D$16,B339)-SUMIFS(Оплаты!$B$6:$B$505,Оплаты!$D$6:$D$505,A339,Оплаты!$A$6:$A$505,"&lt;="&amp;Оплаты!$A$331))</f>
        <v/>
      </c>
      <c r="F339" s="14" t="str">
        <f>IF(G339="","",SUMPRODUCT(ROUND(E339*'По дням'!$L$6:$L$155/100*((((D339+'По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дням'!$J$6:$J$155)))/2+1)/'По дням'!$M$6:$M$155,2)*(1-'По дням'!$N$6:$N$155)))</f>
        <v/>
      </c>
      <c r="G339" s="22" t="str">
        <f t="shared" si="5"/>
        <v/>
      </c>
      <c r="H339" s="14" t="str">
        <f>IF(G339="","",SUMIFS(Оплаты!$B$6:$B$505,Оплаты!$D$6:$D$505,A339,Оплаты!$A$6:$A$505,D339))</f>
        <v/>
      </c>
      <c r="I339" t="str">
        <f>IF(G339="","",SUMPRODUCT((((((D339+'По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дням'!$J$6:$J$155)))/2+1)&gt;0)*1))</f>
        <v/>
      </c>
    </row>
    <row r="340" spans="1:9" x14ac:dyDescent="0.3">
      <c r="A340" t="str">
        <f>IF(AND(Оплаты!$E$332="ок",COUNTIFS(Акты!$B$5:$B$16,Оплаты!$D$332,Акты!$H$5:$H$16,"ок")&gt;0,COUNTIFS(Оплаты!$D$6:$D$331,Оплаты!$D$332,Оплаты!$A$6:$A$331,Оплаты!$A$332)=0),Оплаты!$D$332,"")</f>
        <v/>
      </c>
      <c r="B340" t="str">
        <f>IF(A340="","",MATCH(A340,Акты!$B$5:$B$16,0))</f>
        <v/>
      </c>
      <c r="C340" s="21" t="str">
        <f>IF(A340="","",Оплаты!$A$332+1)</f>
        <v/>
      </c>
      <c r="D340" s="21" t="str">
        <f>IF(A340="","",MIN(Ввод!$B$4,Ввод!$B$4+1-SUMPRODUCT(MAX((Оплаты!$D$6:$D$505=A340)*(Оплаты!$A$6:$A$505&gt;Оплаты!$A$332)*(Ввод!$B$4+1-Оплаты!$A$6:$A$505)))))</f>
        <v/>
      </c>
      <c r="E340" s="14" t="str">
        <f>IF(A340="","",INDEX(Акты!$D$5:$D$16,B340)-SUMIFS(Оплаты!$B$6:$B$505,Оплаты!$D$6:$D$505,A340,Оплаты!$A$6:$A$505,"&lt;="&amp;Оплаты!$A$332))</f>
        <v/>
      </c>
      <c r="F340" s="14" t="str">
        <f>IF(G340="","",SUMPRODUCT(ROUND(E340*'По дням'!$L$6:$L$155/100*((((D340+'По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дням'!$J$6:$J$155)))/2+1)/'По дням'!$M$6:$M$155,2)*(1-'По дням'!$N$6:$N$155)))</f>
        <v/>
      </c>
      <c r="G340" s="22" t="str">
        <f t="shared" si="5"/>
        <v/>
      </c>
      <c r="H340" s="14" t="str">
        <f>IF(G340="","",SUMIFS(Оплаты!$B$6:$B$505,Оплаты!$D$6:$D$505,A340,Оплаты!$A$6:$A$505,D340))</f>
        <v/>
      </c>
      <c r="I340" t="str">
        <f>IF(G340="","",SUMPRODUCT((((((D340+'По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дням'!$J$6:$J$155)))/2+1)&gt;0)*1))</f>
        <v/>
      </c>
    </row>
    <row r="341" spans="1:9" x14ac:dyDescent="0.3">
      <c r="A341" t="str">
        <f>IF(AND(Оплаты!$E$333="ок",COUNTIFS(Акты!$B$5:$B$16,Оплаты!$D$333,Акты!$H$5:$H$16,"ок")&gt;0,COUNTIFS(Оплаты!$D$6:$D$332,Оплаты!$D$333,Оплаты!$A$6:$A$332,Оплаты!$A$333)=0),Оплаты!$D$333,"")</f>
        <v/>
      </c>
      <c r="B341" t="str">
        <f>IF(A341="","",MATCH(A341,Акты!$B$5:$B$16,0))</f>
        <v/>
      </c>
      <c r="C341" s="21" t="str">
        <f>IF(A341="","",Оплаты!$A$333+1)</f>
        <v/>
      </c>
      <c r="D341" s="21" t="str">
        <f>IF(A341="","",MIN(Ввод!$B$4,Ввод!$B$4+1-SUMPRODUCT(MAX((Оплаты!$D$6:$D$505=A341)*(Оплаты!$A$6:$A$505&gt;Оплаты!$A$333)*(Ввод!$B$4+1-Оплаты!$A$6:$A$505)))))</f>
        <v/>
      </c>
      <c r="E341" s="14" t="str">
        <f>IF(A341="","",INDEX(Акты!$D$5:$D$16,B341)-SUMIFS(Оплаты!$B$6:$B$505,Оплаты!$D$6:$D$505,A341,Оплаты!$A$6:$A$505,"&lt;="&amp;Оплаты!$A$333))</f>
        <v/>
      </c>
      <c r="F341" s="14" t="str">
        <f>IF(G341="","",SUMPRODUCT(ROUND(E341*'По дням'!$L$6:$L$155/100*((((D341+'По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дням'!$J$6:$J$155)))/2+1)/'По дням'!$M$6:$M$155,2)*(1-'По дням'!$N$6:$N$155)))</f>
        <v/>
      </c>
      <c r="G341" s="22" t="str">
        <f t="shared" si="5"/>
        <v/>
      </c>
      <c r="H341" s="14" t="str">
        <f>IF(G341="","",SUMIFS(Оплаты!$B$6:$B$505,Оплаты!$D$6:$D$505,A341,Оплаты!$A$6:$A$505,D341))</f>
        <v/>
      </c>
      <c r="I341" t="str">
        <f>IF(G341="","",SUMPRODUCT((((((D341+'По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дням'!$J$6:$J$155)))/2+1)&gt;0)*1))</f>
        <v/>
      </c>
    </row>
    <row r="342" spans="1:9" x14ac:dyDescent="0.3">
      <c r="A342" t="str">
        <f>IF(AND(Оплаты!$E$334="ок",COUNTIFS(Акты!$B$5:$B$16,Оплаты!$D$334,Акты!$H$5:$H$16,"ок")&gt;0,COUNTIFS(Оплаты!$D$6:$D$333,Оплаты!$D$334,Оплаты!$A$6:$A$333,Оплаты!$A$334)=0),Оплаты!$D$334,"")</f>
        <v/>
      </c>
      <c r="B342" t="str">
        <f>IF(A342="","",MATCH(A342,Акты!$B$5:$B$16,0))</f>
        <v/>
      </c>
      <c r="C342" s="21" t="str">
        <f>IF(A342="","",Оплаты!$A$334+1)</f>
        <v/>
      </c>
      <c r="D342" s="21" t="str">
        <f>IF(A342="","",MIN(Ввод!$B$4,Ввод!$B$4+1-SUMPRODUCT(MAX((Оплаты!$D$6:$D$505=A342)*(Оплаты!$A$6:$A$505&gt;Оплаты!$A$334)*(Ввод!$B$4+1-Оплаты!$A$6:$A$505)))))</f>
        <v/>
      </c>
      <c r="E342" s="14" t="str">
        <f>IF(A342="","",INDEX(Акты!$D$5:$D$16,B342)-SUMIFS(Оплаты!$B$6:$B$505,Оплаты!$D$6:$D$505,A342,Оплаты!$A$6:$A$505,"&lt;="&amp;Оплаты!$A$334))</f>
        <v/>
      </c>
      <c r="F342" s="14" t="str">
        <f>IF(G342="","",SUMPRODUCT(ROUND(E342*'По дням'!$L$6:$L$155/100*((((D342+'По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дням'!$J$6:$J$155)))/2+1)/'По дням'!$M$6:$M$155,2)*(1-'По дням'!$N$6:$N$155)))</f>
        <v/>
      </c>
      <c r="G342" s="22" t="str">
        <f t="shared" si="5"/>
        <v/>
      </c>
      <c r="H342" s="14" t="str">
        <f>IF(G342="","",SUMIFS(Оплаты!$B$6:$B$505,Оплаты!$D$6:$D$505,A342,Оплаты!$A$6:$A$505,D342))</f>
        <v/>
      </c>
      <c r="I342" t="str">
        <f>IF(G342="","",SUMPRODUCT((((((D342+'По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дням'!$J$6:$J$155)))/2+1)&gt;0)*1))</f>
        <v/>
      </c>
    </row>
    <row r="343" spans="1:9" x14ac:dyDescent="0.3">
      <c r="A343" t="str">
        <f>IF(AND(Оплаты!$E$335="ок",COUNTIFS(Акты!$B$5:$B$16,Оплаты!$D$335,Акты!$H$5:$H$16,"ок")&gt;0,COUNTIFS(Оплаты!$D$6:$D$334,Оплаты!$D$335,Оплаты!$A$6:$A$334,Оплаты!$A$335)=0),Оплаты!$D$335,"")</f>
        <v/>
      </c>
      <c r="B343" t="str">
        <f>IF(A343="","",MATCH(A343,Акты!$B$5:$B$16,0))</f>
        <v/>
      </c>
      <c r="C343" s="21" t="str">
        <f>IF(A343="","",Оплаты!$A$335+1)</f>
        <v/>
      </c>
      <c r="D343" s="21" t="str">
        <f>IF(A343="","",MIN(Ввод!$B$4,Ввод!$B$4+1-SUMPRODUCT(MAX((Оплаты!$D$6:$D$505=A343)*(Оплаты!$A$6:$A$505&gt;Оплаты!$A$335)*(Ввод!$B$4+1-Оплаты!$A$6:$A$505)))))</f>
        <v/>
      </c>
      <c r="E343" s="14" t="str">
        <f>IF(A343="","",INDEX(Акты!$D$5:$D$16,B343)-SUMIFS(Оплаты!$B$6:$B$505,Оплаты!$D$6:$D$505,A343,Оплаты!$A$6:$A$505,"&lt;="&amp;Оплаты!$A$335))</f>
        <v/>
      </c>
      <c r="F343" s="14" t="str">
        <f>IF(G343="","",SUMPRODUCT(ROUND(E343*'По дням'!$L$6:$L$155/100*((((D343+'По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дням'!$J$6:$J$155)))/2+1)/'По дням'!$M$6:$M$155,2)*(1-'По дням'!$N$6:$N$155)))</f>
        <v/>
      </c>
      <c r="G343" s="22" t="str">
        <f t="shared" si="5"/>
        <v/>
      </c>
      <c r="H343" s="14" t="str">
        <f>IF(G343="","",SUMIFS(Оплаты!$B$6:$B$505,Оплаты!$D$6:$D$505,A343,Оплаты!$A$6:$A$505,D343))</f>
        <v/>
      </c>
      <c r="I343" t="str">
        <f>IF(G343="","",SUMPRODUCT((((((D343+'По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дням'!$J$6:$J$155)))/2+1)&gt;0)*1))</f>
        <v/>
      </c>
    </row>
    <row r="344" spans="1:9" x14ac:dyDescent="0.3">
      <c r="A344" t="str">
        <f>IF(AND(Оплаты!$E$336="ок",COUNTIFS(Акты!$B$5:$B$16,Оплаты!$D$336,Акты!$H$5:$H$16,"ок")&gt;0,COUNTIFS(Оплаты!$D$6:$D$335,Оплаты!$D$336,Оплаты!$A$6:$A$335,Оплаты!$A$336)=0),Оплаты!$D$336,"")</f>
        <v/>
      </c>
      <c r="B344" t="str">
        <f>IF(A344="","",MATCH(A344,Акты!$B$5:$B$16,0))</f>
        <v/>
      </c>
      <c r="C344" s="21" t="str">
        <f>IF(A344="","",Оплаты!$A$336+1)</f>
        <v/>
      </c>
      <c r="D344" s="21" t="str">
        <f>IF(A344="","",MIN(Ввод!$B$4,Ввод!$B$4+1-SUMPRODUCT(MAX((Оплаты!$D$6:$D$505=A344)*(Оплаты!$A$6:$A$505&gt;Оплаты!$A$336)*(Ввод!$B$4+1-Оплаты!$A$6:$A$505)))))</f>
        <v/>
      </c>
      <c r="E344" s="14" t="str">
        <f>IF(A344="","",INDEX(Акты!$D$5:$D$16,B344)-SUMIFS(Оплаты!$B$6:$B$505,Оплаты!$D$6:$D$505,A344,Оплаты!$A$6:$A$505,"&lt;="&amp;Оплаты!$A$336))</f>
        <v/>
      </c>
      <c r="F344" s="14" t="str">
        <f>IF(G344="","",SUMPRODUCT(ROUND(E344*'По дням'!$L$6:$L$155/100*((((D344+'По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дням'!$J$6:$J$155)))/2+1)/'По дням'!$M$6:$M$155,2)*(1-'По дням'!$N$6:$N$155)))</f>
        <v/>
      </c>
      <c r="G344" s="22" t="str">
        <f t="shared" si="5"/>
        <v/>
      </c>
      <c r="H344" s="14" t="str">
        <f>IF(G344="","",SUMIFS(Оплаты!$B$6:$B$505,Оплаты!$D$6:$D$505,A344,Оплаты!$A$6:$A$505,D344))</f>
        <v/>
      </c>
      <c r="I344" t="str">
        <f>IF(G344="","",SUMPRODUCT((((((D344+'По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дням'!$J$6:$J$155)))/2+1)&gt;0)*1))</f>
        <v/>
      </c>
    </row>
    <row r="345" spans="1:9" x14ac:dyDescent="0.3">
      <c r="A345" t="str">
        <f>IF(AND(Оплаты!$E$337="ок",COUNTIFS(Акты!$B$5:$B$16,Оплаты!$D$337,Акты!$H$5:$H$16,"ок")&gt;0,COUNTIFS(Оплаты!$D$6:$D$336,Оплаты!$D$337,Оплаты!$A$6:$A$336,Оплаты!$A$337)=0),Оплаты!$D$337,"")</f>
        <v/>
      </c>
      <c r="B345" t="str">
        <f>IF(A345="","",MATCH(A345,Акты!$B$5:$B$16,0))</f>
        <v/>
      </c>
      <c r="C345" s="21" t="str">
        <f>IF(A345="","",Оплаты!$A$337+1)</f>
        <v/>
      </c>
      <c r="D345" s="21" t="str">
        <f>IF(A345="","",MIN(Ввод!$B$4,Ввод!$B$4+1-SUMPRODUCT(MAX((Оплаты!$D$6:$D$505=A345)*(Оплаты!$A$6:$A$505&gt;Оплаты!$A$337)*(Ввод!$B$4+1-Оплаты!$A$6:$A$505)))))</f>
        <v/>
      </c>
      <c r="E345" s="14" t="str">
        <f>IF(A345="","",INDEX(Акты!$D$5:$D$16,B345)-SUMIFS(Оплаты!$B$6:$B$505,Оплаты!$D$6:$D$505,A345,Оплаты!$A$6:$A$505,"&lt;="&amp;Оплаты!$A$337))</f>
        <v/>
      </c>
      <c r="F345" s="14" t="str">
        <f>IF(G345="","",SUMPRODUCT(ROUND(E345*'По дням'!$L$6:$L$155/100*((((D345+'По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дням'!$J$6:$J$155)))/2+1)/'По дням'!$M$6:$M$155,2)*(1-'По дням'!$N$6:$N$155)))</f>
        <v/>
      </c>
      <c r="G345" s="22" t="str">
        <f t="shared" si="5"/>
        <v/>
      </c>
      <c r="H345" s="14" t="str">
        <f>IF(G345="","",SUMIFS(Оплаты!$B$6:$B$505,Оплаты!$D$6:$D$505,A345,Оплаты!$A$6:$A$505,D345))</f>
        <v/>
      </c>
      <c r="I345" t="str">
        <f>IF(G345="","",SUMPRODUCT((((((D345+'По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дням'!$J$6:$J$155)))/2+1)&gt;0)*1))</f>
        <v/>
      </c>
    </row>
    <row r="346" spans="1:9" x14ac:dyDescent="0.3">
      <c r="A346" t="str">
        <f>IF(AND(Оплаты!$E$338="ок",COUNTIFS(Акты!$B$5:$B$16,Оплаты!$D$338,Акты!$H$5:$H$16,"ок")&gt;0,COUNTIFS(Оплаты!$D$6:$D$337,Оплаты!$D$338,Оплаты!$A$6:$A$337,Оплаты!$A$338)=0),Оплаты!$D$338,"")</f>
        <v/>
      </c>
      <c r="B346" t="str">
        <f>IF(A346="","",MATCH(A346,Акты!$B$5:$B$16,0))</f>
        <v/>
      </c>
      <c r="C346" s="21" t="str">
        <f>IF(A346="","",Оплаты!$A$338+1)</f>
        <v/>
      </c>
      <c r="D346" s="21" t="str">
        <f>IF(A346="","",MIN(Ввод!$B$4,Ввод!$B$4+1-SUMPRODUCT(MAX((Оплаты!$D$6:$D$505=A346)*(Оплаты!$A$6:$A$505&gt;Оплаты!$A$338)*(Ввод!$B$4+1-Оплаты!$A$6:$A$505)))))</f>
        <v/>
      </c>
      <c r="E346" s="14" t="str">
        <f>IF(A346="","",INDEX(Акты!$D$5:$D$16,B346)-SUMIFS(Оплаты!$B$6:$B$505,Оплаты!$D$6:$D$505,A346,Оплаты!$A$6:$A$505,"&lt;="&amp;Оплаты!$A$338))</f>
        <v/>
      </c>
      <c r="F346" s="14" t="str">
        <f>IF(G346="","",SUMPRODUCT(ROUND(E346*'По дням'!$L$6:$L$155/100*((((D346+'По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дням'!$J$6:$J$155)))/2+1)/'По дням'!$M$6:$M$155,2)*(1-'По дням'!$N$6:$N$155)))</f>
        <v/>
      </c>
      <c r="G346" s="22" t="str">
        <f t="shared" si="5"/>
        <v/>
      </c>
      <c r="H346" s="14" t="str">
        <f>IF(G346="","",SUMIFS(Оплаты!$B$6:$B$505,Оплаты!$D$6:$D$505,A346,Оплаты!$A$6:$A$505,D346))</f>
        <v/>
      </c>
      <c r="I346" t="str">
        <f>IF(G346="","",SUMPRODUCT((((((D346+'По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дням'!$J$6:$J$155)))/2+1)&gt;0)*1))</f>
        <v/>
      </c>
    </row>
    <row r="347" spans="1:9" x14ac:dyDescent="0.3">
      <c r="A347" t="str">
        <f>IF(AND(Оплаты!$E$339="ок",COUNTIFS(Акты!$B$5:$B$16,Оплаты!$D$339,Акты!$H$5:$H$16,"ок")&gt;0,COUNTIFS(Оплаты!$D$6:$D$338,Оплаты!$D$339,Оплаты!$A$6:$A$338,Оплаты!$A$339)=0),Оплаты!$D$339,"")</f>
        <v/>
      </c>
      <c r="B347" t="str">
        <f>IF(A347="","",MATCH(A347,Акты!$B$5:$B$16,0))</f>
        <v/>
      </c>
      <c r="C347" s="21" t="str">
        <f>IF(A347="","",Оплаты!$A$339+1)</f>
        <v/>
      </c>
      <c r="D347" s="21" t="str">
        <f>IF(A347="","",MIN(Ввод!$B$4,Ввод!$B$4+1-SUMPRODUCT(MAX((Оплаты!$D$6:$D$505=A347)*(Оплаты!$A$6:$A$505&gt;Оплаты!$A$339)*(Ввод!$B$4+1-Оплаты!$A$6:$A$505)))))</f>
        <v/>
      </c>
      <c r="E347" s="14" t="str">
        <f>IF(A347="","",INDEX(Акты!$D$5:$D$16,B347)-SUMIFS(Оплаты!$B$6:$B$505,Оплаты!$D$6:$D$505,A347,Оплаты!$A$6:$A$505,"&lt;="&amp;Оплаты!$A$339))</f>
        <v/>
      </c>
      <c r="F347" s="14" t="str">
        <f>IF(G347="","",SUMPRODUCT(ROUND(E347*'По дням'!$L$6:$L$155/100*((((D347+'По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дням'!$J$6:$J$155)))/2+1)/'По дням'!$M$6:$M$155,2)*(1-'По дням'!$N$6:$N$155)))</f>
        <v/>
      </c>
      <c r="G347" s="22" t="str">
        <f t="shared" si="5"/>
        <v/>
      </c>
      <c r="H347" s="14" t="str">
        <f>IF(G347="","",SUMIFS(Оплаты!$B$6:$B$505,Оплаты!$D$6:$D$505,A347,Оплаты!$A$6:$A$505,D347))</f>
        <v/>
      </c>
      <c r="I347" t="str">
        <f>IF(G347="","",SUMPRODUCT((((((D347+'По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дням'!$J$6:$J$155)))/2+1)&gt;0)*1))</f>
        <v/>
      </c>
    </row>
    <row r="348" spans="1:9" x14ac:dyDescent="0.3">
      <c r="A348" t="str">
        <f>IF(AND(Оплаты!$E$340="ок",COUNTIFS(Акты!$B$5:$B$16,Оплаты!$D$340,Акты!$H$5:$H$16,"ок")&gt;0,COUNTIFS(Оплаты!$D$6:$D$339,Оплаты!$D$340,Оплаты!$A$6:$A$339,Оплаты!$A$340)=0),Оплаты!$D$340,"")</f>
        <v/>
      </c>
      <c r="B348" t="str">
        <f>IF(A348="","",MATCH(A348,Акты!$B$5:$B$16,0))</f>
        <v/>
      </c>
      <c r="C348" s="21" t="str">
        <f>IF(A348="","",Оплаты!$A$340+1)</f>
        <v/>
      </c>
      <c r="D348" s="21" t="str">
        <f>IF(A348="","",MIN(Ввод!$B$4,Ввод!$B$4+1-SUMPRODUCT(MAX((Оплаты!$D$6:$D$505=A348)*(Оплаты!$A$6:$A$505&gt;Оплаты!$A$340)*(Ввод!$B$4+1-Оплаты!$A$6:$A$505)))))</f>
        <v/>
      </c>
      <c r="E348" s="14" t="str">
        <f>IF(A348="","",INDEX(Акты!$D$5:$D$16,B348)-SUMIFS(Оплаты!$B$6:$B$505,Оплаты!$D$6:$D$505,A348,Оплаты!$A$6:$A$505,"&lt;="&amp;Оплаты!$A$340))</f>
        <v/>
      </c>
      <c r="F348" s="14" t="str">
        <f>IF(G348="","",SUMPRODUCT(ROUND(E348*'По дням'!$L$6:$L$155/100*((((D348+'По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дням'!$J$6:$J$155)))/2+1)/'По дням'!$M$6:$M$155,2)*(1-'По дням'!$N$6:$N$155)))</f>
        <v/>
      </c>
      <c r="G348" s="22" t="str">
        <f t="shared" si="5"/>
        <v/>
      </c>
      <c r="H348" s="14" t="str">
        <f>IF(G348="","",SUMIFS(Оплаты!$B$6:$B$505,Оплаты!$D$6:$D$505,A348,Оплаты!$A$6:$A$505,D348))</f>
        <v/>
      </c>
      <c r="I348" t="str">
        <f>IF(G348="","",SUMPRODUCT((((((D348+'По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дням'!$J$6:$J$155)))/2+1)&gt;0)*1))</f>
        <v/>
      </c>
    </row>
    <row r="349" spans="1:9" x14ac:dyDescent="0.3">
      <c r="A349" t="str">
        <f>IF(AND(Оплаты!$E$341="ок",COUNTIFS(Акты!$B$5:$B$16,Оплаты!$D$341,Акты!$H$5:$H$16,"ок")&gt;0,COUNTIFS(Оплаты!$D$6:$D$340,Оплаты!$D$341,Оплаты!$A$6:$A$340,Оплаты!$A$341)=0),Оплаты!$D$341,"")</f>
        <v/>
      </c>
      <c r="B349" t="str">
        <f>IF(A349="","",MATCH(A349,Акты!$B$5:$B$16,0))</f>
        <v/>
      </c>
      <c r="C349" s="21" t="str">
        <f>IF(A349="","",Оплаты!$A$341+1)</f>
        <v/>
      </c>
      <c r="D349" s="21" t="str">
        <f>IF(A349="","",MIN(Ввод!$B$4,Ввод!$B$4+1-SUMPRODUCT(MAX((Оплаты!$D$6:$D$505=A349)*(Оплаты!$A$6:$A$505&gt;Оплаты!$A$341)*(Ввод!$B$4+1-Оплаты!$A$6:$A$505)))))</f>
        <v/>
      </c>
      <c r="E349" s="14" t="str">
        <f>IF(A349="","",INDEX(Акты!$D$5:$D$16,B349)-SUMIFS(Оплаты!$B$6:$B$505,Оплаты!$D$6:$D$505,A349,Оплаты!$A$6:$A$505,"&lt;="&amp;Оплаты!$A$341))</f>
        <v/>
      </c>
      <c r="F349" s="14" t="str">
        <f>IF(G349="","",SUMPRODUCT(ROUND(E349*'По дням'!$L$6:$L$155/100*((((D349+'По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дням'!$J$6:$J$155)))/2+1)/'По дням'!$M$6:$M$155,2)*(1-'По дням'!$N$6:$N$155)))</f>
        <v/>
      </c>
      <c r="G349" s="22" t="str">
        <f t="shared" si="5"/>
        <v/>
      </c>
      <c r="H349" s="14" t="str">
        <f>IF(G349="","",SUMIFS(Оплаты!$B$6:$B$505,Оплаты!$D$6:$D$505,A349,Оплаты!$A$6:$A$505,D349))</f>
        <v/>
      </c>
      <c r="I349" t="str">
        <f>IF(G349="","",SUMPRODUCT((((((D349+'По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дням'!$J$6:$J$155)))/2+1)&gt;0)*1))</f>
        <v/>
      </c>
    </row>
    <row r="350" spans="1:9" x14ac:dyDescent="0.3">
      <c r="A350" t="str">
        <f>IF(AND(Оплаты!$E$342="ок",COUNTIFS(Акты!$B$5:$B$16,Оплаты!$D$342,Акты!$H$5:$H$16,"ок")&gt;0,COUNTIFS(Оплаты!$D$6:$D$341,Оплаты!$D$342,Оплаты!$A$6:$A$341,Оплаты!$A$342)=0),Оплаты!$D$342,"")</f>
        <v/>
      </c>
      <c r="B350" t="str">
        <f>IF(A350="","",MATCH(A350,Акты!$B$5:$B$16,0))</f>
        <v/>
      </c>
      <c r="C350" s="21" t="str">
        <f>IF(A350="","",Оплаты!$A$342+1)</f>
        <v/>
      </c>
      <c r="D350" s="21" t="str">
        <f>IF(A350="","",MIN(Ввод!$B$4,Ввод!$B$4+1-SUMPRODUCT(MAX((Оплаты!$D$6:$D$505=A350)*(Оплаты!$A$6:$A$505&gt;Оплаты!$A$342)*(Ввод!$B$4+1-Оплаты!$A$6:$A$505)))))</f>
        <v/>
      </c>
      <c r="E350" s="14" t="str">
        <f>IF(A350="","",INDEX(Акты!$D$5:$D$16,B350)-SUMIFS(Оплаты!$B$6:$B$505,Оплаты!$D$6:$D$505,A350,Оплаты!$A$6:$A$505,"&lt;="&amp;Оплаты!$A$342))</f>
        <v/>
      </c>
      <c r="F350" s="14" t="str">
        <f>IF(G350="","",SUMPRODUCT(ROUND(E350*'По дням'!$L$6:$L$155/100*((((D350+'По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дням'!$J$6:$J$155)))/2+1)/'По дням'!$M$6:$M$155,2)*(1-'По дням'!$N$6:$N$155)))</f>
        <v/>
      </c>
      <c r="G350" s="22" t="str">
        <f t="shared" si="5"/>
        <v/>
      </c>
      <c r="H350" s="14" t="str">
        <f>IF(G350="","",SUMIFS(Оплаты!$B$6:$B$505,Оплаты!$D$6:$D$505,A350,Оплаты!$A$6:$A$505,D350))</f>
        <v/>
      </c>
      <c r="I350" t="str">
        <f>IF(G350="","",SUMPRODUCT((((((D350+'По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дням'!$J$6:$J$155)))/2+1)&gt;0)*1))</f>
        <v/>
      </c>
    </row>
    <row r="351" spans="1:9" x14ac:dyDescent="0.3">
      <c r="A351" t="str">
        <f>IF(AND(Оплаты!$E$343="ок",COUNTIFS(Акты!$B$5:$B$16,Оплаты!$D$343,Акты!$H$5:$H$16,"ок")&gt;0,COUNTIFS(Оплаты!$D$6:$D$342,Оплаты!$D$343,Оплаты!$A$6:$A$342,Оплаты!$A$343)=0),Оплаты!$D$343,"")</f>
        <v/>
      </c>
      <c r="B351" t="str">
        <f>IF(A351="","",MATCH(A351,Акты!$B$5:$B$16,0))</f>
        <v/>
      </c>
      <c r="C351" s="21" t="str">
        <f>IF(A351="","",Оплаты!$A$343+1)</f>
        <v/>
      </c>
      <c r="D351" s="21" t="str">
        <f>IF(A351="","",MIN(Ввод!$B$4,Ввод!$B$4+1-SUMPRODUCT(MAX((Оплаты!$D$6:$D$505=A351)*(Оплаты!$A$6:$A$505&gt;Оплаты!$A$343)*(Ввод!$B$4+1-Оплаты!$A$6:$A$505)))))</f>
        <v/>
      </c>
      <c r="E351" s="14" t="str">
        <f>IF(A351="","",INDEX(Акты!$D$5:$D$16,B351)-SUMIFS(Оплаты!$B$6:$B$505,Оплаты!$D$6:$D$505,A351,Оплаты!$A$6:$A$505,"&lt;="&amp;Оплаты!$A$343))</f>
        <v/>
      </c>
      <c r="F351" s="14" t="str">
        <f>IF(G351="","",SUMPRODUCT(ROUND(E351*'По дням'!$L$6:$L$155/100*((((D351+'По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дням'!$J$6:$J$155)))/2+1)/'По дням'!$M$6:$M$155,2)*(1-'По дням'!$N$6:$N$155)))</f>
        <v/>
      </c>
      <c r="G351" s="22" t="str">
        <f t="shared" si="5"/>
        <v/>
      </c>
      <c r="H351" s="14" t="str">
        <f>IF(G351="","",SUMIFS(Оплаты!$B$6:$B$505,Оплаты!$D$6:$D$505,A351,Оплаты!$A$6:$A$505,D351))</f>
        <v/>
      </c>
      <c r="I351" t="str">
        <f>IF(G351="","",SUMPRODUCT((((((D351+'По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дням'!$J$6:$J$155)))/2+1)&gt;0)*1))</f>
        <v/>
      </c>
    </row>
    <row r="352" spans="1:9" x14ac:dyDescent="0.3">
      <c r="A352" t="str">
        <f>IF(AND(Оплаты!$E$344="ок",COUNTIFS(Акты!$B$5:$B$16,Оплаты!$D$344,Акты!$H$5:$H$16,"ок")&gt;0,COUNTIFS(Оплаты!$D$6:$D$343,Оплаты!$D$344,Оплаты!$A$6:$A$343,Оплаты!$A$344)=0),Оплаты!$D$344,"")</f>
        <v/>
      </c>
      <c r="B352" t="str">
        <f>IF(A352="","",MATCH(A352,Акты!$B$5:$B$16,0))</f>
        <v/>
      </c>
      <c r="C352" s="21" t="str">
        <f>IF(A352="","",Оплаты!$A$344+1)</f>
        <v/>
      </c>
      <c r="D352" s="21" t="str">
        <f>IF(A352="","",MIN(Ввод!$B$4,Ввод!$B$4+1-SUMPRODUCT(MAX((Оплаты!$D$6:$D$505=A352)*(Оплаты!$A$6:$A$505&gt;Оплаты!$A$344)*(Ввод!$B$4+1-Оплаты!$A$6:$A$505)))))</f>
        <v/>
      </c>
      <c r="E352" s="14" t="str">
        <f>IF(A352="","",INDEX(Акты!$D$5:$D$16,B352)-SUMIFS(Оплаты!$B$6:$B$505,Оплаты!$D$6:$D$505,A352,Оплаты!$A$6:$A$505,"&lt;="&amp;Оплаты!$A$344))</f>
        <v/>
      </c>
      <c r="F352" s="14" t="str">
        <f>IF(G352="","",SUMPRODUCT(ROUND(E352*'По дням'!$L$6:$L$155/100*((((D352+'По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дням'!$J$6:$J$155)))/2+1)/'По дням'!$M$6:$M$155,2)*(1-'По дням'!$N$6:$N$155)))</f>
        <v/>
      </c>
      <c r="G352" s="22" t="str">
        <f t="shared" si="5"/>
        <v/>
      </c>
      <c r="H352" s="14" t="str">
        <f>IF(G352="","",SUMIFS(Оплаты!$B$6:$B$505,Оплаты!$D$6:$D$505,A352,Оплаты!$A$6:$A$505,D352))</f>
        <v/>
      </c>
      <c r="I352" t="str">
        <f>IF(G352="","",SUMPRODUCT((((((D352+'По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дням'!$J$6:$J$155)))/2+1)&gt;0)*1))</f>
        <v/>
      </c>
    </row>
    <row r="353" spans="1:9" x14ac:dyDescent="0.3">
      <c r="A353" t="str">
        <f>IF(AND(Оплаты!$E$345="ок",COUNTIFS(Акты!$B$5:$B$16,Оплаты!$D$345,Акты!$H$5:$H$16,"ок")&gt;0,COUNTIFS(Оплаты!$D$6:$D$344,Оплаты!$D$345,Оплаты!$A$6:$A$344,Оплаты!$A$345)=0),Оплаты!$D$345,"")</f>
        <v/>
      </c>
      <c r="B353" t="str">
        <f>IF(A353="","",MATCH(A353,Акты!$B$5:$B$16,0))</f>
        <v/>
      </c>
      <c r="C353" s="21" t="str">
        <f>IF(A353="","",Оплаты!$A$345+1)</f>
        <v/>
      </c>
      <c r="D353" s="21" t="str">
        <f>IF(A353="","",MIN(Ввод!$B$4,Ввод!$B$4+1-SUMPRODUCT(MAX((Оплаты!$D$6:$D$505=A353)*(Оплаты!$A$6:$A$505&gt;Оплаты!$A$345)*(Ввод!$B$4+1-Оплаты!$A$6:$A$505)))))</f>
        <v/>
      </c>
      <c r="E353" s="14" t="str">
        <f>IF(A353="","",INDEX(Акты!$D$5:$D$16,B353)-SUMIFS(Оплаты!$B$6:$B$505,Оплаты!$D$6:$D$505,A353,Оплаты!$A$6:$A$505,"&lt;="&amp;Оплаты!$A$345))</f>
        <v/>
      </c>
      <c r="F353" s="14" t="str">
        <f>IF(G353="","",SUMPRODUCT(ROUND(E353*'По дням'!$L$6:$L$155/100*((((D353+'По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дням'!$J$6:$J$155)))/2+1)/'По дням'!$M$6:$M$155,2)*(1-'По дням'!$N$6:$N$155)))</f>
        <v/>
      </c>
      <c r="G353" s="22" t="str">
        <f t="shared" si="5"/>
        <v/>
      </c>
      <c r="H353" s="14" t="str">
        <f>IF(G353="","",SUMIFS(Оплаты!$B$6:$B$505,Оплаты!$D$6:$D$505,A353,Оплаты!$A$6:$A$505,D353))</f>
        <v/>
      </c>
      <c r="I353" t="str">
        <f>IF(G353="","",SUMPRODUCT((((((D353+'По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дням'!$J$6:$J$155)))/2+1)&gt;0)*1))</f>
        <v/>
      </c>
    </row>
    <row r="354" spans="1:9" x14ac:dyDescent="0.3">
      <c r="A354" t="str">
        <f>IF(AND(Оплаты!$E$346="ок",COUNTIFS(Акты!$B$5:$B$16,Оплаты!$D$346,Акты!$H$5:$H$16,"ок")&gt;0,COUNTIFS(Оплаты!$D$6:$D$345,Оплаты!$D$346,Оплаты!$A$6:$A$345,Оплаты!$A$346)=0),Оплаты!$D$346,"")</f>
        <v/>
      </c>
      <c r="B354" t="str">
        <f>IF(A354="","",MATCH(A354,Акты!$B$5:$B$16,0))</f>
        <v/>
      </c>
      <c r="C354" s="21" t="str">
        <f>IF(A354="","",Оплаты!$A$346+1)</f>
        <v/>
      </c>
      <c r="D354" s="21" t="str">
        <f>IF(A354="","",MIN(Ввод!$B$4,Ввод!$B$4+1-SUMPRODUCT(MAX((Оплаты!$D$6:$D$505=A354)*(Оплаты!$A$6:$A$505&gt;Оплаты!$A$346)*(Ввод!$B$4+1-Оплаты!$A$6:$A$505)))))</f>
        <v/>
      </c>
      <c r="E354" s="14" t="str">
        <f>IF(A354="","",INDEX(Акты!$D$5:$D$16,B354)-SUMIFS(Оплаты!$B$6:$B$505,Оплаты!$D$6:$D$505,A354,Оплаты!$A$6:$A$505,"&lt;="&amp;Оплаты!$A$346))</f>
        <v/>
      </c>
      <c r="F354" s="14" t="str">
        <f>IF(G354="","",SUMPRODUCT(ROUND(E354*'По дням'!$L$6:$L$155/100*((((D354+'По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дням'!$J$6:$J$155)))/2+1)/'По дням'!$M$6:$M$155,2)*(1-'По дням'!$N$6:$N$155)))</f>
        <v/>
      </c>
      <c r="G354" s="22" t="str">
        <f t="shared" si="5"/>
        <v/>
      </c>
      <c r="H354" s="14" t="str">
        <f>IF(G354="","",SUMIFS(Оплаты!$B$6:$B$505,Оплаты!$D$6:$D$505,A354,Оплаты!$A$6:$A$505,D354))</f>
        <v/>
      </c>
      <c r="I354" t="str">
        <f>IF(G354="","",SUMPRODUCT((((((D354+'По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дням'!$J$6:$J$155)))/2+1)&gt;0)*1))</f>
        <v/>
      </c>
    </row>
    <row r="355" spans="1:9" x14ac:dyDescent="0.3">
      <c r="A355" t="str">
        <f>IF(AND(Оплаты!$E$347="ок",COUNTIFS(Акты!$B$5:$B$16,Оплаты!$D$347,Акты!$H$5:$H$16,"ок")&gt;0,COUNTIFS(Оплаты!$D$6:$D$346,Оплаты!$D$347,Оплаты!$A$6:$A$346,Оплаты!$A$347)=0),Оплаты!$D$347,"")</f>
        <v/>
      </c>
      <c r="B355" t="str">
        <f>IF(A355="","",MATCH(A355,Акты!$B$5:$B$16,0))</f>
        <v/>
      </c>
      <c r="C355" s="21" t="str">
        <f>IF(A355="","",Оплаты!$A$347+1)</f>
        <v/>
      </c>
      <c r="D355" s="21" t="str">
        <f>IF(A355="","",MIN(Ввод!$B$4,Ввод!$B$4+1-SUMPRODUCT(MAX((Оплаты!$D$6:$D$505=A355)*(Оплаты!$A$6:$A$505&gt;Оплаты!$A$347)*(Ввод!$B$4+1-Оплаты!$A$6:$A$505)))))</f>
        <v/>
      </c>
      <c r="E355" s="14" t="str">
        <f>IF(A355="","",INDEX(Акты!$D$5:$D$16,B355)-SUMIFS(Оплаты!$B$6:$B$505,Оплаты!$D$6:$D$505,A355,Оплаты!$A$6:$A$505,"&lt;="&amp;Оплаты!$A$347))</f>
        <v/>
      </c>
      <c r="F355" s="14" t="str">
        <f>IF(G355="","",SUMPRODUCT(ROUND(E355*'По дням'!$L$6:$L$155/100*((((D355+'По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дням'!$J$6:$J$155)))/2+1)/'По дням'!$M$6:$M$155,2)*(1-'По дням'!$N$6:$N$155)))</f>
        <v/>
      </c>
      <c r="G355" s="22" t="str">
        <f t="shared" si="5"/>
        <v/>
      </c>
      <c r="H355" s="14" t="str">
        <f>IF(G355="","",SUMIFS(Оплаты!$B$6:$B$505,Оплаты!$D$6:$D$505,A355,Оплаты!$A$6:$A$505,D355))</f>
        <v/>
      </c>
      <c r="I355" t="str">
        <f>IF(G355="","",SUMPRODUCT((((((D355+'По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дням'!$J$6:$J$155)))/2+1)&gt;0)*1))</f>
        <v/>
      </c>
    </row>
    <row r="356" spans="1:9" x14ac:dyDescent="0.3">
      <c r="A356" t="str">
        <f>IF(AND(Оплаты!$E$348="ок",COUNTIFS(Акты!$B$5:$B$16,Оплаты!$D$348,Акты!$H$5:$H$16,"ок")&gt;0,COUNTIFS(Оплаты!$D$6:$D$347,Оплаты!$D$348,Оплаты!$A$6:$A$347,Оплаты!$A$348)=0),Оплаты!$D$348,"")</f>
        <v/>
      </c>
      <c r="B356" t="str">
        <f>IF(A356="","",MATCH(A356,Акты!$B$5:$B$16,0))</f>
        <v/>
      </c>
      <c r="C356" s="21" t="str">
        <f>IF(A356="","",Оплаты!$A$348+1)</f>
        <v/>
      </c>
      <c r="D356" s="21" t="str">
        <f>IF(A356="","",MIN(Ввод!$B$4,Ввод!$B$4+1-SUMPRODUCT(MAX((Оплаты!$D$6:$D$505=A356)*(Оплаты!$A$6:$A$505&gt;Оплаты!$A$348)*(Ввод!$B$4+1-Оплаты!$A$6:$A$505)))))</f>
        <v/>
      </c>
      <c r="E356" s="14" t="str">
        <f>IF(A356="","",INDEX(Акты!$D$5:$D$16,B356)-SUMIFS(Оплаты!$B$6:$B$505,Оплаты!$D$6:$D$505,A356,Оплаты!$A$6:$A$505,"&lt;="&amp;Оплаты!$A$348))</f>
        <v/>
      </c>
      <c r="F356" s="14" t="str">
        <f>IF(G356="","",SUMPRODUCT(ROUND(E356*'По дням'!$L$6:$L$155/100*((((D356+'По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дням'!$J$6:$J$155)))/2+1)/'По дням'!$M$6:$M$155,2)*(1-'По дням'!$N$6:$N$155)))</f>
        <v/>
      </c>
      <c r="G356" s="22" t="str">
        <f t="shared" si="5"/>
        <v/>
      </c>
      <c r="H356" s="14" t="str">
        <f>IF(G356="","",SUMIFS(Оплаты!$B$6:$B$505,Оплаты!$D$6:$D$505,A356,Оплаты!$A$6:$A$505,D356))</f>
        <v/>
      </c>
      <c r="I356" t="str">
        <f>IF(G356="","",SUMPRODUCT((((((D356+'По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дням'!$J$6:$J$155)))/2+1)&gt;0)*1))</f>
        <v/>
      </c>
    </row>
    <row r="357" spans="1:9" x14ac:dyDescent="0.3">
      <c r="A357" t="str">
        <f>IF(AND(Оплаты!$E$349="ок",COUNTIFS(Акты!$B$5:$B$16,Оплаты!$D$349,Акты!$H$5:$H$16,"ок")&gt;0,COUNTIFS(Оплаты!$D$6:$D$348,Оплаты!$D$349,Оплаты!$A$6:$A$348,Оплаты!$A$349)=0),Оплаты!$D$349,"")</f>
        <v/>
      </c>
      <c r="B357" t="str">
        <f>IF(A357="","",MATCH(A357,Акты!$B$5:$B$16,0))</f>
        <v/>
      </c>
      <c r="C357" s="21" t="str">
        <f>IF(A357="","",Оплаты!$A$349+1)</f>
        <v/>
      </c>
      <c r="D357" s="21" t="str">
        <f>IF(A357="","",MIN(Ввод!$B$4,Ввод!$B$4+1-SUMPRODUCT(MAX((Оплаты!$D$6:$D$505=A357)*(Оплаты!$A$6:$A$505&gt;Оплаты!$A$349)*(Ввод!$B$4+1-Оплаты!$A$6:$A$505)))))</f>
        <v/>
      </c>
      <c r="E357" s="14" t="str">
        <f>IF(A357="","",INDEX(Акты!$D$5:$D$16,B357)-SUMIFS(Оплаты!$B$6:$B$505,Оплаты!$D$6:$D$505,A357,Оплаты!$A$6:$A$505,"&lt;="&amp;Оплаты!$A$349))</f>
        <v/>
      </c>
      <c r="F357" s="14" t="str">
        <f>IF(G357="","",SUMPRODUCT(ROUND(E357*'По дням'!$L$6:$L$155/100*((((D357+'По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дням'!$J$6:$J$155)))/2+1)/'По дням'!$M$6:$M$155,2)*(1-'По дням'!$N$6:$N$155)))</f>
        <v/>
      </c>
      <c r="G357" s="22" t="str">
        <f t="shared" si="5"/>
        <v/>
      </c>
      <c r="H357" s="14" t="str">
        <f>IF(G357="","",SUMIFS(Оплаты!$B$6:$B$505,Оплаты!$D$6:$D$505,A357,Оплаты!$A$6:$A$505,D357))</f>
        <v/>
      </c>
      <c r="I357" t="str">
        <f>IF(G357="","",SUMPRODUCT((((((D357+'По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дням'!$J$6:$J$155)))/2+1)&gt;0)*1))</f>
        <v/>
      </c>
    </row>
    <row r="358" spans="1:9" x14ac:dyDescent="0.3">
      <c r="A358" t="str">
        <f>IF(AND(Оплаты!$E$350="ок",COUNTIFS(Акты!$B$5:$B$16,Оплаты!$D$350,Акты!$H$5:$H$16,"ок")&gt;0,COUNTIFS(Оплаты!$D$6:$D$349,Оплаты!$D$350,Оплаты!$A$6:$A$349,Оплаты!$A$350)=0),Оплаты!$D$350,"")</f>
        <v/>
      </c>
      <c r="B358" t="str">
        <f>IF(A358="","",MATCH(A358,Акты!$B$5:$B$16,0))</f>
        <v/>
      </c>
      <c r="C358" s="21" t="str">
        <f>IF(A358="","",Оплаты!$A$350+1)</f>
        <v/>
      </c>
      <c r="D358" s="21" t="str">
        <f>IF(A358="","",MIN(Ввод!$B$4,Ввод!$B$4+1-SUMPRODUCT(MAX((Оплаты!$D$6:$D$505=A358)*(Оплаты!$A$6:$A$505&gt;Оплаты!$A$350)*(Ввод!$B$4+1-Оплаты!$A$6:$A$505)))))</f>
        <v/>
      </c>
      <c r="E358" s="14" t="str">
        <f>IF(A358="","",INDEX(Акты!$D$5:$D$16,B358)-SUMIFS(Оплаты!$B$6:$B$505,Оплаты!$D$6:$D$505,A358,Оплаты!$A$6:$A$505,"&lt;="&amp;Оплаты!$A$350))</f>
        <v/>
      </c>
      <c r="F358" s="14" t="str">
        <f>IF(G358="","",SUMPRODUCT(ROUND(E358*'По дням'!$L$6:$L$155/100*((((D358+'По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дням'!$J$6:$J$155)))/2+1)/'По дням'!$M$6:$M$155,2)*(1-'По дням'!$N$6:$N$155)))</f>
        <v/>
      </c>
      <c r="G358" s="22" t="str">
        <f t="shared" si="5"/>
        <v/>
      </c>
      <c r="H358" s="14" t="str">
        <f>IF(G358="","",SUMIFS(Оплаты!$B$6:$B$505,Оплаты!$D$6:$D$505,A358,Оплаты!$A$6:$A$505,D358))</f>
        <v/>
      </c>
      <c r="I358" t="str">
        <f>IF(G358="","",SUMPRODUCT((((((D358+'По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дням'!$J$6:$J$155)))/2+1)&gt;0)*1))</f>
        <v/>
      </c>
    </row>
    <row r="359" spans="1:9" x14ac:dyDescent="0.3">
      <c r="A359" t="str">
        <f>IF(AND(Оплаты!$E$351="ок",COUNTIFS(Акты!$B$5:$B$16,Оплаты!$D$351,Акты!$H$5:$H$16,"ок")&gt;0,COUNTIFS(Оплаты!$D$6:$D$350,Оплаты!$D$351,Оплаты!$A$6:$A$350,Оплаты!$A$351)=0),Оплаты!$D$351,"")</f>
        <v/>
      </c>
      <c r="B359" t="str">
        <f>IF(A359="","",MATCH(A359,Акты!$B$5:$B$16,0))</f>
        <v/>
      </c>
      <c r="C359" s="21" t="str">
        <f>IF(A359="","",Оплаты!$A$351+1)</f>
        <v/>
      </c>
      <c r="D359" s="21" t="str">
        <f>IF(A359="","",MIN(Ввод!$B$4,Ввод!$B$4+1-SUMPRODUCT(MAX((Оплаты!$D$6:$D$505=A359)*(Оплаты!$A$6:$A$505&gt;Оплаты!$A$351)*(Ввод!$B$4+1-Оплаты!$A$6:$A$505)))))</f>
        <v/>
      </c>
      <c r="E359" s="14" t="str">
        <f>IF(A359="","",INDEX(Акты!$D$5:$D$16,B359)-SUMIFS(Оплаты!$B$6:$B$505,Оплаты!$D$6:$D$505,A359,Оплаты!$A$6:$A$505,"&lt;="&amp;Оплаты!$A$351))</f>
        <v/>
      </c>
      <c r="F359" s="14" t="str">
        <f>IF(G359="","",SUMPRODUCT(ROUND(E359*'По дням'!$L$6:$L$155/100*((((D359+'По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дням'!$J$6:$J$155)))/2+1)/'По дням'!$M$6:$M$155,2)*(1-'По дням'!$N$6:$N$155)))</f>
        <v/>
      </c>
      <c r="G359" s="22" t="str">
        <f t="shared" si="5"/>
        <v/>
      </c>
      <c r="H359" s="14" t="str">
        <f>IF(G359="","",SUMIFS(Оплаты!$B$6:$B$505,Оплаты!$D$6:$D$505,A359,Оплаты!$A$6:$A$505,D359))</f>
        <v/>
      </c>
      <c r="I359" t="str">
        <f>IF(G359="","",SUMPRODUCT((((((D359+'По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дням'!$J$6:$J$155)))/2+1)&gt;0)*1))</f>
        <v/>
      </c>
    </row>
    <row r="360" spans="1:9" x14ac:dyDescent="0.3">
      <c r="A360" t="str">
        <f>IF(AND(Оплаты!$E$352="ок",COUNTIFS(Акты!$B$5:$B$16,Оплаты!$D$352,Акты!$H$5:$H$16,"ок")&gt;0,COUNTIFS(Оплаты!$D$6:$D$351,Оплаты!$D$352,Оплаты!$A$6:$A$351,Оплаты!$A$352)=0),Оплаты!$D$352,"")</f>
        <v/>
      </c>
      <c r="B360" t="str">
        <f>IF(A360="","",MATCH(A360,Акты!$B$5:$B$16,0))</f>
        <v/>
      </c>
      <c r="C360" s="21" t="str">
        <f>IF(A360="","",Оплаты!$A$352+1)</f>
        <v/>
      </c>
      <c r="D360" s="21" t="str">
        <f>IF(A360="","",MIN(Ввод!$B$4,Ввод!$B$4+1-SUMPRODUCT(MAX((Оплаты!$D$6:$D$505=A360)*(Оплаты!$A$6:$A$505&gt;Оплаты!$A$352)*(Ввод!$B$4+1-Оплаты!$A$6:$A$505)))))</f>
        <v/>
      </c>
      <c r="E360" s="14" t="str">
        <f>IF(A360="","",INDEX(Акты!$D$5:$D$16,B360)-SUMIFS(Оплаты!$B$6:$B$505,Оплаты!$D$6:$D$505,A360,Оплаты!$A$6:$A$505,"&lt;="&amp;Оплаты!$A$352))</f>
        <v/>
      </c>
      <c r="F360" s="14" t="str">
        <f>IF(G360="","",SUMPRODUCT(ROUND(E360*'По дням'!$L$6:$L$155/100*((((D360+'По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дням'!$J$6:$J$155)))/2+1)/'По дням'!$M$6:$M$155,2)*(1-'По дням'!$N$6:$N$155)))</f>
        <v/>
      </c>
      <c r="G360" s="22" t="str">
        <f t="shared" si="5"/>
        <v/>
      </c>
      <c r="H360" s="14" t="str">
        <f>IF(G360="","",SUMIFS(Оплаты!$B$6:$B$505,Оплаты!$D$6:$D$505,A360,Оплаты!$A$6:$A$505,D360))</f>
        <v/>
      </c>
      <c r="I360" t="str">
        <f>IF(G360="","",SUMPRODUCT((((((D360+'По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дням'!$J$6:$J$155)))/2+1)&gt;0)*1))</f>
        <v/>
      </c>
    </row>
    <row r="361" spans="1:9" x14ac:dyDescent="0.3">
      <c r="A361" t="str">
        <f>IF(AND(Оплаты!$E$353="ок",COUNTIFS(Акты!$B$5:$B$16,Оплаты!$D$353,Акты!$H$5:$H$16,"ок")&gt;0,COUNTIFS(Оплаты!$D$6:$D$352,Оплаты!$D$353,Оплаты!$A$6:$A$352,Оплаты!$A$353)=0),Оплаты!$D$353,"")</f>
        <v/>
      </c>
      <c r="B361" t="str">
        <f>IF(A361="","",MATCH(A361,Акты!$B$5:$B$16,0))</f>
        <v/>
      </c>
      <c r="C361" s="21" t="str">
        <f>IF(A361="","",Оплаты!$A$353+1)</f>
        <v/>
      </c>
      <c r="D361" s="21" t="str">
        <f>IF(A361="","",MIN(Ввод!$B$4,Ввод!$B$4+1-SUMPRODUCT(MAX((Оплаты!$D$6:$D$505=A361)*(Оплаты!$A$6:$A$505&gt;Оплаты!$A$353)*(Ввод!$B$4+1-Оплаты!$A$6:$A$505)))))</f>
        <v/>
      </c>
      <c r="E361" s="14" t="str">
        <f>IF(A361="","",INDEX(Акты!$D$5:$D$16,B361)-SUMIFS(Оплаты!$B$6:$B$505,Оплаты!$D$6:$D$505,A361,Оплаты!$A$6:$A$505,"&lt;="&amp;Оплаты!$A$353))</f>
        <v/>
      </c>
      <c r="F361" s="14" t="str">
        <f>IF(G361="","",SUMPRODUCT(ROUND(E361*'По дням'!$L$6:$L$155/100*((((D361+'По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дням'!$J$6:$J$155)))/2+1)/'По дням'!$M$6:$M$155,2)*(1-'По дням'!$N$6:$N$155)))</f>
        <v/>
      </c>
      <c r="G361" s="22" t="str">
        <f t="shared" si="5"/>
        <v/>
      </c>
      <c r="H361" s="14" t="str">
        <f>IF(G361="","",SUMIFS(Оплаты!$B$6:$B$505,Оплаты!$D$6:$D$505,A361,Оплаты!$A$6:$A$505,D361))</f>
        <v/>
      </c>
      <c r="I361" t="str">
        <f>IF(G361="","",SUMPRODUCT((((((D361+'По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дням'!$J$6:$J$155)))/2+1)&gt;0)*1))</f>
        <v/>
      </c>
    </row>
    <row r="362" spans="1:9" x14ac:dyDescent="0.3">
      <c r="A362" t="str">
        <f>IF(AND(Оплаты!$E$354="ок",COUNTIFS(Акты!$B$5:$B$16,Оплаты!$D$354,Акты!$H$5:$H$16,"ок")&gt;0,COUNTIFS(Оплаты!$D$6:$D$353,Оплаты!$D$354,Оплаты!$A$6:$A$353,Оплаты!$A$354)=0),Оплаты!$D$354,"")</f>
        <v/>
      </c>
      <c r="B362" t="str">
        <f>IF(A362="","",MATCH(A362,Акты!$B$5:$B$16,0))</f>
        <v/>
      </c>
      <c r="C362" s="21" t="str">
        <f>IF(A362="","",Оплаты!$A$354+1)</f>
        <v/>
      </c>
      <c r="D362" s="21" t="str">
        <f>IF(A362="","",MIN(Ввод!$B$4,Ввод!$B$4+1-SUMPRODUCT(MAX((Оплаты!$D$6:$D$505=A362)*(Оплаты!$A$6:$A$505&gt;Оплаты!$A$354)*(Ввод!$B$4+1-Оплаты!$A$6:$A$505)))))</f>
        <v/>
      </c>
      <c r="E362" s="14" t="str">
        <f>IF(A362="","",INDEX(Акты!$D$5:$D$16,B362)-SUMIFS(Оплаты!$B$6:$B$505,Оплаты!$D$6:$D$505,A362,Оплаты!$A$6:$A$505,"&lt;="&amp;Оплаты!$A$354))</f>
        <v/>
      </c>
      <c r="F362" s="14" t="str">
        <f>IF(G362="","",SUMPRODUCT(ROUND(E362*'По дням'!$L$6:$L$155/100*((((D362+'По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дням'!$J$6:$J$155)))/2+1)/'По дням'!$M$6:$M$155,2)*(1-'По дням'!$N$6:$N$155)))</f>
        <v/>
      </c>
      <c r="G362" s="22" t="str">
        <f t="shared" si="5"/>
        <v/>
      </c>
      <c r="H362" s="14" t="str">
        <f>IF(G362="","",SUMIFS(Оплаты!$B$6:$B$505,Оплаты!$D$6:$D$505,A362,Оплаты!$A$6:$A$505,D362))</f>
        <v/>
      </c>
      <c r="I362" t="str">
        <f>IF(G362="","",SUMPRODUCT((((((D362+'По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дням'!$J$6:$J$155)))/2+1)&gt;0)*1))</f>
        <v/>
      </c>
    </row>
    <row r="363" spans="1:9" x14ac:dyDescent="0.3">
      <c r="A363" t="str">
        <f>IF(AND(Оплаты!$E$355="ок",COUNTIFS(Акты!$B$5:$B$16,Оплаты!$D$355,Акты!$H$5:$H$16,"ок")&gt;0,COUNTIFS(Оплаты!$D$6:$D$354,Оплаты!$D$355,Оплаты!$A$6:$A$354,Оплаты!$A$355)=0),Оплаты!$D$355,"")</f>
        <v/>
      </c>
      <c r="B363" t="str">
        <f>IF(A363="","",MATCH(A363,Акты!$B$5:$B$16,0))</f>
        <v/>
      </c>
      <c r="C363" s="21" t="str">
        <f>IF(A363="","",Оплаты!$A$355+1)</f>
        <v/>
      </c>
      <c r="D363" s="21" t="str">
        <f>IF(A363="","",MIN(Ввод!$B$4,Ввод!$B$4+1-SUMPRODUCT(MAX((Оплаты!$D$6:$D$505=A363)*(Оплаты!$A$6:$A$505&gt;Оплаты!$A$355)*(Ввод!$B$4+1-Оплаты!$A$6:$A$505)))))</f>
        <v/>
      </c>
      <c r="E363" s="14" t="str">
        <f>IF(A363="","",INDEX(Акты!$D$5:$D$16,B363)-SUMIFS(Оплаты!$B$6:$B$505,Оплаты!$D$6:$D$505,A363,Оплаты!$A$6:$A$505,"&lt;="&amp;Оплаты!$A$355))</f>
        <v/>
      </c>
      <c r="F363" s="14" t="str">
        <f>IF(G363="","",SUMPRODUCT(ROUND(E363*'По дням'!$L$6:$L$155/100*((((D363+'По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дням'!$J$6:$J$155)))/2+1)/'По дням'!$M$6:$M$155,2)*(1-'По дням'!$N$6:$N$155)))</f>
        <v/>
      </c>
      <c r="G363" s="22" t="str">
        <f t="shared" si="5"/>
        <v/>
      </c>
      <c r="H363" s="14" t="str">
        <f>IF(G363="","",SUMIFS(Оплаты!$B$6:$B$505,Оплаты!$D$6:$D$505,A363,Оплаты!$A$6:$A$505,D363))</f>
        <v/>
      </c>
      <c r="I363" t="str">
        <f>IF(G363="","",SUMPRODUCT((((((D363+'По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дням'!$J$6:$J$155)))/2+1)&gt;0)*1))</f>
        <v/>
      </c>
    </row>
    <row r="364" spans="1:9" x14ac:dyDescent="0.3">
      <c r="A364" t="str">
        <f>IF(AND(Оплаты!$E$356="ок",COUNTIFS(Акты!$B$5:$B$16,Оплаты!$D$356,Акты!$H$5:$H$16,"ок")&gt;0,COUNTIFS(Оплаты!$D$6:$D$355,Оплаты!$D$356,Оплаты!$A$6:$A$355,Оплаты!$A$356)=0),Оплаты!$D$356,"")</f>
        <v/>
      </c>
      <c r="B364" t="str">
        <f>IF(A364="","",MATCH(A364,Акты!$B$5:$B$16,0))</f>
        <v/>
      </c>
      <c r="C364" s="21" t="str">
        <f>IF(A364="","",Оплаты!$A$356+1)</f>
        <v/>
      </c>
      <c r="D364" s="21" t="str">
        <f>IF(A364="","",MIN(Ввод!$B$4,Ввод!$B$4+1-SUMPRODUCT(MAX((Оплаты!$D$6:$D$505=A364)*(Оплаты!$A$6:$A$505&gt;Оплаты!$A$356)*(Ввод!$B$4+1-Оплаты!$A$6:$A$505)))))</f>
        <v/>
      </c>
      <c r="E364" s="14" t="str">
        <f>IF(A364="","",INDEX(Акты!$D$5:$D$16,B364)-SUMIFS(Оплаты!$B$6:$B$505,Оплаты!$D$6:$D$505,A364,Оплаты!$A$6:$A$505,"&lt;="&amp;Оплаты!$A$356))</f>
        <v/>
      </c>
      <c r="F364" s="14" t="str">
        <f>IF(G364="","",SUMPRODUCT(ROUND(E364*'По дням'!$L$6:$L$155/100*((((D364+'По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дням'!$J$6:$J$155)))/2+1)/'По дням'!$M$6:$M$155,2)*(1-'По дням'!$N$6:$N$155)))</f>
        <v/>
      </c>
      <c r="G364" s="22" t="str">
        <f t="shared" si="5"/>
        <v/>
      </c>
      <c r="H364" s="14" t="str">
        <f>IF(G364="","",SUMIFS(Оплаты!$B$6:$B$505,Оплаты!$D$6:$D$505,A364,Оплаты!$A$6:$A$505,D364))</f>
        <v/>
      </c>
      <c r="I364" t="str">
        <f>IF(G364="","",SUMPRODUCT((((((D364+'По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дням'!$J$6:$J$155)))/2+1)&gt;0)*1))</f>
        <v/>
      </c>
    </row>
    <row r="365" spans="1:9" x14ac:dyDescent="0.3">
      <c r="A365" t="str">
        <f>IF(AND(Оплаты!$E$357="ок",COUNTIFS(Акты!$B$5:$B$16,Оплаты!$D$357,Акты!$H$5:$H$16,"ок")&gt;0,COUNTIFS(Оплаты!$D$6:$D$356,Оплаты!$D$357,Оплаты!$A$6:$A$356,Оплаты!$A$357)=0),Оплаты!$D$357,"")</f>
        <v/>
      </c>
      <c r="B365" t="str">
        <f>IF(A365="","",MATCH(A365,Акты!$B$5:$B$16,0))</f>
        <v/>
      </c>
      <c r="C365" s="21" t="str">
        <f>IF(A365="","",Оплаты!$A$357+1)</f>
        <v/>
      </c>
      <c r="D365" s="21" t="str">
        <f>IF(A365="","",MIN(Ввод!$B$4,Ввод!$B$4+1-SUMPRODUCT(MAX((Оплаты!$D$6:$D$505=A365)*(Оплаты!$A$6:$A$505&gt;Оплаты!$A$357)*(Ввод!$B$4+1-Оплаты!$A$6:$A$505)))))</f>
        <v/>
      </c>
      <c r="E365" s="14" t="str">
        <f>IF(A365="","",INDEX(Акты!$D$5:$D$16,B365)-SUMIFS(Оплаты!$B$6:$B$505,Оплаты!$D$6:$D$505,A365,Оплаты!$A$6:$A$505,"&lt;="&amp;Оплаты!$A$357))</f>
        <v/>
      </c>
      <c r="F365" s="14" t="str">
        <f>IF(G365="","",SUMPRODUCT(ROUND(E365*'По дням'!$L$6:$L$155/100*((((D365+'По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дням'!$J$6:$J$155)))/2+1)/'По дням'!$M$6:$M$155,2)*(1-'По дням'!$N$6:$N$155)))</f>
        <v/>
      </c>
      <c r="G365" s="22" t="str">
        <f t="shared" si="5"/>
        <v/>
      </c>
      <c r="H365" s="14" t="str">
        <f>IF(G365="","",SUMIFS(Оплаты!$B$6:$B$505,Оплаты!$D$6:$D$505,A365,Оплаты!$A$6:$A$505,D365))</f>
        <v/>
      </c>
      <c r="I365" t="str">
        <f>IF(G365="","",SUMPRODUCT((((((D365+'По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дням'!$J$6:$J$155)))/2+1)&gt;0)*1))</f>
        <v/>
      </c>
    </row>
    <row r="366" spans="1:9" x14ac:dyDescent="0.3">
      <c r="A366" t="str">
        <f>IF(AND(Оплаты!$E$358="ок",COUNTIFS(Акты!$B$5:$B$16,Оплаты!$D$358,Акты!$H$5:$H$16,"ок")&gt;0,COUNTIFS(Оплаты!$D$6:$D$357,Оплаты!$D$358,Оплаты!$A$6:$A$357,Оплаты!$A$358)=0),Оплаты!$D$358,"")</f>
        <v/>
      </c>
      <c r="B366" t="str">
        <f>IF(A366="","",MATCH(A366,Акты!$B$5:$B$16,0))</f>
        <v/>
      </c>
      <c r="C366" s="21" t="str">
        <f>IF(A366="","",Оплаты!$A$358+1)</f>
        <v/>
      </c>
      <c r="D366" s="21" t="str">
        <f>IF(A366="","",MIN(Ввод!$B$4,Ввод!$B$4+1-SUMPRODUCT(MAX((Оплаты!$D$6:$D$505=A366)*(Оплаты!$A$6:$A$505&gt;Оплаты!$A$358)*(Ввод!$B$4+1-Оплаты!$A$6:$A$505)))))</f>
        <v/>
      </c>
      <c r="E366" s="14" t="str">
        <f>IF(A366="","",INDEX(Акты!$D$5:$D$16,B366)-SUMIFS(Оплаты!$B$6:$B$505,Оплаты!$D$6:$D$505,A366,Оплаты!$A$6:$A$505,"&lt;="&amp;Оплаты!$A$358))</f>
        <v/>
      </c>
      <c r="F366" s="14" t="str">
        <f>IF(G366="","",SUMPRODUCT(ROUND(E366*'По дням'!$L$6:$L$155/100*((((D366+'По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дням'!$J$6:$J$155)))/2+1)/'По дням'!$M$6:$M$155,2)*(1-'По дням'!$N$6:$N$155)))</f>
        <v/>
      </c>
      <c r="G366" s="22" t="str">
        <f t="shared" si="5"/>
        <v/>
      </c>
      <c r="H366" s="14" t="str">
        <f>IF(G366="","",SUMIFS(Оплаты!$B$6:$B$505,Оплаты!$D$6:$D$505,A366,Оплаты!$A$6:$A$505,D366))</f>
        <v/>
      </c>
      <c r="I366" t="str">
        <f>IF(G366="","",SUMPRODUCT((((((D366+'По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дням'!$J$6:$J$155)))/2+1)&gt;0)*1))</f>
        <v/>
      </c>
    </row>
    <row r="367" spans="1:9" x14ac:dyDescent="0.3">
      <c r="A367" t="str">
        <f>IF(AND(Оплаты!$E$359="ок",COUNTIFS(Акты!$B$5:$B$16,Оплаты!$D$359,Акты!$H$5:$H$16,"ок")&gt;0,COUNTIFS(Оплаты!$D$6:$D$358,Оплаты!$D$359,Оплаты!$A$6:$A$358,Оплаты!$A$359)=0),Оплаты!$D$359,"")</f>
        <v/>
      </c>
      <c r="B367" t="str">
        <f>IF(A367="","",MATCH(A367,Акты!$B$5:$B$16,0))</f>
        <v/>
      </c>
      <c r="C367" s="21" t="str">
        <f>IF(A367="","",Оплаты!$A$359+1)</f>
        <v/>
      </c>
      <c r="D367" s="21" t="str">
        <f>IF(A367="","",MIN(Ввод!$B$4,Ввод!$B$4+1-SUMPRODUCT(MAX((Оплаты!$D$6:$D$505=A367)*(Оплаты!$A$6:$A$505&gt;Оплаты!$A$359)*(Ввод!$B$4+1-Оплаты!$A$6:$A$505)))))</f>
        <v/>
      </c>
      <c r="E367" s="14" t="str">
        <f>IF(A367="","",INDEX(Акты!$D$5:$D$16,B367)-SUMIFS(Оплаты!$B$6:$B$505,Оплаты!$D$6:$D$505,A367,Оплаты!$A$6:$A$505,"&lt;="&amp;Оплаты!$A$359))</f>
        <v/>
      </c>
      <c r="F367" s="14" t="str">
        <f>IF(G367="","",SUMPRODUCT(ROUND(E367*'По дням'!$L$6:$L$155/100*((((D367+'По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дням'!$J$6:$J$155)))/2+1)/'По дням'!$M$6:$M$155,2)*(1-'По дням'!$N$6:$N$155)))</f>
        <v/>
      </c>
      <c r="G367" s="22" t="str">
        <f t="shared" si="5"/>
        <v/>
      </c>
      <c r="H367" s="14" t="str">
        <f>IF(G367="","",SUMIFS(Оплаты!$B$6:$B$505,Оплаты!$D$6:$D$505,A367,Оплаты!$A$6:$A$505,D367))</f>
        <v/>
      </c>
      <c r="I367" t="str">
        <f>IF(G367="","",SUMPRODUCT((((((D367+'По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дням'!$J$6:$J$155)))/2+1)&gt;0)*1))</f>
        <v/>
      </c>
    </row>
    <row r="368" spans="1:9" x14ac:dyDescent="0.3">
      <c r="A368" t="str">
        <f>IF(AND(Оплаты!$E$360="ок",COUNTIFS(Акты!$B$5:$B$16,Оплаты!$D$360,Акты!$H$5:$H$16,"ок")&gt;0,COUNTIFS(Оплаты!$D$6:$D$359,Оплаты!$D$360,Оплаты!$A$6:$A$359,Оплаты!$A$360)=0),Оплаты!$D$360,"")</f>
        <v/>
      </c>
      <c r="B368" t="str">
        <f>IF(A368="","",MATCH(A368,Акты!$B$5:$B$16,0))</f>
        <v/>
      </c>
      <c r="C368" s="21" t="str">
        <f>IF(A368="","",Оплаты!$A$360+1)</f>
        <v/>
      </c>
      <c r="D368" s="21" t="str">
        <f>IF(A368="","",MIN(Ввод!$B$4,Ввод!$B$4+1-SUMPRODUCT(MAX((Оплаты!$D$6:$D$505=A368)*(Оплаты!$A$6:$A$505&gt;Оплаты!$A$360)*(Ввод!$B$4+1-Оплаты!$A$6:$A$505)))))</f>
        <v/>
      </c>
      <c r="E368" s="14" t="str">
        <f>IF(A368="","",INDEX(Акты!$D$5:$D$16,B368)-SUMIFS(Оплаты!$B$6:$B$505,Оплаты!$D$6:$D$505,A368,Оплаты!$A$6:$A$505,"&lt;="&amp;Оплаты!$A$360))</f>
        <v/>
      </c>
      <c r="F368" s="14" t="str">
        <f>IF(G368="","",SUMPRODUCT(ROUND(E368*'По дням'!$L$6:$L$155/100*((((D368+'По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дням'!$J$6:$J$155)))/2+1)/'По дням'!$M$6:$M$155,2)*(1-'По дням'!$N$6:$N$155)))</f>
        <v/>
      </c>
      <c r="G368" s="22" t="str">
        <f t="shared" si="5"/>
        <v/>
      </c>
      <c r="H368" s="14" t="str">
        <f>IF(G368="","",SUMIFS(Оплаты!$B$6:$B$505,Оплаты!$D$6:$D$505,A368,Оплаты!$A$6:$A$505,D368))</f>
        <v/>
      </c>
      <c r="I368" t="str">
        <f>IF(G368="","",SUMPRODUCT((((((D368+'По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дням'!$J$6:$J$155)))/2+1)&gt;0)*1))</f>
        <v/>
      </c>
    </row>
    <row r="369" spans="1:9" x14ac:dyDescent="0.3">
      <c r="A369" t="str">
        <f>IF(AND(Оплаты!$E$361="ок",COUNTIFS(Акты!$B$5:$B$16,Оплаты!$D$361,Акты!$H$5:$H$16,"ок")&gt;0,COUNTIFS(Оплаты!$D$6:$D$360,Оплаты!$D$361,Оплаты!$A$6:$A$360,Оплаты!$A$361)=0),Оплаты!$D$361,"")</f>
        <v/>
      </c>
      <c r="B369" t="str">
        <f>IF(A369="","",MATCH(A369,Акты!$B$5:$B$16,0))</f>
        <v/>
      </c>
      <c r="C369" s="21" t="str">
        <f>IF(A369="","",Оплаты!$A$361+1)</f>
        <v/>
      </c>
      <c r="D369" s="21" t="str">
        <f>IF(A369="","",MIN(Ввод!$B$4,Ввод!$B$4+1-SUMPRODUCT(MAX((Оплаты!$D$6:$D$505=A369)*(Оплаты!$A$6:$A$505&gt;Оплаты!$A$361)*(Ввод!$B$4+1-Оплаты!$A$6:$A$505)))))</f>
        <v/>
      </c>
      <c r="E369" s="14" t="str">
        <f>IF(A369="","",INDEX(Акты!$D$5:$D$16,B369)-SUMIFS(Оплаты!$B$6:$B$505,Оплаты!$D$6:$D$505,A369,Оплаты!$A$6:$A$505,"&lt;="&amp;Оплаты!$A$361))</f>
        <v/>
      </c>
      <c r="F369" s="14" t="str">
        <f>IF(G369="","",SUMPRODUCT(ROUND(E369*'По дням'!$L$6:$L$155/100*((((D369+'По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дням'!$J$6:$J$155)))/2+1)/'По дням'!$M$6:$M$155,2)*(1-'По дням'!$N$6:$N$155)))</f>
        <v/>
      </c>
      <c r="G369" s="22" t="str">
        <f t="shared" si="5"/>
        <v/>
      </c>
      <c r="H369" s="14" t="str">
        <f>IF(G369="","",SUMIFS(Оплаты!$B$6:$B$505,Оплаты!$D$6:$D$505,A369,Оплаты!$A$6:$A$505,D369))</f>
        <v/>
      </c>
      <c r="I369" t="str">
        <f>IF(G369="","",SUMPRODUCT((((((D369+'По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дням'!$J$6:$J$155)))/2+1)&gt;0)*1))</f>
        <v/>
      </c>
    </row>
    <row r="370" spans="1:9" x14ac:dyDescent="0.3">
      <c r="A370" t="str">
        <f>IF(AND(Оплаты!$E$362="ок",COUNTIFS(Акты!$B$5:$B$16,Оплаты!$D$362,Акты!$H$5:$H$16,"ок")&gt;0,COUNTIFS(Оплаты!$D$6:$D$361,Оплаты!$D$362,Оплаты!$A$6:$A$361,Оплаты!$A$362)=0),Оплаты!$D$362,"")</f>
        <v/>
      </c>
      <c r="B370" t="str">
        <f>IF(A370="","",MATCH(A370,Акты!$B$5:$B$16,0))</f>
        <v/>
      </c>
      <c r="C370" s="21" t="str">
        <f>IF(A370="","",Оплаты!$A$362+1)</f>
        <v/>
      </c>
      <c r="D370" s="21" t="str">
        <f>IF(A370="","",MIN(Ввод!$B$4,Ввод!$B$4+1-SUMPRODUCT(MAX((Оплаты!$D$6:$D$505=A370)*(Оплаты!$A$6:$A$505&gt;Оплаты!$A$362)*(Ввод!$B$4+1-Оплаты!$A$6:$A$505)))))</f>
        <v/>
      </c>
      <c r="E370" s="14" t="str">
        <f>IF(A370="","",INDEX(Акты!$D$5:$D$16,B370)-SUMIFS(Оплаты!$B$6:$B$505,Оплаты!$D$6:$D$505,A370,Оплаты!$A$6:$A$505,"&lt;="&amp;Оплаты!$A$362))</f>
        <v/>
      </c>
      <c r="F370" s="14" t="str">
        <f>IF(G370="","",SUMPRODUCT(ROUND(E370*'По дням'!$L$6:$L$155/100*((((D370+'По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дням'!$J$6:$J$155)))/2+1)/'По дням'!$M$6:$M$155,2)*(1-'По дням'!$N$6:$N$155)))</f>
        <v/>
      </c>
      <c r="G370" s="22" t="str">
        <f t="shared" si="5"/>
        <v/>
      </c>
      <c r="H370" s="14" t="str">
        <f>IF(G370="","",SUMIFS(Оплаты!$B$6:$B$505,Оплаты!$D$6:$D$505,A370,Оплаты!$A$6:$A$505,D370))</f>
        <v/>
      </c>
      <c r="I370" t="str">
        <f>IF(G370="","",SUMPRODUCT((((((D370+'По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дням'!$J$6:$J$155)))/2+1)&gt;0)*1))</f>
        <v/>
      </c>
    </row>
    <row r="371" spans="1:9" x14ac:dyDescent="0.3">
      <c r="A371" t="str">
        <f>IF(AND(Оплаты!$E$363="ок",COUNTIFS(Акты!$B$5:$B$16,Оплаты!$D$363,Акты!$H$5:$H$16,"ок")&gt;0,COUNTIFS(Оплаты!$D$6:$D$362,Оплаты!$D$363,Оплаты!$A$6:$A$362,Оплаты!$A$363)=0),Оплаты!$D$363,"")</f>
        <v/>
      </c>
      <c r="B371" t="str">
        <f>IF(A371="","",MATCH(A371,Акты!$B$5:$B$16,0))</f>
        <v/>
      </c>
      <c r="C371" s="21" t="str">
        <f>IF(A371="","",Оплаты!$A$363+1)</f>
        <v/>
      </c>
      <c r="D371" s="21" t="str">
        <f>IF(A371="","",MIN(Ввод!$B$4,Ввод!$B$4+1-SUMPRODUCT(MAX((Оплаты!$D$6:$D$505=A371)*(Оплаты!$A$6:$A$505&gt;Оплаты!$A$363)*(Ввод!$B$4+1-Оплаты!$A$6:$A$505)))))</f>
        <v/>
      </c>
      <c r="E371" s="14" t="str">
        <f>IF(A371="","",INDEX(Акты!$D$5:$D$16,B371)-SUMIFS(Оплаты!$B$6:$B$505,Оплаты!$D$6:$D$505,A371,Оплаты!$A$6:$A$505,"&lt;="&amp;Оплаты!$A$363))</f>
        <v/>
      </c>
      <c r="F371" s="14" t="str">
        <f>IF(G371="","",SUMPRODUCT(ROUND(E371*'По дням'!$L$6:$L$155/100*((((D371+'По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дням'!$J$6:$J$155)))/2+1)/'По дням'!$M$6:$M$155,2)*(1-'По дням'!$N$6:$N$155)))</f>
        <v/>
      </c>
      <c r="G371" s="22" t="str">
        <f t="shared" si="5"/>
        <v/>
      </c>
      <c r="H371" s="14" t="str">
        <f>IF(G371="","",SUMIFS(Оплаты!$B$6:$B$505,Оплаты!$D$6:$D$505,A371,Оплаты!$A$6:$A$505,D371))</f>
        <v/>
      </c>
      <c r="I371" t="str">
        <f>IF(G371="","",SUMPRODUCT((((((D371+'По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дням'!$J$6:$J$155)))/2+1)&gt;0)*1))</f>
        <v/>
      </c>
    </row>
    <row r="372" spans="1:9" x14ac:dyDescent="0.3">
      <c r="A372" t="str">
        <f>IF(AND(Оплаты!$E$364="ок",COUNTIFS(Акты!$B$5:$B$16,Оплаты!$D$364,Акты!$H$5:$H$16,"ок")&gt;0,COUNTIFS(Оплаты!$D$6:$D$363,Оплаты!$D$364,Оплаты!$A$6:$A$363,Оплаты!$A$364)=0),Оплаты!$D$364,"")</f>
        <v/>
      </c>
      <c r="B372" t="str">
        <f>IF(A372="","",MATCH(A372,Акты!$B$5:$B$16,0))</f>
        <v/>
      </c>
      <c r="C372" s="21" t="str">
        <f>IF(A372="","",Оплаты!$A$364+1)</f>
        <v/>
      </c>
      <c r="D372" s="21" t="str">
        <f>IF(A372="","",MIN(Ввод!$B$4,Ввод!$B$4+1-SUMPRODUCT(MAX((Оплаты!$D$6:$D$505=A372)*(Оплаты!$A$6:$A$505&gt;Оплаты!$A$364)*(Ввод!$B$4+1-Оплаты!$A$6:$A$505)))))</f>
        <v/>
      </c>
      <c r="E372" s="14" t="str">
        <f>IF(A372="","",INDEX(Акты!$D$5:$D$16,B372)-SUMIFS(Оплаты!$B$6:$B$505,Оплаты!$D$6:$D$505,A372,Оплаты!$A$6:$A$505,"&lt;="&amp;Оплаты!$A$364))</f>
        <v/>
      </c>
      <c r="F372" s="14" t="str">
        <f>IF(G372="","",SUMPRODUCT(ROUND(E372*'По дням'!$L$6:$L$155/100*((((D372+'По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дням'!$J$6:$J$155)))/2+1)/'По дням'!$M$6:$M$155,2)*(1-'По дням'!$N$6:$N$155)))</f>
        <v/>
      </c>
      <c r="G372" s="22" t="str">
        <f t="shared" si="5"/>
        <v/>
      </c>
      <c r="H372" s="14" t="str">
        <f>IF(G372="","",SUMIFS(Оплаты!$B$6:$B$505,Оплаты!$D$6:$D$505,A372,Оплаты!$A$6:$A$505,D372))</f>
        <v/>
      </c>
      <c r="I372" t="str">
        <f>IF(G372="","",SUMPRODUCT((((((D372+'По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дням'!$J$6:$J$155)))/2+1)&gt;0)*1))</f>
        <v/>
      </c>
    </row>
    <row r="373" spans="1:9" x14ac:dyDescent="0.3">
      <c r="A373" t="str">
        <f>IF(AND(Оплаты!$E$365="ок",COUNTIFS(Акты!$B$5:$B$16,Оплаты!$D$365,Акты!$H$5:$H$16,"ок")&gt;0,COUNTIFS(Оплаты!$D$6:$D$364,Оплаты!$D$365,Оплаты!$A$6:$A$364,Оплаты!$A$365)=0),Оплаты!$D$365,"")</f>
        <v/>
      </c>
      <c r="B373" t="str">
        <f>IF(A373="","",MATCH(A373,Акты!$B$5:$B$16,0))</f>
        <v/>
      </c>
      <c r="C373" s="21" t="str">
        <f>IF(A373="","",Оплаты!$A$365+1)</f>
        <v/>
      </c>
      <c r="D373" s="21" t="str">
        <f>IF(A373="","",MIN(Ввод!$B$4,Ввод!$B$4+1-SUMPRODUCT(MAX((Оплаты!$D$6:$D$505=A373)*(Оплаты!$A$6:$A$505&gt;Оплаты!$A$365)*(Ввод!$B$4+1-Оплаты!$A$6:$A$505)))))</f>
        <v/>
      </c>
      <c r="E373" s="14" t="str">
        <f>IF(A373="","",INDEX(Акты!$D$5:$D$16,B373)-SUMIFS(Оплаты!$B$6:$B$505,Оплаты!$D$6:$D$505,A373,Оплаты!$A$6:$A$505,"&lt;="&amp;Оплаты!$A$365))</f>
        <v/>
      </c>
      <c r="F373" s="14" t="str">
        <f>IF(G373="","",SUMPRODUCT(ROUND(E373*'По дням'!$L$6:$L$155/100*((((D373+'По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дням'!$J$6:$J$155)))/2+1)/'По дням'!$M$6:$M$155,2)*(1-'По дням'!$N$6:$N$155)))</f>
        <v/>
      </c>
      <c r="G373" s="22" t="str">
        <f t="shared" si="5"/>
        <v/>
      </c>
      <c r="H373" s="14" t="str">
        <f>IF(G373="","",SUMIFS(Оплаты!$B$6:$B$505,Оплаты!$D$6:$D$505,A373,Оплаты!$A$6:$A$505,D373))</f>
        <v/>
      </c>
      <c r="I373" t="str">
        <f>IF(G373="","",SUMPRODUCT((((((D373+'По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дням'!$J$6:$J$155)))/2+1)&gt;0)*1))</f>
        <v/>
      </c>
    </row>
    <row r="374" spans="1:9" x14ac:dyDescent="0.3">
      <c r="A374" t="str">
        <f>IF(AND(Оплаты!$E$366="ок",COUNTIFS(Акты!$B$5:$B$16,Оплаты!$D$366,Акты!$H$5:$H$16,"ок")&gt;0,COUNTIFS(Оплаты!$D$6:$D$365,Оплаты!$D$366,Оплаты!$A$6:$A$365,Оплаты!$A$366)=0),Оплаты!$D$366,"")</f>
        <v/>
      </c>
      <c r="B374" t="str">
        <f>IF(A374="","",MATCH(A374,Акты!$B$5:$B$16,0))</f>
        <v/>
      </c>
      <c r="C374" s="21" t="str">
        <f>IF(A374="","",Оплаты!$A$366+1)</f>
        <v/>
      </c>
      <c r="D374" s="21" t="str">
        <f>IF(A374="","",MIN(Ввод!$B$4,Ввод!$B$4+1-SUMPRODUCT(MAX((Оплаты!$D$6:$D$505=A374)*(Оплаты!$A$6:$A$505&gt;Оплаты!$A$366)*(Ввод!$B$4+1-Оплаты!$A$6:$A$505)))))</f>
        <v/>
      </c>
      <c r="E374" s="14" t="str">
        <f>IF(A374="","",INDEX(Акты!$D$5:$D$16,B374)-SUMIFS(Оплаты!$B$6:$B$505,Оплаты!$D$6:$D$505,A374,Оплаты!$A$6:$A$505,"&lt;="&amp;Оплаты!$A$366))</f>
        <v/>
      </c>
      <c r="F374" s="14" t="str">
        <f>IF(G374="","",SUMPRODUCT(ROUND(E374*'По дням'!$L$6:$L$155/100*((((D374+'По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дням'!$J$6:$J$155)))/2+1)/'По дням'!$M$6:$M$155,2)*(1-'По дням'!$N$6:$N$155)))</f>
        <v/>
      </c>
      <c r="G374" s="22" t="str">
        <f t="shared" si="5"/>
        <v/>
      </c>
      <c r="H374" s="14" t="str">
        <f>IF(G374="","",SUMIFS(Оплаты!$B$6:$B$505,Оплаты!$D$6:$D$505,A374,Оплаты!$A$6:$A$505,D374))</f>
        <v/>
      </c>
      <c r="I374" t="str">
        <f>IF(G374="","",SUMPRODUCT((((((D374+'По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дням'!$J$6:$J$155)))/2+1)&gt;0)*1))</f>
        <v/>
      </c>
    </row>
    <row r="375" spans="1:9" x14ac:dyDescent="0.3">
      <c r="A375" t="str">
        <f>IF(AND(Оплаты!$E$367="ок",COUNTIFS(Акты!$B$5:$B$16,Оплаты!$D$367,Акты!$H$5:$H$16,"ок")&gt;0,COUNTIFS(Оплаты!$D$6:$D$366,Оплаты!$D$367,Оплаты!$A$6:$A$366,Оплаты!$A$367)=0),Оплаты!$D$367,"")</f>
        <v/>
      </c>
      <c r="B375" t="str">
        <f>IF(A375="","",MATCH(A375,Акты!$B$5:$B$16,0))</f>
        <v/>
      </c>
      <c r="C375" s="21" t="str">
        <f>IF(A375="","",Оплаты!$A$367+1)</f>
        <v/>
      </c>
      <c r="D375" s="21" t="str">
        <f>IF(A375="","",MIN(Ввод!$B$4,Ввод!$B$4+1-SUMPRODUCT(MAX((Оплаты!$D$6:$D$505=A375)*(Оплаты!$A$6:$A$505&gt;Оплаты!$A$367)*(Ввод!$B$4+1-Оплаты!$A$6:$A$505)))))</f>
        <v/>
      </c>
      <c r="E375" s="14" t="str">
        <f>IF(A375="","",INDEX(Акты!$D$5:$D$16,B375)-SUMIFS(Оплаты!$B$6:$B$505,Оплаты!$D$6:$D$505,A375,Оплаты!$A$6:$A$505,"&lt;="&amp;Оплаты!$A$367))</f>
        <v/>
      </c>
      <c r="F375" s="14" t="str">
        <f>IF(G375="","",SUMPRODUCT(ROUND(E375*'По дням'!$L$6:$L$155/100*((((D375+'По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дням'!$J$6:$J$155)))/2+1)/'По дням'!$M$6:$M$155,2)*(1-'По дням'!$N$6:$N$155)))</f>
        <v/>
      </c>
      <c r="G375" s="22" t="str">
        <f t="shared" si="5"/>
        <v/>
      </c>
      <c r="H375" s="14" t="str">
        <f>IF(G375="","",SUMIFS(Оплаты!$B$6:$B$505,Оплаты!$D$6:$D$505,A375,Оплаты!$A$6:$A$505,D375))</f>
        <v/>
      </c>
      <c r="I375" t="str">
        <f>IF(G375="","",SUMPRODUCT((((((D375+'По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дням'!$J$6:$J$155)))/2+1)&gt;0)*1))</f>
        <v/>
      </c>
    </row>
    <row r="376" spans="1:9" x14ac:dyDescent="0.3">
      <c r="A376" t="str">
        <f>IF(AND(Оплаты!$E$368="ок",COUNTIFS(Акты!$B$5:$B$16,Оплаты!$D$368,Акты!$H$5:$H$16,"ок")&gt;0,COUNTIFS(Оплаты!$D$6:$D$367,Оплаты!$D$368,Оплаты!$A$6:$A$367,Оплаты!$A$368)=0),Оплаты!$D$368,"")</f>
        <v/>
      </c>
      <c r="B376" t="str">
        <f>IF(A376="","",MATCH(A376,Акты!$B$5:$B$16,0))</f>
        <v/>
      </c>
      <c r="C376" s="21" t="str">
        <f>IF(A376="","",Оплаты!$A$368+1)</f>
        <v/>
      </c>
      <c r="D376" s="21" t="str">
        <f>IF(A376="","",MIN(Ввод!$B$4,Ввод!$B$4+1-SUMPRODUCT(MAX((Оплаты!$D$6:$D$505=A376)*(Оплаты!$A$6:$A$505&gt;Оплаты!$A$368)*(Ввод!$B$4+1-Оплаты!$A$6:$A$505)))))</f>
        <v/>
      </c>
      <c r="E376" s="14" t="str">
        <f>IF(A376="","",INDEX(Акты!$D$5:$D$16,B376)-SUMIFS(Оплаты!$B$6:$B$505,Оплаты!$D$6:$D$505,A376,Оплаты!$A$6:$A$505,"&lt;="&amp;Оплаты!$A$368))</f>
        <v/>
      </c>
      <c r="F376" s="14" t="str">
        <f>IF(G376="","",SUMPRODUCT(ROUND(E376*'По дням'!$L$6:$L$155/100*((((D376+'По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дням'!$J$6:$J$155)))/2+1)/'По дням'!$M$6:$M$155,2)*(1-'По дням'!$N$6:$N$155)))</f>
        <v/>
      </c>
      <c r="G376" s="22" t="str">
        <f t="shared" si="5"/>
        <v/>
      </c>
      <c r="H376" s="14" t="str">
        <f>IF(G376="","",SUMIFS(Оплаты!$B$6:$B$505,Оплаты!$D$6:$D$505,A376,Оплаты!$A$6:$A$505,D376))</f>
        <v/>
      </c>
      <c r="I376" t="str">
        <f>IF(G376="","",SUMPRODUCT((((((D376+'По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дням'!$J$6:$J$155)))/2+1)&gt;0)*1))</f>
        <v/>
      </c>
    </row>
    <row r="377" spans="1:9" x14ac:dyDescent="0.3">
      <c r="A377" t="str">
        <f>IF(AND(Оплаты!$E$369="ок",COUNTIFS(Акты!$B$5:$B$16,Оплаты!$D$369,Акты!$H$5:$H$16,"ок")&gt;0,COUNTIFS(Оплаты!$D$6:$D$368,Оплаты!$D$369,Оплаты!$A$6:$A$368,Оплаты!$A$369)=0),Оплаты!$D$369,"")</f>
        <v/>
      </c>
      <c r="B377" t="str">
        <f>IF(A377="","",MATCH(A377,Акты!$B$5:$B$16,0))</f>
        <v/>
      </c>
      <c r="C377" s="21" t="str">
        <f>IF(A377="","",Оплаты!$A$369+1)</f>
        <v/>
      </c>
      <c r="D377" s="21" t="str">
        <f>IF(A377="","",MIN(Ввод!$B$4,Ввод!$B$4+1-SUMPRODUCT(MAX((Оплаты!$D$6:$D$505=A377)*(Оплаты!$A$6:$A$505&gt;Оплаты!$A$369)*(Ввод!$B$4+1-Оплаты!$A$6:$A$505)))))</f>
        <v/>
      </c>
      <c r="E377" s="14" t="str">
        <f>IF(A377="","",INDEX(Акты!$D$5:$D$16,B377)-SUMIFS(Оплаты!$B$6:$B$505,Оплаты!$D$6:$D$505,A377,Оплаты!$A$6:$A$505,"&lt;="&amp;Оплаты!$A$369))</f>
        <v/>
      </c>
      <c r="F377" s="14" t="str">
        <f>IF(G377="","",SUMPRODUCT(ROUND(E377*'По дням'!$L$6:$L$155/100*((((D377+'По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дням'!$J$6:$J$155)))/2+1)/'По дням'!$M$6:$M$155,2)*(1-'По дням'!$N$6:$N$155)))</f>
        <v/>
      </c>
      <c r="G377" s="22" t="str">
        <f t="shared" si="5"/>
        <v/>
      </c>
      <c r="H377" s="14" t="str">
        <f>IF(G377="","",SUMIFS(Оплаты!$B$6:$B$505,Оплаты!$D$6:$D$505,A377,Оплаты!$A$6:$A$505,D377))</f>
        <v/>
      </c>
      <c r="I377" t="str">
        <f>IF(G377="","",SUMPRODUCT((((((D377+'По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дням'!$J$6:$J$155)))/2+1)&gt;0)*1))</f>
        <v/>
      </c>
    </row>
    <row r="378" spans="1:9" x14ac:dyDescent="0.3">
      <c r="A378" t="str">
        <f>IF(AND(Оплаты!$E$370="ок",COUNTIFS(Акты!$B$5:$B$16,Оплаты!$D$370,Акты!$H$5:$H$16,"ок")&gt;0,COUNTIFS(Оплаты!$D$6:$D$369,Оплаты!$D$370,Оплаты!$A$6:$A$369,Оплаты!$A$370)=0),Оплаты!$D$370,"")</f>
        <v/>
      </c>
      <c r="B378" t="str">
        <f>IF(A378="","",MATCH(A378,Акты!$B$5:$B$16,0))</f>
        <v/>
      </c>
      <c r="C378" s="21" t="str">
        <f>IF(A378="","",Оплаты!$A$370+1)</f>
        <v/>
      </c>
      <c r="D378" s="21" t="str">
        <f>IF(A378="","",MIN(Ввод!$B$4,Ввод!$B$4+1-SUMPRODUCT(MAX((Оплаты!$D$6:$D$505=A378)*(Оплаты!$A$6:$A$505&gt;Оплаты!$A$370)*(Ввод!$B$4+1-Оплаты!$A$6:$A$505)))))</f>
        <v/>
      </c>
      <c r="E378" s="14" t="str">
        <f>IF(A378="","",INDEX(Акты!$D$5:$D$16,B378)-SUMIFS(Оплаты!$B$6:$B$505,Оплаты!$D$6:$D$505,A378,Оплаты!$A$6:$A$505,"&lt;="&amp;Оплаты!$A$370))</f>
        <v/>
      </c>
      <c r="F378" s="14" t="str">
        <f>IF(G378="","",SUMPRODUCT(ROUND(E378*'По дням'!$L$6:$L$155/100*((((D378+'По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дням'!$J$6:$J$155)))/2+1)/'По дням'!$M$6:$M$155,2)*(1-'По дням'!$N$6:$N$155)))</f>
        <v/>
      </c>
      <c r="G378" s="22" t="str">
        <f t="shared" si="5"/>
        <v/>
      </c>
      <c r="H378" s="14" t="str">
        <f>IF(G378="","",SUMIFS(Оплаты!$B$6:$B$505,Оплаты!$D$6:$D$505,A378,Оплаты!$A$6:$A$505,D378))</f>
        <v/>
      </c>
      <c r="I378" t="str">
        <f>IF(G378="","",SUMPRODUCT((((((D378+'По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дням'!$J$6:$J$155)))/2+1)&gt;0)*1))</f>
        <v/>
      </c>
    </row>
    <row r="379" spans="1:9" x14ac:dyDescent="0.3">
      <c r="A379" t="str">
        <f>IF(AND(Оплаты!$E$371="ок",COUNTIFS(Акты!$B$5:$B$16,Оплаты!$D$371,Акты!$H$5:$H$16,"ок")&gt;0,COUNTIFS(Оплаты!$D$6:$D$370,Оплаты!$D$371,Оплаты!$A$6:$A$370,Оплаты!$A$371)=0),Оплаты!$D$371,"")</f>
        <v/>
      </c>
      <c r="B379" t="str">
        <f>IF(A379="","",MATCH(A379,Акты!$B$5:$B$16,0))</f>
        <v/>
      </c>
      <c r="C379" s="21" t="str">
        <f>IF(A379="","",Оплаты!$A$371+1)</f>
        <v/>
      </c>
      <c r="D379" s="21" t="str">
        <f>IF(A379="","",MIN(Ввод!$B$4,Ввод!$B$4+1-SUMPRODUCT(MAX((Оплаты!$D$6:$D$505=A379)*(Оплаты!$A$6:$A$505&gt;Оплаты!$A$371)*(Ввод!$B$4+1-Оплаты!$A$6:$A$505)))))</f>
        <v/>
      </c>
      <c r="E379" s="14" t="str">
        <f>IF(A379="","",INDEX(Акты!$D$5:$D$16,B379)-SUMIFS(Оплаты!$B$6:$B$505,Оплаты!$D$6:$D$505,A379,Оплаты!$A$6:$A$505,"&lt;="&amp;Оплаты!$A$371))</f>
        <v/>
      </c>
      <c r="F379" s="14" t="str">
        <f>IF(G379="","",SUMPRODUCT(ROUND(E379*'По дням'!$L$6:$L$155/100*((((D379+'По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дням'!$J$6:$J$155)))/2+1)/'По дням'!$M$6:$M$155,2)*(1-'По дням'!$N$6:$N$155)))</f>
        <v/>
      </c>
      <c r="G379" s="22" t="str">
        <f t="shared" si="5"/>
        <v/>
      </c>
      <c r="H379" s="14" t="str">
        <f>IF(G379="","",SUMIFS(Оплаты!$B$6:$B$505,Оплаты!$D$6:$D$505,A379,Оплаты!$A$6:$A$505,D379))</f>
        <v/>
      </c>
      <c r="I379" t="str">
        <f>IF(G379="","",SUMPRODUCT((((((D379+'По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дням'!$J$6:$J$155)))/2+1)&gt;0)*1))</f>
        <v/>
      </c>
    </row>
    <row r="380" spans="1:9" x14ac:dyDescent="0.3">
      <c r="A380" t="str">
        <f>IF(AND(Оплаты!$E$372="ок",COUNTIFS(Акты!$B$5:$B$16,Оплаты!$D$372,Акты!$H$5:$H$16,"ок")&gt;0,COUNTIFS(Оплаты!$D$6:$D$371,Оплаты!$D$372,Оплаты!$A$6:$A$371,Оплаты!$A$372)=0),Оплаты!$D$372,"")</f>
        <v/>
      </c>
      <c r="B380" t="str">
        <f>IF(A380="","",MATCH(A380,Акты!$B$5:$B$16,0))</f>
        <v/>
      </c>
      <c r="C380" s="21" t="str">
        <f>IF(A380="","",Оплаты!$A$372+1)</f>
        <v/>
      </c>
      <c r="D380" s="21" t="str">
        <f>IF(A380="","",MIN(Ввод!$B$4,Ввод!$B$4+1-SUMPRODUCT(MAX((Оплаты!$D$6:$D$505=A380)*(Оплаты!$A$6:$A$505&gt;Оплаты!$A$372)*(Ввод!$B$4+1-Оплаты!$A$6:$A$505)))))</f>
        <v/>
      </c>
      <c r="E380" s="14" t="str">
        <f>IF(A380="","",INDEX(Акты!$D$5:$D$16,B380)-SUMIFS(Оплаты!$B$6:$B$505,Оплаты!$D$6:$D$505,A380,Оплаты!$A$6:$A$505,"&lt;="&amp;Оплаты!$A$372))</f>
        <v/>
      </c>
      <c r="F380" s="14" t="str">
        <f>IF(G380="","",SUMPRODUCT(ROUND(E380*'По дням'!$L$6:$L$155/100*((((D380+'По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дням'!$J$6:$J$155)))/2+1)/'По дням'!$M$6:$M$155,2)*(1-'По дням'!$N$6:$N$155)))</f>
        <v/>
      </c>
      <c r="G380" s="22" t="str">
        <f t="shared" si="5"/>
        <v/>
      </c>
      <c r="H380" s="14" t="str">
        <f>IF(G380="","",SUMIFS(Оплаты!$B$6:$B$505,Оплаты!$D$6:$D$505,A380,Оплаты!$A$6:$A$505,D380))</f>
        <v/>
      </c>
      <c r="I380" t="str">
        <f>IF(G380="","",SUMPRODUCT((((((D380+'По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дням'!$J$6:$J$155)))/2+1)&gt;0)*1))</f>
        <v/>
      </c>
    </row>
    <row r="381" spans="1:9" x14ac:dyDescent="0.3">
      <c r="A381" t="str">
        <f>IF(AND(Оплаты!$E$373="ок",COUNTIFS(Акты!$B$5:$B$16,Оплаты!$D$373,Акты!$H$5:$H$16,"ок")&gt;0,COUNTIFS(Оплаты!$D$6:$D$372,Оплаты!$D$373,Оплаты!$A$6:$A$372,Оплаты!$A$373)=0),Оплаты!$D$373,"")</f>
        <v/>
      </c>
      <c r="B381" t="str">
        <f>IF(A381="","",MATCH(A381,Акты!$B$5:$B$16,0))</f>
        <v/>
      </c>
      <c r="C381" s="21" t="str">
        <f>IF(A381="","",Оплаты!$A$373+1)</f>
        <v/>
      </c>
      <c r="D381" s="21" t="str">
        <f>IF(A381="","",MIN(Ввод!$B$4,Ввод!$B$4+1-SUMPRODUCT(MAX((Оплаты!$D$6:$D$505=A381)*(Оплаты!$A$6:$A$505&gt;Оплаты!$A$373)*(Ввод!$B$4+1-Оплаты!$A$6:$A$505)))))</f>
        <v/>
      </c>
      <c r="E381" s="14" t="str">
        <f>IF(A381="","",INDEX(Акты!$D$5:$D$16,B381)-SUMIFS(Оплаты!$B$6:$B$505,Оплаты!$D$6:$D$505,A381,Оплаты!$A$6:$A$505,"&lt;="&amp;Оплаты!$A$373))</f>
        <v/>
      </c>
      <c r="F381" s="14" t="str">
        <f>IF(G381="","",SUMPRODUCT(ROUND(E381*'По дням'!$L$6:$L$155/100*((((D381+'По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дням'!$J$6:$J$155)))/2+1)/'По дням'!$M$6:$M$155,2)*(1-'По дням'!$N$6:$N$155)))</f>
        <v/>
      </c>
      <c r="G381" s="22" t="str">
        <f t="shared" si="5"/>
        <v/>
      </c>
      <c r="H381" s="14" t="str">
        <f>IF(G381="","",SUMIFS(Оплаты!$B$6:$B$505,Оплаты!$D$6:$D$505,A381,Оплаты!$A$6:$A$505,D381))</f>
        <v/>
      </c>
      <c r="I381" t="str">
        <f>IF(G381="","",SUMPRODUCT((((((D381+'По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дням'!$J$6:$J$155)))/2+1)&gt;0)*1))</f>
        <v/>
      </c>
    </row>
    <row r="382" spans="1:9" x14ac:dyDescent="0.3">
      <c r="A382" t="str">
        <f>IF(AND(Оплаты!$E$374="ок",COUNTIFS(Акты!$B$5:$B$16,Оплаты!$D$374,Акты!$H$5:$H$16,"ок")&gt;0,COUNTIFS(Оплаты!$D$6:$D$373,Оплаты!$D$374,Оплаты!$A$6:$A$373,Оплаты!$A$374)=0),Оплаты!$D$374,"")</f>
        <v/>
      </c>
      <c r="B382" t="str">
        <f>IF(A382="","",MATCH(A382,Акты!$B$5:$B$16,0))</f>
        <v/>
      </c>
      <c r="C382" s="21" t="str">
        <f>IF(A382="","",Оплаты!$A$374+1)</f>
        <v/>
      </c>
      <c r="D382" s="21" t="str">
        <f>IF(A382="","",MIN(Ввод!$B$4,Ввод!$B$4+1-SUMPRODUCT(MAX((Оплаты!$D$6:$D$505=A382)*(Оплаты!$A$6:$A$505&gt;Оплаты!$A$374)*(Ввод!$B$4+1-Оплаты!$A$6:$A$505)))))</f>
        <v/>
      </c>
      <c r="E382" s="14" t="str">
        <f>IF(A382="","",INDEX(Акты!$D$5:$D$16,B382)-SUMIFS(Оплаты!$B$6:$B$505,Оплаты!$D$6:$D$505,A382,Оплаты!$A$6:$A$505,"&lt;="&amp;Оплаты!$A$374))</f>
        <v/>
      </c>
      <c r="F382" s="14" t="str">
        <f>IF(G382="","",SUMPRODUCT(ROUND(E382*'По дням'!$L$6:$L$155/100*((((D382+'По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дням'!$J$6:$J$155)))/2+1)/'По дням'!$M$6:$M$155,2)*(1-'По дням'!$N$6:$N$155)))</f>
        <v/>
      </c>
      <c r="G382" s="22" t="str">
        <f t="shared" si="5"/>
        <v/>
      </c>
      <c r="H382" s="14" t="str">
        <f>IF(G382="","",SUMIFS(Оплаты!$B$6:$B$505,Оплаты!$D$6:$D$505,A382,Оплаты!$A$6:$A$505,D382))</f>
        <v/>
      </c>
      <c r="I382" t="str">
        <f>IF(G382="","",SUMPRODUCT((((((D382+'По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дням'!$J$6:$J$155)))/2+1)&gt;0)*1))</f>
        <v/>
      </c>
    </row>
    <row r="383" spans="1:9" x14ac:dyDescent="0.3">
      <c r="A383" t="str">
        <f>IF(AND(Оплаты!$E$375="ок",COUNTIFS(Акты!$B$5:$B$16,Оплаты!$D$375,Акты!$H$5:$H$16,"ок")&gt;0,COUNTIFS(Оплаты!$D$6:$D$374,Оплаты!$D$375,Оплаты!$A$6:$A$374,Оплаты!$A$375)=0),Оплаты!$D$375,"")</f>
        <v/>
      </c>
      <c r="B383" t="str">
        <f>IF(A383="","",MATCH(A383,Акты!$B$5:$B$16,0))</f>
        <v/>
      </c>
      <c r="C383" s="21" t="str">
        <f>IF(A383="","",Оплаты!$A$375+1)</f>
        <v/>
      </c>
      <c r="D383" s="21" t="str">
        <f>IF(A383="","",MIN(Ввод!$B$4,Ввод!$B$4+1-SUMPRODUCT(MAX((Оплаты!$D$6:$D$505=A383)*(Оплаты!$A$6:$A$505&gt;Оплаты!$A$375)*(Ввод!$B$4+1-Оплаты!$A$6:$A$505)))))</f>
        <v/>
      </c>
      <c r="E383" s="14" t="str">
        <f>IF(A383="","",INDEX(Акты!$D$5:$D$16,B383)-SUMIFS(Оплаты!$B$6:$B$505,Оплаты!$D$6:$D$505,A383,Оплаты!$A$6:$A$505,"&lt;="&amp;Оплаты!$A$375))</f>
        <v/>
      </c>
      <c r="F383" s="14" t="str">
        <f>IF(G383="","",SUMPRODUCT(ROUND(E383*'По дням'!$L$6:$L$155/100*((((D383+'По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дням'!$J$6:$J$155)))/2+1)/'По дням'!$M$6:$M$155,2)*(1-'По дням'!$N$6:$N$155)))</f>
        <v/>
      </c>
      <c r="G383" s="22" t="str">
        <f t="shared" si="5"/>
        <v/>
      </c>
      <c r="H383" s="14" t="str">
        <f>IF(G383="","",SUMIFS(Оплаты!$B$6:$B$505,Оплаты!$D$6:$D$505,A383,Оплаты!$A$6:$A$505,D383))</f>
        <v/>
      </c>
      <c r="I383" t="str">
        <f>IF(G383="","",SUMPRODUCT((((((D383+'По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дням'!$J$6:$J$155)))/2+1)&gt;0)*1))</f>
        <v/>
      </c>
    </row>
    <row r="384" spans="1:9" x14ac:dyDescent="0.3">
      <c r="A384" t="str">
        <f>IF(AND(Оплаты!$E$376="ок",COUNTIFS(Акты!$B$5:$B$16,Оплаты!$D$376,Акты!$H$5:$H$16,"ок")&gt;0,COUNTIFS(Оплаты!$D$6:$D$375,Оплаты!$D$376,Оплаты!$A$6:$A$375,Оплаты!$A$376)=0),Оплаты!$D$376,"")</f>
        <v/>
      </c>
      <c r="B384" t="str">
        <f>IF(A384="","",MATCH(A384,Акты!$B$5:$B$16,0))</f>
        <v/>
      </c>
      <c r="C384" s="21" t="str">
        <f>IF(A384="","",Оплаты!$A$376+1)</f>
        <v/>
      </c>
      <c r="D384" s="21" t="str">
        <f>IF(A384="","",MIN(Ввод!$B$4,Ввод!$B$4+1-SUMPRODUCT(MAX((Оплаты!$D$6:$D$505=A384)*(Оплаты!$A$6:$A$505&gt;Оплаты!$A$376)*(Ввод!$B$4+1-Оплаты!$A$6:$A$505)))))</f>
        <v/>
      </c>
      <c r="E384" s="14" t="str">
        <f>IF(A384="","",INDEX(Акты!$D$5:$D$16,B384)-SUMIFS(Оплаты!$B$6:$B$505,Оплаты!$D$6:$D$505,A384,Оплаты!$A$6:$A$505,"&lt;="&amp;Оплаты!$A$376))</f>
        <v/>
      </c>
      <c r="F384" s="14" t="str">
        <f>IF(G384="","",SUMPRODUCT(ROUND(E384*'По дням'!$L$6:$L$155/100*((((D384+'По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дням'!$J$6:$J$155)))/2+1)/'По дням'!$M$6:$M$155,2)*(1-'По дням'!$N$6:$N$155)))</f>
        <v/>
      </c>
      <c r="G384" s="22" t="str">
        <f t="shared" si="5"/>
        <v/>
      </c>
      <c r="H384" s="14" t="str">
        <f>IF(G384="","",SUMIFS(Оплаты!$B$6:$B$505,Оплаты!$D$6:$D$505,A384,Оплаты!$A$6:$A$505,D384))</f>
        <v/>
      </c>
      <c r="I384" t="str">
        <f>IF(G384="","",SUMPRODUCT((((((D384+'По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дням'!$J$6:$J$155)))/2+1)&gt;0)*1))</f>
        <v/>
      </c>
    </row>
    <row r="385" spans="1:9" x14ac:dyDescent="0.3">
      <c r="A385" t="str">
        <f>IF(AND(Оплаты!$E$377="ок",COUNTIFS(Акты!$B$5:$B$16,Оплаты!$D$377,Акты!$H$5:$H$16,"ок")&gt;0,COUNTIFS(Оплаты!$D$6:$D$376,Оплаты!$D$377,Оплаты!$A$6:$A$376,Оплаты!$A$377)=0),Оплаты!$D$377,"")</f>
        <v/>
      </c>
      <c r="B385" t="str">
        <f>IF(A385="","",MATCH(A385,Акты!$B$5:$B$16,0))</f>
        <v/>
      </c>
      <c r="C385" s="21" t="str">
        <f>IF(A385="","",Оплаты!$A$377+1)</f>
        <v/>
      </c>
      <c r="D385" s="21" t="str">
        <f>IF(A385="","",MIN(Ввод!$B$4,Ввод!$B$4+1-SUMPRODUCT(MAX((Оплаты!$D$6:$D$505=A385)*(Оплаты!$A$6:$A$505&gt;Оплаты!$A$377)*(Ввод!$B$4+1-Оплаты!$A$6:$A$505)))))</f>
        <v/>
      </c>
      <c r="E385" s="14" t="str">
        <f>IF(A385="","",INDEX(Акты!$D$5:$D$16,B385)-SUMIFS(Оплаты!$B$6:$B$505,Оплаты!$D$6:$D$505,A385,Оплаты!$A$6:$A$505,"&lt;="&amp;Оплаты!$A$377))</f>
        <v/>
      </c>
      <c r="F385" s="14" t="str">
        <f>IF(G385="","",SUMPRODUCT(ROUND(E385*'По дням'!$L$6:$L$155/100*((((D385+'По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дням'!$J$6:$J$155)))/2+1)/'По дням'!$M$6:$M$155,2)*(1-'По дням'!$N$6:$N$155)))</f>
        <v/>
      </c>
      <c r="G385" s="22" t="str">
        <f t="shared" si="5"/>
        <v/>
      </c>
      <c r="H385" s="14" t="str">
        <f>IF(G385="","",SUMIFS(Оплаты!$B$6:$B$505,Оплаты!$D$6:$D$505,A385,Оплаты!$A$6:$A$505,D385))</f>
        <v/>
      </c>
      <c r="I385" t="str">
        <f>IF(G385="","",SUMPRODUCT((((((D385+'По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дням'!$J$6:$J$155)))/2+1)&gt;0)*1))</f>
        <v/>
      </c>
    </row>
    <row r="386" spans="1:9" x14ac:dyDescent="0.3">
      <c r="A386" t="str">
        <f>IF(AND(Оплаты!$E$378="ок",COUNTIFS(Акты!$B$5:$B$16,Оплаты!$D$378,Акты!$H$5:$H$16,"ок")&gt;0,COUNTIFS(Оплаты!$D$6:$D$377,Оплаты!$D$378,Оплаты!$A$6:$A$377,Оплаты!$A$378)=0),Оплаты!$D$378,"")</f>
        <v/>
      </c>
      <c r="B386" t="str">
        <f>IF(A386="","",MATCH(A386,Акты!$B$5:$B$16,0))</f>
        <v/>
      </c>
      <c r="C386" s="21" t="str">
        <f>IF(A386="","",Оплаты!$A$378+1)</f>
        <v/>
      </c>
      <c r="D386" s="21" t="str">
        <f>IF(A386="","",MIN(Ввод!$B$4,Ввод!$B$4+1-SUMPRODUCT(MAX((Оплаты!$D$6:$D$505=A386)*(Оплаты!$A$6:$A$505&gt;Оплаты!$A$378)*(Ввод!$B$4+1-Оплаты!$A$6:$A$505)))))</f>
        <v/>
      </c>
      <c r="E386" s="14" t="str">
        <f>IF(A386="","",INDEX(Акты!$D$5:$D$16,B386)-SUMIFS(Оплаты!$B$6:$B$505,Оплаты!$D$6:$D$505,A386,Оплаты!$A$6:$A$505,"&lt;="&amp;Оплаты!$A$378))</f>
        <v/>
      </c>
      <c r="F386" s="14" t="str">
        <f>IF(G386="","",SUMPRODUCT(ROUND(E386*'По дням'!$L$6:$L$155/100*((((D386+'По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дням'!$J$6:$J$155)))/2+1)/'По дням'!$M$6:$M$155,2)*(1-'По дням'!$N$6:$N$155)))</f>
        <v/>
      </c>
      <c r="G386" s="22" t="str">
        <f t="shared" ref="G386:G449" si="6">IF(A386="","",IF(C386&gt;D386,"",B386*1000000+C386))</f>
        <v/>
      </c>
      <c r="H386" s="14" t="str">
        <f>IF(G386="","",SUMIFS(Оплаты!$B$6:$B$505,Оплаты!$D$6:$D$505,A386,Оплаты!$A$6:$A$505,D386))</f>
        <v/>
      </c>
      <c r="I386" t="str">
        <f>IF(G386="","",SUMPRODUCT((((((D386+'По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дням'!$J$6:$J$155)))/2+1)&gt;0)*1))</f>
        <v/>
      </c>
    </row>
    <row r="387" spans="1:9" x14ac:dyDescent="0.3">
      <c r="A387" t="str">
        <f>IF(AND(Оплаты!$E$379="ок",COUNTIFS(Акты!$B$5:$B$16,Оплаты!$D$379,Акты!$H$5:$H$16,"ок")&gt;0,COUNTIFS(Оплаты!$D$6:$D$378,Оплаты!$D$379,Оплаты!$A$6:$A$378,Оплаты!$A$379)=0),Оплаты!$D$379,"")</f>
        <v/>
      </c>
      <c r="B387" t="str">
        <f>IF(A387="","",MATCH(A387,Акты!$B$5:$B$16,0))</f>
        <v/>
      </c>
      <c r="C387" s="21" t="str">
        <f>IF(A387="","",Оплаты!$A$379+1)</f>
        <v/>
      </c>
      <c r="D387" s="21" t="str">
        <f>IF(A387="","",MIN(Ввод!$B$4,Ввод!$B$4+1-SUMPRODUCT(MAX((Оплаты!$D$6:$D$505=A387)*(Оплаты!$A$6:$A$505&gt;Оплаты!$A$379)*(Ввод!$B$4+1-Оплаты!$A$6:$A$505)))))</f>
        <v/>
      </c>
      <c r="E387" s="14" t="str">
        <f>IF(A387="","",INDEX(Акты!$D$5:$D$16,B387)-SUMIFS(Оплаты!$B$6:$B$505,Оплаты!$D$6:$D$505,A387,Оплаты!$A$6:$A$505,"&lt;="&amp;Оплаты!$A$379))</f>
        <v/>
      </c>
      <c r="F387" s="14" t="str">
        <f>IF(G387="","",SUMPRODUCT(ROUND(E387*'По дням'!$L$6:$L$155/100*((((D387+'По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дням'!$J$6:$J$155)))/2+1)/'По дням'!$M$6:$M$155,2)*(1-'По дням'!$N$6:$N$155)))</f>
        <v/>
      </c>
      <c r="G387" s="22" t="str">
        <f t="shared" si="6"/>
        <v/>
      </c>
      <c r="H387" s="14" t="str">
        <f>IF(G387="","",SUMIFS(Оплаты!$B$6:$B$505,Оплаты!$D$6:$D$505,A387,Оплаты!$A$6:$A$505,D387))</f>
        <v/>
      </c>
      <c r="I387" t="str">
        <f>IF(G387="","",SUMPRODUCT((((((D387+'По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дням'!$J$6:$J$155)))/2+1)&gt;0)*1))</f>
        <v/>
      </c>
    </row>
    <row r="388" spans="1:9" x14ac:dyDescent="0.3">
      <c r="A388" t="str">
        <f>IF(AND(Оплаты!$E$380="ок",COUNTIFS(Акты!$B$5:$B$16,Оплаты!$D$380,Акты!$H$5:$H$16,"ок")&gt;0,COUNTIFS(Оплаты!$D$6:$D$379,Оплаты!$D$380,Оплаты!$A$6:$A$379,Оплаты!$A$380)=0),Оплаты!$D$380,"")</f>
        <v/>
      </c>
      <c r="B388" t="str">
        <f>IF(A388="","",MATCH(A388,Акты!$B$5:$B$16,0))</f>
        <v/>
      </c>
      <c r="C388" s="21" t="str">
        <f>IF(A388="","",Оплаты!$A$380+1)</f>
        <v/>
      </c>
      <c r="D388" s="21" t="str">
        <f>IF(A388="","",MIN(Ввод!$B$4,Ввод!$B$4+1-SUMPRODUCT(MAX((Оплаты!$D$6:$D$505=A388)*(Оплаты!$A$6:$A$505&gt;Оплаты!$A$380)*(Ввод!$B$4+1-Оплаты!$A$6:$A$505)))))</f>
        <v/>
      </c>
      <c r="E388" s="14" t="str">
        <f>IF(A388="","",INDEX(Акты!$D$5:$D$16,B388)-SUMIFS(Оплаты!$B$6:$B$505,Оплаты!$D$6:$D$505,A388,Оплаты!$A$6:$A$505,"&lt;="&amp;Оплаты!$A$380))</f>
        <v/>
      </c>
      <c r="F388" s="14" t="str">
        <f>IF(G388="","",SUMPRODUCT(ROUND(E388*'По дням'!$L$6:$L$155/100*((((D388+'По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дням'!$J$6:$J$155)))/2+1)/'По дням'!$M$6:$M$155,2)*(1-'По дням'!$N$6:$N$155)))</f>
        <v/>
      </c>
      <c r="G388" s="22" t="str">
        <f t="shared" si="6"/>
        <v/>
      </c>
      <c r="H388" s="14" t="str">
        <f>IF(G388="","",SUMIFS(Оплаты!$B$6:$B$505,Оплаты!$D$6:$D$505,A388,Оплаты!$A$6:$A$505,D388))</f>
        <v/>
      </c>
      <c r="I388" t="str">
        <f>IF(G388="","",SUMPRODUCT((((((D388+'По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дням'!$J$6:$J$155)))/2+1)&gt;0)*1))</f>
        <v/>
      </c>
    </row>
    <row r="389" spans="1:9" x14ac:dyDescent="0.3">
      <c r="A389" t="str">
        <f>IF(AND(Оплаты!$E$381="ок",COUNTIFS(Акты!$B$5:$B$16,Оплаты!$D$381,Акты!$H$5:$H$16,"ок")&gt;0,COUNTIFS(Оплаты!$D$6:$D$380,Оплаты!$D$381,Оплаты!$A$6:$A$380,Оплаты!$A$381)=0),Оплаты!$D$381,"")</f>
        <v/>
      </c>
      <c r="B389" t="str">
        <f>IF(A389="","",MATCH(A389,Акты!$B$5:$B$16,0))</f>
        <v/>
      </c>
      <c r="C389" s="21" t="str">
        <f>IF(A389="","",Оплаты!$A$381+1)</f>
        <v/>
      </c>
      <c r="D389" s="21" t="str">
        <f>IF(A389="","",MIN(Ввод!$B$4,Ввод!$B$4+1-SUMPRODUCT(MAX((Оплаты!$D$6:$D$505=A389)*(Оплаты!$A$6:$A$505&gt;Оплаты!$A$381)*(Ввод!$B$4+1-Оплаты!$A$6:$A$505)))))</f>
        <v/>
      </c>
      <c r="E389" s="14" t="str">
        <f>IF(A389="","",INDEX(Акты!$D$5:$D$16,B389)-SUMIFS(Оплаты!$B$6:$B$505,Оплаты!$D$6:$D$505,A389,Оплаты!$A$6:$A$505,"&lt;="&amp;Оплаты!$A$381))</f>
        <v/>
      </c>
      <c r="F389" s="14" t="str">
        <f>IF(G389="","",SUMPRODUCT(ROUND(E389*'По дням'!$L$6:$L$155/100*((((D389+'По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дням'!$J$6:$J$155)))/2+1)/'По дням'!$M$6:$M$155,2)*(1-'По дням'!$N$6:$N$155)))</f>
        <v/>
      </c>
      <c r="G389" s="22" t="str">
        <f t="shared" si="6"/>
        <v/>
      </c>
      <c r="H389" s="14" t="str">
        <f>IF(G389="","",SUMIFS(Оплаты!$B$6:$B$505,Оплаты!$D$6:$D$505,A389,Оплаты!$A$6:$A$505,D389))</f>
        <v/>
      </c>
      <c r="I389" t="str">
        <f>IF(G389="","",SUMPRODUCT((((((D389+'По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дням'!$J$6:$J$155)))/2+1)&gt;0)*1))</f>
        <v/>
      </c>
    </row>
    <row r="390" spans="1:9" x14ac:dyDescent="0.3">
      <c r="A390" t="str">
        <f>IF(AND(Оплаты!$E$382="ок",COUNTIFS(Акты!$B$5:$B$16,Оплаты!$D$382,Акты!$H$5:$H$16,"ок")&gt;0,COUNTIFS(Оплаты!$D$6:$D$381,Оплаты!$D$382,Оплаты!$A$6:$A$381,Оплаты!$A$382)=0),Оплаты!$D$382,"")</f>
        <v/>
      </c>
      <c r="B390" t="str">
        <f>IF(A390="","",MATCH(A390,Акты!$B$5:$B$16,0))</f>
        <v/>
      </c>
      <c r="C390" s="21" t="str">
        <f>IF(A390="","",Оплаты!$A$382+1)</f>
        <v/>
      </c>
      <c r="D390" s="21" t="str">
        <f>IF(A390="","",MIN(Ввод!$B$4,Ввод!$B$4+1-SUMPRODUCT(MAX((Оплаты!$D$6:$D$505=A390)*(Оплаты!$A$6:$A$505&gt;Оплаты!$A$382)*(Ввод!$B$4+1-Оплаты!$A$6:$A$505)))))</f>
        <v/>
      </c>
      <c r="E390" s="14" t="str">
        <f>IF(A390="","",INDEX(Акты!$D$5:$D$16,B390)-SUMIFS(Оплаты!$B$6:$B$505,Оплаты!$D$6:$D$505,A390,Оплаты!$A$6:$A$505,"&lt;="&amp;Оплаты!$A$382))</f>
        <v/>
      </c>
      <c r="F390" s="14" t="str">
        <f>IF(G390="","",SUMPRODUCT(ROUND(E390*'По дням'!$L$6:$L$155/100*((((D390+'По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дням'!$J$6:$J$155)))/2+1)/'По дням'!$M$6:$M$155,2)*(1-'По дням'!$N$6:$N$155)))</f>
        <v/>
      </c>
      <c r="G390" s="22" t="str">
        <f t="shared" si="6"/>
        <v/>
      </c>
      <c r="H390" s="14" t="str">
        <f>IF(G390="","",SUMIFS(Оплаты!$B$6:$B$505,Оплаты!$D$6:$D$505,A390,Оплаты!$A$6:$A$505,D390))</f>
        <v/>
      </c>
      <c r="I390" t="str">
        <f>IF(G390="","",SUMPRODUCT((((((D390+'По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дням'!$J$6:$J$155)))/2+1)&gt;0)*1))</f>
        <v/>
      </c>
    </row>
    <row r="391" spans="1:9" x14ac:dyDescent="0.3">
      <c r="A391" t="str">
        <f>IF(AND(Оплаты!$E$383="ок",COUNTIFS(Акты!$B$5:$B$16,Оплаты!$D$383,Акты!$H$5:$H$16,"ок")&gt;0,COUNTIFS(Оплаты!$D$6:$D$382,Оплаты!$D$383,Оплаты!$A$6:$A$382,Оплаты!$A$383)=0),Оплаты!$D$383,"")</f>
        <v/>
      </c>
      <c r="B391" t="str">
        <f>IF(A391="","",MATCH(A391,Акты!$B$5:$B$16,0))</f>
        <v/>
      </c>
      <c r="C391" s="21" t="str">
        <f>IF(A391="","",Оплаты!$A$383+1)</f>
        <v/>
      </c>
      <c r="D391" s="21" t="str">
        <f>IF(A391="","",MIN(Ввод!$B$4,Ввод!$B$4+1-SUMPRODUCT(MAX((Оплаты!$D$6:$D$505=A391)*(Оплаты!$A$6:$A$505&gt;Оплаты!$A$383)*(Ввод!$B$4+1-Оплаты!$A$6:$A$505)))))</f>
        <v/>
      </c>
      <c r="E391" s="14" t="str">
        <f>IF(A391="","",INDEX(Акты!$D$5:$D$16,B391)-SUMIFS(Оплаты!$B$6:$B$505,Оплаты!$D$6:$D$505,A391,Оплаты!$A$6:$A$505,"&lt;="&amp;Оплаты!$A$383))</f>
        <v/>
      </c>
      <c r="F391" s="14" t="str">
        <f>IF(G391="","",SUMPRODUCT(ROUND(E391*'По дням'!$L$6:$L$155/100*((((D391+'По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дням'!$J$6:$J$155)))/2+1)/'По дням'!$M$6:$M$155,2)*(1-'По дням'!$N$6:$N$155)))</f>
        <v/>
      </c>
      <c r="G391" s="22" t="str">
        <f t="shared" si="6"/>
        <v/>
      </c>
      <c r="H391" s="14" t="str">
        <f>IF(G391="","",SUMIFS(Оплаты!$B$6:$B$505,Оплаты!$D$6:$D$505,A391,Оплаты!$A$6:$A$505,D391))</f>
        <v/>
      </c>
      <c r="I391" t="str">
        <f>IF(G391="","",SUMPRODUCT((((((D391+'По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дням'!$J$6:$J$155)))/2+1)&gt;0)*1))</f>
        <v/>
      </c>
    </row>
    <row r="392" spans="1:9" x14ac:dyDescent="0.3">
      <c r="A392" t="str">
        <f>IF(AND(Оплаты!$E$384="ок",COUNTIFS(Акты!$B$5:$B$16,Оплаты!$D$384,Акты!$H$5:$H$16,"ок")&gt;0,COUNTIFS(Оплаты!$D$6:$D$383,Оплаты!$D$384,Оплаты!$A$6:$A$383,Оплаты!$A$384)=0),Оплаты!$D$384,"")</f>
        <v/>
      </c>
      <c r="B392" t="str">
        <f>IF(A392="","",MATCH(A392,Акты!$B$5:$B$16,0))</f>
        <v/>
      </c>
      <c r="C392" s="21" t="str">
        <f>IF(A392="","",Оплаты!$A$384+1)</f>
        <v/>
      </c>
      <c r="D392" s="21" t="str">
        <f>IF(A392="","",MIN(Ввод!$B$4,Ввод!$B$4+1-SUMPRODUCT(MAX((Оплаты!$D$6:$D$505=A392)*(Оплаты!$A$6:$A$505&gt;Оплаты!$A$384)*(Ввод!$B$4+1-Оплаты!$A$6:$A$505)))))</f>
        <v/>
      </c>
      <c r="E392" s="14" t="str">
        <f>IF(A392="","",INDEX(Акты!$D$5:$D$16,B392)-SUMIFS(Оплаты!$B$6:$B$505,Оплаты!$D$6:$D$505,A392,Оплаты!$A$6:$A$505,"&lt;="&amp;Оплаты!$A$384))</f>
        <v/>
      </c>
      <c r="F392" s="14" t="str">
        <f>IF(G392="","",SUMPRODUCT(ROUND(E392*'По дням'!$L$6:$L$155/100*((((D392+'По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дням'!$J$6:$J$155)))/2+1)/'По дням'!$M$6:$M$155,2)*(1-'По дням'!$N$6:$N$155)))</f>
        <v/>
      </c>
      <c r="G392" s="22" t="str">
        <f t="shared" si="6"/>
        <v/>
      </c>
      <c r="H392" s="14" t="str">
        <f>IF(G392="","",SUMIFS(Оплаты!$B$6:$B$505,Оплаты!$D$6:$D$505,A392,Оплаты!$A$6:$A$505,D392))</f>
        <v/>
      </c>
      <c r="I392" t="str">
        <f>IF(G392="","",SUMPRODUCT((((((D392+'По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дням'!$J$6:$J$155)))/2+1)&gt;0)*1))</f>
        <v/>
      </c>
    </row>
    <row r="393" spans="1:9" x14ac:dyDescent="0.3">
      <c r="A393" t="str">
        <f>IF(AND(Оплаты!$E$385="ок",COUNTIFS(Акты!$B$5:$B$16,Оплаты!$D$385,Акты!$H$5:$H$16,"ок")&gt;0,COUNTIFS(Оплаты!$D$6:$D$384,Оплаты!$D$385,Оплаты!$A$6:$A$384,Оплаты!$A$385)=0),Оплаты!$D$385,"")</f>
        <v/>
      </c>
      <c r="B393" t="str">
        <f>IF(A393="","",MATCH(A393,Акты!$B$5:$B$16,0))</f>
        <v/>
      </c>
      <c r="C393" s="21" t="str">
        <f>IF(A393="","",Оплаты!$A$385+1)</f>
        <v/>
      </c>
      <c r="D393" s="21" t="str">
        <f>IF(A393="","",MIN(Ввод!$B$4,Ввод!$B$4+1-SUMPRODUCT(MAX((Оплаты!$D$6:$D$505=A393)*(Оплаты!$A$6:$A$505&gt;Оплаты!$A$385)*(Ввод!$B$4+1-Оплаты!$A$6:$A$505)))))</f>
        <v/>
      </c>
      <c r="E393" s="14" t="str">
        <f>IF(A393="","",INDEX(Акты!$D$5:$D$16,B393)-SUMIFS(Оплаты!$B$6:$B$505,Оплаты!$D$6:$D$505,A393,Оплаты!$A$6:$A$505,"&lt;="&amp;Оплаты!$A$385))</f>
        <v/>
      </c>
      <c r="F393" s="14" t="str">
        <f>IF(G393="","",SUMPRODUCT(ROUND(E393*'По дням'!$L$6:$L$155/100*((((D393+'По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дням'!$J$6:$J$155)))/2+1)/'По дням'!$M$6:$M$155,2)*(1-'По дням'!$N$6:$N$155)))</f>
        <v/>
      </c>
      <c r="G393" s="22" t="str">
        <f t="shared" si="6"/>
        <v/>
      </c>
      <c r="H393" s="14" t="str">
        <f>IF(G393="","",SUMIFS(Оплаты!$B$6:$B$505,Оплаты!$D$6:$D$505,A393,Оплаты!$A$6:$A$505,D393))</f>
        <v/>
      </c>
      <c r="I393" t="str">
        <f>IF(G393="","",SUMPRODUCT((((((D393+'По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дням'!$J$6:$J$155)))/2+1)&gt;0)*1))</f>
        <v/>
      </c>
    </row>
    <row r="394" spans="1:9" x14ac:dyDescent="0.3">
      <c r="A394" t="str">
        <f>IF(AND(Оплаты!$E$386="ок",COUNTIFS(Акты!$B$5:$B$16,Оплаты!$D$386,Акты!$H$5:$H$16,"ок")&gt;0,COUNTIFS(Оплаты!$D$6:$D$385,Оплаты!$D$386,Оплаты!$A$6:$A$385,Оплаты!$A$386)=0),Оплаты!$D$386,"")</f>
        <v/>
      </c>
      <c r="B394" t="str">
        <f>IF(A394="","",MATCH(A394,Акты!$B$5:$B$16,0))</f>
        <v/>
      </c>
      <c r="C394" s="21" t="str">
        <f>IF(A394="","",Оплаты!$A$386+1)</f>
        <v/>
      </c>
      <c r="D394" s="21" t="str">
        <f>IF(A394="","",MIN(Ввод!$B$4,Ввод!$B$4+1-SUMPRODUCT(MAX((Оплаты!$D$6:$D$505=A394)*(Оплаты!$A$6:$A$505&gt;Оплаты!$A$386)*(Ввод!$B$4+1-Оплаты!$A$6:$A$505)))))</f>
        <v/>
      </c>
      <c r="E394" s="14" t="str">
        <f>IF(A394="","",INDEX(Акты!$D$5:$D$16,B394)-SUMIFS(Оплаты!$B$6:$B$505,Оплаты!$D$6:$D$505,A394,Оплаты!$A$6:$A$505,"&lt;="&amp;Оплаты!$A$386))</f>
        <v/>
      </c>
      <c r="F394" s="14" t="str">
        <f>IF(G394="","",SUMPRODUCT(ROUND(E394*'По дням'!$L$6:$L$155/100*((((D394+'По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дням'!$J$6:$J$155)))/2+1)/'По дням'!$M$6:$M$155,2)*(1-'По дням'!$N$6:$N$155)))</f>
        <v/>
      </c>
      <c r="G394" s="22" t="str">
        <f t="shared" si="6"/>
        <v/>
      </c>
      <c r="H394" s="14" t="str">
        <f>IF(G394="","",SUMIFS(Оплаты!$B$6:$B$505,Оплаты!$D$6:$D$505,A394,Оплаты!$A$6:$A$505,D394))</f>
        <v/>
      </c>
      <c r="I394" t="str">
        <f>IF(G394="","",SUMPRODUCT((((((D394+'По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дням'!$J$6:$J$155)))/2+1)&gt;0)*1))</f>
        <v/>
      </c>
    </row>
    <row r="395" spans="1:9" x14ac:dyDescent="0.3">
      <c r="A395" t="str">
        <f>IF(AND(Оплаты!$E$387="ок",COUNTIFS(Акты!$B$5:$B$16,Оплаты!$D$387,Акты!$H$5:$H$16,"ок")&gt;0,COUNTIFS(Оплаты!$D$6:$D$386,Оплаты!$D$387,Оплаты!$A$6:$A$386,Оплаты!$A$387)=0),Оплаты!$D$387,"")</f>
        <v/>
      </c>
      <c r="B395" t="str">
        <f>IF(A395="","",MATCH(A395,Акты!$B$5:$B$16,0))</f>
        <v/>
      </c>
      <c r="C395" s="21" t="str">
        <f>IF(A395="","",Оплаты!$A$387+1)</f>
        <v/>
      </c>
      <c r="D395" s="21" t="str">
        <f>IF(A395="","",MIN(Ввод!$B$4,Ввод!$B$4+1-SUMPRODUCT(MAX((Оплаты!$D$6:$D$505=A395)*(Оплаты!$A$6:$A$505&gt;Оплаты!$A$387)*(Ввод!$B$4+1-Оплаты!$A$6:$A$505)))))</f>
        <v/>
      </c>
      <c r="E395" s="14" t="str">
        <f>IF(A395="","",INDEX(Акты!$D$5:$D$16,B395)-SUMIFS(Оплаты!$B$6:$B$505,Оплаты!$D$6:$D$505,A395,Оплаты!$A$6:$A$505,"&lt;="&amp;Оплаты!$A$387))</f>
        <v/>
      </c>
      <c r="F395" s="14" t="str">
        <f>IF(G395="","",SUMPRODUCT(ROUND(E395*'По дням'!$L$6:$L$155/100*((((D395+'По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дням'!$J$6:$J$155)))/2+1)/'По дням'!$M$6:$M$155,2)*(1-'По дням'!$N$6:$N$155)))</f>
        <v/>
      </c>
      <c r="G395" s="22" t="str">
        <f t="shared" si="6"/>
        <v/>
      </c>
      <c r="H395" s="14" t="str">
        <f>IF(G395="","",SUMIFS(Оплаты!$B$6:$B$505,Оплаты!$D$6:$D$505,A395,Оплаты!$A$6:$A$505,D395))</f>
        <v/>
      </c>
      <c r="I395" t="str">
        <f>IF(G395="","",SUMPRODUCT((((((D395+'По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дням'!$J$6:$J$155)))/2+1)&gt;0)*1))</f>
        <v/>
      </c>
    </row>
    <row r="396" spans="1:9" x14ac:dyDescent="0.3">
      <c r="A396" t="str">
        <f>IF(AND(Оплаты!$E$388="ок",COUNTIFS(Акты!$B$5:$B$16,Оплаты!$D$388,Акты!$H$5:$H$16,"ок")&gt;0,COUNTIFS(Оплаты!$D$6:$D$387,Оплаты!$D$388,Оплаты!$A$6:$A$387,Оплаты!$A$388)=0),Оплаты!$D$388,"")</f>
        <v/>
      </c>
      <c r="B396" t="str">
        <f>IF(A396="","",MATCH(A396,Акты!$B$5:$B$16,0))</f>
        <v/>
      </c>
      <c r="C396" s="21" t="str">
        <f>IF(A396="","",Оплаты!$A$388+1)</f>
        <v/>
      </c>
      <c r="D396" s="21" t="str">
        <f>IF(A396="","",MIN(Ввод!$B$4,Ввод!$B$4+1-SUMPRODUCT(MAX((Оплаты!$D$6:$D$505=A396)*(Оплаты!$A$6:$A$505&gt;Оплаты!$A$388)*(Ввод!$B$4+1-Оплаты!$A$6:$A$505)))))</f>
        <v/>
      </c>
      <c r="E396" s="14" t="str">
        <f>IF(A396="","",INDEX(Акты!$D$5:$D$16,B396)-SUMIFS(Оплаты!$B$6:$B$505,Оплаты!$D$6:$D$505,A396,Оплаты!$A$6:$A$505,"&lt;="&amp;Оплаты!$A$388))</f>
        <v/>
      </c>
      <c r="F396" s="14" t="str">
        <f>IF(G396="","",SUMPRODUCT(ROUND(E396*'По дням'!$L$6:$L$155/100*((((D396+'По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дням'!$J$6:$J$155)))/2+1)/'По дням'!$M$6:$M$155,2)*(1-'По дням'!$N$6:$N$155)))</f>
        <v/>
      </c>
      <c r="G396" s="22" t="str">
        <f t="shared" si="6"/>
        <v/>
      </c>
      <c r="H396" s="14" t="str">
        <f>IF(G396="","",SUMIFS(Оплаты!$B$6:$B$505,Оплаты!$D$6:$D$505,A396,Оплаты!$A$6:$A$505,D396))</f>
        <v/>
      </c>
      <c r="I396" t="str">
        <f>IF(G396="","",SUMPRODUCT((((((D396+'По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дням'!$J$6:$J$155)))/2+1)&gt;0)*1))</f>
        <v/>
      </c>
    </row>
    <row r="397" spans="1:9" x14ac:dyDescent="0.3">
      <c r="A397" t="str">
        <f>IF(AND(Оплаты!$E$389="ок",COUNTIFS(Акты!$B$5:$B$16,Оплаты!$D$389,Акты!$H$5:$H$16,"ок")&gt;0,COUNTIFS(Оплаты!$D$6:$D$388,Оплаты!$D$389,Оплаты!$A$6:$A$388,Оплаты!$A$389)=0),Оплаты!$D$389,"")</f>
        <v/>
      </c>
      <c r="B397" t="str">
        <f>IF(A397="","",MATCH(A397,Акты!$B$5:$B$16,0))</f>
        <v/>
      </c>
      <c r="C397" s="21" t="str">
        <f>IF(A397="","",Оплаты!$A$389+1)</f>
        <v/>
      </c>
      <c r="D397" s="21" t="str">
        <f>IF(A397="","",MIN(Ввод!$B$4,Ввод!$B$4+1-SUMPRODUCT(MAX((Оплаты!$D$6:$D$505=A397)*(Оплаты!$A$6:$A$505&gt;Оплаты!$A$389)*(Ввод!$B$4+1-Оплаты!$A$6:$A$505)))))</f>
        <v/>
      </c>
      <c r="E397" s="14" t="str">
        <f>IF(A397="","",INDEX(Акты!$D$5:$D$16,B397)-SUMIFS(Оплаты!$B$6:$B$505,Оплаты!$D$6:$D$505,A397,Оплаты!$A$6:$A$505,"&lt;="&amp;Оплаты!$A$389))</f>
        <v/>
      </c>
      <c r="F397" s="14" t="str">
        <f>IF(G397="","",SUMPRODUCT(ROUND(E397*'По дням'!$L$6:$L$155/100*((((D397+'По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дням'!$J$6:$J$155)))/2+1)/'По дням'!$M$6:$M$155,2)*(1-'По дням'!$N$6:$N$155)))</f>
        <v/>
      </c>
      <c r="G397" s="22" t="str">
        <f t="shared" si="6"/>
        <v/>
      </c>
      <c r="H397" s="14" t="str">
        <f>IF(G397="","",SUMIFS(Оплаты!$B$6:$B$505,Оплаты!$D$6:$D$505,A397,Оплаты!$A$6:$A$505,D397))</f>
        <v/>
      </c>
      <c r="I397" t="str">
        <f>IF(G397="","",SUMPRODUCT((((((D397+'По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дням'!$J$6:$J$155)))/2+1)&gt;0)*1))</f>
        <v/>
      </c>
    </row>
    <row r="398" spans="1:9" x14ac:dyDescent="0.3">
      <c r="A398" t="str">
        <f>IF(AND(Оплаты!$E$390="ок",COUNTIFS(Акты!$B$5:$B$16,Оплаты!$D$390,Акты!$H$5:$H$16,"ок")&gt;0,COUNTIFS(Оплаты!$D$6:$D$389,Оплаты!$D$390,Оплаты!$A$6:$A$389,Оплаты!$A$390)=0),Оплаты!$D$390,"")</f>
        <v/>
      </c>
      <c r="B398" t="str">
        <f>IF(A398="","",MATCH(A398,Акты!$B$5:$B$16,0))</f>
        <v/>
      </c>
      <c r="C398" s="21" t="str">
        <f>IF(A398="","",Оплаты!$A$390+1)</f>
        <v/>
      </c>
      <c r="D398" s="21" t="str">
        <f>IF(A398="","",MIN(Ввод!$B$4,Ввод!$B$4+1-SUMPRODUCT(MAX((Оплаты!$D$6:$D$505=A398)*(Оплаты!$A$6:$A$505&gt;Оплаты!$A$390)*(Ввод!$B$4+1-Оплаты!$A$6:$A$505)))))</f>
        <v/>
      </c>
      <c r="E398" s="14" t="str">
        <f>IF(A398="","",INDEX(Акты!$D$5:$D$16,B398)-SUMIFS(Оплаты!$B$6:$B$505,Оплаты!$D$6:$D$505,A398,Оплаты!$A$6:$A$505,"&lt;="&amp;Оплаты!$A$390))</f>
        <v/>
      </c>
      <c r="F398" s="14" t="str">
        <f>IF(G398="","",SUMPRODUCT(ROUND(E398*'По дням'!$L$6:$L$155/100*((((D398+'По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дням'!$J$6:$J$155)))/2+1)/'По дням'!$M$6:$M$155,2)*(1-'По дням'!$N$6:$N$155)))</f>
        <v/>
      </c>
      <c r="G398" s="22" t="str">
        <f t="shared" si="6"/>
        <v/>
      </c>
      <c r="H398" s="14" t="str">
        <f>IF(G398="","",SUMIFS(Оплаты!$B$6:$B$505,Оплаты!$D$6:$D$505,A398,Оплаты!$A$6:$A$505,D398))</f>
        <v/>
      </c>
      <c r="I398" t="str">
        <f>IF(G398="","",SUMPRODUCT((((((D398+'По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дням'!$J$6:$J$155)))/2+1)&gt;0)*1))</f>
        <v/>
      </c>
    </row>
    <row r="399" spans="1:9" x14ac:dyDescent="0.3">
      <c r="A399" t="str">
        <f>IF(AND(Оплаты!$E$391="ок",COUNTIFS(Акты!$B$5:$B$16,Оплаты!$D$391,Акты!$H$5:$H$16,"ок")&gt;0,COUNTIFS(Оплаты!$D$6:$D$390,Оплаты!$D$391,Оплаты!$A$6:$A$390,Оплаты!$A$391)=0),Оплаты!$D$391,"")</f>
        <v/>
      </c>
      <c r="B399" t="str">
        <f>IF(A399="","",MATCH(A399,Акты!$B$5:$B$16,0))</f>
        <v/>
      </c>
      <c r="C399" s="21" t="str">
        <f>IF(A399="","",Оплаты!$A$391+1)</f>
        <v/>
      </c>
      <c r="D399" s="21" t="str">
        <f>IF(A399="","",MIN(Ввод!$B$4,Ввод!$B$4+1-SUMPRODUCT(MAX((Оплаты!$D$6:$D$505=A399)*(Оплаты!$A$6:$A$505&gt;Оплаты!$A$391)*(Ввод!$B$4+1-Оплаты!$A$6:$A$505)))))</f>
        <v/>
      </c>
      <c r="E399" s="14" t="str">
        <f>IF(A399="","",INDEX(Акты!$D$5:$D$16,B399)-SUMIFS(Оплаты!$B$6:$B$505,Оплаты!$D$6:$D$505,A399,Оплаты!$A$6:$A$505,"&lt;="&amp;Оплаты!$A$391))</f>
        <v/>
      </c>
      <c r="F399" s="14" t="str">
        <f>IF(G399="","",SUMPRODUCT(ROUND(E399*'По дням'!$L$6:$L$155/100*((((D399+'По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дням'!$J$6:$J$155)))/2+1)/'По дням'!$M$6:$M$155,2)*(1-'По дням'!$N$6:$N$155)))</f>
        <v/>
      </c>
      <c r="G399" s="22" t="str">
        <f t="shared" si="6"/>
        <v/>
      </c>
      <c r="H399" s="14" t="str">
        <f>IF(G399="","",SUMIFS(Оплаты!$B$6:$B$505,Оплаты!$D$6:$D$505,A399,Оплаты!$A$6:$A$505,D399))</f>
        <v/>
      </c>
      <c r="I399" t="str">
        <f>IF(G399="","",SUMPRODUCT((((((D399+'По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дням'!$J$6:$J$155)))/2+1)&gt;0)*1))</f>
        <v/>
      </c>
    </row>
    <row r="400" spans="1:9" x14ac:dyDescent="0.3">
      <c r="A400" t="str">
        <f>IF(AND(Оплаты!$E$392="ок",COUNTIFS(Акты!$B$5:$B$16,Оплаты!$D$392,Акты!$H$5:$H$16,"ок")&gt;0,COUNTIFS(Оплаты!$D$6:$D$391,Оплаты!$D$392,Оплаты!$A$6:$A$391,Оплаты!$A$392)=0),Оплаты!$D$392,"")</f>
        <v/>
      </c>
      <c r="B400" t="str">
        <f>IF(A400="","",MATCH(A400,Акты!$B$5:$B$16,0))</f>
        <v/>
      </c>
      <c r="C400" s="21" t="str">
        <f>IF(A400="","",Оплаты!$A$392+1)</f>
        <v/>
      </c>
      <c r="D400" s="21" t="str">
        <f>IF(A400="","",MIN(Ввод!$B$4,Ввод!$B$4+1-SUMPRODUCT(MAX((Оплаты!$D$6:$D$505=A400)*(Оплаты!$A$6:$A$505&gt;Оплаты!$A$392)*(Ввод!$B$4+1-Оплаты!$A$6:$A$505)))))</f>
        <v/>
      </c>
      <c r="E400" s="14" t="str">
        <f>IF(A400="","",INDEX(Акты!$D$5:$D$16,B400)-SUMIFS(Оплаты!$B$6:$B$505,Оплаты!$D$6:$D$505,A400,Оплаты!$A$6:$A$505,"&lt;="&amp;Оплаты!$A$392))</f>
        <v/>
      </c>
      <c r="F400" s="14" t="str">
        <f>IF(G400="","",SUMPRODUCT(ROUND(E400*'По дням'!$L$6:$L$155/100*((((D400+'По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дням'!$J$6:$J$155)))/2+1)/'По дням'!$M$6:$M$155,2)*(1-'По дням'!$N$6:$N$155)))</f>
        <v/>
      </c>
      <c r="G400" s="22" t="str">
        <f t="shared" si="6"/>
        <v/>
      </c>
      <c r="H400" s="14" t="str">
        <f>IF(G400="","",SUMIFS(Оплаты!$B$6:$B$505,Оплаты!$D$6:$D$505,A400,Оплаты!$A$6:$A$505,D400))</f>
        <v/>
      </c>
      <c r="I400" t="str">
        <f>IF(G400="","",SUMPRODUCT((((((D400+'По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дням'!$J$6:$J$155)))/2+1)&gt;0)*1))</f>
        <v/>
      </c>
    </row>
    <row r="401" spans="1:9" x14ac:dyDescent="0.3">
      <c r="A401" t="str">
        <f>IF(AND(Оплаты!$E$393="ок",COUNTIFS(Акты!$B$5:$B$16,Оплаты!$D$393,Акты!$H$5:$H$16,"ок")&gt;0,COUNTIFS(Оплаты!$D$6:$D$392,Оплаты!$D$393,Оплаты!$A$6:$A$392,Оплаты!$A$393)=0),Оплаты!$D$393,"")</f>
        <v/>
      </c>
      <c r="B401" t="str">
        <f>IF(A401="","",MATCH(A401,Акты!$B$5:$B$16,0))</f>
        <v/>
      </c>
      <c r="C401" s="21" t="str">
        <f>IF(A401="","",Оплаты!$A$393+1)</f>
        <v/>
      </c>
      <c r="D401" s="21" t="str">
        <f>IF(A401="","",MIN(Ввод!$B$4,Ввод!$B$4+1-SUMPRODUCT(MAX((Оплаты!$D$6:$D$505=A401)*(Оплаты!$A$6:$A$505&gt;Оплаты!$A$393)*(Ввод!$B$4+1-Оплаты!$A$6:$A$505)))))</f>
        <v/>
      </c>
      <c r="E401" s="14" t="str">
        <f>IF(A401="","",INDEX(Акты!$D$5:$D$16,B401)-SUMIFS(Оплаты!$B$6:$B$505,Оплаты!$D$6:$D$505,A401,Оплаты!$A$6:$A$505,"&lt;="&amp;Оплаты!$A$393))</f>
        <v/>
      </c>
      <c r="F401" s="14" t="str">
        <f>IF(G401="","",SUMPRODUCT(ROUND(E401*'По дням'!$L$6:$L$155/100*((((D401+'По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дням'!$J$6:$J$155)))/2+1)/'По дням'!$M$6:$M$155,2)*(1-'По дням'!$N$6:$N$155)))</f>
        <v/>
      </c>
      <c r="G401" s="22" t="str">
        <f t="shared" si="6"/>
        <v/>
      </c>
      <c r="H401" s="14" t="str">
        <f>IF(G401="","",SUMIFS(Оплаты!$B$6:$B$505,Оплаты!$D$6:$D$505,A401,Оплаты!$A$6:$A$505,D401))</f>
        <v/>
      </c>
      <c r="I401" t="str">
        <f>IF(G401="","",SUMPRODUCT((((((D401+'По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дням'!$J$6:$J$155)))/2+1)&gt;0)*1))</f>
        <v/>
      </c>
    </row>
    <row r="402" spans="1:9" x14ac:dyDescent="0.3">
      <c r="A402" t="str">
        <f>IF(AND(Оплаты!$E$394="ок",COUNTIFS(Акты!$B$5:$B$16,Оплаты!$D$394,Акты!$H$5:$H$16,"ок")&gt;0,COUNTIFS(Оплаты!$D$6:$D$393,Оплаты!$D$394,Оплаты!$A$6:$A$393,Оплаты!$A$394)=0),Оплаты!$D$394,"")</f>
        <v/>
      </c>
      <c r="B402" t="str">
        <f>IF(A402="","",MATCH(A402,Акты!$B$5:$B$16,0))</f>
        <v/>
      </c>
      <c r="C402" s="21" t="str">
        <f>IF(A402="","",Оплаты!$A$394+1)</f>
        <v/>
      </c>
      <c r="D402" s="21" t="str">
        <f>IF(A402="","",MIN(Ввод!$B$4,Ввод!$B$4+1-SUMPRODUCT(MAX((Оплаты!$D$6:$D$505=A402)*(Оплаты!$A$6:$A$505&gt;Оплаты!$A$394)*(Ввод!$B$4+1-Оплаты!$A$6:$A$505)))))</f>
        <v/>
      </c>
      <c r="E402" s="14" t="str">
        <f>IF(A402="","",INDEX(Акты!$D$5:$D$16,B402)-SUMIFS(Оплаты!$B$6:$B$505,Оплаты!$D$6:$D$505,A402,Оплаты!$A$6:$A$505,"&lt;="&amp;Оплаты!$A$394))</f>
        <v/>
      </c>
      <c r="F402" s="14" t="str">
        <f>IF(G402="","",SUMPRODUCT(ROUND(E402*'По дням'!$L$6:$L$155/100*((((D402+'По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дням'!$J$6:$J$155)))/2+1)/'По дням'!$M$6:$M$155,2)*(1-'По дням'!$N$6:$N$155)))</f>
        <v/>
      </c>
      <c r="G402" s="22" t="str">
        <f t="shared" si="6"/>
        <v/>
      </c>
      <c r="H402" s="14" t="str">
        <f>IF(G402="","",SUMIFS(Оплаты!$B$6:$B$505,Оплаты!$D$6:$D$505,A402,Оплаты!$A$6:$A$505,D402))</f>
        <v/>
      </c>
      <c r="I402" t="str">
        <f>IF(G402="","",SUMPRODUCT((((((D402+'По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дням'!$J$6:$J$155)))/2+1)&gt;0)*1))</f>
        <v/>
      </c>
    </row>
    <row r="403" spans="1:9" x14ac:dyDescent="0.3">
      <c r="A403" t="str">
        <f>IF(AND(Оплаты!$E$395="ок",COUNTIFS(Акты!$B$5:$B$16,Оплаты!$D$395,Акты!$H$5:$H$16,"ок")&gt;0,COUNTIFS(Оплаты!$D$6:$D$394,Оплаты!$D$395,Оплаты!$A$6:$A$394,Оплаты!$A$395)=0),Оплаты!$D$395,"")</f>
        <v/>
      </c>
      <c r="B403" t="str">
        <f>IF(A403="","",MATCH(A403,Акты!$B$5:$B$16,0))</f>
        <v/>
      </c>
      <c r="C403" s="21" t="str">
        <f>IF(A403="","",Оплаты!$A$395+1)</f>
        <v/>
      </c>
      <c r="D403" s="21" t="str">
        <f>IF(A403="","",MIN(Ввод!$B$4,Ввод!$B$4+1-SUMPRODUCT(MAX((Оплаты!$D$6:$D$505=A403)*(Оплаты!$A$6:$A$505&gt;Оплаты!$A$395)*(Ввод!$B$4+1-Оплаты!$A$6:$A$505)))))</f>
        <v/>
      </c>
      <c r="E403" s="14" t="str">
        <f>IF(A403="","",INDEX(Акты!$D$5:$D$16,B403)-SUMIFS(Оплаты!$B$6:$B$505,Оплаты!$D$6:$D$505,A403,Оплаты!$A$6:$A$505,"&lt;="&amp;Оплаты!$A$395))</f>
        <v/>
      </c>
      <c r="F403" s="14" t="str">
        <f>IF(G403="","",SUMPRODUCT(ROUND(E403*'По дням'!$L$6:$L$155/100*((((D403+'По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дням'!$J$6:$J$155)))/2+1)/'По дням'!$M$6:$M$155,2)*(1-'По дням'!$N$6:$N$155)))</f>
        <v/>
      </c>
      <c r="G403" s="22" t="str">
        <f t="shared" si="6"/>
        <v/>
      </c>
      <c r="H403" s="14" t="str">
        <f>IF(G403="","",SUMIFS(Оплаты!$B$6:$B$505,Оплаты!$D$6:$D$505,A403,Оплаты!$A$6:$A$505,D403))</f>
        <v/>
      </c>
      <c r="I403" t="str">
        <f>IF(G403="","",SUMPRODUCT((((((D403+'По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дням'!$J$6:$J$155)))/2+1)&gt;0)*1))</f>
        <v/>
      </c>
    </row>
    <row r="404" spans="1:9" x14ac:dyDescent="0.3">
      <c r="A404" t="str">
        <f>IF(AND(Оплаты!$E$396="ок",COUNTIFS(Акты!$B$5:$B$16,Оплаты!$D$396,Акты!$H$5:$H$16,"ок")&gt;0,COUNTIFS(Оплаты!$D$6:$D$395,Оплаты!$D$396,Оплаты!$A$6:$A$395,Оплаты!$A$396)=0),Оплаты!$D$396,"")</f>
        <v/>
      </c>
      <c r="B404" t="str">
        <f>IF(A404="","",MATCH(A404,Акты!$B$5:$B$16,0))</f>
        <v/>
      </c>
      <c r="C404" s="21" t="str">
        <f>IF(A404="","",Оплаты!$A$396+1)</f>
        <v/>
      </c>
      <c r="D404" s="21" t="str">
        <f>IF(A404="","",MIN(Ввод!$B$4,Ввод!$B$4+1-SUMPRODUCT(MAX((Оплаты!$D$6:$D$505=A404)*(Оплаты!$A$6:$A$505&gt;Оплаты!$A$396)*(Ввод!$B$4+1-Оплаты!$A$6:$A$505)))))</f>
        <v/>
      </c>
      <c r="E404" s="14" t="str">
        <f>IF(A404="","",INDEX(Акты!$D$5:$D$16,B404)-SUMIFS(Оплаты!$B$6:$B$505,Оплаты!$D$6:$D$505,A404,Оплаты!$A$6:$A$505,"&lt;="&amp;Оплаты!$A$396))</f>
        <v/>
      </c>
      <c r="F404" s="14" t="str">
        <f>IF(G404="","",SUMPRODUCT(ROUND(E404*'По дням'!$L$6:$L$155/100*((((D404+'По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дням'!$J$6:$J$155)))/2+1)/'По дням'!$M$6:$M$155,2)*(1-'По дням'!$N$6:$N$155)))</f>
        <v/>
      </c>
      <c r="G404" s="22" t="str">
        <f t="shared" si="6"/>
        <v/>
      </c>
      <c r="H404" s="14" t="str">
        <f>IF(G404="","",SUMIFS(Оплаты!$B$6:$B$505,Оплаты!$D$6:$D$505,A404,Оплаты!$A$6:$A$505,D404))</f>
        <v/>
      </c>
      <c r="I404" t="str">
        <f>IF(G404="","",SUMPRODUCT((((((D404+'По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дням'!$J$6:$J$155)))/2+1)&gt;0)*1))</f>
        <v/>
      </c>
    </row>
    <row r="405" spans="1:9" x14ac:dyDescent="0.3">
      <c r="A405" t="str">
        <f>IF(AND(Оплаты!$E$397="ок",COUNTIFS(Акты!$B$5:$B$16,Оплаты!$D$397,Акты!$H$5:$H$16,"ок")&gt;0,COUNTIFS(Оплаты!$D$6:$D$396,Оплаты!$D$397,Оплаты!$A$6:$A$396,Оплаты!$A$397)=0),Оплаты!$D$397,"")</f>
        <v/>
      </c>
      <c r="B405" t="str">
        <f>IF(A405="","",MATCH(A405,Акты!$B$5:$B$16,0))</f>
        <v/>
      </c>
      <c r="C405" s="21" t="str">
        <f>IF(A405="","",Оплаты!$A$397+1)</f>
        <v/>
      </c>
      <c r="D405" s="21" t="str">
        <f>IF(A405="","",MIN(Ввод!$B$4,Ввод!$B$4+1-SUMPRODUCT(MAX((Оплаты!$D$6:$D$505=A405)*(Оплаты!$A$6:$A$505&gt;Оплаты!$A$397)*(Ввод!$B$4+1-Оплаты!$A$6:$A$505)))))</f>
        <v/>
      </c>
      <c r="E405" s="14" t="str">
        <f>IF(A405="","",INDEX(Акты!$D$5:$D$16,B405)-SUMIFS(Оплаты!$B$6:$B$505,Оплаты!$D$6:$D$505,A405,Оплаты!$A$6:$A$505,"&lt;="&amp;Оплаты!$A$397))</f>
        <v/>
      </c>
      <c r="F405" s="14" t="str">
        <f>IF(G405="","",SUMPRODUCT(ROUND(E405*'По дням'!$L$6:$L$155/100*((((D405+'По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дням'!$J$6:$J$155)))/2+1)/'По дням'!$M$6:$M$155,2)*(1-'По дням'!$N$6:$N$155)))</f>
        <v/>
      </c>
      <c r="G405" s="22" t="str">
        <f t="shared" si="6"/>
        <v/>
      </c>
      <c r="H405" s="14" t="str">
        <f>IF(G405="","",SUMIFS(Оплаты!$B$6:$B$505,Оплаты!$D$6:$D$505,A405,Оплаты!$A$6:$A$505,D405))</f>
        <v/>
      </c>
      <c r="I405" t="str">
        <f>IF(G405="","",SUMPRODUCT((((((D405+'По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дням'!$J$6:$J$155)))/2+1)&gt;0)*1))</f>
        <v/>
      </c>
    </row>
    <row r="406" spans="1:9" x14ac:dyDescent="0.3">
      <c r="A406" t="str">
        <f>IF(AND(Оплаты!$E$398="ок",COUNTIFS(Акты!$B$5:$B$16,Оплаты!$D$398,Акты!$H$5:$H$16,"ок")&gt;0,COUNTIFS(Оплаты!$D$6:$D$397,Оплаты!$D$398,Оплаты!$A$6:$A$397,Оплаты!$A$398)=0),Оплаты!$D$398,"")</f>
        <v/>
      </c>
      <c r="B406" t="str">
        <f>IF(A406="","",MATCH(A406,Акты!$B$5:$B$16,0))</f>
        <v/>
      </c>
      <c r="C406" s="21" t="str">
        <f>IF(A406="","",Оплаты!$A$398+1)</f>
        <v/>
      </c>
      <c r="D406" s="21" t="str">
        <f>IF(A406="","",MIN(Ввод!$B$4,Ввод!$B$4+1-SUMPRODUCT(MAX((Оплаты!$D$6:$D$505=A406)*(Оплаты!$A$6:$A$505&gt;Оплаты!$A$398)*(Ввод!$B$4+1-Оплаты!$A$6:$A$505)))))</f>
        <v/>
      </c>
      <c r="E406" s="14" t="str">
        <f>IF(A406="","",INDEX(Акты!$D$5:$D$16,B406)-SUMIFS(Оплаты!$B$6:$B$505,Оплаты!$D$6:$D$505,A406,Оплаты!$A$6:$A$505,"&lt;="&amp;Оплаты!$A$398))</f>
        <v/>
      </c>
      <c r="F406" s="14" t="str">
        <f>IF(G406="","",SUMPRODUCT(ROUND(E406*'По дням'!$L$6:$L$155/100*((((D406+'По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дням'!$J$6:$J$155)))/2+1)/'По дням'!$M$6:$M$155,2)*(1-'По дням'!$N$6:$N$155)))</f>
        <v/>
      </c>
      <c r="G406" s="22" t="str">
        <f t="shared" si="6"/>
        <v/>
      </c>
      <c r="H406" s="14" t="str">
        <f>IF(G406="","",SUMIFS(Оплаты!$B$6:$B$505,Оплаты!$D$6:$D$505,A406,Оплаты!$A$6:$A$505,D406))</f>
        <v/>
      </c>
      <c r="I406" t="str">
        <f>IF(G406="","",SUMPRODUCT((((((D406+'По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дням'!$J$6:$J$155)))/2+1)&gt;0)*1))</f>
        <v/>
      </c>
    </row>
    <row r="407" spans="1:9" x14ac:dyDescent="0.3">
      <c r="A407" t="str">
        <f>IF(AND(Оплаты!$E$399="ок",COUNTIFS(Акты!$B$5:$B$16,Оплаты!$D$399,Акты!$H$5:$H$16,"ок")&gt;0,COUNTIFS(Оплаты!$D$6:$D$398,Оплаты!$D$399,Оплаты!$A$6:$A$398,Оплаты!$A$399)=0),Оплаты!$D$399,"")</f>
        <v/>
      </c>
      <c r="B407" t="str">
        <f>IF(A407="","",MATCH(A407,Акты!$B$5:$B$16,0))</f>
        <v/>
      </c>
      <c r="C407" s="21" t="str">
        <f>IF(A407="","",Оплаты!$A$399+1)</f>
        <v/>
      </c>
      <c r="D407" s="21" t="str">
        <f>IF(A407="","",MIN(Ввод!$B$4,Ввод!$B$4+1-SUMPRODUCT(MAX((Оплаты!$D$6:$D$505=A407)*(Оплаты!$A$6:$A$505&gt;Оплаты!$A$399)*(Ввод!$B$4+1-Оплаты!$A$6:$A$505)))))</f>
        <v/>
      </c>
      <c r="E407" s="14" t="str">
        <f>IF(A407="","",INDEX(Акты!$D$5:$D$16,B407)-SUMIFS(Оплаты!$B$6:$B$505,Оплаты!$D$6:$D$505,A407,Оплаты!$A$6:$A$505,"&lt;="&amp;Оплаты!$A$399))</f>
        <v/>
      </c>
      <c r="F407" s="14" t="str">
        <f>IF(G407="","",SUMPRODUCT(ROUND(E407*'По дням'!$L$6:$L$155/100*((((D407+'По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дням'!$J$6:$J$155)))/2+1)/'По дням'!$M$6:$M$155,2)*(1-'По дням'!$N$6:$N$155)))</f>
        <v/>
      </c>
      <c r="G407" s="22" t="str">
        <f t="shared" si="6"/>
        <v/>
      </c>
      <c r="H407" s="14" t="str">
        <f>IF(G407="","",SUMIFS(Оплаты!$B$6:$B$505,Оплаты!$D$6:$D$505,A407,Оплаты!$A$6:$A$505,D407))</f>
        <v/>
      </c>
      <c r="I407" t="str">
        <f>IF(G407="","",SUMPRODUCT((((((D407+'По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дням'!$J$6:$J$155)))/2+1)&gt;0)*1))</f>
        <v/>
      </c>
    </row>
    <row r="408" spans="1:9" x14ac:dyDescent="0.3">
      <c r="A408" t="str">
        <f>IF(AND(Оплаты!$E$400="ок",COUNTIFS(Акты!$B$5:$B$16,Оплаты!$D$400,Акты!$H$5:$H$16,"ок")&gt;0,COUNTIFS(Оплаты!$D$6:$D$399,Оплаты!$D$400,Оплаты!$A$6:$A$399,Оплаты!$A$400)=0),Оплаты!$D$400,"")</f>
        <v/>
      </c>
      <c r="B408" t="str">
        <f>IF(A408="","",MATCH(A408,Акты!$B$5:$B$16,0))</f>
        <v/>
      </c>
      <c r="C408" s="21" t="str">
        <f>IF(A408="","",Оплаты!$A$400+1)</f>
        <v/>
      </c>
      <c r="D408" s="21" t="str">
        <f>IF(A408="","",MIN(Ввод!$B$4,Ввод!$B$4+1-SUMPRODUCT(MAX((Оплаты!$D$6:$D$505=A408)*(Оплаты!$A$6:$A$505&gt;Оплаты!$A$400)*(Ввод!$B$4+1-Оплаты!$A$6:$A$505)))))</f>
        <v/>
      </c>
      <c r="E408" s="14" t="str">
        <f>IF(A408="","",INDEX(Акты!$D$5:$D$16,B408)-SUMIFS(Оплаты!$B$6:$B$505,Оплаты!$D$6:$D$505,A408,Оплаты!$A$6:$A$505,"&lt;="&amp;Оплаты!$A$400))</f>
        <v/>
      </c>
      <c r="F408" s="14" t="str">
        <f>IF(G408="","",SUMPRODUCT(ROUND(E408*'По дням'!$L$6:$L$155/100*((((D408+'По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дням'!$J$6:$J$155)))/2+1)/'По дням'!$M$6:$M$155,2)*(1-'По дням'!$N$6:$N$155)))</f>
        <v/>
      </c>
      <c r="G408" s="22" t="str">
        <f t="shared" si="6"/>
        <v/>
      </c>
      <c r="H408" s="14" t="str">
        <f>IF(G408="","",SUMIFS(Оплаты!$B$6:$B$505,Оплаты!$D$6:$D$505,A408,Оплаты!$A$6:$A$505,D408))</f>
        <v/>
      </c>
      <c r="I408" t="str">
        <f>IF(G408="","",SUMPRODUCT((((((D408+'По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дням'!$J$6:$J$155)))/2+1)&gt;0)*1))</f>
        <v/>
      </c>
    </row>
    <row r="409" spans="1:9" x14ac:dyDescent="0.3">
      <c r="A409" t="str">
        <f>IF(AND(Оплаты!$E$401="ок",COUNTIFS(Акты!$B$5:$B$16,Оплаты!$D$401,Акты!$H$5:$H$16,"ок")&gt;0,COUNTIFS(Оплаты!$D$6:$D$400,Оплаты!$D$401,Оплаты!$A$6:$A$400,Оплаты!$A$401)=0),Оплаты!$D$401,"")</f>
        <v/>
      </c>
      <c r="B409" t="str">
        <f>IF(A409="","",MATCH(A409,Акты!$B$5:$B$16,0))</f>
        <v/>
      </c>
      <c r="C409" s="21" t="str">
        <f>IF(A409="","",Оплаты!$A$401+1)</f>
        <v/>
      </c>
      <c r="D409" s="21" t="str">
        <f>IF(A409="","",MIN(Ввод!$B$4,Ввод!$B$4+1-SUMPRODUCT(MAX((Оплаты!$D$6:$D$505=A409)*(Оплаты!$A$6:$A$505&gt;Оплаты!$A$401)*(Ввод!$B$4+1-Оплаты!$A$6:$A$505)))))</f>
        <v/>
      </c>
      <c r="E409" s="14" t="str">
        <f>IF(A409="","",INDEX(Акты!$D$5:$D$16,B409)-SUMIFS(Оплаты!$B$6:$B$505,Оплаты!$D$6:$D$505,A409,Оплаты!$A$6:$A$505,"&lt;="&amp;Оплаты!$A$401))</f>
        <v/>
      </c>
      <c r="F409" s="14" t="str">
        <f>IF(G409="","",SUMPRODUCT(ROUND(E409*'По дням'!$L$6:$L$155/100*((((D409+'По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дням'!$J$6:$J$155)))/2+1)/'По дням'!$M$6:$M$155,2)*(1-'По дням'!$N$6:$N$155)))</f>
        <v/>
      </c>
      <c r="G409" s="22" t="str">
        <f t="shared" si="6"/>
        <v/>
      </c>
      <c r="H409" s="14" t="str">
        <f>IF(G409="","",SUMIFS(Оплаты!$B$6:$B$505,Оплаты!$D$6:$D$505,A409,Оплаты!$A$6:$A$505,D409))</f>
        <v/>
      </c>
      <c r="I409" t="str">
        <f>IF(G409="","",SUMPRODUCT((((((D409+'По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дням'!$J$6:$J$155)))/2+1)&gt;0)*1))</f>
        <v/>
      </c>
    </row>
    <row r="410" spans="1:9" x14ac:dyDescent="0.3">
      <c r="A410" t="str">
        <f>IF(AND(Оплаты!$E$402="ок",COUNTIFS(Акты!$B$5:$B$16,Оплаты!$D$402,Акты!$H$5:$H$16,"ок")&gt;0,COUNTIFS(Оплаты!$D$6:$D$401,Оплаты!$D$402,Оплаты!$A$6:$A$401,Оплаты!$A$402)=0),Оплаты!$D$402,"")</f>
        <v/>
      </c>
      <c r="B410" t="str">
        <f>IF(A410="","",MATCH(A410,Акты!$B$5:$B$16,0))</f>
        <v/>
      </c>
      <c r="C410" s="21" t="str">
        <f>IF(A410="","",Оплаты!$A$402+1)</f>
        <v/>
      </c>
      <c r="D410" s="21" t="str">
        <f>IF(A410="","",MIN(Ввод!$B$4,Ввод!$B$4+1-SUMPRODUCT(MAX((Оплаты!$D$6:$D$505=A410)*(Оплаты!$A$6:$A$505&gt;Оплаты!$A$402)*(Ввод!$B$4+1-Оплаты!$A$6:$A$505)))))</f>
        <v/>
      </c>
      <c r="E410" s="14" t="str">
        <f>IF(A410="","",INDEX(Акты!$D$5:$D$16,B410)-SUMIFS(Оплаты!$B$6:$B$505,Оплаты!$D$6:$D$505,A410,Оплаты!$A$6:$A$505,"&lt;="&amp;Оплаты!$A$402))</f>
        <v/>
      </c>
      <c r="F410" s="14" t="str">
        <f>IF(G410="","",SUMPRODUCT(ROUND(E410*'По дням'!$L$6:$L$155/100*((((D410+'По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дням'!$J$6:$J$155)))/2+1)/'По дням'!$M$6:$M$155,2)*(1-'По дням'!$N$6:$N$155)))</f>
        <v/>
      </c>
      <c r="G410" s="22" t="str">
        <f t="shared" si="6"/>
        <v/>
      </c>
      <c r="H410" s="14" t="str">
        <f>IF(G410="","",SUMIFS(Оплаты!$B$6:$B$505,Оплаты!$D$6:$D$505,A410,Оплаты!$A$6:$A$505,D410))</f>
        <v/>
      </c>
      <c r="I410" t="str">
        <f>IF(G410="","",SUMPRODUCT((((((D410+'По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дням'!$J$6:$J$155)))/2+1)&gt;0)*1))</f>
        <v/>
      </c>
    </row>
    <row r="411" spans="1:9" x14ac:dyDescent="0.3">
      <c r="A411" t="str">
        <f>IF(AND(Оплаты!$E$403="ок",COUNTIFS(Акты!$B$5:$B$16,Оплаты!$D$403,Акты!$H$5:$H$16,"ок")&gt;0,COUNTIFS(Оплаты!$D$6:$D$402,Оплаты!$D$403,Оплаты!$A$6:$A$402,Оплаты!$A$403)=0),Оплаты!$D$403,"")</f>
        <v/>
      </c>
      <c r="B411" t="str">
        <f>IF(A411="","",MATCH(A411,Акты!$B$5:$B$16,0))</f>
        <v/>
      </c>
      <c r="C411" s="21" t="str">
        <f>IF(A411="","",Оплаты!$A$403+1)</f>
        <v/>
      </c>
      <c r="D411" s="21" t="str">
        <f>IF(A411="","",MIN(Ввод!$B$4,Ввод!$B$4+1-SUMPRODUCT(MAX((Оплаты!$D$6:$D$505=A411)*(Оплаты!$A$6:$A$505&gt;Оплаты!$A$403)*(Ввод!$B$4+1-Оплаты!$A$6:$A$505)))))</f>
        <v/>
      </c>
      <c r="E411" s="14" t="str">
        <f>IF(A411="","",INDEX(Акты!$D$5:$D$16,B411)-SUMIFS(Оплаты!$B$6:$B$505,Оплаты!$D$6:$D$505,A411,Оплаты!$A$6:$A$505,"&lt;="&amp;Оплаты!$A$403))</f>
        <v/>
      </c>
      <c r="F411" s="14" t="str">
        <f>IF(G411="","",SUMPRODUCT(ROUND(E411*'По дням'!$L$6:$L$155/100*((((D411+'По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дням'!$J$6:$J$155)))/2+1)/'По дням'!$M$6:$M$155,2)*(1-'По дням'!$N$6:$N$155)))</f>
        <v/>
      </c>
      <c r="G411" s="22" t="str">
        <f t="shared" si="6"/>
        <v/>
      </c>
      <c r="H411" s="14" t="str">
        <f>IF(G411="","",SUMIFS(Оплаты!$B$6:$B$505,Оплаты!$D$6:$D$505,A411,Оплаты!$A$6:$A$505,D411))</f>
        <v/>
      </c>
      <c r="I411" t="str">
        <f>IF(G411="","",SUMPRODUCT((((((D411+'По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дням'!$J$6:$J$155)))/2+1)&gt;0)*1))</f>
        <v/>
      </c>
    </row>
    <row r="412" spans="1:9" x14ac:dyDescent="0.3">
      <c r="A412" t="str">
        <f>IF(AND(Оплаты!$E$404="ок",COUNTIFS(Акты!$B$5:$B$16,Оплаты!$D$404,Акты!$H$5:$H$16,"ок")&gt;0,COUNTIFS(Оплаты!$D$6:$D$403,Оплаты!$D$404,Оплаты!$A$6:$A$403,Оплаты!$A$404)=0),Оплаты!$D$404,"")</f>
        <v/>
      </c>
      <c r="B412" t="str">
        <f>IF(A412="","",MATCH(A412,Акты!$B$5:$B$16,0))</f>
        <v/>
      </c>
      <c r="C412" s="21" t="str">
        <f>IF(A412="","",Оплаты!$A$404+1)</f>
        <v/>
      </c>
      <c r="D412" s="21" t="str">
        <f>IF(A412="","",MIN(Ввод!$B$4,Ввод!$B$4+1-SUMPRODUCT(MAX((Оплаты!$D$6:$D$505=A412)*(Оплаты!$A$6:$A$505&gt;Оплаты!$A$404)*(Ввод!$B$4+1-Оплаты!$A$6:$A$505)))))</f>
        <v/>
      </c>
      <c r="E412" s="14" t="str">
        <f>IF(A412="","",INDEX(Акты!$D$5:$D$16,B412)-SUMIFS(Оплаты!$B$6:$B$505,Оплаты!$D$6:$D$505,A412,Оплаты!$A$6:$A$505,"&lt;="&amp;Оплаты!$A$404))</f>
        <v/>
      </c>
      <c r="F412" s="14" t="str">
        <f>IF(G412="","",SUMPRODUCT(ROUND(E412*'По дням'!$L$6:$L$155/100*((((D412+'По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дням'!$J$6:$J$155)))/2+1)/'По дням'!$M$6:$M$155,2)*(1-'По дням'!$N$6:$N$155)))</f>
        <v/>
      </c>
      <c r="G412" s="22" t="str">
        <f t="shared" si="6"/>
        <v/>
      </c>
      <c r="H412" s="14" t="str">
        <f>IF(G412="","",SUMIFS(Оплаты!$B$6:$B$505,Оплаты!$D$6:$D$505,A412,Оплаты!$A$6:$A$505,D412))</f>
        <v/>
      </c>
      <c r="I412" t="str">
        <f>IF(G412="","",SUMPRODUCT((((((D412+'По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дням'!$J$6:$J$155)))/2+1)&gt;0)*1))</f>
        <v/>
      </c>
    </row>
    <row r="413" spans="1:9" x14ac:dyDescent="0.3">
      <c r="A413" t="str">
        <f>IF(AND(Оплаты!$E$405="ок",COUNTIFS(Акты!$B$5:$B$16,Оплаты!$D$405,Акты!$H$5:$H$16,"ок")&gt;0,COUNTIFS(Оплаты!$D$6:$D$404,Оплаты!$D$405,Оплаты!$A$6:$A$404,Оплаты!$A$405)=0),Оплаты!$D$405,"")</f>
        <v/>
      </c>
      <c r="B413" t="str">
        <f>IF(A413="","",MATCH(A413,Акты!$B$5:$B$16,0))</f>
        <v/>
      </c>
      <c r="C413" s="21" t="str">
        <f>IF(A413="","",Оплаты!$A$405+1)</f>
        <v/>
      </c>
      <c r="D413" s="21" t="str">
        <f>IF(A413="","",MIN(Ввод!$B$4,Ввод!$B$4+1-SUMPRODUCT(MAX((Оплаты!$D$6:$D$505=A413)*(Оплаты!$A$6:$A$505&gt;Оплаты!$A$405)*(Ввод!$B$4+1-Оплаты!$A$6:$A$505)))))</f>
        <v/>
      </c>
      <c r="E413" s="14" t="str">
        <f>IF(A413="","",INDEX(Акты!$D$5:$D$16,B413)-SUMIFS(Оплаты!$B$6:$B$505,Оплаты!$D$6:$D$505,A413,Оплаты!$A$6:$A$505,"&lt;="&amp;Оплаты!$A$405))</f>
        <v/>
      </c>
      <c r="F413" s="14" t="str">
        <f>IF(G413="","",SUMPRODUCT(ROUND(E413*'По дням'!$L$6:$L$155/100*((((D413+'По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дням'!$J$6:$J$155)))/2+1)/'По дням'!$M$6:$M$155,2)*(1-'По дням'!$N$6:$N$155)))</f>
        <v/>
      </c>
      <c r="G413" s="22" t="str">
        <f t="shared" si="6"/>
        <v/>
      </c>
      <c r="H413" s="14" t="str">
        <f>IF(G413="","",SUMIFS(Оплаты!$B$6:$B$505,Оплаты!$D$6:$D$505,A413,Оплаты!$A$6:$A$505,D413))</f>
        <v/>
      </c>
      <c r="I413" t="str">
        <f>IF(G413="","",SUMPRODUCT((((((D413+'По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дням'!$J$6:$J$155)))/2+1)&gt;0)*1))</f>
        <v/>
      </c>
    </row>
    <row r="414" spans="1:9" x14ac:dyDescent="0.3">
      <c r="A414" t="str">
        <f>IF(AND(Оплаты!$E$406="ок",COUNTIFS(Акты!$B$5:$B$16,Оплаты!$D$406,Акты!$H$5:$H$16,"ок")&gt;0,COUNTIFS(Оплаты!$D$6:$D$405,Оплаты!$D$406,Оплаты!$A$6:$A$405,Оплаты!$A$406)=0),Оплаты!$D$406,"")</f>
        <v/>
      </c>
      <c r="B414" t="str">
        <f>IF(A414="","",MATCH(A414,Акты!$B$5:$B$16,0))</f>
        <v/>
      </c>
      <c r="C414" s="21" t="str">
        <f>IF(A414="","",Оплаты!$A$406+1)</f>
        <v/>
      </c>
      <c r="D414" s="21" t="str">
        <f>IF(A414="","",MIN(Ввод!$B$4,Ввод!$B$4+1-SUMPRODUCT(MAX((Оплаты!$D$6:$D$505=A414)*(Оплаты!$A$6:$A$505&gt;Оплаты!$A$406)*(Ввод!$B$4+1-Оплаты!$A$6:$A$505)))))</f>
        <v/>
      </c>
      <c r="E414" s="14" t="str">
        <f>IF(A414="","",INDEX(Акты!$D$5:$D$16,B414)-SUMIFS(Оплаты!$B$6:$B$505,Оплаты!$D$6:$D$505,A414,Оплаты!$A$6:$A$505,"&lt;="&amp;Оплаты!$A$406))</f>
        <v/>
      </c>
      <c r="F414" s="14" t="str">
        <f>IF(G414="","",SUMPRODUCT(ROUND(E414*'По дням'!$L$6:$L$155/100*((((D414+'По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дням'!$J$6:$J$155)))/2+1)/'По дням'!$M$6:$M$155,2)*(1-'По дням'!$N$6:$N$155)))</f>
        <v/>
      </c>
      <c r="G414" s="22" t="str">
        <f t="shared" si="6"/>
        <v/>
      </c>
      <c r="H414" s="14" t="str">
        <f>IF(G414="","",SUMIFS(Оплаты!$B$6:$B$505,Оплаты!$D$6:$D$505,A414,Оплаты!$A$6:$A$505,D414))</f>
        <v/>
      </c>
      <c r="I414" t="str">
        <f>IF(G414="","",SUMPRODUCT((((((D414+'По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дням'!$J$6:$J$155)))/2+1)&gt;0)*1))</f>
        <v/>
      </c>
    </row>
    <row r="415" spans="1:9" x14ac:dyDescent="0.3">
      <c r="A415" t="str">
        <f>IF(AND(Оплаты!$E$407="ок",COUNTIFS(Акты!$B$5:$B$16,Оплаты!$D$407,Акты!$H$5:$H$16,"ок")&gt;0,COUNTIFS(Оплаты!$D$6:$D$406,Оплаты!$D$407,Оплаты!$A$6:$A$406,Оплаты!$A$407)=0),Оплаты!$D$407,"")</f>
        <v/>
      </c>
      <c r="B415" t="str">
        <f>IF(A415="","",MATCH(A415,Акты!$B$5:$B$16,0))</f>
        <v/>
      </c>
      <c r="C415" s="21" t="str">
        <f>IF(A415="","",Оплаты!$A$407+1)</f>
        <v/>
      </c>
      <c r="D415" s="21" t="str">
        <f>IF(A415="","",MIN(Ввод!$B$4,Ввод!$B$4+1-SUMPRODUCT(MAX((Оплаты!$D$6:$D$505=A415)*(Оплаты!$A$6:$A$505&gt;Оплаты!$A$407)*(Ввод!$B$4+1-Оплаты!$A$6:$A$505)))))</f>
        <v/>
      </c>
      <c r="E415" s="14" t="str">
        <f>IF(A415="","",INDEX(Акты!$D$5:$D$16,B415)-SUMIFS(Оплаты!$B$6:$B$505,Оплаты!$D$6:$D$505,A415,Оплаты!$A$6:$A$505,"&lt;="&amp;Оплаты!$A$407))</f>
        <v/>
      </c>
      <c r="F415" s="14" t="str">
        <f>IF(G415="","",SUMPRODUCT(ROUND(E415*'По дням'!$L$6:$L$155/100*((((D415+'По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дням'!$J$6:$J$155)))/2+1)/'По дням'!$M$6:$M$155,2)*(1-'По дням'!$N$6:$N$155)))</f>
        <v/>
      </c>
      <c r="G415" s="22" t="str">
        <f t="shared" si="6"/>
        <v/>
      </c>
      <c r="H415" s="14" t="str">
        <f>IF(G415="","",SUMIFS(Оплаты!$B$6:$B$505,Оплаты!$D$6:$D$505,A415,Оплаты!$A$6:$A$505,D415))</f>
        <v/>
      </c>
      <c r="I415" t="str">
        <f>IF(G415="","",SUMPRODUCT((((((D415+'По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дням'!$J$6:$J$155)))/2+1)&gt;0)*1))</f>
        <v/>
      </c>
    </row>
    <row r="416" spans="1:9" x14ac:dyDescent="0.3">
      <c r="A416" t="str">
        <f>IF(AND(Оплаты!$E$408="ок",COUNTIFS(Акты!$B$5:$B$16,Оплаты!$D$408,Акты!$H$5:$H$16,"ок")&gt;0,COUNTIFS(Оплаты!$D$6:$D$407,Оплаты!$D$408,Оплаты!$A$6:$A$407,Оплаты!$A$408)=0),Оплаты!$D$408,"")</f>
        <v/>
      </c>
      <c r="B416" t="str">
        <f>IF(A416="","",MATCH(A416,Акты!$B$5:$B$16,0))</f>
        <v/>
      </c>
      <c r="C416" s="21" t="str">
        <f>IF(A416="","",Оплаты!$A$408+1)</f>
        <v/>
      </c>
      <c r="D416" s="21" t="str">
        <f>IF(A416="","",MIN(Ввод!$B$4,Ввод!$B$4+1-SUMPRODUCT(MAX((Оплаты!$D$6:$D$505=A416)*(Оплаты!$A$6:$A$505&gt;Оплаты!$A$408)*(Ввод!$B$4+1-Оплаты!$A$6:$A$505)))))</f>
        <v/>
      </c>
      <c r="E416" s="14" t="str">
        <f>IF(A416="","",INDEX(Акты!$D$5:$D$16,B416)-SUMIFS(Оплаты!$B$6:$B$505,Оплаты!$D$6:$D$505,A416,Оплаты!$A$6:$A$505,"&lt;="&amp;Оплаты!$A$408))</f>
        <v/>
      </c>
      <c r="F416" s="14" t="str">
        <f>IF(G416="","",SUMPRODUCT(ROUND(E416*'По дням'!$L$6:$L$155/100*((((D416+'По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дням'!$J$6:$J$155)))/2+1)/'По дням'!$M$6:$M$155,2)*(1-'По дням'!$N$6:$N$155)))</f>
        <v/>
      </c>
      <c r="G416" s="22" t="str">
        <f t="shared" si="6"/>
        <v/>
      </c>
      <c r="H416" s="14" t="str">
        <f>IF(G416="","",SUMIFS(Оплаты!$B$6:$B$505,Оплаты!$D$6:$D$505,A416,Оплаты!$A$6:$A$505,D416))</f>
        <v/>
      </c>
      <c r="I416" t="str">
        <f>IF(G416="","",SUMPRODUCT((((((D416+'По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дням'!$J$6:$J$155)))/2+1)&gt;0)*1))</f>
        <v/>
      </c>
    </row>
    <row r="417" spans="1:9" x14ac:dyDescent="0.3">
      <c r="A417" t="str">
        <f>IF(AND(Оплаты!$E$409="ок",COUNTIFS(Акты!$B$5:$B$16,Оплаты!$D$409,Акты!$H$5:$H$16,"ок")&gt;0,COUNTIFS(Оплаты!$D$6:$D$408,Оплаты!$D$409,Оплаты!$A$6:$A$408,Оплаты!$A$409)=0),Оплаты!$D$409,"")</f>
        <v/>
      </c>
      <c r="B417" t="str">
        <f>IF(A417="","",MATCH(A417,Акты!$B$5:$B$16,0))</f>
        <v/>
      </c>
      <c r="C417" s="21" t="str">
        <f>IF(A417="","",Оплаты!$A$409+1)</f>
        <v/>
      </c>
      <c r="D417" s="21" t="str">
        <f>IF(A417="","",MIN(Ввод!$B$4,Ввод!$B$4+1-SUMPRODUCT(MAX((Оплаты!$D$6:$D$505=A417)*(Оплаты!$A$6:$A$505&gt;Оплаты!$A$409)*(Ввод!$B$4+1-Оплаты!$A$6:$A$505)))))</f>
        <v/>
      </c>
      <c r="E417" s="14" t="str">
        <f>IF(A417="","",INDEX(Акты!$D$5:$D$16,B417)-SUMIFS(Оплаты!$B$6:$B$505,Оплаты!$D$6:$D$505,A417,Оплаты!$A$6:$A$505,"&lt;="&amp;Оплаты!$A$409))</f>
        <v/>
      </c>
      <c r="F417" s="14" t="str">
        <f>IF(G417="","",SUMPRODUCT(ROUND(E417*'По дням'!$L$6:$L$155/100*((((D417+'По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дням'!$J$6:$J$155)))/2+1)/'По дням'!$M$6:$M$155,2)*(1-'По дням'!$N$6:$N$155)))</f>
        <v/>
      </c>
      <c r="G417" s="22" t="str">
        <f t="shared" si="6"/>
        <v/>
      </c>
      <c r="H417" s="14" t="str">
        <f>IF(G417="","",SUMIFS(Оплаты!$B$6:$B$505,Оплаты!$D$6:$D$505,A417,Оплаты!$A$6:$A$505,D417))</f>
        <v/>
      </c>
      <c r="I417" t="str">
        <f>IF(G417="","",SUMPRODUCT((((((D417+'По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дням'!$J$6:$J$155)))/2+1)&gt;0)*1))</f>
        <v/>
      </c>
    </row>
    <row r="418" spans="1:9" x14ac:dyDescent="0.3">
      <c r="A418" t="str">
        <f>IF(AND(Оплаты!$E$410="ок",COUNTIFS(Акты!$B$5:$B$16,Оплаты!$D$410,Акты!$H$5:$H$16,"ок")&gt;0,COUNTIFS(Оплаты!$D$6:$D$409,Оплаты!$D$410,Оплаты!$A$6:$A$409,Оплаты!$A$410)=0),Оплаты!$D$410,"")</f>
        <v/>
      </c>
      <c r="B418" t="str">
        <f>IF(A418="","",MATCH(A418,Акты!$B$5:$B$16,0))</f>
        <v/>
      </c>
      <c r="C418" s="21" t="str">
        <f>IF(A418="","",Оплаты!$A$410+1)</f>
        <v/>
      </c>
      <c r="D418" s="21" t="str">
        <f>IF(A418="","",MIN(Ввод!$B$4,Ввод!$B$4+1-SUMPRODUCT(MAX((Оплаты!$D$6:$D$505=A418)*(Оплаты!$A$6:$A$505&gt;Оплаты!$A$410)*(Ввод!$B$4+1-Оплаты!$A$6:$A$505)))))</f>
        <v/>
      </c>
      <c r="E418" s="14" t="str">
        <f>IF(A418="","",INDEX(Акты!$D$5:$D$16,B418)-SUMIFS(Оплаты!$B$6:$B$505,Оплаты!$D$6:$D$505,A418,Оплаты!$A$6:$A$505,"&lt;="&amp;Оплаты!$A$410))</f>
        <v/>
      </c>
      <c r="F418" s="14" t="str">
        <f>IF(G418="","",SUMPRODUCT(ROUND(E418*'По дням'!$L$6:$L$155/100*((((D418+'По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дням'!$J$6:$J$155)))/2+1)/'По дням'!$M$6:$M$155,2)*(1-'По дням'!$N$6:$N$155)))</f>
        <v/>
      </c>
      <c r="G418" s="22" t="str">
        <f t="shared" si="6"/>
        <v/>
      </c>
      <c r="H418" s="14" t="str">
        <f>IF(G418="","",SUMIFS(Оплаты!$B$6:$B$505,Оплаты!$D$6:$D$505,A418,Оплаты!$A$6:$A$505,D418))</f>
        <v/>
      </c>
      <c r="I418" t="str">
        <f>IF(G418="","",SUMPRODUCT((((((D418+'По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дням'!$J$6:$J$155)))/2+1)&gt;0)*1))</f>
        <v/>
      </c>
    </row>
    <row r="419" spans="1:9" x14ac:dyDescent="0.3">
      <c r="A419" t="str">
        <f>IF(AND(Оплаты!$E$411="ок",COUNTIFS(Акты!$B$5:$B$16,Оплаты!$D$411,Акты!$H$5:$H$16,"ок")&gt;0,COUNTIFS(Оплаты!$D$6:$D$410,Оплаты!$D$411,Оплаты!$A$6:$A$410,Оплаты!$A$411)=0),Оплаты!$D$411,"")</f>
        <v/>
      </c>
      <c r="B419" t="str">
        <f>IF(A419="","",MATCH(A419,Акты!$B$5:$B$16,0))</f>
        <v/>
      </c>
      <c r="C419" s="21" t="str">
        <f>IF(A419="","",Оплаты!$A$411+1)</f>
        <v/>
      </c>
      <c r="D419" s="21" t="str">
        <f>IF(A419="","",MIN(Ввод!$B$4,Ввод!$B$4+1-SUMPRODUCT(MAX((Оплаты!$D$6:$D$505=A419)*(Оплаты!$A$6:$A$505&gt;Оплаты!$A$411)*(Ввод!$B$4+1-Оплаты!$A$6:$A$505)))))</f>
        <v/>
      </c>
      <c r="E419" s="14" t="str">
        <f>IF(A419="","",INDEX(Акты!$D$5:$D$16,B419)-SUMIFS(Оплаты!$B$6:$B$505,Оплаты!$D$6:$D$505,A419,Оплаты!$A$6:$A$505,"&lt;="&amp;Оплаты!$A$411))</f>
        <v/>
      </c>
      <c r="F419" s="14" t="str">
        <f>IF(G419="","",SUMPRODUCT(ROUND(E419*'По дням'!$L$6:$L$155/100*((((D419+'По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дням'!$J$6:$J$155)))/2+1)/'По дням'!$M$6:$M$155,2)*(1-'По дням'!$N$6:$N$155)))</f>
        <v/>
      </c>
      <c r="G419" s="22" t="str">
        <f t="shared" si="6"/>
        <v/>
      </c>
      <c r="H419" s="14" t="str">
        <f>IF(G419="","",SUMIFS(Оплаты!$B$6:$B$505,Оплаты!$D$6:$D$505,A419,Оплаты!$A$6:$A$505,D419))</f>
        <v/>
      </c>
      <c r="I419" t="str">
        <f>IF(G419="","",SUMPRODUCT((((((D419+'По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дням'!$J$6:$J$155)))/2+1)&gt;0)*1))</f>
        <v/>
      </c>
    </row>
    <row r="420" spans="1:9" x14ac:dyDescent="0.3">
      <c r="A420" t="str">
        <f>IF(AND(Оплаты!$E$412="ок",COUNTIFS(Акты!$B$5:$B$16,Оплаты!$D$412,Акты!$H$5:$H$16,"ок")&gt;0,COUNTIFS(Оплаты!$D$6:$D$411,Оплаты!$D$412,Оплаты!$A$6:$A$411,Оплаты!$A$412)=0),Оплаты!$D$412,"")</f>
        <v/>
      </c>
      <c r="B420" t="str">
        <f>IF(A420="","",MATCH(A420,Акты!$B$5:$B$16,0))</f>
        <v/>
      </c>
      <c r="C420" s="21" t="str">
        <f>IF(A420="","",Оплаты!$A$412+1)</f>
        <v/>
      </c>
      <c r="D420" s="21" t="str">
        <f>IF(A420="","",MIN(Ввод!$B$4,Ввод!$B$4+1-SUMPRODUCT(MAX((Оплаты!$D$6:$D$505=A420)*(Оплаты!$A$6:$A$505&gt;Оплаты!$A$412)*(Ввод!$B$4+1-Оплаты!$A$6:$A$505)))))</f>
        <v/>
      </c>
      <c r="E420" s="14" t="str">
        <f>IF(A420="","",INDEX(Акты!$D$5:$D$16,B420)-SUMIFS(Оплаты!$B$6:$B$505,Оплаты!$D$6:$D$505,A420,Оплаты!$A$6:$A$505,"&lt;="&amp;Оплаты!$A$412))</f>
        <v/>
      </c>
      <c r="F420" s="14" t="str">
        <f>IF(G420="","",SUMPRODUCT(ROUND(E420*'По дням'!$L$6:$L$155/100*((((D420+'По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дням'!$J$6:$J$155)))/2+1)/'По дням'!$M$6:$M$155,2)*(1-'По дням'!$N$6:$N$155)))</f>
        <v/>
      </c>
      <c r="G420" s="22" t="str">
        <f t="shared" si="6"/>
        <v/>
      </c>
      <c r="H420" s="14" t="str">
        <f>IF(G420="","",SUMIFS(Оплаты!$B$6:$B$505,Оплаты!$D$6:$D$505,A420,Оплаты!$A$6:$A$505,D420))</f>
        <v/>
      </c>
      <c r="I420" t="str">
        <f>IF(G420="","",SUMPRODUCT((((((D420+'По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дням'!$J$6:$J$155)))/2+1)&gt;0)*1))</f>
        <v/>
      </c>
    </row>
    <row r="421" spans="1:9" x14ac:dyDescent="0.3">
      <c r="A421" t="str">
        <f>IF(AND(Оплаты!$E$413="ок",COUNTIFS(Акты!$B$5:$B$16,Оплаты!$D$413,Акты!$H$5:$H$16,"ок")&gt;0,COUNTIFS(Оплаты!$D$6:$D$412,Оплаты!$D$413,Оплаты!$A$6:$A$412,Оплаты!$A$413)=0),Оплаты!$D$413,"")</f>
        <v/>
      </c>
      <c r="B421" t="str">
        <f>IF(A421="","",MATCH(A421,Акты!$B$5:$B$16,0))</f>
        <v/>
      </c>
      <c r="C421" s="21" t="str">
        <f>IF(A421="","",Оплаты!$A$413+1)</f>
        <v/>
      </c>
      <c r="D421" s="21" t="str">
        <f>IF(A421="","",MIN(Ввод!$B$4,Ввод!$B$4+1-SUMPRODUCT(MAX((Оплаты!$D$6:$D$505=A421)*(Оплаты!$A$6:$A$505&gt;Оплаты!$A$413)*(Ввод!$B$4+1-Оплаты!$A$6:$A$505)))))</f>
        <v/>
      </c>
      <c r="E421" s="14" t="str">
        <f>IF(A421="","",INDEX(Акты!$D$5:$D$16,B421)-SUMIFS(Оплаты!$B$6:$B$505,Оплаты!$D$6:$D$505,A421,Оплаты!$A$6:$A$505,"&lt;="&amp;Оплаты!$A$413))</f>
        <v/>
      </c>
      <c r="F421" s="14" t="str">
        <f>IF(G421="","",SUMPRODUCT(ROUND(E421*'По дням'!$L$6:$L$155/100*((((D421+'По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дням'!$J$6:$J$155)))/2+1)/'По дням'!$M$6:$M$155,2)*(1-'По дням'!$N$6:$N$155)))</f>
        <v/>
      </c>
      <c r="G421" s="22" t="str">
        <f t="shared" si="6"/>
        <v/>
      </c>
      <c r="H421" s="14" t="str">
        <f>IF(G421="","",SUMIFS(Оплаты!$B$6:$B$505,Оплаты!$D$6:$D$505,A421,Оплаты!$A$6:$A$505,D421))</f>
        <v/>
      </c>
      <c r="I421" t="str">
        <f>IF(G421="","",SUMPRODUCT((((((D421+'По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дням'!$J$6:$J$155)))/2+1)&gt;0)*1))</f>
        <v/>
      </c>
    </row>
    <row r="422" spans="1:9" x14ac:dyDescent="0.3">
      <c r="A422" t="str">
        <f>IF(AND(Оплаты!$E$414="ок",COUNTIFS(Акты!$B$5:$B$16,Оплаты!$D$414,Акты!$H$5:$H$16,"ок")&gt;0,COUNTIFS(Оплаты!$D$6:$D$413,Оплаты!$D$414,Оплаты!$A$6:$A$413,Оплаты!$A$414)=0),Оплаты!$D$414,"")</f>
        <v/>
      </c>
      <c r="B422" t="str">
        <f>IF(A422="","",MATCH(A422,Акты!$B$5:$B$16,0))</f>
        <v/>
      </c>
      <c r="C422" s="21" t="str">
        <f>IF(A422="","",Оплаты!$A$414+1)</f>
        <v/>
      </c>
      <c r="D422" s="21" t="str">
        <f>IF(A422="","",MIN(Ввод!$B$4,Ввод!$B$4+1-SUMPRODUCT(MAX((Оплаты!$D$6:$D$505=A422)*(Оплаты!$A$6:$A$505&gt;Оплаты!$A$414)*(Ввод!$B$4+1-Оплаты!$A$6:$A$505)))))</f>
        <v/>
      </c>
      <c r="E422" s="14" t="str">
        <f>IF(A422="","",INDEX(Акты!$D$5:$D$16,B422)-SUMIFS(Оплаты!$B$6:$B$505,Оплаты!$D$6:$D$505,A422,Оплаты!$A$6:$A$505,"&lt;="&amp;Оплаты!$A$414))</f>
        <v/>
      </c>
      <c r="F422" s="14" t="str">
        <f>IF(G422="","",SUMPRODUCT(ROUND(E422*'По дням'!$L$6:$L$155/100*((((D422+'По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дням'!$J$6:$J$155)))/2+1)/'По дням'!$M$6:$M$155,2)*(1-'По дням'!$N$6:$N$155)))</f>
        <v/>
      </c>
      <c r="G422" s="22" t="str">
        <f t="shared" si="6"/>
        <v/>
      </c>
      <c r="H422" s="14" t="str">
        <f>IF(G422="","",SUMIFS(Оплаты!$B$6:$B$505,Оплаты!$D$6:$D$505,A422,Оплаты!$A$6:$A$505,D422))</f>
        <v/>
      </c>
      <c r="I422" t="str">
        <f>IF(G422="","",SUMPRODUCT((((((D422+'По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дням'!$J$6:$J$155)))/2+1)&gt;0)*1))</f>
        <v/>
      </c>
    </row>
    <row r="423" spans="1:9" x14ac:dyDescent="0.3">
      <c r="A423" t="str">
        <f>IF(AND(Оплаты!$E$415="ок",COUNTIFS(Акты!$B$5:$B$16,Оплаты!$D$415,Акты!$H$5:$H$16,"ок")&gt;0,COUNTIFS(Оплаты!$D$6:$D$414,Оплаты!$D$415,Оплаты!$A$6:$A$414,Оплаты!$A$415)=0),Оплаты!$D$415,"")</f>
        <v/>
      </c>
      <c r="B423" t="str">
        <f>IF(A423="","",MATCH(A423,Акты!$B$5:$B$16,0))</f>
        <v/>
      </c>
      <c r="C423" s="21" t="str">
        <f>IF(A423="","",Оплаты!$A$415+1)</f>
        <v/>
      </c>
      <c r="D423" s="21" t="str">
        <f>IF(A423="","",MIN(Ввод!$B$4,Ввод!$B$4+1-SUMPRODUCT(MAX((Оплаты!$D$6:$D$505=A423)*(Оплаты!$A$6:$A$505&gt;Оплаты!$A$415)*(Ввод!$B$4+1-Оплаты!$A$6:$A$505)))))</f>
        <v/>
      </c>
      <c r="E423" s="14" t="str">
        <f>IF(A423="","",INDEX(Акты!$D$5:$D$16,B423)-SUMIFS(Оплаты!$B$6:$B$505,Оплаты!$D$6:$D$505,A423,Оплаты!$A$6:$A$505,"&lt;="&amp;Оплаты!$A$415))</f>
        <v/>
      </c>
      <c r="F423" s="14" t="str">
        <f>IF(G423="","",SUMPRODUCT(ROUND(E423*'По дням'!$L$6:$L$155/100*((((D423+'По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дням'!$J$6:$J$155)))/2+1)/'По дням'!$M$6:$M$155,2)*(1-'По дням'!$N$6:$N$155)))</f>
        <v/>
      </c>
      <c r="G423" s="22" t="str">
        <f t="shared" si="6"/>
        <v/>
      </c>
      <c r="H423" s="14" t="str">
        <f>IF(G423="","",SUMIFS(Оплаты!$B$6:$B$505,Оплаты!$D$6:$D$505,A423,Оплаты!$A$6:$A$505,D423))</f>
        <v/>
      </c>
      <c r="I423" t="str">
        <f>IF(G423="","",SUMPRODUCT((((((D423+'По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дням'!$J$6:$J$155)))/2+1)&gt;0)*1))</f>
        <v/>
      </c>
    </row>
    <row r="424" spans="1:9" x14ac:dyDescent="0.3">
      <c r="A424" t="str">
        <f>IF(AND(Оплаты!$E$416="ок",COUNTIFS(Акты!$B$5:$B$16,Оплаты!$D$416,Акты!$H$5:$H$16,"ок")&gt;0,COUNTIFS(Оплаты!$D$6:$D$415,Оплаты!$D$416,Оплаты!$A$6:$A$415,Оплаты!$A$416)=0),Оплаты!$D$416,"")</f>
        <v/>
      </c>
      <c r="B424" t="str">
        <f>IF(A424="","",MATCH(A424,Акты!$B$5:$B$16,0))</f>
        <v/>
      </c>
      <c r="C424" s="21" t="str">
        <f>IF(A424="","",Оплаты!$A$416+1)</f>
        <v/>
      </c>
      <c r="D424" s="21" t="str">
        <f>IF(A424="","",MIN(Ввод!$B$4,Ввод!$B$4+1-SUMPRODUCT(MAX((Оплаты!$D$6:$D$505=A424)*(Оплаты!$A$6:$A$505&gt;Оплаты!$A$416)*(Ввод!$B$4+1-Оплаты!$A$6:$A$505)))))</f>
        <v/>
      </c>
      <c r="E424" s="14" t="str">
        <f>IF(A424="","",INDEX(Акты!$D$5:$D$16,B424)-SUMIFS(Оплаты!$B$6:$B$505,Оплаты!$D$6:$D$505,A424,Оплаты!$A$6:$A$505,"&lt;="&amp;Оплаты!$A$416))</f>
        <v/>
      </c>
      <c r="F424" s="14" t="str">
        <f>IF(G424="","",SUMPRODUCT(ROUND(E424*'По дням'!$L$6:$L$155/100*((((D424+'По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дням'!$J$6:$J$155)))/2+1)/'По дням'!$M$6:$M$155,2)*(1-'По дням'!$N$6:$N$155)))</f>
        <v/>
      </c>
      <c r="G424" s="22" t="str">
        <f t="shared" si="6"/>
        <v/>
      </c>
      <c r="H424" s="14" t="str">
        <f>IF(G424="","",SUMIFS(Оплаты!$B$6:$B$505,Оплаты!$D$6:$D$505,A424,Оплаты!$A$6:$A$505,D424))</f>
        <v/>
      </c>
      <c r="I424" t="str">
        <f>IF(G424="","",SUMPRODUCT((((((D424+'По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дням'!$J$6:$J$155)))/2+1)&gt;0)*1))</f>
        <v/>
      </c>
    </row>
    <row r="425" spans="1:9" x14ac:dyDescent="0.3">
      <c r="A425" t="str">
        <f>IF(AND(Оплаты!$E$417="ок",COUNTIFS(Акты!$B$5:$B$16,Оплаты!$D$417,Акты!$H$5:$H$16,"ок")&gt;0,COUNTIFS(Оплаты!$D$6:$D$416,Оплаты!$D$417,Оплаты!$A$6:$A$416,Оплаты!$A$417)=0),Оплаты!$D$417,"")</f>
        <v/>
      </c>
      <c r="B425" t="str">
        <f>IF(A425="","",MATCH(A425,Акты!$B$5:$B$16,0))</f>
        <v/>
      </c>
      <c r="C425" s="21" t="str">
        <f>IF(A425="","",Оплаты!$A$417+1)</f>
        <v/>
      </c>
      <c r="D425" s="21" t="str">
        <f>IF(A425="","",MIN(Ввод!$B$4,Ввод!$B$4+1-SUMPRODUCT(MAX((Оплаты!$D$6:$D$505=A425)*(Оплаты!$A$6:$A$505&gt;Оплаты!$A$417)*(Ввод!$B$4+1-Оплаты!$A$6:$A$505)))))</f>
        <v/>
      </c>
      <c r="E425" s="14" t="str">
        <f>IF(A425="","",INDEX(Акты!$D$5:$D$16,B425)-SUMIFS(Оплаты!$B$6:$B$505,Оплаты!$D$6:$D$505,A425,Оплаты!$A$6:$A$505,"&lt;="&amp;Оплаты!$A$417))</f>
        <v/>
      </c>
      <c r="F425" s="14" t="str">
        <f>IF(G425="","",SUMPRODUCT(ROUND(E425*'По дням'!$L$6:$L$155/100*((((D425+'По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дням'!$J$6:$J$155)))/2+1)/'По дням'!$M$6:$M$155,2)*(1-'По дням'!$N$6:$N$155)))</f>
        <v/>
      </c>
      <c r="G425" s="22" t="str">
        <f t="shared" si="6"/>
        <v/>
      </c>
      <c r="H425" s="14" t="str">
        <f>IF(G425="","",SUMIFS(Оплаты!$B$6:$B$505,Оплаты!$D$6:$D$505,A425,Оплаты!$A$6:$A$505,D425))</f>
        <v/>
      </c>
      <c r="I425" t="str">
        <f>IF(G425="","",SUMPRODUCT((((((D425+'По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дням'!$J$6:$J$155)))/2+1)&gt;0)*1))</f>
        <v/>
      </c>
    </row>
    <row r="426" spans="1:9" x14ac:dyDescent="0.3">
      <c r="A426" t="str">
        <f>IF(AND(Оплаты!$E$418="ок",COUNTIFS(Акты!$B$5:$B$16,Оплаты!$D$418,Акты!$H$5:$H$16,"ок")&gt;0,COUNTIFS(Оплаты!$D$6:$D$417,Оплаты!$D$418,Оплаты!$A$6:$A$417,Оплаты!$A$418)=0),Оплаты!$D$418,"")</f>
        <v/>
      </c>
      <c r="B426" t="str">
        <f>IF(A426="","",MATCH(A426,Акты!$B$5:$B$16,0))</f>
        <v/>
      </c>
      <c r="C426" s="21" t="str">
        <f>IF(A426="","",Оплаты!$A$418+1)</f>
        <v/>
      </c>
      <c r="D426" s="21" t="str">
        <f>IF(A426="","",MIN(Ввод!$B$4,Ввод!$B$4+1-SUMPRODUCT(MAX((Оплаты!$D$6:$D$505=A426)*(Оплаты!$A$6:$A$505&gt;Оплаты!$A$418)*(Ввод!$B$4+1-Оплаты!$A$6:$A$505)))))</f>
        <v/>
      </c>
      <c r="E426" s="14" t="str">
        <f>IF(A426="","",INDEX(Акты!$D$5:$D$16,B426)-SUMIFS(Оплаты!$B$6:$B$505,Оплаты!$D$6:$D$505,A426,Оплаты!$A$6:$A$505,"&lt;="&amp;Оплаты!$A$418))</f>
        <v/>
      </c>
      <c r="F426" s="14" t="str">
        <f>IF(G426="","",SUMPRODUCT(ROUND(E426*'По дням'!$L$6:$L$155/100*((((D426+'По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дням'!$J$6:$J$155)))/2+1)/'По дням'!$M$6:$M$155,2)*(1-'По дням'!$N$6:$N$155)))</f>
        <v/>
      </c>
      <c r="G426" s="22" t="str">
        <f t="shared" si="6"/>
        <v/>
      </c>
      <c r="H426" s="14" t="str">
        <f>IF(G426="","",SUMIFS(Оплаты!$B$6:$B$505,Оплаты!$D$6:$D$505,A426,Оплаты!$A$6:$A$505,D426))</f>
        <v/>
      </c>
      <c r="I426" t="str">
        <f>IF(G426="","",SUMPRODUCT((((((D426+'По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дням'!$J$6:$J$155)))/2+1)&gt;0)*1))</f>
        <v/>
      </c>
    </row>
    <row r="427" spans="1:9" x14ac:dyDescent="0.3">
      <c r="A427" t="str">
        <f>IF(AND(Оплаты!$E$419="ок",COUNTIFS(Акты!$B$5:$B$16,Оплаты!$D$419,Акты!$H$5:$H$16,"ок")&gt;0,COUNTIFS(Оплаты!$D$6:$D$418,Оплаты!$D$419,Оплаты!$A$6:$A$418,Оплаты!$A$419)=0),Оплаты!$D$419,"")</f>
        <v/>
      </c>
      <c r="B427" t="str">
        <f>IF(A427="","",MATCH(A427,Акты!$B$5:$B$16,0))</f>
        <v/>
      </c>
      <c r="C427" s="21" t="str">
        <f>IF(A427="","",Оплаты!$A$419+1)</f>
        <v/>
      </c>
      <c r="D427" s="21" t="str">
        <f>IF(A427="","",MIN(Ввод!$B$4,Ввод!$B$4+1-SUMPRODUCT(MAX((Оплаты!$D$6:$D$505=A427)*(Оплаты!$A$6:$A$505&gt;Оплаты!$A$419)*(Ввод!$B$4+1-Оплаты!$A$6:$A$505)))))</f>
        <v/>
      </c>
      <c r="E427" s="14" t="str">
        <f>IF(A427="","",INDEX(Акты!$D$5:$D$16,B427)-SUMIFS(Оплаты!$B$6:$B$505,Оплаты!$D$6:$D$505,A427,Оплаты!$A$6:$A$505,"&lt;="&amp;Оплаты!$A$419))</f>
        <v/>
      </c>
      <c r="F427" s="14" t="str">
        <f>IF(G427="","",SUMPRODUCT(ROUND(E427*'По дням'!$L$6:$L$155/100*((((D427+'По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дням'!$J$6:$J$155)))/2+1)/'По дням'!$M$6:$M$155,2)*(1-'По дням'!$N$6:$N$155)))</f>
        <v/>
      </c>
      <c r="G427" s="22" t="str">
        <f t="shared" si="6"/>
        <v/>
      </c>
      <c r="H427" s="14" t="str">
        <f>IF(G427="","",SUMIFS(Оплаты!$B$6:$B$505,Оплаты!$D$6:$D$505,A427,Оплаты!$A$6:$A$505,D427))</f>
        <v/>
      </c>
      <c r="I427" t="str">
        <f>IF(G427="","",SUMPRODUCT((((((D427+'По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дням'!$J$6:$J$155)))/2+1)&gt;0)*1))</f>
        <v/>
      </c>
    </row>
    <row r="428" spans="1:9" x14ac:dyDescent="0.3">
      <c r="A428" t="str">
        <f>IF(AND(Оплаты!$E$420="ок",COUNTIFS(Акты!$B$5:$B$16,Оплаты!$D$420,Акты!$H$5:$H$16,"ок")&gt;0,COUNTIFS(Оплаты!$D$6:$D$419,Оплаты!$D$420,Оплаты!$A$6:$A$419,Оплаты!$A$420)=0),Оплаты!$D$420,"")</f>
        <v/>
      </c>
      <c r="B428" t="str">
        <f>IF(A428="","",MATCH(A428,Акты!$B$5:$B$16,0))</f>
        <v/>
      </c>
      <c r="C428" s="21" t="str">
        <f>IF(A428="","",Оплаты!$A$420+1)</f>
        <v/>
      </c>
      <c r="D428" s="21" t="str">
        <f>IF(A428="","",MIN(Ввод!$B$4,Ввод!$B$4+1-SUMPRODUCT(MAX((Оплаты!$D$6:$D$505=A428)*(Оплаты!$A$6:$A$505&gt;Оплаты!$A$420)*(Ввод!$B$4+1-Оплаты!$A$6:$A$505)))))</f>
        <v/>
      </c>
      <c r="E428" s="14" t="str">
        <f>IF(A428="","",INDEX(Акты!$D$5:$D$16,B428)-SUMIFS(Оплаты!$B$6:$B$505,Оплаты!$D$6:$D$505,A428,Оплаты!$A$6:$A$505,"&lt;="&amp;Оплаты!$A$420))</f>
        <v/>
      </c>
      <c r="F428" s="14" t="str">
        <f>IF(G428="","",SUMPRODUCT(ROUND(E428*'По дням'!$L$6:$L$155/100*((((D428+'По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дням'!$J$6:$J$155)))/2+1)/'По дням'!$M$6:$M$155,2)*(1-'По дням'!$N$6:$N$155)))</f>
        <v/>
      </c>
      <c r="G428" s="22" t="str">
        <f t="shared" si="6"/>
        <v/>
      </c>
      <c r="H428" s="14" t="str">
        <f>IF(G428="","",SUMIFS(Оплаты!$B$6:$B$505,Оплаты!$D$6:$D$505,A428,Оплаты!$A$6:$A$505,D428))</f>
        <v/>
      </c>
      <c r="I428" t="str">
        <f>IF(G428="","",SUMPRODUCT((((((D428+'По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дням'!$J$6:$J$155)))/2+1)&gt;0)*1))</f>
        <v/>
      </c>
    </row>
    <row r="429" spans="1:9" x14ac:dyDescent="0.3">
      <c r="A429" t="str">
        <f>IF(AND(Оплаты!$E$421="ок",COUNTIFS(Акты!$B$5:$B$16,Оплаты!$D$421,Акты!$H$5:$H$16,"ок")&gt;0,COUNTIFS(Оплаты!$D$6:$D$420,Оплаты!$D$421,Оплаты!$A$6:$A$420,Оплаты!$A$421)=0),Оплаты!$D$421,"")</f>
        <v/>
      </c>
      <c r="B429" t="str">
        <f>IF(A429="","",MATCH(A429,Акты!$B$5:$B$16,0))</f>
        <v/>
      </c>
      <c r="C429" s="21" t="str">
        <f>IF(A429="","",Оплаты!$A$421+1)</f>
        <v/>
      </c>
      <c r="D429" s="21" t="str">
        <f>IF(A429="","",MIN(Ввод!$B$4,Ввод!$B$4+1-SUMPRODUCT(MAX((Оплаты!$D$6:$D$505=A429)*(Оплаты!$A$6:$A$505&gt;Оплаты!$A$421)*(Ввод!$B$4+1-Оплаты!$A$6:$A$505)))))</f>
        <v/>
      </c>
      <c r="E429" s="14" t="str">
        <f>IF(A429="","",INDEX(Акты!$D$5:$D$16,B429)-SUMIFS(Оплаты!$B$6:$B$505,Оплаты!$D$6:$D$505,A429,Оплаты!$A$6:$A$505,"&lt;="&amp;Оплаты!$A$421))</f>
        <v/>
      </c>
      <c r="F429" s="14" t="str">
        <f>IF(G429="","",SUMPRODUCT(ROUND(E429*'По дням'!$L$6:$L$155/100*((((D429+'По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дням'!$J$6:$J$155)))/2+1)/'По дням'!$M$6:$M$155,2)*(1-'По дням'!$N$6:$N$155)))</f>
        <v/>
      </c>
      <c r="G429" s="22" t="str">
        <f t="shared" si="6"/>
        <v/>
      </c>
      <c r="H429" s="14" t="str">
        <f>IF(G429="","",SUMIFS(Оплаты!$B$6:$B$505,Оплаты!$D$6:$D$505,A429,Оплаты!$A$6:$A$505,D429))</f>
        <v/>
      </c>
      <c r="I429" t="str">
        <f>IF(G429="","",SUMPRODUCT((((((D429+'По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дням'!$J$6:$J$155)))/2+1)&gt;0)*1))</f>
        <v/>
      </c>
    </row>
    <row r="430" spans="1:9" x14ac:dyDescent="0.3">
      <c r="A430" t="str">
        <f>IF(AND(Оплаты!$E$422="ок",COUNTIFS(Акты!$B$5:$B$16,Оплаты!$D$422,Акты!$H$5:$H$16,"ок")&gt;0,COUNTIFS(Оплаты!$D$6:$D$421,Оплаты!$D$422,Оплаты!$A$6:$A$421,Оплаты!$A$422)=0),Оплаты!$D$422,"")</f>
        <v/>
      </c>
      <c r="B430" t="str">
        <f>IF(A430="","",MATCH(A430,Акты!$B$5:$B$16,0))</f>
        <v/>
      </c>
      <c r="C430" s="21" t="str">
        <f>IF(A430="","",Оплаты!$A$422+1)</f>
        <v/>
      </c>
      <c r="D430" s="21" t="str">
        <f>IF(A430="","",MIN(Ввод!$B$4,Ввод!$B$4+1-SUMPRODUCT(MAX((Оплаты!$D$6:$D$505=A430)*(Оплаты!$A$6:$A$505&gt;Оплаты!$A$422)*(Ввод!$B$4+1-Оплаты!$A$6:$A$505)))))</f>
        <v/>
      </c>
      <c r="E430" s="14" t="str">
        <f>IF(A430="","",INDEX(Акты!$D$5:$D$16,B430)-SUMIFS(Оплаты!$B$6:$B$505,Оплаты!$D$6:$D$505,A430,Оплаты!$A$6:$A$505,"&lt;="&amp;Оплаты!$A$422))</f>
        <v/>
      </c>
      <c r="F430" s="14" t="str">
        <f>IF(G430="","",SUMPRODUCT(ROUND(E430*'По дням'!$L$6:$L$155/100*((((D430+'По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дням'!$J$6:$J$155)))/2+1)/'По дням'!$M$6:$M$155,2)*(1-'По дням'!$N$6:$N$155)))</f>
        <v/>
      </c>
      <c r="G430" s="22" t="str">
        <f t="shared" si="6"/>
        <v/>
      </c>
      <c r="H430" s="14" t="str">
        <f>IF(G430="","",SUMIFS(Оплаты!$B$6:$B$505,Оплаты!$D$6:$D$505,A430,Оплаты!$A$6:$A$505,D430))</f>
        <v/>
      </c>
      <c r="I430" t="str">
        <f>IF(G430="","",SUMPRODUCT((((((D430+'По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дням'!$J$6:$J$155)))/2+1)&gt;0)*1))</f>
        <v/>
      </c>
    </row>
    <row r="431" spans="1:9" x14ac:dyDescent="0.3">
      <c r="A431" t="str">
        <f>IF(AND(Оплаты!$E$423="ок",COUNTIFS(Акты!$B$5:$B$16,Оплаты!$D$423,Акты!$H$5:$H$16,"ок")&gt;0,COUNTIFS(Оплаты!$D$6:$D$422,Оплаты!$D$423,Оплаты!$A$6:$A$422,Оплаты!$A$423)=0),Оплаты!$D$423,"")</f>
        <v/>
      </c>
      <c r="B431" t="str">
        <f>IF(A431="","",MATCH(A431,Акты!$B$5:$B$16,0))</f>
        <v/>
      </c>
      <c r="C431" s="21" t="str">
        <f>IF(A431="","",Оплаты!$A$423+1)</f>
        <v/>
      </c>
      <c r="D431" s="21" t="str">
        <f>IF(A431="","",MIN(Ввод!$B$4,Ввод!$B$4+1-SUMPRODUCT(MAX((Оплаты!$D$6:$D$505=A431)*(Оплаты!$A$6:$A$505&gt;Оплаты!$A$423)*(Ввод!$B$4+1-Оплаты!$A$6:$A$505)))))</f>
        <v/>
      </c>
      <c r="E431" s="14" t="str">
        <f>IF(A431="","",INDEX(Акты!$D$5:$D$16,B431)-SUMIFS(Оплаты!$B$6:$B$505,Оплаты!$D$6:$D$505,A431,Оплаты!$A$6:$A$505,"&lt;="&amp;Оплаты!$A$423))</f>
        <v/>
      </c>
      <c r="F431" s="14" t="str">
        <f>IF(G431="","",SUMPRODUCT(ROUND(E431*'По дням'!$L$6:$L$155/100*((((D431+'По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дням'!$J$6:$J$155)))/2+1)/'По дням'!$M$6:$M$155,2)*(1-'По дням'!$N$6:$N$155)))</f>
        <v/>
      </c>
      <c r="G431" s="22" t="str">
        <f t="shared" si="6"/>
        <v/>
      </c>
      <c r="H431" s="14" t="str">
        <f>IF(G431="","",SUMIFS(Оплаты!$B$6:$B$505,Оплаты!$D$6:$D$505,A431,Оплаты!$A$6:$A$505,D431))</f>
        <v/>
      </c>
      <c r="I431" t="str">
        <f>IF(G431="","",SUMPRODUCT((((((D431+'По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дням'!$J$6:$J$155)))/2+1)&gt;0)*1))</f>
        <v/>
      </c>
    </row>
    <row r="432" spans="1:9" x14ac:dyDescent="0.3">
      <c r="A432" t="str">
        <f>IF(AND(Оплаты!$E$424="ок",COUNTIFS(Акты!$B$5:$B$16,Оплаты!$D$424,Акты!$H$5:$H$16,"ок")&gt;0,COUNTIFS(Оплаты!$D$6:$D$423,Оплаты!$D$424,Оплаты!$A$6:$A$423,Оплаты!$A$424)=0),Оплаты!$D$424,"")</f>
        <v/>
      </c>
      <c r="B432" t="str">
        <f>IF(A432="","",MATCH(A432,Акты!$B$5:$B$16,0))</f>
        <v/>
      </c>
      <c r="C432" s="21" t="str">
        <f>IF(A432="","",Оплаты!$A$424+1)</f>
        <v/>
      </c>
      <c r="D432" s="21" t="str">
        <f>IF(A432="","",MIN(Ввод!$B$4,Ввод!$B$4+1-SUMPRODUCT(MAX((Оплаты!$D$6:$D$505=A432)*(Оплаты!$A$6:$A$505&gt;Оплаты!$A$424)*(Ввод!$B$4+1-Оплаты!$A$6:$A$505)))))</f>
        <v/>
      </c>
      <c r="E432" s="14" t="str">
        <f>IF(A432="","",INDEX(Акты!$D$5:$D$16,B432)-SUMIFS(Оплаты!$B$6:$B$505,Оплаты!$D$6:$D$505,A432,Оплаты!$A$6:$A$505,"&lt;="&amp;Оплаты!$A$424))</f>
        <v/>
      </c>
      <c r="F432" s="14" t="str">
        <f>IF(G432="","",SUMPRODUCT(ROUND(E432*'По дням'!$L$6:$L$155/100*((((D432+'По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дням'!$J$6:$J$155)))/2+1)/'По дням'!$M$6:$M$155,2)*(1-'По дням'!$N$6:$N$155)))</f>
        <v/>
      </c>
      <c r="G432" s="22" t="str">
        <f t="shared" si="6"/>
        <v/>
      </c>
      <c r="H432" s="14" t="str">
        <f>IF(G432="","",SUMIFS(Оплаты!$B$6:$B$505,Оплаты!$D$6:$D$505,A432,Оплаты!$A$6:$A$505,D432))</f>
        <v/>
      </c>
      <c r="I432" t="str">
        <f>IF(G432="","",SUMPRODUCT((((((D432+'По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дням'!$J$6:$J$155)))/2+1)&gt;0)*1))</f>
        <v/>
      </c>
    </row>
    <row r="433" spans="1:9" x14ac:dyDescent="0.3">
      <c r="A433" t="str">
        <f>IF(AND(Оплаты!$E$425="ок",COUNTIFS(Акты!$B$5:$B$16,Оплаты!$D$425,Акты!$H$5:$H$16,"ок")&gt;0,COUNTIFS(Оплаты!$D$6:$D$424,Оплаты!$D$425,Оплаты!$A$6:$A$424,Оплаты!$A$425)=0),Оплаты!$D$425,"")</f>
        <v/>
      </c>
      <c r="B433" t="str">
        <f>IF(A433="","",MATCH(A433,Акты!$B$5:$B$16,0))</f>
        <v/>
      </c>
      <c r="C433" s="21" t="str">
        <f>IF(A433="","",Оплаты!$A$425+1)</f>
        <v/>
      </c>
      <c r="D433" s="21" t="str">
        <f>IF(A433="","",MIN(Ввод!$B$4,Ввод!$B$4+1-SUMPRODUCT(MAX((Оплаты!$D$6:$D$505=A433)*(Оплаты!$A$6:$A$505&gt;Оплаты!$A$425)*(Ввод!$B$4+1-Оплаты!$A$6:$A$505)))))</f>
        <v/>
      </c>
      <c r="E433" s="14" t="str">
        <f>IF(A433="","",INDEX(Акты!$D$5:$D$16,B433)-SUMIFS(Оплаты!$B$6:$B$505,Оплаты!$D$6:$D$505,A433,Оплаты!$A$6:$A$505,"&lt;="&amp;Оплаты!$A$425))</f>
        <v/>
      </c>
      <c r="F433" s="14" t="str">
        <f>IF(G433="","",SUMPRODUCT(ROUND(E433*'По дням'!$L$6:$L$155/100*((((D433+'По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дням'!$J$6:$J$155)))/2+1)/'По дням'!$M$6:$M$155,2)*(1-'По дням'!$N$6:$N$155)))</f>
        <v/>
      </c>
      <c r="G433" s="22" t="str">
        <f t="shared" si="6"/>
        <v/>
      </c>
      <c r="H433" s="14" t="str">
        <f>IF(G433="","",SUMIFS(Оплаты!$B$6:$B$505,Оплаты!$D$6:$D$505,A433,Оплаты!$A$6:$A$505,D433))</f>
        <v/>
      </c>
      <c r="I433" t="str">
        <f>IF(G433="","",SUMPRODUCT((((((D433+'По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дням'!$J$6:$J$155)))/2+1)&gt;0)*1))</f>
        <v/>
      </c>
    </row>
    <row r="434" spans="1:9" x14ac:dyDescent="0.3">
      <c r="A434" t="str">
        <f>IF(AND(Оплаты!$E$426="ок",COUNTIFS(Акты!$B$5:$B$16,Оплаты!$D$426,Акты!$H$5:$H$16,"ок")&gt;0,COUNTIFS(Оплаты!$D$6:$D$425,Оплаты!$D$426,Оплаты!$A$6:$A$425,Оплаты!$A$426)=0),Оплаты!$D$426,"")</f>
        <v/>
      </c>
      <c r="B434" t="str">
        <f>IF(A434="","",MATCH(A434,Акты!$B$5:$B$16,0))</f>
        <v/>
      </c>
      <c r="C434" s="21" t="str">
        <f>IF(A434="","",Оплаты!$A$426+1)</f>
        <v/>
      </c>
      <c r="D434" s="21" t="str">
        <f>IF(A434="","",MIN(Ввод!$B$4,Ввод!$B$4+1-SUMPRODUCT(MAX((Оплаты!$D$6:$D$505=A434)*(Оплаты!$A$6:$A$505&gt;Оплаты!$A$426)*(Ввод!$B$4+1-Оплаты!$A$6:$A$505)))))</f>
        <v/>
      </c>
      <c r="E434" s="14" t="str">
        <f>IF(A434="","",INDEX(Акты!$D$5:$D$16,B434)-SUMIFS(Оплаты!$B$6:$B$505,Оплаты!$D$6:$D$505,A434,Оплаты!$A$6:$A$505,"&lt;="&amp;Оплаты!$A$426))</f>
        <v/>
      </c>
      <c r="F434" s="14" t="str">
        <f>IF(G434="","",SUMPRODUCT(ROUND(E434*'По дням'!$L$6:$L$155/100*((((D434+'По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дням'!$J$6:$J$155)))/2+1)/'По дням'!$M$6:$M$155,2)*(1-'По дням'!$N$6:$N$155)))</f>
        <v/>
      </c>
      <c r="G434" s="22" t="str">
        <f t="shared" si="6"/>
        <v/>
      </c>
      <c r="H434" s="14" t="str">
        <f>IF(G434="","",SUMIFS(Оплаты!$B$6:$B$505,Оплаты!$D$6:$D$505,A434,Оплаты!$A$6:$A$505,D434))</f>
        <v/>
      </c>
      <c r="I434" t="str">
        <f>IF(G434="","",SUMPRODUCT((((((D434+'По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дням'!$J$6:$J$155)))/2+1)&gt;0)*1))</f>
        <v/>
      </c>
    </row>
    <row r="435" spans="1:9" x14ac:dyDescent="0.3">
      <c r="A435" t="str">
        <f>IF(AND(Оплаты!$E$427="ок",COUNTIFS(Акты!$B$5:$B$16,Оплаты!$D$427,Акты!$H$5:$H$16,"ок")&gt;0,COUNTIFS(Оплаты!$D$6:$D$426,Оплаты!$D$427,Оплаты!$A$6:$A$426,Оплаты!$A$427)=0),Оплаты!$D$427,"")</f>
        <v/>
      </c>
      <c r="B435" t="str">
        <f>IF(A435="","",MATCH(A435,Акты!$B$5:$B$16,0))</f>
        <v/>
      </c>
      <c r="C435" s="21" t="str">
        <f>IF(A435="","",Оплаты!$A$427+1)</f>
        <v/>
      </c>
      <c r="D435" s="21" t="str">
        <f>IF(A435="","",MIN(Ввод!$B$4,Ввод!$B$4+1-SUMPRODUCT(MAX((Оплаты!$D$6:$D$505=A435)*(Оплаты!$A$6:$A$505&gt;Оплаты!$A$427)*(Ввод!$B$4+1-Оплаты!$A$6:$A$505)))))</f>
        <v/>
      </c>
      <c r="E435" s="14" t="str">
        <f>IF(A435="","",INDEX(Акты!$D$5:$D$16,B435)-SUMIFS(Оплаты!$B$6:$B$505,Оплаты!$D$6:$D$505,A435,Оплаты!$A$6:$A$505,"&lt;="&amp;Оплаты!$A$427))</f>
        <v/>
      </c>
      <c r="F435" s="14" t="str">
        <f>IF(G435="","",SUMPRODUCT(ROUND(E435*'По дням'!$L$6:$L$155/100*((((D435+'По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дням'!$J$6:$J$155)))/2+1)/'По дням'!$M$6:$M$155,2)*(1-'По дням'!$N$6:$N$155)))</f>
        <v/>
      </c>
      <c r="G435" s="22" t="str">
        <f t="shared" si="6"/>
        <v/>
      </c>
      <c r="H435" s="14" t="str">
        <f>IF(G435="","",SUMIFS(Оплаты!$B$6:$B$505,Оплаты!$D$6:$D$505,A435,Оплаты!$A$6:$A$505,D435))</f>
        <v/>
      </c>
      <c r="I435" t="str">
        <f>IF(G435="","",SUMPRODUCT((((((D435+'По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дням'!$J$6:$J$155)))/2+1)&gt;0)*1))</f>
        <v/>
      </c>
    </row>
    <row r="436" spans="1:9" x14ac:dyDescent="0.3">
      <c r="A436" t="str">
        <f>IF(AND(Оплаты!$E$428="ок",COUNTIFS(Акты!$B$5:$B$16,Оплаты!$D$428,Акты!$H$5:$H$16,"ок")&gt;0,COUNTIFS(Оплаты!$D$6:$D$427,Оплаты!$D$428,Оплаты!$A$6:$A$427,Оплаты!$A$428)=0),Оплаты!$D$428,"")</f>
        <v/>
      </c>
      <c r="B436" t="str">
        <f>IF(A436="","",MATCH(A436,Акты!$B$5:$B$16,0))</f>
        <v/>
      </c>
      <c r="C436" s="21" t="str">
        <f>IF(A436="","",Оплаты!$A$428+1)</f>
        <v/>
      </c>
      <c r="D436" s="21" t="str">
        <f>IF(A436="","",MIN(Ввод!$B$4,Ввод!$B$4+1-SUMPRODUCT(MAX((Оплаты!$D$6:$D$505=A436)*(Оплаты!$A$6:$A$505&gt;Оплаты!$A$428)*(Ввод!$B$4+1-Оплаты!$A$6:$A$505)))))</f>
        <v/>
      </c>
      <c r="E436" s="14" t="str">
        <f>IF(A436="","",INDEX(Акты!$D$5:$D$16,B436)-SUMIFS(Оплаты!$B$6:$B$505,Оплаты!$D$6:$D$505,A436,Оплаты!$A$6:$A$505,"&lt;="&amp;Оплаты!$A$428))</f>
        <v/>
      </c>
      <c r="F436" s="14" t="str">
        <f>IF(G436="","",SUMPRODUCT(ROUND(E436*'По дням'!$L$6:$L$155/100*((((D436+'По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дням'!$J$6:$J$155)))/2+1)/'По дням'!$M$6:$M$155,2)*(1-'По дням'!$N$6:$N$155)))</f>
        <v/>
      </c>
      <c r="G436" s="22" t="str">
        <f t="shared" si="6"/>
        <v/>
      </c>
      <c r="H436" s="14" t="str">
        <f>IF(G436="","",SUMIFS(Оплаты!$B$6:$B$505,Оплаты!$D$6:$D$505,A436,Оплаты!$A$6:$A$505,D436))</f>
        <v/>
      </c>
      <c r="I436" t="str">
        <f>IF(G436="","",SUMPRODUCT((((((D436+'По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дням'!$J$6:$J$155)))/2+1)&gt;0)*1))</f>
        <v/>
      </c>
    </row>
    <row r="437" spans="1:9" x14ac:dyDescent="0.3">
      <c r="A437" t="str">
        <f>IF(AND(Оплаты!$E$429="ок",COUNTIFS(Акты!$B$5:$B$16,Оплаты!$D$429,Акты!$H$5:$H$16,"ок")&gt;0,COUNTIFS(Оплаты!$D$6:$D$428,Оплаты!$D$429,Оплаты!$A$6:$A$428,Оплаты!$A$429)=0),Оплаты!$D$429,"")</f>
        <v/>
      </c>
      <c r="B437" t="str">
        <f>IF(A437="","",MATCH(A437,Акты!$B$5:$B$16,0))</f>
        <v/>
      </c>
      <c r="C437" s="21" t="str">
        <f>IF(A437="","",Оплаты!$A$429+1)</f>
        <v/>
      </c>
      <c r="D437" s="21" t="str">
        <f>IF(A437="","",MIN(Ввод!$B$4,Ввод!$B$4+1-SUMPRODUCT(MAX((Оплаты!$D$6:$D$505=A437)*(Оплаты!$A$6:$A$505&gt;Оплаты!$A$429)*(Ввод!$B$4+1-Оплаты!$A$6:$A$505)))))</f>
        <v/>
      </c>
      <c r="E437" s="14" t="str">
        <f>IF(A437="","",INDEX(Акты!$D$5:$D$16,B437)-SUMIFS(Оплаты!$B$6:$B$505,Оплаты!$D$6:$D$505,A437,Оплаты!$A$6:$A$505,"&lt;="&amp;Оплаты!$A$429))</f>
        <v/>
      </c>
      <c r="F437" s="14" t="str">
        <f>IF(G437="","",SUMPRODUCT(ROUND(E437*'По дням'!$L$6:$L$155/100*((((D437+'По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дням'!$J$6:$J$155)))/2+1)/'По дням'!$M$6:$M$155,2)*(1-'По дням'!$N$6:$N$155)))</f>
        <v/>
      </c>
      <c r="G437" s="22" t="str">
        <f t="shared" si="6"/>
        <v/>
      </c>
      <c r="H437" s="14" t="str">
        <f>IF(G437="","",SUMIFS(Оплаты!$B$6:$B$505,Оплаты!$D$6:$D$505,A437,Оплаты!$A$6:$A$505,D437))</f>
        <v/>
      </c>
      <c r="I437" t="str">
        <f>IF(G437="","",SUMPRODUCT((((((D437+'По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дням'!$J$6:$J$155)))/2+1)&gt;0)*1))</f>
        <v/>
      </c>
    </row>
    <row r="438" spans="1:9" x14ac:dyDescent="0.3">
      <c r="A438" t="str">
        <f>IF(AND(Оплаты!$E$430="ок",COUNTIFS(Акты!$B$5:$B$16,Оплаты!$D$430,Акты!$H$5:$H$16,"ок")&gt;0,COUNTIFS(Оплаты!$D$6:$D$429,Оплаты!$D$430,Оплаты!$A$6:$A$429,Оплаты!$A$430)=0),Оплаты!$D$430,"")</f>
        <v/>
      </c>
      <c r="B438" t="str">
        <f>IF(A438="","",MATCH(A438,Акты!$B$5:$B$16,0))</f>
        <v/>
      </c>
      <c r="C438" s="21" t="str">
        <f>IF(A438="","",Оплаты!$A$430+1)</f>
        <v/>
      </c>
      <c r="D438" s="21" t="str">
        <f>IF(A438="","",MIN(Ввод!$B$4,Ввод!$B$4+1-SUMPRODUCT(MAX((Оплаты!$D$6:$D$505=A438)*(Оплаты!$A$6:$A$505&gt;Оплаты!$A$430)*(Ввод!$B$4+1-Оплаты!$A$6:$A$505)))))</f>
        <v/>
      </c>
      <c r="E438" s="14" t="str">
        <f>IF(A438="","",INDEX(Акты!$D$5:$D$16,B438)-SUMIFS(Оплаты!$B$6:$B$505,Оплаты!$D$6:$D$505,A438,Оплаты!$A$6:$A$505,"&lt;="&amp;Оплаты!$A$430))</f>
        <v/>
      </c>
      <c r="F438" s="14" t="str">
        <f>IF(G438="","",SUMPRODUCT(ROUND(E438*'По дням'!$L$6:$L$155/100*((((D438+'По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дням'!$J$6:$J$155)))/2+1)/'По дням'!$M$6:$M$155,2)*(1-'По дням'!$N$6:$N$155)))</f>
        <v/>
      </c>
      <c r="G438" s="22" t="str">
        <f t="shared" si="6"/>
        <v/>
      </c>
      <c r="H438" s="14" t="str">
        <f>IF(G438="","",SUMIFS(Оплаты!$B$6:$B$505,Оплаты!$D$6:$D$505,A438,Оплаты!$A$6:$A$505,D438))</f>
        <v/>
      </c>
      <c r="I438" t="str">
        <f>IF(G438="","",SUMPRODUCT((((((D438+'По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дням'!$J$6:$J$155)))/2+1)&gt;0)*1))</f>
        <v/>
      </c>
    </row>
    <row r="439" spans="1:9" x14ac:dyDescent="0.3">
      <c r="A439" t="str">
        <f>IF(AND(Оплаты!$E$431="ок",COUNTIFS(Акты!$B$5:$B$16,Оплаты!$D$431,Акты!$H$5:$H$16,"ок")&gt;0,COUNTIFS(Оплаты!$D$6:$D$430,Оплаты!$D$431,Оплаты!$A$6:$A$430,Оплаты!$A$431)=0),Оплаты!$D$431,"")</f>
        <v/>
      </c>
      <c r="B439" t="str">
        <f>IF(A439="","",MATCH(A439,Акты!$B$5:$B$16,0))</f>
        <v/>
      </c>
      <c r="C439" s="21" t="str">
        <f>IF(A439="","",Оплаты!$A$431+1)</f>
        <v/>
      </c>
      <c r="D439" s="21" t="str">
        <f>IF(A439="","",MIN(Ввод!$B$4,Ввод!$B$4+1-SUMPRODUCT(MAX((Оплаты!$D$6:$D$505=A439)*(Оплаты!$A$6:$A$505&gt;Оплаты!$A$431)*(Ввод!$B$4+1-Оплаты!$A$6:$A$505)))))</f>
        <v/>
      </c>
      <c r="E439" s="14" t="str">
        <f>IF(A439="","",INDEX(Акты!$D$5:$D$16,B439)-SUMIFS(Оплаты!$B$6:$B$505,Оплаты!$D$6:$D$505,A439,Оплаты!$A$6:$A$505,"&lt;="&amp;Оплаты!$A$431))</f>
        <v/>
      </c>
      <c r="F439" s="14" t="str">
        <f>IF(G439="","",SUMPRODUCT(ROUND(E439*'По дням'!$L$6:$L$155/100*((((D439+'По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дням'!$J$6:$J$155)))/2+1)/'По дням'!$M$6:$M$155,2)*(1-'По дням'!$N$6:$N$155)))</f>
        <v/>
      </c>
      <c r="G439" s="22" t="str">
        <f t="shared" si="6"/>
        <v/>
      </c>
      <c r="H439" s="14" t="str">
        <f>IF(G439="","",SUMIFS(Оплаты!$B$6:$B$505,Оплаты!$D$6:$D$505,A439,Оплаты!$A$6:$A$505,D439))</f>
        <v/>
      </c>
      <c r="I439" t="str">
        <f>IF(G439="","",SUMPRODUCT((((((D439+'По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дням'!$J$6:$J$155)))/2+1)&gt;0)*1))</f>
        <v/>
      </c>
    </row>
    <row r="440" spans="1:9" x14ac:dyDescent="0.3">
      <c r="A440" t="str">
        <f>IF(AND(Оплаты!$E$432="ок",COUNTIFS(Акты!$B$5:$B$16,Оплаты!$D$432,Акты!$H$5:$H$16,"ок")&gt;0,COUNTIFS(Оплаты!$D$6:$D$431,Оплаты!$D$432,Оплаты!$A$6:$A$431,Оплаты!$A$432)=0),Оплаты!$D$432,"")</f>
        <v/>
      </c>
      <c r="B440" t="str">
        <f>IF(A440="","",MATCH(A440,Акты!$B$5:$B$16,0))</f>
        <v/>
      </c>
      <c r="C440" s="21" t="str">
        <f>IF(A440="","",Оплаты!$A$432+1)</f>
        <v/>
      </c>
      <c r="D440" s="21" t="str">
        <f>IF(A440="","",MIN(Ввод!$B$4,Ввод!$B$4+1-SUMPRODUCT(MAX((Оплаты!$D$6:$D$505=A440)*(Оплаты!$A$6:$A$505&gt;Оплаты!$A$432)*(Ввод!$B$4+1-Оплаты!$A$6:$A$505)))))</f>
        <v/>
      </c>
      <c r="E440" s="14" t="str">
        <f>IF(A440="","",INDEX(Акты!$D$5:$D$16,B440)-SUMIFS(Оплаты!$B$6:$B$505,Оплаты!$D$6:$D$505,A440,Оплаты!$A$6:$A$505,"&lt;="&amp;Оплаты!$A$432))</f>
        <v/>
      </c>
      <c r="F440" s="14" t="str">
        <f>IF(G440="","",SUMPRODUCT(ROUND(E440*'По дням'!$L$6:$L$155/100*((((D440+'По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дням'!$J$6:$J$155)))/2+1)/'По дням'!$M$6:$M$155,2)*(1-'По дням'!$N$6:$N$155)))</f>
        <v/>
      </c>
      <c r="G440" s="22" t="str">
        <f t="shared" si="6"/>
        <v/>
      </c>
      <c r="H440" s="14" t="str">
        <f>IF(G440="","",SUMIFS(Оплаты!$B$6:$B$505,Оплаты!$D$6:$D$505,A440,Оплаты!$A$6:$A$505,D440))</f>
        <v/>
      </c>
      <c r="I440" t="str">
        <f>IF(G440="","",SUMPRODUCT((((((D440+'По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дням'!$J$6:$J$155)))/2+1)&gt;0)*1))</f>
        <v/>
      </c>
    </row>
    <row r="441" spans="1:9" x14ac:dyDescent="0.3">
      <c r="A441" t="str">
        <f>IF(AND(Оплаты!$E$433="ок",COUNTIFS(Акты!$B$5:$B$16,Оплаты!$D$433,Акты!$H$5:$H$16,"ок")&gt;0,COUNTIFS(Оплаты!$D$6:$D$432,Оплаты!$D$433,Оплаты!$A$6:$A$432,Оплаты!$A$433)=0),Оплаты!$D$433,"")</f>
        <v/>
      </c>
      <c r="B441" t="str">
        <f>IF(A441="","",MATCH(A441,Акты!$B$5:$B$16,0))</f>
        <v/>
      </c>
      <c r="C441" s="21" t="str">
        <f>IF(A441="","",Оплаты!$A$433+1)</f>
        <v/>
      </c>
      <c r="D441" s="21" t="str">
        <f>IF(A441="","",MIN(Ввод!$B$4,Ввод!$B$4+1-SUMPRODUCT(MAX((Оплаты!$D$6:$D$505=A441)*(Оплаты!$A$6:$A$505&gt;Оплаты!$A$433)*(Ввод!$B$4+1-Оплаты!$A$6:$A$505)))))</f>
        <v/>
      </c>
      <c r="E441" s="14" t="str">
        <f>IF(A441="","",INDEX(Акты!$D$5:$D$16,B441)-SUMIFS(Оплаты!$B$6:$B$505,Оплаты!$D$6:$D$505,A441,Оплаты!$A$6:$A$505,"&lt;="&amp;Оплаты!$A$433))</f>
        <v/>
      </c>
      <c r="F441" s="14" t="str">
        <f>IF(G441="","",SUMPRODUCT(ROUND(E441*'По дням'!$L$6:$L$155/100*((((D441+'По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дням'!$J$6:$J$155)))/2+1)/'По дням'!$M$6:$M$155,2)*(1-'По дням'!$N$6:$N$155)))</f>
        <v/>
      </c>
      <c r="G441" s="22" t="str">
        <f t="shared" si="6"/>
        <v/>
      </c>
      <c r="H441" s="14" t="str">
        <f>IF(G441="","",SUMIFS(Оплаты!$B$6:$B$505,Оплаты!$D$6:$D$505,A441,Оплаты!$A$6:$A$505,D441))</f>
        <v/>
      </c>
      <c r="I441" t="str">
        <f>IF(G441="","",SUMPRODUCT((((((D441+'По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дням'!$J$6:$J$155)))/2+1)&gt;0)*1))</f>
        <v/>
      </c>
    </row>
    <row r="442" spans="1:9" x14ac:dyDescent="0.3">
      <c r="A442" t="str">
        <f>IF(AND(Оплаты!$E$434="ок",COUNTIFS(Акты!$B$5:$B$16,Оплаты!$D$434,Акты!$H$5:$H$16,"ок")&gt;0,COUNTIFS(Оплаты!$D$6:$D$433,Оплаты!$D$434,Оплаты!$A$6:$A$433,Оплаты!$A$434)=0),Оплаты!$D$434,"")</f>
        <v/>
      </c>
      <c r="B442" t="str">
        <f>IF(A442="","",MATCH(A442,Акты!$B$5:$B$16,0))</f>
        <v/>
      </c>
      <c r="C442" s="21" t="str">
        <f>IF(A442="","",Оплаты!$A$434+1)</f>
        <v/>
      </c>
      <c r="D442" s="21" t="str">
        <f>IF(A442="","",MIN(Ввод!$B$4,Ввод!$B$4+1-SUMPRODUCT(MAX((Оплаты!$D$6:$D$505=A442)*(Оплаты!$A$6:$A$505&gt;Оплаты!$A$434)*(Ввод!$B$4+1-Оплаты!$A$6:$A$505)))))</f>
        <v/>
      </c>
      <c r="E442" s="14" t="str">
        <f>IF(A442="","",INDEX(Акты!$D$5:$D$16,B442)-SUMIFS(Оплаты!$B$6:$B$505,Оплаты!$D$6:$D$505,A442,Оплаты!$A$6:$A$505,"&lt;="&amp;Оплаты!$A$434))</f>
        <v/>
      </c>
      <c r="F442" s="14" t="str">
        <f>IF(G442="","",SUMPRODUCT(ROUND(E442*'По дням'!$L$6:$L$155/100*((((D442+'По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дням'!$J$6:$J$155)))/2+1)/'По дням'!$M$6:$M$155,2)*(1-'По дням'!$N$6:$N$155)))</f>
        <v/>
      </c>
      <c r="G442" s="22" t="str">
        <f t="shared" si="6"/>
        <v/>
      </c>
      <c r="H442" s="14" t="str">
        <f>IF(G442="","",SUMIFS(Оплаты!$B$6:$B$505,Оплаты!$D$6:$D$505,A442,Оплаты!$A$6:$A$505,D442))</f>
        <v/>
      </c>
      <c r="I442" t="str">
        <f>IF(G442="","",SUMPRODUCT((((((D442+'По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дням'!$J$6:$J$155)))/2+1)&gt;0)*1))</f>
        <v/>
      </c>
    </row>
    <row r="443" spans="1:9" x14ac:dyDescent="0.3">
      <c r="A443" t="str">
        <f>IF(AND(Оплаты!$E$435="ок",COUNTIFS(Акты!$B$5:$B$16,Оплаты!$D$435,Акты!$H$5:$H$16,"ок")&gt;0,COUNTIFS(Оплаты!$D$6:$D$434,Оплаты!$D$435,Оплаты!$A$6:$A$434,Оплаты!$A$435)=0),Оплаты!$D$435,"")</f>
        <v/>
      </c>
      <c r="B443" t="str">
        <f>IF(A443="","",MATCH(A443,Акты!$B$5:$B$16,0))</f>
        <v/>
      </c>
      <c r="C443" s="21" t="str">
        <f>IF(A443="","",Оплаты!$A$435+1)</f>
        <v/>
      </c>
      <c r="D443" s="21" t="str">
        <f>IF(A443="","",MIN(Ввод!$B$4,Ввод!$B$4+1-SUMPRODUCT(MAX((Оплаты!$D$6:$D$505=A443)*(Оплаты!$A$6:$A$505&gt;Оплаты!$A$435)*(Ввод!$B$4+1-Оплаты!$A$6:$A$505)))))</f>
        <v/>
      </c>
      <c r="E443" s="14" t="str">
        <f>IF(A443="","",INDEX(Акты!$D$5:$D$16,B443)-SUMIFS(Оплаты!$B$6:$B$505,Оплаты!$D$6:$D$505,A443,Оплаты!$A$6:$A$505,"&lt;="&amp;Оплаты!$A$435))</f>
        <v/>
      </c>
      <c r="F443" s="14" t="str">
        <f>IF(G443="","",SUMPRODUCT(ROUND(E443*'По дням'!$L$6:$L$155/100*((((D443+'По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дням'!$J$6:$J$155)))/2+1)/'По дням'!$M$6:$M$155,2)*(1-'По дням'!$N$6:$N$155)))</f>
        <v/>
      </c>
      <c r="G443" s="22" t="str">
        <f t="shared" si="6"/>
        <v/>
      </c>
      <c r="H443" s="14" t="str">
        <f>IF(G443="","",SUMIFS(Оплаты!$B$6:$B$505,Оплаты!$D$6:$D$505,A443,Оплаты!$A$6:$A$505,D443))</f>
        <v/>
      </c>
      <c r="I443" t="str">
        <f>IF(G443="","",SUMPRODUCT((((((D443+'По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дням'!$J$6:$J$155)))/2+1)&gt;0)*1))</f>
        <v/>
      </c>
    </row>
    <row r="444" spans="1:9" x14ac:dyDescent="0.3">
      <c r="A444" t="str">
        <f>IF(AND(Оплаты!$E$436="ок",COUNTIFS(Акты!$B$5:$B$16,Оплаты!$D$436,Акты!$H$5:$H$16,"ок")&gt;0,COUNTIFS(Оплаты!$D$6:$D$435,Оплаты!$D$436,Оплаты!$A$6:$A$435,Оплаты!$A$436)=0),Оплаты!$D$436,"")</f>
        <v/>
      </c>
      <c r="B444" t="str">
        <f>IF(A444="","",MATCH(A444,Акты!$B$5:$B$16,0))</f>
        <v/>
      </c>
      <c r="C444" s="21" t="str">
        <f>IF(A444="","",Оплаты!$A$436+1)</f>
        <v/>
      </c>
      <c r="D444" s="21" t="str">
        <f>IF(A444="","",MIN(Ввод!$B$4,Ввод!$B$4+1-SUMPRODUCT(MAX((Оплаты!$D$6:$D$505=A444)*(Оплаты!$A$6:$A$505&gt;Оплаты!$A$436)*(Ввод!$B$4+1-Оплаты!$A$6:$A$505)))))</f>
        <v/>
      </c>
      <c r="E444" s="14" t="str">
        <f>IF(A444="","",INDEX(Акты!$D$5:$D$16,B444)-SUMIFS(Оплаты!$B$6:$B$505,Оплаты!$D$6:$D$505,A444,Оплаты!$A$6:$A$505,"&lt;="&amp;Оплаты!$A$436))</f>
        <v/>
      </c>
      <c r="F444" s="14" t="str">
        <f>IF(G444="","",SUMPRODUCT(ROUND(E444*'По дням'!$L$6:$L$155/100*((((D444+'По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дням'!$J$6:$J$155)))/2+1)/'По дням'!$M$6:$M$155,2)*(1-'По дням'!$N$6:$N$155)))</f>
        <v/>
      </c>
      <c r="G444" s="22" t="str">
        <f t="shared" si="6"/>
        <v/>
      </c>
      <c r="H444" s="14" t="str">
        <f>IF(G444="","",SUMIFS(Оплаты!$B$6:$B$505,Оплаты!$D$6:$D$505,A444,Оплаты!$A$6:$A$505,D444))</f>
        <v/>
      </c>
      <c r="I444" t="str">
        <f>IF(G444="","",SUMPRODUCT((((((D444+'По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дням'!$J$6:$J$155)))/2+1)&gt;0)*1))</f>
        <v/>
      </c>
    </row>
    <row r="445" spans="1:9" x14ac:dyDescent="0.3">
      <c r="A445" t="str">
        <f>IF(AND(Оплаты!$E$437="ок",COUNTIFS(Акты!$B$5:$B$16,Оплаты!$D$437,Акты!$H$5:$H$16,"ок")&gt;0,COUNTIFS(Оплаты!$D$6:$D$436,Оплаты!$D$437,Оплаты!$A$6:$A$436,Оплаты!$A$437)=0),Оплаты!$D$437,"")</f>
        <v/>
      </c>
      <c r="B445" t="str">
        <f>IF(A445="","",MATCH(A445,Акты!$B$5:$B$16,0))</f>
        <v/>
      </c>
      <c r="C445" s="21" t="str">
        <f>IF(A445="","",Оплаты!$A$437+1)</f>
        <v/>
      </c>
      <c r="D445" s="21" t="str">
        <f>IF(A445="","",MIN(Ввод!$B$4,Ввод!$B$4+1-SUMPRODUCT(MAX((Оплаты!$D$6:$D$505=A445)*(Оплаты!$A$6:$A$505&gt;Оплаты!$A$437)*(Ввод!$B$4+1-Оплаты!$A$6:$A$505)))))</f>
        <v/>
      </c>
      <c r="E445" s="14" t="str">
        <f>IF(A445="","",INDEX(Акты!$D$5:$D$16,B445)-SUMIFS(Оплаты!$B$6:$B$505,Оплаты!$D$6:$D$505,A445,Оплаты!$A$6:$A$505,"&lt;="&amp;Оплаты!$A$437))</f>
        <v/>
      </c>
      <c r="F445" s="14" t="str">
        <f>IF(G445="","",SUMPRODUCT(ROUND(E445*'По дням'!$L$6:$L$155/100*((((D445+'По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дням'!$J$6:$J$155)))/2+1)/'По дням'!$M$6:$M$155,2)*(1-'По дням'!$N$6:$N$155)))</f>
        <v/>
      </c>
      <c r="G445" s="22" t="str">
        <f t="shared" si="6"/>
        <v/>
      </c>
      <c r="H445" s="14" t="str">
        <f>IF(G445="","",SUMIFS(Оплаты!$B$6:$B$505,Оплаты!$D$6:$D$505,A445,Оплаты!$A$6:$A$505,D445))</f>
        <v/>
      </c>
      <c r="I445" t="str">
        <f>IF(G445="","",SUMPRODUCT((((((D445+'По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дням'!$J$6:$J$155)))/2+1)&gt;0)*1))</f>
        <v/>
      </c>
    </row>
    <row r="446" spans="1:9" x14ac:dyDescent="0.3">
      <c r="A446" t="str">
        <f>IF(AND(Оплаты!$E$438="ок",COUNTIFS(Акты!$B$5:$B$16,Оплаты!$D$438,Акты!$H$5:$H$16,"ок")&gt;0,COUNTIFS(Оплаты!$D$6:$D$437,Оплаты!$D$438,Оплаты!$A$6:$A$437,Оплаты!$A$438)=0),Оплаты!$D$438,"")</f>
        <v/>
      </c>
      <c r="B446" t="str">
        <f>IF(A446="","",MATCH(A446,Акты!$B$5:$B$16,0))</f>
        <v/>
      </c>
      <c r="C446" s="21" t="str">
        <f>IF(A446="","",Оплаты!$A$438+1)</f>
        <v/>
      </c>
      <c r="D446" s="21" t="str">
        <f>IF(A446="","",MIN(Ввод!$B$4,Ввод!$B$4+1-SUMPRODUCT(MAX((Оплаты!$D$6:$D$505=A446)*(Оплаты!$A$6:$A$505&gt;Оплаты!$A$438)*(Ввод!$B$4+1-Оплаты!$A$6:$A$505)))))</f>
        <v/>
      </c>
      <c r="E446" s="14" t="str">
        <f>IF(A446="","",INDEX(Акты!$D$5:$D$16,B446)-SUMIFS(Оплаты!$B$6:$B$505,Оплаты!$D$6:$D$505,A446,Оплаты!$A$6:$A$505,"&lt;="&amp;Оплаты!$A$438))</f>
        <v/>
      </c>
      <c r="F446" s="14" t="str">
        <f>IF(G446="","",SUMPRODUCT(ROUND(E446*'По дням'!$L$6:$L$155/100*((((D446+'По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дням'!$J$6:$J$155)))/2+1)/'По дням'!$M$6:$M$155,2)*(1-'По дням'!$N$6:$N$155)))</f>
        <v/>
      </c>
      <c r="G446" s="22" t="str">
        <f t="shared" si="6"/>
        <v/>
      </c>
      <c r="H446" s="14" t="str">
        <f>IF(G446="","",SUMIFS(Оплаты!$B$6:$B$505,Оплаты!$D$6:$D$505,A446,Оплаты!$A$6:$A$505,D446))</f>
        <v/>
      </c>
      <c r="I446" t="str">
        <f>IF(G446="","",SUMPRODUCT((((((D446+'По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дням'!$J$6:$J$155)))/2+1)&gt;0)*1))</f>
        <v/>
      </c>
    </row>
    <row r="447" spans="1:9" x14ac:dyDescent="0.3">
      <c r="A447" t="str">
        <f>IF(AND(Оплаты!$E$439="ок",COUNTIFS(Акты!$B$5:$B$16,Оплаты!$D$439,Акты!$H$5:$H$16,"ок")&gt;0,COUNTIFS(Оплаты!$D$6:$D$438,Оплаты!$D$439,Оплаты!$A$6:$A$438,Оплаты!$A$439)=0),Оплаты!$D$439,"")</f>
        <v/>
      </c>
      <c r="B447" t="str">
        <f>IF(A447="","",MATCH(A447,Акты!$B$5:$B$16,0))</f>
        <v/>
      </c>
      <c r="C447" s="21" t="str">
        <f>IF(A447="","",Оплаты!$A$439+1)</f>
        <v/>
      </c>
      <c r="D447" s="21" t="str">
        <f>IF(A447="","",MIN(Ввод!$B$4,Ввод!$B$4+1-SUMPRODUCT(MAX((Оплаты!$D$6:$D$505=A447)*(Оплаты!$A$6:$A$505&gt;Оплаты!$A$439)*(Ввод!$B$4+1-Оплаты!$A$6:$A$505)))))</f>
        <v/>
      </c>
      <c r="E447" s="14" t="str">
        <f>IF(A447="","",INDEX(Акты!$D$5:$D$16,B447)-SUMIFS(Оплаты!$B$6:$B$505,Оплаты!$D$6:$D$505,A447,Оплаты!$A$6:$A$505,"&lt;="&amp;Оплаты!$A$439))</f>
        <v/>
      </c>
      <c r="F447" s="14" t="str">
        <f>IF(G447="","",SUMPRODUCT(ROUND(E447*'По дням'!$L$6:$L$155/100*((((D447+'По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дням'!$J$6:$J$155)))/2+1)/'По дням'!$M$6:$M$155,2)*(1-'По дням'!$N$6:$N$155)))</f>
        <v/>
      </c>
      <c r="G447" s="22" t="str">
        <f t="shared" si="6"/>
        <v/>
      </c>
      <c r="H447" s="14" t="str">
        <f>IF(G447="","",SUMIFS(Оплаты!$B$6:$B$505,Оплаты!$D$6:$D$505,A447,Оплаты!$A$6:$A$505,D447))</f>
        <v/>
      </c>
      <c r="I447" t="str">
        <f>IF(G447="","",SUMPRODUCT((((((D447+'По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дням'!$J$6:$J$155)))/2+1)&gt;0)*1))</f>
        <v/>
      </c>
    </row>
    <row r="448" spans="1:9" x14ac:dyDescent="0.3">
      <c r="A448" t="str">
        <f>IF(AND(Оплаты!$E$440="ок",COUNTIFS(Акты!$B$5:$B$16,Оплаты!$D$440,Акты!$H$5:$H$16,"ок")&gt;0,COUNTIFS(Оплаты!$D$6:$D$439,Оплаты!$D$440,Оплаты!$A$6:$A$439,Оплаты!$A$440)=0),Оплаты!$D$440,"")</f>
        <v/>
      </c>
      <c r="B448" t="str">
        <f>IF(A448="","",MATCH(A448,Акты!$B$5:$B$16,0))</f>
        <v/>
      </c>
      <c r="C448" s="21" t="str">
        <f>IF(A448="","",Оплаты!$A$440+1)</f>
        <v/>
      </c>
      <c r="D448" s="21" t="str">
        <f>IF(A448="","",MIN(Ввод!$B$4,Ввод!$B$4+1-SUMPRODUCT(MAX((Оплаты!$D$6:$D$505=A448)*(Оплаты!$A$6:$A$505&gt;Оплаты!$A$440)*(Ввод!$B$4+1-Оплаты!$A$6:$A$505)))))</f>
        <v/>
      </c>
      <c r="E448" s="14" t="str">
        <f>IF(A448="","",INDEX(Акты!$D$5:$D$16,B448)-SUMIFS(Оплаты!$B$6:$B$505,Оплаты!$D$6:$D$505,A448,Оплаты!$A$6:$A$505,"&lt;="&amp;Оплаты!$A$440))</f>
        <v/>
      </c>
      <c r="F448" s="14" t="str">
        <f>IF(G448="","",SUMPRODUCT(ROUND(E448*'По дням'!$L$6:$L$155/100*((((D448+'По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дням'!$J$6:$J$155)))/2+1)/'По дням'!$M$6:$M$155,2)*(1-'По дням'!$N$6:$N$155)))</f>
        <v/>
      </c>
      <c r="G448" s="22" t="str">
        <f t="shared" si="6"/>
        <v/>
      </c>
      <c r="H448" s="14" t="str">
        <f>IF(G448="","",SUMIFS(Оплаты!$B$6:$B$505,Оплаты!$D$6:$D$505,A448,Оплаты!$A$6:$A$505,D448))</f>
        <v/>
      </c>
      <c r="I448" t="str">
        <f>IF(G448="","",SUMPRODUCT((((((D448+'По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дням'!$J$6:$J$155)))/2+1)&gt;0)*1))</f>
        <v/>
      </c>
    </row>
    <row r="449" spans="1:9" x14ac:dyDescent="0.3">
      <c r="A449" t="str">
        <f>IF(AND(Оплаты!$E$441="ок",COUNTIFS(Акты!$B$5:$B$16,Оплаты!$D$441,Акты!$H$5:$H$16,"ок")&gt;0,COUNTIFS(Оплаты!$D$6:$D$440,Оплаты!$D$441,Оплаты!$A$6:$A$440,Оплаты!$A$441)=0),Оплаты!$D$441,"")</f>
        <v/>
      </c>
      <c r="B449" t="str">
        <f>IF(A449="","",MATCH(A449,Акты!$B$5:$B$16,0))</f>
        <v/>
      </c>
      <c r="C449" s="21" t="str">
        <f>IF(A449="","",Оплаты!$A$441+1)</f>
        <v/>
      </c>
      <c r="D449" s="21" t="str">
        <f>IF(A449="","",MIN(Ввод!$B$4,Ввод!$B$4+1-SUMPRODUCT(MAX((Оплаты!$D$6:$D$505=A449)*(Оплаты!$A$6:$A$505&gt;Оплаты!$A$441)*(Ввод!$B$4+1-Оплаты!$A$6:$A$505)))))</f>
        <v/>
      </c>
      <c r="E449" s="14" t="str">
        <f>IF(A449="","",INDEX(Акты!$D$5:$D$16,B449)-SUMIFS(Оплаты!$B$6:$B$505,Оплаты!$D$6:$D$505,A449,Оплаты!$A$6:$A$505,"&lt;="&amp;Оплаты!$A$441))</f>
        <v/>
      </c>
      <c r="F449" s="14" t="str">
        <f>IF(G449="","",SUMPRODUCT(ROUND(E449*'По дням'!$L$6:$L$155/100*((((D449+'По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дням'!$J$6:$J$155)))/2+1)/'По дням'!$M$6:$M$155,2)*(1-'По дням'!$N$6:$N$155)))</f>
        <v/>
      </c>
      <c r="G449" s="22" t="str">
        <f t="shared" si="6"/>
        <v/>
      </c>
      <c r="H449" s="14" t="str">
        <f>IF(G449="","",SUMIFS(Оплаты!$B$6:$B$505,Оплаты!$D$6:$D$505,A449,Оплаты!$A$6:$A$505,D449))</f>
        <v/>
      </c>
      <c r="I449" t="str">
        <f>IF(G449="","",SUMPRODUCT((((((D449+'По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дням'!$J$6:$J$155)))/2+1)&gt;0)*1))</f>
        <v/>
      </c>
    </row>
    <row r="450" spans="1:9" x14ac:dyDescent="0.3">
      <c r="A450" t="str">
        <f>IF(AND(Оплаты!$E$442="ок",COUNTIFS(Акты!$B$5:$B$16,Оплаты!$D$442,Акты!$H$5:$H$16,"ок")&gt;0,COUNTIFS(Оплаты!$D$6:$D$441,Оплаты!$D$442,Оплаты!$A$6:$A$441,Оплаты!$A$442)=0),Оплаты!$D$442,"")</f>
        <v/>
      </c>
      <c r="B450" t="str">
        <f>IF(A450="","",MATCH(A450,Акты!$B$5:$B$16,0))</f>
        <v/>
      </c>
      <c r="C450" s="21" t="str">
        <f>IF(A450="","",Оплаты!$A$442+1)</f>
        <v/>
      </c>
      <c r="D450" s="21" t="str">
        <f>IF(A450="","",MIN(Ввод!$B$4,Ввод!$B$4+1-SUMPRODUCT(MAX((Оплаты!$D$6:$D$505=A450)*(Оплаты!$A$6:$A$505&gt;Оплаты!$A$442)*(Ввод!$B$4+1-Оплаты!$A$6:$A$505)))))</f>
        <v/>
      </c>
      <c r="E450" s="14" t="str">
        <f>IF(A450="","",INDEX(Акты!$D$5:$D$16,B450)-SUMIFS(Оплаты!$B$6:$B$505,Оплаты!$D$6:$D$505,A450,Оплаты!$A$6:$A$505,"&lt;="&amp;Оплаты!$A$442))</f>
        <v/>
      </c>
      <c r="F450" s="14" t="str">
        <f>IF(G450="","",SUMPRODUCT(ROUND(E450*'По дням'!$L$6:$L$155/100*((((D450+'По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дням'!$J$6:$J$155)))/2+1)/'По дням'!$M$6:$M$155,2)*(1-'По дням'!$N$6:$N$155)))</f>
        <v/>
      </c>
      <c r="G450" s="22" t="str">
        <f t="shared" ref="G450:G513" si="7">IF(A450="","",IF(C450&gt;D450,"",B450*1000000+C450))</f>
        <v/>
      </c>
      <c r="H450" s="14" t="str">
        <f>IF(G450="","",SUMIFS(Оплаты!$B$6:$B$505,Оплаты!$D$6:$D$505,A450,Оплаты!$A$6:$A$505,D450))</f>
        <v/>
      </c>
      <c r="I450" t="str">
        <f>IF(G450="","",SUMPRODUCT((((((D450+'По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дням'!$J$6:$J$155)))/2+1)&gt;0)*1))</f>
        <v/>
      </c>
    </row>
    <row r="451" spans="1:9" x14ac:dyDescent="0.3">
      <c r="A451" t="str">
        <f>IF(AND(Оплаты!$E$443="ок",COUNTIFS(Акты!$B$5:$B$16,Оплаты!$D$443,Акты!$H$5:$H$16,"ок")&gt;0,COUNTIFS(Оплаты!$D$6:$D$442,Оплаты!$D$443,Оплаты!$A$6:$A$442,Оплаты!$A$443)=0),Оплаты!$D$443,"")</f>
        <v/>
      </c>
      <c r="B451" t="str">
        <f>IF(A451="","",MATCH(A451,Акты!$B$5:$B$16,0))</f>
        <v/>
      </c>
      <c r="C451" s="21" t="str">
        <f>IF(A451="","",Оплаты!$A$443+1)</f>
        <v/>
      </c>
      <c r="D451" s="21" t="str">
        <f>IF(A451="","",MIN(Ввод!$B$4,Ввод!$B$4+1-SUMPRODUCT(MAX((Оплаты!$D$6:$D$505=A451)*(Оплаты!$A$6:$A$505&gt;Оплаты!$A$443)*(Ввод!$B$4+1-Оплаты!$A$6:$A$505)))))</f>
        <v/>
      </c>
      <c r="E451" s="14" t="str">
        <f>IF(A451="","",INDEX(Акты!$D$5:$D$16,B451)-SUMIFS(Оплаты!$B$6:$B$505,Оплаты!$D$6:$D$505,A451,Оплаты!$A$6:$A$505,"&lt;="&amp;Оплаты!$A$443))</f>
        <v/>
      </c>
      <c r="F451" s="14" t="str">
        <f>IF(G451="","",SUMPRODUCT(ROUND(E451*'По дням'!$L$6:$L$155/100*((((D451+'По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дням'!$J$6:$J$155)))/2+1)/'По дням'!$M$6:$M$155,2)*(1-'По дням'!$N$6:$N$155)))</f>
        <v/>
      </c>
      <c r="G451" s="22" t="str">
        <f t="shared" si="7"/>
        <v/>
      </c>
      <c r="H451" s="14" t="str">
        <f>IF(G451="","",SUMIFS(Оплаты!$B$6:$B$505,Оплаты!$D$6:$D$505,A451,Оплаты!$A$6:$A$505,D451))</f>
        <v/>
      </c>
      <c r="I451" t="str">
        <f>IF(G451="","",SUMPRODUCT((((((D451+'По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дням'!$J$6:$J$155)))/2+1)&gt;0)*1))</f>
        <v/>
      </c>
    </row>
    <row r="452" spans="1:9" x14ac:dyDescent="0.3">
      <c r="A452" t="str">
        <f>IF(AND(Оплаты!$E$444="ок",COUNTIFS(Акты!$B$5:$B$16,Оплаты!$D$444,Акты!$H$5:$H$16,"ок")&gt;0,COUNTIFS(Оплаты!$D$6:$D$443,Оплаты!$D$444,Оплаты!$A$6:$A$443,Оплаты!$A$444)=0),Оплаты!$D$444,"")</f>
        <v/>
      </c>
      <c r="B452" t="str">
        <f>IF(A452="","",MATCH(A452,Акты!$B$5:$B$16,0))</f>
        <v/>
      </c>
      <c r="C452" s="21" t="str">
        <f>IF(A452="","",Оплаты!$A$444+1)</f>
        <v/>
      </c>
      <c r="D452" s="21" t="str">
        <f>IF(A452="","",MIN(Ввод!$B$4,Ввод!$B$4+1-SUMPRODUCT(MAX((Оплаты!$D$6:$D$505=A452)*(Оплаты!$A$6:$A$505&gt;Оплаты!$A$444)*(Ввод!$B$4+1-Оплаты!$A$6:$A$505)))))</f>
        <v/>
      </c>
      <c r="E452" s="14" t="str">
        <f>IF(A452="","",INDEX(Акты!$D$5:$D$16,B452)-SUMIFS(Оплаты!$B$6:$B$505,Оплаты!$D$6:$D$505,A452,Оплаты!$A$6:$A$505,"&lt;="&amp;Оплаты!$A$444))</f>
        <v/>
      </c>
      <c r="F452" s="14" t="str">
        <f>IF(G452="","",SUMPRODUCT(ROUND(E452*'По дням'!$L$6:$L$155/100*((((D452+'По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дням'!$J$6:$J$155)))/2+1)/'По дням'!$M$6:$M$155,2)*(1-'По дням'!$N$6:$N$155)))</f>
        <v/>
      </c>
      <c r="G452" s="22" t="str">
        <f t="shared" si="7"/>
        <v/>
      </c>
      <c r="H452" s="14" t="str">
        <f>IF(G452="","",SUMIFS(Оплаты!$B$6:$B$505,Оплаты!$D$6:$D$505,A452,Оплаты!$A$6:$A$505,D452))</f>
        <v/>
      </c>
      <c r="I452" t="str">
        <f>IF(G452="","",SUMPRODUCT((((((D452+'По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дням'!$J$6:$J$155)))/2+1)&gt;0)*1))</f>
        <v/>
      </c>
    </row>
    <row r="453" spans="1:9" x14ac:dyDescent="0.3">
      <c r="A453" t="str">
        <f>IF(AND(Оплаты!$E$445="ок",COUNTIFS(Акты!$B$5:$B$16,Оплаты!$D$445,Акты!$H$5:$H$16,"ок")&gt;0,COUNTIFS(Оплаты!$D$6:$D$444,Оплаты!$D$445,Оплаты!$A$6:$A$444,Оплаты!$A$445)=0),Оплаты!$D$445,"")</f>
        <v/>
      </c>
      <c r="B453" t="str">
        <f>IF(A453="","",MATCH(A453,Акты!$B$5:$B$16,0))</f>
        <v/>
      </c>
      <c r="C453" s="21" t="str">
        <f>IF(A453="","",Оплаты!$A$445+1)</f>
        <v/>
      </c>
      <c r="D453" s="21" t="str">
        <f>IF(A453="","",MIN(Ввод!$B$4,Ввод!$B$4+1-SUMPRODUCT(MAX((Оплаты!$D$6:$D$505=A453)*(Оплаты!$A$6:$A$505&gt;Оплаты!$A$445)*(Ввод!$B$4+1-Оплаты!$A$6:$A$505)))))</f>
        <v/>
      </c>
      <c r="E453" s="14" t="str">
        <f>IF(A453="","",INDEX(Акты!$D$5:$D$16,B453)-SUMIFS(Оплаты!$B$6:$B$505,Оплаты!$D$6:$D$505,A453,Оплаты!$A$6:$A$505,"&lt;="&amp;Оплаты!$A$445))</f>
        <v/>
      </c>
      <c r="F453" s="14" t="str">
        <f>IF(G453="","",SUMPRODUCT(ROUND(E453*'По дням'!$L$6:$L$155/100*((((D453+'По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дням'!$J$6:$J$155)))/2+1)/'По дням'!$M$6:$M$155,2)*(1-'По дням'!$N$6:$N$155)))</f>
        <v/>
      </c>
      <c r="G453" s="22" t="str">
        <f t="shared" si="7"/>
        <v/>
      </c>
      <c r="H453" s="14" t="str">
        <f>IF(G453="","",SUMIFS(Оплаты!$B$6:$B$505,Оплаты!$D$6:$D$505,A453,Оплаты!$A$6:$A$505,D453))</f>
        <v/>
      </c>
      <c r="I453" t="str">
        <f>IF(G453="","",SUMPRODUCT((((((D453+'По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дням'!$J$6:$J$155)))/2+1)&gt;0)*1))</f>
        <v/>
      </c>
    </row>
    <row r="454" spans="1:9" x14ac:dyDescent="0.3">
      <c r="A454" t="str">
        <f>IF(AND(Оплаты!$E$446="ок",COUNTIFS(Акты!$B$5:$B$16,Оплаты!$D$446,Акты!$H$5:$H$16,"ок")&gt;0,COUNTIFS(Оплаты!$D$6:$D$445,Оплаты!$D$446,Оплаты!$A$6:$A$445,Оплаты!$A$446)=0),Оплаты!$D$446,"")</f>
        <v/>
      </c>
      <c r="B454" t="str">
        <f>IF(A454="","",MATCH(A454,Акты!$B$5:$B$16,0))</f>
        <v/>
      </c>
      <c r="C454" s="21" t="str">
        <f>IF(A454="","",Оплаты!$A$446+1)</f>
        <v/>
      </c>
      <c r="D454" s="21" t="str">
        <f>IF(A454="","",MIN(Ввод!$B$4,Ввод!$B$4+1-SUMPRODUCT(MAX((Оплаты!$D$6:$D$505=A454)*(Оплаты!$A$6:$A$505&gt;Оплаты!$A$446)*(Ввод!$B$4+1-Оплаты!$A$6:$A$505)))))</f>
        <v/>
      </c>
      <c r="E454" s="14" t="str">
        <f>IF(A454="","",INDEX(Акты!$D$5:$D$16,B454)-SUMIFS(Оплаты!$B$6:$B$505,Оплаты!$D$6:$D$505,A454,Оплаты!$A$6:$A$505,"&lt;="&amp;Оплаты!$A$446))</f>
        <v/>
      </c>
      <c r="F454" s="14" t="str">
        <f>IF(G454="","",SUMPRODUCT(ROUND(E454*'По дням'!$L$6:$L$155/100*((((D454+'По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дням'!$J$6:$J$155)))/2+1)/'По дням'!$M$6:$M$155,2)*(1-'По дням'!$N$6:$N$155)))</f>
        <v/>
      </c>
      <c r="G454" s="22" t="str">
        <f t="shared" si="7"/>
        <v/>
      </c>
      <c r="H454" s="14" t="str">
        <f>IF(G454="","",SUMIFS(Оплаты!$B$6:$B$505,Оплаты!$D$6:$D$505,A454,Оплаты!$A$6:$A$505,D454))</f>
        <v/>
      </c>
      <c r="I454" t="str">
        <f>IF(G454="","",SUMPRODUCT((((((D454+'По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дням'!$J$6:$J$155)))/2+1)&gt;0)*1))</f>
        <v/>
      </c>
    </row>
    <row r="455" spans="1:9" x14ac:dyDescent="0.3">
      <c r="A455" t="str">
        <f>IF(AND(Оплаты!$E$447="ок",COUNTIFS(Акты!$B$5:$B$16,Оплаты!$D$447,Акты!$H$5:$H$16,"ок")&gt;0,COUNTIFS(Оплаты!$D$6:$D$446,Оплаты!$D$447,Оплаты!$A$6:$A$446,Оплаты!$A$447)=0),Оплаты!$D$447,"")</f>
        <v/>
      </c>
      <c r="B455" t="str">
        <f>IF(A455="","",MATCH(A455,Акты!$B$5:$B$16,0))</f>
        <v/>
      </c>
      <c r="C455" s="21" t="str">
        <f>IF(A455="","",Оплаты!$A$447+1)</f>
        <v/>
      </c>
      <c r="D455" s="21" t="str">
        <f>IF(A455="","",MIN(Ввод!$B$4,Ввод!$B$4+1-SUMPRODUCT(MAX((Оплаты!$D$6:$D$505=A455)*(Оплаты!$A$6:$A$505&gt;Оплаты!$A$447)*(Ввод!$B$4+1-Оплаты!$A$6:$A$505)))))</f>
        <v/>
      </c>
      <c r="E455" s="14" t="str">
        <f>IF(A455="","",INDEX(Акты!$D$5:$D$16,B455)-SUMIFS(Оплаты!$B$6:$B$505,Оплаты!$D$6:$D$505,A455,Оплаты!$A$6:$A$505,"&lt;="&amp;Оплаты!$A$447))</f>
        <v/>
      </c>
      <c r="F455" s="14" t="str">
        <f>IF(G455="","",SUMPRODUCT(ROUND(E455*'По дням'!$L$6:$L$155/100*((((D455+'По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дням'!$J$6:$J$155)))/2+1)/'По дням'!$M$6:$M$155,2)*(1-'По дням'!$N$6:$N$155)))</f>
        <v/>
      </c>
      <c r="G455" s="22" t="str">
        <f t="shared" si="7"/>
        <v/>
      </c>
      <c r="H455" s="14" t="str">
        <f>IF(G455="","",SUMIFS(Оплаты!$B$6:$B$505,Оплаты!$D$6:$D$505,A455,Оплаты!$A$6:$A$505,D455))</f>
        <v/>
      </c>
      <c r="I455" t="str">
        <f>IF(G455="","",SUMPRODUCT((((((D455+'По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дням'!$J$6:$J$155)))/2+1)&gt;0)*1))</f>
        <v/>
      </c>
    </row>
    <row r="456" spans="1:9" x14ac:dyDescent="0.3">
      <c r="A456" t="str">
        <f>IF(AND(Оплаты!$E$448="ок",COUNTIFS(Акты!$B$5:$B$16,Оплаты!$D$448,Акты!$H$5:$H$16,"ок")&gt;0,COUNTIFS(Оплаты!$D$6:$D$447,Оплаты!$D$448,Оплаты!$A$6:$A$447,Оплаты!$A$448)=0),Оплаты!$D$448,"")</f>
        <v/>
      </c>
      <c r="B456" t="str">
        <f>IF(A456="","",MATCH(A456,Акты!$B$5:$B$16,0))</f>
        <v/>
      </c>
      <c r="C456" s="21" t="str">
        <f>IF(A456="","",Оплаты!$A$448+1)</f>
        <v/>
      </c>
      <c r="D456" s="21" t="str">
        <f>IF(A456="","",MIN(Ввод!$B$4,Ввод!$B$4+1-SUMPRODUCT(MAX((Оплаты!$D$6:$D$505=A456)*(Оплаты!$A$6:$A$505&gt;Оплаты!$A$448)*(Ввод!$B$4+1-Оплаты!$A$6:$A$505)))))</f>
        <v/>
      </c>
      <c r="E456" s="14" t="str">
        <f>IF(A456="","",INDEX(Акты!$D$5:$D$16,B456)-SUMIFS(Оплаты!$B$6:$B$505,Оплаты!$D$6:$D$505,A456,Оплаты!$A$6:$A$505,"&lt;="&amp;Оплаты!$A$448))</f>
        <v/>
      </c>
      <c r="F456" s="14" t="str">
        <f>IF(G456="","",SUMPRODUCT(ROUND(E456*'По дням'!$L$6:$L$155/100*((((D456+'По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дням'!$J$6:$J$155)))/2+1)/'По дням'!$M$6:$M$155,2)*(1-'По дням'!$N$6:$N$155)))</f>
        <v/>
      </c>
      <c r="G456" s="22" t="str">
        <f t="shared" si="7"/>
        <v/>
      </c>
      <c r="H456" s="14" t="str">
        <f>IF(G456="","",SUMIFS(Оплаты!$B$6:$B$505,Оплаты!$D$6:$D$505,A456,Оплаты!$A$6:$A$505,D456))</f>
        <v/>
      </c>
      <c r="I456" t="str">
        <f>IF(G456="","",SUMPRODUCT((((((D456+'По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дням'!$J$6:$J$155)))/2+1)&gt;0)*1))</f>
        <v/>
      </c>
    </row>
    <row r="457" spans="1:9" x14ac:dyDescent="0.3">
      <c r="A457" t="str">
        <f>IF(AND(Оплаты!$E$449="ок",COUNTIFS(Акты!$B$5:$B$16,Оплаты!$D$449,Акты!$H$5:$H$16,"ок")&gt;0,COUNTIFS(Оплаты!$D$6:$D$448,Оплаты!$D$449,Оплаты!$A$6:$A$448,Оплаты!$A$449)=0),Оплаты!$D$449,"")</f>
        <v/>
      </c>
      <c r="B457" t="str">
        <f>IF(A457="","",MATCH(A457,Акты!$B$5:$B$16,0))</f>
        <v/>
      </c>
      <c r="C457" s="21" t="str">
        <f>IF(A457="","",Оплаты!$A$449+1)</f>
        <v/>
      </c>
      <c r="D457" s="21" t="str">
        <f>IF(A457="","",MIN(Ввод!$B$4,Ввод!$B$4+1-SUMPRODUCT(MAX((Оплаты!$D$6:$D$505=A457)*(Оплаты!$A$6:$A$505&gt;Оплаты!$A$449)*(Ввод!$B$4+1-Оплаты!$A$6:$A$505)))))</f>
        <v/>
      </c>
      <c r="E457" s="14" t="str">
        <f>IF(A457="","",INDEX(Акты!$D$5:$D$16,B457)-SUMIFS(Оплаты!$B$6:$B$505,Оплаты!$D$6:$D$505,A457,Оплаты!$A$6:$A$505,"&lt;="&amp;Оплаты!$A$449))</f>
        <v/>
      </c>
      <c r="F457" s="14" t="str">
        <f>IF(G457="","",SUMPRODUCT(ROUND(E457*'По дням'!$L$6:$L$155/100*((((D457+'По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дням'!$J$6:$J$155)))/2+1)/'По дням'!$M$6:$M$155,2)*(1-'По дням'!$N$6:$N$155)))</f>
        <v/>
      </c>
      <c r="G457" s="22" t="str">
        <f t="shared" si="7"/>
        <v/>
      </c>
      <c r="H457" s="14" t="str">
        <f>IF(G457="","",SUMIFS(Оплаты!$B$6:$B$505,Оплаты!$D$6:$D$505,A457,Оплаты!$A$6:$A$505,D457))</f>
        <v/>
      </c>
      <c r="I457" t="str">
        <f>IF(G457="","",SUMPRODUCT((((((D457+'По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дням'!$J$6:$J$155)))/2+1)&gt;0)*1))</f>
        <v/>
      </c>
    </row>
    <row r="458" spans="1:9" x14ac:dyDescent="0.3">
      <c r="A458" t="str">
        <f>IF(AND(Оплаты!$E$450="ок",COUNTIFS(Акты!$B$5:$B$16,Оплаты!$D$450,Акты!$H$5:$H$16,"ок")&gt;0,COUNTIFS(Оплаты!$D$6:$D$449,Оплаты!$D$450,Оплаты!$A$6:$A$449,Оплаты!$A$450)=0),Оплаты!$D$450,"")</f>
        <v/>
      </c>
      <c r="B458" t="str">
        <f>IF(A458="","",MATCH(A458,Акты!$B$5:$B$16,0))</f>
        <v/>
      </c>
      <c r="C458" s="21" t="str">
        <f>IF(A458="","",Оплаты!$A$450+1)</f>
        <v/>
      </c>
      <c r="D458" s="21" t="str">
        <f>IF(A458="","",MIN(Ввод!$B$4,Ввод!$B$4+1-SUMPRODUCT(MAX((Оплаты!$D$6:$D$505=A458)*(Оплаты!$A$6:$A$505&gt;Оплаты!$A$450)*(Ввод!$B$4+1-Оплаты!$A$6:$A$505)))))</f>
        <v/>
      </c>
      <c r="E458" s="14" t="str">
        <f>IF(A458="","",INDEX(Акты!$D$5:$D$16,B458)-SUMIFS(Оплаты!$B$6:$B$505,Оплаты!$D$6:$D$505,A458,Оплаты!$A$6:$A$505,"&lt;="&amp;Оплаты!$A$450))</f>
        <v/>
      </c>
      <c r="F458" s="14" t="str">
        <f>IF(G458="","",SUMPRODUCT(ROUND(E458*'По дням'!$L$6:$L$155/100*((((D458+'По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дням'!$J$6:$J$155)))/2+1)/'По дням'!$M$6:$M$155,2)*(1-'По дням'!$N$6:$N$155)))</f>
        <v/>
      </c>
      <c r="G458" s="22" t="str">
        <f t="shared" si="7"/>
        <v/>
      </c>
      <c r="H458" s="14" t="str">
        <f>IF(G458="","",SUMIFS(Оплаты!$B$6:$B$505,Оплаты!$D$6:$D$505,A458,Оплаты!$A$6:$A$505,D458))</f>
        <v/>
      </c>
      <c r="I458" t="str">
        <f>IF(G458="","",SUMPRODUCT((((((D458+'По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дням'!$J$6:$J$155)))/2+1)&gt;0)*1))</f>
        <v/>
      </c>
    </row>
    <row r="459" spans="1:9" x14ac:dyDescent="0.3">
      <c r="A459" t="str">
        <f>IF(AND(Оплаты!$E$451="ок",COUNTIFS(Акты!$B$5:$B$16,Оплаты!$D$451,Акты!$H$5:$H$16,"ок")&gt;0,COUNTIFS(Оплаты!$D$6:$D$450,Оплаты!$D$451,Оплаты!$A$6:$A$450,Оплаты!$A$451)=0),Оплаты!$D$451,"")</f>
        <v/>
      </c>
      <c r="B459" t="str">
        <f>IF(A459="","",MATCH(A459,Акты!$B$5:$B$16,0))</f>
        <v/>
      </c>
      <c r="C459" s="21" t="str">
        <f>IF(A459="","",Оплаты!$A$451+1)</f>
        <v/>
      </c>
      <c r="D459" s="21" t="str">
        <f>IF(A459="","",MIN(Ввод!$B$4,Ввод!$B$4+1-SUMPRODUCT(MAX((Оплаты!$D$6:$D$505=A459)*(Оплаты!$A$6:$A$505&gt;Оплаты!$A$451)*(Ввод!$B$4+1-Оплаты!$A$6:$A$505)))))</f>
        <v/>
      </c>
      <c r="E459" s="14" t="str">
        <f>IF(A459="","",INDEX(Акты!$D$5:$D$16,B459)-SUMIFS(Оплаты!$B$6:$B$505,Оплаты!$D$6:$D$505,A459,Оплаты!$A$6:$A$505,"&lt;="&amp;Оплаты!$A$451))</f>
        <v/>
      </c>
      <c r="F459" s="14" t="str">
        <f>IF(G459="","",SUMPRODUCT(ROUND(E459*'По дням'!$L$6:$L$155/100*((((D459+'По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дням'!$J$6:$J$155)))/2+1)/'По дням'!$M$6:$M$155,2)*(1-'По дням'!$N$6:$N$155)))</f>
        <v/>
      </c>
      <c r="G459" s="22" t="str">
        <f t="shared" si="7"/>
        <v/>
      </c>
      <c r="H459" s="14" t="str">
        <f>IF(G459="","",SUMIFS(Оплаты!$B$6:$B$505,Оплаты!$D$6:$D$505,A459,Оплаты!$A$6:$A$505,D459))</f>
        <v/>
      </c>
      <c r="I459" t="str">
        <f>IF(G459="","",SUMPRODUCT((((((D459+'По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дням'!$J$6:$J$155)))/2+1)&gt;0)*1))</f>
        <v/>
      </c>
    </row>
    <row r="460" spans="1:9" x14ac:dyDescent="0.3">
      <c r="A460" t="str">
        <f>IF(AND(Оплаты!$E$452="ок",COUNTIFS(Акты!$B$5:$B$16,Оплаты!$D$452,Акты!$H$5:$H$16,"ок")&gt;0,COUNTIFS(Оплаты!$D$6:$D$451,Оплаты!$D$452,Оплаты!$A$6:$A$451,Оплаты!$A$452)=0),Оплаты!$D$452,"")</f>
        <v/>
      </c>
      <c r="B460" t="str">
        <f>IF(A460="","",MATCH(A460,Акты!$B$5:$B$16,0))</f>
        <v/>
      </c>
      <c r="C460" s="21" t="str">
        <f>IF(A460="","",Оплаты!$A$452+1)</f>
        <v/>
      </c>
      <c r="D460" s="21" t="str">
        <f>IF(A460="","",MIN(Ввод!$B$4,Ввод!$B$4+1-SUMPRODUCT(MAX((Оплаты!$D$6:$D$505=A460)*(Оплаты!$A$6:$A$505&gt;Оплаты!$A$452)*(Ввод!$B$4+1-Оплаты!$A$6:$A$505)))))</f>
        <v/>
      </c>
      <c r="E460" s="14" t="str">
        <f>IF(A460="","",INDEX(Акты!$D$5:$D$16,B460)-SUMIFS(Оплаты!$B$6:$B$505,Оплаты!$D$6:$D$505,A460,Оплаты!$A$6:$A$505,"&lt;="&amp;Оплаты!$A$452))</f>
        <v/>
      </c>
      <c r="F460" s="14" t="str">
        <f>IF(G460="","",SUMPRODUCT(ROUND(E460*'По дням'!$L$6:$L$155/100*((((D460+'По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дням'!$J$6:$J$155)))/2+1)/'По дням'!$M$6:$M$155,2)*(1-'По дням'!$N$6:$N$155)))</f>
        <v/>
      </c>
      <c r="G460" s="22" t="str">
        <f t="shared" si="7"/>
        <v/>
      </c>
      <c r="H460" s="14" t="str">
        <f>IF(G460="","",SUMIFS(Оплаты!$B$6:$B$505,Оплаты!$D$6:$D$505,A460,Оплаты!$A$6:$A$505,D460))</f>
        <v/>
      </c>
      <c r="I460" t="str">
        <f>IF(G460="","",SUMPRODUCT((((((D460+'По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дням'!$J$6:$J$155)))/2+1)&gt;0)*1))</f>
        <v/>
      </c>
    </row>
    <row r="461" spans="1:9" x14ac:dyDescent="0.3">
      <c r="A461" t="str">
        <f>IF(AND(Оплаты!$E$453="ок",COUNTIFS(Акты!$B$5:$B$16,Оплаты!$D$453,Акты!$H$5:$H$16,"ок")&gt;0,COUNTIFS(Оплаты!$D$6:$D$452,Оплаты!$D$453,Оплаты!$A$6:$A$452,Оплаты!$A$453)=0),Оплаты!$D$453,"")</f>
        <v/>
      </c>
      <c r="B461" t="str">
        <f>IF(A461="","",MATCH(A461,Акты!$B$5:$B$16,0))</f>
        <v/>
      </c>
      <c r="C461" s="21" t="str">
        <f>IF(A461="","",Оплаты!$A$453+1)</f>
        <v/>
      </c>
      <c r="D461" s="21" t="str">
        <f>IF(A461="","",MIN(Ввод!$B$4,Ввод!$B$4+1-SUMPRODUCT(MAX((Оплаты!$D$6:$D$505=A461)*(Оплаты!$A$6:$A$505&gt;Оплаты!$A$453)*(Ввод!$B$4+1-Оплаты!$A$6:$A$505)))))</f>
        <v/>
      </c>
      <c r="E461" s="14" t="str">
        <f>IF(A461="","",INDEX(Акты!$D$5:$D$16,B461)-SUMIFS(Оплаты!$B$6:$B$505,Оплаты!$D$6:$D$505,A461,Оплаты!$A$6:$A$505,"&lt;="&amp;Оплаты!$A$453))</f>
        <v/>
      </c>
      <c r="F461" s="14" t="str">
        <f>IF(G461="","",SUMPRODUCT(ROUND(E461*'По дням'!$L$6:$L$155/100*((((D461+'По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дням'!$J$6:$J$155)))/2+1)/'По дням'!$M$6:$M$155,2)*(1-'По дням'!$N$6:$N$155)))</f>
        <v/>
      </c>
      <c r="G461" s="22" t="str">
        <f t="shared" si="7"/>
        <v/>
      </c>
      <c r="H461" s="14" t="str">
        <f>IF(G461="","",SUMIFS(Оплаты!$B$6:$B$505,Оплаты!$D$6:$D$505,A461,Оплаты!$A$6:$A$505,D461))</f>
        <v/>
      </c>
      <c r="I461" t="str">
        <f>IF(G461="","",SUMPRODUCT((((((D461+'По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дням'!$J$6:$J$155)))/2+1)&gt;0)*1))</f>
        <v/>
      </c>
    </row>
    <row r="462" spans="1:9" x14ac:dyDescent="0.3">
      <c r="A462" t="str">
        <f>IF(AND(Оплаты!$E$454="ок",COUNTIFS(Акты!$B$5:$B$16,Оплаты!$D$454,Акты!$H$5:$H$16,"ок")&gt;0,COUNTIFS(Оплаты!$D$6:$D$453,Оплаты!$D$454,Оплаты!$A$6:$A$453,Оплаты!$A$454)=0),Оплаты!$D$454,"")</f>
        <v/>
      </c>
      <c r="B462" t="str">
        <f>IF(A462="","",MATCH(A462,Акты!$B$5:$B$16,0))</f>
        <v/>
      </c>
      <c r="C462" s="21" t="str">
        <f>IF(A462="","",Оплаты!$A$454+1)</f>
        <v/>
      </c>
      <c r="D462" s="21" t="str">
        <f>IF(A462="","",MIN(Ввод!$B$4,Ввод!$B$4+1-SUMPRODUCT(MAX((Оплаты!$D$6:$D$505=A462)*(Оплаты!$A$6:$A$505&gt;Оплаты!$A$454)*(Ввод!$B$4+1-Оплаты!$A$6:$A$505)))))</f>
        <v/>
      </c>
      <c r="E462" s="14" t="str">
        <f>IF(A462="","",INDEX(Акты!$D$5:$D$16,B462)-SUMIFS(Оплаты!$B$6:$B$505,Оплаты!$D$6:$D$505,A462,Оплаты!$A$6:$A$505,"&lt;="&amp;Оплаты!$A$454))</f>
        <v/>
      </c>
      <c r="F462" s="14" t="str">
        <f>IF(G462="","",SUMPRODUCT(ROUND(E462*'По дням'!$L$6:$L$155/100*((((D462+'По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дням'!$J$6:$J$155)))/2+1)/'По дням'!$M$6:$M$155,2)*(1-'По дням'!$N$6:$N$155)))</f>
        <v/>
      </c>
      <c r="G462" s="22" t="str">
        <f t="shared" si="7"/>
        <v/>
      </c>
      <c r="H462" s="14" t="str">
        <f>IF(G462="","",SUMIFS(Оплаты!$B$6:$B$505,Оплаты!$D$6:$D$505,A462,Оплаты!$A$6:$A$505,D462))</f>
        <v/>
      </c>
      <c r="I462" t="str">
        <f>IF(G462="","",SUMPRODUCT((((((D462+'По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дням'!$J$6:$J$155)))/2+1)&gt;0)*1))</f>
        <v/>
      </c>
    </row>
    <row r="463" spans="1:9" x14ac:dyDescent="0.3">
      <c r="A463" t="str">
        <f>IF(AND(Оплаты!$E$455="ок",COUNTIFS(Акты!$B$5:$B$16,Оплаты!$D$455,Акты!$H$5:$H$16,"ок")&gt;0,COUNTIFS(Оплаты!$D$6:$D$454,Оплаты!$D$455,Оплаты!$A$6:$A$454,Оплаты!$A$455)=0),Оплаты!$D$455,"")</f>
        <v/>
      </c>
      <c r="B463" t="str">
        <f>IF(A463="","",MATCH(A463,Акты!$B$5:$B$16,0))</f>
        <v/>
      </c>
      <c r="C463" s="21" t="str">
        <f>IF(A463="","",Оплаты!$A$455+1)</f>
        <v/>
      </c>
      <c r="D463" s="21" t="str">
        <f>IF(A463="","",MIN(Ввод!$B$4,Ввод!$B$4+1-SUMPRODUCT(MAX((Оплаты!$D$6:$D$505=A463)*(Оплаты!$A$6:$A$505&gt;Оплаты!$A$455)*(Ввод!$B$4+1-Оплаты!$A$6:$A$505)))))</f>
        <v/>
      </c>
      <c r="E463" s="14" t="str">
        <f>IF(A463="","",INDEX(Акты!$D$5:$D$16,B463)-SUMIFS(Оплаты!$B$6:$B$505,Оплаты!$D$6:$D$505,A463,Оплаты!$A$6:$A$505,"&lt;="&amp;Оплаты!$A$455))</f>
        <v/>
      </c>
      <c r="F463" s="14" t="str">
        <f>IF(G463="","",SUMPRODUCT(ROUND(E463*'По дням'!$L$6:$L$155/100*((((D463+'По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дням'!$J$6:$J$155)))/2+1)/'По дням'!$M$6:$M$155,2)*(1-'По дням'!$N$6:$N$155)))</f>
        <v/>
      </c>
      <c r="G463" s="22" t="str">
        <f t="shared" si="7"/>
        <v/>
      </c>
      <c r="H463" s="14" t="str">
        <f>IF(G463="","",SUMIFS(Оплаты!$B$6:$B$505,Оплаты!$D$6:$D$505,A463,Оплаты!$A$6:$A$505,D463))</f>
        <v/>
      </c>
      <c r="I463" t="str">
        <f>IF(G463="","",SUMPRODUCT((((((D463+'По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дням'!$J$6:$J$155)))/2+1)&gt;0)*1))</f>
        <v/>
      </c>
    </row>
    <row r="464" spans="1:9" x14ac:dyDescent="0.3">
      <c r="A464" t="str">
        <f>IF(AND(Оплаты!$E$456="ок",COUNTIFS(Акты!$B$5:$B$16,Оплаты!$D$456,Акты!$H$5:$H$16,"ок")&gt;0,COUNTIFS(Оплаты!$D$6:$D$455,Оплаты!$D$456,Оплаты!$A$6:$A$455,Оплаты!$A$456)=0),Оплаты!$D$456,"")</f>
        <v/>
      </c>
      <c r="B464" t="str">
        <f>IF(A464="","",MATCH(A464,Акты!$B$5:$B$16,0))</f>
        <v/>
      </c>
      <c r="C464" s="21" t="str">
        <f>IF(A464="","",Оплаты!$A$456+1)</f>
        <v/>
      </c>
      <c r="D464" s="21" t="str">
        <f>IF(A464="","",MIN(Ввод!$B$4,Ввод!$B$4+1-SUMPRODUCT(MAX((Оплаты!$D$6:$D$505=A464)*(Оплаты!$A$6:$A$505&gt;Оплаты!$A$456)*(Ввод!$B$4+1-Оплаты!$A$6:$A$505)))))</f>
        <v/>
      </c>
      <c r="E464" s="14" t="str">
        <f>IF(A464="","",INDEX(Акты!$D$5:$D$16,B464)-SUMIFS(Оплаты!$B$6:$B$505,Оплаты!$D$6:$D$505,A464,Оплаты!$A$6:$A$505,"&lt;="&amp;Оплаты!$A$456))</f>
        <v/>
      </c>
      <c r="F464" s="14" t="str">
        <f>IF(G464="","",SUMPRODUCT(ROUND(E464*'По дням'!$L$6:$L$155/100*((((D464+'По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дням'!$J$6:$J$155)))/2+1)/'По дням'!$M$6:$M$155,2)*(1-'По дням'!$N$6:$N$155)))</f>
        <v/>
      </c>
      <c r="G464" s="22" t="str">
        <f t="shared" si="7"/>
        <v/>
      </c>
      <c r="H464" s="14" t="str">
        <f>IF(G464="","",SUMIFS(Оплаты!$B$6:$B$505,Оплаты!$D$6:$D$505,A464,Оплаты!$A$6:$A$505,D464))</f>
        <v/>
      </c>
      <c r="I464" t="str">
        <f>IF(G464="","",SUMPRODUCT((((((D464+'По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дням'!$J$6:$J$155)))/2+1)&gt;0)*1))</f>
        <v/>
      </c>
    </row>
    <row r="465" spans="1:9" x14ac:dyDescent="0.3">
      <c r="A465" t="str">
        <f>IF(AND(Оплаты!$E$457="ок",COUNTIFS(Акты!$B$5:$B$16,Оплаты!$D$457,Акты!$H$5:$H$16,"ок")&gt;0,COUNTIFS(Оплаты!$D$6:$D$456,Оплаты!$D$457,Оплаты!$A$6:$A$456,Оплаты!$A$457)=0),Оплаты!$D$457,"")</f>
        <v/>
      </c>
      <c r="B465" t="str">
        <f>IF(A465="","",MATCH(A465,Акты!$B$5:$B$16,0))</f>
        <v/>
      </c>
      <c r="C465" s="21" t="str">
        <f>IF(A465="","",Оплаты!$A$457+1)</f>
        <v/>
      </c>
      <c r="D465" s="21" t="str">
        <f>IF(A465="","",MIN(Ввод!$B$4,Ввод!$B$4+1-SUMPRODUCT(MAX((Оплаты!$D$6:$D$505=A465)*(Оплаты!$A$6:$A$505&gt;Оплаты!$A$457)*(Ввод!$B$4+1-Оплаты!$A$6:$A$505)))))</f>
        <v/>
      </c>
      <c r="E465" s="14" t="str">
        <f>IF(A465="","",INDEX(Акты!$D$5:$D$16,B465)-SUMIFS(Оплаты!$B$6:$B$505,Оплаты!$D$6:$D$505,A465,Оплаты!$A$6:$A$505,"&lt;="&amp;Оплаты!$A$457))</f>
        <v/>
      </c>
      <c r="F465" s="14" t="str">
        <f>IF(G465="","",SUMPRODUCT(ROUND(E465*'По дням'!$L$6:$L$155/100*((((D465+'По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дням'!$J$6:$J$155)))/2+1)/'По дням'!$M$6:$M$155,2)*(1-'По дням'!$N$6:$N$155)))</f>
        <v/>
      </c>
      <c r="G465" s="22" t="str">
        <f t="shared" si="7"/>
        <v/>
      </c>
      <c r="H465" s="14" t="str">
        <f>IF(G465="","",SUMIFS(Оплаты!$B$6:$B$505,Оплаты!$D$6:$D$505,A465,Оплаты!$A$6:$A$505,D465))</f>
        <v/>
      </c>
      <c r="I465" t="str">
        <f>IF(G465="","",SUMPRODUCT((((((D465+'По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дням'!$J$6:$J$155)))/2+1)&gt;0)*1))</f>
        <v/>
      </c>
    </row>
    <row r="466" spans="1:9" x14ac:dyDescent="0.3">
      <c r="A466" t="str">
        <f>IF(AND(Оплаты!$E$458="ок",COUNTIFS(Акты!$B$5:$B$16,Оплаты!$D$458,Акты!$H$5:$H$16,"ок")&gt;0,COUNTIFS(Оплаты!$D$6:$D$457,Оплаты!$D$458,Оплаты!$A$6:$A$457,Оплаты!$A$458)=0),Оплаты!$D$458,"")</f>
        <v/>
      </c>
      <c r="B466" t="str">
        <f>IF(A466="","",MATCH(A466,Акты!$B$5:$B$16,0))</f>
        <v/>
      </c>
      <c r="C466" s="21" t="str">
        <f>IF(A466="","",Оплаты!$A$458+1)</f>
        <v/>
      </c>
      <c r="D466" s="21" t="str">
        <f>IF(A466="","",MIN(Ввод!$B$4,Ввод!$B$4+1-SUMPRODUCT(MAX((Оплаты!$D$6:$D$505=A466)*(Оплаты!$A$6:$A$505&gt;Оплаты!$A$458)*(Ввод!$B$4+1-Оплаты!$A$6:$A$505)))))</f>
        <v/>
      </c>
      <c r="E466" s="14" t="str">
        <f>IF(A466="","",INDEX(Акты!$D$5:$D$16,B466)-SUMIFS(Оплаты!$B$6:$B$505,Оплаты!$D$6:$D$505,A466,Оплаты!$A$6:$A$505,"&lt;="&amp;Оплаты!$A$458))</f>
        <v/>
      </c>
      <c r="F466" s="14" t="str">
        <f>IF(G466="","",SUMPRODUCT(ROUND(E466*'По дням'!$L$6:$L$155/100*((((D466+'По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дням'!$J$6:$J$155)))/2+1)/'По дням'!$M$6:$M$155,2)*(1-'По дням'!$N$6:$N$155)))</f>
        <v/>
      </c>
      <c r="G466" s="22" t="str">
        <f t="shared" si="7"/>
        <v/>
      </c>
      <c r="H466" s="14" t="str">
        <f>IF(G466="","",SUMIFS(Оплаты!$B$6:$B$505,Оплаты!$D$6:$D$505,A466,Оплаты!$A$6:$A$505,D466))</f>
        <v/>
      </c>
      <c r="I466" t="str">
        <f>IF(G466="","",SUMPRODUCT((((((D466+'По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дням'!$J$6:$J$155)))/2+1)&gt;0)*1))</f>
        <v/>
      </c>
    </row>
    <row r="467" spans="1:9" x14ac:dyDescent="0.3">
      <c r="A467" t="str">
        <f>IF(AND(Оплаты!$E$459="ок",COUNTIFS(Акты!$B$5:$B$16,Оплаты!$D$459,Акты!$H$5:$H$16,"ок")&gt;0,COUNTIFS(Оплаты!$D$6:$D$458,Оплаты!$D$459,Оплаты!$A$6:$A$458,Оплаты!$A$459)=0),Оплаты!$D$459,"")</f>
        <v/>
      </c>
      <c r="B467" t="str">
        <f>IF(A467="","",MATCH(A467,Акты!$B$5:$B$16,0))</f>
        <v/>
      </c>
      <c r="C467" s="21" t="str">
        <f>IF(A467="","",Оплаты!$A$459+1)</f>
        <v/>
      </c>
      <c r="D467" s="21" t="str">
        <f>IF(A467="","",MIN(Ввод!$B$4,Ввод!$B$4+1-SUMPRODUCT(MAX((Оплаты!$D$6:$D$505=A467)*(Оплаты!$A$6:$A$505&gt;Оплаты!$A$459)*(Ввод!$B$4+1-Оплаты!$A$6:$A$505)))))</f>
        <v/>
      </c>
      <c r="E467" s="14" t="str">
        <f>IF(A467="","",INDEX(Акты!$D$5:$D$16,B467)-SUMIFS(Оплаты!$B$6:$B$505,Оплаты!$D$6:$D$505,A467,Оплаты!$A$6:$A$505,"&lt;="&amp;Оплаты!$A$459))</f>
        <v/>
      </c>
      <c r="F467" s="14" t="str">
        <f>IF(G467="","",SUMPRODUCT(ROUND(E467*'По дням'!$L$6:$L$155/100*((((D467+'По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дням'!$J$6:$J$155)))/2+1)/'По дням'!$M$6:$M$155,2)*(1-'По дням'!$N$6:$N$155)))</f>
        <v/>
      </c>
      <c r="G467" s="22" t="str">
        <f t="shared" si="7"/>
        <v/>
      </c>
      <c r="H467" s="14" t="str">
        <f>IF(G467="","",SUMIFS(Оплаты!$B$6:$B$505,Оплаты!$D$6:$D$505,A467,Оплаты!$A$6:$A$505,D467))</f>
        <v/>
      </c>
      <c r="I467" t="str">
        <f>IF(G467="","",SUMPRODUCT((((((D467+'По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дням'!$J$6:$J$155)))/2+1)&gt;0)*1))</f>
        <v/>
      </c>
    </row>
    <row r="468" spans="1:9" x14ac:dyDescent="0.3">
      <c r="A468" t="str">
        <f>IF(AND(Оплаты!$E$460="ок",COUNTIFS(Акты!$B$5:$B$16,Оплаты!$D$460,Акты!$H$5:$H$16,"ок")&gt;0,COUNTIFS(Оплаты!$D$6:$D$459,Оплаты!$D$460,Оплаты!$A$6:$A$459,Оплаты!$A$460)=0),Оплаты!$D$460,"")</f>
        <v/>
      </c>
      <c r="B468" t="str">
        <f>IF(A468="","",MATCH(A468,Акты!$B$5:$B$16,0))</f>
        <v/>
      </c>
      <c r="C468" s="21" t="str">
        <f>IF(A468="","",Оплаты!$A$460+1)</f>
        <v/>
      </c>
      <c r="D468" s="21" t="str">
        <f>IF(A468="","",MIN(Ввод!$B$4,Ввод!$B$4+1-SUMPRODUCT(MAX((Оплаты!$D$6:$D$505=A468)*(Оплаты!$A$6:$A$505&gt;Оплаты!$A$460)*(Ввод!$B$4+1-Оплаты!$A$6:$A$505)))))</f>
        <v/>
      </c>
      <c r="E468" s="14" t="str">
        <f>IF(A468="","",INDEX(Акты!$D$5:$D$16,B468)-SUMIFS(Оплаты!$B$6:$B$505,Оплаты!$D$6:$D$505,A468,Оплаты!$A$6:$A$505,"&lt;="&amp;Оплаты!$A$460))</f>
        <v/>
      </c>
      <c r="F468" s="14" t="str">
        <f>IF(G468="","",SUMPRODUCT(ROUND(E468*'По дням'!$L$6:$L$155/100*((((D468+'По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дням'!$J$6:$J$155)))/2+1)/'По дням'!$M$6:$M$155,2)*(1-'По дням'!$N$6:$N$155)))</f>
        <v/>
      </c>
      <c r="G468" s="22" t="str">
        <f t="shared" si="7"/>
        <v/>
      </c>
      <c r="H468" s="14" t="str">
        <f>IF(G468="","",SUMIFS(Оплаты!$B$6:$B$505,Оплаты!$D$6:$D$505,A468,Оплаты!$A$6:$A$505,D468))</f>
        <v/>
      </c>
      <c r="I468" t="str">
        <f>IF(G468="","",SUMPRODUCT((((((D468+'По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дням'!$J$6:$J$155)))/2+1)&gt;0)*1))</f>
        <v/>
      </c>
    </row>
    <row r="469" spans="1:9" x14ac:dyDescent="0.3">
      <c r="A469" t="str">
        <f>IF(AND(Оплаты!$E$461="ок",COUNTIFS(Акты!$B$5:$B$16,Оплаты!$D$461,Акты!$H$5:$H$16,"ок")&gt;0,COUNTIFS(Оплаты!$D$6:$D$460,Оплаты!$D$461,Оплаты!$A$6:$A$460,Оплаты!$A$461)=0),Оплаты!$D$461,"")</f>
        <v/>
      </c>
      <c r="B469" t="str">
        <f>IF(A469="","",MATCH(A469,Акты!$B$5:$B$16,0))</f>
        <v/>
      </c>
      <c r="C469" s="21" t="str">
        <f>IF(A469="","",Оплаты!$A$461+1)</f>
        <v/>
      </c>
      <c r="D469" s="21" t="str">
        <f>IF(A469="","",MIN(Ввод!$B$4,Ввод!$B$4+1-SUMPRODUCT(MAX((Оплаты!$D$6:$D$505=A469)*(Оплаты!$A$6:$A$505&gt;Оплаты!$A$461)*(Ввод!$B$4+1-Оплаты!$A$6:$A$505)))))</f>
        <v/>
      </c>
      <c r="E469" s="14" t="str">
        <f>IF(A469="","",INDEX(Акты!$D$5:$D$16,B469)-SUMIFS(Оплаты!$B$6:$B$505,Оплаты!$D$6:$D$505,A469,Оплаты!$A$6:$A$505,"&lt;="&amp;Оплаты!$A$461))</f>
        <v/>
      </c>
      <c r="F469" s="14" t="str">
        <f>IF(G469="","",SUMPRODUCT(ROUND(E469*'По дням'!$L$6:$L$155/100*((((D469+'По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дням'!$J$6:$J$155)))/2+1)/'По дням'!$M$6:$M$155,2)*(1-'По дням'!$N$6:$N$155)))</f>
        <v/>
      </c>
      <c r="G469" s="22" t="str">
        <f t="shared" si="7"/>
        <v/>
      </c>
      <c r="H469" s="14" t="str">
        <f>IF(G469="","",SUMIFS(Оплаты!$B$6:$B$505,Оплаты!$D$6:$D$505,A469,Оплаты!$A$6:$A$505,D469))</f>
        <v/>
      </c>
      <c r="I469" t="str">
        <f>IF(G469="","",SUMPRODUCT((((((D469+'По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дням'!$J$6:$J$155)))/2+1)&gt;0)*1))</f>
        <v/>
      </c>
    </row>
    <row r="470" spans="1:9" x14ac:dyDescent="0.3">
      <c r="A470" t="str">
        <f>IF(AND(Оплаты!$E$462="ок",COUNTIFS(Акты!$B$5:$B$16,Оплаты!$D$462,Акты!$H$5:$H$16,"ок")&gt;0,COUNTIFS(Оплаты!$D$6:$D$461,Оплаты!$D$462,Оплаты!$A$6:$A$461,Оплаты!$A$462)=0),Оплаты!$D$462,"")</f>
        <v/>
      </c>
      <c r="B470" t="str">
        <f>IF(A470="","",MATCH(A470,Акты!$B$5:$B$16,0))</f>
        <v/>
      </c>
      <c r="C470" s="21" t="str">
        <f>IF(A470="","",Оплаты!$A$462+1)</f>
        <v/>
      </c>
      <c r="D470" s="21" t="str">
        <f>IF(A470="","",MIN(Ввод!$B$4,Ввод!$B$4+1-SUMPRODUCT(MAX((Оплаты!$D$6:$D$505=A470)*(Оплаты!$A$6:$A$505&gt;Оплаты!$A$462)*(Ввод!$B$4+1-Оплаты!$A$6:$A$505)))))</f>
        <v/>
      </c>
      <c r="E470" s="14" t="str">
        <f>IF(A470="","",INDEX(Акты!$D$5:$D$16,B470)-SUMIFS(Оплаты!$B$6:$B$505,Оплаты!$D$6:$D$505,A470,Оплаты!$A$6:$A$505,"&lt;="&amp;Оплаты!$A$462))</f>
        <v/>
      </c>
      <c r="F470" s="14" t="str">
        <f>IF(G470="","",SUMPRODUCT(ROUND(E470*'По дням'!$L$6:$L$155/100*((((D470+'По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дням'!$J$6:$J$155)))/2+1)/'По дням'!$M$6:$M$155,2)*(1-'По дням'!$N$6:$N$155)))</f>
        <v/>
      </c>
      <c r="G470" s="22" t="str">
        <f t="shared" si="7"/>
        <v/>
      </c>
      <c r="H470" s="14" t="str">
        <f>IF(G470="","",SUMIFS(Оплаты!$B$6:$B$505,Оплаты!$D$6:$D$505,A470,Оплаты!$A$6:$A$505,D470))</f>
        <v/>
      </c>
      <c r="I470" t="str">
        <f>IF(G470="","",SUMPRODUCT((((((D470+'По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дням'!$J$6:$J$155)))/2+1)&gt;0)*1))</f>
        <v/>
      </c>
    </row>
    <row r="471" spans="1:9" x14ac:dyDescent="0.3">
      <c r="A471" t="str">
        <f>IF(AND(Оплаты!$E$463="ок",COUNTIFS(Акты!$B$5:$B$16,Оплаты!$D$463,Акты!$H$5:$H$16,"ок")&gt;0,COUNTIFS(Оплаты!$D$6:$D$462,Оплаты!$D$463,Оплаты!$A$6:$A$462,Оплаты!$A$463)=0),Оплаты!$D$463,"")</f>
        <v/>
      </c>
      <c r="B471" t="str">
        <f>IF(A471="","",MATCH(A471,Акты!$B$5:$B$16,0))</f>
        <v/>
      </c>
      <c r="C471" s="21" t="str">
        <f>IF(A471="","",Оплаты!$A$463+1)</f>
        <v/>
      </c>
      <c r="D471" s="21" t="str">
        <f>IF(A471="","",MIN(Ввод!$B$4,Ввод!$B$4+1-SUMPRODUCT(MAX((Оплаты!$D$6:$D$505=A471)*(Оплаты!$A$6:$A$505&gt;Оплаты!$A$463)*(Ввод!$B$4+1-Оплаты!$A$6:$A$505)))))</f>
        <v/>
      </c>
      <c r="E471" s="14" t="str">
        <f>IF(A471="","",INDEX(Акты!$D$5:$D$16,B471)-SUMIFS(Оплаты!$B$6:$B$505,Оплаты!$D$6:$D$505,A471,Оплаты!$A$6:$A$505,"&lt;="&amp;Оплаты!$A$463))</f>
        <v/>
      </c>
      <c r="F471" s="14" t="str">
        <f>IF(G471="","",SUMPRODUCT(ROUND(E471*'По дням'!$L$6:$L$155/100*((((D471+'По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дням'!$J$6:$J$155)))/2+1)/'По дням'!$M$6:$M$155,2)*(1-'По дням'!$N$6:$N$155)))</f>
        <v/>
      </c>
      <c r="G471" s="22" t="str">
        <f t="shared" si="7"/>
        <v/>
      </c>
      <c r="H471" s="14" t="str">
        <f>IF(G471="","",SUMIFS(Оплаты!$B$6:$B$505,Оплаты!$D$6:$D$505,A471,Оплаты!$A$6:$A$505,D471))</f>
        <v/>
      </c>
      <c r="I471" t="str">
        <f>IF(G471="","",SUMPRODUCT((((((D471+'По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дням'!$J$6:$J$155)))/2+1)&gt;0)*1))</f>
        <v/>
      </c>
    </row>
    <row r="472" spans="1:9" x14ac:dyDescent="0.3">
      <c r="A472" t="str">
        <f>IF(AND(Оплаты!$E$464="ок",COUNTIFS(Акты!$B$5:$B$16,Оплаты!$D$464,Акты!$H$5:$H$16,"ок")&gt;0,COUNTIFS(Оплаты!$D$6:$D$463,Оплаты!$D$464,Оплаты!$A$6:$A$463,Оплаты!$A$464)=0),Оплаты!$D$464,"")</f>
        <v/>
      </c>
      <c r="B472" t="str">
        <f>IF(A472="","",MATCH(A472,Акты!$B$5:$B$16,0))</f>
        <v/>
      </c>
      <c r="C472" s="21" t="str">
        <f>IF(A472="","",Оплаты!$A$464+1)</f>
        <v/>
      </c>
      <c r="D472" s="21" t="str">
        <f>IF(A472="","",MIN(Ввод!$B$4,Ввод!$B$4+1-SUMPRODUCT(MAX((Оплаты!$D$6:$D$505=A472)*(Оплаты!$A$6:$A$505&gt;Оплаты!$A$464)*(Ввод!$B$4+1-Оплаты!$A$6:$A$505)))))</f>
        <v/>
      </c>
      <c r="E472" s="14" t="str">
        <f>IF(A472="","",INDEX(Акты!$D$5:$D$16,B472)-SUMIFS(Оплаты!$B$6:$B$505,Оплаты!$D$6:$D$505,A472,Оплаты!$A$6:$A$505,"&lt;="&amp;Оплаты!$A$464))</f>
        <v/>
      </c>
      <c r="F472" s="14" t="str">
        <f>IF(G472="","",SUMPRODUCT(ROUND(E472*'По дням'!$L$6:$L$155/100*((((D472+'По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дням'!$J$6:$J$155)))/2+1)/'По дням'!$M$6:$M$155,2)*(1-'По дням'!$N$6:$N$155)))</f>
        <v/>
      </c>
      <c r="G472" s="22" t="str">
        <f t="shared" si="7"/>
        <v/>
      </c>
      <c r="H472" s="14" t="str">
        <f>IF(G472="","",SUMIFS(Оплаты!$B$6:$B$505,Оплаты!$D$6:$D$505,A472,Оплаты!$A$6:$A$505,D472))</f>
        <v/>
      </c>
      <c r="I472" t="str">
        <f>IF(G472="","",SUMPRODUCT((((((D472+'По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дням'!$J$6:$J$155)))/2+1)&gt;0)*1))</f>
        <v/>
      </c>
    </row>
    <row r="473" spans="1:9" x14ac:dyDescent="0.3">
      <c r="A473" t="str">
        <f>IF(AND(Оплаты!$E$465="ок",COUNTIFS(Акты!$B$5:$B$16,Оплаты!$D$465,Акты!$H$5:$H$16,"ок")&gt;0,COUNTIFS(Оплаты!$D$6:$D$464,Оплаты!$D$465,Оплаты!$A$6:$A$464,Оплаты!$A$465)=0),Оплаты!$D$465,"")</f>
        <v/>
      </c>
      <c r="B473" t="str">
        <f>IF(A473="","",MATCH(A473,Акты!$B$5:$B$16,0))</f>
        <v/>
      </c>
      <c r="C473" s="21" t="str">
        <f>IF(A473="","",Оплаты!$A$465+1)</f>
        <v/>
      </c>
      <c r="D473" s="21" t="str">
        <f>IF(A473="","",MIN(Ввод!$B$4,Ввод!$B$4+1-SUMPRODUCT(MAX((Оплаты!$D$6:$D$505=A473)*(Оплаты!$A$6:$A$505&gt;Оплаты!$A$465)*(Ввод!$B$4+1-Оплаты!$A$6:$A$505)))))</f>
        <v/>
      </c>
      <c r="E473" s="14" t="str">
        <f>IF(A473="","",INDEX(Акты!$D$5:$D$16,B473)-SUMIFS(Оплаты!$B$6:$B$505,Оплаты!$D$6:$D$505,A473,Оплаты!$A$6:$A$505,"&lt;="&amp;Оплаты!$A$465))</f>
        <v/>
      </c>
      <c r="F473" s="14" t="str">
        <f>IF(G473="","",SUMPRODUCT(ROUND(E473*'По дням'!$L$6:$L$155/100*((((D473+'По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дням'!$J$6:$J$155)))/2+1)/'По дням'!$M$6:$M$155,2)*(1-'По дням'!$N$6:$N$155)))</f>
        <v/>
      </c>
      <c r="G473" s="22" t="str">
        <f t="shared" si="7"/>
        <v/>
      </c>
      <c r="H473" s="14" t="str">
        <f>IF(G473="","",SUMIFS(Оплаты!$B$6:$B$505,Оплаты!$D$6:$D$505,A473,Оплаты!$A$6:$A$505,D473))</f>
        <v/>
      </c>
      <c r="I473" t="str">
        <f>IF(G473="","",SUMPRODUCT((((((D473+'По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дням'!$J$6:$J$155)))/2+1)&gt;0)*1))</f>
        <v/>
      </c>
    </row>
    <row r="474" spans="1:9" x14ac:dyDescent="0.3">
      <c r="A474" t="str">
        <f>IF(AND(Оплаты!$E$466="ок",COUNTIFS(Акты!$B$5:$B$16,Оплаты!$D$466,Акты!$H$5:$H$16,"ок")&gt;0,COUNTIFS(Оплаты!$D$6:$D$465,Оплаты!$D$466,Оплаты!$A$6:$A$465,Оплаты!$A$466)=0),Оплаты!$D$466,"")</f>
        <v/>
      </c>
      <c r="B474" t="str">
        <f>IF(A474="","",MATCH(A474,Акты!$B$5:$B$16,0))</f>
        <v/>
      </c>
      <c r="C474" s="21" t="str">
        <f>IF(A474="","",Оплаты!$A$466+1)</f>
        <v/>
      </c>
      <c r="D474" s="21" t="str">
        <f>IF(A474="","",MIN(Ввод!$B$4,Ввод!$B$4+1-SUMPRODUCT(MAX((Оплаты!$D$6:$D$505=A474)*(Оплаты!$A$6:$A$505&gt;Оплаты!$A$466)*(Ввод!$B$4+1-Оплаты!$A$6:$A$505)))))</f>
        <v/>
      </c>
      <c r="E474" s="14" t="str">
        <f>IF(A474="","",INDEX(Акты!$D$5:$D$16,B474)-SUMIFS(Оплаты!$B$6:$B$505,Оплаты!$D$6:$D$505,A474,Оплаты!$A$6:$A$505,"&lt;="&amp;Оплаты!$A$466))</f>
        <v/>
      </c>
      <c r="F474" s="14" t="str">
        <f>IF(G474="","",SUMPRODUCT(ROUND(E474*'По дням'!$L$6:$L$155/100*((((D474+'По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дням'!$J$6:$J$155)))/2+1)/'По дням'!$M$6:$M$155,2)*(1-'По дням'!$N$6:$N$155)))</f>
        <v/>
      </c>
      <c r="G474" s="22" t="str">
        <f t="shared" si="7"/>
        <v/>
      </c>
      <c r="H474" s="14" t="str">
        <f>IF(G474="","",SUMIFS(Оплаты!$B$6:$B$505,Оплаты!$D$6:$D$505,A474,Оплаты!$A$6:$A$505,D474))</f>
        <v/>
      </c>
      <c r="I474" t="str">
        <f>IF(G474="","",SUMPRODUCT((((((D474+'По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дням'!$J$6:$J$155)))/2+1)&gt;0)*1))</f>
        <v/>
      </c>
    </row>
    <row r="475" spans="1:9" x14ac:dyDescent="0.3">
      <c r="A475" t="str">
        <f>IF(AND(Оплаты!$E$467="ок",COUNTIFS(Акты!$B$5:$B$16,Оплаты!$D$467,Акты!$H$5:$H$16,"ок")&gt;0,COUNTIFS(Оплаты!$D$6:$D$466,Оплаты!$D$467,Оплаты!$A$6:$A$466,Оплаты!$A$467)=0),Оплаты!$D$467,"")</f>
        <v/>
      </c>
      <c r="B475" t="str">
        <f>IF(A475="","",MATCH(A475,Акты!$B$5:$B$16,0))</f>
        <v/>
      </c>
      <c r="C475" s="21" t="str">
        <f>IF(A475="","",Оплаты!$A$467+1)</f>
        <v/>
      </c>
      <c r="D475" s="21" t="str">
        <f>IF(A475="","",MIN(Ввод!$B$4,Ввод!$B$4+1-SUMPRODUCT(MAX((Оплаты!$D$6:$D$505=A475)*(Оплаты!$A$6:$A$505&gt;Оплаты!$A$467)*(Ввод!$B$4+1-Оплаты!$A$6:$A$505)))))</f>
        <v/>
      </c>
      <c r="E475" s="14" t="str">
        <f>IF(A475="","",INDEX(Акты!$D$5:$D$16,B475)-SUMIFS(Оплаты!$B$6:$B$505,Оплаты!$D$6:$D$505,A475,Оплаты!$A$6:$A$505,"&lt;="&amp;Оплаты!$A$467))</f>
        <v/>
      </c>
      <c r="F475" s="14" t="str">
        <f>IF(G475="","",SUMPRODUCT(ROUND(E475*'По дням'!$L$6:$L$155/100*((((D475+'По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дням'!$J$6:$J$155)))/2+1)/'По дням'!$M$6:$M$155,2)*(1-'По дням'!$N$6:$N$155)))</f>
        <v/>
      </c>
      <c r="G475" s="22" t="str">
        <f t="shared" si="7"/>
        <v/>
      </c>
      <c r="H475" s="14" t="str">
        <f>IF(G475="","",SUMIFS(Оплаты!$B$6:$B$505,Оплаты!$D$6:$D$505,A475,Оплаты!$A$6:$A$505,D475))</f>
        <v/>
      </c>
      <c r="I475" t="str">
        <f>IF(G475="","",SUMPRODUCT((((((D475+'По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дням'!$J$6:$J$155)))/2+1)&gt;0)*1))</f>
        <v/>
      </c>
    </row>
    <row r="476" spans="1:9" x14ac:dyDescent="0.3">
      <c r="A476" t="str">
        <f>IF(AND(Оплаты!$E$468="ок",COUNTIFS(Акты!$B$5:$B$16,Оплаты!$D$468,Акты!$H$5:$H$16,"ок")&gt;0,COUNTIFS(Оплаты!$D$6:$D$467,Оплаты!$D$468,Оплаты!$A$6:$A$467,Оплаты!$A$468)=0),Оплаты!$D$468,"")</f>
        <v/>
      </c>
      <c r="B476" t="str">
        <f>IF(A476="","",MATCH(A476,Акты!$B$5:$B$16,0))</f>
        <v/>
      </c>
      <c r="C476" s="21" t="str">
        <f>IF(A476="","",Оплаты!$A$468+1)</f>
        <v/>
      </c>
      <c r="D476" s="21" t="str">
        <f>IF(A476="","",MIN(Ввод!$B$4,Ввод!$B$4+1-SUMPRODUCT(MAX((Оплаты!$D$6:$D$505=A476)*(Оплаты!$A$6:$A$505&gt;Оплаты!$A$468)*(Ввод!$B$4+1-Оплаты!$A$6:$A$505)))))</f>
        <v/>
      </c>
      <c r="E476" s="14" t="str">
        <f>IF(A476="","",INDEX(Акты!$D$5:$D$16,B476)-SUMIFS(Оплаты!$B$6:$B$505,Оплаты!$D$6:$D$505,A476,Оплаты!$A$6:$A$505,"&lt;="&amp;Оплаты!$A$468))</f>
        <v/>
      </c>
      <c r="F476" s="14" t="str">
        <f>IF(G476="","",SUMPRODUCT(ROUND(E476*'По дням'!$L$6:$L$155/100*((((D476+'По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дням'!$J$6:$J$155)))/2+1)/'По дням'!$M$6:$M$155,2)*(1-'По дням'!$N$6:$N$155)))</f>
        <v/>
      </c>
      <c r="G476" s="22" t="str">
        <f t="shared" si="7"/>
        <v/>
      </c>
      <c r="H476" s="14" t="str">
        <f>IF(G476="","",SUMIFS(Оплаты!$B$6:$B$505,Оплаты!$D$6:$D$505,A476,Оплаты!$A$6:$A$505,D476))</f>
        <v/>
      </c>
      <c r="I476" t="str">
        <f>IF(G476="","",SUMPRODUCT((((((D476+'По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дням'!$J$6:$J$155)))/2+1)&gt;0)*1))</f>
        <v/>
      </c>
    </row>
    <row r="477" spans="1:9" x14ac:dyDescent="0.3">
      <c r="A477" t="str">
        <f>IF(AND(Оплаты!$E$469="ок",COUNTIFS(Акты!$B$5:$B$16,Оплаты!$D$469,Акты!$H$5:$H$16,"ок")&gt;0,COUNTIFS(Оплаты!$D$6:$D$468,Оплаты!$D$469,Оплаты!$A$6:$A$468,Оплаты!$A$469)=0),Оплаты!$D$469,"")</f>
        <v/>
      </c>
      <c r="B477" t="str">
        <f>IF(A477="","",MATCH(A477,Акты!$B$5:$B$16,0))</f>
        <v/>
      </c>
      <c r="C477" s="21" t="str">
        <f>IF(A477="","",Оплаты!$A$469+1)</f>
        <v/>
      </c>
      <c r="D477" s="21" t="str">
        <f>IF(A477="","",MIN(Ввод!$B$4,Ввод!$B$4+1-SUMPRODUCT(MAX((Оплаты!$D$6:$D$505=A477)*(Оплаты!$A$6:$A$505&gt;Оплаты!$A$469)*(Ввод!$B$4+1-Оплаты!$A$6:$A$505)))))</f>
        <v/>
      </c>
      <c r="E477" s="14" t="str">
        <f>IF(A477="","",INDEX(Акты!$D$5:$D$16,B477)-SUMIFS(Оплаты!$B$6:$B$505,Оплаты!$D$6:$D$505,A477,Оплаты!$A$6:$A$505,"&lt;="&amp;Оплаты!$A$469))</f>
        <v/>
      </c>
      <c r="F477" s="14" t="str">
        <f>IF(G477="","",SUMPRODUCT(ROUND(E477*'По дням'!$L$6:$L$155/100*((((D477+'По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дням'!$J$6:$J$155)))/2+1)/'По дням'!$M$6:$M$155,2)*(1-'По дням'!$N$6:$N$155)))</f>
        <v/>
      </c>
      <c r="G477" s="22" t="str">
        <f t="shared" si="7"/>
        <v/>
      </c>
      <c r="H477" s="14" t="str">
        <f>IF(G477="","",SUMIFS(Оплаты!$B$6:$B$505,Оплаты!$D$6:$D$505,A477,Оплаты!$A$6:$A$505,D477))</f>
        <v/>
      </c>
      <c r="I477" t="str">
        <f>IF(G477="","",SUMPRODUCT((((((D477+'По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дням'!$J$6:$J$155)))/2+1)&gt;0)*1))</f>
        <v/>
      </c>
    </row>
    <row r="478" spans="1:9" x14ac:dyDescent="0.3">
      <c r="A478" t="str">
        <f>IF(AND(Оплаты!$E$470="ок",COUNTIFS(Акты!$B$5:$B$16,Оплаты!$D$470,Акты!$H$5:$H$16,"ок")&gt;0,COUNTIFS(Оплаты!$D$6:$D$469,Оплаты!$D$470,Оплаты!$A$6:$A$469,Оплаты!$A$470)=0),Оплаты!$D$470,"")</f>
        <v/>
      </c>
      <c r="B478" t="str">
        <f>IF(A478="","",MATCH(A478,Акты!$B$5:$B$16,0))</f>
        <v/>
      </c>
      <c r="C478" s="21" t="str">
        <f>IF(A478="","",Оплаты!$A$470+1)</f>
        <v/>
      </c>
      <c r="D478" s="21" t="str">
        <f>IF(A478="","",MIN(Ввод!$B$4,Ввод!$B$4+1-SUMPRODUCT(MAX((Оплаты!$D$6:$D$505=A478)*(Оплаты!$A$6:$A$505&gt;Оплаты!$A$470)*(Ввод!$B$4+1-Оплаты!$A$6:$A$505)))))</f>
        <v/>
      </c>
      <c r="E478" s="14" t="str">
        <f>IF(A478="","",INDEX(Акты!$D$5:$D$16,B478)-SUMIFS(Оплаты!$B$6:$B$505,Оплаты!$D$6:$D$505,A478,Оплаты!$A$6:$A$505,"&lt;="&amp;Оплаты!$A$470))</f>
        <v/>
      </c>
      <c r="F478" s="14" t="str">
        <f>IF(G478="","",SUMPRODUCT(ROUND(E478*'По дням'!$L$6:$L$155/100*((((D478+'По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дням'!$J$6:$J$155)))/2+1)/'По дням'!$M$6:$M$155,2)*(1-'По дням'!$N$6:$N$155)))</f>
        <v/>
      </c>
      <c r="G478" s="22" t="str">
        <f t="shared" si="7"/>
        <v/>
      </c>
      <c r="H478" s="14" t="str">
        <f>IF(G478="","",SUMIFS(Оплаты!$B$6:$B$505,Оплаты!$D$6:$D$505,A478,Оплаты!$A$6:$A$505,D478))</f>
        <v/>
      </c>
      <c r="I478" t="str">
        <f>IF(G478="","",SUMPRODUCT((((((D478+'По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дням'!$J$6:$J$155)))/2+1)&gt;0)*1))</f>
        <v/>
      </c>
    </row>
    <row r="479" spans="1:9" x14ac:dyDescent="0.3">
      <c r="A479" t="str">
        <f>IF(AND(Оплаты!$E$471="ок",COUNTIFS(Акты!$B$5:$B$16,Оплаты!$D$471,Акты!$H$5:$H$16,"ок")&gt;0,COUNTIFS(Оплаты!$D$6:$D$470,Оплаты!$D$471,Оплаты!$A$6:$A$470,Оплаты!$A$471)=0),Оплаты!$D$471,"")</f>
        <v/>
      </c>
      <c r="B479" t="str">
        <f>IF(A479="","",MATCH(A479,Акты!$B$5:$B$16,0))</f>
        <v/>
      </c>
      <c r="C479" s="21" t="str">
        <f>IF(A479="","",Оплаты!$A$471+1)</f>
        <v/>
      </c>
      <c r="D479" s="21" t="str">
        <f>IF(A479="","",MIN(Ввод!$B$4,Ввод!$B$4+1-SUMPRODUCT(MAX((Оплаты!$D$6:$D$505=A479)*(Оплаты!$A$6:$A$505&gt;Оплаты!$A$471)*(Ввод!$B$4+1-Оплаты!$A$6:$A$505)))))</f>
        <v/>
      </c>
      <c r="E479" s="14" t="str">
        <f>IF(A479="","",INDEX(Акты!$D$5:$D$16,B479)-SUMIFS(Оплаты!$B$6:$B$505,Оплаты!$D$6:$D$505,A479,Оплаты!$A$6:$A$505,"&lt;="&amp;Оплаты!$A$471))</f>
        <v/>
      </c>
      <c r="F479" s="14" t="str">
        <f>IF(G479="","",SUMPRODUCT(ROUND(E479*'По дням'!$L$6:$L$155/100*((((D479+'По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дням'!$J$6:$J$155)))/2+1)/'По дням'!$M$6:$M$155,2)*(1-'По дням'!$N$6:$N$155)))</f>
        <v/>
      </c>
      <c r="G479" s="22" t="str">
        <f t="shared" si="7"/>
        <v/>
      </c>
      <c r="H479" s="14" t="str">
        <f>IF(G479="","",SUMIFS(Оплаты!$B$6:$B$505,Оплаты!$D$6:$D$505,A479,Оплаты!$A$6:$A$505,D479))</f>
        <v/>
      </c>
      <c r="I479" t="str">
        <f>IF(G479="","",SUMPRODUCT((((((D479+'По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дням'!$J$6:$J$155)))/2+1)&gt;0)*1))</f>
        <v/>
      </c>
    </row>
    <row r="480" spans="1:9" x14ac:dyDescent="0.3">
      <c r="A480" t="str">
        <f>IF(AND(Оплаты!$E$472="ок",COUNTIFS(Акты!$B$5:$B$16,Оплаты!$D$472,Акты!$H$5:$H$16,"ок")&gt;0,COUNTIFS(Оплаты!$D$6:$D$471,Оплаты!$D$472,Оплаты!$A$6:$A$471,Оплаты!$A$472)=0),Оплаты!$D$472,"")</f>
        <v/>
      </c>
      <c r="B480" t="str">
        <f>IF(A480="","",MATCH(A480,Акты!$B$5:$B$16,0))</f>
        <v/>
      </c>
      <c r="C480" s="21" t="str">
        <f>IF(A480="","",Оплаты!$A$472+1)</f>
        <v/>
      </c>
      <c r="D480" s="21" t="str">
        <f>IF(A480="","",MIN(Ввод!$B$4,Ввод!$B$4+1-SUMPRODUCT(MAX((Оплаты!$D$6:$D$505=A480)*(Оплаты!$A$6:$A$505&gt;Оплаты!$A$472)*(Ввод!$B$4+1-Оплаты!$A$6:$A$505)))))</f>
        <v/>
      </c>
      <c r="E480" s="14" t="str">
        <f>IF(A480="","",INDEX(Акты!$D$5:$D$16,B480)-SUMIFS(Оплаты!$B$6:$B$505,Оплаты!$D$6:$D$505,A480,Оплаты!$A$6:$A$505,"&lt;="&amp;Оплаты!$A$472))</f>
        <v/>
      </c>
      <c r="F480" s="14" t="str">
        <f>IF(G480="","",SUMPRODUCT(ROUND(E480*'По дням'!$L$6:$L$155/100*((((D480+'По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дням'!$J$6:$J$155)))/2+1)/'По дням'!$M$6:$M$155,2)*(1-'По дням'!$N$6:$N$155)))</f>
        <v/>
      </c>
      <c r="G480" s="22" t="str">
        <f t="shared" si="7"/>
        <v/>
      </c>
      <c r="H480" s="14" t="str">
        <f>IF(G480="","",SUMIFS(Оплаты!$B$6:$B$505,Оплаты!$D$6:$D$505,A480,Оплаты!$A$6:$A$505,D480))</f>
        <v/>
      </c>
      <c r="I480" t="str">
        <f>IF(G480="","",SUMPRODUCT((((((D480+'По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дням'!$J$6:$J$155)))/2+1)&gt;0)*1))</f>
        <v/>
      </c>
    </row>
    <row r="481" spans="1:9" x14ac:dyDescent="0.3">
      <c r="A481" t="str">
        <f>IF(AND(Оплаты!$E$473="ок",COUNTIFS(Акты!$B$5:$B$16,Оплаты!$D$473,Акты!$H$5:$H$16,"ок")&gt;0,COUNTIFS(Оплаты!$D$6:$D$472,Оплаты!$D$473,Оплаты!$A$6:$A$472,Оплаты!$A$473)=0),Оплаты!$D$473,"")</f>
        <v/>
      </c>
      <c r="B481" t="str">
        <f>IF(A481="","",MATCH(A481,Акты!$B$5:$B$16,0))</f>
        <v/>
      </c>
      <c r="C481" s="21" t="str">
        <f>IF(A481="","",Оплаты!$A$473+1)</f>
        <v/>
      </c>
      <c r="D481" s="21" t="str">
        <f>IF(A481="","",MIN(Ввод!$B$4,Ввод!$B$4+1-SUMPRODUCT(MAX((Оплаты!$D$6:$D$505=A481)*(Оплаты!$A$6:$A$505&gt;Оплаты!$A$473)*(Ввод!$B$4+1-Оплаты!$A$6:$A$505)))))</f>
        <v/>
      </c>
      <c r="E481" s="14" t="str">
        <f>IF(A481="","",INDEX(Акты!$D$5:$D$16,B481)-SUMIFS(Оплаты!$B$6:$B$505,Оплаты!$D$6:$D$505,A481,Оплаты!$A$6:$A$505,"&lt;="&amp;Оплаты!$A$473))</f>
        <v/>
      </c>
      <c r="F481" s="14" t="str">
        <f>IF(G481="","",SUMPRODUCT(ROUND(E481*'По дням'!$L$6:$L$155/100*((((D481+'По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дням'!$J$6:$J$155)))/2+1)/'По дням'!$M$6:$M$155,2)*(1-'По дням'!$N$6:$N$155)))</f>
        <v/>
      </c>
      <c r="G481" s="22" t="str">
        <f t="shared" si="7"/>
        <v/>
      </c>
      <c r="H481" s="14" t="str">
        <f>IF(G481="","",SUMIFS(Оплаты!$B$6:$B$505,Оплаты!$D$6:$D$505,A481,Оплаты!$A$6:$A$505,D481))</f>
        <v/>
      </c>
      <c r="I481" t="str">
        <f>IF(G481="","",SUMPRODUCT((((((D481+'По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дням'!$J$6:$J$155)))/2+1)&gt;0)*1))</f>
        <v/>
      </c>
    </row>
    <row r="482" spans="1:9" x14ac:dyDescent="0.3">
      <c r="A482" t="str">
        <f>IF(AND(Оплаты!$E$474="ок",COUNTIFS(Акты!$B$5:$B$16,Оплаты!$D$474,Акты!$H$5:$H$16,"ок")&gt;0,COUNTIFS(Оплаты!$D$6:$D$473,Оплаты!$D$474,Оплаты!$A$6:$A$473,Оплаты!$A$474)=0),Оплаты!$D$474,"")</f>
        <v/>
      </c>
      <c r="B482" t="str">
        <f>IF(A482="","",MATCH(A482,Акты!$B$5:$B$16,0))</f>
        <v/>
      </c>
      <c r="C482" s="21" t="str">
        <f>IF(A482="","",Оплаты!$A$474+1)</f>
        <v/>
      </c>
      <c r="D482" s="21" t="str">
        <f>IF(A482="","",MIN(Ввод!$B$4,Ввод!$B$4+1-SUMPRODUCT(MAX((Оплаты!$D$6:$D$505=A482)*(Оплаты!$A$6:$A$505&gt;Оплаты!$A$474)*(Ввод!$B$4+1-Оплаты!$A$6:$A$505)))))</f>
        <v/>
      </c>
      <c r="E482" s="14" t="str">
        <f>IF(A482="","",INDEX(Акты!$D$5:$D$16,B482)-SUMIFS(Оплаты!$B$6:$B$505,Оплаты!$D$6:$D$505,A482,Оплаты!$A$6:$A$505,"&lt;="&amp;Оплаты!$A$474))</f>
        <v/>
      </c>
      <c r="F482" s="14" t="str">
        <f>IF(G482="","",SUMPRODUCT(ROUND(E482*'По дням'!$L$6:$L$155/100*((((D482+'По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дням'!$J$6:$J$155)))/2+1)/'По дням'!$M$6:$M$155,2)*(1-'По дням'!$N$6:$N$155)))</f>
        <v/>
      </c>
      <c r="G482" s="22" t="str">
        <f t="shared" si="7"/>
        <v/>
      </c>
      <c r="H482" s="14" t="str">
        <f>IF(G482="","",SUMIFS(Оплаты!$B$6:$B$505,Оплаты!$D$6:$D$505,A482,Оплаты!$A$6:$A$505,D482))</f>
        <v/>
      </c>
      <c r="I482" t="str">
        <f>IF(G482="","",SUMPRODUCT((((((D482+'По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дням'!$J$6:$J$155)))/2+1)&gt;0)*1))</f>
        <v/>
      </c>
    </row>
    <row r="483" spans="1:9" x14ac:dyDescent="0.3">
      <c r="A483" t="str">
        <f>IF(AND(Оплаты!$E$475="ок",COUNTIFS(Акты!$B$5:$B$16,Оплаты!$D$475,Акты!$H$5:$H$16,"ок")&gt;0,COUNTIFS(Оплаты!$D$6:$D$474,Оплаты!$D$475,Оплаты!$A$6:$A$474,Оплаты!$A$475)=0),Оплаты!$D$475,"")</f>
        <v/>
      </c>
      <c r="B483" t="str">
        <f>IF(A483="","",MATCH(A483,Акты!$B$5:$B$16,0))</f>
        <v/>
      </c>
      <c r="C483" s="21" t="str">
        <f>IF(A483="","",Оплаты!$A$475+1)</f>
        <v/>
      </c>
      <c r="D483" s="21" t="str">
        <f>IF(A483="","",MIN(Ввод!$B$4,Ввод!$B$4+1-SUMPRODUCT(MAX((Оплаты!$D$6:$D$505=A483)*(Оплаты!$A$6:$A$505&gt;Оплаты!$A$475)*(Ввод!$B$4+1-Оплаты!$A$6:$A$505)))))</f>
        <v/>
      </c>
      <c r="E483" s="14" t="str">
        <f>IF(A483="","",INDEX(Акты!$D$5:$D$16,B483)-SUMIFS(Оплаты!$B$6:$B$505,Оплаты!$D$6:$D$505,A483,Оплаты!$A$6:$A$505,"&lt;="&amp;Оплаты!$A$475))</f>
        <v/>
      </c>
      <c r="F483" s="14" t="str">
        <f>IF(G483="","",SUMPRODUCT(ROUND(E483*'По дням'!$L$6:$L$155/100*((((D483+'По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дням'!$J$6:$J$155)))/2+1)/'По дням'!$M$6:$M$155,2)*(1-'По дням'!$N$6:$N$155)))</f>
        <v/>
      </c>
      <c r="G483" s="22" t="str">
        <f t="shared" si="7"/>
        <v/>
      </c>
      <c r="H483" s="14" t="str">
        <f>IF(G483="","",SUMIFS(Оплаты!$B$6:$B$505,Оплаты!$D$6:$D$505,A483,Оплаты!$A$6:$A$505,D483))</f>
        <v/>
      </c>
      <c r="I483" t="str">
        <f>IF(G483="","",SUMPRODUCT((((((D483+'По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дням'!$J$6:$J$155)))/2+1)&gt;0)*1))</f>
        <v/>
      </c>
    </row>
    <row r="484" spans="1:9" x14ac:dyDescent="0.3">
      <c r="A484" t="str">
        <f>IF(AND(Оплаты!$E$476="ок",COUNTIFS(Акты!$B$5:$B$16,Оплаты!$D$476,Акты!$H$5:$H$16,"ок")&gt;0,COUNTIFS(Оплаты!$D$6:$D$475,Оплаты!$D$476,Оплаты!$A$6:$A$475,Оплаты!$A$476)=0),Оплаты!$D$476,"")</f>
        <v/>
      </c>
      <c r="B484" t="str">
        <f>IF(A484="","",MATCH(A484,Акты!$B$5:$B$16,0))</f>
        <v/>
      </c>
      <c r="C484" s="21" t="str">
        <f>IF(A484="","",Оплаты!$A$476+1)</f>
        <v/>
      </c>
      <c r="D484" s="21" t="str">
        <f>IF(A484="","",MIN(Ввод!$B$4,Ввод!$B$4+1-SUMPRODUCT(MAX((Оплаты!$D$6:$D$505=A484)*(Оплаты!$A$6:$A$505&gt;Оплаты!$A$476)*(Ввод!$B$4+1-Оплаты!$A$6:$A$505)))))</f>
        <v/>
      </c>
      <c r="E484" s="14" t="str">
        <f>IF(A484="","",INDEX(Акты!$D$5:$D$16,B484)-SUMIFS(Оплаты!$B$6:$B$505,Оплаты!$D$6:$D$505,A484,Оплаты!$A$6:$A$505,"&lt;="&amp;Оплаты!$A$476))</f>
        <v/>
      </c>
      <c r="F484" s="14" t="str">
        <f>IF(G484="","",SUMPRODUCT(ROUND(E484*'По дням'!$L$6:$L$155/100*((((D484+'По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дням'!$J$6:$J$155)))/2+1)/'По дням'!$M$6:$M$155,2)*(1-'По дням'!$N$6:$N$155)))</f>
        <v/>
      </c>
      <c r="G484" s="22" t="str">
        <f t="shared" si="7"/>
        <v/>
      </c>
      <c r="H484" s="14" t="str">
        <f>IF(G484="","",SUMIFS(Оплаты!$B$6:$B$505,Оплаты!$D$6:$D$505,A484,Оплаты!$A$6:$A$505,D484))</f>
        <v/>
      </c>
      <c r="I484" t="str">
        <f>IF(G484="","",SUMPRODUCT((((((D484+'По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дням'!$J$6:$J$155)))/2+1)&gt;0)*1))</f>
        <v/>
      </c>
    </row>
    <row r="485" spans="1:9" x14ac:dyDescent="0.3">
      <c r="A485" t="str">
        <f>IF(AND(Оплаты!$E$477="ок",COUNTIFS(Акты!$B$5:$B$16,Оплаты!$D$477,Акты!$H$5:$H$16,"ок")&gt;0,COUNTIFS(Оплаты!$D$6:$D$476,Оплаты!$D$477,Оплаты!$A$6:$A$476,Оплаты!$A$477)=0),Оплаты!$D$477,"")</f>
        <v/>
      </c>
      <c r="B485" t="str">
        <f>IF(A485="","",MATCH(A485,Акты!$B$5:$B$16,0))</f>
        <v/>
      </c>
      <c r="C485" s="21" t="str">
        <f>IF(A485="","",Оплаты!$A$477+1)</f>
        <v/>
      </c>
      <c r="D485" s="21" t="str">
        <f>IF(A485="","",MIN(Ввод!$B$4,Ввод!$B$4+1-SUMPRODUCT(MAX((Оплаты!$D$6:$D$505=A485)*(Оплаты!$A$6:$A$505&gt;Оплаты!$A$477)*(Ввод!$B$4+1-Оплаты!$A$6:$A$505)))))</f>
        <v/>
      </c>
      <c r="E485" s="14" t="str">
        <f>IF(A485="","",INDEX(Акты!$D$5:$D$16,B485)-SUMIFS(Оплаты!$B$6:$B$505,Оплаты!$D$6:$D$505,A485,Оплаты!$A$6:$A$505,"&lt;="&amp;Оплаты!$A$477))</f>
        <v/>
      </c>
      <c r="F485" s="14" t="str">
        <f>IF(G485="","",SUMPRODUCT(ROUND(E485*'По дням'!$L$6:$L$155/100*((((D485+'По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дням'!$J$6:$J$155)))/2+1)/'По дням'!$M$6:$M$155,2)*(1-'По дням'!$N$6:$N$155)))</f>
        <v/>
      </c>
      <c r="G485" s="22" t="str">
        <f t="shared" si="7"/>
        <v/>
      </c>
      <c r="H485" s="14" t="str">
        <f>IF(G485="","",SUMIFS(Оплаты!$B$6:$B$505,Оплаты!$D$6:$D$505,A485,Оплаты!$A$6:$A$505,D485))</f>
        <v/>
      </c>
      <c r="I485" t="str">
        <f>IF(G485="","",SUMPRODUCT((((((D485+'По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дням'!$J$6:$J$155)))/2+1)&gt;0)*1))</f>
        <v/>
      </c>
    </row>
    <row r="486" spans="1:9" x14ac:dyDescent="0.3">
      <c r="A486" t="str">
        <f>IF(AND(Оплаты!$E$478="ок",COUNTIFS(Акты!$B$5:$B$16,Оплаты!$D$478,Акты!$H$5:$H$16,"ок")&gt;0,COUNTIFS(Оплаты!$D$6:$D$477,Оплаты!$D$478,Оплаты!$A$6:$A$477,Оплаты!$A$478)=0),Оплаты!$D$478,"")</f>
        <v/>
      </c>
      <c r="B486" t="str">
        <f>IF(A486="","",MATCH(A486,Акты!$B$5:$B$16,0))</f>
        <v/>
      </c>
      <c r="C486" s="21" t="str">
        <f>IF(A486="","",Оплаты!$A$478+1)</f>
        <v/>
      </c>
      <c r="D486" s="21" t="str">
        <f>IF(A486="","",MIN(Ввод!$B$4,Ввод!$B$4+1-SUMPRODUCT(MAX((Оплаты!$D$6:$D$505=A486)*(Оплаты!$A$6:$A$505&gt;Оплаты!$A$478)*(Ввод!$B$4+1-Оплаты!$A$6:$A$505)))))</f>
        <v/>
      </c>
      <c r="E486" s="14" t="str">
        <f>IF(A486="","",INDEX(Акты!$D$5:$D$16,B486)-SUMIFS(Оплаты!$B$6:$B$505,Оплаты!$D$6:$D$505,A486,Оплаты!$A$6:$A$505,"&lt;="&amp;Оплаты!$A$478))</f>
        <v/>
      </c>
      <c r="F486" s="14" t="str">
        <f>IF(G486="","",SUMPRODUCT(ROUND(E486*'По дням'!$L$6:$L$155/100*((((D486+'По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дням'!$J$6:$J$155)))/2+1)/'По дням'!$M$6:$M$155,2)*(1-'По дням'!$N$6:$N$155)))</f>
        <v/>
      </c>
      <c r="G486" s="22" t="str">
        <f t="shared" si="7"/>
        <v/>
      </c>
      <c r="H486" s="14" t="str">
        <f>IF(G486="","",SUMIFS(Оплаты!$B$6:$B$505,Оплаты!$D$6:$D$505,A486,Оплаты!$A$6:$A$505,D486))</f>
        <v/>
      </c>
      <c r="I486" t="str">
        <f>IF(G486="","",SUMPRODUCT((((((D486+'По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дням'!$J$6:$J$155)))/2+1)&gt;0)*1))</f>
        <v/>
      </c>
    </row>
    <row r="487" spans="1:9" x14ac:dyDescent="0.3">
      <c r="A487" t="str">
        <f>IF(AND(Оплаты!$E$479="ок",COUNTIFS(Акты!$B$5:$B$16,Оплаты!$D$479,Акты!$H$5:$H$16,"ок")&gt;0,COUNTIFS(Оплаты!$D$6:$D$478,Оплаты!$D$479,Оплаты!$A$6:$A$478,Оплаты!$A$479)=0),Оплаты!$D$479,"")</f>
        <v/>
      </c>
      <c r="B487" t="str">
        <f>IF(A487="","",MATCH(A487,Акты!$B$5:$B$16,0))</f>
        <v/>
      </c>
      <c r="C487" s="21" t="str">
        <f>IF(A487="","",Оплаты!$A$479+1)</f>
        <v/>
      </c>
      <c r="D487" s="21" t="str">
        <f>IF(A487="","",MIN(Ввод!$B$4,Ввод!$B$4+1-SUMPRODUCT(MAX((Оплаты!$D$6:$D$505=A487)*(Оплаты!$A$6:$A$505&gt;Оплаты!$A$479)*(Ввод!$B$4+1-Оплаты!$A$6:$A$505)))))</f>
        <v/>
      </c>
      <c r="E487" s="14" t="str">
        <f>IF(A487="","",INDEX(Акты!$D$5:$D$16,B487)-SUMIFS(Оплаты!$B$6:$B$505,Оплаты!$D$6:$D$505,A487,Оплаты!$A$6:$A$505,"&lt;="&amp;Оплаты!$A$479))</f>
        <v/>
      </c>
      <c r="F487" s="14" t="str">
        <f>IF(G487="","",SUMPRODUCT(ROUND(E487*'По дням'!$L$6:$L$155/100*((((D487+'По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дням'!$J$6:$J$155)))/2+1)/'По дням'!$M$6:$M$155,2)*(1-'По дням'!$N$6:$N$155)))</f>
        <v/>
      </c>
      <c r="G487" s="22" t="str">
        <f t="shared" si="7"/>
        <v/>
      </c>
      <c r="H487" s="14" t="str">
        <f>IF(G487="","",SUMIFS(Оплаты!$B$6:$B$505,Оплаты!$D$6:$D$505,A487,Оплаты!$A$6:$A$505,D487))</f>
        <v/>
      </c>
      <c r="I487" t="str">
        <f>IF(G487="","",SUMPRODUCT((((((D487+'По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дням'!$J$6:$J$155)))/2+1)&gt;0)*1))</f>
        <v/>
      </c>
    </row>
    <row r="488" spans="1:9" x14ac:dyDescent="0.3">
      <c r="A488" t="str">
        <f>IF(AND(Оплаты!$E$480="ок",COUNTIFS(Акты!$B$5:$B$16,Оплаты!$D$480,Акты!$H$5:$H$16,"ок")&gt;0,COUNTIFS(Оплаты!$D$6:$D$479,Оплаты!$D$480,Оплаты!$A$6:$A$479,Оплаты!$A$480)=0),Оплаты!$D$480,"")</f>
        <v/>
      </c>
      <c r="B488" t="str">
        <f>IF(A488="","",MATCH(A488,Акты!$B$5:$B$16,0))</f>
        <v/>
      </c>
      <c r="C488" s="21" t="str">
        <f>IF(A488="","",Оплаты!$A$480+1)</f>
        <v/>
      </c>
      <c r="D488" s="21" t="str">
        <f>IF(A488="","",MIN(Ввод!$B$4,Ввод!$B$4+1-SUMPRODUCT(MAX((Оплаты!$D$6:$D$505=A488)*(Оплаты!$A$6:$A$505&gt;Оплаты!$A$480)*(Ввод!$B$4+1-Оплаты!$A$6:$A$505)))))</f>
        <v/>
      </c>
      <c r="E488" s="14" t="str">
        <f>IF(A488="","",INDEX(Акты!$D$5:$D$16,B488)-SUMIFS(Оплаты!$B$6:$B$505,Оплаты!$D$6:$D$505,A488,Оплаты!$A$6:$A$505,"&lt;="&amp;Оплаты!$A$480))</f>
        <v/>
      </c>
      <c r="F488" s="14" t="str">
        <f>IF(G488="","",SUMPRODUCT(ROUND(E488*'По дням'!$L$6:$L$155/100*((((D488+'По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дням'!$J$6:$J$155)))/2+1)/'По дням'!$M$6:$M$155,2)*(1-'По дням'!$N$6:$N$155)))</f>
        <v/>
      </c>
      <c r="G488" s="22" t="str">
        <f t="shared" si="7"/>
        <v/>
      </c>
      <c r="H488" s="14" t="str">
        <f>IF(G488="","",SUMIFS(Оплаты!$B$6:$B$505,Оплаты!$D$6:$D$505,A488,Оплаты!$A$6:$A$505,D488))</f>
        <v/>
      </c>
      <c r="I488" t="str">
        <f>IF(G488="","",SUMPRODUCT((((((D488+'По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дням'!$J$6:$J$155)))/2+1)&gt;0)*1))</f>
        <v/>
      </c>
    </row>
    <row r="489" spans="1:9" x14ac:dyDescent="0.3">
      <c r="A489" t="str">
        <f>IF(AND(Оплаты!$E$481="ок",COUNTIFS(Акты!$B$5:$B$16,Оплаты!$D$481,Акты!$H$5:$H$16,"ок")&gt;0,COUNTIFS(Оплаты!$D$6:$D$480,Оплаты!$D$481,Оплаты!$A$6:$A$480,Оплаты!$A$481)=0),Оплаты!$D$481,"")</f>
        <v/>
      </c>
      <c r="B489" t="str">
        <f>IF(A489="","",MATCH(A489,Акты!$B$5:$B$16,0))</f>
        <v/>
      </c>
      <c r="C489" s="21" t="str">
        <f>IF(A489="","",Оплаты!$A$481+1)</f>
        <v/>
      </c>
      <c r="D489" s="21" t="str">
        <f>IF(A489="","",MIN(Ввод!$B$4,Ввод!$B$4+1-SUMPRODUCT(MAX((Оплаты!$D$6:$D$505=A489)*(Оплаты!$A$6:$A$505&gt;Оплаты!$A$481)*(Ввод!$B$4+1-Оплаты!$A$6:$A$505)))))</f>
        <v/>
      </c>
      <c r="E489" s="14" t="str">
        <f>IF(A489="","",INDEX(Акты!$D$5:$D$16,B489)-SUMIFS(Оплаты!$B$6:$B$505,Оплаты!$D$6:$D$505,A489,Оплаты!$A$6:$A$505,"&lt;="&amp;Оплаты!$A$481))</f>
        <v/>
      </c>
      <c r="F489" s="14" t="str">
        <f>IF(G489="","",SUMPRODUCT(ROUND(E489*'По дням'!$L$6:$L$155/100*((((D489+'По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дням'!$J$6:$J$155)))/2+1)/'По дням'!$M$6:$M$155,2)*(1-'По дням'!$N$6:$N$155)))</f>
        <v/>
      </c>
      <c r="G489" s="22" t="str">
        <f t="shared" si="7"/>
        <v/>
      </c>
      <c r="H489" s="14" t="str">
        <f>IF(G489="","",SUMIFS(Оплаты!$B$6:$B$505,Оплаты!$D$6:$D$505,A489,Оплаты!$A$6:$A$505,D489))</f>
        <v/>
      </c>
      <c r="I489" t="str">
        <f>IF(G489="","",SUMPRODUCT((((((D489+'По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дням'!$J$6:$J$155)))/2+1)&gt;0)*1))</f>
        <v/>
      </c>
    </row>
    <row r="490" spans="1:9" x14ac:dyDescent="0.3">
      <c r="A490" t="str">
        <f>IF(AND(Оплаты!$E$482="ок",COUNTIFS(Акты!$B$5:$B$16,Оплаты!$D$482,Акты!$H$5:$H$16,"ок")&gt;0,COUNTIFS(Оплаты!$D$6:$D$481,Оплаты!$D$482,Оплаты!$A$6:$A$481,Оплаты!$A$482)=0),Оплаты!$D$482,"")</f>
        <v/>
      </c>
      <c r="B490" t="str">
        <f>IF(A490="","",MATCH(A490,Акты!$B$5:$B$16,0))</f>
        <v/>
      </c>
      <c r="C490" s="21" t="str">
        <f>IF(A490="","",Оплаты!$A$482+1)</f>
        <v/>
      </c>
      <c r="D490" s="21" t="str">
        <f>IF(A490="","",MIN(Ввод!$B$4,Ввод!$B$4+1-SUMPRODUCT(MAX((Оплаты!$D$6:$D$505=A490)*(Оплаты!$A$6:$A$505&gt;Оплаты!$A$482)*(Ввод!$B$4+1-Оплаты!$A$6:$A$505)))))</f>
        <v/>
      </c>
      <c r="E490" s="14" t="str">
        <f>IF(A490="","",INDEX(Акты!$D$5:$D$16,B490)-SUMIFS(Оплаты!$B$6:$B$505,Оплаты!$D$6:$D$505,A490,Оплаты!$A$6:$A$505,"&lt;="&amp;Оплаты!$A$482))</f>
        <v/>
      </c>
      <c r="F490" s="14" t="str">
        <f>IF(G490="","",SUMPRODUCT(ROUND(E490*'По дням'!$L$6:$L$155/100*((((D490+'По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дням'!$J$6:$J$155)))/2+1)/'По дням'!$M$6:$M$155,2)*(1-'По дням'!$N$6:$N$155)))</f>
        <v/>
      </c>
      <c r="G490" s="22" t="str">
        <f t="shared" si="7"/>
        <v/>
      </c>
      <c r="H490" s="14" t="str">
        <f>IF(G490="","",SUMIFS(Оплаты!$B$6:$B$505,Оплаты!$D$6:$D$505,A490,Оплаты!$A$6:$A$505,D490))</f>
        <v/>
      </c>
      <c r="I490" t="str">
        <f>IF(G490="","",SUMPRODUCT((((((D490+'По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дням'!$J$6:$J$155)))/2+1)&gt;0)*1))</f>
        <v/>
      </c>
    </row>
    <row r="491" spans="1:9" x14ac:dyDescent="0.3">
      <c r="A491" t="str">
        <f>IF(AND(Оплаты!$E$483="ок",COUNTIFS(Акты!$B$5:$B$16,Оплаты!$D$483,Акты!$H$5:$H$16,"ок")&gt;0,COUNTIFS(Оплаты!$D$6:$D$482,Оплаты!$D$483,Оплаты!$A$6:$A$482,Оплаты!$A$483)=0),Оплаты!$D$483,"")</f>
        <v/>
      </c>
      <c r="B491" t="str">
        <f>IF(A491="","",MATCH(A491,Акты!$B$5:$B$16,0))</f>
        <v/>
      </c>
      <c r="C491" s="21" t="str">
        <f>IF(A491="","",Оплаты!$A$483+1)</f>
        <v/>
      </c>
      <c r="D491" s="21" t="str">
        <f>IF(A491="","",MIN(Ввод!$B$4,Ввод!$B$4+1-SUMPRODUCT(MAX((Оплаты!$D$6:$D$505=A491)*(Оплаты!$A$6:$A$505&gt;Оплаты!$A$483)*(Ввод!$B$4+1-Оплаты!$A$6:$A$505)))))</f>
        <v/>
      </c>
      <c r="E491" s="14" t="str">
        <f>IF(A491="","",INDEX(Акты!$D$5:$D$16,B491)-SUMIFS(Оплаты!$B$6:$B$505,Оплаты!$D$6:$D$505,A491,Оплаты!$A$6:$A$505,"&lt;="&amp;Оплаты!$A$483))</f>
        <v/>
      </c>
      <c r="F491" s="14" t="str">
        <f>IF(G491="","",SUMPRODUCT(ROUND(E491*'По дням'!$L$6:$L$155/100*((((D491+'По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дням'!$J$6:$J$155)))/2+1)/'По дням'!$M$6:$M$155,2)*(1-'По дням'!$N$6:$N$155)))</f>
        <v/>
      </c>
      <c r="G491" s="22" t="str">
        <f t="shared" si="7"/>
        <v/>
      </c>
      <c r="H491" s="14" t="str">
        <f>IF(G491="","",SUMIFS(Оплаты!$B$6:$B$505,Оплаты!$D$6:$D$505,A491,Оплаты!$A$6:$A$505,D491))</f>
        <v/>
      </c>
      <c r="I491" t="str">
        <f>IF(G491="","",SUMPRODUCT((((((D491+'По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дням'!$J$6:$J$155)))/2+1)&gt;0)*1))</f>
        <v/>
      </c>
    </row>
    <row r="492" spans="1:9" x14ac:dyDescent="0.3">
      <c r="A492" t="str">
        <f>IF(AND(Оплаты!$E$484="ок",COUNTIFS(Акты!$B$5:$B$16,Оплаты!$D$484,Акты!$H$5:$H$16,"ок")&gt;0,COUNTIFS(Оплаты!$D$6:$D$483,Оплаты!$D$484,Оплаты!$A$6:$A$483,Оплаты!$A$484)=0),Оплаты!$D$484,"")</f>
        <v/>
      </c>
      <c r="B492" t="str">
        <f>IF(A492="","",MATCH(A492,Акты!$B$5:$B$16,0))</f>
        <v/>
      </c>
      <c r="C492" s="21" t="str">
        <f>IF(A492="","",Оплаты!$A$484+1)</f>
        <v/>
      </c>
      <c r="D492" s="21" t="str">
        <f>IF(A492="","",MIN(Ввод!$B$4,Ввод!$B$4+1-SUMPRODUCT(MAX((Оплаты!$D$6:$D$505=A492)*(Оплаты!$A$6:$A$505&gt;Оплаты!$A$484)*(Ввод!$B$4+1-Оплаты!$A$6:$A$505)))))</f>
        <v/>
      </c>
      <c r="E492" s="14" t="str">
        <f>IF(A492="","",INDEX(Акты!$D$5:$D$16,B492)-SUMIFS(Оплаты!$B$6:$B$505,Оплаты!$D$6:$D$505,A492,Оплаты!$A$6:$A$505,"&lt;="&amp;Оплаты!$A$484))</f>
        <v/>
      </c>
      <c r="F492" s="14" t="str">
        <f>IF(G492="","",SUMPRODUCT(ROUND(E492*'По дням'!$L$6:$L$155/100*((((D492+'По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дням'!$J$6:$J$155)))/2+1)/'По дням'!$M$6:$M$155,2)*(1-'По дням'!$N$6:$N$155)))</f>
        <v/>
      </c>
      <c r="G492" s="22" t="str">
        <f t="shared" si="7"/>
        <v/>
      </c>
      <c r="H492" s="14" t="str">
        <f>IF(G492="","",SUMIFS(Оплаты!$B$6:$B$505,Оплаты!$D$6:$D$505,A492,Оплаты!$A$6:$A$505,D492))</f>
        <v/>
      </c>
      <c r="I492" t="str">
        <f>IF(G492="","",SUMPRODUCT((((((D492+'По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дням'!$J$6:$J$155)))/2+1)&gt;0)*1))</f>
        <v/>
      </c>
    </row>
    <row r="493" spans="1:9" x14ac:dyDescent="0.3">
      <c r="A493" t="str">
        <f>IF(AND(Оплаты!$E$485="ок",COUNTIFS(Акты!$B$5:$B$16,Оплаты!$D$485,Акты!$H$5:$H$16,"ок")&gt;0,COUNTIFS(Оплаты!$D$6:$D$484,Оплаты!$D$485,Оплаты!$A$6:$A$484,Оплаты!$A$485)=0),Оплаты!$D$485,"")</f>
        <v/>
      </c>
      <c r="B493" t="str">
        <f>IF(A493="","",MATCH(A493,Акты!$B$5:$B$16,0))</f>
        <v/>
      </c>
      <c r="C493" s="21" t="str">
        <f>IF(A493="","",Оплаты!$A$485+1)</f>
        <v/>
      </c>
      <c r="D493" s="21" t="str">
        <f>IF(A493="","",MIN(Ввод!$B$4,Ввод!$B$4+1-SUMPRODUCT(MAX((Оплаты!$D$6:$D$505=A493)*(Оплаты!$A$6:$A$505&gt;Оплаты!$A$485)*(Ввод!$B$4+1-Оплаты!$A$6:$A$505)))))</f>
        <v/>
      </c>
      <c r="E493" s="14" t="str">
        <f>IF(A493="","",INDEX(Акты!$D$5:$D$16,B493)-SUMIFS(Оплаты!$B$6:$B$505,Оплаты!$D$6:$D$505,A493,Оплаты!$A$6:$A$505,"&lt;="&amp;Оплаты!$A$485))</f>
        <v/>
      </c>
      <c r="F493" s="14" t="str">
        <f>IF(G493="","",SUMPRODUCT(ROUND(E493*'По дням'!$L$6:$L$155/100*((((D493+'По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дням'!$J$6:$J$155)))/2+1)/'По дням'!$M$6:$M$155,2)*(1-'По дням'!$N$6:$N$155)))</f>
        <v/>
      </c>
      <c r="G493" s="22" t="str">
        <f t="shared" si="7"/>
        <v/>
      </c>
      <c r="H493" s="14" t="str">
        <f>IF(G493="","",SUMIFS(Оплаты!$B$6:$B$505,Оплаты!$D$6:$D$505,A493,Оплаты!$A$6:$A$505,D493))</f>
        <v/>
      </c>
      <c r="I493" t="str">
        <f>IF(G493="","",SUMPRODUCT((((((D493+'По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дням'!$J$6:$J$155)))/2+1)&gt;0)*1))</f>
        <v/>
      </c>
    </row>
    <row r="494" spans="1:9" x14ac:dyDescent="0.3">
      <c r="A494" t="str">
        <f>IF(AND(Оплаты!$E$486="ок",COUNTIFS(Акты!$B$5:$B$16,Оплаты!$D$486,Акты!$H$5:$H$16,"ок")&gt;0,COUNTIFS(Оплаты!$D$6:$D$485,Оплаты!$D$486,Оплаты!$A$6:$A$485,Оплаты!$A$486)=0),Оплаты!$D$486,"")</f>
        <v/>
      </c>
      <c r="B494" t="str">
        <f>IF(A494="","",MATCH(A494,Акты!$B$5:$B$16,0))</f>
        <v/>
      </c>
      <c r="C494" s="21" t="str">
        <f>IF(A494="","",Оплаты!$A$486+1)</f>
        <v/>
      </c>
      <c r="D494" s="21" t="str">
        <f>IF(A494="","",MIN(Ввод!$B$4,Ввод!$B$4+1-SUMPRODUCT(MAX((Оплаты!$D$6:$D$505=A494)*(Оплаты!$A$6:$A$505&gt;Оплаты!$A$486)*(Ввод!$B$4+1-Оплаты!$A$6:$A$505)))))</f>
        <v/>
      </c>
      <c r="E494" s="14" t="str">
        <f>IF(A494="","",INDEX(Акты!$D$5:$D$16,B494)-SUMIFS(Оплаты!$B$6:$B$505,Оплаты!$D$6:$D$505,A494,Оплаты!$A$6:$A$505,"&lt;="&amp;Оплаты!$A$486))</f>
        <v/>
      </c>
      <c r="F494" s="14" t="str">
        <f>IF(G494="","",SUMPRODUCT(ROUND(E494*'По дням'!$L$6:$L$155/100*((((D494+'По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дням'!$J$6:$J$155)))/2+1)/'По дням'!$M$6:$M$155,2)*(1-'По дням'!$N$6:$N$155)))</f>
        <v/>
      </c>
      <c r="G494" s="22" t="str">
        <f t="shared" si="7"/>
        <v/>
      </c>
      <c r="H494" s="14" t="str">
        <f>IF(G494="","",SUMIFS(Оплаты!$B$6:$B$505,Оплаты!$D$6:$D$505,A494,Оплаты!$A$6:$A$505,D494))</f>
        <v/>
      </c>
      <c r="I494" t="str">
        <f>IF(G494="","",SUMPRODUCT((((((D494+'По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дням'!$J$6:$J$155)))/2+1)&gt;0)*1))</f>
        <v/>
      </c>
    </row>
    <row r="495" spans="1:9" x14ac:dyDescent="0.3">
      <c r="A495" t="str">
        <f>IF(AND(Оплаты!$E$487="ок",COUNTIFS(Акты!$B$5:$B$16,Оплаты!$D$487,Акты!$H$5:$H$16,"ок")&gt;0,COUNTIFS(Оплаты!$D$6:$D$486,Оплаты!$D$487,Оплаты!$A$6:$A$486,Оплаты!$A$487)=0),Оплаты!$D$487,"")</f>
        <v/>
      </c>
      <c r="B495" t="str">
        <f>IF(A495="","",MATCH(A495,Акты!$B$5:$B$16,0))</f>
        <v/>
      </c>
      <c r="C495" s="21" t="str">
        <f>IF(A495="","",Оплаты!$A$487+1)</f>
        <v/>
      </c>
      <c r="D495" s="21" t="str">
        <f>IF(A495="","",MIN(Ввод!$B$4,Ввод!$B$4+1-SUMPRODUCT(MAX((Оплаты!$D$6:$D$505=A495)*(Оплаты!$A$6:$A$505&gt;Оплаты!$A$487)*(Ввод!$B$4+1-Оплаты!$A$6:$A$505)))))</f>
        <v/>
      </c>
      <c r="E495" s="14" t="str">
        <f>IF(A495="","",INDEX(Акты!$D$5:$D$16,B495)-SUMIFS(Оплаты!$B$6:$B$505,Оплаты!$D$6:$D$505,A495,Оплаты!$A$6:$A$505,"&lt;="&amp;Оплаты!$A$487))</f>
        <v/>
      </c>
      <c r="F495" s="14" t="str">
        <f>IF(G495="","",SUMPRODUCT(ROUND(E495*'По дням'!$L$6:$L$155/100*((((D495+'По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дням'!$J$6:$J$155)))/2+1)/'По дням'!$M$6:$M$155,2)*(1-'По дням'!$N$6:$N$155)))</f>
        <v/>
      </c>
      <c r="G495" s="22" t="str">
        <f t="shared" si="7"/>
        <v/>
      </c>
      <c r="H495" s="14" t="str">
        <f>IF(G495="","",SUMIFS(Оплаты!$B$6:$B$505,Оплаты!$D$6:$D$505,A495,Оплаты!$A$6:$A$505,D495))</f>
        <v/>
      </c>
      <c r="I495" t="str">
        <f>IF(G495="","",SUMPRODUCT((((((D495+'По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дням'!$J$6:$J$155)))/2+1)&gt;0)*1))</f>
        <v/>
      </c>
    </row>
    <row r="496" spans="1:9" x14ac:dyDescent="0.3">
      <c r="A496" t="str">
        <f>IF(AND(Оплаты!$E$488="ок",COUNTIFS(Акты!$B$5:$B$16,Оплаты!$D$488,Акты!$H$5:$H$16,"ок")&gt;0,COUNTIFS(Оплаты!$D$6:$D$487,Оплаты!$D$488,Оплаты!$A$6:$A$487,Оплаты!$A$488)=0),Оплаты!$D$488,"")</f>
        <v/>
      </c>
      <c r="B496" t="str">
        <f>IF(A496="","",MATCH(A496,Акты!$B$5:$B$16,0))</f>
        <v/>
      </c>
      <c r="C496" s="21" t="str">
        <f>IF(A496="","",Оплаты!$A$488+1)</f>
        <v/>
      </c>
      <c r="D496" s="21" t="str">
        <f>IF(A496="","",MIN(Ввод!$B$4,Ввод!$B$4+1-SUMPRODUCT(MAX((Оплаты!$D$6:$D$505=A496)*(Оплаты!$A$6:$A$505&gt;Оплаты!$A$488)*(Ввод!$B$4+1-Оплаты!$A$6:$A$505)))))</f>
        <v/>
      </c>
      <c r="E496" s="14" t="str">
        <f>IF(A496="","",INDEX(Акты!$D$5:$D$16,B496)-SUMIFS(Оплаты!$B$6:$B$505,Оплаты!$D$6:$D$505,A496,Оплаты!$A$6:$A$505,"&lt;="&amp;Оплаты!$A$488))</f>
        <v/>
      </c>
      <c r="F496" s="14" t="str">
        <f>IF(G496="","",SUMPRODUCT(ROUND(E496*'По дням'!$L$6:$L$155/100*((((D496+'По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дням'!$J$6:$J$155)))/2+1)/'По дням'!$M$6:$M$155,2)*(1-'По дням'!$N$6:$N$155)))</f>
        <v/>
      </c>
      <c r="G496" s="22" t="str">
        <f t="shared" si="7"/>
        <v/>
      </c>
      <c r="H496" s="14" t="str">
        <f>IF(G496="","",SUMIFS(Оплаты!$B$6:$B$505,Оплаты!$D$6:$D$505,A496,Оплаты!$A$6:$A$505,D496))</f>
        <v/>
      </c>
      <c r="I496" t="str">
        <f>IF(G496="","",SUMPRODUCT((((((D496+'По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дням'!$J$6:$J$155)))/2+1)&gt;0)*1))</f>
        <v/>
      </c>
    </row>
    <row r="497" spans="1:9" x14ac:dyDescent="0.3">
      <c r="A497" t="str">
        <f>IF(AND(Оплаты!$E$489="ок",COUNTIFS(Акты!$B$5:$B$16,Оплаты!$D$489,Акты!$H$5:$H$16,"ок")&gt;0,COUNTIFS(Оплаты!$D$6:$D$488,Оплаты!$D$489,Оплаты!$A$6:$A$488,Оплаты!$A$489)=0),Оплаты!$D$489,"")</f>
        <v/>
      </c>
      <c r="B497" t="str">
        <f>IF(A497="","",MATCH(A497,Акты!$B$5:$B$16,0))</f>
        <v/>
      </c>
      <c r="C497" s="21" t="str">
        <f>IF(A497="","",Оплаты!$A$489+1)</f>
        <v/>
      </c>
      <c r="D497" s="21" t="str">
        <f>IF(A497="","",MIN(Ввод!$B$4,Ввод!$B$4+1-SUMPRODUCT(MAX((Оплаты!$D$6:$D$505=A497)*(Оплаты!$A$6:$A$505&gt;Оплаты!$A$489)*(Ввод!$B$4+1-Оплаты!$A$6:$A$505)))))</f>
        <v/>
      </c>
      <c r="E497" s="14" t="str">
        <f>IF(A497="","",INDEX(Акты!$D$5:$D$16,B497)-SUMIFS(Оплаты!$B$6:$B$505,Оплаты!$D$6:$D$505,A497,Оплаты!$A$6:$A$505,"&lt;="&amp;Оплаты!$A$489))</f>
        <v/>
      </c>
      <c r="F497" s="14" t="str">
        <f>IF(G497="","",SUMPRODUCT(ROUND(E497*'По дням'!$L$6:$L$155/100*((((D497+'По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дням'!$J$6:$J$155)))/2+1)/'По дням'!$M$6:$M$155,2)*(1-'По дням'!$N$6:$N$155)))</f>
        <v/>
      </c>
      <c r="G497" s="22" t="str">
        <f t="shared" si="7"/>
        <v/>
      </c>
      <c r="H497" s="14" t="str">
        <f>IF(G497="","",SUMIFS(Оплаты!$B$6:$B$505,Оплаты!$D$6:$D$505,A497,Оплаты!$A$6:$A$505,D497))</f>
        <v/>
      </c>
      <c r="I497" t="str">
        <f>IF(G497="","",SUMPRODUCT((((((D497+'По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дням'!$J$6:$J$155)))/2+1)&gt;0)*1))</f>
        <v/>
      </c>
    </row>
    <row r="498" spans="1:9" x14ac:dyDescent="0.3">
      <c r="A498" t="str">
        <f>IF(AND(Оплаты!$E$490="ок",COUNTIFS(Акты!$B$5:$B$16,Оплаты!$D$490,Акты!$H$5:$H$16,"ок")&gt;0,COUNTIFS(Оплаты!$D$6:$D$489,Оплаты!$D$490,Оплаты!$A$6:$A$489,Оплаты!$A$490)=0),Оплаты!$D$490,"")</f>
        <v/>
      </c>
      <c r="B498" t="str">
        <f>IF(A498="","",MATCH(A498,Акты!$B$5:$B$16,0))</f>
        <v/>
      </c>
      <c r="C498" s="21" t="str">
        <f>IF(A498="","",Оплаты!$A$490+1)</f>
        <v/>
      </c>
      <c r="D498" s="21" t="str">
        <f>IF(A498="","",MIN(Ввод!$B$4,Ввод!$B$4+1-SUMPRODUCT(MAX((Оплаты!$D$6:$D$505=A498)*(Оплаты!$A$6:$A$505&gt;Оплаты!$A$490)*(Ввод!$B$4+1-Оплаты!$A$6:$A$505)))))</f>
        <v/>
      </c>
      <c r="E498" s="14" t="str">
        <f>IF(A498="","",INDEX(Акты!$D$5:$D$16,B498)-SUMIFS(Оплаты!$B$6:$B$505,Оплаты!$D$6:$D$505,A498,Оплаты!$A$6:$A$505,"&lt;="&amp;Оплаты!$A$490))</f>
        <v/>
      </c>
      <c r="F498" s="14" t="str">
        <f>IF(G498="","",SUMPRODUCT(ROUND(E498*'По дням'!$L$6:$L$155/100*((((D498+'По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дням'!$J$6:$J$155)))/2+1)/'По дням'!$M$6:$M$155,2)*(1-'По дням'!$N$6:$N$155)))</f>
        <v/>
      </c>
      <c r="G498" s="22" t="str">
        <f t="shared" si="7"/>
        <v/>
      </c>
      <c r="H498" s="14" t="str">
        <f>IF(G498="","",SUMIFS(Оплаты!$B$6:$B$505,Оплаты!$D$6:$D$505,A498,Оплаты!$A$6:$A$505,D498))</f>
        <v/>
      </c>
      <c r="I498" t="str">
        <f>IF(G498="","",SUMPRODUCT((((((D498+'По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дням'!$J$6:$J$155)))/2+1)&gt;0)*1))</f>
        <v/>
      </c>
    </row>
    <row r="499" spans="1:9" x14ac:dyDescent="0.3">
      <c r="A499" t="str">
        <f>IF(AND(Оплаты!$E$491="ок",COUNTIFS(Акты!$B$5:$B$16,Оплаты!$D$491,Акты!$H$5:$H$16,"ок")&gt;0,COUNTIFS(Оплаты!$D$6:$D$490,Оплаты!$D$491,Оплаты!$A$6:$A$490,Оплаты!$A$491)=0),Оплаты!$D$491,"")</f>
        <v/>
      </c>
      <c r="B499" t="str">
        <f>IF(A499="","",MATCH(A499,Акты!$B$5:$B$16,0))</f>
        <v/>
      </c>
      <c r="C499" s="21" t="str">
        <f>IF(A499="","",Оплаты!$A$491+1)</f>
        <v/>
      </c>
      <c r="D499" s="21" t="str">
        <f>IF(A499="","",MIN(Ввод!$B$4,Ввод!$B$4+1-SUMPRODUCT(MAX((Оплаты!$D$6:$D$505=A499)*(Оплаты!$A$6:$A$505&gt;Оплаты!$A$491)*(Ввод!$B$4+1-Оплаты!$A$6:$A$505)))))</f>
        <v/>
      </c>
      <c r="E499" s="14" t="str">
        <f>IF(A499="","",INDEX(Акты!$D$5:$D$16,B499)-SUMIFS(Оплаты!$B$6:$B$505,Оплаты!$D$6:$D$505,A499,Оплаты!$A$6:$A$505,"&lt;="&amp;Оплаты!$A$491))</f>
        <v/>
      </c>
      <c r="F499" s="14" t="str">
        <f>IF(G499="","",SUMPRODUCT(ROUND(E499*'По дням'!$L$6:$L$155/100*((((D499+'По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дням'!$J$6:$J$155)))/2+1)/'По дням'!$M$6:$M$155,2)*(1-'По дням'!$N$6:$N$155)))</f>
        <v/>
      </c>
      <c r="G499" s="22" t="str">
        <f t="shared" si="7"/>
        <v/>
      </c>
      <c r="H499" s="14" t="str">
        <f>IF(G499="","",SUMIFS(Оплаты!$B$6:$B$505,Оплаты!$D$6:$D$505,A499,Оплаты!$A$6:$A$505,D499))</f>
        <v/>
      </c>
      <c r="I499" t="str">
        <f>IF(G499="","",SUMPRODUCT((((((D499+'По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дням'!$J$6:$J$155)))/2+1)&gt;0)*1))</f>
        <v/>
      </c>
    </row>
    <row r="500" spans="1:9" x14ac:dyDescent="0.3">
      <c r="A500" t="str">
        <f>IF(AND(Оплаты!$E$492="ок",COUNTIFS(Акты!$B$5:$B$16,Оплаты!$D$492,Акты!$H$5:$H$16,"ок")&gt;0,COUNTIFS(Оплаты!$D$6:$D$491,Оплаты!$D$492,Оплаты!$A$6:$A$491,Оплаты!$A$492)=0),Оплаты!$D$492,"")</f>
        <v/>
      </c>
      <c r="B500" t="str">
        <f>IF(A500="","",MATCH(A500,Акты!$B$5:$B$16,0))</f>
        <v/>
      </c>
      <c r="C500" s="21" t="str">
        <f>IF(A500="","",Оплаты!$A$492+1)</f>
        <v/>
      </c>
      <c r="D500" s="21" t="str">
        <f>IF(A500="","",MIN(Ввод!$B$4,Ввод!$B$4+1-SUMPRODUCT(MAX((Оплаты!$D$6:$D$505=A500)*(Оплаты!$A$6:$A$505&gt;Оплаты!$A$492)*(Ввод!$B$4+1-Оплаты!$A$6:$A$505)))))</f>
        <v/>
      </c>
      <c r="E500" s="14" t="str">
        <f>IF(A500="","",INDEX(Акты!$D$5:$D$16,B500)-SUMIFS(Оплаты!$B$6:$B$505,Оплаты!$D$6:$D$505,A500,Оплаты!$A$6:$A$505,"&lt;="&amp;Оплаты!$A$492))</f>
        <v/>
      </c>
      <c r="F500" s="14" t="str">
        <f>IF(G500="","",SUMPRODUCT(ROUND(E500*'По дням'!$L$6:$L$155/100*((((D500+'По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дням'!$J$6:$J$155)))/2+1)/'По дням'!$M$6:$M$155,2)*(1-'По дням'!$N$6:$N$155)))</f>
        <v/>
      </c>
      <c r="G500" s="22" t="str">
        <f t="shared" si="7"/>
        <v/>
      </c>
      <c r="H500" s="14" t="str">
        <f>IF(G500="","",SUMIFS(Оплаты!$B$6:$B$505,Оплаты!$D$6:$D$505,A500,Оплаты!$A$6:$A$505,D500))</f>
        <v/>
      </c>
      <c r="I500" t="str">
        <f>IF(G500="","",SUMPRODUCT((((((D500+'По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дням'!$J$6:$J$155)))/2+1)&gt;0)*1))</f>
        <v/>
      </c>
    </row>
    <row r="501" spans="1:9" x14ac:dyDescent="0.3">
      <c r="A501" t="str">
        <f>IF(AND(Оплаты!$E$493="ок",COUNTIFS(Акты!$B$5:$B$16,Оплаты!$D$493,Акты!$H$5:$H$16,"ок")&gt;0,COUNTIFS(Оплаты!$D$6:$D$492,Оплаты!$D$493,Оплаты!$A$6:$A$492,Оплаты!$A$493)=0),Оплаты!$D$493,"")</f>
        <v/>
      </c>
      <c r="B501" t="str">
        <f>IF(A501="","",MATCH(A501,Акты!$B$5:$B$16,0))</f>
        <v/>
      </c>
      <c r="C501" s="21" t="str">
        <f>IF(A501="","",Оплаты!$A$493+1)</f>
        <v/>
      </c>
      <c r="D501" s="21" t="str">
        <f>IF(A501="","",MIN(Ввод!$B$4,Ввод!$B$4+1-SUMPRODUCT(MAX((Оплаты!$D$6:$D$505=A501)*(Оплаты!$A$6:$A$505&gt;Оплаты!$A$493)*(Ввод!$B$4+1-Оплаты!$A$6:$A$505)))))</f>
        <v/>
      </c>
      <c r="E501" s="14" t="str">
        <f>IF(A501="","",INDEX(Акты!$D$5:$D$16,B501)-SUMIFS(Оплаты!$B$6:$B$505,Оплаты!$D$6:$D$505,A501,Оплаты!$A$6:$A$505,"&lt;="&amp;Оплаты!$A$493))</f>
        <v/>
      </c>
      <c r="F501" s="14" t="str">
        <f>IF(G501="","",SUMPRODUCT(ROUND(E501*'По дням'!$L$6:$L$155/100*((((D501+'По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дням'!$J$6:$J$155)))/2+1)/'По дням'!$M$6:$M$155,2)*(1-'По дням'!$N$6:$N$155)))</f>
        <v/>
      </c>
      <c r="G501" s="22" t="str">
        <f t="shared" si="7"/>
        <v/>
      </c>
      <c r="H501" s="14" t="str">
        <f>IF(G501="","",SUMIFS(Оплаты!$B$6:$B$505,Оплаты!$D$6:$D$505,A501,Оплаты!$A$6:$A$505,D501))</f>
        <v/>
      </c>
      <c r="I501" t="str">
        <f>IF(G501="","",SUMPRODUCT((((((D501+'По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дням'!$J$6:$J$155)))/2+1)&gt;0)*1))</f>
        <v/>
      </c>
    </row>
    <row r="502" spans="1:9" x14ac:dyDescent="0.3">
      <c r="A502" t="str">
        <f>IF(AND(Оплаты!$E$494="ок",COUNTIFS(Акты!$B$5:$B$16,Оплаты!$D$494,Акты!$H$5:$H$16,"ок")&gt;0,COUNTIFS(Оплаты!$D$6:$D$493,Оплаты!$D$494,Оплаты!$A$6:$A$493,Оплаты!$A$494)=0),Оплаты!$D$494,"")</f>
        <v/>
      </c>
      <c r="B502" t="str">
        <f>IF(A502="","",MATCH(A502,Акты!$B$5:$B$16,0))</f>
        <v/>
      </c>
      <c r="C502" s="21" t="str">
        <f>IF(A502="","",Оплаты!$A$494+1)</f>
        <v/>
      </c>
      <c r="D502" s="21" t="str">
        <f>IF(A502="","",MIN(Ввод!$B$4,Ввод!$B$4+1-SUMPRODUCT(MAX((Оплаты!$D$6:$D$505=A502)*(Оплаты!$A$6:$A$505&gt;Оплаты!$A$494)*(Ввод!$B$4+1-Оплаты!$A$6:$A$505)))))</f>
        <v/>
      </c>
      <c r="E502" s="14" t="str">
        <f>IF(A502="","",INDEX(Акты!$D$5:$D$16,B502)-SUMIFS(Оплаты!$B$6:$B$505,Оплаты!$D$6:$D$505,A502,Оплаты!$A$6:$A$505,"&lt;="&amp;Оплаты!$A$494))</f>
        <v/>
      </c>
      <c r="F502" s="14" t="str">
        <f>IF(G502="","",SUMPRODUCT(ROUND(E502*'По дням'!$L$6:$L$155/100*((((D502+'По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дням'!$J$6:$J$155)))/2+1)/'По дням'!$M$6:$M$155,2)*(1-'По дням'!$N$6:$N$155)))</f>
        <v/>
      </c>
      <c r="G502" s="22" t="str">
        <f t="shared" si="7"/>
        <v/>
      </c>
      <c r="H502" s="14" t="str">
        <f>IF(G502="","",SUMIFS(Оплаты!$B$6:$B$505,Оплаты!$D$6:$D$505,A502,Оплаты!$A$6:$A$505,D502))</f>
        <v/>
      </c>
      <c r="I502" t="str">
        <f>IF(G502="","",SUMPRODUCT((((((D502+'По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дням'!$J$6:$J$155)))/2+1)&gt;0)*1))</f>
        <v/>
      </c>
    </row>
    <row r="503" spans="1:9" x14ac:dyDescent="0.3">
      <c r="A503" t="str">
        <f>IF(AND(Оплаты!$E$495="ок",COUNTIFS(Акты!$B$5:$B$16,Оплаты!$D$495,Акты!$H$5:$H$16,"ок")&gt;0,COUNTIFS(Оплаты!$D$6:$D$494,Оплаты!$D$495,Оплаты!$A$6:$A$494,Оплаты!$A$495)=0),Оплаты!$D$495,"")</f>
        <v/>
      </c>
      <c r="B503" t="str">
        <f>IF(A503="","",MATCH(A503,Акты!$B$5:$B$16,0))</f>
        <v/>
      </c>
      <c r="C503" s="21" t="str">
        <f>IF(A503="","",Оплаты!$A$495+1)</f>
        <v/>
      </c>
      <c r="D503" s="21" t="str">
        <f>IF(A503="","",MIN(Ввод!$B$4,Ввод!$B$4+1-SUMPRODUCT(MAX((Оплаты!$D$6:$D$505=A503)*(Оплаты!$A$6:$A$505&gt;Оплаты!$A$495)*(Ввод!$B$4+1-Оплаты!$A$6:$A$505)))))</f>
        <v/>
      </c>
      <c r="E503" s="14" t="str">
        <f>IF(A503="","",INDEX(Акты!$D$5:$D$16,B503)-SUMIFS(Оплаты!$B$6:$B$505,Оплаты!$D$6:$D$505,A503,Оплаты!$A$6:$A$505,"&lt;="&amp;Оплаты!$A$495))</f>
        <v/>
      </c>
      <c r="F503" s="14" t="str">
        <f>IF(G503="","",SUMPRODUCT(ROUND(E503*'По дням'!$L$6:$L$155/100*((((D503+'По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дням'!$J$6:$J$155)))/2+1)/'По дням'!$M$6:$M$155,2)*(1-'По дням'!$N$6:$N$155)))</f>
        <v/>
      </c>
      <c r="G503" s="22" t="str">
        <f t="shared" si="7"/>
        <v/>
      </c>
      <c r="H503" s="14" t="str">
        <f>IF(G503="","",SUMIFS(Оплаты!$B$6:$B$505,Оплаты!$D$6:$D$505,A503,Оплаты!$A$6:$A$505,D503))</f>
        <v/>
      </c>
      <c r="I503" t="str">
        <f>IF(G503="","",SUMPRODUCT((((((D503+'По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дням'!$J$6:$J$155)))/2+1)&gt;0)*1))</f>
        <v/>
      </c>
    </row>
    <row r="504" spans="1:9" x14ac:dyDescent="0.3">
      <c r="A504" t="str">
        <f>IF(AND(Оплаты!$E$496="ок",COUNTIFS(Акты!$B$5:$B$16,Оплаты!$D$496,Акты!$H$5:$H$16,"ок")&gt;0,COUNTIFS(Оплаты!$D$6:$D$495,Оплаты!$D$496,Оплаты!$A$6:$A$495,Оплаты!$A$496)=0),Оплаты!$D$496,"")</f>
        <v/>
      </c>
      <c r="B504" t="str">
        <f>IF(A504="","",MATCH(A504,Акты!$B$5:$B$16,0))</f>
        <v/>
      </c>
      <c r="C504" s="21" t="str">
        <f>IF(A504="","",Оплаты!$A$496+1)</f>
        <v/>
      </c>
      <c r="D504" s="21" t="str">
        <f>IF(A504="","",MIN(Ввод!$B$4,Ввод!$B$4+1-SUMPRODUCT(MAX((Оплаты!$D$6:$D$505=A504)*(Оплаты!$A$6:$A$505&gt;Оплаты!$A$496)*(Ввод!$B$4+1-Оплаты!$A$6:$A$505)))))</f>
        <v/>
      </c>
      <c r="E504" s="14" t="str">
        <f>IF(A504="","",INDEX(Акты!$D$5:$D$16,B504)-SUMIFS(Оплаты!$B$6:$B$505,Оплаты!$D$6:$D$505,A504,Оплаты!$A$6:$A$505,"&lt;="&amp;Оплаты!$A$496))</f>
        <v/>
      </c>
      <c r="F504" s="14" t="str">
        <f>IF(G504="","",SUMPRODUCT(ROUND(E504*'По дням'!$L$6:$L$155/100*((((D504+'По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дням'!$J$6:$J$155)))/2+1)/'По дням'!$M$6:$M$155,2)*(1-'По дням'!$N$6:$N$155)))</f>
        <v/>
      </c>
      <c r="G504" s="22" t="str">
        <f t="shared" si="7"/>
        <v/>
      </c>
      <c r="H504" s="14" t="str">
        <f>IF(G504="","",SUMIFS(Оплаты!$B$6:$B$505,Оплаты!$D$6:$D$505,A504,Оплаты!$A$6:$A$505,D504))</f>
        <v/>
      </c>
      <c r="I504" t="str">
        <f>IF(G504="","",SUMPRODUCT((((((D504+'По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дням'!$J$6:$J$155)))/2+1)&gt;0)*1))</f>
        <v/>
      </c>
    </row>
    <row r="505" spans="1:9" x14ac:dyDescent="0.3">
      <c r="A505" t="str">
        <f>IF(AND(Оплаты!$E$497="ок",COUNTIFS(Акты!$B$5:$B$16,Оплаты!$D$497,Акты!$H$5:$H$16,"ок")&gt;0,COUNTIFS(Оплаты!$D$6:$D$496,Оплаты!$D$497,Оплаты!$A$6:$A$496,Оплаты!$A$497)=0),Оплаты!$D$497,"")</f>
        <v/>
      </c>
      <c r="B505" t="str">
        <f>IF(A505="","",MATCH(A505,Акты!$B$5:$B$16,0))</f>
        <v/>
      </c>
      <c r="C505" s="21" t="str">
        <f>IF(A505="","",Оплаты!$A$497+1)</f>
        <v/>
      </c>
      <c r="D505" s="21" t="str">
        <f>IF(A505="","",MIN(Ввод!$B$4,Ввод!$B$4+1-SUMPRODUCT(MAX((Оплаты!$D$6:$D$505=A505)*(Оплаты!$A$6:$A$505&gt;Оплаты!$A$497)*(Ввод!$B$4+1-Оплаты!$A$6:$A$505)))))</f>
        <v/>
      </c>
      <c r="E505" s="14" t="str">
        <f>IF(A505="","",INDEX(Акты!$D$5:$D$16,B505)-SUMIFS(Оплаты!$B$6:$B$505,Оплаты!$D$6:$D$505,A505,Оплаты!$A$6:$A$505,"&lt;="&amp;Оплаты!$A$497))</f>
        <v/>
      </c>
      <c r="F505" s="14" t="str">
        <f>IF(G505="","",SUMPRODUCT(ROUND(E505*'По дням'!$L$6:$L$155/100*((((D505+'По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дням'!$J$6:$J$155)))/2+1)/'По дням'!$M$6:$M$155,2)*(1-'По дням'!$N$6:$N$155)))</f>
        <v/>
      </c>
      <c r="G505" s="22" t="str">
        <f t="shared" si="7"/>
        <v/>
      </c>
      <c r="H505" s="14" t="str">
        <f>IF(G505="","",SUMIFS(Оплаты!$B$6:$B$505,Оплаты!$D$6:$D$505,A505,Оплаты!$A$6:$A$505,D505))</f>
        <v/>
      </c>
      <c r="I505" t="str">
        <f>IF(G505="","",SUMPRODUCT((((((D505+'По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дням'!$J$6:$J$155)))/2+1)&gt;0)*1))</f>
        <v/>
      </c>
    </row>
    <row r="506" spans="1:9" x14ac:dyDescent="0.3">
      <c r="A506" t="str">
        <f>IF(AND(Оплаты!$E$498="ок",COUNTIFS(Акты!$B$5:$B$16,Оплаты!$D$498,Акты!$H$5:$H$16,"ок")&gt;0,COUNTIFS(Оплаты!$D$6:$D$497,Оплаты!$D$498,Оплаты!$A$6:$A$497,Оплаты!$A$498)=0),Оплаты!$D$498,"")</f>
        <v/>
      </c>
      <c r="B506" t="str">
        <f>IF(A506="","",MATCH(A506,Акты!$B$5:$B$16,0))</f>
        <v/>
      </c>
      <c r="C506" s="21" t="str">
        <f>IF(A506="","",Оплаты!$A$498+1)</f>
        <v/>
      </c>
      <c r="D506" s="21" t="str">
        <f>IF(A506="","",MIN(Ввод!$B$4,Ввод!$B$4+1-SUMPRODUCT(MAX((Оплаты!$D$6:$D$505=A506)*(Оплаты!$A$6:$A$505&gt;Оплаты!$A$498)*(Ввод!$B$4+1-Оплаты!$A$6:$A$505)))))</f>
        <v/>
      </c>
      <c r="E506" s="14" t="str">
        <f>IF(A506="","",INDEX(Акты!$D$5:$D$16,B506)-SUMIFS(Оплаты!$B$6:$B$505,Оплаты!$D$6:$D$505,A506,Оплаты!$A$6:$A$505,"&lt;="&amp;Оплаты!$A$498))</f>
        <v/>
      </c>
      <c r="F506" s="14" t="str">
        <f>IF(G506="","",SUMPRODUCT(ROUND(E506*'По дням'!$L$6:$L$155/100*((((D506+'По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дням'!$J$6:$J$155)))/2+1)/'По дням'!$M$6:$M$155,2)*(1-'По дням'!$N$6:$N$155)))</f>
        <v/>
      </c>
      <c r="G506" s="22" t="str">
        <f t="shared" si="7"/>
        <v/>
      </c>
      <c r="H506" s="14" t="str">
        <f>IF(G506="","",SUMIFS(Оплаты!$B$6:$B$505,Оплаты!$D$6:$D$505,A506,Оплаты!$A$6:$A$505,D506))</f>
        <v/>
      </c>
      <c r="I506" t="str">
        <f>IF(G506="","",SUMPRODUCT((((((D506+'По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дням'!$J$6:$J$155)))/2+1)&gt;0)*1))</f>
        <v/>
      </c>
    </row>
    <row r="507" spans="1:9" x14ac:dyDescent="0.3">
      <c r="A507" t="str">
        <f>IF(AND(Оплаты!$E$499="ок",COUNTIFS(Акты!$B$5:$B$16,Оплаты!$D$499,Акты!$H$5:$H$16,"ок")&gt;0,COUNTIFS(Оплаты!$D$6:$D$498,Оплаты!$D$499,Оплаты!$A$6:$A$498,Оплаты!$A$499)=0),Оплаты!$D$499,"")</f>
        <v/>
      </c>
      <c r="B507" t="str">
        <f>IF(A507="","",MATCH(A507,Акты!$B$5:$B$16,0))</f>
        <v/>
      </c>
      <c r="C507" s="21" t="str">
        <f>IF(A507="","",Оплаты!$A$499+1)</f>
        <v/>
      </c>
      <c r="D507" s="21" t="str">
        <f>IF(A507="","",MIN(Ввод!$B$4,Ввод!$B$4+1-SUMPRODUCT(MAX((Оплаты!$D$6:$D$505=A507)*(Оплаты!$A$6:$A$505&gt;Оплаты!$A$499)*(Ввод!$B$4+1-Оплаты!$A$6:$A$505)))))</f>
        <v/>
      </c>
      <c r="E507" s="14" t="str">
        <f>IF(A507="","",INDEX(Акты!$D$5:$D$16,B507)-SUMIFS(Оплаты!$B$6:$B$505,Оплаты!$D$6:$D$505,A507,Оплаты!$A$6:$A$505,"&lt;="&amp;Оплаты!$A$499))</f>
        <v/>
      </c>
      <c r="F507" s="14" t="str">
        <f>IF(G507="","",SUMPRODUCT(ROUND(E507*'По дням'!$L$6:$L$155/100*((((D507+'По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дням'!$J$6:$J$155)))/2+1)/'По дням'!$M$6:$M$155,2)*(1-'По дням'!$N$6:$N$155)))</f>
        <v/>
      </c>
      <c r="G507" s="22" t="str">
        <f t="shared" si="7"/>
        <v/>
      </c>
      <c r="H507" s="14" t="str">
        <f>IF(G507="","",SUMIFS(Оплаты!$B$6:$B$505,Оплаты!$D$6:$D$505,A507,Оплаты!$A$6:$A$505,D507))</f>
        <v/>
      </c>
      <c r="I507" t="str">
        <f>IF(G507="","",SUMPRODUCT((((((D507+'По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дням'!$J$6:$J$155)))/2+1)&gt;0)*1))</f>
        <v/>
      </c>
    </row>
    <row r="508" spans="1:9" x14ac:dyDescent="0.3">
      <c r="A508" t="str">
        <f>IF(AND(Оплаты!$E$500="ок",COUNTIFS(Акты!$B$5:$B$16,Оплаты!$D$500,Акты!$H$5:$H$16,"ок")&gt;0,COUNTIFS(Оплаты!$D$6:$D$499,Оплаты!$D$500,Оплаты!$A$6:$A$499,Оплаты!$A$500)=0),Оплаты!$D$500,"")</f>
        <v/>
      </c>
      <c r="B508" t="str">
        <f>IF(A508="","",MATCH(A508,Акты!$B$5:$B$16,0))</f>
        <v/>
      </c>
      <c r="C508" s="21" t="str">
        <f>IF(A508="","",Оплаты!$A$500+1)</f>
        <v/>
      </c>
      <c r="D508" s="21" t="str">
        <f>IF(A508="","",MIN(Ввод!$B$4,Ввод!$B$4+1-SUMPRODUCT(MAX((Оплаты!$D$6:$D$505=A508)*(Оплаты!$A$6:$A$505&gt;Оплаты!$A$500)*(Ввод!$B$4+1-Оплаты!$A$6:$A$505)))))</f>
        <v/>
      </c>
      <c r="E508" s="14" t="str">
        <f>IF(A508="","",INDEX(Акты!$D$5:$D$16,B508)-SUMIFS(Оплаты!$B$6:$B$505,Оплаты!$D$6:$D$505,A508,Оплаты!$A$6:$A$505,"&lt;="&amp;Оплаты!$A$500))</f>
        <v/>
      </c>
      <c r="F508" s="14" t="str">
        <f>IF(G508="","",SUMPRODUCT(ROUND(E508*'По дням'!$L$6:$L$155/100*((((D508+'По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дням'!$J$6:$J$155)))/2+1)/'По дням'!$M$6:$M$155,2)*(1-'По дням'!$N$6:$N$155)))</f>
        <v/>
      </c>
      <c r="G508" s="22" t="str">
        <f t="shared" si="7"/>
        <v/>
      </c>
      <c r="H508" s="14" t="str">
        <f>IF(G508="","",SUMIFS(Оплаты!$B$6:$B$505,Оплаты!$D$6:$D$505,A508,Оплаты!$A$6:$A$505,D508))</f>
        <v/>
      </c>
      <c r="I508" t="str">
        <f>IF(G508="","",SUMPRODUCT((((((D508+'По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дням'!$J$6:$J$155)))/2+1)&gt;0)*1))</f>
        <v/>
      </c>
    </row>
    <row r="509" spans="1:9" x14ac:dyDescent="0.3">
      <c r="A509" t="str">
        <f>IF(AND(Оплаты!$E$501="ок",COUNTIFS(Акты!$B$5:$B$16,Оплаты!$D$501,Акты!$H$5:$H$16,"ок")&gt;0,COUNTIFS(Оплаты!$D$6:$D$500,Оплаты!$D$501,Оплаты!$A$6:$A$500,Оплаты!$A$501)=0),Оплаты!$D$501,"")</f>
        <v/>
      </c>
      <c r="B509" t="str">
        <f>IF(A509="","",MATCH(A509,Акты!$B$5:$B$16,0))</f>
        <v/>
      </c>
      <c r="C509" s="21" t="str">
        <f>IF(A509="","",Оплаты!$A$501+1)</f>
        <v/>
      </c>
      <c r="D509" s="21" t="str">
        <f>IF(A509="","",MIN(Ввод!$B$4,Ввод!$B$4+1-SUMPRODUCT(MAX((Оплаты!$D$6:$D$505=A509)*(Оплаты!$A$6:$A$505&gt;Оплаты!$A$501)*(Ввод!$B$4+1-Оплаты!$A$6:$A$505)))))</f>
        <v/>
      </c>
      <c r="E509" s="14" t="str">
        <f>IF(A509="","",INDEX(Акты!$D$5:$D$16,B509)-SUMIFS(Оплаты!$B$6:$B$505,Оплаты!$D$6:$D$505,A509,Оплаты!$A$6:$A$505,"&lt;="&amp;Оплаты!$A$501))</f>
        <v/>
      </c>
      <c r="F509" s="14" t="str">
        <f>IF(G509="","",SUMPRODUCT(ROUND(E509*'По дням'!$L$6:$L$155/100*((((D509+'По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дням'!$J$6:$J$155)))/2+1)/'По дням'!$M$6:$M$155,2)*(1-'По дням'!$N$6:$N$155)))</f>
        <v/>
      </c>
      <c r="G509" s="22" t="str">
        <f t="shared" si="7"/>
        <v/>
      </c>
      <c r="H509" s="14" t="str">
        <f>IF(G509="","",SUMIFS(Оплаты!$B$6:$B$505,Оплаты!$D$6:$D$505,A509,Оплаты!$A$6:$A$505,D509))</f>
        <v/>
      </c>
      <c r="I509" t="str">
        <f>IF(G509="","",SUMPRODUCT((((((D509+'По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дням'!$J$6:$J$155)))/2+1)&gt;0)*1))</f>
        <v/>
      </c>
    </row>
    <row r="510" spans="1:9" x14ac:dyDescent="0.3">
      <c r="A510" t="str">
        <f>IF(AND(Оплаты!$E$502="ок",COUNTIFS(Акты!$B$5:$B$16,Оплаты!$D$502,Акты!$H$5:$H$16,"ок")&gt;0,COUNTIFS(Оплаты!$D$6:$D$501,Оплаты!$D$502,Оплаты!$A$6:$A$501,Оплаты!$A$502)=0),Оплаты!$D$502,"")</f>
        <v/>
      </c>
      <c r="B510" t="str">
        <f>IF(A510="","",MATCH(A510,Акты!$B$5:$B$16,0))</f>
        <v/>
      </c>
      <c r="C510" s="21" t="str">
        <f>IF(A510="","",Оплаты!$A$502+1)</f>
        <v/>
      </c>
      <c r="D510" s="21" t="str">
        <f>IF(A510="","",MIN(Ввод!$B$4,Ввод!$B$4+1-SUMPRODUCT(MAX((Оплаты!$D$6:$D$505=A510)*(Оплаты!$A$6:$A$505&gt;Оплаты!$A$502)*(Ввод!$B$4+1-Оплаты!$A$6:$A$505)))))</f>
        <v/>
      </c>
      <c r="E510" s="14" t="str">
        <f>IF(A510="","",INDEX(Акты!$D$5:$D$16,B510)-SUMIFS(Оплаты!$B$6:$B$505,Оплаты!$D$6:$D$505,A510,Оплаты!$A$6:$A$505,"&lt;="&amp;Оплаты!$A$502))</f>
        <v/>
      </c>
      <c r="F510" s="14" t="str">
        <f>IF(G510="","",SUMPRODUCT(ROUND(E510*'По дням'!$L$6:$L$155/100*((((D510+'По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дням'!$J$6:$J$155)))/2+1)/'По дням'!$M$6:$M$155,2)*(1-'По дням'!$N$6:$N$155)))</f>
        <v/>
      </c>
      <c r="G510" s="22" t="str">
        <f t="shared" si="7"/>
        <v/>
      </c>
      <c r="H510" s="14" t="str">
        <f>IF(G510="","",SUMIFS(Оплаты!$B$6:$B$505,Оплаты!$D$6:$D$505,A510,Оплаты!$A$6:$A$505,D510))</f>
        <v/>
      </c>
      <c r="I510" t="str">
        <f>IF(G510="","",SUMPRODUCT((((((D510+'По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дням'!$J$6:$J$155)))/2+1)&gt;0)*1))</f>
        <v/>
      </c>
    </row>
    <row r="511" spans="1:9" x14ac:dyDescent="0.3">
      <c r="A511" t="str">
        <f>IF(AND(Оплаты!$E$503="ок",COUNTIFS(Акты!$B$5:$B$16,Оплаты!$D$503,Акты!$H$5:$H$16,"ок")&gt;0,COUNTIFS(Оплаты!$D$6:$D$502,Оплаты!$D$503,Оплаты!$A$6:$A$502,Оплаты!$A$503)=0),Оплаты!$D$503,"")</f>
        <v/>
      </c>
      <c r="B511" t="str">
        <f>IF(A511="","",MATCH(A511,Акты!$B$5:$B$16,0))</f>
        <v/>
      </c>
      <c r="C511" s="21" t="str">
        <f>IF(A511="","",Оплаты!$A$503+1)</f>
        <v/>
      </c>
      <c r="D511" s="21" t="str">
        <f>IF(A511="","",MIN(Ввод!$B$4,Ввод!$B$4+1-SUMPRODUCT(MAX((Оплаты!$D$6:$D$505=A511)*(Оплаты!$A$6:$A$505&gt;Оплаты!$A$503)*(Ввод!$B$4+1-Оплаты!$A$6:$A$505)))))</f>
        <v/>
      </c>
      <c r="E511" s="14" t="str">
        <f>IF(A511="","",INDEX(Акты!$D$5:$D$16,B511)-SUMIFS(Оплаты!$B$6:$B$505,Оплаты!$D$6:$D$505,A511,Оплаты!$A$6:$A$505,"&lt;="&amp;Оплаты!$A$503))</f>
        <v/>
      </c>
      <c r="F511" s="14" t="str">
        <f>IF(G511="","",SUMPRODUCT(ROUND(E511*'По дням'!$L$6:$L$155/100*((((D511+'По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дням'!$J$6:$J$155)))/2+1)/'По дням'!$M$6:$M$155,2)*(1-'По дням'!$N$6:$N$155)))</f>
        <v/>
      </c>
      <c r="G511" s="22" t="str">
        <f t="shared" si="7"/>
        <v/>
      </c>
      <c r="H511" s="14" t="str">
        <f>IF(G511="","",SUMIFS(Оплаты!$B$6:$B$505,Оплаты!$D$6:$D$505,A511,Оплаты!$A$6:$A$505,D511))</f>
        <v/>
      </c>
      <c r="I511" t="str">
        <f>IF(G511="","",SUMPRODUCT((((((D511+'По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дням'!$J$6:$J$155)))/2+1)&gt;0)*1))</f>
        <v/>
      </c>
    </row>
    <row r="512" spans="1:9" x14ac:dyDescent="0.3">
      <c r="A512" t="str">
        <f>IF(AND(Оплаты!$E$504="ок",COUNTIFS(Акты!$B$5:$B$16,Оплаты!$D$504,Акты!$H$5:$H$16,"ок")&gt;0,COUNTIFS(Оплаты!$D$6:$D$503,Оплаты!$D$504,Оплаты!$A$6:$A$503,Оплаты!$A$504)=0),Оплаты!$D$504,"")</f>
        <v/>
      </c>
      <c r="B512" t="str">
        <f>IF(A512="","",MATCH(A512,Акты!$B$5:$B$16,0))</f>
        <v/>
      </c>
      <c r="C512" s="21" t="str">
        <f>IF(A512="","",Оплаты!$A$504+1)</f>
        <v/>
      </c>
      <c r="D512" s="21" t="str">
        <f>IF(A512="","",MIN(Ввод!$B$4,Ввод!$B$4+1-SUMPRODUCT(MAX((Оплаты!$D$6:$D$505=A512)*(Оплаты!$A$6:$A$505&gt;Оплаты!$A$504)*(Ввод!$B$4+1-Оплаты!$A$6:$A$505)))))</f>
        <v/>
      </c>
      <c r="E512" s="14" t="str">
        <f>IF(A512="","",INDEX(Акты!$D$5:$D$16,B512)-SUMIFS(Оплаты!$B$6:$B$505,Оплаты!$D$6:$D$505,A512,Оплаты!$A$6:$A$505,"&lt;="&amp;Оплаты!$A$504))</f>
        <v/>
      </c>
      <c r="F512" s="14" t="str">
        <f>IF(G512="","",SUMPRODUCT(ROUND(E512*'По дням'!$L$6:$L$155/100*((((D512+'По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дням'!$J$6:$J$155)))/2+1)/'По дням'!$M$6:$M$155,2)*(1-'По дням'!$N$6:$N$155)))</f>
        <v/>
      </c>
      <c r="G512" s="22" t="str">
        <f t="shared" si="7"/>
        <v/>
      </c>
      <c r="H512" s="14" t="str">
        <f>IF(G512="","",SUMIFS(Оплаты!$B$6:$B$505,Оплаты!$D$6:$D$505,A512,Оплаты!$A$6:$A$505,D512))</f>
        <v/>
      </c>
      <c r="I512" t="str">
        <f>IF(G512="","",SUMPRODUCT((((((D512+'По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дням'!$J$6:$J$155)))/2+1)&gt;0)*1))</f>
        <v/>
      </c>
    </row>
    <row r="513" spans="1:9" x14ac:dyDescent="0.3">
      <c r="A513" t="str">
        <f>IF(AND(Оплаты!$E$505="ок",COUNTIFS(Акты!$B$5:$B$16,Оплаты!$D$505,Акты!$H$5:$H$16,"ок")&gt;0,COUNTIFS(Оплаты!$D$6:$D$504,Оплаты!$D$505,Оплаты!$A$6:$A$504,Оплаты!$A$505)=0),Оплаты!$D$505,"")</f>
        <v/>
      </c>
      <c r="B513" t="str">
        <f>IF(A513="","",MATCH(A513,Акты!$B$5:$B$16,0))</f>
        <v/>
      </c>
      <c r="C513" s="21" t="str">
        <f>IF(A513="","",Оплаты!$A$505+1)</f>
        <v/>
      </c>
      <c r="D513" s="21" t="str">
        <f>IF(A513="","",MIN(Ввод!$B$4,Ввод!$B$4+1-SUMPRODUCT(MAX((Оплаты!$D$6:$D$505=A513)*(Оплаты!$A$6:$A$505&gt;Оплаты!$A$505)*(Ввод!$B$4+1-Оплаты!$A$6:$A$505)))))</f>
        <v/>
      </c>
      <c r="E513" s="14" t="str">
        <f>IF(A513="","",INDEX(Акты!$D$5:$D$16,B513)-SUMIFS(Оплаты!$B$6:$B$505,Оплаты!$D$6:$D$505,A513,Оплаты!$A$6:$A$505,"&lt;="&amp;Оплаты!$A$505))</f>
        <v/>
      </c>
      <c r="F513" s="14" t="str">
        <f>IF(G513="","",SUMPRODUCT(ROUND(E513*'По дням'!$L$6:$L$155/100*((((D513+'По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дням'!$J$6:$J$155)))/2+1)/'По дням'!$M$6:$M$155,2)*(1-'По дням'!$N$6:$N$155)))</f>
        <v/>
      </c>
      <c r="G513" s="22" t="str">
        <f t="shared" si="7"/>
        <v/>
      </c>
      <c r="H513" s="14" t="str">
        <f>IF(G513="","",SUMIFS(Оплаты!$B$6:$B$505,Оплаты!$D$6:$D$505,A513,Оплаты!$A$6:$A$505,D513))</f>
        <v/>
      </c>
      <c r="I513" t="str">
        <f>IF(G513="","",SUMPRODUCT((((((D513+'По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дням'!$J$6:$J$155)))/2+1)&gt;0)*1))</f>
        <v/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000"/>
  <sheetViews>
    <sheetView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2" customWidth="1"/>
    <col min="2" max="3" width="10" customWidth="1"/>
    <col min="4" max="4" width="18" customWidth="1"/>
    <col min="5" max="5" width="10" customWidth="1"/>
    <col min="6" max="6" width="2" customWidth="1"/>
    <col min="7" max="7" width="10" customWidth="1"/>
    <col min="9" max="9" width="32.88671875" customWidth="1"/>
    <col min="10" max="11" width="12" customWidth="1"/>
    <col min="12" max="14" width="10" customWidth="1"/>
  </cols>
  <sheetData>
    <row r="1" spans="1:14" ht="28.8" x14ac:dyDescent="0.3">
      <c r="A1" s="3" t="s">
        <v>84</v>
      </c>
      <c r="B1" s="3" t="s">
        <v>55</v>
      </c>
      <c r="C1" s="3" t="s">
        <v>85</v>
      </c>
      <c r="D1" s="3" t="s">
        <v>86</v>
      </c>
      <c r="E1" s="3" t="s">
        <v>87</v>
      </c>
      <c r="F1" s="3"/>
      <c r="G1" s="3" t="s">
        <v>88</v>
      </c>
      <c r="I1" s="29" t="s">
        <v>89</v>
      </c>
      <c r="J1" s="29"/>
      <c r="K1" s="29"/>
      <c r="L1" s="29"/>
      <c r="M1" s="29"/>
      <c r="N1" s="29"/>
    </row>
    <row r="2" spans="1:14" x14ac:dyDescent="0.3">
      <c r="A2" s="21" t="str">
        <f>IF(OR($J$3="",NOT(ISNUMBER(Ввод!$B$4))),"",IF($J$3&gt;Ввод!$B$4,"",$J$3))</f>
        <v/>
      </c>
      <c r="B2" s="23" t="str">
        <f>IF(A2="","",IFERROR(INDEX(Ввод!$B$12:$B$71,MATCH(A2,Ввод!$D$12:$D$71,1)),""))</f>
        <v/>
      </c>
      <c r="C2" t="str">
        <f t="shared" ref="C2:C65" si="0">IF(A2="","",DATE(YEAR(A2),12,31)-DATE(YEAR(A2),1,1)+1)</f>
        <v/>
      </c>
      <c r="D2" t="str">
        <f>IF(A2="","",SUMIFS(Акты!$D$5:$D$16,Акты!$E$5:$E$16,"&lt;="&amp;A2)-SUMIFS(Оплаты!$B$6:$B$505,Оплаты!$A$6:$A$505,"&lt;"&amp;A2,Оплаты!$D$6:$D$505,"&lt;&gt;"))</f>
        <v/>
      </c>
      <c r="E2" t="str">
        <f>IF(A2="","",IF(SUMPRODUCT((Ввод!$F$12:$F$31&lt;&gt;"")*(Ввод!$F$12:$F$31&lt;=A2)*(Ввод!$G$12:$G$31&gt;=A2))&gt;0,1,0))</f>
        <v/>
      </c>
      <c r="G2" t="str">
        <f>IF(A2="","",1)</f>
        <v/>
      </c>
    </row>
    <row r="3" spans="1:14" x14ac:dyDescent="0.3">
      <c r="A3" s="21" t="str">
        <f>IF(A2="","",IF(A2+1&gt;Ввод!$B$4,"",A2+1))</f>
        <v/>
      </c>
      <c r="B3" s="23" t="str">
        <f>IF(A3="","",IFERROR(INDEX(Ввод!$B$12:$B$71,MATCH(A3,Ввод!$D$12:$D$71,1)),""))</f>
        <v/>
      </c>
      <c r="C3" t="str">
        <f t="shared" si="0"/>
        <v/>
      </c>
      <c r="D3" t="str">
        <f>IF(A3="","",SUMIFS(Акты!$D$5:$D$16,Акты!$E$5:$E$16,"&lt;="&amp;A3)-SUMIFS(Оплаты!$B$6:$B$505,Оплаты!$A$6:$A$505,"&lt;"&amp;A3,Оплаты!$D$6:$D$505,"&lt;&gt;"))</f>
        <v/>
      </c>
      <c r="E3" t="str">
        <f>IF(A3="","",IF(SUMPRODUCT((Ввод!$F$12:$F$31&lt;&gt;"")*(Ввод!$F$12:$F$31&lt;=A3)*(Ввод!$G$12:$G$31&gt;=A3))&gt;0,1,0))</f>
        <v/>
      </c>
      <c r="G3" t="str">
        <f t="shared" ref="G3:G66" si="1">IF(A3="","",IF(OR(B3&lt;&gt;B2,C3&lt;&gt;C2,E3&lt;&gt;E2),G2+1,G2))</f>
        <v/>
      </c>
      <c r="I3" t="s">
        <v>90</v>
      </c>
      <c r="J3" s="21" t="str">
        <f>IF(COUNT(Акты!$E$5:$E$16)=0,"",MIN(Акты!$E$5:$E$16))</f>
        <v/>
      </c>
    </row>
    <row r="4" spans="1:14" x14ac:dyDescent="0.3">
      <c r="A4" s="21" t="str">
        <f>IF(A3="","",IF(A3+1&gt;Ввод!$B$4,"",A3+1))</f>
        <v/>
      </c>
      <c r="B4" s="23" t="str">
        <f>IF(A4="","",IFERROR(INDEX(Ввод!$B$12:$B$71,MATCH(A4,Ввод!$D$12:$D$71,1)),""))</f>
        <v/>
      </c>
      <c r="C4" t="str">
        <f t="shared" si="0"/>
        <v/>
      </c>
      <c r="D4" t="str">
        <f>IF(A4="","",SUMIFS(Акты!$D$5:$D$16,Акты!$E$5:$E$16,"&lt;="&amp;A4)-SUMIFS(Оплаты!$B$6:$B$505,Оплаты!$A$6:$A$505,"&lt;"&amp;A4,Оплаты!$D$6:$D$505,"&lt;&gt;"))</f>
        <v/>
      </c>
      <c r="E4" t="str">
        <f>IF(A4="","",IF(SUMPRODUCT((Ввод!$F$12:$F$31&lt;&gt;"")*(Ввод!$F$12:$F$31&lt;=A4)*(Ввод!$G$12:$G$31&gt;=A4))&gt;0,1,0))</f>
        <v/>
      </c>
      <c r="G4" t="str">
        <f t="shared" si="1"/>
        <v/>
      </c>
    </row>
    <row r="5" spans="1:14" ht="43.2" x14ac:dyDescent="0.3">
      <c r="A5" s="21" t="str">
        <f>IF(A4="","",IF(A4+1&gt;Ввод!$B$4,"",A4+1))</f>
        <v/>
      </c>
      <c r="B5" s="23" t="str">
        <f>IF(A5="","",IFERROR(INDEX(Ввод!$B$12:$B$71,MATCH(A5,Ввод!$D$12:$D$71,1)),""))</f>
        <v/>
      </c>
      <c r="C5" t="str">
        <f t="shared" si="0"/>
        <v/>
      </c>
      <c r="D5" t="str">
        <f>IF(A5="","",SUMIFS(Акты!$D$5:$D$16,Акты!$E$5:$E$16,"&lt;="&amp;A5)-SUMIFS(Оплаты!$B$6:$B$505,Оплаты!$A$6:$A$505,"&lt;"&amp;A5,Оплаты!$D$6:$D$505,"&lt;&gt;"))</f>
        <v/>
      </c>
      <c r="E5" t="str">
        <f>IF(A5="","",IF(SUMPRODUCT((Ввод!$F$12:$F$31&lt;&gt;"")*(Ввод!$F$12:$F$31&lt;=A5)*(Ввод!$G$12:$G$31&gt;=A5))&gt;0,1,0))</f>
        <v/>
      </c>
      <c r="G5" t="str">
        <f t="shared" si="1"/>
        <v/>
      </c>
      <c r="I5" s="3" t="s">
        <v>91</v>
      </c>
      <c r="J5" s="3" t="s">
        <v>37</v>
      </c>
      <c r="K5" s="3" t="s">
        <v>52</v>
      </c>
      <c r="L5" s="3" t="s">
        <v>55</v>
      </c>
      <c r="M5" s="3" t="s">
        <v>85</v>
      </c>
      <c r="N5" s="3" t="s">
        <v>92</v>
      </c>
    </row>
    <row r="6" spans="1:14" x14ac:dyDescent="0.3">
      <c r="A6" s="21" t="str">
        <f>IF(A5="","",IF(A5+1&gt;Ввод!$B$4,"",A5+1))</f>
        <v/>
      </c>
      <c r="B6" s="23" t="str">
        <f>IF(A6="","",IFERROR(INDEX(Ввод!$B$12:$B$71,MATCH(A6,Ввод!$D$12:$D$71,1)),""))</f>
        <v/>
      </c>
      <c r="C6" t="str">
        <f t="shared" si="0"/>
        <v/>
      </c>
      <c r="D6" t="str">
        <f>IF(A6="","",SUMIFS(Акты!$D$5:$D$16,Акты!$E$5:$E$16,"&lt;="&amp;A6)-SUMIFS(Оплаты!$B$6:$B$505,Оплаты!$A$6:$A$505,"&lt;"&amp;A6,Оплаты!$D$6:$D$505,"&lt;&gt;"))</f>
        <v/>
      </c>
      <c r="E6" t="str">
        <f>IF(A6="","",IF(SUMPRODUCT((Ввод!$F$12:$F$31&lt;&gt;"")*(Ввод!$F$12:$F$31&lt;=A6)*(Ввод!$G$12:$G$31&gt;=A6))&gt;0,1,0))</f>
        <v/>
      </c>
      <c r="G6" t="str">
        <f t="shared" si="1"/>
        <v/>
      </c>
      <c r="I6">
        <v>1</v>
      </c>
      <c r="J6" s="24">
        <f>IFERROR(INDEX('По дням'!$A$2:$A$4000,MATCH(1,'По дням'!$G$2:$G$4000,0)),0)</f>
        <v>0</v>
      </c>
      <c r="K6" s="24">
        <f>IF(J6=0,0,J6+COUNTIF('По дням'!$G$2:$G$4000,1)-1)</f>
        <v>0</v>
      </c>
      <c r="L6" s="25">
        <f>IF(J6=0,0,N(INDEX('По дням'!$B$2:$B$4000,MATCH(1,'По дням'!$G$2:$G$4000,0))))</f>
        <v>0</v>
      </c>
      <c r="M6" s="26">
        <f>IF(J6=0,1,N(INDEX('По дням'!$C$2:$C$4000,MATCH(1,'По дням'!$G$2:$G$4000,0))))</f>
        <v>1</v>
      </c>
      <c r="N6" s="27">
        <f>IF(J6=0,0,N(INDEX('По дням'!$E$2:$E$4000,MATCH(1,'По дням'!$G$2:$G$4000,0))))</f>
        <v>0</v>
      </c>
    </row>
    <row r="7" spans="1:14" x14ac:dyDescent="0.3">
      <c r="A7" s="21" t="str">
        <f>IF(A6="","",IF(A6+1&gt;Ввод!$B$4,"",A6+1))</f>
        <v/>
      </c>
      <c r="B7" s="23" t="str">
        <f>IF(A7="","",IFERROR(INDEX(Ввод!$B$12:$B$71,MATCH(A7,Ввод!$D$12:$D$71,1)),""))</f>
        <v/>
      </c>
      <c r="C7" t="str">
        <f t="shared" si="0"/>
        <v/>
      </c>
      <c r="D7" t="str">
        <f>IF(A7="","",SUMIFS(Акты!$D$5:$D$16,Акты!$E$5:$E$16,"&lt;="&amp;A7)-SUMIFS(Оплаты!$B$6:$B$505,Оплаты!$A$6:$A$505,"&lt;"&amp;A7,Оплаты!$D$6:$D$505,"&lt;&gt;"))</f>
        <v/>
      </c>
      <c r="E7" t="str">
        <f>IF(A7="","",IF(SUMPRODUCT((Ввод!$F$12:$F$31&lt;&gt;"")*(Ввод!$F$12:$F$31&lt;=A7)*(Ввод!$G$12:$G$31&gt;=A7))&gt;0,1,0))</f>
        <v/>
      </c>
      <c r="G7" t="str">
        <f t="shared" si="1"/>
        <v/>
      </c>
      <c r="I7">
        <v>2</v>
      </c>
      <c r="J7" s="24">
        <f>IFERROR(INDEX('По дням'!$A$2:$A$4000,MATCH(2,'По дням'!$G$2:$G$4000,0)),0)</f>
        <v>0</v>
      </c>
      <c r="K7" s="24">
        <f>IF(J7=0,0,J7+COUNTIF('По дням'!$G$2:$G$4000,2)-1)</f>
        <v>0</v>
      </c>
      <c r="L7" s="25">
        <f>IF(J7=0,0,N(INDEX('По дням'!$B$2:$B$4000,MATCH(2,'По дням'!$G$2:$G$4000,0))))</f>
        <v>0</v>
      </c>
      <c r="M7" s="26">
        <f>IF(J7=0,1,N(INDEX('По дням'!$C$2:$C$4000,MATCH(2,'По дням'!$G$2:$G$4000,0))))</f>
        <v>1</v>
      </c>
      <c r="N7" s="27">
        <f>IF(J7=0,0,N(INDEX('По дням'!$E$2:$E$4000,MATCH(2,'По дням'!$G$2:$G$4000,0))))</f>
        <v>0</v>
      </c>
    </row>
    <row r="8" spans="1:14" x14ac:dyDescent="0.3">
      <c r="A8" s="21" t="str">
        <f>IF(A7="","",IF(A7+1&gt;Ввод!$B$4,"",A7+1))</f>
        <v/>
      </c>
      <c r="B8" s="23" t="str">
        <f>IF(A8="","",IFERROR(INDEX(Ввод!$B$12:$B$71,MATCH(A8,Ввод!$D$12:$D$71,1)),""))</f>
        <v/>
      </c>
      <c r="C8" t="str">
        <f t="shared" si="0"/>
        <v/>
      </c>
      <c r="D8" t="str">
        <f>IF(A8="","",SUMIFS(Акты!$D$5:$D$16,Акты!$E$5:$E$16,"&lt;="&amp;A8)-SUMIFS(Оплаты!$B$6:$B$505,Оплаты!$A$6:$A$505,"&lt;"&amp;A8,Оплаты!$D$6:$D$505,"&lt;&gt;"))</f>
        <v/>
      </c>
      <c r="E8" t="str">
        <f>IF(A8="","",IF(SUMPRODUCT((Ввод!$F$12:$F$31&lt;&gt;"")*(Ввод!$F$12:$F$31&lt;=A8)*(Ввод!$G$12:$G$31&gt;=A8))&gt;0,1,0))</f>
        <v/>
      </c>
      <c r="G8" t="str">
        <f t="shared" si="1"/>
        <v/>
      </c>
      <c r="I8">
        <v>3</v>
      </c>
      <c r="J8" s="24">
        <f>IFERROR(INDEX('По дням'!$A$2:$A$4000,MATCH(3,'По дням'!$G$2:$G$4000,0)),0)</f>
        <v>0</v>
      </c>
      <c r="K8" s="24">
        <f>IF(J8=0,0,J8+COUNTIF('По дням'!$G$2:$G$4000,3)-1)</f>
        <v>0</v>
      </c>
      <c r="L8" s="25">
        <f>IF(J8=0,0,N(INDEX('По дням'!$B$2:$B$4000,MATCH(3,'По дням'!$G$2:$G$4000,0))))</f>
        <v>0</v>
      </c>
      <c r="M8" s="26">
        <f>IF(J8=0,1,N(INDEX('По дням'!$C$2:$C$4000,MATCH(3,'По дням'!$G$2:$G$4000,0))))</f>
        <v>1</v>
      </c>
      <c r="N8" s="27">
        <f>IF(J8=0,0,N(INDEX('По дням'!$E$2:$E$4000,MATCH(3,'По дням'!$G$2:$G$4000,0))))</f>
        <v>0</v>
      </c>
    </row>
    <row r="9" spans="1:14" x14ac:dyDescent="0.3">
      <c r="A9" s="21" t="str">
        <f>IF(A8="","",IF(A8+1&gt;Ввод!$B$4,"",A8+1))</f>
        <v/>
      </c>
      <c r="B9" s="23" t="str">
        <f>IF(A9="","",IFERROR(INDEX(Ввод!$B$12:$B$71,MATCH(A9,Ввод!$D$12:$D$71,1)),""))</f>
        <v/>
      </c>
      <c r="C9" t="str">
        <f t="shared" si="0"/>
        <v/>
      </c>
      <c r="D9" t="str">
        <f>IF(A9="","",SUMIFS(Акты!$D$5:$D$16,Акты!$E$5:$E$16,"&lt;="&amp;A9)-SUMIFS(Оплаты!$B$6:$B$505,Оплаты!$A$6:$A$505,"&lt;"&amp;A9,Оплаты!$D$6:$D$505,"&lt;&gt;"))</f>
        <v/>
      </c>
      <c r="E9" t="str">
        <f>IF(A9="","",IF(SUMPRODUCT((Ввод!$F$12:$F$31&lt;&gt;"")*(Ввод!$F$12:$F$31&lt;=A9)*(Ввод!$G$12:$G$31&gt;=A9))&gt;0,1,0))</f>
        <v/>
      </c>
      <c r="G9" t="str">
        <f t="shared" si="1"/>
        <v/>
      </c>
      <c r="I9">
        <v>4</v>
      </c>
      <c r="J9" s="24">
        <f>IFERROR(INDEX('По дням'!$A$2:$A$4000,MATCH(4,'По дням'!$G$2:$G$4000,0)),0)</f>
        <v>0</v>
      </c>
      <c r="K9" s="24">
        <f>IF(J9=0,0,J9+COUNTIF('По дням'!$G$2:$G$4000,4)-1)</f>
        <v>0</v>
      </c>
      <c r="L9" s="25">
        <f>IF(J9=0,0,N(INDEX('По дням'!$B$2:$B$4000,MATCH(4,'По дням'!$G$2:$G$4000,0))))</f>
        <v>0</v>
      </c>
      <c r="M9" s="26">
        <f>IF(J9=0,1,N(INDEX('По дням'!$C$2:$C$4000,MATCH(4,'По дням'!$G$2:$G$4000,0))))</f>
        <v>1</v>
      </c>
      <c r="N9" s="27">
        <f>IF(J9=0,0,N(INDEX('По дням'!$E$2:$E$4000,MATCH(4,'По дням'!$G$2:$G$4000,0))))</f>
        <v>0</v>
      </c>
    </row>
    <row r="10" spans="1:14" x14ac:dyDescent="0.3">
      <c r="A10" s="21" t="str">
        <f>IF(A9="","",IF(A9+1&gt;Ввод!$B$4,"",A9+1))</f>
        <v/>
      </c>
      <c r="B10" s="23" t="str">
        <f>IF(A10="","",IFERROR(INDEX(Ввод!$B$12:$B$71,MATCH(A10,Ввод!$D$12:$D$71,1)),""))</f>
        <v/>
      </c>
      <c r="C10" t="str">
        <f t="shared" si="0"/>
        <v/>
      </c>
      <c r="D10" t="str">
        <f>IF(A10="","",SUMIFS(Акты!$D$5:$D$16,Акты!$E$5:$E$16,"&lt;="&amp;A10)-SUMIFS(Оплаты!$B$6:$B$505,Оплаты!$A$6:$A$505,"&lt;"&amp;A10,Оплаты!$D$6:$D$505,"&lt;&gt;"))</f>
        <v/>
      </c>
      <c r="E10" t="str">
        <f>IF(A10="","",IF(SUMPRODUCT((Ввод!$F$12:$F$31&lt;&gt;"")*(Ввод!$F$12:$F$31&lt;=A10)*(Ввод!$G$12:$G$31&gt;=A10))&gt;0,1,0))</f>
        <v/>
      </c>
      <c r="G10" t="str">
        <f t="shared" si="1"/>
        <v/>
      </c>
      <c r="I10">
        <v>5</v>
      </c>
      <c r="J10" s="24">
        <f>IFERROR(INDEX('По дням'!$A$2:$A$4000,MATCH(5,'По дням'!$G$2:$G$4000,0)),0)</f>
        <v>0</v>
      </c>
      <c r="K10" s="24">
        <f>IF(J10=0,0,J10+COUNTIF('По дням'!$G$2:$G$4000,5)-1)</f>
        <v>0</v>
      </c>
      <c r="L10" s="25">
        <f>IF(J10=0,0,N(INDEX('По дням'!$B$2:$B$4000,MATCH(5,'По дням'!$G$2:$G$4000,0))))</f>
        <v>0</v>
      </c>
      <c r="M10" s="26">
        <f>IF(J10=0,1,N(INDEX('По дням'!$C$2:$C$4000,MATCH(5,'По дням'!$G$2:$G$4000,0))))</f>
        <v>1</v>
      </c>
      <c r="N10" s="27">
        <f>IF(J10=0,0,N(INDEX('По дням'!$E$2:$E$4000,MATCH(5,'По дням'!$G$2:$G$4000,0))))</f>
        <v>0</v>
      </c>
    </row>
    <row r="11" spans="1:14" x14ac:dyDescent="0.3">
      <c r="A11" s="21" t="str">
        <f>IF(A10="","",IF(A10+1&gt;Ввод!$B$4,"",A10+1))</f>
        <v/>
      </c>
      <c r="B11" s="23" t="str">
        <f>IF(A11="","",IFERROR(INDEX(Ввод!$B$12:$B$71,MATCH(A11,Ввод!$D$12:$D$71,1)),""))</f>
        <v/>
      </c>
      <c r="C11" t="str">
        <f t="shared" si="0"/>
        <v/>
      </c>
      <c r="D11" t="str">
        <f>IF(A11="","",SUMIFS(Акты!$D$5:$D$16,Акты!$E$5:$E$16,"&lt;="&amp;A11)-SUMIFS(Оплаты!$B$6:$B$505,Оплаты!$A$6:$A$505,"&lt;"&amp;A11,Оплаты!$D$6:$D$505,"&lt;&gt;"))</f>
        <v/>
      </c>
      <c r="E11" t="str">
        <f>IF(A11="","",IF(SUMPRODUCT((Ввод!$F$12:$F$31&lt;&gt;"")*(Ввод!$F$12:$F$31&lt;=A11)*(Ввод!$G$12:$G$31&gt;=A11))&gt;0,1,0))</f>
        <v/>
      </c>
      <c r="G11" t="str">
        <f t="shared" si="1"/>
        <v/>
      </c>
      <c r="I11">
        <v>6</v>
      </c>
      <c r="J11" s="24">
        <f>IFERROR(INDEX('По дням'!$A$2:$A$4000,MATCH(6,'По дням'!$G$2:$G$4000,0)),0)</f>
        <v>0</v>
      </c>
      <c r="K11" s="24">
        <f>IF(J11=0,0,J11+COUNTIF('По дням'!$G$2:$G$4000,6)-1)</f>
        <v>0</v>
      </c>
      <c r="L11" s="25">
        <f>IF(J11=0,0,N(INDEX('По дням'!$B$2:$B$4000,MATCH(6,'По дням'!$G$2:$G$4000,0))))</f>
        <v>0</v>
      </c>
      <c r="M11" s="26">
        <f>IF(J11=0,1,N(INDEX('По дням'!$C$2:$C$4000,MATCH(6,'По дням'!$G$2:$G$4000,0))))</f>
        <v>1</v>
      </c>
      <c r="N11" s="27">
        <f>IF(J11=0,0,N(INDEX('По дням'!$E$2:$E$4000,MATCH(6,'По дням'!$G$2:$G$4000,0))))</f>
        <v>0</v>
      </c>
    </row>
    <row r="12" spans="1:14" x14ac:dyDescent="0.3">
      <c r="A12" s="21" t="str">
        <f>IF(A11="","",IF(A11+1&gt;Ввод!$B$4,"",A11+1))</f>
        <v/>
      </c>
      <c r="B12" s="23" t="str">
        <f>IF(A12="","",IFERROR(INDEX(Ввод!$B$12:$B$71,MATCH(A12,Ввод!$D$12:$D$71,1)),""))</f>
        <v/>
      </c>
      <c r="C12" t="str">
        <f t="shared" si="0"/>
        <v/>
      </c>
      <c r="D12" t="str">
        <f>IF(A12="","",SUMIFS(Акты!$D$5:$D$16,Акты!$E$5:$E$16,"&lt;="&amp;A12)-SUMIFS(Оплаты!$B$6:$B$505,Оплаты!$A$6:$A$505,"&lt;"&amp;A12,Оплаты!$D$6:$D$505,"&lt;&gt;"))</f>
        <v/>
      </c>
      <c r="E12" t="str">
        <f>IF(A12="","",IF(SUMPRODUCT((Ввод!$F$12:$F$31&lt;&gt;"")*(Ввод!$F$12:$F$31&lt;=A12)*(Ввод!$G$12:$G$31&gt;=A12))&gt;0,1,0))</f>
        <v/>
      </c>
      <c r="G12" t="str">
        <f t="shared" si="1"/>
        <v/>
      </c>
      <c r="I12">
        <v>7</v>
      </c>
      <c r="J12" s="24">
        <f>IFERROR(INDEX('По дням'!$A$2:$A$4000,MATCH(7,'По дням'!$G$2:$G$4000,0)),0)</f>
        <v>0</v>
      </c>
      <c r="K12" s="24">
        <f>IF(J12=0,0,J12+COUNTIF('По дням'!$G$2:$G$4000,7)-1)</f>
        <v>0</v>
      </c>
      <c r="L12" s="25">
        <f>IF(J12=0,0,N(INDEX('По дням'!$B$2:$B$4000,MATCH(7,'По дням'!$G$2:$G$4000,0))))</f>
        <v>0</v>
      </c>
      <c r="M12" s="26">
        <f>IF(J12=0,1,N(INDEX('По дням'!$C$2:$C$4000,MATCH(7,'По дням'!$G$2:$G$4000,0))))</f>
        <v>1</v>
      </c>
      <c r="N12" s="27">
        <f>IF(J12=0,0,N(INDEX('По дням'!$E$2:$E$4000,MATCH(7,'По дням'!$G$2:$G$4000,0))))</f>
        <v>0</v>
      </c>
    </row>
    <row r="13" spans="1:14" x14ac:dyDescent="0.3">
      <c r="A13" s="21" t="str">
        <f>IF(A12="","",IF(A12+1&gt;Ввод!$B$4,"",A12+1))</f>
        <v/>
      </c>
      <c r="B13" s="23" t="str">
        <f>IF(A13="","",IFERROR(INDEX(Ввод!$B$12:$B$71,MATCH(A13,Ввод!$D$12:$D$71,1)),""))</f>
        <v/>
      </c>
      <c r="C13" t="str">
        <f t="shared" si="0"/>
        <v/>
      </c>
      <c r="D13" t="str">
        <f>IF(A13="","",SUMIFS(Акты!$D$5:$D$16,Акты!$E$5:$E$16,"&lt;="&amp;A13)-SUMIFS(Оплаты!$B$6:$B$505,Оплаты!$A$6:$A$505,"&lt;"&amp;A13,Оплаты!$D$6:$D$505,"&lt;&gt;"))</f>
        <v/>
      </c>
      <c r="E13" t="str">
        <f>IF(A13="","",IF(SUMPRODUCT((Ввод!$F$12:$F$31&lt;&gt;"")*(Ввод!$F$12:$F$31&lt;=A13)*(Ввод!$G$12:$G$31&gt;=A13))&gt;0,1,0))</f>
        <v/>
      </c>
      <c r="G13" t="str">
        <f t="shared" si="1"/>
        <v/>
      </c>
      <c r="I13">
        <v>8</v>
      </c>
      <c r="J13" s="24">
        <f>IFERROR(INDEX('По дням'!$A$2:$A$4000,MATCH(8,'По дням'!$G$2:$G$4000,0)),0)</f>
        <v>0</v>
      </c>
      <c r="K13" s="24">
        <f>IF(J13=0,0,J13+COUNTIF('По дням'!$G$2:$G$4000,8)-1)</f>
        <v>0</v>
      </c>
      <c r="L13" s="25">
        <f>IF(J13=0,0,N(INDEX('По дням'!$B$2:$B$4000,MATCH(8,'По дням'!$G$2:$G$4000,0))))</f>
        <v>0</v>
      </c>
      <c r="M13" s="26">
        <f>IF(J13=0,1,N(INDEX('По дням'!$C$2:$C$4000,MATCH(8,'По дням'!$G$2:$G$4000,0))))</f>
        <v>1</v>
      </c>
      <c r="N13" s="27">
        <f>IF(J13=0,0,N(INDEX('По дням'!$E$2:$E$4000,MATCH(8,'По дням'!$G$2:$G$4000,0))))</f>
        <v>0</v>
      </c>
    </row>
    <row r="14" spans="1:14" x14ac:dyDescent="0.3">
      <c r="A14" s="21" t="str">
        <f>IF(A13="","",IF(A13+1&gt;Ввод!$B$4,"",A13+1))</f>
        <v/>
      </c>
      <c r="B14" s="23" t="str">
        <f>IF(A14="","",IFERROR(INDEX(Ввод!$B$12:$B$71,MATCH(A14,Ввод!$D$12:$D$71,1)),""))</f>
        <v/>
      </c>
      <c r="C14" t="str">
        <f t="shared" si="0"/>
        <v/>
      </c>
      <c r="D14" t="str">
        <f>IF(A14="","",SUMIFS(Акты!$D$5:$D$16,Акты!$E$5:$E$16,"&lt;="&amp;A14)-SUMIFS(Оплаты!$B$6:$B$505,Оплаты!$A$6:$A$505,"&lt;"&amp;A14,Оплаты!$D$6:$D$505,"&lt;&gt;"))</f>
        <v/>
      </c>
      <c r="E14" t="str">
        <f>IF(A14="","",IF(SUMPRODUCT((Ввод!$F$12:$F$31&lt;&gt;"")*(Ввод!$F$12:$F$31&lt;=A14)*(Ввод!$G$12:$G$31&gt;=A14))&gt;0,1,0))</f>
        <v/>
      </c>
      <c r="G14" t="str">
        <f t="shared" si="1"/>
        <v/>
      </c>
      <c r="I14">
        <v>9</v>
      </c>
      <c r="J14" s="24">
        <f>IFERROR(INDEX('По дням'!$A$2:$A$4000,MATCH(9,'По дням'!$G$2:$G$4000,0)),0)</f>
        <v>0</v>
      </c>
      <c r="K14" s="24">
        <f>IF(J14=0,0,J14+COUNTIF('По дням'!$G$2:$G$4000,9)-1)</f>
        <v>0</v>
      </c>
      <c r="L14" s="25">
        <f>IF(J14=0,0,N(INDEX('По дням'!$B$2:$B$4000,MATCH(9,'По дням'!$G$2:$G$4000,0))))</f>
        <v>0</v>
      </c>
      <c r="M14" s="26">
        <f>IF(J14=0,1,N(INDEX('По дням'!$C$2:$C$4000,MATCH(9,'По дням'!$G$2:$G$4000,0))))</f>
        <v>1</v>
      </c>
      <c r="N14" s="27">
        <f>IF(J14=0,0,N(INDEX('По дням'!$E$2:$E$4000,MATCH(9,'По дням'!$G$2:$G$4000,0))))</f>
        <v>0</v>
      </c>
    </row>
    <row r="15" spans="1:14" x14ac:dyDescent="0.3">
      <c r="A15" s="21" t="str">
        <f>IF(A14="","",IF(A14+1&gt;Ввод!$B$4,"",A14+1))</f>
        <v/>
      </c>
      <c r="B15" s="23" t="str">
        <f>IF(A15="","",IFERROR(INDEX(Ввод!$B$12:$B$71,MATCH(A15,Ввод!$D$12:$D$71,1)),""))</f>
        <v/>
      </c>
      <c r="C15" t="str">
        <f t="shared" si="0"/>
        <v/>
      </c>
      <c r="D15" t="str">
        <f>IF(A15="","",SUMIFS(Акты!$D$5:$D$16,Акты!$E$5:$E$16,"&lt;="&amp;A15)-SUMIFS(Оплаты!$B$6:$B$505,Оплаты!$A$6:$A$505,"&lt;"&amp;A15,Оплаты!$D$6:$D$505,"&lt;&gt;"))</f>
        <v/>
      </c>
      <c r="E15" t="str">
        <f>IF(A15="","",IF(SUMPRODUCT((Ввод!$F$12:$F$31&lt;&gt;"")*(Ввод!$F$12:$F$31&lt;=A15)*(Ввод!$G$12:$G$31&gt;=A15))&gt;0,1,0))</f>
        <v/>
      </c>
      <c r="G15" t="str">
        <f t="shared" si="1"/>
        <v/>
      </c>
      <c r="I15">
        <v>10</v>
      </c>
      <c r="J15" s="24">
        <f>IFERROR(INDEX('По дням'!$A$2:$A$4000,MATCH(10,'По дням'!$G$2:$G$4000,0)),0)</f>
        <v>0</v>
      </c>
      <c r="K15" s="24">
        <f>IF(J15=0,0,J15+COUNTIF('По дням'!$G$2:$G$4000,10)-1)</f>
        <v>0</v>
      </c>
      <c r="L15" s="25">
        <f>IF(J15=0,0,N(INDEX('По дням'!$B$2:$B$4000,MATCH(10,'По дням'!$G$2:$G$4000,0))))</f>
        <v>0</v>
      </c>
      <c r="M15" s="26">
        <f>IF(J15=0,1,N(INDEX('По дням'!$C$2:$C$4000,MATCH(10,'По дням'!$G$2:$G$4000,0))))</f>
        <v>1</v>
      </c>
      <c r="N15" s="27">
        <f>IF(J15=0,0,N(INDEX('По дням'!$E$2:$E$4000,MATCH(10,'По дням'!$G$2:$G$4000,0))))</f>
        <v>0</v>
      </c>
    </row>
    <row r="16" spans="1:14" x14ac:dyDescent="0.3">
      <c r="A16" s="21" t="str">
        <f>IF(A15="","",IF(A15+1&gt;Ввод!$B$4,"",A15+1))</f>
        <v/>
      </c>
      <c r="B16" s="23" t="str">
        <f>IF(A16="","",IFERROR(INDEX(Ввод!$B$12:$B$71,MATCH(A16,Ввод!$D$12:$D$71,1)),""))</f>
        <v/>
      </c>
      <c r="C16" t="str">
        <f t="shared" si="0"/>
        <v/>
      </c>
      <c r="D16" t="str">
        <f>IF(A16="","",SUMIFS(Акты!$D$5:$D$16,Акты!$E$5:$E$16,"&lt;="&amp;A16)-SUMIFS(Оплаты!$B$6:$B$505,Оплаты!$A$6:$A$505,"&lt;"&amp;A16,Оплаты!$D$6:$D$505,"&lt;&gt;"))</f>
        <v/>
      </c>
      <c r="E16" t="str">
        <f>IF(A16="","",IF(SUMPRODUCT((Ввод!$F$12:$F$31&lt;&gt;"")*(Ввод!$F$12:$F$31&lt;=A16)*(Ввод!$G$12:$G$31&gt;=A16))&gt;0,1,0))</f>
        <v/>
      </c>
      <c r="G16" t="str">
        <f t="shared" si="1"/>
        <v/>
      </c>
      <c r="I16">
        <v>11</v>
      </c>
      <c r="J16" s="24">
        <f>IFERROR(INDEX('По дням'!$A$2:$A$4000,MATCH(11,'По дням'!$G$2:$G$4000,0)),0)</f>
        <v>0</v>
      </c>
      <c r="K16" s="24">
        <f>IF(J16=0,0,J16+COUNTIF('По дням'!$G$2:$G$4000,11)-1)</f>
        <v>0</v>
      </c>
      <c r="L16" s="25">
        <f>IF(J16=0,0,N(INDEX('По дням'!$B$2:$B$4000,MATCH(11,'По дням'!$G$2:$G$4000,0))))</f>
        <v>0</v>
      </c>
      <c r="M16" s="26">
        <f>IF(J16=0,1,N(INDEX('По дням'!$C$2:$C$4000,MATCH(11,'По дням'!$G$2:$G$4000,0))))</f>
        <v>1</v>
      </c>
      <c r="N16" s="27">
        <f>IF(J16=0,0,N(INDEX('По дням'!$E$2:$E$4000,MATCH(11,'По дням'!$G$2:$G$4000,0))))</f>
        <v>0</v>
      </c>
    </row>
    <row r="17" spans="1:14" x14ac:dyDescent="0.3">
      <c r="A17" s="21" t="str">
        <f>IF(A16="","",IF(A16+1&gt;Ввод!$B$4,"",A16+1))</f>
        <v/>
      </c>
      <c r="B17" s="23" t="str">
        <f>IF(A17="","",IFERROR(INDEX(Ввод!$B$12:$B$71,MATCH(A17,Ввод!$D$12:$D$71,1)),""))</f>
        <v/>
      </c>
      <c r="C17" t="str">
        <f t="shared" si="0"/>
        <v/>
      </c>
      <c r="D17" t="str">
        <f>IF(A17="","",SUMIFS(Акты!$D$5:$D$16,Акты!$E$5:$E$16,"&lt;="&amp;A17)-SUMIFS(Оплаты!$B$6:$B$505,Оплаты!$A$6:$A$505,"&lt;"&amp;A17,Оплаты!$D$6:$D$505,"&lt;&gt;"))</f>
        <v/>
      </c>
      <c r="E17" t="str">
        <f>IF(A17="","",IF(SUMPRODUCT((Ввод!$F$12:$F$31&lt;&gt;"")*(Ввод!$F$12:$F$31&lt;=A17)*(Ввод!$G$12:$G$31&gt;=A17))&gt;0,1,0))</f>
        <v/>
      </c>
      <c r="G17" t="str">
        <f t="shared" si="1"/>
        <v/>
      </c>
      <c r="I17">
        <v>12</v>
      </c>
      <c r="J17" s="24">
        <f>IFERROR(INDEX('По дням'!$A$2:$A$4000,MATCH(12,'По дням'!$G$2:$G$4000,0)),0)</f>
        <v>0</v>
      </c>
      <c r="K17" s="24">
        <f>IF(J17=0,0,J17+COUNTIF('По дням'!$G$2:$G$4000,12)-1)</f>
        <v>0</v>
      </c>
      <c r="L17" s="25">
        <f>IF(J17=0,0,N(INDEX('По дням'!$B$2:$B$4000,MATCH(12,'По дням'!$G$2:$G$4000,0))))</f>
        <v>0</v>
      </c>
      <c r="M17" s="26">
        <f>IF(J17=0,1,N(INDEX('По дням'!$C$2:$C$4000,MATCH(12,'По дням'!$G$2:$G$4000,0))))</f>
        <v>1</v>
      </c>
      <c r="N17" s="27">
        <f>IF(J17=0,0,N(INDEX('По дням'!$E$2:$E$4000,MATCH(12,'По дням'!$G$2:$G$4000,0))))</f>
        <v>0</v>
      </c>
    </row>
    <row r="18" spans="1:14" x14ac:dyDescent="0.3">
      <c r="A18" s="21" t="str">
        <f>IF(A17="","",IF(A17+1&gt;Ввод!$B$4,"",A17+1))</f>
        <v/>
      </c>
      <c r="B18" s="23" t="str">
        <f>IF(A18="","",IFERROR(INDEX(Ввод!$B$12:$B$71,MATCH(A18,Ввод!$D$12:$D$71,1)),""))</f>
        <v/>
      </c>
      <c r="C18" t="str">
        <f t="shared" si="0"/>
        <v/>
      </c>
      <c r="D18" t="str">
        <f>IF(A18="","",SUMIFS(Акты!$D$5:$D$16,Акты!$E$5:$E$16,"&lt;="&amp;A18)-SUMIFS(Оплаты!$B$6:$B$505,Оплаты!$A$6:$A$505,"&lt;"&amp;A18,Оплаты!$D$6:$D$505,"&lt;&gt;"))</f>
        <v/>
      </c>
      <c r="E18" t="str">
        <f>IF(A18="","",IF(SUMPRODUCT((Ввод!$F$12:$F$31&lt;&gt;"")*(Ввод!$F$12:$F$31&lt;=A18)*(Ввод!$G$12:$G$31&gt;=A18))&gt;0,1,0))</f>
        <v/>
      </c>
      <c r="G18" t="str">
        <f t="shared" si="1"/>
        <v/>
      </c>
      <c r="I18">
        <v>13</v>
      </c>
      <c r="J18" s="24">
        <f>IFERROR(INDEX('По дням'!$A$2:$A$4000,MATCH(13,'По дням'!$G$2:$G$4000,0)),0)</f>
        <v>0</v>
      </c>
      <c r="K18" s="24">
        <f>IF(J18=0,0,J18+COUNTIF('По дням'!$G$2:$G$4000,13)-1)</f>
        <v>0</v>
      </c>
      <c r="L18" s="25">
        <f>IF(J18=0,0,N(INDEX('По дням'!$B$2:$B$4000,MATCH(13,'По дням'!$G$2:$G$4000,0))))</f>
        <v>0</v>
      </c>
      <c r="M18" s="26">
        <f>IF(J18=0,1,N(INDEX('По дням'!$C$2:$C$4000,MATCH(13,'По дням'!$G$2:$G$4000,0))))</f>
        <v>1</v>
      </c>
      <c r="N18" s="27">
        <f>IF(J18=0,0,N(INDEX('По дням'!$E$2:$E$4000,MATCH(13,'По дням'!$G$2:$G$4000,0))))</f>
        <v>0</v>
      </c>
    </row>
    <row r="19" spans="1:14" x14ac:dyDescent="0.3">
      <c r="A19" s="21" t="str">
        <f>IF(A18="","",IF(A18+1&gt;Ввод!$B$4,"",A18+1))</f>
        <v/>
      </c>
      <c r="B19" s="23" t="str">
        <f>IF(A19="","",IFERROR(INDEX(Ввод!$B$12:$B$71,MATCH(A19,Ввод!$D$12:$D$71,1)),""))</f>
        <v/>
      </c>
      <c r="C19" t="str">
        <f t="shared" si="0"/>
        <v/>
      </c>
      <c r="D19" t="str">
        <f>IF(A19="","",SUMIFS(Акты!$D$5:$D$16,Акты!$E$5:$E$16,"&lt;="&amp;A19)-SUMIFS(Оплаты!$B$6:$B$505,Оплаты!$A$6:$A$505,"&lt;"&amp;A19,Оплаты!$D$6:$D$505,"&lt;&gt;"))</f>
        <v/>
      </c>
      <c r="E19" t="str">
        <f>IF(A19="","",IF(SUMPRODUCT((Ввод!$F$12:$F$31&lt;&gt;"")*(Ввод!$F$12:$F$31&lt;=A19)*(Ввод!$G$12:$G$31&gt;=A19))&gt;0,1,0))</f>
        <v/>
      </c>
      <c r="G19" t="str">
        <f t="shared" si="1"/>
        <v/>
      </c>
      <c r="I19">
        <v>14</v>
      </c>
      <c r="J19" s="24">
        <f>IFERROR(INDEX('По дням'!$A$2:$A$4000,MATCH(14,'По дням'!$G$2:$G$4000,0)),0)</f>
        <v>0</v>
      </c>
      <c r="K19" s="24">
        <f>IF(J19=0,0,J19+COUNTIF('По дням'!$G$2:$G$4000,14)-1)</f>
        <v>0</v>
      </c>
      <c r="L19" s="25">
        <f>IF(J19=0,0,N(INDEX('По дням'!$B$2:$B$4000,MATCH(14,'По дням'!$G$2:$G$4000,0))))</f>
        <v>0</v>
      </c>
      <c r="M19" s="26">
        <f>IF(J19=0,1,N(INDEX('По дням'!$C$2:$C$4000,MATCH(14,'По дням'!$G$2:$G$4000,0))))</f>
        <v>1</v>
      </c>
      <c r="N19" s="27">
        <f>IF(J19=0,0,N(INDEX('По дням'!$E$2:$E$4000,MATCH(14,'По дням'!$G$2:$G$4000,0))))</f>
        <v>0</v>
      </c>
    </row>
    <row r="20" spans="1:14" x14ac:dyDescent="0.3">
      <c r="A20" s="21" t="str">
        <f>IF(A19="","",IF(A19+1&gt;Ввод!$B$4,"",A19+1))</f>
        <v/>
      </c>
      <c r="B20" s="23" t="str">
        <f>IF(A20="","",IFERROR(INDEX(Ввод!$B$12:$B$71,MATCH(A20,Ввод!$D$12:$D$71,1)),""))</f>
        <v/>
      </c>
      <c r="C20" t="str">
        <f t="shared" si="0"/>
        <v/>
      </c>
      <c r="D20" t="str">
        <f>IF(A20="","",SUMIFS(Акты!$D$5:$D$16,Акты!$E$5:$E$16,"&lt;="&amp;A20)-SUMIFS(Оплаты!$B$6:$B$505,Оплаты!$A$6:$A$505,"&lt;"&amp;A20,Оплаты!$D$6:$D$505,"&lt;&gt;"))</f>
        <v/>
      </c>
      <c r="E20" t="str">
        <f>IF(A20="","",IF(SUMPRODUCT((Ввод!$F$12:$F$31&lt;&gt;"")*(Ввод!$F$12:$F$31&lt;=A20)*(Ввод!$G$12:$G$31&gt;=A20))&gt;0,1,0))</f>
        <v/>
      </c>
      <c r="G20" t="str">
        <f t="shared" si="1"/>
        <v/>
      </c>
      <c r="I20">
        <v>15</v>
      </c>
      <c r="J20" s="24">
        <f>IFERROR(INDEX('По дням'!$A$2:$A$4000,MATCH(15,'По дням'!$G$2:$G$4000,0)),0)</f>
        <v>0</v>
      </c>
      <c r="K20" s="24">
        <f>IF(J20=0,0,J20+COUNTIF('По дням'!$G$2:$G$4000,15)-1)</f>
        <v>0</v>
      </c>
      <c r="L20" s="25">
        <f>IF(J20=0,0,N(INDEX('По дням'!$B$2:$B$4000,MATCH(15,'По дням'!$G$2:$G$4000,0))))</f>
        <v>0</v>
      </c>
      <c r="M20" s="26">
        <f>IF(J20=0,1,N(INDEX('По дням'!$C$2:$C$4000,MATCH(15,'По дням'!$G$2:$G$4000,0))))</f>
        <v>1</v>
      </c>
      <c r="N20" s="27">
        <f>IF(J20=0,0,N(INDEX('По дням'!$E$2:$E$4000,MATCH(15,'По дням'!$G$2:$G$4000,0))))</f>
        <v>0</v>
      </c>
    </row>
    <row r="21" spans="1:14" x14ac:dyDescent="0.3">
      <c r="A21" s="21" t="str">
        <f>IF(A20="","",IF(A20+1&gt;Ввод!$B$4,"",A20+1))</f>
        <v/>
      </c>
      <c r="B21" s="23" t="str">
        <f>IF(A21="","",IFERROR(INDEX(Ввод!$B$12:$B$71,MATCH(A21,Ввод!$D$12:$D$71,1)),""))</f>
        <v/>
      </c>
      <c r="C21" t="str">
        <f t="shared" si="0"/>
        <v/>
      </c>
      <c r="D21" t="str">
        <f>IF(A21="","",SUMIFS(Акты!$D$5:$D$16,Акты!$E$5:$E$16,"&lt;="&amp;A21)-SUMIFS(Оплаты!$B$6:$B$505,Оплаты!$A$6:$A$505,"&lt;"&amp;A21,Оплаты!$D$6:$D$505,"&lt;&gt;"))</f>
        <v/>
      </c>
      <c r="E21" t="str">
        <f>IF(A21="","",IF(SUMPRODUCT((Ввод!$F$12:$F$31&lt;&gt;"")*(Ввод!$F$12:$F$31&lt;=A21)*(Ввод!$G$12:$G$31&gt;=A21))&gt;0,1,0))</f>
        <v/>
      </c>
      <c r="G21" t="str">
        <f t="shared" si="1"/>
        <v/>
      </c>
      <c r="I21">
        <v>16</v>
      </c>
      <c r="J21" s="24">
        <f>IFERROR(INDEX('По дням'!$A$2:$A$4000,MATCH(16,'По дням'!$G$2:$G$4000,0)),0)</f>
        <v>0</v>
      </c>
      <c r="K21" s="24">
        <f>IF(J21=0,0,J21+COUNTIF('По дням'!$G$2:$G$4000,16)-1)</f>
        <v>0</v>
      </c>
      <c r="L21" s="25">
        <f>IF(J21=0,0,N(INDEX('По дням'!$B$2:$B$4000,MATCH(16,'По дням'!$G$2:$G$4000,0))))</f>
        <v>0</v>
      </c>
      <c r="M21" s="26">
        <f>IF(J21=0,1,N(INDEX('По дням'!$C$2:$C$4000,MATCH(16,'По дням'!$G$2:$G$4000,0))))</f>
        <v>1</v>
      </c>
      <c r="N21" s="27">
        <f>IF(J21=0,0,N(INDEX('По дням'!$E$2:$E$4000,MATCH(16,'По дням'!$G$2:$G$4000,0))))</f>
        <v>0</v>
      </c>
    </row>
    <row r="22" spans="1:14" x14ac:dyDescent="0.3">
      <c r="A22" s="21" t="str">
        <f>IF(A21="","",IF(A21+1&gt;Ввод!$B$4,"",A21+1))</f>
        <v/>
      </c>
      <c r="B22" s="23" t="str">
        <f>IF(A22="","",IFERROR(INDEX(Ввод!$B$12:$B$71,MATCH(A22,Ввод!$D$12:$D$71,1)),""))</f>
        <v/>
      </c>
      <c r="C22" t="str">
        <f t="shared" si="0"/>
        <v/>
      </c>
      <c r="D22" t="str">
        <f>IF(A22="","",SUMIFS(Акты!$D$5:$D$16,Акты!$E$5:$E$16,"&lt;="&amp;A22)-SUMIFS(Оплаты!$B$6:$B$505,Оплаты!$A$6:$A$505,"&lt;"&amp;A22,Оплаты!$D$6:$D$505,"&lt;&gt;"))</f>
        <v/>
      </c>
      <c r="E22" t="str">
        <f>IF(A22="","",IF(SUMPRODUCT((Ввод!$F$12:$F$31&lt;&gt;"")*(Ввод!$F$12:$F$31&lt;=A22)*(Ввод!$G$12:$G$31&gt;=A22))&gt;0,1,0))</f>
        <v/>
      </c>
      <c r="G22" t="str">
        <f t="shared" si="1"/>
        <v/>
      </c>
      <c r="I22">
        <v>17</v>
      </c>
      <c r="J22" s="24">
        <f>IFERROR(INDEX('По дням'!$A$2:$A$4000,MATCH(17,'По дням'!$G$2:$G$4000,0)),0)</f>
        <v>0</v>
      </c>
      <c r="K22" s="24">
        <f>IF(J22=0,0,J22+COUNTIF('По дням'!$G$2:$G$4000,17)-1)</f>
        <v>0</v>
      </c>
      <c r="L22" s="25">
        <f>IF(J22=0,0,N(INDEX('По дням'!$B$2:$B$4000,MATCH(17,'По дням'!$G$2:$G$4000,0))))</f>
        <v>0</v>
      </c>
      <c r="M22" s="26">
        <f>IF(J22=0,1,N(INDEX('По дням'!$C$2:$C$4000,MATCH(17,'По дням'!$G$2:$G$4000,0))))</f>
        <v>1</v>
      </c>
      <c r="N22" s="27">
        <f>IF(J22=0,0,N(INDEX('По дням'!$E$2:$E$4000,MATCH(17,'По дням'!$G$2:$G$4000,0))))</f>
        <v>0</v>
      </c>
    </row>
    <row r="23" spans="1:14" x14ac:dyDescent="0.3">
      <c r="A23" s="21" t="str">
        <f>IF(A22="","",IF(A22+1&gt;Ввод!$B$4,"",A22+1))</f>
        <v/>
      </c>
      <c r="B23" s="23" t="str">
        <f>IF(A23="","",IFERROR(INDEX(Ввод!$B$12:$B$71,MATCH(A23,Ввод!$D$12:$D$71,1)),""))</f>
        <v/>
      </c>
      <c r="C23" t="str">
        <f t="shared" si="0"/>
        <v/>
      </c>
      <c r="D23" t="str">
        <f>IF(A23="","",SUMIFS(Акты!$D$5:$D$16,Акты!$E$5:$E$16,"&lt;="&amp;A23)-SUMIFS(Оплаты!$B$6:$B$505,Оплаты!$A$6:$A$505,"&lt;"&amp;A23,Оплаты!$D$6:$D$505,"&lt;&gt;"))</f>
        <v/>
      </c>
      <c r="E23" t="str">
        <f>IF(A23="","",IF(SUMPRODUCT((Ввод!$F$12:$F$31&lt;&gt;"")*(Ввод!$F$12:$F$31&lt;=A23)*(Ввод!$G$12:$G$31&gt;=A23))&gt;0,1,0))</f>
        <v/>
      </c>
      <c r="G23" t="str">
        <f t="shared" si="1"/>
        <v/>
      </c>
      <c r="I23">
        <v>18</v>
      </c>
      <c r="J23" s="24">
        <f>IFERROR(INDEX('По дням'!$A$2:$A$4000,MATCH(18,'По дням'!$G$2:$G$4000,0)),0)</f>
        <v>0</v>
      </c>
      <c r="K23" s="24">
        <f>IF(J23=0,0,J23+COUNTIF('По дням'!$G$2:$G$4000,18)-1)</f>
        <v>0</v>
      </c>
      <c r="L23" s="25">
        <f>IF(J23=0,0,N(INDEX('По дням'!$B$2:$B$4000,MATCH(18,'По дням'!$G$2:$G$4000,0))))</f>
        <v>0</v>
      </c>
      <c r="M23" s="26">
        <f>IF(J23=0,1,N(INDEX('По дням'!$C$2:$C$4000,MATCH(18,'По дням'!$G$2:$G$4000,0))))</f>
        <v>1</v>
      </c>
      <c r="N23" s="27">
        <f>IF(J23=0,0,N(INDEX('По дням'!$E$2:$E$4000,MATCH(18,'По дням'!$G$2:$G$4000,0))))</f>
        <v>0</v>
      </c>
    </row>
    <row r="24" spans="1:14" x14ac:dyDescent="0.3">
      <c r="A24" s="21" t="str">
        <f>IF(A23="","",IF(A23+1&gt;Ввод!$B$4,"",A23+1))</f>
        <v/>
      </c>
      <c r="B24" s="23" t="str">
        <f>IF(A24="","",IFERROR(INDEX(Ввод!$B$12:$B$71,MATCH(A24,Ввод!$D$12:$D$71,1)),""))</f>
        <v/>
      </c>
      <c r="C24" t="str">
        <f t="shared" si="0"/>
        <v/>
      </c>
      <c r="D24" t="str">
        <f>IF(A24="","",SUMIFS(Акты!$D$5:$D$16,Акты!$E$5:$E$16,"&lt;="&amp;A24)-SUMIFS(Оплаты!$B$6:$B$505,Оплаты!$A$6:$A$505,"&lt;"&amp;A24,Оплаты!$D$6:$D$505,"&lt;&gt;"))</f>
        <v/>
      </c>
      <c r="E24" t="str">
        <f>IF(A24="","",IF(SUMPRODUCT((Ввод!$F$12:$F$31&lt;&gt;"")*(Ввод!$F$12:$F$31&lt;=A24)*(Ввод!$G$12:$G$31&gt;=A24))&gt;0,1,0))</f>
        <v/>
      </c>
      <c r="G24" t="str">
        <f t="shared" si="1"/>
        <v/>
      </c>
      <c r="I24">
        <v>19</v>
      </c>
      <c r="J24" s="24">
        <f>IFERROR(INDEX('По дням'!$A$2:$A$4000,MATCH(19,'По дням'!$G$2:$G$4000,0)),0)</f>
        <v>0</v>
      </c>
      <c r="K24" s="24">
        <f>IF(J24=0,0,J24+COUNTIF('По дням'!$G$2:$G$4000,19)-1)</f>
        <v>0</v>
      </c>
      <c r="L24" s="25">
        <f>IF(J24=0,0,N(INDEX('По дням'!$B$2:$B$4000,MATCH(19,'По дням'!$G$2:$G$4000,0))))</f>
        <v>0</v>
      </c>
      <c r="M24" s="26">
        <f>IF(J24=0,1,N(INDEX('По дням'!$C$2:$C$4000,MATCH(19,'По дням'!$G$2:$G$4000,0))))</f>
        <v>1</v>
      </c>
      <c r="N24" s="27">
        <f>IF(J24=0,0,N(INDEX('По дням'!$E$2:$E$4000,MATCH(19,'По дням'!$G$2:$G$4000,0))))</f>
        <v>0</v>
      </c>
    </row>
    <row r="25" spans="1:14" x14ac:dyDescent="0.3">
      <c r="A25" s="21" t="str">
        <f>IF(A24="","",IF(A24+1&gt;Ввод!$B$4,"",A24+1))</f>
        <v/>
      </c>
      <c r="B25" s="23" t="str">
        <f>IF(A25="","",IFERROR(INDEX(Ввод!$B$12:$B$71,MATCH(A25,Ввод!$D$12:$D$71,1)),""))</f>
        <v/>
      </c>
      <c r="C25" t="str">
        <f t="shared" si="0"/>
        <v/>
      </c>
      <c r="D25" t="str">
        <f>IF(A25="","",SUMIFS(Акты!$D$5:$D$16,Акты!$E$5:$E$16,"&lt;="&amp;A25)-SUMIFS(Оплаты!$B$6:$B$505,Оплаты!$A$6:$A$505,"&lt;"&amp;A25,Оплаты!$D$6:$D$505,"&lt;&gt;"))</f>
        <v/>
      </c>
      <c r="E25" t="str">
        <f>IF(A25="","",IF(SUMPRODUCT((Ввод!$F$12:$F$31&lt;&gt;"")*(Ввод!$F$12:$F$31&lt;=A25)*(Ввод!$G$12:$G$31&gt;=A25))&gt;0,1,0))</f>
        <v/>
      </c>
      <c r="G25" t="str">
        <f t="shared" si="1"/>
        <v/>
      </c>
      <c r="I25">
        <v>20</v>
      </c>
      <c r="J25" s="24">
        <f>IFERROR(INDEX('По дням'!$A$2:$A$4000,MATCH(20,'По дням'!$G$2:$G$4000,0)),0)</f>
        <v>0</v>
      </c>
      <c r="K25" s="24">
        <f>IF(J25=0,0,J25+COUNTIF('По дням'!$G$2:$G$4000,20)-1)</f>
        <v>0</v>
      </c>
      <c r="L25" s="25">
        <f>IF(J25=0,0,N(INDEX('По дням'!$B$2:$B$4000,MATCH(20,'По дням'!$G$2:$G$4000,0))))</f>
        <v>0</v>
      </c>
      <c r="M25" s="26">
        <f>IF(J25=0,1,N(INDEX('По дням'!$C$2:$C$4000,MATCH(20,'По дням'!$G$2:$G$4000,0))))</f>
        <v>1</v>
      </c>
      <c r="N25" s="27">
        <f>IF(J25=0,0,N(INDEX('По дням'!$E$2:$E$4000,MATCH(20,'По дням'!$G$2:$G$4000,0))))</f>
        <v>0</v>
      </c>
    </row>
    <row r="26" spans="1:14" x14ac:dyDescent="0.3">
      <c r="A26" s="21" t="str">
        <f>IF(A25="","",IF(A25+1&gt;Ввод!$B$4,"",A25+1))</f>
        <v/>
      </c>
      <c r="B26" s="23" t="str">
        <f>IF(A26="","",IFERROR(INDEX(Ввод!$B$12:$B$71,MATCH(A26,Ввод!$D$12:$D$71,1)),""))</f>
        <v/>
      </c>
      <c r="C26" t="str">
        <f t="shared" si="0"/>
        <v/>
      </c>
      <c r="D26" t="str">
        <f>IF(A26="","",SUMIFS(Акты!$D$5:$D$16,Акты!$E$5:$E$16,"&lt;="&amp;A26)-SUMIFS(Оплаты!$B$6:$B$505,Оплаты!$A$6:$A$505,"&lt;"&amp;A26,Оплаты!$D$6:$D$505,"&lt;&gt;"))</f>
        <v/>
      </c>
      <c r="E26" t="str">
        <f>IF(A26="","",IF(SUMPRODUCT((Ввод!$F$12:$F$31&lt;&gt;"")*(Ввод!$F$12:$F$31&lt;=A26)*(Ввод!$G$12:$G$31&gt;=A26))&gt;0,1,0))</f>
        <v/>
      </c>
      <c r="G26" t="str">
        <f t="shared" si="1"/>
        <v/>
      </c>
      <c r="I26">
        <v>21</v>
      </c>
      <c r="J26" s="24">
        <f>IFERROR(INDEX('По дням'!$A$2:$A$4000,MATCH(21,'По дням'!$G$2:$G$4000,0)),0)</f>
        <v>0</v>
      </c>
      <c r="K26" s="24">
        <f>IF(J26=0,0,J26+COUNTIF('По дням'!$G$2:$G$4000,21)-1)</f>
        <v>0</v>
      </c>
      <c r="L26" s="25">
        <f>IF(J26=0,0,N(INDEX('По дням'!$B$2:$B$4000,MATCH(21,'По дням'!$G$2:$G$4000,0))))</f>
        <v>0</v>
      </c>
      <c r="M26" s="26">
        <f>IF(J26=0,1,N(INDEX('По дням'!$C$2:$C$4000,MATCH(21,'По дням'!$G$2:$G$4000,0))))</f>
        <v>1</v>
      </c>
      <c r="N26" s="27">
        <f>IF(J26=0,0,N(INDEX('По дням'!$E$2:$E$4000,MATCH(21,'По дням'!$G$2:$G$4000,0))))</f>
        <v>0</v>
      </c>
    </row>
    <row r="27" spans="1:14" x14ac:dyDescent="0.3">
      <c r="A27" s="21" t="str">
        <f>IF(A26="","",IF(A26+1&gt;Ввод!$B$4,"",A26+1))</f>
        <v/>
      </c>
      <c r="B27" s="23" t="str">
        <f>IF(A27="","",IFERROR(INDEX(Ввод!$B$12:$B$71,MATCH(A27,Ввод!$D$12:$D$71,1)),""))</f>
        <v/>
      </c>
      <c r="C27" t="str">
        <f t="shared" si="0"/>
        <v/>
      </c>
      <c r="D27" t="str">
        <f>IF(A27="","",SUMIFS(Акты!$D$5:$D$16,Акты!$E$5:$E$16,"&lt;="&amp;A27)-SUMIFS(Оплаты!$B$6:$B$505,Оплаты!$A$6:$A$505,"&lt;"&amp;A27,Оплаты!$D$6:$D$505,"&lt;&gt;"))</f>
        <v/>
      </c>
      <c r="E27" t="str">
        <f>IF(A27="","",IF(SUMPRODUCT((Ввод!$F$12:$F$31&lt;&gt;"")*(Ввод!$F$12:$F$31&lt;=A27)*(Ввод!$G$12:$G$31&gt;=A27))&gt;0,1,0))</f>
        <v/>
      </c>
      <c r="G27" t="str">
        <f t="shared" si="1"/>
        <v/>
      </c>
      <c r="I27">
        <v>22</v>
      </c>
      <c r="J27" s="24">
        <f>IFERROR(INDEX('По дням'!$A$2:$A$4000,MATCH(22,'По дням'!$G$2:$G$4000,0)),0)</f>
        <v>0</v>
      </c>
      <c r="K27" s="24">
        <f>IF(J27=0,0,J27+COUNTIF('По дням'!$G$2:$G$4000,22)-1)</f>
        <v>0</v>
      </c>
      <c r="L27" s="25">
        <f>IF(J27=0,0,N(INDEX('По дням'!$B$2:$B$4000,MATCH(22,'По дням'!$G$2:$G$4000,0))))</f>
        <v>0</v>
      </c>
      <c r="M27" s="26">
        <f>IF(J27=0,1,N(INDEX('По дням'!$C$2:$C$4000,MATCH(22,'По дням'!$G$2:$G$4000,0))))</f>
        <v>1</v>
      </c>
      <c r="N27" s="27">
        <f>IF(J27=0,0,N(INDEX('По дням'!$E$2:$E$4000,MATCH(22,'По дням'!$G$2:$G$4000,0))))</f>
        <v>0</v>
      </c>
    </row>
    <row r="28" spans="1:14" x14ac:dyDescent="0.3">
      <c r="A28" s="21" t="str">
        <f>IF(A27="","",IF(A27+1&gt;Ввод!$B$4,"",A27+1))</f>
        <v/>
      </c>
      <c r="B28" s="23" t="str">
        <f>IF(A28="","",IFERROR(INDEX(Ввод!$B$12:$B$71,MATCH(A28,Ввод!$D$12:$D$71,1)),""))</f>
        <v/>
      </c>
      <c r="C28" t="str">
        <f t="shared" si="0"/>
        <v/>
      </c>
      <c r="D28" t="str">
        <f>IF(A28="","",SUMIFS(Акты!$D$5:$D$16,Акты!$E$5:$E$16,"&lt;="&amp;A28)-SUMIFS(Оплаты!$B$6:$B$505,Оплаты!$A$6:$A$505,"&lt;"&amp;A28,Оплаты!$D$6:$D$505,"&lt;&gt;"))</f>
        <v/>
      </c>
      <c r="E28" t="str">
        <f>IF(A28="","",IF(SUMPRODUCT((Ввод!$F$12:$F$31&lt;&gt;"")*(Ввод!$F$12:$F$31&lt;=A28)*(Ввод!$G$12:$G$31&gt;=A28))&gt;0,1,0))</f>
        <v/>
      </c>
      <c r="G28" t="str">
        <f t="shared" si="1"/>
        <v/>
      </c>
      <c r="I28">
        <v>23</v>
      </c>
      <c r="J28" s="24">
        <f>IFERROR(INDEX('По дням'!$A$2:$A$4000,MATCH(23,'По дням'!$G$2:$G$4000,0)),0)</f>
        <v>0</v>
      </c>
      <c r="K28" s="24">
        <f>IF(J28=0,0,J28+COUNTIF('По дням'!$G$2:$G$4000,23)-1)</f>
        <v>0</v>
      </c>
      <c r="L28" s="25">
        <f>IF(J28=0,0,N(INDEX('По дням'!$B$2:$B$4000,MATCH(23,'По дням'!$G$2:$G$4000,0))))</f>
        <v>0</v>
      </c>
      <c r="M28" s="26">
        <f>IF(J28=0,1,N(INDEX('По дням'!$C$2:$C$4000,MATCH(23,'По дням'!$G$2:$G$4000,0))))</f>
        <v>1</v>
      </c>
      <c r="N28" s="27">
        <f>IF(J28=0,0,N(INDEX('По дням'!$E$2:$E$4000,MATCH(23,'По дням'!$G$2:$G$4000,0))))</f>
        <v>0</v>
      </c>
    </row>
    <row r="29" spans="1:14" x14ac:dyDescent="0.3">
      <c r="A29" s="21" t="str">
        <f>IF(A28="","",IF(A28+1&gt;Ввод!$B$4,"",A28+1))</f>
        <v/>
      </c>
      <c r="B29" s="23" t="str">
        <f>IF(A29="","",IFERROR(INDEX(Ввод!$B$12:$B$71,MATCH(A29,Ввод!$D$12:$D$71,1)),""))</f>
        <v/>
      </c>
      <c r="C29" t="str">
        <f t="shared" si="0"/>
        <v/>
      </c>
      <c r="D29" t="str">
        <f>IF(A29="","",SUMIFS(Акты!$D$5:$D$16,Акты!$E$5:$E$16,"&lt;="&amp;A29)-SUMIFS(Оплаты!$B$6:$B$505,Оплаты!$A$6:$A$505,"&lt;"&amp;A29,Оплаты!$D$6:$D$505,"&lt;&gt;"))</f>
        <v/>
      </c>
      <c r="E29" t="str">
        <f>IF(A29="","",IF(SUMPRODUCT((Ввод!$F$12:$F$31&lt;&gt;"")*(Ввод!$F$12:$F$31&lt;=A29)*(Ввод!$G$12:$G$31&gt;=A29))&gt;0,1,0))</f>
        <v/>
      </c>
      <c r="G29" t="str">
        <f t="shared" si="1"/>
        <v/>
      </c>
      <c r="I29">
        <v>24</v>
      </c>
      <c r="J29" s="24">
        <f>IFERROR(INDEX('По дням'!$A$2:$A$4000,MATCH(24,'По дням'!$G$2:$G$4000,0)),0)</f>
        <v>0</v>
      </c>
      <c r="K29" s="24">
        <f>IF(J29=0,0,J29+COUNTIF('По дням'!$G$2:$G$4000,24)-1)</f>
        <v>0</v>
      </c>
      <c r="L29" s="25">
        <f>IF(J29=0,0,N(INDEX('По дням'!$B$2:$B$4000,MATCH(24,'По дням'!$G$2:$G$4000,0))))</f>
        <v>0</v>
      </c>
      <c r="M29" s="26">
        <f>IF(J29=0,1,N(INDEX('По дням'!$C$2:$C$4000,MATCH(24,'По дням'!$G$2:$G$4000,0))))</f>
        <v>1</v>
      </c>
      <c r="N29" s="27">
        <f>IF(J29=0,0,N(INDEX('По дням'!$E$2:$E$4000,MATCH(24,'По дням'!$G$2:$G$4000,0))))</f>
        <v>0</v>
      </c>
    </row>
    <row r="30" spans="1:14" x14ac:dyDescent="0.3">
      <c r="A30" s="21" t="str">
        <f>IF(A29="","",IF(A29+1&gt;Ввод!$B$4,"",A29+1))</f>
        <v/>
      </c>
      <c r="B30" s="23" t="str">
        <f>IF(A30="","",IFERROR(INDEX(Ввод!$B$12:$B$71,MATCH(A30,Ввод!$D$12:$D$71,1)),""))</f>
        <v/>
      </c>
      <c r="C30" t="str">
        <f t="shared" si="0"/>
        <v/>
      </c>
      <c r="D30" t="str">
        <f>IF(A30="","",SUMIFS(Акты!$D$5:$D$16,Акты!$E$5:$E$16,"&lt;="&amp;A30)-SUMIFS(Оплаты!$B$6:$B$505,Оплаты!$A$6:$A$505,"&lt;"&amp;A30,Оплаты!$D$6:$D$505,"&lt;&gt;"))</f>
        <v/>
      </c>
      <c r="E30" t="str">
        <f>IF(A30="","",IF(SUMPRODUCT((Ввод!$F$12:$F$31&lt;&gt;"")*(Ввод!$F$12:$F$31&lt;=A30)*(Ввод!$G$12:$G$31&gt;=A30))&gt;0,1,0))</f>
        <v/>
      </c>
      <c r="G30" t="str">
        <f t="shared" si="1"/>
        <v/>
      </c>
      <c r="I30">
        <v>25</v>
      </c>
      <c r="J30" s="24">
        <f>IFERROR(INDEX('По дням'!$A$2:$A$4000,MATCH(25,'По дням'!$G$2:$G$4000,0)),0)</f>
        <v>0</v>
      </c>
      <c r="K30" s="24">
        <f>IF(J30=0,0,J30+COUNTIF('По дням'!$G$2:$G$4000,25)-1)</f>
        <v>0</v>
      </c>
      <c r="L30" s="25">
        <f>IF(J30=0,0,N(INDEX('По дням'!$B$2:$B$4000,MATCH(25,'По дням'!$G$2:$G$4000,0))))</f>
        <v>0</v>
      </c>
      <c r="M30" s="26">
        <f>IF(J30=0,1,N(INDEX('По дням'!$C$2:$C$4000,MATCH(25,'По дням'!$G$2:$G$4000,0))))</f>
        <v>1</v>
      </c>
      <c r="N30" s="27">
        <f>IF(J30=0,0,N(INDEX('По дням'!$E$2:$E$4000,MATCH(25,'По дням'!$G$2:$G$4000,0))))</f>
        <v>0</v>
      </c>
    </row>
    <row r="31" spans="1:14" x14ac:dyDescent="0.3">
      <c r="A31" s="21" t="str">
        <f>IF(A30="","",IF(A30+1&gt;Ввод!$B$4,"",A30+1))</f>
        <v/>
      </c>
      <c r="B31" s="23" t="str">
        <f>IF(A31="","",IFERROR(INDEX(Ввод!$B$12:$B$71,MATCH(A31,Ввод!$D$12:$D$71,1)),""))</f>
        <v/>
      </c>
      <c r="C31" t="str">
        <f t="shared" si="0"/>
        <v/>
      </c>
      <c r="D31" t="str">
        <f>IF(A31="","",SUMIFS(Акты!$D$5:$D$16,Акты!$E$5:$E$16,"&lt;="&amp;A31)-SUMIFS(Оплаты!$B$6:$B$505,Оплаты!$A$6:$A$505,"&lt;"&amp;A31,Оплаты!$D$6:$D$505,"&lt;&gt;"))</f>
        <v/>
      </c>
      <c r="E31" t="str">
        <f>IF(A31="","",IF(SUMPRODUCT((Ввод!$F$12:$F$31&lt;&gt;"")*(Ввод!$F$12:$F$31&lt;=A31)*(Ввод!$G$12:$G$31&gt;=A31))&gt;0,1,0))</f>
        <v/>
      </c>
      <c r="G31" t="str">
        <f t="shared" si="1"/>
        <v/>
      </c>
      <c r="I31">
        <v>26</v>
      </c>
      <c r="J31" s="24">
        <f>IFERROR(INDEX('По дням'!$A$2:$A$4000,MATCH(26,'По дням'!$G$2:$G$4000,0)),0)</f>
        <v>0</v>
      </c>
      <c r="K31" s="24">
        <f>IF(J31=0,0,J31+COUNTIF('По дням'!$G$2:$G$4000,26)-1)</f>
        <v>0</v>
      </c>
      <c r="L31" s="25">
        <f>IF(J31=0,0,N(INDEX('По дням'!$B$2:$B$4000,MATCH(26,'По дням'!$G$2:$G$4000,0))))</f>
        <v>0</v>
      </c>
      <c r="M31" s="26">
        <f>IF(J31=0,1,N(INDEX('По дням'!$C$2:$C$4000,MATCH(26,'По дням'!$G$2:$G$4000,0))))</f>
        <v>1</v>
      </c>
      <c r="N31" s="27">
        <f>IF(J31=0,0,N(INDEX('По дням'!$E$2:$E$4000,MATCH(26,'По дням'!$G$2:$G$4000,0))))</f>
        <v>0</v>
      </c>
    </row>
    <row r="32" spans="1:14" x14ac:dyDescent="0.3">
      <c r="A32" s="21" t="str">
        <f>IF(A31="","",IF(A31+1&gt;Ввод!$B$4,"",A31+1))</f>
        <v/>
      </c>
      <c r="B32" s="23" t="str">
        <f>IF(A32="","",IFERROR(INDEX(Ввод!$B$12:$B$71,MATCH(A32,Ввод!$D$12:$D$71,1)),""))</f>
        <v/>
      </c>
      <c r="C32" t="str">
        <f t="shared" si="0"/>
        <v/>
      </c>
      <c r="D32" t="str">
        <f>IF(A32="","",SUMIFS(Акты!$D$5:$D$16,Акты!$E$5:$E$16,"&lt;="&amp;A32)-SUMIFS(Оплаты!$B$6:$B$505,Оплаты!$A$6:$A$505,"&lt;"&amp;A32,Оплаты!$D$6:$D$505,"&lt;&gt;"))</f>
        <v/>
      </c>
      <c r="E32" t="str">
        <f>IF(A32="","",IF(SUMPRODUCT((Ввод!$F$12:$F$31&lt;&gt;"")*(Ввод!$F$12:$F$31&lt;=A32)*(Ввод!$G$12:$G$31&gt;=A32))&gt;0,1,0))</f>
        <v/>
      </c>
      <c r="G32" t="str">
        <f t="shared" si="1"/>
        <v/>
      </c>
      <c r="I32">
        <v>27</v>
      </c>
      <c r="J32" s="24">
        <f>IFERROR(INDEX('По дням'!$A$2:$A$4000,MATCH(27,'По дням'!$G$2:$G$4000,0)),0)</f>
        <v>0</v>
      </c>
      <c r="K32" s="24">
        <f>IF(J32=0,0,J32+COUNTIF('По дням'!$G$2:$G$4000,27)-1)</f>
        <v>0</v>
      </c>
      <c r="L32" s="25">
        <f>IF(J32=0,0,N(INDEX('По дням'!$B$2:$B$4000,MATCH(27,'По дням'!$G$2:$G$4000,0))))</f>
        <v>0</v>
      </c>
      <c r="M32" s="26">
        <f>IF(J32=0,1,N(INDEX('По дням'!$C$2:$C$4000,MATCH(27,'По дням'!$G$2:$G$4000,0))))</f>
        <v>1</v>
      </c>
      <c r="N32" s="27">
        <f>IF(J32=0,0,N(INDEX('По дням'!$E$2:$E$4000,MATCH(27,'По дням'!$G$2:$G$4000,0))))</f>
        <v>0</v>
      </c>
    </row>
    <row r="33" spans="1:14" x14ac:dyDescent="0.3">
      <c r="A33" s="21" t="str">
        <f>IF(A32="","",IF(A32+1&gt;Ввод!$B$4,"",A32+1))</f>
        <v/>
      </c>
      <c r="B33" s="23" t="str">
        <f>IF(A33="","",IFERROR(INDEX(Ввод!$B$12:$B$71,MATCH(A33,Ввод!$D$12:$D$71,1)),""))</f>
        <v/>
      </c>
      <c r="C33" t="str">
        <f t="shared" si="0"/>
        <v/>
      </c>
      <c r="D33" t="str">
        <f>IF(A33="","",SUMIFS(Акты!$D$5:$D$16,Акты!$E$5:$E$16,"&lt;="&amp;A33)-SUMIFS(Оплаты!$B$6:$B$505,Оплаты!$A$6:$A$505,"&lt;"&amp;A33,Оплаты!$D$6:$D$505,"&lt;&gt;"))</f>
        <v/>
      </c>
      <c r="E33" t="str">
        <f>IF(A33="","",IF(SUMPRODUCT((Ввод!$F$12:$F$31&lt;&gt;"")*(Ввод!$F$12:$F$31&lt;=A33)*(Ввод!$G$12:$G$31&gt;=A33))&gt;0,1,0))</f>
        <v/>
      </c>
      <c r="G33" t="str">
        <f t="shared" si="1"/>
        <v/>
      </c>
      <c r="I33">
        <v>28</v>
      </c>
      <c r="J33" s="24">
        <f>IFERROR(INDEX('По дням'!$A$2:$A$4000,MATCH(28,'По дням'!$G$2:$G$4000,0)),0)</f>
        <v>0</v>
      </c>
      <c r="K33" s="24">
        <f>IF(J33=0,0,J33+COUNTIF('По дням'!$G$2:$G$4000,28)-1)</f>
        <v>0</v>
      </c>
      <c r="L33" s="25">
        <f>IF(J33=0,0,N(INDEX('По дням'!$B$2:$B$4000,MATCH(28,'По дням'!$G$2:$G$4000,0))))</f>
        <v>0</v>
      </c>
      <c r="M33" s="26">
        <f>IF(J33=0,1,N(INDEX('По дням'!$C$2:$C$4000,MATCH(28,'По дням'!$G$2:$G$4000,0))))</f>
        <v>1</v>
      </c>
      <c r="N33" s="27">
        <f>IF(J33=0,0,N(INDEX('По дням'!$E$2:$E$4000,MATCH(28,'По дням'!$G$2:$G$4000,0))))</f>
        <v>0</v>
      </c>
    </row>
    <row r="34" spans="1:14" x14ac:dyDescent="0.3">
      <c r="A34" s="21" t="str">
        <f>IF(A33="","",IF(A33+1&gt;Ввод!$B$4,"",A33+1))</f>
        <v/>
      </c>
      <c r="B34" s="23" t="str">
        <f>IF(A34="","",IFERROR(INDEX(Ввод!$B$12:$B$71,MATCH(A34,Ввод!$D$12:$D$71,1)),""))</f>
        <v/>
      </c>
      <c r="C34" t="str">
        <f t="shared" si="0"/>
        <v/>
      </c>
      <c r="D34" t="str">
        <f>IF(A34="","",SUMIFS(Акты!$D$5:$D$16,Акты!$E$5:$E$16,"&lt;="&amp;A34)-SUMIFS(Оплаты!$B$6:$B$505,Оплаты!$A$6:$A$505,"&lt;"&amp;A34,Оплаты!$D$6:$D$505,"&lt;&gt;"))</f>
        <v/>
      </c>
      <c r="E34" t="str">
        <f>IF(A34="","",IF(SUMPRODUCT((Ввод!$F$12:$F$31&lt;&gt;"")*(Ввод!$F$12:$F$31&lt;=A34)*(Ввод!$G$12:$G$31&gt;=A34))&gt;0,1,0))</f>
        <v/>
      </c>
      <c r="G34" t="str">
        <f t="shared" si="1"/>
        <v/>
      </c>
      <c r="I34">
        <v>29</v>
      </c>
      <c r="J34" s="24">
        <f>IFERROR(INDEX('По дням'!$A$2:$A$4000,MATCH(29,'По дням'!$G$2:$G$4000,0)),0)</f>
        <v>0</v>
      </c>
      <c r="K34" s="24">
        <f>IF(J34=0,0,J34+COUNTIF('По дням'!$G$2:$G$4000,29)-1)</f>
        <v>0</v>
      </c>
      <c r="L34" s="25">
        <f>IF(J34=0,0,N(INDEX('По дням'!$B$2:$B$4000,MATCH(29,'По дням'!$G$2:$G$4000,0))))</f>
        <v>0</v>
      </c>
      <c r="M34" s="26">
        <f>IF(J34=0,1,N(INDEX('По дням'!$C$2:$C$4000,MATCH(29,'По дням'!$G$2:$G$4000,0))))</f>
        <v>1</v>
      </c>
      <c r="N34" s="27">
        <f>IF(J34=0,0,N(INDEX('По дням'!$E$2:$E$4000,MATCH(29,'По дням'!$G$2:$G$4000,0))))</f>
        <v>0</v>
      </c>
    </row>
    <row r="35" spans="1:14" x14ac:dyDescent="0.3">
      <c r="A35" s="21" t="str">
        <f>IF(A34="","",IF(A34+1&gt;Ввод!$B$4,"",A34+1))</f>
        <v/>
      </c>
      <c r="B35" s="23" t="str">
        <f>IF(A35="","",IFERROR(INDEX(Ввод!$B$12:$B$71,MATCH(A35,Ввод!$D$12:$D$71,1)),""))</f>
        <v/>
      </c>
      <c r="C35" t="str">
        <f t="shared" si="0"/>
        <v/>
      </c>
      <c r="D35" t="str">
        <f>IF(A35="","",SUMIFS(Акты!$D$5:$D$16,Акты!$E$5:$E$16,"&lt;="&amp;A35)-SUMIFS(Оплаты!$B$6:$B$505,Оплаты!$A$6:$A$505,"&lt;"&amp;A35,Оплаты!$D$6:$D$505,"&lt;&gt;"))</f>
        <v/>
      </c>
      <c r="E35" t="str">
        <f>IF(A35="","",IF(SUMPRODUCT((Ввод!$F$12:$F$31&lt;&gt;"")*(Ввод!$F$12:$F$31&lt;=A35)*(Ввод!$G$12:$G$31&gt;=A35))&gt;0,1,0))</f>
        <v/>
      </c>
      <c r="G35" t="str">
        <f t="shared" si="1"/>
        <v/>
      </c>
      <c r="I35">
        <v>30</v>
      </c>
      <c r="J35" s="24">
        <f>IFERROR(INDEX('По дням'!$A$2:$A$4000,MATCH(30,'По дням'!$G$2:$G$4000,0)),0)</f>
        <v>0</v>
      </c>
      <c r="K35" s="24">
        <f>IF(J35=0,0,J35+COUNTIF('По дням'!$G$2:$G$4000,30)-1)</f>
        <v>0</v>
      </c>
      <c r="L35" s="25">
        <f>IF(J35=0,0,N(INDEX('По дням'!$B$2:$B$4000,MATCH(30,'По дням'!$G$2:$G$4000,0))))</f>
        <v>0</v>
      </c>
      <c r="M35" s="26">
        <f>IF(J35=0,1,N(INDEX('По дням'!$C$2:$C$4000,MATCH(30,'По дням'!$G$2:$G$4000,0))))</f>
        <v>1</v>
      </c>
      <c r="N35" s="27">
        <f>IF(J35=0,0,N(INDEX('По дням'!$E$2:$E$4000,MATCH(30,'По дням'!$G$2:$G$4000,0))))</f>
        <v>0</v>
      </c>
    </row>
    <row r="36" spans="1:14" x14ac:dyDescent="0.3">
      <c r="A36" s="21" t="str">
        <f>IF(A35="","",IF(A35+1&gt;Ввод!$B$4,"",A35+1))</f>
        <v/>
      </c>
      <c r="B36" s="23" t="str">
        <f>IF(A36="","",IFERROR(INDEX(Ввод!$B$12:$B$71,MATCH(A36,Ввод!$D$12:$D$71,1)),""))</f>
        <v/>
      </c>
      <c r="C36" t="str">
        <f t="shared" si="0"/>
        <v/>
      </c>
      <c r="D36" t="str">
        <f>IF(A36="","",SUMIFS(Акты!$D$5:$D$16,Акты!$E$5:$E$16,"&lt;="&amp;A36)-SUMIFS(Оплаты!$B$6:$B$505,Оплаты!$A$6:$A$505,"&lt;"&amp;A36,Оплаты!$D$6:$D$505,"&lt;&gt;"))</f>
        <v/>
      </c>
      <c r="E36" t="str">
        <f>IF(A36="","",IF(SUMPRODUCT((Ввод!$F$12:$F$31&lt;&gt;"")*(Ввод!$F$12:$F$31&lt;=A36)*(Ввод!$G$12:$G$31&gt;=A36))&gt;0,1,0))</f>
        <v/>
      </c>
      <c r="G36" t="str">
        <f t="shared" si="1"/>
        <v/>
      </c>
      <c r="I36">
        <v>31</v>
      </c>
      <c r="J36" s="24">
        <f>IFERROR(INDEX('По дням'!$A$2:$A$4000,MATCH(31,'По дням'!$G$2:$G$4000,0)),0)</f>
        <v>0</v>
      </c>
      <c r="K36" s="24">
        <f>IF(J36=0,0,J36+COUNTIF('По дням'!$G$2:$G$4000,31)-1)</f>
        <v>0</v>
      </c>
      <c r="L36" s="25">
        <f>IF(J36=0,0,N(INDEX('По дням'!$B$2:$B$4000,MATCH(31,'По дням'!$G$2:$G$4000,0))))</f>
        <v>0</v>
      </c>
      <c r="M36" s="26">
        <f>IF(J36=0,1,N(INDEX('По дням'!$C$2:$C$4000,MATCH(31,'По дням'!$G$2:$G$4000,0))))</f>
        <v>1</v>
      </c>
      <c r="N36" s="27">
        <f>IF(J36=0,0,N(INDEX('По дням'!$E$2:$E$4000,MATCH(31,'По дням'!$G$2:$G$4000,0))))</f>
        <v>0</v>
      </c>
    </row>
    <row r="37" spans="1:14" x14ac:dyDescent="0.3">
      <c r="A37" s="21" t="str">
        <f>IF(A36="","",IF(A36+1&gt;Ввод!$B$4,"",A36+1))</f>
        <v/>
      </c>
      <c r="B37" s="23" t="str">
        <f>IF(A37="","",IFERROR(INDEX(Ввод!$B$12:$B$71,MATCH(A37,Ввод!$D$12:$D$71,1)),""))</f>
        <v/>
      </c>
      <c r="C37" t="str">
        <f t="shared" si="0"/>
        <v/>
      </c>
      <c r="D37" t="str">
        <f>IF(A37="","",SUMIFS(Акты!$D$5:$D$16,Акты!$E$5:$E$16,"&lt;="&amp;A37)-SUMIFS(Оплаты!$B$6:$B$505,Оплаты!$A$6:$A$505,"&lt;"&amp;A37,Оплаты!$D$6:$D$505,"&lt;&gt;"))</f>
        <v/>
      </c>
      <c r="E37" t="str">
        <f>IF(A37="","",IF(SUMPRODUCT((Ввод!$F$12:$F$31&lt;&gt;"")*(Ввод!$F$12:$F$31&lt;=A37)*(Ввод!$G$12:$G$31&gt;=A37))&gt;0,1,0))</f>
        <v/>
      </c>
      <c r="G37" t="str">
        <f t="shared" si="1"/>
        <v/>
      </c>
      <c r="I37">
        <v>32</v>
      </c>
      <c r="J37" s="24">
        <f>IFERROR(INDEX('По дням'!$A$2:$A$4000,MATCH(32,'По дням'!$G$2:$G$4000,0)),0)</f>
        <v>0</v>
      </c>
      <c r="K37" s="24">
        <f>IF(J37=0,0,J37+COUNTIF('По дням'!$G$2:$G$4000,32)-1)</f>
        <v>0</v>
      </c>
      <c r="L37" s="25">
        <f>IF(J37=0,0,N(INDEX('По дням'!$B$2:$B$4000,MATCH(32,'По дням'!$G$2:$G$4000,0))))</f>
        <v>0</v>
      </c>
      <c r="M37" s="26">
        <f>IF(J37=0,1,N(INDEX('По дням'!$C$2:$C$4000,MATCH(32,'По дням'!$G$2:$G$4000,0))))</f>
        <v>1</v>
      </c>
      <c r="N37" s="27">
        <f>IF(J37=0,0,N(INDEX('По дням'!$E$2:$E$4000,MATCH(32,'По дням'!$G$2:$G$4000,0))))</f>
        <v>0</v>
      </c>
    </row>
    <row r="38" spans="1:14" x14ac:dyDescent="0.3">
      <c r="A38" s="21" t="str">
        <f>IF(A37="","",IF(A37+1&gt;Ввод!$B$4,"",A37+1))</f>
        <v/>
      </c>
      <c r="B38" s="23" t="str">
        <f>IF(A38="","",IFERROR(INDEX(Ввод!$B$12:$B$71,MATCH(A38,Ввод!$D$12:$D$71,1)),""))</f>
        <v/>
      </c>
      <c r="C38" t="str">
        <f t="shared" si="0"/>
        <v/>
      </c>
      <c r="D38" t="str">
        <f>IF(A38="","",SUMIFS(Акты!$D$5:$D$16,Акты!$E$5:$E$16,"&lt;="&amp;A38)-SUMIFS(Оплаты!$B$6:$B$505,Оплаты!$A$6:$A$505,"&lt;"&amp;A38,Оплаты!$D$6:$D$505,"&lt;&gt;"))</f>
        <v/>
      </c>
      <c r="E38" t="str">
        <f>IF(A38="","",IF(SUMPRODUCT((Ввод!$F$12:$F$31&lt;&gt;"")*(Ввод!$F$12:$F$31&lt;=A38)*(Ввод!$G$12:$G$31&gt;=A38))&gt;0,1,0))</f>
        <v/>
      </c>
      <c r="G38" t="str">
        <f t="shared" si="1"/>
        <v/>
      </c>
      <c r="I38">
        <v>33</v>
      </c>
      <c r="J38" s="24">
        <f>IFERROR(INDEX('По дням'!$A$2:$A$4000,MATCH(33,'По дням'!$G$2:$G$4000,0)),0)</f>
        <v>0</v>
      </c>
      <c r="K38" s="24">
        <f>IF(J38=0,0,J38+COUNTIF('По дням'!$G$2:$G$4000,33)-1)</f>
        <v>0</v>
      </c>
      <c r="L38" s="25">
        <f>IF(J38=0,0,N(INDEX('По дням'!$B$2:$B$4000,MATCH(33,'По дням'!$G$2:$G$4000,0))))</f>
        <v>0</v>
      </c>
      <c r="M38" s="26">
        <f>IF(J38=0,1,N(INDEX('По дням'!$C$2:$C$4000,MATCH(33,'По дням'!$G$2:$G$4000,0))))</f>
        <v>1</v>
      </c>
      <c r="N38" s="27">
        <f>IF(J38=0,0,N(INDEX('По дням'!$E$2:$E$4000,MATCH(33,'По дням'!$G$2:$G$4000,0))))</f>
        <v>0</v>
      </c>
    </row>
    <row r="39" spans="1:14" x14ac:dyDescent="0.3">
      <c r="A39" s="21" t="str">
        <f>IF(A38="","",IF(A38+1&gt;Ввод!$B$4,"",A38+1))</f>
        <v/>
      </c>
      <c r="B39" s="23" t="str">
        <f>IF(A39="","",IFERROR(INDEX(Ввод!$B$12:$B$71,MATCH(A39,Ввод!$D$12:$D$71,1)),""))</f>
        <v/>
      </c>
      <c r="C39" t="str">
        <f t="shared" si="0"/>
        <v/>
      </c>
      <c r="D39" t="str">
        <f>IF(A39="","",SUMIFS(Акты!$D$5:$D$16,Акты!$E$5:$E$16,"&lt;="&amp;A39)-SUMIFS(Оплаты!$B$6:$B$505,Оплаты!$A$6:$A$505,"&lt;"&amp;A39,Оплаты!$D$6:$D$505,"&lt;&gt;"))</f>
        <v/>
      </c>
      <c r="E39" t="str">
        <f>IF(A39="","",IF(SUMPRODUCT((Ввод!$F$12:$F$31&lt;&gt;"")*(Ввод!$F$12:$F$31&lt;=A39)*(Ввод!$G$12:$G$31&gt;=A39))&gt;0,1,0))</f>
        <v/>
      </c>
      <c r="G39" t="str">
        <f t="shared" si="1"/>
        <v/>
      </c>
      <c r="I39">
        <v>34</v>
      </c>
      <c r="J39" s="24">
        <f>IFERROR(INDEX('По дням'!$A$2:$A$4000,MATCH(34,'По дням'!$G$2:$G$4000,0)),0)</f>
        <v>0</v>
      </c>
      <c r="K39" s="24">
        <f>IF(J39=0,0,J39+COUNTIF('По дням'!$G$2:$G$4000,34)-1)</f>
        <v>0</v>
      </c>
      <c r="L39" s="25">
        <f>IF(J39=0,0,N(INDEX('По дням'!$B$2:$B$4000,MATCH(34,'По дням'!$G$2:$G$4000,0))))</f>
        <v>0</v>
      </c>
      <c r="M39" s="26">
        <f>IF(J39=0,1,N(INDEX('По дням'!$C$2:$C$4000,MATCH(34,'По дням'!$G$2:$G$4000,0))))</f>
        <v>1</v>
      </c>
      <c r="N39" s="27">
        <f>IF(J39=0,0,N(INDEX('По дням'!$E$2:$E$4000,MATCH(34,'По дням'!$G$2:$G$4000,0))))</f>
        <v>0</v>
      </c>
    </row>
    <row r="40" spans="1:14" x14ac:dyDescent="0.3">
      <c r="A40" s="21" t="str">
        <f>IF(A39="","",IF(A39+1&gt;Ввод!$B$4,"",A39+1))</f>
        <v/>
      </c>
      <c r="B40" s="23" t="str">
        <f>IF(A40="","",IFERROR(INDEX(Ввод!$B$12:$B$71,MATCH(A40,Ввод!$D$12:$D$71,1)),""))</f>
        <v/>
      </c>
      <c r="C40" t="str">
        <f t="shared" si="0"/>
        <v/>
      </c>
      <c r="D40" t="str">
        <f>IF(A40="","",SUMIFS(Акты!$D$5:$D$16,Акты!$E$5:$E$16,"&lt;="&amp;A40)-SUMIFS(Оплаты!$B$6:$B$505,Оплаты!$A$6:$A$505,"&lt;"&amp;A40,Оплаты!$D$6:$D$505,"&lt;&gt;"))</f>
        <v/>
      </c>
      <c r="E40" t="str">
        <f>IF(A40="","",IF(SUMPRODUCT((Ввод!$F$12:$F$31&lt;&gt;"")*(Ввод!$F$12:$F$31&lt;=A40)*(Ввод!$G$12:$G$31&gt;=A40))&gt;0,1,0))</f>
        <v/>
      </c>
      <c r="G40" t="str">
        <f t="shared" si="1"/>
        <v/>
      </c>
      <c r="I40">
        <v>35</v>
      </c>
      <c r="J40" s="24">
        <f>IFERROR(INDEX('По дням'!$A$2:$A$4000,MATCH(35,'По дням'!$G$2:$G$4000,0)),0)</f>
        <v>0</v>
      </c>
      <c r="K40" s="24">
        <f>IF(J40=0,0,J40+COUNTIF('По дням'!$G$2:$G$4000,35)-1)</f>
        <v>0</v>
      </c>
      <c r="L40" s="25">
        <f>IF(J40=0,0,N(INDEX('По дням'!$B$2:$B$4000,MATCH(35,'По дням'!$G$2:$G$4000,0))))</f>
        <v>0</v>
      </c>
      <c r="M40" s="26">
        <f>IF(J40=0,1,N(INDEX('По дням'!$C$2:$C$4000,MATCH(35,'По дням'!$G$2:$G$4000,0))))</f>
        <v>1</v>
      </c>
      <c r="N40" s="27">
        <f>IF(J40=0,0,N(INDEX('По дням'!$E$2:$E$4000,MATCH(35,'По дням'!$G$2:$G$4000,0))))</f>
        <v>0</v>
      </c>
    </row>
    <row r="41" spans="1:14" x14ac:dyDescent="0.3">
      <c r="A41" s="21" t="str">
        <f>IF(A40="","",IF(A40+1&gt;Ввод!$B$4,"",A40+1))</f>
        <v/>
      </c>
      <c r="B41" s="23" t="str">
        <f>IF(A41="","",IFERROR(INDEX(Ввод!$B$12:$B$71,MATCH(A41,Ввод!$D$12:$D$71,1)),""))</f>
        <v/>
      </c>
      <c r="C41" t="str">
        <f t="shared" si="0"/>
        <v/>
      </c>
      <c r="D41" t="str">
        <f>IF(A41="","",SUMIFS(Акты!$D$5:$D$16,Акты!$E$5:$E$16,"&lt;="&amp;A41)-SUMIFS(Оплаты!$B$6:$B$505,Оплаты!$A$6:$A$505,"&lt;"&amp;A41,Оплаты!$D$6:$D$505,"&lt;&gt;"))</f>
        <v/>
      </c>
      <c r="E41" t="str">
        <f>IF(A41="","",IF(SUMPRODUCT((Ввод!$F$12:$F$31&lt;&gt;"")*(Ввод!$F$12:$F$31&lt;=A41)*(Ввод!$G$12:$G$31&gt;=A41))&gt;0,1,0))</f>
        <v/>
      </c>
      <c r="G41" t="str">
        <f t="shared" si="1"/>
        <v/>
      </c>
      <c r="I41">
        <v>36</v>
      </c>
      <c r="J41" s="24">
        <f>IFERROR(INDEX('По дням'!$A$2:$A$4000,MATCH(36,'По дням'!$G$2:$G$4000,0)),0)</f>
        <v>0</v>
      </c>
      <c r="K41" s="24">
        <f>IF(J41=0,0,J41+COUNTIF('По дням'!$G$2:$G$4000,36)-1)</f>
        <v>0</v>
      </c>
      <c r="L41" s="25">
        <f>IF(J41=0,0,N(INDEX('По дням'!$B$2:$B$4000,MATCH(36,'По дням'!$G$2:$G$4000,0))))</f>
        <v>0</v>
      </c>
      <c r="M41" s="26">
        <f>IF(J41=0,1,N(INDEX('По дням'!$C$2:$C$4000,MATCH(36,'По дням'!$G$2:$G$4000,0))))</f>
        <v>1</v>
      </c>
      <c r="N41" s="27">
        <f>IF(J41=0,0,N(INDEX('По дням'!$E$2:$E$4000,MATCH(36,'По дням'!$G$2:$G$4000,0))))</f>
        <v>0</v>
      </c>
    </row>
    <row r="42" spans="1:14" x14ac:dyDescent="0.3">
      <c r="A42" s="21" t="str">
        <f>IF(A41="","",IF(A41+1&gt;Ввод!$B$4,"",A41+1))</f>
        <v/>
      </c>
      <c r="B42" s="23" t="str">
        <f>IF(A42="","",IFERROR(INDEX(Ввод!$B$12:$B$71,MATCH(A42,Ввод!$D$12:$D$71,1)),""))</f>
        <v/>
      </c>
      <c r="C42" t="str">
        <f t="shared" si="0"/>
        <v/>
      </c>
      <c r="D42" t="str">
        <f>IF(A42="","",SUMIFS(Акты!$D$5:$D$16,Акты!$E$5:$E$16,"&lt;="&amp;A42)-SUMIFS(Оплаты!$B$6:$B$505,Оплаты!$A$6:$A$505,"&lt;"&amp;A42,Оплаты!$D$6:$D$505,"&lt;&gt;"))</f>
        <v/>
      </c>
      <c r="E42" t="str">
        <f>IF(A42="","",IF(SUMPRODUCT((Ввод!$F$12:$F$31&lt;&gt;"")*(Ввод!$F$12:$F$31&lt;=A42)*(Ввод!$G$12:$G$31&gt;=A42))&gt;0,1,0))</f>
        <v/>
      </c>
      <c r="G42" t="str">
        <f t="shared" si="1"/>
        <v/>
      </c>
      <c r="I42">
        <v>37</v>
      </c>
      <c r="J42" s="24">
        <f>IFERROR(INDEX('По дням'!$A$2:$A$4000,MATCH(37,'По дням'!$G$2:$G$4000,0)),0)</f>
        <v>0</v>
      </c>
      <c r="K42" s="24">
        <f>IF(J42=0,0,J42+COUNTIF('По дням'!$G$2:$G$4000,37)-1)</f>
        <v>0</v>
      </c>
      <c r="L42" s="25">
        <f>IF(J42=0,0,N(INDEX('По дням'!$B$2:$B$4000,MATCH(37,'По дням'!$G$2:$G$4000,0))))</f>
        <v>0</v>
      </c>
      <c r="M42" s="26">
        <f>IF(J42=0,1,N(INDEX('По дням'!$C$2:$C$4000,MATCH(37,'По дням'!$G$2:$G$4000,0))))</f>
        <v>1</v>
      </c>
      <c r="N42" s="27">
        <f>IF(J42=0,0,N(INDEX('По дням'!$E$2:$E$4000,MATCH(37,'По дням'!$G$2:$G$4000,0))))</f>
        <v>0</v>
      </c>
    </row>
    <row r="43" spans="1:14" x14ac:dyDescent="0.3">
      <c r="A43" s="21" t="str">
        <f>IF(A42="","",IF(A42+1&gt;Ввод!$B$4,"",A42+1))</f>
        <v/>
      </c>
      <c r="B43" s="23" t="str">
        <f>IF(A43="","",IFERROR(INDEX(Ввод!$B$12:$B$71,MATCH(A43,Ввод!$D$12:$D$71,1)),""))</f>
        <v/>
      </c>
      <c r="C43" t="str">
        <f t="shared" si="0"/>
        <v/>
      </c>
      <c r="D43" t="str">
        <f>IF(A43="","",SUMIFS(Акты!$D$5:$D$16,Акты!$E$5:$E$16,"&lt;="&amp;A43)-SUMIFS(Оплаты!$B$6:$B$505,Оплаты!$A$6:$A$505,"&lt;"&amp;A43,Оплаты!$D$6:$D$505,"&lt;&gt;"))</f>
        <v/>
      </c>
      <c r="E43" t="str">
        <f>IF(A43="","",IF(SUMPRODUCT((Ввод!$F$12:$F$31&lt;&gt;"")*(Ввод!$F$12:$F$31&lt;=A43)*(Ввод!$G$12:$G$31&gt;=A43))&gt;0,1,0))</f>
        <v/>
      </c>
      <c r="G43" t="str">
        <f t="shared" si="1"/>
        <v/>
      </c>
      <c r="I43">
        <v>38</v>
      </c>
      <c r="J43" s="24">
        <f>IFERROR(INDEX('По дням'!$A$2:$A$4000,MATCH(38,'По дням'!$G$2:$G$4000,0)),0)</f>
        <v>0</v>
      </c>
      <c r="K43" s="24">
        <f>IF(J43=0,0,J43+COUNTIF('По дням'!$G$2:$G$4000,38)-1)</f>
        <v>0</v>
      </c>
      <c r="L43" s="25">
        <f>IF(J43=0,0,N(INDEX('По дням'!$B$2:$B$4000,MATCH(38,'По дням'!$G$2:$G$4000,0))))</f>
        <v>0</v>
      </c>
      <c r="M43" s="26">
        <f>IF(J43=0,1,N(INDEX('По дням'!$C$2:$C$4000,MATCH(38,'По дням'!$G$2:$G$4000,0))))</f>
        <v>1</v>
      </c>
      <c r="N43" s="27">
        <f>IF(J43=0,0,N(INDEX('По дням'!$E$2:$E$4000,MATCH(38,'По дням'!$G$2:$G$4000,0))))</f>
        <v>0</v>
      </c>
    </row>
    <row r="44" spans="1:14" x14ac:dyDescent="0.3">
      <c r="A44" s="21" t="str">
        <f>IF(A43="","",IF(A43+1&gt;Ввод!$B$4,"",A43+1))</f>
        <v/>
      </c>
      <c r="B44" s="23" t="str">
        <f>IF(A44="","",IFERROR(INDEX(Ввод!$B$12:$B$71,MATCH(A44,Ввод!$D$12:$D$71,1)),""))</f>
        <v/>
      </c>
      <c r="C44" t="str">
        <f t="shared" si="0"/>
        <v/>
      </c>
      <c r="D44" t="str">
        <f>IF(A44="","",SUMIFS(Акты!$D$5:$D$16,Акты!$E$5:$E$16,"&lt;="&amp;A44)-SUMIFS(Оплаты!$B$6:$B$505,Оплаты!$A$6:$A$505,"&lt;"&amp;A44,Оплаты!$D$6:$D$505,"&lt;&gt;"))</f>
        <v/>
      </c>
      <c r="E44" t="str">
        <f>IF(A44="","",IF(SUMPRODUCT((Ввод!$F$12:$F$31&lt;&gt;"")*(Ввод!$F$12:$F$31&lt;=A44)*(Ввод!$G$12:$G$31&gt;=A44))&gt;0,1,0))</f>
        <v/>
      </c>
      <c r="G44" t="str">
        <f t="shared" si="1"/>
        <v/>
      </c>
      <c r="I44">
        <v>39</v>
      </c>
      <c r="J44" s="24">
        <f>IFERROR(INDEX('По дням'!$A$2:$A$4000,MATCH(39,'По дням'!$G$2:$G$4000,0)),0)</f>
        <v>0</v>
      </c>
      <c r="K44" s="24">
        <f>IF(J44=0,0,J44+COUNTIF('По дням'!$G$2:$G$4000,39)-1)</f>
        <v>0</v>
      </c>
      <c r="L44" s="25">
        <f>IF(J44=0,0,N(INDEX('По дням'!$B$2:$B$4000,MATCH(39,'По дням'!$G$2:$G$4000,0))))</f>
        <v>0</v>
      </c>
      <c r="M44" s="26">
        <f>IF(J44=0,1,N(INDEX('По дням'!$C$2:$C$4000,MATCH(39,'По дням'!$G$2:$G$4000,0))))</f>
        <v>1</v>
      </c>
      <c r="N44" s="27">
        <f>IF(J44=0,0,N(INDEX('По дням'!$E$2:$E$4000,MATCH(39,'По дням'!$G$2:$G$4000,0))))</f>
        <v>0</v>
      </c>
    </row>
    <row r="45" spans="1:14" x14ac:dyDescent="0.3">
      <c r="A45" s="21" t="str">
        <f>IF(A44="","",IF(A44+1&gt;Ввод!$B$4,"",A44+1))</f>
        <v/>
      </c>
      <c r="B45" s="23" t="str">
        <f>IF(A45="","",IFERROR(INDEX(Ввод!$B$12:$B$71,MATCH(A45,Ввод!$D$12:$D$71,1)),""))</f>
        <v/>
      </c>
      <c r="C45" t="str">
        <f t="shared" si="0"/>
        <v/>
      </c>
      <c r="D45" t="str">
        <f>IF(A45="","",SUMIFS(Акты!$D$5:$D$16,Акты!$E$5:$E$16,"&lt;="&amp;A45)-SUMIFS(Оплаты!$B$6:$B$505,Оплаты!$A$6:$A$505,"&lt;"&amp;A45,Оплаты!$D$6:$D$505,"&lt;&gt;"))</f>
        <v/>
      </c>
      <c r="E45" t="str">
        <f>IF(A45="","",IF(SUMPRODUCT((Ввод!$F$12:$F$31&lt;&gt;"")*(Ввод!$F$12:$F$31&lt;=A45)*(Ввод!$G$12:$G$31&gt;=A45))&gt;0,1,0))</f>
        <v/>
      </c>
      <c r="G45" t="str">
        <f t="shared" si="1"/>
        <v/>
      </c>
      <c r="I45">
        <v>40</v>
      </c>
      <c r="J45" s="24">
        <f>IFERROR(INDEX('По дням'!$A$2:$A$4000,MATCH(40,'По дням'!$G$2:$G$4000,0)),0)</f>
        <v>0</v>
      </c>
      <c r="K45" s="24">
        <f>IF(J45=0,0,J45+COUNTIF('По дням'!$G$2:$G$4000,40)-1)</f>
        <v>0</v>
      </c>
      <c r="L45" s="25">
        <f>IF(J45=0,0,N(INDEX('По дням'!$B$2:$B$4000,MATCH(40,'По дням'!$G$2:$G$4000,0))))</f>
        <v>0</v>
      </c>
      <c r="M45" s="26">
        <f>IF(J45=0,1,N(INDEX('По дням'!$C$2:$C$4000,MATCH(40,'По дням'!$G$2:$G$4000,0))))</f>
        <v>1</v>
      </c>
      <c r="N45" s="27">
        <f>IF(J45=0,0,N(INDEX('По дням'!$E$2:$E$4000,MATCH(40,'По дням'!$G$2:$G$4000,0))))</f>
        <v>0</v>
      </c>
    </row>
    <row r="46" spans="1:14" x14ac:dyDescent="0.3">
      <c r="A46" s="21" t="str">
        <f>IF(A45="","",IF(A45+1&gt;Ввод!$B$4,"",A45+1))</f>
        <v/>
      </c>
      <c r="B46" s="23" t="str">
        <f>IF(A46="","",IFERROR(INDEX(Ввод!$B$12:$B$71,MATCH(A46,Ввод!$D$12:$D$71,1)),""))</f>
        <v/>
      </c>
      <c r="C46" t="str">
        <f t="shared" si="0"/>
        <v/>
      </c>
      <c r="D46" t="str">
        <f>IF(A46="","",SUMIFS(Акты!$D$5:$D$16,Акты!$E$5:$E$16,"&lt;="&amp;A46)-SUMIFS(Оплаты!$B$6:$B$505,Оплаты!$A$6:$A$505,"&lt;"&amp;A46,Оплаты!$D$6:$D$505,"&lt;&gt;"))</f>
        <v/>
      </c>
      <c r="E46" t="str">
        <f>IF(A46="","",IF(SUMPRODUCT((Ввод!$F$12:$F$31&lt;&gt;"")*(Ввод!$F$12:$F$31&lt;=A46)*(Ввод!$G$12:$G$31&gt;=A46))&gt;0,1,0))</f>
        <v/>
      </c>
      <c r="G46" t="str">
        <f t="shared" si="1"/>
        <v/>
      </c>
      <c r="I46">
        <v>41</v>
      </c>
      <c r="J46" s="24">
        <f>IFERROR(INDEX('По дням'!$A$2:$A$4000,MATCH(41,'По дням'!$G$2:$G$4000,0)),0)</f>
        <v>0</v>
      </c>
      <c r="K46" s="24">
        <f>IF(J46=0,0,J46+COUNTIF('По дням'!$G$2:$G$4000,41)-1)</f>
        <v>0</v>
      </c>
      <c r="L46" s="25">
        <f>IF(J46=0,0,N(INDEX('По дням'!$B$2:$B$4000,MATCH(41,'По дням'!$G$2:$G$4000,0))))</f>
        <v>0</v>
      </c>
      <c r="M46" s="26">
        <f>IF(J46=0,1,N(INDEX('По дням'!$C$2:$C$4000,MATCH(41,'По дням'!$G$2:$G$4000,0))))</f>
        <v>1</v>
      </c>
      <c r="N46" s="27">
        <f>IF(J46=0,0,N(INDEX('По дням'!$E$2:$E$4000,MATCH(41,'По дням'!$G$2:$G$4000,0))))</f>
        <v>0</v>
      </c>
    </row>
    <row r="47" spans="1:14" x14ac:dyDescent="0.3">
      <c r="A47" s="21" t="str">
        <f>IF(A46="","",IF(A46+1&gt;Ввод!$B$4,"",A46+1))</f>
        <v/>
      </c>
      <c r="B47" s="23" t="str">
        <f>IF(A47="","",IFERROR(INDEX(Ввод!$B$12:$B$71,MATCH(A47,Ввод!$D$12:$D$71,1)),""))</f>
        <v/>
      </c>
      <c r="C47" t="str">
        <f t="shared" si="0"/>
        <v/>
      </c>
      <c r="D47" t="str">
        <f>IF(A47="","",SUMIFS(Акты!$D$5:$D$16,Акты!$E$5:$E$16,"&lt;="&amp;A47)-SUMIFS(Оплаты!$B$6:$B$505,Оплаты!$A$6:$A$505,"&lt;"&amp;A47,Оплаты!$D$6:$D$505,"&lt;&gt;"))</f>
        <v/>
      </c>
      <c r="E47" t="str">
        <f>IF(A47="","",IF(SUMPRODUCT((Ввод!$F$12:$F$31&lt;&gt;"")*(Ввод!$F$12:$F$31&lt;=A47)*(Ввод!$G$12:$G$31&gt;=A47))&gt;0,1,0))</f>
        <v/>
      </c>
      <c r="G47" t="str">
        <f t="shared" si="1"/>
        <v/>
      </c>
      <c r="I47">
        <v>42</v>
      </c>
      <c r="J47" s="24">
        <f>IFERROR(INDEX('По дням'!$A$2:$A$4000,MATCH(42,'По дням'!$G$2:$G$4000,0)),0)</f>
        <v>0</v>
      </c>
      <c r="K47" s="24">
        <f>IF(J47=0,0,J47+COUNTIF('По дням'!$G$2:$G$4000,42)-1)</f>
        <v>0</v>
      </c>
      <c r="L47" s="25">
        <f>IF(J47=0,0,N(INDEX('По дням'!$B$2:$B$4000,MATCH(42,'По дням'!$G$2:$G$4000,0))))</f>
        <v>0</v>
      </c>
      <c r="M47" s="26">
        <f>IF(J47=0,1,N(INDEX('По дням'!$C$2:$C$4000,MATCH(42,'По дням'!$G$2:$G$4000,0))))</f>
        <v>1</v>
      </c>
      <c r="N47" s="27">
        <f>IF(J47=0,0,N(INDEX('По дням'!$E$2:$E$4000,MATCH(42,'По дням'!$G$2:$G$4000,0))))</f>
        <v>0</v>
      </c>
    </row>
    <row r="48" spans="1:14" x14ac:dyDescent="0.3">
      <c r="A48" s="21" t="str">
        <f>IF(A47="","",IF(A47+1&gt;Ввод!$B$4,"",A47+1))</f>
        <v/>
      </c>
      <c r="B48" s="23" t="str">
        <f>IF(A48="","",IFERROR(INDEX(Ввод!$B$12:$B$71,MATCH(A48,Ввод!$D$12:$D$71,1)),""))</f>
        <v/>
      </c>
      <c r="C48" t="str">
        <f t="shared" si="0"/>
        <v/>
      </c>
      <c r="D48" t="str">
        <f>IF(A48="","",SUMIFS(Акты!$D$5:$D$16,Акты!$E$5:$E$16,"&lt;="&amp;A48)-SUMIFS(Оплаты!$B$6:$B$505,Оплаты!$A$6:$A$505,"&lt;"&amp;A48,Оплаты!$D$6:$D$505,"&lt;&gt;"))</f>
        <v/>
      </c>
      <c r="E48" t="str">
        <f>IF(A48="","",IF(SUMPRODUCT((Ввод!$F$12:$F$31&lt;&gt;"")*(Ввод!$F$12:$F$31&lt;=A48)*(Ввод!$G$12:$G$31&gt;=A48))&gt;0,1,0))</f>
        <v/>
      </c>
      <c r="G48" t="str">
        <f t="shared" si="1"/>
        <v/>
      </c>
      <c r="I48">
        <v>43</v>
      </c>
      <c r="J48" s="24">
        <f>IFERROR(INDEX('По дням'!$A$2:$A$4000,MATCH(43,'По дням'!$G$2:$G$4000,0)),0)</f>
        <v>0</v>
      </c>
      <c r="K48" s="24">
        <f>IF(J48=0,0,J48+COUNTIF('По дням'!$G$2:$G$4000,43)-1)</f>
        <v>0</v>
      </c>
      <c r="L48" s="25">
        <f>IF(J48=0,0,N(INDEX('По дням'!$B$2:$B$4000,MATCH(43,'По дням'!$G$2:$G$4000,0))))</f>
        <v>0</v>
      </c>
      <c r="M48" s="26">
        <f>IF(J48=0,1,N(INDEX('По дням'!$C$2:$C$4000,MATCH(43,'По дням'!$G$2:$G$4000,0))))</f>
        <v>1</v>
      </c>
      <c r="N48" s="27">
        <f>IF(J48=0,0,N(INDEX('По дням'!$E$2:$E$4000,MATCH(43,'По дням'!$G$2:$G$4000,0))))</f>
        <v>0</v>
      </c>
    </row>
    <row r="49" spans="1:14" x14ac:dyDescent="0.3">
      <c r="A49" s="21" t="str">
        <f>IF(A48="","",IF(A48+1&gt;Ввод!$B$4,"",A48+1))</f>
        <v/>
      </c>
      <c r="B49" s="23" t="str">
        <f>IF(A49="","",IFERROR(INDEX(Ввод!$B$12:$B$71,MATCH(A49,Ввод!$D$12:$D$71,1)),""))</f>
        <v/>
      </c>
      <c r="C49" t="str">
        <f t="shared" si="0"/>
        <v/>
      </c>
      <c r="D49" t="str">
        <f>IF(A49="","",SUMIFS(Акты!$D$5:$D$16,Акты!$E$5:$E$16,"&lt;="&amp;A49)-SUMIFS(Оплаты!$B$6:$B$505,Оплаты!$A$6:$A$505,"&lt;"&amp;A49,Оплаты!$D$6:$D$505,"&lt;&gt;"))</f>
        <v/>
      </c>
      <c r="E49" t="str">
        <f>IF(A49="","",IF(SUMPRODUCT((Ввод!$F$12:$F$31&lt;&gt;"")*(Ввод!$F$12:$F$31&lt;=A49)*(Ввод!$G$12:$G$31&gt;=A49))&gt;0,1,0))</f>
        <v/>
      </c>
      <c r="G49" t="str">
        <f t="shared" si="1"/>
        <v/>
      </c>
      <c r="I49">
        <v>44</v>
      </c>
      <c r="J49" s="24">
        <f>IFERROR(INDEX('По дням'!$A$2:$A$4000,MATCH(44,'По дням'!$G$2:$G$4000,0)),0)</f>
        <v>0</v>
      </c>
      <c r="K49" s="24">
        <f>IF(J49=0,0,J49+COUNTIF('По дням'!$G$2:$G$4000,44)-1)</f>
        <v>0</v>
      </c>
      <c r="L49" s="25">
        <f>IF(J49=0,0,N(INDEX('По дням'!$B$2:$B$4000,MATCH(44,'По дням'!$G$2:$G$4000,0))))</f>
        <v>0</v>
      </c>
      <c r="M49" s="26">
        <f>IF(J49=0,1,N(INDEX('По дням'!$C$2:$C$4000,MATCH(44,'По дням'!$G$2:$G$4000,0))))</f>
        <v>1</v>
      </c>
      <c r="N49" s="27">
        <f>IF(J49=0,0,N(INDEX('По дням'!$E$2:$E$4000,MATCH(44,'По дням'!$G$2:$G$4000,0))))</f>
        <v>0</v>
      </c>
    </row>
    <row r="50" spans="1:14" x14ac:dyDescent="0.3">
      <c r="A50" s="21" t="str">
        <f>IF(A49="","",IF(A49+1&gt;Ввод!$B$4,"",A49+1))</f>
        <v/>
      </c>
      <c r="B50" s="23" t="str">
        <f>IF(A50="","",IFERROR(INDEX(Ввод!$B$12:$B$71,MATCH(A50,Ввод!$D$12:$D$71,1)),""))</f>
        <v/>
      </c>
      <c r="C50" t="str">
        <f t="shared" si="0"/>
        <v/>
      </c>
      <c r="D50" t="str">
        <f>IF(A50="","",SUMIFS(Акты!$D$5:$D$16,Акты!$E$5:$E$16,"&lt;="&amp;A50)-SUMIFS(Оплаты!$B$6:$B$505,Оплаты!$A$6:$A$505,"&lt;"&amp;A50,Оплаты!$D$6:$D$505,"&lt;&gt;"))</f>
        <v/>
      </c>
      <c r="E50" t="str">
        <f>IF(A50="","",IF(SUMPRODUCT((Ввод!$F$12:$F$31&lt;&gt;"")*(Ввод!$F$12:$F$31&lt;=A50)*(Ввод!$G$12:$G$31&gt;=A50))&gt;0,1,0))</f>
        <v/>
      </c>
      <c r="G50" t="str">
        <f t="shared" si="1"/>
        <v/>
      </c>
      <c r="I50">
        <v>45</v>
      </c>
      <c r="J50" s="24">
        <f>IFERROR(INDEX('По дням'!$A$2:$A$4000,MATCH(45,'По дням'!$G$2:$G$4000,0)),0)</f>
        <v>0</v>
      </c>
      <c r="K50" s="24">
        <f>IF(J50=0,0,J50+COUNTIF('По дням'!$G$2:$G$4000,45)-1)</f>
        <v>0</v>
      </c>
      <c r="L50" s="25">
        <f>IF(J50=0,0,N(INDEX('По дням'!$B$2:$B$4000,MATCH(45,'По дням'!$G$2:$G$4000,0))))</f>
        <v>0</v>
      </c>
      <c r="M50" s="26">
        <f>IF(J50=0,1,N(INDEX('По дням'!$C$2:$C$4000,MATCH(45,'По дням'!$G$2:$G$4000,0))))</f>
        <v>1</v>
      </c>
      <c r="N50" s="27">
        <f>IF(J50=0,0,N(INDEX('По дням'!$E$2:$E$4000,MATCH(45,'По дням'!$G$2:$G$4000,0))))</f>
        <v>0</v>
      </c>
    </row>
    <row r="51" spans="1:14" x14ac:dyDescent="0.3">
      <c r="A51" s="21" t="str">
        <f>IF(A50="","",IF(A50+1&gt;Ввод!$B$4,"",A50+1))</f>
        <v/>
      </c>
      <c r="B51" s="23" t="str">
        <f>IF(A51="","",IFERROR(INDEX(Ввод!$B$12:$B$71,MATCH(A51,Ввод!$D$12:$D$71,1)),""))</f>
        <v/>
      </c>
      <c r="C51" t="str">
        <f t="shared" si="0"/>
        <v/>
      </c>
      <c r="D51" t="str">
        <f>IF(A51="","",SUMIFS(Акты!$D$5:$D$16,Акты!$E$5:$E$16,"&lt;="&amp;A51)-SUMIFS(Оплаты!$B$6:$B$505,Оплаты!$A$6:$A$505,"&lt;"&amp;A51,Оплаты!$D$6:$D$505,"&lt;&gt;"))</f>
        <v/>
      </c>
      <c r="E51" t="str">
        <f>IF(A51="","",IF(SUMPRODUCT((Ввод!$F$12:$F$31&lt;&gt;"")*(Ввод!$F$12:$F$31&lt;=A51)*(Ввод!$G$12:$G$31&gt;=A51))&gt;0,1,0))</f>
        <v/>
      </c>
      <c r="G51" t="str">
        <f t="shared" si="1"/>
        <v/>
      </c>
      <c r="I51">
        <v>46</v>
      </c>
      <c r="J51" s="24">
        <f>IFERROR(INDEX('По дням'!$A$2:$A$4000,MATCH(46,'По дням'!$G$2:$G$4000,0)),0)</f>
        <v>0</v>
      </c>
      <c r="K51" s="24">
        <f>IF(J51=0,0,J51+COUNTIF('По дням'!$G$2:$G$4000,46)-1)</f>
        <v>0</v>
      </c>
      <c r="L51" s="25">
        <f>IF(J51=0,0,N(INDEX('По дням'!$B$2:$B$4000,MATCH(46,'По дням'!$G$2:$G$4000,0))))</f>
        <v>0</v>
      </c>
      <c r="M51" s="26">
        <f>IF(J51=0,1,N(INDEX('По дням'!$C$2:$C$4000,MATCH(46,'По дням'!$G$2:$G$4000,0))))</f>
        <v>1</v>
      </c>
      <c r="N51" s="27">
        <f>IF(J51=0,0,N(INDEX('По дням'!$E$2:$E$4000,MATCH(46,'По дням'!$G$2:$G$4000,0))))</f>
        <v>0</v>
      </c>
    </row>
    <row r="52" spans="1:14" x14ac:dyDescent="0.3">
      <c r="A52" s="21" t="str">
        <f>IF(A51="","",IF(A51+1&gt;Ввод!$B$4,"",A51+1))</f>
        <v/>
      </c>
      <c r="B52" s="23" t="str">
        <f>IF(A52="","",IFERROR(INDEX(Ввод!$B$12:$B$71,MATCH(A52,Ввод!$D$12:$D$71,1)),""))</f>
        <v/>
      </c>
      <c r="C52" t="str">
        <f t="shared" si="0"/>
        <v/>
      </c>
      <c r="D52" t="str">
        <f>IF(A52="","",SUMIFS(Акты!$D$5:$D$16,Акты!$E$5:$E$16,"&lt;="&amp;A52)-SUMIFS(Оплаты!$B$6:$B$505,Оплаты!$A$6:$A$505,"&lt;"&amp;A52,Оплаты!$D$6:$D$505,"&lt;&gt;"))</f>
        <v/>
      </c>
      <c r="E52" t="str">
        <f>IF(A52="","",IF(SUMPRODUCT((Ввод!$F$12:$F$31&lt;&gt;"")*(Ввод!$F$12:$F$31&lt;=A52)*(Ввод!$G$12:$G$31&gt;=A52))&gt;0,1,0))</f>
        <v/>
      </c>
      <c r="G52" t="str">
        <f t="shared" si="1"/>
        <v/>
      </c>
      <c r="I52">
        <v>47</v>
      </c>
      <c r="J52" s="24">
        <f>IFERROR(INDEX('По дням'!$A$2:$A$4000,MATCH(47,'По дням'!$G$2:$G$4000,0)),0)</f>
        <v>0</v>
      </c>
      <c r="K52" s="24">
        <f>IF(J52=0,0,J52+COUNTIF('По дням'!$G$2:$G$4000,47)-1)</f>
        <v>0</v>
      </c>
      <c r="L52" s="25">
        <f>IF(J52=0,0,N(INDEX('По дням'!$B$2:$B$4000,MATCH(47,'По дням'!$G$2:$G$4000,0))))</f>
        <v>0</v>
      </c>
      <c r="M52" s="26">
        <f>IF(J52=0,1,N(INDEX('По дням'!$C$2:$C$4000,MATCH(47,'По дням'!$G$2:$G$4000,0))))</f>
        <v>1</v>
      </c>
      <c r="N52" s="27">
        <f>IF(J52=0,0,N(INDEX('По дням'!$E$2:$E$4000,MATCH(47,'По дням'!$G$2:$G$4000,0))))</f>
        <v>0</v>
      </c>
    </row>
    <row r="53" spans="1:14" x14ac:dyDescent="0.3">
      <c r="A53" s="21" t="str">
        <f>IF(A52="","",IF(A52+1&gt;Ввод!$B$4,"",A52+1))</f>
        <v/>
      </c>
      <c r="B53" s="23" t="str">
        <f>IF(A53="","",IFERROR(INDEX(Ввод!$B$12:$B$71,MATCH(A53,Ввод!$D$12:$D$71,1)),""))</f>
        <v/>
      </c>
      <c r="C53" t="str">
        <f t="shared" si="0"/>
        <v/>
      </c>
      <c r="D53" t="str">
        <f>IF(A53="","",SUMIFS(Акты!$D$5:$D$16,Акты!$E$5:$E$16,"&lt;="&amp;A53)-SUMIFS(Оплаты!$B$6:$B$505,Оплаты!$A$6:$A$505,"&lt;"&amp;A53,Оплаты!$D$6:$D$505,"&lt;&gt;"))</f>
        <v/>
      </c>
      <c r="E53" t="str">
        <f>IF(A53="","",IF(SUMPRODUCT((Ввод!$F$12:$F$31&lt;&gt;"")*(Ввод!$F$12:$F$31&lt;=A53)*(Ввод!$G$12:$G$31&gt;=A53))&gt;0,1,0))</f>
        <v/>
      </c>
      <c r="G53" t="str">
        <f t="shared" si="1"/>
        <v/>
      </c>
      <c r="I53">
        <v>48</v>
      </c>
      <c r="J53" s="24">
        <f>IFERROR(INDEX('По дням'!$A$2:$A$4000,MATCH(48,'По дням'!$G$2:$G$4000,0)),0)</f>
        <v>0</v>
      </c>
      <c r="K53" s="24">
        <f>IF(J53=0,0,J53+COUNTIF('По дням'!$G$2:$G$4000,48)-1)</f>
        <v>0</v>
      </c>
      <c r="L53" s="25">
        <f>IF(J53=0,0,N(INDEX('По дням'!$B$2:$B$4000,MATCH(48,'По дням'!$G$2:$G$4000,0))))</f>
        <v>0</v>
      </c>
      <c r="M53" s="26">
        <f>IF(J53=0,1,N(INDEX('По дням'!$C$2:$C$4000,MATCH(48,'По дням'!$G$2:$G$4000,0))))</f>
        <v>1</v>
      </c>
      <c r="N53" s="27">
        <f>IF(J53=0,0,N(INDEX('По дням'!$E$2:$E$4000,MATCH(48,'По дням'!$G$2:$G$4000,0))))</f>
        <v>0</v>
      </c>
    </row>
    <row r="54" spans="1:14" x14ac:dyDescent="0.3">
      <c r="A54" s="21" t="str">
        <f>IF(A53="","",IF(A53+1&gt;Ввод!$B$4,"",A53+1))</f>
        <v/>
      </c>
      <c r="B54" s="23" t="str">
        <f>IF(A54="","",IFERROR(INDEX(Ввод!$B$12:$B$71,MATCH(A54,Ввод!$D$12:$D$71,1)),""))</f>
        <v/>
      </c>
      <c r="C54" t="str">
        <f t="shared" si="0"/>
        <v/>
      </c>
      <c r="D54" t="str">
        <f>IF(A54="","",SUMIFS(Акты!$D$5:$D$16,Акты!$E$5:$E$16,"&lt;="&amp;A54)-SUMIFS(Оплаты!$B$6:$B$505,Оплаты!$A$6:$A$505,"&lt;"&amp;A54,Оплаты!$D$6:$D$505,"&lt;&gt;"))</f>
        <v/>
      </c>
      <c r="E54" t="str">
        <f>IF(A54="","",IF(SUMPRODUCT((Ввод!$F$12:$F$31&lt;&gt;"")*(Ввод!$F$12:$F$31&lt;=A54)*(Ввод!$G$12:$G$31&gt;=A54))&gt;0,1,0))</f>
        <v/>
      </c>
      <c r="G54" t="str">
        <f t="shared" si="1"/>
        <v/>
      </c>
      <c r="I54">
        <v>49</v>
      </c>
      <c r="J54" s="24">
        <f>IFERROR(INDEX('По дням'!$A$2:$A$4000,MATCH(49,'По дням'!$G$2:$G$4000,0)),0)</f>
        <v>0</v>
      </c>
      <c r="K54" s="24">
        <f>IF(J54=0,0,J54+COUNTIF('По дням'!$G$2:$G$4000,49)-1)</f>
        <v>0</v>
      </c>
      <c r="L54" s="25">
        <f>IF(J54=0,0,N(INDEX('По дням'!$B$2:$B$4000,MATCH(49,'По дням'!$G$2:$G$4000,0))))</f>
        <v>0</v>
      </c>
      <c r="M54" s="26">
        <f>IF(J54=0,1,N(INDEX('По дням'!$C$2:$C$4000,MATCH(49,'По дням'!$G$2:$G$4000,0))))</f>
        <v>1</v>
      </c>
      <c r="N54" s="27">
        <f>IF(J54=0,0,N(INDEX('По дням'!$E$2:$E$4000,MATCH(49,'По дням'!$G$2:$G$4000,0))))</f>
        <v>0</v>
      </c>
    </row>
    <row r="55" spans="1:14" x14ac:dyDescent="0.3">
      <c r="A55" s="21" t="str">
        <f>IF(A54="","",IF(A54+1&gt;Ввод!$B$4,"",A54+1))</f>
        <v/>
      </c>
      <c r="B55" s="23" t="str">
        <f>IF(A55="","",IFERROR(INDEX(Ввод!$B$12:$B$71,MATCH(A55,Ввод!$D$12:$D$71,1)),""))</f>
        <v/>
      </c>
      <c r="C55" t="str">
        <f t="shared" si="0"/>
        <v/>
      </c>
      <c r="D55" t="str">
        <f>IF(A55="","",SUMIFS(Акты!$D$5:$D$16,Акты!$E$5:$E$16,"&lt;="&amp;A55)-SUMIFS(Оплаты!$B$6:$B$505,Оплаты!$A$6:$A$505,"&lt;"&amp;A55,Оплаты!$D$6:$D$505,"&lt;&gt;"))</f>
        <v/>
      </c>
      <c r="E55" t="str">
        <f>IF(A55="","",IF(SUMPRODUCT((Ввод!$F$12:$F$31&lt;&gt;"")*(Ввод!$F$12:$F$31&lt;=A55)*(Ввод!$G$12:$G$31&gt;=A55))&gt;0,1,0))</f>
        <v/>
      </c>
      <c r="G55" t="str">
        <f t="shared" si="1"/>
        <v/>
      </c>
      <c r="I55">
        <v>50</v>
      </c>
      <c r="J55" s="24">
        <f>IFERROR(INDEX('По дням'!$A$2:$A$4000,MATCH(50,'По дням'!$G$2:$G$4000,0)),0)</f>
        <v>0</v>
      </c>
      <c r="K55" s="24">
        <f>IF(J55=0,0,J55+COUNTIF('По дням'!$G$2:$G$4000,50)-1)</f>
        <v>0</v>
      </c>
      <c r="L55" s="25">
        <f>IF(J55=0,0,N(INDEX('По дням'!$B$2:$B$4000,MATCH(50,'По дням'!$G$2:$G$4000,0))))</f>
        <v>0</v>
      </c>
      <c r="M55" s="26">
        <f>IF(J55=0,1,N(INDEX('По дням'!$C$2:$C$4000,MATCH(50,'По дням'!$G$2:$G$4000,0))))</f>
        <v>1</v>
      </c>
      <c r="N55" s="27">
        <f>IF(J55=0,0,N(INDEX('По дням'!$E$2:$E$4000,MATCH(50,'По дням'!$G$2:$G$4000,0))))</f>
        <v>0</v>
      </c>
    </row>
    <row r="56" spans="1:14" x14ac:dyDescent="0.3">
      <c r="A56" s="21" t="str">
        <f>IF(A55="","",IF(A55+1&gt;Ввод!$B$4,"",A55+1))</f>
        <v/>
      </c>
      <c r="B56" s="23" t="str">
        <f>IF(A56="","",IFERROR(INDEX(Ввод!$B$12:$B$71,MATCH(A56,Ввод!$D$12:$D$71,1)),""))</f>
        <v/>
      </c>
      <c r="C56" t="str">
        <f t="shared" si="0"/>
        <v/>
      </c>
      <c r="D56" t="str">
        <f>IF(A56="","",SUMIFS(Акты!$D$5:$D$16,Акты!$E$5:$E$16,"&lt;="&amp;A56)-SUMIFS(Оплаты!$B$6:$B$505,Оплаты!$A$6:$A$505,"&lt;"&amp;A56,Оплаты!$D$6:$D$505,"&lt;&gt;"))</f>
        <v/>
      </c>
      <c r="E56" t="str">
        <f>IF(A56="","",IF(SUMPRODUCT((Ввод!$F$12:$F$31&lt;&gt;"")*(Ввод!$F$12:$F$31&lt;=A56)*(Ввод!$G$12:$G$31&gt;=A56))&gt;0,1,0))</f>
        <v/>
      </c>
      <c r="G56" t="str">
        <f t="shared" si="1"/>
        <v/>
      </c>
      <c r="I56">
        <v>51</v>
      </c>
      <c r="J56" s="24">
        <f>IFERROR(INDEX('По дням'!$A$2:$A$4000,MATCH(51,'По дням'!$G$2:$G$4000,0)),0)</f>
        <v>0</v>
      </c>
      <c r="K56" s="24">
        <f>IF(J56=0,0,J56+COUNTIF('По дням'!$G$2:$G$4000,51)-1)</f>
        <v>0</v>
      </c>
      <c r="L56" s="25">
        <f>IF(J56=0,0,N(INDEX('По дням'!$B$2:$B$4000,MATCH(51,'По дням'!$G$2:$G$4000,0))))</f>
        <v>0</v>
      </c>
      <c r="M56" s="26">
        <f>IF(J56=0,1,N(INDEX('По дням'!$C$2:$C$4000,MATCH(51,'По дням'!$G$2:$G$4000,0))))</f>
        <v>1</v>
      </c>
      <c r="N56" s="27">
        <f>IF(J56=0,0,N(INDEX('По дням'!$E$2:$E$4000,MATCH(51,'По дням'!$G$2:$G$4000,0))))</f>
        <v>0</v>
      </c>
    </row>
    <row r="57" spans="1:14" x14ac:dyDescent="0.3">
      <c r="A57" s="21" t="str">
        <f>IF(A56="","",IF(A56+1&gt;Ввод!$B$4,"",A56+1))</f>
        <v/>
      </c>
      <c r="B57" s="23" t="str">
        <f>IF(A57="","",IFERROR(INDEX(Ввод!$B$12:$B$71,MATCH(A57,Ввод!$D$12:$D$71,1)),""))</f>
        <v/>
      </c>
      <c r="C57" t="str">
        <f t="shared" si="0"/>
        <v/>
      </c>
      <c r="D57" t="str">
        <f>IF(A57="","",SUMIFS(Акты!$D$5:$D$16,Акты!$E$5:$E$16,"&lt;="&amp;A57)-SUMIFS(Оплаты!$B$6:$B$505,Оплаты!$A$6:$A$505,"&lt;"&amp;A57,Оплаты!$D$6:$D$505,"&lt;&gt;"))</f>
        <v/>
      </c>
      <c r="E57" t="str">
        <f>IF(A57="","",IF(SUMPRODUCT((Ввод!$F$12:$F$31&lt;&gt;"")*(Ввод!$F$12:$F$31&lt;=A57)*(Ввод!$G$12:$G$31&gt;=A57))&gt;0,1,0))</f>
        <v/>
      </c>
      <c r="G57" t="str">
        <f t="shared" si="1"/>
        <v/>
      </c>
      <c r="I57">
        <v>52</v>
      </c>
      <c r="J57" s="24">
        <f>IFERROR(INDEX('По дням'!$A$2:$A$4000,MATCH(52,'По дням'!$G$2:$G$4000,0)),0)</f>
        <v>0</v>
      </c>
      <c r="K57" s="24">
        <f>IF(J57=0,0,J57+COUNTIF('По дням'!$G$2:$G$4000,52)-1)</f>
        <v>0</v>
      </c>
      <c r="L57" s="25">
        <f>IF(J57=0,0,N(INDEX('По дням'!$B$2:$B$4000,MATCH(52,'По дням'!$G$2:$G$4000,0))))</f>
        <v>0</v>
      </c>
      <c r="M57" s="26">
        <f>IF(J57=0,1,N(INDEX('По дням'!$C$2:$C$4000,MATCH(52,'По дням'!$G$2:$G$4000,0))))</f>
        <v>1</v>
      </c>
      <c r="N57" s="27">
        <f>IF(J57=0,0,N(INDEX('По дням'!$E$2:$E$4000,MATCH(52,'По дням'!$G$2:$G$4000,0))))</f>
        <v>0</v>
      </c>
    </row>
    <row r="58" spans="1:14" x14ac:dyDescent="0.3">
      <c r="A58" s="21" t="str">
        <f>IF(A57="","",IF(A57+1&gt;Ввод!$B$4,"",A57+1))</f>
        <v/>
      </c>
      <c r="B58" s="23" t="str">
        <f>IF(A58="","",IFERROR(INDEX(Ввод!$B$12:$B$71,MATCH(A58,Ввод!$D$12:$D$71,1)),""))</f>
        <v/>
      </c>
      <c r="C58" t="str">
        <f t="shared" si="0"/>
        <v/>
      </c>
      <c r="D58" t="str">
        <f>IF(A58="","",SUMIFS(Акты!$D$5:$D$16,Акты!$E$5:$E$16,"&lt;="&amp;A58)-SUMIFS(Оплаты!$B$6:$B$505,Оплаты!$A$6:$A$505,"&lt;"&amp;A58,Оплаты!$D$6:$D$505,"&lt;&gt;"))</f>
        <v/>
      </c>
      <c r="E58" t="str">
        <f>IF(A58="","",IF(SUMPRODUCT((Ввод!$F$12:$F$31&lt;&gt;"")*(Ввод!$F$12:$F$31&lt;=A58)*(Ввод!$G$12:$G$31&gt;=A58))&gt;0,1,0))</f>
        <v/>
      </c>
      <c r="G58" t="str">
        <f t="shared" si="1"/>
        <v/>
      </c>
      <c r="I58">
        <v>53</v>
      </c>
      <c r="J58" s="24">
        <f>IFERROR(INDEX('По дням'!$A$2:$A$4000,MATCH(53,'По дням'!$G$2:$G$4000,0)),0)</f>
        <v>0</v>
      </c>
      <c r="K58" s="24">
        <f>IF(J58=0,0,J58+COUNTIF('По дням'!$G$2:$G$4000,53)-1)</f>
        <v>0</v>
      </c>
      <c r="L58" s="25">
        <f>IF(J58=0,0,N(INDEX('По дням'!$B$2:$B$4000,MATCH(53,'По дням'!$G$2:$G$4000,0))))</f>
        <v>0</v>
      </c>
      <c r="M58" s="26">
        <f>IF(J58=0,1,N(INDEX('По дням'!$C$2:$C$4000,MATCH(53,'По дням'!$G$2:$G$4000,0))))</f>
        <v>1</v>
      </c>
      <c r="N58" s="27">
        <f>IF(J58=0,0,N(INDEX('По дням'!$E$2:$E$4000,MATCH(53,'По дням'!$G$2:$G$4000,0))))</f>
        <v>0</v>
      </c>
    </row>
    <row r="59" spans="1:14" x14ac:dyDescent="0.3">
      <c r="A59" s="21" t="str">
        <f>IF(A58="","",IF(A58+1&gt;Ввод!$B$4,"",A58+1))</f>
        <v/>
      </c>
      <c r="B59" s="23" t="str">
        <f>IF(A59="","",IFERROR(INDEX(Ввод!$B$12:$B$71,MATCH(A59,Ввод!$D$12:$D$71,1)),""))</f>
        <v/>
      </c>
      <c r="C59" t="str">
        <f t="shared" si="0"/>
        <v/>
      </c>
      <c r="D59" t="str">
        <f>IF(A59="","",SUMIFS(Акты!$D$5:$D$16,Акты!$E$5:$E$16,"&lt;="&amp;A59)-SUMIFS(Оплаты!$B$6:$B$505,Оплаты!$A$6:$A$505,"&lt;"&amp;A59,Оплаты!$D$6:$D$505,"&lt;&gt;"))</f>
        <v/>
      </c>
      <c r="E59" t="str">
        <f>IF(A59="","",IF(SUMPRODUCT((Ввод!$F$12:$F$31&lt;&gt;"")*(Ввод!$F$12:$F$31&lt;=A59)*(Ввод!$G$12:$G$31&gt;=A59))&gt;0,1,0))</f>
        <v/>
      </c>
      <c r="G59" t="str">
        <f t="shared" si="1"/>
        <v/>
      </c>
      <c r="I59">
        <v>54</v>
      </c>
      <c r="J59" s="24">
        <f>IFERROR(INDEX('По дням'!$A$2:$A$4000,MATCH(54,'По дням'!$G$2:$G$4000,0)),0)</f>
        <v>0</v>
      </c>
      <c r="K59" s="24">
        <f>IF(J59=0,0,J59+COUNTIF('По дням'!$G$2:$G$4000,54)-1)</f>
        <v>0</v>
      </c>
      <c r="L59" s="25">
        <f>IF(J59=0,0,N(INDEX('По дням'!$B$2:$B$4000,MATCH(54,'По дням'!$G$2:$G$4000,0))))</f>
        <v>0</v>
      </c>
      <c r="M59" s="26">
        <f>IF(J59=0,1,N(INDEX('По дням'!$C$2:$C$4000,MATCH(54,'По дням'!$G$2:$G$4000,0))))</f>
        <v>1</v>
      </c>
      <c r="N59" s="27">
        <f>IF(J59=0,0,N(INDEX('По дням'!$E$2:$E$4000,MATCH(54,'По дням'!$G$2:$G$4000,0))))</f>
        <v>0</v>
      </c>
    </row>
    <row r="60" spans="1:14" x14ac:dyDescent="0.3">
      <c r="A60" s="21" t="str">
        <f>IF(A59="","",IF(A59+1&gt;Ввод!$B$4,"",A59+1))</f>
        <v/>
      </c>
      <c r="B60" s="23" t="str">
        <f>IF(A60="","",IFERROR(INDEX(Ввод!$B$12:$B$71,MATCH(A60,Ввод!$D$12:$D$71,1)),""))</f>
        <v/>
      </c>
      <c r="C60" t="str">
        <f t="shared" si="0"/>
        <v/>
      </c>
      <c r="D60" t="str">
        <f>IF(A60="","",SUMIFS(Акты!$D$5:$D$16,Акты!$E$5:$E$16,"&lt;="&amp;A60)-SUMIFS(Оплаты!$B$6:$B$505,Оплаты!$A$6:$A$505,"&lt;"&amp;A60,Оплаты!$D$6:$D$505,"&lt;&gt;"))</f>
        <v/>
      </c>
      <c r="E60" t="str">
        <f>IF(A60="","",IF(SUMPRODUCT((Ввод!$F$12:$F$31&lt;&gt;"")*(Ввод!$F$12:$F$31&lt;=A60)*(Ввод!$G$12:$G$31&gt;=A60))&gt;0,1,0))</f>
        <v/>
      </c>
      <c r="G60" t="str">
        <f t="shared" si="1"/>
        <v/>
      </c>
      <c r="I60">
        <v>55</v>
      </c>
      <c r="J60" s="24">
        <f>IFERROR(INDEX('По дням'!$A$2:$A$4000,MATCH(55,'По дням'!$G$2:$G$4000,0)),0)</f>
        <v>0</v>
      </c>
      <c r="K60" s="24">
        <f>IF(J60=0,0,J60+COUNTIF('По дням'!$G$2:$G$4000,55)-1)</f>
        <v>0</v>
      </c>
      <c r="L60" s="25">
        <f>IF(J60=0,0,N(INDEX('По дням'!$B$2:$B$4000,MATCH(55,'По дням'!$G$2:$G$4000,0))))</f>
        <v>0</v>
      </c>
      <c r="M60" s="26">
        <f>IF(J60=0,1,N(INDEX('По дням'!$C$2:$C$4000,MATCH(55,'По дням'!$G$2:$G$4000,0))))</f>
        <v>1</v>
      </c>
      <c r="N60" s="27">
        <f>IF(J60=0,0,N(INDEX('По дням'!$E$2:$E$4000,MATCH(55,'По дням'!$G$2:$G$4000,0))))</f>
        <v>0</v>
      </c>
    </row>
    <row r="61" spans="1:14" x14ac:dyDescent="0.3">
      <c r="A61" s="21" t="str">
        <f>IF(A60="","",IF(A60+1&gt;Ввод!$B$4,"",A60+1))</f>
        <v/>
      </c>
      <c r="B61" s="23" t="str">
        <f>IF(A61="","",IFERROR(INDEX(Ввод!$B$12:$B$71,MATCH(A61,Ввод!$D$12:$D$71,1)),""))</f>
        <v/>
      </c>
      <c r="C61" t="str">
        <f t="shared" si="0"/>
        <v/>
      </c>
      <c r="D61" t="str">
        <f>IF(A61="","",SUMIFS(Акты!$D$5:$D$16,Акты!$E$5:$E$16,"&lt;="&amp;A61)-SUMIFS(Оплаты!$B$6:$B$505,Оплаты!$A$6:$A$505,"&lt;"&amp;A61,Оплаты!$D$6:$D$505,"&lt;&gt;"))</f>
        <v/>
      </c>
      <c r="E61" t="str">
        <f>IF(A61="","",IF(SUMPRODUCT((Ввод!$F$12:$F$31&lt;&gt;"")*(Ввод!$F$12:$F$31&lt;=A61)*(Ввод!$G$12:$G$31&gt;=A61))&gt;0,1,0))</f>
        <v/>
      </c>
      <c r="G61" t="str">
        <f t="shared" si="1"/>
        <v/>
      </c>
      <c r="I61">
        <v>56</v>
      </c>
      <c r="J61" s="24">
        <f>IFERROR(INDEX('По дням'!$A$2:$A$4000,MATCH(56,'По дням'!$G$2:$G$4000,0)),0)</f>
        <v>0</v>
      </c>
      <c r="K61" s="24">
        <f>IF(J61=0,0,J61+COUNTIF('По дням'!$G$2:$G$4000,56)-1)</f>
        <v>0</v>
      </c>
      <c r="L61" s="25">
        <f>IF(J61=0,0,N(INDEX('По дням'!$B$2:$B$4000,MATCH(56,'По дням'!$G$2:$G$4000,0))))</f>
        <v>0</v>
      </c>
      <c r="M61" s="26">
        <f>IF(J61=0,1,N(INDEX('По дням'!$C$2:$C$4000,MATCH(56,'По дням'!$G$2:$G$4000,0))))</f>
        <v>1</v>
      </c>
      <c r="N61" s="27">
        <f>IF(J61=0,0,N(INDEX('По дням'!$E$2:$E$4000,MATCH(56,'По дням'!$G$2:$G$4000,0))))</f>
        <v>0</v>
      </c>
    </row>
    <row r="62" spans="1:14" x14ac:dyDescent="0.3">
      <c r="A62" s="21" t="str">
        <f>IF(A61="","",IF(A61+1&gt;Ввод!$B$4,"",A61+1))</f>
        <v/>
      </c>
      <c r="B62" s="23" t="str">
        <f>IF(A62="","",IFERROR(INDEX(Ввод!$B$12:$B$71,MATCH(A62,Ввод!$D$12:$D$71,1)),""))</f>
        <v/>
      </c>
      <c r="C62" t="str">
        <f t="shared" si="0"/>
        <v/>
      </c>
      <c r="D62" t="str">
        <f>IF(A62="","",SUMIFS(Акты!$D$5:$D$16,Акты!$E$5:$E$16,"&lt;="&amp;A62)-SUMIFS(Оплаты!$B$6:$B$505,Оплаты!$A$6:$A$505,"&lt;"&amp;A62,Оплаты!$D$6:$D$505,"&lt;&gt;"))</f>
        <v/>
      </c>
      <c r="E62" t="str">
        <f>IF(A62="","",IF(SUMPRODUCT((Ввод!$F$12:$F$31&lt;&gt;"")*(Ввод!$F$12:$F$31&lt;=A62)*(Ввод!$G$12:$G$31&gt;=A62))&gt;0,1,0))</f>
        <v/>
      </c>
      <c r="G62" t="str">
        <f t="shared" si="1"/>
        <v/>
      </c>
      <c r="I62">
        <v>57</v>
      </c>
      <c r="J62" s="24">
        <f>IFERROR(INDEX('По дням'!$A$2:$A$4000,MATCH(57,'По дням'!$G$2:$G$4000,0)),0)</f>
        <v>0</v>
      </c>
      <c r="K62" s="24">
        <f>IF(J62=0,0,J62+COUNTIF('По дням'!$G$2:$G$4000,57)-1)</f>
        <v>0</v>
      </c>
      <c r="L62" s="25">
        <f>IF(J62=0,0,N(INDEX('По дням'!$B$2:$B$4000,MATCH(57,'По дням'!$G$2:$G$4000,0))))</f>
        <v>0</v>
      </c>
      <c r="M62" s="26">
        <f>IF(J62=0,1,N(INDEX('По дням'!$C$2:$C$4000,MATCH(57,'По дням'!$G$2:$G$4000,0))))</f>
        <v>1</v>
      </c>
      <c r="N62" s="27">
        <f>IF(J62=0,0,N(INDEX('По дням'!$E$2:$E$4000,MATCH(57,'По дням'!$G$2:$G$4000,0))))</f>
        <v>0</v>
      </c>
    </row>
    <row r="63" spans="1:14" x14ac:dyDescent="0.3">
      <c r="A63" s="21" t="str">
        <f>IF(A62="","",IF(A62+1&gt;Ввод!$B$4,"",A62+1))</f>
        <v/>
      </c>
      <c r="B63" s="23" t="str">
        <f>IF(A63="","",IFERROR(INDEX(Ввод!$B$12:$B$71,MATCH(A63,Ввод!$D$12:$D$71,1)),""))</f>
        <v/>
      </c>
      <c r="C63" t="str">
        <f t="shared" si="0"/>
        <v/>
      </c>
      <c r="D63" t="str">
        <f>IF(A63="","",SUMIFS(Акты!$D$5:$D$16,Акты!$E$5:$E$16,"&lt;="&amp;A63)-SUMIFS(Оплаты!$B$6:$B$505,Оплаты!$A$6:$A$505,"&lt;"&amp;A63,Оплаты!$D$6:$D$505,"&lt;&gt;"))</f>
        <v/>
      </c>
      <c r="E63" t="str">
        <f>IF(A63="","",IF(SUMPRODUCT((Ввод!$F$12:$F$31&lt;&gt;"")*(Ввод!$F$12:$F$31&lt;=A63)*(Ввод!$G$12:$G$31&gt;=A63))&gt;0,1,0))</f>
        <v/>
      </c>
      <c r="G63" t="str">
        <f t="shared" si="1"/>
        <v/>
      </c>
      <c r="I63">
        <v>58</v>
      </c>
      <c r="J63" s="24">
        <f>IFERROR(INDEX('По дням'!$A$2:$A$4000,MATCH(58,'По дням'!$G$2:$G$4000,0)),0)</f>
        <v>0</v>
      </c>
      <c r="K63" s="24">
        <f>IF(J63=0,0,J63+COUNTIF('По дням'!$G$2:$G$4000,58)-1)</f>
        <v>0</v>
      </c>
      <c r="L63" s="25">
        <f>IF(J63=0,0,N(INDEX('По дням'!$B$2:$B$4000,MATCH(58,'По дням'!$G$2:$G$4000,0))))</f>
        <v>0</v>
      </c>
      <c r="M63" s="26">
        <f>IF(J63=0,1,N(INDEX('По дням'!$C$2:$C$4000,MATCH(58,'По дням'!$G$2:$G$4000,0))))</f>
        <v>1</v>
      </c>
      <c r="N63" s="27">
        <f>IF(J63=0,0,N(INDEX('По дням'!$E$2:$E$4000,MATCH(58,'По дням'!$G$2:$G$4000,0))))</f>
        <v>0</v>
      </c>
    </row>
    <row r="64" spans="1:14" x14ac:dyDescent="0.3">
      <c r="A64" s="21" t="str">
        <f>IF(A63="","",IF(A63+1&gt;Ввод!$B$4,"",A63+1))</f>
        <v/>
      </c>
      <c r="B64" s="23" t="str">
        <f>IF(A64="","",IFERROR(INDEX(Ввод!$B$12:$B$71,MATCH(A64,Ввод!$D$12:$D$71,1)),""))</f>
        <v/>
      </c>
      <c r="C64" t="str">
        <f t="shared" si="0"/>
        <v/>
      </c>
      <c r="D64" t="str">
        <f>IF(A64="","",SUMIFS(Акты!$D$5:$D$16,Акты!$E$5:$E$16,"&lt;="&amp;A64)-SUMIFS(Оплаты!$B$6:$B$505,Оплаты!$A$6:$A$505,"&lt;"&amp;A64,Оплаты!$D$6:$D$505,"&lt;&gt;"))</f>
        <v/>
      </c>
      <c r="E64" t="str">
        <f>IF(A64="","",IF(SUMPRODUCT((Ввод!$F$12:$F$31&lt;&gt;"")*(Ввод!$F$12:$F$31&lt;=A64)*(Ввод!$G$12:$G$31&gt;=A64))&gt;0,1,0))</f>
        <v/>
      </c>
      <c r="G64" t="str">
        <f t="shared" si="1"/>
        <v/>
      </c>
      <c r="I64">
        <v>59</v>
      </c>
      <c r="J64" s="24">
        <f>IFERROR(INDEX('По дням'!$A$2:$A$4000,MATCH(59,'По дням'!$G$2:$G$4000,0)),0)</f>
        <v>0</v>
      </c>
      <c r="K64" s="24">
        <f>IF(J64=0,0,J64+COUNTIF('По дням'!$G$2:$G$4000,59)-1)</f>
        <v>0</v>
      </c>
      <c r="L64" s="25">
        <f>IF(J64=0,0,N(INDEX('По дням'!$B$2:$B$4000,MATCH(59,'По дням'!$G$2:$G$4000,0))))</f>
        <v>0</v>
      </c>
      <c r="M64" s="26">
        <f>IF(J64=0,1,N(INDEX('По дням'!$C$2:$C$4000,MATCH(59,'По дням'!$G$2:$G$4000,0))))</f>
        <v>1</v>
      </c>
      <c r="N64" s="27">
        <f>IF(J64=0,0,N(INDEX('По дням'!$E$2:$E$4000,MATCH(59,'По дням'!$G$2:$G$4000,0))))</f>
        <v>0</v>
      </c>
    </row>
    <row r="65" spans="1:14" x14ac:dyDescent="0.3">
      <c r="A65" s="21" t="str">
        <f>IF(A64="","",IF(A64+1&gt;Ввод!$B$4,"",A64+1))</f>
        <v/>
      </c>
      <c r="B65" s="23" t="str">
        <f>IF(A65="","",IFERROR(INDEX(Ввод!$B$12:$B$71,MATCH(A65,Ввод!$D$12:$D$71,1)),""))</f>
        <v/>
      </c>
      <c r="C65" t="str">
        <f t="shared" si="0"/>
        <v/>
      </c>
      <c r="D65" t="str">
        <f>IF(A65="","",SUMIFS(Акты!$D$5:$D$16,Акты!$E$5:$E$16,"&lt;="&amp;A65)-SUMIFS(Оплаты!$B$6:$B$505,Оплаты!$A$6:$A$505,"&lt;"&amp;A65,Оплаты!$D$6:$D$505,"&lt;&gt;"))</f>
        <v/>
      </c>
      <c r="E65" t="str">
        <f>IF(A65="","",IF(SUMPRODUCT((Ввод!$F$12:$F$31&lt;&gt;"")*(Ввод!$F$12:$F$31&lt;=A65)*(Ввод!$G$12:$G$31&gt;=A65))&gt;0,1,0))</f>
        <v/>
      </c>
      <c r="G65" t="str">
        <f t="shared" si="1"/>
        <v/>
      </c>
      <c r="I65">
        <v>60</v>
      </c>
      <c r="J65" s="24">
        <f>IFERROR(INDEX('По дням'!$A$2:$A$4000,MATCH(60,'По дням'!$G$2:$G$4000,0)),0)</f>
        <v>0</v>
      </c>
      <c r="K65" s="24">
        <f>IF(J65=0,0,J65+COUNTIF('По дням'!$G$2:$G$4000,60)-1)</f>
        <v>0</v>
      </c>
      <c r="L65" s="25">
        <f>IF(J65=0,0,N(INDEX('По дням'!$B$2:$B$4000,MATCH(60,'По дням'!$G$2:$G$4000,0))))</f>
        <v>0</v>
      </c>
      <c r="M65" s="26">
        <f>IF(J65=0,1,N(INDEX('По дням'!$C$2:$C$4000,MATCH(60,'По дням'!$G$2:$G$4000,0))))</f>
        <v>1</v>
      </c>
      <c r="N65" s="27">
        <f>IF(J65=0,0,N(INDEX('По дням'!$E$2:$E$4000,MATCH(60,'По дням'!$G$2:$G$4000,0))))</f>
        <v>0</v>
      </c>
    </row>
    <row r="66" spans="1:14" x14ac:dyDescent="0.3">
      <c r="A66" s="21" t="str">
        <f>IF(A65="","",IF(A65+1&gt;Ввод!$B$4,"",A65+1))</f>
        <v/>
      </c>
      <c r="B66" s="23" t="str">
        <f>IF(A66="","",IFERROR(INDEX(Ввод!$B$12:$B$71,MATCH(A66,Ввод!$D$12:$D$71,1)),""))</f>
        <v/>
      </c>
      <c r="C66" t="str">
        <f t="shared" ref="C66:C129" si="2">IF(A66="","",DATE(YEAR(A66),12,31)-DATE(YEAR(A66),1,1)+1)</f>
        <v/>
      </c>
      <c r="D66" t="str">
        <f>IF(A66="","",SUMIFS(Акты!$D$5:$D$16,Акты!$E$5:$E$16,"&lt;="&amp;A66)-SUMIFS(Оплаты!$B$6:$B$505,Оплаты!$A$6:$A$505,"&lt;"&amp;A66,Оплаты!$D$6:$D$505,"&lt;&gt;"))</f>
        <v/>
      </c>
      <c r="E66" t="str">
        <f>IF(A66="","",IF(SUMPRODUCT((Ввод!$F$12:$F$31&lt;&gt;"")*(Ввод!$F$12:$F$31&lt;=A66)*(Ввод!$G$12:$G$31&gt;=A66))&gt;0,1,0))</f>
        <v/>
      </c>
      <c r="G66" t="str">
        <f t="shared" si="1"/>
        <v/>
      </c>
      <c r="I66">
        <v>61</v>
      </c>
      <c r="J66" s="24">
        <f>IFERROR(INDEX('По дням'!$A$2:$A$4000,MATCH(61,'По дням'!$G$2:$G$4000,0)),0)</f>
        <v>0</v>
      </c>
      <c r="K66" s="24">
        <f>IF(J66=0,0,J66+COUNTIF('По дням'!$G$2:$G$4000,61)-1)</f>
        <v>0</v>
      </c>
      <c r="L66" s="25">
        <f>IF(J66=0,0,N(INDEX('По дням'!$B$2:$B$4000,MATCH(61,'По дням'!$G$2:$G$4000,0))))</f>
        <v>0</v>
      </c>
      <c r="M66" s="26">
        <f>IF(J66=0,1,N(INDEX('По дням'!$C$2:$C$4000,MATCH(61,'По дням'!$G$2:$G$4000,0))))</f>
        <v>1</v>
      </c>
      <c r="N66" s="27">
        <f>IF(J66=0,0,N(INDEX('По дням'!$E$2:$E$4000,MATCH(61,'По дням'!$G$2:$G$4000,0))))</f>
        <v>0</v>
      </c>
    </row>
    <row r="67" spans="1:14" x14ac:dyDescent="0.3">
      <c r="A67" s="21" t="str">
        <f>IF(A66="","",IF(A66+1&gt;Ввод!$B$4,"",A66+1))</f>
        <v/>
      </c>
      <c r="B67" s="23" t="str">
        <f>IF(A67="","",IFERROR(INDEX(Ввод!$B$12:$B$71,MATCH(A67,Ввод!$D$12:$D$71,1)),""))</f>
        <v/>
      </c>
      <c r="C67" t="str">
        <f t="shared" si="2"/>
        <v/>
      </c>
      <c r="D67" t="str">
        <f>IF(A67="","",SUMIFS(Акты!$D$5:$D$16,Акты!$E$5:$E$16,"&lt;="&amp;A67)-SUMIFS(Оплаты!$B$6:$B$505,Оплаты!$A$6:$A$505,"&lt;"&amp;A67,Оплаты!$D$6:$D$505,"&lt;&gt;"))</f>
        <v/>
      </c>
      <c r="E67" t="str">
        <f>IF(A67="","",IF(SUMPRODUCT((Ввод!$F$12:$F$31&lt;&gt;"")*(Ввод!$F$12:$F$31&lt;=A67)*(Ввод!$G$12:$G$31&gt;=A67))&gt;0,1,0))</f>
        <v/>
      </c>
      <c r="G67" t="str">
        <f t="shared" ref="G67:G130" si="3">IF(A67="","",IF(OR(B67&lt;&gt;B66,C67&lt;&gt;C66,E67&lt;&gt;E66),G66+1,G66))</f>
        <v/>
      </c>
      <c r="I67">
        <v>62</v>
      </c>
      <c r="J67" s="24">
        <f>IFERROR(INDEX('По дням'!$A$2:$A$4000,MATCH(62,'По дням'!$G$2:$G$4000,0)),0)</f>
        <v>0</v>
      </c>
      <c r="K67" s="24">
        <f>IF(J67=0,0,J67+COUNTIF('По дням'!$G$2:$G$4000,62)-1)</f>
        <v>0</v>
      </c>
      <c r="L67" s="25">
        <f>IF(J67=0,0,N(INDEX('По дням'!$B$2:$B$4000,MATCH(62,'По дням'!$G$2:$G$4000,0))))</f>
        <v>0</v>
      </c>
      <c r="M67" s="26">
        <f>IF(J67=0,1,N(INDEX('По дням'!$C$2:$C$4000,MATCH(62,'По дням'!$G$2:$G$4000,0))))</f>
        <v>1</v>
      </c>
      <c r="N67" s="27">
        <f>IF(J67=0,0,N(INDEX('По дням'!$E$2:$E$4000,MATCH(62,'По дням'!$G$2:$G$4000,0))))</f>
        <v>0</v>
      </c>
    </row>
    <row r="68" spans="1:14" x14ac:dyDescent="0.3">
      <c r="A68" s="21" t="str">
        <f>IF(A67="","",IF(A67+1&gt;Ввод!$B$4,"",A67+1))</f>
        <v/>
      </c>
      <c r="B68" s="23" t="str">
        <f>IF(A68="","",IFERROR(INDEX(Ввод!$B$12:$B$71,MATCH(A68,Ввод!$D$12:$D$71,1)),""))</f>
        <v/>
      </c>
      <c r="C68" t="str">
        <f t="shared" si="2"/>
        <v/>
      </c>
      <c r="D68" t="str">
        <f>IF(A68="","",SUMIFS(Акты!$D$5:$D$16,Акты!$E$5:$E$16,"&lt;="&amp;A68)-SUMIFS(Оплаты!$B$6:$B$505,Оплаты!$A$6:$A$505,"&lt;"&amp;A68,Оплаты!$D$6:$D$505,"&lt;&gt;"))</f>
        <v/>
      </c>
      <c r="E68" t="str">
        <f>IF(A68="","",IF(SUMPRODUCT((Ввод!$F$12:$F$31&lt;&gt;"")*(Ввод!$F$12:$F$31&lt;=A68)*(Ввод!$G$12:$G$31&gt;=A68))&gt;0,1,0))</f>
        <v/>
      </c>
      <c r="G68" t="str">
        <f t="shared" si="3"/>
        <v/>
      </c>
      <c r="I68">
        <v>63</v>
      </c>
      <c r="J68" s="24">
        <f>IFERROR(INDEX('По дням'!$A$2:$A$4000,MATCH(63,'По дням'!$G$2:$G$4000,0)),0)</f>
        <v>0</v>
      </c>
      <c r="K68" s="24">
        <f>IF(J68=0,0,J68+COUNTIF('По дням'!$G$2:$G$4000,63)-1)</f>
        <v>0</v>
      </c>
      <c r="L68" s="25">
        <f>IF(J68=0,0,N(INDEX('По дням'!$B$2:$B$4000,MATCH(63,'По дням'!$G$2:$G$4000,0))))</f>
        <v>0</v>
      </c>
      <c r="M68" s="26">
        <f>IF(J68=0,1,N(INDEX('По дням'!$C$2:$C$4000,MATCH(63,'По дням'!$G$2:$G$4000,0))))</f>
        <v>1</v>
      </c>
      <c r="N68" s="27">
        <f>IF(J68=0,0,N(INDEX('По дням'!$E$2:$E$4000,MATCH(63,'По дням'!$G$2:$G$4000,0))))</f>
        <v>0</v>
      </c>
    </row>
    <row r="69" spans="1:14" x14ac:dyDescent="0.3">
      <c r="A69" s="21" t="str">
        <f>IF(A68="","",IF(A68+1&gt;Ввод!$B$4,"",A68+1))</f>
        <v/>
      </c>
      <c r="B69" s="23" t="str">
        <f>IF(A69="","",IFERROR(INDEX(Ввод!$B$12:$B$71,MATCH(A69,Ввод!$D$12:$D$71,1)),""))</f>
        <v/>
      </c>
      <c r="C69" t="str">
        <f t="shared" si="2"/>
        <v/>
      </c>
      <c r="D69" t="str">
        <f>IF(A69="","",SUMIFS(Акты!$D$5:$D$16,Акты!$E$5:$E$16,"&lt;="&amp;A69)-SUMIFS(Оплаты!$B$6:$B$505,Оплаты!$A$6:$A$505,"&lt;"&amp;A69,Оплаты!$D$6:$D$505,"&lt;&gt;"))</f>
        <v/>
      </c>
      <c r="E69" t="str">
        <f>IF(A69="","",IF(SUMPRODUCT((Ввод!$F$12:$F$31&lt;&gt;"")*(Ввод!$F$12:$F$31&lt;=A69)*(Ввод!$G$12:$G$31&gt;=A69))&gt;0,1,0))</f>
        <v/>
      </c>
      <c r="G69" t="str">
        <f t="shared" si="3"/>
        <v/>
      </c>
      <c r="I69">
        <v>64</v>
      </c>
      <c r="J69" s="24">
        <f>IFERROR(INDEX('По дням'!$A$2:$A$4000,MATCH(64,'По дням'!$G$2:$G$4000,0)),0)</f>
        <v>0</v>
      </c>
      <c r="K69" s="24">
        <f>IF(J69=0,0,J69+COUNTIF('По дням'!$G$2:$G$4000,64)-1)</f>
        <v>0</v>
      </c>
      <c r="L69" s="25">
        <f>IF(J69=0,0,N(INDEX('По дням'!$B$2:$B$4000,MATCH(64,'По дням'!$G$2:$G$4000,0))))</f>
        <v>0</v>
      </c>
      <c r="M69" s="26">
        <f>IF(J69=0,1,N(INDEX('По дням'!$C$2:$C$4000,MATCH(64,'По дням'!$G$2:$G$4000,0))))</f>
        <v>1</v>
      </c>
      <c r="N69" s="27">
        <f>IF(J69=0,0,N(INDEX('По дням'!$E$2:$E$4000,MATCH(64,'По дням'!$G$2:$G$4000,0))))</f>
        <v>0</v>
      </c>
    </row>
    <row r="70" spans="1:14" x14ac:dyDescent="0.3">
      <c r="A70" s="21" t="str">
        <f>IF(A69="","",IF(A69+1&gt;Ввод!$B$4,"",A69+1))</f>
        <v/>
      </c>
      <c r="B70" s="23" t="str">
        <f>IF(A70="","",IFERROR(INDEX(Ввод!$B$12:$B$71,MATCH(A70,Ввод!$D$12:$D$71,1)),""))</f>
        <v/>
      </c>
      <c r="C70" t="str">
        <f t="shared" si="2"/>
        <v/>
      </c>
      <c r="D70" t="str">
        <f>IF(A70="","",SUMIFS(Акты!$D$5:$D$16,Акты!$E$5:$E$16,"&lt;="&amp;A70)-SUMIFS(Оплаты!$B$6:$B$505,Оплаты!$A$6:$A$505,"&lt;"&amp;A70,Оплаты!$D$6:$D$505,"&lt;&gt;"))</f>
        <v/>
      </c>
      <c r="E70" t="str">
        <f>IF(A70="","",IF(SUMPRODUCT((Ввод!$F$12:$F$31&lt;&gt;"")*(Ввод!$F$12:$F$31&lt;=A70)*(Ввод!$G$12:$G$31&gt;=A70))&gt;0,1,0))</f>
        <v/>
      </c>
      <c r="G70" t="str">
        <f t="shared" si="3"/>
        <v/>
      </c>
      <c r="I70">
        <v>65</v>
      </c>
      <c r="J70" s="24">
        <f>IFERROR(INDEX('По дням'!$A$2:$A$4000,MATCH(65,'По дням'!$G$2:$G$4000,0)),0)</f>
        <v>0</v>
      </c>
      <c r="K70" s="24">
        <f>IF(J70=0,0,J70+COUNTIF('По дням'!$G$2:$G$4000,65)-1)</f>
        <v>0</v>
      </c>
      <c r="L70" s="25">
        <f>IF(J70=0,0,N(INDEX('По дням'!$B$2:$B$4000,MATCH(65,'По дням'!$G$2:$G$4000,0))))</f>
        <v>0</v>
      </c>
      <c r="M70" s="26">
        <f>IF(J70=0,1,N(INDEX('По дням'!$C$2:$C$4000,MATCH(65,'По дням'!$G$2:$G$4000,0))))</f>
        <v>1</v>
      </c>
      <c r="N70" s="27">
        <f>IF(J70=0,0,N(INDEX('По дням'!$E$2:$E$4000,MATCH(65,'По дням'!$G$2:$G$4000,0))))</f>
        <v>0</v>
      </c>
    </row>
    <row r="71" spans="1:14" x14ac:dyDescent="0.3">
      <c r="A71" s="21" t="str">
        <f>IF(A70="","",IF(A70+1&gt;Ввод!$B$4,"",A70+1))</f>
        <v/>
      </c>
      <c r="B71" s="23" t="str">
        <f>IF(A71="","",IFERROR(INDEX(Ввод!$B$12:$B$71,MATCH(A71,Ввод!$D$12:$D$71,1)),""))</f>
        <v/>
      </c>
      <c r="C71" t="str">
        <f t="shared" si="2"/>
        <v/>
      </c>
      <c r="D71" t="str">
        <f>IF(A71="","",SUMIFS(Акты!$D$5:$D$16,Акты!$E$5:$E$16,"&lt;="&amp;A71)-SUMIFS(Оплаты!$B$6:$B$505,Оплаты!$A$6:$A$505,"&lt;"&amp;A71,Оплаты!$D$6:$D$505,"&lt;&gt;"))</f>
        <v/>
      </c>
      <c r="E71" t="str">
        <f>IF(A71="","",IF(SUMPRODUCT((Ввод!$F$12:$F$31&lt;&gt;"")*(Ввод!$F$12:$F$31&lt;=A71)*(Ввод!$G$12:$G$31&gt;=A71))&gt;0,1,0))</f>
        <v/>
      </c>
      <c r="G71" t="str">
        <f t="shared" si="3"/>
        <v/>
      </c>
      <c r="I71">
        <v>66</v>
      </c>
      <c r="J71" s="24">
        <f>IFERROR(INDEX('По дням'!$A$2:$A$4000,MATCH(66,'По дням'!$G$2:$G$4000,0)),0)</f>
        <v>0</v>
      </c>
      <c r="K71" s="24">
        <f>IF(J71=0,0,J71+COUNTIF('По дням'!$G$2:$G$4000,66)-1)</f>
        <v>0</v>
      </c>
      <c r="L71" s="25">
        <f>IF(J71=0,0,N(INDEX('По дням'!$B$2:$B$4000,MATCH(66,'По дням'!$G$2:$G$4000,0))))</f>
        <v>0</v>
      </c>
      <c r="M71" s="26">
        <f>IF(J71=0,1,N(INDEX('По дням'!$C$2:$C$4000,MATCH(66,'По дням'!$G$2:$G$4000,0))))</f>
        <v>1</v>
      </c>
      <c r="N71" s="27">
        <f>IF(J71=0,0,N(INDEX('По дням'!$E$2:$E$4000,MATCH(66,'По дням'!$G$2:$G$4000,0))))</f>
        <v>0</v>
      </c>
    </row>
    <row r="72" spans="1:14" x14ac:dyDescent="0.3">
      <c r="A72" s="21" t="str">
        <f>IF(A71="","",IF(A71+1&gt;Ввод!$B$4,"",A71+1))</f>
        <v/>
      </c>
      <c r="B72" s="23" t="str">
        <f>IF(A72="","",IFERROR(INDEX(Ввод!$B$12:$B$71,MATCH(A72,Ввод!$D$12:$D$71,1)),""))</f>
        <v/>
      </c>
      <c r="C72" t="str">
        <f t="shared" si="2"/>
        <v/>
      </c>
      <c r="D72" t="str">
        <f>IF(A72="","",SUMIFS(Акты!$D$5:$D$16,Акты!$E$5:$E$16,"&lt;="&amp;A72)-SUMIFS(Оплаты!$B$6:$B$505,Оплаты!$A$6:$A$505,"&lt;"&amp;A72,Оплаты!$D$6:$D$505,"&lt;&gt;"))</f>
        <v/>
      </c>
      <c r="E72" t="str">
        <f>IF(A72="","",IF(SUMPRODUCT((Ввод!$F$12:$F$31&lt;&gt;"")*(Ввод!$F$12:$F$31&lt;=A72)*(Ввод!$G$12:$G$31&gt;=A72))&gt;0,1,0))</f>
        <v/>
      </c>
      <c r="G72" t="str">
        <f t="shared" si="3"/>
        <v/>
      </c>
      <c r="I72">
        <v>67</v>
      </c>
      <c r="J72" s="24">
        <f>IFERROR(INDEX('По дням'!$A$2:$A$4000,MATCH(67,'По дням'!$G$2:$G$4000,0)),0)</f>
        <v>0</v>
      </c>
      <c r="K72" s="24">
        <f>IF(J72=0,0,J72+COUNTIF('По дням'!$G$2:$G$4000,67)-1)</f>
        <v>0</v>
      </c>
      <c r="L72" s="25">
        <f>IF(J72=0,0,N(INDEX('По дням'!$B$2:$B$4000,MATCH(67,'По дням'!$G$2:$G$4000,0))))</f>
        <v>0</v>
      </c>
      <c r="M72" s="26">
        <f>IF(J72=0,1,N(INDEX('По дням'!$C$2:$C$4000,MATCH(67,'По дням'!$G$2:$G$4000,0))))</f>
        <v>1</v>
      </c>
      <c r="N72" s="27">
        <f>IF(J72=0,0,N(INDEX('По дням'!$E$2:$E$4000,MATCH(67,'По дням'!$G$2:$G$4000,0))))</f>
        <v>0</v>
      </c>
    </row>
    <row r="73" spans="1:14" x14ac:dyDescent="0.3">
      <c r="A73" s="21" t="str">
        <f>IF(A72="","",IF(A72+1&gt;Ввод!$B$4,"",A72+1))</f>
        <v/>
      </c>
      <c r="B73" s="23" t="str">
        <f>IF(A73="","",IFERROR(INDEX(Ввод!$B$12:$B$71,MATCH(A73,Ввод!$D$12:$D$71,1)),""))</f>
        <v/>
      </c>
      <c r="C73" t="str">
        <f t="shared" si="2"/>
        <v/>
      </c>
      <c r="D73" t="str">
        <f>IF(A73="","",SUMIFS(Акты!$D$5:$D$16,Акты!$E$5:$E$16,"&lt;="&amp;A73)-SUMIFS(Оплаты!$B$6:$B$505,Оплаты!$A$6:$A$505,"&lt;"&amp;A73,Оплаты!$D$6:$D$505,"&lt;&gt;"))</f>
        <v/>
      </c>
      <c r="E73" t="str">
        <f>IF(A73="","",IF(SUMPRODUCT((Ввод!$F$12:$F$31&lt;&gt;"")*(Ввод!$F$12:$F$31&lt;=A73)*(Ввод!$G$12:$G$31&gt;=A73))&gt;0,1,0))</f>
        <v/>
      </c>
      <c r="G73" t="str">
        <f t="shared" si="3"/>
        <v/>
      </c>
      <c r="I73">
        <v>68</v>
      </c>
      <c r="J73" s="24">
        <f>IFERROR(INDEX('По дням'!$A$2:$A$4000,MATCH(68,'По дням'!$G$2:$G$4000,0)),0)</f>
        <v>0</v>
      </c>
      <c r="K73" s="24">
        <f>IF(J73=0,0,J73+COUNTIF('По дням'!$G$2:$G$4000,68)-1)</f>
        <v>0</v>
      </c>
      <c r="L73" s="25">
        <f>IF(J73=0,0,N(INDEX('По дням'!$B$2:$B$4000,MATCH(68,'По дням'!$G$2:$G$4000,0))))</f>
        <v>0</v>
      </c>
      <c r="M73" s="26">
        <f>IF(J73=0,1,N(INDEX('По дням'!$C$2:$C$4000,MATCH(68,'По дням'!$G$2:$G$4000,0))))</f>
        <v>1</v>
      </c>
      <c r="N73" s="27">
        <f>IF(J73=0,0,N(INDEX('По дням'!$E$2:$E$4000,MATCH(68,'По дням'!$G$2:$G$4000,0))))</f>
        <v>0</v>
      </c>
    </row>
    <row r="74" spans="1:14" x14ac:dyDescent="0.3">
      <c r="A74" s="21" t="str">
        <f>IF(A73="","",IF(A73+1&gt;Ввод!$B$4,"",A73+1))</f>
        <v/>
      </c>
      <c r="B74" s="23" t="str">
        <f>IF(A74="","",IFERROR(INDEX(Ввод!$B$12:$B$71,MATCH(A74,Ввод!$D$12:$D$71,1)),""))</f>
        <v/>
      </c>
      <c r="C74" t="str">
        <f t="shared" si="2"/>
        <v/>
      </c>
      <c r="D74" t="str">
        <f>IF(A74="","",SUMIFS(Акты!$D$5:$D$16,Акты!$E$5:$E$16,"&lt;="&amp;A74)-SUMIFS(Оплаты!$B$6:$B$505,Оплаты!$A$6:$A$505,"&lt;"&amp;A74,Оплаты!$D$6:$D$505,"&lt;&gt;"))</f>
        <v/>
      </c>
      <c r="E74" t="str">
        <f>IF(A74="","",IF(SUMPRODUCT((Ввод!$F$12:$F$31&lt;&gt;"")*(Ввод!$F$12:$F$31&lt;=A74)*(Ввод!$G$12:$G$31&gt;=A74))&gt;0,1,0))</f>
        <v/>
      </c>
      <c r="G74" t="str">
        <f t="shared" si="3"/>
        <v/>
      </c>
      <c r="I74">
        <v>69</v>
      </c>
      <c r="J74" s="24">
        <f>IFERROR(INDEX('По дням'!$A$2:$A$4000,MATCH(69,'По дням'!$G$2:$G$4000,0)),0)</f>
        <v>0</v>
      </c>
      <c r="K74" s="24">
        <f>IF(J74=0,0,J74+COUNTIF('По дням'!$G$2:$G$4000,69)-1)</f>
        <v>0</v>
      </c>
      <c r="L74" s="25">
        <f>IF(J74=0,0,N(INDEX('По дням'!$B$2:$B$4000,MATCH(69,'По дням'!$G$2:$G$4000,0))))</f>
        <v>0</v>
      </c>
      <c r="M74" s="26">
        <f>IF(J74=0,1,N(INDEX('По дням'!$C$2:$C$4000,MATCH(69,'По дням'!$G$2:$G$4000,0))))</f>
        <v>1</v>
      </c>
      <c r="N74" s="27">
        <f>IF(J74=0,0,N(INDEX('По дням'!$E$2:$E$4000,MATCH(69,'По дням'!$G$2:$G$4000,0))))</f>
        <v>0</v>
      </c>
    </row>
    <row r="75" spans="1:14" x14ac:dyDescent="0.3">
      <c r="A75" s="21" t="str">
        <f>IF(A74="","",IF(A74+1&gt;Ввод!$B$4,"",A74+1))</f>
        <v/>
      </c>
      <c r="B75" s="23" t="str">
        <f>IF(A75="","",IFERROR(INDEX(Ввод!$B$12:$B$71,MATCH(A75,Ввод!$D$12:$D$71,1)),""))</f>
        <v/>
      </c>
      <c r="C75" t="str">
        <f t="shared" si="2"/>
        <v/>
      </c>
      <c r="D75" t="str">
        <f>IF(A75="","",SUMIFS(Акты!$D$5:$D$16,Акты!$E$5:$E$16,"&lt;="&amp;A75)-SUMIFS(Оплаты!$B$6:$B$505,Оплаты!$A$6:$A$505,"&lt;"&amp;A75,Оплаты!$D$6:$D$505,"&lt;&gt;"))</f>
        <v/>
      </c>
      <c r="E75" t="str">
        <f>IF(A75="","",IF(SUMPRODUCT((Ввод!$F$12:$F$31&lt;&gt;"")*(Ввод!$F$12:$F$31&lt;=A75)*(Ввод!$G$12:$G$31&gt;=A75))&gt;0,1,0))</f>
        <v/>
      </c>
      <c r="G75" t="str">
        <f t="shared" si="3"/>
        <v/>
      </c>
      <c r="I75">
        <v>70</v>
      </c>
      <c r="J75" s="24">
        <f>IFERROR(INDEX('По дням'!$A$2:$A$4000,MATCH(70,'По дням'!$G$2:$G$4000,0)),0)</f>
        <v>0</v>
      </c>
      <c r="K75" s="24">
        <f>IF(J75=0,0,J75+COUNTIF('По дням'!$G$2:$G$4000,70)-1)</f>
        <v>0</v>
      </c>
      <c r="L75" s="25">
        <f>IF(J75=0,0,N(INDEX('По дням'!$B$2:$B$4000,MATCH(70,'По дням'!$G$2:$G$4000,0))))</f>
        <v>0</v>
      </c>
      <c r="M75" s="26">
        <f>IF(J75=0,1,N(INDEX('По дням'!$C$2:$C$4000,MATCH(70,'По дням'!$G$2:$G$4000,0))))</f>
        <v>1</v>
      </c>
      <c r="N75" s="27">
        <f>IF(J75=0,0,N(INDEX('По дням'!$E$2:$E$4000,MATCH(70,'По дням'!$G$2:$G$4000,0))))</f>
        <v>0</v>
      </c>
    </row>
    <row r="76" spans="1:14" x14ac:dyDescent="0.3">
      <c r="A76" s="21" t="str">
        <f>IF(A75="","",IF(A75+1&gt;Ввод!$B$4,"",A75+1))</f>
        <v/>
      </c>
      <c r="B76" s="23" t="str">
        <f>IF(A76="","",IFERROR(INDEX(Ввод!$B$12:$B$71,MATCH(A76,Ввод!$D$12:$D$71,1)),""))</f>
        <v/>
      </c>
      <c r="C76" t="str">
        <f t="shared" si="2"/>
        <v/>
      </c>
      <c r="D76" t="str">
        <f>IF(A76="","",SUMIFS(Акты!$D$5:$D$16,Акты!$E$5:$E$16,"&lt;="&amp;A76)-SUMIFS(Оплаты!$B$6:$B$505,Оплаты!$A$6:$A$505,"&lt;"&amp;A76,Оплаты!$D$6:$D$505,"&lt;&gt;"))</f>
        <v/>
      </c>
      <c r="E76" t="str">
        <f>IF(A76="","",IF(SUMPRODUCT((Ввод!$F$12:$F$31&lt;&gt;"")*(Ввод!$F$12:$F$31&lt;=A76)*(Ввод!$G$12:$G$31&gt;=A76))&gt;0,1,0))</f>
        <v/>
      </c>
      <c r="G76" t="str">
        <f t="shared" si="3"/>
        <v/>
      </c>
      <c r="I76">
        <v>71</v>
      </c>
      <c r="J76" s="24">
        <f>IFERROR(INDEX('По дням'!$A$2:$A$4000,MATCH(71,'По дням'!$G$2:$G$4000,0)),0)</f>
        <v>0</v>
      </c>
      <c r="K76" s="24">
        <f>IF(J76=0,0,J76+COUNTIF('По дням'!$G$2:$G$4000,71)-1)</f>
        <v>0</v>
      </c>
      <c r="L76" s="25">
        <f>IF(J76=0,0,N(INDEX('По дням'!$B$2:$B$4000,MATCH(71,'По дням'!$G$2:$G$4000,0))))</f>
        <v>0</v>
      </c>
      <c r="M76" s="26">
        <f>IF(J76=0,1,N(INDEX('По дням'!$C$2:$C$4000,MATCH(71,'По дням'!$G$2:$G$4000,0))))</f>
        <v>1</v>
      </c>
      <c r="N76" s="27">
        <f>IF(J76=0,0,N(INDEX('По дням'!$E$2:$E$4000,MATCH(71,'По дням'!$G$2:$G$4000,0))))</f>
        <v>0</v>
      </c>
    </row>
    <row r="77" spans="1:14" x14ac:dyDescent="0.3">
      <c r="A77" s="21" t="str">
        <f>IF(A76="","",IF(A76+1&gt;Ввод!$B$4,"",A76+1))</f>
        <v/>
      </c>
      <c r="B77" s="23" t="str">
        <f>IF(A77="","",IFERROR(INDEX(Ввод!$B$12:$B$71,MATCH(A77,Ввод!$D$12:$D$71,1)),""))</f>
        <v/>
      </c>
      <c r="C77" t="str">
        <f t="shared" si="2"/>
        <v/>
      </c>
      <c r="D77" t="str">
        <f>IF(A77="","",SUMIFS(Акты!$D$5:$D$16,Акты!$E$5:$E$16,"&lt;="&amp;A77)-SUMIFS(Оплаты!$B$6:$B$505,Оплаты!$A$6:$A$505,"&lt;"&amp;A77,Оплаты!$D$6:$D$505,"&lt;&gt;"))</f>
        <v/>
      </c>
      <c r="E77" t="str">
        <f>IF(A77="","",IF(SUMPRODUCT((Ввод!$F$12:$F$31&lt;&gt;"")*(Ввод!$F$12:$F$31&lt;=A77)*(Ввод!$G$12:$G$31&gt;=A77))&gt;0,1,0))</f>
        <v/>
      </c>
      <c r="G77" t="str">
        <f t="shared" si="3"/>
        <v/>
      </c>
      <c r="I77">
        <v>72</v>
      </c>
      <c r="J77" s="24">
        <f>IFERROR(INDEX('По дням'!$A$2:$A$4000,MATCH(72,'По дням'!$G$2:$G$4000,0)),0)</f>
        <v>0</v>
      </c>
      <c r="K77" s="24">
        <f>IF(J77=0,0,J77+COUNTIF('По дням'!$G$2:$G$4000,72)-1)</f>
        <v>0</v>
      </c>
      <c r="L77" s="25">
        <f>IF(J77=0,0,N(INDEX('По дням'!$B$2:$B$4000,MATCH(72,'По дням'!$G$2:$G$4000,0))))</f>
        <v>0</v>
      </c>
      <c r="M77" s="26">
        <f>IF(J77=0,1,N(INDEX('По дням'!$C$2:$C$4000,MATCH(72,'По дням'!$G$2:$G$4000,0))))</f>
        <v>1</v>
      </c>
      <c r="N77" s="27">
        <f>IF(J77=0,0,N(INDEX('По дням'!$E$2:$E$4000,MATCH(72,'По дням'!$G$2:$G$4000,0))))</f>
        <v>0</v>
      </c>
    </row>
    <row r="78" spans="1:14" x14ac:dyDescent="0.3">
      <c r="A78" s="21" t="str">
        <f>IF(A77="","",IF(A77+1&gt;Ввод!$B$4,"",A77+1))</f>
        <v/>
      </c>
      <c r="B78" s="23" t="str">
        <f>IF(A78="","",IFERROR(INDEX(Ввод!$B$12:$B$71,MATCH(A78,Ввод!$D$12:$D$71,1)),""))</f>
        <v/>
      </c>
      <c r="C78" t="str">
        <f t="shared" si="2"/>
        <v/>
      </c>
      <c r="D78" t="str">
        <f>IF(A78="","",SUMIFS(Акты!$D$5:$D$16,Акты!$E$5:$E$16,"&lt;="&amp;A78)-SUMIFS(Оплаты!$B$6:$B$505,Оплаты!$A$6:$A$505,"&lt;"&amp;A78,Оплаты!$D$6:$D$505,"&lt;&gt;"))</f>
        <v/>
      </c>
      <c r="E78" t="str">
        <f>IF(A78="","",IF(SUMPRODUCT((Ввод!$F$12:$F$31&lt;&gt;"")*(Ввод!$F$12:$F$31&lt;=A78)*(Ввод!$G$12:$G$31&gt;=A78))&gt;0,1,0))</f>
        <v/>
      </c>
      <c r="G78" t="str">
        <f t="shared" si="3"/>
        <v/>
      </c>
      <c r="I78">
        <v>73</v>
      </c>
      <c r="J78" s="24">
        <f>IFERROR(INDEX('По дням'!$A$2:$A$4000,MATCH(73,'По дням'!$G$2:$G$4000,0)),0)</f>
        <v>0</v>
      </c>
      <c r="K78" s="24">
        <f>IF(J78=0,0,J78+COUNTIF('По дням'!$G$2:$G$4000,73)-1)</f>
        <v>0</v>
      </c>
      <c r="L78" s="25">
        <f>IF(J78=0,0,N(INDEX('По дням'!$B$2:$B$4000,MATCH(73,'По дням'!$G$2:$G$4000,0))))</f>
        <v>0</v>
      </c>
      <c r="M78" s="26">
        <f>IF(J78=0,1,N(INDEX('По дням'!$C$2:$C$4000,MATCH(73,'По дням'!$G$2:$G$4000,0))))</f>
        <v>1</v>
      </c>
      <c r="N78" s="27">
        <f>IF(J78=0,0,N(INDEX('По дням'!$E$2:$E$4000,MATCH(73,'По дням'!$G$2:$G$4000,0))))</f>
        <v>0</v>
      </c>
    </row>
    <row r="79" spans="1:14" x14ac:dyDescent="0.3">
      <c r="A79" s="21" t="str">
        <f>IF(A78="","",IF(A78+1&gt;Ввод!$B$4,"",A78+1))</f>
        <v/>
      </c>
      <c r="B79" s="23" t="str">
        <f>IF(A79="","",IFERROR(INDEX(Ввод!$B$12:$B$71,MATCH(A79,Ввод!$D$12:$D$71,1)),""))</f>
        <v/>
      </c>
      <c r="C79" t="str">
        <f t="shared" si="2"/>
        <v/>
      </c>
      <c r="D79" t="str">
        <f>IF(A79="","",SUMIFS(Акты!$D$5:$D$16,Акты!$E$5:$E$16,"&lt;="&amp;A79)-SUMIFS(Оплаты!$B$6:$B$505,Оплаты!$A$6:$A$505,"&lt;"&amp;A79,Оплаты!$D$6:$D$505,"&lt;&gt;"))</f>
        <v/>
      </c>
      <c r="E79" t="str">
        <f>IF(A79="","",IF(SUMPRODUCT((Ввод!$F$12:$F$31&lt;&gt;"")*(Ввод!$F$12:$F$31&lt;=A79)*(Ввод!$G$12:$G$31&gt;=A79))&gt;0,1,0))</f>
        <v/>
      </c>
      <c r="G79" t="str">
        <f t="shared" si="3"/>
        <v/>
      </c>
      <c r="I79">
        <v>74</v>
      </c>
      <c r="J79" s="24">
        <f>IFERROR(INDEX('По дням'!$A$2:$A$4000,MATCH(74,'По дням'!$G$2:$G$4000,0)),0)</f>
        <v>0</v>
      </c>
      <c r="K79" s="24">
        <f>IF(J79=0,0,J79+COUNTIF('По дням'!$G$2:$G$4000,74)-1)</f>
        <v>0</v>
      </c>
      <c r="L79" s="25">
        <f>IF(J79=0,0,N(INDEX('По дням'!$B$2:$B$4000,MATCH(74,'По дням'!$G$2:$G$4000,0))))</f>
        <v>0</v>
      </c>
      <c r="M79" s="26">
        <f>IF(J79=0,1,N(INDEX('По дням'!$C$2:$C$4000,MATCH(74,'По дням'!$G$2:$G$4000,0))))</f>
        <v>1</v>
      </c>
      <c r="N79" s="27">
        <f>IF(J79=0,0,N(INDEX('По дням'!$E$2:$E$4000,MATCH(74,'По дням'!$G$2:$G$4000,0))))</f>
        <v>0</v>
      </c>
    </row>
    <row r="80" spans="1:14" x14ac:dyDescent="0.3">
      <c r="A80" s="21" t="str">
        <f>IF(A79="","",IF(A79+1&gt;Ввод!$B$4,"",A79+1))</f>
        <v/>
      </c>
      <c r="B80" s="23" t="str">
        <f>IF(A80="","",IFERROR(INDEX(Ввод!$B$12:$B$71,MATCH(A80,Ввод!$D$12:$D$71,1)),""))</f>
        <v/>
      </c>
      <c r="C80" t="str">
        <f t="shared" si="2"/>
        <v/>
      </c>
      <c r="D80" t="str">
        <f>IF(A80="","",SUMIFS(Акты!$D$5:$D$16,Акты!$E$5:$E$16,"&lt;="&amp;A80)-SUMIFS(Оплаты!$B$6:$B$505,Оплаты!$A$6:$A$505,"&lt;"&amp;A80,Оплаты!$D$6:$D$505,"&lt;&gt;"))</f>
        <v/>
      </c>
      <c r="E80" t="str">
        <f>IF(A80="","",IF(SUMPRODUCT((Ввод!$F$12:$F$31&lt;&gt;"")*(Ввод!$F$12:$F$31&lt;=A80)*(Ввод!$G$12:$G$31&gt;=A80))&gt;0,1,0))</f>
        <v/>
      </c>
      <c r="G80" t="str">
        <f t="shared" si="3"/>
        <v/>
      </c>
      <c r="I80">
        <v>75</v>
      </c>
      <c r="J80" s="24">
        <f>IFERROR(INDEX('По дням'!$A$2:$A$4000,MATCH(75,'По дням'!$G$2:$G$4000,0)),0)</f>
        <v>0</v>
      </c>
      <c r="K80" s="24">
        <f>IF(J80=0,0,J80+COUNTIF('По дням'!$G$2:$G$4000,75)-1)</f>
        <v>0</v>
      </c>
      <c r="L80" s="25">
        <f>IF(J80=0,0,N(INDEX('По дням'!$B$2:$B$4000,MATCH(75,'По дням'!$G$2:$G$4000,0))))</f>
        <v>0</v>
      </c>
      <c r="M80" s="26">
        <f>IF(J80=0,1,N(INDEX('По дням'!$C$2:$C$4000,MATCH(75,'По дням'!$G$2:$G$4000,0))))</f>
        <v>1</v>
      </c>
      <c r="N80" s="27">
        <f>IF(J80=0,0,N(INDEX('По дням'!$E$2:$E$4000,MATCH(75,'По дням'!$G$2:$G$4000,0))))</f>
        <v>0</v>
      </c>
    </row>
    <row r="81" spans="1:14" x14ac:dyDescent="0.3">
      <c r="A81" s="21" t="str">
        <f>IF(A80="","",IF(A80+1&gt;Ввод!$B$4,"",A80+1))</f>
        <v/>
      </c>
      <c r="B81" s="23" t="str">
        <f>IF(A81="","",IFERROR(INDEX(Ввод!$B$12:$B$71,MATCH(A81,Ввод!$D$12:$D$71,1)),""))</f>
        <v/>
      </c>
      <c r="C81" t="str">
        <f t="shared" si="2"/>
        <v/>
      </c>
      <c r="D81" t="str">
        <f>IF(A81="","",SUMIFS(Акты!$D$5:$D$16,Акты!$E$5:$E$16,"&lt;="&amp;A81)-SUMIFS(Оплаты!$B$6:$B$505,Оплаты!$A$6:$A$505,"&lt;"&amp;A81,Оплаты!$D$6:$D$505,"&lt;&gt;"))</f>
        <v/>
      </c>
      <c r="E81" t="str">
        <f>IF(A81="","",IF(SUMPRODUCT((Ввод!$F$12:$F$31&lt;&gt;"")*(Ввод!$F$12:$F$31&lt;=A81)*(Ввод!$G$12:$G$31&gt;=A81))&gt;0,1,0))</f>
        <v/>
      </c>
      <c r="G81" t="str">
        <f t="shared" si="3"/>
        <v/>
      </c>
      <c r="I81">
        <v>76</v>
      </c>
      <c r="J81" s="24">
        <f>IFERROR(INDEX('По дням'!$A$2:$A$4000,MATCH(76,'По дням'!$G$2:$G$4000,0)),0)</f>
        <v>0</v>
      </c>
      <c r="K81" s="24">
        <f>IF(J81=0,0,J81+COUNTIF('По дням'!$G$2:$G$4000,76)-1)</f>
        <v>0</v>
      </c>
      <c r="L81" s="25">
        <f>IF(J81=0,0,N(INDEX('По дням'!$B$2:$B$4000,MATCH(76,'По дням'!$G$2:$G$4000,0))))</f>
        <v>0</v>
      </c>
      <c r="M81" s="26">
        <f>IF(J81=0,1,N(INDEX('По дням'!$C$2:$C$4000,MATCH(76,'По дням'!$G$2:$G$4000,0))))</f>
        <v>1</v>
      </c>
      <c r="N81" s="27">
        <f>IF(J81=0,0,N(INDEX('По дням'!$E$2:$E$4000,MATCH(76,'По дням'!$G$2:$G$4000,0))))</f>
        <v>0</v>
      </c>
    </row>
    <row r="82" spans="1:14" x14ac:dyDescent="0.3">
      <c r="A82" s="21" t="str">
        <f>IF(A81="","",IF(A81+1&gt;Ввод!$B$4,"",A81+1))</f>
        <v/>
      </c>
      <c r="B82" s="23" t="str">
        <f>IF(A82="","",IFERROR(INDEX(Ввод!$B$12:$B$71,MATCH(A82,Ввод!$D$12:$D$71,1)),""))</f>
        <v/>
      </c>
      <c r="C82" t="str">
        <f t="shared" si="2"/>
        <v/>
      </c>
      <c r="D82" t="str">
        <f>IF(A82="","",SUMIFS(Акты!$D$5:$D$16,Акты!$E$5:$E$16,"&lt;="&amp;A82)-SUMIFS(Оплаты!$B$6:$B$505,Оплаты!$A$6:$A$505,"&lt;"&amp;A82,Оплаты!$D$6:$D$505,"&lt;&gt;"))</f>
        <v/>
      </c>
      <c r="E82" t="str">
        <f>IF(A82="","",IF(SUMPRODUCT((Ввод!$F$12:$F$31&lt;&gt;"")*(Ввод!$F$12:$F$31&lt;=A82)*(Ввод!$G$12:$G$31&gt;=A82))&gt;0,1,0))</f>
        <v/>
      </c>
      <c r="G82" t="str">
        <f t="shared" si="3"/>
        <v/>
      </c>
      <c r="I82">
        <v>77</v>
      </c>
      <c r="J82" s="24">
        <f>IFERROR(INDEX('По дням'!$A$2:$A$4000,MATCH(77,'По дням'!$G$2:$G$4000,0)),0)</f>
        <v>0</v>
      </c>
      <c r="K82" s="24">
        <f>IF(J82=0,0,J82+COUNTIF('По дням'!$G$2:$G$4000,77)-1)</f>
        <v>0</v>
      </c>
      <c r="L82" s="25">
        <f>IF(J82=0,0,N(INDEX('По дням'!$B$2:$B$4000,MATCH(77,'По дням'!$G$2:$G$4000,0))))</f>
        <v>0</v>
      </c>
      <c r="M82" s="26">
        <f>IF(J82=0,1,N(INDEX('По дням'!$C$2:$C$4000,MATCH(77,'По дням'!$G$2:$G$4000,0))))</f>
        <v>1</v>
      </c>
      <c r="N82" s="27">
        <f>IF(J82=0,0,N(INDEX('По дням'!$E$2:$E$4000,MATCH(77,'По дням'!$G$2:$G$4000,0))))</f>
        <v>0</v>
      </c>
    </row>
    <row r="83" spans="1:14" x14ac:dyDescent="0.3">
      <c r="A83" s="21" t="str">
        <f>IF(A82="","",IF(A82+1&gt;Ввод!$B$4,"",A82+1))</f>
        <v/>
      </c>
      <c r="B83" s="23" t="str">
        <f>IF(A83="","",IFERROR(INDEX(Ввод!$B$12:$B$71,MATCH(A83,Ввод!$D$12:$D$71,1)),""))</f>
        <v/>
      </c>
      <c r="C83" t="str">
        <f t="shared" si="2"/>
        <v/>
      </c>
      <c r="D83" t="str">
        <f>IF(A83="","",SUMIFS(Акты!$D$5:$D$16,Акты!$E$5:$E$16,"&lt;="&amp;A83)-SUMIFS(Оплаты!$B$6:$B$505,Оплаты!$A$6:$A$505,"&lt;"&amp;A83,Оплаты!$D$6:$D$505,"&lt;&gt;"))</f>
        <v/>
      </c>
      <c r="E83" t="str">
        <f>IF(A83="","",IF(SUMPRODUCT((Ввод!$F$12:$F$31&lt;&gt;"")*(Ввод!$F$12:$F$31&lt;=A83)*(Ввод!$G$12:$G$31&gt;=A83))&gt;0,1,0))</f>
        <v/>
      </c>
      <c r="G83" t="str">
        <f t="shared" si="3"/>
        <v/>
      </c>
      <c r="I83">
        <v>78</v>
      </c>
      <c r="J83" s="24">
        <f>IFERROR(INDEX('По дням'!$A$2:$A$4000,MATCH(78,'По дням'!$G$2:$G$4000,0)),0)</f>
        <v>0</v>
      </c>
      <c r="K83" s="24">
        <f>IF(J83=0,0,J83+COUNTIF('По дням'!$G$2:$G$4000,78)-1)</f>
        <v>0</v>
      </c>
      <c r="L83" s="25">
        <f>IF(J83=0,0,N(INDEX('По дням'!$B$2:$B$4000,MATCH(78,'По дням'!$G$2:$G$4000,0))))</f>
        <v>0</v>
      </c>
      <c r="M83" s="26">
        <f>IF(J83=0,1,N(INDEX('По дням'!$C$2:$C$4000,MATCH(78,'По дням'!$G$2:$G$4000,0))))</f>
        <v>1</v>
      </c>
      <c r="N83" s="27">
        <f>IF(J83=0,0,N(INDEX('По дням'!$E$2:$E$4000,MATCH(78,'По дням'!$G$2:$G$4000,0))))</f>
        <v>0</v>
      </c>
    </row>
    <row r="84" spans="1:14" x14ac:dyDescent="0.3">
      <c r="A84" s="21" t="str">
        <f>IF(A83="","",IF(A83+1&gt;Ввод!$B$4,"",A83+1))</f>
        <v/>
      </c>
      <c r="B84" s="23" t="str">
        <f>IF(A84="","",IFERROR(INDEX(Ввод!$B$12:$B$71,MATCH(A84,Ввод!$D$12:$D$71,1)),""))</f>
        <v/>
      </c>
      <c r="C84" t="str">
        <f t="shared" si="2"/>
        <v/>
      </c>
      <c r="D84" t="str">
        <f>IF(A84="","",SUMIFS(Акты!$D$5:$D$16,Акты!$E$5:$E$16,"&lt;="&amp;A84)-SUMIFS(Оплаты!$B$6:$B$505,Оплаты!$A$6:$A$505,"&lt;"&amp;A84,Оплаты!$D$6:$D$505,"&lt;&gt;"))</f>
        <v/>
      </c>
      <c r="E84" t="str">
        <f>IF(A84="","",IF(SUMPRODUCT((Ввод!$F$12:$F$31&lt;&gt;"")*(Ввод!$F$12:$F$31&lt;=A84)*(Ввод!$G$12:$G$31&gt;=A84))&gt;0,1,0))</f>
        <v/>
      </c>
      <c r="G84" t="str">
        <f t="shared" si="3"/>
        <v/>
      </c>
      <c r="I84">
        <v>79</v>
      </c>
      <c r="J84" s="24">
        <f>IFERROR(INDEX('По дням'!$A$2:$A$4000,MATCH(79,'По дням'!$G$2:$G$4000,0)),0)</f>
        <v>0</v>
      </c>
      <c r="K84" s="24">
        <f>IF(J84=0,0,J84+COUNTIF('По дням'!$G$2:$G$4000,79)-1)</f>
        <v>0</v>
      </c>
      <c r="L84" s="25">
        <f>IF(J84=0,0,N(INDEX('По дням'!$B$2:$B$4000,MATCH(79,'По дням'!$G$2:$G$4000,0))))</f>
        <v>0</v>
      </c>
      <c r="M84" s="26">
        <f>IF(J84=0,1,N(INDEX('По дням'!$C$2:$C$4000,MATCH(79,'По дням'!$G$2:$G$4000,0))))</f>
        <v>1</v>
      </c>
      <c r="N84" s="27">
        <f>IF(J84=0,0,N(INDEX('По дням'!$E$2:$E$4000,MATCH(79,'По дням'!$G$2:$G$4000,0))))</f>
        <v>0</v>
      </c>
    </row>
    <row r="85" spans="1:14" x14ac:dyDescent="0.3">
      <c r="A85" s="21" t="str">
        <f>IF(A84="","",IF(A84+1&gt;Ввод!$B$4,"",A84+1))</f>
        <v/>
      </c>
      <c r="B85" s="23" t="str">
        <f>IF(A85="","",IFERROR(INDEX(Ввод!$B$12:$B$71,MATCH(A85,Ввод!$D$12:$D$71,1)),""))</f>
        <v/>
      </c>
      <c r="C85" t="str">
        <f t="shared" si="2"/>
        <v/>
      </c>
      <c r="D85" t="str">
        <f>IF(A85="","",SUMIFS(Акты!$D$5:$D$16,Акты!$E$5:$E$16,"&lt;="&amp;A85)-SUMIFS(Оплаты!$B$6:$B$505,Оплаты!$A$6:$A$505,"&lt;"&amp;A85,Оплаты!$D$6:$D$505,"&lt;&gt;"))</f>
        <v/>
      </c>
      <c r="E85" t="str">
        <f>IF(A85="","",IF(SUMPRODUCT((Ввод!$F$12:$F$31&lt;&gt;"")*(Ввод!$F$12:$F$31&lt;=A85)*(Ввод!$G$12:$G$31&gt;=A85))&gt;0,1,0))</f>
        <v/>
      </c>
      <c r="G85" t="str">
        <f t="shared" si="3"/>
        <v/>
      </c>
      <c r="I85">
        <v>80</v>
      </c>
      <c r="J85" s="24">
        <f>IFERROR(INDEX('По дням'!$A$2:$A$4000,MATCH(80,'По дням'!$G$2:$G$4000,0)),0)</f>
        <v>0</v>
      </c>
      <c r="K85" s="24">
        <f>IF(J85=0,0,J85+COUNTIF('По дням'!$G$2:$G$4000,80)-1)</f>
        <v>0</v>
      </c>
      <c r="L85" s="25">
        <f>IF(J85=0,0,N(INDEX('По дням'!$B$2:$B$4000,MATCH(80,'По дням'!$G$2:$G$4000,0))))</f>
        <v>0</v>
      </c>
      <c r="M85" s="26">
        <f>IF(J85=0,1,N(INDEX('По дням'!$C$2:$C$4000,MATCH(80,'По дням'!$G$2:$G$4000,0))))</f>
        <v>1</v>
      </c>
      <c r="N85" s="27">
        <f>IF(J85=0,0,N(INDEX('По дням'!$E$2:$E$4000,MATCH(80,'По дням'!$G$2:$G$4000,0))))</f>
        <v>0</v>
      </c>
    </row>
    <row r="86" spans="1:14" x14ac:dyDescent="0.3">
      <c r="A86" s="21" t="str">
        <f>IF(A85="","",IF(A85+1&gt;Ввод!$B$4,"",A85+1))</f>
        <v/>
      </c>
      <c r="B86" s="23" t="str">
        <f>IF(A86="","",IFERROR(INDEX(Ввод!$B$12:$B$71,MATCH(A86,Ввод!$D$12:$D$71,1)),""))</f>
        <v/>
      </c>
      <c r="C86" t="str">
        <f t="shared" si="2"/>
        <v/>
      </c>
      <c r="D86" t="str">
        <f>IF(A86="","",SUMIFS(Акты!$D$5:$D$16,Акты!$E$5:$E$16,"&lt;="&amp;A86)-SUMIFS(Оплаты!$B$6:$B$505,Оплаты!$A$6:$A$505,"&lt;"&amp;A86,Оплаты!$D$6:$D$505,"&lt;&gt;"))</f>
        <v/>
      </c>
      <c r="E86" t="str">
        <f>IF(A86="","",IF(SUMPRODUCT((Ввод!$F$12:$F$31&lt;&gt;"")*(Ввод!$F$12:$F$31&lt;=A86)*(Ввод!$G$12:$G$31&gt;=A86))&gt;0,1,0))</f>
        <v/>
      </c>
      <c r="G86" t="str">
        <f t="shared" si="3"/>
        <v/>
      </c>
      <c r="I86">
        <v>81</v>
      </c>
      <c r="J86" s="24">
        <f>IFERROR(INDEX('По дням'!$A$2:$A$4000,MATCH(81,'По дням'!$G$2:$G$4000,0)),0)</f>
        <v>0</v>
      </c>
      <c r="K86" s="24">
        <f>IF(J86=0,0,J86+COUNTIF('По дням'!$G$2:$G$4000,81)-1)</f>
        <v>0</v>
      </c>
      <c r="L86" s="25">
        <f>IF(J86=0,0,N(INDEX('По дням'!$B$2:$B$4000,MATCH(81,'По дням'!$G$2:$G$4000,0))))</f>
        <v>0</v>
      </c>
      <c r="M86" s="26">
        <f>IF(J86=0,1,N(INDEX('По дням'!$C$2:$C$4000,MATCH(81,'По дням'!$G$2:$G$4000,0))))</f>
        <v>1</v>
      </c>
      <c r="N86" s="27">
        <f>IF(J86=0,0,N(INDEX('По дням'!$E$2:$E$4000,MATCH(81,'По дням'!$G$2:$G$4000,0))))</f>
        <v>0</v>
      </c>
    </row>
    <row r="87" spans="1:14" x14ac:dyDescent="0.3">
      <c r="A87" s="21" t="str">
        <f>IF(A86="","",IF(A86+1&gt;Ввод!$B$4,"",A86+1))</f>
        <v/>
      </c>
      <c r="B87" s="23" t="str">
        <f>IF(A87="","",IFERROR(INDEX(Ввод!$B$12:$B$71,MATCH(A87,Ввод!$D$12:$D$71,1)),""))</f>
        <v/>
      </c>
      <c r="C87" t="str">
        <f t="shared" si="2"/>
        <v/>
      </c>
      <c r="D87" t="str">
        <f>IF(A87="","",SUMIFS(Акты!$D$5:$D$16,Акты!$E$5:$E$16,"&lt;="&amp;A87)-SUMIFS(Оплаты!$B$6:$B$505,Оплаты!$A$6:$A$505,"&lt;"&amp;A87,Оплаты!$D$6:$D$505,"&lt;&gt;"))</f>
        <v/>
      </c>
      <c r="E87" t="str">
        <f>IF(A87="","",IF(SUMPRODUCT((Ввод!$F$12:$F$31&lt;&gt;"")*(Ввод!$F$12:$F$31&lt;=A87)*(Ввод!$G$12:$G$31&gt;=A87))&gt;0,1,0))</f>
        <v/>
      </c>
      <c r="G87" t="str">
        <f t="shared" si="3"/>
        <v/>
      </c>
      <c r="I87">
        <v>82</v>
      </c>
      <c r="J87" s="24">
        <f>IFERROR(INDEX('По дням'!$A$2:$A$4000,MATCH(82,'По дням'!$G$2:$G$4000,0)),0)</f>
        <v>0</v>
      </c>
      <c r="K87" s="24">
        <f>IF(J87=0,0,J87+COUNTIF('По дням'!$G$2:$G$4000,82)-1)</f>
        <v>0</v>
      </c>
      <c r="L87" s="25">
        <f>IF(J87=0,0,N(INDEX('По дням'!$B$2:$B$4000,MATCH(82,'По дням'!$G$2:$G$4000,0))))</f>
        <v>0</v>
      </c>
      <c r="M87" s="26">
        <f>IF(J87=0,1,N(INDEX('По дням'!$C$2:$C$4000,MATCH(82,'По дням'!$G$2:$G$4000,0))))</f>
        <v>1</v>
      </c>
      <c r="N87" s="27">
        <f>IF(J87=0,0,N(INDEX('По дням'!$E$2:$E$4000,MATCH(82,'По дням'!$G$2:$G$4000,0))))</f>
        <v>0</v>
      </c>
    </row>
    <row r="88" spans="1:14" x14ac:dyDescent="0.3">
      <c r="A88" s="21" t="str">
        <f>IF(A87="","",IF(A87+1&gt;Ввод!$B$4,"",A87+1))</f>
        <v/>
      </c>
      <c r="B88" s="23" t="str">
        <f>IF(A88="","",IFERROR(INDEX(Ввод!$B$12:$B$71,MATCH(A88,Ввод!$D$12:$D$71,1)),""))</f>
        <v/>
      </c>
      <c r="C88" t="str">
        <f t="shared" si="2"/>
        <v/>
      </c>
      <c r="D88" t="str">
        <f>IF(A88="","",SUMIFS(Акты!$D$5:$D$16,Акты!$E$5:$E$16,"&lt;="&amp;A88)-SUMIFS(Оплаты!$B$6:$B$505,Оплаты!$A$6:$A$505,"&lt;"&amp;A88,Оплаты!$D$6:$D$505,"&lt;&gt;"))</f>
        <v/>
      </c>
      <c r="E88" t="str">
        <f>IF(A88="","",IF(SUMPRODUCT((Ввод!$F$12:$F$31&lt;&gt;"")*(Ввод!$F$12:$F$31&lt;=A88)*(Ввод!$G$12:$G$31&gt;=A88))&gt;0,1,0))</f>
        <v/>
      </c>
      <c r="G88" t="str">
        <f t="shared" si="3"/>
        <v/>
      </c>
      <c r="I88">
        <v>83</v>
      </c>
      <c r="J88" s="24">
        <f>IFERROR(INDEX('По дням'!$A$2:$A$4000,MATCH(83,'По дням'!$G$2:$G$4000,0)),0)</f>
        <v>0</v>
      </c>
      <c r="K88" s="24">
        <f>IF(J88=0,0,J88+COUNTIF('По дням'!$G$2:$G$4000,83)-1)</f>
        <v>0</v>
      </c>
      <c r="L88" s="25">
        <f>IF(J88=0,0,N(INDEX('По дням'!$B$2:$B$4000,MATCH(83,'По дням'!$G$2:$G$4000,0))))</f>
        <v>0</v>
      </c>
      <c r="M88" s="26">
        <f>IF(J88=0,1,N(INDEX('По дням'!$C$2:$C$4000,MATCH(83,'По дням'!$G$2:$G$4000,0))))</f>
        <v>1</v>
      </c>
      <c r="N88" s="27">
        <f>IF(J88=0,0,N(INDEX('По дням'!$E$2:$E$4000,MATCH(83,'По дням'!$G$2:$G$4000,0))))</f>
        <v>0</v>
      </c>
    </row>
    <row r="89" spans="1:14" x14ac:dyDescent="0.3">
      <c r="A89" s="21" t="str">
        <f>IF(A88="","",IF(A88+1&gt;Ввод!$B$4,"",A88+1))</f>
        <v/>
      </c>
      <c r="B89" s="23" t="str">
        <f>IF(A89="","",IFERROR(INDEX(Ввод!$B$12:$B$71,MATCH(A89,Ввод!$D$12:$D$71,1)),""))</f>
        <v/>
      </c>
      <c r="C89" t="str">
        <f t="shared" si="2"/>
        <v/>
      </c>
      <c r="D89" t="str">
        <f>IF(A89="","",SUMIFS(Акты!$D$5:$D$16,Акты!$E$5:$E$16,"&lt;="&amp;A89)-SUMIFS(Оплаты!$B$6:$B$505,Оплаты!$A$6:$A$505,"&lt;"&amp;A89,Оплаты!$D$6:$D$505,"&lt;&gt;"))</f>
        <v/>
      </c>
      <c r="E89" t="str">
        <f>IF(A89="","",IF(SUMPRODUCT((Ввод!$F$12:$F$31&lt;&gt;"")*(Ввод!$F$12:$F$31&lt;=A89)*(Ввод!$G$12:$G$31&gt;=A89))&gt;0,1,0))</f>
        <v/>
      </c>
      <c r="G89" t="str">
        <f t="shared" si="3"/>
        <v/>
      </c>
      <c r="I89">
        <v>84</v>
      </c>
      <c r="J89" s="24">
        <f>IFERROR(INDEX('По дням'!$A$2:$A$4000,MATCH(84,'По дням'!$G$2:$G$4000,0)),0)</f>
        <v>0</v>
      </c>
      <c r="K89" s="24">
        <f>IF(J89=0,0,J89+COUNTIF('По дням'!$G$2:$G$4000,84)-1)</f>
        <v>0</v>
      </c>
      <c r="L89" s="25">
        <f>IF(J89=0,0,N(INDEX('По дням'!$B$2:$B$4000,MATCH(84,'По дням'!$G$2:$G$4000,0))))</f>
        <v>0</v>
      </c>
      <c r="M89" s="26">
        <f>IF(J89=0,1,N(INDEX('По дням'!$C$2:$C$4000,MATCH(84,'По дням'!$G$2:$G$4000,0))))</f>
        <v>1</v>
      </c>
      <c r="N89" s="27">
        <f>IF(J89=0,0,N(INDEX('По дням'!$E$2:$E$4000,MATCH(84,'По дням'!$G$2:$G$4000,0))))</f>
        <v>0</v>
      </c>
    </row>
    <row r="90" spans="1:14" x14ac:dyDescent="0.3">
      <c r="A90" s="21" t="str">
        <f>IF(A89="","",IF(A89+1&gt;Ввод!$B$4,"",A89+1))</f>
        <v/>
      </c>
      <c r="B90" s="23" t="str">
        <f>IF(A90="","",IFERROR(INDEX(Ввод!$B$12:$B$71,MATCH(A90,Ввод!$D$12:$D$71,1)),""))</f>
        <v/>
      </c>
      <c r="C90" t="str">
        <f t="shared" si="2"/>
        <v/>
      </c>
      <c r="D90" t="str">
        <f>IF(A90="","",SUMIFS(Акты!$D$5:$D$16,Акты!$E$5:$E$16,"&lt;="&amp;A90)-SUMIFS(Оплаты!$B$6:$B$505,Оплаты!$A$6:$A$505,"&lt;"&amp;A90,Оплаты!$D$6:$D$505,"&lt;&gt;"))</f>
        <v/>
      </c>
      <c r="E90" t="str">
        <f>IF(A90="","",IF(SUMPRODUCT((Ввод!$F$12:$F$31&lt;&gt;"")*(Ввод!$F$12:$F$31&lt;=A90)*(Ввод!$G$12:$G$31&gt;=A90))&gt;0,1,0))</f>
        <v/>
      </c>
      <c r="G90" t="str">
        <f t="shared" si="3"/>
        <v/>
      </c>
      <c r="I90">
        <v>85</v>
      </c>
      <c r="J90" s="24">
        <f>IFERROR(INDEX('По дням'!$A$2:$A$4000,MATCH(85,'По дням'!$G$2:$G$4000,0)),0)</f>
        <v>0</v>
      </c>
      <c r="K90" s="24">
        <f>IF(J90=0,0,J90+COUNTIF('По дням'!$G$2:$G$4000,85)-1)</f>
        <v>0</v>
      </c>
      <c r="L90" s="25">
        <f>IF(J90=0,0,N(INDEX('По дням'!$B$2:$B$4000,MATCH(85,'По дням'!$G$2:$G$4000,0))))</f>
        <v>0</v>
      </c>
      <c r="M90" s="26">
        <f>IF(J90=0,1,N(INDEX('По дням'!$C$2:$C$4000,MATCH(85,'По дням'!$G$2:$G$4000,0))))</f>
        <v>1</v>
      </c>
      <c r="N90" s="27">
        <f>IF(J90=0,0,N(INDEX('По дням'!$E$2:$E$4000,MATCH(85,'По дням'!$G$2:$G$4000,0))))</f>
        <v>0</v>
      </c>
    </row>
    <row r="91" spans="1:14" x14ac:dyDescent="0.3">
      <c r="A91" s="21" t="str">
        <f>IF(A90="","",IF(A90+1&gt;Ввод!$B$4,"",A90+1))</f>
        <v/>
      </c>
      <c r="B91" s="23" t="str">
        <f>IF(A91="","",IFERROR(INDEX(Ввод!$B$12:$B$71,MATCH(A91,Ввод!$D$12:$D$71,1)),""))</f>
        <v/>
      </c>
      <c r="C91" t="str">
        <f t="shared" si="2"/>
        <v/>
      </c>
      <c r="D91" t="str">
        <f>IF(A91="","",SUMIFS(Акты!$D$5:$D$16,Акты!$E$5:$E$16,"&lt;="&amp;A91)-SUMIFS(Оплаты!$B$6:$B$505,Оплаты!$A$6:$A$505,"&lt;"&amp;A91,Оплаты!$D$6:$D$505,"&lt;&gt;"))</f>
        <v/>
      </c>
      <c r="E91" t="str">
        <f>IF(A91="","",IF(SUMPRODUCT((Ввод!$F$12:$F$31&lt;&gt;"")*(Ввод!$F$12:$F$31&lt;=A91)*(Ввод!$G$12:$G$31&gt;=A91))&gt;0,1,0))</f>
        <v/>
      </c>
      <c r="G91" t="str">
        <f t="shared" si="3"/>
        <v/>
      </c>
      <c r="I91">
        <v>86</v>
      </c>
      <c r="J91" s="24">
        <f>IFERROR(INDEX('По дням'!$A$2:$A$4000,MATCH(86,'По дням'!$G$2:$G$4000,0)),0)</f>
        <v>0</v>
      </c>
      <c r="K91" s="24">
        <f>IF(J91=0,0,J91+COUNTIF('По дням'!$G$2:$G$4000,86)-1)</f>
        <v>0</v>
      </c>
      <c r="L91" s="25">
        <f>IF(J91=0,0,N(INDEX('По дням'!$B$2:$B$4000,MATCH(86,'По дням'!$G$2:$G$4000,0))))</f>
        <v>0</v>
      </c>
      <c r="M91" s="26">
        <f>IF(J91=0,1,N(INDEX('По дням'!$C$2:$C$4000,MATCH(86,'По дням'!$G$2:$G$4000,0))))</f>
        <v>1</v>
      </c>
      <c r="N91" s="27">
        <f>IF(J91=0,0,N(INDEX('По дням'!$E$2:$E$4000,MATCH(86,'По дням'!$G$2:$G$4000,0))))</f>
        <v>0</v>
      </c>
    </row>
    <row r="92" spans="1:14" x14ac:dyDescent="0.3">
      <c r="A92" s="21" t="str">
        <f>IF(A91="","",IF(A91+1&gt;Ввод!$B$4,"",A91+1))</f>
        <v/>
      </c>
      <c r="B92" s="23" t="str">
        <f>IF(A92="","",IFERROR(INDEX(Ввод!$B$12:$B$71,MATCH(A92,Ввод!$D$12:$D$71,1)),""))</f>
        <v/>
      </c>
      <c r="C92" t="str">
        <f t="shared" si="2"/>
        <v/>
      </c>
      <c r="D92" t="str">
        <f>IF(A92="","",SUMIFS(Акты!$D$5:$D$16,Акты!$E$5:$E$16,"&lt;="&amp;A92)-SUMIFS(Оплаты!$B$6:$B$505,Оплаты!$A$6:$A$505,"&lt;"&amp;A92,Оплаты!$D$6:$D$505,"&lt;&gt;"))</f>
        <v/>
      </c>
      <c r="E92" t="str">
        <f>IF(A92="","",IF(SUMPRODUCT((Ввод!$F$12:$F$31&lt;&gt;"")*(Ввод!$F$12:$F$31&lt;=A92)*(Ввод!$G$12:$G$31&gt;=A92))&gt;0,1,0))</f>
        <v/>
      </c>
      <c r="G92" t="str">
        <f t="shared" si="3"/>
        <v/>
      </c>
      <c r="I92">
        <v>87</v>
      </c>
      <c r="J92" s="24">
        <f>IFERROR(INDEX('По дням'!$A$2:$A$4000,MATCH(87,'По дням'!$G$2:$G$4000,0)),0)</f>
        <v>0</v>
      </c>
      <c r="K92" s="24">
        <f>IF(J92=0,0,J92+COUNTIF('По дням'!$G$2:$G$4000,87)-1)</f>
        <v>0</v>
      </c>
      <c r="L92" s="25">
        <f>IF(J92=0,0,N(INDEX('По дням'!$B$2:$B$4000,MATCH(87,'По дням'!$G$2:$G$4000,0))))</f>
        <v>0</v>
      </c>
      <c r="M92" s="26">
        <f>IF(J92=0,1,N(INDEX('По дням'!$C$2:$C$4000,MATCH(87,'По дням'!$G$2:$G$4000,0))))</f>
        <v>1</v>
      </c>
      <c r="N92" s="27">
        <f>IF(J92=0,0,N(INDEX('По дням'!$E$2:$E$4000,MATCH(87,'По дням'!$G$2:$G$4000,0))))</f>
        <v>0</v>
      </c>
    </row>
    <row r="93" spans="1:14" x14ac:dyDescent="0.3">
      <c r="A93" s="21" t="str">
        <f>IF(A92="","",IF(A92+1&gt;Ввод!$B$4,"",A92+1))</f>
        <v/>
      </c>
      <c r="B93" s="23" t="str">
        <f>IF(A93="","",IFERROR(INDEX(Ввод!$B$12:$B$71,MATCH(A93,Ввод!$D$12:$D$71,1)),""))</f>
        <v/>
      </c>
      <c r="C93" t="str">
        <f t="shared" si="2"/>
        <v/>
      </c>
      <c r="D93" t="str">
        <f>IF(A93="","",SUMIFS(Акты!$D$5:$D$16,Акты!$E$5:$E$16,"&lt;="&amp;A93)-SUMIFS(Оплаты!$B$6:$B$505,Оплаты!$A$6:$A$505,"&lt;"&amp;A93,Оплаты!$D$6:$D$505,"&lt;&gt;"))</f>
        <v/>
      </c>
      <c r="E93" t="str">
        <f>IF(A93="","",IF(SUMPRODUCT((Ввод!$F$12:$F$31&lt;&gt;"")*(Ввод!$F$12:$F$31&lt;=A93)*(Ввод!$G$12:$G$31&gt;=A93))&gt;0,1,0))</f>
        <v/>
      </c>
      <c r="G93" t="str">
        <f t="shared" si="3"/>
        <v/>
      </c>
      <c r="I93">
        <v>88</v>
      </c>
      <c r="J93" s="24">
        <f>IFERROR(INDEX('По дням'!$A$2:$A$4000,MATCH(88,'По дням'!$G$2:$G$4000,0)),0)</f>
        <v>0</v>
      </c>
      <c r="K93" s="24">
        <f>IF(J93=0,0,J93+COUNTIF('По дням'!$G$2:$G$4000,88)-1)</f>
        <v>0</v>
      </c>
      <c r="L93" s="25">
        <f>IF(J93=0,0,N(INDEX('По дням'!$B$2:$B$4000,MATCH(88,'По дням'!$G$2:$G$4000,0))))</f>
        <v>0</v>
      </c>
      <c r="M93" s="26">
        <f>IF(J93=0,1,N(INDEX('По дням'!$C$2:$C$4000,MATCH(88,'По дням'!$G$2:$G$4000,0))))</f>
        <v>1</v>
      </c>
      <c r="N93" s="27">
        <f>IF(J93=0,0,N(INDEX('По дням'!$E$2:$E$4000,MATCH(88,'По дням'!$G$2:$G$4000,0))))</f>
        <v>0</v>
      </c>
    </row>
    <row r="94" spans="1:14" x14ac:dyDescent="0.3">
      <c r="A94" s="21" t="str">
        <f>IF(A93="","",IF(A93+1&gt;Ввод!$B$4,"",A93+1))</f>
        <v/>
      </c>
      <c r="B94" s="23" t="str">
        <f>IF(A94="","",IFERROR(INDEX(Ввод!$B$12:$B$71,MATCH(A94,Ввод!$D$12:$D$71,1)),""))</f>
        <v/>
      </c>
      <c r="C94" t="str">
        <f t="shared" si="2"/>
        <v/>
      </c>
      <c r="D94" t="str">
        <f>IF(A94="","",SUMIFS(Акты!$D$5:$D$16,Акты!$E$5:$E$16,"&lt;="&amp;A94)-SUMIFS(Оплаты!$B$6:$B$505,Оплаты!$A$6:$A$505,"&lt;"&amp;A94,Оплаты!$D$6:$D$505,"&lt;&gt;"))</f>
        <v/>
      </c>
      <c r="E94" t="str">
        <f>IF(A94="","",IF(SUMPRODUCT((Ввод!$F$12:$F$31&lt;&gt;"")*(Ввод!$F$12:$F$31&lt;=A94)*(Ввод!$G$12:$G$31&gt;=A94))&gt;0,1,0))</f>
        <v/>
      </c>
      <c r="G94" t="str">
        <f t="shared" si="3"/>
        <v/>
      </c>
      <c r="I94">
        <v>89</v>
      </c>
      <c r="J94" s="24">
        <f>IFERROR(INDEX('По дням'!$A$2:$A$4000,MATCH(89,'По дням'!$G$2:$G$4000,0)),0)</f>
        <v>0</v>
      </c>
      <c r="K94" s="24">
        <f>IF(J94=0,0,J94+COUNTIF('По дням'!$G$2:$G$4000,89)-1)</f>
        <v>0</v>
      </c>
      <c r="L94" s="25">
        <f>IF(J94=0,0,N(INDEX('По дням'!$B$2:$B$4000,MATCH(89,'По дням'!$G$2:$G$4000,0))))</f>
        <v>0</v>
      </c>
      <c r="M94" s="26">
        <f>IF(J94=0,1,N(INDEX('По дням'!$C$2:$C$4000,MATCH(89,'По дням'!$G$2:$G$4000,0))))</f>
        <v>1</v>
      </c>
      <c r="N94" s="27">
        <f>IF(J94=0,0,N(INDEX('По дням'!$E$2:$E$4000,MATCH(89,'По дням'!$G$2:$G$4000,0))))</f>
        <v>0</v>
      </c>
    </row>
    <row r="95" spans="1:14" x14ac:dyDescent="0.3">
      <c r="A95" s="21" t="str">
        <f>IF(A94="","",IF(A94+1&gt;Ввод!$B$4,"",A94+1))</f>
        <v/>
      </c>
      <c r="B95" s="23" t="str">
        <f>IF(A95="","",IFERROR(INDEX(Ввод!$B$12:$B$71,MATCH(A95,Ввод!$D$12:$D$71,1)),""))</f>
        <v/>
      </c>
      <c r="C95" t="str">
        <f t="shared" si="2"/>
        <v/>
      </c>
      <c r="D95" t="str">
        <f>IF(A95="","",SUMIFS(Акты!$D$5:$D$16,Акты!$E$5:$E$16,"&lt;="&amp;A95)-SUMIFS(Оплаты!$B$6:$B$505,Оплаты!$A$6:$A$505,"&lt;"&amp;A95,Оплаты!$D$6:$D$505,"&lt;&gt;"))</f>
        <v/>
      </c>
      <c r="E95" t="str">
        <f>IF(A95="","",IF(SUMPRODUCT((Ввод!$F$12:$F$31&lt;&gt;"")*(Ввод!$F$12:$F$31&lt;=A95)*(Ввод!$G$12:$G$31&gt;=A95))&gt;0,1,0))</f>
        <v/>
      </c>
      <c r="G95" t="str">
        <f t="shared" si="3"/>
        <v/>
      </c>
      <c r="I95">
        <v>90</v>
      </c>
      <c r="J95" s="24">
        <f>IFERROR(INDEX('По дням'!$A$2:$A$4000,MATCH(90,'По дням'!$G$2:$G$4000,0)),0)</f>
        <v>0</v>
      </c>
      <c r="K95" s="24">
        <f>IF(J95=0,0,J95+COUNTIF('По дням'!$G$2:$G$4000,90)-1)</f>
        <v>0</v>
      </c>
      <c r="L95" s="25">
        <f>IF(J95=0,0,N(INDEX('По дням'!$B$2:$B$4000,MATCH(90,'По дням'!$G$2:$G$4000,0))))</f>
        <v>0</v>
      </c>
      <c r="M95" s="26">
        <f>IF(J95=0,1,N(INDEX('По дням'!$C$2:$C$4000,MATCH(90,'По дням'!$G$2:$G$4000,0))))</f>
        <v>1</v>
      </c>
      <c r="N95" s="27">
        <f>IF(J95=0,0,N(INDEX('По дням'!$E$2:$E$4000,MATCH(90,'По дням'!$G$2:$G$4000,0))))</f>
        <v>0</v>
      </c>
    </row>
    <row r="96" spans="1:14" x14ac:dyDescent="0.3">
      <c r="A96" s="21" t="str">
        <f>IF(A95="","",IF(A95+1&gt;Ввод!$B$4,"",A95+1))</f>
        <v/>
      </c>
      <c r="B96" s="23" t="str">
        <f>IF(A96="","",IFERROR(INDEX(Ввод!$B$12:$B$71,MATCH(A96,Ввод!$D$12:$D$71,1)),""))</f>
        <v/>
      </c>
      <c r="C96" t="str">
        <f t="shared" si="2"/>
        <v/>
      </c>
      <c r="D96" t="str">
        <f>IF(A96="","",SUMIFS(Акты!$D$5:$D$16,Акты!$E$5:$E$16,"&lt;="&amp;A96)-SUMIFS(Оплаты!$B$6:$B$505,Оплаты!$A$6:$A$505,"&lt;"&amp;A96,Оплаты!$D$6:$D$505,"&lt;&gt;"))</f>
        <v/>
      </c>
      <c r="E96" t="str">
        <f>IF(A96="","",IF(SUMPRODUCT((Ввод!$F$12:$F$31&lt;&gt;"")*(Ввод!$F$12:$F$31&lt;=A96)*(Ввод!$G$12:$G$31&gt;=A96))&gt;0,1,0))</f>
        <v/>
      </c>
      <c r="G96" t="str">
        <f t="shared" si="3"/>
        <v/>
      </c>
      <c r="I96">
        <v>91</v>
      </c>
      <c r="J96" s="24">
        <f>IFERROR(INDEX('По дням'!$A$2:$A$4000,MATCH(91,'По дням'!$G$2:$G$4000,0)),0)</f>
        <v>0</v>
      </c>
      <c r="K96" s="24">
        <f>IF(J96=0,0,J96+COUNTIF('По дням'!$G$2:$G$4000,91)-1)</f>
        <v>0</v>
      </c>
      <c r="L96" s="25">
        <f>IF(J96=0,0,N(INDEX('По дням'!$B$2:$B$4000,MATCH(91,'По дням'!$G$2:$G$4000,0))))</f>
        <v>0</v>
      </c>
      <c r="M96" s="26">
        <f>IF(J96=0,1,N(INDEX('По дням'!$C$2:$C$4000,MATCH(91,'По дням'!$G$2:$G$4000,0))))</f>
        <v>1</v>
      </c>
      <c r="N96" s="27">
        <f>IF(J96=0,0,N(INDEX('По дням'!$E$2:$E$4000,MATCH(91,'По дням'!$G$2:$G$4000,0))))</f>
        <v>0</v>
      </c>
    </row>
    <row r="97" spans="1:14" x14ac:dyDescent="0.3">
      <c r="A97" s="21" t="str">
        <f>IF(A96="","",IF(A96+1&gt;Ввод!$B$4,"",A96+1))</f>
        <v/>
      </c>
      <c r="B97" s="23" t="str">
        <f>IF(A97="","",IFERROR(INDEX(Ввод!$B$12:$B$71,MATCH(A97,Ввод!$D$12:$D$71,1)),""))</f>
        <v/>
      </c>
      <c r="C97" t="str">
        <f t="shared" si="2"/>
        <v/>
      </c>
      <c r="D97" t="str">
        <f>IF(A97="","",SUMIFS(Акты!$D$5:$D$16,Акты!$E$5:$E$16,"&lt;="&amp;A97)-SUMIFS(Оплаты!$B$6:$B$505,Оплаты!$A$6:$A$505,"&lt;"&amp;A97,Оплаты!$D$6:$D$505,"&lt;&gt;"))</f>
        <v/>
      </c>
      <c r="E97" t="str">
        <f>IF(A97="","",IF(SUMPRODUCT((Ввод!$F$12:$F$31&lt;&gt;"")*(Ввод!$F$12:$F$31&lt;=A97)*(Ввод!$G$12:$G$31&gt;=A97))&gt;0,1,0))</f>
        <v/>
      </c>
      <c r="G97" t="str">
        <f t="shared" si="3"/>
        <v/>
      </c>
      <c r="I97">
        <v>92</v>
      </c>
      <c r="J97" s="24">
        <f>IFERROR(INDEX('По дням'!$A$2:$A$4000,MATCH(92,'По дням'!$G$2:$G$4000,0)),0)</f>
        <v>0</v>
      </c>
      <c r="K97" s="24">
        <f>IF(J97=0,0,J97+COUNTIF('По дням'!$G$2:$G$4000,92)-1)</f>
        <v>0</v>
      </c>
      <c r="L97" s="25">
        <f>IF(J97=0,0,N(INDEX('По дням'!$B$2:$B$4000,MATCH(92,'По дням'!$G$2:$G$4000,0))))</f>
        <v>0</v>
      </c>
      <c r="M97" s="26">
        <f>IF(J97=0,1,N(INDEX('По дням'!$C$2:$C$4000,MATCH(92,'По дням'!$G$2:$G$4000,0))))</f>
        <v>1</v>
      </c>
      <c r="N97" s="27">
        <f>IF(J97=0,0,N(INDEX('По дням'!$E$2:$E$4000,MATCH(92,'По дням'!$G$2:$G$4000,0))))</f>
        <v>0</v>
      </c>
    </row>
    <row r="98" spans="1:14" x14ac:dyDescent="0.3">
      <c r="A98" s="21" t="str">
        <f>IF(A97="","",IF(A97+1&gt;Ввод!$B$4,"",A97+1))</f>
        <v/>
      </c>
      <c r="B98" s="23" t="str">
        <f>IF(A98="","",IFERROR(INDEX(Ввод!$B$12:$B$71,MATCH(A98,Ввод!$D$12:$D$71,1)),""))</f>
        <v/>
      </c>
      <c r="C98" t="str">
        <f t="shared" si="2"/>
        <v/>
      </c>
      <c r="D98" t="str">
        <f>IF(A98="","",SUMIFS(Акты!$D$5:$D$16,Акты!$E$5:$E$16,"&lt;="&amp;A98)-SUMIFS(Оплаты!$B$6:$B$505,Оплаты!$A$6:$A$505,"&lt;"&amp;A98,Оплаты!$D$6:$D$505,"&lt;&gt;"))</f>
        <v/>
      </c>
      <c r="E98" t="str">
        <f>IF(A98="","",IF(SUMPRODUCT((Ввод!$F$12:$F$31&lt;&gt;"")*(Ввод!$F$12:$F$31&lt;=A98)*(Ввод!$G$12:$G$31&gt;=A98))&gt;0,1,0))</f>
        <v/>
      </c>
      <c r="G98" t="str">
        <f t="shared" si="3"/>
        <v/>
      </c>
      <c r="I98">
        <v>93</v>
      </c>
      <c r="J98" s="24">
        <f>IFERROR(INDEX('По дням'!$A$2:$A$4000,MATCH(93,'По дням'!$G$2:$G$4000,0)),0)</f>
        <v>0</v>
      </c>
      <c r="K98" s="24">
        <f>IF(J98=0,0,J98+COUNTIF('По дням'!$G$2:$G$4000,93)-1)</f>
        <v>0</v>
      </c>
      <c r="L98" s="25">
        <f>IF(J98=0,0,N(INDEX('По дням'!$B$2:$B$4000,MATCH(93,'По дням'!$G$2:$G$4000,0))))</f>
        <v>0</v>
      </c>
      <c r="M98" s="26">
        <f>IF(J98=0,1,N(INDEX('По дням'!$C$2:$C$4000,MATCH(93,'По дням'!$G$2:$G$4000,0))))</f>
        <v>1</v>
      </c>
      <c r="N98" s="27">
        <f>IF(J98=0,0,N(INDEX('По дням'!$E$2:$E$4000,MATCH(93,'По дням'!$G$2:$G$4000,0))))</f>
        <v>0</v>
      </c>
    </row>
    <row r="99" spans="1:14" x14ac:dyDescent="0.3">
      <c r="A99" s="21" t="str">
        <f>IF(A98="","",IF(A98+1&gt;Ввод!$B$4,"",A98+1))</f>
        <v/>
      </c>
      <c r="B99" s="23" t="str">
        <f>IF(A99="","",IFERROR(INDEX(Ввод!$B$12:$B$71,MATCH(A99,Ввод!$D$12:$D$71,1)),""))</f>
        <v/>
      </c>
      <c r="C99" t="str">
        <f t="shared" si="2"/>
        <v/>
      </c>
      <c r="D99" t="str">
        <f>IF(A99="","",SUMIFS(Акты!$D$5:$D$16,Акты!$E$5:$E$16,"&lt;="&amp;A99)-SUMIFS(Оплаты!$B$6:$B$505,Оплаты!$A$6:$A$505,"&lt;"&amp;A99,Оплаты!$D$6:$D$505,"&lt;&gt;"))</f>
        <v/>
      </c>
      <c r="E99" t="str">
        <f>IF(A99="","",IF(SUMPRODUCT((Ввод!$F$12:$F$31&lt;&gt;"")*(Ввод!$F$12:$F$31&lt;=A99)*(Ввод!$G$12:$G$31&gt;=A99))&gt;0,1,0))</f>
        <v/>
      </c>
      <c r="G99" t="str">
        <f t="shared" si="3"/>
        <v/>
      </c>
      <c r="I99">
        <v>94</v>
      </c>
      <c r="J99" s="24">
        <f>IFERROR(INDEX('По дням'!$A$2:$A$4000,MATCH(94,'По дням'!$G$2:$G$4000,0)),0)</f>
        <v>0</v>
      </c>
      <c r="K99" s="24">
        <f>IF(J99=0,0,J99+COUNTIF('По дням'!$G$2:$G$4000,94)-1)</f>
        <v>0</v>
      </c>
      <c r="L99" s="25">
        <f>IF(J99=0,0,N(INDEX('По дням'!$B$2:$B$4000,MATCH(94,'По дням'!$G$2:$G$4000,0))))</f>
        <v>0</v>
      </c>
      <c r="M99" s="26">
        <f>IF(J99=0,1,N(INDEX('По дням'!$C$2:$C$4000,MATCH(94,'По дням'!$G$2:$G$4000,0))))</f>
        <v>1</v>
      </c>
      <c r="N99" s="27">
        <f>IF(J99=0,0,N(INDEX('По дням'!$E$2:$E$4000,MATCH(94,'По дням'!$G$2:$G$4000,0))))</f>
        <v>0</v>
      </c>
    </row>
    <row r="100" spans="1:14" x14ac:dyDescent="0.3">
      <c r="A100" s="21" t="str">
        <f>IF(A99="","",IF(A99+1&gt;Ввод!$B$4,"",A99+1))</f>
        <v/>
      </c>
      <c r="B100" s="23" t="str">
        <f>IF(A100="","",IFERROR(INDEX(Ввод!$B$12:$B$71,MATCH(A100,Ввод!$D$12:$D$71,1)),""))</f>
        <v/>
      </c>
      <c r="C100" t="str">
        <f t="shared" si="2"/>
        <v/>
      </c>
      <c r="D100" t="str">
        <f>IF(A100="","",SUMIFS(Акты!$D$5:$D$16,Акты!$E$5:$E$16,"&lt;="&amp;A100)-SUMIFS(Оплаты!$B$6:$B$505,Оплаты!$A$6:$A$505,"&lt;"&amp;A100,Оплаты!$D$6:$D$505,"&lt;&gt;"))</f>
        <v/>
      </c>
      <c r="E100" t="str">
        <f>IF(A100="","",IF(SUMPRODUCT((Ввод!$F$12:$F$31&lt;&gt;"")*(Ввод!$F$12:$F$31&lt;=A100)*(Ввод!$G$12:$G$31&gt;=A100))&gt;0,1,0))</f>
        <v/>
      </c>
      <c r="G100" t="str">
        <f t="shared" si="3"/>
        <v/>
      </c>
      <c r="I100">
        <v>95</v>
      </c>
      <c r="J100" s="24">
        <f>IFERROR(INDEX('По дням'!$A$2:$A$4000,MATCH(95,'По дням'!$G$2:$G$4000,0)),0)</f>
        <v>0</v>
      </c>
      <c r="K100" s="24">
        <f>IF(J100=0,0,J100+COUNTIF('По дням'!$G$2:$G$4000,95)-1)</f>
        <v>0</v>
      </c>
      <c r="L100" s="25">
        <f>IF(J100=0,0,N(INDEX('По дням'!$B$2:$B$4000,MATCH(95,'По дням'!$G$2:$G$4000,0))))</f>
        <v>0</v>
      </c>
      <c r="M100" s="26">
        <f>IF(J100=0,1,N(INDEX('По дням'!$C$2:$C$4000,MATCH(95,'По дням'!$G$2:$G$4000,0))))</f>
        <v>1</v>
      </c>
      <c r="N100" s="27">
        <f>IF(J100=0,0,N(INDEX('По дням'!$E$2:$E$4000,MATCH(95,'По дням'!$G$2:$G$4000,0))))</f>
        <v>0</v>
      </c>
    </row>
    <row r="101" spans="1:14" x14ac:dyDescent="0.3">
      <c r="A101" s="21" t="str">
        <f>IF(A100="","",IF(A100+1&gt;Ввод!$B$4,"",A100+1))</f>
        <v/>
      </c>
      <c r="B101" s="23" t="str">
        <f>IF(A101="","",IFERROR(INDEX(Ввод!$B$12:$B$71,MATCH(A101,Ввод!$D$12:$D$71,1)),""))</f>
        <v/>
      </c>
      <c r="C101" t="str">
        <f t="shared" si="2"/>
        <v/>
      </c>
      <c r="D101" t="str">
        <f>IF(A101="","",SUMIFS(Акты!$D$5:$D$16,Акты!$E$5:$E$16,"&lt;="&amp;A101)-SUMIFS(Оплаты!$B$6:$B$505,Оплаты!$A$6:$A$505,"&lt;"&amp;A101,Оплаты!$D$6:$D$505,"&lt;&gt;"))</f>
        <v/>
      </c>
      <c r="E101" t="str">
        <f>IF(A101="","",IF(SUMPRODUCT((Ввод!$F$12:$F$31&lt;&gt;"")*(Ввод!$F$12:$F$31&lt;=A101)*(Ввод!$G$12:$G$31&gt;=A101))&gt;0,1,0))</f>
        <v/>
      </c>
      <c r="G101" t="str">
        <f t="shared" si="3"/>
        <v/>
      </c>
      <c r="I101">
        <v>96</v>
      </c>
      <c r="J101" s="24">
        <f>IFERROR(INDEX('По дням'!$A$2:$A$4000,MATCH(96,'По дням'!$G$2:$G$4000,0)),0)</f>
        <v>0</v>
      </c>
      <c r="K101" s="24">
        <f>IF(J101=0,0,J101+COUNTIF('По дням'!$G$2:$G$4000,96)-1)</f>
        <v>0</v>
      </c>
      <c r="L101" s="25">
        <f>IF(J101=0,0,N(INDEX('По дням'!$B$2:$B$4000,MATCH(96,'По дням'!$G$2:$G$4000,0))))</f>
        <v>0</v>
      </c>
      <c r="M101" s="26">
        <f>IF(J101=0,1,N(INDEX('По дням'!$C$2:$C$4000,MATCH(96,'По дням'!$G$2:$G$4000,0))))</f>
        <v>1</v>
      </c>
      <c r="N101" s="27">
        <f>IF(J101=0,0,N(INDEX('По дням'!$E$2:$E$4000,MATCH(96,'По дням'!$G$2:$G$4000,0))))</f>
        <v>0</v>
      </c>
    </row>
    <row r="102" spans="1:14" x14ac:dyDescent="0.3">
      <c r="A102" s="21" t="str">
        <f>IF(A101="","",IF(A101+1&gt;Ввод!$B$4,"",A101+1))</f>
        <v/>
      </c>
      <c r="B102" s="23" t="str">
        <f>IF(A102="","",IFERROR(INDEX(Ввод!$B$12:$B$71,MATCH(A102,Ввод!$D$12:$D$71,1)),""))</f>
        <v/>
      </c>
      <c r="C102" t="str">
        <f t="shared" si="2"/>
        <v/>
      </c>
      <c r="D102" t="str">
        <f>IF(A102="","",SUMIFS(Акты!$D$5:$D$16,Акты!$E$5:$E$16,"&lt;="&amp;A102)-SUMIFS(Оплаты!$B$6:$B$505,Оплаты!$A$6:$A$505,"&lt;"&amp;A102,Оплаты!$D$6:$D$505,"&lt;&gt;"))</f>
        <v/>
      </c>
      <c r="E102" t="str">
        <f>IF(A102="","",IF(SUMPRODUCT((Ввод!$F$12:$F$31&lt;&gt;"")*(Ввод!$F$12:$F$31&lt;=A102)*(Ввод!$G$12:$G$31&gt;=A102))&gt;0,1,0))</f>
        <v/>
      </c>
      <c r="G102" t="str">
        <f t="shared" si="3"/>
        <v/>
      </c>
      <c r="I102">
        <v>97</v>
      </c>
      <c r="J102" s="24">
        <f>IFERROR(INDEX('По дням'!$A$2:$A$4000,MATCH(97,'По дням'!$G$2:$G$4000,0)),0)</f>
        <v>0</v>
      </c>
      <c r="K102" s="24">
        <f>IF(J102=0,0,J102+COUNTIF('По дням'!$G$2:$G$4000,97)-1)</f>
        <v>0</v>
      </c>
      <c r="L102" s="25">
        <f>IF(J102=0,0,N(INDEX('По дням'!$B$2:$B$4000,MATCH(97,'По дням'!$G$2:$G$4000,0))))</f>
        <v>0</v>
      </c>
      <c r="M102" s="26">
        <f>IF(J102=0,1,N(INDEX('По дням'!$C$2:$C$4000,MATCH(97,'По дням'!$G$2:$G$4000,0))))</f>
        <v>1</v>
      </c>
      <c r="N102" s="27">
        <f>IF(J102=0,0,N(INDEX('По дням'!$E$2:$E$4000,MATCH(97,'По дням'!$G$2:$G$4000,0))))</f>
        <v>0</v>
      </c>
    </row>
    <row r="103" spans="1:14" x14ac:dyDescent="0.3">
      <c r="A103" s="21" t="str">
        <f>IF(A102="","",IF(A102+1&gt;Ввод!$B$4,"",A102+1))</f>
        <v/>
      </c>
      <c r="B103" s="23" t="str">
        <f>IF(A103="","",IFERROR(INDEX(Ввод!$B$12:$B$71,MATCH(A103,Ввод!$D$12:$D$71,1)),""))</f>
        <v/>
      </c>
      <c r="C103" t="str">
        <f t="shared" si="2"/>
        <v/>
      </c>
      <c r="D103" t="str">
        <f>IF(A103="","",SUMIFS(Акты!$D$5:$D$16,Акты!$E$5:$E$16,"&lt;="&amp;A103)-SUMIFS(Оплаты!$B$6:$B$505,Оплаты!$A$6:$A$505,"&lt;"&amp;A103,Оплаты!$D$6:$D$505,"&lt;&gt;"))</f>
        <v/>
      </c>
      <c r="E103" t="str">
        <f>IF(A103="","",IF(SUMPRODUCT((Ввод!$F$12:$F$31&lt;&gt;"")*(Ввод!$F$12:$F$31&lt;=A103)*(Ввод!$G$12:$G$31&gt;=A103))&gt;0,1,0))</f>
        <v/>
      </c>
      <c r="G103" t="str">
        <f t="shared" si="3"/>
        <v/>
      </c>
      <c r="I103">
        <v>98</v>
      </c>
      <c r="J103" s="24">
        <f>IFERROR(INDEX('По дням'!$A$2:$A$4000,MATCH(98,'По дням'!$G$2:$G$4000,0)),0)</f>
        <v>0</v>
      </c>
      <c r="K103" s="24">
        <f>IF(J103=0,0,J103+COUNTIF('По дням'!$G$2:$G$4000,98)-1)</f>
        <v>0</v>
      </c>
      <c r="L103" s="25">
        <f>IF(J103=0,0,N(INDEX('По дням'!$B$2:$B$4000,MATCH(98,'По дням'!$G$2:$G$4000,0))))</f>
        <v>0</v>
      </c>
      <c r="M103" s="26">
        <f>IF(J103=0,1,N(INDEX('По дням'!$C$2:$C$4000,MATCH(98,'По дням'!$G$2:$G$4000,0))))</f>
        <v>1</v>
      </c>
      <c r="N103" s="27">
        <f>IF(J103=0,0,N(INDEX('По дням'!$E$2:$E$4000,MATCH(98,'По дням'!$G$2:$G$4000,0))))</f>
        <v>0</v>
      </c>
    </row>
    <row r="104" spans="1:14" x14ac:dyDescent="0.3">
      <c r="A104" s="21" t="str">
        <f>IF(A103="","",IF(A103+1&gt;Ввод!$B$4,"",A103+1))</f>
        <v/>
      </c>
      <c r="B104" s="23" t="str">
        <f>IF(A104="","",IFERROR(INDEX(Ввод!$B$12:$B$71,MATCH(A104,Ввод!$D$12:$D$71,1)),""))</f>
        <v/>
      </c>
      <c r="C104" t="str">
        <f t="shared" si="2"/>
        <v/>
      </c>
      <c r="D104" t="str">
        <f>IF(A104="","",SUMIFS(Акты!$D$5:$D$16,Акты!$E$5:$E$16,"&lt;="&amp;A104)-SUMIFS(Оплаты!$B$6:$B$505,Оплаты!$A$6:$A$505,"&lt;"&amp;A104,Оплаты!$D$6:$D$505,"&lt;&gt;"))</f>
        <v/>
      </c>
      <c r="E104" t="str">
        <f>IF(A104="","",IF(SUMPRODUCT((Ввод!$F$12:$F$31&lt;&gt;"")*(Ввод!$F$12:$F$31&lt;=A104)*(Ввод!$G$12:$G$31&gt;=A104))&gt;0,1,0))</f>
        <v/>
      </c>
      <c r="G104" t="str">
        <f t="shared" si="3"/>
        <v/>
      </c>
      <c r="I104">
        <v>99</v>
      </c>
      <c r="J104" s="24">
        <f>IFERROR(INDEX('По дням'!$A$2:$A$4000,MATCH(99,'По дням'!$G$2:$G$4000,0)),0)</f>
        <v>0</v>
      </c>
      <c r="K104" s="24">
        <f>IF(J104=0,0,J104+COUNTIF('По дням'!$G$2:$G$4000,99)-1)</f>
        <v>0</v>
      </c>
      <c r="L104" s="25">
        <f>IF(J104=0,0,N(INDEX('По дням'!$B$2:$B$4000,MATCH(99,'По дням'!$G$2:$G$4000,0))))</f>
        <v>0</v>
      </c>
      <c r="M104" s="26">
        <f>IF(J104=0,1,N(INDEX('По дням'!$C$2:$C$4000,MATCH(99,'По дням'!$G$2:$G$4000,0))))</f>
        <v>1</v>
      </c>
      <c r="N104" s="27">
        <f>IF(J104=0,0,N(INDEX('По дням'!$E$2:$E$4000,MATCH(99,'По дням'!$G$2:$G$4000,0))))</f>
        <v>0</v>
      </c>
    </row>
    <row r="105" spans="1:14" x14ac:dyDescent="0.3">
      <c r="A105" s="21" t="str">
        <f>IF(A104="","",IF(A104+1&gt;Ввод!$B$4,"",A104+1))</f>
        <v/>
      </c>
      <c r="B105" s="23" t="str">
        <f>IF(A105="","",IFERROR(INDEX(Ввод!$B$12:$B$71,MATCH(A105,Ввод!$D$12:$D$71,1)),""))</f>
        <v/>
      </c>
      <c r="C105" t="str">
        <f t="shared" si="2"/>
        <v/>
      </c>
      <c r="D105" t="str">
        <f>IF(A105="","",SUMIFS(Акты!$D$5:$D$16,Акты!$E$5:$E$16,"&lt;="&amp;A105)-SUMIFS(Оплаты!$B$6:$B$505,Оплаты!$A$6:$A$505,"&lt;"&amp;A105,Оплаты!$D$6:$D$505,"&lt;&gt;"))</f>
        <v/>
      </c>
      <c r="E105" t="str">
        <f>IF(A105="","",IF(SUMPRODUCT((Ввод!$F$12:$F$31&lt;&gt;"")*(Ввод!$F$12:$F$31&lt;=A105)*(Ввод!$G$12:$G$31&gt;=A105))&gt;0,1,0))</f>
        <v/>
      </c>
      <c r="G105" t="str">
        <f t="shared" si="3"/>
        <v/>
      </c>
      <c r="I105">
        <v>100</v>
      </c>
      <c r="J105" s="24">
        <f>IFERROR(INDEX('По дням'!$A$2:$A$4000,MATCH(100,'По дням'!$G$2:$G$4000,0)),0)</f>
        <v>0</v>
      </c>
      <c r="K105" s="24">
        <f>IF(J105=0,0,J105+COUNTIF('По дням'!$G$2:$G$4000,100)-1)</f>
        <v>0</v>
      </c>
      <c r="L105" s="25">
        <f>IF(J105=0,0,N(INDEX('По дням'!$B$2:$B$4000,MATCH(100,'По дням'!$G$2:$G$4000,0))))</f>
        <v>0</v>
      </c>
      <c r="M105" s="26">
        <f>IF(J105=0,1,N(INDEX('По дням'!$C$2:$C$4000,MATCH(100,'По дням'!$G$2:$G$4000,0))))</f>
        <v>1</v>
      </c>
      <c r="N105" s="27">
        <f>IF(J105=0,0,N(INDEX('По дням'!$E$2:$E$4000,MATCH(100,'По дням'!$G$2:$G$4000,0))))</f>
        <v>0</v>
      </c>
    </row>
    <row r="106" spans="1:14" x14ac:dyDescent="0.3">
      <c r="A106" s="21" t="str">
        <f>IF(A105="","",IF(A105+1&gt;Ввод!$B$4,"",A105+1))</f>
        <v/>
      </c>
      <c r="B106" s="23" t="str">
        <f>IF(A106="","",IFERROR(INDEX(Ввод!$B$12:$B$71,MATCH(A106,Ввод!$D$12:$D$71,1)),""))</f>
        <v/>
      </c>
      <c r="C106" t="str">
        <f t="shared" si="2"/>
        <v/>
      </c>
      <c r="D106" t="str">
        <f>IF(A106="","",SUMIFS(Акты!$D$5:$D$16,Акты!$E$5:$E$16,"&lt;="&amp;A106)-SUMIFS(Оплаты!$B$6:$B$505,Оплаты!$A$6:$A$505,"&lt;"&amp;A106,Оплаты!$D$6:$D$505,"&lt;&gt;"))</f>
        <v/>
      </c>
      <c r="E106" t="str">
        <f>IF(A106="","",IF(SUMPRODUCT((Ввод!$F$12:$F$31&lt;&gt;"")*(Ввод!$F$12:$F$31&lt;=A106)*(Ввод!$G$12:$G$31&gt;=A106))&gt;0,1,0))</f>
        <v/>
      </c>
      <c r="G106" t="str">
        <f t="shared" si="3"/>
        <v/>
      </c>
      <c r="I106">
        <v>101</v>
      </c>
      <c r="J106" s="24">
        <f>IFERROR(INDEX('По дням'!$A$2:$A$4000,MATCH(101,'По дням'!$G$2:$G$4000,0)),0)</f>
        <v>0</v>
      </c>
      <c r="K106" s="24">
        <f>IF(J106=0,0,J106+COUNTIF('По дням'!$G$2:$G$4000,101)-1)</f>
        <v>0</v>
      </c>
      <c r="L106" s="25">
        <f>IF(J106=0,0,N(INDEX('По дням'!$B$2:$B$4000,MATCH(101,'По дням'!$G$2:$G$4000,0))))</f>
        <v>0</v>
      </c>
      <c r="M106" s="26">
        <f>IF(J106=0,1,N(INDEX('По дням'!$C$2:$C$4000,MATCH(101,'По дням'!$G$2:$G$4000,0))))</f>
        <v>1</v>
      </c>
      <c r="N106" s="27">
        <f>IF(J106=0,0,N(INDEX('По дням'!$E$2:$E$4000,MATCH(101,'По дням'!$G$2:$G$4000,0))))</f>
        <v>0</v>
      </c>
    </row>
    <row r="107" spans="1:14" x14ac:dyDescent="0.3">
      <c r="A107" s="21" t="str">
        <f>IF(A106="","",IF(A106+1&gt;Ввод!$B$4,"",A106+1))</f>
        <v/>
      </c>
      <c r="B107" s="23" t="str">
        <f>IF(A107="","",IFERROR(INDEX(Ввод!$B$12:$B$71,MATCH(A107,Ввод!$D$12:$D$71,1)),""))</f>
        <v/>
      </c>
      <c r="C107" t="str">
        <f t="shared" si="2"/>
        <v/>
      </c>
      <c r="D107" t="str">
        <f>IF(A107="","",SUMIFS(Акты!$D$5:$D$16,Акты!$E$5:$E$16,"&lt;="&amp;A107)-SUMIFS(Оплаты!$B$6:$B$505,Оплаты!$A$6:$A$505,"&lt;"&amp;A107,Оплаты!$D$6:$D$505,"&lt;&gt;"))</f>
        <v/>
      </c>
      <c r="E107" t="str">
        <f>IF(A107="","",IF(SUMPRODUCT((Ввод!$F$12:$F$31&lt;&gt;"")*(Ввод!$F$12:$F$31&lt;=A107)*(Ввод!$G$12:$G$31&gt;=A107))&gt;0,1,0))</f>
        <v/>
      </c>
      <c r="G107" t="str">
        <f t="shared" si="3"/>
        <v/>
      </c>
      <c r="I107">
        <v>102</v>
      </c>
      <c r="J107" s="24">
        <f>IFERROR(INDEX('По дням'!$A$2:$A$4000,MATCH(102,'По дням'!$G$2:$G$4000,0)),0)</f>
        <v>0</v>
      </c>
      <c r="K107" s="24">
        <f>IF(J107=0,0,J107+COUNTIF('По дням'!$G$2:$G$4000,102)-1)</f>
        <v>0</v>
      </c>
      <c r="L107" s="25">
        <f>IF(J107=0,0,N(INDEX('По дням'!$B$2:$B$4000,MATCH(102,'По дням'!$G$2:$G$4000,0))))</f>
        <v>0</v>
      </c>
      <c r="M107" s="26">
        <f>IF(J107=0,1,N(INDEX('По дням'!$C$2:$C$4000,MATCH(102,'По дням'!$G$2:$G$4000,0))))</f>
        <v>1</v>
      </c>
      <c r="N107" s="27">
        <f>IF(J107=0,0,N(INDEX('По дням'!$E$2:$E$4000,MATCH(102,'По дням'!$G$2:$G$4000,0))))</f>
        <v>0</v>
      </c>
    </row>
    <row r="108" spans="1:14" x14ac:dyDescent="0.3">
      <c r="A108" s="21" t="str">
        <f>IF(A107="","",IF(A107+1&gt;Ввод!$B$4,"",A107+1))</f>
        <v/>
      </c>
      <c r="B108" s="23" t="str">
        <f>IF(A108="","",IFERROR(INDEX(Ввод!$B$12:$B$71,MATCH(A108,Ввод!$D$12:$D$71,1)),""))</f>
        <v/>
      </c>
      <c r="C108" t="str">
        <f t="shared" si="2"/>
        <v/>
      </c>
      <c r="D108" t="str">
        <f>IF(A108="","",SUMIFS(Акты!$D$5:$D$16,Акты!$E$5:$E$16,"&lt;="&amp;A108)-SUMIFS(Оплаты!$B$6:$B$505,Оплаты!$A$6:$A$505,"&lt;"&amp;A108,Оплаты!$D$6:$D$505,"&lt;&gt;"))</f>
        <v/>
      </c>
      <c r="E108" t="str">
        <f>IF(A108="","",IF(SUMPRODUCT((Ввод!$F$12:$F$31&lt;&gt;"")*(Ввод!$F$12:$F$31&lt;=A108)*(Ввод!$G$12:$G$31&gt;=A108))&gt;0,1,0))</f>
        <v/>
      </c>
      <c r="G108" t="str">
        <f t="shared" si="3"/>
        <v/>
      </c>
      <c r="I108">
        <v>103</v>
      </c>
      <c r="J108" s="24">
        <f>IFERROR(INDEX('По дням'!$A$2:$A$4000,MATCH(103,'По дням'!$G$2:$G$4000,0)),0)</f>
        <v>0</v>
      </c>
      <c r="K108" s="24">
        <f>IF(J108=0,0,J108+COUNTIF('По дням'!$G$2:$G$4000,103)-1)</f>
        <v>0</v>
      </c>
      <c r="L108" s="25">
        <f>IF(J108=0,0,N(INDEX('По дням'!$B$2:$B$4000,MATCH(103,'По дням'!$G$2:$G$4000,0))))</f>
        <v>0</v>
      </c>
      <c r="M108" s="26">
        <f>IF(J108=0,1,N(INDEX('По дням'!$C$2:$C$4000,MATCH(103,'По дням'!$G$2:$G$4000,0))))</f>
        <v>1</v>
      </c>
      <c r="N108" s="27">
        <f>IF(J108=0,0,N(INDEX('По дням'!$E$2:$E$4000,MATCH(103,'По дням'!$G$2:$G$4000,0))))</f>
        <v>0</v>
      </c>
    </row>
    <row r="109" spans="1:14" x14ac:dyDescent="0.3">
      <c r="A109" s="21" t="str">
        <f>IF(A108="","",IF(A108+1&gt;Ввод!$B$4,"",A108+1))</f>
        <v/>
      </c>
      <c r="B109" s="23" t="str">
        <f>IF(A109="","",IFERROR(INDEX(Ввод!$B$12:$B$71,MATCH(A109,Ввод!$D$12:$D$71,1)),""))</f>
        <v/>
      </c>
      <c r="C109" t="str">
        <f t="shared" si="2"/>
        <v/>
      </c>
      <c r="D109" t="str">
        <f>IF(A109="","",SUMIFS(Акты!$D$5:$D$16,Акты!$E$5:$E$16,"&lt;="&amp;A109)-SUMIFS(Оплаты!$B$6:$B$505,Оплаты!$A$6:$A$505,"&lt;"&amp;A109,Оплаты!$D$6:$D$505,"&lt;&gt;"))</f>
        <v/>
      </c>
      <c r="E109" t="str">
        <f>IF(A109="","",IF(SUMPRODUCT((Ввод!$F$12:$F$31&lt;&gt;"")*(Ввод!$F$12:$F$31&lt;=A109)*(Ввод!$G$12:$G$31&gt;=A109))&gt;0,1,0))</f>
        <v/>
      </c>
      <c r="G109" t="str">
        <f t="shared" si="3"/>
        <v/>
      </c>
      <c r="I109">
        <v>104</v>
      </c>
      <c r="J109" s="24">
        <f>IFERROR(INDEX('По дням'!$A$2:$A$4000,MATCH(104,'По дням'!$G$2:$G$4000,0)),0)</f>
        <v>0</v>
      </c>
      <c r="K109" s="24">
        <f>IF(J109=0,0,J109+COUNTIF('По дням'!$G$2:$G$4000,104)-1)</f>
        <v>0</v>
      </c>
      <c r="L109" s="25">
        <f>IF(J109=0,0,N(INDEX('По дням'!$B$2:$B$4000,MATCH(104,'По дням'!$G$2:$G$4000,0))))</f>
        <v>0</v>
      </c>
      <c r="M109" s="26">
        <f>IF(J109=0,1,N(INDEX('По дням'!$C$2:$C$4000,MATCH(104,'По дням'!$G$2:$G$4000,0))))</f>
        <v>1</v>
      </c>
      <c r="N109" s="27">
        <f>IF(J109=0,0,N(INDEX('По дням'!$E$2:$E$4000,MATCH(104,'По дням'!$G$2:$G$4000,0))))</f>
        <v>0</v>
      </c>
    </row>
    <row r="110" spans="1:14" x14ac:dyDescent="0.3">
      <c r="A110" s="21" t="str">
        <f>IF(A109="","",IF(A109+1&gt;Ввод!$B$4,"",A109+1))</f>
        <v/>
      </c>
      <c r="B110" s="23" t="str">
        <f>IF(A110="","",IFERROR(INDEX(Ввод!$B$12:$B$71,MATCH(A110,Ввод!$D$12:$D$71,1)),""))</f>
        <v/>
      </c>
      <c r="C110" t="str">
        <f t="shared" si="2"/>
        <v/>
      </c>
      <c r="D110" t="str">
        <f>IF(A110="","",SUMIFS(Акты!$D$5:$D$16,Акты!$E$5:$E$16,"&lt;="&amp;A110)-SUMIFS(Оплаты!$B$6:$B$505,Оплаты!$A$6:$A$505,"&lt;"&amp;A110,Оплаты!$D$6:$D$505,"&lt;&gt;"))</f>
        <v/>
      </c>
      <c r="E110" t="str">
        <f>IF(A110="","",IF(SUMPRODUCT((Ввод!$F$12:$F$31&lt;&gt;"")*(Ввод!$F$12:$F$31&lt;=A110)*(Ввод!$G$12:$G$31&gt;=A110))&gt;0,1,0))</f>
        <v/>
      </c>
      <c r="G110" t="str">
        <f t="shared" si="3"/>
        <v/>
      </c>
      <c r="I110">
        <v>105</v>
      </c>
      <c r="J110" s="24">
        <f>IFERROR(INDEX('По дням'!$A$2:$A$4000,MATCH(105,'По дням'!$G$2:$G$4000,0)),0)</f>
        <v>0</v>
      </c>
      <c r="K110" s="24">
        <f>IF(J110=0,0,J110+COUNTIF('По дням'!$G$2:$G$4000,105)-1)</f>
        <v>0</v>
      </c>
      <c r="L110" s="25">
        <f>IF(J110=0,0,N(INDEX('По дням'!$B$2:$B$4000,MATCH(105,'По дням'!$G$2:$G$4000,0))))</f>
        <v>0</v>
      </c>
      <c r="M110" s="26">
        <f>IF(J110=0,1,N(INDEX('По дням'!$C$2:$C$4000,MATCH(105,'По дням'!$G$2:$G$4000,0))))</f>
        <v>1</v>
      </c>
      <c r="N110" s="27">
        <f>IF(J110=0,0,N(INDEX('По дням'!$E$2:$E$4000,MATCH(105,'По дням'!$G$2:$G$4000,0))))</f>
        <v>0</v>
      </c>
    </row>
    <row r="111" spans="1:14" x14ac:dyDescent="0.3">
      <c r="A111" s="21" t="str">
        <f>IF(A110="","",IF(A110+1&gt;Ввод!$B$4,"",A110+1))</f>
        <v/>
      </c>
      <c r="B111" s="23" t="str">
        <f>IF(A111="","",IFERROR(INDEX(Ввод!$B$12:$B$71,MATCH(A111,Ввод!$D$12:$D$71,1)),""))</f>
        <v/>
      </c>
      <c r="C111" t="str">
        <f t="shared" si="2"/>
        <v/>
      </c>
      <c r="D111" t="str">
        <f>IF(A111="","",SUMIFS(Акты!$D$5:$D$16,Акты!$E$5:$E$16,"&lt;="&amp;A111)-SUMIFS(Оплаты!$B$6:$B$505,Оплаты!$A$6:$A$505,"&lt;"&amp;A111,Оплаты!$D$6:$D$505,"&lt;&gt;"))</f>
        <v/>
      </c>
      <c r="E111" t="str">
        <f>IF(A111="","",IF(SUMPRODUCT((Ввод!$F$12:$F$31&lt;&gt;"")*(Ввод!$F$12:$F$31&lt;=A111)*(Ввод!$G$12:$G$31&gt;=A111))&gt;0,1,0))</f>
        <v/>
      </c>
      <c r="G111" t="str">
        <f t="shared" si="3"/>
        <v/>
      </c>
      <c r="I111">
        <v>106</v>
      </c>
      <c r="J111" s="24">
        <f>IFERROR(INDEX('По дням'!$A$2:$A$4000,MATCH(106,'По дням'!$G$2:$G$4000,0)),0)</f>
        <v>0</v>
      </c>
      <c r="K111" s="24">
        <f>IF(J111=0,0,J111+COUNTIF('По дням'!$G$2:$G$4000,106)-1)</f>
        <v>0</v>
      </c>
      <c r="L111" s="25">
        <f>IF(J111=0,0,N(INDEX('По дням'!$B$2:$B$4000,MATCH(106,'По дням'!$G$2:$G$4000,0))))</f>
        <v>0</v>
      </c>
      <c r="M111" s="26">
        <f>IF(J111=0,1,N(INDEX('По дням'!$C$2:$C$4000,MATCH(106,'По дням'!$G$2:$G$4000,0))))</f>
        <v>1</v>
      </c>
      <c r="N111" s="27">
        <f>IF(J111=0,0,N(INDEX('По дням'!$E$2:$E$4000,MATCH(106,'По дням'!$G$2:$G$4000,0))))</f>
        <v>0</v>
      </c>
    </row>
    <row r="112" spans="1:14" x14ac:dyDescent="0.3">
      <c r="A112" s="21" t="str">
        <f>IF(A111="","",IF(A111+1&gt;Ввод!$B$4,"",A111+1))</f>
        <v/>
      </c>
      <c r="B112" s="23" t="str">
        <f>IF(A112="","",IFERROR(INDEX(Ввод!$B$12:$B$71,MATCH(A112,Ввод!$D$12:$D$71,1)),""))</f>
        <v/>
      </c>
      <c r="C112" t="str">
        <f t="shared" si="2"/>
        <v/>
      </c>
      <c r="D112" t="str">
        <f>IF(A112="","",SUMIFS(Акты!$D$5:$D$16,Акты!$E$5:$E$16,"&lt;="&amp;A112)-SUMIFS(Оплаты!$B$6:$B$505,Оплаты!$A$6:$A$505,"&lt;"&amp;A112,Оплаты!$D$6:$D$505,"&lt;&gt;"))</f>
        <v/>
      </c>
      <c r="E112" t="str">
        <f>IF(A112="","",IF(SUMPRODUCT((Ввод!$F$12:$F$31&lt;&gt;"")*(Ввод!$F$12:$F$31&lt;=A112)*(Ввод!$G$12:$G$31&gt;=A112))&gt;0,1,0))</f>
        <v/>
      </c>
      <c r="G112" t="str">
        <f t="shared" si="3"/>
        <v/>
      </c>
      <c r="I112">
        <v>107</v>
      </c>
      <c r="J112" s="24">
        <f>IFERROR(INDEX('По дням'!$A$2:$A$4000,MATCH(107,'По дням'!$G$2:$G$4000,0)),0)</f>
        <v>0</v>
      </c>
      <c r="K112" s="24">
        <f>IF(J112=0,0,J112+COUNTIF('По дням'!$G$2:$G$4000,107)-1)</f>
        <v>0</v>
      </c>
      <c r="L112" s="25">
        <f>IF(J112=0,0,N(INDEX('По дням'!$B$2:$B$4000,MATCH(107,'По дням'!$G$2:$G$4000,0))))</f>
        <v>0</v>
      </c>
      <c r="M112" s="26">
        <f>IF(J112=0,1,N(INDEX('По дням'!$C$2:$C$4000,MATCH(107,'По дням'!$G$2:$G$4000,0))))</f>
        <v>1</v>
      </c>
      <c r="N112" s="27">
        <f>IF(J112=0,0,N(INDEX('По дням'!$E$2:$E$4000,MATCH(107,'По дням'!$G$2:$G$4000,0))))</f>
        <v>0</v>
      </c>
    </row>
    <row r="113" spans="1:14" x14ac:dyDescent="0.3">
      <c r="A113" s="21" t="str">
        <f>IF(A112="","",IF(A112+1&gt;Ввод!$B$4,"",A112+1))</f>
        <v/>
      </c>
      <c r="B113" s="23" t="str">
        <f>IF(A113="","",IFERROR(INDEX(Ввод!$B$12:$B$71,MATCH(A113,Ввод!$D$12:$D$71,1)),""))</f>
        <v/>
      </c>
      <c r="C113" t="str">
        <f t="shared" si="2"/>
        <v/>
      </c>
      <c r="D113" t="str">
        <f>IF(A113="","",SUMIFS(Акты!$D$5:$D$16,Акты!$E$5:$E$16,"&lt;="&amp;A113)-SUMIFS(Оплаты!$B$6:$B$505,Оплаты!$A$6:$A$505,"&lt;"&amp;A113,Оплаты!$D$6:$D$505,"&lt;&gt;"))</f>
        <v/>
      </c>
      <c r="E113" t="str">
        <f>IF(A113="","",IF(SUMPRODUCT((Ввод!$F$12:$F$31&lt;&gt;"")*(Ввод!$F$12:$F$31&lt;=A113)*(Ввод!$G$12:$G$31&gt;=A113))&gt;0,1,0))</f>
        <v/>
      </c>
      <c r="G113" t="str">
        <f t="shared" si="3"/>
        <v/>
      </c>
      <c r="I113">
        <v>108</v>
      </c>
      <c r="J113" s="24">
        <f>IFERROR(INDEX('По дням'!$A$2:$A$4000,MATCH(108,'По дням'!$G$2:$G$4000,0)),0)</f>
        <v>0</v>
      </c>
      <c r="K113" s="24">
        <f>IF(J113=0,0,J113+COUNTIF('По дням'!$G$2:$G$4000,108)-1)</f>
        <v>0</v>
      </c>
      <c r="L113" s="25">
        <f>IF(J113=0,0,N(INDEX('По дням'!$B$2:$B$4000,MATCH(108,'По дням'!$G$2:$G$4000,0))))</f>
        <v>0</v>
      </c>
      <c r="M113" s="26">
        <f>IF(J113=0,1,N(INDEX('По дням'!$C$2:$C$4000,MATCH(108,'По дням'!$G$2:$G$4000,0))))</f>
        <v>1</v>
      </c>
      <c r="N113" s="27">
        <f>IF(J113=0,0,N(INDEX('По дням'!$E$2:$E$4000,MATCH(108,'По дням'!$G$2:$G$4000,0))))</f>
        <v>0</v>
      </c>
    </row>
    <row r="114" spans="1:14" x14ac:dyDescent="0.3">
      <c r="A114" s="21" t="str">
        <f>IF(A113="","",IF(A113+1&gt;Ввод!$B$4,"",A113+1))</f>
        <v/>
      </c>
      <c r="B114" s="23" t="str">
        <f>IF(A114="","",IFERROR(INDEX(Ввод!$B$12:$B$71,MATCH(A114,Ввод!$D$12:$D$71,1)),""))</f>
        <v/>
      </c>
      <c r="C114" t="str">
        <f t="shared" si="2"/>
        <v/>
      </c>
      <c r="D114" t="str">
        <f>IF(A114="","",SUMIFS(Акты!$D$5:$D$16,Акты!$E$5:$E$16,"&lt;="&amp;A114)-SUMIFS(Оплаты!$B$6:$B$505,Оплаты!$A$6:$A$505,"&lt;"&amp;A114,Оплаты!$D$6:$D$505,"&lt;&gt;"))</f>
        <v/>
      </c>
      <c r="E114" t="str">
        <f>IF(A114="","",IF(SUMPRODUCT((Ввод!$F$12:$F$31&lt;&gt;"")*(Ввод!$F$12:$F$31&lt;=A114)*(Ввод!$G$12:$G$31&gt;=A114))&gt;0,1,0))</f>
        <v/>
      </c>
      <c r="G114" t="str">
        <f t="shared" si="3"/>
        <v/>
      </c>
      <c r="I114">
        <v>109</v>
      </c>
      <c r="J114" s="24">
        <f>IFERROR(INDEX('По дням'!$A$2:$A$4000,MATCH(109,'По дням'!$G$2:$G$4000,0)),0)</f>
        <v>0</v>
      </c>
      <c r="K114" s="24">
        <f>IF(J114=0,0,J114+COUNTIF('По дням'!$G$2:$G$4000,109)-1)</f>
        <v>0</v>
      </c>
      <c r="L114" s="25">
        <f>IF(J114=0,0,N(INDEX('По дням'!$B$2:$B$4000,MATCH(109,'По дням'!$G$2:$G$4000,0))))</f>
        <v>0</v>
      </c>
      <c r="M114" s="26">
        <f>IF(J114=0,1,N(INDEX('По дням'!$C$2:$C$4000,MATCH(109,'По дням'!$G$2:$G$4000,0))))</f>
        <v>1</v>
      </c>
      <c r="N114" s="27">
        <f>IF(J114=0,0,N(INDEX('По дням'!$E$2:$E$4000,MATCH(109,'По дням'!$G$2:$G$4000,0))))</f>
        <v>0</v>
      </c>
    </row>
    <row r="115" spans="1:14" x14ac:dyDescent="0.3">
      <c r="A115" s="21" t="str">
        <f>IF(A114="","",IF(A114+1&gt;Ввод!$B$4,"",A114+1))</f>
        <v/>
      </c>
      <c r="B115" s="23" t="str">
        <f>IF(A115="","",IFERROR(INDEX(Ввод!$B$12:$B$71,MATCH(A115,Ввод!$D$12:$D$71,1)),""))</f>
        <v/>
      </c>
      <c r="C115" t="str">
        <f t="shared" si="2"/>
        <v/>
      </c>
      <c r="D115" t="str">
        <f>IF(A115="","",SUMIFS(Акты!$D$5:$D$16,Акты!$E$5:$E$16,"&lt;="&amp;A115)-SUMIFS(Оплаты!$B$6:$B$505,Оплаты!$A$6:$A$505,"&lt;"&amp;A115,Оплаты!$D$6:$D$505,"&lt;&gt;"))</f>
        <v/>
      </c>
      <c r="E115" t="str">
        <f>IF(A115="","",IF(SUMPRODUCT((Ввод!$F$12:$F$31&lt;&gt;"")*(Ввод!$F$12:$F$31&lt;=A115)*(Ввод!$G$12:$G$31&gt;=A115))&gt;0,1,0))</f>
        <v/>
      </c>
      <c r="G115" t="str">
        <f t="shared" si="3"/>
        <v/>
      </c>
      <c r="I115">
        <v>110</v>
      </c>
      <c r="J115" s="24">
        <f>IFERROR(INDEX('По дням'!$A$2:$A$4000,MATCH(110,'По дням'!$G$2:$G$4000,0)),0)</f>
        <v>0</v>
      </c>
      <c r="K115" s="24">
        <f>IF(J115=0,0,J115+COUNTIF('По дням'!$G$2:$G$4000,110)-1)</f>
        <v>0</v>
      </c>
      <c r="L115" s="25">
        <f>IF(J115=0,0,N(INDEX('По дням'!$B$2:$B$4000,MATCH(110,'По дням'!$G$2:$G$4000,0))))</f>
        <v>0</v>
      </c>
      <c r="M115" s="26">
        <f>IF(J115=0,1,N(INDEX('По дням'!$C$2:$C$4000,MATCH(110,'По дням'!$G$2:$G$4000,0))))</f>
        <v>1</v>
      </c>
      <c r="N115" s="27">
        <f>IF(J115=0,0,N(INDEX('По дням'!$E$2:$E$4000,MATCH(110,'По дням'!$G$2:$G$4000,0))))</f>
        <v>0</v>
      </c>
    </row>
    <row r="116" spans="1:14" x14ac:dyDescent="0.3">
      <c r="A116" s="21" t="str">
        <f>IF(A115="","",IF(A115+1&gt;Ввод!$B$4,"",A115+1))</f>
        <v/>
      </c>
      <c r="B116" s="23" t="str">
        <f>IF(A116="","",IFERROR(INDEX(Ввод!$B$12:$B$71,MATCH(A116,Ввод!$D$12:$D$71,1)),""))</f>
        <v/>
      </c>
      <c r="C116" t="str">
        <f t="shared" si="2"/>
        <v/>
      </c>
      <c r="D116" t="str">
        <f>IF(A116="","",SUMIFS(Акты!$D$5:$D$16,Акты!$E$5:$E$16,"&lt;="&amp;A116)-SUMIFS(Оплаты!$B$6:$B$505,Оплаты!$A$6:$A$505,"&lt;"&amp;A116,Оплаты!$D$6:$D$505,"&lt;&gt;"))</f>
        <v/>
      </c>
      <c r="E116" t="str">
        <f>IF(A116="","",IF(SUMPRODUCT((Ввод!$F$12:$F$31&lt;&gt;"")*(Ввод!$F$12:$F$31&lt;=A116)*(Ввод!$G$12:$G$31&gt;=A116))&gt;0,1,0))</f>
        <v/>
      </c>
      <c r="G116" t="str">
        <f t="shared" si="3"/>
        <v/>
      </c>
      <c r="I116">
        <v>111</v>
      </c>
      <c r="J116" s="24">
        <f>IFERROR(INDEX('По дням'!$A$2:$A$4000,MATCH(111,'По дням'!$G$2:$G$4000,0)),0)</f>
        <v>0</v>
      </c>
      <c r="K116" s="24">
        <f>IF(J116=0,0,J116+COUNTIF('По дням'!$G$2:$G$4000,111)-1)</f>
        <v>0</v>
      </c>
      <c r="L116" s="25">
        <f>IF(J116=0,0,N(INDEX('По дням'!$B$2:$B$4000,MATCH(111,'По дням'!$G$2:$G$4000,0))))</f>
        <v>0</v>
      </c>
      <c r="M116" s="26">
        <f>IF(J116=0,1,N(INDEX('По дням'!$C$2:$C$4000,MATCH(111,'По дням'!$G$2:$G$4000,0))))</f>
        <v>1</v>
      </c>
      <c r="N116" s="27">
        <f>IF(J116=0,0,N(INDEX('По дням'!$E$2:$E$4000,MATCH(111,'По дням'!$G$2:$G$4000,0))))</f>
        <v>0</v>
      </c>
    </row>
    <row r="117" spans="1:14" x14ac:dyDescent="0.3">
      <c r="A117" s="21" t="str">
        <f>IF(A116="","",IF(A116+1&gt;Ввод!$B$4,"",A116+1))</f>
        <v/>
      </c>
      <c r="B117" s="23" t="str">
        <f>IF(A117="","",IFERROR(INDEX(Ввод!$B$12:$B$71,MATCH(A117,Ввод!$D$12:$D$71,1)),""))</f>
        <v/>
      </c>
      <c r="C117" t="str">
        <f t="shared" si="2"/>
        <v/>
      </c>
      <c r="D117" t="str">
        <f>IF(A117="","",SUMIFS(Акты!$D$5:$D$16,Акты!$E$5:$E$16,"&lt;="&amp;A117)-SUMIFS(Оплаты!$B$6:$B$505,Оплаты!$A$6:$A$505,"&lt;"&amp;A117,Оплаты!$D$6:$D$505,"&lt;&gt;"))</f>
        <v/>
      </c>
      <c r="E117" t="str">
        <f>IF(A117="","",IF(SUMPRODUCT((Ввод!$F$12:$F$31&lt;&gt;"")*(Ввод!$F$12:$F$31&lt;=A117)*(Ввод!$G$12:$G$31&gt;=A117))&gt;0,1,0))</f>
        <v/>
      </c>
      <c r="G117" t="str">
        <f t="shared" si="3"/>
        <v/>
      </c>
      <c r="I117">
        <v>112</v>
      </c>
      <c r="J117" s="24">
        <f>IFERROR(INDEX('По дням'!$A$2:$A$4000,MATCH(112,'По дням'!$G$2:$G$4000,0)),0)</f>
        <v>0</v>
      </c>
      <c r="K117" s="24">
        <f>IF(J117=0,0,J117+COUNTIF('По дням'!$G$2:$G$4000,112)-1)</f>
        <v>0</v>
      </c>
      <c r="L117" s="25">
        <f>IF(J117=0,0,N(INDEX('По дням'!$B$2:$B$4000,MATCH(112,'По дням'!$G$2:$G$4000,0))))</f>
        <v>0</v>
      </c>
      <c r="M117" s="26">
        <f>IF(J117=0,1,N(INDEX('По дням'!$C$2:$C$4000,MATCH(112,'По дням'!$G$2:$G$4000,0))))</f>
        <v>1</v>
      </c>
      <c r="N117" s="27">
        <f>IF(J117=0,0,N(INDEX('По дням'!$E$2:$E$4000,MATCH(112,'По дням'!$G$2:$G$4000,0))))</f>
        <v>0</v>
      </c>
    </row>
    <row r="118" spans="1:14" x14ac:dyDescent="0.3">
      <c r="A118" s="21" t="str">
        <f>IF(A117="","",IF(A117+1&gt;Ввод!$B$4,"",A117+1))</f>
        <v/>
      </c>
      <c r="B118" s="23" t="str">
        <f>IF(A118="","",IFERROR(INDEX(Ввод!$B$12:$B$71,MATCH(A118,Ввод!$D$12:$D$71,1)),""))</f>
        <v/>
      </c>
      <c r="C118" t="str">
        <f t="shared" si="2"/>
        <v/>
      </c>
      <c r="D118" t="str">
        <f>IF(A118="","",SUMIFS(Акты!$D$5:$D$16,Акты!$E$5:$E$16,"&lt;="&amp;A118)-SUMIFS(Оплаты!$B$6:$B$505,Оплаты!$A$6:$A$505,"&lt;"&amp;A118,Оплаты!$D$6:$D$505,"&lt;&gt;"))</f>
        <v/>
      </c>
      <c r="E118" t="str">
        <f>IF(A118="","",IF(SUMPRODUCT((Ввод!$F$12:$F$31&lt;&gt;"")*(Ввод!$F$12:$F$31&lt;=A118)*(Ввод!$G$12:$G$31&gt;=A118))&gt;0,1,0))</f>
        <v/>
      </c>
      <c r="G118" t="str">
        <f t="shared" si="3"/>
        <v/>
      </c>
      <c r="I118">
        <v>113</v>
      </c>
      <c r="J118" s="24">
        <f>IFERROR(INDEX('По дням'!$A$2:$A$4000,MATCH(113,'По дням'!$G$2:$G$4000,0)),0)</f>
        <v>0</v>
      </c>
      <c r="K118" s="24">
        <f>IF(J118=0,0,J118+COUNTIF('По дням'!$G$2:$G$4000,113)-1)</f>
        <v>0</v>
      </c>
      <c r="L118" s="25">
        <f>IF(J118=0,0,N(INDEX('По дням'!$B$2:$B$4000,MATCH(113,'По дням'!$G$2:$G$4000,0))))</f>
        <v>0</v>
      </c>
      <c r="M118" s="26">
        <f>IF(J118=0,1,N(INDEX('По дням'!$C$2:$C$4000,MATCH(113,'По дням'!$G$2:$G$4000,0))))</f>
        <v>1</v>
      </c>
      <c r="N118" s="27">
        <f>IF(J118=0,0,N(INDEX('По дням'!$E$2:$E$4000,MATCH(113,'По дням'!$G$2:$G$4000,0))))</f>
        <v>0</v>
      </c>
    </row>
    <row r="119" spans="1:14" x14ac:dyDescent="0.3">
      <c r="A119" s="21" t="str">
        <f>IF(A118="","",IF(A118+1&gt;Ввод!$B$4,"",A118+1))</f>
        <v/>
      </c>
      <c r="B119" s="23" t="str">
        <f>IF(A119="","",IFERROR(INDEX(Ввод!$B$12:$B$71,MATCH(A119,Ввод!$D$12:$D$71,1)),""))</f>
        <v/>
      </c>
      <c r="C119" t="str">
        <f t="shared" si="2"/>
        <v/>
      </c>
      <c r="D119" t="str">
        <f>IF(A119="","",SUMIFS(Акты!$D$5:$D$16,Акты!$E$5:$E$16,"&lt;="&amp;A119)-SUMIFS(Оплаты!$B$6:$B$505,Оплаты!$A$6:$A$505,"&lt;"&amp;A119,Оплаты!$D$6:$D$505,"&lt;&gt;"))</f>
        <v/>
      </c>
      <c r="E119" t="str">
        <f>IF(A119="","",IF(SUMPRODUCT((Ввод!$F$12:$F$31&lt;&gt;"")*(Ввод!$F$12:$F$31&lt;=A119)*(Ввод!$G$12:$G$31&gt;=A119))&gt;0,1,0))</f>
        <v/>
      </c>
      <c r="G119" t="str">
        <f t="shared" si="3"/>
        <v/>
      </c>
      <c r="I119">
        <v>114</v>
      </c>
      <c r="J119" s="24">
        <f>IFERROR(INDEX('По дням'!$A$2:$A$4000,MATCH(114,'По дням'!$G$2:$G$4000,0)),0)</f>
        <v>0</v>
      </c>
      <c r="K119" s="24">
        <f>IF(J119=0,0,J119+COUNTIF('По дням'!$G$2:$G$4000,114)-1)</f>
        <v>0</v>
      </c>
      <c r="L119" s="25">
        <f>IF(J119=0,0,N(INDEX('По дням'!$B$2:$B$4000,MATCH(114,'По дням'!$G$2:$G$4000,0))))</f>
        <v>0</v>
      </c>
      <c r="M119" s="26">
        <f>IF(J119=0,1,N(INDEX('По дням'!$C$2:$C$4000,MATCH(114,'По дням'!$G$2:$G$4000,0))))</f>
        <v>1</v>
      </c>
      <c r="N119" s="27">
        <f>IF(J119=0,0,N(INDEX('По дням'!$E$2:$E$4000,MATCH(114,'По дням'!$G$2:$G$4000,0))))</f>
        <v>0</v>
      </c>
    </row>
    <row r="120" spans="1:14" x14ac:dyDescent="0.3">
      <c r="A120" s="21" t="str">
        <f>IF(A119="","",IF(A119+1&gt;Ввод!$B$4,"",A119+1))</f>
        <v/>
      </c>
      <c r="B120" s="23" t="str">
        <f>IF(A120="","",IFERROR(INDEX(Ввод!$B$12:$B$71,MATCH(A120,Ввод!$D$12:$D$71,1)),""))</f>
        <v/>
      </c>
      <c r="C120" t="str">
        <f t="shared" si="2"/>
        <v/>
      </c>
      <c r="D120" t="str">
        <f>IF(A120="","",SUMIFS(Акты!$D$5:$D$16,Акты!$E$5:$E$16,"&lt;="&amp;A120)-SUMIFS(Оплаты!$B$6:$B$505,Оплаты!$A$6:$A$505,"&lt;"&amp;A120,Оплаты!$D$6:$D$505,"&lt;&gt;"))</f>
        <v/>
      </c>
      <c r="E120" t="str">
        <f>IF(A120="","",IF(SUMPRODUCT((Ввод!$F$12:$F$31&lt;&gt;"")*(Ввод!$F$12:$F$31&lt;=A120)*(Ввод!$G$12:$G$31&gt;=A120))&gt;0,1,0))</f>
        <v/>
      </c>
      <c r="G120" t="str">
        <f t="shared" si="3"/>
        <v/>
      </c>
      <c r="I120">
        <v>115</v>
      </c>
      <c r="J120" s="24">
        <f>IFERROR(INDEX('По дням'!$A$2:$A$4000,MATCH(115,'По дням'!$G$2:$G$4000,0)),0)</f>
        <v>0</v>
      </c>
      <c r="K120" s="24">
        <f>IF(J120=0,0,J120+COUNTIF('По дням'!$G$2:$G$4000,115)-1)</f>
        <v>0</v>
      </c>
      <c r="L120" s="25">
        <f>IF(J120=0,0,N(INDEX('По дням'!$B$2:$B$4000,MATCH(115,'По дням'!$G$2:$G$4000,0))))</f>
        <v>0</v>
      </c>
      <c r="M120" s="26">
        <f>IF(J120=0,1,N(INDEX('По дням'!$C$2:$C$4000,MATCH(115,'По дням'!$G$2:$G$4000,0))))</f>
        <v>1</v>
      </c>
      <c r="N120" s="27">
        <f>IF(J120=0,0,N(INDEX('По дням'!$E$2:$E$4000,MATCH(115,'По дням'!$G$2:$G$4000,0))))</f>
        <v>0</v>
      </c>
    </row>
    <row r="121" spans="1:14" x14ac:dyDescent="0.3">
      <c r="A121" s="21" t="str">
        <f>IF(A120="","",IF(A120+1&gt;Ввод!$B$4,"",A120+1))</f>
        <v/>
      </c>
      <c r="B121" s="23" t="str">
        <f>IF(A121="","",IFERROR(INDEX(Ввод!$B$12:$B$71,MATCH(A121,Ввод!$D$12:$D$71,1)),""))</f>
        <v/>
      </c>
      <c r="C121" t="str">
        <f t="shared" si="2"/>
        <v/>
      </c>
      <c r="D121" t="str">
        <f>IF(A121="","",SUMIFS(Акты!$D$5:$D$16,Акты!$E$5:$E$16,"&lt;="&amp;A121)-SUMIFS(Оплаты!$B$6:$B$505,Оплаты!$A$6:$A$505,"&lt;"&amp;A121,Оплаты!$D$6:$D$505,"&lt;&gt;"))</f>
        <v/>
      </c>
      <c r="E121" t="str">
        <f>IF(A121="","",IF(SUMPRODUCT((Ввод!$F$12:$F$31&lt;&gt;"")*(Ввод!$F$12:$F$31&lt;=A121)*(Ввод!$G$12:$G$31&gt;=A121))&gt;0,1,0))</f>
        <v/>
      </c>
      <c r="G121" t="str">
        <f t="shared" si="3"/>
        <v/>
      </c>
      <c r="I121">
        <v>116</v>
      </c>
      <c r="J121" s="24">
        <f>IFERROR(INDEX('По дням'!$A$2:$A$4000,MATCH(116,'По дням'!$G$2:$G$4000,0)),0)</f>
        <v>0</v>
      </c>
      <c r="K121" s="24">
        <f>IF(J121=0,0,J121+COUNTIF('По дням'!$G$2:$G$4000,116)-1)</f>
        <v>0</v>
      </c>
      <c r="L121" s="25">
        <f>IF(J121=0,0,N(INDEX('По дням'!$B$2:$B$4000,MATCH(116,'По дням'!$G$2:$G$4000,0))))</f>
        <v>0</v>
      </c>
      <c r="M121" s="26">
        <f>IF(J121=0,1,N(INDEX('По дням'!$C$2:$C$4000,MATCH(116,'По дням'!$G$2:$G$4000,0))))</f>
        <v>1</v>
      </c>
      <c r="N121" s="27">
        <f>IF(J121=0,0,N(INDEX('По дням'!$E$2:$E$4000,MATCH(116,'По дням'!$G$2:$G$4000,0))))</f>
        <v>0</v>
      </c>
    </row>
    <row r="122" spans="1:14" x14ac:dyDescent="0.3">
      <c r="A122" s="21" t="str">
        <f>IF(A121="","",IF(A121+1&gt;Ввод!$B$4,"",A121+1))</f>
        <v/>
      </c>
      <c r="B122" s="23" t="str">
        <f>IF(A122="","",IFERROR(INDEX(Ввод!$B$12:$B$71,MATCH(A122,Ввод!$D$12:$D$71,1)),""))</f>
        <v/>
      </c>
      <c r="C122" t="str">
        <f t="shared" si="2"/>
        <v/>
      </c>
      <c r="D122" t="str">
        <f>IF(A122="","",SUMIFS(Акты!$D$5:$D$16,Акты!$E$5:$E$16,"&lt;="&amp;A122)-SUMIFS(Оплаты!$B$6:$B$505,Оплаты!$A$6:$A$505,"&lt;"&amp;A122,Оплаты!$D$6:$D$505,"&lt;&gt;"))</f>
        <v/>
      </c>
      <c r="E122" t="str">
        <f>IF(A122="","",IF(SUMPRODUCT((Ввод!$F$12:$F$31&lt;&gt;"")*(Ввод!$F$12:$F$31&lt;=A122)*(Ввод!$G$12:$G$31&gt;=A122))&gt;0,1,0))</f>
        <v/>
      </c>
      <c r="G122" t="str">
        <f t="shared" si="3"/>
        <v/>
      </c>
      <c r="I122">
        <v>117</v>
      </c>
      <c r="J122" s="24">
        <f>IFERROR(INDEX('По дням'!$A$2:$A$4000,MATCH(117,'По дням'!$G$2:$G$4000,0)),0)</f>
        <v>0</v>
      </c>
      <c r="K122" s="24">
        <f>IF(J122=0,0,J122+COUNTIF('По дням'!$G$2:$G$4000,117)-1)</f>
        <v>0</v>
      </c>
      <c r="L122" s="25">
        <f>IF(J122=0,0,N(INDEX('По дням'!$B$2:$B$4000,MATCH(117,'По дням'!$G$2:$G$4000,0))))</f>
        <v>0</v>
      </c>
      <c r="M122" s="26">
        <f>IF(J122=0,1,N(INDEX('По дням'!$C$2:$C$4000,MATCH(117,'По дням'!$G$2:$G$4000,0))))</f>
        <v>1</v>
      </c>
      <c r="N122" s="27">
        <f>IF(J122=0,0,N(INDEX('По дням'!$E$2:$E$4000,MATCH(117,'По дням'!$G$2:$G$4000,0))))</f>
        <v>0</v>
      </c>
    </row>
    <row r="123" spans="1:14" x14ac:dyDescent="0.3">
      <c r="A123" s="21" t="str">
        <f>IF(A122="","",IF(A122+1&gt;Ввод!$B$4,"",A122+1))</f>
        <v/>
      </c>
      <c r="B123" s="23" t="str">
        <f>IF(A123="","",IFERROR(INDEX(Ввод!$B$12:$B$71,MATCH(A123,Ввод!$D$12:$D$71,1)),""))</f>
        <v/>
      </c>
      <c r="C123" t="str">
        <f t="shared" si="2"/>
        <v/>
      </c>
      <c r="D123" t="str">
        <f>IF(A123="","",SUMIFS(Акты!$D$5:$D$16,Акты!$E$5:$E$16,"&lt;="&amp;A123)-SUMIFS(Оплаты!$B$6:$B$505,Оплаты!$A$6:$A$505,"&lt;"&amp;A123,Оплаты!$D$6:$D$505,"&lt;&gt;"))</f>
        <v/>
      </c>
      <c r="E123" t="str">
        <f>IF(A123="","",IF(SUMPRODUCT((Ввод!$F$12:$F$31&lt;&gt;"")*(Ввод!$F$12:$F$31&lt;=A123)*(Ввод!$G$12:$G$31&gt;=A123))&gt;0,1,0))</f>
        <v/>
      </c>
      <c r="G123" t="str">
        <f t="shared" si="3"/>
        <v/>
      </c>
      <c r="I123">
        <v>118</v>
      </c>
      <c r="J123" s="24">
        <f>IFERROR(INDEX('По дням'!$A$2:$A$4000,MATCH(118,'По дням'!$G$2:$G$4000,0)),0)</f>
        <v>0</v>
      </c>
      <c r="K123" s="24">
        <f>IF(J123=0,0,J123+COUNTIF('По дням'!$G$2:$G$4000,118)-1)</f>
        <v>0</v>
      </c>
      <c r="L123" s="25">
        <f>IF(J123=0,0,N(INDEX('По дням'!$B$2:$B$4000,MATCH(118,'По дням'!$G$2:$G$4000,0))))</f>
        <v>0</v>
      </c>
      <c r="M123" s="26">
        <f>IF(J123=0,1,N(INDEX('По дням'!$C$2:$C$4000,MATCH(118,'По дням'!$G$2:$G$4000,0))))</f>
        <v>1</v>
      </c>
      <c r="N123" s="27">
        <f>IF(J123=0,0,N(INDEX('По дням'!$E$2:$E$4000,MATCH(118,'По дням'!$G$2:$G$4000,0))))</f>
        <v>0</v>
      </c>
    </row>
    <row r="124" spans="1:14" x14ac:dyDescent="0.3">
      <c r="A124" s="21" t="str">
        <f>IF(A123="","",IF(A123+1&gt;Ввод!$B$4,"",A123+1))</f>
        <v/>
      </c>
      <c r="B124" s="23" t="str">
        <f>IF(A124="","",IFERROR(INDEX(Ввод!$B$12:$B$71,MATCH(A124,Ввод!$D$12:$D$71,1)),""))</f>
        <v/>
      </c>
      <c r="C124" t="str">
        <f t="shared" si="2"/>
        <v/>
      </c>
      <c r="D124" t="str">
        <f>IF(A124="","",SUMIFS(Акты!$D$5:$D$16,Акты!$E$5:$E$16,"&lt;="&amp;A124)-SUMIFS(Оплаты!$B$6:$B$505,Оплаты!$A$6:$A$505,"&lt;"&amp;A124,Оплаты!$D$6:$D$505,"&lt;&gt;"))</f>
        <v/>
      </c>
      <c r="E124" t="str">
        <f>IF(A124="","",IF(SUMPRODUCT((Ввод!$F$12:$F$31&lt;&gt;"")*(Ввод!$F$12:$F$31&lt;=A124)*(Ввод!$G$12:$G$31&gt;=A124))&gt;0,1,0))</f>
        <v/>
      </c>
      <c r="G124" t="str">
        <f t="shared" si="3"/>
        <v/>
      </c>
      <c r="I124">
        <v>119</v>
      </c>
      <c r="J124" s="24">
        <f>IFERROR(INDEX('По дням'!$A$2:$A$4000,MATCH(119,'По дням'!$G$2:$G$4000,0)),0)</f>
        <v>0</v>
      </c>
      <c r="K124" s="24">
        <f>IF(J124=0,0,J124+COUNTIF('По дням'!$G$2:$G$4000,119)-1)</f>
        <v>0</v>
      </c>
      <c r="L124" s="25">
        <f>IF(J124=0,0,N(INDEX('По дням'!$B$2:$B$4000,MATCH(119,'По дням'!$G$2:$G$4000,0))))</f>
        <v>0</v>
      </c>
      <c r="M124" s="26">
        <f>IF(J124=0,1,N(INDEX('По дням'!$C$2:$C$4000,MATCH(119,'По дням'!$G$2:$G$4000,0))))</f>
        <v>1</v>
      </c>
      <c r="N124" s="27">
        <f>IF(J124=0,0,N(INDEX('По дням'!$E$2:$E$4000,MATCH(119,'По дням'!$G$2:$G$4000,0))))</f>
        <v>0</v>
      </c>
    </row>
    <row r="125" spans="1:14" x14ac:dyDescent="0.3">
      <c r="A125" s="21" t="str">
        <f>IF(A124="","",IF(A124+1&gt;Ввод!$B$4,"",A124+1))</f>
        <v/>
      </c>
      <c r="B125" s="23" t="str">
        <f>IF(A125="","",IFERROR(INDEX(Ввод!$B$12:$B$71,MATCH(A125,Ввод!$D$12:$D$71,1)),""))</f>
        <v/>
      </c>
      <c r="C125" t="str">
        <f t="shared" si="2"/>
        <v/>
      </c>
      <c r="D125" t="str">
        <f>IF(A125="","",SUMIFS(Акты!$D$5:$D$16,Акты!$E$5:$E$16,"&lt;="&amp;A125)-SUMIFS(Оплаты!$B$6:$B$505,Оплаты!$A$6:$A$505,"&lt;"&amp;A125,Оплаты!$D$6:$D$505,"&lt;&gt;"))</f>
        <v/>
      </c>
      <c r="E125" t="str">
        <f>IF(A125="","",IF(SUMPRODUCT((Ввод!$F$12:$F$31&lt;&gt;"")*(Ввод!$F$12:$F$31&lt;=A125)*(Ввод!$G$12:$G$31&gt;=A125))&gt;0,1,0))</f>
        <v/>
      </c>
      <c r="G125" t="str">
        <f t="shared" si="3"/>
        <v/>
      </c>
      <c r="I125">
        <v>120</v>
      </c>
      <c r="J125" s="24">
        <f>IFERROR(INDEX('По дням'!$A$2:$A$4000,MATCH(120,'По дням'!$G$2:$G$4000,0)),0)</f>
        <v>0</v>
      </c>
      <c r="K125" s="24">
        <f>IF(J125=0,0,J125+COUNTIF('По дням'!$G$2:$G$4000,120)-1)</f>
        <v>0</v>
      </c>
      <c r="L125" s="25">
        <f>IF(J125=0,0,N(INDEX('По дням'!$B$2:$B$4000,MATCH(120,'По дням'!$G$2:$G$4000,0))))</f>
        <v>0</v>
      </c>
      <c r="M125" s="26">
        <f>IF(J125=0,1,N(INDEX('По дням'!$C$2:$C$4000,MATCH(120,'По дням'!$G$2:$G$4000,0))))</f>
        <v>1</v>
      </c>
      <c r="N125" s="27">
        <f>IF(J125=0,0,N(INDEX('По дням'!$E$2:$E$4000,MATCH(120,'По дням'!$G$2:$G$4000,0))))</f>
        <v>0</v>
      </c>
    </row>
    <row r="126" spans="1:14" x14ac:dyDescent="0.3">
      <c r="A126" s="21" t="str">
        <f>IF(A125="","",IF(A125+1&gt;Ввод!$B$4,"",A125+1))</f>
        <v/>
      </c>
      <c r="B126" s="23" t="str">
        <f>IF(A126="","",IFERROR(INDEX(Ввод!$B$12:$B$71,MATCH(A126,Ввод!$D$12:$D$71,1)),""))</f>
        <v/>
      </c>
      <c r="C126" t="str">
        <f t="shared" si="2"/>
        <v/>
      </c>
      <c r="D126" t="str">
        <f>IF(A126="","",SUMIFS(Акты!$D$5:$D$16,Акты!$E$5:$E$16,"&lt;="&amp;A126)-SUMIFS(Оплаты!$B$6:$B$505,Оплаты!$A$6:$A$505,"&lt;"&amp;A126,Оплаты!$D$6:$D$505,"&lt;&gt;"))</f>
        <v/>
      </c>
      <c r="E126" t="str">
        <f>IF(A126="","",IF(SUMPRODUCT((Ввод!$F$12:$F$31&lt;&gt;"")*(Ввод!$F$12:$F$31&lt;=A126)*(Ввод!$G$12:$G$31&gt;=A126))&gt;0,1,0))</f>
        <v/>
      </c>
      <c r="G126" t="str">
        <f t="shared" si="3"/>
        <v/>
      </c>
      <c r="I126">
        <v>121</v>
      </c>
      <c r="J126" s="24">
        <f>IFERROR(INDEX('По дням'!$A$2:$A$4000,MATCH(121,'По дням'!$G$2:$G$4000,0)),0)</f>
        <v>0</v>
      </c>
      <c r="K126" s="24">
        <f>IF(J126=0,0,J126+COUNTIF('По дням'!$G$2:$G$4000,121)-1)</f>
        <v>0</v>
      </c>
      <c r="L126" s="25">
        <f>IF(J126=0,0,N(INDEX('По дням'!$B$2:$B$4000,MATCH(121,'По дням'!$G$2:$G$4000,0))))</f>
        <v>0</v>
      </c>
      <c r="M126" s="26">
        <f>IF(J126=0,1,N(INDEX('По дням'!$C$2:$C$4000,MATCH(121,'По дням'!$G$2:$G$4000,0))))</f>
        <v>1</v>
      </c>
      <c r="N126" s="27">
        <f>IF(J126=0,0,N(INDEX('По дням'!$E$2:$E$4000,MATCH(121,'По дням'!$G$2:$G$4000,0))))</f>
        <v>0</v>
      </c>
    </row>
    <row r="127" spans="1:14" x14ac:dyDescent="0.3">
      <c r="A127" s="21" t="str">
        <f>IF(A126="","",IF(A126+1&gt;Ввод!$B$4,"",A126+1))</f>
        <v/>
      </c>
      <c r="B127" s="23" t="str">
        <f>IF(A127="","",IFERROR(INDEX(Ввод!$B$12:$B$71,MATCH(A127,Ввод!$D$12:$D$71,1)),""))</f>
        <v/>
      </c>
      <c r="C127" t="str">
        <f t="shared" si="2"/>
        <v/>
      </c>
      <c r="D127" t="str">
        <f>IF(A127="","",SUMIFS(Акты!$D$5:$D$16,Акты!$E$5:$E$16,"&lt;="&amp;A127)-SUMIFS(Оплаты!$B$6:$B$505,Оплаты!$A$6:$A$505,"&lt;"&amp;A127,Оплаты!$D$6:$D$505,"&lt;&gt;"))</f>
        <v/>
      </c>
      <c r="E127" t="str">
        <f>IF(A127="","",IF(SUMPRODUCT((Ввод!$F$12:$F$31&lt;&gt;"")*(Ввод!$F$12:$F$31&lt;=A127)*(Ввод!$G$12:$G$31&gt;=A127))&gt;0,1,0))</f>
        <v/>
      </c>
      <c r="G127" t="str">
        <f t="shared" si="3"/>
        <v/>
      </c>
      <c r="I127">
        <v>122</v>
      </c>
      <c r="J127" s="24">
        <f>IFERROR(INDEX('По дням'!$A$2:$A$4000,MATCH(122,'По дням'!$G$2:$G$4000,0)),0)</f>
        <v>0</v>
      </c>
      <c r="K127" s="24">
        <f>IF(J127=0,0,J127+COUNTIF('По дням'!$G$2:$G$4000,122)-1)</f>
        <v>0</v>
      </c>
      <c r="L127" s="25">
        <f>IF(J127=0,0,N(INDEX('По дням'!$B$2:$B$4000,MATCH(122,'По дням'!$G$2:$G$4000,0))))</f>
        <v>0</v>
      </c>
      <c r="M127" s="26">
        <f>IF(J127=0,1,N(INDEX('По дням'!$C$2:$C$4000,MATCH(122,'По дням'!$G$2:$G$4000,0))))</f>
        <v>1</v>
      </c>
      <c r="N127" s="27">
        <f>IF(J127=0,0,N(INDEX('По дням'!$E$2:$E$4000,MATCH(122,'По дням'!$G$2:$G$4000,0))))</f>
        <v>0</v>
      </c>
    </row>
    <row r="128" spans="1:14" x14ac:dyDescent="0.3">
      <c r="A128" s="21" t="str">
        <f>IF(A127="","",IF(A127+1&gt;Ввод!$B$4,"",A127+1))</f>
        <v/>
      </c>
      <c r="B128" s="23" t="str">
        <f>IF(A128="","",IFERROR(INDEX(Ввод!$B$12:$B$71,MATCH(A128,Ввод!$D$12:$D$71,1)),""))</f>
        <v/>
      </c>
      <c r="C128" t="str">
        <f t="shared" si="2"/>
        <v/>
      </c>
      <c r="D128" t="str">
        <f>IF(A128="","",SUMIFS(Акты!$D$5:$D$16,Акты!$E$5:$E$16,"&lt;="&amp;A128)-SUMIFS(Оплаты!$B$6:$B$505,Оплаты!$A$6:$A$505,"&lt;"&amp;A128,Оплаты!$D$6:$D$505,"&lt;&gt;"))</f>
        <v/>
      </c>
      <c r="E128" t="str">
        <f>IF(A128="","",IF(SUMPRODUCT((Ввод!$F$12:$F$31&lt;&gt;"")*(Ввод!$F$12:$F$31&lt;=A128)*(Ввод!$G$12:$G$31&gt;=A128))&gt;0,1,0))</f>
        <v/>
      </c>
      <c r="G128" t="str">
        <f t="shared" si="3"/>
        <v/>
      </c>
      <c r="I128">
        <v>123</v>
      </c>
      <c r="J128" s="24">
        <f>IFERROR(INDEX('По дням'!$A$2:$A$4000,MATCH(123,'По дням'!$G$2:$G$4000,0)),0)</f>
        <v>0</v>
      </c>
      <c r="K128" s="24">
        <f>IF(J128=0,0,J128+COUNTIF('По дням'!$G$2:$G$4000,123)-1)</f>
        <v>0</v>
      </c>
      <c r="L128" s="25">
        <f>IF(J128=0,0,N(INDEX('По дням'!$B$2:$B$4000,MATCH(123,'По дням'!$G$2:$G$4000,0))))</f>
        <v>0</v>
      </c>
      <c r="M128" s="26">
        <f>IF(J128=0,1,N(INDEX('По дням'!$C$2:$C$4000,MATCH(123,'По дням'!$G$2:$G$4000,0))))</f>
        <v>1</v>
      </c>
      <c r="N128" s="27">
        <f>IF(J128=0,0,N(INDEX('По дням'!$E$2:$E$4000,MATCH(123,'По дням'!$G$2:$G$4000,0))))</f>
        <v>0</v>
      </c>
    </row>
    <row r="129" spans="1:14" x14ac:dyDescent="0.3">
      <c r="A129" s="21" t="str">
        <f>IF(A128="","",IF(A128+1&gt;Ввод!$B$4,"",A128+1))</f>
        <v/>
      </c>
      <c r="B129" s="23" t="str">
        <f>IF(A129="","",IFERROR(INDEX(Ввод!$B$12:$B$71,MATCH(A129,Ввод!$D$12:$D$71,1)),""))</f>
        <v/>
      </c>
      <c r="C129" t="str">
        <f t="shared" si="2"/>
        <v/>
      </c>
      <c r="D129" t="str">
        <f>IF(A129="","",SUMIFS(Акты!$D$5:$D$16,Акты!$E$5:$E$16,"&lt;="&amp;A129)-SUMIFS(Оплаты!$B$6:$B$505,Оплаты!$A$6:$A$505,"&lt;"&amp;A129,Оплаты!$D$6:$D$505,"&lt;&gt;"))</f>
        <v/>
      </c>
      <c r="E129" t="str">
        <f>IF(A129="","",IF(SUMPRODUCT((Ввод!$F$12:$F$31&lt;&gt;"")*(Ввод!$F$12:$F$31&lt;=A129)*(Ввод!$G$12:$G$31&gt;=A129))&gt;0,1,0))</f>
        <v/>
      </c>
      <c r="G129" t="str">
        <f t="shared" si="3"/>
        <v/>
      </c>
      <c r="I129">
        <v>124</v>
      </c>
      <c r="J129" s="24">
        <f>IFERROR(INDEX('По дням'!$A$2:$A$4000,MATCH(124,'По дням'!$G$2:$G$4000,0)),0)</f>
        <v>0</v>
      </c>
      <c r="K129" s="24">
        <f>IF(J129=0,0,J129+COUNTIF('По дням'!$G$2:$G$4000,124)-1)</f>
        <v>0</v>
      </c>
      <c r="L129" s="25">
        <f>IF(J129=0,0,N(INDEX('По дням'!$B$2:$B$4000,MATCH(124,'По дням'!$G$2:$G$4000,0))))</f>
        <v>0</v>
      </c>
      <c r="M129" s="26">
        <f>IF(J129=0,1,N(INDEX('По дням'!$C$2:$C$4000,MATCH(124,'По дням'!$G$2:$G$4000,0))))</f>
        <v>1</v>
      </c>
      <c r="N129" s="27">
        <f>IF(J129=0,0,N(INDEX('По дням'!$E$2:$E$4000,MATCH(124,'По дням'!$G$2:$G$4000,0))))</f>
        <v>0</v>
      </c>
    </row>
    <row r="130" spans="1:14" x14ac:dyDescent="0.3">
      <c r="A130" s="21" t="str">
        <f>IF(A129="","",IF(A129+1&gt;Ввод!$B$4,"",A129+1))</f>
        <v/>
      </c>
      <c r="B130" s="23" t="str">
        <f>IF(A130="","",IFERROR(INDEX(Ввод!$B$12:$B$71,MATCH(A130,Ввод!$D$12:$D$71,1)),""))</f>
        <v/>
      </c>
      <c r="C130" t="str">
        <f t="shared" ref="C130:C193" si="4">IF(A130="","",DATE(YEAR(A130),12,31)-DATE(YEAR(A130),1,1)+1)</f>
        <v/>
      </c>
      <c r="D130" t="str">
        <f>IF(A130="","",SUMIFS(Акты!$D$5:$D$16,Акты!$E$5:$E$16,"&lt;="&amp;A130)-SUMIFS(Оплаты!$B$6:$B$505,Оплаты!$A$6:$A$505,"&lt;"&amp;A130,Оплаты!$D$6:$D$505,"&lt;&gt;"))</f>
        <v/>
      </c>
      <c r="E130" t="str">
        <f>IF(A130="","",IF(SUMPRODUCT((Ввод!$F$12:$F$31&lt;&gt;"")*(Ввод!$F$12:$F$31&lt;=A130)*(Ввод!$G$12:$G$31&gt;=A130))&gt;0,1,0))</f>
        <v/>
      </c>
      <c r="G130" t="str">
        <f t="shared" si="3"/>
        <v/>
      </c>
      <c r="I130">
        <v>125</v>
      </c>
      <c r="J130" s="24">
        <f>IFERROR(INDEX('По дням'!$A$2:$A$4000,MATCH(125,'По дням'!$G$2:$G$4000,0)),0)</f>
        <v>0</v>
      </c>
      <c r="K130" s="24">
        <f>IF(J130=0,0,J130+COUNTIF('По дням'!$G$2:$G$4000,125)-1)</f>
        <v>0</v>
      </c>
      <c r="L130" s="25">
        <f>IF(J130=0,0,N(INDEX('По дням'!$B$2:$B$4000,MATCH(125,'По дням'!$G$2:$G$4000,0))))</f>
        <v>0</v>
      </c>
      <c r="M130" s="26">
        <f>IF(J130=0,1,N(INDEX('По дням'!$C$2:$C$4000,MATCH(125,'По дням'!$G$2:$G$4000,0))))</f>
        <v>1</v>
      </c>
      <c r="N130" s="27">
        <f>IF(J130=0,0,N(INDEX('По дням'!$E$2:$E$4000,MATCH(125,'По дням'!$G$2:$G$4000,0))))</f>
        <v>0</v>
      </c>
    </row>
    <row r="131" spans="1:14" x14ac:dyDescent="0.3">
      <c r="A131" s="21" t="str">
        <f>IF(A130="","",IF(A130+1&gt;Ввод!$B$4,"",A130+1))</f>
        <v/>
      </c>
      <c r="B131" s="23" t="str">
        <f>IF(A131="","",IFERROR(INDEX(Ввод!$B$12:$B$71,MATCH(A131,Ввод!$D$12:$D$71,1)),""))</f>
        <v/>
      </c>
      <c r="C131" t="str">
        <f t="shared" si="4"/>
        <v/>
      </c>
      <c r="D131" t="str">
        <f>IF(A131="","",SUMIFS(Акты!$D$5:$D$16,Акты!$E$5:$E$16,"&lt;="&amp;A131)-SUMIFS(Оплаты!$B$6:$B$505,Оплаты!$A$6:$A$505,"&lt;"&amp;A131,Оплаты!$D$6:$D$505,"&lt;&gt;"))</f>
        <v/>
      </c>
      <c r="E131" t="str">
        <f>IF(A131="","",IF(SUMPRODUCT((Ввод!$F$12:$F$31&lt;&gt;"")*(Ввод!$F$12:$F$31&lt;=A131)*(Ввод!$G$12:$G$31&gt;=A131))&gt;0,1,0))</f>
        <v/>
      </c>
      <c r="G131" t="str">
        <f t="shared" ref="G131:G194" si="5">IF(A131="","",IF(OR(B131&lt;&gt;B130,C131&lt;&gt;C130,E131&lt;&gt;E130),G130+1,G130))</f>
        <v/>
      </c>
      <c r="I131">
        <v>126</v>
      </c>
      <c r="J131" s="24">
        <f>IFERROR(INDEX('По дням'!$A$2:$A$4000,MATCH(126,'По дням'!$G$2:$G$4000,0)),0)</f>
        <v>0</v>
      </c>
      <c r="K131" s="24">
        <f>IF(J131=0,0,J131+COUNTIF('По дням'!$G$2:$G$4000,126)-1)</f>
        <v>0</v>
      </c>
      <c r="L131" s="25">
        <f>IF(J131=0,0,N(INDEX('По дням'!$B$2:$B$4000,MATCH(126,'По дням'!$G$2:$G$4000,0))))</f>
        <v>0</v>
      </c>
      <c r="M131" s="26">
        <f>IF(J131=0,1,N(INDEX('По дням'!$C$2:$C$4000,MATCH(126,'По дням'!$G$2:$G$4000,0))))</f>
        <v>1</v>
      </c>
      <c r="N131" s="27">
        <f>IF(J131=0,0,N(INDEX('По дням'!$E$2:$E$4000,MATCH(126,'По дням'!$G$2:$G$4000,0))))</f>
        <v>0</v>
      </c>
    </row>
    <row r="132" spans="1:14" x14ac:dyDescent="0.3">
      <c r="A132" s="21" t="str">
        <f>IF(A131="","",IF(A131+1&gt;Ввод!$B$4,"",A131+1))</f>
        <v/>
      </c>
      <c r="B132" s="23" t="str">
        <f>IF(A132="","",IFERROR(INDEX(Ввод!$B$12:$B$71,MATCH(A132,Ввод!$D$12:$D$71,1)),""))</f>
        <v/>
      </c>
      <c r="C132" t="str">
        <f t="shared" si="4"/>
        <v/>
      </c>
      <c r="D132" t="str">
        <f>IF(A132="","",SUMIFS(Акты!$D$5:$D$16,Акты!$E$5:$E$16,"&lt;="&amp;A132)-SUMIFS(Оплаты!$B$6:$B$505,Оплаты!$A$6:$A$505,"&lt;"&amp;A132,Оплаты!$D$6:$D$505,"&lt;&gt;"))</f>
        <v/>
      </c>
      <c r="E132" t="str">
        <f>IF(A132="","",IF(SUMPRODUCT((Ввод!$F$12:$F$31&lt;&gt;"")*(Ввод!$F$12:$F$31&lt;=A132)*(Ввод!$G$12:$G$31&gt;=A132))&gt;0,1,0))</f>
        <v/>
      </c>
      <c r="G132" t="str">
        <f t="shared" si="5"/>
        <v/>
      </c>
      <c r="I132">
        <v>127</v>
      </c>
      <c r="J132" s="24">
        <f>IFERROR(INDEX('По дням'!$A$2:$A$4000,MATCH(127,'По дням'!$G$2:$G$4000,0)),0)</f>
        <v>0</v>
      </c>
      <c r="K132" s="24">
        <f>IF(J132=0,0,J132+COUNTIF('По дням'!$G$2:$G$4000,127)-1)</f>
        <v>0</v>
      </c>
      <c r="L132" s="25">
        <f>IF(J132=0,0,N(INDEX('По дням'!$B$2:$B$4000,MATCH(127,'По дням'!$G$2:$G$4000,0))))</f>
        <v>0</v>
      </c>
      <c r="M132" s="26">
        <f>IF(J132=0,1,N(INDEX('По дням'!$C$2:$C$4000,MATCH(127,'По дням'!$G$2:$G$4000,0))))</f>
        <v>1</v>
      </c>
      <c r="N132" s="27">
        <f>IF(J132=0,0,N(INDEX('По дням'!$E$2:$E$4000,MATCH(127,'По дням'!$G$2:$G$4000,0))))</f>
        <v>0</v>
      </c>
    </row>
    <row r="133" spans="1:14" x14ac:dyDescent="0.3">
      <c r="A133" s="21" t="str">
        <f>IF(A132="","",IF(A132+1&gt;Ввод!$B$4,"",A132+1))</f>
        <v/>
      </c>
      <c r="B133" s="23" t="str">
        <f>IF(A133="","",IFERROR(INDEX(Ввод!$B$12:$B$71,MATCH(A133,Ввод!$D$12:$D$71,1)),""))</f>
        <v/>
      </c>
      <c r="C133" t="str">
        <f t="shared" si="4"/>
        <v/>
      </c>
      <c r="D133" t="str">
        <f>IF(A133="","",SUMIFS(Акты!$D$5:$D$16,Акты!$E$5:$E$16,"&lt;="&amp;A133)-SUMIFS(Оплаты!$B$6:$B$505,Оплаты!$A$6:$A$505,"&lt;"&amp;A133,Оплаты!$D$6:$D$505,"&lt;&gt;"))</f>
        <v/>
      </c>
      <c r="E133" t="str">
        <f>IF(A133="","",IF(SUMPRODUCT((Ввод!$F$12:$F$31&lt;&gt;"")*(Ввод!$F$12:$F$31&lt;=A133)*(Ввод!$G$12:$G$31&gt;=A133))&gt;0,1,0))</f>
        <v/>
      </c>
      <c r="G133" t="str">
        <f t="shared" si="5"/>
        <v/>
      </c>
      <c r="I133">
        <v>128</v>
      </c>
      <c r="J133" s="24">
        <f>IFERROR(INDEX('По дням'!$A$2:$A$4000,MATCH(128,'По дням'!$G$2:$G$4000,0)),0)</f>
        <v>0</v>
      </c>
      <c r="K133" s="24">
        <f>IF(J133=0,0,J133+COUNTIF('По дням'!$G$2:$G$4000,128)-1)</f>
        <v>0</v>
      </c>
      <c r="L133" s="25">
        <f>IF(J133=0,0,N(INDEX('По дням'!$B$2:$B$4000,MATCH(128,'По дням'!$G$2:$G$4000,0))))</f>
        <v>0</v>
      </c>
      <c r="M133" s="26">
        <f>IF(J133=0,1,N(INDEX('По дням'!$C$2:$C$4000,MATCH(128,'По дням'!$G$2:$G$4000,0))))</f>
        <v>1</v>
      </c>
      <c r="N133" s="27">
        <f>IF(J133=0,0,N(INDEX('По дням'!$E$2:$E$4000,MATCH(128,'По дням'!$G$2:$G$4000,0))))</f>
        <v>0</v>
      </c>
    </row>
    <row r="134" spans="1:14" x14ac:dyDescent="0.3">
      <c r="A134" s="21" t="str">
        <f>IF(A133="","",IF(A133+1&gt;Ввод!$B$4,"",A133+1))</f>
        <v/>
      </c>
      <c r="B134" s="23" t="str">
        <f>IF(A134="","",IFERROR(INDEX(Ввод!$B$12:$B$71,MATCH(A134,Ввод!$D$12:$D$71,1)),""))</f>
        <v/>
      </c>
      <c r="C134" t="str">
        <f t="shared" si="4"/>
        <v/>
      </c>
      <c r="D134" t="str">
        <f>IF(A134="","",SUMIFS(Акты!$D$5:$D$16,Акты!$E$5:$E$16,"&lt;="&amp;A134)-SUMIFS(Оплаты!$B$6:$B$505,Оплаты!$A$6:$A$505,"&lt;"&amp;A134,Оплаты!$D$6:$D$505,"&lt;&gt;"))</f>
        <v/>
      </c>
      <c r="E134" t="str">
        <f>IF(A134="","",IF(SUMPRODUCT((Ввод!$F$12:$F$31&lt;&gt;"")*(Ввод!$F$12:$F$31&lt;=A134)*(Ввод!$G$12:$G$31&gt;=A134))&gt;0,1,0))</f>
        <v/>
      </c>
      <c r="G134" t="str">
        <f t="shared" si="5"/>
        <v/>
      </c>
      <c r="I134">
        <v>129</v>
      </c>
      <c r="J134" s="24">
        <f>IFERROR(INDEX('По дням'!$A$2:$A$4000,MATCH(129,'По дням'!$G$2:$G$4000,0)),0)</f>
        <v>0</v>
      </c>
      <c r="K134" s="24">
        <f>IF(J134=0,0,J134+COUNTIF('По дням'!$G$2:$G$4000,129)-1)</f>
        <v>0</v>
      </c>
      <c r="L134" s="25">
        <f>IF(J134=0,0,N(INDEX('По дням'!$B$2:$B$4000,MATCH(129,'По дням'!$G$2:$G$4000,0))))</f>
        <v>0</v>
      </c>
      <c r="M134" s="26">
        <f>IF(J134=0,1,N(INDEX('По дням'!$C$2:$C$4000,MATCH(129,'По дням'!$G$2:$G$4000,0))))</f>
        <v>1</v>
      </c>
      <c r="N134" s="27">
        <f>IF(J134=0,0,N(INDEX('По дням'!$E$2:$E$4000,MATCH(129,'По дням'!$G$2:$G$4000,0))))</f>
        <v>0</v>
      </c>
    </row>
    <row r="135" spans="1:14" x14ac:dyDescent="0.3">
      <c r="A135" s="21" t="str">
        <f>IF(A134="","",IF(A134+1&gt;Ввод!$B$4,"",A134+1))</f>
        <v/>
      </c>
      <c r="B135" s="23" t="str">
        <f>IF(A135="","",IFERROR(INDEX(Ввод!$B$12:$B$71,MATCH(A135,Ввод!$D$12:$D$71,1)),""))</f>
        <v/>
      </c>
      <c r="C135" t="str">
        <f t="shared" si="4"/>
        <v/>
      </c>
      <c r="D135" t="str">
        <f>IF(A135="","",SUMIFS(Акты!$D$5:$D$16,Акты!$E$5:$E$16,"&lt;="&amp;A135)-SUMIFS(Оплаты!$B$6:$B$505,Оплаты!$A$6:$A$505,"&lt;"&amp;A135,Оплаты!$D$6:$D$505,"&lt;&gt;"))</f>
        <v/>
      </c>
      <c r="E135" t="str">
        <f>IF(A135="","",IF(SUMPRODUCT((Ввод!$F$12:$F$31&lt;&gt;"")*(Ввод!$F$12:$F$31&lt;=A135)*(Ввод!$G$12:$G$31&gt;=A135))&gt;0,1,0))</f>
        <v/>
      </c>
      <c r="G135" t="str">
        <f t="shared" si="5"/>
        <v/>
      </c>
      <c r="I135">
        <v>130</v>
      </c>
      <c r="J135" s="24">
        <f>IFERROR(INDEX('По дням'!$A$2:$A$4000,MATCH(130,'По дням'!$G$2:$G$4000,0)),0)</f>
        <v>0</v>
      </c>
      <c r="K135" s="24">
        <f>IF(J135=0,0,J135+COUNTIF('По дням'!$G$2:$G$4000,130)-1)</f>
        <v>0</v>
      </c>
      <c r="L135" s="25">
        <f>IF(J135=0,0,N(INDEX('По дням'!$B$2:$B$4000,MATCH(130,'По дням'!$G$2:$G$4000,0))))</f>
        <v>0</v>
      </c>
      <c r="M135" s="26">
        <f>IF(J135=0,1,N(INDEX('По дням'!$C$2:$C$4000,MATCH(130,'По дням'!$G$2:$G$4000,0))))</f>
        <v>1</v>
      </c>
      <c r="N135" s="27">
        <f>IF(J135=0,0,N(INDEX('По дням'!$E$2:$E$4000,MATCH(130,'По дням'!$G$2:$G$4000,0))))</f>
        <v>0</v>
      </c>
    </row>
    <row r="136" spans="1:14" x14ac:dyDescent="0.3">
      <c r="A136" s="21" t="str">
        <f>IF(A135="","",IF(A135+1&gt;Ввод!$B$4,"",A135+1))</f>
        <v/>
      </c>
      <c r="B136" s="23" t="str">
        <f>IF(A136="","",IFERROR(INDEX(Ввод!$B$12:$B$71,MATCH(A136,Ввод!$D$12:$D$71,1)),""))</f>
        <v/>
      </c>
      <c r="C136" t="str">
        <f t="shared" si="4"/>
        <v/>
      </c>
      <c r="D136" t="str">
        <f>IF(A136="","",SUMIFS(Акты!$D$5:$D$16,Акты!$E$5:$E$16,"&lt;="&amp;A136)-SUMIFS(Оплаты!$B$6:$B$505,Оплаты!$A$6:$A$505,"&lt;"&amp;A136,Оплаты!$D$6:$D$505,"&lt;&gt;"))</f>
        <v/>
      </c>
      <c r="E136" t="str">
        <f>IF(A136="","",IF(SUMPRODUCT((Ввод!$F$12:$F$31&lt;&gt;"")*(Ввод!$F$12:$F$31&lt;=A136)*(Ввод!$G$12:$G$31&gt;=A136))&gt;0,1,0))</f>
        <v/>
      </c>
      <c r="G136" t="str">
        <f t="shared" si="5"/>
        <v/>
      </c>
      <c r="I136">
        <v>131</v>
      </c>
      <c r="J136" s="24">
        <f>IFERROR(INDEX('По дням'!$A$2:$A$4000,MATCH(131,'По дням'!$G$2:$G$4000,0)),0)</f>
        <v>0</v>
      </c>
      <c r="K136" s="24">
        <f>IF(J136=0,0,J136+COUNTIF('По дням'!$G$2:$G$4000,131)-1)</f>
        <v>0</v>
      </c>
      <c r="L136" s="25">
        <f>IF(J136=0,0,N(INDEX('По дням'!$B$2:$B$4000,MATCH(131,'По дням'!$G$2:$G$4000,0))))</f>
        <v>0</v>
      </c>
      <c r="M136" s="26">
        <f>IF(J136=0,1,N(INDEX('По дням'!$C$2:$C$4000,MATCH(131,'По дням'!$G$2:$G$4000,0))))</f>
        <v>1</v>
      </c>
      <c r="N136" s="27">
        <f>IF(J136=0,0,N(INDEX('По дням'!$E$2:$E$4000,MATCH(131,'По дням'!$G$2:$G$4000,0))))</f>
        <v>0</v>
      </c>
    </row>
    <row r="137" spans="1:14" x14ac:dyDescent="0.3">
      <c r="A137" s="21" t="str">
        <f>IF(A136="","",IF(A136+1&gt;Ввод!$B$4,"",A136+1))</f>
        <v/>
      </c>
      <c r="B137" s="23" t="str">
        <f>IF(A137="","",IFERROR(INDEX(Ввод!$B$12:$B$71,MATCH(A137,Ввод!$D$12:$D$71,1)),""))</f>
        <v/>
      </c>
      <c r="C137" t="str">
        <f t="shared" si="4"/>
        <v/>
      </c>
      <c r="D137" t="str">
        <f>IF(A137="","",SUMIFS(Акты!$D$5:$D$16,Акты!$E$5:$E$16,"&lt;="&amp;A137)-SUMIFS(Оплаты!$B$6:$B$505,Оплаты!$A$6:$A$505,"&lt;"&amp;A137,Оплаты!$D$6:$D$505,"&lt;&gt;"))</f>
        <v/>
      </c>
      <c r="E137" t="str">
        <f>IF(A137="","",IF(SUMPRODUCT((Ввод!$F$12:$F$31&lt;&gt;"")*(Ввод!$F$12:$F$31&lt;=A137)*(Ввод!$G$12:$G$31&gt;=A137))&gt;0,1,0))</f>
        <v/>
      </c>
      <c r="G137" t="str">
        <f t="shared" si="5"/>
        <v/>
      </c>
      <c r="I137">
        <v>132</v>
      </c>
      <c r="J137" s="24">
        <f>IFERROR(INDEX('По дням'!$A$2:$A$4000,MATCH(132,'По дням'!$G$2:$G$4000,0)),0)</f>
        <v>0</v>
      </c>
      <c r="K137" s="24">
        <f>IF(J137=0,0,J137+COUNTIF('По дням'!$G$2:$G$4000,132)-1)</f>
        <v>0</v>
      </c>
      <c r="L137" s="25">
        <f>IF(J137=0,0,N(INDEX('По дням'!$B$2:$B$4000,MATCH(132,'По дням'!$G$2:$G$4000,0))))</f>
        <v>0</v>
      </c>
      <c r="M137" s="26">
        <f>IF(J137=0,1,N(INDEX('По дням'!$C$2:$C$4000,MATCH(132,'По дням'!$G$2:$G$4000,0))))</f>
        <v>1</v>
      </c>
      <c r="N137" s="27">
        <f>IF(J137=0,0,N(INDEX('По дням'!$E$2:$E$4000,MATCH(132,'По дням'!$G$2:$G$4000,0))))</f>
        <v>0</v>
      </c>
    </row>
    <row r="138" spans="1:14" x14ac:dyDescent="0.3">
      <c r="A138" s="21" t="str">
        <f>IF(A137="","",IF(A137+1&gt;Ввод!$B$4,"",A137+1))</f>
        <v/>
      </c>
      <c r="B138" s="23" t="str">
        <f>IF(A138="","",IFERROR(INDEX(Ввод!$B$12:$B$71,MATCH(A138,Ввод!$D$12:$D$71,1)),""))</f>
        <v/>
      </c>
      <c r="C138" t="str">
        <f t="shared" si="4"/>
        <v/>
      </c>
      <c r="D138" t="str">
        <f>IF(A138="","",SUMIFS(Акты!$D$5:$D$16,Акты!$E$5:$E$16,"&lt;="&amp;A138)-SUMIFS(Оплаты!$B$6:$B$505,Оплаты!$A$6:$A$505,"&lt;"&amp;A138,Оплаты!$D$6:$D$505,"&lt;&gt;"))</f>
        <v/>
      </c>
      <c r="E138" t="str">
        <f>IF(A138="","",IF(SUMPRODUCT((Ввод!$F$12:$F$31&lt;&gt;"")*(Ввод!$F$12:$F$31&lt;=A138)*(Ввод!$G$12:$G$31&gt;=A138))&gt;0,1,0))</f>
        <v/>
      </c>
      <c r="G138" t="str">
        <f t="shared" si="5"/>
        <v/>
      </c>
      <c r="I138">
        <v>133</v>
      </c>
      <c r="J138" s="24">
        <f>IFERROR(INDEX('По дням'!$A$2:$A$4000,MATCH(133,'По дням'!$G$2:$G$4000,0)),0)</f>
        <v>0</v>
      </c>
      <c r="K138" s="24">
        <f>IF(J138=0,0,J138+COUNTIF('По дням'!$G$2:$G$4000,133)-1)</f>
        <v>0</v>
      </c>
      <c r="L138" s="25">
        <f>IF(J138=0,0,N(INDEX('По дням'!$B$2:$B$4000,MATCH(133,'По дням'!$G$2:$G$4000,0))))</f>
        <v>0</v>
      </c>
      <c r="M138" s="26">
        <f>IF(J138=0,1,N(INDEX('По дням'!$C$2:$C$4000,MATCH(133,'По дням'!$G$2:$G$4000,0))))</f>
        <v>1</v>
      </c>
      <c r="N138" s="27">
        <f>IF(J138=0,0,N(INDEX('По дням'!$E$2:$E$4000,MATCH(133,'По дням'!$G$2:$G$4000,0))))</f>
        <v>0</v>
      </c>
    </row>
    <row r="139" spans="1:14" x14ac:dyDescent="0.3">
      <c r="A139" s="21" t="str">
        <f>IF(A138="","",IF(A138+1&gt;Ввод!$B$4,"",A138+1))</f>
        <v/>
      </c>
      <c r="B139" s="23" t="str">
        <f>IF(A139="","",IFERROR(INDEX(Ввод!$B$12:$B$71,MATCH(A139,Ввод!$D$12:$D$71,1)),""))</f>
        <v/>
      </c>
      <c r="C139" t="str">
        <f t="shared" si="4"/>
        <v/>
      </c>
      <c r="D139" t="str">
        <f>IF(A139="","",SUMIFS(Акты!$D$5:$D$16,Акты!$E$5:$E$16,"&lt;="&amp;A139)-SUMIFS(Оплаты!$B$6:$B$505,Оплаты!$A$6:$A$505,"&lt;"&amp;A139,Оплаты!$D$6:$D$505,"&lt;&gt;"))</f>
        <v/>
      </c>
      <c r="E139" t="str">
        <f>IF(A139="","",IF(SUMPRODUCT((Ввод!$F$12:$F$31&lt;&gt;"")*(Ввод!$F$12:$F$31&lt;=A139)*(Ввод!$G$12:$G$31&gt;=A139))&gt;0,1,0))</f>
        <v/>
      </c>
      <c r="G139" t="str">
        <f t="shared" si="5"/>
        <v/>
      </c>
      <c r="I139">
        <v>134</v>
      </c>
      <c r="J139" s="24">
        <f>IFERROR(INDEX('По дням'!$A$2:$A$4000,MATCH(134,'По дням'!$G$2:$G$4000,0)),0)</f>
        <v>0</v>
      </c>
      <c r="K139" s="24">
        <f>IF(J139=0,0,J139+COUNTIF('По дням'!$G$2:$G$4000,134)-1)</f>
        <v>0</v>
      </c>
      <c r="L139" s="25">
        <f>IF(J139=0,0,N(INDEX('По дням'!$B$2:$B$4000,MATCH(134,'По дням'!$G$2:$G$4000,0))))</f>
        <v>0</v>
      </c>
      <c r="M139" s="26">
        <f>IF(J139=0,1,N(INDEX('По дням'!$C$2:$C$4000,MATCH(134,'По дням'!$G$2:$G$4000,0))))</f>
        <v>1</v>
      </c>
      <c r="N139" s="27">
        <f>IF(J139=0,0,N(INDEX('По дням'!$E$2:$E$4000,MATCH(134,'По дням'!$G$2:$G$4000,0))))</f>
        <v>0</v>
      </c>
    </row>
    <row r="140" spans="1:14" x14ac:dyDescent="0.3">
      <c r="A140" s="21" t="str">
        <f>IF(A139="","",IF(A139+1&gt;Ввод!$B$4,"",A139+1))</f>
        <v/>
      </c>
      <c r="B140" s="23" t="str">
        <f>IF(A140="","",IFERROR(INDEX(Ввод!$B$12:$B$71,MATCH(A140,Ввод!$D$12:$D$71,1)),""))</f>
        <v/>
      </c>
      <c r="C140" t="str">
        <f t="shared" si="4"/>
        <v/>
      </c>
      <c r="D140" t="str">
        <f>IF(A140="","",SUMIFS(Акты!$D$5:$D$16,Акты!$E$5:$E$16,"&lt;="&amp;A140)-SUMIFS(Оплаты!$B$6:$B$505,Оплаты!$A$6:$A$505,"&lt;"&amp;A140,Оплаты!$D$6:$D$505,"&lt;&gt;"))</f>
        <v/>
      </c>
      <c r="E140" t="str">
        <f>IF(A140="","",IF(SUMPRODUCT((Ввод!$F$12:$F$31&lt;&gt;"")*(Ввод!$F$12:$F$31&lt;=A140)*(Ввод!$G$12:$G$31&gt;=A140))&gt;0,1,0))</f>
        <v/>
      </c>
      <c r="G140" t="str">
        <f t="shared" si="5"/>
        <v/>
      </c>
      <c r="I140">
        <v>135</v>
      </c>
      <c r="J140" s="24">
        <f>IFERROR(INDEX('По дням'!$A$2:$A$4000,MATCH(135,'По дням'!$G$2:$G$4000,0)),0)</f>
        <v>0</v>
      </c>
      <c r="K140" s="24">
        <f>IF(J140=0,0,J140+COUNTIF('По дням'!$G$2:$G$4000,135)-1)</f>
        <v>0</v>
      </c>
      <c r="L140" s="25">
        <f>IF(J140=0,0,N(INDEX('По дням'!$B$2:$B$4000,MATCH(135,'По дням'!$G$2:$G$4000,0))))</f>
        <v>0</v>
      </c>
      <c r="M140" s="26">
        <f>IF(J140=0,1,N(INDEX('По дням'!$C$2:$C$4000,MATCH(135,'По дням'!$G$2:$G$4000,0))))</f>
        <v>1</v>
      </c>
      <c r="N140" s="27">
        <f>IF(J140=0,0,N(INDEX('По дням'!$E$2:$E$4000,MATCH(135,'По дням'!$G$2:$G$4000,0))))</f>
        <v>0</v>
      </c>
    </row>
    <row r="141" spans="1:14" x14ac:dyDescent="0.3">
      <c r="A141" s="21" t="str">
        <f>IF(A140="","",IF(A140+1&gt;Ввод!$B$4,"",A140+1))</f>
        <v/>
      </c>
      <c r="B141" s="23" t="str">
        <f>IF(A141="","",IFERROR(INDEX(Ввод!$B$12:$B$71,MATCH(A141,Ввод!$D$12:$D$71,1)),""))</f>
        <v/>
      </c>
      <c r="C141" t="str">
        <f t="shared" si="4"/>
        <v/>
      </c>
      <c r="D141" t="str">
        <f>IF(A141="","",SUMIFS(Акты!$D$5:$D$16,Акты!$E$5:$E$16,"&lt;="&amp;A141)-SUMIFS(Оплаты!$B$6:$B$505,Оплаты!$A$6:$A$505,"&lt;"&amp;A141,Оплаты!$D$6:$D$505,"&lt;&gt;"))</f>
        <v/>
      </c>
      <c r="E141" t="str">
        <f>IF(A141="","",IF(SUMPRODUCT((Ввод!$F$12:$F$31&lt;&gt;"")*(Ввод!$F$12:$F$31&lt;=A141)*(Ввод!$G$12:$G$31&gt;=A141))&gt;0,1,0))</f>
        <v/>
      </c>
      <c r="G141" t="str">
        <f t="shared" si="5"/>
        <v/>
      </c>
      <c r="I141">
        <v>136</v>
      </c>
      <c r="J141" s="24">
        <f>IFERROR(INDEX('По дням'!$A$2:$A$4000,MATCH(136,'По дням'!$G$2:$G$4000,0)),0)</f>
        <v>0</v>
      </c>
      <c r="K141" s="24">
        <f>IF(J141=0,0,J141+COUNTIF('По дням'!$G$2:$G$4000,136)-1)</f>
        <v>0</v>
      </c>
      <c r="L141" s="25">
        <f>IF(J141=0,0,N(INDEX('По дням'!$B$2:$B$4000,MATCH(136,'По дням'!$G$2:$G$4000,0))))</f>
        <v>0</v>
      </c>
      <c r="M141" s="26">
        <f>IF(J141=0,1,N(INDEX('По дням'!$C$2:$C$4000,MATCH(136,'По дням'!$G$2:$G$4000,0))))</f>
        <v>1</v>
      </c>
      <c r="N141" s="27">
        <f>IF(J141=0,0,N(INDEX('По дням'!$E$2:$E$4000,MATCH(136,'По дням'!$G$2:$G$4000,0))))</f>
        <v>0</v>
      </c>
    </row>
    <row r="142" spans="1:14" x14ac:dyDescent="0.3">
      <c r="A142" s="21" t="str">
        <f>IF(A141="","",IF(A141+1&gt;Ввод!$B$4,"",A141+1))</f>
        <v/>
      </c>
      <c r="B142" s="23" t="str">
        <f>IF(A142="","",IFERROR(INDEX(Ввод!$B$12:$B$71,MATCH(A142,Ввод!$D$12:$D$71,1)),""))</f>
        <v/>
      </c>
      <c r="C142" t="str">
        <f t="shared" si="4"/>
        <v/>
      </c>
      <c r="D142" t="str">
        <f>IF(A142="","",SUMIFS(Акты!$D$5:$D$16,Акты!$E$5:$E$16,"&lt;="&amp;A142)-SUMIFS(Оплаты!$B$6:$B$505,Оплаты!$A$6:$A$505,"&lt;"&amp;A142,Оплаты!$D$6:$D$505,"&lt;&gt;"))</f>
        <v/>
      </c>
      <c r="E142" t="str">
        <f>IF(A142="","",IF(SUMPRODUCT((Ввод!$F$12:$F$31&lt;&gt;"")*(Ввод!$F$12:$F$31&lt;=A142)*(Ввод!$G$12:$G$31&gt;=A142))&gt;0,1,0))</f>
        <v/>
      </c>
      <c r="G142" t="str">
        <f t="shared" si="5"/>
        <v/>
      </c>
      <c r="I142">
        <v>137</v>
      </c>
      <c r="J142" s="24">
        <f>IFERROR(INDEX('По дням'!$A$2:$A$4000,MATCH(137,'По дням'!$G$2:$G$4000,0)),0)</f>
        <v>0</v>
      </c>
      <c r="K142" s="24">
        <f>IF(J142=0,0,J142+COUNTIF('По дням'!$G$2:$G$4000,137)-1)</f>
        <v>0</v>
      </c>
      <c r="L142" s="25">
        <f>IF(J142=0,0,N(INDEX('По дням'!$B$2:$B$4000,MATCH(137,'По дням'!$G$2:$G$4000,0))))</f>
        <v>0</v>
      </c>
      <c r="M142" s="26">
        <f>IF(J142=0,1,N(INDEX('По дням'!$C$2:$C$4000,MATCH(137,'По дням'!$G$2:$G$4000,0))))</f>
        <v>1</v>
      </c>
      <c r="N142" s="27">
        <f>IF(J142=0,0,N(INDEX('По дням'!$E$2:$E$4000,MATCH(137,'По дням'!$G$2:$G$4000,0))))</f>
        <v>0</v>
      </c>
    </row>
    <row r="143" spans="1:14" x14ac:dyDescent="0.3">
      <c r="A143" s="21" t="str">
        <f>IF(A142="","",IF(A142+1&gt;Ввод!$B$4,"",A142+1))</f>
        <v/>
      </c>
      <c r="B143" s="23" t="str">
        <f>IF(A143="","",IFERROR(INDEX(Ввод!$B$12:$B$71,MATCH(A143,Ввод!$D$12:$D$71,1)),""))</f>
        <v/>
      </c>
      <c r="C143" t="str">
        <f t="shared" si="4"/>
        <v/>
      </c>
      <c r="D143" t="str">
        <f>IF(A143="","",SUMIFS(Акты!$D$5:$D$16,Акты!$E$5:$E$16,"&lt;="&amp;A143)-SUMIFS(Оплаты!$B$6:$B$505,Оплаты!$A$6:$A$505,"&lt;"&amp;A143,Оплаты!$D$6:$D$505,"&lt;&gt;"))</f>
        <v/>
      </c>
      <c r="E143" t="str">
        <f>IF(A143="","",IF(SUMPRODUCT((Ввод!$F$12:$F$31&lt;&gt;"")*(Ввод!$F$12:$F$31&lt;=A143)*(Ввод!$G$12:$G$31&gt;=A143))&gt;0,1,0))</f>
        <v/>
      </c>
      <c r="G143" t="str">
        <f t="shared" si="5"/>
        <v/>
      </c>
      <c r="I143">
        <v>138</v>
      </c>
      <c r="J143" s="24">
        <f>IFERROR(INDEX('По дням'!$A$2:$A$4000,MATCH(138,'По дням'!$G$2:$G$4000,0)),0)</f>
        <v>0</v>
      </c>
      <c r="K143" s="24">
        <f>IF(J143=0,0,J143+COUNTIF('По дням'!$G$2:$G$4000,138)-1)</f>
        <v>0</v>
      </c>
      <c r="L143" s="25">
        <f>IF(J143=0,0,N(INDEX('По дням'!$B$2:$B$4000,MATCH(138,'По дням'!$G$2:$G$4000,0))))</f>
        <v>0</v>
      </c>
      <c r="M143" s="26">
        <f>IF(J143=0,1,N(INDEX('По дням'!$C$2:$C$4000,MATCH(138,'По дням'!$G$2:$G$4000,0))))</f>
        <v>1</v>
      </c>
      <c r="N143" s="27">
        <f>IF(J143=0,0,N(INDEX('По дням'!$E$2:$E$4000,MATCH(138,'По дням'!$G$2:$G$4000,0))))</f>
        <v>0</v>
      </c>
    </row>
    <row r="144" spans="1:14" x14ac:dyDescent="0.3">
      <c r="A144" s="21" t="str">
        <f>IF(A143="","",IF(A143+1&gt;Ввод!$B$4,"",A143+1))</f>
        <v/>
      </c>
      <c r="B144" s="23" t="str">
        <f>IF(A144="","",IFERROR(INDEX(Ввод!$B$12:$B$71,MATCH(A144,Ввод!$D$12:$D$71,1)),""))</f>
        <v/>
      </c>
      <c r="C144" t="str">
        <f t="shared" si="4"/>
        <v/>
      </c>
      <c r="D144" t="str">
        <f>IF(A144="","",SUMIFS(Акты!$D$5:$D$16,Акты!$E$5:$E$16,"&lt;="&amp;A144)-SUMIFS(Оплаты!$B$6:$B$505,Оплаты!$A$6:$A$505,"&lt;"&amp;A144,Оплаты!$D$6:$D$505,"&lt;&gt;"))</f>
        <v/>
      </c>
      <c r="E144" t="str">
        <f>IF(A144="","",IF(SUMPRODUCT((Ввод!$F$12:$F$31&lt;&gt;"")*(Ввод!$F$12:$F$31&lt;=A144)*(Ввод!$G$12:$G$31&gt;=A144))&gt;0,1,0))</f>
        <v/>
      </c>
      <c r="G144" t="str">
        <f t="shared" si="5"/>
        <v/>
      </c>
      <c r="I144">
        <v>139</v>
      </c>
      <c r="J144" s="24">
        <f>IFERROR(INDEX('По дням'!$A$2:$A$4000,MATCH(139,'По дням'!$G$2:$G$4000,0)),0)</f>
        <v>0</v>
      </c>
      <c r="K144" s="24">
        <f>IF(J144=0,0,J144+COUNTIF('По дням'!$G$2:$G$4000,139)-1)</f>
        <v>0</v>
      </c>
      <c r="L144" s="25">
        <f>IF(J144=0,0,N(INDEX('По дням'!$B$2:$B$4000,MATCH(139,'По дням'!$G$2:$G$4000,0))))</f>
        <v>0</v>
      </c>
      <c r="M144" s="26">
        <f>IF(J144=0,1,N(INDEX('По дням'!$C$2:$C$4000,MATCH(139,'По дням'!$G$2:$G$4000,0))))</f>
        <v>1</v>
      </c>
      <c r="N144" s="27">
        <f>IF(J144=0,0,N(INDEX('По дням'!$E$2:$E$4000,MATCH(139,'По дням'!$G$2:$G$4000,0))))</f>
        <v>0</v>
      </c>
    </row>
    <row r="145" spans="1:14" x14ac:dyDescent="0.3">
      <c r="A145" s="21" t="str">
        <f>IF(A144="","",IF(A144+1&gt;Ввод!$B$4,"",A144+1))</f>
        <v/>
      </c>
      <c r="B145" s="23" t="str">
        <f>IF(A145="","",IFERROR(INDEX(Ввод!$B$12:$B$71,MATCH(A145,Ввод!$D$12:$D$71,1)),""))</f>
        <v/>
      </c>
      <c r="C145" t="str">
        <f t="shared" si="4"/>
        <v/>
      </c>
      <c r="D145" t="str">
        <f>IF(A145="","",SUMIFS(Акты!$D$5:$D$16,Акты!$E$5:$E$16,"&lt;="&amp;A145)-SUMIFS(Оплаты!$B$6:$B$505,Оплаты!$A$6:$A$505,"&lt;"&amp;A145,Оплаты!$D$6:$D$505,"&lt;&gt;"))</f>
        <v/>
      </c>
      <c r="E145" t="str">
        <f>IF(A145="","",IF(SUMPRODUCT((Ввод!$F$12:$F$31&lt;&gt;"")*(Ввод!$F$12:$F$31&lt;=A145)*(Ввод!$G$12:$G$31&gt;=A145))&gt;0,1,0))</f>
        <v/>
      </c>
      <c r="G145" t="str">
        <f t="shared" si="5"/>
        <v/>
      </c>
      <c r="I145">
        <v>140</v>
      </c>
      <c r="J145" s="24">
        <f>IFERROR(INDEX('По дням'!$A$2:$A$4000,MATCH(140,'По дням'!$G$2:$G$4000,0)),0)</f>
        <v>0</v>
      </c>
      <c r="K145" s="24">
        <f>IF(J145=0,0,J145+COUNTIF('По дням'!$G$2:$G$4000,140)-1)</f>
        <v>0</v>
      </c>
      <c r="L145" s="25">
        <f>IF(J145=0,0,N(INDEX('По дням'!$B$2:$B$4000,MATCH(140,'По дням'!$G$2:$G$4000,0))))</f>
        <v>0</v>
      </c>
      <c r="M145" s="26">
        <f>IF(J145=0,1,N(INDEX('По дням'!$C$2:$C$4000,MATCH(140,'По дням'!$G$2:$G$4000,0))))</f>
        <v>1</v>
      </c>
      <c r="N145" s="27">
        <f>IF(J145=0,0,N(INDEX('По дням'!$E$2:$E$4000,MATCH(140,'По дням'!$G$2:$G$4000,0))))</f>
        <v>0</v>
      </c>
    </row>
    <row r="146" spans="1:14" x14ac:dyDescent="0.3">
      <c r="A146" s="21" t="str">
        <f>IF(A145="","",IF(A145+1&gt;Ввод!$B$4,"",A145+1))</f>
        <v/>
      </c>
      <c r="B146" s="23" t="str">
        <f>IF(A146="","",IFERROR(INDEX(Ввод!$B$12:$B$71,MATCH(A146,Ввод!$D$12:$D$71,1)),""))</f>
        <v/>
      </c>
      <c r="C146" t="str">
        <f t="shared" si="4"/>
        <v/>
      </c>
      <c r="D146" t="str">
        <f>IF(A146="","",SUMIFS(Акты!$D$5:$D$16,Акты!$E$5:$E$16,"&lt;="&amp;A146)-SUMIFS(Оплаты!$B$6:$B$505,Оплаты!$A$6:$A$505,"&lt;"&amp;A146,Оплаты!$D$6:$D$505,"&lt;&gt;"))</f>
        <v/>
      </c>
      <c r="E146" t="str">
        <f>IF(A146="","",IF(SUMPRODUCT((Ввод!$F$12:$F$31&lt;&gt;"")*(Ввод!$F$12:$F$31&lt;=A146)*(Ввод!$G$12:$G$31&gt;=A146))&gt;0,1,0))</f>
        <v/>
      </c>
      <c r="G146" t="str">
        <f t="shared" si="5"/>
        <v/>
      </c>
      <c r="I146">
        <v>141</v>
      </c>
      <c r="J146" s="24">
        <f>IFERROR(INDEX('По дням'!$A$2:$A$4000,MATCH(141,'По дням'!$G$2:$G$4000,0)),0)</f>
        <v>0</v>
      </c>
      <c r="K146" s="24">
        <f>IF(J146=0,0,J146+COUNTIF('По дням'!$G$2:$G$4000,141)-1)</f>
        <v>0</v>
      </c>
      <c r="L146" s="25">
        <f>IF(J146=0,0,N(INDEX('По дням'!$B$2:$B$4000,MATCH(141,'По дням'!$G$2:$G$4000,0))))</f>
        <v>0</v>
      </c>
      <c r="M146" s="26">
        <f>IF(J146=0,1,N(INDEX('По дням'!$C$2:$C$4000,MATCH(141,'По дням'!$G$2:$G$4000,0))))</f>
        <v>1</v>
      </c>
      <c r="N146" s="27">
        <f>IF(J146=0,0,N(INDEX('По дням'!$E$2:$E$4000,MATCH(141,'По дням'!$G$2:$G$4000,0))))</f>
        <v>0</v>
      </c>
    </row>
    <row r="147" spans="1:14" x14ac:dyDescent="0.3">
      <c r="A147" s="21" t="str">
        <f>IF(A146="","",IF(A146+1&gt;Ввод!$B$4,"",A146+1))</f>
        <v/>
      </c>
      <c r="B147" s="23" t="str">
        <f>IF(A147="","",IFERROR(INDEX(Ввод!$B$12:$B$71,MATCH(A147,Ввод!$D$12:$D$71,1)),""))</f>
        <v/>
      </c>
      <c r="C147" t="str">
        <f t="shared" si="4"/>
        <v/>
      </c>
      <c r="D147" t="str">
        <f>IF(A147="","",SUMIFS(Акты!$D$5:$D$16,Акты!$E$5:$E$16,"&lt;="&amp;A147)-SUMIFS(Оплаты!$B$6:$B$505,Оплаты!$A$6:$A$505,"&lt;"&amp;A147,Оплаты!$D$6:$D$505,"&lt;&gt;"))</f>
        <v/>
      </c>
      <c r="E147" t="str">
        <f>IF(A147="","",IF(SUMPRODUCT((Ввод!$F$12:$F$31&lt;&gt;"")*(Ввод!$F$12:$F$31&lt;=A147)*(Ввод!$G$12:$G$31&gt;=A147))&gt;0,1,0))</f>
        <v/>
      </c>
      <c r="G147" t="str">
        <f t="shared" si="5"/>
        <v/>
      </c>
      <c r="I147">
        <v>142</v>
      </c>
      <c r="J147" s="24">
        <f>IFERROR(INDEX('По дням'!$A$2:$A$4000,MATCH(142,'По дням'!$G$2:$G$4000,0)),0)</f>
        <v>0</v>
      </c>
      <c r="K147" s="24">
        <f>IF(J147=0,0,J147+COUNTIF('По дням'!$G$2:$G$4000,142)-1)</f>
        <v>0</v>
      </c>
      <c r="L147" s="25">
        <f>IF(J147=0,0,N(INDEX('По дням'!$B$2:$B$4000,MATCH(142,'По дням'!$G$2:$G$4000,0))))</f>
        <v>0</v>
      </c>
      <c r="M147" s="26">
        <f>IF(J147=0,1,N(INDEX('По дням'!$C$2:$C$4000,MATCH(142,'По дням'!$G$2:$G$4000,0))))</f>
        <v>1</v>
      </c>
      <c r="N147" s="27">
        <f>IF(J147=0,0,N(INDEX('По дням'!$E$2:$E$4000,MATCH(142,'По дням'!$G$2:$G$4000,0))))</f>
        <v>0</v>
      </c>
    </row>
    <row r="148" spans="1:14" x14ac:dyDescent="0.3">
      <c r="A148" s="21" t="str">
        <f>IF(A147="","",IF(A147+1&gt;Ввод!$B$4,"",A147+1))</f>
        <v/>
      </c>
      <c r="B148" s="23" t="str">
        <f>IF(A148="","",IFERROR(INDEX(Ввод!$B$12:$B$71,MATCH(A148,Ввод!$D$12:$D$71,1)),""))</f>
        <v/>
      </c>
      <c r="C148" t="str">
        <f t="shared" si="4"/>
        <v/>
      </c>
      <c r="D148" t="str">
        <f>IF(A148="","",SUMIFS(Акты!$D$5:$D$16,Акты!$E$5:$E$16,"&lt;="&amp;A148)-SUMIFS(Оплаты!$B$6:$B$505,Оплаты!$A$6:$A$505,"&lt;"&amp;A148,Оплаты!$D$6:$D$505,"&lt;&gt;"))</f>
        <v/>
      </c>
      <c r="E148" t="str">
        <f>IF(A148="","",IF(SUMPRODUCT((Ввод!$F$12:$F$31&lt;&gt;"")*(Ввод!$F$12:$F$31&lt;=A148)*(Ввод!$G$12:$G$31&gt;=A148))&gt;0,1,0))</f>
        <v/>
      </c>
      <c r="G148" t="str">
        <f t="shared" si="5"/>
        <v/>
      </c>
      <c r="I148">
        <v>143</v>
      </c>
      <c r="J148" s="24">
        <f>IFERROR(INDEX('По дням'!$A$2:$A$4000,MATCH(143,'По дням'!$G$2:$G$4000,0)),0)</f>
        <v>0</v>
      </c>
      <c r="K148" s="24">
        <f>IF(J148=0,0,J148+COUNTIF('По дням'!$G$2:$G$4000,143)-1)</f>
        <v>0</v>
      </c>
      <c r="L148" s="25">
        <f>IF(J148=0,0,N(INDEX('По дням'!$B$2:$B$4000,MATCH(143,'По дням'!$G$2:$G$4000,0))))</f>
        <v>0</v>
      </c>
      <c r="M148" s="26">
        <f>IF(J148=0,1,N(INDEX('По дням'!$C$2:$C$4000,MATCH(143,'По дням'!$G$2:$G$4000,0))))</f>
        <v>1</v>
      </c>
      <c r="N148" s="27">
        <f>IF(J148=0,0,N(INDEX('По дням'!$E$2:$E$4000,MATCH(143,'По дням'!$G$2:$G$4000,0))))</f>
        <v>0</v>
      </c>
    </row>
    <row r="149" spans="1:14" x14ac:dyDescent="0.3">
      <c r="A149" s="21" t="str">
        <f>IF(A148="","",IF(A148+1&gt;Ввод!$B$4,"",A148+1))</f>
        <v/>
      </c>
      <c r="B149" s="23" t="str">
        <f>IF(A149="","",IFERROR(INDEX(Ввод!$B$12:$B$71,MATCH(A149,Ввод!$D$12:$D$71,1)),""))</f>
        <v/>
      </c>
      <c r="C149" t="str">
        <f t="shared" si="4"/>
        <v/>
      </c>
      <c r="D149" t="str">
        <f>IF(A149="","",SUMIFS(Акты!$D$5:$D$16,Акты!$E$5:$E$16,"&lt;="&amp;A149)-SUMIFS(Оплаты!$B$6:$B$505,Оплаты!$A$6:$A$505,"&lt;"&amp;A149,Оплаты!$D$6:$D$505,"&lt;&gt;"))</f>
        <v/>
      </c>
      <c r="E149" t="str">
        <f>IF(A149="","",IF(SUMPRODUCT((Ввод!$F$12:$F$31&lt;&gt;"")*(Ввод!$F$12:$F$31&lt;=A149)*(Ввод!$G$12:$G$31&gt;=A149))&gt;0,1,0))</f>
        <v/>
      </c>
      <c r="G149" t="str">
        <f t="shared" si="5"/>
        <v/>
      </c>
      <c r="I149">
        <v>144</v>
      </c>
      <c r="J149" s="24">
        <f>IFERROR(INDEX('По дням'!$A$2:$A$4000,MATCH(144,'По дням'!$G$2:$G$4000,0)),0)</f>
        <v>0</v>
      </c>
      <c r="K149" s="24">
        <f>IF(J149=0,0,J149+COUNTIF('По дням'!$G$2:$G$4000,144)-1)</f>
        <v>0</v>
      </c>
      <c r="L149" s="25">
        <f>IF(J149=0,0,N(INDEX('По дням'!$B$2:$B$4000,MATCH(144,'По дням'!$G$2:$G$4000,0))))</f>
        <v>0</v>
      </c>
      <c r="M149" s="26">
        <f>IF(J149=0,1,N(INDEX('По дням'!$C$2:$C$4000,MATCH(144,'По дням'!$G$2:$G$4000,0))))</f>
        <v>1</v>
      </c>
      <c r="N149" s="27">
        <f>IF(J149=0,0,N(INDEX('По дням'!$E$2:$E$4000,MATCH(144,'По дням'!$G$2:$G$4000,0))))</f>
        <v>0</v>
      </c>
    </row>
    <row r="150" spans="1:14" x14ac:dyDescent="0.3">
      <c r="A150" s="21" t="str">
        <f>IF(A149="","",IF(A149+1&gt;Ввод!$B$4,"",A149+1))</f>
        <v/>
      </c>
      <c r="B150" s="23" t="str">
        <f>IF(A150="","",IFERROR(INDEX(Ввод!$B$12:$B$71,MATCH(A150,Ввод!$D$12:$D$71,1)),""))</f>
        <v/>
      </c>
      <c r="C150" t="str">
        <f t="shared" si="4"/>
        <v/>
      </c>
      <c r="D150" t="str">
        <f>IF(A150="","",SUMIFS(Акты!$D$5:$D$16,Акты!$E$5:$E$16,"&lt;="&amp;A150)-SUMIFS(Оплаты!$B$6:$B$505,Оплаты!$A$6:$A$505,"&lt;"&amp;A150,Оплаты!$D$6:$D$505,"&lt;&gt;"))</f>
        <v/>
      </c>
      <c r="E150" t="str">
        <f>IF(A150="","",IF(SUMPRODUCT((Ввод!$F$12:$F$31&lt;&gt;"")*(Ввод!$F$12:$F$31&lt;=A150)*(Ввод!$G$12:$G$31&gt;=A150))&gt;0,1,0))</f>
        <v/>
      </c>
      <c r="G150" t="str">
        <f t="shared" si="5"/>
        <v/>
      </c>
      <c r="I150">
        <v>145</v>
      </c>
      <c r="J150" s="24">
        <f>IFERROR(INDEX('По дням'!$A$2:$A$4000,MATCH(145,'По дням'!$G$2:$G$4000,0)),0)</f>
        <v>0</v>
      </c>
      <c r="K150" s="24">
        <f>IF(J150=0,0,J150+COUNTIF('По дням'!$G$2:$G$4000,145)-1)</f>
        <v>0</v>
      </c>
      <c r="L150" s="25">
        <f>IF(J150=0,0,N(INDEX('По дням'!$B$2:$B$4000,MATCH(145,'По дням'!$G$2:$G$4000,0))))</f>
        <v>0</v>
      </c>
      <c r="M150" s="26">
        <f>IF(J150=0,1,N(INDEX('По дням'!$C$2:$C$4000,MATCH(145,'По дням'!$G$2:$G$4000,0))))</f>
        <v>1</v>
      </c>
      <c r="N150" s="27">
        <f>IF(J150=0,0,N(INDEX('По дням'!$E$2:$E$4000,MATCH(145,'По дням'!$G$2:$G$4000,0))))</f>
        <v>0</v>
      </c>
    </row>
    <row r="151" spans="1:14" x14ac:dyDescent="0.3">
      <c r="A151" s="21" t="str">
        <f>IF(A150="","",IF(A150+1&gt;Ввод!$B$4,"",A150+1))</f>
        <v/>
      </c>
      <c r="B151" s="23" t="str">
        <f>IF(A151="","",IFERROR(INDEX(Ввод!$B$12:$B$71,MATCH(A151,Ввод!$D$12:$D$71,1)),""))</f>
        <v/>
      </c>
      <c r="C151" t="str">
        <f t="shared" si="4"/>
        <v/>
      </c>
      <c r="D151" t="str">
        <f>IF(A151="","",SUMIFS(Акты!$D$5:$D$16,Акты!$E$5:$E$16,"&lt;="&amp;A151)-SUMIFS(Оплаты!$B$6:$B$505,Оплаты!$A$6:$A$505,"&lt;"&amp;A151,Оплаты!$D$6:$D$505,"&lt;&gt;"))</f>
        <v/>
      </c>
      <c r="E151" t="str">
        <f>IF(A151="","",IF(SUMPRODUCT((Ввод!$F$12:$F$31&lt;&gt;"")*(Ввод!$F$12:$F$31&lt;=A151)*(Ввод!$G$12:$G$31&gt;=A151))&gt;0,1,0))</f>
        <v/>
      </c>
      <c r="G151" t="str">
        <f t="shared" si="5"/>
        <v/>
      </c>
      <c r="I151">
        <v>146</v>
      </c>
      <c r="J151" s="24">
        <f>IFERROR(INDEX('По дням'!$A$2:$A$4000,MATCH(146,'По дням'!$G$2:$G$4000,0)),0)</f>
        <v>0</v>
      </c>
      <c r="K151" s="24">
        <f>IF(J151=0,0,J151+COUNTIF('По дням'!$G$2:$G$4000,146)-1)</f>
        <v>0</v>
      </c>
      <c r="L151" s="25">
        <f>IF(J151=0,0,N(INDEX('По дням'!$B$2:$B$4000,MATCH(146,'По дням'!$G$2:$G$4000,0))))</f>
        <v>0</v>
      </c>
      <c r="M151" s="26">
        <f>IF(J151=0,1,N(INDEX('По дням'!$C$2:$C$4000,MATCH(146,'По дням'!$G$2:$G$4000,0))))</f>
        <v>1</v>
      </c>
      <c r="N151" s="27">
        <f>IF(J151=0,0,N(INDEX('По дням'!$E$2:$E$4000,MATCH(146,'По дням'!$G$2:$G$4000,0))))</f>
        <v>0</v>
      </c>
    </row>
    <row r="152" spans="1:14" x14ac:dyDescent="0.3">
      <c r="A152" s="21" t="str">
        <f>IF(A151="","",IF(A151+1&gt;Ввод!$B$4,"",A151+1))</f>
        <v/>
      </c>
      <c r="B152" s="23" t="str">
        <f>IF(A152="","",IFERROR(INDEX(Ввод!$B$12:$B$71,MATCH(A152,Ввод!$D$12:$D$71,1)),""))</f>
        <v/>
      </c>
      <c r="C152" t="str">
        <f t="shared" si="4"/>
        <v/>
      </c>
      <c r="D152" t="str">
        <f>IF(A152="","",SUMIFS(Акты!$D$5:$D$16,Акты!$E$5:$E$16,"&lt;="&amp;A152)-SUMIFS(Оплаты!$B$6:$B$505,Оплаты!$A$6:$A$505,"&lt;"&amp;A152,Оплаты!$D$6:$D$505,"&lt;&gt;"))</f>
        <v/>
      </c>
      <c r="E152" t="str">
        <f>IF(A152="","",IF(SUMPRODUCT((Ввод!$F$12:$F$31&lt;&gt;"")*(Ввод!$F$12:$F$31&lt;=A152)*(Ввод!$G$12:$G$31&gt;=A152))&gt;0,1,0))</f>
        <v/>
      </c>
      <c r="G152" t="str">
        <f t="shared" si="5"/>
        <v/>
      </c>
      <c r="I152">
        <v>147</v>
      </c>
      <c r="J152" s="24">
        <f>IFERROR(INDEX('По дням'!$A$2:$A$4000,MATCH(147,'По дням'!$G$2:$G$4000,0)),0)</f>
        <v>0</v>
      </c>
      <c r="K152" s="24">
        <f>IF(J152=0,0,J152+COUNTIF('По дням'!$G$2:$G$4000,147)-1)</f>
        <v>0</v>
      </c>
      <c r="L152" s="25">
        <f>IF(J152=0,0,N(INDEX('По дням'!$B$2:$B$4000,MATCH(147,'По дням'!$G$2:$G$4000,0))))</f>
        <v>0</v>
      </c>
      <c r="M152" s="26">
        <f>IF(J152=0,1,N(INDEX('По дням'!$C$2:$C$4000,MATCH(147,'По дням'!$G$2:$G$4000,0))))</f>
        <v>1</v>
      </c>
      <c r="N152" s="27">
        <f>IF(J152=0,0,N(INDEX('По дням'!$E$2:$E$4000,MATCH(147,'По дням'!$G$2:$G$4000,0))))</f>
        <v>0</v>
      </c>
    </row>
    <row r="153" spans="1:14" x14ac:dyDescent="0.3">
      <c r="A153" s="21" t="str">
        <f>IF(A152="","",IF(A152+1&gt;Ввод!$B$4,"",A152+1))</f>
        <v/>
      </c>
      <c r="B153" s="23" t="str">
        <f>IF(A153="","",IFERROR(INDEX(Ввод!$B$12:$B$71,MATCH(A153,Ввод!$D$12:$D$71,1)),""))</f>
        <v/>
      </c>
      <c r="C153" t="str">
        <f t="shared" si="4"/>
        <v/>
      </c>
      <c r="D153" t="str">
        <f>IF(A153="","",SUMIFS(Акты!$D$5:$D$16,Акты!$E$5:$E$16,"&lt;="&amp;A153)-SUMIFS(Оплаты!$B$6:$B$505,Оплаты!$A$6:$A$505,"&lt;"&amp;A153,Оплаты!$D$6:$D$505,"&lt;&gt;"))</f>
        <v/>
      </c>
      <c r="E153" t="str">
        <f>IF(A153="","",IF(SUMPRODUCT((Ввод!$F$12:$F$31&lt;&gt;"")*(Ввод!$F$12:$F$31&lt;=A153)*(Ввод!$G$12:$G$31&gt;=A153))&gt;0,1,0))</f>
        <v/>
      </c>
      <c r="G153" t="str">
        <f t="shared" si="5"/>
        <v/>
      </c>
      <c r="I153">
        <v>148</v>
      </c>
      <c r="J153" s="24">
        <f>IFERROR(INDEX('По дням'!$A$2:$A$4000,MATCH(148,'По дням'!$G$2:$G$4000,0)),0)</f>
        <v>0</v>
      </c>
      <c r="K153" s="24">
        <f>IF(J153=0,0,J153+COUNTIF('По дням'!$G$2:$G$4000,148)-1)</f>
        <v>0</v>
      </c>
      <c r="L153" s="25">
        <f>IF(J153=0,0,N(INDEX('По дням'!$B$2:$B$4000,MATCH(148,'По дням'!$G$2:$G$4000,0))))</f>
        <v>0</v>
      </c>
      <c r="M153" s="26">
        <f>IF(J153=0,1,N(INDEX('По дням'!$C$2:$C$4000,MATCH(148,'По дням'!$G$2:$G$4000,0))))</f>
        <v>1</v>
      </c>
      <c r="N153" s="27">
        <f>IF(J153=0,0,N(INDEX('По дням'!$E$2:$E$4000,MATCH(148,'По дням'!$G$2:$G$4000,0))))</f>
        <v>0</v>
      </c>
    </row>
    <row r="154" spans="1:14" x14ac:dyDescent="0.3">
      <c r="A154" s="21" t="str">
        <f>IF(A153="","",IF(A153+1&gt;Ввод!$B$4,"",A153+1))</f>
        <v/>
      </c>
      <c r="B154" s="23" t="str">
        <f>IF(A154="","",IFERROR(INDEX(Ввод!$B$12:$B$71,MATCH(A154,Ввод!$D$12:$D$71,1)),""))</f>
        <v/>
      </c>
      <c r="C154" t="str">
        <f t="shared" si="4"/>
        <v/>
      </c>
      <c r="D154" t="str">
        <f>IF(A154="","",SUMIFS(Акты!$D$5:$D$16,Акты!$E$5:$E$16,"&lt;="&amp;A154)-SUMIFS(Оплаты!$B$6:$B$505,Оплаты!$A$6:$A$505,"&lt;"&amp;A154,Оплаты!$D$6:$D$505,"&lt;&gt;"))</f>
        <v/>
      </c>
      <c r="E154" t="str">
        <f>IF(A154="","",IF(SUMPRODUCT((Ввод!$F$12:$F$31&lt;&gt;"")*(Ввод!$F$12:$F$31&lt;=A154)*(Ввод!$G$12:$G$31&gt;=A154))&gt;0,1,0))</f>
        <v/>
      </c>
      <c r="G154" t="str">
        <f t="shared" si="5"/>
        <v/>
      </c>
      <c r="I154">
        <v>149</v>
      </c>
      <c r="J154" s="24">
        <f>IFERROR(INDEX('По дням'!$A$2:$A$4000,MATCH(149,'По дням'!$G$2:$G$4000,0)),0)</f>
        <v>0</v>
      </c>
      <c r="K154" s="24">
        <f>IF(J154=0,0,J154+COUNTIF('По дням'!$G$2:$G$4000,149)-1)</f>
        <v>0</v>
      </c>
      <c r="L154" s="25">
        <f>IF(J154=0,0,N(INDEX('По дням'!$B$2:$B$4000,MATCH(149,'По дням'!$G$2:$G$4000,0))))</f>
        <v>0</v>
      </c>
      <c r="M154" s="26">
        <f>IF(J154=0,1,N(INDEX('По дням'!$C$2:$C$4000,MATCH(149,'По дням'!$G$2:$G$4000,0))))</f>
        <v>1</v>
      </c>
      <c r="N154" s="27">
        <f>IF(J154=0,0,N(INDEX('По дням'!$E$2:$E$4000,MATCH(149,'По дням'!$G$2:$G$4000,0))))</f>
        <v>0</v>
      </c>
    </row>
    <row r="155" spans="1:14" x14ac:dyDescent="0.3">
      <c r="A155" s="21" t="str">
        <f>IF(A154="","",IF(A154+1&gt;Ввод!$B$4,"",A154+1))</f>
        <v/>
      </c>
      <c r="B155" s="23" t="str">
        <f>IF(A155="","",IFERROR(INDEX(Ввод!$B$12:$B$71,MATCH(A155,Ввод!$D$12:$D$71,1)),""))</f>
        <v/>
      </c>
      <c r="C155" t="str">
        <f t="shared" si="4"/>
        <v/>
      </c>
      <c r="D155" t="str">
        <f>IF(A155="","",SUMIFS(Акты!$D$5:$D$16,Акты!$E$5:$E$16,"&lt;="&amp;A155)-SUMIFS(Оплаты!$B$6:$B$505,Оплаты!$A$6:$A$505,"&lt;"&amp;A155,Оплаты!$D$6:$D$505,"&lt;&gt;"))</f>
        <v/>
      </c>
      <c r="E155" t="str">
        <f>IF(A155="","",IF(SUMPRODUCT((Ввод!$F$12:$F$31&lt;&gt;"")*(Ввод!$F$12:$F$31&lt;=A155)*(Ввод!$G$12:$G$31&gt;=A155))&gt;0,1,0))</f>
        <v/>
      </c>
      <c r="G155" t="str">
        <f t="shared" si="5"/>
        <v/>
      </c>
      <c r="I155">
        <v>150</v>
      </c>
      <c r="J155" s="24">
        <f>IFERROR(INDEX('По дням'!$A$2:$A$4000,MATCH(150,'По дням'!$G$2:$G$4000,0)),0)</f>
        <v>0</v>
      </c>
      <c r="K155" s="24">
        <f>IF(J155=0,0,J155+COUNTIF('По дням'!$G$2:$G$4000,150)-1)</f>
        <v>0</v>
      </c>
      <c r="L155" s="25">
        <f>IF(J155=0,0,N(INDEX('По дням'!$B$2:$B$4000,MATCH(150,'По дням'!$G$2:$G$4000,0))))</f>
        <v>0</v>
      </c>
      <c r="M155" s="26">
        <f>IF(J155=0,1,N(INDEX('По дням'!$C$2:$C$4000,MATCH(150,'По дням'!$G$2:$G$4000,0))))</f>
        <v>1</v>
      </c>
      <c r="N155" s="27">
        <f>IF(J155=0,0,N(INDEX('По дням'!$E$2:$E$4000,MATCH(150,'По дням'!$G$2:$G$4000,0))))</f>
        <v>0</v>
      </c>
    </row>
    <row r="156" spans="1:14" x14ac:dyDescent="0.3">
      <c r="A156" s="21" t="str">
        <f>IF(A155="","",IF(A155+1&gt;Ввод!$B$4,"",A155+1))</f>
        <v/>
      </c>
      <c r="B156" s="23" t="str">
        <f>IF(A156="","",IFERROR(INDEX(Ввод!$B$12:$B$71,MATCH(A156,Ввод!$D$12:$D$71,1)),""))</f>
        <v/>
      </c>
      <c r="C156" t="str">
        <f t="shared" si="4"/>
        <v/>
      </c>
      <c r="D156" t="str">
        <f>IF(A156="","",SUMIFS(Акты!$D$5:$D$16,Акты!$E$5:$E$16,"&lt;="&amp;A156)-SUMIFS(Оплаты!$B$6:$B$505,Оплаты!$A$6:$A$505,"&lt;"&amp;A156,Оплаты!$D$6:$D$505,"&lt;&gt;"))</f>
        <v/>
      </c>
      <c r="E156" t="str">
        <f>IF(A156="","",IF(SUMPRODUCT((Ввод!$F$12:$F$31&lt;&gt;"")*(Ввод!$F$12:$F$31&lt;=A156)*(Ввод!$G$12:$G$31&gt;=A156))&gt;0,1,0))</f>
        <v/>
      </c>
      <c r="G156" t="str">
        <f t="shared" si="5"/>
        <v/>
      </c>
    </row>
    <row r="157" spans="1:14" x14ac:dyDescent="0.3">
      <c r="A157" s="21" t="str">
        <f>IF(A156="","",IF(A156+1&gt;Ввод!$B$4,"",A156+1))</f>
        <v/>
      </c>
      <c r="B157" s="23" t="str">
        <f>IF(A157="","",IFERROR(INDEX(Ввод!$B$12:$B$71,MATCH(A157,Ввод!$D$12:$D$71,1)),""))</f>
        <v/>
      </c>
      <c r="C157" t="str">
        <f t="shared" si="4"/>
        <v/>
      </c>
      <c r="D157" t="str">
        <f>IF(A157="","",SUMIFS(Акты!$D$5:$D$16,Акты!$E$5:$E$16,"&lt;="&amp;A157)-SUMIFS(Оплаты!$B$6:$B$505,Оплаты!$A$6:$A$505,"&lt;"&amp;A157,Оплаты!$D$6:$D$505,"&lt;&gt;"))</f>
        <v/>
      </c>
      <c r="E157" t="str">
        <f>IF(A157="","",IF(SUMPRODUCT((Ввод!$F$12:$F$31&lt;&gt;"")*(Ввод!$F$12:$F$31&lt;=A157)*(Ввод!$G$12:$G$31&gt;=A157))&gt;0,1,0))</f>
        <v/>
      </c>
      <c r="G157" t="str">
        <f t="shared" si="5"/>
        <v/>
      </c>
    </row>
    <row r="158" spans="1:14" x14ac:dyDescent="0.3">
      <c r="A158" s="21" t="str">
        <f>IF(A157="","",IF(A157+1&gt;Ввод!$B$4,"",A157+1))</f>
        <v/>
      </c>
      <c r="B158" s="23" t="str">
        <f>IF(A158="","",IFERROR(INDEX(Ввод!$B$12:$B$71,MATCH(A158,Ввод!$D$12:$D$71,1)),""))</f>
        <v/>
      </c>
      <c r="C158" t="str">
        <f t="shared" si="4"/>
        <v/>
      </c>
      <c r="D158" t="str">
        <f>IF(A158="","",SUMIFS(Акты!$D$5:$D$16,Акты!$E$5:$E$16,"&lt;="&amp;A158)-SUMIFS(Оплаты!$B$6:$B$505,Оплаты!$A$6:$A$505,"&lt;"&amp;A158,Оплаты!$D$6:$D$505,"&lt;&gt;"))</f>
        <v/>
      </c>
      <c r="E158" t="str">
        <f>IF(A158="","",IF(SUMPRODUCT((Ввод!$F$12:$F$31&lt;&gt;"")*(Ввод!$F$12:$F$31&lt;=A158)*(Ввод!$G$12:$G$31&gt;=A158))&gt;0,1,0))</f>
        <v/>
      </c>
      <c r="G158" t="str">
        <f t="shared" si="5"/>
        <v/>
      </c>
    </row>
    <row r="159" spans="1:14" x14ac:dyDescent="0.3">
      <c r="A159" s="21" t="str">
        <f>IF(A158="","",IF(A158+1&gt;Ввод!$B$4,"",A158+1))</f>
        <v/>
      </c>
      <c r="B159" s="23" t="str">
        <f>IF(A159="","",IFERROR(INDEX(Ввод!$B$12:$B$71,MATCH(A159,Ввод!$D$12:$D$71,1)),""))</f>
        <v/>
      </c>
      <c r="C159" t="str">
        <f t="shared" si="4"/>
        <v/>
      </c>
      <c r="D159" t="str">
        <f>IF(A159="","",SUMIFS(Акты!$D$5:$D$16,Акты!$E$5:$E$16,"&lt;="&amp;A159)-SUMIFS(Оплаты!$B$6:$B$505,Оплаты!$A$6:$A$505,"&lt;"&amp;A159,Оплаты!$D$6:$D$505,"&lt;&gt;"))</f>
        <v/>
      </c>
      <c r="E159" t="str">
        <f>IF(A159="","",IF(SUMPRODUCT((Ввод!$F$12:$F$31&lt;&gt;"")*(Ввод!$F$12:$F$31&lt;=A159)*(Ввод!$G$12:$G$31&gt;=A159))&gt;0,1,0))</f>
        <v/>
      </c>
      <c r="G159" t="str">
        <f t="shared" si="5"/>
        <v/>
      </c>
    </row>
    <row r="160" spans="1:14" x14ac:dyDescent="0.3">
      <c r="A160" s="21" t="str">
        <f>IF(A159="","",IF(A159+1&gt;Ввод!$B$4,"",A159+1))</f>
        <v/>
      </c>
      <c r="B160" s="23" t="str">
        <f>IF(A160="","",IFERROR(INDEX(Ввод!$B$12:$B$71,MATCH(A160,Ввод!$D$12:$D$71,1)),""))</f>
        <v/>
      </c>
      <c r="C160" t="str">
        <f t="shared" si="4"/>
        <v/>
      </c>
      <c r="D160" t="str">
        <f>IF(A160="","",SUMIFS(Акты!$D$5:$D$16,Акты!$E$5:$E$16,"&lt;="&amp;A160)-SUMIFS(Оплаты!$B$6:$B$505,Оплаты!$A$6:$A$505,"&lt;"&amp;A160,Оплаты!$D$6:$D$505,"&lt;&gt;"))</f>
        <v/>
      </c>
      <c r="E160" t="str">
        <f>IF(A160="","",IF(SUMPRODUCT((Ввод!$F$12:$F$31&lt;&gt;"")*(Ввод!$F$12:$F$31&lt;=A160)*(Ввод!$G$12:$G$31&gt;=A160))&gt;0,1,0))</f>
        <v/>
      </c>
      <c r="G160" t="str">
        <f t="shared" si="5"/>
        <v/>
      </c>
    </row>
    <row r="161" spans="1:7" x14ac:dyDescent="0.3">
      <c r="A161" s="21" t="str">
        <f>IF(A160="","",IF(A160+1&gt;Ввод!$B$4,"",A160+1))</f>
        <v/>
      </c>
      <c r="B161" s="23" t="str">
        <f>IF(A161="","",IFERROR(INDEX(Ввод!$B$12:$B$71,MATCH(A161,Ввод!$D$12:$D$71,1)),""))</f>
        <v/>
      </c>
      <c r="C161" t="str">
        <f t="shared" si="4"/>
        <v/>
      </c>
      <c r="D161" t="str">
        <f>IF(A161="","",SUMIFS(Акты!$D$5:$D$16,Акты!$E$5:$E$16,"&lt;="&amp;A161)-SUMIFS(Оплаты!$B$6:$B$505,Оплаты!$A$6:$A$505,"&lt;"&amp;A161,Оплаты!$D$6:$D$505,"&lt;&gt;"))</f>
        <v/>
      </c>
      <c r="E161" t="str">
        <f>IF(A161="","",IF(SUMPRODUCT((Ввод!$F$12:$F$31&lt;&gt;"")*(Ввод!$F$12:$F$31&lt;=A161)*(Ввод!$G$12:$G$31&gt;=A161))&gt;0,1,0))</f>
        <v/>
      </c>
      <c r="G161" t="str">
        <f t="shared" si="5"/>
        <v/>
      </c>
    </row>
    <row r="162" spans="1:7" x14ac:dyDescent="0.3">
      <c r="A162" s="21" t="str">
        <f>IF(A161="","",IF(A161+1&gt;Ввод!$B$4,"",A161+1))</f>
        <v/>
      </c>
      <c r="B162" s="23" t="str">
        <f>IF(A162="","",IFERROR(INDEX(Ввод!$B$12:$B$71,MATCH(A162,Ввод!$D$12:$D$71,1)),""))</f>
        <v/>
      </c>
      <c r="C162" t="str">
        <f t="shared" si="4"/>
        <v/>
      </c>
      <c r="D162" t="str">
        <f>IF(A162="","",SUMIFS(Акты!$D$5:$D$16,Акты!$E$5:$E$16,"&lt;="&amp;A162)-SUMIFS(Оплаты!$B$6:$B$505,Оплаты!$A$6:$A$505,"&lt;"&amp;A162,Оплаты!$D$6:$D$505,"&lt;&gt;"))</f>
        <v/>
      </c>
      <c r="E162" t="str">
        <f>IF(A162="","",IF(SUMPRODUCT((Ввод!$F$12:$F$31&lt;&gt;"")*(Ввод!$F$12:$F$31&lt;=A162)*(Ввод!$G$12:$G$31&gt;=A162))&gt;0,1,0))</f>
        <v/>
      </c>
      <c r="G162" t="str">
        <f t="shared" si="5"/>
        <v/>
      </c>
    </row>
    <row r="163" spans="1:7" x14ac:dyDescent="0.3">
      <c r="A163" s="21" t="str">
        <f>IF(A162="","",IF(A162+1&gt;Ввод!$B$4,"",A162+1))</f>
        <v/>
      </c>
      <c r="B163" s="23" t="str">
        <f>IF(A163="","",IFERROR(INDEX(Ввод!$B$12:$B$71,MATCH(A163,Ввод!$D$12:$D$71,1)),""))</f>
        <v/>
      </c>
      <c r="C163" t="str">
        <f t="shared" si="4"/>
        <v/>
      </c>
      <c r="D163" t="str">
        <f>IF(A163="","",SUMIFS(Акты!$D$5:$D$16,Акты!$E$5:$E$16,"&lt;="&amp;A163)-SUMIFS(Оплаты!$B$6:$B$505,Оплаты!$A$6:$A$505,"&lt;"&amp;A163,Оплаты!$D$6:$D$505,"&lt;&gt;"))</f>
        <v/>
      </c>
      <c r="E163" t="str">
        <f>IF(A163="","",IF(SUMPRODUCT((Ввод!$F$12:$F$31&lt;&gt;"")*(Ввод!$F$12:$F$31&lt;=A163)*(Ввод!$G$12:$G$31&gt;=A163))&gt;0,1,0))</f>
        <v/>
      </c>
      <c r="G163" t="str">
        <f t="shared" si="5"/>
        <v/>
      </c>
    </row>
    <row r="164" spans="1:7" x14ac:dyDescent="0.3">
      <c r="A164" s="21" t="str">
        <f>IF(A163="","",IF(A163+1&gt;Ввод!$B$4,"",A163+1))</f>
        <v/>
      </c>
      <c r="B164" s="23" t="str">
        <f>IF(A164="","",IFERROR(INDEX(Ввод!$B$12:$B$71,MATCH(A164,Ввод!$D$12:$D$71,1)),""))</f>
        <v/>
      </c>
      <c r="C164" t="str">
        <f t="shared" si="4"/>
        <v/>
      </c>
      <c r="D164" t="str">
        <f>IF(A164="","",SUMIFS(Акты!$D$5:$D$16,Акты!$E$5:$E$16,"&lt;="&amp;A164)-SUMIFS(Оплаты!$B$6:$B$505,Оплаты!$A$6:$A$505,"&lt;"&amp;A164,Оплаты!$D$6:$D$505,"&lt;&gt;"))</f>
        <v/>
      </c>
      <c r="E164" t="str">
        <f>IF(A164="","",IF(SUMPRODUCT((Ввод!$F$12:$F$31&lt;&gt;"")*(Ввод!$F$12:$F$31&lt;=A164)*(Ввод!$G$12:$G$31&gt;=A164))&gt;0,1,0))</f>
        <v/>
      </c>
      <c r="G164" t="str">
        <f t="shared" si="5"/>
        <v/>
      </c>
    </row>
    <row r="165" spans="1:7" x14ac:dyDescent="0.3">
      <c r="A165" s="21" t="str">
        <f>IF(A164="","",IF(A164+1&gt;Ввод!$B$4,"",A164+1))</f>
        <v/>
      </c>
      <c r="B165" s="23" t="str">
        <f>IF(A165="","",IFERROR(INDEX(Ввод!$B$12:$B$71,MATCH(A165,Ввод!$D$12:$D$71,1)),""))</f>
        <v/>
      </c>
      <c r="C165" t="str">
        <f t="shared" si="4"/>
        <v/>
      </c>
      <c r="D165" t="str">
        <f>IF(A165="","",SUMIFS(Акты!$D$5:$D$16,Акты!$E$5:$E$16,"&lt;="&amp;A165)-SUMIFS(Оплаты!$B$6:$B$505,Оплаты!$A$6:$A$505,"&lt;"&amp;A165,Оплаты!$D$6:$D$505,"&lt;&gt;"))</f>
        <v/>
      </c>
      <c r="E165" t="str">
        <f>IF(A165="","",IF(SUMPRODUCT((Ввод!$F$12:$F$31&lt;&gt;"")*(Ввод!$F$12:$F$31&lt;=A165)*(Ввод!$G$12:$G$31&gt;=A165))&gt;0,1,0))</f>
        <v/>
      </c>
      <c r="G165" t="str">
        <f t="shared" si="5"/>
        <v/>
      </c>
    </row>
    <row r="166" spans="1:7" x14ac:dyDescent="0.3">
      <c r="A166" s="21" t="str">
        <f>IF(A165="","",IF(A165+1&gt;Ввод!$B$4,"",A165+1))</f>
        <v/>
      </c>
      <c r="B166" s="23" t="str">
        <f>IF(A166="","",IFERROR(INDEX(Ввод!$B$12:$B$71,MATCH(A166,Ввод!$D$12:$D$71,1)),""))</f>
        <v/>
      </c>
      <c r="C166" t="str">
        <f t="shared" si="4"/>
        <v/>
      </c>
      <c r="D166" t="str">
        <f>IF(A166="","",SUMIFS(Акты!$D$5:$D$16,Акты!$E$5:$E$16,"&lt;="&amp;A166)-SUMIFS(Оплаты!$B$6:$B$505,Оплаты!$A$6:$A$505,"&lt;"&amp;A166,Оплаты!$D$6:$D$505,"&lt;&gt;"))</f>
        <v/>
      </c>
      <c r="E166" t="str">
        <f>IF(A166="","",IF(SUMPRODUCT((Ввод!$F$12:$F$31&lt;&gt;"")*(Ввод!$F$12:$F$31&lt;=A166)*(Ввод!$G$12:$G$31&gt;=A166))&gt;0,1,0))</f>
        <v/>
      </c>
      <c r="G166" t="str">
        <f t="shared" si="5"/>
        <v/>
      </c>
    </row>
    <row r="167" spans="1:7" x14ac:dyDescent="0.3">
      <c r="A167" s="21" t="str">
        <f>IF(A166="","",IF(A166+1&gt;Ввод!$B$4,"",A166+1))</f>
        <v/>
      </c>
      <c r="B167" s="23" t="str">
        <f>IF(A167="","",IFERROR(INDEX(Ввод!$B$12:$B$71,MATCH(A167,Ввод!$D$12:$D$71,1)),""))</f>
        <v/>
      </c>
      <c r="C167" t="str">
        <f t="shared" si="4"/>
        <v/>
      </c>
      <c r="D167" t="str">
        <f>IF(A167="","",SUMIFS(Акты!$D$5:$D$16,Акты!$E$5:$E$16,"&lt;="&amp;A167)-SUMIFS(Оплаты!$B$6:$B$505,Оплаты!$A$6:$A$505,"&lt;"&amp;A167,Оплаты!$D$6:$D$505,"&lt;&gt;"))</f>
        <v/>
      </c>
      <c r="E167" t="str">
        <f>IF(A167="","",IF(SUMPRODUCT((Ввод!$F$12:$F$31&lt;&gt;"")*(Ввод!$F$12:$F$31&lt;=A167)*(Ввод!$G$12:$G$31&gt;=A167))&gt;0,1,0))</f>
        <v/>
      </c>
      <c r="G167" t="str">
        <f t="shared" si="5"/>
        <v/>
      </c>
    </row>
    <row r="168" spans="1:7" x14ac:dyDescent="0.3">
      <c r="A168" s="21" t="str">
        <f>IF(A167="","",IF(A167+1&gt;Ввод!$B$4,"",A167+1))</f>
        <v/>
      </c>
      <c r="B168" s="23" t="str">
        <f>IF(A168="","",IFERROR(INDEX(Ввод!$B$12:$B$71,MATCH(A168,Ввод!$D$12:$D$71,1)),""))</f>
        <v/>
      </c>
      <c r="C168" t="str">
        <f t="shared" si="4"/>
        <v/>
      </c>
      <c r="D168" t="str">
        <f>IF(A168="","",SUMIFS(Акты!$D$5:$D$16,Акты!$E$5:$E$16,"&lt;="&amp;A168)-SUMIFS(Оплаты!$B$6:$B$505,Оплаты!$A$6:$A$505,"&lt;"&amp;A168,Оплаты!$D$6:$D$505,"&lt;&gt;"))</f>
        <v/>
      </c>
      <c r="E168" t="str">
        <f>IF(A168="","",IF(SUMPRODUCT((Ввод!$F$12:$F$31&lt;&gt;"")*(Ввод!$F$12:$F$31&lt;=A168)*(Ввод!$G$12:$G$31&gt;=A168))&gt;0,1,0))</f>
        <v/>
      </c>
      <c r="G168" t="str">
        <f t="shared" si="5"/>
        <v/>
      </c>
    </row>
    <row r="169" spans="1:7" x14ac:dyDescent="0.3">
      <c r="A169" s="21" t="str">
        <f>IF(A168="","",IF(A168+1&gt;Ввод!$B$4,"",A168+1))</f>
        <v/>
      </c>
      <c r="B169" s="23" t="str">
        <f>IF(A169="","",IFERROR(INDEX(Ввод!$B$12:$B$71,MATCH(A169,Ввод!$D$12:$D$71,1)),""))</f>
        <v/>
      </c>
      <c r="C169" t="str">
        <f t="shared" si="4"/>
        <v/>
      </c>
      <c r="D169" t="str">
        <f>IF(A169="","",SUMIFS(Акты!$D$5:$D$16,Акты!$E$5:$E$16,"&lt;="&amp;A169)-SUMIFS(Оплаты!$B$6:$B$505,Оплаты!$A$6:$A$505,"&lt;"&amp;A169,Оплаты!$D$6:$D$505,"&lt;&gt;"))</f>
        <v/>
      </c>
      <c r="E169" t="str">
        <f>IF(A169="","",IF(SUMPRODUCT((Ввод!$F$12:$F$31&lt;&gt;"")*(Ввод!$F$12:$F$31&lt;=A169)*(Ввод!$G$12:$G$31&gt;=A169))&gt;0,1,0))</f>
        <v/>
      </c>
      <c r="G169" t="str">
        <f t="shared" si="5"/>
        <v/>
      </c>
    </row>
    <row r="170" spans="1:7" x14ac:dyDescent="0.3">
      <c r="A170" s="21" t="str">
        <f>IF(A169="","",IF(A169+1&gt;Ввод!$B$4,"",A169+1))</f>
        <v/>
      </c>
      <c r="B170" s="23" t="str">
        <f>IF(A170="","",IFERROR(INDEX(Ввод!$B$12:$B$71,MATCH(A170,Ввод!$D$12:$D$71,1)),""))</f>
        <v/>
      </c>
      <c r="C170" t="str">
        <f t="shared" si="4"/>
        <v/>
      </c>
      <c r="D170" t="str">
        <f>IF(A170="","",SUMIFS(Акты!$D$5:$D$16,Акты!$E$5:$E$16,"&lt;="&amp;A170)-SUMIFS(Оплаты!$B$6:$B$505,Оплаты!$A$6:$A$505,"&lt;"&amp;A170,Оплаты!$D$6:$D$505,"&lt;&gt;"))</f>
        <v/>
      </c>
      <c r="E170" t="str">
        <f>IF(A170="","",IF(SUMPRODUCT((Ввод!$F$12:$F$31&lt;&gt;"")*(Ввод!$F$12:$F$31&lt;=A170)*(Ввод!$G$12:$G$31&gt;=A170))&gt;0,1,0))</f>
        <v/>
      </c>
      <c r="G170" t="str">
        <f t="shared" si="5"/>
        <v/>
      </c>
    </row>
    <row r="171" spans="1:7" x14ac:dyDescent="0.3">
      <c r="A171" s="21" t="str">
        <f>IF(A170="","",IF(A170+1&gt;Ввод!$B$4,"",A170+1))</f>
        <v/>
      </c>
      <c r="B171" s="23" t="str">
        <f>IF(A171="","",IFERROR(INDEX(Ввод!$B$12:$B$71,MATCH(A171,Ввод!$D$12:$D$71,1)),""))</f>
        <v/>
      </c>
      <c r="C171" t="str">
        <f t="shared" si="4"/>
        <v/>
      </c>
      <c r="D171" t="str">
        <f>IF(A171="","",SUMIFS(Акты!$D$5:$D$16,Акты!$E$5:$E$16,"&lt;="&amp;A171)-SUMIFS(Оплаты!$B$6:$B$505,Оплаты!$A$6:$A$505,"&lt;"&amp;A171,Оплаты!$D$6:$D$505,"&lt;&gt;"))</f>
        <v/>
      </c>
      <c r="E171" t="str">
        <f>IF(A171="","",IF(SUMPRODUCT((Ввод!$F$12:$F$31&lt;&gt;"")*(Ввод!$F$12:$F$31&lt;=A171)*(Ввод!$G$12:$G$31&gt;=A171))&gt;0,1,0))</f>
        <v/>
      </c>
      <c r="G171" t="str">
        <f t="shared" si="5"/>
        <v/>
      </c>
    </row>
    <row r="172" spans="1:7" x14ac:dyDescent="0.3">
      <c r="A172" s="21" t="str">
        <f>IF(A171="","",IF(A171+1&gt;Ввод!$B$4,"",A171+1))</f>
        <v/>
      </c>
      <c r="B172" s="23" t="str">
        <f>IF(A172="","",IFERROR(INDEX(Ввод!$B$12:$B$71,MATCH(A172,Ввод!$D$12:$D$71,1)),""))</f>
        <v/>
      </c>
      <c r="C172" t="str">
        <f t="shared" si="4"/>
        <v/>
      </c>
      <c r="D172" t="str">
        <f>IF(A172="","",SUMIFS(Акты!$D$5:$D$16,Акты!$E$5:$E$16,"&lt;="&amp;A172)-SUMIFS(Оплаты!$B$6:$B$505,Оплаты!$A$6:$A$505,"&lt;"&amp;A172,Оплаты!$D$6:$D$505,"&lt;&gt;"))</f>
        <v/>
      </c>
      <c r="E172" t="str">
        <f>IF(A172="","",IF(SUMPRODUCT((Ввод!$F$12:$F$31&lt;&gt;"")*(Ввод!$F$12:$F$31&lt;=A172)*(Ввод!$G$12:$G$31&gt;=A172))&gt;0,1,0))</f>
        <v/>
      </c>
      <c r="G172" t="str">
        <f t="shared" si="5"/>
        <v/>
      </c>
    </row>
    <row r="173" spans="1:7" x14ac:dyDescent="0.3">
      <c r="A173" s="21" t="str">
        <f>IF(A172="","",IF(A172+1&gt;Ввод!$B$4,"",A172+1))</f>
        <v/>
      </c>
      <c r="B173" s="23" t="str">
        <f>IF(A173="","",IFERROR(INDEX(Ввод!$B$12:$B$71,MATCH(A173,Ввод!$D$12:$D$71,1)),""))</f>
        <v/>
      </c>
      <c r="C173" t="str">
        <f t="shared" si="4"/>
        <v/>
      </c>
      <c r="D173" t="str">
        <f>IF(A173="","",SUMIFS(Акты!$D$5:$D$16,Акты!$E$5:$E$16,"&lt;="&amp;A173)-SUMIFS(Оплаты!$B$6:$B$505,Оплаты!$A$6:$A$505,"&lt;"&amp;A173,Оплаты!$D$6:$D$505,"&lt;&gt;"))</f>
        <v/>
      </c>
      <c r="E173" t="str">
        <f>IF(A173="","",IF(SUMPRODUCT((Ввод!$F$12:$F$31&lt;&gt;"")*(Ввод!$F$12:$F$31&lt;=A173)*(Ввод!$G$12:$G$31&gt;=A173))&gt;0,1,0))</f>
        <v/>
      </c>
      <c r="G173" t="str">
        <f t="shared" si="5"/>
        <v/>
      </c>
    </row>
    <row r="174" spans="1:7" x14ac:dyDescent="0.3">
      <c r="A174" s="21" t="str">
        <f>IF(A173="","",IF(A173+1&gt;Ввод!$B$4,"",A173+1))</f>
        <v/>
      </c>
      <c r="B174" s="23" t="str">
        <f>IF(A174="","",IFERROR(INDEX(Ввод!$B$12:$B$71,MATCH(A174,Ввод!$D$12:$D$71,1)),""))</f>
        <v/>
      </c>
      <c r="C174" t="str">
        <f t="shared" si="4"/>
        <v/>
      </c>
      <c r="D174" t="str">
        <f>IF(A174="","",SUMIFS(Акты!$D$5:$D$16,Акты!$E$5:$E$16,"&lt;="&amp;A174)-SUMIFS(Оплаты!$B$6:$B$505,Оплаты!$A$6:$A$505,"&lt;"&amp;A174,Оплаты!$D$6:$D$505,"&lt;&gt;"))</f>
        <v/>
      </c>
      <c r="E174" t="str">
        <f>IF(A174="","",IF(SUMPRODUCT((Ввод!$F$12:$F$31&lt;&gt;"")*(Ввод!$F$12:$F$31&lt;=A174)*(Ввод!$G$12:$G$31&gt;=A174))&gt;0,1,0))</f>
        <v/>
      </c>
      <c r="G174" t="str">
        <f t="shared" si="5"/>
        <v/>
      </c>
    </row>
    <row r="175" spans="1:7" x14ac:dyDescent="0.3">
      <c r="A175" s="21" t="str">
        <f>IF(A174="","",IF(A174+1&gt;Ввод!$B$4,"",A174+1))</f>
        <v/>
      </c>
      <c r="B175" s="23" t="str">
        <f>IF(A175="","",IFERROR(INDEX(Ввод!$B$12:$B$71,MATCH(A175,Ввод!$D$12:$D$71,1)),""))</f>
        <v/>
      </c>
      <c r="C175" t="str">
        <f t="shared" si="4"/>
        <v/>
      </c>
      <c r="D175" t="str">
        <f>IF(A175="","",SUMIFS(Акты!$D$5:$D$16,Акты!$E$5:$E$16,"&lt;="&amp;A175)-SUMIFS(Оплаты!$B$6:$B$505,Оплаты!$A$6:$A$505,"&lt;"&amp;A175,Оплаты!$D$6:$D$505,"&lt;&gt;"))</f>
        <v/>
      </c>
      <c r="E175" t="str">
        <f>IF(A175="","",IF(SUMPRODUCT((Ввод!$F$12:$F$31&lt;&gt;"")*(Ввод!$F$12:$F$31&lt;=A175)*(Ввод!$G$12:$G$31&gt;=A175))&gt;0,1,0))</f>
        <v/>
      </c>
      <c r="G175" t="str">
        <f t="shared" si="5"/>
        <v/>
      </c>
    </row>
    <row r="176" spans="1:7" x14ac:dyDescent="0.3">
      <c r="A176" s="21" t="str">
        <f>IF(A175="","",IF(A175+1&gt;Ввод!$B$4,"",A175+1))</f>
        <v/>
      </c>
      <c r="B176" s="23" t="str">
        <f>IF(A176="","",IFERROR(INDEX(Ввод!$B$12:$B$71,MATCH(A176,Ввод!$D$12:$D$71,1)),""))</f>
        <v/>
      </c>
      <c r="C176" t="str">
        <f t="shared" si="4"/>
        <v/>
      </c>
      <c r="D176" t="str">
        <f>IF(A176="","",SUMIFS(Акты!$D$5:$D$16,Акты!$E$5:$E$16,"&lt;="&amp;A176)-SUMIFS(Оплаты!$B$6:$B$505,Оплаты!$A$6:$A$505,"&lt;"&amp;A176,Оплаты!$D$6:$D$505,"&lt;&gt;"))</f>
        <v/>
      </c>
      <c r="E176" t="str">
        <f>IF(A176="","",IF(SUMPRODUCT((Ввод!$F$12:$F$31&lt;&gt;"")*(Ввод!$F$12:$F$31&lt;=A176)*(Ввод!$G$12:$G$31&gt;=A176))&gt;0,1,0))</f>
        <v/>
      </c>
      <c r="G176" t="str">
        <f t="shared" si="5"/>
        <v/>
      </c>
    </row>
    <row r="177" spans="1:7" x14ac:dyDescent="0.3">
      <c r="A177" s="21" t="str">
        <f>IF(A176="","",IF(A176+1&gt;Ввод!$B$4,"",A176+1))</f>
        <v/>
      </c>
      <c r="B177" s="23" t="str">
        <f>IF(A177="","",IFERROR(INDEX(Ввод!$B$12:$B$71,MATCH(A177,Ввод!$D$12:$D$71,1)),""))</f>
        <v/>
      </c>
      <c r="C177" t="str">
        <f t="shared" si="4"/>
        <v/>
      </c>
      <c r="D177" t="str">
        <f>IF(A177="","",SUMIFS(Акты!$D$5:$D$16,Акты!$E$5:$E$16,"&lt;="&amp;A177)-SUMIFS(Оплаты!$B$6:$B$505,Оплаты!$A$6:$A$505,"&lt;"&amp;A177,Оплаты!$D$6:$D$505,"&lt;&gt;"))</f>
        <v/>
      </c>
      <c r="E177" t="str">
        <f>IF(A177="","",IF(SUMPRODUCT((Ввод!$F$12:$F$31&lt;&gt;"")*(Ввод!$F$12:$F$31&lt;=A177)*(Ввод!$G$12:$G$31&gt;=A177))&gt;0,1,0))</f>
        <v/>
      </c>
      <c r="G177" t="str">
        <f t="shared" si="5"/>
        <v/>
      </c>
    </row>
    <row r="178" spans="1:7" x14ac:dyDescent="0.3">
      <c r="A178" s="21" t="str">
        <f>IF(A177="","",IF(A177+1&gt;Ввод!$B$4,"",A177+1))</f>
        <v/>
      </c>
      <c r="B178" s="23" t="str">
        <f>IF(A178="","",IFERROR(INDEX(Ввод!$B$12:$B$71,MATCH(A178,Ввод!$D$12:$D$71,1)),""))</f>
        <v/>
      </c>
      <c r="C178" t="str">
        <f t="shared" si="4"/>
        <v/>
      </c>
      <c r="D178" t="str">
        <f>IF(A178="","",SUMIFS(Акты!$D$5:$D$16,Акты!$E$5:$E$16,"&lt;="&amp;A178)-SUMIFS(Оплаты!$B$6:$B$505,Оплаты!$A$6:$A$505,"&lt;"&amp;A178,Оплаты!$D$6:$D$505,"&lt;&gt;"))</f>
        <v/>
      </c>
      <c r="E178" t="str">
        <f>IF(A178="","",IF(SUMPRODUCT((Ввод!$F$12:$F$31&lt;&gt;"")*(Ввод!$F$12:$F$31&lt;=A178)*(Ввод!$G$12:$G$31&gt;=A178))&gt;0,1,0))</f>
        <v/>
      </c>
      <c r="G178" t="str">
        <f t="shared" si="5"/>
        <v/>
      </c>
    </row>
    <row r="179" spans="1:7" x14ac:dyDescent="0.3">
      <c r="A179" s="21" t="str">
        <f>IF(A178="","",IF(A178+1&gt;Ввод!$B$4,"",A178+1))</f>
        <v/>
      </c>
      <c r="B179" s="23" t="str">
        <f>IF(A179="","",IFERROR(INDEX(Ввод!$B$12:$B$71,MATCH(A179,Ввод!$D$12:$D$71,1)),""))</f>
        <v/>
      </c>
      <c r="C179" t="str">
        <f t="shared" si="4"/>
        <v/>
      </c>
      <c r="D179" t="str">
        <f>IF(A179="","",SUMIFS(Акты!$D$5:$D$16,Акты!$E$5:$E$16,"&lt;="&amp;A179)-SUMIFS(Оплаты!$B$6:$B$505,Оплаты!$A$6:$A$505,"&lt;"&amp;A179,Оплаты!$D$6:$D$505,"&lt;&gt;"))</f>
        <v/>
      </c>
      <c r="E179" t="str">
        <f>IF(A179="","",IF(SUMPRODUCT((Ввод!$F$12:$F$31&lt;&gt;"")*(Ввод!$F$12:$F$31&lt;=A179)*(Ввод!$G$12:$G$31&gt;=A179))&gt;0,1,0))</f>
        <v/>
      </c>
      <c r="G179" t="str">
        <f t="shared" si="5"/>
        <v/>
      </c>
    </row>
    <row r="180" spans="1:7" x14ac:dyDescent="0.3">
      <c r="A180" s="21" t="str">
        <f>IF(A179="","",IF(A179+1&gt;Ввод!$B$4,"",A179+1))</f>
        <v/>
      </c>
      <c r="B180" s="23" t="str">
        <f>IF(A180="","",IFERROR(INDEX(Ввод!$B$12:$B$71,MATCH(A180,Ввод!$D$12:$D$71,1)),""))</f>
        <v/>
      </c>
      <c r="C180" t="str">
        <f t="shared" si="4"/>
        <v/>
      </c>
      <c r="D180" t="str">
        <f>IF(A180="","",SUMIFS(Акты!$D$5:$D$16,Акты!$E$5:$E$16,"&lt;="&amp;A180)-SUMIFS(Оплаты!$B$6:$B$505,Оплаты!$A$6:$A$505,"&lt;"&amp;A180,Оплаты!$D$6:$D$505,"&lt;&gt;"))</f>
        <v/>
      </c>
      <c r="E180" t="str">
        <f>IF(A180="","",IF(SUMPRODUCT((Ввод!$F$12:$F$31&lt;&gt;"")*(Ввод!$F$12:$F$31&lt;=A180)*(Ввод!$G$12:$G$31&gt;=A180))&gt;0,1,0))</f>
        <v/>
      </c>
      <c r="G180" t="str">
        <f t="shared" si="5"/>
        <v/>
      </c>
    </row>
    <row r="181" spans="1:7" x14ac:dyDescent="0.3">
      <c r="A181" s="21" t="str">
        <f>IF(A180="","",IF(A180+1&gt;Ввод!$B$4,"",A180+1))</f>
        <v/>
      </c>
      <c r="B181" s="23" t="str">
        <f>IF(A181="","",IFERROR(INDEX(Ввод!$B$12:$B$71,MATCH(A181,Ввод!$D$12:$D$71,1)),""))</f>
        <v/>
      </c>
      <c r="C181" t="str">
        <f t="shared" si="4"/>
        <v/>
      </c>
      <c r="D181" t="str">
        <f>IF(A181="","",SUMIFS(Акты!$D$5:$D$16,Акты!$E$5:$E$16,"&lt;="&amp;A181)-SUMIFS(Оплаты!$B$6:$B$505,Оплаты!$A$6:$A$505,"&lt;"&amp;A181,Оплаты!$D$6:$D$505,"&lt;&gt;"))</f>
        <v/>
      </c>
      <c r="E181" t="str">
        <f>IF(A181="","",IF(SUMPRODUCT((Ввод!$F$12:$F$31&lt;&gt;"")*(Ввод!$F$12:$F$31&lt;=A181)*(Ввод!$G$12:$G$31&gt;=A181))&gt;0,1,0))</f>
        <v/>
      </c>
      <c r="G181" t="str">
        <f t="shared" si="5"/>
        <v/>
      </c>
    </row>
    <row r="182" spans="1:7" x14ac:dyDescent="0.3">
      <c r="A182" s="21" t="str">
        <f>IF(A181="","",IF(A181+1&gt;Ввод!$B$4,"",A181+1))</f>
        <v/>
      </c>
      <c r="B182" s="23" t="str">
        <f>IF(A182="","",IFERROR(INDEX(Ввод!$B$12:$B$71,MATCH(A182,Ввод!$D$12:$D$71,1)),""))</f>
        <v/>
      </c>
      <c r="C182" t="str">
        <f t="shared" si="4"/>
        <v/>
      </c>
      <c r="D182" t="str">
        <f>IF(A182="","",SUMIFS(Акты!$D$5:$D$16,Акты!$E$5:$E$16,"&lt;="&amp;A182)-SUMIFS(Оплаты!$B$6:$B$505,Оплаты!$A$6:$A$505,"&lt;"&amp;A182,Оплаты!$D$6:$D$505,"&lt;&gt;"))</f>
        <v/>
      </c>
      <c r="E182" t="str">
        <f>IF(A182="","",IF(SUMPRODUCT((Ввод!$F$12:$F$31&lt;&gt;"")*(Ввод!$F$12:$F$31&lt;=A182)*(Ввод!$G$12:$G$31&gt;=A182))&gt;0,1,0))</f>
        <v/>
      </c>
      <c r="G182" t="str">
        <f t="shared" si="5"/>
        <v/>
      </c>
    </row>
    <row r="183" spans="1:7" x14ac:dyDescent="0.3">
      <c r="A183" s="21" t="str">
        <f>IF(A182="","",IF(A182+1&gt;Ввод!$B$4,"",A182+1))</f>
        <v/>
      </c>
      <c r="B183" s="23" t="str">
        <f>IF(A183="","",IFERROR(INDEX(Ввод!$B$12:$B$71,MATCH(A183,Ввод!$D$12:$D$71,1)),""))</f>
        <v/>
      </c>
      <c r="C183" t="str">
        <f t="shared" si="4"/>
        <v/>
      </c>
      <c r="D183" t="str">
        <f>IF(A183="","",SUMIFS(Акты!$D$5:$D$16,Акты!$E$5:$E$16,"&lt;="&amp;A183)-SUMIFS(Оплаты!$B$6:$B$505,Оплаты!$A$6:$A$505,"&lt;"&amp;A183,Оплаты!$D$6:$D$505,"&lt;&gt;"))</f>
        <v/>
      </c>
      <c r="E183" t="str">
        <f>IF(A183="","",IF(SUMPRODUCT((Ввод!$F$12:$F$31&lt;&gt;"")*(Ввод!$F$12:$F$31&lt;=A183)*(Ввод!$G$12:$G$31&gt;=A183))&gt;0,1,0))</f>
        <v/>
      </c>
      <c r="G183" t="str">
        <f t="shared" si="5"/>
        <v/>
      </c>
    </row>
    <row r="184" spans="1:7" x14ac:dyDescent="0.3">
      <c r="A184" s="21" t="str">
        <f>IF(A183="","",IF(A183+1&gt;Ввод!$B$4,"",A183+1))</f>
        <v/>
      </c>
      <c r="B184" s="23" t="str">
        <f>IF(A184="","",IFERROR(INDEX(Ввод!$B$12:$B$71,MATCH(A184,Ввод!$D$12:$D$71,1)),""))</f>
        <v/>
      </c>
      <c r="C184" t="str">
        <f t="shared" si="4"/>
        <v/>
      </c>
      <c r="D184" t="str">
        <f>IF(A184="","",SUMIFS(Акты!$D$5:$D$16,Акты!$E$5:$E$16,"&lt;="&amp;A184)-SUMIFS(Оплаты!$B$6:$B$505,Оплаты!$A$6:$A$505,"&lt;"&amp;A184,Оплаты!$D$6:$D$505,"&lt;&gt;"))</f>
        <v/>
      </c>
      <c r="E184" t="str">
        <f>IF(A184="","",IF(SUMPRODUCT((Ввод!$F$12:$F$31&lt;&gt;"")*(Ввод!$F$12:$F$31&lt;=A184)*(Ввод!$G$12:$G$31&gt;=A184))&gt;0,1,0))</f>
        <v/>
      </c>
      <c r="G184" t="str">
        <f t="shared" si="5"/>
        <v/>
      </c>
    </row>
    <row r="185" spans="1:7" x14ac:dyDescent="0.3">
      <c r="A185" s="21" t="str">
        <f>IF(A184="","",IF(A184+1&gt;Ввод!$B$4,"",A184+1))</f>
        <v/>
      </c>
      <c r="B185" s="23" t="str">
        <f>IF(A185="","",IFERROR(INDEX(Ввод!$B$12:$B$71,MATCH(A185,Ввод!$D$12:$D$71,1)),""))</f>
        <v/>
      </c>
      <c r="C185" t="str">
        <f t="shared" si="4"/>
        <v/>
      </c>
      <c r="D185" t="str">
        <f>IF(A185="","",SUMIFS(Акты!$D$5:$D$16,Акты!$E$5:$E$16,"&lt;="&amp;A185)-SUMIFS(Оплаты!$B$6:$B$505,Оплаты!$A$6:$A$505,"&lt;"&amp;A185,Оплаты!$D$6:$D$505,"&lt;&gt;"))</f>
        <v/>
      </c>
      <c r="E185" t="str">
        <f>IF(A185="","",IF(SUMPRODUCT((Ввод!$F$12:$F$31&lt;&gt;"")*(Ввод!$F$12:$F$31&lt;=A185)*(Ввод!$G$12:$G$31&gt;=A185))&gt;0,1,0))</f>
        <v/>
      </c>
      <c r="G185" t="str">
        <f t="shared" si="5"/>
        <v/>
      </c>
    </row>
    <row r="186" spans="1:7" x14ac:dyDescent="0.3">
      <c r="A186" s="21" t="str">
        <f>IF(A185="","",IF(A185+1&gt;Ввод!$B$4,"",A185+1))</f>
        <v/>
      </c>
      <c r="B186" s="23" t="str">
        <f>IF(A186="","",IFERROR(INDEX(Ввод!$B$12:$B$71,MATCH(A186,Ввод!$D$12:$D$71,1)),""))</f>
        <v/>
      </c>
      <c r="C186" t="str">
        <f t="shared" si="4"/>
        <v/>
      </c>
      <c r="D186" t="str">
        <f>IF(A186="","",SUMIFS(Акты!$D$5:$D$16,Акты!$E$5:$E$16,"&lt;="&amp;A186)-SUMIFS(Оплаты!$B$6:$B$505,Оплаты!$A$6:$A$505,"&lt;"&amp;A186,Оплаты!$D$6:$D$505,"&lt;&gt;"))</f>
        <v/>
      </c>
      <c r="E186" t="str">
        <f>IF(A186="","",IF(SUMPRODUCT((Ввод!$F$12:$F$31&lt;&gt;"")*(Ввод!$F$12:$F$31&lt;=A186)*(Ввод!$G$12:$G$31&gt;=A186))&gt;0,1,0))</f>
        <v/>
      </c>
      <c r="G186" t="str">
        <f t="shared" si="5"/>
        <v/>
      </c>
    </row>
    <row r="187" spans="1:7" x14ac:dyDescent="0.3">
      <c r="A187" s="21" t="str">
        <f>IF(A186="","",IF(A186+1&gt;Ввод!$B$4,"",A186+1))</f>
        <v/>
      </c>
      <c r="B187" s="23" t="str">
        <f>IF(A187="","",IFERROR(INDEX(Ввод!$B$12:$B$71,MATCH(A187,Ввод!$D$12:$D$71,1)),""))</f>
        <v/>
      </c>
      <c r="C187" t="str">
        <f t="shared" si="4"/>
        <v/>
      </c>
      <c r="D187" t="str">
        <f>IF(A187="","",SUMIFS(Акты!$D$5:$D$16,Акты!$E$5:$E$16,"&lt;="&amp;A187)-SUMIFS(Оплаты!$B$6:$B$505,Оплаты!$A$6:$A$505,"&lt;"&amp;A187,Оплаты!$D$6:$D$505,"&lt;&gt;"))</f>
        <v/>
      </c>
      <c r="E187" t="str">
        <f>IF(A187="","",IF(SUMPRODUCT((Ввод!$F$12:$F$31&lt;&gt;"")*(Ввод!$F$12:$F$31&lt;=A187)*(Ввод!$G$12:$G$31&gt;=A187))&gt;0,1,0))</f>
        <v/>
      </c>
      <c r="G187" t="str">
        <f t="shared" si="5"/>
        <v/>
      </c>
    </row>
    <row r="188" spans="1:7" x14ac:dyDescent="0.3">
      <c r="A188" s="21" t="str">
        <f>IF(A187="","",IF(A187+1&gt;Ввод!$B$4,"",A187+1))</f>
        <v/>
      </c>
      <c r="B188" s="23" t="str">
        <f>IF(A188="","",IFERROR(INDEX(Ввод!$B$12:$B$71,MATCH(A188,Ввод!$D$12:$D$71,1)),""))</f>
        <v/>
      </c>
      <c r="C188" t="str">
        <f t="shared" si="4"/>
        <v/>
      </c>
      <c r="D188" t="str">
        <f>IF(A188="","",SUMIFS(Акты!$D$5:$D$16,Акты!$E$5:$E$16,"&lt;="&amp;A188)-SUMIFS(Оплаты!$B$6:$B$505,Оплаты!$A$6:$A$505,"&lt;"&amp;A188,Оплаты!$D$6:$D$505,"&lt;&gt;"))</f>
        <v/>
      </c>
      <c r="E188" t="str">
        <f>IF(A188="","",IF(SUMPRODUCT((Ввод!$F$12:$F$31&lt;&gt;"")*(Ввод!$F$12:$F$31&lt;=A188)*(Ввод!$G$12:$G$31&gt;=A188))&gt;0,1,0))</f>
        <v/>
      </c>
      <c r="G188" t="str">
        <f t="shared" si="5"/>
        <v/>
      </c>
    </row>
    <row r="189" spans="1:7" x14ac:dyDescent="0.3">
      <c r="A189" s="21" t="str">
        <f>IF(A188="","",IF(A188+1&gt;Ввод!$B$4,"",A188+1))</f>
        <v/>
      </c>
      <c r="B189" s="23" t="str">
        <f>IF(A189="","",IFERROR(INDEX(Ввод!$B$12:$B$71,MATCH(A189,Ввод!$D$12:$D$71,1)),""))</f>
        <v/>
      </c>
      <c r="C189" t="str">
        <f t="shared" si="4"/>
        <v/>
      </c>
      <c r="D189" t="str">
        <f>IF(A189="","",SUMIFS(Акты!$D$5:$D$16,Акты!$E$5:$E$16,"&lt;="&amp;A189)-SUMIFS(Оплаты!$B$6:$B$505,Оплаты!$A$6:$A$505,"&lt;"&amp;A189,Оплаты!$D$6:$D$505,"&lt;&gt;"))</f>
        <v/>
      </c>
      <c r="E189" t="str">
        <f>IF(A189="","",IF(SUMPRODUCT((Ввод!$F$12:$F$31&lt;&gt;"")*(Ввод!$F$12:$F$31&lt;=A189)*(Ввод!$G$12:$G$31&gt;=A189))&gt;0,1,0))</f>
        <v/>
      </c>
      <c r="G189" t="str">
        <f t="shared" si="5"/>
        <v/>
      </c>
    </row>
    <row r="190" spans="1:7" x14ac:dyDescent="0.3">
      <c r="A190" s="21" t="str">
        <f>IF(A189="","",IF(A189+1&gt;Ввод!$B$4,"",A189+1))</f>
        <v/>
      </c>
      <c r="B190" s="23" t="str">
        <f>IF(A190="","",IFERROR(INDEX(Ввод!$B$12:$B$71,MATCH(A190,Ввод!$D$12:$D$71,1)),""))</f>
        <v/>
      </c>
      <c r="C190" t="str">
        <f t="shared" si="4"/>
        <v/>
      </c>
      <c r="D190" t="str">
        <f>IF(A190="","",SUMIFS(Акты!$D$5:$D$16,Акты!$E$5:$E$16,"&lt;="&amp;A190)-SUMIFS(Оплаты!$B$6:$B$505,Оплаты!$A$6:$A$505,"&lt;"&amp;A190,Оплаты!$D$6:$D$505,"&lt;&gt;"))</f>
        <v/>
      </c>
      <c r="E190" t="str">
        <f>IF(A190="","",IF(SUMPRODUCT((Ввод!$F$12:$F$31&lt;&gt;"")*(Ввод!$F$12:$F$31&lt;=A190)*(Ввод!$G$12:$G$31&gt;=A190))&gt;0,1,0))</f>
        <v/>
      </c>
      <c r="G190" t="str">
        <f t="shared" si="5"/>
        <v/>
      </c>
    </row>
    <row r="191" spans="1:7" x14ac:dyDescent="0.3">
      <c r="A191" s="21" t="str">
        <f>IF(A190="","",IF(A190+1&gt;Ввод!$B$4,"",A190+1))</f>
        <v/>
      </c>
      <c r="B191" s="23" t="str">
        <f>IF(A191="","",IFERROR(INDEX(Ввод!$B$12:$B$71,MATCH(A191,Ввод!$D$12:$D$71,1)),""))</f>
        <v/>
      </c>
      <c r="C191" t="str">
        <f t="shared" si="4"/>
        <v/>
      </c>
      <c r="D191" t="str">
        <f>IF(A191="","",SUMIFS(Акты!$D$5:$D$16,Акты!$E$5:$E$16,"&lt;="&amp;A191)-SUMIFS(Оплаты!$B$6:$B$505,Оплаты!$A$6:$A$505,"&lt;"&amp;A191,Оплаты!$D$6:$D$505,"&lt;&gt;"))</f>
        <v/>
      </c>
      <c r="E191" t="str">
        <f>IF(A191="","",IF(SUMPRODUCT((Ввод!$F$12:$F$31&lt;&gt;"")*(Ввод!$F$12:$F$31&lt;=A191)*(Ввод!$G$12:$G$31&gt;=A191))&gt;0,1,0))</f>
        <v/>
      </c>
      <c r="G191" t="str">
        <f t="shared" si="5"/>
        <v/>
      </c>
    </row>
    <row r="192" spans="1:7" x14ac:dyDescent="0.3">
      <c r="A192" s="21" t="str">
        <f>IF(A191="","",IF(A191+1&gt;Ввод!$B$4,"",A191+1))</f>
        <v/>
      </c>
      <c r="B192" s="23" t="str">
        <f>IF(A192="","",IFERROR(INDEX(Ввод!$B$12:$B$71,MATCH(A192,Ввод!$D$12:$D$71,1)),""))</f>
        <v/>
      </c>
      <c r="C192" t="str">
        <f t="shared" si="4"/>
        <v/>
      </c>
      <c r="D192" t="str">
        <f>IF(A192="","",SUMIFS(Акты!$D$5:$D$16,Акты!$E$5:$E$16,"&lt;="&amp;A192)-SUMIFS(Оплаты!$B$6:$B$505,Оплаты!$A$6:$A$505,"&lt;"&amp;A192,Оплаты!$D$6:$D$505,"&lt;&gt;"))</f>
        <v/>
      </c>
      <c r="E192" t="str">
        <f>IF(A192="","",IF(SUMPRODUCT((Ввод!$F$12:$F$31&lt;&gt;"")*(Ввод!$F$12:$F$31&lt;=A192)*(Ввод!$G$12:$G$31&gt;=A192))&gt;0,1,0))</f>
        <v/>
      </c>
      <c r="G192" t="str">
        <f t="shared" si="5"/>
        <v/>
      </c>
    </row>
    <row r="193" spans="1:7" x14ac:dyDescent="0.3">
      <c r="A193" s="21" t="str">
        <f>IF(A192="","",IF(A192+1&gt;Ввод!$B$4,"",A192+1))</f>
        <v/>
      </c>
      <c r="B193" s="23" t="str">
        <f>IF(A193="","",IFERROR(INDEX(Ввод!$B$12:$B$71,MATCH(A193,Ввод!$D$12:$D$71,1)),""))</f>
        <v/>
      </c>
      <c r="C193" t="str">
        <f t="shared" si="4"/>
        <v/>
      </c>
      <c r="D193" t="str">
        <f>IF(A193="","",SUMIFS(Акты!$D$5:$D$16,Акты!$E$5:$E$16,"&lt;="&amp;A193)-SUMIFS(Оплаты!$B$6:$B$505,Оплаты!$A$6:$A$505,"&lt;"&amp;A193,Оплаты!$D$6:$D$505,"&lt;&gt;"))</f>
        <v/>
      </c>
      <c r="E193" t="str">
        <f>IF(A193="","",IF(SUMPRODUCT((Ввод!$F$12:$F$31&lt;&gt;"")*(Ввод!$F$12:$F$31&lt;=A193)*(Ввод!$G$12:$G$31&gt;=A193))&gt;0,1,0))</f>
        <v/>
      </c>
      <c r="G193" t="str">
        <f t="shared" si="5"/>
        <v/>
      </c>
    </row>
    <row r="194" spans="1:7" x14ac:dyDescent="0.3">
      <c r="A194" s="21" t="str">
        <f>IF(A193="","",IF(A193+1&gt;Ввод!$B$4,"",A193+1))</f>
        <v/>
      </c>
      <c r="B194" s="23" t="str">
        <f>IF(A194="","",IFERROR(INDEX(Ввод!$B$12:$B$71,MATCH(A194,Ввод!$D$12:$D$71,1)),""))</f>
        <v/>
      </c>
      <c r="C194" t="str">
        <f t="shared" ref="C194:C257" si="6">IF(A194="","",DATE(YEAR(A194),12,31)-DATE(YEAR(A194),1,1)+1)</f>
        <v/>
      </c>
      <c r="D194" t="str">
        <f>IF(A194="","",SUMIFS(Акты!$D$5:$D$16,Акты!$E$5:$E$16,"&lt;="&amp;A194)-SUMIFS(Оплаты!$B$6:$B$505,Оплаты!$A$6:$A$505,"&lt;"&amp;A194,Оплаты!$D$6:$D$505,"&lt;&gt;"))</f>
        <v/>
      </c>
      <c r="E194" t="str">
        <f>IF(A194="","",IF(SUMPRODUCT((Ввод!$F$12:$F$31&lt;&gt;"")*(Ввод!$F$12:$F$31&lt;=A194)*(Ввод!$G$12:$G$31&gt;=A194))&gt;0,1,0))</f>
        <v/>
      </c>
      <c r="G194" t="str">
        <f t="shared" si="5"/>
        <v/>
      </c>
    </row>
    <row r="195" spans="1:7" x14ac:dyDescent="0.3">
      <c r="A195" s="21" t="str">
        <f>IF(A194="","",IF(A194+1&gt;Ввод!$B$4,"",A194+1))</f>
        <v/>
      </c>
      <c r="B195" s="23" t="str">
        <f>IF(A195="","",IFERROR(INDEX(Ввод!$B$12:$B$71,MATCH(A195,Ввод!$D$12:$D$71,1)),""))</f>
        <v/>
      </c>
      <c r="C195" t="str">
        <f t="shared" si="6"/>
        <v/>
      </c>
      <c r="D195" t="str">
        <f>IF(A195="","",SUMIFS(Акты!$D$5:$D$16,Акты!$E$5:$E$16,"&lt;="&amp;A195)-SUMIFS(Оплаты!$B$6:$B$505,Оплаты!$A$6:$A$505,"&lt;"&amp;A195,Оплаты!$D$6:$D$505,"&lt;&gt;"))</f>
        <v/>
      </c>
      <c r="E195" t="str">
        <f>IF(A195="","",IF(SUMPRODUCT((Ввод!$F$12:$F$31&lt;&gt;"")*(Ввод!$F$12:$F$31&lt;=A195)*(Ввод!$G$12:$G$31&gt;=A195))&gt;0,1,0))</f>
        <v/>
      </c>
      <c r="G195" t="str">
        <f t="shared" ref="G195:G258" si="7">IF(A195="","",IF(OR(B195&lt;&gt;B194,C195&lt;&gt;C194,E195&lt;&gt;E194),G194+1,G194))</f>
        <v/>
      </c>
    </row>
    <row r="196" spans="1:7" x14ac:dyDescent="0.3">
      <c r="A196" s="21" t="str">
        <f>IF(A195="","",IF(A195+1&gt;Ввод!$B$4,"",A195+1))</f>
        <v/>
      </c>
      <c r="B196" s="23" t="str">
        <f>IF(A196="","",IFERROR(INDEX(Ввод!$B$12:$B$71,MATCH(A196,Ввод!$D$12:$D$71,1)),""))</f>
        <v/>
      </c>
      <c r="C196" t="str">
        <f t="shared" si="6"/>
        <v/>
      </c>
      <c r="D196" t="str">
        <f>IF(A196="","",SUMIFS(Акты!$D$5:$D$16,Акты!$E$5:$E$16,"&lt;="&amp;A196)-SUMIFS(Оплаты!$B$6:$B$505,Оплаты!$A$6:$A$505,"&lt;"&amp;A196,Оплаты!$D$6:$D$505,"&lt;&gt;"))</f>
        <v/>
      </c>
      <c r="E196" t="str">
        <f>IF(A196="","",IF(SUMPRODUCT((Ввод!$F$12:$F$31&lt;&gt;"")*(Ввод!$F$12:$F$31&lt;=A196)*(Ввод!$G$12:$G$31&gt;=A196))&gt;0,1,0))</f>
        <v/>
      </c>
      <c r="G196" t="str">
        <f t="shared" si="7"/>
        <v/>
      </c>
    </row>
    <row r="197" spans="1:7" x14ac:dyDescent="0.3">
      <c r="A197" s="21" t="str">
        <f>IF(A196="","",IF(A196+1&gt;Ввод!$B$4,"",A196+1))</f>
        <v/>
      </c>
      <c r="B197" s="23" t="str">
        <f>IF(A197="","",IFERROR(INDEX(Ввод!$B$12:$B$71,MATCH(A197,Ввод!$D$12:$D$71,1)),""))</f>
        <v/>
      </c>
      <c r="C197" t="str">
        <f t="shared" si="6"/>
        <v/>
      </c>
      <c r="D197" t="str">
        <f>IF(A197="","",SUMIFS(Акты!$D$5:$D$16,Акты!$E$5:$E$16,"&lt;="&amp;A197)-SUMIFS(Оплаты!$B$6:$B$505,Оплаты!$A$6:$A$505,"&lt;"&amp;A197,Оплаты!$D$6:$D$505,"&lt;&gt;"))</f>
        <v/>
      </c>
      <c r="E197" t="str">
        <f>IF(A197="","",IF(SUMPRODUCT((Ввод!$F$12:$F$31&lt;&gt;"")*(Ввод!$F$12:$F$31&lt;=A197)*(Ввод!$G$12:$G$31&gt;=A197))&gt;0,1,0))</f>
        <v/>
      </c>
      <c r="G197" t="str">
        <f t="shared" si="7"/>
        <v/>
      </c>
    </row>
    <row r="198" spans="1:7" x14ac:dyDescent="0.3">
      <c r="A198" s="21" t="str">
        <f>IF(A197="","",IF(A197+1&gt;Ввод!$B$4,"",A197+1))</f>
        <v/>
      </c>
      <c r="B198" s="23" t="str">
        <f>IF(A198="","",IFERROR(INDEX(Ввод!$B$12:$B$71,MATCH(A198,Ввод!$D$12:$D$71,1)),""))</f>
        <v/>
      </c>
      <c r="C198" t="str">
        <f t="shared" si="6"/>
        <v/>
      </c>
      <c r="D198" t="str">
        <f>IF(A198="","",SUMIFS(Акты!$D$5:$D$16,Акты!$E$5:$E$16,"&lt;="&amp;A198)-SUMIFS(Оплаты!$B$6:$B$505,Оплаты!$A$6:$A$505,"&lt;"&amp;A198,Оплаты!$D$6:$D$505,"&lt;&gt;"))</f>
        <v/>
      </c>
      <c r="E198" t="str">
        <f>IF(A198="","",IF(SUMPRODUCT((Ввод!$F$12:$F$31&lt;&gt;"")*(Ввод!$F$12:$F$31&lt;=A198)*(Ввод!$G$12:$G$31&gt;=A198))&gt;0,1,0))</f>
        <v/>
      </c>
      <c r="G198" t="str">
        <f t="shared" si="7"/>
        <v/>
      </c>
    </row>
    <row r="199" spans="1:7" x14ac:dyDescent="0.3">
      <c r="A199" s="21" t="str">
        <f>IF(A198="","",IF(A198+1&gt;Ввод!$B$4,"",A198+1))</f>
        <v/>
      </c>
      <c r="B199" s="23" t="str">
        <f>IF(A199="","",IFERROR(INDEX(Ввод!$B$12:$B$71,MATCH(A199,Ввод!$D$12:$D$71,1)),""))</f>
        <v/>
      </c>
      <c r="C199" t="str">
        <f t="shared" si="6"/>
        <v/>
      </c>
      <c r="D199" t="str">
        <f>IF(A199="","",SUMIFS(Акты!$D$5:$D$16,Акты!$E$5:$E$16,"&lt;="&amp;A199)-SUMIFS(Оплаты!$B$6:$B$505,Оплаты!$A$6:$A$505,"&lt;"&amp;A199,Оплаты!$D$6:$D$505,"&lt;&gt;"))</f>
        <v/>
      </c>
      <c r="E199" t="str">
        <f>IF(A199="","",IF(SUMPRODUCT((Ввод!$F$12:$F$31&lt;&gt;"")*(Ввод!$F$12:$F$31&lt;=A199)*(Ввод!$G$12:$G$31&gt;=A199))&gt;0,1,0))</f>
        <v/>
      </c>
      <c r="G199" t="str">
        <f t="shared" si="7"/>
        <v/>
      </c>
    </row>
    <row r="200" spans="1:7" x14ac:dyDescent="0.3">
      <c r="A200" s="21" t="str">
        <f>IF(A199="","",IF(A199+1&gt;Ввод!$B$4,"",A199+1))</f>
        <v/>
      </c>
      <c r="B200" s="23" t="str">
        <f>IF(A200="","",IFERROR(INDEX(Ввод!$B$12:$B$71,MATCH(A200,Ввод!$D$12:$D$71,1)),""))</f>
        <v/>
      </c>
      <c r="C200" t="str">
        <f t="shared" si="6"/>
        <v/>
      </c>
      <c r="D200" t="str">
        <f>IF(A200="","",SUMIFS(Акты!$D$5:$D$16,Акты!$E$5:$E$16,"&lt;="&amp;A200)-SUMIFS(Оплаты!$B$6:$B$505,Оплаты!$A$6:$A$505,"&lt;"&amp;A200,Оплаты!$D$6:$D$505,"&lt;&gt;"))</f>
        <v/>
      </c>
      <c r="E200" t="str">
        <f>IF(A200="","",IF(SUMPRODUCT((Ввод!$F$12:$F$31&lt;&gt;"")*(Ввод!$F$12:$F$31&lt;=A200)*(Ввод!$G$12:$G$31&gt;=A200))&gt;0,1,0))</f>
        <v/>
      </c>
      <c r="G200" t="str">
        <f t="shared" si="7"/>
        <v/>
      </c>
    </row>
    <row r="201" spans="1:7" x14ac:dyDescent="0.3">
      <c r="A201" s="21" t="str">
        <f>IF(A200="","",IF(A200+1&gt;Ввод!$B$4,"",A200+1))</f>
        <v/>
      </c>
      <c r="B201" s="23" t="str">
        <f>IF(A201="","",IFERROR(INDEX(Ввод!$B$12:$B$71,MATCH(A201,Ввод!$D$12:$D$71,1)),""))</f>
        <v/>
      </c>
      <c r="C201" t="str">
        <f t="shared" si="6"/>
        <v/>
      </c>
      <c r="D201" t="str">
        <f>IF(A201="","",SUMIFS(Акты!$D$5:$D$16,Акты!$E$5:$E$16,"&lt;="&amp;A201)-SUMIFS(Оплаты!$B$6:$B$505,Оплаты!$A$6:$A$505,"&lt;"&amp;A201,Оплаты!$D$6:$D$505,"&lt;&gt;"))</f>
        <v/>
      </c>
      <c r="E201" t="str">
        <f>IF(A201="","",IF(SUMPRODUCT((Ввод!$F$12:$F$31&lt;&gt;"")*(Ввод!$F$12:$F$31&lt;=A201)*(Ввод!$G$12:$G$31&gt;=A201))&gt;0,1,0))</f>
        <v/>
      </c>
      <c r="G201" t="str">
        <f t="shared" si="7"/>
        <v/>
      </c>
    </row>
    <row r="202" spans="1:7" x14ac:dyDescent="0.3">
      <c r="A202" s="21" t="str">
        <f>IF(A201="","",IF(A201+1&gt;Ввод!$B$4,"",A201+1))</f>
        <v/>
      </c>
      <c r="B202" s="23" t="str">
        <f>IF(A202="","",IFERROR(INDEX(Ввод!$B$12:$B$71,MATCH(A202,Ввод!$D$12:$D$71,1)),""))</f>
        <v/>
      </c>
      <c r="C202" t="str">
        <f t="shared" si="6"/>
        <v/>
      </c>
      <c r="D202" t="str">
        <f>IF(A202="","",SUMIFS(Акты!$D$5:$D$16,Акты!$E$5:$E$16,"&lt;="&amp;A202)-SUMIFS(Оплаты!$B$6:$B$505,Оплаты!$A$6:$A$505,"&lt;"&amp;A202,Оплаты!$D$6:$D$505,"&lt;&gt;"))</f>
        <v/>
      </c>
      <c r="E202" t="str">
        <f>IF(A202="","",IF(SUMPRODUCT((Ввод!$F$12:$F$31&lt;&gt;"")*(Ввод!$F$12:$F$31&lt;=A202)*(Ввод!$G$12:$G$31&gt;=A202))&gt;0,1,0))</f>
        <v/>
      </c>
      <c r="G202" t="str">
        <f t="shared" si="7"/>
        <v/>
      </c>
    </row>
    <row r="203" spans="1:7" x14ac:dyDescent="0.3">
      <c r="A203" s="21" t="str">
        <f>IF(A202="","",IF(A202+1&gt;Ввод!$B$4,"",A202+1))</f>
        <v/>
      </c>
      <c r="B203" s="23" t="str">
        <f>IF(A203="","",IFERROR(INDEX(Ввод!$B$12:$B$71,MATCH(A203,Ввод!$D$12:$D$71,1)),""))</f>
        <v/>
      </c>
      <c r="C203" t="str">
        <f t="shared" si="6"/>
        <v/>
      </c>
      <c r="D203" t="str">
        <f>IF(A203="","",SUMIFS(Акты!$D$5:$D$16,Акты!$E$5:$E$16,"&lt;="&amp;A203)-SUMIFS(Оплаты!$B$6:$B$505,Оплаты!$A$6:$A$505,"&lt;"&amp;A203,Оплаты!$D$6:$D$505,"&lt;&gt;"))</f>
        <v/>
      </c>
      <c r="E203" t="str">
        <f>IF(A203="","",IF(SUMPRODUCT((Ввод!$F$12:$F$31&lt;&gt;"")*(Ввод!$F$12:$F$31&lt;=A203)*(Ввод!$G$12:$G$31&gt;=A203))&gt;0,1,0))</f>
        <v/>
      </c>
      <c r="G203" t="str">
        <f t="shared" si="7"/>
        <v/>
      </c>
    </row>
    <row r="204" spans="1:7" x14ac:dyDescent="0.3">
      <c r="A204" s="21" t="str">
        <f>IF(A203="","",IF(A203+1&gt;Ввод!$B$4,"",A203+1))</f>
        <v/>
      </c>
      <c r="B204" s="23" t="str">
        <f>IF(A204="","",IFERROR(INDEX(Ввод!$B$12:$B$71,MATCH(A204,Ввод!$D$12:$D$71,1)),""))</f>
        <v/>
      </c>
      <c r="C204" t="str">
        <f t="shared" si="6"/>
        <v/>
      </c>
      <c r="D204" t="str">
        <f>IF(A204="","",SUMIFS(Акты!$D$5:$D$16,Акты!$E$5:$E$16,"&lt;="&amp;A204)-SUMIFS(Оплаты!$B$6:$B$505,Оплаты!$A$6:$A$505,"&lt;"&amp;A204,Оплаты!$D$6:$D$505,"&lt;&gt;"))</f>
        <v/>
      </c>
      <c r="E204" t="str">
        <f>IF(A204="","",IF(SUMPRODUCT((Ввод!$F$12:$F$31&lt;&gt;"")*(Ввод!$F$12:$F$31&lt;=A204)*(Ввод!$G$12:$G$31&gt;=A204))&gt;0,1,0))</f>
        <v/>
      </c>
      <c r="G204" t="str">
        <f t="shared" si="7"/>
        <v/>
      </c>
    </row>
    <row r="205" spans="1:7" x14ac:dyDescent="0.3">
      <c r="A205" s="21" t="str">
        <f>IF(A204="","",IF(A204+1&gt;Ввод!$B$4,"",A204+1))</f>
        <v/>
      </c>
      <c r="B205" s="23" t="str">
        <f>IF(A205="","",IFERROR(INDEX(Ввод!$B$12:$B$71,MATCH(A205,Ввод!$D$12:$D$71,1)),""))</f>
        <v/>
      </c>
      <c r="C205" t="str">
        <f t="shared" si="6"/>
        <v/>
      </c>
      <c r="D205" t="str">
        <f>IF(A205="","",SUMIFS(Акты!$D$5:$D$16,Акты!$E$5:$E$16,"&lt;="&amp;A205)-SUMIFS(Оплаты!$B$6:$B$505,Оплаты!$A$6:$A$505,"&lt;"&amp;A205,Оплаты!$D$6:$D$505,"&lt;&gt;"))</f>
        <v/>
      </c>
      <c r="E205" t="str">
        <f>IF(A205="","",IF(SUMPRODUCT((Ввод!$F$12:$F$31&lt;&gt;"")*(Ввод!$F$12:$F$31&lt;=A205)*(Ввод!$G$12:$G$31&gt;=A205))&gt;0,1,0))</f>
        <v/>
      </c>
      <c r="G205" t="str">
        <f t="shared" si="7"/>
        <v/>
      </c>
    </row>
    <row r="206" spans="1:7" x14ac:dyDescent="0.3">
      <c r="A206" s="21" t="str">
        <f>IF(A205="","",IF(A205+1&gt;Ввод!$B$4,"",A205+1))</f>
        <v/>
      </c>
      <c r="B206" s="23" t="str">
        <f>IF(A206="","",IFERROR(INDEX(Ввод!$B$12:$B$71,MATCH(A206,Ввод!$D$12:$D$71,1)),""))</f>
        <v/>
      </c>
      <c r="C206" t="str">
        <f t="shared" si="6"/>
        <v/>
      </c>
      <c r="D206" t="str">
        <f>IF(A206="","",SUMIFS(Акты!$D$5:$D$16,Акты!$E$5:$E$16,"&lt;="&amp;A206)-SUMIFS(Оплаты!$B$6:$B$505,Оплаты!$A$6:$A$505,"&lt;"&amp;A206,Оплаты!$D$6:$D$505,"&lt;&gt;"))</f>
        <v/>
      </c>
      <c r="E206" t="str">
        <f>IF(A206="","",IF(SUMPRODUCT((Ввод!$F$12:$F$31&lt;&gt;"")*(Ввод!$F$12:$F$31&lt;=A206)*(Ввод!$G$12:$G$31&gt;=A206))&gt;0,1,0))</f>
        <v/>
      </c>
      <c r="G206" t="str">
        <f t="shared" si="7"/>
        <v/>
      </c>
    </row>
    <row r="207" spans="1:7" x14ac:dyDescent="0.3">
      <c r="A207" s="21" t="str">
        <f>IF(A206="","",IF(A206+1&gt;Ввод!$B$4,"",A206+1))</f>
        <v/>
      </c>
      <c r="B207" s="23" t="str">
        <f>IF(A207="","",IFERROR(INDEX(Ввод!$B$12:$B$71,MATCH(A207,Ввод!$D$12:$D$71,1)),""))</f>
        <v/>
      </c>
      <c r="C207" t="str">
        <f t="shared" si="6"/>
        <v/>
      </c>
      <c r="D207" t="str">
        <f>IF(A207="","",SUMIFS(Акты!$D$5:$D$16,Акты!$E$5:$E$16,"&lt;="&amp;A207)-SUMIFS(Оплаты!$B$6:$B$505,Оплаты!$A$6:$A$505,"&lt;"&amp;A207,Оплаты!$D$6:$D$505,"&lt;&gt;"))</f>
        <v/>
      </c>
      <c r="E207" t="str">
        <f>IF(A207="","",IF(SUMPRODUCT((Ввод!$F$12:$F$31&lt;&gt;"")*(Ввод!$F$12:$F$31&lt;=A207)*(Ввод!$G$12:$G$31&gt;=A207))&gt;0,1,0))</f>
        <v/>
      </c>
      <c r="G207" t="str">
        <f t="shared" si="7"/>
        <v/>
      </c>
    </row>
    <row r="208" spans="1:7" x14ac:dyDescent="0.3">
      <c r="A208" s="21" t="str">
        <f>IF(A207="","",IF(A207+1&gt;Ввод!$B$4,"",A207+1))</f>
        <v/>
      </c>
      <c r="B208" s="23" t="str">
        <f>IF(A208="","",IFERROR(INDEX(Ввод!$B$12:$B$71,MATCH(A208,Ввод!$D$12:$D$71,1)),""))</f>
        <v/>
      </c>
      <c r="C208" t="str">
        <f t="shared" si="6"/>
        <v/>
      </c>
      <c r="D208" t="str">
        <f>IF(A208="","",SUMIFS(Акты!$D$5:$D$16,Акты!$E$5:$E$16,"&lt;="&amp;A208)-SUMIFS(Оплаты!$B$6:$B$505,Оплаты!$A$6:$A$505,"&lt;"&amp;A208,Оплаты!$D$6:$D$505,"&lt;&gt;"))</f>
        <v/>
      </c>
      <c r="E208" t="str">
        <f>IF(A208="","",IF(SUMPRODUCT((Ввод!$F$12:$F$31&lt;&gt;"")*(Ввод!$F$12:$F$31&lt;=A208)*(Ввод!$G$12:$G$31&gt;=A208))&gt;0,1,0))</f>
        <v/>
      </c>
      <c r="G208" t="str">
        <f t="shared" si="7"/>
        <v/>
      </c>
    </row>
    <row r="209" spans="1:7" x14ac:dyDescent="0.3">
      <c r="A209" s="21" t="str">
        <f>IF(A208="","",IF(A208+1&gt;Ввод!$B$4,"",A208+1))</f>
        <v/>
      </c>
      <c r="B209" s="23" t="str">
        <f>IF(A209="","",IFERROR(INDEX(Ввод!$B$12:$B$71,MATCH(A209,Ввод!$D$12:$D$71,1)),""))</f>
        <v/>
      </c>
      <c r="C209" t="str">
        <f t="shared" si="6"/>
        <v/>
      </c>
      <c r="D209" t="str">
        <f>IF(A209="","",SUMIFS(Акты!$D$5:$D$16,Акты!$E$5:$E$16,"&lt;="&amp;A209)-SUMIFS(Оплаты!$B$6:$B$505,Оплаты!$A$6:$A$505,"&lt;"&amp;A209,Оплаты!$D$6:$D$505,"&lt;&gt;"))</f>
        <v/>
      </c>
      <c r="E209" t="str">
        <f>IF(A209="","",IF(SUMPRODUCT((Ввод!$F$12:$F$31&lt;&gt;"")*(Ввод!$F$12:$F$31&lt;=A209)*(Ввод!$G$12:$G$31&gt;=A209))&gt;0,1,0))</f>
        <v/>
      </c>
      <c r="G209" t="str">
        <f t="shared" si="7"/>
        <v/>
      </c>
    </row>
    <row r="210" spans="1:7" x14ac:dyDescent="0.3">
      <c r="A210" s="21" t="str">
        <f>IF(A209="","",IF(A209+1&gt;Ввод!$B$4,"",A209+1))</f>
        <v/>
      </c>
      <c r="B210" s="23" t="str">
        <f>IF(A210="","",IFERROR(INDEX(Ввод!$B$12:$B$71,MATCH(A210,Ввод!$D$12:$D$71,1)),""))</f>
        <v/>
      </c>
      <c r="C210" t="str">
        <f t="shared" si="6"/>
        <v/>
      </c>
      <c r="D210" t="str">
        <f>IF(A210="","",SUMIFS(Акты!$D$5:$D$16,Акты!$E$5:$E$16,"&lt;="&amp;A210)-SUMIFS(Оплаты!$B$6:$B$505,Оплаты!$A$6:$A$505,"&lt;"&amp;A210,Оплаты!$D$6:$D$505,"&lt;&gt;"))</f>
        <v/>
      </c>
      <c r="E210" t="str">
        <f>IF(A210="","",IF(SUMPRODUCT((Ввод!$F$12:$F$31&lt;&gt;"")*(Ввод!$F$12:$F$31&lt;=A210)*(Ввод!$G$12:$G$31&gt;=A210))&gt;0,1,0))</f>
        <v/>
      </c>
      <c r="G210" t="str">
        <f t="shared" si="7"/>
        <v/>
      </c>
    </row>
    <row r="211" spans="1:7" x14ac:dyDescent="0.3">
      <c r="A211" s="21" t="str">
        <f>IF(A210="","",IF(A210+1&gt;Ввод!$B$4,"",A210+1))</f>
        <v/>
      </c>
      <c r="B211" s="23" t="str">
        <f>IF(A211="","",IFERROR(INDEX(Ввод!$B$12:$B$71,MATCH(A211,Ввод!$D$12:$D$71,1)),""))</f>
        <v/>
      </c>
      <c r="C211" t="str">
        <f t="shared" si="6"/>
        <v/>
      </c>
      <c r="D211" t="str">
        <f>IF(A211="","",SUMIFS(Акты!$D$5:$D$16,Акты!$E$5:$E$16,"&lt;="&amp;A211)-SUMIFS(Оплаты!$B$6:$B$505,Оплаты!$A$6:$A$505,"&lt;"&amp;A211,Оплаты!$D$6:$D$505,"&lt;&gt;"))</f>
        <v/>
      </c>
      <c r="E211" t="str">
        <f>IF(A211="","",IF(SUMPRODUCT((Ввод!$F$12:$F$31&lt;&gt;"")*(Ввод!$F$12:$F$31&lt;=A211)*(Ввод!$G$12:$G$31&gt;=A211))&gt;0,1,0))</f>
        <v/>
      </c>
      <c r="G211" t="str">
        <f t="shared" si="7"/>
        <v/>
      </c>
    </row>
    <row r="212" spans="1:7" x14ac:dyDescent="0.3">
      <c r="A212" s="21" t="str">
        <f>IF(A211="","",IF(A211+1&gt;Ввод!$B$4,"",A211+1))</f>
        <v/>
      </c>
      <c r="B212" s="23" t="str">
        <f>IF(A212="","",IFERROR(INDEX(Ввод!$B$12:$B$71,MATCH(A212,Ввод!$D$12:$D$71,1)),""))</f>
        <v/>
      </c>
      <c r="C212" t="str">
        <f t="shared" si="6"/>
        <v/>
      </c>
      <c r="D212" t="str">
        <f>IF(A212="","",SUMIFS(Акты!$D$5:$D$16,Акты!$E$5:$E$16,"&lt;="&amp;A212)-SUMIFS(Оплаты!$B$6:$B$505,Оплаты!$A$6:$A$505,"&lt;"&amp;A212,Оплаты!$D$6:$D$505,"&lt;&gt;"))</f>
        <v/>
      </c>
      <c r="E212" t="str">
        <f>IF(A212="","",IF(SUMPRODUCT((Ввод!$F$12:$F$31&lt;&gt;"")*(Ввод!$F$12:$F$31&lt;=A212)*(Ввод!$G$12:$G$31&gt;=A212))&gt;0,1,0))</f>
        <v/>
      </c>
      <c r="G212" t="str">
        <f t="shared" si="7"/>
        <v/>
      </c>
    </row>
    <row r="213" spans="1:7" x14ac:dyDescent="0.3">
      <c r="A213" s="21" t="str">
        <f>IF(A212="","",IF(A212+1&gt;Ввод!$B$4,"",A212+1))</f>
        <v/>
      </c>
      <c r="B213" s="23" t="str">
        <f>IF(A213="","",IFERROR(INDEX(Ввод!$B$12:$B$71,MATCH(A213,Ввод!$D$12:$D$71,1)),""))</f>
        <v/>
      </c>
      <c r="C213" t="str">
        <f t="shared" si="6"/>
        <v/>
      </c>
      <c r="D213" t="str">
        <f>IF(A213="","",SUMIFS(Акты!$D$5:$D$16,Акты!$E$5:$E$16,"&lt;="&amp;A213)-SUMIFS(Оплаты!$B$6:$B$505,Оплаты!$A$6:$A$505,"&lt;"&amp;A213,Оплаты!$D$6:$D$505,"&lt;&gt;"))</f>
        <v/>
      </c>
      <c r="E213" t="str">
        <f>IF(A213="","",IF(SUMPRODUCT((Ввод!$F$12:$F$31&lt;&gt;"")*(Ввод!$F$12:$F$31&lt;=A213)*(Ввод!$G$12:$G$31&gt;=A213))&gt;0,1,0))</f>
        <v/>
      </c>
      <c r="G213" t="str">
        <f t="shared" si="7"/>
        <v/>
      </c>
    </row>
    <row r="214" spans="1:7" x14ac:dyDescent="0.3">
      <c r="A214" s="21" t="str">
        <f>IF(A213="","",IF(A213+1&gt;Ввод!$B$4,"",A213+1))</f>
        <v/>
      </c>
      <c r="B214" s="23" t="str">
        <f>IF(A214="","",IFERROR(INDEX(Ввод!$B$12:$B$71,MATCH(A214,Ввод!$D$12:$D$71,1)),""))</f>
        <v/>
      </c>
      <c r="C214" t="str">
        <f t="shared" si="6"/>
        <v/>
      </c>
      <c r="D214" t="str">
        <f>IF(A214="","",SUMIFS(Акты!$D$5:$D$16,Акты!$E$5:$E$16,"&lt;="&amp;A214)-SUMIFS(Оплаты!$B$6:$B$505,Оплаты!$A$6:$A$505,"&lt;"&amp;A214,Оплаты!$D$6:$D$505,"&lt;&gt;"))</f>
        <v/>
      </c>
      <c r="E214" t="str">
        <f>IF(A214="","",IF(SUMPRODUCT((Ввод!$F$12:$F$31&lt;&gt;"")*(Ввод!$F$12:$F$31&lt;=A214)*(Ввод!$G$12:$G$31&gt;=A214))&gt;0,1,0))</f>
        <v/>
      </c>
      <c r="G214" t="str">
        <f t="shared" si="7"/>
        <v/>
      </c>
    </row>
    <row r="215" spans="1:7" x14ac:dyDescent="0.3">
      <c r="A215" s="21" t="str">
        <f>IF(A214="","",IF(A214+1&gt;Ввод!$B$4,"",A214+1))</f>
        <v/>
      </c>
      <c r="B215" s="23" t="str">
        <f>IF(A215="","",IFERROR(INDEX(Ввод!$B$12:$B$71,MATCH(A215,Ввод!$D$12:$D$71,1)),""))</f>
        <v/>
      </c>
      <c r="C215" t="str">
        <f t="shared" si="6"/>
        <v/>
      </c>
      <c r="D215" t="str">
        <f>IF(A215="","",SUMIFS(Акты!$D$5:$D$16,Акты!$E$5:$E$16,"&lt;="&amp;A215)-SUMIFS(Оплаты!$B$6:$B$505,Оплаты!$A$6:$A$505,"&lt;"&amp;A215,Оплаты!$D$6:$D$505,"&lt;&gt;"))</f>
        <v/>
      </c>
      <c r="E215" t="str">
        <f>IF(A215="","",IF(SUMPRODUCT((Ввод!$F$12:$F$31&lt;&gt;"")*(Ввод!$F$12:$F$31&lt;=A215)*(Ввод!$G$12:$G$31&gt;=A215))&gt;0,1,0))</f>
        <v/>
      </c>
      <c r="G215" t="str">
        <f t="shared" si="7"/>
        <v/>
      </c>
    </row>
    <row r="216" spans="1:7" x14ac:dyDescent="0.3">
      <c r="A216" s="21" t="str">
        <f>IF(A215="","",IF(A215+1&gt;Ввод!$B$4,"",A215+1))</f>
        <v/>
      </c>
      <c r="B216" s="23" t="str">
        <f>IF(A216="","",IFERROR(INDEX(Ввод!$B$12:$B$71,MATCH(A216,Ввод!$D$12:$D$71,1)),""))</f>
        <v/>
      </c>
      <c r="C216" t="str">
        <f t="shared" si="6"/>
        <v/>
      </c>
      <c r="D216" t="str">
        <f>IF(A216="","",SUMIFS(Акты!$D$5:$D$16,Акты!$E$5:$E$16,"&lt;="&amp;A216)-SUMIFS(Оплаты!$B$6:$B$505,Оплаты!$A$6:$A$505,"&lt;"&amp;A216,Оплаты!$D$6:$D$505,"&lt;&gt;"))</f>
        <v/>
      </c>
      <c r="E216" t="str">
        <f>IF(A216="","",IF(SUMPRODUCT((Ввод!$F$12:$F$31&lt;&gt;"")*(Ввод!$F$12:$F$31&lt;=A216)*(Ввод!$G$12:$G$31&gt;=A216))&gt;0,1,0))</f>
        <v/>
      </c>
      <c r="G216" t="str">
        <f t="shared" si="7"/>
        <v/>
      </c>
    </row>
    <row r="217" spans="1:7" x14ac:dyDescent="0.3">
      <c r="A217" s="21" t="str">
        <f>IF(A216="","",IF(A216+1&gt;Ввод!$B$4,"",A216+1))</f>
        <v/>
      </c>
      <c r="B217" s="23" t="str">
        <f>IF(A217="","",IFERROR(INDEX(Ввод!$B$12:$B$71,MATCH(A217,Ввод!$D$12:$D$71,1)),""))</f>
        <v/>
      </c>
      <c r="C217" t="str">
        <f t="shared" si="6"/>
        <v/>
      </c>
      <c r="D217" t="str">
        <f>IF(A217="","",SUMIFS(Акты!$D$5:$D$16,Акты!$E$5:$E$16,"&lt;="&amp;A217)-SUMIFS(Оплаты!$B$6:$B$505,Оплаты!$A$6:$A$505,"&lt;"&amp;A217,Оплаты!$D$6:$D$505,"&lt;&gt;"))</f>
        <v/>
      </c>
      <c r="E217" t="str">
        <f>IF(A217="","",IF(SUMPRODUCT((Ввод!$F$12:$F$31&lt;&gt;"")*(Ввод!$F$12:$F$31&lt;=A217)*(Ввод!$G$12:$G$31&gt;=A217))&gt;0,1,0))</f>
        <v/>
      </c>
      <c r="G217" t="str">
        <f t="shared" si="7"/>
        <v/>
      </c>
    </row>
    <row r="218" spans="1:7" x14ac:dyDescent="0.3">
      <c r="A218" s="21" t="str">
        <f>IF(A217="","",IF(A217+1&gt;Ввод!$B$4,"",A217+1))</f>
        <v/>
      </c>
      <c r="B218" s="23" t="str">
        <f>IF(A218="","",IFERROR(INDEX(Ввод!$B$12:$B$71,MATCH(A218,Ввод!$D$12:$D$71,1)),""))</f>
        <v/>
      </c>
      <c r="C218" t="str">
        <f t="shared" si="6"/>
        <v/>
      </c>
      <c r="D218" t="str">
        <f>IF(A218="","",SUMIFS(Акты!$D$5:$D$16,Акты!$E$5:$E$16,"&lt;="&amp;A218)-SUMIFS(Оплаты!$B$6:$B$505,Оплаты!$A$6:$A$505,"&lt;"&amp;A218,Оплаты!$D$6:$D$505,"&lt;&gt;"))</f>
        <v/>
      </c>
      <c r="E218" t="str">
        <f>IF(A218="","",IF(SUMPRODUCT((Ввод!$F$12:$F$31&lt;&gt;"")*(Ввод!$F$12:$F$31&lt;=A218)*(Ввод!$G$12:$G$31&gt;=A218))&gt;0,1,0))</f>
        <v/>
      </c>
      <c r="G218" t="str">
        <f t="shared" si="7"/>
        <v/>
      </c>
    </row>
    <row r="219" spans="1:7" x14ac:dyDescent="0.3">
      <c r="A219" s="21" t="str">
        <f>IF(A218="","",IF(A218+1&gt;Ввод!$B$4,"",A218+1))</f>
        <v/>
      </c>
      <c r="B219" s="23" t="str">
        <f>IF(A219="","",IFERROR(INDEX(Ввод!$B$12:$B$71,MATCH(A219,Ввод!$D$12:$D$71,1)),""))</f>
        <v/>
      </c>
      <c r="C219" t="str">
        <f t="shared" si="6"/>
        <v/>
      </c>
      <c r="D219" t="str">
        <f>IF(A219="","",SUMIFS(Акты!$D$5:$D$16,Акты!$E$5:$E$16,"&lt;="&amp;A219)-SUMIFS(Оплаты!$B$6:$B$505,Оплаты!$A$6:$A$505,"&lt;"&amp;A219,Оплаты!$D$6:$D$505,"&lt;&gt;"))</f>
        <v/>
      </c>
      <c r="E219" t="str">
        <f>IF(A219="","",IF(SUMPRODUCT((Ввод!$F$12:$F$31&lt;&gt;"")*(Ввод!$F$12:$F$31&lt;=A219)*(Ввод!$G$12:$G$31&gt;=A219))&gt;0,1,0))</f>
        <v/>
      </c>
      <c r="G219" t="str">
        <f t="shared" si="7"/>
        <v/>
      </c>
    </row>
    <row r="220" spans="1:7" x14ac:dyDescent="0.3">
      <c r="A220" s="21" t="str">
        <f>IF(A219="","",IF(A219+1&gt;Ввод!$B$4,"",A219+1))</f>
        <v/>
      </c>
      <c r="B220" s="23" t="str">
        <f>IF(A220="","",IFERROR(INDEX(Ввод!$B$12:$B$71,MATCH(A220,Ввод!$D$12:$D$71,1)),""))</f>
        <v/>
      </c>
      <c r="C220" t="str">
        <f t="shared" si="6"/>
        <v/>
      </c>
      <c r="D220" t="str">
        <f>IF(A220="","",SUMIFS(Акты!$D$5:$D$16,Акты!$E$5:$E$16,"&lt;="&amp;A220)-SUMIFS(Оплаты!$B$6:$B$505,Оплаты!$A$6:$A$505,"&lt;"&amp;A220,Оплаты!$D$6:$D$505,"&lt;&gt;"))</f>
        <v/>
      </c>
      <c r="E220" t="str">
        <f>IF(A220="","",IF(SUMPRODUCT((Ввод!$F$12:$F$31&lt;&gt;"")*(Ввод!$F$12:$F$31&lt;=A220)*(Ввод!$G$12:$G$31&gt;=A220))&gt;0,1,0))</f>
        <v/>
      </c>
      <c r="G220" t="str">
        <f t="shared" si="7"/>
        <v/>
      </c>
    </row>
    <row r="221" spans="1:7" x14ac:dyDescent="0.3">
      <c r="A221" s="21" t="str">
        <f>IF(A220="","",IF(A220+1&gt;Ввод!$B$4,"",A220+1))</f>
        <v/>
      </c>
      <c r="B221" s="23" t="str">
        <f>IF(A221="","",IFERROR(INDEX(Ввод!$B$12:$B$71,MATCH(A221,Ввод!$D$12:$D$71,1)),""))</f>
        <v/>
      </c>
      <c r="C221" t="str">
        <f t="shared" si="6"/>
        <v/>
      </c>
      <c r="D221" t="str">
        <f>IF(A221="","",SUMIFS(Акты!$D$5:$D$16,Акты!$E$5:$E$16,"&lt;="&amp;A221)-SUMIFS(Оплаты!$B$6:$B$505,Оплаты!$A$6:$A$505,"&lt;"&amp;A221,Оплаты!$D$6:$D$505,"&lt;&gt;"))</f>
        <v/>
      </c>
      <c r="E221" t="str">
        <f>IF(A221="","",IF(SUMPRODUCT((Ввод!$F$12:$F$31&lt;&gt;"")*(Ввод!$F$12:$F$31&lt;=A221)*(Ввод!$G$12:$G$31&gt;=A221))&gt;0,1,0))</f>
        <v/>
      </c>
      <c r="G221" t="str">
        <f t="shared" si="7"/>
        <v/>
      </c>
    </row>
    <row r="222" spans="1:7" x14ac:dyDescent="0.3">
      <c r="A222" s="21" t="str">
        <f>IF(A221="","",IF(A221+1&gt;Ввод!$B$4,"",A221+1))</f>
        <v/>
      </c>
      <c r="B222" s="23" t="str">
        <f>IF(A222="","",IFERROR(INDEX(Ввод!$B$12:$B$71,MATCH(A222,Ввод!$D$12:$D$71,1)),""))</f>
        <v/>
      </c>
      <c r="C222" t="str">
        <f t="shared" si="6"/>
        <v/>
      </c>
      <c r="D222" t="str">
        <f>IF(A222="","",SUMIFS(Акты!$D$5:$D$16,Акты!$E$5:$E$16,"&lt;="&amp;A222)-SUMIFS(Оплаты!$B$6:$B$505,Оплаты!$A$6:$A$505,"&lt;"&amp;A222,Оплаты!$D$6:$D$505,"&lt;&gt;"))</f>
        <v/>
      </c>
      <c r="E222" t="str">
        <f>IF(A222="","",IF(SUMPRODUCT((Ввод!$F$12:$F$31&lt;&gt;"")*(Ввод!$F$12:$F$31&lt;=A222)*(Ввод!$G$12:$G$31&gt;=A222))&gt;0,1,0))</f>
        <v/>
      </c>
      <c r="G222" t="str">
        <f t="shared" si="7"/>
        <v/>
      </c>
    </row>
    <row r="223" spans="1:7" x14ac:dyDescent="0.3">
      <c r="A223" s="21" t="str">
        <f>IF(A222="","",IF(A222+1&gt;Ввод!$B$4,"",A222+1))</f>
        <v/>
      </c>
      <c r="B223" s="23" t="str">
        <f>IF(A223="","",IFERROR(INDEX(Ввод!$B$12:$B$71,MATCH(A223,Ввод!$D$12:$D$71,1)),""))</f>
        <v/>
      </c>
      <c r="C223" t="str">
        <f t="shared" si="6"/>
        <v/>
      </c>
      <c r="D223" t="str">
        <f>IF(A223="","",SUMIFS(Акты!$D$5:$D$16,Акты!$E$5:$E$16,"&lt;="&amp;A223)-SUMIFS(Оплаты!$B$6:$B$505,Оплаты!$A$6:$A$505,"&lt;"&amp;A223,Оплаты!$D$6:$D$505,"&lt;&gt;"))</f>
        <v/>
      </c>
      <c r="E223" t="str">
        <f>IF(A223="","",IF(SUMPRODUCT((Ввод!$F$12:$F$31&lt;&gt;"")*(Ввод!$F$12:$F$31&lt;=A223)*(Ввод!$G$12:$G$31&gt;=A223))&gt;0,1,0))</f>
        <v/>
      </c>
      <c r="G223" t="str">
        <f t="shared" si="7"/>
        <v/>
      </c>
    </row>
    <row r="224" spans="1:7" x14ac:dyDescent="0.3">
      <c r="A224" s="21" t="str">
        <f>IF(A223="","",IF(A223+1&gt;Ввод!$B$4,"",A223+1))</f>
        <v/>
      </c>
      <c r="B224" s="23" t="str">
        <f>IF(A224="","",IFERROR(INDEX(Ввод!$B$12:$B$71,MATCH(A224,Ввод!$D$12:$D$71,1)),""))</f>
        <v/>
      </c>
      <c r="C224" t="str">
        <f t="shared" si="6"/>
        <v/>
      </c>
      <c r="D224" t="str">
        <f>IF(A224="","",SUMIFS(Акты!$D$5:$D$16,Акты!$E$5:$E$16,"&lt;="&amp;A224)-SUMIFS(Оплаты!$B$6:$B$505,Оплаты!$A$6:$A$505,"&lt;"&amp;A224,Оплаты!$D$6:$D$505,"&lt;&gt;"))</f>
        <v/>
      </c>
      <c r="E224" t="str">
        <f>IF(A224="","",IF(SUMPRODUCT((Ввод!$F$12:$F$31&lt;&gt;"")*(Ввод!$F$12:$F$31&lt;=A224)*(Ввод!$G$12:$G$31&gt;=A224))&gt;0,1,0))</f>
        <v/>
      </c>
      <c r="G224" t="str">
        <f t="shared" si="7"/>
        <v/>
      </c>
    </row>
    <row r="225" spans="1:7" x14ac:dyDescent="0.3">
      <c r="A225" s="21" t="str">
        <f>IF(A224="","",IF(A224+1&gt;Ввод!$B$4,"",A224+1))</f>
        <v/>
      </c>
      <c r="B225" s="23" t="str">
        <f>IF(A225="","",IFERROR(INDEX(Ввод!$B$12:$B$71,MATCH(A225,Ввод!$D$12:$D$71,1)),""))</f>
        <v/>
      </c>
      <c r="C225" t="str">
        <f t="shared" si="6"/>
        <v/>
      </c>
      <c r="D225" t="str">
        <f>IF(A225="","",SUMIFS(Акты!$D$5:$D$16,Акты!$E$5:$E$16,"&lt;="&amp;A225)-SUMIFS(Оплаты!$B$6:$B$505,Оплаты!$A$6:$A$505,"&lt;"&amp;A225,Оплаты!$D$6:$D$505,"&lt;&gt;"))</f>
        <v/>
      </c>
      <c r="E225" t="str">
        <f>IF(A225="","",IF(SUMPRODUCT((Ввод!$F$12:$F$31&lt;&gt;"")*(Ввод!$F$12:$F$31&lt;=A225)*(Ввод!$G$12:$G$31&gt;=A225))&gt;0,1,0))</f>
        <v/>
      </c>
      <c r="G225" t="str">
        <f t="shared" si="7"/>
        <v/>
      </c>
    </row>
    <row r="226" spans="1:7" x14ac:dyDescent="0.3">
      <c r="A226" s="21" t="str">
        <f>IF(A225="","",IF(A225+1&gt;Ввод!$B$4,"",A225+1))</f>
        <v/>
      </c>
      <c r="B226" s="23" t="str">
        <f>IF(A226="","",IFERROR(INDEX(Ввод!$B$12:$B$71,MATCH(A226,Ввод!$D$12:$D$71,1)),""))</f>
        <v/>
      </c>
      <c r="C226" t="str">
        <f t="shared" si="6"/>
        <v/>
      </c>
      <c r="D226" t="str">
        <f>IF(A226="","",SUMIFS(Акты!$D$5:$D$16,Акты!$E$5:$E$16,"&lt;="&amp;A226)-SUMIFS(Оплаты!$B$6:$B$505,Оплаты!$A$6:$A$505,"&lt;"&amp;A226,Оплаты!$D$6:$D$505,"&lt;&gt;"))</f>
        <v/>
      </c>
      <c r="E226" t="str">
        <f>IF(A226="","",IF(SUMPRODUCT((Ввод!$F$12:$F$31&lt;&gt;"")*(Ввод!$F$12:$F$31&lt;=A226)*(Ввод!$G$12:$G$31&gt;=A226))&gt;0,1,0))</f>
        <v/>
      </c>
      <c r="G226" t="str">
        <f t="shared" si="7"/>
        <v/>
      </c>
    </row>
    <row r="227" spans="1:7" x14ac:dyDescent="0.3">
      <c r="A227" s="21" t="str">
        <f>IF(A226="","",IF(A226+1&gt;Ввод!$B$4,"",A226+1))</f>
        <v/>
      </c>
      <c r="B227" s="23" t="str">
        <f>IF(A227="","",IFERROR(INDEX(Ввод!$B$12:$B$71,MATCH(A227,Ввод!$D$12:$D$71,1)),""))</f>
        <v/>
      </c>
      <c r="C227" t="str">
        <f t="shared" si="6"/>
        <v/>
      </c>
      <c r="D227" t="str">
        <f>IF(A227="","",SUMIFS(Акты!$D$5:$D$16,Акты!$E$5:$E$16,"&lt;="&amp;A227)-SUMIFS(Оплаты!$B$6:$B$505,Оплаты!$A$6:$A$505,"&lt;"&amp;A227,Оплаты!$D$6:$D$505,"&lt;&gt;"))</f>
        <v/>
      </c>
      <c r="E227" t="str">
        <f>IF(A227="","",IF(SUMPRODUCT((Ввод!$F$12:$F$31&lt;&gt;"")*(Ввод!$F$12:$F$31&lt;=A227)*(Ввод!$G$12:$G$31&gt;=A227))&gt;0,1,0))</f>
        <v/>
      </c>
      <c r="G227" t="str">
        <f t="shared" si="7"/>
        <v/>
      </c>
    </row>
    <row r="228" spans="1:7" x14ac:dyDescent="0.3">
      <c r="A228" s="21" t="str">
        <f>IF(A227="","",IF(A227+1&gt;Ввод!$B$4,"",A227+1))</f>
        <v/>
      </c>
      <c r="B228" s="23" t="str">
        <f>IF(A228="","",IFERROR(INDEX(Ввод!$B$12:$B$71,MATCH(A228,Ввод!$D$12:$D$71,1)),""))</f>
        <v/>
      </c>
      <c r="C228" t="str">
        <f t="shared" si="6"/>
        <v/>
      </c>
      <c r="D228" t="str">
        <f>IF(A228="","",SUMIFS(Акты!$D$5:$D$16,Акты!$E$5:$E$16,"&lt;="&amp;A228)-SUMIFS(Оплаты!$B$6:$B$505,Оплаты!$A$6:$A$505,"&lt;"&amp;A228,Оплаты!$D$6:$D$505,"&lt;&gt;"))</f>
        <v/>
      </c>
      <c r="E228" t="str">
        <f>IF(A228="","",IF(SUMPRODUCT((Ввод!$F$12:$F$31&lt;&gt;"")*(Ввод!$F$12:$F$31&lt;=A228)*(Ввод!$G$12:$G$31&gt;=A228))&gt;0,1,0))</f>
        <v/>
      </c>
      <c r="G228" t="str">
        <f t="shared" si="7"/>
        <v/>
      </c>
    </row>
    <row r="229" spans="1:7" x14ac:dyDescent="0.3">
      <c r="A229" s="21" t="str">
        <f>IF(A228="","",IF(A228+1&gt;Ввод!$B$4,"",A228+1))</f>
        <v/>
      </c>
      <c r="B229" s="23" t="str">
        <f>IF(A229="","",IFERROR(INDEX(Ввод!$B$12:$B$71,MATCH(A229,Ввод!$D$12:$D$71,1)),""))</f>
        <v/>
      </c>
      <c r="C229" t="str">
        <f t="shared" si="6"/>
        <v/>
      </c>
      <c r="D229" t="str">
        <f>IF(A229="","",SUMIFS(Акты!$D$5:$D$16,Акты!$E$5:$E$16,"&lt;="&amp;A229)-SUMIFS(Оплаты!$B$6:$B$505,Оплаты!$A$6:$A$505,"&lt;"&amp;A229,Оплаты!$D$6:$D$505,"&lt;&gt;"))</f>
        <v/>
      </c>
      <c r="E229" t="str">
        <f>IF(A229="","",IF(SUMPRODUCT((Ввод!$F$12:$F$31&lt;&gt;"")*(Ввод!$F$12:$F$31&lt;=A229)*(Ввод!$G$12:$G$31&gt;=A229))&gt;0,1,0))</f>
        <v/>
      </c>
      <c r="G229" t="str">
        <f t="shared" si="7"/>
        <v/>
      </c>
    </row>
    <row r="230" spans="1:7" x14ac:dyDescent="0.3">
      <c r="A230" s="21" t="str">
        <f>IF(A229="","",IF(A229+1&gt;Ввод!$B$4,"",A229+1))</f>
        <v/>
      </c>
      <c r="B230" s="23" t="str">
        <f>IF(A230="","",IFERROR(INDEX(Ввод!$B$12:$B$71,MATCH(A230,Ввод!$D$12:$D$71,1)),""))</f>
        <v/>
      </c>
      <c r="C230" t="str">
        <f t="shared" si="6"/>
        <v/>
      </c>
      <c r="D230" t="str">
        <f>IF(A230="","",SUMIFS(Акты!$D$5:$D$16,Акты!$E$5:$E$16,"&lt;="&amp;A230)-SUMIFS(Оплаты!$B$6:$B$505,Оплаты!$A$6:$A$505,"&lt;"&amp;A230,Оплаты!$D$6:$D$505,"&lt;&gt;"))</f>
        <v/>
      </c>
      <c r="E230" t="str">
        <f>IF(A230="","",IF(SUMPRODUCT((Ввод!$F$12:$F$31&lt;&gt;"")*(Ввод!$F$12:$F$31&lt;=A230)*(Ввод!$G$12:$G$31&gt;=A230))&gt;0,1,0))</f>
        <v/>
      </c>
      <c r="G230" t="str">
        <f t="shared" si="7"/>
        <v/>
      </c>
    </row>
    <row r="231" spans="1:7" x14ac:dyDescent="0.3">
      <c r="A231" s="21" t="str">
        <f>IF(A230="","",IF(A230+1&gt;Ввод!$B$4,"",A230+1))</f>
        <v/>
      </c>
      <c r="B231" s="23" t="str">
        <f>IF(A231="","",IFERROR(INDEX(Ввод!$B$12:$B$71,MATCH(A231,Ввод!$D$12:$D$71,1)),""))</f>
        <v/>
      </c>
      <c r="C231" t="str">
        <f t="shared" si="6"/>
        <v/>
      </c>
      <c r="D231" t="str">
        <f>IF(A231="","",SUMIFS(Акты!$D$5:$D$16,Акты!$E$5:$E$16,"&lt;="&amp;A231)-SUMIFS(Оплаты!$B$6:$B$505,Оплаты!$A$6:$A$505,"&lt;"&amp;A231,Оплаты!$D$6:$D$505,"&lt;&gt;"))</f>
        <v/>
      </c>
      <c r="E231" t="str">
        <f>IF(A231="","",IF(SUMPRODUCT((Ввод!$F$12:$F$31&lt;&gt;"")*(Ввод!$F$12:$F$31&lt;=A231)*(Ввод!$G$12:$G$31&gt;=A231))&gt;0,1,0))</f>
        <v/>
      </c>
      <c r="G231" t="str">
        <f t="shared" si="7"/>
        <v/>
      </c>
    </row>
    <row r="232" spans="1:7" x14ac:dyDescent="0.3">
      <c r="A232" s="21" t="str">
        <f>IF(A231="","",IF(A231+1&gt;Ввод!$B$4,"",A231+1))</f>
        <v/>
      </c>
      <c r="B232" s="23" t="str">
        <f>IF(A232="","",IFERROR(INDEX(Ввод!$B$12:$B$71,MATCH(A232,Ввод!$D$12:$D$71,1)),""))</f>
        <v/>
      </c>
      <c r="C232" t="str">
        <f t="shared" si="6"/>
        <v/>
      </c>
      <c r="D232" t="str">
        <f>IF(A232="","",SUMIFS(Акты!$D$5:$D$16,Акты!$E$5:$E$16,"&lt;="&amp;A232)-SUMIFS(Оплаты!$B$6:$B$505,Оплаты!$A$6:$A$505,"&lt;"&amp;A232,Оплаты!$D$6:$D$505,"&lt;&gt;"))</f>
        <v/>
      </c>
      <c r="E232" t="str">
        <f>IF(A232="","",IF(SUMPRODUCT((Ввод!$F$12:$F$31&lt;&gt;"")*(Ввод!$F$12:$F$31&lt;=A232)*(Ввод!$G$12:$G$31&gt;=A232))&gt;0,1,0))</f>
        <v/>
      </c>
      <c r="G232" t="str">
        <f t="shared" si="7"/>
        <v/>
      </c>
    </row>
    <row r="233" spans="1:7" x14ac:dyDescent="0.3">
      <c r="A233" s="21" t="str">
        <f>IF(A232="","",IF(A232+1&gt;Ввод!$B$4,"",A232+1))</f>
        <v/>
      </c>
      <c r="B233" s="23" t="str">
        <f>IF(A233="","",IFERROR(INDEX(Ввод!$B$12:$B$71,MATCH(A233,Ввод!$D$12:$D$71,1)),""))</f>
        <v/>
      </c>
      <c r="C233" t="str">
        <f t="shared" si="6"/>
        <v/>
      </c>
      <c r="D233" t="str">
        <f>IF(A233="","",SUMIFS(Акты!$D$5:$D$16,Акты!$E$5:$E$16,"&lt;="&amp;A233)-SUMIFS(Оплаты!$B$6:$B$505,Оплаты!$A$6:$A$505,"&lt;"&amp;A233,Оплаты!$D$6:$D$505,"&lt;&gt;"))</f>
        <v/>
      </c>
      <c r="E233" t="str">
        <f>IF(A233="","",IF(SUMPRODUCT((Ввод!$F$12:$F$31&lt;&gt;"")*(Ввод!$F$12:$F$31&lt;=A233)*(Ввод!$G$12:$G$31&gt;=A233))&gt;0,1,0))</f>
        <v/>
      </c>
      <c r="G233" t="str">
        <f t="shared" si="7"/>
        <v/>
      </c>
    </row>
    <row r="234" spans="1:7" x14ac:dyDescent="0.3">
      <c r="A234" s="21" t="str">
        <f>IF(A233="","",IF(A233+1&gt;Ввод!$B$4,"",A233+1))</f>
        <v/>
      </c>
      <c r="B234" s="23" t="str">
        <f>IF(A234="","",IFERROR(INDEX(Ввод!$B$12:$B$71,MATCH(A234,Ввод!$D$12:$D$71,1)),""))</f>
        <v/>
      </c>
      <c r="C234" t="str">
        <f t="shared" si="6"/>
        <v/>
      </c>
      <c r="D234" t="str">
        <f>IF(A234="","",SUMIFS(Акты!$D$5:$D$16,Акты!$E$5:$E$16,"&lt;="&amp;A234)-SUMIFS(Оплаты!$B$6:$B$505,Оплаты!$A$6:$A$505,"&lt;"&amp;A234,Оплаты!$D$6:$D$505,"&lt;&gt;"))</f>
        <v/>
      </c>
      <c r="E234" t="str">
        <f>IF(A234="","",IF(SUMPRODUCT((Ввод!$F$12:$F$31&lt;&gt;"")*(Ввод!$F$12:$F$31&lt;=A234)*(Ввод!$G$12:$G$31&gt;=A234))&gt;0,1,0))</f>
        <v/>
      </c>
      <c r="G234" t="str">
        <f t="shared" si="7"/>
        <v/>
      </c>
    </row>
    <row r="235" spans="1:7" x14ac:dyDescent="0.3">
      <c r="A235" s="21" t="str">
        <f>IF(A234="","",IF(A234+1&gt;Ввод!$B$4,"",A234+1))</f>
        <v/>
      </c>
      <c r="B235" s="23" t="str">
        <f>IF(A235="","",IFERROR(INDEX(Ввод!$B$12:$B$71,MATCH(A235,Ввод!$D$12:$D$71,1)),""))</f>
        <v/>
      </c>
      <c r="C235" t="str">
        <f t="shared" si="6"/>
        <v/>
      </c>
      <c r="D235" t="str">
        <f>IF(A235="","",SUMIFS(Акты!$D$5:$D$16,Акты!$E$5:$E$16,"&lt;="&amp;A235)-SUMIFS(Оплаты!$B$6:$B$505,Оплаты!$A$6:$A$505,"&lt;"&amp;A235,Оплаты!$D$6:$D$505,"&lt;&gt;"))</f>
        <v/>
      </c>
      <c r="E235" t="str">
        <f>IF(A235="","",IF(SUMPRODUCT((Ввод!$F$12:$F$31&lt;&gt;"")*(Ввод!$F$12:$F$31&lt;=A235)*(Ввод!$G$12:$G$31&gt;=A235))&gt;0,1,0))</f>
        <v/>
      </c>
      <c r="G235" t="str">
        <f t="shared" si="7"/>
        <v/>
      </c>
    </row>
    <row r="236" spans="1:7" x14ac:dyDescent="0.3">
      <c r="A236" s="21" t="str">
        <f>IF(A235="","",IF(A235+1&gt;Ввод!$B$4,"",A235+1))</f>
        <v/>
      </c>
      <c r="B236" s="23" t="str">
        <f>IF(A236="","",IFERROR(INDEX(Ввод!$B$12:$B$71,MATCH(A236,Ввод!$D$12:$D$71,1)),""))</f>
        <v/>
      </c>
      <c r="C236" t="str">
        <f t="shared" si="6"/>
        <v/>
      </c>
      <c r="D236" t="str">
        <f>IF(A236="","",SUMIFS(Акты!$D$5:$D$16,Акты!$E$5:$E$16,"&lt;="&amp;A236)-SUMIFS(Оплаты!$B$6:$B$505,Оплаты!$A$6:$A$505,"&lt;"&amp;A236,Оплаты!$D$6:$D$505,"&lt;&gt;"))</f>
        <v/>
      </c>
      <c r="E236" t="str">
        <f>IF(A236="","",IF(SUMPRODUCT((Ввод!$F$12:$F$31&lt;&gt;"")*(Ввод!$F$12:$F$31&lt;=A236)*(Ввод!$G$12:$G$31&gt;=A236))&gt;0,1,0))</f>
        <v/>
      </c>
      <c r="G236" t="str">
        <f t="shared" si="7"/>
        <v/>
      </c>
    </row>
    <row r="237" spans="1:7" x14ac:dyDescent="0.3">
      <c r="A237" s="21" t="str">
        <f>IF(A236="","",IF(A236+1&gt;Ввод!$B$4,"",A236+1))</f>
        <v/>
      </c>
      <c r="B237" s="23" t="str">
        <f>IF(A237="","",IFERROR(INDEX(Ввод!$B$12:$B$71,MATCH(A237,Ввод!$D$12:$D$71,1)),""))</f>
        <v/>
      </c>
      <c r="C237" t="str">
        <f t="shared" si="6"/>
        <v/>
      </c>
      <c r="D237" t="str">
        <f>IF(A237="","",SUMIFS(Акты!$D$5:$D$16,Акты!$E$5:$E$16,"&lt;="&amp;A237)-SUMIFS(Оплаты!$B$6:$B$505,Оплаты!$A$6:$A$505,"&lt;"&amp;A237,Оплаты!$D$6:$D$505,"&lt;&gt;"))</f>
        <v/>
      </c>
      <c r="E237" t="str">
        <f>IF(A237="","",IF(SUMPRODUCT((Ввод!$F$12:$F$31&lt;&gt;"")*(Ввод!$F$12:$F$31&lt;=A237)*(Ввод!$G$12:$G$31&gt;=A237))&gt;0,1,0))</f>
        <v/>
      </c>
      <c r="G237" t="str">
        <f t="shared" si="7"/>
        <v/>
      </c>
    </row>
    <row r="238" spans="1:7" x14ac:dyDescent="0.3">
      <c r="A238" s="21" t="str">
        <f>IF(A237="","",IF(A237+1&gt;Ввод!$B$4,"",A237+1))</f>
        <v/>
      </c>
      <c r="B238" s="23" t="str">
        <f>IF(A238="","",IFERROR(INDEX(Ввод!$B$12:$B$71,MATCH(A238,Ввод!$D$12:$D$71,1)),""))</f>
        <v/>
      </c>
      <c r="C238" t="str">
        <f t="shared" si="6"/>
        <v/>
      </c>
      <c r="D238" t="str">
        <f>IF(A238="","",SUMIFS(Акты!$D$5:$D$16,Акты!$E$5:$E$16,"&lt;="&amp;A238)-SUMIFS(Оплаты!$B$6:$B$505,Оплаты!$A$6:$A$505,"&lt;"&amp;A238,Оплаты!$D$6:$D$505,"&lt;&gt;"))</f>
        <v/>
      </c>
      <c r="E238" t="str">
        <f>IF(A238="","",IF(SUMPRODUCT((Ввод!$F$12:$F$31&lt;&gt;"")*(Ввод!$F$12:$F$31&lt;=A238)*(Ввод!$G$12:$G$31&gt;=A238))&gt;0,1,0))</f>
        <v/>
      </c>
      <c r="G238" t="str">
        <f t="shared" si="7"/>
        <v/>
      </c>
    </row>
    <row r="239" spans="1:7" x14ac:dyDescent="0.3">
      <c r="A239" s="21" t="str">
        <f>IF(A238="","",IF(A238+1&gt;Ввод!$B$4,"",A238+1))</f>
        <v/>
      </c>
      <c r="B239" s="23" t="str">
        <f>IF(A239="","",IFERROR(INDEX(Ввод!$B$12:$B$71,MATCH(A239,Ввод!$D$12:$D$71,1)),""))</f>
        <v/>
      </c>
      <c r="C239" t="str">
        <f t="shared" si="6"/>
        <v/>
      </c>
      <c r="D239" t="str">
        <f>IF(A239="","",SUMIFS(Акты!$D$5:$D$16,Акты!$E$5:$E$16,"&lt;="&amp;A239)-SUMIFS(Оплаты!$B$6:$B$505,Оплаты!$A$6:$A$505,"&lt;"&amp;A239,Оплаты!$D$6:$D$505,"&lt;&gt;"))</f>
        <v/>
      </c>
      <c r="E239" t="str">
        <f>IF(A239="","",IF(SUMPRODUCT((Ввод!$F$12:$F$31&lt;&gt;"")*(Ввод!$F$12:$F$31&lt;=A239)*(Ввод!$G$12:$G$31&gt;=A239))&gt;0,1,0))</f>
        <v/>
      </c>
      <c r="G239" t="str">
        <f t="shared" si="7"/>
        <v/>
      </c>
    </row>
    <row r="240" spans="1:7" x14ac:dyDescent="0.3">
      <c r="A240" s="21" t="str">
        <f>IF(A239="","",IF(A239+1&gt;Ввод!$B$4,"",A239+1))</f>
        <v/>
      </c>
      <c r="B240" s="23" t="str">
        <f>IF(A240="","",IFERROR(INDEX(Ввод!$B$12:$B$71,MATCH(A240,Ввод!$D$12:$D$71,1)),""))</f>
        <v/>
      </c>
      <c r="C240" t="str">
        <f t="shared" si="6"/>
        <v/>
      </c>
      <c r="D240" t="str">
        <f>IF(A240="","",SUMIFS(Акты!$D$5:$D$16,Акты!$E$5:$E$16,"&lt;="&amp;A240)-SUMIFS(Оплаты!$B$6:$B$505,Оплаты!$A$6:$A$505,"&lt;"&amp;A240,Оплаты!$D$6:$D$505,"&lt;&gt;"))</f>
        <v/>
      </c>
      <c r="E240" t="str">
        <f>IF(A240="","",IF(SUMPRODUCT((Ввод!$F$12:$F$31&lt;&gt;"")*(Ввод!$F$12:$F$31&lt;=A240)*(Ввод!$G$12:$G$31&gt;=A240))&gt;0,1,0))</f>
        <v/>
      </c>
      <c r="G240" t="str">
        <f t="shared" si="7"/>
        <v/>
      </c>
    </row>
    <row r="241" spans="1:7" x14ac:dyDescent="0.3">
      <c r="A241" s="21" t="str">
        <f>IF(A240="","",IF(A240+1&gt;Ввод!$B$4,"",A240+1))</f>
        <v/>
      </c>
      <c r="B241" s="23" t="str">
        <f>IF(A241="","",IFERROR(INDEX(Ввод!$B$12:$B$71,MATCH(A241,Ввод!$D$12:$D$71,1)),""))</f>
        <v/>
      </c>
      <c r="C241" t="str">
        <f t="shared" si="6"/>
        <v/>
      </c>
      <c r="D241" t="str">
        <f>IF(A241="","",SUMIFS(Акты!$D$5:$D$16,Акты!$E$5:$E$16,"&lt;="&amp;A241)-SUMIFS(Оплаты!$B$6:$B$505,Оплаты!$A$6:$A$505,"&lt;"&amp;A241,Оплаты!$D$6:$D$505,"&lt;&gt;"))</f>
        <v/>
      </c>
      <c r="E241" t="str">
        <f>IF(A241="","",IF(SUMPRODUCT((Ввод!$F$12:$F$31&lt;&gt;"")*(Ввод!$F$12:$F$31&lt;=A241)*(Ввод!$G$12:$G$31&gt;=A241))&gt;0,1,0))</f>
        <v/>
      </c>
      <c r="G241" t="str">
        <f t="shared" si="7"/>
        <v/>
      </c>
    </row>
    <row r="242" spans="1:7" x14ac:dyDescent="0.3">
      <c r="A242" s="21" t="str">
        <f>IF(A241="","",IF(A241+1&gt;Ввод!$B$4,"",A241+1))</f>
        <v/>
      </c>
      <c r="B242" s="23" t="str">
        <f>IF(A242="","",IFERROR(INDEX(Ввод!$B$12:$B$71,MATCH(A242,Ввод!$D$12:$D$71,1)),""))</f>
        <v/>
      </c>
      <c r="C242" t="str">
        <f t="shared" si="6"/>
        <v/>
      </c>
      <c r="D242" t="str">
        <f>IF(A242="","",SUMIFS(Акты!$D$5:$D$16,Акты!$E$5:$E$16,"&lt;="&amp;A242)-SUMIFS(Оплаты!$B$6:$B$505,Оплаты!$A$6:$A$505,"&lt;"&amp;A242,Оплаты!$D$6:$D$505,"&lt;&gt;"))</f>
        <v/>
      </c>
      <c r="E242" t="str">
        <f>IF(A242="","",IF(SUMPRODUCT((Ввод!$F$12:$F$31&lt;&gt;"")*(Ввод!$F$12:$F$31&lt;=A242)*(Ввод!$G$12:$G$31&gt;=A242))&gt;0,1,0))</f>
        <v/>
      </c>
      <c r="G242" t="str">
        <f t="shared" si="7"/>
        <v/>
      </c>
    </row>
    <row r="243" spans="1:7" x14ac:dyDescent="0.3">
      <c r="A243" s="21" t="str">
        <f>IF(A242="","",IF(A242+1&gt;Ввод!$B$4,"",A242+1))</f>
        <v/>
      </c>
      <c r="B243" s="23" t="str">
        <f>IF(A243="","",IFERROR(INDEX(Ввод!$B$12:$B$71,MATCH(A243,Ввод!$D$12:$D$71,1)),""))</f>
        <v/>
      </c>
      <c r="C243" t="str">
        <f t="shared" si="6"/>
        <v/>
      </c>
      <c r="D243" t="str">
        <f>IF(A243="","",SUMIFS(Акты!$D$5:$D$16,Акты!$E$5:$E$16,"&lt;="&amp;A243)-SUMIFS(Оплаты!$B$6:$B$505,Оплаты!$A$6:$A$505,"&lt;"&amp;A243,Оплаты!$D$6:$D$505,"&lt;&gt;"))</f>
        <v/>
      </c>
      <c r="E243" t="str">
        <f>IF(A243="","",IF(SUMPRODUCT((Ввод!$F$12:$F$31&lt;&gt;"")*(Ввод!$F$12:$F$31&lt;=A243)*(Ввод!$G$12:$G$31&gt;=A243))&gt;0,1,0))</f>
        <v/>
      </c>
      <c r="G243" t="str">
        <f t="shared" si="7"/>
        <v/>
      </c>
    </row>
    <row r="244" spans="1:7" x14ac:dyDescent="0.3">
      <c r="A244" s="21" t="str">
        <f>IF(A243="","",IF(A243+1&gt;Ввод!$B$4,"",A243+1))</f>
        <v/>
      </c>
      <c r="B244" s="23" t="str">
        <f>IF(A244="","",IFERROR(INDEX(Ввод!$B$12:$B$71,MATCH(A244,Ввод!$D$12:$D$71,1)),""))</f>
        <v/>
      </c>
      <c r="C244" t="str">
        <f t="shared" si="6"/>
        <v/>
      </c>
      <c r="D244" t="str">
        <f>IF(A244="","",SUMIFS(Акты!$D$5:$D$16,Акты!$E$5:$E$16,"&lt;="&amp;A244)-SUMIFS(Оплаты!$B$6:$B$505,Оплаты!$A$6:$A$505,"&lt;"&amp;A244,Оплаты!$D$6:$D$505,"&lt;&gt;"))</f>
        <v/>
      </c>
      <c r="E244" t="str">
        <f>IF(A244="","",IF(SUMPRODUCT((Ввод!$F$12:$F$31&lt;&gt;"")*(Ввод!$F$12:$F$31&lt;=A244)*(Ввод!$G$12:$G$31&gt;=A244))&gt;0,1,0))</f>
        <v/>
      </c>
      <c r="G244" t="str">
        <f t="shared" si="7"/>
        <v/>
      </c>
    </row>
    <row r="245" spans="1:7" x14ac:dyDescent="0.3">
      <c r="A245" s="21" t="str">
        <f>IF(A244="","",IF(A244+1&gt;Ввод!$B$4,"",A244+1))</f>
        <v/>
      </c>
      <c r="B245" s="23" t="str">
        <f>IF(A245="","",IFERROR(INDEX(Ввод!$B$12:$B$71,MATCH(A245,Ввод!$D$12:$D$71,1)),""))</f>
        <v/>
      </c>
      <c r="C245" t="str">
        <f t="shared" si="6"/>
        <v/>
      </c>
      <c r="D245" t="str">
        <f>IF(A245="","",SUMIFS(Акты!$D$5:$D$16,Акты!$E$5:$E$16,"&lt;="&amp;A245)-SUMIFS(Оплаты!$B$6:$B$505,Оплаты!$A$6:$A$505,"&lt;"&amp;A245,Оплаты!$D$6:$D$505,"&lt;&gt;"))</f>
        <v/>
      </c>
      <c r="E245" t="str">
        <f>IF(A245="","",IF(SUMPRODUCT((Ввод!$F$12:$F$31&lt;&gt;"")*(Ввод!$F$12:$F$31&lt;=A245)*(Ввод!$G$12:$G$31&gt;=A245))&gt;0,1,0))</f>
        <v/>
      </c>
      <c r="G245" t="str">
        <f t="shared" si="7"/>
        <v/>
      </c>
    </row>
    <row r="246" spans="1:7" x14ac:dyDescent="0.3">
      <c r="A246" s="21" t="str">
        <f>IF(A245="","",IF(A245+1&gt;Ввод!$B$4,"",A245+1))</f>
        <v/>
      </c>
      <c r="B246" s="23" t="str">
        <f>IF(A246="","",IFERROR(INDEX(Ввод!$B$12:$B$71,MATCH(A246,Ввод!$D$12:$D$71,1)),""))</f>
        <v/>
      </c>
      <c r="C246" t="str">
        <f t="shared" si="6"/>
        <v/>
      </c>
      <c r="D246" t="str">
        <f>IF(A246="","",SUMIFS(Акты!$D$5:$D$16,Акты!$E$5:$E$16,"&lt;="&amp;A246)-SUMIFS(Оплаты!$B$6:$B$505,Оплаты!$A$6:$A$505,"&lt;"&amp;A246,Оплаты!$D$6:$D$505,"&lt;&gt;"))</f>
        <v/>
      </c>
      <c r="E246" t="str">
        <f>IF(A246="","",IF(SUMPRODUCT((Ввод!$F$12:$F$31&lt;&gt;"")*(Ввод!$F$12:$F$31&lt;=A246)*(Ввод!$G$12:$G$31&gt;=A246))&gt;0,1,0))</f>
        <v/>
      </c>
      <c r="G246" t="str">
        <f t="shared" si="7"/>
        <v/>
      </c>
    </row>
    <row r="247" spans="1:7" x14ac:dyDescent="0.3">
      <c r="A247" s="21" t="str">
        <f>IF(A246="","",IF(A246+1&gt;Ввод!$B$4,"",A246+1))</f>
        <v/>
      </c>
      <c r="B247" s="23" t="str">
        <f>IF(A247="","",IFERROR(INDEX(Ввод!$B$12:$B$71,MATCH(A247,Ввод!$D$12:$D$71,1)),""))</f>
        <v/>
      </c>
      <c r="C247" t="str">
        <f t="shared" si="6"/>
        <v/>
      </c>
      <c r="D247" t="str">
        <f>IF(A247="","",SUMIFS(Акты!$D$5:$D$16,Акты!$E$5:$E$16,"&lt;="&amp;A247)-SUMIFS(Оплаты!$B$6:$B$505,Оплаты!$A$6:$A$505,"&lt;"&amp;A247,Оплаты!$D$6:$D$505,"&lt;&gt;"))</f>
        <v/>
      </c>
      <c r="E247" t="str">
        <f>IF(A247="","",IF(SUMPRODUCT((Ввод!$F$12:$F$31&lt;&gt;"")*(Ввод!$F$12:$F$31&lt;=A247)*(Ввод!$G$12:$G$31&gt;=A247))&gt;0,1,0))</f>
        <v/>
      </c>
      <c r="G247" t="str">
        <f t="shared" si="7"/>
        <v/>
      </c>
    </row>
    <row r="248" spans="1:7" x14ac:dyDescent="0.3">
      <c r="A248" s="21" t="str">
        <f>IF(A247="","",IF(A247+1&gt;Ввод!$B$4,"",A247+1))</f>
        <v/>
      </c>
      <c r="B248" s="23" t="str">
        <f>IF(A248="","",IFERROR(INDEX(Ввод!$B$12:$B$71,MATCH(A248,Ввод!$D$12:$D$71,1)),""))</f>
        <v/>
      </c>
      <c r="C248" t="str">
        <f t="shared" si="6"/>
        <v/>
      </c>
      <c r="D248" t="str">
        <f>IF(A248="","",SUMIFS(Акты!$D$5:$D$16,Акты!$E$5:$E$16,"&lt;="&amp;A248)-SUMIFS(Оплаты!$B$6:$B$505,Оплаты!$A$6:$A$505,"&lt;"&amp;A248,Оплаты!$D$6:$D$505,"&lt;&gt;"))</f>
        <v/>
      </c>
      <c r="E248" t="str">
        <f>IF(A248="","",IF(SUMPRODUCT((Ввод!$F$12:$F$31&lt;&gt;"")*(Ввод!$F$12:$F$31&lt;=A248)*(Ввод!$G$12:$G$31&gt;=A248))&gt;0,1,0))</f>
        <v/>
      </c>
      <c r="G248" t="str">
        <f t="shared" si="7"/>
        <v/>
      </c>
    </row>
    <row r="249" spans="1:7" x14ac:dyDescent="0.3">
      <c r="A249" s="21" t="str">
        <f>IF(A248="","",IF(A248+1&gt;Ввод!$B$4,"",A248+1))</f>
        <v/>
      </c>
      <c r="B249" s="23" t="str">
        <f>IF(A249="","",IFERROR(INDEX(Ввод!$B$12:$B$71,MATCH(A249,Ввод!$D$12:$D$71,1)),""))</f>
        <v/>
      </c>
      <c r="C249" t="str">
        <f t="shared" si="6"/>
        <v/>
      </c>
      <c r="D249" t="str">
        <f>IF(A249="","",SUMIFS(Акты!$D$5:$D$16,Акты!$E$5:$E$16,"&lt;="&amp;A249)-SUMIFS(Оплаты!$B$6:$B$505,Оплаты!$A$6:$A$505,"&lt;"&amp;A249,Оплаты!$D$6:$D$505,"&lt;&gt;"))</f>
        <v/>
      </c>
      <c r="E249" t="str">
        <f>IF(A249="","",IF(SUMPRODUCT((Ввод!$F$12:$F$31&lt;&gt;"")*(Ввод!$F$12:$F$31&lt;=A249)*(Ввод!$G$12:$G$31&gt;=A249))&gt;0,1,0))</f>
        <v/>
      </c>
      <c r="G249" t="str">
        <f t="shared" si="7"/>
        <v/>
      </c>
    </row>
    <row r="250" spans="1:7" x14ac:dyDescent="0.3">
      <c r="A250" s="21" t="str">
        <f>IF(A249="","",IF(A249+1&gt;Ввод!$B$4,"",A249+1))</f>
        <v/>
      </c>
      <c r="B250" s="23" t="str">
        <f>IF(A250="","",IFERROR(INDEX(Ввод!$B$12:$B$71,MATCH(A250,Ввод!$D$12:$D$71,1)),""))</f>
        <v/>
      </c>
      <c r="C250" t="str">
        <f t="shared" si="6"/>
        <v/>
      </c>
      <c r="D250" t="str">
        <f>IF(A250="","",SUMIFS(Акты!$D$5:$D$16,Акты!$E$5:$E$16,"&lt;="&amp;A250)-SUMIFS(Оплаты!$B$6:$B$505,Оплаты!$A$6:$A$505,"&lt;"&amp;A250,Оплаты!$D$6:$D$505,"&lt;&gt;"))</f>
        <v/>
      </c>
      <c r="E250" t="str">
        <f>IF(A250="","",IF(SUMPRODUCT((Ввод!$F$12:$F$31&lt;&gt;"")*(Ввод!$F$12:$F$31&lt;=A250)*(Ввод!$G$12:$G$31&gt;=A250))&gt;0,1,0))</f>
        <v/>
      </c>
      <c r="G250" t="str">
        <f t="shared" si="7"/>
        <v/>
      </c>
    </row>
    <row r="251" spans="1:7" x14ac:dyDescent="0.3">
      <c r="A251" s="21" t="str">
        <f>IF(A250="","",IF(A250+1&gt;Ввод!$B$4,"",A250+1))</f>
        <v/>
      </c>
      <c r="B251" s="23" t="str">
        <f>IF(A251="","",IFERROR(INDEX(Ввод!$B$12:$B$71,MATCH(A251,Ввод!$D$12:$D$71,1)),""))</f>
        <v/>
      </c>
      <c r="C251" t="str">
        <f t="shared" si="6"/>
        <v/>
      </c>
      <c r="D251" t="str">
        <f>IF(A251="","",SUMIFS(Акты!$D$5:$D$16,Акты!$E$5:$E$16,"&lt;="&amp;A251)-SUMIFS(Оплаты!$B$6:$B$505,Оплаты!$A$6:$A$505,"&lt;"&amp;A251,Оплаты!$D$6:$D$505,"&lt;&gt;"))</f>
        <v/>
      </c>
      <c r="E251" t="str">
        <f>IF(A251="","",IF(SUMPRODUCT((Ввод!$F$12:$F$31&lt;&gt;"")*(Ввод!$F$12:$F$31&lt;=A251)*(Ввод!$G$12:$G$31&gt;=A251))&gt;0,1,0))</f>
        <v/>
      </c>
      <c r="G251" t="str">
        <f t="shared" si="7"/>
        <v/>
      </c>
    </row>
    <row r="252" spans="1:7" x14ac:dyDescent="0.3">
      <c r="A252" s="21" t="str">
        <f>IF(A251="","",IF(A251+1&gt;Ввод!$B$4,"",A251+1))</f>
        <v/>
      </c>
      <c r="B252" s="23" t="str">
        <f>IF(A252="","",IFERROR(INDEX(Ввод!$B$12:$B$71,MATCH(A252,Ввод!$D$12:$D$71,1)),""))</f>
        <v/>
      </c>
      <c r="C252" t="str">
        <f t="shared" si="6"/>
        <v/>
      </c>
      <c r="D252" t="str">
        <f>IF(A252="","",SUMIFS(Акты!$D$5:$D$16,Акты!$E$5:$E$16,"&lt;="&amp;A252)-SUMIFS(Оплаты!$B$6:$B$505,Оплаты!$A$6:$A$505,"&lt;"&amp;A252,Оплаты!$D$6:$D$505,"&lt;&gt;"))</f>
        <v/>
      </c>
      <c r="E252" t="str">
        <f>IF(A252="","",IF(SUMPRODUCT((Ввод!$F$12:$F$31&lt;&gt;"")*(Ввод!$F$12:$F$31&lt;=A252)*(Ввод!$G$12:$G$31&gt;=A252))&gt;0,1,0))</f>
        <v/>
      </c>
      <c r="G252" t="str">
        <f t="shared" si="7"/>
        <v/>
      </c>
    </row>
    <row r="253" spans="1:7" x14ac:dyDescent="0.3">
      <c r="A253" s="21" t="str">
        <f>IF(A252="","",IF(A252+1&gt;Ввод!$B$4,"",A252+1))</f>
        <v/>
      </c>
      <c r="B253" s="23" t="str">
        <f>IF(A253="","",IFERROR(INDEX(Ввод!$B$12:$B$71,MATCH(A253,Ввод!$D$12:$D$71,1)),""))</f>
        <v/>
      </c>
      <c r="C253" t="str">
        <f t="shared" si="6"/>
        <v/>
      </c>
      <c r="D253" t="str">
        <f>IF(A253="","",SUMIFS(Акты!$D$5:$D$16,Акты!$E$5:$E$16,"&lt;="&amp;A253)-SUMIFS(Оплаты!$B$6:$B$505,Оплаты!$A$6:$A$505,"&lt;"&amp;A253,Оплаты!$D$6:$D$505,"&lt;&gt;"))</f>
        <v/>
      </c>
      <c r="E253" t="str">
        <f>IF(A253="","",IF(SUMPRODUCT((Ввод!$F$12:$F$31&lt;&gt;"")*(Ввод!$F$12:$F$31&lt;=A253)*(Ввод!$G$12:$G$31&gt;=A253))&gt;0,1,0))</f>
        <v/>
      </c>
      <c r="G253" t="str">
        <f t="shared" si="7"/>
        <v/>
      </c>
    </row>
    <row r="254" spans="1:7" x14ac:dyDescent="0.3">
      <c r="A254" s="21" t="str">
        <f>IF(A253="","",IF(A253+1&gt;Ввод!$B$4,"",A253+1))</f>
        <v/>
      </c>
      <c r="B254" s="23" t="str">
        <f>IF(A254="","",IFERROR(INDEX(Ввод!$B$12:$B$71,MATCH(A254,Ввод!$D$12:$D$71,1)),""))</f>
        <v/>
      </c>
      <c r="C254" t="str">
        <f t="shared" si="6"/>
        <v/>
      </c>
      <c r="D254" t="str">
        <f>IF(A254="","",SUMIFS(Акты!$D$5:$D$16,Акты!$E$5:$E$16,"&lt;="&amp;A254)-SUMIFS(Оплаты!$B$6:$B$505,Оплаты!$A$6:$A$505,"&lt;"&amp;A254,Оплаты!$D$6:$D$505,"&lt;&gt;"))</f>
        <v/>
      </c>
      <c r="E254" t="str">
        <f>IF(A254="","",IF(SUMPRODUCT((Ввод!$F$12:$F$31&lt;&gt;"")*(Ввод!$F$12:$F$31&lt;=A254)*(Ввод!$G$12:$G$31&gt;=A254))&gt;0,1,0))</f>
        <v/>
      </c>
      <c r="G254" t="str">
        <f t="shared" si="7"/>
        <v/>
      </c>
    </row>
    <row r="255" spans="1:7" x14ac:dyDescent="0.3">
      <c r="A255" s="21" t="str">
        <f>IF(A254="","",IF(A254+1&gt;Ввод!$B$4,"",A254+1))</f>
        <v/>
      </c>
      <c r="B255" s="23" t="str">
        <f>IF(A255="","",IFERROR(INDEX(Ввод!$B$12:$B$71,MATCH(A255,Ввод!$D$12:$D$71,1)),""))</f>
        <v/>
      </c>
      <c r="C255" t="str">
        <f t="shared" si="6"/>
        <v/>
      </c>
      <c r="D255" t="str">
        <f>IF(A255="","",SUMIFS(Акты!$D$5:$D$16,Акты!$E$5:$E$16,"&lt;="&amp;A255)-SUMIFS(Оплаты!$B$6:$B$505,Оплаты!$A$6:$A$505,"&lt;"&amp;A255,Оплаты!$D$6:$D$505,"&lt;&gt;"))</f>
        <v/>
      </c>
      <c r="E255" t="str">
        <f>IF(A255="","",IF(SUMPRODUCT((Ввод!$F$12:$F$31&lt;&gt;"")*(Ввод!$F$12:$F$31&lt;=A255)*(Ввод!$G$12:$G$31&gt;=A255))&gt;0,1,0))</f>
        <v/>
      </c>
      <c r="G255" t="str">
        <f t="shared" si="7"/>
        <v/>
      </c>
    </row>
    <row r="256" spans="1:7" x14ac:dyDescent="0.3">
      <c r="A256" s="21" t="str">
        <f>IF(A255="","",IF(A255+1&gt;Ввод!$B$4,"",A255+1))</f>
        <v/>
      </c>
      <c r="B256" s="23" t="str">
        <f>IF(A256="","",IFERROR(INDEX(Ввод!$B$12:$B$71,MATCH(A256,Ввод!$D$12:$D$71,1)),""))</f>
        <v/>
      </c>
      <c r="C256" t="str">
        <f t="shared" si="6"/>
        <v/>
      </c>
      <c r="D256" t="str">
        <f>IF(A256="","",SUMIFS(Акты!$D$5:$D$16,Акты!$E$5:$E$16,"&lt;="&amp;A256)-SUMIFS(Оплаты!$B$6:$B$505,Оплаты!$A$6:$A$505,"&lt;"&amp;A256,Оплаты!$D$6:$D$505,"&lt;&gt;"))</f>
        <v/>
      </c>
      <c r="E256" t="str">
        <f>IF(A256="","",IF(SUMPRODUCT((Ввод!$F$12:$F$31&lt;&gt;"")*(Ввод!$F$12:$F$31&lt;=A256)*(Ввод!$G$12:$G$31&gt;=A256))&gt;0,1,0))</f>
        <v/>
      </c>
      <c r="G256" t="str">
        <f t="shared" si="7"/>
        <v/>
      </c>
    </row>
    <row r="257" spans="1:7" x14ac:dyDescent="0.3">
      <c r="A257" s="21" t="str">
        <f>IF(A256="","",IF(A256+1&gt;Ввод!$B$4,"",A256+1))</f>
        <v/>
      </c>
      <c r="B257" s="23" t="str">
        <f>IF(A257="","",IFERROR(INDEX(Ввод!$B$12:$B$71,MATCH(A257,Ввод!$D$12:$D$71,1)),""))</f>
        <v/>
      </c>
      <c r="C257" t="str">
        <f t="shared" si="6"/>
        <v/>
      </c>
      <c r="D257" t="str">
        <f>IF(A257="","",SUMIFS(Акты!$D$5:$D$16,Акты!$E$5:$E$16,"&lt;="&amp;A257)-SUMIFS(Оплаты!$B$6:$B$505,Оплаты!$A$6:$A$505,"&lt;"&amp;A257,Оплаты!$D$6:$D$505,"&lt;&gt;"))</f>
        <v/>
      </c>
      <c r="E257" t="str">
        <f>IF(A257="","",IF(SUMPRODUCT((Ввод!$F$12:$F$31&lt;&gt;"")*(Ввод!$F$12:$F$31&lt;=A257)*(Ввод!$G$12:$G$31&gt;=A257))&gt;0,1,0))</f>
        <v/>
      </c>
      <c r="G257" t="str">
        <f t="shared" si="7"/>
        <v/>
      </c>
    </row>
    <row r="258" spans="1:7" x14ac:dyDescent="0.3">
      <c r="A258" s="21" t="str">
        <f>IF(A257="","",IF(A257+1&gt;Ввод!$B$4,"",A257+1))</f>
        <v/>
      </c>
      <c r="B258" s="23" t="str">
        <f>IF(A258="","",IFERROR(INDEX(Ввод!$B$12:$B$71,MATCH(A258,Ввод!$D$12:$D$71,1)),""))</f>
        <v/>
      </c>
      <c r="C258" t="str">
        <f t="shared" ref="C258:C321" si="8">IF(A258="","",DATE(YEAR(A258),12,31)-DATE(YEAR(A258),1,1)+1)</f>
        <v/>
      </c>
      <c r="D258" t="str">
        <f>IF(A258="","",SUMIFS(Акты!$D$5:$D$16,Акты!$E$5:$E$16,"&lt;="&amp;A258)-SUMIFS(Оплаты!$B$6:$B$505,Оплаты!$A$6:$A$505,"&lt;"&amp;A258,Оплаты!$D$6:$D$505,"&lt;&gt;"))</f>
        <v/>
      </c>
      <c r="E258" t="str">
        <f>IF(A258="","",IF(SUMPRODUCT((Ввод!$F$12:$F$31&lt;&gt;"")*(Ввод!$F$12:$F$31&lt;=A258)*(Ввод!$G$12:$G$31&gt;=A258))&gt;0,1,0))</f>
        <v/>
      </c>
      <c r="G258" t="str">
        <f t="shared" si="7"/>
        <v/>
      </c>
    </row>
    <row r="259" spans="1:7" x14ac:dyDescent="0.3">
      <c r="A259" s="21" t="str">
        <f>IF(A258="","",IF(A258+1&gt;Ввод!$B$4,"",A258+1))</f>
        <v/>
      </c>
      <c r="B259" s="23" t="str">
        <f>IF(A259="","",IFERROR(INDEX(Ввод!$B$12:$B$71,MATCH(A259,Ввод!$D$12:$D$71,1)),""))</f>
        <v/>
      </c>
      <c r="C259" t="str">
        <f t="shared" si="8"/>
        <v/>
      </c>
      <c r="D259" t="str">
        <f>IF(A259="","",SUMIFS(Акты!$D$5:$D$16,Акты!$E$5:$E$16,"&lt;="&amp;A259)-SUMIFS(Оплаты!$B$6:$B$505,Оплаты!$A$6:$A$505,"&lt;"&amp;A259,Оплаты!$D$6:$D$505,"&lt;&gt;"))</f>
        <v/>
      </c>
      <c r="E259" t="str">
        <f>IF(A259="","",IF(SUMPRODUCT((Ввод!$F$12:$F$31&lt;&gt;"")*(Ввод!$F$12:$F$31&lt;=A259)*(Ввод!$G$12:$G$31&gt;=A259))&gt;0,1,0))</f>
        <v/>
      </c>
      <c r="G259" t="str">
        <f t="shared" ref="G259:G322" si="9">IF(A259="","",IF(OR(B259&lt;&gt;B258,C259&lt;&gt;C258,E259&lt;&gt;E258),G258+1,G258))</f>
        <v/>
      </c>
    </row>
    <row r="260" spans="1:7" x14ac:dyDescent="0.3">
      <c r="A260" s="21" t="str">
        <f>IF(A259="","",IF(A259+1&gt;Ввод!$B$4,"",A259+1))</f>
        <v/>
      </c>
      <c r="B260" s="23" t="str">
        <f>IF(A260="","",IFERROR(INDEX(Ввод!$B$12:$B$71,MATCH(A260,Ввод!$D$12:$D$71,1)),""))</f>
        <v/>
      </c>
      <c r="C260" t="str">
        <f t="shared" si="8"/>
        <v/>
      </c>
      <c r="D260" t="str">
        <f>IF(A260="","",SUMIFS(Акты!$D$5:$D$16,Акты!$E$5:$E$16,"&lt;="&amp;A260)-SUMIFS(Оплаты!$B$6:$B$505,Оплаты!$A$6:$A$505,"&lt;"&amp;A260,Оплаты!$D$6:$D$505,"&lt;&gt;"))</f>
        <v/>
      </c>
      <c r="E260" t="str">
        <f>IF(A260="","",IF(SUMPRODUCT((Ввод!$F$12:$F$31&lt;&gt;"")*(Ввод!$F$12:$F$31&lt;=A260)*(Ввод!$G$12:$G$31&gt;=A260))&gt;0,1,0))</f>
        <v/>
      </c>
      <c r="G260" t="str">
        <f t="shared" si="9"/>
        <v/>
      </c>
    </row>
    <row r="261" spans="1:7" x14ac:dyDescent="0.3">
      <c r="A261" s="21" t="str">
        <f>IF(A260="","",IF(A260+1&gt;Ввод!$B$4,"",A260+1))</f>
        <v/>
      </c>
      <c r="B261" s="23" t="str">
        <f>IF(A261="","",IFERROR(INDEX(Ввод!$B$12:$B$71,MATCH(A261,Ввод!$D$12:$D$71,1)),""))</f>
        <v/>
      </c>
      <c r="C261" t="str">
        <f t="shared" si="8"/>
        <v/>
      </c>
      <c r="D261" t="str">
        <f>IF(A261="","",SUMIFS(Акты!$D$5:$D$16,Акты!$E$5:$E$16,"&lt;="&amp;A261)-SUMIFS(Оплаты!$B$6:$B$505,Оплаты!$A$6:$A$505,"&lt;"&amp;A261,Оплаты!$D$6:$D$505,"&lt;&gt;"))</f>
        <v/>
      </c>
      <c r="E261" t="str">
        <f>IF(A261="","",IF(SUMPRODUCT((Ввод!$F$12:$F$31&lt;&gt;"")*(Ввод!$F$12:$F$31&lt;=A261)*(Ввод!$G$12:$G$31&gt;=A261))&gt;0,1,0))</f>
        <v/>
      </c>
      <c r="G261" t="str">
        <f t="shared" si="9"/>
        <v/>
      </c>
    </row>
    <row r="262" spans="1:7" x14ac:dyDescent="0.3">
      <c r="A262" s="21" t="str">
        <f>IF(A261="","",IF(A261+1&gt;Ввод!$B$4,"",A261+1))</f>
        <v/>
      </c>
      <c r="B262" s="23" t="str">
        <f>IF(A262="","",IFERROR(INDEX(Ввод!$B$12:$B$71,MATCH(A262,Ввод!$D$12:$D$71,1)),""))</f>
        <v/>
      </c>
      <c r="C262" t="str">
        <f t="shared" si="8"/>
        <v/>
      </c>
      <c r="D262" t="str">
        <f>IF(A262="","",SUMIFS(Акты!$D$5:$D$16,Акты!$E$5:$E$16,"&lt;="&amp;A262)-SUMIFS(Оплаты!$B$6:$B$505,Оплаты!$A$6:$A$505,"&lt;"&amp;A262,Оплаты!$D$6:$D$505,"&lt;&gt;"))</f>
        <v/>
      </c>
      <c r="E262" t="str">
        <f>IF(A262="","",IF(SUMPRODUCT((Ввод!$F$12:$F$31&lt;&gt;"")*(Ввод!$F$12:$F$31&lt;=A262)*(Ввод!$G$12:$G$31&gt;=A262))&gt;0,1,0))</f>
        <v/>
      </c>
      <c r="G262" t="str">
        <f t="shared" si="9"/>
        <v/>
      </c>
    </row>
    <row r="263" spans="1:7" x14ac:dyDescent="0.3">
      <c r="A263" s="21" t="str">
        <f>IF(A262="","",IF(A262+1&gt;Ввод!$B$4,"",A262+1))</f>
        <v/>
      </c>
      <c r="B263" s="23" t="str">
        <f>IF(A263="","",IFERROR(INDEX(Ввод!$B$12:$B$71,MATCH(A263,Ввод!$D$12:$D$71,1)),""))</f>
        <v/>
      </c>
      <c r="C263" t="str">
        <f t="shared" si="8"/>
        <v/>
      </c>
      <c r="D263" t="str">
        <f>IF(A263="","",SUMIFS(Акты!$D$5:$D$16,Акты!$E$5:$E$16,"&lt;="&amp;A263)-SUMIFS(Оплаты!$B$6:$B$505,Оплаты!$A$6:$A$505,"&lt;"&amp;A263,Оплаты!$D$6:$D$505,"&lt;&gt;"))</f>
        <v/>
      </c>
      <c r="E263" t="str">
        <f>IF(A263="","",IF(SUMPRODUCT((Ввод!$F$12:$F$31&lt;&gt;"")*(Ввод!$F$12:$F$31&lt;=A263)*(Ввод!$G$12:$G$31&gt;=A263))&gt;0,1,0))</f>
        <v/>
      </c>
      <c r="G263" t="str">
        <f t="shared" si="9"/>
        <v/>
      </c>
    </row>
    <row r="264" spans="1:7" x14ac:dyDescent="0.3">
      <c r="A264" s="21" t="str">
        <f>IF(A263="","",IF(A263+1&gt;Ввод!$B$4,"",A263+1))</f>
        <v/>
      </c>
      <c r="B264" s="23" t="str">
        <f>IF(A264="","",IFERROR(INDEX(Ввод!$B$12:$B$71,MATCH(A264,Ввод!$D$12:$D$71,1)),""))</f>
        <v/>
      </c>
      <c r="C264" t="str">
        <f t="shared" si="8"/>
        <v/>
      </c>
      <c r="D264" t="str">
        <f>IF(A264="","",SUMIFS(Акты!$D$5:$D$16,Акты!$E$5:$E$16,"&lt;="&amp;A264)-SUMIFS(Оплаты!$B$6:$B$505,Оплаты!$A$6:$A$505,"&lt;"&amp;A264,Оплаты!$D$6:$D$505,"&lt;&gt;"))</f>
        <v/>
      </c>
      <c r="E264" t="str">
        <f>IF(A264="","",IF(SUMPRODUCT((Ввод!$F$12:$F$31&lt;&gt;"")*(Ввод!$F$12:$F$31&lt;=A264)*(Ввод!$G$12:$G$31&gt;=A264))&gt;0,1,0))</f>
        <v/>
      </c>
      <c r="G264" t="str">
        <f t="shared" si="9"/>
        <v/>
      </c>
    </row>
    <row r="265" spans="1:7" x14ac:dyDescent="0.3">
      <c r="A265" s="21" t="str">
        <f>IF(A264="","",IF(A264+1&gt;Ввод!$B$4,"",A264+1))</f>
        <v/>
      </c>
      <c r="B265" s="23" t="str">
        <f>IF(A265="","",IFERROR(INDEX(Ввод!$B$12:$B$71,MATCH(A265,Ввод!$D$12:$D$71,1)),""))</f>
        <v/>
      </c>
      <c r="C265" t="str">
        <f t="shared" si="8"/>
        <v/>
      </c>
      <c r="D265" t="str">
        <f>IF(A265="","",SUMIFS(Акты!$D$5:$D$16,Акты!$E$5:$E$16,"&lt;="&amp;A265)-SUMIFS(Оплаты!$B$6:$B$505,Оплаты!$A$6:$A$505,"&lt;"&amp;A265,Оплаты!$D$6:$D$505,"&lt;&gt;"))</f>
        <v/>
      </c>
      <c r="E265" t="str">
        <f>IF(A265="","",IF(SUMPRODUCT((Ввод!$F$12:$F$31&lt;&gt;"")*(Ввод!$F$12:$F$31&lt;=A265)*(Ввод!$G$12:$G$31&gt;=A265))&gt;0,1,0))</f>
        <v/>
      </c>
      <c r="G265" t="str">
        <f t="shared" si="9"/>
        <v/>
      </c>
    </row>
    <row r="266" spans="1:7" x14ac:dyDescent="0.3">
      <c r="A266" s="21" t="str">
        <f>IF(A265="","",IF(A265+1&gt;Ввод!$B$4,"",A265+1))</f>
        <v/>
      </c>
      <c r="B266" s="23" t="str">
        <f>IF(A266="","",IFERROR(INDEX(Ввод!$B$12:$B$71,MATCH(A266,Ввод!$D$12:$D$71,1)),""))</f>
        <v/>
      </c>
      <c r="C266" t="str">
        <f t="shared" si="8"/>
        <v/>
      </c>
      <c r="D266" t="str">
        <f>IF(A266="","",SUMIFS(Акты!$D$5:$D$16,Акты!$E$5:$E$16,"&lt;="&amp;A266)-SUMIFS(Оплаты!$B$6:$B$505,Оплаты!$A$6:$A$505,"&lt;"&amp;A266,Оплаты!$D$6:$D$505,"&lt;&gt;"))</f>
        <v/>
      </c>
      <c r="E266" t="str">
        <f>IF(A266="","",IF(SUMPRODUCT((Ввод!$F$12:$F$31&lt;&gt;"")*(Ввод!$F$12:$F$31&lt;=A266)*(Ввод!$G$12:$G$31&gt;=A266))&gt;0,1,0))</f>
        <v/>
      </c>
      <c r="G266" t="str">
        <f t="shared" si="9"/>
        <v/>
      </c>
    </row>
    <row r="267" spans="1:7" x14ac:dyDescent="0.3">
      <c r="A267" s="21" t="str">
        <f>IF(A266="","",IF(A266+1&gt;Ввод!$B$4,"",A266+1))</f>
        <v/>
      </c>
      <c r="B267" s="23" t="str">
        <f>IF(A267="","",IFERROR(INDEX(Ввод!$B$12:$B$71,MATCH(A267,Ввод!$D$12:$D$71,1)),""))</f>
        <v/>
      </c>
      <c r="C267" t="str">
        <f t="shared" si="8"/>
        <v/>
      </c>
      <c r="D267" t="str">
        <f>IF(A267="","",SUMIFS(Акты!$D$5:$D$16,Акты!$E$5:$E$16,"&lt;="&amp;A267)-SUMIFS(Оплаты!$B$6:$B$505,Оплаты!$A$6:$A$505,"&lt;"&amp;A267,Оплаты!$D$6:$D$505,"&lt;&gt;"))</f>
        <v/>
      </c>
      <c r="E267" t="str">
        <f>IF(A267="","",IF(SUMPRODUCT((Ввод!$F$12:$F$31&lt;&gt;"")*(Ввод!$F$12:$F$31&lt;=A267)*(Ввод!$G$12:$G$31&gt;=A267))&gt;0,1,0))</f>
        <v/>
      </c>
      <c r="G267" t="str">
        <f t="shared" si="9"/>
        <v/>
      </c>
    </row>
    <row r="268" spans="1:7" x14ac:dyDescent="0.3">
      <c r="A268" s="21" t="str">
        <f>IF(A267="","",IF(A267+1&gt;Ввод!$B$4,"",A267+1))</f>
        <v/>
      </c>
      <c r="B268" s="23" t="str">
        <f>IF(A268="","",IFERROR(INDEX(Ввод!$B$12:$B$71,MATCH(A268,Ввод!$D$12:$D$71,1)),""))</f>
        <v/>
      </c>
      <c r="C268" t="str">
        <f t="shared" si="8"/>
        <v/>
      </c>
      <c r="D268" t="str">
        <f>IF(A268="","",SUMIFS(Акты!$D$5:$D$16,Акты!$E$5:$E$16,"&lt;="&amp;A268)-SUMIFS(Оплаты!$B$6:$B$505,Оплаты!$A$6:$A$505,"&lt;"&amp;A268,Оплаты!$D$6:$D$505,"&lt;&gt;"))</f>
        <v/>
      </c>
      <c r="E268" t="str">
        <f>IF(A268="","",IF(SUMPRODUCT((Ввод!$F$12:$F$31&lt;&gt;"")*(Ввод!$F$12:$F$31&lt;=A268)*(Ввод!$G$12:$G$31&gt;=A268))&gt;0,1,0))</f>
        <v/>
      </c>
      <c r="G268" t="str">
        <f t="shared" si="9"/>
        <v/>
      </c>
    </row>
    <row r="269" spans="1:7" x14ac:dyDescent="0.3">
      <c r="A269" s="21" t="str">
        <f>IF(A268="","",IF(A268+1&gt;Ввод!$B$4,"",A268+1))</f>
        <v/>
      </c>
      <c r="B269" s="23" t="str">
        <f>IF(A269="","",IFERROR(INDEX(Ввод!$B$12:$B$71,MATCH(A269,Ввод!$D$12:$D$71,1)),""))</f>
        <v/>
      </c>
      <c r="C269" t="str">
        <f t="shared" si="8"/>
        <v/>
      </c>
      <c r="D269" t="str">
        <f>IF(A269="","",SUMIFS(Акты!$D$5:$D$16,Акты!$E$5:$E$16,"&lt;="&amp;A269)-SUMIFS(Оплаты!$B$6:$B$505,Оплаты!$A$6:$A$505,"&lt;"&amp;A269,Оплаты!$D$6:$D$505,"&lt;&gt;"))</f>
        <v/>
      </c>
      <c r="E269" t="str">
        <f>IF(A269="","",IF(SUMPRODUCT((Ввод!$F$12:$F$31&lt;&gt;"")*(Ввод!$F$12:$F$31&lt;=A269)*(Ввод!$G$12:$G$31&gt;=A269))&gt;0,1,0))</f>
        <v/>
      </c>
      <c r="G269" t="str">
        <f t="shared" si="9"/>
        <v/>
      </c>
    </row>
    <row r="270" spans="1:7" x14ac:dyDescent="0.3">
      <c r="A270" s="21" t="str">
        <f>IF(A269="","",IF(A269+1&gt;Ввод!$B$4,"",A269+1))</f>
        <v/>
      </c>
      <c r="B270" s="23" t="str">
        <f>IF(A270="","",IFERROR(INDEX(Ввод!$B$12:$B$71,MATCH(A270,Ввод!$D$12:$D$71,1)),""))</f>
        <v/>
      </c>
      <c r="C270" t="str">
        <f t="shared" si="8"/>
        <v/>
      </c>
      <c r="D270" t="str">
        <f>IF(A270="","",SUMIFS(Акты!$D$5:$D$16,Акты!$E$5:$E$16,"&lt;="&amp;A270)-SUMIFS(Оплаты!$B$6:$B$505,Оплаты!$A$6:$A$505,"&lt;"&amp;A270,Оплаты!$D$6:$D$505,"&lt;&gt;"))</f>
        <v/>
      </c>
      <c r="E270" t="str">
        <f>IF(A270="","",IF(SUMPRODUCT((Ввод!$F$12:$F$31&lt;&gt;"")*(Ввод!$F$12:$F$31&lt;=A270)*(Ввод!$G$12:$G$31&gt;=A270))&gt;0,1,0))</f>
        <v/>
      </c>
      <c r="G270" t="str">
        <f t="shared" si="9"/>
        <v/>
      </c>
    </row>
    <row r="271" spans="1:7" x14ac:dyDescent="0.3">
      <c r="A271" s="21" t="str">
        <f>IF(A270="","",IF(A270+1&gt;Ввод!$B$4,"",A270+1))</f>
        <v/>
      </c>
      <c r="B271" s="23" t="str">
        <f>IF(A271="","",IFERROR(INDEX(Ввод!$B$12:$B$71,MATCH(A271,Ввод!$D$12:$D$71,1)),""))</f>
        <v/>
      </c>
      <c r="C271" t="str">
        <f t="shared" si="8"/>
        <v/>
      </c>
      <c r="D271" t="str">
        <f>IF(A271="","",SUMIFS(Акты!$D$5:$D$16,Акты!$E$5:$E$16,"&lt;="&amp;A271)-SUMIFS(Оплаты!$B$6:$B$505,Оплаты!$A$6:$A$505,"&lt;"&amp;A271,Оплаты!$D$6:$D$505,"&lt;&gt;"))</f>
        <v/>
      </c>
      <c r="E271" t="str">
        <f>IF(A271="","",IF(SUMPRODUCT((Ввод!$F$12:$F$31&lt;&gt;"")*(Ввод!$F$12:$F$31&lt;=A271)*(Ввод!$G$12:$G$31&gt;=A271))&gt;0,1,0))</f>
        <v/>
      </c>
      <c r="G271" t="str">
        <f t="shared" si="9"/>
        <v/>
      </c>
    </row>
    <row r="272" spans="1:7" x14ac:dyDescent="0.3">
      <c r="A272" s="21" t="str">
        <f>IF(A271="","",IF(A271+1&gt;Ввод!$B$4,"",A271+1))</f>
        <v/>
      </c>
      <c r="B272" s="23" t="str">
        <f>IF(A272="","",IFERROR(INDEX(Ввод!$B$12:$B$71,MATCH(A272,Ввод!$D$12:$D$71,1)),""))</f>
        <v/>
      </c>
      <c r="C272" t="str">
        <f t="shared" si="8"/>
        <v/>
      </c>
      <c r="D272" t="str">
        <f>IF(A272="","",SUMIFS(Акты!$D$5:$D$16,Акты!$E$5:$E$16,"&lt;="&amp;A272)-SUMIFS(Оплаты!$B$6:$B$505,Оплаты!$A$6:$A$505,"&lt;"&amp;A272,Оплаты!$D$6:$D$505,"&lt;&gt;"))</f>
        <v/>
      </c>
      <c r="E272" t="str">
        <f>IF(A272="","",IF(SUMPRODUCT((Ввод!$F$12:$F$31&lt;&gt;"")*(Ввод!$F$12:$F$31&lt;=A272)*(Ввод!$G$12:$G$31&gt;=A272))&gt;0,1,0))</f>
        <v/>
      </c>
      <c r="G272" t="str">
        <f t="shared" si="9"/>
        <v/>
      </c>
    </row>
    <row r="273" spans="1:7" x14ac:dyDescent="0.3">
      <c r="A273" s="21" t="str">
        <f>IF(A272="","",IF(A272+1&gt;Ввод!$B$4,"",A272+1))</f>
        <v/>
      </c>
      <c r="B273" s="23" t="str">
        <f>IF(A273="","",IFERROR(INDEX(Ввод!$B$12:$B$71,MATCH(A273,Ввод!$D$12:$D$71,1)),""))</f>
        <v/>
      </c>
      <c r="C273" t="str">
        <f t="shared" si="8"/>
        <v/>
      </c>
      <c r="D273" t="str">
        <f>IF(A273="","",SUMIFS(Акты!$D$5:$D$16,Акты!$E$5:$E$16,"&lt;="&amp;A273)-SUMIFS(Оплаты!$B$6:$B$505,Оплаты!$A$6:$A$505,"&lt;"&amp;A273,Оплаты!$D$6:$D$505,"&lt;&gt;"))</f>
        <v/>
      </c>
      <c r="E273" t="str">
        <f>IF(A273="","",IF(SUMPRODUCT((Ввод!$F$12:$F$31&lt;&gt;"")*(Ввод!$F$12:$F$31&lt;=A273)*(Ввод!$G$12:$G$31&gt;=A273))&gt;0,1,0))</f>
        <v/>
      </c>
      <c r="G273" t="str">
        <f t="shared" si="9"/>
        <v/>
      </c>
    </row>
    <row r="274" spans="1:7" x14ac:dyDescent="0.3">
      <c r="A274" s="21" t="str">
        <f>IF(A273="","",IF(A273+1&gt;Ввод!$B$4,"",A273+1))</f>
        <v/>
      </c>
      <c r="B274" s="23" t="str">
        <f>IF(A274="","",IFERROR(INDEX(Ввод!$B$12:$B$71,MATCH(A274,Ввод!$D$12:$D$71,1)),""))</f>
        <v/>
      </c>
      <c r="C274" t="str">
        <f t="shared" si="8"/>
        <v/>
      </c>
      <c r="D274" t="str">
        <f>IF(A274="","",SUMIFS(Акты!$D$5:$D$16,Акты!$E$5:$E$16,"&lt;="&amp;A274)-SUMIFS(Оплаты!$B$6:$B$505,Оплаты!$A$6:$A$505,"&lt;"&amp;A274,Оплаты!$D$6:$D$505,"&lt;&gt;"))</f>
        <v/>
      </c>
      <c r="E274" t="str">
        <f>IF(A274="","",IF(SUMPRODUCT((Ввод!$F$12:$F$31&lt;&gt;"")*(Ввод!$F$12:$F$31&lt;=A274)*(Ввод!$G$12:$G$31&gt;=A274))&gt;0,1,0))</f>
        <v/>
      </c>
      <c r="G274" t="str">
        <f t="shared" si="9"/>
        <v/>
      </c>
    </row>
    <row r="275" spans="1:7" x14ac:dyDescent="0.3">
      <c r="A275" s="21" t="str">
        <f>IF(A274="","",IF(A274+1&gt;Ввод!$B$4,"",A274+1))</f>
        <v/>
      </c>
      <c r="B275" s="23" t="str">
        <f>IF(A275="","",IFERROR(INDEX(Ввод!$B$12:$B$71,MATCH(A275,Ввод!$D$12:$D$71,1)),""))</f>
        <v/>
      </c>
      <c r="C275" t="str">
        <f t="shared" si="8"/>
        <v/>
      </c>
      <c r="D275" t="str">
        <f>IF(A275="","",SUMIFS(Акты!$D$5:$D$16,Акты!$E$5:$E$16,"&lt;="&amp;A275)-SUMIFS(Оплаты!$B$6:$B$505,Оплаты!$A$6:$A$505,"&lt;"&amp;A275,Оплаты!$D$6:$D$505,"&lt;&gt;"))</f>
        <v/>
      </c>
      <c r="E275" t="str">
        <f>IF(A275="","",IF(SUMPRODUCT((Ввод!$F$12:$F$31&lt;&gt;"")*(Ввод!$F$12:$F$31&lt;=A275)*(Ввод!$G$12:$G$31&gt;=A275))&gt;0,1,0))</f>
        <v/>
      </c>
      <c r="G275" t="str">
        <f t="shared" si="9"/>
        <v/>
      </c>
    </row>
    <row r="276" spans="1:7" x14ac:dyDescent="0.3">
      <c r="A276" s="21" t="str">
        <f>IF(A275="","",IF(A275+1&gt;Ввод!$B$4,"",A275+1))</f>
        <v/>
      </c>
      <c r="B276" s="23" t="str">
        <f>IF(A276="","",IFERROR(INDEX(Ввод!$B$12:$B$71,MATCH(A276,Ввод!$D$12:$D$71,1)),""))</f>
        <v/>
      </c>
      <c r="C276" t="str">
        <f t="shared" si="8"/>
        <v/>
      </c>
      <c r="D276" t="str">
        <f>IF(A276="","",SUMIFS(Акты!$D$5:$D$16,Акты!$E$5:$E$16,"&lt;="&amp;A276)-SUMIFS(Оплаты!$B$6:$B$505,Оплаты!$A$6:$A$505,"&lt;"&amp;A276,Оплаты!$D$6:$D$505,"&lt;&gt;"))</f>
        <v/>
      </c>
      <c r="E276" t="str">
        <f>IF(A276="","",IF(SUMPRODUCT((Ввод!$F$12:$F$31&lt;&gt;"")*(Ввод!$F$12:$F$31&lt;=A276)*(Ввод!$G$12:$G$31&gt;=A276))&gt;0,1,0))</f>
        <v/>
      </c>
      <c r="G276" t="str">
        <f t="shared" si="9"/>
        <v/>
      </c>
    </row>
    <row r="277" spans="1:7" x14ac:dyDescent="0.3">
      <c r="A277" s="21" t="str">
        <f>IF(A276="","",IF(A276+1&gt;Ввод!$B$4,"",A276+1))</f>
        <v/>
      </c>
      <c r="B277" s="23" t="str">
        <f>IF(A277="","",IFERROR(INDEX(Ввод!$B$12:$B$71,MATCH(A277,Ввод!$D$12:$D$71,1)),""))</f>
        <v/>
      </c>
      <c r="C277" t="str">
        <f t="shared" si="8"/>
        <v/>
      </c>
      <c r="D277" t="str">
        <f>IF(A277="","",SUMIFS(Акты!$D$5:$D$16,Акты!$E$5:$E$16,"&lt;="&amp;A277)-SUMIFS(Оплаты!$B$6:$B$505,Оплаты!$A$6:$A$505,"&lt;"&amp;A277,Оплаты!$D$6:$D$505,"&lt;&gt;"))</f>
        <v/>
      </c>
      <c r="E277" t="str">
        <f>IF(A277="","",IF(SUMPRODUCT((Ввод!$F$12:$F$31&lt;&gt;"")*(Ввод!$F$12:$F$31&lt;=A277)*(Ввод!$G$12:$G$31&gt;=A277))&gt;0,1,0))</f>
        <v/>
      </c>
      <c r="G277" t="str">
        <f t="shared" si="9"/>
        <v/>
      </c>
    </row>
    <row r="278" spans="1:7" x14ac:dyDescent="0.3">
      <c r="A278" s="21" t="str">
        <f>IF(A277="","",IF(A277+1&gt;Ввод!$B$4,"",A277+1))</f>
        <v/>
      </c>
      <c r="B278" s="23" t="str">
        <f>IF(A278="","",IFERROR(INDEX(Ввод!$B$12:$B$71,MATCH(A278,Ввод!$D$12:$D$71,1)),""))</f>
        <v/>
      </c>
      <c r="C278" t="str">
        <f t="shared" si="8"/>
        <v/>
      </c>
      <c r="D278" t="str">
        <f>IF(A278="","",SUMIFS(Акты!$D$5:$D$16,Акты!$E$5:$E$16,"&lt;="&amp;A278)-SUMIFS(Оплаты!$B$6:$B$505,Оплаты!$A$6:$A$505,"&lt;"&amp;A278,Оплаты!$D$6:$D$505,"&lt;&gt;"))</f>
        <v/>
      </c>
      <c r="E278" t="str">
        <f>IF(A278="","",IF(SUMPRODUCT((Ввод!$F$12:$F$31&lt;&gt;"")*(Ввод!$F$12:$F$31&lt;=A278)*(Ввод!$G$12:$G$31&gt;=A278))&gt;0,1,0))</f>
        <v/>
      </c>
      <c r="G278" t="str">
        <f t="shared" si="9"/>
        <v/>
      </c>
    </row>
    <row r="279" spans="1:7" x14ac:dyDescent="0.3">
      <c r="A279" s="21" t="str">
        <f>IF(A278="","",IF(A278+1&gt;Ввод!$B$4,"",A278+1))</f>
        <v/>
      </c>
      <c r="B279" s="23" t="str">
        <f>IF(A279="","",IFERROR(INDEX(Ввод!$B$12:$B$71,MATCH(A279,Ввод!$D$12:$D$71,1)),""))</f>
        <v/>
      </c>
      <c r="C279" t="str">
        <f t="shared" si="8"/>
        <v/>
      </c>
      <c r="D279" t="str">
        <f>IF(A279="","",SUMIFS(Акты!$D$5:$D$16,Акты!$E$5:$E$16,"&lt;="&amp;A279)-SUMIFS(Оплаты!$B$6:$B$505,Оплаты!$A$6:$A$505,"&lt;"&amp;A279,Оплаты!$D$6:$D$505,"&lt;&gt;"))</f>
        <v/>
      </c>
      <c r="E279" t="str">
        <f>IF(A279="","",IF(SUMPRODUCT((Ввод!$F$12:$F$31&lt;&gt;"")*(Ввод!$F$12:$F$31&lt;=A279)*(Ввод!$G$12:$G$31&gt;=A279))&gt;0,1,0))</f>
        <v/>
      </c>
      <c r="G279" t="str">
        <f t="shared" si="9"/>
        <v/>
      </c>
    </row>
    <row r="280" spans="1:7" x14ac:dyDescent="0.3">
      <c r="A280" s="21" t="str">
        <f>IF(A279="","",IF(A279+1&gt;Ввод!$B$4,"",A279+1))</f>
        <v/>
      </c>
      <c r="B280" s="23" t="str">
        <f>IF(A280="","",IFERROR(INDEX(Ввод!$B$12:$B$71,MATCH(A280,Ввод!$D$12:$D$71,1)),""))</f>
        <v/>
      </c>
      <c r="C280" t="str">
        <f t="shared" si="8"/>
        <v/>
      </c>
      <c r="D280" t="str">
        <f>IF(A280="","",SUMIFS(Акты!$D$5:$D$16,Акты!$E$5:$E$16,"&lt;="&amp;A280)-SUMIFS(Оплаты!$B$6:$B$505,Оплаты!$A$6:$A$505,"&lt;"&amp;A280,Оплаты!$D$6:$D$505,"&lt;&gt;"))</f>
        <v/>
      </c>
      <c r="E280" t="str">
        <f>IF(A280="","",IF(SUMPRODUCT((Ввод!$F$12:$F$31&lt;&gt;"")*(Ввод!$F$12:$F$31&lt;=A280)*(Ввод!$G$12:$G$31&gt;=A280))&gt;0,1,0))</f>
        <v/>
      </c>
      <c r="G280" t="str">
        <f t="shared" si="9"/>
        <v/>
      </c>
    </row>
    <row r="281" spans="1:7" x14ac:dyDescent="0.3">
      <c r="A281" s="21" t="str">
        <f>IF(A280="","",IF(A280+1&gt;Ввод!$B$4,"",A280+1))</f>
        <v/>
      </c>
      <c r="B281" s="23" t="str">
        <f>IF(A281="","",IFERROR(INDEX(Ввод!$B$12:$B$71,MATCH(A281,Ввод!$D$12:$D$71,1)),""))</f>
        <v/>
      </c>
      <c r="C281" t="str">
        <f t="shared" si="8"/>
        <v/>
      </c>
      <c r="D281" t="str">
        <f>IF(A281="","",SUMIFS(Акты!$D$5:$D$16,Акты!$E$5:$E$16,"&lt;="&amp;A281)-SUMIFS(Оплаты!$B$6:$B$505,Оплаты!$A$6:$A$505,"&lt;"&amp;A281,Оплаты!$D$6:$D$505,"&lt;&gt;"))</f>
        <v/>
      </c>
      <c r="E281" t="str">
        <f>IF(A281="","",IF(SUMPRODUCT((Ввод!$F$12:$F$31&lt;&gt;"")*(Ввод!$F$12:$F$31&lt;=A281)*(Ввод!$G$12:$G$31&gt;=A281))&gt;0,1,0))</f>
        <v/>
      </c>
      <c r="G281" t="str">
        <f t="shared" si="9"/>
        <v/>
      </c>
    </row>
    <row r="282" spans="1:7" x14ac:dyDescent="0.3">
      <c r="A282" s="21" t="str">
        <f>IF(A281="","",IF(A281+1&gt;Ввод!$B$4,"",A281+1))</f>
        <v/>
      </c>
      <c r="B282" s="23" t="str">
        <f>IF(A282="","",IFERROR(INDEX(Ввод!$B$12:$B$71,MATCH(A282,Ввод!$D$12:$D$71,1)),""))</f>
        <v/>
      </c>
      <c r="C282" t="str">
        <f t="shared" si="8"/>
        <v/>
      </c>
      <c r="D282" t="str">
        <f>IF(A282="","",SUMIFS(Акты!$D$5:$D$16,Акты!$E$5:$E$16,"&lt;="&amp;A282)-SUMIFS(Оплаты!$B$6:$B$505,Оплаты!$A$6:$A$505,"&lt;"&amp;A282,Оплаты!$D$6:$D$505,"&lt;&gt;"))</f>
        <v/>
      </c>
      <c r="E282" t="str">
        <f>IF(A282="","",IF(SUMPRODUCT((Ввод!$F$12:$F$31&lt;&gt;"")*(Ввод!$F$12:$F$31&lt;=A282)*(Ввод!$G$12:$G$31&gt;=A282))&gt;0,1,0))</f>
        <v/>
      </c>
      <c r="G282" t="str">
        <f t="shared" si="9"/>
        <v/>
      </c>
    </row>
    <row r="283" spans="1:7" x14ac:dyDescent="0.3">
      <c r="A283" s="21" t="str">
        <f>IF(A282="","",IF(A282+1&gt;Ввод!$B$4,"",A282+1))</f>
        <v/>
      </c>
      <c r="B283" s="23" t="str">
        <f>IF(A283="","",IFERROR(INDEX(Ввод!$B$12:$B$71,MATCH(A283,Ввод!$D$12:$D$71,1)),""))</f>
        <v/>
      </c>
      <c r="C283" t="str">
        <f t="shared" si="8"/>
        <v/>
      </c>
      <c r="D283" t="str">
        <f>IF(A283="","",SUMIFS(Акты!$D$5:$D$16,Акты!$E$5:$E$16,"&lt;="&amp;A283)-SUMIFS(Оплаты!$B$6:$B$505,Оплаты!$A$6:$A$505,"&lt;"&amp;A283,Оплаты!$D$6:$D$505,"&lt;&gt;"))</f>
        <v/>
      </c>
      <c r="E283" t="str">
        <f>IF(A283="","",IF(SUMPRODUCT((Ввод!$F$12:$F$31&lt;&gt;"")*(Ввод!$F$12:$F$31&lt;=A283)*(Ввод!$G$12:$G$31&gt;=A283))&gt;0,1,0))</f>
        <v/>
      </c>
      <c r="G283" t="str">
        <f t="shared" si="9"/>
        <v/>
      </c>
    </row>
    <row r="284" spans="1:7" x14ac:dyDescent="0.3">
      <c r="A284" s="21" t="str">
        <f>IF(A283="","",IF(A283+1&gt;Ввод!$B$4,"",A283+1))</f>
        <v/>
      </c>
      <c r="B284" s="23" t="str">
        <f>IF(A284="","",IFERROR(INDEX(Ввод!$B$12:$B$71,MATCH(A284,Ввод!$D$12:$D$71,1)),""))</f>
        <v/>
      </c>
      <c r="C284" t="str">
        <f t="shared" si="8"/>
        <v/>
      </c>
      <c r="D284" t="str">
        <f>IF(A284="","",SUMIFS(Акты!$D$5:$D$16,Акты!$E$5:$E$16,"&lt;="&amp;A284)-SUMIFS(Оплаты!$B$6:$B$505,Оплаты!$A$6:$A$505,"&lt;"&amp;A284,Оплаты!$D$6:$D$505,"&lt;&gt;"))</f>
        <v/>
      </c>
      <c r="E284" t="str">
        <f>IF(A284="","",IF(SUMPRODUCT((Ввод!$F$12:$F$31&lt;&gt;"")*(Ввод!$F$12:$F$31&lt;=A284)*(Ввод!$G$12:$G$31&gt;=A284))&gt;0,1,0))</f>
        <v/>
      </c>
      <c r="G284" t="str">
        <f t="shared" si="9"/>
        <v/>
      </c>
    </row>
    <row r="285" spans="1:7" x14ac:dyDescent="0.3">
      <c r="A285" s="21" t="str">
        <f>IF(A284="","",IF(A284+1&gt;Ввод!$B$4,"",A284+1))</f>
        <v/>
      </c>
      <c r="B285" s="23" t="str">
        <f>IF(A285="","",IFERROR(INDEX(Ввод!$B$12:$B$71,MATCH(A285,Ввод!$D$12:$D$71,1)),""))</f>
        <v/>
      </c>
      <c r="C285" t="str">
        <f t="shared" si="8"/>
        <v/>
      </c>
      <c r="D285" t="str">
        <f>IF(A285="","",SUMIFS(Акты!$D$5:$D$16,Акты!$E$5:$E$16,"&lt;="&amp;A285)-SUMIFS(Оплаты!$B$6:$B$505,Оплаты!$A$6:$A$505,"&lt;"&amp;A285,Оплаты!$D$6:$D$505,"&lt;&gt;"))</f>
        <v/>
      </c>
      <c r="E285" t="str">
        <f>IF(A285="","",IF(SUMPRODUCT((Ввод!$F$12:$F$31&lt;&gt;"")*(Ввод!$F$12:$F$31&lt;=A285)*(Ввод!$G$12:$G$31&gt;=A285))&gt;0,1,0))</f>
        <v/>
      </c>
      <c r="G285" t="str">
        <f t="shared" si="9"/>
        <v/>
      </c>
    </row>
    <row r="286" spans="1:7" x14ac:dyDescent="0.3">
      <c r="A286" s="21" t="str">
        <f>IF(A285="","",IF(A285+1&gt;Ввод!$B$4,"",A285+1))</f>
        <v/>
      </c>
      <c r="B286" s="23" t="str">
        <f>IF(A286="","",IFERROR(INDEX(Ввод!$B$12:$B$71,MATCH(A286,Ввод!$D$12:$D$71,1)),""))</f>
        <v/>
      </c>
      <c r="C286" t="str">
        <f t="shared" si="8"/>
        <v/>
      </c>
      <c r="D286" t="str">
        <f>IF(A286="","",SUMIFS(Акты!$D$5:$D$16,Акты!$E$5:$E$16,"&lt;="&amp;A286)-SUMIFS(Оплаты!$B$6:$B$505,Оплаты!$A$6:$A$505,"&lt;"&amp;A286,Оплаты!$D$6:$D$505,"&lt;&gt;"))</f>
        <v/>
      </c>
      <c r="E286" t="str">
        <f>IF(A286="","",IF(SUMPRODUCT((Ввод!$F$12:$F$31&lt;&gt;"")*(Ввод!$F$12:$F$31&lt;=A286)*(Ввод!$G$12:$G$31&gt;=A286))&gt;0,1,0))</f>
        <v/>
      </c>
      <c r="G286" t="str">
        <f t="shared" si="9"/>
        <v/>
      </c>
    </row>
    <row r="287" spans="1:7" x14ac:dyDescent="0.3">
      <c r="A287" s="21" t="str">
        <f>IF(A286="","",IF(A286+1&gt;Ввод!$B$4,"",A286+1))</f>
        <v/>
      </c>
      <c r="B287" s="23" t="str">
        <f>IF(A287="","",IFERROR(INDEX(Ввод!$B$12:$B$71,MATCH(A287,Ввод!$D$12:$D$71,1)),""))</f>
        <v/>
      </c>
      <c r="C287" t="str">
        <f t="shared" si="8"/>
        <v/>
      </c>
      <c r="D287" t="str">
        <f>IF(A287="","",SUMIFS(Акты!$D$5:$D$16,Акты!$E$5:$E$16,"&lt;="&amp;A287)-SUMIFS(Оплаты!$B$6:$B$505,Оплаты!$A$6:$A$505,"&lt;"&amp;A287,Оплаты!$D$6:$D$505,"&lt;&gt;"))</f>
        <v/>
      </c>
      <c r="E287" t="str">
        <f>IF(A287="","",IF(SUMPRODUCT((Ввод!$F$12:$F$31&lt;&gt;"")*(Ввод!$F$12:$F$31&lt;=A287)*(Ввод!$G$12:$G$31&gt;=A287))&gt;0,1,0))</f>
        <v/>
      </c>
      <c r="G287" t="str">
        <f t="shared" si="9"/>
        <v/>
      </c>
    </row>
    <row r="288" spans="1:7" x14ac:dyDescent="0.3">
      <c r="A288" s="21" t="str">
        <f>IF(A287="","",IF(A287+1&gt;Ввод!$B$4,"",A287+1))</f>
        <v/>
      </c>
      <c r="B288" s="23" t="str">
        <f>IF(A288="","",IFERROR(INDEX(Ввод!$B$12:$B$71,MATCH(A288,Ввод!$D$12:$D$71,1)),""))</f>
        <v/>
      </c>
      <c r="C288" t="str">
        <f t="shared" si="8"/>
        <v/>
      </c>
      <c r="D288" t="str">
        <f>IF(A288="","",SUMIFS(Акты!$D$5:$D$16,Акты!$E$5:$E$16,"&lt;="&amp;A288)-SUMIFS(Оплаты!$B$6:$B$505,Оплаты!$A$6:$A$505,"&lt;"&amp;A288,Оплаты!$D$6:$D$505,"&lt;&gt;"))</f>
        <v/>
      </c>
      <c r="E288" t="str">
        <f>IF(A288="","",IF(SUMPRODUCT((Ввод!$F$12:$F$31&lt;&gt;"")*(Ввод!$F$12:$F$31&lt;=A288)*(Ввод!$G$12:$G$31&gt;=A288))&gt;0,1,0))</f>
        <v/>
      </c>
      <c r="G288" t="str">
        <f t="shared" si="9"/>
        <v/>
      </c>
    </row>
    <row r="289" spans="1:7" x14ac:dyDescent="0.3">
      <c r="A289" s="21" t="str">
        <f>IF(A288="","",IF(A288+1&gt;Ввод!$B$4,"",A288+1))</f>
        <v/>
      </c>
      <c r="B289" s="23" t="str">
        <f>IF(A289="","",IFERROR(INDEX(Ввод!$B$12:$B$71,MATCH(A289,Ввод!$D$12:$D$71,1)),""))</f>
        <v/>
      </c>
      <c r="C289" t="str">
        <f t="shared" si="8"/>
        <v/>
      </c>
      <c r="D289" t="str">
        <f>IF(A289="","",SUMIFS(Акты!$D$5:$D$16,Акты!$E$5:$E$16,"&lt;="&amp;A289)-SUMIFS(Оплаты!$B$6:$B$505,Оплаты!$A$6:$A$505,"&lt;"&amp;A289,Оплаты!$D$6:$D$505,"&lt;&gt;"))</f>
        <v/>
      </c>
      <c r="E289" t="str">
        <f>IF(A289="","",IF(SUMPRODUCT((Ввод!$F$12:$F$31&lt;&gt;"")*(Ввод!$F$12:$F$31&lt;=A289)*(Ввод!$G$12:$G$31&gt;=A289))&gt;0,1,0))</f>
        <v/>
      </c>
      <c r="G289" t="str">
        <f t="shared" si="9"/>
        <v/>
      </c>
    </row>
    <row r="290" spans="1:7" x14ac:dyDescent="0.3">
      <c r="A290" s="21" t="str">
        <f>IF(A289="","",IF(A289+1&gt;Ввод!$B$4,"",A289+1))</f>
        <v/>
      </c>
      <c r="B290" s="23" t="str">
        <f>IF(A290="","",IFERROR(INDEX(Ввод!$B$12:$B$71,MATCH(A290,Ввод!$D$12:$D$71,1)),""))</f>
        <v/>
      </c>
      <c r="C290" t="str">
        <f t="shared" si="8"/>
        <v/>
      </c>
      <c r="D290" t="str">
        <f>IF(A290="","",SUMIFS(Акты!$D$5:$D$16,Акты!$E$5:$E$16,"&lt;="&amp;A290)-SUMIFS(Оплаты!$B$6:$B$505,Оплаты!$A$6:$A$505,"&lt;"&amp;A290,Оплаты!$D$6:$D$505,"&lt;&gt;"))</f>
        <v/>
      </c>
      <c r="E290" t="str">
        <f>IF(A290="","",IF(SUMPRODUCT((Ввод!$F$12:$F$31&lt;&gt;"")*(Ввод!$F$12:$F$31&lt;=A290)*(Ввод!$G$12:$G$31&gt;=A290))&gt;0,1,0))</f>
        <v/>
      </c>
      <c r="G290" t="str">
        <f t="shared" si="9"/>
        <v/>
      </c>
    </row>
    <row r="291" spans="1:7" x14ac:dyDescent="0.3">
      <c r="A291" s="21" t="str">
        <f>IF(A290="","",IF(A290+1&gt;Ввод!$B$4,"",A290+1))</f>
        <v/>
      </c>
      <c r="B291" s="23" t="str">
        <f>IF(A291="","",IFERROR(INDEX(Ввод!$B$12:$B$71,MATCH(A291,Ввод!$D$12:$D$71,1)),""))</f>
        <v/>
      </c>
      <c r="C291" t="str">
        <f t="shared" si="8"/>
        <v/>
      </c>
      <c r="D291" t="str">
        <f>IF(A291="","",SUMIFS(Акты!$D$5:$D$16,Акты!$E$5:$E$16,"&lt;="&amp;A291)-SUMIFS(Оплаты!$B$6:$B$505,Оплаты!$A$6:$A$505,"&lt;"&amp;A291,Оплаты!$D$6:$D$505,"&lt;&gt;"))</f>
        <v/>
      </c>
      <c r="E291" t="str">
        <f>IF(A291="","",IF(SUMPRODUCT((Ввод!$F$12:$F$31&lt;&gt;"")*(Ввод!$F$12:$F$31&lt;=A291)*(Ввод!$G$12:$G$31&gt;=A291))&gt;0,1,0))</f>
        <v/>
      </c>
      <c r="G291" t="str">
        <f t="shared" si="9"/>
        <v/>
      </c>
    </row>
    <row r="292" spans="1:7" x14ac:dyDescent="0.3">
      <c r="A292" s="21" t="str">
        <f>IF(A291="","",IF(A291+1&gt;Ввод!$B$4,"",A291+1))</f>
        <v/>
      </c>
      <c r="B292" s="23" t="str">
        <f>IF(A292="","",IFERROR(INDEX(Ввод!$B$12:$B$71,MATCH(A292,Ввод!$D$12:$D$71,1)),""))</f>
        <v/>
      </c>
      <c r="C292" t="str">
        <f t="shared" si="8"/>
        <v/>
      </c>
      <c r="D292" t="str">
        <f>IF(A292="","",SUMIFS(Акты!$D$5:$D$16,Акты!$E$5:$E$16,"&lt;="&amp;A292)-SUMIFS(Оплаты!$B$6:$B$505,Оплаты!$A$6:$A$505,"&lt;"&amp;A292,Оплаты!$D$6:$D$505,"&lt;&gt;"))</f>
        <v/>
      </c>
      <c r="E292" t="str">
        <f>IF(A292="","",IF(SUMPRODUCT((Ввод!$F$12:$F$31&lt;&gt;"")*(Ввод!$F$12:$F$31&lt;=A292)*(Ввод!$G$12:$G$31&gt;=A292))&gt;0,1,0))</f>
        <v/>
      </c>
      <c r="G292" t="str">
        <f t="shared" si="9"/>
        <v/>
      </c>
    </row>
    <row r="293" spans="1:7" x14ac:dyDescent="0.3">
      <c r="A293" s="21" t="str">
        <f>IF(A292="","",IF(A292+1&gt;Ввод!$B$4,"",A292+1))</f>
        <v/>
      </c>
      <c r="B293" s="23" t="str">
        <f>IF(A293="","",IFERROR(INDEX(Ввод!$B$12:$B$71,MATCH(A293,Ввод!$D$12:$D$71,1)),""))</f>
        <v/>
      </c>
      <c r="C293" t="str">
        <f t="shared" si="8"/>
        <v/>
      </c>
      <c r="D293" t="str">
        <f>IF(A293="","",SUMIFS(Акты!$D$5:$D$16,Акты!$E$5:$E$16,"&lt;="&amp;A293)-SUMIFS(Оплаты!$B$6:$B$505,Оплаты!$A$6:$A$505,"&lt;"&amp;A293,Оплаты!$D$6:$D$505,"&lt;&gt;"))</f>
        <v/>
      </c>
      <c r="E293" t="str">
        <f>IF(A293="","",IF(SUMPRODUCT((Ввод!$F$12:$F$31&lt;&gt;"")*(Ввод!$F$12:$F$31&lt;=A293)*(Ввод!$G$12:$G$31&gt;=A293))&gt;0,1,0))</f>
        <v/>
      </c>
      <c r="G293" t="str">
        <f t="shared" si="9"/>
        <v/>
      </c>
    </row>
    <row r="294" spans="1:7" x14ac:dyDescent="0.3">
      <c r="A294" s="21" t="str">
        <f>IF(A293="","",IF(A293+1&gt;Ввод!$B$4,"",A293+1))</f>
        <v/>
      </c>
      <c r="B294" s="23" t="str">
        <f>IF(A294="","",IFERROR(INDEX(Ввод!$B$12:$B$71,MATCH(A294,Ввод!$D$12:$D$71,1)),""))</f>
        <v/>
      </c>
      <c r="C294" t="str">
        <f t="shared" si="8"/>
        <v/>
      </c>
      <c r="D294" t="str">
        <f>IF(A294="","",SUMIFS(Акты!$D$5:$D$16,Акты!$E$5:$E$16,"&lt;="&amp;A294)-SUMIFS(Оплаты!$B$6:$B$505,Оплаты!$A$6:$A$505,"&lt;"&amp;A294,Оплаты!$D$6:$D$505,"&lt;&gt;"))</f>
        <v/>
      </c>
      <c r="E294" t="str">
        <f>IF(A294="","",IF(SUMPRODUCT((Ввод!$F$12:$F$31&lt;&gt;"")*(Ввод!$F$12:$F$31&lt;=A294)*(Ввод!$G$12:$G$31&gt;=A294))&gt;0,1,0))</f>
        <v/>
      </c>
      <c r="G294" t="str">
        <f t="shared" si="9"/>
        <v/>
      </c>
    </row>
    <row r="295" spans="1:7" x14ac:dyDescent="0.3">
      <c r="A295" s="21" t="str">
        <f>IF(A294="","",IF(A294+1&gt;Ввод!$B$4,"",A294+1))</f>
        <v/>
      </c>
      <c r="B295" s="23" t="str">
        <f>IF(A295="","",IFERROR(INDEX(Ввод!$B$12:$B$71,MATCH(A295,Ввод!$D$12:$D$71,1)),""))</f>
        <v/>
      </c>
      <c r="C295" t="str">
        <f t="shared" si="8"/>
        <v/>
      </c>
      <c r="D295" t="str">
        <f>IF(A295="","",SUMIFS(Акты!$D$5:$D$16,Акты!$E$5:$E$16,"&lt;="&amp;A295)-SUMIFS(Оплаты!$B$6:$B$505,Оплаты!$A$6:$A$505,"&lt;"&amp;A295,Оплаты!$D$6:$D$505,"&lt;&gt;"))</f>
        <v/>
      </c>
      <c r="E295" t="str">
        <f>IF(A295="","",IF(SUMPRODUCT((Ввод!$F$12:$F$31&lt;&gt;"")*(Ввод!$F$12:$F$31&lt;=A295)*(Ввод!$G$12:$G$31&gt;=A295))&gt;0,1,0))</f>
        <v/>
      </c>
      <c r="G295" t="str">
        <f t="shared" si="9"/>
        <v/>
      </c>
    </row>
    <row r="296" spans="1:7" x14ac:dyDescent="0.3">
      <c r="A296" s="21" t="str">
        <f>IF(A295="","",IF(A295+1&gt;Ввод!$B$4,"",A295+1))</f>
        <v/>
      </c>
      <c r="B296" s="23" t="str">
        <f>IF(A296="","",IFERROR(INDEX(Ввод!$B$12:$B$71,MATCH(A296,Ввод!$D$12:$D$71,1)),""))</f>
        <v/>
      </c>
      <c r="C296" t="str">
        <f t="shared" si="8"/>
        <v/>
      </c>
      <c r="D296" t="str">
        <f>IF(A296="","",SUMIFS(Акты!$D$5:$D$16,Акты!$E$5:$E$16,"&lt;="&amp;A296)-SUMIFS(Оплаты!$B$6:$B$505,Оплаты!$A$6:$A$505,"&lt;"&amp;A296,Оплаты!$D$6:$D$505,"&lt;&gt;"))</f>
        <v/>
      </c>
      <c r="E296" t="str">
        <f>IF(A296="","",IF(SUMPRODUCT((Ввод!$F$12:$F$31&lt;&gt;"")*(Ввод!$F$12:$F$31&lt;=A296)*(Ввод!$G$12:$G$31&gt;=A296))&gt;0,1,0))</f>
        <v/>
      </c>
      <c r="G296" t="str">
        <f t="shared" si="9"/>
        <v/>
      </c>
    </row>
    <row r="297" spans="1:7" x14ac:dyDescent="0.3">
      <c r="A297" s="21" t="str">
        <f>IF(A296="","",IF(A296+1&gt;Ввод!$B$4,"",A296+1))</f>
        <v/>
      </c>
      <c r="B297" s="23" t="str">
        <f>IF(A297="","",IFERROR(INDEX(Ввод!$B$12:$B$71,MATCH(A297,Ввод!$D$12:$D$71,1)),""))</f>
        <v/>
      </c>
      <c r="C297" t="str">
        <f t="shared" si="8"/>
        <v/>
      </c>
      <c r="D297" t="str">
        <f>IF(A297="","",SUMIFS(Акты!$D$5:$D$16,Акты!$E$5:$E$16,"&lt;="&amp;A297)-SUMIFS(Оплаты!$B$6:$B$505,Оплаты!$A$6:$A$505,"&lt;"&amp;A297,Оплаты!$D$6:$D$505,"&lt;&gt;"))</f>
        <v/>
      </c>
      <c r="E297" t="str">
        <f>IF(A297="","",IF(SUMPRODUCT((Ввод!$F$12:$F$31&lt;&gt;"")*(Ввод!$F$12:$F$31&lt;=A297)*(Ввод!$G$12:$G$31&gt;=A297))&gt;0,1,0))</f>
        <v/>
      </c>
      <c r="G297" t="str">
        <f t="shared" si="9"/>
        <v/>
      </c>
    </row>
    <row r="298" spans="1:7" x14ac:dyDescent="0.3">
      <c r="A298" s="21" t="str">
        <f>IF(A297="","",IF(A297+1&gt;Ввод!$B$4,"",A297+1))</f>
        <v/>
      </c>
      <c r="B298" s="23" t="str">
        <f>IF(A298="","",IFERROR(INDEX(Ввод!$B$12:$B$71,MATCH(A298,Ввод!$D$12:$D$71,1)),""))</f>
        <v/>
      </c>
      <c r="C298" t="str">
        <f t="shared" si="8"/>
        <v/>
      </c>
      <c r="D298" t="str">
        <f>IF(A298="","",SUMIFS(Акты!$D$5:$D$16,Акты!$E$5:$E$16,"&lt;="&amp;A298)-SUMIFS(Оплаты!$B$6:$B$505,Оплаты!$A$6:$A$505,"&lt;"&amp;A298,Оплаты!$D$6:$D$505,"&lt;&gt;"))</f>
        <v/>
      </c>
      <c r="E298" t="str">
        <f>IF(A298="","",IF(SUMPRODUCT((Ввод!$F$12:$F$31&lt;&gt;"")*(Ввод!$F$12:$F$31&lt;=A298)*(Ввод!$G$12:$G$31&gt;=A298))&gt;0,1,0))</f>
        <v/>
      </c>
      <c r="G298" t="str">
        <f t="shared" si="9"/>
        <v/>
      </c>
    </row>
    <row r="299" spans="1:7" x14ac:dyDescent="0.3">
      <c r="A299" s="21" t="str">
        <f>IF(A298="","",IF(A298+1&gt;Ввод!$B$4,"",A298+1))</f>
        <v/>
      </c>
      <c r="B299" s="23" t="str">
        <f>IF(A299="","",IFERROR(INDEX(Ввод!$B$12:$B$71,MATCH(A299,Ввод!$D$12:$D$71,1)),""))</f>
        <v/>
      </c>
      <c r="C299" t="str">
        <f t="shared" si="8"/>
        <v/>
      </c>
      <c r="D299" t="str">
        <f>IF(A299="","",SUMIFS(Акты!$D$5:$D$16,Акты!$E$5:$E$16,"&lt;="&amp;A299)-SUMIFS(Оплаты!$B$6:$B$505,Оплаты!$A$6:$A$505,"&lt;"&amp;A299,Оплаты!$D$6:$D$505,"&lt;&gt;"))</f>
        <v/>
      </c>
      <c r="E299" t="str">
        <f>IF(A299="","",IF(SUMPRODUCT((Ввод!$F$12:$F$31&lt;&gt;"")*(Ввод!$F$12:$F$31&lt;=A299)*(Ввод!$G$12:$G$31&gt;=A299))&gt;0,1,0))</f>
        <v/>
      </c>
      <c r="G299" t="str">
        <f t="shared" si="9"/>
        <v/>
      </c>
    </row>
    <row r="300" spans="1:7" x14ac:dyDescent="0.3">
      <c r="A300" s="21" t="str">
        <f>IF(A299="","",IF(A299+1&gt;Ввод!$B$4,"",A299+1))</f>
        <v/>
      </c>
      <c r="B300" s="23" t="str">
        <f>IF(A300="","",IFERROR(INDEX(Ввод!$B$12:$B$71,MATCH(A300,Ввод!$D$12:$D$71,1)),""))</f>
        <v/>
      </c>
      <c r="C300" t="str">
        <f t="shared" si="8"/>
        <v/>
      </c>
      <c r="D300" t="str">
        <f>IF(A300="","",SUMIFS(Акты!$D$5:$D$16,Акты!$E$5:$E$16,"&lt;="&amp;A300)-SUMIFS(Оплаты!$B$6:$B$505,Оплаты!$A$6:$A$505,"&lt;"&amp;A300,Оплаты!$D$6:$D$505,"&lt;&gt;"))</f>
        <v/>
      </c>
      <c r="E300" t="str">
        <f>IF(A300="","",IF(SUMPRODUCT((Ввод!$F$12:$F$31&lt;&gt;"")*(Ввод!$F$12:$F$31&lt;=A300)*(Ввод!$G$12:$G$31&gt;=A300))&gt;0,1,0))</f>
        <v/>
      </c>
      <c r="G300" t="str">
        <f t="shared" si="9"/>
        <v/>
      </c>
    </row>
    <row r="301" spans="1:7" x14ac:dyDescent="0.3">
      <c r="A301" s="21" t="str">
        <f>IF(A300="","",IF(A300+1&gt;Ввод!$B$4,"",A300+1))</f>
        <v/>
      </c>
      <c r="B301" s="23" t="str">
        <f>IF(A301="","",IFERROR(INDEX(Ввод!$B$12:$B$71,MATCH(A301,Ввод!$D$12:$D$71,1)),""))</f>
        <v/>
      </c>
      <c r="C301" t="str">
        <f t="shared" si="8"/>
        <v/>
      </c>
      <c r="D301" t="str">
        <f>IF(A301="","",SUMIFS(Акты!$D$5:$D$16,Акты!$E$5:$E$16,"&lt;="&amp;A301)-SUMIFS(Оплаты!$B$6:$B$505,Оплаты!$A$6:$A$505,"&lt;"&amp;A301,Оплаты!$D$6:$D$505,"&lt;&gt;"))</f>
        <v/>
      </c>
      <c r="E301" t="str">
        <f>IF(A301="","",IF(SUMPRODUCT((Ввод!$F$12:$F$31&lt;&gt;"")*(Ввод!$F$12:$F$31&lt;=A301)*(Ввод!$G$12:$G$31&gt;=A301))&gt;0,1,0))</f>
        <v/>
      </c>
      <c r="G301" t="str">
        <f t="shared" si="9"/>
        <v/>
      </c>
    </row>
    <row r="302" spans="1:7" x14ac:dyDescent="0.3">
      <c r="A302" s="21" t="str">
        <f>IF(A301="","",IF(A301+1&gt;Ввод!$B$4,"",A301+1))</f>
        <v/>
      </c>
      <c r="B302" s="23" t="str">
        <f>IF(A302="","",IFERROR(INDEX(Ввод!$B$12:$B$71,MATCH(A302,Ввод!$D$12:$D$71,1)),""))</f>
        <v/>
      </c>
      <c r="C302" t="str">
        <f t="shared" si="8"/>
        <v/>
      </c>
      <c r="D302" t="str">
        <f>IF(A302="","",SUMIFS(Акты!$D$5:$D$16,Акты!$E$5:$E$16,"&lt;="&amp;A302)-SUMIFS(Оплаты!$B$6:$B$505,Оплаты!$A$6:$A$505,"&lt;"&amp;A302,Оплаты!$D$6:$D$505,"&lt;&gt;"))</f>
        <v/>
      </c>
      <c r="E302" t="str">
        <f>IF(A302="","",IF(SUMPRODUCT((Ввод!$F$12:$F$31&lt;&gt;"")*(Ввод!$F$12:$F$31&lt;=A302)*(Ввод!$G$12:$G$31&gt;=A302))&gt;0,1,0))</f>
        <v/>
      </c>
      <c r="G302" t="str">
        <f t="shared" si="9"/>
        <v/>
      </c>
    </row>
    <row r="303" spans="1:7" x14ac:dyDescent="0.3">
      <c r="A303" s="21" t="str">
        <f>IF(A302="","",IF(A302+1&gt;Ввод!$B$4,"",A302+1))</f>
        <v/>
      </c>
      <c r="B303" s="23" t="str">
        <f>IF(A303="","",IFERROR(INDEX(Ввод!$B$12:$B$71,MATCH(A303,Ввод!$D$12:$D$71,1)),""))</f>
        <v/>
      </c>
      <c r="C303" t="str">
        <f t="shared" si="8"/>
        <v/>
      </c>
      <c r="D303" t="str">
        <f>IF(A303="","",SUMIFS(Акты!$D$5:$D$16,Акты!$E$5:$E$16,"&lt;="&amp;A303)-SUMIFS(Оплаты!$B$6:$B$505,Оплаты!$A$6:$A$505,"&lt;"&amp;A303,Оплаты!$D$6:$D$505,"&lt;&gt;"))</f>
        <v/>
      </c>
      <c r="E303" t="str">
        <f>IF(A303="","",IF(SUMPRODUCT((Ввод!$F$12:$F$31&lt;&gt;"")*(Ввод!$F$12:$F$31&lt;=A303)*(Ввод!$G$12:$G$31&gt;=A303))&gt;0,1,0))</f>
        <v/>
      </c>
      <c r="G303" t="str">
        <f t="shared" si="9"/>
        <v/>
      </c>
    </row>
    <row r="304" spans="1:7" x14ac:dyDescent="0.3">
      <c r="A304" s="21" t="str">
        <f>IF(A303="","",IF(A303+1&gt;Ввод!$B$4,"",A303+1))</f>
        <v/>
      </c>
      <c r="B304" s="23" t="str">
        <f>IF(A304="","",IFERROR(INDEX(Ввод!$B$12:$B$71,MATCH(A304,Ввод!$D$12:$D$71,1)),""))</f>
        <v/>
      </c>
      <c r="C304" t="str">
        <f t="shared" si="8"/>
        <v/>
      </c>
      <c r="D304" t="str">
        <f>IF(A304="","",SUMIFS(Акты!$D$5:$D$16,Акты!$E$5:$E$16,"&lt;="&amp;A304)-SUMIFS(Оплаты!$B$6:$B$505,Оплаты!$A$6:$A$505,"&lt;"&amp;A304,Оплаты!$D$6:$D$505,"&lt;&gt;"))</f>
        <v/>
      </c>
      <c r="E304" t="str">
        <f>IF(A304="","",IF(SUMPRODUCT((Ввод!$F$12:$F$31&lt;&gt;"")*(Ввод!$F$12:$F$31&lt;=A304)*(Ввод!$G$12:$G$31&gt;=A304))&gt;0,1,0))</f>
        <v/>
      </c>
      <c r="G304" t="str">
        <f t="shared" si="9"/>
        <v/>
      </c>
    </row>
    <row r="305" spans="1:7" x14ac:dyDescent="0.3">
      <c r="A305" s="21" t="str">
        <f>IF(A304="","",IF(A304+1&gt;Ввод!$B$4,"",A304+1))</f>
        <v/>
      </c>
      <c r="B305" s="23" t="str">
        <f>IF(A305="","",IFERROR(INDEX(Ввод!$B$12:$B$71,MATCH(A305,Ввод!$D$12:$D$71,1)),""))</f>
        <v/>
      </c>
      <c r="C305" t="str">
        <f t="shared" si="8"/>
        <v/>
      </c>
      <c r="D305" t="str">
        <f>IF(A305="","",SUMIFS(Акты!$D$5:$D$16,Акты!$E$5:$E$16,"&lt;="&amp;A305)-SUMIFS(Оплаты!$B$6:$B$505,Оплаты!$A$6:$A$505,"&lt;"&amp;A305,Оплаты!$D$6:$D$505,"&lt;&gt;"))</f>
        <v/>
      </c>
      <c r="E305" t="str">
        <f>IF(A305="","",IF(SUMPRODUCT((Ввод!$F$12:$F$31&lt;&gt;"")*(Ввод!$F$12:$F$31&lt;=A305)*(Ввод!$G$12:$G$31&gt;=A305))&gt;0,1,0))</f>
        <v/>
      </c>
      <c r="G305" t="str">
        <f t="shared" si="9"/>
        <v/>
      </c>
    </row>
    <row r="306" spans="1:7" x14ac:dyDescent="0.3">
      <c r="A306" s="21" t="str">
        <f>IF(A305="","",IF(A305+1&gt;Ввод!$B$4,"",A305+1))</f>
        <v/>
      </c>
      <c r="B306" s="23" t="str">
        <f>IF(A306="","",IFERROR(INDEX(Ввод!$B$12:$B$71,MATCH(A306,Ввод!$D$12:$D$71,1)),""))</f>
        <v/>
      </c>
      <c r="C306" t="str">
        <f t="shared" si="8"/>
        <v/>
      </c>
      <c r="D306" t="str">
        <f>IF(A306="","",SUMIFS(Акты!$D$5:$D$16,Акты!$E$5:$E$16,"&lt;="&amp;A306)-SUMIFS(Оплаты!$B$6:$B$505,Оплаты!$A$6:$A$505,"&lt;"&amp;A306,Оплаты!$D$6:$D$505,"&lt;&gt;"))</f>
        <v/>
      </c>
      <c r="E306" t="str">
        <f>IF(A306="","",IF(SUMPRODUCT((Ввод!$F$12:$F$31&lt;&gt;"")*(Ввод!$F$12:$F$31&lt;=A306)*(Ввод!$G$12:$G$31&gt;=A306))&gt;0,1,0))</f>
        <v/>
      </c>
      <c r="G306" t="str">
        <f t="shared" si="9"/>
        <v/>
      </c>
    </row>
    <row r="307" spans="1:7" x14ac:dyDescent="0.3">
      <c r="A307" s="21" t="str">
        <f>IF(A306="","",IF(A306+1&gt;Ввод!$B$4,"",A306+1))</f>
        <v/>
      </c>
      <c r="B307" s="23" t="str">
        <f>IF(A307="","",IFERROR(INDEX(Ввод!$B$12:$B$71,MATCH(A307,Ввод!$D$12:$D$71,1)),""))</f>
        <v/>
      </c>
      <c r="C307" t="str">
        <f t="shared" si="8"/>
        <v/>
      </c>
      <c r="D307" t="str">
        <f>IF(A307="","",SUMIFS(Акты!$D$5:$D$16,Акты!$E$5:$E$16,"&lt;="&amp;A307)-SUMIFS(Оплаты!$B$6:$B$505,Оплаты!$A$6:$A$505,"&lt;"&amp;A307,Оплаты!$D$6:$D$505,"&lt;&gt;"))</f>
        <v/>
      </c>
      <c r="E307" t="str">
        <f>IF(A307="","",IF(SUMPRODUCT((Ввод!$F$12:$F$31&lt;&gt;"")*(Ввод!$F$12:$F$31&lt;=A307)*(Ввод!$G$12:$G$31&gt;=A307))&gt;0,1,0))</f>
        <v/>
      </c>
      <c r="G307" t="str">
        <f t="shared" si="9"/>
        <v/>
      </c>
    </row>
    <row r="308" spans="1:7" x14ac:dyDescent="0.3">
      <c r="A308" s="21" t="str">
        <f>IF(A307="","",IF(A307+1&gt;Ввод!$B$4,"",A307+1))</f>
        <v/>
      </c>
      <c r="B308" s="23" t="str">
        <f>IF(A308="","",IFERROR(INDEX(Ввод!$B$12:$B$71,MATCH(A308,Ввод!$D$12:$D$71,1)),""))</f>
        <v/>
      </c>
      <c r="C308" t="str">
        <f t="shared" si="8"/>
        <v/>
      </c>
      <c r="D308" t="str">
        <f>IF(A308="","",SUMIFS(Акты!$D$5:$D$16,Акты!$E$5:$E$16,"&lt;="&amp;A308)-SUMIFS(Оплаты!$B$6:$B$505,Оплаты!$A$6:$A$505,"&lt;"&amp;A308,Оплаты!$D$6:$D$505,"&lt;&gt;"))</f>
        <v/>
      </c>
      <c r="E308" t="str">
        <f>IF(A308="","",IF(SUMPRODUCT((Ввод!$F$12:$F$31&lt;&gt;"")*(Ввод!$F$12:$F$31&lt;=A308)*(Ввод!$G$12:$G$31&gt;=A308))&gt;0,1,0))</f>
        <v/>
      </c>
      <c r="G308" t="str">
        <f t="shared" si="9"/>
        <v/>
      </c>
    </row>
    <row r="309" spans="1:7" x14ac:dyDescent="0.3">
      <c r="A309" s="21" t="str">
        <f>IF(A308="","",IF(A308+1&gt;Ввод!$B$4,"",A308+1))</f>
        <v/>
      </c>
      <c r="B309" s="23" t="str">
        <f>IF(A309="","",IFERROR(INDEX(Ввод!$B$12:$B$71,MATCH(A309,Ввод!$D$12:$D$71,1)),""))</f>
        <v/>
      </c>
      <c r="C309" t="str">
        <f t="shared" si="8"/>
        <v/>
      </c>
      <c r="D309" t="str">
        <f>IF(A309="","",SUMIFS(Акты!$D$5:$D$16,Акты!$E$5:$E$16,"&lt;="&amp;A309)-SUMIFS(Оплаты!$B$6:$B$505,Оплаты!$A$6:$A$505,"&lt;"&amp;A309,Оплаты!$D$6:$D$505,"&lt;&gt;"))</f>
        <v/>
      </c>
      <c r="E309" t="str">
        <f>IF(A309="","",IF(SUMPRODUCT((Ввод!$F$12:$F$31&lt;&gt;"")*(Ввод!$F$12:$F$31&lt;=A309)*(Ввод!$G$12:$G$31&gt;=A309))&gt;0,1,0))</f>
        <v/>
      </c>
      <c r="G309" t="str">
        <f t="shared" si="9"/>
        <v/>
      </c>
    </row>
    <row r="310" spans="1:7" x14ac:dyDescent="0.3">
      <c r="A310" s="21" t="str">
        <f>IF(A309="","",IF(A309+1&gt;Ввод!$B$4,"",A309+1))</f>
        <v/>
      </c>
      <c r="B310" s="23" t="str">
        <f>IF(A310="","",IFERROR(INDEX(Ввод!$B$12:$B$71,MATCH(A310,Ввод!$D$12:$D$71,1)),""))</f>
        <v/>
      </c>
      <c r="C310" t="str">
        <f t="shared" si="8"/>
        <v/>
      </c>
      <c r="D310" t="str">
        <f>IF(A310="","",SUMIFS(Акты!$D$5:$D$16,Акты!$E$5:$E$16,"&lt;="&amp;A310)-SUMIFS(Оплаты!$B$6:$B$505,Оплаты!$A$6:$A$505,"&lt;"&amp;A310,Оплаты!$D$6:$D$505,"&lt;&gt;"))</f>
        <v/>
      </c>
      <c r="E310" t="str">
        <f>IF(A310="","",IF(SUMPRODUCT((Ввод!$F$12:$F$31&lt;&gt;"")*(Ввод!$F$12:$F$31&lt;=A310)*(Ввод!$G$12:$G$31&gt;=A310))&gt;0,1,0))</f>
        <v/>
      </c>
      <c r="G310" t="str">
        <f t="shared" si="9"/>
        <v/>
      </c>
    </row>
    <row r="311" spans="1:7" x14ac:dyDescent="0.3">
      <c r="A311" s="21" t="str">
        <f>IF(A310="","",IF(A310+1&gt;Ввод!$B$4,"",A310+1))</f>
        <v/>
      </c>
      <c r="B311" s="23" t="str">
        <f>IF(A311="","",IFERROR(INDEX(Ввод!$B$12:$B$71,MATCH(A311,Ввод!$D$12:$D$71,1)),""))</f>
        <v/>
      </c>
      <c r="C311" t="str">
        <f t="shared" si="8"/>
        <v/>
      </c>
      <c r="D311" t="str">
        <f>IF(A311="","",SUMIFS(Акты!$D$5:$D$16,Акты!$E$5:$E$16,"&lt;="&amp;A311)-SUMIFS(Оплаты!$B$6:$B$505,Оплаты!$A$6:$A$505,"&lt;"&amp;A311,Оплаты!$D$6:$D$505,"&lt;&gt;"))</f>
        <v/>
      </c>
      <c r="E311" t="str">
        <f>IF(A311="","",IF(SUMPRODUCT((Ввод!$F$12:$F$31&lt;&gt;"")*(Ввод!$F$12:$F$31&lt;=A311)*(Ввод!$G$12:$G$31&gt;=A311))&gt;0,1,0))</f>
        <v/>
      </c>
      <c r="G311" t="str">
        <f t="shared" si="9"/>
        <v/>
      </c>
    </row>
    <row r="312" spans="1:7" x14ac:dyDescent="0.3">
      <c r="A312" s="21" t="str">
        <f>IF(A311="","",IF(A311+1&gt;Ввод!$B$4,"",A311+1))</f>
        <v/>
      </c>
      <c r="B312" s="23" t="str">
        <f>IF(A312="","",IFERROR(INDEX(Ввод!$B$12:$B$71,MATCH(A312,Ввод!$D$12:$D$71,1)),""))</f>
        <v/>
      </c>
      <c r="C312" t="str">
        <f t="shared" si="8"/>
        <v/>
      </c>
      <c r="D312" t="str">
        <f>IF(A312="","",SUMIFS(Акты!$D$5:$D$16,Акты!$E$5:$E$16,"&lt;="&amp;A312)-SUMIFS(Оплаты!$B$6:$B$505,Оплаты!$A$6:$A$505,"&lt;"&amp;A312,Оплаты!$D$6:$D$505,"&lt;&gt;"))</f>
        <v/>
      </c>
      <c r="E312" t="str">
        <f>IF(A312="","",IF(SUMPRODUCT((Ввод!$F$12:$F$31&lt;&gt;"")*(Ввод!$F$12:$F$31&lt;=A312)*(Ввод!$G$12:$G$31&gt;=A312))&gt;0,1,0))</f>
        <v/>
      </c>
      <c r="G312" t="str">
        <f t="shared" si="9"/>
        <v/>
      </c>
    </row>
    <row r="313" spans="1:7" x14ac:dyDescent="0.3">
      <c r="A313" s="21" t="str">
        <f>IF(A312="","",IF(A312+1&gt;Ввод!$B$4,"",A312+1))</f>
        <v/>
      </c>
      <c r="B313" s="23" t="str">
        <f>IF(A313="","",IFERROR(INDEX(Ввод!$B$12:$B$71,MATCH(A313,Ввод!$D$12:$D$71,1)),""))</f>
        <v/>
      </c>
      <c r="C313" t="str">
        <f t="shared" si="8"/>
        <v/>
      </c>
      <c r="D313" t="str">
        <f>IF(A313="","",SUMIFS(Акты!$D$5:$D$16,Акты!$E$5:$E$16,"&lt;="&amp;A313)-SUMIFS(Оплаты!$B$6:$B$505,Оплаты!$A$6:$A$505,"&lt;"&amp;A313,Оплаты!$D$6:$D$505,"&lt;&gt;"))</f>
        <v/>
      </c>
      <c r="E313" t="str">
        <f>IF(A313="","",IF(SUMPRODUCT((Ввод!$F$12:$F$31&lt;&gt;"")*(Ввод!$F$12:$F$31&lt;=A313)*(Ввод!$G$12:$G$31&gt;=A313))&gt;0,1,0))</f>
        <v/>
      </c>
      <c r="G313" t="str">
        <f t="shared" si="9"/>
        <v/>
      </c>
    </row>
    <row r="314" spans="1:7" x14ac:dyDescent="0.3">
      <c r="A314" s="21" t="str">
        <f>IF(A313="","",IF(A313+1&gt;Ввод!$B$4,"",A313+1))</f>
        <v/>
      </c>
      <c r="B314" s="23" t="str">
        <f>IF(A314="","",IFERROR(INDEX(Ввод!$B$12:$B$71,MATCH(A314,Ввод!$D$12:$D$71,1)),""))</f>
        <v/>
      </c>
      <c r="C314" t="str">
        <f t="shared" si="8"/>
        <v/>
      </c>
      <c r="D314" t="str">
        <f>IF(A314="","",SUMIFS(Акты!$D$5:$D$16,Акты!$E$5:$E$16,"&lt;="&amp;A314)-SUMIFS(Оплаты!$B$6:$B$505,Оплаты!$A$6:$A$505,"&lt;"&amp;A314,Оплаты!$D$6:$D$505,"&lt;&gt;"))</f>
        <v/>
      </c>
      <c r="E314" t="str">
        <f>IF(A314="","",IF(SUMPRODUCT((Ввод!$F$12:$F$31&lt;&gt;"")*(Ввод!$F$12:$F$31&lt;=A314)*(Ввод!$G$12:$G$31&gt;=A314))&gt;0,1,0))</f>
        <v/>
      </c>
      <c r="G314" t="str">
        <f t="shared" si="9"/>
        <v/>
      </c>
    </row>
    <row r="315" spans="1:7" x14ac:dyDescent="0.3">
      <c r="A315" s="21" t="str">
        <f>IF(A314="","",IF(A314+1&gt;Ввод!$B$4,"",A314+1))</f>
        <v/>
      </c>
      <c r="B315" s="23" t="str">
        <f>IF(A315="","",IFERROR(INDEX(Ввод!$B$12:$B$71,MATCH(A315,Ввод!$D$12:$D$71,1)),""))</f>
        <v/>
      </c>
      <c r="C315" t="str">
        <f t="shared" si="8"/>
        <v/>
      </c>
      <c r="D315" t="str">
        <f>IF(A315="","",SUMIFS(Акты!$D$5:$D$16,Акты!$E$5:$E$16,"&lt;="&amp;A315)-SUMIFS(Оплаты!$B$6:$B$505,Оплаты!$A$6:$A$505,"&lt;"&amp;A315,Оплаты!$D$6:$D$505,"&lt;&gt;"))</f>
        <v/>
      </c>
      <c r="E315" t="str">
        <f>IF(A315="","",IF(SUMPRODUCT((Ввод!$F$12:$F$31&lt;&gt;"")*(Ввод!$F$12:$F$31&lt;=A315)*(Ввод!$G$12:$G$31&gt;=A315))&gt;0,1,0))</f>
        <v/>
      </c>
      <c r="G315" t="str">
        <f t="shared" si="9"/>
        <v/>
      </c>
    </row>
    <row r="316" spans="1:7" x14ac:dyDescent="0.3">
      <c r="A316" s="21" t="str">
        <f>IF(A315="","",IF(A315+1&gt;Ввод!$B$4,"",A315+1))</f>
        <v/>
      </c>
      <c r="B316" s="23" t="str">
        <f>IF(A316="","",IFERROR(INDEX(Ввод!$B$12:$B$71,MATCH(A316,Ввод!$D$12:$D$71,1)),""))</f>
        <v/>
      </c>
      <c r="C316" t="str">
        <f t="shared" si="8"/>
        <v/>
      </c>
      <c r="D316" t="str">
        <f>IF(A316="","",SUMIFS(Акты!$D$5:$D$16,Акты!$E$5:$E$16,"&lt;="&amp;A316)-SUMIFS(Оплаты!$B$6:$B$505,Оплаты!$A$6:$A$505,"&lt;"&amp;A316,Оплаты!$D$6:$D$505,"&lt;&gt;"))</f>
        <v/>
      </c>
      <c r="E316" t="str">
        <f>IF(A316="","",IF(SUMPRODUCT((Ввод!$F$12:$F$31&lt;&gt;"")*(Ввод!$F$12:$F$31&lt;=A316)*(Ввод!$G$12:$G$31&gt;=A316))&gt;0,1,0))</f>
        <v/>
      </c>
      <c r="G316" t="str">
        <f t="shared" si="9"/>
        <v/>
      </c>
    </row>
    <row r="317" spans="1:7" x14ac:dyDescent="0.3">
      <c r="A317" s="21" t="str">
        <f>IF(A316="","",IF(A316+1&gt;Ввод!$B$4,"",A316+1))</f>
        <v/>
      </c>
      <c r="B317" s="23" t="str">
        <f>IF(A317="","",IFERROR(INDEX(Ввод!$B$12:$B$71,MATCH(A317,Ввод!$D$12:$D$71,1)),""))</f>
        <v/>
      </c>
      <c r="C317" t="str">
        <f t="shared" si="8"/>
        <v/>
      </c>
      <c r="D317" t="str">
        <f>IF(A317="","",SUMIFS(Акты!$D$5:$D$16,Акты!$E$5:$E$16,"&lt;="&amp;A317)-SUMIFS(Оплаты!$B$6:$B$505,Оплаты!$A$6:$A$505,"&lt;"&amp;A317,Оплаты!$D$6:$D$505,"&lt;&gt;"))</f>
        <v/>
      </c>
      <c r="E317" t="str">
        <f>IF(A317="","",IF(SUMPRODUCT((Ввод!$F$12:$F$31&lt;&gt;"")*(Ввод!$F$12:$F$31&lt;=A317)*(Ввод!$G$12:$G$31&gt;=A317))&gt;0,1,0))</f>
        <v/>
      </c>
      <c r="G317" t="str">
        <f t="shared" si="9"/>
        <v/>
      </c>
    </row>
    <row r="318" spans="1:7" x14ac:dyDescent="0.3">
      <c r="A318" s="21" t="str">
        <f>IF(A317="","",IF(A317+1&gt;Ввод!$B$4,"",A317+1))</f>
        <v/>
      </c>
      <c r="B318" s="23" t="str">
        <f>IF(A318="","",IFERROR(INDEX(Ввод!$B$12:$B$71,MATCH(A318,Ввод!$D$12:$D$71,1)),""))</f>
        <v/>
      </c>
      <c r="C318" t="str">
        <f t="shared" si="8"/>
        <v/>
      </c>
      <c r="D318" t="str">
        <f>IF(A318="","",SUMIFS(Акты!$D$5:$D$16,Акты!$E$5:$E$16,"&lt;="&amp;A318)-SUMIFS(Оплаты!$B$6:$B$505,Оплаты!$A$6:$A$505,"&lt;"&amp;A318,Оплаты!$D$6:$D$505,"&lt;&gt;"))</f>
        <v/>
      </c>
      <c r="E318" t="str">
        <f>IF(A318="","",IF(SUMPRODUCT((Ввод!$F$12:$F$31&lt;&gt;"")*(Ввод!$F$12:$F$31&lt;=A318)*(Ввод!$G$12:$G$31&gt;=A318))&gt;0,1,0))</f>
        <v/>
      </c>
      <c r="G318" t="str">
        <f t="shared" si="9"/>
        <v/>
      </c>
    </row>
    <row r="319" spans="1:7" x14ac:dyDescent="0.3">
      <c r="A319" s="21" t="str">
        <f>IF(A318="","",IF(A318+1&gt;Ввод!$B$4,"",A318+1))</f>
        <v/>
      </c>
      <c r="B319" s="23" t="str">
        <f>IF(A319="","",IFERROR(INDEX(Ввод!$B$12:$B$71,MATCH(A319,Ввод!$D$12:$D$71,1)),""))</f>
        <v/>
      </c>
      <c r="C319" t="str">
        <f t="shared" si="8"/>
        <v/>
      </c>
      <c r="D319" t="str">
        <f>IF(A319="","",SUMIFS(Акты!$D$5:$D$16,Акты!$E$5:$E$16,"&lt;="&amp;A319)-SUMIFS(Оплаты!$B$6:$B$505,Оплаты!$A$6:$A$505,"&lt;"&amp;A319,Оплаты!$D$6:$D$505,"&lt;&gt;"))</f>
        <v/>
      </c>
      <c r="E319" t="str">
        <f>IF(A319="","",IF(SUMPRODUCT((Ввод!$F$12:$F$31&lt;&gt;"")*(Ввод!$F$12:$F$31&lt;=A319)*(Ввод!$G$12:$G$31&gt;=A319))&gt;0,1,0))</f>
        <v/>
      </c>
      <c r="G319" t="str">
        <f t="shared" si="9"/>
        <v/>
      </c>
    </row>
    <row r="320" spans="1:7" x14ac:dyDescent="0.3">
      <c r="A320" s="21" t="str">
        <f>IF(A319="","",IF(A319+1&gt;Ввод!$B$4,"",A319+1))</f>
        <v/>
      </c>
      <c r="B320" s="23" t="str">
        <f>IF(A320="","",IFERROR(INDEX(Ввод!$B$12:$B$71,MATCH(A320,Ввод!$D$12:$D$71,1)),""))</f>
        <v/>
      </c>
      <c r="C320" t="str">
        <f t="shared" si="8"/>
        <v/>
      </c>
      <c r="D320" t="str">
        <f>IF(A320="","",SUMIFS(Акты!$D$5:$D$16,Акты!$E$5:$E$16,"&lt;="&amp;A320)-SUMIFS(Оплаты!$B$6:$B$505,Оплаты!$A$6:$A$505,"&lt;"&amp;A320,Оплаты!$D$6:$D$505,"&lt;&gt;"))</f>
        <v/>
      </c>
      <c r="E320" t="str">
        <f>IF(A320="","",IF(SUMPRODUCT((Ввод!$F$12:$F$31&lt;&gt;"")*(Ввод!$F$12:$F$31&lt;=A320)*(Ввод!$G$12:$G$31&gt;=A320))&gt;0,1,0))</f>
        <v/>
      </c>
      <c r="G320" t="str">
        <f t="shared" si="9"/>
        <v/>
      </c>
    </row>
    <row r="321" spans="1:7" x14ac:dyDescent="0.3">
      <c r="A321" s="21" t="str">
        <f>IF(A320="","",IF(A320+1&gt;Ввод!$B$4,"",A320+1))</f>
        <v/>
      </c>
      <c r="B321" s="23" t="str">
        <f>IF(A321="","",IFERROR(INDEX(Ввод!$B$12:$B$71,MATCH(A321,Ввод!$D$12:$D$71,1)),""))</f>
        <v/>
      </c>
      <c r="C321" t="str">
        <f t="shared" si="8"/>
        <v/>
      </c>
      <c r="D321" t="str">
        <f>IF(A321="","",SUMIFS(Акты!$D$5:$D$16,Акты!$E$5:$E$16,"&lt;="&amp;A321)-SUMIFS(Оплаты!$B$6:$B$505,Оплаты!$A$6:$A$505,"&lt;"&amp;A321,Оплаты!$D$6:$D$505,"&lt;&gt;"))</f>
        <v/>
      </c>
      <c r="E321" t="str">
        <f>IF(A321="","",IF(SUMPRODUCT((Ввод!$F$12:$F$31&lt;&gt;"")*(Ввод!$F$12:$F$31&lt;=A321)*(Ввод!$G$12:$G$31&gt;=A321))&gt;0,1,0))</f>
        <v/>
      </c>
      <c r="G321" t="str">
        <f t="shared" si="9"/>
        <v/>
      </c>
    </row>
    <row r="322" spans="1:7" x14ac:dyDescent="0.3">
      <c r="A322" s="21" t="str">
        <f>IF(A321="","",IF(A321+1&gt;Ввод!$B$4,"",A321+1))</f>
        <v/>
      </c>
      <c r="B322" s="23" t="str">
        <f>IF(A322="","",IFERROR(INDEX(Ввод!$B$12:$B$71,MATCH(A322,Ввод!$D$12:$D$71,1)),""))</f>
        <v/>
      </c>
      <c r="C322" t="str">
        <f t="shared" ref="C322:C385" si="10">IF(A322="","",DATE(YEAR(A322),12,31)-DATE(YEAR(A322),1,1)+1)</f>
        <v/>
      </c>
      <c r="D322" t="str">
        <f>IF(A322="","",SUMIFS(Акты!$D$5:$D$16,Акты!$E$5:$E$16,"&lt;="&amp;A322)-SUMIFS(Оплаты!$B$6:$B$505,Оплаты!$A$6:$A$505,"&lt;"&amp;A322,Оплаты!$D$6:$D$505,"&lt;&gt;"))</f>
        <v/>
      </c>
      <c r="E322" t="str">
        <f>IF(A322="","",IF(SUMPRODUCT((Ввод!$F$12:$F$31&lt;&gt;"")*(Ввод!$F$12:$F$31&lt;=A322)*(Ввод!$G$12:$G$31&gt;=A322))&gt;0,1,0))</f>
        <v/>
      </c>
      <c r="G322" t="str">
        <f t="shared" si="9"/>
        <v/>
      </c>
    </row>
    <row r="323" spans="1:7" x14ac:dyDescent="0.3">
      <c r="A323" s="21" t="str">
        <f>IF(A322="","",IF(A322+1&gt;Ввод!$B$4,"",A322+1))</f>
        <v/>
      </c>
      <c r="B323" s="23" t="str">
        <f>IF(A323="","",IFERROR(INDEX(Ввод!$B$12:$B$71,MATCH(A323,Ввод!$D$12:$D$71,1)),""))</f>
        <v/>
      </c>
      <c r="C323" t="str">
        <f t="shared" si="10"/>
        <v/>
      </c>
      <c r="D323" t="str">
        <f>IF(A323="","",SUMIFS(Акты!$D$5:$D$16,Акты!$E$5:$E$16,"&lt;="&amp;A323)-SUMIFS(Оплаты!$B$6:$B$505,Оплаты!$A$6:$A$505,"&lt;"&amp;A323,Оплаты!$D$6:$D$505,"&lt;&gt;"))</f>
        <v/>
      </c>
      <c r="E323" t="str">
        <f>IF(A323="","",IF(SUMPRODUCT((Ввод!$F$12:$F$31&lt;&gt;"")*(Ввод!$F$12:$F$31&lt;=A323)*(Ввод!$G$12:$G$31&gt;=A323))&gt;0,1,0))</f>
        <v/>
      </c>
      <c r="G323" t="str">
        <f t="shared" ref="G323:G386" si="11">IF(A323="","",IF(OR(B323&lt;&gt;B322,C323&lt;&gt;C322,E323&lt;&gt;E322),G322+1,G322))</f>
        <v/>
      </c>
    </row>
    <row r="324" spans="1:7" x14ac:dyDescent="0.3">
      <c r="A324" s="21" t="str">
        <f>IF(A323="","",IF(A323+1&gt;Ввод!$B$4,"",A323+1))</f>
        <v/>
      </c>
      <c r="B324" s="23" t="str">
        <f>IF(A324="","",IFERROR(INDEX(Ввод!$B$12:$B$71,MATCH(A324,Ввод!$D$12:$D$71,1)),""))</f>
        <v/>
      </c>
      <c r="C324" t="str">
        <f t="shared" si="10"/>
        <v/>
      </c>
      <c r="D324" t="str">
        <f>IF(A324="","",SUMIFS(Акты!$D$5:$D$16,Акты!$E$5:$E$16,"&lt;="&amp;A324)-SUMIFS(Оплаты!$B$6:$B$505,Оплаты!$A$6:$A$505,"&lt;"&amp;A324,Оплаты!$D$6:$D$505,"&lt;&gt;"))</f>
        <v/>
      </c>
      <c r="E324" t="str">
        <f>IF(A324="","",IF(SUMPRODUCT((Ввод!$F$12:$F$31&lt;&gt;"")*(Ввод!$F$12:$F$31&lt;=A324)*(Ввод!$G$12:$G$31&gt;=A324))&gt;0,1,0))</f>
        <v/>
      </c>
      <c r="G324" t="str">
        <f t="shared" si="11"/>
        <v/>
      </c>
    </row>
    <row r="325" spans="1:7" x14ac:dyDescent="0.3">
      <c r="A325" s="21" t="str">
        <f>IF(A324="","",IF(A324+1&gt;Ввод!$B$4,"",A324+1))</f>
        <v/>
      </c>
      <c r="B325" s="23" t="str">
        <f>IF(A325="","",IFERROR(INDEX(Ввод!$B$12:$B$71,MATCH(A325,Ввод!$D$12:$D$71,1)),""))</f>
        <v/>
      </c>
      <c r="C325" t="str">
        <f t="shared" si="10"/>
        <v/>
      </c>
      <c r="D325" t="str">
        <f>IF(A325="","",SUMIFS(Акты!$D$5:$D$16,Акты!$E$5:$E$16,"&lt;="&amp;A325)-SUMIFS(Оплаты!$B$6:$B$505,Оплаты!$A$6:$A$505,"&lt;"&amp;A325,Оплаты!$D$6:$D$505,"&lt;&gt;"))</f>
        <v/>
      </c>
      <c r="E325" t="str">
        <f>IF(A325="","",IF(SUMPRODUCT((Ввод!$F$12:$F$31&lt;&gt;"")*(Ввод!$F$12:$F$31&lt;=A325)*(Ввод!$G$12:$G$31&gt;=A325))&gt;0,1,0))</f>
        <v/>
      </c>
      <c r="G325" t="str">
        <f t="shared" si="11"/>
        <v/>
      </c>
    </row>
    <row r="326" spans="1:7" x14ac:dyDescent="0.3">
      <c r="A326" s="21" t="str">
        <f>IF(A325="","",IF(A325+1&gt;Ввод!$B$4,"",A325+1))</f>
        <v/>
      </c>
      <c r="B326" s="23" t="str">
        <f>IF(A326="","",IFERROR(INDEX(Ввод!$B$12:$B$71,MATCH(A326,Ввод!$D$12:$D$71,1)),""))</f>
        <v/>
      </c>
      <c r="C326" t="str">
        <f t="shared" si="10"/>
        <v/>
      </c>
      <c r="D326" t="str">
        <f>IF(A326="","",SUMIFS(Акты!$D$5:$D$16,Акты!$E$5:$E$16,"&lt;="&amp;A326)-SUMIFS(Оплаты!$B$6:$B$505,Оплаты!$A$6:$A$505,"&lt;"&amp;A326,Оплаты!$D$6:$D$505,"&lt;&gt;"))</f>
        <v/>
      </c>
      <c r="E326" t="str">
        <f>IF(A326="","",IF(SUMPRODUCT((Ввод!$F$12:$F$31&lt;&gt;"")*(Ввод!$F$12:$F$31&lt;=A326)*(Ввод!$G$12:$G$31&gt;=A326))&gt;0,1,0))</f>
        <v/>
      </c>
      <c r="G326" t="str">
        <f t="shared" si="11"/>
        <v/>
      </c>
    </row>
    <row r="327" spans="1:7" x14ac:dyDescent="0.3">
      <c r="A327" s="21" t="str">
        <f>IF(A326="","",IF(A326+1&gt;Ввод!$B$4,"",A326+1))</f>
        <v/>
      </c>
      <c r="B327" s="23" t="str">
        <f>IF(A327="","",IFERROR(INDEX(Ввод!$B$12:$B$71,MATCH(A327,Ввод!$D$12:$D$71,1)),""))</f>
        <v/>
      </c>
      <c r="C327" t="str">
        <f t="shared" si="10"/>
        <v/>
      </c>
      <c r="D327" t="str">
        <f>IF(A327="","",SUMIFS(Акты!$D$5:$D$16,Акты!$E$5:$E$16,"&lt;="&amp;A327)-SUMIFS(Оплаты!$B$6:$B$505,Оплаты!$A$6:$A$505,"&lt;"&amp;A327,Оплаты!$D$6:$D$505,"&lt;&gt;"))</f>
        <v/>
      </c>
      <c r="E327" t="str">
        <f>IF(A327="","",IF(SUMPRODUCT((Ввод!$F$12:$F$31&lt;&gt;"")*(Ввод!$F$12:$F$31&lt;=A327)*(Ввод!$G$12:$G$31&gt;=A327))&gt;0,1,0))</f>
        <v/>
      </c>
      <c r="G327" t="str">
        <f t="shared" si="11"/>
        <v/>
      </c>
    </row>
    <row r="328" spans="1:7" x14ac:dyDescent="0.3">
      <c r="A328" s="21" t="str">
        <f>IF(A327="","",IF(A327+1&gt;Ввод!$B$4,"",A327+1))</f>
        <v/>
      </c>
      <c r="B328" s="23" t="str">
        <f>IF(A328="","",IFERROR(INDEX(Ввод!$B$12:$B$71,MATCH(A328,Ввод!$D$12:$D$71,1)),""))</f>
        <v/>
      </c>
      <c r="C328" t="str">
        <f t="shared" si="10"/>
        <v/>
      </c>
      <c r="D328" t="str">
        <f>IF(A328="","",SUMIFS(Акты!$D$5:$D$16,Акты!$E$5:$E$16,"&lt;="&amp;A328)-SUMIFS(Оплаты!$B$6:$B$505,Оплаты!$A$6:$A$505,"&lt;"&amp;A328,Оплаты!$D$6:$D$505,"&lt;&gt;"))</f>
        <v/>
      </c>
      <c r="E328" t="str">
        <f>IF(A328="","",IF(SUMPRODUCT((Ввод!$F$12:$F$31&lt;&gt;"")*(Ввод!$F$12:$F$31&lt;=A328)*(Ввод!$G$12:$G$31&gt;=A328))&gt;0,1,0))</f>
        <v/>
      </c>
      <c r="G328" t="str">
        <f t="shared" si="11"/>
        <v/>
      </c>
    </row>
    <row r="329" spans="1:7" x14ac:dyDescent="0.3">
      <c r="A329" s="21" t="str">
        <f>IF(A328="","",IF(A328+1&gt;Ввод!$B$4,"",A328+1))</f>
        <v/>
      </c>
      <c r="B329" s="23" t="str">
        <f>IF(A329="","",IFERROR(INDEX(Ввод!$B$12:$B$71,MATCH(A329,Ввод!$D$12:$D$71,1)),""))</f>
        <v/>
      </c>
      <c r="C329" t="str">
        <f t="shared" si="10"/>
        <v/>
      </c>
      <c r="D329" t="str">
        <f>IF(A329="","",SUMIFS(Акты!$D$5:$D$16,Акты!$E$5:$E$16,"&lt;="&amp;A329)-SUMIFS(Оплаты!$B$6:$B$505,Оплаты!$A$6:$A$505,"&lt;"&amp;A329,Оплаты!$D$6:$D$505,"&lt;&gt;"))</f>
        <v/>
      </c>
      <c r="E329" t="str">
        <f>IF(A329="","",IF(SUMPRODUCT((Ввод!$F$12:$F$31&lt;&gt;"")*(Ввод!$F$12:$F$31&lt;=A329)*(Ввод!$G$12:$G$31&gt;=A329))&gt;0,1,0))</f>
        <v/>
      </c>
      <c r="G329" t="str">
        <f t="shared" si="11"/>
        <v/>
      </c>
    </row>
    <row r="330" spans="1:7" x14ac:dyDescent="0.3">
      <c r="A330" s="21" t="str">
        <f>IF(A329="","",IF(A329+1&gt;Ввод!$B$4,"",A329+1))</f>
        <v/>
      </c>
      <c r="B330" s="23" t="str">
        <f>IF(A330="","",IFERROR(INDEX(Ввод!$B$12:$B$71,MATCH(A330,Ввод!$D$12:$D$71,1)),""))</f>
        <v/>
      </c>
      <c r="C330" t="str">
        <f t="shared" si="10"/>
        <v/>
      </c>
      <c r="D330" t="str">
        <f>IF(A330="","",SUMIFS(Акты!$D$5:$D$16,Акты!$E$5:$E$16,"&lt;="&amp;A330)-SUMIFS(Оплаты!$B$6:$B$505,Оплаты!$A$6:$A$505,"&lt;"&amp;A330,Оплаты!$D$6:$D$505,"&lt;&gt;"))</f>
        <v/>
      </c>
      <c r="E330" t="str">
        <f>IF(A330="","",IF(SUMPRODUCT((Ввод!$F$12:$F$31&lt;&gt;"")*(Ввод!$F$12:$F$31&lt;=A330)*(Ввод!$G$12:$G$31&gt;=A330))&gt;0,1,0))</f>
        <v/>
      </c>
      <c r="G330" t="str">
        <f t="shared" si="11"/>
        <v/>
      </c>
    </row>
    <row r="331" spans="1:7" x14ac:dyDescent="0.3">
      <c r="A331" s="21" t="str">
        <f>IF(A330="","",IF(A330+1&gt;Ввод!$B$4,"",A330+1))</f>
        <v/>
      </c>
      <c r="B331" s="23" t="str">
        <f>IF(A331="","",IFERROR(INDEX(Ввод!$B$12:$B$71,MATCH(A331,Ввод!$D$12:$D$71,1)),""))</f>
        <v/>
      </c>
      <c r="C331" t="str">
        <f t="shared" si="10"/>
        <v/>
      </c>
      <c r="D331" t="str">
        <f>IF(A331="","",SUMIFS(Акты!$D$5:$D$16,Акты!$E$5:$E$16,"&lt;="&amp;A331)-SUMIFS(Оплаты!$B$6:$B$505,Оплаты!$A$6:$A$505,"&lt;"&amp;A331,Оплаты!$D$6:$D$505,"&lt;&gt;"))</f>
        <v/>
      </c>
      <c r="E331" t="str">
        <f>IF(A331="","",IF(SUMPRODUCT((Ввод!$F$12:$F$31&lt;&gt;"")*(Ввод!$F$12:$F$31&lt;=A331)*(Ввод!$G$12:$G$31&gt;=A331))&gt;0,1,0))</f>
        <v/>
      </c>
      <c r="G331" t="str">
        <f t="shared" si="11"/>
        <v/>
      </c>
    </row>
    <row r="332" spans="1:7" x14ac:dyDescent="0.3">
      <c r="A332" s="21" t="str">
        <f>IF(A331="","",IF(A331+1&gt;Ввод!$B$4,"",A331+1))</f>
        <v/>
      </c>
      <c r="B332" s="23" t="str">
        <f>IF(A332="","",IFERROR(INDEX(Ввод!$B$12:$B$71,MATCH(A332,Ввод!$D$12:$D$71,1)),""))</f>
        <v/>
      </c>
      <c r="C332" t="str">
        <f t="shared" si="10"/>
        <v/>
      </c>
      <c r="D332" t="str">
        <f>IF(A332="","",SUMIFS(Акты!$D$5:$D$16,Акты!$E$5:$E$16,"&lt;="&amp;A332)-SUMIFS(Оплаты!$B$6:$B$505,Оплаты!$A$6:$A$505,"&lt;"&amp;A332,Оплаты!$D$6:$D$505,"&lt;&gt;"))</f>
        <v/>
      </c>
      <c r="E332" t="str">
        <f>IF(A332="","",IF(SUMPRODUCT((Ввод!$F$12:$F$31&lt;&gt;"")*(Ввод!$F$12:$F$31&lt;=A332)*(Ввод!$G$12:$G$31&gt;=A332))&gt;0,1,0))</f>
        <v/>
      </c>
      <c r="G332" t="str">
        <f t="shared" si="11"/>
        <v/>
      </c>
    </row>
    <row r="333" spans="1:7" x14ac:dyDescent="0.3">
      <c r="A333" s="21" t="str">
        <f>IF(A332="","",IF(A332+1&gt;Ввод!$B$4,"",A332+1))</f>
        <v/>
      </c>
      <c r="B333" s="23" t="str">
        <f>IF(A333="","",IFERROR(INDEX(Ввод!$B$12:$B$71,MATCH(A333,Ввод!$D$12:$D$71,1)),""))</f>
        <v/>
      </c>
      <c r="C333" t="str">
        <f t="shared" si="10"/>
        <v/>
      </c>
      <c r="D333" t="str">
        <f>IF(A333="","",SUMIFS(Акты!$D$5:$D$16,Акты!$E$5:$E$16,"&lt;="&amp;A333)-SUMIFS(Оплаты!$B$6:$B$505,Оплаты!$A$6:$A$505,"&lt;"&amp;A333,Оплаты!$D$6:$D$505,"&lt;&gt;"))</f>
        <v/>
      </c>
      <c r="E333" t="str">
        <f>IF(A333="","",IF(SUMPRODUCT((Ввод!$F$12:$F$31&lt;&gt;"")*(Ввод!$F$12:$F$31&lt;=A333)*(Ввод!$G$12:$G$31&gt;=A333))&gt;0,1,0))</f>
        <v/>
      </c>
      <c r="G333" t="str">
        <f t="shared" si="11"/>
        <v/>
      </c>
    </row>
    <row r="334" spans="1:7" x14ac:dyDescent="0.3">
      <c r="A334" s="21" t="str">
        <f>IF(A333="","",IF(A333+1&gt;Ввод!$B$4,"",A333+1))</f>
        <v/>
      </c>
      <c r="B334" s="23" t="str">
        <f>IF(A334="","",IFERROR(INDEX(Ввод!$B$12:$B$71,MATCH(A334,Ввод!$D$12:$D$71,1)),""))</f>
        <v/>
      </c>
      <c r="C334" t="str">
        <f t="shared" si="10"/>
        <v/>
      </c>
      <c r="D334" t="str">
        <f>IF(A334="","",SUMIFS(Акты!$D$5:$D$16,Акты!$E$5:$E$16,"&lt;="&amp;A334)-SUMIFS(Оплаты!$B$6:$B$505,Оплаты!$A$6:$A$505,"&lt;"&amp;A334,Оплаты!$D$6:$D$505,"&lt;&gt;"))</f>
        <v/>
      </c>
      <c r="E334" t="str">
        <f>IF(A334="","",IF(SUMPRODUCT((Ввод!$F$12:$F$31&lt;&gt;"")*(Ввод!$F$12:$F$31&lt;=A334)*(Ввод!$G$12:$G$31&gt;=A334))&gt;0,1,0))</f>
        <v/>
      </c>
      <c r="G334" t="str">
        <f t="shared" si="11"/>
        <v/>
      </c>
    </row>
    <row r="335" spans="1:7" x14ac:dyDescent="0.3">
      <c r="A335" s="21" t="str">
        <f>IF(A334="","",IF(A334+1&gt;Ввод!$B$4,"",A334+1))</f>
        <v/>
      </c>
      <c r="B335" s="23" t="str">
        <f>IF(A335="","",IFERROR(INDEX(Ввод!$B$12:$B$71,MATCH(A335,Ввод!$D$12:$D$71,1)),""))</f>
        <v/>
      </c>
      <c r="C335" t="str">
        <f t="shared" si="10"/>
        <v/>
      </c>
      <c r="D335" t="str">
        <f>IF(A335="","",SUMIFS(Акты!$D$5:$D$16,Акты!$E$5:$E$16,"&lt;="&amp;A335)-SUMIFS(Оплаты!$B$6:$B$505,Оплаты!$A$6:$A$505,"&lt;"&amp;A335,Оплаты!$D$6:$D$505,"&lt;&gt;"))</f>
        <v/>
      </c>
      <c r="E335" t="str">
        <f>IF(A335="","",IF(SUMPRODUCT((Ввод!$F$12:$F$31&lt;&gt;"")*(Ввод!$F$12:$F$31&lt;=A335)*(Ввод!$G$12:$G$31&gt;=A335))&gt;0,1,0))</f>
        <v/>
      </c>
      <c r="G335" t="str">
        <f t="shared" si="11"/>
        <v/>
      </c>
    </row>
    <row r="336" spans="1:7" x14ac:dyDescent="0.3">
      <c r="A336" s="21" t="str">
        <f>IF(A335="","",IF(A335+1&gt;Ввод!$B$4,"",A335+1))</f>
        <v/>
      </c>
      <c r="B336" s="23" t="str">
        <f>IF(A336="","",IFERROR(INDEX(Ввод!$B$12:$B$71,MATCH(A336,Ввод!$D$12:$D$71,1)),""))</f>
        <v/>
      </c>
      <c r="C336" t="str">
        <f t="shared" si="10"/>
        <v/>
      </c>
      <c r="D336" t="str">
        <f>IF(A336="","",SUMIFS(Акты!$D$5:$D$16,Акты!$E$5:$E$16,"&lt;="&amp;A336)-SUMIFS(Оплаты!$B$6:$B$505,Оплаты!$A$6:$A$505,"&lt;"&amp;A336,Оплаты!$D$6:$D$505,"&lt;&gt;"))</f>
        <v/>
      </c>
      <c r="E336" t="str">
        <f>IF(A336="","",IF(SUMPRODUCT((Ввод!$F$12:$F$31&lt;&gt;"")*(Ввод!$F$12:$F$31&lt;=A336)*(Ввод!$G$12:$G$31&gt;=A336))&gt;0,1,0))</f>
        <v/>
      </c>
      <c r="G336" t="str">
        <f t="shared" si="11"/>
        <v/>
      </c>
    </row>
    <row r="337" spans="1:7" x14ac:dyDescent="0.3">
      <c r="A337" s="21" t="str">
        <f>IF(A336="","",IF(A336+1&gt;Ввод!$B$4,"",A336+1))</f>
        <v/>
      </c>
      <c r="B337" s="23" t="str">
        <f>IF(A337="","",IFERROR(INDEX(Ввод!$B$12:$B$71,MATCH(A337,Ввод!$D$12:$D$71,1)),""))</f>
        <v/>
      </c>
      <c r="C337" t="str">
        <f t="shared" si="10"/>
        <v/>
      </c>
      <c r="D337" t="str">
        <f>IF(A337="","",SUMIFS(Акты!$D$5:$D$16,Акты!$E$5:$E$16,"&lt;="&amp;A337)-SUMIFS(Оплаты!$B$6:$B$505,Оплаты!$A$6:$A$505,"&lt;"&amp;A337,Оплаты!$D$6:$D$505,"&lt;&gt;"))</f>
        <v/>
      </c>
      <c r="E337" t="str">
        <f>IF(A337="","",IF(SUMPRODUCT((Ввод!$F$12:$F$31&lt;&gt;"")*(Ввод!$F$12:$F$31&lt;=A337)*(Ввод!$G$12:$G$31&gt;=A337))&gt;0,1,0))</f>
        <v/>
      </c>
      <c r="G337" t="str">
        <f t="shared" si="11"/>
        <v/>
      </c>
    </row>
    <row r="338" spans="1:7" x14ac:dyDescent="0.3">
      <c r="A338" s="21" t="str">
        <f>IF(A337="","",IF(A337+1&gt;Ввод!$B$4,"",A337+1))</f>
        <v/>
      </c>
      <c r="B338" s="23" t="str">
        <f>IF(A338="","",IFERROR(INDEX(Ввод!$B$12:$B$71,MATCH(A338,Ввод!$D$12:$D$71,1)),""))</f>
        <v/>
      </c>
      <c r="C338" t="str">
        <f t="shared" si="10"/>
        <v/>
      </c>
      <c r="D338" t="str">
        <f>IF(A338="","",SUMIFS(Акты!$D$5:$D$16,Акты!$E$5:$E$16,"&lt;="&amp;A338)-SUMIFS(Оплаты!$B$6:$B$505,Оплаты!$A$6:$A$505,"&lt;"&amp;A338,Оплаты!$D$6:$D$505,"&lt;&gt;"))</f>
        <v/>
      </c>
      <c r="E338" t="str">
        <f>IF(A338="","",IF(SUMPRODUCT((Ввод!$F$12:$F$31&lt;&gt;"")*(Ввод!$F$12:$F$31&lt;=A338)*(Ввод!$G$12:$G$31&gt;=A338))&gt;0,1,0))</f>
        <v/>
      </c>
      <c r="G338" t="str">
        <f t="shared" si="11"/>
        <v/>
      </c>
    </row>
    <row r="339" spans="1:7" x14ac:dyDescent="0.3">
      <c r="A339" s="21" t="str">
        <f>IF(A338="","",IF(A338+1&gt;Ввод!$B$4,"",A338+1))</f>
        <v/>
      </c>
      <c r="B339" s="23" t="str">
        <f>IF(A339="","",IFERROR(INDEX(Ввод!$B$12:$B$71,MATCH(A339,Ввод!$D$12:$D$71,1)),""))</f>
        <v/>
      </c>
      <c r="C339" t="str">
        <f t="shared" si="10"/>
        <v/>
      </c>
      <c r="D339" t="str">
        <f>IF(A339="","",SUMIFS(Акты!$D$5:$D$16,Акты!$E$5:$E$16,"&lt;="&amp;A339)-SUMIFS(Оплаты!$B$6:$B$505,Оплаты!$A$6:$A$505,"&lt;"&amp;A339,Оплаты!$D$6:$D$505,"&lt;&gt;"))</f>
        <v/>
      </c>
      <c r="E339" t="str">
        <f>IF(A339="","",IF(SUMPRODUCT((Ввод!$F$12:$F$31&lt;&gt;"")*(Ввод!$F$12:$F$31&lt;=A339)*(Ввод!$G$12:$G$31&gt;=A339))&gt;0,1,0))</f>
        <v/>
      </c>
      <c r="G339" t="str">
        <f t="shared" si="11"/>
        <v/>
      </c>
    </row>
    <row r="340" spans="1:7" x14ac:dyDescent="0.3">
      <c r="A340" s="21" t="str">
        <f>IF(A339="","",IF(A339+1&gt;Ввод!$B$4,"",A339+1))</f>
        <v/>
      </c>
      <c r="B340" s="23" t="str">
        <f>IF(A340="","",IFERROR(INDEX(Ввод!$B$12:$B$71,MATCH(A340,Ввод!$D$12:$D$71,1)),""))</f>
        <v/>
      </c>
      <c r="C340" t="str">
        <f t="shared" si="10"/>
        <v/>
      </c>
      <c r="D340" t="str">
        <f>IF(A340="","",SUMIFS(Акты!$D$5:$D$16,Акты!$E$5:$E$16,"&lt;="&amp;A340)-SUMIFS(Оплаты!$B$6:$B$505,Оплаты!$A$6:$A$505,"&lt;"&amp;A340,Оплаты!$D$6:$D$505,"&lt;&gt;"))</f>
        <v/>
      </c>
      <c r="E340" t="str">
        <f>IF(A340="","",IF(SUMPRODUCT((Ввод!$F$12:$F$31&lt;&gt;"")*(Ввод!$F$12:$F$31&lt;=A340)*(Ввод!$G$12:$G$31&gt;=A340))&gt;0,1,0))</f>
        <v/>
      </c>
      <c r="G340" t="str">
        <f t="shared" si="11"/>
        <v/>
      </c>
    </row>
    <row r="341" spans="1:7" x14ac:dyDescent="0.3">
      <c r="A341" s="21" t="str">
        <f>IF(A340="","",IF(A340+1&gt;Ввод!$B$4,"",A340+1))</f>
        <v/>
      </c>
      <c r="B341" s="23" t="str">
        <f>IF(A341="","",IFERROR(INDEX(Ввод!$B$12:$B$71,MATCH(A341,Ввод!$D$12:$D$71,1)),""))</f>
        <v/>
      </c>
      <c r="C341" t="str">
        <f t="shared" si="10"/>
        <v/>
      </c>
      <c r="D341" t="str">
        <f>IF(A341="","",SUMIFS(Акты!$D$5:$D$16,Акты!$E$5:$E$16,"&lt;="&amp;A341)-SUMIFS(Оплаты!$B$6:$B$505,Оплаты!$A$6:$A$505,"&lt;"&amp;A341,Оплаты!$D$6:$D$505,"&lt;&gt;"))</f>
        <v/>
      </c>
      <c r="E341" t="str">
        <f>IF(A341="","",IF(SUMPRODUCT((Ввод!$F$12:$F$31&lt;&gt;"")*(Ввод!$F$12:$F$31&lt;=A341)*(Ввод!$G$12:$G$31&gt;=A341))&gt;0,1,0))</f>
        <v/>
      </c>
      <c r="G341" t="str">
        <f t="shared" si="11"/>
        <v/>
      </c>
    </row>
    <row r="342" spans="1:7" x14ac:dyDescent="0.3">
      <c r="A342" s="21" t="str">
        <f>IF(A341="","",IF(A341+1&gt;Ввод!$B$4,"",A341+1))</f>
        <v/>
      </c>
      <c r="B342" s="23" t="str">
        <f>IF(A342="","",IFERROR(INDEX(Ввод!$B$12:$B$71,MATCH(A342,Ввод!$D$12:$D$71,1)),""))</f>
        <v/>
      </c>
      <c r="C342" t="str">
        <f t="shared" si="10"/>
        <v/>
      </c>
      <c r="D342" t="str">
        <f>IF(A342="","",SUMIFS(Акты!$D$5:$D$16,Акты!$E$5:$E$16,"&lt;="&amp;A342)-SUMIFS(Оплаты!$B$6:$B$505,Оплаты!$A$6:$A$505,"&lt;"&amp;A342,Оплаты!$D$6:$D$505,"&lt;&gt;"))</f>
        <v/>
      </c>
      <c r="E342" t="str">
        <f>IF(A342="","",IF(SUMPRODUCT((Ввод!$F$12:$F$31&lt;&gt;"")*(Ввод!$F$12:$F$31&lt;=A342)*(Ввод!$G$12:$G$31&gt;=A342))&gt;0,1,0))</f>
        <v/>
      </c>
      <c r="G342" t="str">
        <f t="shared" si="11"/>
        <v/>
      </c>
    </row>
    <row r="343" spans="1:7" x14ac:dyDescent="0.3">
      <c r="A343" s="21" t="str">
        <f>IF(A342="","",IF(A342+1&gt;Ввод!$B$4,"",A342+1))</f>
        <v/>
      </c>
      <c r="B343" s="23" t="str">
        <f>IF(A343="","",IFERROR(INDEX(Ввод!$B$12:$B$71,MATCH(A343,Ввод!$D$12:$D$71,1)),""))</f>
        <v/>
      </c>
      <c r="C343" t="str">
        <f t="shared" si="10"/>
        <v/>
      </c>
      <c r="D343" t="str">
        <f>IF(A343="","",SUMIFS(Акты!$D$5:$D$16,Акты!$E$5:$E$16,"&lt;="&amp;A343)-SUMIFS(Оплаты!$B$6:$B$505,Оплаты!$A$6:$A$505,"&lt;"&amp;A343,Оплаты!$D$6:$D$505,"&lt;&gt;"))</f>
        <v/>
      </c>
      <c r="E343" t="str">
        <f>IF(A343="","",IF(SUMPRODUCT((Ввод!$F$12:$F$31&lt;&gt;"")*(Ввод!$F$12:$F$31&lt;=A343)*(Ввод!$G$12:$G$31&gt;=A343))&gt;0,1,0))</f>
        <v/>
      </c>
      <c r="G343" t="str">
        <f t="shared" si="11"/>
        <v/>
      </c>
    </row>
    <row r="344" spans="1:7" x14ac:dyDescent="0.3">
      <c r="A344" s="21" t="str">
        <f>IF(A343="","",IF(A343+1&gt;Ввод!$B$4,"",A343+1))</f>
        <v/>
      </c>
      <c r="B344" s="23" t="str">
        <f>IF(A344="","",IFERROR(INDEX(Ввод!$B$12:$B$71,MATCH(A344,Ввод!$D$12:$D$71,1)),""))</f>
        <v/>
      </c>
      <c r="C344" t="str">
        <f t="shared" si="10"/>
        <v/>
      </c>
      <c r="D344" t="str">
        <f>IF(A344="","",SUMIFS(Акты!$D$5:$D$16,Акты!$E$5:$E$16,"&lt;="&amp;A344)-SUMIFS(Оплаты!$B$6:$B$505,Оплаты!$A$6:$A$505,"&lt;"&amp;A344,Оплаты!$D$6:$D$505,"&lt;&gt;"))</f>
        <v/>
      </c>
      <c r="E344" t="str">
        <f>IF(A344="","",IF(SUMPRODUCT((Ввод!$F$12:$F$31&lt;&gt;"")*(Ввод!$F$12:$F$31&lt;=A344)*(Ввод!$G$12:$G$31&gt;=A344))&gt;0,1,0))</f>
        <v/>
      </c>
      <c r="G344" t="str">
        <f t="shared" si="11"/>
        <v/>
      </c>
    </row>
    <row r="345" spans="1:7" x14ac:dyDescent="0.3">
      <c r="A345" s="21" t="str">
        <f>IF(A344="","",IF(A344+1&gt;Ввод!$B$4,"",A344+1))</f>
        <v/>
      </c>
      <c r="B345" s="23" t="str">
        <f>IF(A345="","",IFERROR(INDEX(Ввод!$B$12:$B$71,MATCH(A345,Ввод!$D$12:$D$71,1)),""))</f>
        <v/>
      </c>
      <c r="C345" t="str">
        <f t="shared" si="10"/>
        <v/>
      </c>
      <c r="D345" t="str">
        <f>IF(A345="","",SUMIFS(Акты!$D$5:$D$16,Акты!$E$5:$E$16,"&lt;="&amp;A345)-SUMIFS(Оплаты!$B$6:$B$505,Оплаты!$A$6:$A$505,"&lt;"&amp;A345,Оплаты!$D$6:$D$505,"&lt;&gt;"))</f>
        <v/>
      </c>
      <c r="E345" t="str">
        <f>IF(A345="","",IF(SUMPRODUCT((Ввод!$F$12:$F$31&lt;&gt;"")*(Ввод!$F$12:$F$31&lt;=A345)*(Ввод!$G$12:$G$31&gt;=A345))&gt;0,1,0))</f>
        <v/>
      </c>
      <c r="G345" t="str">
        <f t="shared" si="11"/>
        <v/>
      </c>
    </row>
    <row r="346" spans="1:7" x14ac:dyDescent="0.3">
      <c r="A346" s="21" t="str">
        <f>IF(A345="","",IF(A345+1&gt;Ввод!$B$4,"",A345+1))</f>
        <v/>
      </c>
      <c r="B346" s="23" t="str">
        <f>IF(A346="","",IFERROR(INDEX(Ввод!$B$12:$B$71,MATCH(A346,Ввод!$D$12:$D$71,1)),""))</f>
        <v/>
      </c>
      <c r="C346" t="str">
        <f t="shared" si="10"/>
        <v/>
      </c>
      <c r="D346" t="str">
        <f>IF(A346="","",SUMIFS(Акты!$D$5:$D$16,Акты!$E$5:$E$16,"&lt;="&amp;A346)-SUMIFS(Оплаты!$B$6:$B$505,Оплаты!$A$6:$A$505,"&lt;"&amp;A346,Оплаты!$D$6:$D$505,"&lt;&gt;"))</f>
        <v/>
      </c>
      <c r="E346" t="str">
        <f>IF(A346="","",IF(SUMPRODUCT((Ввод!$F$12:$F$31&lt;&gt;"")*(Ввод!$F$12:$F$31&lt;=A346)*(Ввод!$G$12:$G$31&gt;=A346))&gt;0,1,0))</f>
        <v/>
      </c>
      <c r="G346" t="str">
        <f t="shared" si="11"/>
        <v/>
      </c>
    </row>
    <row r="347" spans="1:7" x14ac:dyDescent="0.3">
      <c r="A347" s="21" t="str">
        <f>IF(A346="","",IF(A346+1&gt;Ввод!$B$4,"",A346+1))</f>
        <v/>
      </c>
      <c r="B347" s="23" t="str">
        <f>IF(A347="","",IFERROR(INDEX(Ввод!$B$12:$B$71,MATCH(A347,Ввод!$D$12:$D$71,1)),""))</f>
        <v/>
      </c>
      <c r="C347" t="str">
        <f t="shared" si="10"/>
        <v/>
      </c>
      <c r="D347" t="str">
        <f>IF(A347="","",SUMIFS(Акты!$D$5:$D$16,Акты!$E$5:$E$16,"&lt;="&amp;A347)-SUMIFS(Оплаты!$B$6:$B$505,Оплаты!$A$6:$A$505,"&lt;"&amp;A347,Оплаты!$D$6:$D$505,"&lt;&gt;"))</f>
        <v/>
      </c>
      <c r="E347" t="str">
        <f>IF(A347="","",IF(SUMPRODUCT((Ввод!$F$12:$F$31&lt;&gt;"")*(Ввод!$F$12:$F$31&lt;=A347)*(Ввод!$G$12:$G$31&gt;=A347))&gt;0,1,0))</f>
        <v/>
      </c>
      <c r="G347" t="str">
        <f t="shared" si="11"/>
        <v/>
      </c>
    </row>
    <row r="348" spans="1:7" x14ac:dyDescent="0.3">
      <c r="A348" s="21" t="str">
        <f>IF(A347="","",IF(A347+1&gt;Ввод!$B$4,"",A347+1))</f>
        <v/>
      </c>
      <c r="B348" s="23" t="str">
        <f>IF(A348="","",IFERROR(INDEX(Ввод!$B$12:$B$71,MATCH(A348,Ввод!$D$12:$D$71,1)),""))</f>
        <v/>
      </c>
      <c r="C348" t="str">
        <f t="shared" si="10"/>
        <v/>
      </c>
      <c r="D348" t="str">
        <f>IF(A348="","",SUMIFS(Акты!$D$5:$D$16,Акты!$E$5:$E$16,"&lt;="&amp;A348)-SUMIFS(Оплаты!$B$6:$B$505,Оплаты!$A$6:$A$505,"&lt;"&amp;A348,Оплаты!$D$6:$D$505,"&lt;&gt;"))</f>
        <v/>
      </c>
      <c r="E348" t="str">
        <f>IF(A348="","",IF(SUMPRODUCT((Ввод!$F$12:$F$31&lt;&gt;"")*(Ввод!$F$12:$F$31&lt;=A348)*(Ввод!$G$12:$G$31&gt;=A348))&gt;0,1,0))</f>
        <v/>
      </c>
      <c r="G348" t="str">
        <f t="shared" si="11"/>
        <v/>
      </c>
    </row>
    <row r="349" spans="1:7" x14ac:dyDescent="0.3">
      <c r="A349" s="21" t="str">
        <f>IF(A348="","",IF(A348+1&gt;Ввод!$B$4,"",A348+1))</f>
        <v/>
      </c>
      <c r="B349" s="23" t="str">
        <f>IF(A349="","",IFERROR(INDEX(Ввод!$B$12:$B$71,MATCH(A349,Ввод!$D$12:$D$71,1)),""))</f>
        <v/>
      </c>
      <c r="C349" t="str">
        <f t="shared" si="10"/>
        <v/>
      </c>
      <c r="D349" t="str">
        <f>IF(A349="","",SUMIFS(Акты!$D$5:$D$16,Акты!$E$5:$E$16,"&lt;="&amp;A349)-SUMIFS(Оплаты!$B$6:$B$505,Оплаты!$A$6:$A$505,"&lt;"&amp;A349,Оплаты!$D$6:$D$505,"&lt;&gt;"))</f>
        <v/>
      </c>
      <c r="E349" t="str">
        <f>IF(A349="","",IF(SUMPRODUCT((Ввод!$F$12:$F$31&lt;&gt;"")*(Ввод!$F$12:$F$31&lt;=A349)*(Ввод!$G$12:$G$31&gt;=A349))&gt;0,1,0))</f>
        <v/>
      </c>
      <c r="G349" t="str">
        <f t="shared" si="11"/>
        <v/>
      </c>
    </row>
    <row r="350" spans="1:7" x14ac:dyDescent="0.3">
      <c r="A350" s="21" t="str">
        <f>IF(A349="","",IF(A349+1&gt;Ввод!$B$4,"",A349+1))</f>
        <v/>
      </c>
      <c r="B350" s="23" t="str">
        <f>IF(A350="","",IFERROR(INDEX(Ввод!$B$12:$B$71,MATCH(A350,Ввод!$D$12:$D$71,1)),""))</f>
        <v/>
      </c>
      <c r="C350" t="str">
        <f t="shared" si="10"/>
        <v/>
      </c>
      <c r="D350" t="str">
        <f>IF(A350="","",SUMIFS(Акты!$D$5:$D$16,Акты!$E$5:$E$16,"&lt;="&amp;A350)-SUMIFS(Оплаты!$B$6:$B$505,Оплаты!$A$6:$A$505,"&lt;"&amp;A350,Оплаты!$D$6:$D$505,"&lt;&gt;"))</f>
        <v/>
      </c>
      <c r="E350" t="str">
        <f>IF(A350="","",IF(SUMPRODUCT((Ввод!$F$12:$F$31&lt;&gt;"")*(Ввод!$F$12:$F$31&lt;=A350)*(Ввод!$G$12:$G$31&gt;=A350))&gt;0,1,0))</f>
        <v/>
      </c>
      <c r="G350" t="str">
        <f t="shared" si="11"/>
        <v/>
      </c>
    </row>
    <row r="351" spans="1:7" x14ac:dyDescent="0.3">
      <c r="A351" s="21" t="str">
        <f>IF(A350="","",IF(A350+1&gt;Ввод!$B$4,"",A350+1))</f>
        <v/>
      </c>
      <c r="B351" s="23" t="str">
        <f>IF(A351="","",IFERROR(INDEX(Ввод!$B$12:$B$71,MATCH(A351,Ввод!$D$12:$D$71,1)),""))</f>
        <v/>
      </c>
      <c r="C351" t="str">
        <f t="shared" si="10"/>
        <v/>
      </c>
      <c r="D351" t="str">
        <f>IF(A351="","",SUMIFS(Акты!$D$5:$D$16,Акты!$E$5:$E$16,"&lt;="&amp;A351)-SUMIFS(Оплаты!$B$6:$B$505,Оплаты!$A$6:$A$505,"&lt;"&amp;A351,Оплаты!$D$6:$D$505,"&lt;&gt;"))</f>
        <v/>
      </c>
      <c r="E351" t="str">
        <f>IF(A351="","",IF(SUMPRODUCT((Ввод!$F$12:$F$31&lt;&gt;"")*(Ввод!$F$12:$F$31&lt;=A351)*(Ввод!$G$12:$G$31&gt;=A351))&gt;0,1,0))</f>
        <v/>
      </c>
      <c r="G351" t="str">
        <f t="shared" si="11"/>
        <v/>
      </c>
    </row>
    <row r="352" spans="1:7" x14ac:dyDescent="0.3">
      <c r="A352" s="21" t="str">
        <f>IF(A351="","",IF(A351+1&gt;Ввод!$B$4,"",A351+1))</f>
        <v/>
      </c>
      <c r="B352" s="23" t="str">
        <f>IF(A352="","",IFERROR(INDEX(Ввод!$B$12:$B$71,MATCH(A352,Ввод!$D$12:$D$71,1)),""))</f>
        <v/>
      </c>
      <c r="C352" t="str">
        <f t="shared" si="10"/>
        <v/>
      </c>
      <c r="D352" t="str">
        <f>IF(A352="","",SUMIFS(Акты!$D$5:$D$16,Акты!$E$5:$E$16,"&lt;="&amp;A352)-SUMIFS(Оплаты!$B$6:$B$505,Оплаты!$A$6:$A$505,"&lt;"&amp;A352,Оплаты!$D$6:$D$505,"&lt;&gt;"))</f>
        <v/>
      </c>
      <c r="E352" t="str">
        <f>IF(A352="","",IF(SUMPRODUCT((Ввод!$F$12:$F$31&lt;&gt;"")*(Ввод!$F$12:$F$31&lt;=A352)*(Ввод!$G$12:$G$31&gt;=A352))&gt;0,1,0))</f>
        <v/>
      </c>
      <c r="G352" t="str">
        <f t="shared" si="11"/>
        <v/>
      </c>
    </row>
    <row r="353" spans="1:7" x14ac:dyDescent="0.3">
      <c r="A353" s="21" t="str">
        <f>IF(A352="","",IF(A352+1&gt;Ввод!$B$4,"",A352+1))</f>
        <v/>
      </c>
      <c r="B353" s="23" t="str">
        <f>IF(A353="","",IFERROR(INDEX(Ввод!$B$12:$B$71,MATCH(A353,Ввод!$D$12:$D$71,1)),""))</f>
        <v/>
      </c>
      <c r="C353" t="str">
        <f t="shared" si="10"/>
        <v/>
      </c>
      <c r="D353" t="str">
        <f>IF(A353="","",SUMIFS(Акты!$D$5:$D$16,Акты!$E$5:$E$16,"&lt;="&amp;A353)-SUMIFS(Оплаты!$B$6:$B$505,Оплаты!$A$6:$A$505,"&lt;"&amp;A353,Оплаты!$D$6:$D$505,"&lt;&gt;"))</f>
        <v/>
      </c>
      <c r="E353" t="str">
        <f>IF(A353="","",IF(SUMPRODUCT((Ввод!$F$12:$F$31&lt;&gt;"")*(Ввод!$F$12:$F$31&lt;=A353)*(Ввод!$G$12:$G$31&gt;=A353))&gt;0,1,0))</f>
        <v/>
      </c>
      <c r="G353" t="str">
        <f t="shared" si="11"/>
        <v/>
      </c>
    </row>
    <row r="354" spans="1:7" x14ac:dyDescent="0.3">
      <c r="A354" s="21" t="str">
        <f>IF(A353="","",IF(A353+1&gt;Ввод!$B$4,"",A353+1))</f>
        <v/>
      </c>
      <c r="B354" s="23" t="str">
        <f>IF(A354="","",IFERROR(INDEX(Ввод!$B$12:$B$71,MATCH(A354,Ввод!$D$12:$D$71,1)),""))</f>
        <v/>
      </c>
      <c r="C354" t="str">
        <f t="shared" si="10"/>
        <v/>
      </c>
      <c r="D354" t="str">
        <f>IF(A354="","",SUMIFS(Акты!$D$5:$D$16,Акты!$E$5:$E$16,"&lt;="&amp;A354)-SUMIFS(Оплаты!$B$6:$B$505,Оплаты!$A$6:$A$505,"&lt;"&amp;A354,Оплаты!$D$6:$D$505,"&lt;&gt;"))</f>
        <v/>
      </c>
      <c r="E354" t="str">
        <f>IF(A354="","",IF(SUMPRODUCT((Ввод!$F$12:$F$31&lt;&gt;"")*(Ввод!$F$12:$F$31&lt;=A354)*(Ввод!$G$12:$G$31&gt;=A354))&gt;0,1,0))</f>
        <v/>
      </c>
      <c r="G354" t="str">
        <f t="shared" si="11"/>
        <v/>
      </c>
    </row>
    <row r="355" spans="1:7" x14ac:dyDescent="0.3">
      <c r="A355" s="21" t="str">
        <f>IF(A354="","",IF(A354+1&gt;Ввод!$B$4,"",A354+1))</f>
        <v/>
      </c>
      <c r="B355" s="23" t="str">
        <f>IF(A355="","",IFERROR(INDEX(Ввод!$B$12:$B$71,MATCH(A355,Ввод!$D$12:$D$71,1)),""))</f>
        <v/>
      </c>
      <c r="C355" t="str">
        <f t="shared" si="10"/>
        <v/>
      </c>
      <c r="D355" t="str">
        <f>IF(A355="","",SUMIFS(Акты!$D$5:$D$16,Акты!$E$5:$E$16,"&lt;="&amp;A355)-SUMIFS(Оплаты!$B$6:$B$505,Оплаты!$A$6:$A$505,"&lt;"&amp;A355,Оплаты!$D$6:$D$505,"&lt;&gt;"))</f>
        <v/>
      </c>
      <c r="E355" t="str">
        <f>IF(A355="","",IF(SUMPRODUCT((Ввод!$F$12:$F$31&lt;&gt;"")*(Ввод!$F$12:$F$31&lt;=A355)*(Ввод!$G$12:$G$31&gt;=A355))&gt;0,1,0))</f>
        <v/>
      </c>
      <c r="G355" t="str">
        <f t="shared" si="11"/>
        <v/>
      </c>
    </row>
    <row r="356" spans="1:7" x14ac:dyDescent="0.3">
      <c r="A356" s="21" t="str">
        <f>IF(A355="","",IF(A355+1&gt;Ввод!$B$4,"",A355+1))</f>
        <v/>
      </c>
      <c r="B356" s="23" t="str">
        <f>IF(A356="","",IFERROR(INDEX(Ввод!$B$12:$B$71,MATCH(A356,Ввод!$D$12:$D$71,1)),""))</f>
        <v/>
      </c>
      <c r="C356" t="str">
        <f t="shared" si="10"/>
        <v/>
      </c>
      <c r="D356" t="str">
        <f>IF(A356="","",SUMIFS(Акты!$D$5:$D$16,Акты!$E$5:$E$16,"&lt;="&amp;A356)-SUMIFS(Оплаты!$B$6:$B$505,Оплаты!$A$6:$A$505,"&lt;"&amp;A356,Оплаты!$D$6:$D$505,"&lt;&gt;"))</f>
        <v/>
      </c>
      <c r="E356" t="str">
        <f>IF(A356="","",IF(SUMPRODUCT((Ввод!$F$12:$F$31&lt;&gt;"")*(Ввод!$F$12:$F$31&lt;=A356)*(Ввод!$G$12:$G$31&gt;=A356))&gt;0,1,0))</f>
        <v/>
      </c>
      <c r="G356" t="str">
        <f t="shared" si="11"/>
        <v/>
      </c>
    </row>
    <row r="357" spans="1:7" x14ac:dyDescent="0.3">
      <c r="A357" s="21" t="str">
        <f>IF(A356="","",IF(A356+1&gt;Ввод!$B$4,"",A356+1))</f>
        <v/>
      </c>
      <c r="B357" s="23" t="str">
        <f>IF(A357="","",IFERROR(INDEX(Ввод!$B$12:$B$71,MATCH(A357,Ввод!$D$12:$D$71,1)),""))</f>
        <v/>
      </c>
      <c r="C357" t="str">
        <f t="shared" si="10"/>
        <v/>
      </c>
      <c r="D357" t="str">
        <f>IF(A357="","",SUMIFS(Акты!$D$5:$D$16,Акты!$E$5:$E$16,"&lt;="&amp;A357)-SUMIFS(Оплаты!$B$6:$B$505,Оплаты!$A$6:$A$505,"&lt;"&amp;A357,Оплаты!$D$6:$D$505,"&lt;&gt;"))</f>
        <v/>
      </c>
      <c r="E357" t="str">
        <f>IF(A357="","",IF(SUMPRODUCT((Ввод!$F$12:$F$31&lt;&gt;"")*(Ввод!$F$12:$F$31&lt;=A357)*(Ввод!$G$12:$G$31&gt;=A357))&gt;0,1,0))</f>
        <v/>
      </c>
      <c r="G357" t="str">
        <f t="shared" si="11"/>
        <v/>
      </c>
    </row>
    <row r="358" spans="1:7" x14ac:dyDescent="0.3">
      <c r="A358" s="21" t="str">
        <f>IF(A357="","",IF(A357+1&gt;Ввод!$B$4,"",A357+1))</f>
        <v/>
      </c>
      <c r="B358" s="23" t="str">
        <f>IF(A358="","",IFERROR(INDEX(Ввод!$B$12:$B$71,MATCH(A358,Ввод!$D$12:$D$71,1)),""))</f>
        <v/>
      </c>
      <c r="C358" t="str">
        <f t="shared" si="10"/>
        <v/>
      </c>
      <c r="D358" t="str">
        <f>IF(A358="","",SUMIFS(Акты!$D$5:$D$16,Акты!$E$5:$E$16,"&lt;="&amp;A358)-SUMIFS(Оплаты!$B$6:$B$505,Оплаты!$A$6:$A$505,"&lt;"&amp;A358,Оплаты!$D$6:$D$505,"&lt;&gt;"))</f>
        <v/>
      </c>
      <c r="E358" t="str">
        <f>IF(A358="","",IF(SUMPRODUCT((Ввод!$F$12:$F$31&lt;&gt;"")*(Ввод!$F$12:$F$31&lt;=A358)*(Ввод!$G$12:$G$31&gt;=A358))&gt;0,1,0))</f>
        <v/>
      </c>
      <c r="G358" t="str">
        <f t="shared" si="11"/>
        <v/>
      </c>
    </row>
    <row r="359" spans="1:7" x14ac:dyDescent="0.3">
      <c r="A359" s="21" t="str">
        <f>IF(A358="","",IF(A358+1&gt;Ввод!$B$4,"",A358+1))</f>
        <v/>
      </c>
      <c r="B359" s="23" t="str">
        <f>IF(A359="","",IFERROR(INDEX(Ввод!$B$12:$B$71,MATCH(A359,Ввод!$D$12:$D$71,1)),""))</f>
        <v/>
      </c>
      <c r="C359" t="str">
        <f t="shared" si="10"/>
        <v/>
      </c>
      <c r="D359" t="str">
        <f>IF(A359="","",SUMIFS(Акты!$D$5:$D$16,Акты!$E$5:$E$16,"&lt;="&amp;A359)-SUMIFS(Оплаты!$B$6:$B$505,Оплаты!$A$6:$A$505,"&lt;"&amp;A359,Оплаты!$D$6:$D$505,"&lt;&gt;"))</f>
        <v/>
      </c>
      <c r="E359" t="str">
        <f>IF(A359="","",IF(SUMPRODUCT((Ввод!$F$12:$F$31&lt;&gt;"")*(Ввод!$F$12:$F$31&lt;=A359)*(Ввод!$G$12:$G$31&gt;=A359))&gt;0,1,0))</f>
        <v/>
      </c>
      <c r="G359" t="str">
        <f t="shared" si="11"/>
        <v/>
      </c>
    </row>
    <row r="360" spans="1:7" x14ac:dyDescent="0.3">
      <c r="A360" s="21" t="str">
        <f>IF(A359="","",IF(A359+1&gt;Ввод!$B$4,"",A359+1))</f>
        <v/>
      </c>
      <c r="B360" s="23" t="str">
        <f>IF(A360="","",IFERROR(INDEX(Ввод!$B$12:$B$71,MATCH(A360,Ввод!$D$12:$D$71,1)),""))</f>
        <v/>
      </c>
      <c r="C360" t="str">
        <f t="shared" si="10"/>
        <v/>
      </c>
      <c r="D360" t="str">
        <f>IF(A360="","",SUMIFS(Акты!$D$5:$D$16,Акты!$E$5:$E$16,"&lt;="&amp;A360)-SUMIFS(Оплаты!$B$6:$B$505,Оплаты!$A$6:$A$505,"&lt;"&amp;A360,Оплаты!$D$6:$D$505,"&lt;&gt;"))</f>
        <v/>
      </c>
      <c r="E360" t="str">
        <f>IF(A360="","",IF(SUMPRODUCT((Ввод!$F$12:$F$31&lt;&gt;"")*(Ввод!$F$12:$F$31&lt;=A360)*(Ввод!$G$12:$G$31&gt;=A360))&gt;0,1,0))</f>
        <v/>
      </c>
      <c r="G360" t="str">
        <f t="shared" si="11"/>
        <v/>
      </c>
    </row>
    <row r="361" spans="1:7" x14ac:dyDescent="0.3">
      <c r="A361" s="21" t="str">
        <f>IF(A360="","",IF(A360+1&gt;Ввод!$B$4,"",A360+1))</f>
        <v/>
      </c>
      <c r="B361" s="23" t="str">
        <f>IF(A361="","",IFERROR(INDEX(Ввод!$B$12:$B$71,MATCH(A361,Ввод!$D$12:$D$71,1)),""))</f>
        <v/>
      </c>
      <c r="C361" t="str">
        <f t="shared" si="10"/>
        <v/>
      </c>
      <c r="D361" t="str">
        <f>IF(A361="","",SUMIFS(Акты!$D$5:$D$16,Акты!$E$5:$E$16,"&lt;="&amp;A361)-SUMIFS(Оплаты!$B$6:$B$505,Оплаты!$A$6:$A$505,"&lt;"&amp;A361,Оплаты!$D$6:$D$505,"&lt;&gt;"))</f>
        <v/>
      </c>
      <c r="E361" t="str">
        <f>IF(A361="","",IF(SUMPRODUCT((Ввод!$F$12:$F$31&lt;&gt;"")*(Ввод!$F$12:$F$31&lt;=A361)*(Ввод!$G$12:$G$31&gt;=A361))&gt;0,1,0))</f>
        <v/>
      </c>
      <c r="G361" t="str">
        <f t="shared" si="11"/>
        <v/>
      </c>
    </row>
    <row r="362" spans="1:7" x14ac:dyDescent="0.3">
      <c r="A362" s="21" t="str">
        <f>IF(A361="","",IF(A361+1&gt;Ввод!$B$4,"",A361+1))</f>
        <v/>
      </c>
      <c r="B362" s="23" t="str">
        <f>IF(A362="","",IFERROR(INDEX(Ввод!$B$12:$B$71,MATCH(A362,Ввод!$D$12:$D$71,1)),""))</f>
        <v/>
      </c>
      <c r="C362" t="str">
        <f t="shared" si="10"/>
        <v/>
      </c>
      <c r="D362" t="str">
        <f>IF(A362="","",SUMIFS(Акты!$D$5:$D$16,Акты!$E$5:$E$16,"&lt;="&amp;A362)-SUMIFS(Оплаты!$B$6:$B$505,Оплаты!$A$6:$A$505,"&lt;"&amp;A362,Оплаты!$D$6:$D$505,"&lt;&gt;"))</f>
        <v/>
      </c>
      <c r="E362" t="str">
        <f>IF(A362="","",IF(SUMPRODUCT((Ввод!$F$12:$F$31&lt;&gt;"")*(Ввод!$F$12:$F$31&lt;=A362)*(Ввод!$G$12:$G$31&gt;=A362))&gt;0,1,0))</f>
        <v/>
      </c>
      <c r="G362" t="str">
        <f t="shared" si="11"/>
        <v/>
      </c>
    </row>
    <row r="363" spans="1:7" x14ac:dyDescent="0.3">
      <c r="A363" s="21" t="str">
        <f>IF(A362="","",IF(A362+1&gt;Ввод!$B$4,"",A362+1))</f>
        <v/>
      </c>
      <c r="B363" s="23" t="str">
        <f>IF(A363="","",IFERROR(INDEX(Ввод!$B$12:$B$71,MATCH(A363,Ввод!$D$12:$D$71,1)),""))</f>
        <v/>
      </c>
      <c r="C363" t="str">
        <f t="shared" si="10"/>
        <v/>
      </c>
      <c r="D363" t="str">
        <f>IF(A363="","",SUMIFS(Акты!$D$5:$D$16,Акты!$E$5:$E$16,"&lt;="&amp;A363)-SUMIFS(Оплаты!$B$6:$B$505,Оплаты!$A$6:$A$505,"&lt;"&amp;A363,Оплаты!$D$6:$D$505,"&lt;&gt;"))</f>
        <v/>
      </c>
      <c r="E363" t="str">
        <f>IF(A363="","",IF(SUMPRODUCT((Ввод!$F$12:$F$31&lt;&gt;"")*(Ввод!$F$12:$F$31&lt;=A363)*(Ввод!$G$12:$G$31&gt;=A363))&gt;0,1,0))</f>
        <v/>
      </c>
      <c r="G363" t="str">
        <f t="shared" si="11"/>
        <v/>
      </c>
    </row>
    <row r="364" spans="1:7" x14ac:dyDescent="0.3">
      <c r="A364" s="21" t="str">
        <f>IF(A363="","",IF(A363+1&gt;Ввод!$B$4,"",A363+1))</f>
        <v/>
      </c>
      <c r="B364" s="23" t="str">
        <f>IF(A364="","",IFERROR(INDEX(Ввод!$B$12:$B$71,MATCH(A364,Ввод!$D$12:$D$71,1)),""))</f>
        <v/>
      </c>
      <c r="C364" t="str">
        <f t="shared" si="10"/>
        <v/>
      </c>
      <c r="D364" t="str">
        <f>IF(A364="","",SUMIFS(Акты!$D$5:$D$16,Акты!$E$5:$E$16,"&lt;="&amp;A364)-SUMIFS(Оплаты!$B$6:$B$505,Оплаты!$A$6:$A$505,"&lt;"&amp;A364,Оплаты!$D$6:$D$505,"&lt;&gt;"))</f>
        <v/>
      </c>
      <c r="E364" t="str">
        <f>IF(A364="","",IF(SUMPRODUCT((Ввод!$F$12:$F$31&lt;&gt;"")*(Ввод!$F$12:$F$31&lt;=A364)*(Ввод!$G$12:$G$31&gt;=A364))&gt;0,1,0))</f>
        <v/>
      </c>
      <c r="G364" t="str">
        <f t="shared" si="11"/>
        <v/>
      </c>
    </row>
    <row r="365" spans="1:7" x14ac:dyDescent="0.3">
      <c r="A365" s="21" t="str">
        <f>IF(A364="","",IF(A364+1&gt;Ввод!$B$4,"",A364+1))</f>
        <v/>
      </c>
      <c r="B365" s="23" t="str">
        <f>IF(A365="","",IFERROR(INDEX(Ввод!$B$12:$B$71,MATCH(A365,Ввод!$D$12:$D$71,1)),""))</f>
        <v/>
      </c>
      <c r="C365" t="str">
        <f t="shared" si="10"/>
        <v/>
      </c>
      <c r="D365" t="str">
        <f>IF(A365="","",SUMIFS(Акты!$D$5:$D$16,Акты!$E$5:$E$16,"&lt;="&amp;A365)-SUMIFS(Оплаты!$B$6:$B$505,Оплаты!$A$6:$A$505,"&lt;"&amp;A365,Оплаты!$D$6:$D$505,"&lt;&gt;"))</f>
        <v/>
      </c>
      <c r="E365" t="str">
        <f>IF(A365="","",IF(SUMPRODUCT((Ввод!$F$12:$F$31&lt;&gt;"")*(Ввод!$F$12:$F$31&lt;=A365)*(Ввод!$G$12:$G$31&gt;=A365))&gt;0,1,0))</f>
        <v/>
      </c>
      <c r="G365" t="str">
        <f t="shared" si="11"/>
        <v/>
      </c>
    </row>
    <row r="366" spans="1:7" x14ac:dyDescent="0.3">
      <c r="A366" s="21" t="str">
        <f>IF(A365="","",IF(A365+1&gt;Ввод!$B$4,"",A365+1))</f>
        <v/>
      </c>
      <c r="B366" s="23" t="str">
        <f>IF(A366="","",IFERROR(INDEX(Ввод!$B$12:$B$71,MATCH(A366,Ввод!$D$12:$D$71,1)),""))</f>
        <v/>
      </c>
      <c r="C366" t="str">
        <f t="shared" si="10"/>
        <v/>
      </c>
      <c r="D366" t="str">
        <f>IF(A366="","",SUMIFS(Акты!$D$5:$D$16,Акты!$E$5:$E$16,"&lt;="&amp;A366)-SUMIFS(Оплаты!$B$6:$B$505,Оплаты!$A$6:$A$505,"&lt;"&amp;A366,Оплаты!$D$6:$D$505,"&lt;&gt;"))</f>
        <v/>
      </c>
      <c r="E366" t="str">
        <f>IF(A366="","",IF(SUMPRODUCT((Ввод!$F$12:$F$31&lt;&gt;"")*(Ввод!$F$12:$F$31&lt;=A366)*(Ввод!$G$12:$G$31&gt;=A366))&gt;0,1,0))</f>
        <v/>
      </c>
      <c r="G366" t="str">
        <f t="shared" si="11"/>
        <v/>
      </c>
    </row>
    <row r="367" spans="1:7" x14ac:dyDescent="0.3">
      <c r="A367" s="21" t="str">
        <f>IF(A366="","",IF(A366+1&gt;Ввод!$B$4,"",A366+1))</f>
        <v/>
      </c>
      <c r="B367" s="23" t="str">
        <f>IF(A367="","",IFERROR(INDEX(Ввод!$B$12:$B$71,MATCH(A367,Ввод!$D$12:$D$71,1)),""))</f>
        <v/>
      </c>
      <c r="C367" t="str">
        <f t="shared" si="10"/>
        <v/>
      </c>
      <c r="D367" t="str">
        <f>IF(A367="","",SUMIFS(Акты!$D$5:$D$16,Акты!$E$5:$E$16,"&lt;="&amp;A367)-SUMIFS(Оплаты!$B$6:$B$505,Оплаты!$A$6:$A$505,"&lt;"&amp;A367,Оплаты!$D$6:$D$505,"&lt;&gt;"))</f>
        <v/>
      </c>
      <c r="E367" t="str">
        <f>IF(A367="","",IF(SUMPRODUCT((Ввод!$F$12:$F$31&lt;&gt;"")*(Ввод!$F$12:$F$31&lt;=A367)*(Ввод!$G$12:$G$31&gt;=A367))&gt;0,1,0))</f>
        <v/>
      </c>
      <c r="G367" t="str">
        <f t="shared" si="11"/>
        <v/>
      </c>
    </row>
    <row r="368" spans="1:7" x14ac:dyDescent="0.3">
      <c r="A368" s="21" t="str">
        <f>IF(A367="","",IF(A367+1&gt;Ввод!$B$4,"",A367+1))</f>
        <v/>
      </c>
      <c r="B368" s="23" t="str">
        <f>IF(A368="","",IFERROR(INDEX(Ввод!$B$12:$B$71,MATCH(A368,Ввод!$D$12:$D$71,1)),""))</f>
        <v/>
      </c>
      <c r="C368" t="str">
        <f t="shared" si="10"/>
        <v/>
      </c>
      <c r="D368" t="str">
        <f>IF(A368="","",SUMIFS(Акты!$D$5:$D$16,Акты!$E$5:$E$16,"&lt;="&amp;A368)-SUMIFS(Оплаты!$B$6:$B$505,Оплаты!$A$6:$A$505,"&lt;"&amp;A368,Оплаты!$D$6:$D$505,"&lt;&gt;"))</f>
        <v/>
      </c>
      <c r="E368" t="str">
        <f>IF(A368="","",IF(SUMPRODUCT((Ввод!$F$12:$F$31&lt;&gt;"")*(Ввод!$F$12:$F$31&lt;=A368)*(Ввод!$G$12:$G$31&gt;=A368))&gt;0,1,0))</f>
        <v/>
      </c>
      <c r="G368" t="str">
        <f t="shared" si="11"/>
        <v/>
      </c>
    </row>
    <row r="369" spans="1:7" x14ac:dyDescent="0.3">
      <c r="A369" s="21" t="str">
        <f>IF(A368="","",IF(A368+1&gt;Ввод!$B$4,"",A368+1))</f>
        <v/>
      </c>
      <c r="B369" s="23" t="str">
        <f>IF(A369="","",IFERROR(INDEX(Ввод!$B$12:$B$71,MATCH(A369,Ввод!$D$12:$D$71,1)),""))</f>
        <v/>
      </c>
      <c r="C369" t="str">
        <f t="shared" si="10"/>
        <v/>
      </c>
      <c r="D369" t="str">
        <f>IF(A369="","",SUMIFS(Акты!$D$5:$D$16,Акты!$E$5:$E$16,"&lt;="&amp;A369)-SUMIFS(Оплаты!$B$6:$B$505,Оплаты!$A$6:$A$505,"&lt;"&amp;A369,Оплаты!$D$6:$D$505,"&lt;&gt;"))</f>
        <v/>
      </c>
      <c r="E369" t="str">
        <f>IF(A369="","",IF(SUMPRODUCT((Ввод!$F$12:$F$31&lt;&gt;"")*(Ввод!$F$12:$F$31&lt;=A369)*(Ввод!$G$12:$G$31&gt;=A369))&gt;0,1,0))</f>
        <v/>
      </c>
      <c r="G369" t="str">
        <f t="shared" si="11"/>
        <v/>
      </c>
    </row>
    <row r="370" spans="1:7" x14ac:dyDescent="0.3">
      <c r="A370" s="21" t="str">
        <f>IF(A369="","",IF(A369+1&gt;Ввод!$B$4,"",A369+1))</f>
        <v/>
      </c>
      <c r="B370" s="23" t="str">
        <f>IF(A370="","",IFERROR(INDEX(Ввод!$B$12:$B$71,MATCH(A370,Ввод!$D$12:$D$71,1)),""))</f>
        <v/>
      </c>
      <c r="C370" t="str">
        <f t="shared" si="10"/>
        <v/>
      </c>
      <c r="D370" t="str">
        <f>IF(A370="","",SUMIFS(Акты!$D$5:$D$16,Акты!$E$5:$E$16,"&lt;="&amp;A370)-SUMIFS(Оплаты!$B$6:$B$505,Оплаты!$A$6:$A$505,"&lt;"&amp;A370,Оплаты!$D$6:$D$505,"&lt;&gt;"))</f>
        <v/>
      </c>
      <c r="E370" t="str">
        <f>IF(A370="","",IF(SUMPRODUCT((Ввод!$F$12:$F$31&lt;&gt;"")*(Ввод!$F$12:$F$31&lt;=A370)*(Ввод!$G$12:$G$31&gt;=A370))&gt;0,1,0))</f>
        <v/>
      </c>
      <c r="G370" t="str">
        <f t="shared" si="11"/>
        <v/>
      </c>
    </row>
    <row r="371" spans="1:7" x14ac:dyDescent="0.3">
      <c r="A371" s="21" t="str">
        <f>IF(A370="","",IF(A370+1&gt;Ввод!$B$4,"",A370+1))</f>
        <v/>
      </c>
      <c r="B371" s="23" t="str">
        <f>IF(A371="","",IFERROR(INDEX(Ввод!$B$12:$B$71,MATCH(A371,Ввод!$D$12:$D$71,1)),""))</f>
        <v/>
      </c>
      <c r="C371" t="str">
        <f t="shared" si="10"/>
        <v/>
      </c>
      <c r="D371" t="str">
        <f>IF(A371="","",SUMIFS(Акты!$D$5:$D$16,Акты!$E$5:$E$16,"&lt;="&amp;A371)-SUMIFS(Оплаты!$B$6:$B$505,Оплаты!$A$6:$A$505,"&lt;"&amp;A371,Оплаты!$D$6:$D$505,"&lt;&gt;"))</f>
        <v/>
      </c>
      <c r="E371" t="str">
        <f>IF(A371="","",IF(SUMPRODUCT((Ввод!$F$12:$F$31&lt;&gt;"")*(Ввод!$F$12:$F$31&lt;=A371)*(Ввод!$G$12:$G$31&gt;=A371))&gt;0,1,0))</f>
        <v/>
      </c>
      <c r="G371" t="str">
        <f t="shared" si="11"/>
        <v/>
      </c>
    </row>
    <row r="372" spans="1:7" x14ac:dyDescent="0.3">
      <c r="A372" s="21" t="str">
        <f>IF(A371="","",IF(A371+1&gt;Ввод!$B$4,"",A371+1))</f>
        <v/>
      </c>
      <c r="B372" s="23" t="str">
        <f>IF(A372="","",IFERROR(INDEX(Ввод!$B$12:$B$71,MATCH(A372,Ввод!$D$12:$D$71,1)),""))</f>
        <v/>
      </c>
      <c r="C372" t="str">
        <f t="shared" si="10"/>
        <v/>
      </c>
      <c r="D372" t="str">
        <f>IF(A372="","",SUMIFS(Акты!$D$5:$D$16,Акты!$E$5:$E$16,"&lt;="&amp;A372)-SUMIFS(Оплаты!$B$6:$B$505,Оплаты!$A$6:$A$505,"&lt;"&amp;A372,Оплаты!$D$6:$D$505,"&lt;&gt;"))</f>
        <v/>
      </c>
      <c r="E372" t="str">
        <f>IF(A372="","",IF(SUMPRODUCT((Ввод!$F$12:$F$31&lt;&gt;"")*(Ввод!$F$12:$F$31&lt;=A372)*(Ввод!$G$12:$G$31&gt;=A372))&gt;0,1,0))</f>
        <v/>
      </c>
      <c r="G372" t="str">
        <f t="shared" si="11"/>
        <v/>
      </c>
    </row>
    <row r="373" spans="1:7" x14ac:dyDescent="0.3">
      <c r="A373" s="21" t="str">
        <f>IF(A372="","",IF(A372+1&gt;Ввод!$B$4,"",A372+1))</f>
        <v/>
      </c>
      <c r="B373" s="23" t="str">
        <f>IF(A373="","",IFERROR(INDEX(Ввод!$B$12:$B$71,MATCH(A373,Ввод!$D$12:$D$71,1)),""))</f>
        <v/>
      </c>
      <c r="C373" t="str">
        <f t="shared" si="10"/>
        <v/>
      </c>
      <c r="D373" t="str">
        <f>IF(A373="","",SUMIFS(Акты!$D$5:$D$16,Акты!$E$5:$E$16,"&lt;="&amp;A373)-SUMIFS(Оплаты!$B$6:$B$505,Оплаты!$A$6:$A$505,"&lt;"&amp;A373,Оплаты!$D$6:$D$505,"&lt;&gt;"))</f>
        <v/>
      </c>
      <c r="E373" t="str">
        <f>IF(A373="","",IF(SUMPRODUCT((Ввод!$F$12:$F$31&lt;&gt;"")*(Ввод!$F$12:$F$31&lt;=A373)*(Ввод!$G$12:$G$31&gt;=A373))&gt;0,1,0))</f>
        <v/>
      </c>
      <c r="G373" t="str">
        <f t="shared" si="11"/>
        <v/>
      </c>
    </row>
    <row r="374" spans="1:7" x14ac:dyDescent="0.3">
      <c r="A374" s="21" t="str">
        <f>IF(A373="","",IF(A373+1&gt;Ввод!$B$4,"",A373+1))</f>
        <v/>
      </c>
      <c r="B374" s="23" t="str">
        <f>IF(A374="","",IFERROR(INDEX(Ввод!$B$12:$B$71,MATCH(A374,Ввод!$D$12:$D$71,1)),""))</f>
        <v/>
      </c>
      <c r="C374" t="str">
        <f t="shared" si="10"/>
        <v/>
      </c>
      <c r="D374" t="str">
        <f>IF(A374="","",SUMIFS(Акты!$D$5:$D$16,Акты!$E$5:$E$16,"&lt;="&amp;A374)-SUMIFS(Оплаты!$B$6:$B$505,Оплаты!$A$6:$A$505,"&lt;"&amp;A374,Оплаты!$D$6:$D$505,"&lt;&gt;"))</f>
        <v/>
      </c>
      <c r="E374" t="str">
        <f>IF(A374="","",IF(SUMPRODUCT((Ввод!$F$12:$F$31&lt;&gt;"")*(Ввод!$F$12:$F$31&lt;=A374)*(Ввод!$G$12:$G$31&gt;=A374))&gt;0,1,0))</f>
        <v/>
      </c>
      <c r="G374" t="str">
        <f t="shared" si="11"/>
        <v/>
      </c>
    </row>
    <row r="375" spans="1:7" x14ac:dyDescent="0.3">
      <c r="A375" s="21" t="str">
        <f>IF(A374="","",IF(A374+1&gt;Ввод!$B$4,"",A374+1))</f>
        <v/>
      </c>
      <c r="B375" s="23" t="str">
        <f>IF(A375="","",IFERROR(INDEX(Ввод!$B$12:$B$71,MATCH(A375,Ввод!$D$12:$D$71,1)),""))</f>
        <v/>
      </c>
      <c r="C375" t="str">
        <f t="shared" si="10"/>
        <v/>
      </c>
      <c r="D375" t="str">
        <f>IF(A375="","",SUMIFS(Акты!$D$5:$D$16,Акты!$E$5:$E$16,"&lt;="&amp;A375)-SUMIFS(Оплаты!$B$6:$B$505,Оплаты!$A$6:$A$505,"&lt;"&amp;A375,Оплаты!$D$6:$D$505,"&lt;&gt;"))</f>
        <v/>
      </c>
      <c r="E375" t="str">
        <f>IF(A375="","",IF(SUMPRODUCT((Ввод!$F$12:$F$31&lt;&gt;"")*(Ввод!$F$12:$F$31&lt;=A375)*(Ввод!$G$12:$G$31&gt;=A375))&gt;0,1,0))</f>
        <v/>
      </c>
      <c r="G375" t="str">
        <f t="shared" si="11"/>
        <v/>
      </c>
    </row>
    <row r="376" spans="1:7" x14ac:dyDescent="0.3">
      <c r="A376" s="21" t="str">
        <f>IF(A375="","",IF(A375+1&gt;Ввод!$B$4,"",A375+1))</f>
        <v/>
      </c>
      <c r="B376" s="23" t="str">
        <f>IF(A376="","",IFERROR(INDEX(Ввод!$B$12:$B$71,MATCH(A376,Ввод!$D$12:$D$71,1)),""))</f>
        <v/>
      </c>
      <c r="C376" t="str">
        <f t="shared" si="10"/>
        <v/>
      </c>
      <c r="D376" t="str">
        <f>IF(A376="","",SUMIFS(Акты!$D$5:$D$16,Акты!$E$5:$E$16,"&lt;="&amp;A376)-SUMIFS(Оплаты!$B$6:$B$505,Оплаты!$A$6:$A$505,"&lt;"&amp;A376,Оплаты!$D$6:$D$505,"&lt;&gt;"))</f>
        <v/>
      </c>
      <c r="E376" t="str">
        <f>IF(A376="","",IF(SUMPRODUCT((Ввод!$F$12:$F$31&lt;&gt;"")*(Ввод!$F$12:$F$31&lt;=A376)*(Ввод!$G$12:$G$31&gt;=A376))&gt;0,1,0))</f>
        <v/>
      </c>
      <c r="G376" t="str">
        <f t="shared" si="11"/>
        <v/>
      </c>
    </row>
    <row r="377" spans="1:7" x14ac:dyDescent="0.3">
      <c r="A377" s="21" t="str">
        <f>IF(A376="","",IF(A376+1&gt;Ввод!$B$4,"",A376+1))</f>
        <v/>
      </c>
      <c r="B377" s="23" t="str">
        <f>IF(A377="","",IFERROR(INDEX(Ввод!$B$12:$B$71,MATCH(A377,Ввод!$D$12:$D$71,1)),""))</f>
        <v/>
      </c>
      <c r="C377" t="str">
        <f t="shared" si="10"/>
        <v/>
      </c>
      <c r="D377" t="str">
        <f>IF(A377="","",SUMIFS(Акты!$D$5:$D$16,Акты!$E$5:$E$16,"&lt;="&amp;A377)-SUMIFS(Оплаты!$B$6:$B$505,Оплаты!$A$6:$A$505,"&lt;"&amp;A377,Оплаты!$D$6:$D$505,"&lt;&gt;"))</f>
        <v/>
      </c>
      <c r="E377" t="str">
        <f>IF(A377="","",IF(SUMPRODUCT((Ввод!$F$12:$F$31&lt;&gt;"")*(Ввод!$F$12:$F$31&lt;=A377)*(Ввод!$G$12:$G$31&gt;=A377))&gt;0,1,0))</f>
        <v/>
      </c>
      <c r="G377" t="str">
        <f t="shared" si="11"/>
        <v/>
      </c>
    </row>
    <row r="378" spans="1:7" x14ac:dyDescent="0.3">
      <c r="A378" s="21" t="str">
        <f>IF(A377="","",IF(A377+1&gt;Ввод!$B$4,"",A377+1))</f>
        <v/>
      </c>
      <c r="B378" s="23" t="str">
        <f>IF(A378="","",IFERROR(INDEX(Ввод!$B$12:$B$71,MATCH(A378,Ввод!$D$12:$D$71,1)),""))</f>
        <v/>
      </c>
      <c r="C378" t="str">
        <f t="shared" si="10"/>
        <v/>
      </c>
      <c r="D378" t="str">
        <f>IF(A378="","",SUMIFS(Акты!$D$5:$D$16,Акты!$E$5:$E$16,"&lt;="&amp;A378)-SUMIFS(Оплаты!$B$6:$B$505,Оплаты!$A$6:$A$505,"&lt;"&amp;A378,Оплаты!$D$6:$D$505,"&lt;&gt;"))</f>
        <v/>
      </c>
      <c r="E378" t="str">
        <f>IF(A378="","",IF(SUMPRODUCT((Ввод!$F$12:$F$31&lt;&gt;"")*(Ввод!$F$12:$F$31&lt;=A378)*(Ввод!$G$12:$G$31&gt;=A378))&gt;0,1,0))</f>
        <v/>
      </c>
      <c r="G378" t="str">
        <f t="shared" si="11"/>
        <v/>
      </c>
    </row>
    <row r="379" spans="1:7" x14ac:dyDescent="0.3">
      <c r="A379" s="21" t="str">
        <f>IF(A378="","",IF(A378+1&gt;Ввод!$B$4,"",A378+1))</f>
        <v/>
      </c>
      <c r="B379" s="23" t="str">
        <f>IF(A379="","",IFERROR(INDEX(Ввод!$B$12:$B$71,MATCH(A379,Ввод!$D$12:$D$71,1)),""))</f>
        <v/>
      </c>
      <c r="C379" t="str">
        <f t="shared" si="10"/>
        <v/>
      </c>
      <c r="D379" t="str">
        <f>IF(A379="","",SUMIFS(Акты!$D$5:$D$16,Акты!$E$5:$E$16,"&lt;="&amp;A379)-SUMIFS(Оплаты!$B$6:$B$505,Оплаты!$A$6:$A$505,"&lt;"&amp;A379,Оплаты!$D$6:$D$505,"&lt;&gt;"))</f>
        <v/>
      </c>
      <c r="E379" t="str">
        <f>IF(A379="","",IF(SUMPRODUCT((Ввод!$F$12:$F$31&lt;&gt;"")*(Ввод!$F$12:$F$31&lt;=A379)*(Ввод!$G$12:$G$31&gt;=A379))&gt;0,1,0))</f>
        <v/>
      </c>
      <c r="G379" t="str">
        <f t="shared" si="11"/>
        <v/>
      </c>
    </row>
    <row r="380" spans="1:7" x14ac:dyDescent="0.3">
      <c r="A380" s="21" t="str">
        <f>IF(A379="","",IF(A379+1&gt;Ввод!$B$4,"",A379+1))</f>
        <v/>
      </c>
      <c r="B380" s="23" t="str">
        <f>IF(A380="","",IFERROR(INDEX(Ввод!$B$12:$B$71,MATCH(A380,Ввод!$D$12:$D$71,1)),""))</f>
        <v/>
      </c>
      <c r="C380" t="str">
        <f t="shared" si="10"/>
        <v/>
      </c>
      <c r="D380" t="str">
        <f>IF(A380="","",SUMIFS(Акты!$D$5:$D$16,Акты!$E$5:$E$16,"&lt;="&amp;A380)-SUMIFS(Оплаты!$B$6:$B$505,Оплаты!$A$6:$A$505,"&lt;"&amp;A380,Оплаты!$D$6:$D$505,"&lt;&gt;"))</f>
        <v/>
      </c>
      <c r="E380" t="str">
        <f>IF(A380="","",IF(SUMPRODUCT((Ввод!$F$12:$F$31&lt;&gt;"")*(Ввод!$F$12:$F$31&lt;=A380)*(Ввод!$G$12:$G$31&gt;=A380))&gt;0,1,0))</f>
        <v/>
      </c>
      <c r="G380" t="str">
        <f t="shared" si="11"/>
        <v/>
      </c>
    </row>
    <row r="381" spans="1:7" x14ac:dyDescent="0.3">
      <c r="A381" s="21" t="str">
        <f>IF(A380="","",IF(A380+1&gt;Ввод!$B$4,"",A380+1))</f>
        <v/>
      </c>
      <c r="B381" s="23" t="str">
        <f>IF(A381="","",IFERROR(INDEX(Ввод!$B$12:$B$71,MATCH(A381,Ввод!$D$12:$D$71,1)),""))</f>
        <v/>
      </c>
      <c r="C381" t="str">
        <f t="shared" si="10"/>
        <v/>
      </c>
      <c r="D381" t="str">
        <f>IF(A381="","",SUMIFS(Акты!$D$5:$D$16,Акты!$E$5:$E$16,"&lt;="&amp;A381)-SUMIFS(Оплаты!$B$6:$B$505,Оплаты!$A$6:$A$505,"&lt;"&amp;A381,Оплаты!$D$6:$D$505,"&lt;&gt;"))</f>
        <v/>
      </c>
      <c r="E381" t="str">
        <f>IF(A381="","",IF(SUMPRODUCT((Ввод!$F$12:$F$31&lt;&gt;"")*(Ввод!$F$12:$F$31&lt;=A381)*(Ввод!$G$12:$G$31&gt;=A381))&gt;0,1,0))</f>
        <v/>
      </c>
      <c r="G381" t="str">
        <f t="shared" si="11"/>
        <v/>
      </c>
    </row>
    <row r="382" spans="1:7" x14ac:dyDescent="0.3">
      <c r="A382" s="21" t="str">
        <f>IF(A381="","",IF(A381+1&gt;Ввод!$B$4,"",A381+1))</f>
        <v/>
      </c>
      <c r="B382" s="23" t="str">
        <f>IF(A382="","",IFERROR(INDEX(Ввод!$B$12:$B$71,MATCH(A382,Ввод!$D$12:$D$71,1)),""))</f>
        <v/>
      </c>
      <c r="C382" t="str">
        <f t="shared" si="10"/>
        <v/>
      </c>
      <c r="D382" t="str">
        <f>IF(A382="","",SUMIFS(Акты!$D$5:$D$16,Акты!$E$5:$E$16,"&lt;="&amp;A382)-SUMIFS(Оплаты!$B$6:$B$505,Оплаты!$A$6:$A$505,"&lt;"&amp;A382,Оплаты!$D$6:$D$505,"&lt;&gt;"))</f>
        <v/>
      </c>
      <c r="E382" t="str">
        <f>IF(A382="","",IF(SUMPRODUCT((Ввод!$F$12:$F$31&lt;&gt;"")*(Ввод!$F$12:$F$31&lt;=A382)*(Ввод!$G$12:$G$31&gt;=A382))&gt;0,1,0))</f>
        <v/>
      </c>
      <c r="G382" t="str">
        <f t="shared" si="11"/>
        <v/>
      </c>
    </row>
    <row r="383" spans="1:7" x14ac:dyDescent="0.3">
      <c r="A383" s="21" t="str">
        <f>IF(A382="","",IF(A382+1&gt;Ввод!$B$4,"",A382+1))</f>
        <v/>
      </c>
      <c r="B383" s="23" t="str">
        <f>IF(A383="","",IFERROR(INDEX(Ввод!$B$12:$B$71,MATCH(A383,Ввод!$D$12:$D$71,1)),""))</f>
        <v/>
      </c>
      <c r="C383" t="str">
        <f t="shared" si="10"/>
        <v/>
      </c>
      <c r="D383" t="str">
        <f>IF(A383="","",SUMIFS(Акты!$D$5:$D$16,Акты!$E$5:$E$16,"&lt;="&amp;A383)-SUMIFS(Оплаты!$B$6:$B$505,Оплаты!$A$6:$A$505,"&lt;"&amp;A383,Оплаты!$D$6:$D$505,"&lt;&gt;"))</f>
        <v/>
      </c>
      <c r="E383" t="str">
        <f>IF(A383="","",IF(SUMPRODUCT((Ввод!$F$12:$F$31&lt;&gt;"")*(Ввод!$F$12:$F$31&lt;=A383)*(Ввод!$G$12:$G$31&gt;=A383))&gt;0,1,0))</f>
        <v/>
      </c>
      <c r="G383" t="str">
        <f t="shared" si="11"/>
        <v/>
      </c>
    </row>
    <row r="384" spans="1:7" x14ac:dyDescent="0.3">
      <c r="A384" s="21" t="str">
        <f>IF(A383="","",IF(A383+1&gt;Ввод!$B$4,"",A383+1))</f>
        <v/>
      </c>
      <c r="B384" s="23" t="str">
        <f>IF(A384="","",IFERROR(INDEX(Ввод!$B$12:$B$71,MATCH(A384,Ввод!$D$12:$D$71,1)),""))</f>
        <v/>
      </c>
      <c r="C384" t="str">
        <f t="shared" si="10"/>
        <v/>
      </c>
      <c r="D384" t="str">
        <f>IF(A384="","",SUMIFS(Акты!$D$5:$D$16,Акты!$E$5:$E$16,"&lt;="&amp;A384)-SUMIFS(Оплаты!$B$6:$B$505,Оплаты!$A$6:$A$505,"&lt;"&amp;A384,Оплаты!$D$6:$D$505,"&lt;&gt;"))</f>
        <v/>
      </c>
      <c r="E384" t="str">
        <f>IF(A384="","",IF(SUMPRODUCT((Ввод!$F$12:$F$31&lt;&gt;"")*(Ввод!$F$12:$F$31&lt;=A384)*(Ввод!$G$12:$G$31&gt;=A384))&gt;0,1,0))</f>
        <v/>
      </c>
      <c r="G384" t="str">
        <f t="shared" si="11"/>
        <v/>
      </c>
    </row>
    <row r="385" spans="1:7" x14ac:dyDescent="0.3">
      <c r="A385" s="21" t="str">
        <f>IF(A384="","",IF(A384+1&gt;Ввод!$B$4,"",A384+1))</f>
        <v/>
      </c>
      <c r="B385" s="23" t="str">
        <f>IF(A385="","",IFERROR(INDEX(Ввод!$B$12:$B$71,MATCH(A385,Ввод!$D$12:$D$71,1)),""))</f>
        <v/>
      </c>
      <c r="C385" t="str">
        <f t="shared" si="10"/>
        <v/>
      </c>
      <c r="D385" t="str">
        <f>IF(A385="","",SUMIFS(Акты!$D$5:$D$16,Акты!$E$5:$E$16,"&lt;="&amp;A385)-SUMIFS(Оплаты!$B$6:$B$505,Оплаты!$A$6:$A$505,"&lt;"&amp;A385,Оплаты!$D$6:$D$505,"&lt;&gt;"))</f>
        <v/>
      </c>
      <c r="E385" t="str">
        <f>IF(A385="","",IF(SUMPRODUCT((Ввод!$F$12:$F$31&lt;&gt;"")*(Ввод!$F$12:$F$31&lt;=A385)*(Ввод!$G$12:$G$31&gt;=A385))&gt;0,1,0))</f>
        <v/>
      </c>
      <c r="G385" t="str">
        <f t="shared" si="11"/>
        <v/>
      </c>
    </row>
    <row r="386" spans="1:7" x14ac:dyDescent="0.3">
      <c r="A386" s="21" t="str">
        <f>IF(A385="","",IF(A385+1&gt;Ввод!$B$4,"",A385+1))</f>
        <v/>
      </c>
      <c r="B386" s="23" t="str">
        <f>IF(A386="","",IFERROR(INDEX(Ввод!$B$12:$B$71,MATCH(A386,Ввод!$D$12:$D$71,1)),""))</f>
        <v/>
      </c>
      <c r="C386" t="str">
        <f t="shared" ref="C386:C449" si="12">IF(A386="","",DATE(YEAR(A386),12,31)-DATE(YEAR(A386),1,1)+1)</f>
        <v/>
      </c>
      <c r="D386" t="str">
        <f>IF(A386="","",SUMIFS(Акты!$D$5:$D$16,Акты!$E$5:$E$16,"&lt;="&amp;A386)-SUMIFS(Оплаты!$B$6:$B$505,Оплаты!$A$6:$A$505,"&lt;"&amp;A386,Оплаты!$D$6:$D$505,"&lt;&gt;"))</f>
        <v/>
      </c>
      <c r="E386" t="str">
        <f>IF(A386="","",IF(SUMPRODUCT((Ввод!$F$12:$F$31&lt;&gt;"")*(Ввод!$F$12:$F$31&lt;=A386)*(Ввод!$G$12:$G$31&gt;=A386))&gt;0,1,0))</f>
        <v/>
      </c>
      <c r="G386" t="str">
        <f t="shared" si="11"/>
        <v/>
      </c>
    </row>
    <row r="387" spans="1:7" x14ac:dyDescent="0.3">
      <c r="A387" s="21" t="str">
        <f>IF(A386="","",IF(A386+1&gt;Ввод!$B$4,"",A386+1))</f>
        <v/>
      </c>
      <c r="B387" s="23" t="str">
        <f>IF(A387="","",IFERROR(INDEX(Ввод!$B$12:$B$71,MATCH(A387,Ввод!$D$12:$D$71,1)),""))</f>
        <v/>
      </c>
      <c r="C387" t="str">
        <f t="shared" si="12"/>
        <v/>
      </c>
      <c r="D387" t="str">
        <f>IF(A387="","",SUMIFS(Акты!$D$5:$D$16,Акты!$E$5:$E$16,"&lt;="&amp;A387)-SUMIFS(Оплаты!$B$6:$B$505,Оплаты!$A$6:$A$505,"&lt;"&amp;A387,Оплаты!$D$6:$D$505,"&lt;&gt;"))</f>
        <v/>
      </c>
      <c r="E387" t="str">
        <f>IF(A387="","",IF(SUMPRODUCT((Ввод!$F$12:$F$31&lt;&gt;"")*(Ввод!$F$12:$F$31&lt;=A387)*(Ввод!$G$12:$G$31&gt;=A387))&gt;0,1,0))</f>
        <v/>
      </c>
      <c r="G387" t="str">
        <f t="shared" ref="G387:G450" si="13">IF(A387="","",IF(OR(B387&lt;&gt;B386,C387&lt;&gt;C386,E387&lt;&gt;E386),G386+1,G386))</f>
        <v/>
      </c>
    </row>
    <row r="388" spans="1:7" x14ac:dyDescent="0.3">
      <c r="A388" s="21" t="str">
        <f>IF(A387="","",IF(A387+1&gt;Ввод!$B$4,"",A387+1))</f>
        <v/>
      </c>
      <c r="B388" s="23" t="str">
        <f>IF(A388="","",IFERROR(INDEX(Ввод!$B$12:$B$71,MATCH(A388,Ввод!$D$12:$D$71,1)),""))</f>
        <v/>
      </c>
      <c r="C388" t="str">
        <f t="shared" si="12"/>
        <v/>
      </c>
      <c r="D388" t="str">
        <f>IF(A388="","",SUMIFS(Акты!$D$5:$D$16,Акты!$E$5:$E$16,"&lt;="&amp;A388)-SUMIFS(Оплаты!$B$6:$B$505,Оплаты!$A$6:$A$505,"&lt;"&amp;A388,Оплаты!$D$6:$D$505,"&lt;&gt;"))</f>
        <v/>
      </c>
      <c r="E388" t="str">
        <f>IF(A388="","",IF(SUMPRODUCT((Ввод!$F$12:$F$31&lt;&gt;"")*(Ввод!$F$12:$F$31&lt;=A388)*(Ввод!$G$12:$G$31&gt;=A388))&gt;0,1,0))</f>
        <v/>
      </c>
      <c r="G388" t="str">
        <f t="shared" si="13"/>
        <v/>
      </c>
    </row>
    <row r="389" spans="1:7" x14ac:dyDescent="0.3">
      <c r="A389" s="21" t="str">
        <f>IF(A388="","",IF(A388+1&gt;Ввод!$B$4,"",A388+1))</f>
        <v/>
      </c>
      <c r="B389" s="23" t="str">
        <f>IF(A389="","",IFERROR(INDEX(Ввод!$B$12:$B$71,MATCH(A389,Ввод!$D$12:$D$71,1)),""))</f>
        <v/>
      </c>
      <c r="C389" t="str">
        <f t="shared" si="12"/>
        <v/>
      </c>
      <c r="D389" t="str">
        <f>IF(A389="","",SUMIFS(Акты!$D$5:$D$16,Акты!$E$5:$E$16,"&lt;="&amp;A389)-SUMIFS(Оплаты!$B$6:$B$505,Оплаты!$A$6:$A$505,"&lt;"&amp;A389,Оплаты!$D$6:$D$505,"&lt;&gt;"))</f>
        <v/>
      </c>
      <c r="E389" t="str">
        <f>IF(A389="","",IF(SUMPRODUCT((Ввод!$F$12:$F$31&lt;&gt;"")*(Ввод!$F$12:$F$31&lt;=A389)*(Ввод!$G$12:$G$31&gt;=A389))&gt;0,1,0))</f>
        <v/>
      </c>
      <c r="G389" t="str">
        <f t="shared" si="13"/>
        <v/>
      </c>
    </row>
    <row r="390" spans="1:7" x14ac:dyDescent="0.3">
      <c r="A390" s="21" t="str">
        <f>IF(A389="","",IF(A389+1&gt;Ввод!$B$4,"",A389+1))</f>
        <v/>
      </c>
      <c r="B390" s="23" t="str">
        <f>IF(A390="","",IFERROR(INDEX(Ввод!$B$12:$B$71,MATCH(A390,Ввод!$D$12:$D$71,1)),""))</f>
        <v/>
      </c>
      <c r="C390" t="str">
        <f t="shared" si="12"/>
        <v/>
      </c>
      <c r="D390" t="str">
        <f>IF(A390="","",SUMIFS(Акты!$D$5:$D$16,Акты!$E$5:$E$16,"&lt;="&amp;A390)-SUMIFS(Оплаты!$B$6:$B$505,Оплаты!$A$6:$A$505,"&lt;"&amp;A390,Оплаты!$D$6:$D$505,"&lt;&gt;"))</f>
        <v/>
      </c>
      <c r="E390" t="str">
        <f>IF(A390="","",IF(SUMPRODUCT((Ввод!$F$12:$F$31&lt;&gt;"")*(Ввод!$F$12:$F$31&lt;=A390)*(Ввод!$G$12:$G$31&gt;=A390))&gt;0,1,0))</f>
        <v/>
      </c>
      <c r="G390" t="str">
        <f t="shared" si="13"/>
        <v/>
      </c>
    </row>
    <row r="391" spans="1:7" x14ac:dyDescent="0.3">
      <c r="A391" s="21" t="str">
        <f>IF(A390="","",IF(A390+1&gt;Ввод!$B$4,"",A390+1))</f>
        <v/>
      </c>
      <c r="B391" s="23" t="str">
        <f>IF(A391="","",IFERROR(INDEX(Ввод!$B$12:$B$71,MATCH(A391,Ввод!$D$12:$D$71,1)),""))</f>
        <v/>
      </c>
      <c r="C391" t="str">
        <f t="shared" si="12"/>
        <v/>
      </c>
      <c r="D391" t="str">
        <f>IF(A391="","",SUMIFS(Акты!$D$5:$D$16,Акты!$E$5:$E$16,"&lt;="&amp;A391)-SUMIFS(Оплаты!$B$6:$B$505,Оплаты!$A$6:$A$505,"&lt;"&amp;A391,Оплаты!$D$6:$D$505,"&lt;&gt;"))</f>
        <v/>
      </c>
      <c r="E391" t="str">
        <f>IF(A391="","",IF(SUMPRODUCT((Ввод!$F$12:$F$31&lt;&gt;"")*(Ввод!$F$12:$F$31&lt;=A391)*(Ввод!$G$12:$G$31&gt;=A391))&gt;0,1,0))</f>
        <v/>
      </c>
      <c r="G391" t="str">
        <f t="shared" si="13"/>
        <v/>
      </c>
    </row>
    <row r="392" spans="1:7" x14ac:dyDescent="0.3">
      <c r="A392" s="21" t="str">
        <f>IF(A391="","",IF(A391+1&gt;Ввод!$B$4,"",A391+1))</f>
        <v/>
      </c>
      <c r="B392" s="23" t="str">
        <f>IF(A392="","",IFERROR(INDEX(Ввод!$B$12:$B$71,MATCH(A392,Ввод!$D$12:$D$71,1)),""))</f>
        <v/>
      </c>
      <c r="C392" t="str">
        <f t="shared" si="12"/>
        <v/>
      </c>
      <c r="D392" t="str">
        <f>IF(A392="","",SUMIFS(Акты!$D$5:$D$16,Акты!$E$5:$E$16,"&lt;="&amp;A392)-SUMIFS(Оплаты!$B$6:$B$505,Оплаты!$A$6:$A$505,"&lt;"&amp;A392,Оплаты!$D$6:$D$505,"&lt;&gt;"))</f>
        <v/>
      </c>
      <c r="E392" t="str">
        <f>IF(A392="","",IF(SUMPRODUCT((Ввод!$F$12:$F$31&lt;&gt;"")*(Ввод!$F$12:$F$31&lt;=A392)*(Ввод!$G$12:$G$31&gt;=A392))&gt;0,1,0))</f>
        <v/>
      </c>
      <c r="G392" t="str">
        <f t="shared" si="13"/>
        <v/>
      </c>
    </row>
    <row r="393" spans="1:7" x14ac:dyDescent="0.3">
      <c r="A393" s="21" t="str">
        <f>IF(A392="","",IF(A392+1&gt;Ввод!$B$4,"",A392+1))</f>
        <v/>
      </c>
      <c r="B393" s="23" t="str">
        <f>IF(A393="","",IFERROR(INDEX(Ввод!$B$12:$B$71,MATCH(A393,Ввод!$D$12:$D$71,1)),""))</f>
        <v/>
      </c>
      <c r="C393" t="str">
        <f t="shared" si="12"/>
        <v/>
      </c>
      <c r="D393" t="str">
        <f>IF(A393="","",SUMIFS(Акты!$D$5:$D$16,Акты!$E$5:$E$16,"&lt;="&amp;A393)-SUMIFS(Оплаты!$B$6:$B$505,Оплаты!$A$6:$A$505,"&lt;"&amp;A393,Оплаты!$D$6:$D$505,"&lt;&gt;"))</f>
        <v/>
      </c>
      <c r="E393" t="str">
        <f>IF(A393="","",IF(SUMPRODUCT((Ввод!$F$12:$F$31&lt;&gt;"")*(Ввод!$F$12:$F$31&lt;=A393)*(Ввод!$G$12:$G$31&gt;=A393))&gt;0,1,0))</f>
        <v/>
      </c>
      <c r="G393" t="str">
        <f t="shared" si="13"/>
        <v/>
      </c>
    </row>
    <row r="394" spans="1:7" x14ac:dyDescent="0.3">
      <c r="A394" s="21" t="str">
        <f>IF(A393="","",IF(A393+1&gt;Ввод!$B$4,"",A393+1))</f>
        <v/>
      </c>
      <c r="B394" s="23" t="str">
        <f>IF(A394="","",IFERROR(INDEX(Ввод!$B$12:$B$71,MATCH(A394,Ввод!$D$12:$D$71,1)),""))</f>
        <v/>
      </c>
      <c r="C394" t="str">
        <f t="shared" si="12"/>
        <v/>
      </c>
      <c r="D394" t="str">
        <f>IF(A394="","",SUMIFS(Акты!$D$5:$D$16,Акты!$E$5:$E$16,"&lt;="&amp;A394)-SUMIFS(Оплаты!$B$6:$B$505,Оплаты!$A$6:$A$505,"&lt;"&amp;A394,Оплаты!$D$6:$D$505,"&lt;&gt;"))</f>
        <v/>
      </c>
      <c r="E394" t="str">
        <f>IF(A394="","",IF(SUMPRODUCT((Ввод!$F$12:$F$31&lt;&gt;"")*(Ввод!$F$12:$F$31&lt;=A394)*(Ввод!$G$12:$G$31&gt;=A394))&gt;0,1,0))</f>
        <v/>
      </c>
      <c r="G394" t="str">
        <f t="shared" si="13"/>
        <v/>
      </c>
    </row>
    <row r="395" spans="1:7" x14ac:dyDescent="0.3">
      <c r="A395" s="21" t="str">
        <f>IF(A394="","",IF(A394+1&gt;Ввод!$B$4,"",A394+1))</f>
        <v/>
      </c>
      <c r="B395" s="23" t="str">
        <f>IF(A395="","",IFERROR(INDEX(Ввод!$B$12:$B$71,MATCH(A395,Ввод!$D$12:$D$71,1)),""))</f>
        <v/>
      </c>
      <c r="C395" t="str">
        <f t="shared" si="12"/>
        <v/>
      </c>
      <c r="D395" t="str">
        <f>IF(A395="","",SUMIFS(Акты!$D$5:$D$16,Акты!$E$5:$E$16,"&lt;="&amp;A395)-SUMIFS(Оплаты!$B$6:$B$505,Оплаты!$A$6:$A$505,"&lt;"&amp;A395,Оплаты!$D$6:$D$505,"&lt;&gt;"))</f>
        <v/>
      </c>
      <c r="E395" t="str">
        <f>IF(A395="","",IF(SUMPRODUCT((Ввод!$F$12:$F$31&lt;&gt;"")*(Ввод!$F$12:$F$31&lt;=A395)*(Ввод!$G$12:$G$31&gt;=A395))&gt;0,1,0))</f>
        <v/>
      </c>
      <c r="G395" t="str">
        <f t="shared" si="13"/>
        <v/>
      </c>
    </row>
    <row r="396" spans="1:7" x14ac:dyDescent="0.3">
      <c r="A396" s="21" t="str">
        <f>IF(A395="","",IF(A395+1&gt;Ввод!$B$4,"",A395+1))</f>
        <v/>
      </c>
      <c r="B396" s="23" t="str">
        <f>IF(A396="","",IFERROR(INDEX(Ввод!$B$12:$B$71,MATCH(A396,Ввод!$D$12:$D$71,1)),""))</f>
        <v/>
      </c>
      <c r="C396" t="str">
        <f t="shared" si="12"/>
        <v/>
      </c>
      <c r="D396" t="str">
        <f>IF(A396="","",SUMIFS(Акты!$D$5:$D$16,Акты!$E$5:$E$16,"&lt;="&amp;A396)-SUMIFS(Оплаты!$B$6:$B$505,Оплаты!$A$6:$A$505,"&lt;"&amp;A396,Оплаты!$D$6:$D$505,"&lt;&gt;"))</f>
        <v/>
      </c>
      <c r="E396" t="str">
        <f>IF(A396="","",IF(SUMPRODUCT((Ввод!$F$12:$F$31&lt;&gt;"")*(Ввод!$F$12:$F$31&lt;=A396)*(Ввод!$G$12:$G$31&gt;=A396))&gt;0,1,0))</f>
        <v/>
      </c>
      <c r="G396" t="str">
        <f t="shared" si="13"/>
        <v/>
      </c>
    </row>
    <row r="397" spans="1:7" x14ac:dyDescent="0.3">
      <c r="A397" s="21" t="str">
        <f>IF(A396="","",IF(A396+1&gt;Ввод!$B$4,"",A396+1))</f>
        <v/>
      </c>
      <c r="B397" s="23" t="str">
        <f>IF(A397="","",IFERROR(INDEX(Ввод!$B$12:$B$71,MATCH(A397,Ввод!$D$12:$D$71,1)),""))</f>
        <v/>
      </c>
      <c r="C397" t="str">
        <f t="shared" si="12"/>
        <v/>
      </c>
      <c r="D397" t="str">
        <f>IF(A397="","",SUMIFS(Акты!$D$5:$D$16,Акты!$E$5:$E$16,"&lt;="&amp;A397)-SUMIFS(Оплаты!$B$6:$B$505,Оплаты!$A$6:$A$505,"&lt;"&amp;A397,Оплаты!$D$6:$D$505,"&lt;&gt;"))</f>
        <v/>
      </c>
      <c r="E397" t="str">
        <f>IF(A397="","",IF(SUMPRODUCT((Ввод!$F$12:$F$31&lt;&gt;"")*(Ввод!$F$12:$F$31&lt;=A397)*(Ввод!$G$12:$G$31&gt;=A397))&gt;0,1,0))</f>
        <v/>
      </c>
      <c r="G397" t="str">
        <f t="shared" si="13"/>
        <v/>
      </c>
    </row>
    <row r="398" spans="1:7" x14ac:dyDescent="0.3">
      <c r="A398" s="21" t="str">
        <f>IF(A397="","",IF(A397+1&gt;Ввод!$B$4,"",A397+1))</f>
        <v/>
      </c>
      <c r="B398" s="23" t="str">
        <f>IF(A398="","",IFERROR(INDEX(Ввод!$B$12:$B$71,MATCH(A398,Ввод!$D$12:$D$71,1)),""))</f>
        <v/>
      </c>
      <c r="C398" t="str">
        <f t="shared" si="12"/>
        <v/>
      </c>
      <c r="D398" t="str">
        <f>IF(A398="","",SUMIFS(Акты!$D$5:$D$16,Акты!$E$5:$E$16,"&lt;="&amp;A398)-SUMIFS(Оплаты!$B$6:$B$505,Оплаты!$A$6:$A$505,"&lt;"&amp;A398,Оплаты!$D$6:$D$505,"&lt;&gt;"))</f>
        <v/>
      </c>
      <c r="E398" t="str">
        <f>IF(A398="","",IF(SUMPRODUCT((Ввод!$F$12:$F$31&lt;&gt;"")*(Ввод!$F$12:$F$31&lt;=A398)*(Ввод!$G$12:$G$31&gt;=A398))&gt;0,1,0))</f>
        <v/>
      </c>
      <c r="G398" t="str">
        <f t="shared" si="13"/>
        <v/>
      </c>
    </row>
    <row r="399" spans="1:7" x14ac:dyDescent="0.3">
      <c r="A399" s="21" t="str">
        <f>IF(A398="","",IF(A398+1&gt;Ввод!$B$4,"",A398+1))</f>
        <v/>
      </c>
      <c r="B399" s="23" t="str">
        <f>IF(A399="","",IFERROR(INDEX(Ввод!$B$12:$B$71,MATCH(A399,Ввод!$D$12:$D$71,1)),""))</f>
        <v/>
      </c>
      <c r="C399" t="str">
        <f t="shared" si="12"/>
        <v/>
      </c>
      <c r="D399" t="str">
        <f>IF(A399="","",SUMIFS(Акты!$D$5:$D$16,Акты!$E$5:$E$16,"&lt;="&amp;A399)-SUMIFS(Оплаты!$B$6:$B$505,Оплаты!$A$6:$A$505,"&lt;"&amp;A399,Оплаты!$D$6:$D$505,"&lt;&gt;"))</f>
        <v/>
      </c>
      <c r="E399" t="str">
        <f>IF(A399="","",IF(SUMPRODUCT((Ввод!$F$12:$F$31&lt;&gt;"")*(Ввод!$F$12:$F$31&lt;=A399)*(Ввод!$G$12:$G$31&gt;=A399))&gt;0,1,0))</f>
        <v/>
      </c>
      <c r="G399" t="str">
        <f t="shared" si="13"/>
        <v/>
      </c>
    </row>
    <row r="400" spans="1:7" x14ac:dyDescent="0.3">
      <c r="A400" s="21" t="str">
        <f>IF(A399="","",IF(A399+1&gt;Ввод!$B$4,"",A399+1))</f>
        <v/>
      </c>
      <c r="B400" s="23" t="str">
        <f>IF(A400="","",IFERROR(INDEX(Ввод!$B$12:$B$71,MATCH(A400,Ввод!$D$12:$D$71,1)),""))</f>
        <v/>
      </c>
      <c r="C400" t="str">
        <f t="shared" si="12"/>
        <v/>
      </c>
      <c r="D400" t="str">
        <f>IF(A400="","",SUMIFS(Акты!$D$5:$D$16,Акты!$E$5:$E$16,"&lt;="&amp;A400)-SUMIFS(Оплаты!$B$6:$B$505,Оплаты!$A$6:$A$505,"&lt;"&amp;A400,Оплаты!$D$6:$D$505,"&lt;&gt;"))</f>
        <v/>
      </c>
      <c r="E400" t="str">
        <f>IF(A400="","",IF(SUMPRODUCT((Ввод!$F$12:$F$31&lt;&gt;"")*(Ввод!$F$12:$F$31&lt;=A400)*(Ввод!$G$12:$G$31&gt;=A400))&gt;0,1,0))</f>
        <v/>
      </c>
      <c r="G400" t="str">
        <f t="shared" si="13"/>
        <v/>
      </c>
    </row>
    <row r="401" spans="1:7" x14ac:dyDescent="0.3">
      <c r="A401" s="21" t="str">
        <f>IF(A400="","",IF(A400+1&gt;Ввод!$B$4,"",A400+1))</f>
        <v/>
      </c>
      <c r="B401" s="23" t="str">
        <f>IF(A401="","",IFERROR(INDEX(Ввод!$B$12:$B$71,MATCH(A401,Ввод!$D$12:$D$71,1)),""))</f>
        <v/>
      </c>
      <c r="C401" t="str">
        <f t="shared" si="12"/>
        <v/>
      </c>
      <c r="D401" t="str">
        <f>IF(A401="","",SUMIFS(Акты!$D$5:$D$16,Акты!$E$5:$E$16,"&lt;="&amp;A401)-SUMIFS(Оплаты!$B$6:$B$505,Оплаты!$A$6:$A$505,"&lt;"&amp;A401,Оплаты!$D$6:$D$505,"&lt;&gt;"))</f>
        <v/>
      </c>
      <c r="E401" t="str">
        <f>IF(A401="","",IF(SUMPRODUCT((Ввод!$F$12:$F$31&lt;&gt;"")*(Ввод!$F$12:$F$31&lt;=A401)*(Ввод!$G$12:$G$31&gt;=A401))&gt;0,1,0))</f>
        <v/>
      </c>
      <c r="G401" t="str">
        <f t="shared" si="13"/>
        <v/>
      </c>
    </row>
    <row r="402" spans="1:7" x14ac:dyDescent="0.3">
      <c r="A402" s="21" t="str">
        <f>IF(A401="","",IF(A401+1&gt;Ввод!$B$4,"",A401+1))</f>
        <v/>
      </c>
      <c r="B402" s="23" t="str">
        <f>IF(A402="","",IFERROR(INDEX(Ввод!$B$12:$B$71,MATCH(A402,Ввод!$D$12:$D$71,1)),""))</f>
        <v/>
      </c>
      <c r="C402" t="str">
        <f t="shared" si="12"/>
        <v/>
      </c>
      <c r="D402" t="str">
        <f>IF(A402="","",SUMIFS(Акты!$D$5:$D$16,Акты!$E$5:$E$16,"&lt;="&amp;A402)-SUMIFS(Оплаты!$B$6:$B$505,Оплаты!$A$6:$A$505,"&lt;"&amp;A402,Оплаты!$D$6:$D$505,"&lt;&gt;"))</f>
        <v/>
      </c>
      <c r="E402" t="str">
        <f>IF(A402="","",IF(SUMPRODUCT((Ввод!$F$12:$F$31&lt;&gt;"")*(Ввод!$F$12:$F$31&lt;=A402)*(Ввод!$G$12:$G$31&gt;=A402))&gt;0,1,0))</f>
        <v/>
      </c>
      <c r="G402" t="str">
        <f t="shared" si="13"/>
        <v/>
      </c>
    </row>
    <row r="403" spans="1:7" x14ac:dyDescent="0.3">
      <c r="A403" s="21" t="str">
        <f>IF(A402="","",IF(A402+1&gt;Ввод!$B$4,"",A402+1))</f>
        <v/>
      </c>
      <c r="B403" s="23" t="str">
        <f>IF(A403="","",IFERROR(INDEX(Ввод!$B$12:$B$71,MATCH(A403,Ввод!$D$12:$D$71,1)),""))</f>
        <v/>
      </c>
      <c r="C403" t="str">
        <f t="shared" si="12"/>
        <v/>
      </c>
      <c r="D403" t="str">
        <f>IF(A403="","",SUMIFS(Акты!$D$5:$D$16,Акты!$E$5:$E$16,"&lt;="&amp;A403)-SUMIFS(Оплаты!$B$6:$B$505,Оплаты!$A$6:$A$505,"&lt;"&amp;A403,Оплаты!$D$6:$D$505,"&lt;&gt;"))</f>
        <v/>
      </c>
      <c r="E403" t="str">
        <f>IF(A403="","",IF(SUMPRODUCT((Ввод!$F$12:$F$31&lt;&gt;"")*(Ввод!$F$12:$F$31&lt;=A403)*(Ввод!$G$12:$G$31&gt;=A403))&gt;0,1,0))</f>
        <v/>
      </c>
      <c r="G403" t="str">
        <f t="shared" si="13"/>
        <v/>
      </c>
    </row>
    <row r="404" spans="1:7" x14ac:dyDescent="0.3">
      <c r="A404" s="21" t="str">
        <f>IF(A403="","",IF(A403+1&gt;Ввод!$B$4,"",A403+1))</f>
        <v/>
      </c>
      <c r="B404" s="23" t="str">
        <f>IF(A404="","",IFERROR(INDEX(Ввод!$B$12:$B$71,MATCH(A404,Ввод!$D$12:$D$71,1)),""))</f>
        <v/>
      </c>
      <c r="C404" t="str">
        <f t="shared" si="12"/>
        <v/>
      </c>
      <c r="D404" t="str">
        <f>IF(A404="","",SUMIFS(Акты!$D$5:$D$16,Акты!$E$5:$E$16,"&lt;="&amp;A404)-SUMIFS(Оплаты!$B$6:$B$505,Оплаты!$A$6:$A$505,"&lt;"&amp;A404,Оплаты!$D$6:$D$505,"&lt;&gt;"))</f>
        <v/>
      </c>
      <c r="E404" t="str">
        <f>IF(A404="","",IF(SUMPRODUCT((Ввод!$F$12:$F$31&lt;&gt;"")*(Ввод!$F$12:$F$31&lt;=A404)*(Ввод!$G$12:$G$31&gt;=A404))&gt;0,1,0))</f>
        <v/>
      </c>
      <c r="G404" t="str">
        <f t="shared" si="13"/>
        <v/>
      </c>
    </row>
    <row r="405" spans="1:7" x14ac:dyDescent="0.3">
      <c r="A405" s="21" t="str">
        <f>IF(A404="","",IF(A404+1&gt;Ввод!$B$4,"",A404+1))</f>
        <v/>
      </c>
      <c r="B405" s="23" t="str">
        <f>IF(A405="","",IFERROR(INDEX(Ввод!$B$12:$B$71,MATCH(A405,Ввод!$D$12:$D$71,1)),""))</f>
        <v/>
      </c>
      <c r="C405" t="str">
        <f t="shared" si="12"/>
        <v/>
      </c>
      <c r="D405" t="str">
        <f>IF(A405="","",SUMIFS(Акты!$D$5:$D$16,Акты!$E$5:$E$16,"&lt;="&amp;A405)-SUMIFS(Оплаты!$B$6:$B$505,Оплаты!$A$6:$A$505,"&lt;"&amp;A405,Оплаты!$D$6:$D$505,"&lt;&gt;"))</f>
        <v/>
      </c>
      <c r="E405" t="str">
        <f>IF(A405="","",IF(SUMPRODUCT((Ввод!$F$12:$F$31&lt;&gt;"")*(Ввод!$F$12:$F$31&lt;=A405)*(Ввод!$G$12:$G$31&gt;=A405))&gt;0,1,0))</f>
        <v/>
      </c>
      <c r="G405" t="str">
        <f t="shared" si="13"/>
        <v/>
      </c>
    </row>
    <row r="406" spans="1:7" x14ac:dyDescent="0.3">
      <c r="A406" s="21" t="str">
        <f>IF(A405="","",IF(A405+1&gt;Ввод!$B$4,"",A405+1))</f>
        <v/>
      </c>
      <c r="B406" s="23" t="str">
        <f>IF(A406="","",IFERROR(INDEX(Ввод!$B$12:$B$71,MATCH(A406,Ввод!$D$12:$D$71,1)),""))</f>
        <v/>
      </c>
      <c r="C406" t="str">
        <f t="shared" si="12"/>
        <v/>
      </c>
      <c r="D406" t="str">
        <f>IF(A406="","",SUMIFS(Акты!$D$5:$D$16,Акты!$E$5:$E$16,"&lt;="&amp;A406)-SUMIFS(Оплаты!$B$6:$B$505,Оплаты!$A$6:$A$505,"&lt;"&amp;A406,Оплаты!$D$6:$D$505,"&lt;&gt;"))</f>
        <v/>
      </c>
      <c r="E406" t="str">
        <f>IF(A406="","",IF(SUMPRODUCT((Ввод!$F$12:$F$31&lt;&gt;"")*(Ввод!$F$12:$F$31&lt;=A406)*(Ввод!$G$12:$G$31&gt;=A406))&gt;0,1,0))</f>
        <v/>
      </c>
      <c r="G406" t="str">
        <f t="shared" si="13"/>
        <v/>
      </c>
    </row>
    <row r="407" spans="1:7" x14ac:dyDescent="0.3">
      <c r="A407" s="21" t="str">
        <f>IF(A406="","",IF(A406+1&gt;Ввод!$B$4,"",A406+1))</f>
        <v/>
      </c>
      <c r="B407" s="23" t="str">
        <f>IF(A407="","",IFERROR(INDEX(Ввод!$B$12:$B$71,MATCH(A407,Ввод!$D$12:$D$71,1)),""))</f>
        <v/>
      </c>
      <c r="C407" t="str">
        <f t="shared" si="12"/>
        <v/>
      </c>
      <c r="D407" t="str">
        <f>IF(A407="","",SUMIFS(Акты!$D$5:$D$16,Акты!$E$5:$E$16,"&lt;="&amp;A407)-SUMIFS(Оплаты!$B$6:$B$505,Оплаты!$A$6:$A$505,"&lt;"&amp;A407,Оплаты!$D$6:$D$505,"&lt;&gt;"))</f>
        <v/>
      </c>
      <c r="E407" t="str">
        <f>IF(A407="","",IF(SUMPRODUCT((Ввод!$F$12:$F$31&lt;&gt;"")*(Ввод!$F$12:$F$31&lt;=A407)*(Ввод!$G$12:$G$31&gt;=A407))&gt;0,1,0))</f>
        <v/>
      </c>
      <c r="G407" t="str">
        <f t="shared" si="13"/>
        <v/>
      </c>
    </row>
    <row r="408" spans="1:7" x14ac:dyDescent="0.3">
      <c r="A408" s="21" t="str">
        <f>IF(A407="","",IF(A407+1&gt;Ввод!$B$4,"",A407+1))</f>
        <v/>
      </c>
      <c r="B408" s="23" t="str">
        <f>IF(A408="","",IFERROR(INDEX(Ввод!$B$12:$B$71,MATCH(A408,Ввод!$D$12:$D$71,1)),""))</f>
        <v/>
      </c>
      <c r="C408" t="str">
        <f t="shared" si="12"/>
        <v/>
      </c>
      <c r="D408" t="str">
        <f>IF(A408="","",SUMIFS(Акты!$D$5:$D$16,Акты!$E$5:$E$16,"&lt;="&amp;A408)-SUMIFS(Оплаты!$B$6:$B$505,Оплаты!$A$6:$A$505,"&lt;"&amp;A408,Оплаты!$D$6:$D$505,"&lt;&gt;"))</f>
        <v/>
      </c>
      <c r="E408" t="str">
        <f>IF(A408="","",IF(SUMPRODUCT((Ввод!$F$12:$F$31&lt;&gt;"")*(Ввод!$F$12:$F$31&lt;=A408)*(Ввод!$G$12:$G$31&gt;=A408))&gt;0,1,0))</f>
        <v/>
      </c>
      <c r="G408" t="str">
        <f t="shared" si="13"/>
        <v/>
      </c>
    </row>
    <row r="409" spans="1:7" x14ac:dyDescent="0.3">
      <c r="A409" s="21" t="str">
        <f>IF(A408="","",IF(A408+1&gt;Ввод!$B$4,"",A408+1))</f>
        <v/>
      </c>
      <c r="B409" s="23" t="str">
        <f>IF(A409="","",IFERROR(INDEX(Ввод!$B$12:$B$71,MATCH(A409,Ввод!$D$12:$D$71,1)),""))</f>
        <v/>
      </c>
      <c r="C409" t="str">
        <f t="shared" si="12"/>
        <v/>
      </c>
      <c r="D409" t="str">
        <f>IF(A409="","",SUMIFS(Акты!$D$5:$D$16,Акты!$E$5:$E$16,"&lt;="&amp;A409)-SUMIFS(Оплаты!$B$6:$B$505,Оплаты!$A$6:$A$505,"&lt;"&amp;A409,Оплаты!$D$6:$D$505,"&lt;&gt;"))</f>
        <v/>
      </c>
      <c r="E409" t="str">
        <f>IF(A409="","",IF(SUMPRODUCT((Ввод!$F$12:$F$31&lt;&gt;"")*(Ввод!$F$12:$F$31&lt;=A409)*(Ввод!$G$12:$G$31&gt;=A409))&gt;0,1,0))</f>
        <v/>
      </c>
      <c r="G409" t="str">
        <f t="shared" si="13"/>
        <v/>
      </c>
    </row>
    <row r="410" spans="1:7" x14ac:dyDescent="0.3">
      <c r="A410" s="21" t="str">
        <f>IF(A409="","",IF(A409+1&gt;Ввод!$B$4,"",A409+1))</f>
        <v/>
      </c>
      <c r="B410" s="23" t="str">
        <f>IF(A410="","",IFERROR(INDEX(Ввод!$B$12:$B$71,MATCH(A410,Ввод!$D$12:$D$71,1)),""))</f>
        <v/>
      </c>
      <c r="C410" t="str">
        <f t="shared" si="12"/>
        <v/>
      </c>
      <c r="D410" t="str">
        <f>IF(A410="","",SUMIFS(Акты!$D$5:$D$16,Акты!$E$5:$E$16,"&lt;="&amp;A410)-SUMIFS(Оплаты!$B$6:$B$505,Оплаты!$A$6:$A$505,"&lt;"&amp;A410,Оплаты!$D$6:$D$505,"&lt;&gt;"))</f>
        <v/>
      </c>
      <c r="E410" t="str">
        <f>IF(A410="","",IF(SUMPRODUCT((Ввод!$F$12:$F$31&lt;&gt;"")*(Ввод!$F$12:$F$31&lt;=A410)*(Ввод!$G$12:$G$31&gt;=A410))&gt;0,1,0))</f>
        <v/>
      </c>
      <c r="G410" t="str">
        <f t="shared" si="13"/>
        <v/>
      </c>
    </row>
    <row r="411" spans="1:7" x14ac:dyDescent="0.3">
      <c r="A411" s="21" t="str">
        <f>IF(A410="","",IF(A410+1&gt;Ввод!$B$4,"",A410+1))</f>
        <v/>
      </c>
      <c r="B411" s="23" t="str">
        <f>IF(A411="","",IFERROR(INDEX(Ввод!$B$12:$B$71,MATCH(A411,Ввод!$D$12:$D$71,1)),""))</f>
        <v/>
      </c>
      <c r="C411" t="str">
        <f t="shared" si="12"/>
        <v/>
      </c>
      <c r="D411" t="str">
        <f>IF(A411="","",SUMIFS(Акты!$D$5:$D$16,Акты!$E$5:$E$16,"&lt;="&amp;A411)-SUMIFS(Оплаты!$B$6:$B$505,Оплаты!$A$6:$A$505,"&lt;"&amp;A411,Оплаты!$D$6:$D$505,"&lt;&gt;"))</f>
        <v/>
      </c>
      <c r="E411" t="str">
        <f>IF(A411="","",IF(SUMPRODUCT((Ввод!$F$12:$F$31&lt;&gt;"")*(Ввод!$F$12:$F$31&lt;=A411)*(Ввод!$G$12:$G$31&gt;=A411))&gt;0,1,0))</f>
        <v/>
      </c>
      <c r="G411" t="str">
        <f t="shared" si="13"/>
        <v/>
      </c>
    </row>
    <row r="412" spans="1:7" x14ac:dyDescent="0.3">
      <c r="A412" s="21" t="str">
        <f>IF(A411="","",IF(A411+1&gt;Ввод!$B$4,"",A411+1))</f>
        <v/>
      </c>
      <c r="B412" s="23" t="str">
        <f>IF(A412="","",IFERROR(INDEX(Ввод!$B$12:$B$71,MATCH(A412,Ввод!$D$12:$D$71,1)),""))</f>
        <v/>
      </c>
      <c r="C412" t="str">
        <f t="shared" si="12"/>
        <v/>
      </c>
      <c r="D412" t="str">
        <f>IF(A412="","",SUMIFS(Акты!$D$5:$D$16,Акты!$E$5:$E$16,"&lt;="&amp;A412)-SUMIFS(Оплаты!$B$6:$B$505,Оплаты!$A$6:$A$505,"&lt;"&amp;A412,Оплаты!$D$6:$D$505,"&lt;&gt;"))</f>
        <v/>
      </c>
      <c r="E412" t="str">
        <f>IF(A412="","",IF(SUMPRODUCT((Ввод!$F$12:$F$31&lt;&gt;"")*(Ввод!$F$12:$F$31&lt;=A412)*(Ввод!$G$12:$G$31&gt;=A412))&gt;0,1,0))</f>
        <v/>
      </c>
      <c r="G412" t="str">
        <f t="shared" si="13"/>
        <v/>
      </c>
    </row>
    <row r="413" spans="1:7" x14ac:dyDescent="0.3">
      <c r="A413" s="21" t="str">
        <f>IF(A412="","",IF(A412+1&gt;Ввод!$B$4,"",A412+1))</f>
        <v/>
      </c>
      <c r="B413" s="23" t="str">
        <f>IF(A413="","",IFERROR(INDEX(Ввод!$B$12:$B$71,MATCH(A413,Ввод!$D$12:$D$71,1)),""))</f>
        <v/>
      </c>
      <c r="C413" t="str">
        <f t="shared" si="12"/>
        <v/>
      </c>
      <c r="D413" t="str">
        <f>IF(A413="","",SUMIFS(Акты!$D$5:$D$16,Акты!$E$5:$E$16,"&lt;="&amp;A413)-SUMIFS(Оплаты!$B$6:$B$505,Оплаты!$A$6:$A$505,"&lt;"&amp;A413,Оплаты!$D$6:$D$505,"&lt;&gt;"))</f>
        <v/>
      </c>
      <c r="E413" t="str">
        <f>IF(A413="","",IF(SUMPRODUCT((Ввод!$F$12:$F$31&lt;&gt;"")*(Ввод!$F$12:$F$31&lt;=A413)*(Ввод!$G$12:$G$31&gt;=A413))&gt;0,1,0))</f>
        <v/>
      </c>
      <c r="G413" t="str">
        <f t="shared" si="13"/>
        <v/>
      </c>
    </row>
    <row r="414" spans="1:7" x14ac:dyDescent="0.3">
      <c r="A414" s="21" t="str">
        <f>IF(A413="","",IF(A413+1&gt;Ввод!$B$4,"",A413+1))</f>
        <v/>
      </c>
      <c r="B414" s="23" t="str">
        <f>IF(A414="","",IFERROR(INDEX(Ввод!$B$12:$B$71,MATCH(A414,Ввод!$D$12:$D$71,1)),""))</f>
        <v/>
      </c>
      <c r="C414" t="str">
        <f t="shared" si="12"/>
        <v/>
      </c>
      <c r="D414" t="str">
        <f>IF(A414="","",SUMIFS(Акты!$D$5:$D$16,Акты!$E$5:$E$16,"&lt;="&amp;A414)-SUMIFS(Оплаты!$B$6:$B$505,Оплаты!$A$6:$A$505,"&lt;"&amp;A414,Оплаты!$D$6:$D$505,"&lt;&gt;"))</f>
        <v/>
      </c>
      <c r="E414" t="str">
        <f>IF(A414="","",IF(SUMPRODUCT((Ввод!$F$12:$F$31&lt;&gt;"")*(Ввод!$F$12:$F$31&lt;=A414)*(Ввод!$G$12:$G$31&gt;=A414))&gt;0,1,0))</f>
        <v/>
      </c>
      <c r="G414" t="str">
        <f t="shared" si="13"/>
        <v/>
      </c>
    </row>
    <row r="415" spans="1:7" x14ac:dyDescent="0.3">
      <c r="A415" s="21" t="str">
        <f>IF(A414="","",IF(A414+1&gt;Ввод!$B$4,"",A414+1))</f>
        <v/>
      </c>
      <c r="B415" s="23" t="str">
        <f>IF(A415="","",IFERROR(INDEX(Ввод!$B$12:$B$71,MATCH(A415,Ввод!$D$12:$D$71,1)),""))</f>
        <v/>
      </c>
      <c r="C415" t="str">
        <f t="shared" si="12"/>
        <v/>
      </c>
      <c r="D415" t="str">
        <f>IF(A415="","",SUMIFS(Акты!$D$5:$D$16,Акты!$E$5:$E$16,"&lt;="&amp;A415)-SUMIFS(Оплаты!$B$6:$B$505,Оплаты!$A$6:$A$505,"&lt;"&amp;A415,Оплаты!$D$6:$D$505,"&lt;&gt;"))</f>
        <v/>
      </c>
      <c r="E415" t="str">
        <f>IF(A415="","",IF(SUMPRODUCT((Ввод!$F$12:$F$31&lt;&gt;"")*(Ввод!$F$12:$F$31&lt;=A415)*(Ввод!$G$12:$G$31&gt;=A415))&gt;0,1,0))</f>
        <v/>
      </c>
      <c r="G415" t="str">
        <f t="shared" si="13"/>
        <v/>
      </c>
    </row>
    <row r="416" spans="1:7" x14ac:dyDescent="0.3">
      <c r="A416" s="21" t="str">
        <f>IF(A415="","",IF(A415+1&gt;Ввод!$B$4,"",A415+1))</f>
        <v/>
      </c>
      <c r="B416" s="23" t="str">
        <f>IF(A416="","",IFERROR(INDEX(Ввод!$B$12:$B$71,MATCH(A416,Ввод!$D$12:$D$71,1)),""))</f>
        <v/>
      </c>
      <c r="C416" t="str">
        <f t="shared" si="12"/>
        <v/>
      </c>
      <c r="D416" t="str">
        <f>IF(A416="","",SUMIFS(Акты!$D$5:$D$16,Акты!$E$5:$E$16,"&lt;="&amp;A416)-SUMIFS(Оплаты!$B$6:$B$505,Оплаты!$A$6:$A$505,"&lt;"&amp;A416,Оплаты!$D$6:$D$505,"&lt;&gt;"))</f>
        <v/>
      </c>
      <c r="E416" t="str">
        <f>IF(A416="","",IF(SUMPRODUCT((Ввод!$F$12:$F$31&lt;&gt;"")*(Ввод!$F$12:$F$31&lt;=A416)*(Ввод!$G$12:$G$31&gt;=A416))&gt;0,1,0))</f>
        <v/>
      </c>
      <c r="G416" t="str">
        <f t="shared" si="13"/>
        <v/>
      </c>
    </row>
    <row r="417" spans="1:7" x14ac:dyDescent="0.3">
      <c r="A417" s="21" t="str">
        <f>IF(A416="","",IF(A416+1&gt;Ввод!$B$4,"",A416+1))</f>
        <v/>
      </c>
      <c r="B417" s="23" t="str">
        <f>IF(A417="","",IFERROR(INDEX(Ввод!$B$12:$B$71,MATCH(A417,Ввод!$D$12:$D$71,1)),""))</f>
        <v/>
      </c>
      <c r="C417" t="str">
        <f t="shared" si="12"/>
        <v/>
      </c>
      <c r="D417" t="str">
        <f>IF(A417="","",SUMIFS(Акты!$D$5:$D$16,Акты!$E$5:$E$16,"&lt;="&amp;A417)-SUMIFS(Оплаты!$B$6:$B$505,Оплаты!$A$6:$A$505,"&lt;"&amp;A417,Оплаты!$D$6:$D$505,"&lt;&gt;"))</f>
        <v/>
      </c>
      <c r="E417" t="str">
        <f>IF(A417="","",IF(SUMPRODUCT((Ввод!$F$12:$F$31&lt;&gt;"")*(Ввод!$F$12:$F$31&lt;=A417)*(Ввод!$G$12:$G$31&gt;=A417))&gt;0,1,0))</f>
        <v/>
      </c>
      <c r="G417" t="str">
        <f t="shared" si="13"/>
        <v/>
      </c>
    </row>
    <row r="418" spans="1:7" x14ac:dyDescent="0.3">
      <c r="A418" s="21" t="str">
        <f>IF(A417="","",IF(A417+1&gt;Ввод!$B$4,"",A417+1))</f>
        <v/>
      </c>
      <c r="B418" s="23" t="str">
        <f>IF(A418="","",IFERROR(INDEX(Ввод!$B$12:$B$71,MATCH(A418,Ввод!$D$12:$D$71,1)),""))</f>
        <v/>
      </c>
      <c r="C418" t="str">
        <f t="shared" si="12"/>
        <v/>
      </c>
      <c r="D418" t="str">
        <f>IF(A418="","",SUMIFS(Акты!$D$5:$D$16,Акты!$E$5:$E$16,"&lt;="&amp;A418)-SUMIFS(Оплаты!$B$6:$B$505,Оплаты!$A$6:$A$505,"&lt;"&amp;A418,Оплаты!$D$6:$D$505,"&lt;&gt;"))</f>
        <v/>
      </c>
      <c r="E418" t="str">
        <f>IF(A418="","",IF(SUMPRODUCT((Ввод!$F$12:$F$31&lt;&gt;"")*(Ввод!$F$12:$F$31&lt;=A418)*(Ввод!$G$12:$G$31&gt;=A418))&gt;0,1,0))</f>
        <v/>
      </c>
      <c r="G418" t="str">
        <f t="shared" si="13"/>
        <v/>
      </c>
    </row>
    <row r="419" spans="1:7" x14ac:dyDescent="0.3">
      <c r="A419" s="21" t="str">
        <f>IF(A418="","",IF(A418+1&gt;Ввод!$B$4,"",A418+1))</f>
        <v/>
      </c>
      <c r="B419" s="23" t="str">
        <f>IF(A419="","",IFERROR(INDEX(Ввод!$B$12:$B$71,MATCH(A419,Ввод!$D$12:$D$71,1)),""))</f>
        <v/>
      </c>
      <c r="C419" t="str">
        <f t="shared" si="12"/>
        <v/>
      </c>
      <c r="D419" t="str">
        <f>IF(A419="","",SUMIFS(Акты!$D$5:$D$16,Акты!$E$5:$E$16,"&lt;="&amp;A419)-SUMIFS(Оплаты!$B$6:$B$505,Оплаты!$A$6:$A$505,"&lt;"&amp;A419,Оплаты!$D$6:$D$505,"&lt;&gt;"))</f>
        <v/>
      </c>
      <c r="E419" t="str">
        <f>IF(A419="","",IF(SUMPRODUCT((Ввод!$F$12:$F$31&lt;&gt;"")*(Ввод!$F$12:$F$31&lt;=A419)*(Ввод!$G$12:$G$31&gt;=A419))&gt;0,1,0))</f>
        <v/>
      </c>
      <c r="G419" t="str">
        <f t="shared" si="13"/>
        <v/>
      </c>
    </row>
    <row r="420" spans="1:7" x14ac:dyDescent="0.3">
      <c r="A420" s="21" t="str">
        <f>IF(A419="","",IF(A419+1&gt;Ввод!$B$4,"",A419+1))</f>
        <v/>
      </c>
      <c r="B420" s="23" t="str">
        <f>IF(A420="","",IFERROR(INDEX(Ввод!$B$12:$B$71,MATCH(A420,Ввод!$D$12:$D$71,1)),""))</f>
        <v/>
      </c>
      <c r="C420" t="str">
        <f t="shared" si="12"/>
        <v/>
      </c>
      <c r="D420" t="str">
        <f>IF(A420="","",SUMIFS(Акты!$D$5:$D$16,Акты!$E$5:$E$16,"&lt;="&amp;A420)-SUMIFS(Оплаты!$B$6:$B$505,Оплаты!$A$6:$A$505,"&lt;"&amp;A420,Оплаты!$D$6:$D$505,"&lt;&gt;"))</f>
        <v/>
      </c>
      <c r="E420" t="str">
        <f>IF(A420="","",IF(SUMPRODUCT((Ввод!$F$12:$F$31&lt;&gt;"")*(Ввод!$F$12:$F$31&lt;=A420)*(Ввод!$G$12:$G$31&gt;=A420))&gt;0,1,0))</f>
        <v/>
      </c>
      <c r="G420" t="str">
        <f t="shared" si="13"/>
        <v/>
      </c>
    </row>
    <row r="421" spans="1:7" x14ac:dyDescent="0.3">
      <c r="A421" s="21" t="str">
        <f>IF(A420="","",IF(A420+1&gt;Ввод!$B$4,"",A420+1))</f>
        <v/>
      </c>
      <c r="B421" s="23" t="str">
        <f>IF(A421="","",IFERROR(INDEX(Ввод!$B$12:$B$71,MATCH(A421,Ввод!$D$12:$D$71,1)),""))</f>
        <v/>
      </c>
      <c r="C421" t="str">
        <f t="shared" si="12"/>
        <v/>
      </c>
      <c r="D421" t="str">
        <f>IF(A421="","",SUMIFS(Акты!$D$5:$D$16,Акты!$E$5:$E$16,"&lt;="&amp;A421)-SUMIFS(Оплаты!$B$6:$B$505,Оплаты!$A$6:$A$505,"&lt;"&amp;A421,Оплаты!$D$6:$D$505,"&lt;&gt;"))</f>
        <v/>
      </c>
      <c r="E421" t="str">
        <f>IF(A421="","",IF(SUMPRODUCT((Ввод!$F$12:$F$31&lt;&gt;"")*(Ввод!$F$12:$F$31&lt;=A421)*(Ввод!$G$12:$G$31&gt;=A421))&gt;0,1,0))</f>
        <v/>
      </c>
      <c r="G421" t="str">
        <f t="shared" si="13"/>
        <v/>
      </c>
    </row>
    <row r="422" spans="1:7" x14ac:dyDescent="0.3">
      <c r="A422" s="21" t="str">
        <f>IF(A421="","",IF(A421+1&gt;Ввод!$B$4,"",A421+1))</f>
        <v/>
      </c>
      <c r="B422" s="23" t="str">
        <f>IF(A422="","",IFERROR(INDEX(Ввод!$B$12:$B$71,MATCH(A422,Ввод!$D$12:$D$71,1)),""))</f>
        <v/>
      </c>
      <c r="C422" t="str">
        <f t="shared" si="12"/>
        <v/>
      </c>
      <c r="D422" t="str">
        <f>IF(A422="","",SUMIFS(Акты!$D$5:$D$16,Акты!$E$5:$E$16,"&lt;="&amp;A422)-SUMIFS(Оплаты!$B$6:$B$505,Оплаты!$A$6:$A$505,"&lt;"&amp;A422,Оплаты!$D$6:$D$505,"&lt;&gt;"))</f>
        <v/>
      </c>
      <c r="E422" t="str">
        <f>IF(A422="","",IF(SUMPRODUCT((Ввод!$F$12:$F$31&lt;&gt;"")*(Ввод!$F$12:$F$31&lt;=A422)*(Ввод!$G$12:$G$31&gt;=A422))&gt;0,1,0))</f>
        <v/>
      </c>
      <c r="G422" t="str">
        <f t="shared" si="13"/>
        <v/>
      </c>
    </row>
    <row r="423" spans="1:7" x14ac:dyDescent="0.3">
      <c r="A423" s="21" t="str">
        <f>IF(A422="","",IF(A422+1&gt;Ввод!$B$4,"",A422+1))</f>
        <v/>
      </c>
      <c r="B423" s="23" t="str">
        <f>IF(A423="","",IFERROR(INDEX(Ввод!$B$12:$B$71,MATCH(A423,Ввод!$D$12:$D$71,1)),""))</f>
        <v/>
      </c>
      <c r="C423" t="str">
        <f t="shared" si="12"/>
        <v/>
      </c>
      <c r="D423" t="str">
        <f>IF(A423="","",SUMIFS(Акты!$D$5:$D$16,Акты!$E$5:$E$16,"&lt;="&amp;A423)-SUMIFS(Оплаты!$B$6:$B$505,Оплаты!$A$6:$A$505,"&lt;"&amp;A423,Оплаты!$D$6:$D$505,"&lt;&gt;"))</f>
        <v/>
      </c>
      <c r="E423" t="str">
        <f>IF(A423="","",IF(SUMPRODUCT((Ввод!$F$12:$F$31&lt;&gt;"")*(Ввод!$F$12:$F$31&lt;=A423)*(Ввод!$G$12:$G$31&gt;=A423))&gt;0,1,0))</f>
        <v/>
      </c>
      <c r="G423" t="str">
        <f t="shared" si="13"/>
        <v/>
      </c>
    </row>
    <row r="424" spans="1:7" x14ac:dyDescent="0.3">
      <c r="A424" s="21" t="str">
        <f>IF(A423="","",IF(A423+1&gt;Ввод!$B$4,"",A423+1))</f>
        <v/>
      </c>
      <c r="B424" s="23" t="str">
        <f>IF(A424="","",IFERROR(INDEX(Ввод!$B$12:$B$71,MATCH(A424,Ввод!$D$12:$D$71,1)),""))</f>
        <v/>
      </c>
      <c r="C424" t="str">
        <f t="shared" si="12"/>
        <v/>
      </c>
      <c r="D424" t="str">
        <f>IF(A424="","",SUMIFS(Акты!$D$5:$D$16,Акты!$E$5:$E$16,"&lt;="&amp;A424)-SUMIFS(Оплаты!$B$6:$B$505,Оплаты!$A$6:$A$505,"&lt;"&amp;A424,Оплаты!$D$6:$D$505,"&lt;&gt;"))</f>
        <v/>
      </c>
      <c r="E424" t="str">
        <f>IF(A424="","",IF(SUMPRODUCT((Ввод!$F$12:$F$31&lt;&gt;"")*(Ввод!$F$12:$F$31&lt;=A424)*(Ввод!$G$12:$G$31&gt;=A424))&gt;0,1,0))</f>
        <v/>
      </c>
      <c r="G424" t="str">
        <f t="shared" si="13"/>
        <v/>
      </c>
    </row>
    <row r="425" spans="1:7" x14ac:dyDescent="0.3">
      <c r="A425" s="21" t="str">
        <f>IF(A424="","",IF(A424+1&gt;Ввод!$B$4,"",A424+1))</f>
        <v/>
      </c>
      <c r="B425" s="23" t="str">
        <f>IF(A425="","",IFERROR(INDEX(Ввод!$B$12:$B$71,MATCH(A425,Ввод!$D$12:$D$71,1)),""))</f>
        <v/>
      </c>
      <c r="C425" t="str">
        <f t="shared" si="12"/>
        <v/>
      </c>
      <c r="D425" t="str">
        <f>IF(A425="","",SUMIFS(Акты!$D$5:$D$16,Акты!$E$5:$E$16,"&lt;="&amp;A425)-SUMIFS(Оплаты!$B$6:$B$505,Оплаты!$A$6:$A$505,"&lt;"&amp;A425,Оплаты!$D$6:$D$505,"&lt;&gt;"))</f>
        <v/>
      </c>
      <c r="E425" t="str">
        <f>IF(A425="","",IF(SUMPRODUCT((Ввод!$F$12:$F$31&lt;&gt;"")*(Ввод!$F$12:$F$31&lt;=A425)*(Ввод!$G$12:$G$31&gt;=A425))&gt;0,1,0))</f>
        <v/>
      </c>
      <c r="G425" t="str">
        <f t="shared" si="13"/>
        <v/>
      </c>
    </row>
    <row r="426" spans="1:7" x14ac:dyDescent="0.3">
      <c r="A426" s="21" t="str">
        <f>IF(A425="","",IF(A425+1&gt;Ввод!$B$4,"",A425+1))</f>
        <v/>
      </c>
      <c r="B426" s="23" t="str">
        <f>IF(A426="","",IFERROR(INDEX(Ввод!$B$12:$B$71,MATCH(A426,Ввод!$D$12:$D$71,1)),""))</f>
        <v/>
      </c>
      <c r="C426" t="str">
        <f t="shared" si="12"/>
        <v/>
      </c>
      <c r="D426" t="str">
        <f>IF(A426="","",SUMIFS(Акты!$D$5:$D$16,Акты!$E$5:$E$16,"&lt;="&amp;A426)-SUMIFS(Оплаты!$B$6:$B$505,Оплаты!$A$6:$A$505,"&lt;"&amp;A426,Оплаты!$D$6:$D$505,"&lt;&gt;"))</f>
        <v/>
      </c>
      <c r="E426" t="str">
        <f>IF(A426="","",IF(SUMPRODUCT((Ввод!$F$12:$F$31&lt;&gt;"")*(Ввод!$F$12:$F$31&lt;=A426)*(Ввод!$G$12:$G$31&gt;=A426))&gt;0,1,0))</f>
        <v/>
      </c>
      <c r="G426" t="str">
        <f t="shared" si="13"/>
        <v/>
      </c>
    </row>
    <row r="427" spans="1:7" x14ac:dyDescent="0.3">
      <c r="A427" s="21" t="str">
        <f>IF(A426="","",IF(A426+1&gt;Ввод!$B$4,"",A426+1))</f>
        <v/>
      </c>
      <c r="B427" s="23" t="str">
        <f>IF(A427="","",IFERROR(INDEX(Ввод!$B$12:$B$71,MATCH(A427,Ввод!$D$12:$D$71,1)),""))</f>
        <v/>
      </c>
      <c r="C427" t="str">
        <f t="shared" si="12"/>
        <v/>
      </c>
      <c r="D427" t="str">
        <f>IF(A427="","",SUMIFS(Акты!$D$5:$D$16,Акты!$E$5:$E$16,"&lt;="&amp;A427)-SUMIFS(Оплаты!$B$6:$B$505,Оплаты!$A$6:$A$505,"&lt;"&amp;A427,Оплаты!$D$6:$D$505,"&lt;&gt;"))</f>
        <v/>
      </c>
      <c r="E427" t="str">
        <f>IF(A427="","",IF(SUMPRODUCT((Ввод!$F$12:$F$31&lt;&gt;"")*(Ввод!$F$12:$F$31&lt;=A427)*(Ввод!$G$12:$G$31&gt;=A427))&gt;0,1,0))</f>
        <v/>
      </c>
      <c r="G427" t="str">
        <f t="shared" si="13"/>
        <v/>
      </c>
    </row>
    <row r="428" spans="1:7" x14ac:dyDescent="0.3">
      <c r="A428" s="21" t="str">
        <f>IF(A427="","",IF(A427+1&gt;Ввод!$B$4,"",A427+1))</f>
        <v/>
      </c>
      <c r="B428" s="23" t="str">
        <f>IF(A428="","",IFERROR(INDEX(Ввод!$B$12:$B$71,MATCH(A428,Ввод!$D$12:$D$71,1)),""))</f>
        <v/>
      </c>
      <c r="C428" t="str">
        <f t="shared" si="12"/>
        <v/>
      </c>
      <c r="D428" t="str">
        <f>IF(A428="","",SUMIFS(Акты!$D$5:$D$16,Акты!$E$5:$E$16,"&lt;="&amp;A428)-SUMIFS(Оплаты!$B$6:$B$505,Оплаты!$A$6:$A$505,"&lt;"&amp;A428,Оплаты!$D$6:$D$505,"&lt;&gt;"))</f>
        <v/>
      </c>
      <c r="E428" t="str">
        <f>IF(A428="","",IF(SUMPRODUCT((Ввод!$F$12:$F$31&lt;&gt;"")*(Ввод!$F$12:$F$31&lt;=A428)*(Ввод!$G$12:$G$31&gt;=A428))&gt;0,1,0))</f>
        <v/>
      </c>
      <c r="G428" t="str">
        <f t="shared" si="13"/>
        <v/>
      </c>
    </row>
    <row r="429" spans="1:7" x14ac:dyDescent="0.3">
      <c r="A429" s="21" t="str">
        <f>IF(A428="","",IF(A428+1&gt;Ввод!$B$4,"",A428+1))</f>
        <v/>
      </c>
      <c r="B429" s="23" t="str">
        <f>IF(A429="","",IFERROR(INDEX(Ввод!$B$12:$B$71,MATCH(A429,Ввод!$D$12:$D$71,1)),""))</f>
        <v/>
      </c>
      <c r="C429" t="str">
        <f t="shared" si="12"/>
        <v/>
      </c>
      <c r="D429" t="str">
        <f>IF(A429="","",SUMIFS(Акты!$D$5:$D$16,Акты!$E$5:$E$16,"&lt;="&amp;A429)-SUMIFS(Оплаты!$B$6:$B$505,Оплаты!$A$6:$A$505,"&lt;"&amp;A429,Оплаты!$D$6:$D$505,"&lt;&gt;"))</f>
        <v/>
      </c>
      <c r="E429" t="str">
        <f>IF(A429="","",IF(SUMPRODUCT((Ввод!$F$12:$F$31&lt;&gt;"")*(Ввод!$F$12:$F$31&lt;=A429)*(Ввод!$G$12:$G$31&gt;=A429))&gt;0,1,0))</f>
        <v/>
      </c>
      <c r="G429" t="str">
        <f t="shared" si="13"/>
        <v/>
      </c>
    </row>
    <row r="430" spans="1:7" x14ac:dyDescent="0.3">
      <c r="A430" s="21" t="str">
        <f>IF(A429="","",IF(A429+1&gt;Ввод!$B$4,"",A429+1))</f>
        <v/>
      </c>
      <c r="B430" s="23" t="str">
        <f>IF(A430="","",IFERROR(INDEX(Ввод!$B$12:$B$71,MATCH(A430,Ввод!$D$12:$D$71,1)),""))</f>
        <v/>
      </c>
      <c r="C430" t="str">
        <f t="shared" si="12"/>
        <v/>
      </c>
      <c r="D430" t="str">
        <f>IF(A430="","",SUMIFS(Акты!$D$5:$D$16,Акты!$E$5:$E$16,"&lt;="&amp;A430)-SUMIFS(Оплаты!$B$6:$B$505,Оплаты!$A$6:$A$505,"&lt;"&amp;A430,Оплаты!$D$6:$D$505,"&lt;&gt;"))</f>
        <v/>
      </c>
      <c r="E430" t="str">
        <f>IF(A430="","",IF(SUMPRODUCT((Ввод!$F$12:$F$31&lt;&gt;"")*(Ввод!$F$12:$F$31&lt;=A430)*(Ввод!$G$12:$G$31&gt;=A430))&gt;0,1,0))</f>
        <v/>
      </c>
      <c r="G430" t="str">
        <f t="shared" si="13"/>
        <v/>
      </c>
    </row>
    <row r="431" spans="1:7" x14ac:dyDescent="0.3">
      <c r="A431" s="21" t="str">
        <f>IF(A430="","",IF(A430+1&gt;Ввод!$B$4,"",A430+1))</f>
        <v/>
      </c>
      <c r="B431" s="23" t="str">
        <f>IF(A431="","",IFERROR(INDEX(Ввод!$B$12:$B$71,MATCH(A431,Ввод!$D$12:$D$71,1)),""))</f>
        <v/>
      </c>
      <c r="C431" t="str">
        <f t="shared" si="12"/>
        <v/>
      </c>
      <c r="D431" t="str">
        <f>IF(A431="","",SUMIFS(Акты!$D$5:$D$16,Акты!$E$5:$E$16,"&lt;="&amp;A431)-SUMIFS(Оплаты!$B$6:$B$505,Оплаты!$A$6:$A$505,"&lt;"&amp;A431,Оплаты!$D$6:$D$505,"&lt;&gt;"))</f>
        <v/>
      </c>
      <c r="E431" t="str">
        <f>IF(A431="","",IF(SUMPRODUCT((Ввод!$F$12:$F$31&lt;&gt;"")*(Ввод!$F$12:$F$31&lt;=A431)*(Ввод!$G$12:$G$31&gt;=A431))&gt;0,1,0))</f>
        <v/>
      </c>
      <c r="G431" t="str">
        <f t="shared" si="13"/>
        <v/>
      </c>
    </row>
    <row r="432" spans="1:7" x14ac:dyDescent="0.3">
      <c r="A432" s="21" t="str">
        <f>IF(A431="","",IF(A431+1&gt;Ввод!$B$4,"",A431+1))</f>
        <v/>
      </c>
      <c r="B432" s="23" t="str">
        <f>IF(A432="","",IFERROR(INDEX(Ввод!$B$12:$B$71,MATCH(A432,Ввод!$D$12:$D$71,1)),""))</f>
        <v/>
      </c>
      <c r="C432" t="str">
        <f t="shared" si="12"/>
        <v/>
      </c>
      <c r="D432" t="str">
        <f>IF(A432="","",SUMIFS(Акты!$D$5:$D$16,Акты!$E$5:$E$16,"&lt;="&amp;A432)-SUMIFS(Оплаты!$B$6:$B$505,Оплаты!$A$6:$A$505,"&lt;"&amp;A432,Оплаты!$D$6:$D$505,"&lt;&gt;"))</f>
        <v/>
      </c>
      <c r="E432" t="str">
        <f>IF(A432="","",IF(SUMPRODUCT((Ввод!$F$12:$F$31&lt;&gt;"")*(Ввод!$F$12:$F$31&lt;=A432)*(Ввод!$G$12:$G$31&gt;=A432))&gt;0,1,0))</f>
        <v/>
      </c>
      <c r="G432" t="str">
        <f t="shared" si="13"/>
        <v/>
      </c>
    </row>
    <row r="433" spans="1:7" x14ac:dyDescent="0.3">
      <c r="A433" s="21" t="str">
        <f>IF(A432="","",IF(A432+1&gt;Ввод!$B$4,"",A432+1))</f>
        <v/>
      </c>
      <c r="B433" s="23" t="str">
        <f>IF(A433="","",IFERROR(INDEX(Ввод!$B$12:$B$71,MATCH(A433,Ввод!$D$12:$D$71,1)),""))</f>
        <v/>
      </c>
      <c r="C433" t="str">
        <f t="shared" si="12"/>
        <v/>
      </c>
      <c r="D433" t="str">
        <f>IF(A433="","",SUMIFS(Акты!$D$5:$D$16,Акты!$E$5:$E$16,"&lt;="&amp;A433)-SUMIFS(Оплаты!$B$6:$B$505,Оплаты!$A$6:$A$505,"&lt;"&amp;A433,Оплаты!$D$6:$D$505,"&lt;&gt;"))</f>
        <v/>
      </c>
      <c r="E433" t="str">
        <f>IF(A433="","",IF(SUMPRODUCT((Ввод!$F$12:$F$31&lt;&gt;"")*(Ввод!$F$12:$F$31&lt;=A433)*(Ввод!$G$12:$G$31&gt;=A433))&gt;0,1,0))</f>
        <v/>
      </c>
      <c r="G433" t="str">
        <f t="shared" si="13"/>
        <v/>
      </c>
    </row>
    <row r="434" spans="1:7" x14ac:dyDescent="0.3">
      <c r="A434" s="21" t="str">
        <f>IF(A433="","",IF(A433+1&gt;Ввод!$B$4,"",A433+1))</f>
        <v/>
      </c>
      <c r="B434" s="23" t="str">
        <f>IF(A434="","",IFERROR(INDEX(Ввод!$B$12:$B$71,MATCH(A434,Ввод!$D$12:$D$71,1)),""))</f>
        <v/>
      </c>
      <c r="C434" t="str">
        <f t="shared" si="12"/>
        <v/>
      </c>
      <c r="D434" t="str">
        <f>IF(A434="","",SUMIFS(Акты!$D$5:$D$16,Акты!$E$5:$E$16,"&lt;="&amp;A434)-SUMIFS(Оплаты!$B$6:$B$505,Оплаты!$A$6:$A$505,"&lt;"&amp;A434,Оплаты!$D$6:$D$505,"&lt;&gt;"))</f>
        <v/>
      </c>
      <c r="E434" t="str">
        <f>IF(A434="","",IF(SUMPRODUCT((Ввод!$F$12:$F$31&lt;&gt;"")*(Ввод!$F$12:$F$31&lt;=A434)*(Ввод!$G$12:$G$31&gt;=A434))&gt;0,1,0))</f>
        <v/>
      </c>
      <c r="G434" t="str">
        <f t="shared" si="13"/>
        <v/>
      </c>
    </row>
    <row r="435" spans="1:7" x14ac:dyDescent="0.3">
      <c r="A435" s="21" t="str">
        <f>IF(A434="","",IF(A434+1&gt;Ввод!$B$4,"",A434+1))</f>
        <v/>
      </c>
      <c r="B435" s="23" t="str">
        <f>IF(A435="","",IFERROR(INDEX(Ввод!$B$12:$B$71,MATCH(A435,Ввод!$D$12:$D$71,1)),""))</f>
        <v/>
      </c>
      <c r="C435" t="str">
        <f t="shared" si="12"/>
        <v/>
      </c>
      <c r="D435" t="str">
        <f>IF(A435="","",SUMIFS(Акты!$D$5:$D$16,Акты!$E$5:$E$16,"&lt;="&amp;A435)-SUMIFS(Оплаты!$B$6:$B$505,Оплаты!$A$6:$A$505,"&lt;"&amp;A435,Оплаты!$D$6:$D$505,"&lt;&gt;"))</f>
        <v/>
      </c>
      <c r="E435" t="str">
        <f>IF(A435="","",IF(SUMPRODUCT((Ввод!$F$12:$F$31&lt;&gt;"")*(Ввод!$F$12:$F$31&lt;=A435)*(Ввод!$G$12:$G$31&gt;=A435))&gt;0,1,0))</f>
        <v/>
      </c>
      <c r="G435" t="str">
        <f t="shared" si="13"/>
        <v/>
      </c>
    </row>
    <row r="436" spans="1:7" x14ac:dyDescent="0.3">
      <c r="A436" s="21" t="str">
        <f>IF(A435="","",IF(A435+1&gt;Ввод!$B$4,"",A435+1))</f>
        <v/>
      </c>
      <c r="B436" s="23" t="str">
        <f>IF(A436="","",IFERROR(INDEX(Ввод!$B$12:$B$71,MATCH(A436,Ввод!$D$12:$D$71,1)),""))</f>
        <v/>
      </c>
      <c r="C436" t="str">
        <f t="shared" si="12"/>
        <v/>
      </c>
      <c r="D436" t="str">
        <f>IF(A436="","",SUMIFS(Акты!$D$5:$D$16,Акты!$E$5:$E$16,"&lt;="&amp;A436)-SUMIFS(Оплаты!$B$6:$B$505,Оплаты!$A$6:$A$505,"&lt;"&amp;A436,Оплаты!$D$6:$D$505,"&lt;&gt;"))</f>
        <v/>
      </c>
      <c r="E436" t="str">
        <f>IF(A436="","",IF(SUMPRODUCT((Ввод!$F$12:$F$31&lt;&gt;"")*(Ввод!$F$12:$F$31&lt;=A436)*(Ввод!$G$12:$G$31&gt;=A436))&gt;0,1,0))</f>
        <v/>
      </c>
      <c r="G436" t="str">
        <f t="shared" si="13"/>
        <v/>
      </c>
    </row>
    <row r="437" spans="1:7" x14ac:dyDescent="0.3">
      <c r="A437" s="21" t="str">
        <f>IF(A436="","",IF(A436+1&gt;Ввод!$B$4,"",A436+1))</f>
        <v/>
      </c>
      <c r="B437" s="23" t="str">
        <f>IF(A437="","",IFERROR(INDEX(Ввод!$B$12:$B$71,MATCH(A437,Ввод!$D$12:$D$71,1)),""))</f>
        <v/>
      </c>
      <c r="C437" t="str">
        <f t="shared" si="12"/>
        <v/>
      </c>
      <c r="D437" t="str">
        <f>IF(A437="","",SUMIFS(Акты!$D$5:$D$16,Акты!$E$5:$E$16,"&lt;="&amp;A437)-SUMIFS(Оплаты!$B$6:$B$505,Оплаты!$A$6:$A$505,"&lt;"&amp;A437,Оплаты!$D$6:$D$505,"&lt;&gt;"))</f>
        <v/>
      </c>
      <c r="E437" t="str">
        <f>IF(A437="","",IF(SUMPRODUCT((Ввод!$F$12:$F$31&lt;&gt;"")*(Ввод!$F$12:$F$31&lt;=A437)*(Ввод!$G$12:$G$31&gt;=A437))&gt;0,1,0))</f>
        <v/>
      </c>
      <c r="G437" t="str">
        <f t="shared" si="13"/>
        <v/>
      </c>
    </row>
    <row r="438" spans="1:7" x14ac:dyDescent="0.3">
      <c r="A438" s="21" t="str">
        <f>IF(A437="","",IF(A437+1&gt;Ввод!$B$4,"",A437+1))</f>
        <v/>
      </c>
      <c r="B438" s="23" t="str">
        <f>IF(A438="","",IFERROR(INDEX(Ввод!$B$12:$B$71,MATCH(A438,Ввод!$D$12:$D$71,1)),""))</f>
        <v/>
      </c>
      <c r="C438" t="str">
        <f t="shared" si="12"/>
        <v/>
      </c>
      <c r="D438" t="str">
        <f>IF(A438="","",SUMIFS(Акты!$D$5:$D$16,Акты!$E$5:$E$16,"&lt;="&amp;A438)-SUMIFS(Оплаты!$B$6:$B$505,Оплаты!$A$6:$A$505,"&lt;"&amp;A438,Оплаты!$D$6:$D$505,"&lt;&gt;"))</f>
        <v/>
      </c>
      <c r="E438" t="str">
        <f>IF(A438="","",IF(SUMPRODUCT((Ввод!$F$12:$F$31&lt;&gt;"")*(Ввод!$F$12:$F$31&lt;=A438)*(Ввод!$G$12:$G$31&gt;=A438))&gt;0,1,0))</f>
        <v/>
      </c>
      <c r="G438" t="str">
        <f t="shared" si="13"/>
        <v/>
      </c>
    </row>
    <row r="439" spans="1:7" x14ac:dyDescent="0.3">
      <c r="A439" s="21" t="str">
        <f>IF(A438="","",IF(A438+1&gt;Ввод!$B$4,"",A438+1))</f>
        <v/>
      </c>
      <c r="B439" s="23" t="str">
        <f>IF(A439="","",IFERROR(INDEX(Ввод!$B$12:$B$71,MATCH(A439,Ввод!$D$12:$D$71,1)),""))</f>
        <v/>
      </c>
      <c r="C439" t="str">
        <f t="shared" si="12"/>
        <v/>
      </c>
      <c r="D439" t="str">
        <f>IF(A439="","",SUMIFS(Акты!$D$5:$D$16,Акты!$E$5:$E$16,"&lt;="&amp;A439)-SUMIFS(Оплаты!$B$6:$B$505,Оплаты!$A$6:$A$505,"&lt;"&amp;A439,Оплаты!$D$6:$D$505,"&lt;&gt;"))</f>
        <v/>
      </c>
      <c r="E439" t="str">
        <f>IF(A439="","",IF(SUMPRODUCT((Ввод!$F$12:$F$31&lt;&gt;"")*(Ввод!$F$12:$F$31&lt;=A439)*(Ввод!$G$12:$G$31&gt;=A439))&gt;0,1,0))</f>
        <v/>
      </c>
      <c r="G439" t="str">
        <f t="shared" si="13"/>
        <v/>
      </c>
    </row>
    <row r="440" spans="1:7" x14ac:dyDescent="0.3">
      <c r="A440" s="21" t="str">
        <f>IF(A439="","",IF(A439+1&gt;Ввод!$B$4,"",A439+1))</f>
        <v/>
      </c>
      <c r="B440" s="23" t="str">
        <f>IF(A440="","",IFERROR(INDEX(Ввод!$B$12:$B$71,MATCH(A440,Ввод!$D$12:$D$71,1)),""))</f>
        <v/>
      </c>
      <c r="C440" t="str">
        <f t="shared" si="12"/>
        <v/>
      </c>
      <c r="D440" t="str">
        <f>IF(A440="","",SUMIFS(Акты!$D$5:$D$16,Акты!$E$5:$E$16,"&lt;="&amp;A440)-SUMIFS(Оплаты!$B$6:$B$505,Оплаты!$A$6:$A$505,"&lt;"&amp;A440,Оплаты!$D$6:$D$505,"&lt;&gt;"))</f>
        <v/>
      </c>
      <c r="E440" t="str">
        <f>IF(A440="","",IF(SUMPRODUCT((Ввод!$F$12:$F$31&lt;&gt;"")*(Ввод!$F$12:$F$31&lt;=A440)*(Ввод!$G$12:$G$31&gt;=A440))&gt;0,1,0))</f>
        <v/>
      </c>
      <c r="G440" t="str">
        <f t="shared" si="13"/>
        <v/>
      </c>
    </row>
    <row r="441" spans="1:7" x14ac:dyDescent="0.3">
      <c r="A441" s="21" t="str">
        <f>IF(A440="","",IF(A440+1&gt;Ввод!$B$4,"",A440+1))</f>
        <v/>
      </c>
      <c r="B441" s="23" t="str">
        <f>IF(A441="","",IFERROR(INDEX(Ввод!$B$12:$B$71,MATCH(A441,Ввод!$D$12:$D$71,1)),""))</f>
        <v/>
      </c>
      <c r="C441" t="str">
        <f t="shared" si="12"/>
        <v/>
      </c>
      <c r="D441" t="str">
        <f>IF(A441="","",SUMIFS(Акты!$D$5:$D$16,Акты!$E$5:$E$16,"&lt;="&amp;A441)-SUMIFS(Оплаты!$B$6:$B$505,Оплаты!$A$6:$A$505,"&lt;"&amp;A441,Оплаты!$D$6:$D$505,"&lt;&gt;"))</f>
        <v/>
      </c>
      <c r="E441" t="str">
        <f>IF(A441="","",IF(SUMPRODUCT((Ввод!$F$12:$F$31&lt;&gt;"")*(Ввод!$F$12:$F$31&lt;=A441)*(Ввод!$G$12:$G$31&gt;=A441))&gt;0,1,0))</f>
        <v/>
      </c>
      <c r="G441" t="str">
        <f t="shared" si="13"/>
        <v/>
      </c>
    </row>
    <row r="442" spans="1:7" x14ac:dyDescent="0.3">
      <c r="A442" s="21" t="str">
        <f>IF(A441="","",IF(A441+1&gt;Ввод!$B$4,"",A441+1))</f>
        <v/>
      </c>
      <c r="B442" s="23" t="str">
        <f>IF(A442="","",IFERROR(INDEX(Ввод!$B$12:$B$71,MATCH(A442,Ввод!$D$12:$D$71,1)),""))</f>
        <v/>
      </c>
      <c r="C442" t="str">
        <f t="shared" si="12"/>
        <v/>
      </c>
      <c r="D442" t="str">
        <f>IF(A442="","",SUMIFS(Акты!$D$5:$D$16,Акты!$E$5:$E$16,"&lt;="&amp;A442)-SUMIFS(Оплаты!$B$6:$B$505,Оплаты!$A$6:$A$505,"&lt;"&amp;A442,Оплаты!$D$6:$D$505,"&lt;&gt;"))</f>
        <v/>
      </c>
      <c r="E442" t="str">
        <f>IF(A442="","",IF(SUMPRODUCT((Ввод!$F$12:$F$31&lt;&gt;"")*(Ввод!$F$12:$F$31&lt;=A442)*(Ввод!$G$12:$G$31&gt;=A442))&gt;0,1,0))</f>
        <v/>
      </c>
      <c r="G442" t="str">
        <f t="shared" si="13"/>
        <v/>
      </c>
    </row>
    <row r="443" spans="1:7" x14ac:dyDescent="0.3">
      <c r="A443" s="21" t="str">
        <f>IF(A442="","",IF(A442+1&gt;Ввод!$B$4,"",A442+1))</f>
        <v/>
      </c>
      <c r="B443" s="23" t="str">
        <f>IF(A443="","",IFERROR(INDEX(Ввод!$B$12:$B$71,MATCH(A443,Ввод!$D$12:$D$71,1)),""))</f>
        <v/>
      </c>
      <c r="C443" t="str">
        <f t="shared" si="12"/>
        <v/>
      </c>
      <c r="D443" t="str">
        <f>IF(A443="","",SUMIFS(Акты!$D$5:$D$16,Акты!$E$5:$E$16,"&lt;="&amp;A443)-SUMIFS(Оплаты!$B$6:$B$505,Оплаты!$A$6:$A$505,"&lt;"&amp;A443,Оплаты!$D$6:$D$505,"&lt;&gt;"))</f>
        <v/>
      </c>
      <c r="E443" t="str">
        <f>IF(A443="","",IF(SUMPRODUCT((Ввод!$F$12:$F$31&lt;&gt;"")*(Ввод!$F$12:$F$31&lt;=A443)*(Ввод!$G$12:$G$31&gt;=A443))&gt;0,1,0))</f>
        <v/>
      </c>
      <c r="G443" t="str">
        <f t="shared" si="13"/>
        <v/>
      </c>
    </row>
    <row r="444" spans="1:7" x14ac:dyDescent="0.3">
      <c r="A444" s="21" t="str">
        <f>IF(A443="","",IF(A443+1&gt;Ввод!$B$4,"",A443+1))</f>
        <v/>
      </c>
      <c r="B444" s="23" t="str">
        <f>IF(A444="","",IFERROR(INDEX(Ввод!$B$12:$B$71,MATCH(A444,Ввод!$D$12:$D$71,1)),""))</f>
        <v/>
      </c>
      <c r="C444" t="str">
        <f t="shared" si="12"/>
        <v/>
      </c>
      <c r="D444" t="str">
        <f>IF(A444="","",SUMIFS(Акты!$D$5:$D$16,Акты!$E$5:$E$16,"&lt;="&amp;A444)-SUMIFS(Оплаты!$B$6:$B$505,Оплаты!$A$6:$A$505,"&lt;"&amp;A444,Оплаты!$D$6:$D$505,"&lt;&gt;"))</f>
        <v/>
      </c>
      <c r="E444" t="str">
        <f>IF(A444="","",IF(SUMPRODUCT((Ввод!$F$12:$F$31&lt;&gt;"")*(Ввод!$F$12:$F$31&lt;=A444)*(Ввод!$G$12:$G$31&gt;=A444))&gt;0,1,0))</f>
        <v/>
      </c>
      <c r="G444" t="str">
        <f t="shared" si="13"/>
        <v/>
      </c>
    </row>
    <row r="445" spans="1:7" x14ac:dyDescent="0.3">
      <c r="A445" s="21" t="str">
        <f>IF(A444="","",IF(A444+1&gt;Ввод!$B$4,"",A444+1))</f>
        <v/>
      </c>
      <c r="B445" s="23" t="str">
        <f>IF(A445="","",IFERROR(INDEX(Ввод!$B$12:$B$71,MATCH(A445,Ввод!$D$12:$D$71,1)),""))</f>
        <v/>
      </c>
      <c r="C445" t="str">
        <f t="shared" si="12"/>
        <v/>
      </c>
      <c r="D445" t="str">
        <f>IF(A445="","",SUMIFS(Акты!$D$5:$D$16,Акты!$E$5:$E$16,"&lt;="&amp;A445)-SUMIFS(Оплаты!$B$6:$B$505,Оплаты!$A$6:$A$505,"&lt;"&amp;A445,Оплаты!$D$6:$D$505,"&lt;&gt;"))</f>
        <v/>
      </c>
      <c r="E445" t="str">
        <f>IF(A445="","",IF(SUMPRODUCT((Ввод!$F$12:$F$31&lt;&gt;"")*(Ввод!$F$12:$F$31&lt;=A445)*(Ввод!$G$12:$G$31&gt;=A445))&gt;0,1,0))</f>
        <v/>
      </c>
      <c r="G445" t="str">
        <f t="shared" si="13"/>
        <v/>
      </c>
    </row>
    <row r="446" spans="1:7" x14ac:dyDescent="0.3">
      <c r="A446" s="21" t="str">
        <f>IF(A445="","",IF(A445+1&gt;Ввод!$B$4,"",A445+1))</f>
        <v/>
      </c>
      <c r="B446" s="23" t="str">
        <f>IF(A446="","",IFERROR(INDEX(Ввод!$B$12:$B$71,MATCH(A446,Ввод!$D$12:$D$71,1)),""))</f>
        <v/>
      </c>
      <c r="C446" t="str">
        <f t="shared" si="12"/>
        <v/>
      </c>
      <c r="D446" t="str">
        <f>IF(A446="","",SUMIFS(Акты!$D$5:$D$16,Акты!$E$5:$E$16,"&lt;="&amp;A446)-SUMIFS(Оплаты!$B$6:$B$505,Оплаты!$A$6:$A$505,"&lt;"&amp;A446,Оплаты!$D$6:$D$505,"&lt;&gt;"))</f>
        <v/>
      </c>
      <c r="E446" t="str">
        <f>IF(A446="","",IF(SUMPRODUCT((Ввод!$F$12:$F$31&lt;&gt;"")*(Ввод!$F$12:$F$31&lt;=A446)*(Ввод!$G$12:$G$31&gt;=A446))&gt;0,1,0))</f>
        <v/>
      </c>
      <c r="G446" t="str">
        <f t="shared" si="13"/>
        <v/>
      </c>
    </row>
    <row r="447" spans="1:7" x14ac:dyDescent="0.3">
      <c r="A447" s="21" t="str">
        <f>IF(A446="","",IF(A446+1&gt;Ввод!$B$4,"",A446+1))</f>
        <v/>
      </c>
      <c r="B447" s="23" t="str">
        <f>IF(A447="","",IFERROR(INDEX(Ввод!$B$12:$B$71,MATCH(A447,Ввод!$D$12:$D$71,1)),""))</f>
        <v/>
      </c>
      <c r="C447" t="str">
        <f t="shared" si="12"/>
        <v/>
      </c>
      <c r="D447" t="str">
        <f>IF(A447="","",SUMIFS(Акты!$D$5:$D$16,Акты!$E$5:$E$16,"&lt;="&amp;A447)-SUMIFS(Оплаты!$B$6:$B$505,Оплаты!$A$6:$A$505,"&lt;"&amp;A447,Оплаты!$D$6:$D$505,"&lt;&gt;"))</f>
        <v/>
      </c>
      <c r="E447" t="str">
        <f>IF(A447="","",IF(SUMPRODUCT((Ввод!$F$12:$F$31&lt;&gt;"")*(Ввод!$F$12:$F$31&lt;=A447)*(Ввод!$G$12:$G$31&gt;=A447))&gt;0,1,0))</f>
        <v/>
      </c>
      <c r="G447" t="str">
        <f t="shared" si="13"/>
        <v/>
      </c>
    </row>
    <row r="448" spans="1:7" x14ac:dyDescent="0.3">
      <c r="A448" s="21" t="str">
        <f>IF(A447="","",IF(A447+1&gt;Ввод!$B$4,"",A447+1))</f>
        <v/>
      </c>
      <c r="B448" s="23" t="str">
        <f>IF(A448="","",IFERROR(INDEX(Ввод!$B$12:$B$71,MATCH(A448,Ввод!$D$12:$D$71,1)),""))</f>
        <v/>
      </c>
      <c r="C448" t="str">
        <f t="shared" si="12"/>
        <v/>
      </c>
      <c r="D448" t="str">
        <f>IF(A448="","",SUMIFS(Акты!$D$5:$D$16,Акты!$E$5:$E$16,"&lt;="&amp;A448)-SUMIFS(Оплаты!$B$6:$B$505,Оплаты!$A$6:$A$505,"&lt;"&amp;A448,Оплаты!$D$6:$D$505,"&lt;&gt;"))</f>
        <v/>
      </c>
      <c r="E448" t="str">
        <f>IF(A448="","",IF(SUMPRODUCT((Ввод!$F$12:$F$31&lt;&gt;"")*(Ввод!$F$12:$F$31&lt;=A448)*(Ввод!$G$12:$G$31&gt;=A448))&gt;0,1,0))</f>
        <v/>
      </c>
      <c r="G448" t="str">
        <f t="shared" si="13"/>
        <v/>
      </c>
    </row>
    <row r="449" spans="1:7" x14ac:dyDescent="0.3">
      <c r="A449" s="21" t="str">
        <f>IF(A448="","",IF(A448+1&gt;Ввод!$B$4,"",A448+1))</f>
        <v/>
      </c>
      <c r="B449" s="23" t="str">
        <f>IF(A449="","",IFERROR(INDEX(Ввод!$B$12:$B$71,MATCH(A449,Ввод!$D$12:$D$71,1)),""))</f>
        <v/>
      </c>
      <c r="C449" t="str">
        <f t="shared" si="12"/>
        <v/>
      </c>
      <c r="D449" t="str">
        <f>IF(A449="","",SUMIFS(Акты!$D$5:$D$16,Акты!$E$5:$E$16,"&lt;="&amp;A449)-SUMIFS(Оплаты!$B$6:$B$505,Оплаты!$A$6:$A$505,"&lt;"&amp;A449,Оплаты!$D$6:$D$505,"&lt;&gt;"))</f>
        <v/>
      </c>
      <c r="E449" t="str">
        <f>IF(A449="","",IF(SUMPRODUCT((Ввод!$F$12:$F$31&lt;&gt;"")*(Ввод!$F$12:$F$31&lt;=A449)*(Ввод!$G$12:$G$31&gt;=A449))&gt;0,1,0))</f>
        <v/>
      </c>
      <c r="G449" t="str">
        <f t="shared" si="13"/>
        <v/>
      </c>
    </row>
    <row r="450" spans="1:7" x14ac:dyDescent="0.3">
      <c r="A450" s="21" t="str">
        <f>IF(A449="","",IF(A449+1&gt;Ввод!$B$4,"",A449+1))</f>
        <v/>
      </c>
      <c r="B450" s="23" t="str">
        <f>IF(A450="","",IFERROR(INDEX(Ввод!$B$12:$B$71,MATCH(A450,Ввод!$D$12:$D$71,1)),""))</f>
        <v/>
      </c>
      <c r="C450" t="str">
        <f t="shared" ref="C450:C513" si="14">IF(A450="","",DATE(YEAR(A450),12,31)-DATE(YEAR(A450),1,1)+1)</f>
        <v/>
      </c>
      <c r="D450" t="str">
        <f>IF(A450="","",SUMIFS(Акты!$D$5:$D$16,Акты!$E$5:$E$16,"&lt;="&amp;A450)-SUMIFS(Оплаты!$B$6:$B$505,Оплаты!$A$6:$A$505,"&lt;"&amp;A450,Оплаты!$D$6:$D$505,"&lt;&gt;"))</f>
        <v/>
      </c>
      <c r="E450" t="str">
        <f>IF(A450="","",IF(SUMPRODUCT((Ввод!$F$12:$F$31&lt;&gt;"")*(Ввод!$F$12:$F$31&lt;=A450)*(Ввод!$G$12:$G$31&gt;=A450))&gt;0,1,0))</f>
        <v/>
      </c>
      <c r="G450" t="str">
        <f t="shared" si="13"/>
        <v/>
      </c>
    </row>
    <row r="451" spans="1:7" x14ac:dyDescent="0.3">
      <c r="A451" s="21" t="str">
        <f>IF(A450="","",IF(A450+1&gt;Ввод!$B$4,"",A450+1))</f>
        <v/>
      </c>
      <c r="B451" s="23" t="str">
        <f>IF(A451="","",IFERROR(INDEX(Ввод!$B$12:$B$71,MATCH(A451,Ввод!$D$12:$D$71,1)),""))</f>
        <v/>
      </c>
      <c r="C451" t="str">
        <f t="shared" si="14"/>
        <v/>
      </c>
      <c r="D451" t="str">
        <f>IF(A451="","",SUMIFS(Акты!$D$5:$D$16,Акты!$E$5:$E$16,"&lt;="&amp;A451)-SUMIFS(Оплаты!$B$6:$B$505,Оплаты!$A$6:$A$505,"&lt;"&amp;A451,Оплаты!$D$6:$D$505,"&lt;&gt;"))</f>
        <v/>
      </c>
      <c r="E451" t="str">
        <f>IF(A451="","",IF(SUMPRODUCT((Ввод!$F$12:$F$31&lt;&gt;"")*(Ввод!$F$12:$F$31&lt;=A451)*(Ввод!$G$12:$G$31&gt;=A451))&gt;0,1,0))</f>
        <v/>
      </c>
      <c r="G451" t="str">
        <f t="shared" ref="G451:G514" si="15">IF(A451="","",IF(OR(B451&lt;&gt;B450,C451&lt;&gt;C450,E451&lt;&gt;E450),G450+1,G450))</f>
        <v/>
      </c>
    </row>
    <row r="452" spans="1:7" x14ac:dyDescent="0.3">
      <c r="A452" s="21" t="str">
        <f>IF(A451="","",IF(A451+1&gt;Ввод!$B$4,"",A451+1))</f>
        <v/>
      </c>
      <c r="B452" s="23" t="str">
        <f>IF(A452="","",IFERROR(INDEX(Ввод!$B$12:$B$71,MATCH(A452,Ввод!$D$12:$D$71,1)),""))</f>
        <v/>
      </c>
      <c r="C452" t="str">
        <f t="shared" si="14"/>
        <v/>
      </c>
      <c r="D452" t="str">
        <f>IF(A452="","",SUMIFS(Акты!$D$5:$D$16,Акты!$E$5:$E$16,"&lt;="&amp;A452)-SUMIFS(Оплаты!$B$6:$B$505,Оплаты!$A$6:$A$505,"&lt;"&amp;A452,Оплаты!$D$6:$D$505,"&lt;&gt;"))</f>
        <v/>
      </c>
      <c r="E452" t="str">
        <f>IF(A452="","",IF(SUMPRODUCT((Ввод!$F$12:$F$31&lt;&gt;"")*(Ввод!$F$12:$F$31&lt;=A452)*(Ввод!$G$12:$G$31&gt;=A452))&gt;0,1,0))</f>
        <v/>
      </c>
      <c r="G452" t="str">
        <f t="shared" si="15"/>
        <v/>
      </c>
    </row>
    <row r="453" spans="1:7" x14ac:dyDescent="0.3">
      <c r="A453" s="21" t="str">
        <f>IF(A452="","",IF(A452+1&gt;Ввод!$B$4,"",A452+1))</f>
        <v/>
      </c>
      <c r="B453" s="23" t="str">
        <f>IF(A453="","",IFERROR(INDEX(Ввод!$B$12:$B$71,MATCH(A453,Ввод!$D$12:$D$71,1)),""))</f>
        <v/>
      </c>
      <c r="C453" t="str">
        <f t="shared" si="14"/>
        <v/>
      </c>
      <c r="D453" t="str">
        <f>IF(A453="","",SUMIFS(Акты!$D$5:$D$16,Акты!$E$5:$E$16,"&lt;="&amp;A453)-SUMIFS(Оплаты!$B$6:$B$505,Оплаты!$A$6:$A$505,"&lt;"&amp;A453,Оплаты!$D$6:$D$505,"&lt;&gt;"))</f>
        <v/>
      </c>
      <c r="E453" t="str">
        <f>IF(A453="","",IF(SUMPRODUCT((Ввод!$F$12:$F$31&lt;&gt;"")*(Ввод!$F$12:$F$31&lt;=A453)*(Ввод!$G$12:$G$31&gt;=A453))&gt;0,1,0))</f>
        <v/>
      </c>
      <c r="G453" t="str">
        <f t="shared" si="15"/>
        <v/>
      </c>
    </row>
    <row r="454" spans="1:7" x14ac:dyDescent="0.3">
      <c r="A454" s="21" t="str">
        <f>IF(A453="","",IF(A453+1&gt;Ввод!$B$4,"",A453+1))</f>
        <v/>
      </c>
      <c r="B454" s="23" t="str">
        <f>IF(A454="","",IFERROR(INDEX(Ввод!$B$12:$B$71,MATCH(A454,Ввод!$D$12:$D$71,1)),""))</f>
        <v/>
      </c>
      <c r="C454" t="str">
        <f t="shared" si="14"/>
        <v/>
      </c>
      <c r="D454" t="str">
        <f>IF(A454="","",SUMIFS(Акты!$D$5:$D$16,Акты!$E$5:$E$16,"&lt;="&amp;A454)-SUMIFS(Оплаты!$B$6:$B$505,Оплаты!$A$6:$A$505,"&lt;"&amp;A454,Оплаты!$D$6:$D$505,"&lt;&gt;"))</f>
        <v/>
      </c>
      <c r="E454" t="str">
        <f>IF(A454="","",IF(SUMPRODUCT((Ввод!$F$12:$F$31&lt;&gt;"")*(Ввод!$F$12:$F$31&lt;=A454)*(Ввод!$G$12:$G$31&gt;=A454))&gt;0,1,0))</f>
        <v/>
      </c>
      <c r="G454" t="str">
        <f t="shared" si="15"/>
        <v/>
      </c>
    </row>
    <row r="455" spans="1:7" x14ac:dyDescent="0.3">
      <c r="A455" s="21" t="str">
        <f>IF(A454="","",IF(A454+1&gt;Ввод!$B$4,"",A454+1))</f>
        <v/>
      </c>
      <c r="B455" s="23" t="str">
        <f>IF(A455="","",IFERROR(INDEX(Ввод!$B$12:$B$71,MATCH(A455,Ввод!$D$12:$D$71,1)),""))</f>
        <v/>
      </c>
      <c r="C455" t="str">
        <f t="shared" si="14"/>
        <v/>
      </c>
      <c r="D455" t="str">
        <f>IF(A455="","",SUMIFS(Акты!$D$5:$D$16,Акты!$E$5:$E$16,"&lt;="&amp;A455)-SUMIFS(Оплаты!$B$6:$B$505,Оплаты!$A$6:$A$505,"&lt;"&amp;A455,Оплаты!$D$6:$D$505,"&lt;&gt;"))</f>
        <v/>
      </c>
      <c r="E455" t="str">
        <f>IF(A455="","",IF(SUMPRODUCT((Ввод!$F$12:$F$31&lt;&gt;"")*(Ввод!$F$12:$F$31&lt;=A455)*(Ввод!$G$12:$G$31&gt;=A455))&gt;0,1,0))</f>
        <v/>
      </c>
      <c r="G455" t="str">
        <f t="shared" si="15"/>
        <v/>
      </c>
    </row>
    <row r="456" spans="1:7" x14ac:dyDescent="0.3">
      <c r="A456" s="21" t="str">
        <f>IF(A455="","",IF(A455+1&gt;Ввод!$B$4,"",A455+1))</f>
        <v/>
      </c>
      <c r="B456" s="23" t="str">
        <f>IF(A456="","",IFERROR(INDEX(Ввод!$B$12:$B$71,MATCH(A456,Ввод!$D$12:$D$71,1)),""))</f>
        <v/>
      </c>
      <c r="C456" t="str">
        <f t="shared" si="14"/>
        <v/>
      </c>
      <c r="D456" t="str">
        <f>IF(A456="","",SUMIFS(Акты!$D$5:$D$16,Акты!$E$5:$E$16,"&lt;="&amp;A456)-SUMIFS(Оплаты!$B$6:$B$505,Оплаты!$A$6:$A$505,"&lt;"&amp;A456,Оплаты!$D$6:$D$505,"&lt;&gt;"))</f>
        <v/>
      </c>
      <c r="E456" t="str">
        <f>IF(A456="","",IF(SUMPRODUCT((Ввод!$F$12:$F$31&lt;&gt;"")*(Ввод!$F$12:$F$31&lt;=A456)*(Ввод!$G$12:$G$31&gt;=A456))&gt;0,1,0))</f>
        <v/>
      </c>
      <c r="G456" t="str">
        <f t="shared" si="15"/>
        <v/>
      </c>
    </row>
    <row r="457" spans="1:7" x14ac:dyDescent="0.3">
      <c r="A457" s="21" t="str">
        <f>IF(A456="","",IF(A456+1&gt;Ввод!$B$4,"",A456+1))</f>
        <v/>
      </c>
      <c r="B457" s="23" t="str">
        <f>IF(A457="","",IFERROR(INDEX(Ввод!$B$12:$B$71,MATCH(A457,Ввод!$D$12:$D$71,1)),""))</f>
        <v/>
      </c>
      <c r="C457" t="str">
        <f t="shared" si="14"/>
        <v/>
      </c>
      <c r="D457" t="str">
        <f>IF(A457="","",SUMIFS(Акты!$D$5:$D$16,Акты!$E$5:$E$16,"&lt;="&amp;A457)-SUMIFS(Оплаты!$B$6:$B$505,Оплаты!$A$6:$A$505,"&lt;"&amp;A457,Оплаты!$D$6:$D$505,"&lt;&gt;"))</f>
        <v/>
      </c>
      <c r="E457" t="str">
        <f>IF(A457="","",IF(SUMPRODUCT((Ввод!$F$12:$F$31&lt;&gt;"")*(Ввод!$F$12:$F$31&lt;=A457)*(Ввод!$G$12:$G$31&gt;=A457))&gt;0,1,0))</f>
        <v/>
      </c>
      <c r="G457" t="str">
        <f t="shared" si="15"/>
        <v/>
      </c>
    </row>
    <row r="458" spans="1:7" x14ac:dyDescent="0.3">
      <c r="A458" s="21" t="str">
        <f>IF(A457="","",IF(A457+1&gt;Ввод!$B$4,"",A457+1))</f>
        <v/>
      </c>
      <c r="B458" s="23" t="str">
        <f>IF(A458="","",IFERROR(INDEX(Ввод!$B$12:$B$71,MATCH(A458,Ввод!$D$12:$D$71,1)),""))</f>
        <v/>
      </c>
      <c r="C458" t="str">
        <f t="shared" si="14"/>
        <v/>
      </c>
      <c r="D458" t="str">
        <f>IF(A458="","",SUMIFS(Акты!$D$5:$D$16,Акты!$E$5:$E$16,"&lt;="&amp;A458)-SUMIFS(Оплаты!$B$6:$B$505,Оплаты!$A$6:$A$505,"&lt;"&amp;A458,Оплаты!$D$6:$D$505,"&lt;&gt;"))</f>
        <v/>
      </c>
      <c r="E458" t="str">
        <f>IF(A458="","",IF(SUMPRODUCT((Ввод!$F$12:$F$31&lt;&gt;"")*(Ввод!$F$12:$F$31&lt;=A458)*(Ввод!$G$12:$G$31&gt;=A458))&gt;0,1,0))</f>
        <v/>
      </c>
      <c r="G458" t="str">
        <f t="shared" si="15"/>
        <v/>
      </c>
    </row>
    <row r="459" spans="1:7" x14ac:dyDescent="0.3">
      <c r="A459" s="21" t="str">
        <f>IF(A458="","",IF(A458+1&gt;Ввод!$B$4,"",A458+1))</f>
        <v/>
      </c>
      <c r="B459" s="23" t="str">
        <f>IF(A459="","",IFERROR(INDEX(Ввод!$B$12:$B$71,MATCH(A459,Ввод!$D$12:$D$71,1)),""))</f>
        <v/>
      </c>
      <c r="C459" t="str">
        <f t="shared" si="14"/>
        <v/>
      </c>
      <c r="D459" t="str">
        <f>IF(A459="","",SUMIFS(Акты!$D$5:$D$16,Акты!$E$5:$E$16,"&lt;="&amp;A459)-SUMIFS(Оплаты!$B$6:$B$505,Оплаты!$A$6:$A$505,"&lt;"&amp;A459,Оплаты!$D$6:$D$505,"&lt;&gt;"))</f>
        <v/>
      </c>
      <c r="E459" t="str">
        <f>IF(A459="","",IF(SUMPRODUCT((Ввод!$F$12:$F$31&lt;&gt;"")*(Ввод!$F$12:$F$31&lt;=A459)*(Ввод!$G$12:$G$31&gt;=A459))&gt;0,1,0))</f>
        <v/>
      </c>
      <c r="G459" t="str">
        <f t="shared" si="15"/>
        <v/>
      </c>
    </row>
    <row r="460" spans="1:7" x14ac:dyDescent="0.3">
      <c r="A460" s="21" t="str">
        <f>IF(A459="","",IF(A459+1&gt;Ввод!$B$4,"",A459+1))</f>
        <v/>
      </c>
      <c r="B460" s="23" t="str">
        <f>IF(A460="","",IFERROR(INDEX(Ввод!$B$12:$B$71,MATCH(A460,Ввод!$D$12:$D$71,1)),""))</f>
        <v/>
      </c>
      <c r="C460" t="str">
        <f t="shared" si="14"/>
        <v/>
      </c>
      <c r="D460" t="str">
        <f>IF(A460="","",SUMIFS(Акты!$D$5:$D$16,Акты!$E$5:$E$16,"&lt;="&amp;A460)-SUMIFS(Оплаты!$B$6:$B$505,Оплаты!$A$6:$A$505,"&lt;"&amp;A460,Оплаты!$D$6:$D$505,"&lt;&gt;"))</f>
        <v/>
      </c>
      <c r="E460" t="str">
        <f>IF(A460="","",IF(SUMPRODUCT((Ввод!$F$12:$F$31&lt;&gt;"")*(Ввод!$F$12:$F$31&lt;=A460)*(Ввод!$G$12:$G$31&gt;=A460))&gt;0,1,0))</f>
        <v/>
      </c>
      <c r="G460" t="str">
        <f t="shared" si="15"/>
        <v/>
      </c>
    </row>
    <row r="461" spans="1:7" x14ac:dyDescent="0.3">
      <c r="A461" s="21" t="str">
        <f>IF(A460="","",IF(A460+1&gt;Ввод!$B$4,"",A460+1))</f>
        <v/>
      </c>
      <c r="B461" s="23" t="str">
        <f>IF(A461="","",IFERROR(INDEX(Ввод!$B$12:$B$71,MATCH(A461,Ввод!$D$12:$D$71,1)),""))</f>
        <v/>
      </c>
      <c r="C461" t="str">
        <f t="shared" si="14"/>
        <v/>
      </c>
      <c r="D461" t="str">
        <f>IF(A461="","",SUMIFS(Акты!$D$5:$D$16,Акты!$E$5:$E$16,"&lt;="&amp;A461)-SUMIFS(Оплаты!$B$6:$B$505,Оплаты!$A$6:$A$505,"&lt;"&amp;A461,Оплаты!$D$6:$D$505,"&lt;&gt;"))</f>
        <v/>
      </c>
      <c r="E461" t="str">
        <f>IF(A461="","",IF(SUMPRODUCT((Ввод!$F$12:$F$31&lt;&gt;"")*(Ввод!$F$12:$F$31&lt;=A461)*(Ввод!$G$12:$G$31&gt;=A461))&gt;0,1,0))</f>
        <v/>
      </c>
      <c r="G461" t="str">
        <f t="shared" si="15"/>
        <v/>
      </c>
    </row>
    <row r="462" spans="1:7" x14ac:dyDescent="0.3">
      <c r="A462" s="21" t="str">
        <f>IF(A461="","",IF(A461+1&gt;Ввод!$B$4,"",A461+1))</f>
        <v/>
      </c>
      <c r="B462" s="23" t="str">
        <f>IF(A462="","",IFERROR(INDEX(Ввод!$B$12:$B$71,MATCH(A462,Ввод!$D$12:$D$71,1)),""))</f>
        <v/>
      </c>
      <c r="C462" t="str">
        <f t="shared" si="14"/>
        <v/>
      </c>
      <c r="D462" t="str">
        <f>IF(A462="","",SUMIFS(Акты!$D$5:$D$16,Акты!$E$5:$E$16,"&lt;="&amp;A462)-SUMIFS(Оплаты!$B$6:$B$505,Оплаты!$A$6:$A$505,"&lt;"&amp;A462,Оплаты!$D$6:$D$505,"&lt;&gt;"))</f>
        <v/>
      </c>
      <c r="E462" t="str">
        <f>IF(A462="","",IF(SUMPRODUCT((Ввод!$F$12:$F$31&lt;&gt;"")*(Ввод!$F$12:$F$31&lt;=A462)*(Ввод!$G$12:$G$31&gt;=A462))&gt;0,1,0))</f>
        <v/>
      </c>
      <c r="G462" t="str">
        <f t="shared" si="15"/>
        <v/>
      </c>
    </row>
    <row r="463" spans="1:7" x14ac:dyDescent="0.3">
      <c r="A463" s="21" t="str">
        <f>IF(A462="","",IF(A462+1&gt;Ввод!$B$4,"",A462+1))</f>
        <v/>
      </c>
      <c r="B463" s="23" t="str">
        <f>IF(A463="","",IFERROR(INDEX(Ввод!$B$12:$B$71,MATCH(A463,Ввод!$D$12:$D$71,1)),""))</f>
        <v/>
      </c>
      <c r="C463" t="str">
        <f t="shared" si="14"/>
        <v/>
      </c>
      <c r="D463" t="str">
        <f>IF(A463="","",SUMIFS(Акты!$D$5:$D$16,Акты!$E$5:$E$16,"&lt;="&amp;A463)-SUMIFS(Оплаты!$B$6:$B$505,Оплаты!$A$6:$A$505,"&lt;"&amp;A463,Оплаты!$D$6:$D$505,"&lt;&gt;"))</f>
        <v/>
      </c>
      <c r="E463" t="str">
        <f>IF(A463="","",IF(SUMPRODUCT((Ввод!$F$12:$F$31&lt;&gt;"")*(Ввод!$F$12:$F$31&lt;=A463)*(Ввод!$G$12:$G$31&gt;=A463))&gt;0,1,0))</f>
        <v/>
      </c>
      <c r="G463" t="str">
        <f t="shared" si="15"/>
        <v/>
      </c>
    </row>
    <row r="464" spans="1:7" x14ac:dyDescent="0.3">
      <c r="A464" s="21" t="str">
        <f>IF(A463="","",IF(A463+1&gt;Ввод!$B$4,"",A463+1))</f>
        <v/>
      </c>
      <c r="B464" s="23" t="str">
        <f>IF(A464="","",IFERROR(INDEX(Ввод!$B$12:$B$71,MATCH(A464,Ввод!$D$12:$D$71,1)),""))</f>
        <v/>
      </c>
      <c r="C464" t="str">
        <f t="shared" si="14"/>
        <v/>
      </c>
      <c r="D464" t="str">
        <f>IF(A464="","",SUMIFS(Акты!$D$5:$D$16,Акты!$E$5:$E$16,"&lt;="&amp;A464)-SUMIFS(Оплаты!$B$6:$B$505,Оплаты!$A$6:$A$505,"&lt;"&amp;A464,Оплаты!$D$6:$D$505,"&lt;&gt;"))</f>
        <v/>
      </c>
      <c r="E464" t="str">
        <f>IF(A464="","",IF(SUMPRODUCT((Ввод!$F$12:$F$31&lt;&gt;"")*(Ввод!$F$12:$F$31&lt;=A464)*(Ввод!$G$12:$G$31&gt;=A464))&gt;0,1,0))</f>
        <v/>
      </c>
      <c r="G464" t="str">
        <f t="shared" si="15"/>
        <v/>
      </c>
    </row>
    <row r="465" spans="1:7" x14ac:dyDescent="0.3">
      <c r="A465" s="21" t="str">
        <f>IF(A464="","",IF(A464+1&gt;Ввод!$B$4,"",A464+1))</f>
        <v/>
      </c>
      <c r="B465" s="23" t="str">
        <f>IF(A465="","",IFERROR(INDEX(Ввод!$B$12:$B$71,MATCH(A465,Ввод!$D$12:$D$71,1)),""))</f>
        <v/>
      </c>
      <c r="C465" t="str">
        <f t="shared" si="14"/>
        <v/>
      </c>
      <c r="D465" t="str">
        <f>IF(A465="","",SUMIFS(Акты!$D$5:$D$16,Акты!$E$5:$E$16,"&lt;="&amp;A465)-SUMIFS(Оплаты!$B$6:$B$505,Оплаты!$A$6:$A$505,"&lt;"&amp;A465,Оплаты!$D$6:$D$505,"&lt;&gt;"))</f>
        <v/>
      </c>
      <c r="E465" t="str">
        <f>IF(A465="","",IF(SUMPRODUCT((Ввод!$F$12:$F$31&lt;&gt;"")*(Ввод!$F$12:$F$31&lt;=A465)*(Ввод!$G$12:$G$31&gt;=A465))&gt;0,1,0))</f>
        <v/>
      </c>
      <c r="G465" t="str">
        <f t="shared" si="15"/>
        <v/>
      </c>
    </row>
    <row r="466" spans="1:7" x14ac:dyDescent="0.3">
      <c r="A466" s="21" t="str">
        <f>IF(A465="","",IF(A465+1&gt;Ввод!$B$4,"",A465+1))</f>
        <v/>
      </c>
      <c r="B466" s="23" t="str">
        <f>IF(A466="","",IFERROR(INDEX(Ввод!$B$12:$B$71,MATCH(A466,Ввод!$D$12:$D$71,1)),""))</f>
        <v/>
      </c>
      <c r="C466" t="str">
        <f t="shared" si="14"/>
        <v/>
      </c>
      <c r="D466" t="str">
        <f>IF(A466="","",SUMIFS(Акты!$D$5:$D$16,Акты!$E$5:$E$16,"&lt;="&amp;A466)-SUMIFS(Оплаты!$B$6:$B$505,Оплаты!$A$6:$A$505,"&lt;"&amp;A466,Оплаты!$D$6:$D$505,"&lt;&gt;"))</f>
        <v/>
      </c>
      <c r="E466" t="str">
        <f>IF(A466="","",IF(SUMPRODUCT((Ввод!$F$12:$F$31&lt;&gt;"")*(Ввод!$F$12:$F$31&lt;=A466)*(Ввод!$G$12:$G$31&gt;=A466))&gt;0,1,0))</f>
        <v/>
      </c>
      <c r="G466" t="str">
        <f t="shared" si="15"/>
        <v/>
      </c>
    </row>
    <row r="467" spans="1:7" x14ac:dyDescent="0.3">
      <c r="A467" s="21" t="str">
        <f>IF(A466="","",IF(A466+1&gt;Ввод!$B$4,"",A466+1))</f>
        <v/>
      </c>
      <c r="B467" s="23" t="str">
        <f>IF(A467="","",IFERROR(INDEX(Ввод!$B$12:$B$71,MATCH(A467,Ввод!$D$12:$D$71,1)),""))</f>
        <v/>
      </c>
      <c r="C467" t="str">
        <f t="shared" si="14"/>
        <v/>
      </c>
      <c r="D467" t="str">
        <f>IF(A467="","",SUMIFS(Акты!$D$5:$D$16,Акты!$E$5:$E$16,"&lt;="&amp;A467)-SUMIFS(Оплаты!$B$6:$B$505,Оплаты!$A$6:$A$505,"&lt;"&amp;A467,Оплаты!$D$6:$D$505,"&lt;&gt;"))</f>
        <v/>
      </c>
      <c r="E467" t="str">
        <f>IF(A467="","",IF(SUMPRODUCT((Ввод!$F$12:$F$31&lt;&gt;"")*(Ввод!$F$12:$F$31&lt;=A467)*(Ввод!$G$12:$G$31&gt;=A467))&gt;0,1,0))</f>
        <v/>
      </c>
      <c r="G467" t="str">
        <f t="shared" si="15"/>
        <v/>
      </c>
    </row>
    <row r="468" spans="1:7" x14ac:dyDescent="0.3">
      <c r="A468" s="21" t="str">
        <f>IF(A467="","",IF(A467+1&gt;Ввод!$B$4,"",A467+1))</f>
        <v/>
      </c>
      <c r="B468" s="23" t="str">
        <f>IF(A468="","",IFERROR(INDEX(Ввод!$B$12:$B$71,MATCH(A468,Ввод!$D$12:$D$71,1)),""))</f>
        <v/>
      </c>
      <c r="C468" t="str">
        <f t="shared" si="14"/>
        <v/>
      </c>
      <c r="D468" t="str">
        <f>IF(A468="","",SUMIFS(Акты!$D$5:$D$16,Акты!$E$5:$E$16,"&lt;="&amp;A468)-SUMIFS(Оплаты!$B$6:$B$505,Оплаты!$A$6:$A$505,"&lt;"&amp;A468,Оплаты!$D$6:$D$505,"&lt;&gt;"))</f>
        <v/>
      </c>
      <c r="E468" t="str">
        <f>IF(A468="","",IF(SUMPRODUCT((Ввод!$F$12:$F$31&lt;&gt;"")*(Ввод!$F$12:$F$31&lt;=A468)*(Ввод!$G$12:$G$31&gt;=A468))&gt;0,1,0))</f>
        <v/>
      </c>
      <c r="G468" t="str">
        <f t="shared" si="15"/>
        <v/>
      </c>
    </row>
    <row r="469" spans="1:7" x14ac:dyDescent="0.3">
      <c r="A469" s="21" t="str">
        <f>IF(A468="","",IF(A468+1&gt;Ввод!$B$4,"",A468+1))</f>
        <v/>
      </c>
      <c r="B469" s="23" t="str">
        <f>IF(A469="","",IFERROR(INDEX(Ввод!$B$12:$B$71,MATCH(A469,Ввод!$D$12:$D$71,1)),""))</f>
        <v/>
      </c>
      <c r="C469" t="str">
        <f t="shared" si="14"/>
        <v/>
      </c>
      <c r="D469" t="str">
        <f>IF(A469="","",SUMIFS(Акты!$D$5:$D$16,Акты!$E$5:$E$16,"&lt;="&amp;A469)-SUMIFS(Оплаты!$B$6:$B$505,Оплаты!$A$6:$A$505,"&lt;"&amp;A469,Оплаты!$D$6:$D$505,"&lt;&gt;"))</f>
        <v/>
      </c>
      <c r="E469" t="str">
        <f>IF(A469="","",IF(SUMPRODUCT((Ввод!$F$12:$F$31&lt;&gt;"")*(Ввод!$F$12:$F$31&lt;=A469)*(Ввод!$G$12:$G$31&gt;=A469))&gt;0,1,0))</f>
        <v/>
      </c>
      <c r="G469" t="str">
        <f t="shared" si="15"/>
        <v/>
      </c>
    </row>
    <row r="470" spans="1:7" x14ac:dyDescent="0.3">
      <c r="A470" s="21" t="str">
        <f>IF(A469="","",IF(A469+1&gt;Ввод!$B$4,"",A469+1))</f>
        <v/>
      </c>
      <c r="B470" s="23" t="str">
        <f>IF(A470="","",IFERROR(INDEX(Ввод!$B$12:$B$71,MATCH(A470,Ввод!$D$12:$D$71,1)),""))</f>
        <v/>
      </c>
      <c r="C470" t="str">
        <f t="shared" si="14"/>
        <v/>
      </c>
      <c r="D470" t="str">
        <f>IF(A470="","",SUMIFS(Акты!$D$5:$D$16,Акты!$E$5:$E$16,"&lt;="&amp;A470)-SUMIFS(Оплаты!$B$6:$B$505,Оплаты!$A$6:$A$505,"&lt;"&amp;A470,Оплаты!$D$6:$D$505,"&lt;&gt;"))</f>
        <v/>
      </c>
      <c r="E470" t="str">
        <f>IF(A470="","",IF(SUMPRODUCT((Ввод!$F$12:$F$31&lt;&gt;"")*(Ввод!$F$12:$F$31&lt;=A470)*(Ввод!$G$12:$G$31&gt;=A470))&gt;0,1,0))</f>
        <v/>
      </c>
      <c r="G470" t="str">
        <f t="shared" si="15"/>
        <v/>
      </c>
    </row>
    <row r="471" spans="1:7" x14ac:dyDescent="0.3">
      <c r="A471" s="21" t="str">
        <f>IF(A470="","",IF(A470+1&gt;Ввод!$B$4,"",A470+1))</f>
        <v/>
      </c>
      <c r="B471" s="23" t="str">
        <f>IF(A471="","",IFERROR(INDEX(Ввод!$B$12:$B$71,MATCH(A471,Ввод!$D$12:$D$71,1)),""))</f>
        <v/>
      </c>
      <c r="C471" t="str">
        <f t="shared" si="14"/>
        <v/>
      </c>
      <c r="D471" t="str">
        <f>IF(A471="","",SUMIFS(Акты!$D$5:$D$16,Акты!$E$5:$E$16,"&lt;="&amp;A471)-SUMIFS(Оплаты!$B$6:$B$505,Оплаты!$A$6:$A$505,"&lt;"&amp;A471,Оплаты!$D$6:$D$505,"&lt;&gt;"))</f>
        <v/>
      </c>
      <c r="E471" t="str">
        <f>IF(A471="","",IF(SUMPRODUCT((Ввод!$F$12:$F$31&lt;&gt;"")*(Ввод!$F$12:$F$31&lt;=A471)*(Ввод!$G$12:$G$31&gt;=A471))&gt;0,1,0))</f>
        <v/>
      </c>
      <c r="G471" t="str">
        <f t="shared" si="15"/>
        <v/>
      </c>
    </row>
    <row r="472" spans="1:7" x14ac:dyDescent="0.3">
      <c r="A472" s="21" t="str">
        <f>IF(A471="","",IF(A471+1&gt;Ввод!$B$4,"",A471+1))</f>
        <v/>
      </c>
      <c r="B472" s="23" t="str">
        <f>IF(A472="","",IFERROR(INDEX(Ввод!$B$12:$B$71,MATCH(A472,Ввод!$D$12:$D$71,1)),""))</f>
        <v/>
      </c>
      <c r="C472" t="str">
        <f t="shared" si="14"/>
        <v/>
      </c>
      <c r="D472" t="str">
        <f>IF(A472="","",SUMIFS(Акты!$D$5:$D$16,Акты!$E$5:$E$16,"&lt;="&amp;A472)-SUMIFS(Оплаты!$B$6:$B$505,Оплаты!$A$6:$A$505,"&lt;"&amp;A472,Оплаты!$D$6:$D$505,"&lt;&gt;"))</f>
        <v/>
      </c>
      <c r="E472" t="str">
        <f>IF(A472="","",IF(SUMPRODUCT((Ввод!$F$12:$F$31&lt;&gt;"")*(Ввод!$F$12:$F$31&lt;=A472)*(Ввод!$G$12:$G$31&gt;=A472))&gt;0,1,0))</f>
        <v/>
      </c>
      <c r="G472" t="str">
        <f t="shared" si="15"/>
        <v/>
      </c>
    </row>
    <row r="473" spans="1:7" x14ac:dyDescent="0.3">
      <c r="A473" s="21" t="str">
        <f>IF(A472="","",IF(A472+1&gt;Ввод!$B$4,"",A472+1))</f>
        <v/>
      </c>
      <c r="B473" s="23" t="str">
        <f>IF(A473="","",IFERROR(INDEX(Ввод!$B$12:$B$71,MATCH(A473,Ввод!$D$12:$D$71,1)),""))</f>
        <v/>
      </c>
      <c r="C473" t="str">
        <f t="shared" si="14"/>
        <v/>
      </c>
      <c r="D473" t="str">
        <f>IF(A473="","",SUMIFS(Акты!$D$5:$D$16,Акты!$E$5:$E$16,"&lt;="&amp;A473)-SUMIFS(Оплаты!$B$6:$B$505,Оплаты!$A$6:$A$505,"&lt;"&amp;A473,Оплаты!$D$6:$D$505,"&lt;&gt;"))</f>
        <v/>
      </c>
      <c r="E473" t="str">
        <f>IF(A473="","",IF(SUMPRODUCT((Ввод!$F$12:$F$31&lt;&gt;"")*(Ввод!$F$12:$F$31&lt;=A473)*(Ввод!$G$12:$G$31&gt;=A473))&gt;0,1,0))</f>
        <v/>
      </c>
      <c r="G473" t="str">
        <f t="shared" si="15"/>
        <v/>
      </c>
    </row>
    <row r="474" spans="1:7" x14ac:dyDescent="0.3">
      <c r="A474" s="21" t="str">
        <f>IF(A473="","",IF(A473+1&gt;Ввод!$B$4,"",A473+1))</f>
        <v/>
      </c>
      <c r="B474" s="23" t="str">
        <f>IF(A474="","",IFERROR(INDEX(Ввод!$B$12:$B$71,MATCH(A474,Ввод!$D$12:$D$71,1)),""))</f>
        <v/>
      </c>
      <c r="C474" t="str">
        <f t="shared" si="14"/>
        <v/>
      </c>
      <c r="D474" t="str">
        <f>IF(A474="","",SUMIFS(Акты!$D$5:$D$16,Акты!$E$5:$E$16,"&lt;="&amp;A474)-SUMIFS(Оплаты!$B$6:$B$505,Оплаты!$A$6:$A$505,"&lt;"&amp;A474,Оплаты!$D$6:$D$505,"&lt;&gt;"))</f>
        <v/>
      </c>
      <c r="E474" t="str">
        <f>IF(A474="","",IF(SUMPRODUCT((Ввод!$F$12:$F$31&lt;&gt;"")*(Ввод!$F$12:$F$31&lt;=A474)*(Ввод!$G$12:$G$31&gt;=A474))&gt;0,1,0))</f>
        <v/>
      </c>
      <c r="G474" t="str">
        <f t="shared" si="15"/>
        <v/>
      </c>
    </row>
    <row r="475" spans="1:7" x14ac:dyDescent="0.3">
      <c r="A475" s="21" t="str">
        <f>IF(A474="","",IF(A474+1&gt;Ввод!$B$4,"",A474+1))</f>
        <v/>
      </c>
      <c r="B475" s="23" t="str">
        <f>IF(A475="","",IFERROR(INDEX(Ввод!$B$12:$B$71,MATCH(A475,Ввод!$D$12:$D$71,1)),""))</f>
        <v/>
      </c>
      <c r="C475" t="str">
        <f t="shared" si="14"/>
        <v/>
      </c>
      <c r="D475" t="str">
        <f>IF(A475="","",SUMIFS(Акты!$D$5:$D$16,Акты!$E$5:$E$16,"&lt;="&amp;A475)-SUMIFS(Оплаты!$B$6:$B$505,Оплаты!$A$6:$A$505,"&lt;"&amp;A475,Оплаты!$D$6:$D$505,"&lt;&gt;"))</f>
        <v/>
      </c>
      <c r="E475" t="str">
        <f>IF(A475="","",IF(SUMPRODUCT((Ввод!$F$12:$F$31&lt;&gt;"")*(Ввод!$F$12:$F$31&lt;=A475)*(Ввод!$G$12:$G$31&gt;=A475))&gt;0,1,0))</f>
        <v/>
      </c>
      <c r="G475" t="str">
        <f t="shared" si="15"/>
        <v/>
      </c>
    </row>
    <row r="476" spans="1:7" x14ac:dyDescent="0.3">
      <c r="A476" s="21" t="str">
        <f>IF(A475="","",IF(A475+1&gt;Ввод!$B$4,"",A475+1))</f>
        <v/>
      </c>
      <c r="B476" s="23" t="str">
        <f>IF(A476="","",IFERROR(INDEX(Ввод!$B$12:$B$71,MATCH(A476,Ввод!$D$12:$D$71,1)),""))</f>
        <v/>
      </c>
      <c r="C476" t="str">
        <f t="shared" si="14"/>
        <v/>
      </c>
      <c r="D476" t="str">
        <f>IF(A476="","",SUMIFS(Акты!$D$5:$D$16,Акты!$E$5:$E$16,"&lt;="&amp;A476)-SUMIFS(Оплаты!$B$6:$B$505,Оплаты!$A$6:$A$505,"&lt;"&amp;A476,Оплаты!$D$6:$D$505,"&lt;&gt;"))</f>
        <v/>
      </c>
      <c r="E476" t="str">
        <f>IF(A476="","",IF(SUMPRODUCT((Ввод!$F$12:$F$31&lt;&gt;"")*(Ввод!$F$12:$F$31&lt;=A476)*(Ввод!$G$12:$G$31&gt;=A476))&gt;0,1,0))</f>
        <v/>
      </c>
      <c r="G476" t="str">
        <f t="shared" si="15"/>
        <v/>
      </c>
    </row>
    <row r="477" spans="1:7" x14ac:dyDescent="0.3">
      <c r="A477" s="21" t="str">
        <f>IF(A476="","",IF(A476+1&gt;Ввод!$B$4,"",A476+1))</f>
        <v/>
      </c>
      <c r="B477" s="23" t="str">
        <f>IF(A477="","",IFERROR(INDEX(Ввод!$B$12:$B$71,MATCH(A477,Ввод!$D$12:$D$71,1)),""))</f>
        <v/>
      </c>
      <c r="C477" t="str">
        <f t="shared" si="14"/>
        <v/>
      </c>
      <c r="D477" t="str">
        <f>IF(A477="","",SUMIFS(Акты!$D$5:$D$16,Акты!$E$5:$E$16,"&lt;="&amp;A477)-SUMIFS(Оплаты!$B$6:$B$505,Оплаты!$A$6:$A$505,"&lt;"&amp;A477,Оплаты!$D$6:$D$505,"&lt;&gt;"))</f>
        <v/>
      </c>
      <c r="E477" t="str">
        <f>IF(A477="","",IF(SUMPRODUCT((Ввод!$F$12:$F$31&lt;&gt;"")*(Ввод!$F$12:$F$31&lt;=A477)*(Ввод!$G$12:$G$31&gt;=A477))&gt;0,1,0))</f>
        <v/>
      </c>
      <c r="G477" t="str">
        <f t="shared" si="15"/>
        <v/>
      </c>
    </row>
    <row r="478" spans="1:7" x14ac:dyDescent="0.3">
      <c r="A478" s="21" t="str">
        <f>IF(A477="","",IF(A477+1&gt;Ввод!$B$4,"",A477+1))</f>
        <v/>
      </c>
      <c r="B478" s="23" t="str">
        <f>IF(A478="","",IFERROR(INDEX(Ввод!$B$12:$B$71,MATCH(A478,Ввод!$D$12:$D$71,1)),""))</f>
        <v/>
      </c>
      <c r="C478" t="str">
        <f t="shared" si="14"/>
        <v/>
      </c>
      <c r="D478" t="str">
        <f>IF(A478="","",SUMIFS(Акты!$D$5:$D$16,Акты!$E$5:$E$16,"&lt;="&amp;A478)-SUMIFS(Оплаты!$B$6:$B$505,Оплаты!$A$6:$A$505,"&lt;"&amp;A478,Оплаты!$D$6:$D$505,"&lt;&gt;"))</f>
        <v/>
      </c>
      <c r="E478" t="str">
        <f>IF(A478="","",IF(SUMPRODUCT((Ввод!$F$12:$F$31&lt;&gt;"")*(Ввод!$F$12:$F$31&lt;=A478)*(Ввод!$G$12:$G$31&gt;=A478))&gt;0,1,0))</f>
        <v/>
      </c>
      <c r="G478" t="str">
        <f t="shared" si="15"/>
        <v/>
      </c>
    </row>
    <row r="479" spans="1:7" x14ac:dyDescent="0.3">
      <c r="A479" s="21" t="str">
        <f>IF(A478="","",IF(A478+1&gt;Ввод!$B$4,"",A478+1))</f>
        <v/>
      </c>
      <c r="B479" s="23" t="str">
        <f>IF(A479="","",IFERROR(INDEX(Ввод!$B$12:$B$71,MATCH(A479,Ввод!$D$12:$D$71,1)),""))</f>
        <v/>
      </c>
      <c r="C479" t="str">
        <f t="shared" si="14"/>
        <v/>
      </c>
      <c r="D479" t="str">
        <f>IF(A479="","",SUMIFS(Акты!$D$5:$D$16,Акты!$E$5:$E$16,"&lt;="&amp;A479)-SUMIFS(Оплаты!$B$6:$B$505,Оплаты!$A$6:$A$505,"&lt;"&amp;A479,Оплаты!$D$6:$D$505,"&lt;&gt;"))</f>
        <v/>
      </c>
      <c r="E479" t="str">
        <f>IF(A479="","",IF(SUMPRODUCT((Ввод!$F$12:$F$31&lt;&gt;"")*(Ввод!$F$12:$F$31&lt;=A479)*(Ввод!$G$12:$G$31&gt;=A479))&gt;0,1,0))</f>
        <v/>
      </c>
      <c r="G479" t="str">
        <f t="shared" si="15"/>
        <v/>
      </c>
    </row>
    <row r="480" spans="1:7" x14ac:dyDescent="0.3">
      <c r="A480" s="21" t="str">
        <f>IF(A479="","",IF(A479+1&gt;Ввод!$B$4,"",A479+1))</f>
        <v/>
      </c>
      <c r="B480" s="23" t="str">
        <f>IF(A480="","",IFERROR(INDEX(Ввод!$B$12:$B$71,MATCH(A480,Ввод!$D$12:$D$71,1)),""))</f>
        <v/>
      </c>
      <c r="C480" t="str">
        <f t="shared" si="14"/>
        <v/>
      </c>
      <c r="D480" t="str">
        <f>IF(A480="","",SUMIFS(Акты!$D$5:$D$16,Акты!$E$5:$E$16,"&lt;="&amp;A480)-SUMIFS(Оплаты!$B$6:$B$505,Оплаты!$A$6:$A$505,"&lt;"&amp;A480,Оплаты!$D$6:$D$505,"&lt;&gt;"))</f>
        <v/>
      </c>
      <c r="E480" t="str">
        <f>IF(A480="","",IF(SUMPRODUCT((Ввод!$F$12:$F$31&lt;&gt;"")*(Ввод!$F$12:$F$31&lt;=A480)*(Ввод!$G$12:$G$31&gt;=A480))&gt;0,1,0))</f>
        <v/>
      </c>
      <c r="G480" t="str">
        <f t="shared" si="15"/>
        <v/>
      </c>
    </row>
    <row r="481" spans="1:7" x14ac:dyDescent="0.3">
      <c r="A481" s="21" t="str">
        <f>IF(A480="","",IF(A480+1&gt;Ввод!$B$4,"",A480+1))</f>
        <v/>
      </c>
      <c r="B481" s="23" t="str">
        <f>IF(A481="","",IFERROR(INDEX(Ввод!$B$12:$B$71,MATCH(A481,Ввод!$D$12:$D$71,1)),""))</f>
        <v/>
      </c>
      <c r="C481" t="str">
        <f t="shared" si="14"/>
        <v/>
      </c>
      <c r="D481" t="str">
        <f>IF(A481="","",SUMIFS(Акты!$D$5:$D$16,Акты!$E$5:$E$16,"&lt;="&amp;A481)-SUMIFS(Оплаты!$B$6:$B$505,Оплаты!$A$6:$A$505,"&lt;"&amp;A481,Оплаты!$D$6:$D$505,"&lt;&gt;"))</f>
        <v/>
      </c>
      <c r="E481" t="str">
        <f>IF(A481="","",IF(SUMPRODUCT((Ввод!$F$12:$F$31&lt;&gt;"")*(Ввод!$F$12:$F$31&lt;=A481)*(Ввод!$G$12:$G$31&gt;=A481))&gt;0,1,0))</f>
        <v/>
      </c>
      <c r="G481" t="str">
        <f t="shared" si="15"/>
        <v/>
      </c>
    </row>
    <row r="482" spans="1:7" x14ac:dyDescent="0.3">
      <c r="A482" s="21" t="str">
        <f>IF(A481="","",IF(A481+1&gt;Ввод!$B$4,"",A481+1))</f>
        <v/>
      </c>
      <c r="B482" s="23" t="str">
        <f>IF(A482="","",IFERROR(INDEX(Ввод!$B$12:$B$71,MATCH(A482,Ввод!$D$12:$D$71,1)),""))</f>
        <v/>
      </c>
      <c r="C482" t="str">
        <f t="shared" si="14"/>
        <v/>
      </c>
      <c r="D482" t="str">
        <f>IF(A482="","",SUMIFS(Акты!$D$5:$D$16,Акты!$E$5:$E$16,"&lt;="&amp;A482)-SUMIFS(Оплаты!$B$6:$B$505,Оплаты!$A$6:$A$505,"&lt;"&amp;A482,Оплаты!$D$6:$D$505,"&lt;&gt;"))</f>
        <v/>
      </c>
      <c r="E482" t="str">
        <f>IF(A482="","",IF(SUMPRODUCT((Ввод!$F$12:$F$31&lt;&gt;"")*(Ввод!$F$12:$F$31&lt;=A482)*(Ввод!$G$12:$G$31&gt;=A482))&gt;0,1,0))</f>
        <v/>
      </c>
      <c r="G482" t="str">
        <f t="shared" si="15"/>
        <v/>
      </c>
    </row>
    <row r="483" spans="1:7" x14ac:dyDescent="0.3">
      <c r="A483" s="21" t="str">
        <f>IF(A482="","",IF(A482+1&gt;Ввод!$B$4,"",A482+1))</f>
        <v/>
      </c>
      <c r="B483" s="23" t="str">
        <f>IF(A483="","",IFERROR(INDEX(Ввод!$B$12:$B$71,MATCH(A483,Ввод!$D$12:$D$71,1)),""))</f>
        <v/>
      </c>
      <c r="C483" t="str">
        <f t="shared" si="14"/>
        <v/>
      </c>
      <c r="D483" t="str">
        <f>IF(A483="","",SUMIFS(Акты!$D$5:$D$16,Акты!$E$5:$E$16,"&lt;="&amp;A483)-SUMIFS(Оплаты!$B$6:$B$505,Оплаты!$A$6:$A$505,"&lt;"&amp;A483,Оплаты!$D$6:$D$505,"&lt;&gt;"))</f>
        <v/>
      </c>
      <c r="E483" t="str">
        <f>IF(A483="","",IF(SUMPRODUCT((Ввод!$F$12:$F$31&lt;&gt;"")*(Ввод!$F$12:$F$31&lt;=A483)*(Ввод!$G$12:$G$31&gt;=A483))&gt;0,1,0))</f>
        <v/>
      </c>
      <c r="G483" t="str">
        <f t="shared" si="15"/>
        <v/>
      </c>
    </row>
    <row r="484" spans="1:7" x14ac:dyDescent="0.3">
      <c r="A484" s="21" t="str">
        <f>IF(A483="","",IF(A483+1&gt;Ввод!$B$4,"",A483+1))</f>
        <v/>
      </c>
      <c r="B484" s="23" t="str">
        <f>IF(A484="","",IFERROR(INDEX(Ввод!$B$12:$B$71,MATCH(A484,Ввод!$D$12:$D$71,1)),""))</f>
        <v/>
      </c>
      <c r="C484" t="str">
        <f t="shared" si="14"/>
        <v/>
      </c>
      <c r="D484" t="str">
        <f>IF(A484="","",SUMIFS(Акты!$D$5:$D$16,Акты!$E$5:$E$16,"&lt;="&amp;A484)-SUMIFS(Оплаты!$B$6:$B$505,Оплаты!$A$6:$A$505,"&lt;"&amp;A484,Оплаты!$D$6:$D$505,"&lt;&gt;"))</f>
        <v/>
      </c>
      <c r="E484" t="str">
        <f>IF(A484="","",IF(SUMPRODUCT((Ввод!$F$12:$F$31&lt;&gt;"")*(Ввод!$F$12:$F$31&lt;=A484)*(Ввод!$G$12:$G$31&gt;=A484))&gt;0,1,0))</f>
        <v/>
      </c>
      <c r="G484" t="str">
        <f t="shared" si="15"/>
        <v/>
      </c>
    </row>
    <row r="485" spans="1:7" x14ac:dyDescent="0.3">
      <c r="A485" s="21" t="str">
        <f>IF(A484="","",IF(A484+1&gt;Ввод!$B$4,"",A484+1))</f>
        <v/>
      </c>
      <c r="B485" s="23" t="str">
        <f>IF(A485="","",IFERROR(INDEX(Ввод!$B$12:$B$71,MATCH(A485,Ввод!$D$12:$D$71,1)),""))</f>
        <v/>
      </c>
      <c r="C485" t="str">
        <f t="shared" si="14"/>
        <v/>
      </c>
      <c r="D485" t="str">
        <f>IF(A485="","",SUMIFS(Акты!$D$5:$D$16,Акты!$E$5:$E$16,"&lt;="&amp;A485)-SUMIFS(Оплаты!$B$6:$B$505,Оплаты!$A$6:$A$505,"&lt;"&amp;A485,Оплаты!$D$6:$D$505,"&lt;&gt;"))</f>
        <v/>
      </c>
      <c r="E485" t="str">
        <f>IF(A485="","",IF(SUMPRODUCT((Ввод!$F$12:$F$31&lt;&gt;"")*(Ввод!$F$12:$F$31&lt;=A485)*(Ввод!$G$12:$G$31&gt;=A485))&gt;0,1,0))</f>
        <v/>
      </c>
      <c r="G485" t="str">
        <f t="shared" si="15"/>
        <v/>
      </c>
    </row>
    <row r="486" spans="1:7" x14ac:dyDescent="0.3">
      <c r="A486" s="21" t="str">
        <f>IF(A485="","",IF(A485+1&gt;Ввод!$B$4,"",A485+1))</f>
        <v/>
      </c>
      <c r="B486" s="23" t="str">
        <f>IF(A486="","",IFERROR(INDEX(Ввод!$B$12:$B$71,MATCH(A486,Ввод!$D$12:$D$71,1)),""))</f>
        <v/>
      </c>
      <c r="C486" t="str">
        <f t="shared" si="14"/>
        <v/>
      </c>
      <c r="D486" t="str">
        <f>IF(A486="","",SUMIFS(Акты!$D$5:$D$16,Акты!$E$5:$E$16,"&lt;="&amp;A486)-SUMIFS(Оплаты!$B$6:$B$505,Оплаты!$A$6:$A$505,"&lt;"&amp;A486,Оплаты!$D$6:$D$505,"&lt;&gt;"))</f>
        <v/>
      </c>
      <c r="E486" t="str">
        <f>IF(A486="","",IF(SUMPRODUCT((Ввод!$F$12:$F$31&lt;&gt;"")*(Ввод!$F$12:$F$31&lt;=A486)*(Ввод!$G$12:$G$31&gt;=A486))&gt;0,1,0))</f>
        <v/>
      </c>
      <c r="G486" t="str">
        <f t="shared" si="15"/>
        <v/>
      </c>
    </row>
    <row r="487" spans="1:7" x14ac:dyDescent="0.3">
      <c r="A487" s="21" t="str">
        <f>IF(A486="","",IF(A486+1&gt;Ввод!$B$4,"",A486+1))</f>
        <v/>
      </c>
      <c r="B487" s="23" t="str">
        <f>IF(A487="","",IFERROR(INDEX(Ввод!$B$12:$B$71,MATCH(A487,Ввод!$D$12:$D$71,1)),""))</f>
        <v/>
      </c>
      <c r="C487" t="str">
        <f t="shared" si="14"/>
        <v/>
      </c>
      <c r="D487" t="str">
        <f>IF(A487="","",SUMIFS(Акты!$D$5:$D$16,Акты!$E$5:$E$16,"&lt;="&amp;A487)-SUMIFS(Оплаты!$B$6:$B$505,Оплаты!$A$6:$A$505,"&lt;"&amp;A487,Оплаты!$D$6:$D$505,"&lt;&gt;"))</f>
        <v/>
      </c>
      <c r="E487" t="str">
        <f>IF(A487="","",IF(SUMPRODUCT((Ввод!$F$12:$F$31&lt;&gt;"")*(Ввод!$F$12:$F$31&lt;=A487)*(Ввод!$G$12:$G$31&gt;=A487))&gt;0,1,0))</f>
        <v/>
      </c>
      <c r="G487" t="str">
        <f t="shared" si="15"/>
        <v/>
      </c>
    </row>
    <row r="488" spans="1:7" x14ac:dyDescent="0.3">
      <c r="A488" s="21" t="str">
        <f>IF(A487="","",IF(A487+1&gt;Ввод!$B$4,"",A487+1))</f>
        <v/>
      </c>
      <c r="B488" s="23" t="str">
        <f>IF(A488="","",IFERROR(INDEX(Ввод!$B$12:$B$71,MATCH(A488,Ввод!$D$12:$D$71,1)),""))</f>
        <v/>
      </c>
      <c r="C488" t="str">
        <f t="shared" si="14"/>
        <v/>
      </c>
      <c r="D488" t="str">
        <f>IF(A488="","",SUMIFS(Акты!$D$5:$D$16,Акты!$E$5:$E$16,"&lt;="&amp;A488)-SUMIFS(Оплаты!$B$6:$B$505,Оплаты!$A$6:$A$505,"&lt;"&amp;A488,Оплаты!$D$6:$D$505,"&lt;&gt;"))</f>
        <v/>
      </c>
      <c r="E488" t="str">
        <f>IF(A488="","",IF(SUMPRODUCT((Ввод!$F$12:$F$31&lt;&gt;"")*(Ввод!$F$12:$F$31&lt;=A488)*(Ввод!$G$12:$G$31&gt;=A488))&gt;0,1,0))</f>
        <v/>
      </c>
      <c r="G488" t="str">
        <f t="shared" si="15"/>
        <v/>
      </c>
    </row>
    <row r="489" spans="1:7" x14ac:dyDescent="0.3">
      <c r="A489" s="21" t="str">
        <f>IF(A488="","",IF(A488+1&gt;Ввод!$B$4,"",A488+1))</f>
        <v/>
      </c>
      <c r="B489" s="23" t="str">
        <f>IF(A489="","",IFERROR(INDEX(Ввод!$B$12:$B$71,MATCH(A489,Ввод!$D$12:$D$71,1)),""))</f>
        <v/>
      </c>
      <c r="C489" t="str">
        <f t="shared" si="14"/>
        <v/>
      </c>
      <c r="D489" t="str">
        <f>IF(A489="","",SUMIFS(Акты!$D$5:$D$16,Акты!$E$5:$E$16,"&lt;="&amp;A489)-SUMIFS(Оплаты!$B$6:$B$505,Оплаты!$A$6:$A$505,"&lt;"&amp;A489,Оплаты!$D$6:$D$505,"&lt;&gt;"))</f>
        <v/>
      </c>
      <c r="E489" t="str">
        <f>IF(A489="","",IF(SUMPRODUCT((Ввод!$F$12:$F$31&lt;&gt;"")*(Ввод!$F$12:$F$31&lt;=A489)*(Ввод!$G$12:$G$31&gt;=A489))&gt;0,1,0))</f>
        <v/>
      </c>
      <c r="G489" t="str">
        <f t="shared" si="15"/>
        <v/>
      </c>
    </row>
    <row r="490" spans="1:7" x14ac:dyDescent="0.3">
      <c r="A490" s="21" t="str">
        <f>IF(A489="","",IF(A489+1&gt;Ввод!$B$4,"",A489+1))</f>
        <v/>
      </c>
      <c r="B490" s="23" t="str">
        <f>IF(A490="","",IFERROR(INDEX(Ввод!$B$12:$B$71,MATCH(A490,Ввод!$D$12:$D$71,1)),""))</f>
        <v/>
      </c>
      <c r="C490" t="str">
        <f t="shared" si="14"/>
        <v/>
      </c>
      <c r="D490" t="str">
        <f>IF(A490="","",SUMIFS(Акты!$D$5:$D$16,Акты!$E$5:$E$16,"&lt;="&amp;A490)-SUMIFS(Оплаты!$B$6:$B$505,Оплаты!$A$6:$A$505,"&lt;"&amp;A490,Оплаты!$D$6:$D$505,"&lt;&gt;"))</f>
        <v/>
      </c>
      <c r="E490" t="str">
        <f>IF(A490="","",IF(SUMPRODUCT((Ввод!$F$12:$F$31&lt;&gt;"")*(Ввод!$F$12:$F$31&lt;=A490)*(Ввод!$G$12:$G$31&gt;=A490))&gt;0,1,0))</f>
        <v/>
      </c>
      <c r="G490" t="str">
        <f t="shared" si="15"/>
        <v/>
      </c>
    </row>
    <row r="491" spans="1:7" x14ac:dyDescent="0.3">
      <c r="A491" s="21" t="str">
        <f>IF(A490="","",IF(A490+1&gt;Ввод!$B$4,"",A490+1))</f>
        <v/>
      </c>
      <c r="B491" s="23" t="str">
        <f>IF(A491="","",IFERROR(INDEX(Ввод!$B$12:$B$71,MATCH(A491,Ввод!$D$12:$D$71,1)),""))</f>
        <v/>
      </c>
      <c r="C491" t="str">
        <f t="shared" si="14"/>
        <v/>
      </c>
      <c r="D491" t="str">
        <f>IF(A491="","",SUMIFS(Акты!$D$5:$D$16,Акты!$E$5:$E$16,"&lt;="&amp;A491)-SUMIFS(Оплаты!$B$6:$B$505,Оплаты!$A$6:$A$505,"&lt;"&amp;A491,Оплаты!$D$6:$D$505,"&lt;&gt;"))</f>
        <v/>
      </c>
      <c r="E491" t="str">
        <f>IF(A491="","",IF(SUMPRODUCT((Ввод!$F$12:$F$31&lt;&gt;"")*(Ввод!$F$12:$F$31&lt;=A491)*(Ввод!$G$12:$G$31&gt;=A491))&gt;0,1,0))</f>
        <v/>
      </c>
      <c r="G491" t="str">
        <f t="shared" si="15"/>
        <v/>
      </c>
    </row>
    <row r="492" spans="1:7" x14ac:dyDescent="0.3">
      <c r="A492" s="21" t="str">
        <f>IF(A491="","",IF(A491+1&gt;Ввод!$B$4,"",A491+1))</f>
        <v/>
      </c>
      <c r="B492" s="23" t="str">
        <f>IF(A492="","",IFERROR(INDEX(Ввод!$B$12:$B$71,MATCH(A492,Ввод!$D$12:$D$71,1)),""))</f>
        <v/>
      </c>
      <c r="C492" t="str">
        <f t="shared" si="14"/>
        <v/>
      </c>
      <c r="D492" t="str">
        <f>IF(A492="","",SUMIFS(Акты!$D$5:$D$16,Акты!$E$5:$E$16,"&lt;="&amp;A492)-SUMIFS(Оплаты!$B$6:$B$505,Оплаты!$A$6:$A$505,"&lt;"&amp;A492,Оплаты!$D$6:$D$505,"&lt;&gt;"))</f>
        <v/>
      </c>
      <c r="E492" t="str">
        <f>IF(A492="","",IF(SUMPRODUCT((Ввод!$F$12:$F$31&lt;&gt;"")*(Ввод!$F$12:$F$31&lt;=A492)*(Ввод!$G$12:$G$31&gt;=A492))&gt;0,1,0))</f>
        <v/>
      </c>
      <c r="G492" t="str">
        <f t="shared" si="15"/>
        <v/>
      </c>
    </row>
    <row r="493" spans="1:7" x14ac:dyDescent="0.3">
      <c r="A493" s="21" t="str">
        <f>IF(A492="","",IF(A492+1&gt;Ввод!$B$4,"",A492+1))</f>
        <v/>
      </c>
      <c r="B493" s="23" t="str">
        <f>IF(A493="","",IFERROR(INDEX(Ввод!$B$12:$B$71,MATCH(A493,Ввод!$D$12:$D$71,1)),""))</f>
        <v/>
      </c>
      <c r="C493" t="str">
        <f t="shared" si="14"/>
        <v/>
      </c>
      <c r="D493" t="str">
        <f>IF(A493="","",SUMIFS(Акты!$D$5:$D$16,Акты!$E$5:$E$16,"&lt;="&amp;A493)-SUMIFS(Оплаты!$B$6:$B$505,Оплаты!$A$6:$A$505,"&lt;"&amp;A493,Оплаты!$D$6:$D$505,"&lt;&gt;"))</f>
        <v/>
      </c>
      <c r="E493" t="str">
        <f>IF(A493="","",IF(SUMPRODUCT((Ввод!$F$12:$F$31&lt;&gt;"")*(Ввод!$F$12:$F$31&lt;=A493)*(Ввод!$G$12:$G$31&gt;=A493))&gt;0,1,0))</f>
        <v/>
      </c>
      <c r="G493" t="str">
        <f t="shared" si="15"/>
        <v/>
      </c>
    </row>
    <row r="494" spans="1:7" x14ac:dyDescent="0.3">
      <c r="A494" s="21" t="str">
        <f>IF(A493="","",IF(A493+1&gt;Ввод!$B$4,"",A493+1))</f>
        <v/>
      </c>
      <c r="B494" s="23" t="str">
        <f>IF(A494="","",IFERROR(INDEX(Ввод!$B$12:$B$71,MATCH(A494,Ввод!$D$12:$D$71,1)),""))</f>
        <v/>
      </c>
      <c r="C494" t="str">
        <f t="shared" si="14"/>
        <v/>
      </c>
      <c r="D494" t="str">
        <f>IF(A494="","",SUMIFS(Акты!$D$5:$D$16,Акты!$E$5:$E$16,"&lt;="&amp;A494)-SUMIFS(Оплаты!$B$6:$B$505,Оплаты!$A$6:$A$505,"&lt;"&amp;A494,Оплаты!$D$6:$D$505,"&lt;&gt;"))</f>
        <v/>
      </c>
      <c r="E494" t="str">
        <f>IF(A494="","",IF(SUMPRODUCT((Ввод!$F$12:$F$31&lt;&gt;"")*(Ввод!$F$12:$F$31&lt;=A494)*(Ввод!$G$12:$G$31&gt;=A494))&gt;0,1,0))</f>
        <v/>
      </c>
      <c r="G494" t="str">
        <f t="shared" si="15"/>
        <v/>
      </c>
    </row>
    <row r="495" spans="1:7" x14ac:dyDescent="0.3">
      <c r="A495" s="21" t="str">
        <f>IF(A494="","",IF(A494+1&gt;Ввод!$B$4,"",A494+1))</f>
        <v/>
      </c>
      <c r="B495" s="23" t="str">
        <f>IF(A495="","",IFERROR(INDEX(Ввод!$B$12:$B$71,MATCH(A495,Ввод!$D$12:$D$71,1)),""))</f>
        <v/>
      </c>
      <c r="C495" t="str">
        <f t="shared" si="14"/>
        <v/>
      </c>
      <c r="D495" t="str">
        <f>IF(A495="","",SUMIFS(Акты!$D$5:$D$16,Акты!$E$5:$E$16,"&lt;="&amp;A495)-SUMIFS(Оплаты!$B$6:$B$505,Оплаты!$A$6:$A$505,"&lt;"&amp;A495,Оплаты!$D$6:$D$505,"&lt;&gt;"))</f>
        <v/>
      </c>
      <c r="E495" t="str">
        <f>IF(A495="","",IF(SUMPRODUCT((Ввод!$F$12:$F$31&lt;&gt;"")*(Ввод!$F$12:$F$31&lt;=A495)*(Ввод!$G$12:$G$31&gt;=A495))&gt;0,1,0))</f>
        <v/>
      </c>
      <c r="G495" t="str">
        <f t="shared" si="15"/>
        <v/>
      </c>
    </row>
    <row r="496" spans="1:7" x14ac:dyDescent="0.3">
      <c r="A496" s="21" t="str">
        <f>IF(A495="","",IF(A495+1&gt;Ввод!$B$4,"",A495+1))</f>
        <v/>
      </c>
      <c r="B496" s="23" t="str">
        <f>IF(A496="","",IFERROR(INDEX(Ввод!$B$12:$B$71,MATCH(A496,Ввод!$D$12:$D$71,1)),""))</f>
        <v/>
      </c>
      <c r="C496" t="str">
        <f t="shared" si="14"/>
        <v/>
      </c>
      <c r="D496" t="str">
        <f>IF(A496="","",SUMIFS(Акты!$D$5:$D$16,Акты!$E$5:$E$16,"&lt;="&amp;A496)-SUMIFS(Оплаты!$B$6:$B$505,Оплаты!$A$6:$A$505,"&lt;"&amp;A496,Оплаты!$D$6:$D$505,"&lt;&gt;"))</f>
        <v/>
      </c>
      <c r="E496" t="str">
        <f>IF(A496="","",IF(SUMPRODUCT((Ввод!$F$12:$F$31&lt;&gt;"")*(Ввод!$F$12:$F$31&lt;=A496)*(Ввод!$G$12:$G$31&gt;=A496))&gt;0,1,0))</f>
        <v/>
      </c>
      <c r="G496" t="str">
        <f t="shared" si="15"/>
        <v/>
      </c>
    </row>
    <row r="497" spans="1:7" x14ac:dyDescent="0.3">
      <c r="A497" s="21" t="str">
        <f>IF(A496="","",IF(A496+1&gt;Ввод!$B$4,"",A496+1))</f>
        <v/>
      </c>
      <c r="B497" s="23" t="str">
        <f>IF(A497="","",IFERROR(INDEX(Ввод!$B$12:$B$71,MATCH(A497,Ввод!$D$12:$D$71,1)),""))</f>
        <v/>
      </c>
      <c r="C497" t="str">
        <f t="shared" si="14"/>
        <v/>
      </c>
      <c r="D497" t="str">
        <f>IF(A497="","",SUMIFS(Акты!$D$5:$D$16,Акты!$E$5:$E$16,"&lt;="&amp;A497)-SUMIFS(Оплаты!$B$6:$B$505,Оплаты!$A$6:$A$505,"&lt;"&amp;A497,Оплаты!$D$6:$D$505,"&lt;&gt;"))</f>
        <v/>
      </c>
      <c r="E497" t="str">
        <f>IF(A497="","",IF(SUMPRODUCT((Ввод!$F$12:$F$31&lt;&gt;"")*(Ввод!$F$12:$F$31&lt;=A497)*(Ввод!$G$12:$G$31&gt;=A497))&gt;0,1,0))</f>
        <v/>
      </c>
      <c r="G497" t="str">
        <f t="shared" si="15"/>
        <v/>
      </c>
    </row>
    <row r="498" spans="1:7" x14ac:dyDescent="0.3">
      <c r="A498" s="21" t="str">
        <f>IF(A497="","",IF(A497+1&gt;Ввод!$B$4,"",A497+1))</f>
        <v/>
      </c>
      <c r="B498" s="23" t="str">
        <f>IF(A498="","",IFERROR(INDEX(Ввод!$B$12:$B$71,MATCH(A498,Ввод!$D$12:$D$71,1)),""))</f>
        <v/>
      </c>
      <c r="C498" t="str">
        <f t="shared" si="14"/>
        <v/>
      </c>
      <c r="D498" t="str">
        <f>IF(A498="","",SUMIFS(Акты!$D$5:$D$16,Акты!$E$5:$E$16,"&lt;="&amp;A498)-SUMIFS(Оплаты!$B$6:$B$505,Оплаты!$A$6:$A$505,"&lt;"&amp;A498,Оплаты!$D$6:$D$505,"&lt;&gt;"))</f>
        <v/>
      </c>
      <c r="E498" t="str">
        <f>IF(A498="","",IF(SUMPRODUCT((Ввод!$F$12:$F$31&lt;&gt;"")*(Ввод!$F$12:$F$31&lt;=A498)*(Ввод!$G$12:$G$31&gt;=A498))&gt;0,1,0))</f>
        <v/>
      </c>
      <c r="G498" t="str">
        <f t="shared" si="15"/>
        <v/>
      </c>
    </row>
    <row r="499" spans="1:7" x14ac:dyDescent="0.3">
      <c r="A499" s="21" t="str">
        <f>IF(A498="","",IF(A498+1&gt;Ввод!$B$4,"",A498+1))</f>
        <v/>
      </c>
      <c r="B499" s="23" t="str">
        <f>IF(A499="","",IFERROR(INDEX(Ввод!$B$12:$B$71,MATCH(A499,Ввод!$D$12:$D$71,1)),""))</f>
        <v/>
      </c>
      <c r="C499" t="str">
        <f t="shared" si="14"/>
        <v/>
      </c>
      <c r="D499" t="str">
        <f>IF(A499="","",SUMIFS(Акты!$D$5:$D$16,Акты!$E$5:$E$16,"&lt;="&amp;A499)-SUMIFS(Оплаты!$B$6:$B$505,Оплаты!$A$6:$A$505,"&lt;"&amp;A499,Оплаты!$D$6:$D$505,"&lt;&gt;"))</f>
        <v/>
      </c>
      <c r="E499" t="str">
        <f>IF(A499="","",IF(SUMPRODUCT((Ввод!$F$12:$F$31&lt;&gt;"")*(Ввод!$F$12:$F$31&lt;=A499)*(Ввод!$G$12:$G$31&gt;=A499))&gt;0,1,0))</f>
        <v/>
      </c>
      <c r="G499" t="str">
        <f t="shared" si="15"/>
        <v/>
      </c>
    </row>
    <row r="500" spans="1:7" x14ac:dyDescent="0.3">
      <c r="A500" s="21" t="str">
        <f>IF(A499="","",IF(A499+1&gt;Ввод!$B$4,"",A499+1))</f>
        <v/>
      </c>
      <c r="B500" s="23" t="str">
        <f>IF(A500="","",IFERROR(INDEX(Ввод!$B$12:$B$71,MATCH(A500,Ввод!$D$12:$D$71,1)),""))</f>
        <v/>
      </c>
      <c r="C500" t="str">
        <f t="shared" si="14"/>
        <v/>
      </c>
      <c r="D500" t="str">
        <f>IF(A500="","",SUMIFS(Акты!$D$5:$D$16,Акты!$E$5:$E$16,"&lt;="&amp;A500)-SUMIFS(Оплаты!$B$6:$B$505,Оплаты!$A$6:$A$505,"&lt;"&amp;A500,Оплаты!$D$6:$D$505,"&lt;&gt;"))</f>
        <v/>
      </c>
      <c r="E500" t="str">
        <f>IF(A500="","",IF(SUMPRODUCT((Ввод!$F$12:$F$31&lt;&gt;"")*(Ввод!$F$12:$F$31&lt;=A500)*(Ввод!$G$12:$G$31&gt;=A500))&gt;0,1,0))</f>
        <v/>
      </c>
      <c r="G500" t="str">
        <f t="shared" si="15"/>
        <v/>
      </c>
    </row>
    <row r="501" spans="1:7" x14ac:dyDescent="0.3">
      <c r="A501" s="21" t="str">
        <f>IF(A500="","",IF(A500+1&gt;Ввод!$B$4,"",A500+1))</f>
        <v/>
      </c>
      <c r="B501" s="23" t="str">
        <f>IF(A501="","",IFERROR(INDEX(Ввод!$B$12:$B$71,MATCH(A501,Ввод!$D$12:$D$71,1)),""))</f>
        <v/>
      </c>
      <c r="C501" t="str">
        <f t="shared" si="14"/>
        <v/>
      </c>
      <c r="D501" t="str">
        <f>IF(A501="","",SUMIFS(Акты!$D$5:$D$16,Акты!$E$5:$E$16,"&lt;="&amp;A501)-SUMIFS(Оплаты!$B$6:$B$505,Оплаты!$A$6:$A$505,"&lt;"&amp;A501,Оплаты!$D$6:$D$505,"&lt;&gt;"))</f>
        <v/>
      </c>
      <c r="E501" t="str">
        <f>IF(A501="","",IF(SUMPRODUCT((Ввод!$F$12:$F$31&lt;&gt;"")*(Ввод!$F$12:$F$31&lt;=A501)*(Ввод!$G$12:$G$31&gt;=A501))&gt;0,1,0))</f>
        <v/>
      </c>
      <c r="G501" t="str">
        <f t="shared" si="15"/>
        <v/>
      </c>
    </row>
    <row r="502" spans="1:7" x14ac:dyDescent="0.3">
      <c r="A502" s="21" t="str">
        <f>IF(A501="","",IF(A501+1&gt;Ввод!$B$4,"",A501+1))</f>
        <v/>
      </c>
      <c r="B502" s="23" t="str">
        <f>IF(A502="","",IFERROR(INDEX(Ввод!$B$12:$B$71,MATCH(A502,Ввод!$D$12:$D$71,1)),""))</f>
        <v/>
      </c>
      <c r="C502" t="str">
        <f t="shared" si="14"/>
        <v/>
      </c>
      <c r="D502" t="str">
        <f>IF(A502="","",SUMIFS(Акты!$D$5:$D$16,Акты!$E$5:$E$16,"&lt;="&amp;A502)-SUMIFS(Оплаты!$B$6:$B$505,Оплаты!$A$6:$A$505,"&lt;"&amp;A502,Оплаты!$D$6:$D$505,"&lt;&gt;"))</f>
        <v/>
      </c>
      <c r="E502" t="str">
        <f>IF(A502="","",IF(SUMPRODUCT((Ввод!$F$12:$F$31&lt;&gt;"")*(Ввод!$F$12:$F$31&lt;=A502)*(Ввод!$G$12:$G$31&gt;=A502))&gt;0,1,0))</f>
        <v/>
      </c>
      <c r="G502" t="str">
        <f t="shared" si="15"/>
        <v/>
      </c>
    </row>
    <row r="503" spans="1:7" x14ac:dyDescent="0.3">
      <c r="A503" s="21" t="str">
        <f>IF(A502="","",IF(A502+1&gt;Ввод!$B$4,"",A502+1))</f>
        <v/>
      </c>
      <c r="B503" s="23" t="str">
        <f>IF(A503="","",IFERROR(INDEX(Ввод!$B$12:$B$71,MATCH(A503,Ввод!$D$12:$D$71,1)),""))</f>
        <v/>
      </c>
      <c r="C503" t="str">
        <f t="shared" si="14"/>
        <v/>
      </c>
      <c r="D503" t="str">
        <f>IF(A503="","",SUMIFS(Акты!$D$5:$D$16,Акты!$E$5:$E$16,"&lt;="&amp;A503)-SUMIFS(Оплаты!$B$6:$B$505,Оплаты!$A$6:$A$505,"&lt;"&amp;A503,Оплаты!$D$6:$D$505,"&lt;&gt;"))</f>
        <v/>
      </c>
      <c r="E503" t="str">
        <f>IF(A503="","",IF(SUMPRODUCT((Ввод!$F$12:$F$31&lt;&gt;"")*(Ввод!$F$12:$F$31&lt;=A503)*(Ввод!$G$12:$G$31&gt;=A503))&gt;0,1,0))</f>
        <v/>
      </c>
      <c r="G503" t="str">
        <f t="shared" si="15"/>
        <v/>
      </c>
    </row>
    <row r="504" spans="1:7" x14ac:dyDescent="0.3">
      <c r="A504" s="21" t="str">
        <f>IF(A503="","",IF(A503+1&gt;Ввод!$B$4,"",A503+1))</f>
        <v/>
      </c>
      <c r="B504" s="23" t="str">
        <f>IF(A504="","",IFERROR(INDEX(Ввод!$B$12:$B$71,MATCH(A504,Ввод!$D$12:$D$71,1)),""))</f>
        <v/>
      </c>
      <c r="C504" t="str">
        <f t="shared" si="14"/>
        <v/>
      </c>
      <c r="D504" t="str">
        <f>IF(A504="","",SUMIFS(Акты!$D$5:$D$16,Акты!$E$5:$E$16,"&lt;="&amp;A504)-SUMIFS(Оплаты!$B$6:$B$505,Оплаты!$A$6:$A$505,"&lt;"&amp;A504,Оплаты!$D$6:$D$505,"&lt;&gt;"))</f>
        <v/>
      </c>
      <c r="E504" t="str">
        <f>IF(A504="","",IF(SUMPRODUCT((Ввод!$F$12:$F$31&lt;&gt;"")*(Ввод!$F$12:$F$31&lt;=A504)*(Ввод!$G$12:$G$31&gt;=A504))&gt;0,1,0))</f>
        <v/>
      </c>
      <c r="G504" t="str">
        <f t="shared" si="15"/>
        <v/>
      </c>
    </row>
    <row r="505" spans="1:7" x14ac:dyDescent="0.3">
      <c r="A505" s="21" t="str">
        <f>IF(A504="","",IF(A504+1&gt;Ввод!$B$4,"",A504+1))</f>
        <v/>
      </c>
      <c r="B505" s="23" t="str">
        <f>IF(A505="","",IFERROR(INDEX(Ввод!$B$12:$B$71,MATCH(A505,Ввод!$D$12:$D$71,1)),""))</f>
        <v/>
      </c>
      <c r="C505" t="str">
        <f t="shared" si="14"/>
        <v/>
      </c>
      <c r="D505" t="str">
        <f>IF(A505="","",SUMIFS(Акты!$D$5:$D$16,Акты!$E$5:$E$16,"&lt;="&amp;A505)-SUMIFS(Оплаты!$B$6:$B$505,Оплаты!$A$6:$A$505,"&lt;"&amp;A505,Оплаты!$D$6:$D$505,"&lt;&gt;"))</f>
        <v/>
      </c>
      <c r="E505" t="str">
        <f>IF(A505="","",IF(SUMPRODUCT((Ввод!$F$12:$F$31&lt;&gt;"")*(Ввод!$F$12:$F$31&lt;=A505)*(Ввод!$G$12:$G$31&gt;=A505))&gt;0,1,0))</f>
        <v/>
      </c>
      <c r="G505" t="str">
        <f t="shared" si="15"/>
        <v/>
      </c>
    </row>
    <row r="506" spans="1:7" x14ac:dyDescent="0.3">
      <c r="A506" s="21" t="str">
        <f>IF(A505="","",IF(A505+1&gt;Ввод!$B$4,"",A505+1))</f>
        <v/>
      </c>
      <c r="B506" s="23" t="str">
        <f>IF(A506="","",IFERROR(INDEX(Ввод!$B$12:$B$71,MATCH(A506,Ввод!$D$12:$D$71,1)),""))</f>
        <v/>
      </c>
      <c r="C506" t="str">
        <f t="shared" si="14"/>
        <v/>
      </c>
      <c r="D506" t="str">
        <f>IF(A506="","",SUMIFS(Акты!$D$5:$D$16,Акты!$E$5:$E$16,"&lt;="&amp;A506)-SUMIFS(Оплаты!$B$6:$B$505,Оплаты!$A$6:$A$505,"&lt;"&amp;A506,Оплаты!$D$6:$D$505,"&lt;&gt;"))</f>
        <v/>
      </c>
      <c r="E506" t="str">
        <f>IF(A506="","",IF(SUMPRODUCT((Ввод!$F$12:$F$31&lt;&gt;"")*(Ввод!$F$12:$F$31&lt;=A506)*(Ввод!$G$12:$G$31&gt;=A506))&gt;0,1,0))</f>
        <v/>
      </c>
      <c r="G506" t="str">
        <f t="shared" si="15"/>
        <v/>
      </c>
    </row>
    <row r="507" spans="1:7" x14ac:dyDescent="0.3">
      <c r="A507" s="21" t="str">
        <f>IF(A506="","",IF(A506+1&gt;Ввод!$B$4,"",A506+1))</f>
        <v/>
      </c>
      <c r="B507" s="23" t="str">
        <f>IF(A507="","",IFERROR(INDEX(Ввод!$B$12:$B$71,MATCH(A507,Ввод!$D$12:$D$71,1)),""))</f>
        <v/>
      </c>
      <c r="C507" t="str">
        <f t="shared" si="14"/>
        <v/>
      </c>
      <c r="D507" t="str">
        <f>IF(A507="","",SUMIFS(Акты!$D$5:$D$16,Акты!$E$5:$E$16,"&lt;="&amp;A507)-SUMIFS(Оплаты!$B$6:$B$505,Оплаты!$A$6:$A$505,"&lt;"&amp;A507,Оплаты!$D$6:$D$505,"&lt;&gt;"))</f>
        <v/>
      </c>
      <c r="E507" t="str">
        <f>IF(A507="","",IF(SUMPRODUCT((Ввод!$F$12:$F$31&lt;&gt;"")*(Ввод!$F$12:$F$31&lt;=A507)*(Ввод!$G$12:$G$31&gt;=A507))&gt;0,1,0))</f>
        <v/>
      </c>
      <c r="G507" t="str">
        <f t="shared" si="15"/>
        <v/>
      </c>
    </row>
    <row r="508" spans="1:7" x14ac:dyDescent="0.3">
      <c r="A508" s="21" t="str">
        <f>IF(A507="","",IF(A507+1&gt;Ввод!$B$4,"",A507+1))</f>
        <v/>
      </c>
      <c r="B508" s="23" t="str">
        <f>IF(A508="","",IFERROR(INDEX(Ввод!$B$12:$B$71,MATCH(A508,Ввод!$D$12:$D$71,1)),""))</f>
        <v/>
      </c>
      <c r="C508" t="str">
        <f t="shared" si="14"/>
        <v/>
      </c>
      <c r="D508" t="str">
        <f>IF(A508="","",SUMIFS(Акты!$D$5:$D$16,Акты!$E$5:$E$16,"&lt;="&amp;A508)-SUMIFS(Оплаты!$B$6:$B$505,Оплаты!$A$6:$A$505,"&lt;"&amp;A508,Оплаты!$D$6:$D$505,"&lt;&gt;"))</f>
        <v/>
      </c>
      <c r="E508" t="str">
        <f>IF(A508="","",IF(SUMPRODUCT((Ввод!$F$12:$F$31&lt;&gt;"")*(Ввод!$F$12:$F$31&lt;=A508)*(Ввод!$G$12:$G$31&gt;=A508))&gt;0,1,0))</f>
        <v/>
      </c>
      <c r="G508" t="str">
        <f t="shared" si="15"/>
        <v/>
      </c>
    </row>
    <row r="509" spans="1:7" x14ac:dyDescent="0.3">
      <c r="A509" s="21" t="str">
        <f>IF(A508="","",IF(A508+1&gt;Ввод!$B$4,"",A508+1))</f>
        <v/>
      </c>
      <c r="B509" s="23" t="str">
        <f>IF(A509="","",IFERROR(INDEX(Ввод!$B$12:$B$71,MATCH(A509,Ввод!$D$12:$D$71,1)),""))</f>
        <v/>
      </c>
      <c r="C509" t="str">
        <f t="shared" si="14"/>
        <v/>
      </c>
      <c r="D509" t="str">
        <f>IF(A509="","",SUMIFS(Акты!$D$5:$D$16,Акты!$E$5:$E$16,"&lt;="&amp;A509)-SUMIFS(Оплаты!$B$6:$B$505,Оплаты!$A$6:$A$505,"&lt;"&amp;A509,Оплаты!$D$6:$D$505,"&lt;&gt;"))</f>
        <v/>
      </c>
      <c r="E509" t="str">
        <f>IF(A509="","",IF(SUMPRODUCT((Ввод!$F$12:$F$31&lt;&gt;"")*(Ввод!$F$12:$F$31&lt;=A509)*(Ввод!$G$12:$G$31&gt;=A509))&gt;0,1,0))</f>
        <v/>
      </c>
      <c r="G509" t="str">
        <f t="shared" si="15"/>
        <v/>
      </c>
    </row>
    <row r="510" spans="1:7" x14ac:dyDescent="0.3">
      <c r="A510" s="21" t="str">
        <f>IF(A509="","",IF(A509+1&gt;Ввод!$B$4,"",A509+1))</f>
        <v/>
      </c>
      <c r="B510" s="23" t="str">
        <f>IF(A510="","",IFERROR(INDEX(Ввод!$B$12:$B$71,MATCH(A510,Ввод!$D$12:$D$71,1)),""))</f>
        <v/>
      </c>
      <c r="C510" t="str">
        <f t="shared" si="14"/>
        <v/>
      </c>
      <c r="D510" t="str">
        <f>IF(A510="","",SUMIFS(Акты!$D$5:$D$16,Акты!$E$5:$E$16,"&lt;="&amp;A510)-SUMIFS(Оплаты!$B$6:$B$505,Оплаты!$A$6:$A$505,"&lt;"&amp;A510,Оплаты!$D$6:$D$505,"&lt;&gt;"))</f>
        <v/>
      </c>
      <c r="E510" t="str">
        <f>IF(A510="","",IF(SUMPRODUCT((Ввод!$F$12:$F$31&lt;&gt;"")*(Ввод!$F$12:$F$31&lt;=A510)*(Ввод!$G$12:$G$31&gt;=A510))&gt;0,1,0))</f>
        <v/>
      </c>
      <c r="G510" t="str">
        <f t="shared" si="15"/>
        <v/>
      </c>
    </row>
    <row r="511" spans="1:7" x14ac:dyDescent="0.3">
      <c r="A511" s="21" t="str">
        <f>IF(A510="","",IF(A510+1&gt;Ввод!$B$4,"",A510+1))</f>
        <v/>
      </c>
      <c r="B511" s="23" t="str">
        <f>IF(A511="","",IFERROR(INDEX(Ввод!$B$12:$B$71,MATCH(A511,Ввод!$D$12:$D$71,1)),""))</f>
        <v/>
      </c>
      <c r="C511" t="str">
        <f t="shared" si="14"/>
        <v/>
      </c>
      <c r="D511" t="str">
        <f>IF(A511="","",SUMIFS(Акты!$D$5:$D$16,Акты!$E$5:$E$16,"&lt;="&amp;A511)-SUMIFS(Оплаты!$B$6:$B$505,Оплаты!$A$6:$A$505,"&lt;"&amp;A511,Оплаты!$D$6:$D$505,"&lt;&gt;"))</f>
        <v/>
      </c>
      <c r="E511" t="str">
        <f>IF(A511="","",IF(SUMPRODUCT((Ввод!$F$12:$F$31&lt;&gt;"")*(Ввод!$F$12:$F$31&lt;=A511)*(Ввод!$G$12:$G$31&gt;=A511))&gt;0,1,0))</f>
        <v/>
      </c>
      <c r="G511" t="str">
        <f t="shared" si="15"/>
        <v/>
      </c>
    </row>
    <row r="512" spans="1:7" x14ac:dyDescent="0.3">
      <c r="A512" s="21" t="str">
        <f>IF(A511="","",IF(A511+1&gt;Ввод!$B$4,"",A511+1))</f>
        <v/>
      </c>
      <c r="B512" s="23" t="str">
        <f>IF(A512="","",IFERROR(INDEX(Ввод!$B$12:$B$71,MATCH(A512,Ввод!$D$12:$D$71,1)),""))</f>
        <v/>
      </c>
      <c r="C512" t="str">
        <f t="shared" si="14"/>
        <v/>
      </c>
      <c r="D512" t="str">
        <f>IF(A512="","",SUMIFS(Акты!$D$5:$D$16,Акты!$E$5:$E$16,"&lt;="&amp;A512)-SUMIFS(Оплаты!$B$6:$B$505,Оплаты!$A$6:$A$505,"&lt;"&amp;A512,Оплаты!$D$6:$D$505,"&lt;&gt;"))</f>
        <v/>
      </c>
      <c r="E512" t="str">
        <f>IF(A512="","",IF(SUMPRODUCT((Ввод!$F$12:$F$31&lt;&gt;"")*(Ввод!$F$12:$F$31&lt;=A512)*(Ввод!$G$12:$G$31&gt;=A512))&gt;0,1,0))</f>
        <v/>
      </c>
      <c r="G512" t="str">
        <f t="shared" si="15"/>
        <v/>
      </c>
    </row>
    <row r="513" spans="1:7" x14ac:dyDescent="0.3">
      <c r="A513" s="21" t="str">
        <f>IF(A512="","",IF(A512+1&gt;Ввод!$B$4,"",A512+1))</f>
        <v/>
      </c>
      <c r="B513" s="23" t="str">
        <f>IF(A513="","",IFERROR(INDEX(Ввод!$B$12:$B$71,MATCH(A513,Ввод!$D$12:$D$71,1)),""))</f>
        <v/>
      </c>
      <c r="C513" t="str">
        <f t="shared" si="14"/>
        <v/>
      </c>
      <c r="D513" t="str">
        <f>IF(A513="","",SUMIFS(Акты!$D$5:$D$16,Акты!$E$5:$E$16,"&lt;="&amp;A513)-SUMIFS(Оплаты!$B$6:$B$505,Оплаты!$A$6:$A$505,"&lt;"&amp;A513,Оплаты!$D$6:$D$505,"&lt;&gt;"))</f>
        <v/>
      </c>
      <c r="E513" t="str">
        <f>IF(A513="","",IF(SUMPRODUCT((Ввод!$F$12:$F$31&lt;&gt;"")*(Ввод!$F$12:$F$31&lt;=A513)*(Ввод!$G$12:$G$31&gt;=A513))&gt;0,1,0))</f>
        <v/>
      </c>
      <c r="G513" t="str">
        <f t="shared" si="15"/>
        <v/>
      </c>
    </row>
    <row r="514" spans="1:7" x14ac:dyDescent="0.3">
      <c r="A514" s="21" t="str">
        <f>IF(A513="","",IF(A513+1&gt;Ввод!$B$4,"",A513+1))</f>
        <v/>
      </c>
      <c r="B514" s="23" t="str">
        <f>IF(A514="","",IFERROR(INDEX(Ввод!$B$12:$B$71,MATCH(A514,Ввод!$D$12:$D$71,1)),""))</f>
        <v/>
      </c>
      <c r="C514" t="str">
        <f t="shared" ref="C514:C577" si="16">IF(A514="","",DATE(YEAR(A514),12,31)-DATE(YEAR(A514),1,1)+1)</f>
        <v/>
      </c>
      <c r="D514" t="str">
        <f>IF(A514="","",SUMIFS(Акты!$D$5:$D$16,Акты!$E$5:$E$16,"&lt;="&amp;A514)-SUMIFS(Оплаты!$B$6:$B$505,Оплаты!$A$6:$A$505,"&lt;"&amp;A514,Оплаты!$D$6:$D$505,"&lt;&gt;"))</f>
        <v/>
      </c>
      <c r="E514" t="str">
        <f>IF(A514="","",IF(SUMPRODUCT((Ввод!$F$12:$F$31&lt;&gt;"")*(Ввод!$F$12:$F$31&lt;=A514)*(Ввод!$G$12:$G$31&gt;=A514))&gt;0,1,0))</f>
        <v/>
      </c>
      <c r="G514" t="str">
        <f t="shared" si="15"/>
        <v/>
      </c>
    </row>
    <row r="515" spans="1:7" x14ac:dyDescent="0.3">
      <c r="A515" s="21" t="str">
        <f>IF(A514="","",IF(A514+1&gt;Ввод!$B$4,"",A514+1))</f>
        <v/>
      </c>
      <c r="B515" s="23" t="str">
        <f>IF(A515="","",IFERROR(INDEX(Ввод!$B$12:$B$71,MATCH(A515,Ввод!$D$12:$D$71,1)),""))</f>
        <v/>
      </c>
      <c r="C515" t="str">
        <f t="shared" si="16"/>
        <v/>
      </c>
      <c r="D515" t="str">
        <f>IF(A515="","",SUMIFS(Акты!$D$5:$D$16,Акты!$E$5:$E$16,"&lt;="&amp;A515)-SUMIFS(Оплаты!$B$6:$B$505,Оплаты!$A$6:$A$505,"&lt;"&amp;A515,Оплаты!$D$6:$D$505,"&lt;&gt;"))</f>
        <v/>
      </c>
      <c r="E515" t="str">
        <f>IF(A515="","",IF(SUMPRODUCT((Ввод!$F$12:$F$31&lt;&gt;"")*(Ввод!$F$12:$F$31&lt;=A515)*(Ввод!$G$12:$G$31&gt;=A515))&gt;0,1,0))</f>
        <v/>
      </c>
      <c r="G515" t="str">
        <f t="shared" ref="G515:G578" si="17">IF(A515="","",IF(OR(B515&lt;&gt;B514,C515&lt;&gt;C514,E515&lt;&gt;E514),G514+1,G514))</f>
        <v/>
      </c>
    </row>
    <row r="516" spans="1:7" x14ac:dyDescent="0.3">
      <c r="A516" s="21" t="str">
        <f>IF(A515="","",IF(A515+1&gt;Ввод!$B$4,"",A515+1))</f>
        <v/>
      </c>
      <c r="B516" s="23" t="str">
        <f>IF(A516="","",IFERROR(INDEX(Ввод!$B$12:$B$71,MATCH(A516,Ввод!$D$12:$D$71,1)),""))</f>
        <v/>
      </c>
      <c r="C516" t="str">
        <f t="shared" si="16"/>
        <v/>
      </c>
      <c r="D516" t="str">
        <f>IF(A516="","",SUMIFS(Акты!$D$5:$D$16,Акты!$E$5:$E$16,"&lt;="&amp;A516)-SUMIFS(Оплаты!$B$6:$B$505,Оплаты!$A$6:$A$505,"&lt;"&amp;A516,Оплаты!$D$6:$D$505,"&lt;&gt;"))</f>
        <v/>
      </c>
      <c r="E516" t="str">
        <f>IF(A516="","",IF(SUMPRODUCT((Ввод!$F$12:$F$31&lt;&gt;"")*(Ввод!$F$12:$F$31&lt;=A516)*(Ввод!$G$12:$G$31&gt;=A516))&gt;0,1,0))</f>
        <v/>
      </c>
      <c r="G516" t="str">
        <f t="shared" si="17"/>
        <v/>
      </c>
    </row>
    <row r="517" spans="1:7" x14ac:dyDescent="0.3">
      <c r="A517" s="21" t="str">
        <f>IF(A516="","",IF(A516+1&gt;Ввод!$B$4,"",A516+1))</f>
        <v/>
      </c>
      <c r="B517" s="23" t="str">
        <f>IF(A517="","",IFERROR(INDEX(Ввод!$B$12:$B$71,MATCH(A517,Ввод!$D$12:$D$71,1)),""))</f>
        <v/>
      </c>
      <c r="C517" t="str">
        <f t="shared" si="16"/>
        <v/>
      </c>
      <c r="D517" t="str">
        <f>IF(A517="","",SUMIFS(Акты!$D$5:$D$16,Акты!$E$5:$E$16,"&lt;="&amp;A517)-SUMIFS(Оплаты!$B$6:$B$505,Оплаты!$A$6:$A$505,"&lt;"&amp;A517,Оплаты!$D$6:$D$505,"&lt;&gt;"))</f>
        <v/>
      </c>
      <c r="E517" t="str">
        <f>IF(A517="","",IF(SUMPRODUCT((Ввод!$F$12:$F$31&lt;&gt;"")*(Ввод!$F$12:$F$31&lt;=A517)*(Ввод!$G$12:$G$31&gt;=A517))&gt;0,1,0))</f>
        <v/>
      </c>
      <c r="G517" t="str">
        <f t="shared" si="17"/>
        <v/>
      </c>
    </row>
    <row r="518" spans="1:7" x14ac:dyDescent="0.3">
      <c r="A518" s="21" t="str">
        <f>IF(A517="","",IF(A517+1&gt;Ввод!$B$4,"",A517+1))</f>
        <v/>
      </c>
      <c r="B518" s="23" t="str">
        <f>IF(A518="","",IFERROR(INDEX(Ввод!$B$12:$B$71,MATCH(A518,Ввод!$D$12:$D$71,1)),""))</f>
        <v/>
      </c>
      <c r="C518" t="str">
        <f t="shared" si="16"/>
        <v/>
      </c>
      <c r="D518" t="str">
        <f>IF(A518="","",SUMIFS(Акты!$D$5:$D$16,Акты!$E$5:$E$16,"&lt;="&amp;A518)-SUMIFS(Оплаты!$B$6:$B$505,Оплаты!$A$6:$A$505,"&lt;"&amp;A518,Оплаты!$D$6:$D$505,"&lt;&gt;"))</f>
        <v/>
      </c>
      <c r="E518" t="str">
        <f>IF(A518="","",IF(SUMPRODUCT((Ввод!$F$12:$F$31&lt;&gt;"")*(Ввод!$F$12:$F$31&lt;=A518)*(Ввод!$G$12:$G$31&gt;=A518))&gt;0,1,0))</f>
        <v/>
      </c>
      <c r="G518" t="str">
        <f t="shared" si="17"/>
        <v/>
      </c>
    </row>
    <row r="519" spans="1:7" x14ac:dyDescent="0.3">
      <c r="A519" s="21" t="str">
        <f>IF(A518="","",IF(A518+1&gt;Ввод!$B$4,"",A518+1))</f>
        <v/>
      </c>
      <c r="B519" s="23" t="str">
        <f>IF(A519="","",IFERROR(INDEX(Ввод!$B$12:$B$71,MATCH(A519,Ввод!$D$12:$D$71,1)),""))</f>
        <v/>
      </c>
      <c r="C519" t="str">
        <f t="shared" si="16"/>
        <v/>
      </c>
      <c r="D519" t="str">
        <f>IF(A519="","",SUMIFS(Акты!$D$5:$D$16,Акты!$E$5:$E$16,"&lt;="&amp;A519)-SUMIFS(Оплаты!$B$6:$B$505,Оплаты!$A$6:$A$505,"&lt;"&amp;A519,Оплаты!$D$6:$D$505,"&lt;&gt;"))</f>
        <v/>
      </c>
      <c r="E519" t="str">
        <f>IF(A519="","",IF(SUMPRODUCT((Ввод!$F$12:$F$31&lt;&gt;"")*(Ввод!$F$12:$F$31&lt;=A519)*(Ввод!$G$12:$G$31&gt;=A519))&gt;0,1,0))</f>
        <v/>
      </c>
      <c r="G519" t="str">
        <f t="shared" si="17"/>
        <v/>
      </c>
    </row>
    <row r="520" spans="1:7" x14ac:dyDescent="0.3">
      <c r="A520" s="21" t="str">
        <f>IF(A519="","",IF(A519+1&gt;Ввод!$B$4,"",A519+1))</f>
        <v/>
      </c>
      <c r="B520" s="23" t="str">
        <f>IF(A520="","",IFERROR(INDEX(Ввод!$B$12:$B$71,MATCH(A520,Ввод!$D$12:$D$71,1)),""))</f>
        <v/>
      </c>
      <c r="C520" t="str">
        <f t="shared" si="16"/>
        <v/>
      </c>
      <c r="D520" t="str">
        <f>IF(A520="","",SUMIFS(Акты!$D$5:$D$16,Акты!$E$5:$E$16,"&lt;="&amp;A520)-SUMIFS(Оплаты!$B$6:$B$505,Оплаты!$A$6:$A$505,"&lt;"&amp;A520,Оплаты!$D$6:$D$505,"&lt;&gt;"))</f>
        <v/>
      </c>
      <c r="E520" t="str">
        <f>IF(A520="","",IF(SUMPRODUCT((Ввод!$F$12:$F$31&lt;&gt;"")*(Ввод!$F$12:$F$31&lt;=A520)*(Ввод!$G$12:$G$31&gt;=A520))&gt;0,1,0))</f>
        <v/>
      </c>
      <c r="G520" t="str">
        <f t="shared" si="17"/>
        <v/>
      </c>
    </row>
    <row r="521" spans="1:7" x14ac:dyDescent="0.3">
      <c r="A521" s="21" t="str">
        <f>IF(A520="","",IF(A520+1&gt;Ввод!$B$4,"",A520+1))</f>
        <v/>
      </c>
      <c r="B521" s="23" t="str">
        <f>IF(A521="","",IFERROR(INDEX(Ввод!$B$12:$B$71,MATCH(A521,Ввод!$D$12:$D$71,1)),""))</f>
        <v/>
      </c>
      <c r="C521" t="str">
        <f t="shared" si="16"/>
        <v/>
      </c>
      <c r="D521" t="str">
        <f>IF(A521="","",SUMIFS(Акты!$D$5:$D$16,Акты!$E$5:$E$16,"&lt;="&amp;A521)-SUMIFS(Оплаты!$B$6:$B$505,Оплаты!$A$6:$A$505,"&lt;"&amp;A521,Оплаты!$D$6:$D$505,"&lt;&gt;"))</f>
        <v/>
      </c>
      <c r="E521" t="str">
        <f>IF(A521="","",IF(SUMPRODUCT((Ввод!$F$12:$F$31&lt;&gt;"")*(Ввод!$F$12:$F$31&lt;=A521)*(Ввод!$G$12:$G$31&gt;=A521))&gt;0,1,0))</f>
        <v/>
      </c>
      <c r="G521" t="str">
        <f t="shared" si="17"/>
        <v/>
      </c>
    </row>
    <row r="522" spans="1:7" x14ac:dyDescent="0.3">
      <c r="A522" s="21" t="str">
        <f>IF(A521="","",IF(A521+1&gt;Ввод!$B$4,"",A521+1))</f>
        <v/>
      </c>
      <c r="B522" s="23" t="str">
        <f>IF(A522="","",IFERROR(INDEX(Ввод!$B$12:$B$71,MATCH(A522,Ввод!$D$12:$D$71,1)),""))</f>
        <v/>
      </c>
      <c r="C522" t="str">
        <f t="shared" si="16"/>
        <v/>
      </c>
      <c r="D522" t="str">
        <f>IF(A522="","",SUMIFS(Акты!$D$5:$D$16,Акты!$E$5:$E$16,"&lt;="&amp;A522)-SUMIFS(Оплаты!$B$6:$B$505,Оплаты!$A$6:$A$505,"&lt;"&amp;A522,Оплаты!$D$6:$D$505,"&lt;&gt;"))</f>
        <v/>
      </c>
      <c r="E522" t="str">
        <f>IF(A522="","",IF(SUMPRODUCT((Ввод!$F$12:$F$31&lt;&gt;"")*(Ввод!$F$12:$F$31&lt;=A522)*(Ввод!$G$12:$G$31&gt;=A522))&gt;0,1,0))</f>
        <v/>
      </c>
      <c r="G522" t="str">
        <f t="shared" si="17"/>
        <v/>
      </c>
    </row>
    <row r="523" spans="1:7" x14ac:dyDescent="0.3">
      <c r="A523" s="21" t="str">
        <f>IF(A522="","",IF(A522+1&gt;Ввод!$B$4,"",A522+1))</f>
        <v/>
      </c>
      <c r="B523" s="23" t="str">
        <f>IF(A523="","",IFERROR(INDEX(Ввод!$B$12:$B$71,MATCH(A523,Ввод!$D$12:$D$71,1)),""))</f>
        <v/>
      </c>
      <c r="C523" t="str">
        <f t="shared" si="16"/>
        <v/>
      </c>
      <c r="D523" t="str">
        <f>IF(A523="","",SUMIFS(Акты!$D$5:$D$16,Акты!$E$5:$E$16,"&lt;="&amp;A523)-SUMIFS(Оплаты!$B$6:$B$505,Оплаты!$A$6:$A$505,"&lt;"&amp;A523,Оплаты!$D$6:$D$505,"&lt;&gt;"))</f>
        <v/>
      </c>
      <c r="E523" t="str">
        <f>IF(A523="","",IF(SUMPRODUCT((Ввод!$F$12:$F$31&lt;&gt;"")*(Ввод!$F$12:$F$31&lt;=A523)*(Ввод!$G$12:$G$31&gt;=A523))&gt;0,1,0))</f>
        <v/>
      </c>
      <c r="G523" t="str">
        <f t="shared" si="17"/>
        <v/>
      </c>
    </row>
    <row r="524" spans="1:7" x14ac:dyDescent="0.3">
      <c r="A524" s="21" t="str">
        <f>IF(A523="","",IF(A523+1&gt;Ввод!$B$4,"",A523+1))</f>
        <v/>
      </c>
      <c r="B524" s="23" t="str">
        <f>IF(A524="","",IFERROR(INDEX(Ввод!$B$12:$B$71,MATCH(A524,Ввод!$D$12:$D$71,1)),""))</f>
        <v/>
      </c>
      <c r="C524" t="str">
        <f t="shared" si="16"/>
        <v/>
      </c>
      <c r="D524" t="str">
        <f>IF(A524="","",SUMIFS(Акты!$D$5:$D$16,Акты!$E$5:$E$16,"&lt;="&amp;A524)-SUMIFS(Оплаты!$B$6:$B$505,Оплаты!$A$6:$A$505,"&lt;"&amp;A524,Оплаты!$D$6:$D$505,"&lt;&gt;"))</f>
        <v/>
      </c>
      <c r="E524" t="str">
        <f>IF(A524="","",IF(SUMPRODUCT((Ввод!$F$12:$F$31&lt;&gt;"")*(Ввод!$F$12:$F$31&lt;=A524)*(Ввод!$G$12:$G$31&gt;=A524))&gt;0,1,0))</f>
        <v/>
      </c>
      <c r="G524" t="str">
        <f t="shared" si="17"/>
        <v/>
      </c>
    </row>
    <row r="525" spans="1:7" x14ac:dyDescent="0.3">
      <c r="A525" s="21" t="str">
        <f>IF(A524="","",IF(A524+1&gt;Ввод!$B$4,"",A524+1))</f>
        <v/>
      </c>
      <c r="B525" s="23" t="str">
        <f>IF(A525="","",IFERROR(INDEX(Ввод!$B$12:$B$71,MATCH(A525,Ввод!$D$12:$D$71,1)),""))</f>
        <v/>
      </c>
      <c r="C525" t="str">
        <f t="shared" si="16"/>
        <v/>
      </c>
      <c r="D525" t="str">
        <f>IF(A525="","",SUMIFS(Акты!$D$5:$D$16,Акты!$E$5:$E$16,"&lt;="&amp;A525)-SUMIFS(Оплаты!$B$6:$B$505,Оплаты!$A$6:$A$505,"&lt;"&amp;A525,Оплаты!$D$6:$D$505,"&lt;&gt;"))</f>
        <v/>
      </c>
      <c r="E525" t="str">
        <f>IF(A525="","",IF(SUMPRODUCT((Ввод!$F$12:$F$31&lt;&gt;"")*(Ввод!$F$12:$F$31&lt;=A525)*(Ввод!$G$12:$G$31&gt;=A525))&gt;0,1,0))</f>
        <v/>
      </c>
      <c r="G525" t="str">
        <f t="shared" si="17"/>
        <v/>
      </c>
    </row>
    <row r="526" spans="1:7" x14ac:dyDescent="0.3">
      <c r="A526" s="21" t="str">
        <f>IF(A525="","",IF(A525+1&gt;Ввод!$B$4,"",A525+1))</f>
        <v/>
      </c>
      <c r="B526" s="23" t="str">
        <f>IF(A526="","",IFERROR(INDEX(Ввод!$B$12:$B$71,MATCH(A526,Ввод!$D$12:$D$71,1)),""))</f>
        <v/>
      </c>
      <c r="C526" t="str">
        <f t="shared" si="16"/>
        <v/>
      </c>
      <c r="D526" t="str">
        <f>IF(A526="","",SUMIFS(Акты!$D$5:$D$16,Акты!$E$5:$E$16,"&lt;="&amp;A526)-SUMIFS(Оплаты!$B$6:$B$505,Оплаты!$A$6:$A$505,"&lt;"&amp;A526,Оплаты!$D$6:$D$505,"&lt;&gt;"))</f>
        <v/>
      </c>
      <c r="E526" t="str">
        <f>IF(A526="","",IF(SUMPRODUCT((Ввод!$F$12:$F$31&lt;&gt;"")*(Ввод!$F$12:$F$31&lt;=A526)*(Ввод!$G$12:$G$31&gt;=A526))&gt;0,1,0))</f>
        <v/>
      </c>
      <c r="G526" t="str">
        <f t="shared" si="17"/>
        <v/>
      </c>
    </row>
    <row r="527" spans="1:7" x14ac:dyDescent="0.3">
      <c r="A527" s="21" t="str">
        <f>IF(A526="","",IF(A526+1&gt;Ввод!$B$4,"",A526+1))</f>
        <v/>
      </c>
      <c r="B527" s="23" t="str">
        <f>IF(A527="","",IFERROR(INDEX(Ввод!$B$12:$B$71,MATCH(A527,Ввод!$D$12:$D$71,1)),""))</f>
        <v/>
      </c>
      <c r="C527" t="str">
        <f t="shared" si="16"/>
        <v/>
      </c>
      <c r="D527" t="str">
        <f>IF(A527="","",SUMIFS(Акты!$D$5:$D$16,Акты!$E$5:$E$16,"&lt;="&amp;A527)-SUMIFS(Оплаты!$B$6:$B$505,Оплаты!$A$6:$A$505,"&lt;"&amp;A527,Оплаты!$D$6:$D$505,"&lt;&gt;"))</f>
        <v/>
      </c>
      <c r="E527" t="str">
        <f>IF(A527="","",IF(SUMPRODUCT((Ввод!$F$12:$F$31&lt;&gt;"")*(Ввод!$F$12:$F$31&lt;=A527)*(Ввод!$G$12:$G$31&gt;=A527))&gt;0,1,0))</f>
        <v/>
      </c>
      <c r="G527" t="str">
        <f t="shared" si="17"/>
        <v/>
      </c>
    </row>
    <row r="528" spans="1:7" x14ac:dyDescent="0.3">
      <c r="A528" s="21" t="str">
        <f>IF(A527="","",IF(A527+1&gt;Ввод!$B$4,"",A527+1))</f>
        <v/>
      </c>
      <c r="B528" s="23" t="str">
        <f>IF(A528="","",IFERROR(INDEX(Ввод!$B$12:$B$71,MATCH(A528,Ввод!$D$12:$D$71,1)),""))</f>
        <v/>
      </c>
      <c r="C528" t="str">
        <f t="shared" si="16"/>
        <v/>
      </c>
      <c r="D528" t="str">
        <f>IF(A528="","",SUMIFS(Акты!$D$5:$D$16,Акты!$E$5:$E$16,"&lt;="&amp;A528)-SUMIFS(Оплаты!$B$6:$B$505,Оплаты!$A$6:$A$505,"&lt;"&amp;A528,Оплаты!$D$6:$D$505,"&lt;&gt;"))</f>
        <v/>
      </c>
      <c r="E528" t="str">
        <f>IF(A528="","",IF(SUMPRODUCT((Ввод!$F$12:$F$31&lt;&gt;"")*(Ввод!$F$12:$F$31&lt;=A528)*(Ввод!$G$12:$G$31&gt;=A528))&gt;0,1,0))</f>
        <v/>
      </c>
      <c r="G528" t="str">
        <f t="shared" si="17"/>
        <v/>
      </c>
    </row>
    <row r="529" spans="1:7" x14ac:dyDescent="0.3">
      <c r="A529" s="21" t="str">
        <f>IF(A528="","",IF(A528+1&gt;Ввод!$B$4,"",A528+1))</f>
        <v/>
      </c>
      <c r="B529" s="23" t="str">
        <f>IF(A529="","",IFERROR(INDEX(Ввод!$B$12:$B$71,MATCH(A529,Ввод!$D$12:$D$71,1)),""))</f>
        <v/>
      </c>
      <c r="C529" t="str">
        <f t="shared" si="16"/>
        <v/>
      </c>
      <c r="D529" t="str">
        <f>IF(A529="","",SUMIFS(Акты!$D$5:$D$16,Акты!$E$5:$E$16,"&lt;="&amp;A529)-SUMIFS(Оплаты!$B$6:$B$505,Оплаты!$A$6:$A$505,"&lt;"&amp;A529,Оплаты!$D$6:$D$505,"&lt;&gt;"))</f>
        <v/>
      </c>
      <c r="E529" t="str">
        <f>IF(A529="","",IF(SUMPRODUCT((Ввод!$F$12:$F$31&lt;&gt;"")*(Ввод!$F$12:$F$31&lt;=A529)*(Ввод!$G$12:$G$31&gt;=A529))&gt;0,1,0))</f>
        <v/>
      </c>
      <c r="G529" t="str">
        <f t="shared" si="17"/>
        <v/>
      </c>
    </row>
    <row r="530" spans="1:7" x14ac:dyDescent="0.3">
      <c r="A530" s="21" t="str">
        <f>IF(A529="","",IF(A529+1&gt;Ввод!$B$4,"",A529+1))</f>
        <v/>
      </c>
      <c r="B530" s="23" t="str">
        <f>IF(A530="","",IFERROR(INDEX(Ввод!$B$12:$B$71,MATCH(A530,Ввод!$D$12:$D$71,1)),""))</f>
        <v/>
      </c>
      <c r="C530" t="str">
        <f t="shared" si="16"/>
        <v/>
      </c>
      <c r="D530" t="str">
        <f>IF(A530="","",SUMIFS(Акты!$D$5:$D$16,Акты!$E$5:$E$16,"&lt;="&amp;A530)-SUMIFS(Оплаты!$B$6:$B$505,Оплаты!$A$6:$A$505,"&lt;"&amp;A530,Оплаты!$D$6:$D$505,"&lt;&gt;"))</f>
        <v/>
      </c>
      <c r="E530" t="str">
        <f>IF(A530="","",IF(SUMPRODUCT((Ввод!$F$12:$F$31&lt;&gt;"")*(Ввод!$F$12:$F$31&lt;=A530)*(Ввод!$G$12:$G$31&gt;=A530))&gt;0,1,0))</f>
        <v/>
      </c>
      <c r="G530" t="str">
        <f t="shared" si="17"/>
        <v/>
      </c>
    </row>
    <row r="531" spans="1:7" x14ac:dyDescent="0.3">
      <c r="A531" s="21" t="str">
        <f>IF(A530="","",IF(A530+1&gt;Ввод!$B$4,"",A530+1))</f>
        <v/>
      </c>
      <c r="B531" s="23" t="str">
        <f>IF(A531="","",IFERROR(INDEX(Ввод!$B$12:$B$71,MATCH(A531,Ввод!$D$12:$D$71,1)),""))</f>
        <v/>
      </c>
      <c r="C531" t="str">
        <f t="shared" si="16"/>
        <v/>
      </c>
      <c r="D531" t="str">
        <f>IF(A531="","",SUMIFS(Акты!$D$5:$D$16,Акты!$E$5:$E$16,"&lt;="&amp;A531)-SUMIFS(Оплаты!$B$6:$B$505,Оплаты!$A$6:$A$505,"&lt;"&amp;A531,Оплаты!$D$6:$D$505,"&lt;&gt;"))</f>
        <v/>
      </c>
      <c r="E531" t="str">
        <f>IF(A531="","",IF(SUMPRODUCT((Ввод!$F$12:$F$31&lt;&gt;"")*(Ввод!$F$12:$F$31&lt;=A531)*(Ввод!$G$12:$G$31&gt;=A531))&gt;0,1,0))</f>
        <v/>
      </c>
      <c r="G531" t="str">
        <f t="shared" si="17"/>
        <v/>
      </c>
    </row>
    <row r="532" spans="1:7" x14ac:dyDescent="0.3">
      <c r="A532" s="21" t="str">
        <f>IF(A531="","",IF(A531+1&gt;Ввод!$B$4,"",A531+1))</f>
        <v/>
      </c>
      <c r="B532" s="23" t="str">
        <f>IF(A532="","",IFERROR(INDEX(Ввод!$B$12:$B$71,MATCH(A532,Ввод!$D$12:$D$71,1)),""))</f>
        <v/>
      </c>
      <c r="C532" t="str">
        <f t="shared" si="16"/>
        <v/>
      </c>
      <c r="D532" t="str">
        <f>IF(A532="","",SUMIFS(Акты!$D$5:$D$16,Акты!$E$5:$E$16,"&lt;="&amp;A532)-SUMIFS(Оплаты!$B$6:$B$505,Оплаты!$A$6:$A$505,"&lt;"&amp;A532,Оплаты!$D$6:$D$505,"&lt;&gt;"))</f>
        <v/>
      </c>
      <c r="E532" t="str">
        <f>IF(A532="","",IF(SUMPRODUCT((Ввод!$F$12:$F$31&lt;&gt;"")*(Ввод!$F$12:$F$31&lt;=A532)*(Ввод!$G$12:$G$31&gt;=A532))&gt;0,1,0))</f>
        <v/>
      </c>
      <c r="G532" t="str">
        <f t="shared" si="17"/>
        <v/>
      </c>
    </row>
    <row r="533" spans="1:7" x14ac:dyDescent="0.3">
      <c r="A533" s="21" t="str">
        <f>IF(A532="","",IF(A532+1&gt;Ввод!$B$4,"",A532+1))</f>
        <v/>
      </c>
      <c r="B533" s="23" t="str">
        <f>IF(A533="","",IFERROR(INDEX(Ввод!$B$12:$B$71,MATCH(A533,Ввод!$D$12:$D$71,1)),""))</f>
        <v/>
      </c>
      <c r="C533" t="str">
        <f t="shared" si="16"/>
        <v/>
      </c>
      <c r="D533" t="str">
        <f>IF(A533="","",SUMIFS(Акты!$D$5:$D$16,Акты!$E$5:$E$16,"&lt;="&amp;A533)-SUMIFS(Оплаты!$B$6:$B$505,Оплаты!$A$6:$A$505,"&lt;"&amp;A533,Оплаты!$D$6:$D$505,"&lt;&gt;"))</f>
        <v/>
      </c>
      <c r="E533" t="str">
        <f>IF(A533="","",IF(SUMPRODUCT((Ввод!$F$12:$F$31&lt;&gt;"")*(Ввод!$F$12:$F$31&lt;=A533)*(Ввод!$G$12:$G$31&gt;=A533))&gt;0,1,0))</f>
        <v/>
      </c>
      <c r="G533" t="str">
        <f t="shared" si="17"/>
        <v/>
      </c>
    </row>
    <row r="534" spans="1:7" x14ac:dyDescent="0.3">
      <c r="A534" s="21" t="str">
        <f>IF(A533="","",IF(A533+1&gt;Ввод!$B$4,"",A533+1))</f>
        <v/>
      </c>
      <c r="B534" s="23" t="str">
        <f>IF(A534="","",IFERROR(INDEX(Ввод!$B$12:$B$71,MATCH(A534,Ввод!$D$12:$D$71,1)),""))</f>
        <v/>
      </c>
      <c r="C534" t="str">
        <f t="shared" si="16"/>
        <v/>
      </c>
      <c r="D534" t="str">
        <f>IF(A534="","",SUMIFS(Акты!$D$5:$D$16,Акты!$E$5:$E$16,"&lt;="&amp;A534)-SUMIFS(Оплаты!$B$6:$B$505,Оплаты!$A$6:$A$505,"&lt;"&amp;A534,Оплаты!$D$6:$D$505,"&lt;&gt;"))</f>
        <v/>
      </c>
      <c r="E534" t="str">
        <f>IF(A534="","",IF(SUMPRODUCT((Ввод!$F$12:$F$31&lt;&gt;"")*(Ввод!$F$12:$F$31&lt;=A534)*(Ввод!$G$12:$G$31&gt;=A534))&gt;0,1,0))</f>
        <v/>
      </c>
      <c r="G534" t="str">
        <f t="shared" si="17"/>
        <v/>
      </c>
    </row>
    <row r="535" spans="1:7" x14ac:dyDescent="0.3">
      <c r="A535" s="21" t="str">
        <f>IF(A534="","",IF(A534+1&gt;Ввод!$B$4,"",A534+1))</f>
        <v/>
      </c>
      <c r="B535" s="23" t="str">
        <f>IF(A535="","",IFERROR(INDEX(Ввод!$B$12:$B$71,MATCH(A535,Ввод!$D$12:$D$71,1)),""))</f>
        <v/>
      </c>
      <c r="C535" t="str">
        <f t="shared" si="16"/>
        <v/>
      </c>
      <c r="D535" t="str">
        <f>IF(A535="","",SUMIFS(Акты!$D$5:$D$16,Акты!$E$5:$E$16,"&lt;="&amp;A535)-SUMIFS(Оплаты!$B$6:$B$505,Оплаты!$A$6:$A$505,"&lt;"&amp;A535,Оплаты!$D$6:$D$505,"&lt;&gt;"))</f>
        <v/>
      </c>
      <c r="E535" t="str">
        <f>IF(A535="","",IF(SUMPRODUCT((Ввод!$F$12:$F$31&lt;&gt;"")*(Ввод!$F$12:$F$31&lt;=A535)*(Ввод!$G$12:$G$31&gt;=A535))&gt;0,1,0))</f>
        <v/>
      </c>
      <c r="G535" t="str">
        <f t="shared" si="17"/>
        <v/>
      </c>
    </row>
    <row r="536" spans="1:7" x14ac:dyDescent="0.3">
      <c r="A536" s="21" t="str">
        <f>IF(A535="","",IF(A535+1&gt;Ввод!$B$4,"",A535+1))</f>
        <v/>
      </c>
      <c r="B536" s="23" t="str">
        <f>IF(A536="","",IFERROR(INDEX(Ввод!$B$12:$B$71,MATCH(A536,Ввод!$D$12:$D$71,1)),""))</f>
        <v/>
      </c>
      <c r="C536" t="str">
        <f t="shared" si="16"/>
        <v/>
      </c>
      <c r="D536" t="str">
        <f>IF(A536="","",SUMIFS(Акты!$D$5:$D$16,Акты!$E$5:$E$16,"&lt;="&amp;A536)-SUMIFS(Оплаты!$B$6:$B$505,Оплаты!$A$6:$A$505,"&lt;"&amp;A536,Оплаты!$D$6:$D$505,"&lt;&gt;"))</f>
        <v/>
      </c>
      <c r="E536" t="str">
        <f>IF(A536="","",IF(SUMPRODUCT((Ввод!$F$12:$F$31&lt;&gt;"")*(Ввод!$F$12:$F$31&lt;=A536)*(Ввод!$G$12:$G$31&gt;=A536))&gt;0,1,0))</f>
        <v/>
      </c>
      <c r="G536" t="str">
        <f t="shared" si="17"/>
        <v/>
      </c>
    </row>
    <row r="537" spans="1:7" x14ac:dyDescent="0.3">
      <c r="A537" s="21" t="str">
        <f>IF(A536="","",IF(A536+1&gt;Ввод!$B$4,"",A536+1))</f>
        <v/>
      </c>
      <c r="B537" s="23" t="str">
        <f>IF(A537="","",IFERROR(INDEX(Ввод!$B$12:$B$71,MATCH(A537,Ввод!$D$12:$D$71,1)),""))</f>
        <v/>
      </c>
      <c r="C537" t="str">
        <f t="shared" si="16"/>
        <v/>
      </c>
      <c r="D537" t="str">
        <f>IF(A537="","",SUMIFS(Акты!$D$5:$D$16,Акты!$E$5:$E$16,"&lt;="&amp;A537)-SUMIFS(Оплаты!$B$6:$B$505,Оплаты!$A$6:$A$505,"&lt;"&amp;A537,Оплаты!$D$6:$D$505,"&lt;&gt;"))</f>
        <v/>
      </c>
      <c r="E537" t="str">
        <f>IF(A537="","",IF(SUMPRODUCT((Ввод!$F$12:$F$31&lt;&gt;"")*(Ввод!$F$12:$F$31&lt;=A537)*(Ввод!$G$12:$G$31&gt;=A537))&gt;0,1,0))</f>
        <v/>
      </c>
      <c r="G537" t="str">
        <f t="shared" si="17"/>
        <v/>
      </c>
    </row>
    <row r="538" spans="1:7" x14ac:dyDescent="0.3">
      <c r="A538" s="21" t="str">
        <f>IF(A537="","",IF(A537+1&gt;Ввод!$B$4,"",A537+1))</f>
        <v/>
      </c>
      <c r="B538" s="23" t="str">
        <f>IF(A538="","",IFERROR(INDEX(Ввод!$B$12:$B$71,MATCH(A538,Ввод!$D$12:$D$71,1)),""))</f>
        <v/>
      </c>
      <c r="C538" t="str">
        <f t="shared" si="16"/>
        <v/>
      </c>
      <c r="D538" t="str">
        <f>IF(A538="","",SUMIFS(Акты!$D$5:$D$16,Акты!$E$5:$E$16,"&lt;="&amp;A538)-SUMIFS(Оплаты!$B$6:$B$505,Оплаты!$A$6:$A$505,"&lt;"&amp;A538,Оплаты!$D$6:$D$505,"&lt;&gt;"))</f>
        <v/>
      </c>
      <c r="E538" t="str">
        <f>IF(A538="","",IF(SUMPRODUCT((Ввод!$F$12:$F$31&lt;&gt;"")*(Ввод!$F$12:$F$31&lt;=A538)*(Ввод!$G$12:$G$31&gt;=A538))&gt;0,1,0))</f>
        <v/>
      </c>
      <c r="G538" t="str">
        <f t="shared" si="17"/>
        <v/>
      </c>
    </row>
    <row r="539" spans="1:7" x14ac:dyDescent="0.3">
      <c r="A539" s="21" t="str">
        <f>IF(A538="","",IF(A538+1&gt;Ввод!$B$4,"",A538+1))</f>
        <v/>
      </c>
      <c r="B539" s="23" t="str">
        <f>IF(A539="","",IFERROR(INDEX(Ввод!$B$12:$B$71,MATCH(A539,Ввод!$D$12:$D$71,1)),""))</f>
        <v/>
      </c>
      <c r="C539" t="str">
        <f t="shared" si="16"/>
        <v/>
      </c>
      <c r="D539" t="str">
        <f>IF(A539="","",SUMIFS(Акты!$D$5:$D$16,Акты!$E$5:$E$16,"&lt;="&amp;A539)-SUMIFS(Оплаты!$B$6:$B$505,Оплаты!$A$6:$A$505,"&lt;"&amp;A539,Оплаты!$D$6:$D$505,"&lt;&gt;"))</f>
        <v/>
      </c>
      <c r="E539" t="str">
        <f>IF(A539="","",IF(SUMPRODUCT((Ввод!$F$12:$F$31&lt;&gt;"")*(Ввод!$F$12:$F$31&lt;=A539)*(Ввод!$G$12:$G$31&gt;=A539))&gt;0,1,0))</f>
        <v/>
      </c>
      <c r="G539" t="str">
        <f t="shared" si="17"/>
        <v/>
      </c>
    </row>
    <row r="540" spans="1:7" x14ac:dyDescent="0.3">
      <c r="A540" s="21" t="str">
        <f>IF(A539="","",IF(A539+1&gt;Ввод!$B$4,"",A539+1))</f>
        <v/>
      </c>
      <c r="B540" s="23" t="str">
        <f>IF(A540="","",IFERROR(INDEX(Ввод!$B$12:$B$71,MATCH(A540,Ввод!$D$12:$D$71,1)),""))</f>
        <v/>
      </c>
      <c r="C540" t="str">
        <f t="shared" si="16"/>
        <v/>
      </c>
      <c r="D540" t="str">
        <f>IF(A540="","",SUMIFS(Акты!$D$5:$D$16,Акты!$E$5:$E$16,"&lt;="&amp;A540)-SUMIFS(Оплаты!$B$6:$B$505,Оплаты!$A$6:$A$505,"&lt;"&amp;A540,Оплаты!$D$6:$D$505,"&lt;&gt;"))</f>
        <v/>
      </c>
      <c r="E540" t="str">
        <f>IF(A540="","",IF(SUMPRODUCT((Ввод!$F$12:$F$31&lt;&gt;"")*(Ввод!$F$12:$F$31&lt;=A540)*(Ввод!$G$12:$G$31&gt;=A540))&gt;0,1,0))</f>
        <v/>
      </c>
      <c r="G540" t="str">
        <f t="shared" si="17"/>
        <v/>
      </c>
    </row>
    <row r="541" spans="1:7" x14ac:dyDescent="0.3">
      <c r="A541" s="21" t="str">
        <f>IF(A540="","",IF(A540+1&gt;Ввод!$B$4,"",A540+1))</f>
        <v/>
      </c>
      <c r="B541" s="23" t="str">
        <f>IF(A541="","",IFERROR(INDEX(Ввод!$B$12:$B$71,MATCH(A541,Ввод!$D$12:$D$71,1)),""))</f>
        <v/>
      </c>
      <c r="C541" t="str">
        <f t="shared" si="16"/>
        <v/>
      </c>
      <c r="D541" t="str">
        <f>IF(A541="","",SUMIFS(Акты!$D$5:$D$16,Акты!$E$5:$E$16,"&lt;="&amp;A541)-SUMIFS(Оплаты!$B$6:$B$505,Оплаты!$A$6:$A$505,"&lt;"&amp;A541,Оплаты!$D$6:$D$505,"&lt;&gt;"))</f>
        <v/>
      </c>
      <c r="E541" t="str">
        <f>IF(A541="","",IF(SUMPRODUCT((Ввод!$F$12:$F$31&lt;&gt;"")*(Ввод!$F$12:$F$31&lt;=A541)*(Ввод!$G$12:$G$31&gt;=A541))&gt;0,1,0))</f>
        <v/>
      </c>
      <c r="G541" t="str">
        <f t="shared" si="17"/>
        <v/>
      </c>
    </row>
    <row r="542" spans="1:7" x14ac:dyDescent="0.3">
      <c r="A542" s="21" t="str">
        <f>IF(A541="","",IF(A541+1&gt;Ввод!$B$4,"",A541+1))</f>
        <v/>
      </c>
      <c r="B542" s="23" t="str">
        <f>IF(A542="","",IFERROR(INDEX(Ввод!$B$12:$B$71,MATCH(A542,Ввод!$D$12:$D$71,1)),""))</f>
        <v/>
      </c>
      <c r="C542" t="str">
        <f t="shared" si="16"/>
        <v/>
      </c>
      <c r="D542" t="str">
        <f>IF(A542="","",SUMIFS(Акты!$D$5:$D$16,Акты!$E$5:$E$16,"&lt;="&amp;A542)-SUMIFS(Оплаты!$B$6:$B$505,Оплаты!$A$6:$A$505,"&lt;"&amp;A542,Оплаты!$D$6:$D$505,"&lt;&gt;"))</f>
        <v/>
      </c>
      <c r="E542" t="str">
        <f>IF(A542="","",IF(SUMPRODUCT((Ввод!$F$12:$F$31&lt;&gt;"")*(Ввод!$F$12:$F$31&lt;=A542)*(Ввод!$G$12:$G$31&gt;=A542))&gt;0,1,0))</f>
        <v/>
      </c>
      <c r="G542" t="str">
        <f t="shared" si="17"/>
        <v/>
      </c>
    </row>
    <row r="543" spans="1:7" x14ac:dyDescent="0.3">
      <c r="A543" s="21" t="str">
        <f>IF(A542="","",IF(A542+1&gt;Ввод!$B$4,"",A542+1))</f>
        <v/>
      </c>
      <c r="B543" s="23" t="str">
        <f>IF(A543="","",IFERROR(INDEX(Ввод!$B$12:$B$71,MATCH(A543,Ввод!$D$12:$D$71,1)),""))</f>
        <v/>
      </c>
      <c r="C543" t="str">
        <f t="shared" si="16"/>
        <v/>
      </c>
      <c r="D543" t="str">
        <f>IF(A543="","",SUMIFS(Акты!$D$5:$D$16,Акты!$E$5:$E$16,"&lt;="&amp;A543)-SUMIFS(Оплаты!$B$6:$B$505,Оплаты!$A$6:$A$505,"&lt;"&amp;A543,Оплаты!$D$6:$D$505,"&lt;&gt;"))</f>
        <v/>
      </c>
      <c r="E543" t="str">
        <f>IF(A543="","",IF(SUMPRODUCT((Ввод!$F$12:$F$31&lt;&gt;"")*(Ввод!$F$12:$F$31&lt;=A543)*(Ввод!$G$12:$G$31&gt;=A543))&gt;0,1,0))</f>
        <v/>
      </c>
      <c r="G543" t="str">
        <f t="shared" si="17"/>
        <v/>
      </c>
    </row>
    <row r="544" spans="1:7" x14ac:dyDescent="0.3">
      <c r="A544" s="21" t="str">
        <f>IF(A543="","",IF(A543+1&gt;Ввод!$B$4,"",A543+1))</f>
        <v/>
      </c>
      <c r="B544" s="23" t="str">
        <f>IF(A544="","",IFERROR(INDEX(Ввод!$B$12:$B$71,MATCH(A544,Ввод!$D$12:$D$71,1)),""))</f>
        <v/>
      </c>
      <c r="C544" t="str">
        <f t="shared" si="16"/>
        <v/>
      </c>
      <c r="D544" t="str">
        <f>IF(A544="","",SUMIFS(Акты!$D$5:$D$16,Акты!$E$5:$E$16,"&lt;="&amp;A544)-SUMIFS(Оплаты!$B$6:$B$505,Оплаты!$A$6:$A$505,"&lt;"&amp;A544,Оплаты!$D$6:$D$505,"&lt;&gt;"))</f>
        <v/>
      </c>
      <c r="E544" t="str">
        <f>IF(A544="","",IF(SUMPRODUCT((Ввод!$F$12:$F$31&lt;&gt;"")*(Ввод!$F$12:$F$31&lt;=A544)*(Ввод!$G$12:$G$31&gt;=A544))&gt;0,1,0))</f>
        <v/>
      </c>
      <c r="G544" t="str">
        <f t="shared" si="17"/>
        <v/>
      </c>
    </row>
    <row r="545" spans="1:7" x14ac:dyDescent="0.3">
      <c r="A545" s="21" t="str">
        <f>IF(A544="","",IF(A544+1&gt;Ввод!$B$4,"",A544+1))</f>
        <v/>
      </c>
      <c r="B545" s="23" t="str">
        <f>IF(A545="","",IFERROR(INDEX(Ввод!$B$12:$B$71,MATCH(A545,Ввод!$D$12:$D$71,1)),""))</f>
        <v/>
      </c>
      <c r="C545" t="str">
        <f t="shared" si="16"/>
        <v/>
      </c>
      <c r="D545" t="str">
        <f>IF(A545="","",SUMIFS(Акты!$D$5:$D$16,Акты!$E$5:$E$16,"&lt;="&amp;A545)-SUMIFS(Оплаты!$B$6:$B$505,Оплаты!$A$6:$A$505,"&lt;"&amp;A545,Оплаты!$D$6:$D$505,"&lt;&gt;"))</f>
        <v/>
      </c>
      <c r="E545" t="str">
        <f>IF(A545="","",IF(SUMPRODUCT((Ввод!$F$12:$F$31&lt;&gt;"")*(Ввод!$F$12:$F$31&lt;=A545)*(Ввод!$G$12:$G$31&gt;=A545))&gt;0,1,0))</f>
        <v/>
      </c>
      <c r="G545" t="str">
        <f t="shared" si="17"/>
        <v/>
      </c>
    </row>
    <row r="546" spans="1:7" x14ac:dyDescent="0.3">
      <c r="A546" s="21" t="str">
        <f>IF(A545="","",IF(A545+1&gt;Ввод!$B$4,"",A545+1))</f>
        <v/>
      </c>
      <c r="B546" s="23" t="str">
        <f>IF(A546="","",IFERROR(INDEX(Ввод!$B$12:$B$71,MATCH(A546,Ввод!$D$12:$D$71,1)),""))</f>
        <v/>
      </c>
      <c r="C546" t="str">
        <f t="shared" si="16"/>
        <v/>
      </c>
      <c r="D546" t="str">
        <f>IF(A546="","",SUMIFS(Акты!$D$5:$D$16,Акты!$E$5:$E$16,"&lt;="&amp;A546)-SUMIFS(Оплаты!$B$6:$B$505,Оплаты!$A$6:$A$505,"&lt;"&amp;A546,Оплаты!$D$6:$D$505,"&lt;&gt;"))</f>
        <v/>
      </c>
      <c r="E546" t="str">
        <f>IF(A546="","",IF(SUMPRODUCT((Ввод!$F$12:$F$31&lt;&gt;"")*(Ввод!$F$12:$F$31&lt;=A546)*(Ввод!$G$12:$G$31&gt;=A546))&gt;0,1,0))</f>
        <v/>
      </c>
      <c r="G546" t="str">
        <f t="shared" si="17"/>
        <v/>
      </c>
    </row>
    <row r="547" spans="1:7" x14ac:dyDescent="0.3">
      <c r="A547" s="21" t="str">
        <f>IF(A546="","",IF(A546+1&gt;Ввод!$B$4,"",A546+1))</f>
        <v/>
      </c>
      <c r="B547" s="23" t="str">
        <f>IF(A547="","",IFERROR(INDEX(Ввод!$B$12:$B$71,MATCH(A547,Ввод!$D$12:$D$71,1)),""))</f>
        <v/>
      </c>
      <c r="C547" t="str">
        <f t="shared" si="16"/>
        <v/>
      </c>
      <c r="D547" t="str">
        <f>IF(A547="","",SUMIFS(Акты!$D$5:$D$16,Акты!$E$5:$E$16,"&lt;="&amp;A547)-SUMIFS(Оплаты!$B$6:$B$505,Оплаты!$A$6:$A$505,"&lt;"&amp;A547,Оплаты!$D$6:$D$505,"&lt;&gt;"))</f>
        <v/>
      </c>
      <c r="E547" t="str">
        <f>IF(A547="","",IF(SUMPRODUCT((Ввод!$F$12:$F$31&lt;&gt;"")*(Ввод!$F$12:$F$31&lt;=A547)*(Ввод!$G$12:$G$31&gt;=A547))&gt;0,1,0))</f>
        <v/>
      </c>
      <c r="G547" t="str">
        <f t="shared" si="17"/>
        <v/>
      </c>
    </row>
    <row r="548" spans="1:7" x14ac:dyDescent="0.3">
      <c r="A548" s="21" t="str">
        <f>IF(A547="","",IF(A547+1&gt;Ввод!$B$4,"",A547+1))</f>
        <v/>
      </c>
      <c r="B548" s="23" t="str">
        <f>IF(A548="","",IFERROR(INDEX(Ввод!$B$12:$B$71,MATCH(A548,Ввод!$D$12:$D$71,1)),""))</f>
        <v/>
      </c>
      <c r="C548" t="str">
        <f t="shared" si="16"/>
        <v/>
      </c>
      <c r="D548" t="str">
        <f>IF(A548="","",SUMIFS(Акты!$D$5:$D$16,Акты!$E$5:$E$16,"&lt;="&amp;A548)-SUMIFS(Оплаты!$B$6:$B$505,Оплаты!$A$6:$A$505,"&lt;"&amp;A548,Оплаты!$D$6:$D$505,"&lt;&gt;"))</f>
        <v/>
      </c>
      <c r="E548" t="str">
        <f>IF(A548="","",IF(SUMPRODUCT((Ввод!$F$12:$F$31&lt;&gt;"")*(Ввод!$F$12:$F$31&lt;=A548)*(Ввод!$G$12:$G$31&gt;=A548))&gt;0,1,0))</f>
        <v/>
      </c>
      <c r="G548" t="str">
        <f t="shared" si="17"/>
        <v/>
      </c>
    </row>
    <row r="549" spans="1:7" x14ac:dyDescent="0.3">
      <c r="A549" s="21" t="str">
        <f>IF(A548="","",IF(A548+1&gt;Ввод!$B$4,"",A548+1))</f>
        <v/>
      </c>
      <c r="B549" s="23" t="str">
        <f>IF(A549="","",IFERROR(INDEX(Ввод!$B$12:$B$71,MATCH(A549,Ввод!$D$12:$D$71,1)),""))</f>
        <v/>
      </c>
      <c r="C549" t="str">
        <f t="shared" si="16"/>
        <v/>
      </c>
      <c r="D549" t="str">
        <f>IF(A549="","",SUMIFS(Акты!$D$5:$D$16,Акты!$E$5:$E$16,"&lt;="&amp;A549)-SUMIFS(Оплаты!$B$6:$B$505,Оплаты!$A$6:$A$505,"&lt;"&amp;A549,Оплаты!$D$6:$D$505,"&lt;&gt;"))</f>
        <v/>
      </c>
      <c r="E549" t="str">
        <f>IF(A549="","",IF(SUMPRODUCT((Ввод!$F$12:$F$31&lt;&gt;"")*(Ввод!$F$12:$F$31&lt;=A549)*(Ввод!$G$12:$G$31&gt;=A549))&gt;0,1,0))</f>
        <v/>
      </c>
      <c r="G549" t="str">
        <f t="shared" si="17"/>
        <v/>
      </c>
    </row>
    <row r="550" spans="1:7" x14ac:dyDescent="0.3">
      <c r="A550" s="21" t="str">
        <f>IF(A549="","",IF(A549+1&gt;Ввод!$B$4,"",A549+1))</f>
        <v/>
      </c>
      <c r="B550" s="23" t="str">
        <f>IF(A550="","",IFERROR(INDEX(Ввод!$B$12:$B$71,MATCH(A550,Ввод!$D$12:$D$71,1)),""))</f>
        <v/>
      </c>
      <c r="C550" t="str">
        <f t="shared" si="16"/>
        <v/>
      </c>
      <c r="D550" t="str">
        <f>IF(A550="","",SUMIFS(Акты!$D$5:$D$16,Акты!$E$5:$E$16,"&lt;="&amp;A550)-SUMIFS(Оплаты!$B$6:$B$505,Оплаты!$A$6:$A$505,"&lt;"&amp;A550,Оплаты!$D$6:$D$505,"&lt;&gt;"))</f>
        <v/>
      </c>
      <c r="E550" t="str">
        <f>IF(A550="","",IF(SUMPRODUCT((Ввод!$F$12:$F$31&lt;&gt;"")*(Ввод!$F$12:$F$31&lt;=A550)*(Ввод!$G$12:$G$31&gt;=A550))&gt;0,1,0))</f>
        <v/>
      </c>
      <c r="G550" t="str">
        <f t="shared" si="17"/>
        <v/>
      </c>
    </row>
    <row r="551" spans="1:7" x14ac:dyDescent="0.3">
      <c r="A551" s="21" t="str">
        <f>IF(A550="","",IF(A550+1&gt;Ввод!$B$4,"",A550+1))</f>
        <v/>
      </c>
      <c r="B551" s="23" t="str">
        <f>IF(A551="","",IFERROR(INDEX(Ввод!$B$12:$B$71,MATCH(A551,Ввод!$D$12:$D$71,1)),""))</f>
        <v/>
      </c>
      <c r="C551" t="str">
        <f t="shared" si="16"/>
        <v/>
      </c>
      <c r="D551" t="str">
        <f>IF(A551="","",SUMIFS(Акты!$D$5:$D$16,Акты!$E$5:$E$16,"&lt;="&amp;A551)-SUMIFS(Оплаты!$B$6:$B$505,Оплаты!$A$6:$A$505,"&lt;"&amp;A551,Оплаты!$D$6:$D$505,"&lt;&gt;"))</f>
        <v/>
      </c>
      <c r="E551" t="str">
        <f>IF(A551="","",IF(SUMPRODUCT((Ввод!$F$12:$F$31&lt;&gt;"")*(Ввод!$F$12:$F$31&lt;=A551)*(Ввод!$G$12:$G$31&gt;=A551))&gt;0,1,0))</f>
        <v/>
      </c>
      <c r="G551" t="str">
        <f t="shared" si="17"/>
        <v/>
      </c>
    </row>
    <row r="552" spans="1:7" x14ac:dyDescent="0.3">
      <c r="A552" s="21" t="str">
        <f>IF(A551="","",IF(A551+1&gt;Ввод!$B$4,"",A551+1))</f>
        <v/>
      </c>
      <c r="B552" s="23" t="str">
        <f>IF(A552="","",IFERROR(INDEX(Ввод!$B$12:$B$71,MATCH(A552,Ввод!$D$12:$D$71,1)),""))</f>
        <v/>
      </c>
      <c r="C552" t="str">
        <f t="shared" si="16"/>
        <v/>
      </c>
      <c r="D552" t="str">
        <f>IF(A552="","",SUMIFS(Акты!$D$5:$D$16,Акты!$E$5:$E$16,"&lt;="&amp;A552)-SUMIFS(Оплаты!$B$6:$B$505,Оплаты!$A$6:$A$505,"&lt;"&amp;A552,Оплаты!$D$6:$D$505,"&lt;&gt;"))</f>
        <v/>
      </c>
      <c r="E552" t="str">
        <f>IF(A552="","",IF(SUMPRODUCT((Ввод!$F$12:$F$31&lt;&gt;"")*(Ввод!$F$12:$F$31&lt;=A552)*(Ввод!$G$12:$G$31&gt;=A552))&gt;0,1,0))</f>
        <v/>
      </c>
      <c r="G552" t="str">
        <f t="shared" si="17"/>
        <v/>
      </c>
    </row>
    <row r="553" spans="1:7" x14ac:dyDescent="0.3">
      <c r="A553" s="21" t="str">
        <f>IF(A552="","",IF(A552+1&gt;Ввод!$B$4,"",A552+1))</f>
        <v/>
      </c>
      <c r="B553" s="23" t="str">
        <f>IF(A553="","",IFERROR(INDEX(Ввод!$B$12:$B$71,MATCH(A553,Ввод!$D$12:$D$71,1)),""))</f>
        <v/>
      </c>
      <c r="C553" t="str">
        <f t="shared" si="16"/>
        <v/>
      </c>
      <c r="D553" t="str">
        <f>IF(A553="","",SUMIFS(Акты!$D$5:$D$16,Акты!$E$5:$E$16,"&lt;="&amp;A553)-SUMIFS(Оплаты!$B$6:$B$505,Оплаты!$A$6:$A$505,"&lt;"&amp;A553,Оплаты!$D$6:$D$505,"&lt;&gt;"))</f>
        <v/>
      </c>
      <c r="E553" t="str">
        <f>IF(A553="","",IF(SUMPRODUCT((Ввод!$F$12:$F$31&lt;&gt;"")*(Ввод!$F$12:$F$31&lt;=A553)*(Ввод!$G$12:$G$31&gt;=A553))&gt;0,1,0))</f>
        <v/>
      </c>
      <c r="G553" t="str">
        <f t="shared" si="17"/>
        <v/>
      </c>
    </row>
    <row r="554" spans="1:7" x14ac:dyDescent="0.3">
      <c r="A554" s="21" t="str">
        <f>IF(A553="","",IF(A553+1&gt;Ввод!$B$4,"",A553+1))</f>
        <v/>
      </c>
      <c r="B554" s="23" t="str">
        <f>IF(A554="","",IFERROR(INDEX(Ввод!$B$12:$B$71,MATCH(A554,Ввод!$D$12:$D$71,1)),""))</f>
        <v/>
      </c>
      <c r="C554" t="str">
        <f t="shared" si="16"/>
        <v/>
      </c>
      <c r="D554" t="str">
        <f>IF(A554="","",SUMIFS(Акты!$D$5:$D$16,Акты!$E$5:$E$16,"&lt;="&amp;A554)-SUMIFS(Оплаты!$B$6:$B$505,Оплаты!$A$6:$A$505,"&lt;"&amp;A554,Оплаты!$D$6:$D$505,"&lt;&gt;"))</f>
        <v/>
      </c>
      <c r="E554" t="str">
        <f>IF(A554="","",IF(SUMPRODUCT((Ввод!$F$12:$F$31&lt;&gt;"")*(Ввод!$F$12:$F$31&lt;=A554)*(Ввод!$G$12:$G$31&gt;=A554))&gt;0,1,0))</f>
        <v/>
      </c>
      <c r="G554" t="str">
        <f t="shared" si="17"/>
        <v/>
      </c>
    </row>
    <row r="555" spans="1:7" x14ac:dyDescent="0.3">
      <c r="A555" s="21" t="str">
        <f>IF(A554="","",IF(A554+1&gt;Ввод!$B$4,"",A554+1))</f>
        <v/>
      </c>
      <c r="B555" s="23" t="str">
        <f>IF(A555="","",IFERROR(INDEX(Ввод!$B$12:$B$71,MATCH(A555,Ввод!$D$12:$D$71,1)),""))</f>
        <v/>
      </c>
      <c r="C555" t="str">
        <f t="shared" si="16"/>
        <v/>
      </c>
      <c r="D555" t="str">
        <f>IF(A555="","",SUMIFS(Акты!$D$5:$D$16,Акты!$E$5:$E$16,"&lt;="&amp;A555)-SUMIFS(Оплаты!$B$6:$B$505,Оплаты!$A$6:$A$505,"&lt;"&amp;A555,Оплаты!$D$6:$D$505,"&lt;&gt;"))</f>
        <v/>
      </c>
      <c r="E555" t="str">
        <f>IF(A555="","",IF(SUMPRODUCT((Ввод!$F$12:$F$31&lt;&gt;"")*(Ввод!$F$12:$F$31&lt;=A555)*(Ввод!$G$12:$G$31&gt;=A555))&gt;0,1,0))</f>
        <v/>
      </c>
      <c r="G555" t="str">
        <f t="shared" si="17"/>
        <v/>
      </c>
    </row>
    <row r="556" spans="1:7" x14ac:dyDescent="0.3">
      <c r="A556" s="21" t="str">
        <f>IF(A555="","",IF(A555+1&gt;Ввод!$B$4,"",A555+1))</f>
        <v/>
      </c>
      <c r="B556" s="23" t="str">
        <f>IF(A556="","",IFERROR(INDEX(Ввод!$B$12:$B$71,MATCH(A556,Ввод!$D$12:$D$71,1)),""))</f>
        <v/>
      </c>
      <c r="C556" t="str">
        <f t="shared" si="16"/>
        <v/>
      </c>
      <c r="D556" t="str">
        <f>IF(A556="","",SUMIFS(Акты!$D$5:$D$16,Акты!$E$5:$E$16,"&lt;="&amp;A556)-SUMIFS(Оплаты!$B$6:$B$505,Оплаты!$A$6:$A$505,"&lt;"&amp;A556,Оплаты!$D$6:$D$505,"&lt;&gt;"))</f>
        <v/>
      </c>
      <c r="E556" t="str">
        <f>IF(A556="","",IF(SUMPRODUCT((Ввод!$F$12:$F$31&lt;&gt;"")*(Ввод!$F$12:$F$31&lt;=A556)*(Ввод!$G$12:$G$31&gt;=A556))&gt;0,1,0))</f>
        <v/>
      </c>
      <c r="G556" t="str">
        <f t="shared" si="17"/>
        <v/>
      </c>
    </row>
    <row r="557" spans="1:7" x14ac:dyDescent="0.3">
      <c r="A557" s="21" t="str">
        <f>IF(A556="","",IF(A556+1&gt;Ввод!$B$4,"",A556+1))</f>
        <v/>
      </c>
      <c r="B557" s="23" t="str">
        <f>IF(A557="","",IFERROR(INDEX(Ввод!$B$12:$B$71,MATCH(A557,Ввод!$D$12:$D$71,1)),""))</f>
        <v/>
      </c>
      <c r="C557" t="str">
        <f t="shared" si="16"/>
        <v/>
      </c>
      <c r="D557" t="str">
        <f>IF(A557="","",SUMIFS(Акты!$D$5:$D$16,Акты!$E$5:$E$16,"&lt;="&amp;A557)-SUMIFS(Оплаты!$B$6:$B$505,Оплаты!$A$6:$A$505,"&lt;"&amp;A557,Оплаты!$D$6:$D$505,"&lt;&gt;"))</f>
        <v/>
      </c>
      <c r="E557" t="str">
        <f>IF(A557="","",IF(SUMPRODUCT((Ввод!$F$12:$F$31&lt;&gt;"")*(Ввод!$F$12:$F$31&lt;=A557)*(Ввод!$G$12:$G$31&gt;=A557))&gt;0,1,0))</f>
        <v/>
      </c>
      <c r="G557" t="str">
        <f t="shared" si="17"/>
        <v/>
      </c>
    </row>
    <row r="558" spans="1:7" x14ac:dyDescent="0.3">
      <c r="A558" s="21" t="str">
        <f>IF(A557="","",IF(A557+1&gt;Ввод!$B$4,"",A557+1))</f>
        <v/>
      </c>
      <c r="B558" s="23" t="str">
        <f>IF(A558="","",IFERROR(INDEX(Ввод!$B$12:$B$71,MATCH(A558,Ввод!$D$12:$D$71,1)),""))</f>
        <v/>
      </c>
      <c r="C558" t="str">
        <f t="shared" si="16"/>
        <v/>
      </c>
      <c r="D558" t="str">
        <f>IF(A558="","",SUMIFS(Акты!$D$5:$D$16,Акты!$E$5:$E$16,"&lt;="&amp;A558)-SUMIFS(Оплаты!$B$6:$B$505,Оплаты!$A$6:$A$505,"&lt;"&amp;A558,Оплаты!$D$6:$D$505,"&lt;&gt;"))</f>
        <v/>
      </c>
      <c r="E558" t="str">
        <f>IF(A558="","",IF(SUMPRODUCT((Ввод!$F$12:$F$31&lt;&gt;"")*(Ввод!$F$12:$F$31&lt;=A558)*(Ввод!$G$12:$G$31&gt;=A558))&gt;0,1,0))</f>
        <v/>
      </c>
      <c r="G558" t="str">
        <f t="shared" si="17"/>
        <v/>
      </c>
    </row>
    <row r="559" spans="1:7" x14ac:dyDescent="0.3">
      <c r="A559" s="21" t="str">
        <f>IF(A558="","",IF(A558+1&gt;Ввод!$B$4,"",A558+1))</f>
        <v/>
      </c>
      <c r="B559" s="23" t="str">
        <f>IF(A559="","",IFERROR(INDEX(Ввод!$B$12:$B$71,MATCH(A559,Ввод!$D$12:$D$71,1)),""))</f>
        <v/>
      </c>
      <c r="C559" t="str">
        <f t="shared" si="16"/>
        <v/>
      </c>
      <c r="D559" t="str">
        <f>IF(A559="","",SUMIFS(Акты!$D$5:$D$16,Акты!$E$5:$E$16,"&lt;="&amp;A559)-SUMIFS(Оплаты!$B$6:$B$505,Оплаты!$A$6:$A$505,"&lt;"&amp;A559,Оплаты!$D$6:$D$505,"&lt;&gt;"))</f>
        <v/>
      </c>
      <c r="E559" t="str">
        <f>IF(A559="","",IF(SUMPRODUCT((Ввод!$F$12:$F$31&lt;&gt;"")*(Ввод!$F$12:$F$31&lt;=A559)*(Ввод!$G$12:$G$31&gt;=A559))&gt;0,1,0))</f>
        <v/>
      </c>
      <c r="G559" t="str">
        <f t="shared" si="17"/>
        <v/>
      </c>
    </row>
    <row r="560" spans="1:7" x14ac:dyDescent="0.3">
      <c r="A560" s="21" t="str">
        <f>IF(A559="","",IF(A559+1&gt;Ввод!$B$4,"",A559+1))</f>
        <v/>
      </c>
      <c r="B560" s="23" t="str">
        <f>IF(A560="","",IFERROR(INDEX(Ввод!$B$12:$B$71,MATCH(A560,Ввод!$D$12:$D$71,1)),""))</f>
        <v/>
      </c>
      <c r="C560" t="str">
        <f t="shared" si="16"/>
        <v/>
      </c>
      <c r="D560" t="str">
        <f>IF(A560="","",SUMIFS(Акты!$D$5:$D$16,Акты!$E$5:$E$16,"&lt;="&amp;A560)-SUMIFS(Оплаты!$B$6:$B$505,Оплаты!$A$6:$A$505,"&lt;"&amp;A560,Оплаты!$D$6:$D$505,"&lt;&gt;"))</f>
        <v/>
      </c>
      <c r="E560" t="str">
        <f>IF(A560="","",IF(SUMPRODUCT((Ввод!$F$12:$F$31&lt;&gt;"")*(Ввод!$F$12:$F$31&lt;=A560)*(Ввод!$G$12:$G$31&gt;=A560))&gt;0,1,0))</f>
        <v/>
      </c>
      <c r="G560" t="str">
        <f t="shared" si="17"/>
        <v/>
      </c>
    </row>
    <row r="561" spans="1:7" x14ac:dyDescent="0.3">
      <c r="A561" s="21" t="str">
        <f>IF(A560="","",IF(A560+1&gt;Ввод!$B$4,"",A560+1))</f>
        <v/>
      </c>
      <c r="B561" s="23" t="str">
        <f>IF(A561="","",IFERROR(INDEX(Ввод!$B$12:$B$71,MATCH(A561,Ввод!$D$12:$D$71,1)),""))</f>
        <v/>
      </c>
      <c r="C561" t="str">
        <f t="shared" si="16"/>
        <v/>
      </c>
      <c r="D561" t="str">
        <f>IF(A561="","",SUMIFS(Акты!$D$5:$D$16,Акты!$E$5:$E$16,"&lt;="&amp;A561)-SUMIFS(Оплаты!$B$6:$B$505,Оплаты!$A$6:$A$505,"&lt;"&amp;A561,Оплаты!$D$6:$D$505,"&lt;&gt;"))</f>
        <v/>
      </c>
      <c r="E561" t="str">
        <f>IF(A561="","",IF(SUMPRODUCT((Ввод!$F$12:$F$31&lt;&gt;"")*(Ввод!$F$12:$F$31&lt;=A561)*(Ввод!$G$12:$G$31&gt;=A561))&gt;0,1,0))</f>
        <v/>
      </c>
      <c r="G561" t="str">
        <f t="shared" si="17"/>
        <v/>
      </c>
    </row>
    <row r="562" spans="1:7" x14ac:dyDescent="0.3">
      <c r="A562" s="21" t="str">
        <f>IF(A561="","",IF(A561+1&gt;Ввод!$B$4,"",A561+1))</f>
        <v/>
      </c>
      <c r="B562" s="23" t="str">
        <f>IF(A562="","",IFERROR(INDEX(Ввод!$B$12:$B$71,MATCH(A562,Ввод!$D$12:$D$71,1)),""))</f>
        <v/>
      </c>
      <c r="C562" t="str">
        <f t="shared" si="16"/>
        <v/>
      </c>
      <c r="D562" t="str">
        <f>IF(A562="","",SUMIFS(Акты!$D$5:$D$16,Акты!$E$5:$E$16,"&lt;="&amp;A562)-SUMIFS(Оплаты!$B$6:$B$505,Оплаты!$A$6:$A$505,"&lt;"&amp;A562,Оплаты!$D$6:$D$505,"&lt;&gt;"))</f>
        <v/>
      </c>
      <c r="E562" t="str">
        <f>IF(A562="","",IF(SUMPRODUCT((Ввод!$F$12:$F$31&lt;&gt;"")*(Ввод!$F$12:$F$31&lt;=A562)*(Ввод!$G$12:$G$31&gt;=A562))&gt;0,1,0))</f>
        <v/>
      </c>
      <c r="G562" t="str">
        <f t="shared" si="17"/>
        <v/>
      </c>
    </row>
    <row r="563" spans="1:7" x14ac:dyDescent="0.3">
      <c r="A563" s="21" t="str">
        <f>IF(A562="","",IF(A562+1&gt;Ввод!$B$4,"",A562+1))</f>
        <v/>
      </c>
      <c r="B563" s="23" t="str">
        <f>IF(A563="","",IFERROR(INDEX(Ввод!$B$12:$B$71,MATCH(A563,Ввод!$D$12:$D$71,1)),""))</f>
        <v/>
      </c>
      <c r="C563" t="str">
        <f t="shared" si="16"/>
        <v/>
      </c>
      <c r="D563" t="str">
        <f>IF(A563="","",SUMIFS(Акты!$D$5:$D$16,Акты!$E$5:$E$16,"&lt;="&amp;A563)-SUMIFS(Оплаты!$B$6:$B$505,Оплаты!$A$6:$A$505,"&lt;"&amp;A563,Оплаты!$D$6:$D$505,"&lt;&gt;"))</f>
        <v/>
      </c>
      <c r="E563" t="str">
        <f>IF(A563="","",IF(SUMPRODUCT((Ввод!$F$12:$F$31&lt;&gt;"")*(Ввод!$F$12:$F$31&lt;=A563)*(Ввод!$G$12:$G$31&gt;=A563))&gt;0,1,0))</f>
        <v/>
      </c>
      <c r="G563" t="str">
        <f t="shared" si="17"/>
        <v/>
      </c>
    </row>
    <row r="564" spans="1:7" x14ac:dyDescent="0.3">
      <c r="A564" s="21" t="str">
        <f>IF(A563="","",IF(A563+1&gt;Ввод!$B$4,"",A563+1))</f>
        <v/>
      </c>
      <c r="B564" s="23" t="str">
        <f>IF(A564="","",IFERROR(INDEX(Ввод!$B$12:$B$71,MATCH(A564,Ввод!$D$12:$D$71,1)),""))</f>
        <v/>
      </c>
      <c r="C564" t="str">
        <f t="shared" si="16"/>
        <v/>
      </c>
      <c r="D564" t="str">
        <f>IF(A564="","",SUMIFS(Акты!$D$5:$D$16,Акты!$E$5:$E$16,"&lt;="&amp;A564)-SUMIFS(Оплаты!$B$6:$B$505,Оплаты!$A$6:$A$505,"&lt;"&amp;A564,Оплаты!$D$6:$D$505,"&lt;&gt;"))</f>
        <v/>
      </c>
      <c r="E564" t="str">
        <f>IF(A564="","",IF(SUMPRODUCT((Ввод!$F$12:$F$31&lt;&gt;"")*(Ввод!$F$12:$F$31&lt;=A564)*(Ввод!$G$12:$G$31&gt;=A564))&gt;0,1,0))</f>
        <v/>
      </c>
      <c r="G564" t="str">
        <f t="shared" si="17"/>
        <v/>
      </c>
    </row>
    <row r="565" spans="1:7" x14ac:dyDescent="0.3">
      <c r="A565" s="21" t="str">
        <f>IF(A564="","",IF(A564+1&gt;Ввод!$B$4,"",A564+1))</f>
        <v/>
      </c>
      <c r="B565" s="23" t="str">
        <f>IF(A565="","",IFERROR(INDEX(Ввод!$B$12:$B$71,MATCH(A565,Ввод!$D$12:$D$71,1)),""))</f>
        <v/>
      </c>
      <c r="C565" t="str">
        <f t="shared" si="16"/>
        <v/>
      </c>
      <c r="D565" t="str">
        <f>IF(A565="","",SUMIFS(Акты!$D$5:$D$16,Акты!$E$5:$E$16,"&lt;="&amp;A565)-SUMIFS(Оплаты!$B$6:$B$505,Оплаты!$A$6:$A$505,"&lt;"&amp;A565,Оплаты!$D$6:$D$505,"&lt;&gt;"))</f>
        <v/>
      </c>
      <c r="E565" t="str">
        <f>IF(A565="","",IF(SUMPRODUCT((Ввод!$F$12:$F$31&lt;&gt;"")*(Ввод!$F$12:$F$31&lt;=A565)*(Ввод!$G$12:$G$31&gt;=A565))&gt;0,1,0))</f>
        <v/>
      </c>
      <c r="G565" t="str">
        <f t="shared" si="17"/>
        <v/>
      </c>
    </row>
    <row r="566" spans="1:7" x14ac:dyDescent="0.3">
      <c r="A566" s="21" t="str">
        <f>IF(A565="","",IF(A565+1&gt;Ввод!$B$4,"",A565+1))</f>
        <v/>
      </c>
      <c r="B566" s="23" t="str">
        <f>IF(A566="","",IFERROR(INDEX(Ввод!$B$12:$B$71,MATCH(A566,Ввод!$D$12:$D$71,1)),""))</f>
        <v/>
      </c>
      <c r="C566" t="str">
        <f t="shared" si="16"/>
        <v/>
      </c>
      <c r="D566" t="str">
        <f>IF(A566="","",SUMIFS(Акты!$D$5:$D$16,Акты!$E$5:$E$16,"&lt;="&amp;A566)-SUMIFS(Оплаты!$B$6:$B$505,Оплаты!$A$6:$A$505,"&lt;"&amp;A566,Оплаты!$D$6:$D$505,"&lt;&gt;"))</f>
        <v/>
      </c>
      <c r="E566" t="str">
        <f>IF(A566="","",IF(SUMPRODUCT((Ввод!$F$12:$F$31&lt;&gt;"")*(Ввод!$F$12:$F$31&lt;=A566)*(Ввод!$G$12:$G$31&gt;=A566))&gt;0,1,0))</f>
        <v/>
      </c>
      <c r="G566" t="str">
        <f t="shared" si="17"/>
        <v/>
      </c>
    </row>
    <row r="567" spans="1:7" x14ac:dyDescent="0.3">
      <c r="A567" s="21" t="str">
        <f>IF(A566="","",IF(A566+1&gt;Ввод!$B$4,"",A566+1))</f>
        <v/>
      </c>
      <c r="B567" s="23" t="str">
        <f>IF(A567="","",IFERROR(INDEX(Ввод!$B$12:$B$71,MATCH(A567,Ввод!$D$12:$D$71,1)),""))</f>
        <v/>
      </c>
      <c r="C567" t="str">
        <f t="shared" si="16"/>
        <v/>
      </c>
      <c r="D567" t="str">
        <f>IF(A567="","",SUMIFS(Акты!$D$5:$D$16,Акты!$E$5:$E$16,"&lt;="&amp;A567)-SUMIFS(Оплаты!$B$6:$B$505,Оплаты!$A$6:$A$505,"&lt;"&amp;A567,Оплаты!$D$6:$D$505,"&lt;&gt;"))</f>
        <v/>
      </c>
      <c r="E567" t="str">
        <f>IF(A567="","",IF(SUMPRODUCT((Ввод!$F$12:$F$31&lt;&gt;"")*(Ввод!$F$12:$F$31&lt;=A567)*(Ввод!$G$12:$G$31&gt;=A567))&gt;0,1,0))</f>
        <v/>
      </c>
      <c r="G567" t="str">
        <f t="shared" si="17"/>
        <v/>
      </c>
    </row>
    <row r="568" spans="1:7" x14ac:dyDescent="0.3">
      <c r="A568" s="21" t="str">
        <f>IF(A567="","",IF(A567+1&gt;Ввод!$B$4,"",A567+1))</f>
        <v/>
      </c>
      <c r="B568" s="23" t="str">
        <f>IF(A568="","",IFERROR(INDEX(Ввод!$B$12:$B$71,MATCH(A568,Ввод!$D$12:$D$71,1)),""))</f>
        <v/>
      </c>
      <c r="C568" t="str">
        <f t="shared" si="16"/>
        <v/>
      </c>
      <c r="D568" t="str">
        <f>IF(A568="","",SUMIFS(Акты!$D$5:$D$16,Акты!$E$5:$E$16,"&lt;="&amp;A568)-SUMIFS(Оплаты!$B$6:$B$505,Оплаты!$A$6:$A$505,"&lt;"&amp;A568,Оплаты!$D$6:$D$505,"&lt;&gt;"))</f>
        <v/>
      </c>
      <c r="E568" t="str">
        <f>IF(A568="","",IF(SUMPRODUCT((Ввод!$F$12:$F$31&lt;&gt;"")*(Ввод!$F$12:$F$31&lt;=A568)*(Ввод!$G$12:$G$31&gt;=A568))&gt;0,1,0))</f>
        <v/>
      </c>
      <c r="G568" t="str">
        <f t="shared" si="17"/>
        <v/>
      </c>
    </row>
    <row r="569" spans="1:7" x14ac:dyDescent="0.3">
      <c r="A569" s="21" t="str">
        <f>IF(A568="","",IF(A568+1&gt;Ввод!$B$4,"",A568+1))</f>
        <v/>
      </c>
      <c r="B569" s="23" t="str">
        <f>IF(A569="","",IFERROR(INDEX(Ввод!$B$12:$B$71,MATCH(A569,Ввод!$D$12:$D$71,1)),""))</f>
        <v/>
      </c>
      <c r="C569" t="str">
        <f t="shared" si="16"/>
        <v/>
      </c>
      <c r="D569" t="str">
        <f>IF(A569="","",SUMIFS(Акты!$D$5:$D$16,Акты!$E$5:$E$16,"&lt;="&amp;A569)-SUMIFS(Оплаты!$B$6:$B$505,Оплаты!$A$6:$A$505,"&lt;"&amp;A569,Оплаты!$D$6:$D$505,"&lt;&gt;"))</f>
        <v/>
      </c>
      <c r="E569" t="str">
        <f>IF(A569="","",IF(SUMPRODUCT((Ввод!$F$12:$F$31&lt;&gt;"")*(Ввод!$F$12:$F$31&lt;=A569)*(Ввод!$G$12:$G$31&gt;=A569))&gt;0,1,0))</f>
        <v/>
      </c>
      <c r="G569" t="str">
        <f t="shared" si="17"/>
        <v/>
      </c>
    </row>
    <row r="570" spans="1:7" x14ac:dyDescent="0.3">
      <c r="A570" s="21" t="str">
        <f>IF(A569="","",IF(A569+1&gt;Ввод!$B$4,"",A569+1))</f>
        <v/>
      </c>
      <c r="B570" s="23" t="str">
        <f>IF(A570="","",IFERROR(INDEX(Ввод!$B$12:$B$71,MATCH(A570,Ввод!$D$12:$D$71,1)),""))</f>
        <v/>
      </c>
      <c r="C570" t="str">
        <f t="shared" si="16"/>
        <v/>
      </c>
      <c r="D570" t="str">
        <f>IF(A570="","",SUMIFS(Акты!$D$5:$D$16,Акты!$E$5:$E$16,"&lt;="&amp;A570)-SUMIFS(Оплаты!$B$6:$B$505,Оплаты!$A$6:$A$505,"&lt;"&amp;A570,Оплаты!$D$6:$D$505,"&lt;&gt;"))</f>
        <v/>
      </c>
      <c r="E570" t="str">
        <f>IF(A570="","",IF(SUMPRODUCT((Ввод!$F$12:$F$31&lt;&gt;"")*(Ввод!$F$12:$F$31&lt;=A570)*(Ввод!$G$12:$G$31&gt;=A570))&gt;0,1,0))</f>
        <v/>
      </c>
      <c r="G570" t="str">
        <f t="shared" si="17"/>
        <v/>
      </c>
    </row>
    <row r="571" spans="1:7" x14ac:dyDescent="0.3">
      <c r="A571" s="21" t="str">
        <f>IF(A570="","",IF(A570+1&gt;Ввод!$B$4,"",A570+1))</f>
        <v/>
      </c>
      <c r="B571" s="23" t="str">
        <f>IF(A571="","",IFERROR(INDEX(Ввод!$B$12:$B$71,MATCH(A571,Ввод!$D$12:$D$71,1)),""))</f>
        <v/>
      </c>
      <c r="C571" t="str">
        <f t="shared" si="16"/>
        <v/>
      </c>
      <c r="D571" t="str">
        <f>IF(A571="","",SUMIFS(Акты!$D$5:$D$16,Акты!$E$5:$E$16,"&lt;="&amp;A571)-SUMIFS(Оплаты!$B$6:$B$505,Оплаты!$A$6:$A$505,"&lt;"&amp;A571,Оплаты!$D$6:$D$505,"&lt;&gt;"))</f>
        <v/>
      </c>
      <c r="E571" t="str">
        <f>IF(A571="","",IF(SUMPRODUCT((Ввод!$F$12:$F$31&lt;&gt;"")*(Ввод!$F$12:$F$31&lt;=A571)*(Ввод!$G$12:$G$31&gt;=A571))&gt;0,1,0))</f>
        <v/>
      </c>
      <c r="G571" t="str">
        <f t="shared" si="17"/>
        <v/>
      </c>
    </row>
    <row r="572" spans="1:7" x14ac:dyDescent="0.3">
      <c r="A572" s="21" t="str">
        <f>IF(A571="","",IF(A571+1&gt;Ввод!$B$4,"",A571+1))</f>
        <v/>
      </c>
      <c r="B572" s="23" t="str">
        <f>IF(A572="","",IFERROR(INDEX(Ввод!$B$12:$B$71,MATCH(A572,Ввод!$D$12:$D$71,1)),""))</f>
        <v/>
      </c>
      <c r="C572" t="str">
        <f t="shared" si="16"/>
        <v/>
      </c>
      <c r="D572" t="str">
        <f>IF(A572="","",SUMIFS(Акты!$D$5:$D$16,Акты!$E$5:$E$16,"&lt;="&amp;A572)-SUMIFS(Оплаты!$B$6:$B$505,Оплаты!$A$6:$A$505,"&lt;"&amp;A572,Оплаты!$D$6:$D$505,"&lt;&gt;"))</f>
        <v/>
      </c>
      <c r="E572" t="str">
        <f>IF(A572="","",IF(SUMPRODUCT((Ввод!$F$12:$F$31&lt;&gt;"")*(Ввод!$F$12:$F$31&lt;=A572)*(Ввод!$G$12:$G$31&gt;=A572))&gt;0,1,0))</f>
        <v/>
      </c>
      <c r="G572" t="str">
        <f t="shared" si="17"/>
        <v/>
      </c>
    </row>
    <row r="573" spans="1:7" x14ac:dyDescent="0.3">
      <c r="A573" s="21" t="str">
        <f>IF(A572="","",IF(A572+1&gt;Ввод!$B$4,"",A572+1))</f>
        <v/>
      </c>
      <c r="B573" s="23" t="str">
        <f>IF(A573="","",IFERROR(INDEX(Ввод!$B$12:$B$71,MATCH(A573,Ввод!$D$12:$D$71,1)),""))</f>
        <v/>
      </c>
      <c r="C573" t="str">
        <f t="shared" si="16"/>
        <v/>
      </c>
      <c r="D573" t="str">
        <f>IF(A573="","",SUMIFS(Акты!$D$5:$D$16,Акты!$E$5:$E$16,"&lt;="&amp;A573)-SUMIFS(Оплаты!$B$6:$B$505,Оплаты!$A$6:$A$505,"&lt;"&amp;A573,Оплаты!$D$6:$D$505,"&lt;&gt;"))</f>
        <v/>
      </c>
      <c r="E573" t="str">
        <f>IF(A573="","",IF(SUMPRODUCT((Ввод!$F$12:$F$31&lt;&gt;"")*(Ввод!$F$12:$F$31&lt;=A573)*(Ввод!$G$12:$G$31&gt;=A573))&gt;0,1,0))</f>
        <v/>
      </c>
      <c r="G573" t="str">
        <f t="shared" si="17"/>
        <v/>
      </c>
    </row>
    <row r="574" spans="1:7" x14ac:dyDescent="0.3">
      <c r="A574" s="21" t="str">
        <f>IF(A573="","",IF(A573+1&gt;Ввод!$B$4,"",A573+1))</f>
        <v/>
      </c>
      <c r="B574" s="23" t="str">
        <f>IF(A574="","",IFERROR(INDEX(Ввод!$B$12:$B$71,MATCH(A574,Ввод!$D$12:$D$71,1)),""))</f>
        <v/>
      </c>
      <c r="C574" t="str">
        <f t="shared" si="16"/>
        <v/>
      </c>
      <c r="D574" t="str">
        <f>IF(A574="","",SUMIFS(Акты!$D$5:$D$16,Акты!$E$5:$E$16,"&lt;="&amp;A574)-SUMIFS(Оплаты!$B$6:$B$505,Оплаты!$A$6:$A$505,"&lt;"&amp;A574,Оплаты!$D$6:$D$505,"&lt;&gt;"))</f>
        <v/>
      </c>
      <c r="E574" t="str">
        <f>IF(A574="","",IF(SUMPRODUCT((Ввод!$F$12:$F$31&lt;&gt;"")*(Ввод!$F$12:$F$31&lt;=A574)*(Ввод!$G$12:$G$31&gt;=A574))&gt;0,1,0))</f>
        <v/>
      </c>
      <c r="G574" t="str">
        <f t="shared" si="17"/>
        <v/>
      </c>
    </row>
    <row r="575" spans="1:7" x14ac:dyDescent="0.3">
      <c r="A575" s="21" t="str">
        <f>IF(A574="","",IF(A574+1&gt;Ввод!$B$4,"",A574+1))</f>
        <v/>
      </c>
      <c r="B575" s="23" t="str">
        <f>IF(A575="","",IFERROR(INDEX(Ввод!$B$12:$B$71,MATCH(A575,Ввод!$D$12:$D$71,1)),""))</f>
        <v/>
      </c>
      <c r="C575" t="str">
        <f t="shared" si="16"/>
        <v/>
      </c>
      <c r="D575" t="str">
        <f>IF(A575="","",SUMIFS(Акты!$D$5:$D$16,Акты!$E$5:$E$16,"&lt;="&amp;A575)-SUMIFS(Оплаты!$B$6:$B$505,Оплаты!$A$6:$A$505,"&lt;"&amp;A575,Оплаты!$D$6:$D$505,"&lt;&gt;"))</f>
        <v/>
      </c>
      <c r="E575" t="str">
        <f>IF(A575="","",IF(SUMPRODUCT((Ввод!$F$12:$F$31&lt;&gt;"")*(Ввод!$F$12:$F$31&lt;=A575)*(Ввод!$G$12:$G$31&gt;=A575))&gt;0,1,0))</f>
        <v/>
      </c>
      <c r="G575" t="str">
        <f t="shared" si="17"/>
        <v/>
      </c>
    </row>
    <row r="576" spans="1:7" x14ac:dyDescent="0.3">
      <c r="A576" s="21" t="str">
        <f>IF(A575="","",IF(A575+1&gt;Ввод!$B$4,"",A575+1))</f>
        <v/>
      </c>
      <c r="B576" s="23" t="str">
        <f>IF(A576="","",IFERROR(INDEX(Ввод!$B$12:$B$71,MATCH(A576,Ввод!$D$12:$D$71,1)),""))</f>
        <v/>
      </c>
      <c r="C576" t="str">
        <f t="shared" si="16"/>
        <v/>
      </c>
      <c r="D576" t="str">
        <f>IF(A576="","",SUMIFS(Акты!$D$5:$D$16,Акты!$E$5:$E$16,"&lt;="&amp;A576)-SUMIFS(Оплаты!$B$6:$B$505,Оплаты!$A$6:$A$505,"&lt;"&amp;A576,Оплаты!$D$6:$D$505,"&lt;&gt;"))</f>
        <v/>
      </c>
      <c r="E576" t="str">
        <f>IF(A576="","",IF(SUMPRODUCT((Ввод!$F$12:$F$31&lt;&gt;"")*(Ввод!$F$12:$F$31&lt;=A576)*(Ввод!$G$12:$G$31&gt;=A576))&gt;0,1,0))</f>
        <v/>
      </c>
      <c r="G576" t="str">
        <f t="shared" si="17"/>
        <v/>
      </c>
    </row>
    <row r="577" spans="1:7" x14ac:dyDescent="0.3">
      <c r="A577" s="21" t="str">
        <f>IF(A576="","",IF(A576+1&gt;Ввод!$B$4,"",A576+1))</f>
        <v/>
      </c>
      <c r="B577" s="23" t="str">
        <f>IF(A577="","",IFERROR(INDEX(Ввод!$B$12:$B$71,MATCH(A577,Ввод!$D$12:$D$71,1)),""))</f>
        <v/>
      </c>
      <c r="C577" t="str">
        <f t="shared" si="16"/>
        <v/>
      </c>
      <c r="D577" t="str">
        <f>IF(A577="","",SUMIFS(Акты!$D$5:$D$16,Акты!$E$5:$E$16,"&lt;="&amp;A577)-SUMIFS(Оплаты!$B$6:$B$505,Оплаты!$A$6:$A$505,"&lt;"&amp;A577,Оплаты!$D$6:$D$505,"&lt;&gt;"))</f>
        <v/>
      </c>
      <c r="E577" t="str">
        <f>IF(A577="","",IF(SUMPRODUCT((Ввод!$F$12:$F$31&lt;&gt;"")*(Ввод!$F$12:$F$31&lt;=A577)*(Ввод!$G$12:$G$31&gt;=A577))&gt;0,1,0))</f>
        <v/>
      </c>
      <c r="G577" t="str">
        <f t="shared" si="17"/>
        <v/>
      </c>
    </row>
    <row r="578" spans="1:7" x14ac:dyDescent="0.3">
      <c r="A578" s="21" t="str">
        <f>IF(A577="","",IF(A577+1&gt;Ввод!$B$4,"",A577+1))</f>
        <v/>
      </c>
      <c r="B578" s="23" t="str">
        <f>IF(A578="","",IFERROR(INDEX(Ввод!$B$12:$B$71,MATCH(A578,Ввод!$D$12:$D$71,1)),""))</f>
        <v/>
      </c>
      <c r="C578" t="str">
        <f t="shared" ref="C578:C641" si="18">IF(A578="","",DATE(YEAR(A578),12,31)-DATE(YEAR(A578),1,1)+1)</f>
        <v/>
      </c>
      <c r="D578" t="str">
        <f>IF(A578="","",SUMIFS(Акты!$D$5:$D$16,Акты!$E$5:$E$16,"&lt;="&amp;A578)-SUMIFS(Оплаты!$B$6:$B$505,Оплаты!$A$6:$A$505,"&lt;"&amp;A578,Оплаты!$D$6:$D$505,"&lt;&gt;"))</f>
        <v/>
      </c>
      <c r="E578" t="str">
        <f>IF(A578="","",IF(SUMPRODUCT((Ввод!$F$12:$F$31&lt;&gt;"")*(Ввод!$F$12:$F$31&lt;=A578)*(Ввод!$G$12:$G$31&gt;=A578))&gt;0,1,0))</f>
        <v/>
      </c>
      <c r="G578" t="str">
        <f t="shared" si="17"/>
        <v/>
      </c>
    </row>
    <row r="579" spans="1:7" x14ac:dyDescent="0.3">
      <c r="A579" s="21" t="str">
        <f>IF(A578="","",IF(A578+1&gt;Ввод!$B$4,"",A578+1))</f>
        <v/>
      </c>
      <c r="B579" s="23" t="str">
        <f>IF(A579="","",IFERROR(INDEX(Ввод!$B$12:$B$71,MATCH(A579,Ввод!$D$12:$D$71,1)),""))</f>
        <v/>
      </c>
      <c r="C579" t="str">
        <f t="shared" si="18"/>
        <v/>
      </c>
      <c r="D579" t="str">
        <f>IF(A579="","",SUMIFS(Акты!$D$5:$D$16,Акты!$E$5:$E$16,"&lt;="&amp;A579)-SUMIFS(Оплаты!$B$6:$B$505,Оплаты!$A$6:$A$505,"&lt;"&amp;A579,Оплаты!$D$6:$D$505,"&lt;&gt;"))</f>
        <v/>
      </c>
      <c r="E579" t="str">
        <f>IF(A579="","",IF(SUMPRODUCT((Ввод!$F$12:$F$31&lt;&gt;"")*(Ввод!$F$12:$F$31&lt;=A579)*(Ввод!$G$12:$G$31&gt;=A579))&gt;0,1,0))</f>
        <v/>
      </c>
      <c r="G579" t="str">
        <f t="shared" ref="G579:G642" si="19">IF(A579="","",IF(OR(B579&lt;&gt;B578,C579&lt;&gt;C578,E579&lt;&gt;E578),G578+1,G578))</f>
        <v/>
      </c>
    </row>
    <row r="580" spans="1:7" x14ac:dyDescent="0.3">
      <c r="A580" s="21" t="str">
        <f>IF(A579="","",IF(A579+1&gt;Ввод!$B$4,"",A579+1))</f>
        <v/>
      </c>
      <c r="B580" s="23" t="str">
        <f>IF(A580="","",IFERROR(INDEX(Ввод!$B$12:$B$71,MATCH(A580,Ввод!$D$12:$D$71,1)),""))</f>
        <v/>
      </c>
      <c r="C580" t="str">
        <f t="shared" si="18"/>
        <v/>
      </c>
      <c r="D580" t="str">
        <f>IF(A580="","",SUMIFS(Акты!$D$5:$D$16,Акты!$E$5:$E$16,"&lt;="&amp;A580)-SUMIFS(Оплаты!$B$6:$B$505,Оплаты!$A$6:$A$505,"&lt;"&amp;A580,Оплаты!$D$6:$D$505,"&lt;&gt;"))</f>
        <v/>
      </c>
      <c r="E580" t="str">
        <f>IF(A580="","",IF(SUMPRODUCT((Ввод!$F$12:$F$31&lt;&gt;"")*(Ввод!$F$12:$F$31&lt;=A580)*(Ввод!$G$12:$G$31&gt;=A580))&gt;0,1,0))</f>
        <v/>
      </c>
      <c r="G580" t="str">
        <f t="shared" si="19"/>
        <v/>
      </c>
    </row>
    <row r="581" spans="1:7" x14ac:dyDescent="0.3">
      <c r="A581" s="21" t="str">
        <f>IF(A580="","",IF(A580+1&gt;Ввод!$B$4,"",A580+1))</f>
        <v/>
      </c>
      <c r="B581" s="23" t="str">
        <f>IF(A581="","",IFERROR(INDEX(Ввод!$B$12:$B$71,MATCH(A581,Ввод!$D$12:$D$71,1)),""))</f>
        <v/>
      </c>
      <c r="C581" t="str">
        <f t="shared" si="18"/>
        <v/>
      </c>
      <c r="D581" t="str">
        <f>IF(A581="","",SUMIFS(Акты!$D$5:$D$16,Акты!$E$5:$E$16,"&lt;="&amp;A581)-SUMIFS(Оплаты!$B$6:$B$505,Оплаты!$A$6:$A$505,"&lt;"&amp;A581,Оплаты!$D$6:$D$505,"&lt;&gt;"))</f>
        <v/>
      </c>
      <c r="E581" t="str">
        <f>IF(A581="","",IF(SUMPRODUCT((Ввод!$F$12:$F$31&lt;&gt;"")*(Ввод!$F$12:$F$31&lt;=A581)*(Ввод!$G$12:$G$31&gt;=A581))&gt;0,1,0))</f>
        <v/>
      </c>
      <c r="G581" t="str">
        <f t="shared" si="19"/>
        <v/>
      </c>
    </row>
    <row r="582" spans="1:7" x14ac:dyDescent="0.3">
      <c r="A582" s="21" t="str">
        <f>IF(A581="","",IF(A581+1&gt;Ввод!$B$4,"",A581+1))</f>
        <v/>
      </c>
      <c r="B582" s="23" t="str">
        <f>IF(A582="","",IFERROR(INDEX(Ввод!$B$12:$B$71,MATCH(A582,Ввод!$D$12:$D$71,1)),""))</f>
        <v/>
      </c>
      <c r="C582" t="str">
        <f t="shared" si="18"/>
        <v/>
      </c>
      <c r="D582" t="str">
        <f>IF(A582="","",SUMIFS(Акты!$D$5:$D$16,Акты!$E$5:$E$16,"&lt;="&amp;A582)-SUMIFS(Оплаты!$B$6:$B$505,Оплаты!$A$6:$A$505,"&lt;"&amp;A582,Оплаты!$D$6:$D$505,"&lt;&gt;"))</f>
        <v/>
      </c>
      <c r="E582" t="str">
        <f>IF(A582="","",IF(SUMPRODUCT((Ввод!$F$12:$F$31&lt;&gt;"")*(Ввод!$F$12:$F$31&lt;=A582)*(Ввод!$G$12:$G$31&gt;=A582))&gt;0,1,0))</f>
        <v/>
      </c>
      <c r="G582" t="str">
        <f t="shared" si="19"/>
        <v/>
      </c>
    </row>
    <row r="583" spans="1:7" x14ac:dyDescent="0.3">
      <c r="A583" s="21" t="str">
        <f>IF(A582="","",IF(A582+1&gt;Ввод!$B$4,"",A582+1))</f>
        <v/>
      </c>
      <c r="B583" s="23" t="str">
        <f>IF(A583="","",IFERROR(INDEX(Ввод!$B$12:$B$71,MATCH(A583,Ввод!$D$12:$D$71,1)),""))</f>
        <v/>
      </c>
      <c r="C583" t="str">
        <f t="shared" si="18"/>
        <v/>
      </c>
      <c r="D583" t="str">
        <f>IF(A583="","",SUMIFS(Акты!$D$5:$D$16,Акты!$E$5:$E$16,"&lt;="&amp;A583)-SUMIFS(Оплаты!$B$6:$B$505,Оплаты!$A$6:$A$505,"&lt;"&amp;A583,Оплаты!$D$6:$D$505,"&lt;&gt;"))</f>
        <v/>
      </c>
      <c r="E583" t="str">
        <f>IF(A583="","",IF(SUMPRODUCT((Ввод!$F$12:$F$31&lt;&gt;"")*(Ввод!$F$12:$F$31&lt;=A583)*(Ввод!$G$12:$G$31&gt;=A583))&gt;0,1,0))</f>
        <v/>
      </c>
      <c r="G583" t="str">
        <f t="shared" si="19"/>
        <v/>
      </c>
    </row>
    <row r="584" spans="1:7" x14ac:dyDescent="0.3">
      <c r="A584" s="21" t="str">
        <f>IF(A583="","",IF(A583+1&gt;Ввод!$B$4,"",A583+1))</f>
        <v/>
      </c>
      <c r="B584" s="23" t="str">
        <f>IF(A584="","",IFERROR(INDEX(Ввод!$B$12:$B$71,MATCH(A584,Ввод!$D$12:$D$71,1)),""))</f>
        <v/>
      </c>
      <c r="C584" t="str">
        <f t="shared" si="18"/>
        <v/>
      </c>
      <c r="D584" t="str">
        <f>IF(A584="","",SUMIFS(Акты!$D$5:$D$16,Акты!$E$5:$E$16,"&lt;="&amp;A584)-SUMIFS(Оплаты!$B$6:$B$505,Оплаты!$A$6:$A$505,"&lt;"&amp;A584,Оплаты!$D$6:$D$505,"&lt;&gt;"))</f>
        <v/>
      </c>
      <c r="E584" t="str">
        <f>IF(A584="","",IF(SUMPRODUCT((Ввод!$F$12:$F$31&lt;&gt;"")*(Ввод!$F$12:$F$31&lt;=A584)*(Ввод!$G$12:$G$31&gt;=A584))&gt;0,1,0))</f>
        <v/>
      </c>
      <c r="G584" t="str">
        <f t="shared" si="19"/>
        <v/>
      </c>
    </row>
    <row r="585" spans="1:7" x14ac:dyDescent="0.3">
      <c r="A585" s="21" t="str">
        <f>IF(A584="","",IF(A584+1&gt;Ввод!$B$4,"",A584+1))</f>
        <v/>
      </c>
      <c r="B585" s="23" t="str">
        <f>IF(A585="","",IFERROR(INDEX(Ввод!$B$12:$B$71,MATCH(A585,Ввод!$D$12:$D$71,1)),""))</f>
        <v/>
      </c>
      <c r="C585" t="str">
        <f t="shared" si="18"/>
        <v/>
      </c>
      <c r="D585" t="str">
        <f>IF(A585="","",SUMIFS(Акты!$D$5:$D$16,Акты!$E$5:$E$16,"&lt;="&amp;A585)-SUMIFS(Оплаты!$B$6:$B$505,Оплаты!$A$6:$A$505,"&lt;"&amp;A585,Оплаты!$D$6:$D$505,"&lt;&gt;"))</f>
        <v/>
      </c>
      <c r="E585" t="str">
        <f>IF(A585="","",IF(SUMPRODUCT((Ввод!$F$12:$F$31&lt;&gt;"")*(Ввод!$F$12:$F$31&lt;=A585)*(Ввод!$G$12:$G$31&gt;=A585))&gt;0,1,0))</f>
        <v/>
      </c>
      <c r="G585" t="str">
        <f t="shared" si="19"/>
        <v/>
      </c>
    </row>
    <row r="586" spans="1:7" x14ac:dyDescent="0.3">
      <c r="A586" s="21" t="str">
        <f>IF(A585="","",IF(A585+1&gt;Ввод!$B$4,"",A585+1))</f>
        <v/>
      </c>
      <c r="B586" s="23" t="str">
        <f>IF(A586="","",IFERROR(INDEX(Ввод!$B$12:$B$71,MATCH(A586,Ввод!$D$12:$D$71,1)),""))</f>
        <v/>
      </c>
      <c r="C586" t="str">
        <f t="shared" si="18"/>
        <v/>
      </c>
      <c r="D586" t="str">
        <f>IF(A586="","",SUMIFS(Акты!$D$5:$D$16,Акты!$E$5:$E$16,"&lt;="&amp;A586)-SUMIFS(Оплаты!$B$6:$B$505,Оплаты!$A$6:$A$505,"&lt;"&amp;A586,Оплаты!$D$6:$D$505,"&lt;&gt;"))</f>
        <v/>
      </c>
      <c r="E586" t="str">
        <f>IF(A586="","",IF(SUMPRODUCT((Ввод!$F$12:$F$31&lt;&gt;"")*(Ввод!$F$12:$F$31&lt;=A586)*(Ввод!$G$12:$G$31&gt;=A586))&gt;0,1,0))</f>
        <v/>
      </c>
      <c r="G586" t="str">
        <f t="shared" si="19"/>
        <v/>
      </c>
    </row>
    <row r="587" spans="1:7" x14ac:dyDescent="0.3">
      <c r="A587" s="21" t="str">
        <f>IF(A586="","",IF(A586+1&gt;Ввод!$B$4,"",A586+1))</f>
        <v/>
      </c>
      <c r="B587" s="23" t="str">
        <f>IF(A587="","",IFERROR(INDEX(Ввод!$B$12:$B$71,MATCH(A587,Ввод!$D$12:$D$71,1)),""))</f>
        <v/>
      </c>
      <c r="C587" t="str">
        <f t="shared" si="18"/>
        <v/>
      </c>
      <c r="D587" t="str">
        <f>IF(A587="","",SUMIFS(Акты!$D$5:$D$16,Акты!$E$5:$E$16,"&lt;="&amp;A587)-SUMIFS(Оплаты!$B$6:$B$505,Оплаты!$A$6:$A$505,"&lt;"&amp;A587,Оплаты!$D$6:$D$505,"&lt;&gt;"))</f>
        <v/>
      </c>
      <c r="E587" t="str">
        <f>IF(A587="","",IF(SUMPRODUCT((Ввод!$F$12:$F$31&lt;&gt;"")*(Ввод!$F$12:$F$31&lt;=A587)*(Ввод!$G$12:$G$31&gt;=A587))&gt;0,1,0))</f>
        <v/>
      </c>
      <c r="G587" t="str">
        <f t="shared" si="19"/>
        <v/>
      </c>
    </row>
    <row r="588" spans="1:7" x14ac:dyDescent="0.3">
      <c r="A588" s="21" t="str">
        <f>IF(A587="","",IF(A587+1&gt;Ввод!$B$4,"",A587+1))</f>
        <v/>
      </c>
      <c r="B588" s="23" t="str">
        <f>IF(A588="","",IFERROR(INDEX(Ввод!$B$12:$B$71,MATCH(A588,Ввод!$D$12:$D$71,1)),""))</f>
        <v/>
      </c>
      <c r="C588" t="str">
        <f t="shared" si="18"/>
        <v/>
      </c>
      <c r="D588" t="str">
        <f>IF(A588="","",SUMIFS(Акты!$D$5:$D$16,Акты!$E$5:$E$16,"&lt;="&amp;A588)-SUMIFS(Оплаты!$B$6:$B$505,Оплаты!$A$6:$A$505,"&lt;"&amp;A588,Оплаты!$D$6:$D$505,"&lt;&gt;"))</f>
        <v/>
      </c>
      <c r="E588" t="str">
        <f>IF(A588="","",IF(SUMPRODUCT((Ввод!$F$12:$F$31&lt;&gt;"")*(Ввод!$F$12:$F$31&lt;=A588)*(Ввод!$G$12:$G$31&gt;=A588))&gt;0,1,0))</f>
        <v/>
      </c>
      <c r="G588" t="str">
        <f t="shared" si="19"/>
        <v/>
      </c>
    </row>
    <row r="589" spans="1:7" x14ac:dyDescent="0.3">
      <c r="A589" s="21" t="str">
        <f>IF(A588="","",IF(A588+1&gt;Ввод!$B$4,"",A588+1))</f>
        <v/>
      </c>
      <c r="B589" s="23" t="str">
        <f>IF(A589="","",IFERROR(INDEX(Ввод!$B$12:$B$71,MATCH(A589,Ввод!$D$12:$D$71,1)),""))</f>
        <v/>
      </c>
      <c r="C589" t="str">
        <f t="shared" si="18"/>
        <v/>
      </c>
      <c r="D589" t="str">
        <f>IF(A589="","",SUMIFS(Акты!$D$5:$D$16,Акты!$E$5:$E$16,"&lt;="&amp;A589)-SUMIFS(Оплаты!$B$6:$B$505,Оплаты!$A$6:$A$505,"&lt;"&amp;A589,Оплаты!$D$6:$D$505,"&lt;&gt;"))</f>
        <v/>
      </c>
      <c r="E589" t="str">
        <f>IF(A589="","",IF(SUMPRODUCT((Ввод!$F$12:$F$31&lt;&gt;"")*(Ввод!$F$12:$F$31&lt;=A589)*(Ввод!$G$12:$G$31&gt;=A589))&gt;0,1,0))</f>
        <v/>
      </c>
      <c r="G589" t="str">
        <f t="shared" si="19"/>
        <v/>
      </c>
    </row>
    <row r="590" spans="1:7" x14ac:dyDescent="0.3">
      <c r="A590" s="21" t="str">
        <f>IF(A589="","",IF(A589+1&gt;Ввод!$B$4,"",A589+1))</f>
        <v/>
      </c>
      <c r="B590" s="23" t="str">
        <f>IF(A590="","",IFERROR(INDEX(Ввод!$B$12:$B$71,MATCH(A590,Ввод!$D$12:$D$71,1)),""))</f>
        <v/>
      </c>
      <c r="C590" t="str">
        <f t="shared" si="18"/>
        <v/>
      </c>
      <c r="D590" t="str">
        <f>IF(A590="","",SUMIFS(Акты!$D$5:$D$16,Акты!$E$5:$E$16,"&lt;="&amp;A590)-SUMIFS(Оплаты!$B$6:$B$505,Оплаты!$A$6:$A$505,"&lt;"&amp;A590,Оплаты!$D$6:$D$505,"&lt;&gt;"))</f>
        <v/>
      </c>
      <c r="E590" t="str">
        <f>IF(A590="","",IF(SUMPRODUCT((Ввод!$F$12:$F$31&lt;&gt;"")*(Ввод!$F$12:$F$31&lt;=A590)*(Ввод!$G$12:$G$31&gt;=A590))&gt;0,1,0))</f>
        <v/>
      </c>
      <c r="G590" t="str">
        <f t="shared" si="19"/>
        <v/>
      </c>
    </row>
    <row r="591" spans="1:7" x14ac:dyDescent="0.3">
      <c r="A591" s="21" t="str">
        <f>IF(A590="","",IF(A590+1&gt;Ввод!$B$4,"",A590+1))</f>
        <v/>
      </c>
      <c r="B591" s="23" t="str">
        <f>IF(A591="","",IFERROR(INDEX(Ввод!$B$12:$B$71,MATCH(A591,Ввод!$D$12:$D$71,1)),""))</f>
        <v/>
      </c>
      <c r="C591" t="str">
        <f t="shared" si="18"/>
        <v/>
      </c>
      <c r="D591" t="str">
        <f>IF(A591="","",SUMIFS(Акты!$D$5:$D$16,Акты!$E$5:$E$16,"&lt;="&amp;A591)-SUMIFS(Оплаты!$B$6:$B$505,Оплаты!$A$6:$A$505,"&lt;"&amp;A591,Оплаты!$D$6:$D$505,"&lt;&gt;"))</f>
        <v/>
      </c>
      <c r="E591" t="str">
        <f>IF(A591="","",IF(SUMPRODUCT((Ввод!$F$12:$F$31&lt;&gt;"")*(Ввод!$F$12:$F$31&lt;=A591)*(Ввод!$G$12:$G$31&gt;=A591))&gt;0,1,0))</f>
        <v/>
      </c>
      <c r="G591" t="str">
        <f t="shared" si="19"/>
        <v/>
      </c>
    </row>
    <row r="592" spans="1:7" x14ac:dyDescent="0.3">
      <c r="A592" s="21" t="str">
        <f>IF(A591="","",IF(A591+1&gt;Ввод!$B$4,"",A591+1))</f>
        <v/>
      </c>
      <c r="B592" s="23" t="str">
        <f>IF(A592="","",IFERROR(INDEX(Ввод!$B$12:$B$71,MATCH(A592,Ввод!$D$12:$D$71,1)),""))</f>
        <v/>
      </c>
      <c r="C592" t="str">
        <f t="shared" si="18"/>
        <v/>
      </c>
      <c r="D592" t="str">
        <f>IF(A592="","",SUMIFS(Акты!$D$5:$D$16,Акты!$E$5:$E$16,"&lt;="&amp;A592)-SUMIFS(Оплаты!$B$6:$B$505,Оплаты!$A$6:$A$505,"&lt;"&amp;A592,Оплаты!$D$6:$D$505,"&lt;&gt;"))</f>
        <v/>
      </c>
      <c r="E592" t="str">
        <f>IF(A592="","",IF(SUMPRODUCT((Ввод!$F$12:$F$31&lt;&gt;"")*(Ввод!$F$12:$F$31&lt;=A592)*(Ввод!$G$12:$G$31&gt;=A592))&gt;0,1,0))</f>
        <v/>
      </c>
      <c r="G592" t="str">
        <f t="shared" si="19"/>
        <v/>
      </c>
    </row>
    <row r="593" spans="1:7" x14ac:dyDescent="0.3">
      <c r="A593" s="21" t="str">
        <f>IF(A592="","",IF(A592+1&gt;Ввод!$B$4,"",A592+1))</f>
        <v/>
      </c>
      <c r="B593" s="23" t="str">
        <f>IF(A593="","",IFERROR(INDEX(Ввод!$B$12:$B$71,MATCH(A593,Ввод!$D$12:$D$71,1)),""))</f>
        <v/>
      </c>
      <c r="C593" t="str">
        <f t="shared" si="18"/>
        <v/>
      </c>
      <c r="D593" t="str">
        <f>IF(A593="","",SUMIFS(Акты!$D$5:$D$16,Акты!$E$5:$E$16,"&lt;="&amp;A593)-SUMIFS(Оплаты!$B$6:$B$505,Оплаты!$A$6:$A$505,"&lt;"&amp;A593,Оплаты!$D$6:$D$505,"&lt;&gt;"))</f>
        <v/>
      </c>
      <c r="E593" t="str">
        <f>IF(A593="","",IF(SUMPRODUCT((Ввод!$F$12:$F$31&lt;&gt;"")*(Ввод!$F$12:$F$31&lt;=A593)*(Ввод!$G$12:$G$31&gt;=A593))&gt;0,1,0))</f>
        <v/>
      </c>
      <c r="G593" t="str">
        <f t="shared" si="19"/>
        <v/>
      </c>
    </row>
    <row r="594" spans="1:7" x14ac:dyDescent="0.3">
      <c r="A594" s="21" t="str">
        <f>IF(A593="","",IF(A593+1&gt;Ввод!$B$4,"",A593+1))</f>
        <v/>
      </c>
      <c r="B594" s="23" t="str">
        <f>IF(A594="","",IFERROR(INDEX(Ввод!$B$12:$B$71,MATCH(A594,Ввод!$D$12:$D$71,1)),""))</f>
        <v/>
      </c>
      <c r="C594" t="str">
        <f t="shared" si="18"/>
        <v/>
      </c>
      <c r="D594" t="str">
        <f>IF(A594="","",SUMIFS(Акты!$D$5:$D$16,Акты!$E$5:$E$16,"&lt;="&amp;A594)-SUMIFS(Оплаты!$B$6:$B$505,Оплаты!$A$6:$A$505,"&lt;"&amp;A594,Оплаты!$D$6:$D$505,"&lt;&gt;"))</f>
        <v/>
      </c>
      <c r="E594" t="str">
        <f>IF(A594="","",IF(SUMPRODUCT((Ввод!$F$12:$F$31&lt;&gt;"")*(Ввод!$F$12:$F$31&lt;=A594)*(Ввод!$G$12:$G$31&gt;=A594))&gt;0,1,0))</f>
        <v/>
      </c>
      <c r="G594" t="str">
        <f t="shared" si="19"/>
        <v/>
      </c>
    </row>
    <row r="595" spans="1:7" x14ac:dyDescent="0.3">
      <c r="A595" s="21" t="str">
        <f>IF(A594="","",IF(A594+1&gt;Ввод!$B$4,"",A594+1))</f>
        <v/>
      </c>
      <c r="B595" s="23" t="str">
        <f>IF(A595="","",IFERROR(INDEX(Ввод!$B$12:$B$71,MATCH(A595,Ввод!$D$12:$D$71,1)),""))</f>
        <v/>
      </c>
      <c r="C595" t="str">
        <f t="shared" si="18"/>
        <v/>
      </c>
      <c r="D595" t="str">
        <f>IF(A595="","",SUMIFS(Акты!$D$5:$D$16,Акты!$E$5:$E$16,"&lt;="&amp;A595)-SUMIFS(Оплаты!$B$6:$B$505,Оплаты!$A$6:$A$505,"&lt;"&amp;A595,Оплаты!$D$6:$D$505,"&lt;&gt;"))</f>
        <v/>
      </c>
      <c r="E595" t="str">
        <f>IF(A595="","",IF(SUMPRODUCT((Ввод!$F$12:$F$31&lt;&gt;"")*(Ввод!$F$12:$F$31&lt;=A595)*(Ввод!$G$12:$G$31&gt;=A595))&gt;0,1,0))</f>
        <v/>
      </c>
      <c r="G595" t="str">
        <f t="shared" si="19"/>
        <v/>
      </c>
    </row>
    <row r="596" spans="1:7" x14ac:dyDescent="0.3">
      <c r="A596" s="21" t="str">
        <f>IF(A595="","",IF(A595+1&gt;Ввод!$B$4,"",A595+1))</f>
        <v/>
      </c>
      <c r="B596" s="23" t="str">
        <f>IF(A596="","",IFERROR(INDEX(Ввод!$B$12:$B$71,MATCH(A596,Ввод!$D$12:$D$71,1)),""))</f>
        <v/>
      </c>
      <c r="C596" t="str">
        <f t="shared" si="18"/>
        <v/>
      </c>
      <c r="D596" t="str">
        <f>IF(A596="","",SUMIFS(Акты!$D$5:$D$16,Акты!$E$5:$E$16,"&lt;="&amp;A596)-SUMIFS(Оплаты!$B$6:$B$505,Оплаты!$A$6:$A$505,"&lt;"&amp;A596,Оплаты!$D$6:$D$505,"&lt;&gt;"))</f>
        <v/>
      </c>
      <c r="E596" t="str">
        <f>IF(A596="","",IF(SUMPRODUCT((Ввод!$F$12:$F$31&lt;&gt;"")*(Ввод!$F$12:$F$31&lt;=A596)*(Ввод!$G$12:$G$31&gt;=A596))&gt;0,1,0))</f>
        <v/>
      </c>
      <c r="G596" t="str">
        <f t="shared" si="19"/>
        <v/>
      </c>
    </row>
    <row r="597" spans="1:7" x14ac:dyDescent="0.3">
      <c r="A597" s="21" t="str">
        <f>IF(A596="","",IF(A596+1&gt;Ввод!$B$4,"",A596+1))</f>
        <v/>
      </c>
      <c r="B597" s="23" t="str">
        <f>IF(A597="","",IFERROR(INDEX(Ввод!$B$12:$B$71,MATCH(A597,Ввод!$D$12:$D$71,1)),""))</f>
        <v/>
      </c>
      <c r="C597" t="str">
        <f t="shared" si="18"/>
        <v/>
      </c>
      <c r="D597" t="str">
        <f>IF(A597="","",SUMIFS(Акты!$D$5:$D$16,Акты!$E$5:$E$16,"&lt;="&amp;A597)-SUMIFS(Оплаты!$B$6:$B$505,Оплаты!$A$6:$A$505,"&lt;"&amp;A597,Оплаты!$D$6:$D$505,"&lt;&gt;"))</f>
        <v/>
      </c>
      <c r="E597" t="str">
        <f>IF(A597="","",IF(SUMPRODUCT((Ввод!$F$12:$F$31&lt;&gt;"")*(Ввод!$F$12:$F$31&lt;=A597)*(Ввод!$G$12:$G$31&gt;=A597))&gt;0,1,0))</f>
        <v/>
      </c>
      <c r="G597" t="str">
        <f t="shared" si="19"/>
        <v/>
      </c>
    </row>
    <row r="598" spans="1:7" x14ac:dyDescent="0.3">
      <c r="A598" s="21" t="str">
        <f>IF(A597="","",IF(A597+1&gt;Ввод!$B$4,"",A597+1))</f>
        <v/>
      </c>
      <c r="B598" s="23" t="str">
        <f>IF(A598="","",IFERROR(INDEX(Ввод!$B$12:$B$71,MATCH(A598,Ввод!$D$12:$D$71,1)),""))</f>
        <v/>
      </c>
      <c r="C598" t="str">
        <f t="shared" si="18"/>
        <v/>
      </c>
      <c r="D598" t="str">
        <f>IF(A598="","",SUMIFS(Акты!$D$5:$D$16,Акты!$E$5:$E$16,"&lt;="&amp;A598)-SUMIFS(Оплаты!$B$6:$B$505,Оплаты!$A$6:$A$505,"&lt;"&amp;A598,Оплаты!$D$6:$D$505,"&lt;&gt;"))</f>
        <v/>
      </c>
      <c r="E598" t="str">
        <f>IF(A598="","",IF(SUMPRODUCT((Ввод!$F$12:$F$31&lt;&gt;"")*(Ввод!$F$12:$F$31&lt;=A598)*(Ввод!$G$12:$G$31&gt;=A598))&gt;0,1,0))</f>
        <v/>
      </c>
      <c r="G598" t="str">
        <f t="shared" si="19"/>
        <v/>
      </c>
    </row>
    <row r="599" spans="1:7" x14ac:dyDescent="0.3">
      <c r="A599" s="21" t="str">
        <f>IF(A598="","",IF(A598+1&gt;Ввод!$B$4,"",A598+1))</f>
        <v/>
      </c>
      <c r="B599" s="23" t="str">
        <f>IF(A599="","",IFERROR(INDEX(Ввод!$B$12:$B$71,MATCH(A599,Ввод!$D$12:$D$71,1)),""))</f>
        <v/>
      </c>
      <c r="C599" t="str">
        <f t="shared" si="18"/>
        <v/>
      </c>
      <c r="D599" t="str">
        <f>IF(A599="","",SUMIFS(Акты!$D$5:$D$16,Акты!$E$5:$E$16,"&lt;="&amp;A599)-SUMIFS(Оплаты!$B$6:$B$505,Оплаты!$A$6:$A$505,"&lt;"&amp;A599,Оплаты!$D$6:$D$505,"&lt;&gt;"))</f>
        <v/>
      </c>
      <c r="E599" t="str">
        <f>IF(A599="","",IF(SUMPRODUCT((Ввод!$F$12:$F$31&lt;&gt;"")*(Ввод!$F$12:$F$31&lt;=A599)*(Ввод!$G$12:$G$31&gt;=A599))&gt;0,1,0))</f>
        <v/>
      </c>
      <c r="G599" t="str">
        <f t="shared" si="19"/>
        <v/>
      </c>
    </row>
    <row r="600" spans="1:7" x14ac:dyDescent="0.3">
      <c r="A600" s="21" t="str">
        <f>IF(A599="","",IF(A599+1&gt;Ввод!$B$4,"",A599+1))</f>
        <v/>
      </c>
      <c r="B600" s="23" t="str">
        <f>IF(A600="","",IFERROR(INDEX(Ввод!$B$12:$B$71,MATCH(A600,Ввод!$D$12:$D$71,1)),""))</f>
        <v/>
      </c>
      <c r="C600" t="str">
        <f t="shared" si="18"/>
        <v/>
      </c>
      <c r="D600" t="str">
        <f>IF(A600="","",SUMIFS(Акты!$D$5:$D$16,Акты!$E$5:$E$16,"&lt;="&amp;A600)-SUMIFS(Оплаты!$B$6:$B$505,Оплаты!$A$6:$A$505,"&lt;"&amp;A600,Оплаты!$D$6:$D$505,"&lt;&gt;"))</f>
        <v/>
      </c>
      <c r="E600" t="str">
        <f>IF(A600="","",IF(SUMPRODUCT((Ввод!$F$12:$F$31&lt;&gt;"")*(Ввод!$F$12:$F$31&lt;=A600)*(Ввод!$G$12:$G$31&gt;=A600))&gt;0,1,0))</f>
        <v/>
      </c>
      <c r="G600" t="str">
        <f t="shared" si="19"/>
        <v/>
      </c>
    </row>
    <row r="601" spans="1:7" x14ac:dyDescent="0.3">
      <c r="A601" s="21" t="str">
        <f>IF(A600="","",IF(A600+1&gt;Ввод!$B$4,"",A600+1))</f>
        <v/>
      </c>
      <c r="B601" s="23" t="str">
        <f>IF(A601="","",IFERROR(INDEX(Ввод!$B$12:$B$71,MATCH(A601,Ввод!$D$12:$D$71,1)),""))</f>
        <v/>
      </c>
      <c r="C601" t="str">
        <f t="shared" si="18"/>
        <v/>
      </c>
      <c r="D601" t="str">
        <f>IF(A601="","",SUMIFS(Акты!$D$5:$D$16,Акты!$E$5:$E$16,"&lt;="&amp;A601)-SUMIFS(Оплаты!$B$6:$B$505,Оплаты!$A$6:$A$505,"&lt;"&amp;A601,Оплаты!$D$6:$D$505,"&lt;&gt;"))</f>
        <v/>
      </c>
      <c r="E601" t="str">
        <f>IF(A601="","",IF(SUMPRODUCT((Ввод!$F$12:$F$31&lt;&gt;"")*(Ввод!$F$12:$F$31&lt;=A601)*(Ввод!$G$12:$G$31&gt;=A601))&gt;0,1,0))</f>
        <v/>
      </c>
      <c r="G601" t="str">
        <f t="shared" si="19"/>
        <v/>
      </c>
    </row>
    <row r="602" spans="1:7" x14ac:dyDescent="0.3">
      <c r="A602" s="21" t="str">
        <f>IF(A601="","",IF(A601+1&gt;Ввод!$B$4,"",A601+1))</f>
        <v/>
      </c>
      <c r="B602" s="23" t="str">
        <f>IF(A602="","",IFERROR(INDEX(Ввод!$B$12:$B$71,MATCH(A602,Ввод!$D$12:$D$71,1)),""))</f>
        <v/>
      </c>
      <c r="C602" t="str">
        <f t="shared" si="18"/>
        <v/>
      </c>
      <c r="D602" t="str">
        <f>IF(A602="","",SUMIFS(Акты!$D$5:$D$16,Акты!$E$5:$E$16,"&lt;="&amp;A602)-SUMIFS(Оплаты!$B$6:$B$505,Оплаты!$A$6:$A$505,"&lt;"&amp;A602,Оплаты!$D$6:$D$505,"&lt;&gt;"))</f>
        <v/>
      </c>
      <c r="E602" t="str">
        <f>IF(A602="","",IF(SUMPRODUCT((Ввод!$F$12:$F$31&lt;&gt;"")*(Ввод!$F$12:$F$31&lt;=A602)*(Ввод!$G$12:$G$31&gt;=A602))&gt;0,1,0))</f>
        <v/>
      </c>
      <c r="G602" t="str">
        <f t="shared" si="19"/>
        <v/>
      </c>
    </row>
    <row r="603" spans="1:7" x14ac:dyDescent="0.3">
      <c r="A603" s="21" t="str">
        <f>IF(A602="","",IF(A602+1&gt;Ввод!$B$4,"",A602+1))</f>
        <v/>
      </c>
      <c r="B603" s="23" t="str">
        <f>IF(A603="","",IFERROR(INDEX(Ввод!$B$12:$B$71,MATCH(A603,Ввод!$D$12:$D$71,1)),""))</f>
        <v/>
      </c>
      <c r="C603" t="str">
        <f t="shared" si="18"/>
        <v/>
      </c>
      <c r="D603" t="str">
        <f>IF(A603="","",SUMIFS(Акты!$D$5:$D$16,Акты!$E$5:$E$16,"&lt;="&amp;A603)-SUMIFS(Оплаты!$B$6:$B$505,Оплаты!$A$6:$A$505,"&lt;"&amp;A603,Оплаты!$D$6:$D$505,"&lt;&gt;"))</f>
        <v/>
      </c>
      <c r="E603" t="str">
        <f>IF(A603="","",IF(SUMPRODUCT((Ввод!$F$12:$F$31&lt;&gt;"")*(Ввод!$F$12:$F$31&lt;=A603)*(Ввод!$G$12:$G$31&gt;=A603))&gt;0,1,0))</f>
        <v/>
      </c>
      <c r="G603" t="str">
        <f t="shared" si="19"/>
        <v/>
      </c>
    </row>
    <row r="604" spans="1:7" x14ac:dyDescent="0.3">
      <c r="A604" s="21" t="str">
        <f>IF(A603="","",IF(A603+1&gt;Ввод!$B$4,"",A603+1))</f>
        <v/>
      </c>
      <c r="B604" s="23" t="str">
        <f>IF(A604="","",IFERROR(INDEX(Ввод!$B$12:$B$71,MATCH(A604,Ввод!$D$12:$D$71,1)),""))</f>
        <v/>
      </c>
      <c r="C604" t="str">
        <f t="shared" si="18"/>
        <v/>
      </c>
      <c r="D604" t="str">
        <f>IF(A604="","",SUMIFS(Акты!$D$5:$D$16,Акты!$E$5:$E$16,"&lt;="&amp;A604)-SUMIFS(Оплаты!$B$6:$B$505,Оплаты!$A$6:$A$505,"&lt;"&amp;A604,Оплаты!$D$6:$D$505,"&lt;&gt;"))</f>
        <v/>
      </c>
      <c r="E604" t="str">
        <f>IF(A604="","",IF(SUMPRODUCT((Ввод!$F$12:$F$31&lt;&gt;"")*(Ввод!$F$12:$F$31&lt;=A604)*(Ввод!$G$12:$G$31&gt;=A604))&gt;0,1,0))</f>
        <v/>
      </c>
      <c r="G604" t="str">
        <f t="shared" si="19"/>
        <v/>
      </c>
    </row>
    <row r="605" spans="1:7" x14ac:dyDescent="0.3">
      <c r="A605" s="21" t="str">
        <f>IF(A604="","",IF(A604+1&gt;Ввод!$B$4,"",A604+1))</f>
        <v/>
      </c>
      <c r="B605" s="23" t="str">
        <f>IF(A605="","",IFERROR(INDEX(Ввод!$B$12:$B$71,MATCH(A605,Ввод!$D$12:$D$71,1)),""))</f>
        <v/>
      </c>
      <c r="C605" t="str">
        <f t="shared" si="18"/>
        <v/>
      </c>
      <c r="D605" t="str">
        <f>IF(A605="","",SUMIFS(Акты!$D$5:$D$16,Акты!$E$5:$E$16,"&lt;="&amp;A605)-SUMIFS(Оплаты!$B$6:$B$505,Оплаты!$A$6:$A$505,"&lt;"&amp;A605,Оплаты!$D$6:$D$505,"&lt;&gt;"))</f>
        <v/>
      </c>
      <c r="E605" t="str">
        <f>IF(A605="","",IF(SUMPRODUCT((Ввод!$F$12:$F$31&lt;&gt;"")*(Ввод!$F$12:$F$31&lt;=A605)*(Ввод!$G$12:$G$31&gt;=A605))&gt;0,1,0))</f>
        <v/>
      </c>
      <c r="G605" t="str">
        <f t="shared" si="19"/>
        <v/>
      </c>
    </row>
    <row r="606" spans="1:7" x14ac:dyDescent="0.3">
      <c r="A606" s="21" t="str">
        <f>IF(A605="","",IF(A605+1&gt;Ввод!$B$4,"",A605+1))</f>
        <v/>
      </c>
      <c r="B606" s="23" t="str">
        <f>IF(A606="","",IFERROR(INDEX(Ввод!$B$12:$B$71,MATCH(A606,Ввод!$D$12:$D$71,1)),""))</f>
        <v/>
      </c>
      <c r="C606" t="str">
        <f t="shared" si="18"/>
        <v/>
      </c>
      <c r="D606" t="str">
        <f>IF(A606="","",SUMIFS(Акты!$D$5:$D$16,Акты!$E$5:$E$16,"&lt;="&amp;A606)-SUMIFS(Оплаты!$B$6:$B$505,Оплаты!$A$6:$A$505,"&lt;"&amp;A606,Оплаты!$D$6:$D$505,"&lt;&gt;"))</f>
        <v/>
      </c>
      <c r="E606" t="str">
        <f>IF(A606="","",IF(SUMPRODUCT((Ввод!$F$12:$F$31&lt;&gt;"")*(Ввод!$F$12:$F$31&lt;=A606)*(Ввод!$G$12:$G$31&gt;=A606))&gt;0,1,0))</f>
        <v/>
      </c>
      <c r="G606" t="str">
        <f t="shared" si="19"/>
        <v/>
      </c>
    </row>
    <row r="607" spans="1:7" x14ac:dyDescent="0.3">
      <c r="A607" s="21" t="str">
        <f>IF(A606="","",IF(A606+1&gt;Ввод!$B$4,"",A606+1))</f>
        <v/>
      </c>
      <c r="B607" s="23" t="str">
        <f>IF(A607="","",IFERROR(INDEX(Ввод!$B$12:$B$71,MATCH(A607,Ввод!$D$12:$D$71,1)),""))</f>
        <v/>
      </c>
      <c r="C607" t="str">
        <f t="shared" si="18"/>
        <v/>
      </c>
      <c r="D607" t="str">
        <f>IF(A607="","",SUMIFS(Акты!$D$5:$D$16,Акты!$E$5:$E$16,"&lt;="&amp;A607)-SUMIFS(Оплаты!$B$6:$B$505,Оплаты!$A$6:$A$505,"&lt;"&amp;A607,Оплаты!$D$6:$D$505,"&lt;&gt;"))</f>
        <v/>
      </c>
      <c r="E607" t="str">
        <f>IF(A607="","",IF(SUMPRODUCT((Ввод!$F$12:$F$31&lt;&gt;"")*(Ввод!$F$12:$F$31&lt;=A607)*(Ввод!$G$12:$G$31&gt;=A607))&gt;0,1,0))</f>
        <v/>
      </c>
      <c r="G607" t="str">
        <f t="shared" si="19"/>
        <v/>
      </c>
    </row>
    <row r="608" spans="1:7" x14ac:dyDescent="0.3">
      <c r="A608" s="21" t="str">
        <f>IF(A607="","",IF(A607+1&gt;Ввод!$B$4,"",A607+1))</f>
        <v/>
      </c>
      <c r="B608" s="23" t="str">
        <f>IF(A608="","",IFERROR(INDEX(Ввод!$B$12:$B$71,MATCH(A608,Ввод!$D$12:$D$71,1)),""))</f>
        <v/>
      </c>
      <c r="C608" t="str">
        <f t="shared" si="18"/>
        <v/>
      </c>
      <c r="D608" t="str">
        <f>IF(A608="","",SUMIFS(Акты!$D$5:$D$16,Акты!$E$5:$E$16,"&lt;="&amp;A608)-SUMIFS(Оплаты!$B$6:$B$505,Оплаты!$A$6:$A$505,"&lt;"&amp;A608,Оплаты!$D$6:$D$505,"&lt;&gt;"))</f>
        <v/>
      </c>
      <c r="E608" t="str">
        <f>IF(A608="","",IF(SUMPRODUCT((Ввод!$F$12:$F$31&lt;&gt;"")*(Ввод!$F$12:$F$31&lt;=A608)*(Ввод!$G$12:$G$31&gt;=A608))&gt;0,1,0))</f>
        <v/>
      </c>
      <c r="G608" t="str">
        <f t="shared" si="19"/>
        <v/>
      </c>
    </row>
    <row r="609" spans="1:7" x14ac:dyDescent="0.3">
      <c r="A609" s="21" t="str">
        <f>IF(A608="","",IF(A608+1&gt;Ввод!$B$4,"",A608+1))</f>
        <v/>
      </c>
      <c r="B609" s="23" t="str">
        <f>IF(A609="","",IFERROR(INDEX(Ввод!$B$12:$B$71,MATCH(A609,Ввод!$D$12:$D$71,1)),""))</f>
        <v/>
      </c>
      <c r="C609" t="str">
        <f t="shared" si="18"/>
        <v/>
      </c>
      <c r="D609" t="str">
        <f>IF(A609="","",SUMIFS(Акты!$D$5:$D$16,Акты!$E$5:$E$16,"&lt;="&amp;A609)-SUMIFS(Оплаты!$B$6:$B$505,Оплаты!$A$6:$A$505,"&lt;"&amp;A609,Оплаты!$D$6:$D$505,"&lt;&gt;"))</f>
        <v/>
      </c>
      <c r="E609" t="str">
        <f>IF(A609="","",IF(SUMPRODUCT((Ввод!$F$12:$F$31&lt;&gt;"")*(Ввод!$F$12:$F$31&lt;=A609)*(Ввод!$G$12:$G$31&gt;=A609))&gt;0,1,0))</f>
        <v/>
      </c>
      <c r="G609" t="str">
        <f t="shared" si="19"/>
        <v/>
      </c>
    </row>
    <row r="610" spans="1:7" x14ac:dyDescent="0.3">
      <c r="A610" s="21" t="str">
        <f>IF(A609="","",IF(A609+1&gt;Ввод!$B$4,"",A609+1))</f>
        <v/>
      </c>
      <c r="B610" s="23" t="str">
        <f>IF(A610="","",IFERROR(INDEX(Ввод!$B$12:$B$71,MATCH(A610,Ввод!$D$12:$D$71,1)),""))</f>
        <v/>
      </c>
      <c r="C610" t="str">
        <f t="shared" si="18"/>
        <v/>
      </c>
      <c r="D610" t="str">
        <f>IF(A610="","",SUMIFS(Акты!$D$5:$D$16,Акты!$E$5:$E$16,"&lt;="&amp;A610)-SUMIFS(Оплаты!$B$6:$B$505,Оплаты!$A$6:$A$505,"&lt;"&amp;A610,Оплаты!$D$6:$D$505,"&lt;&gt;"))</f>
        <v/>
      </c>
      <c r="E610" t="str">
        <f>IF(A610="","",IF(SUMPRODUCT((Ввод!$F$12:$F$31&lt;&gt;"")*(Ввод!$F$12:$F$31&lt;=A610)*(Ввод!$G$12:$G$31&gt;=A610))&gt;0,1,0))</f>
        <v/>
      </c>
      <c r="G610" t="str">
        <f t="shared" si="19"/>
        <v/>
      </c>
    </row>
    <row r="611" spans="1:7" x14ac:dyDescent="0.3">
      <c r="A611" s="21" t="str">
        <f>IF(A610="","",IF(A610+1&gt;Ввод!$B$4,"",A610+1))</f>
        <v/>
      </c>
      <c r="B611" s="23" t="str">
        <f>IF(A611="","",IFERROR(INDEX(Ввод!$B$12:$B$71,MATCH(A611,Ввод!$D$12:$D$71,1)),""))</f>
        <v/>
      </c>
      <c r="C611" t="str">
        <f t="shared" si="18"/>
        <v/>
      </c>
      <c r="D611" t="str">
        <f>IF(A611="","",SUMIFS(Акты!$D$5:$D$16,Акты!$E$5:$E$16,"&lt;="&amp;A611)-SUMIFS(Оплаты!$B$6:$B$505,Оплаты!$A$6:$A$505,"&lt;"&amp;A611,Оплаты!$D$6:$D$505,"&lt;&gt;"))</f>
        <v/>
      </c>
      <c r="E611" t="str">
        <f>IF(A611="","",IF(SUMPRODUCT((Ввод!$F$12:$F$31&lt;&gt;"")*(Ввод!$F$12:$F$31&lt;=A611)*(Ввод!$G$12:$G$31&gt;=A611))&gt;0,1,0))</f>
        <v/>
      </c>
      <c r="G611" t="str">
        <f t="shared" si="19"/>
        <v/>
      </c>
    </row>
    <row r="612" spans="1:7" x14ac:dyDescent="0.3">
      <c r="A612" s="21" t="str">
        <f>IF(A611="","",IF(A611+1&gt;Ввод!$B$4,"",A611+1))</f>
        <v/>
      </c>
      <c r="B612" s="23" t="str">
        <f>IF(A612="","",IFERROR(INDEX(Ввод!$B$12:$B$71,MATCH(A612,Ввод!$D$12:$D$71,1)),""))</f>
        <v/>
      </c>
      <c r="C612" t="str">
        <f t="shared" si="18"/>
        <v/>
      </c>
      <c r="D612" t="str">
        <f>IF(A612="","",SUMIFS(Акты!$D$5:$D$16,Акты!$E$5:$E$16,"&lt;="&amp;A612)-SUMIFS(Оплаты!$B$6:$B$505,Оплаты!$A$6:$A$505,"&lt;"&amp;A612,Оплаты!$D$6:$D$505,"&lt;&gt;"))</f>
        <v/>
      </c>
      <c r="E612" t="str">
        <f>IF(A612="","",IF(SUMPRODUCT((Ввод!$F$12:$F$31&lt;&gt;"")*(Ввод!$F$12:$F$31&lt;=A612)*(Ввод!$G$12:$G$31&gt;=A612))&gt;0,1,0))</f>
        <v/>
      </c>
      <c r="G612" t="str">
        <f t="shared" si="19"/>
        <v/>
      </c>
    </row>
    <row r="613" spans="1:7" x14ac:dyDescent="0.3">
      <c r="A613" s="21" t="str">
        <f>IF(A612="","",IF(A612+1&gt;Ввод!$B$4,"",A612+1))</f>
        <v/>
      </c>
      <c r="B613" s="23" t="str">
        <f>IF(A613="","",IFERROR(INDEX(Ввод!$B$12:$B$71,MATCH(A613,Ввод!$D$12:$D$71,1)),""))</f>
        <v/>
      </c>
      <c r="C613" t="str">
        <f t="shared" si="18"/>
        <v/>
      </c>
      <c r="D613" t="str">
        <f>IF(A613="","",SUMIFS(Акты!$D$5:$D$16,Акты!$E$5:$E$16,"&lt;="&amp;A613)-SUMIFS(Оплаты!$B$6:$B$505,Оплаты!$A$6:$A$505,"&lt;"&amp;A613,Оплаты!$D$6:$D$505,"&lt;&gt;"))</f>
        <v/>
      </c>
      <c r="E613" t="str">
        <f>IF(A613="","",IF(SUMPRODUCT((Ввод!$F$12:$F$31&lt;&gt;"")*(Ввод!$F$12:$F$31&lt;=A613)*(Ввод!$G$12:$G$31&gt;=A613))&gt;0,1,0))</f>
        <v/>
      </c>
      <c r="G613" t="str">
        <f t="shared" si="19"/>
        <v/>
      </c>
    </row>
    <row r="614" spans="1:7" x14ac:dyDescent="0.3">
      <c r="A614" s="21" t="str">
        <f>IF(A613="","",IF(A613+1&gt;Ввод!$B$4,"",A613+1))</f>
        <v/>
      </c>
      <c r="B614" s="23" t="str">
        <f>IF(A614="","",IFERROR(INDEX(Ввод!$B$12:$B$71,MATCH(A614,Ввод!$D$12:$D$71,1)),""))</f>
        <v/>
      </c>
      <c r="C614" t="str">
        <f t="shared" si="18"/>
        <v/>
      </c>
      <c r="D614" t="str">
        <f>IF(A614="","",SUMIFS(Акты!$D$5:$D$16,Акты!$E$5:$E$16,"&lt;="&amp;A614)-SUMIFS(Оплаты!$B$6:$B$505,Оплаты!$A$6:$A$505,"&lt;"&amp;A614,Оплаты!$D$6:$D$505,"&lt;&gt;"))</f>
        <v/>
      </c>
      <c r="E614" t="str">
        <f>IF(A614="","",IF(SUMPRODUCT((Ввод!$F$12:$F$31&lt;&gt;"")*(Ввод!$F$12:$F$31&lt;=A614)*(Ввод!$G$12:$G$31&gt;=A614))&gt;0,1,0))</f>
        <v/>
      </c>
      <c r="G614" t="str">
        <f t="shared" si="19"/>
        <v/>
      </c>
    </row>
    <row r="615" spans="1:7" x14ac:dyDescent="0.3">
      <c r="A615" s="21" t="str">
        <f>IF(A614="","",IF(A614+1&gt;Ввод!$B$4,"",A614+1))</f>
        <v/>
      </c>
      <c r="B615" s="23" t="str">
        <f>IF(A615="","",IFERROR(INDEX(Ввод!$B$12:$B$71,MATCH(A615,Ввод!$D$12:$D$71,1)),""))</f>
        <v/>
      </c>
      <c r="C615" t="str">
        <f t="shared" si="18"/>
        <v/>
      </c>
      <c r="D615" t="str">
        <f>IF(A615="","",SUMIFS(Акты!$D$5:$D$16,Акты!$E$5:$E$16,"&lt;="&amp;A615)-SUMIFS(Оплаты!$B$6:$B$505,Оплаты!$A$6:$A$505,"&lt;"&amp;A615,Оплаты!$D$6:$D$505,"&lt;&gt;"))</f>
        <v/>
      </c>
      <c r="E615" t="str">
        <f>IF(A615="","",IF(SUMPRODUCT((Ввод!$F$12:$F$31&lt;&gt;"")*(Ввод!$F$12:$F$31&lt;=A615)*(Ввод!$G$12:$G$31&gt;=A615))&gt;0,1,0))</f>
        <v/>
      </c>
      <c r="G615" t="str">
        <f t="shared" si="19"/>
        <v/>
      </c>
    </row>
    <row r="616" spans="1:7" x14ac:dyDescent="0.3">
      <c r="A616" s="21" t="str">
        <f>IF(A615="","",IF(A615+1&gt;Ввод!$B$4,"",A615+1))</f>
        <v/>
      </c>
      <c r="B616" s="23" t="str">
        <f>IF(A616="","",IFERROR(INDEX(Ввод!$B$12:$B$71,MATCH(A616,Ввод!$D$12:$D$71,1)),""))</f>
        <v/>
      </c>
      <c r="C616" t="str">
        <f t="shared" si="18"/>
        <v/>
      </c>
      <c r="D616" t="str">
        <f>IF(A616="","",SUMIFS(Акты!$D$5:$D$16,Акты!$E$5:$E$16,"&lt;="&amp;A616)-SUMIFS(Оплаты!$B$6:$B$505,Оплаты!$A$6:$A$505,"&lt;"&amp;A616,Оплаты!$D$6:$D$505,"&lt;&gt;"))</f>
        <v/>
      </c>
      <c r="E616" t="str">
        <f>IF(A616="","",IF(SUMPRODUCT((Ввод!$F$12:$F$31&lt;&gt;"")*(Ввод!$F$12:$F$31&lt;=A616)*(Ввод!$G$12:$G$31&gt;=A616))&gt;0,1,0))</f>
        <v/>
      </c>
      <c r="G616" t="str">
        <f t="shared" si="19"/>
        <v/>
      </c>
    </row>
    <row r="617" spans="1:7" x14ac:dyDescent="0.3">
      <c r="A617" s="21" t="str">
        <f>IF(A616="","",IF(A616+1&gt;Ввод!$B$4,"",A616+1))</f>
        <v/>
      </c>
      <c r="B617" s="23" t="str">
        <f>IF(A617="","",IFERROR(INDEX(Ввод!$B$12:$B$71,MATCH(A617,Ввод!$D$12:$D$71,1)),""))</f>
        <v/>
      </c>
      <c r="C617" t="str">
        <f t="shared" si="18"/>
        <v/>
      </c>
      <c r="D617" t="str">
        <f>IF(A617="","",SUMIFS(Акты!$D$5:$D$16,Акты!$E$5:$E$16,"&lt;="&amp;A617)-SUMIFS(Оплаты!$B$6:$B$505,Оплаты!$A$6:$A$505,"&lt;"&amp;A617,Оплаты!$D$6:$D$505,"&lt;&gt;"))</f>
        <v/>
      </c>
      <c r="E617" t="str">
        <f>IF(A617="","",IF(SUMPRODUCT((Ввод!$F$12:$F$31&lt;&gt;"")*(Ввод!$F$12:$F$31&lt;=A617)*(Ввод!$G$12:$G$31&gt;=A617))&gt;0,1,0))</f>
        <v/>
      </c>
      <c r="G617" t="str">
        <f t="shared" si="19"/>
        <v/>
      </c>
    </row>
    <row r="618" spans="1:7" x14ac:dyDescent="0.3">
      <c r="A618" s="21" t="str">
        <f>IF(A617="","",IF(A617+1&gt;Ввод!$B$4,"",A617+1))</f>
        <v/>
      </c>
      <c r="B618" s="23" t="str">
        <f>IF(A618="","",IFERROR(INDEX(Ввод!$B$12:$B$71,MATCH(A618,Ввод!$D$12:$D$71,1)),""))</f>
        <v/>
      </c>
      <c r="C618" t="str">
        <f t="shared" si="18"/>
        <v/>
      </c>
      <c r="D618" t="str">
        <f>IF(A618="","",SUMIFS(Акты!$D$5:$D$16,Акты!$E$5:$E$16,"&lt;="&amp;A618)-SUMIFS(Оплаты!$B$6:$B$505,Оплаты!$A$6:$A$505,"&lt;"&amp;A618,Оплаты!$D$6:$D$505,"&lt;&gt;"))</f>
        <v/>
      </c>
      <c r="E618" t="str">
        <f>IF(A618="","",IF(SUMPRODUCT((Ввод!$F$12:$F$31&lt;&gt;"")*(Ввод!$F$12:$F$31&lt;=A618)*(Ввод!$G$12:$G$31&gt;=A618))&gt;0,1,0))</f>
        <v/>
      </c>
      <c r="G618" t="str">
        <f t="shared" si="19"/>
        <v/>
      </c>
    </row>
    <row r="619" spans="1:7" x14ac:dyDescent="0.3">
      <c r="A619" s="21" t="str">
        <f>IF(A618="","",IF(A618+1&gt;Ввод!$B$4,"",A618+1))</f>
        <v/>
      </c>
      <c r="B619" s="23" t="str">
        <f>IF(A619="","",IFERROR(INDEX(Ввод!$B$12:$B$71,MATCH(A619,Ввод!$D$12:$D$71,1)),""))</f>
        <v/>
      </c>
      <c r="C619" t="str">
        <f t="shared" si="18"/>
        <v/>
      </c>
      <c r="D619" t="str">
        <f>IF(A619="","",SUMIFS(Акты!$D$5:$D$16,Акты!$E$5:$E$16,"&lt;="&amp;A619)-SUMIFS(Оплаты!$B$6:$B$505,Оплаты!$A$6:$A$505,"&lt;"&amp;A619,Оплаты!$D$6:$D$505,"&lt;&gt;"))</f>
        <v/>
      </c>
      <c r="E619" t="str">
        <f>IF(A619="","",IF(SUMPRODUCT((Ввод!$F$12:$F$31&lt;&gt;"")*(Ввод!$F$12:$F$31&lt;=A619)*(Ввод!$G$12:$G$31&gt;=A619))&gt;0,1,0))</f>
        <v/>
      </c>
      <c r="G619" t="str">
        <f t="shared" si="19"/>
        <v/>
      </c>
    </row>
    <row r="620" spans="1:7" x14ac:dyDescent="0.3">
      <c r="A620" s="21" t="str">
        <f>IF(A619="","",IF(A619+1&gt;Ввод!$B$4,"",A619+1))</f>
        <v/>
      </c>
      <c r="B620" s="23" t="str">
        <f>IF(A620="","",IFERROR(INDEX(Ввод!$B$12:$B$71,MATCH(A620,Ввод!$D$12:$D$71,1)),""))</f>
        <v/>
      </c>
      <c r="C620" t="str">
        <f t="shared" si="18"/>
        <v/>
      </c>
      <c r="D620" t="str">
        <f>IF(A620="","",SUMIFS(Акты!$D$5:$D$16,Акты!$E$5:$E$16,"&lt;="&amp;A620)-SUMIFS(Оплаты!$B$6:$B$505,Оплаты!$A$6:$A$505,"&lt;"&amp;A620,Оплаты!$D$6:$D$505,"&lt;&gt;"))</f>
        <v/>
      </c>
      <c r="E620" t="str">
        <f>IF(A620="","",IF(SUMPRODUCT((Ввод!$F$12:$F$31&lt;&gt;"")*(Ввод!$F$12:$F$31&lt;=A620)*(Ввод!$G$12:$G$31&gt;=A620))&gt;0,1,0))</f>
        <v/>
      </c>
      <c r="G620" t="str">
        <f t="shared" si="19"/>
        <v/>
      </c>
    </row>
    <row r="621" spans="1:7" x14ac:dyDescent="0.3">
      <c r="A621" s="21" t="str">
        <f>IF(A620="","",IF(A620+1&gt;Ввод!$B$4,"",A620+1))</f>
        <v/>
      </c>
      <c r="B621" s="23" t="str">
        <f>IF(A621="","",IFERROR(INDEX(Ввод!$B$12:$B$71,MATCH(A621,Ввод!$D$12:$D$71,1)),""))</f>
        <v/>
      </c>
      <c r="C621" t="str">
        <f t="shared" si="18"/>
        <v/>
      </c>
      <c r="D621" t="str">
        <f>IF(A621="","",SUMIFS(Акты!$D$5:$D$16,Акты!$E$5:$E$16,"&lt;="&amp;A621)-SUMIFS(Оплаты!$B$6:$B$505,Оплаты!$A$6:$A$505,"&lt;"&amp;A621,Оплаты!$D$6:$D$505,"&lt;&gt;"))</f>
        <v/>
      </c>
      <c r="E621" t="str">
        <f>IF(A621="","",IF(SUMPRODUCT((Ввод!$F$12:$F$31&lt;&gt;"")*(Ввод!$F$12:$F$31&lt;=A621)*(Ввод!$G$12:$G$31&gt;=A621))&gt;0,1,0))</f>
        <v/>
      </c>
      <c r="G621" t="str">
        <f t="shared" si="19"/>
        <v/>
      </c>
    </row>
    <row r="622" spans="1:7" x14ac:dyDescent="0.3">
      <c r="A622" s="21" t="str">
        <f>IF(A621="","",IF(A621+1&gt;Ввод!$B$4,"",A621+1))</f>
        <v/>
      </c>
      <c r="B622" s="23" t="str">
        <f>IF(A622="","",IFERROR(INDEX(Ввод!$B$12:$B$71,MATCH(A622,Ввод!$D$12:$D$71,1)),""))</f>
        <v/>
      </c>
      <c r="C622" t="str">
        <f t="shared" si="18"/>
        <v/>
      </c>
      <c r="D622" t="str">
        <f>IF(A622="","",SUMIFS(Акты!$D$5:$D$16,Акты!$E$5:$E$16,"&lt;="&amp;A622)-SUMIFS(Оплаты!$B$6:$B$505,Оплаты!$A$6:$A$505,"&lt;"&amp;A622,Оплаты!$D$6:$D$505,"&lt;&gt;"))</f>
        <v/>
      </c>
      <c r="E622" t="str">
        <f>IF(A622="","",IF(SUMPRODUCT((Ввод!$F$12:$F$31&lt;&gt;"")*(Ввод!$F$12:$F$31&lt;=A622)*(Ввод!$G$12:$G$31&gt;=A622))&gt;0,1,0))</f>
        <v/>
      </c>
      <c r="G622" t="str">
        <f t="shared" si="19"/>
        <v/>
      </c>
    </row>
    <row r="623" spans="1:7" x14ac:dyDescent="0.3">
      <c r="A623" s="21" t="str">
        <f>IF(A622="","",IF(A622+1&gt;Ввод!$B$4,"",A622+1))</f>
        <v/>
      </c>
      <c r="B623" s="23" t="str">
        <f>IF(A623="","",IFERROR(INDEX(Ввод!$B$12:$B$71,MATCH(A623,Ввод!$D$12:$D$71,1)),""))</f>
        <v/>
      </c>
      <c r="C623" t="str">
        <f t="shared" si="18"/>
        <v/>
      </c>
      <c r="D623" t="str">
        <f>IF(A623="","",SUMIFS(Акты!$D$5:$D$16,Акты!$E$5:$E$16,"&lt;="&amp;A623)-SUMIFS(Оплаты!$B$6:$B$505,Оплаты!$A$6:$A$505,"&lt;"&amp;A623,Оплаты!$D$6:$D$505,"&lt;&gt;"))</f>
        <v/>
      </c>
      <c r="E623" t="str">
        <f>IF(A623="","",IF(SUMPRODUCT((Ввод!$F$12:$F$31&lt;&gt;"")*(Ввод!$F$12:$F$31&lt;=A623)*(Ввод!$G$12:$G$31&gt;=A623))&gt;0,1,0))</f>
        <v/>
      </c>
      <c r="G623" t="str">
        <f t="shared" si="19"/>
        <v/>
      </c>
    </row>
    <row r="624" spans="1:7" x14ac:dyDescent="0.3">
      <c r="A624" s="21" t="str">
        <f>IF(A623="","",IF(A623+1&gt;Ввод!$B$4,"",A623+1))</f>
        <v/>
      </c>
      <c r="B624" s="23" t="str">
        <f>IF(A624="","",IFERROR(INDEX(Ввод!$B$12:$B$71,MATCH(A624,Ввод!$D$12:$D$71,1)),""))</f>
        <v/>
      </c>
      <c r="C624" t="str">
        <f t="shared" si="18"/>
        <v/>
      </c>
      <c r="D624" t="str">
        <f>IF(A624="","",SUMIFS(Акты!$D$5:$D$16,Акты!$E$5:$E$16,"&lt;="&amp;A624)-SUMIFS(Оплаты!$B$6:$B$505,Оплаты!$A$6:$A$505,"&lt;"&amp;A624,Оплаты!$D$6:$D$505,"&lt;&gt;"))</f>
        <v/>
      </c>
      <c r="E624" t="str">
        <f>IF(A624="","",IF(SUMPRODUCT((Ввод!$F$12:$F$31&lt;&gt;"")*(Ввод!$F$12:$F$31&lt;=A624)*(Ввод!$G$12:$G$31&gt;=A624))&gt;0,1,0))</f>
        <v/>
      </c>
      <c r="G624" t="str">
        <f t="shared" si="19"/>
        <v/>
      </c>
    </row>
    <row r="625" spans="1:7" x14ac:dyDescent="0.3">
      <c r="A625" s="21" t="str">
        <f>IF(A624="","",IF(A624+1&gt;Ввод!$B$4,"",A624+1))</f>
        <v/>
      </c>
      <c r="B625" s="23" t="str">
        <f>IF(A625="","",IFERROR(INDEX(Ввод!$B$12:$B$71,MATCH(A625,Ввод!$D$12:$D$71,1)),""))</f>
        <v/>
      </c>
      <c r="C625" t="str">
        <f t="shared" si="18"/>
        <v/>
      </c>
      <c r="D625" t="str">
        <f>IF(A625="","",SUMIFS(Акты!$D$5:$D$16,Акты!$E$5:$E$16,"&lt;="&amp;A625)-SUMIFS(Оплаты!$B$6:$B$505,Оплаты!$A$6:$A$505,"&lt;"&amp;A625,Оплаты!$D$6:$D$505,"&lt;&gt;"))</f>
        <v/>
      </c>
      <c r="E625" t="str">
        <f>IF(A625="","",IF(SUMPRODUCT((Ввод!$F$12:$F$31&lt;&gt;"")*(Ввод!$F$12:$F$31&lt;=A625)*(Ввод!$G$12:$G$31&gt;=A625))&gt;0,1,0))</f>
        <v/>
      </c>
      <c r="G625" t="str">
        <f t="shared" si="19"/>
        <v/>
      </c>
    </row>
    <row r="626" spans="1:7" x14ac:dyDescent="0.3">
      <c r="A626" s="21" t="str">
        <f>IF(A625="","",IF(A625+1&gt;Ввод!$B$4,"",A625+1))</f>
        <v/>
      </c>
      <c r="B626" s="23" t="str">
        <f>IF(A626="","",IFERROR(INDEX(Ввод!$B$12:$B$71,MATCH(A626,Ввод!$D$12:$D$71,1)),""))</f>
        <v/>
      </c>
      <c r="C626" t="str">
        <f t="shared" si="18"/>
        <v/>
      </c>
      <c r="D626" t="str">
        <f>IF(A626="","",SUMIFS(Акты!$D$5:$D$16,Акты!$E$5:$E$16,"&lt;="&amp;A626)-SUMIFS(Оплаты!$B$6:$B$505,Оплаты!$A$6:$A$505,"&lt;"&amp;A626,Оплаты!$D$6:$D$505,"&lt;&gt;"))</f>
        <v/>
      </c>
      <c r="E626" t="str">
        <f>IF(A626="","",IF(SUMPRODUCT((Ввод!$F$12:$F$31&lt;&gt;"")*(Ввод!$F$12:$F$31&lt;=A626)*(Ввод!$G$12:$G$31&gt;=A626))&gt;0,1,0))</f>
        <v/>
      </c>
      <c r="G626" t="str">
        <f t="shared" si="19"/>
        <v/>
      </c>
    </row>
    <row r="627" spans="1:7" x14ac:dyDescent="0.3">
      <c r="A627" s="21" t="str">
        <f>IF(A626="","",IF(A626+1&gt;Ввод!$B$4,"",A626+1))</f>
        <v/>
      </c>
      <c r="B627" s="23" t="str">
        <f>IF(A627="","",IFERROR(INDEX(Ввод!$B$12:$B$71,MATCH(A627,Ввод!$D$12:$D$71,1)),""))</f>
        <v/>
      </c>
      <c r="C627" t="str">
        <f t="shared" si="18"/>
        <v/>
      </c>
      <c r="D627" t="str">
        <f>IF(A627="","",SUMIFS(Акты!$D$5:$D$16,Акты!$E$5:$E$16,"&lt;="&amp;A627)-SUMIFS(Оплаты!$B$6:$B$505,Оплаты!$A$6:$A$505,"&lt;"&amp;A627,Оплаты!$D$6:$D$505,"&lt;&gt;"))</f>
        <v/>
      </c>
      <c r="E627" t="str">
        <f>IF(A627="","",IF(SUMPRODUCT((Ввод!$F$12:$F$31&lt;&gt;"")*(Ввод!$F$12:$F$31&lt;=A627)*(Ввод!$G$12:$G$31&gt;=A627))&gt;0,1,0))</f>
        <v/>
      </c>
      <c r="G627" t="str">
        <f t="shared" si="19"/>
        <v/>
      </c>
    </row>
    <row r="628" spans="1:7" x14ac:dyDescent="0.3">
      <c r="A628" s="21" t="str">
        <f>IF(A627="","",IF(A627+1&gt;Ввод!$B$4,"",A627+1))</f>
        <v/>
      </c>
      <c r="B628" s="23" t="str">
        <f>IF(A628="","",IFERROR(INDEX(Ввод!$B$12:$B$71,MATCH(A628,Ввод!$D$12:$D$71,1)),""))</f>
        <v/>
      </c>
      <c r="C628" t="str">
        <f t="shared" si="18"/>
        <v/>
      </c>
      <c r="D628" t="str">
        <f>IF(A628="","",SUMIFS(Акты!$D$5:$D$16,Акты!$E$5:$E$16,"&lt;="&amp;A628)-SUMIFS(Оплаты!$B$6:$B$505,Оплаты!$A$6:$A$505,"&lt;"&amp;A628,Оплаты!$D$6:$D$505,"&lt;&gt;"))</f>
        <v/>
      </c>
      <c r="E628" t="str">
        <f>IF(A628="","",IF(SUMPRODUCT((Ввод!$F$12:$F$31&lt;&gt;"")*(Ввод!$F$12:$F$31&lt;=A628)*(Ввод!$G$12:$G$31&gt;=A628))&gt;0,1,0))</f>
        <v/>
      </c>
      <c r="G628" t="str">
        <f t="shared" si="19"/>
        <v/>
      </c>
    </row>
    <row r="629" spans="1:7" x14ac:dyDescent="0.3">
      <c r="A629" s="21" t="str">
        <f>IF(A628="","",IF(A628+1&gt;Ввод!$B$4,"",A628+1))</f>
        <v/>
      </c>
      <c r="B629" s="23" t="str">
        <f>IF(A629="","",IFERROR(INDEX(Ввод!$B$12:$B$71,MATCH(A629,Ввод!$D$12:$D$71,1)),""))</f>
        <v/>
      </c>
      <c r="C629" t="str">
        <f t="shared" si="18"/>
        <v/>
      </c>
      <c r="D629" t="str">
        <f>IF(A629="","",SUMIFS(Акты!$D$5:$D$16,Акты!$E$5:$E$16,"&lt;="&amp;A629)-SUMIFS(Оплаты!$B$6:$B$505,Оплаты!$A$6:$A$505,"&lt;"&amp;A629,Оплаты!$D$6:$D$505,"&lt;&gt;"))</f>
        <v/>
      </c>
      <c r="E629" t="str">
        <f>IF(A629="","",IF(SUMPRODUCT((Ввод!$F$12:$F$31&lt;&gt;"")*(Ввод!$F$12:$F$31&lt;=A629)*(Ввод!$G$12:$G$31&gt;=A629))&gt;0,1,0))</f>
        <v/>
      </c>
      <c r="G629" t="str">
        <f t="shared" si="19"/>
        <v/>
      </c>
    </row>
    <row r="630" spans="1:7" x14ac:dyDescent="0.3">
      <c r="A630" s="21" t="str">
        <f>IF(A629="","",IF(A629+1&gt;Ввод!$B$4,"",A629+1))</f>
        <v/>
      </c>
      <c r="B630" s="23" t="str">
        <f>IF(A630="","",IFERROR(INDEX(Ввод!$B$12:$B$71,MATCH(A630,Ввод!$D$12:$D$71,1)),""))</f>
        <v/>
      </c>
      <c r="C630" t="str">
        <f t="shared" si="18"/>
        <v/>
      </c>
      <c r="D630" t="str">
        <f>IF(A630="","",SUMIFS(Акты!$D$5:$D$16,Акты!$E$5:$E$16,"&lt;="&amp;A630)-SUMIFS(Оплаты!$B$6:$B$505,Оплаты!$A$6:$A$505,"&lt;"&amp;A630,Оплаты!$D$6:$D$505,"&lt;&gt;"))</f>
        <v/>
      </c>
      <c r="E630" t="str">
        <f>IF(A630="","",IF(SUMPRODUCT((Ввод!$F$12:$F$31&lt;&gt;"")*(Ввод!$F$12:$F$31&lt;=A630)*(Ввод!$G$12:$G$31&gt;=A630))&gt;0,1,0))</f>
        <v/>
      </c>
      <c r="G630" t="str">
        <f t="shared" si="19"/>
        <v/>
      </c>
    </row>
    <row r="631" spans="1:7" x14ac:dyDescent="0.3">
      <c r="A631" s="21" t="str">
        <f>IF(A630="","",IF(A630+1&gt;Ввод!$B$4,"",A630+1))</f>
        <v/>
      </c>
      <c r="B631" s="23" t="str">
        <f>IF(A631="","",IFERROR(INDEX(Ввод!$B$12:$B$71,MATCH(A631,Ввод!$D$12:$D$71,1)),""))</f>
        <v/>
      </c>
      <c r="C631" t="str">
        <f t="shared" si="18"/>
        <v/>
      </c>
      <c r="D631" t="str">
        <f>IF(A631="","",SUMIFS(Акты!$D$5:$D$16,Акты!$E$5:$E$16,"&lt;="&amp;A631)-SUMIFS(Оплаты!$B$6:$B$505,Оплаты!$A$6:$A$505,"&lt;"&amp;A631,Оплаты!$D$6:$D$505,"&lt;&gt;"))</f>
        <v/>
      </c>
      <c r="E631" t="str">
        <f>IF(A631="","",IF(SUMPRODUCT((Ввод!$F$12:$F$31&lt;&gt;"")*(Ввод!$F$12:$F$31&lt;=A631)*(Ввод!$G$12:$G$31&gt;=A631))&gt;0,1,0))</f>
        <v/>
      </c>
      <c r="G631" t="str">
        <f t="shared" si="19"/>
        <v/>
      </c>
    </row>
    <row r="632" spans="1:7" x14ac:dyDescent="0.3">
      <c r="A632" s="21" t="str">
        <f>IF(A631="","",IF(A631+1&gt;Ввод!$B$4,"",A631+1))</f>
        <v/>
      </c>
      <c r="B632" s="23" t="str">
        <f>IF(A632="","",IFERROR(INDEX(Ввод!$B$12:$B$71,MATCH(A632,Ввод!$D$12:$D$71,1)),""))</f>
        <v/>
      </c>
      <c r="C632" t="str">
        <f t="shared" si="18"/>
        <v/>
      </c>
      <c r="D632" t="str">
        <f>IF(A632="","",SUMIFS(Акты!$D$5:$D$16,Акты!$E$5:$E$16,"&lt;="&amp;A632)-SUMIFS(Оплаты!$B$6:$B$505,Оплаты!$A$6:$A$505,"&lt;"&amp;A632,Оплаты!$D$6:$D$505,"&lt;&gt;"))</f>
        <v/>
      </c>
      <c r="E632" t="str">
        <f>IF(A632="","",IF(SUMPRODUCT((Ввод!$F$12:$F$31&lt;&gt;"")*(Ввод!$F$12:$F$31&lt;=A632)*(Ввод!$G$12:$G$31&gt;=A632))&gt;0,1,0))</f>
        <v/>
      </c>
      <c r="G632" t="str">
        <f t="shared" si="19"/>
        <v/>
      </c>
    </row>
    <row r="633" spans="1:7" x14ac:dyDescent="0.3">
      <c r="A633" s="21" t="str">
        <f>IF(A632="","",IF(A632+1&gt;Ввод!$B$4,"",A632+1))</f>
        <v/>
      </c>
      <c r="B633" s="23" t="str">
        <f>IF(A633="","",IFERROR(INDEX(Ввод!$B$12:$B$71,MATCH(A633,Ввод!$D$12:$D$71,1)),""))</f>
        <v/>
      </c>
      <c r="C633" t="str">
        <f t="shared" si="18"/>
        <v/>
      </c>
      <c r="D633" t="str">
        <f>IF(A633="","",SUMIFS(Акты!$D$5:$D$16,Акты!$E$5:$E$16,"&lt;="&amp;A633)-SUMIFS(Оплаты!$B$6:$B$505,Оплаты!$A$6:$A$505,"&lt;"&amp;A633,Оплаты!$D$6:$D$505,"&lt;&gt;"))</f>
        <v/>
      </c>
      <c r="E633" t="str">
        <f>IF(A633="","",IF(SUMPRODUCT((Ввод!$F$12:$F$31&lt;&gt;"")*(Ввод!$F$12:$F$31&lt;=A633)*(Ввод!$G$12:$G$31&gt;=A633))&gt;0,1,0))</f>
        <v/>
      </c>
      <c r="G633" t="str">
        <f t="shared" si="19"/>
        <v/>
      </c>
    </row>
    <row r="634" spans="1:7" x14ac:dyDescent="0.3">
      <c r="A634" s="21" t="str">
        <f>IF(A633="","",IF(A633+1&gt;Ввод!$B$4,"",A633+1))</f>
        <v/>
      </c>
      <c r="B634" s="23" t="str">
        <f>IF(A634="","",IFERROR(INDEX(Ввод!$B$12:$B$71,MATCH(A634,Ввод!$D$12:$D$71,1)),""))</f>
        <v/>
      </c>
      <c r="C634" t="str">
        <f t="shared" si="18"/>
        <v/>
      </c>
      <c r="D634" t="str">
        <f>IF(A634="","",SUMIFS(Акты!$D$5:$D$16,Акты!$E$5:$E$16,"&lt;="&amp;A634)-SUMIFS(Оплаты!$B$6:$B$505,Оплаты!$A$6:$A$505,"&lt;"&amp;A634,Оплаты!$D$6:$D$505,"&lt;&gt;"))</f>
        <v/>
      </c>
      <c r="E634" t="str">
        <f>IF(A634="","",IF(SUMPRODUCT((Ввод!$F$12:$F$31&lt;&gt;"")*(Ввод!$F$12:$F$31&lt;=A634)*(Ввод!$G$12:$G$31&gt;=A634))&gt;0,1,0))</f>
        <v/>
      </c>
      <c r="G634" t="str">
        <f t="shared" si="19"/>
        <v/>
      </c>
    </row>
    <row r="635" spans="1:7" x14ac:dyDescent="0.3">
      <c r="A635" s="21" t="str">
        <f>IF(A634="","",IF(A634+1&gt;Ввод!$B$4,"",A634+1))</f>
        <v/>
      </c>
      <c r="B635" s="23" t="str">
        <f>IF(A635="","",IFERROR(INDEX(Ввод!$B$12:$B$71,MATCH(A635,Ввод!$D$12:$D$71,1)),""))</f>
        <v/>
      </c>
      <c r="C635" t="str">
        <f t="shared" si="18"/>
        <v/>
      </c>
      <c r="D635" t="str">
        <f>IF(A635="","",SUMIFS(Акты!$D$5:$D$16,Акты!$E$5:$E$16,"&lt;="&amp;A635)-SUMIFS(Оплаты!$B$6:$B$505,Оплаты!$A$6:$A$505,"&lt;"&amp;A635,Оплаты!$D$6:$D$505,"&lt;&gt;"))</f>
        <v/>
      </c>
      <c r="E635" t="str">
        <f>IF(A635="","",IF(SUMPRODUCT((Ввод!$F$12:$F$31&lt;&gt;"")*(Ввод!$F$12:$F$31&lt;=A635)*(Ввод!$G$12:$G$31&gt;=A635))&gt;0,1,0))</f>
        <v/>
      </c>
      <c r="G635" t="str">
        <f t="shared" si="19"/>
        <v/>
      </c>
    </row>
    <row r="636" spans="1:7" x14ac:dyDescent="0.3">
      <c r="A636" s="21" t="str">
        <f>IF(A635="","",IF(A635+1&gt;Ввод!$B$4,"",A635+1))</f>
        <v/>
      </c>
      <c r="B636" s="23" t="str">
        <f>IF(A636="","",IFERROR(INDEX(Ввод!$B$12:$B$71,MATCH(A636,Ввод!$D$12:$D$71,1)),""))</f>
        <v/>
      </c>
      <c r="C636" t="str">
        <f t="shared" si="18"/>
        <v/>
      </c>
      <c r="D636" t="str">
        <f>IF(A636="","",SUMIFS(Акты!$D$5:$D$16,Акты!$E$5:$E$16,"&lt;="&amp;A636)-SUMIFS(Оплаты!$B$6:$B$505,Оплаты!$A$6:$A$505,"&lt;"&amp;A636,Оплаты!$D$6:$D$505,"&lt;&gt;"))</f>
        <v/>
      </c>
      <c r="E636" t="str">
        <f>IF(A636="","",IF(SUMPRODUCT((Ввод!$F$12:$F$31&lt;&gt;"")*(Ввод!$F$12:$F$31&lt;=A636)*(Ввод!$G$12:$G$31&gt;=A636))&gt;0,1,0))</f>
        <v/>
      </c>
      <c r="G636" t="str">
        <f t="shared" si="19"/>
        <v/>
      </c>
    </row>
    <row r="637" spans="1:7" x14ac:dyDescent="0.3">
      <c r="A637" s="21" t="str">
        <f>IF(A636="","",IF(A636+1&gt;Ввод!$B$4,"",A636+1))</f>
        <v/>
      </c>
      <c r="B637" s="23" t="str">
        <f>IF(A637="","",IFERROR(INDEX(Ввод!$B$12:$B$71,MATCH(A637,Ввод!$D$12:$D$71,1)),""))</f>
        <v/>
      </c>
      <c r="C637" t="str">
        <f t="shared" si="18"/>
        <v/>
      </c>
      <c r="D637" t="str">
        <f>IF(A637="","",SUMIFS(Акты!$D$5:$D$16,Акты!$E$5:$E$16,"&lt;="&amp;A637)-SUMIFS(Оплаты!$B$6:$B$505,Оплаты!$A$6:$A$505,"&lt;"&amp;A637,Оплаты!$D$6:$D$505,"&lt;&gt;"))</f>
        <v/>
      </c>
      <c r="E637" t="str">
        <f>IF(A637="","",IF(SUMPRODUCT((Ввод!$F$12:$F$31&lt;&gt;"")*(Ввод!$F$12:$F$31&lt;=A637)*(Ввод!$G$12:$G$31&gt;=A637))&gt;0,1,0))</f>
        <v/>
      </c>
      <c r="G637" t="str">
        <f t="shared" si="19"/>
        <v/>
      </c>
    </row>
    <row r="638" spans="1:7" x14ac:dyDescent="0.3">
      <c r="A638" s="21" t="str">
        <f>IF(A637="","",IF(A637+1&gt;Ввод!$B$4,"",A637+1))</f>
        <v/>
      </c>
      <c r="B638" s="23" t="str">
        <f>IF(A638="","",IFERROR(INDEX(Ввод!$B$12:$B$71,MATCH(A638,Ввод!$D$12:$D$71,1)),""))</f>
        <v/>
      </c>
      <c r="C638" t="str">
        <f t="shared" si="18"/>
        <v/>
      </c>
      <c r="D638" t="str">
        <f>IF(A638="","",SUMIFS(Акты!$D$5:$D$16,Акты!$E$5:$E$16,"&lt;="&amp;A638)-SUMIFS(Оплаты!$B$6:$B$505,Оплаты!$A$6:$A$505,"&lt;"&amp;A638,Оплаты!$D$6:$D$505,"&lt;&gt;"))</f>
        <v/>
      </c>
      <c r="E638" t="str">
        <f>IF(A638="","",IF(SUMPRODUCT((Ввод!$F$12:$F$31&lt;&gt;"")*(Ввод!$F$12:$F$31&lt;=A638)*(Ввод!$G$12:$G$31&gt;=A638))&gt;0,1,0))</f>
        <v/>
      </c>
      <c r="G638" t="str">
        <f t="shared" si="19"/>
        <v/>
      </c>
    </row>
    <row r="639" spans="1:7" x14ac:dyDescent="0.3">
      <c r="A639" s="21" t="str">
        <f>IF(A638="","",IF(A638+1&gt;Ввод!$B$4,"",A638+1))</f>
        <v/>
      </c>
      <c r="B639" s="23" t="str">
        <f>IF(A639="","",IFERROR(INDEX(Ввод!$B$12:$B$71,MATCH(A639,Ввод!$D$12:$D$71,1)),""))</f>
        <v/>
      </c>
      <c r="C639" t="str">
        <f t="shared" si="18"/>
        <v/>
      </c>
      <c r="D639" t="str">
        <f>IF(A639="","",SUMIFS(Акты!$D$5:$D$16,Акты!$E$5:$E$16,"&lt;="&amp;A639)-SUMIFS(Оплаты!$B$6:$B$505,Оплаты!$A$6:$A$505,"&lt;"&amp;A639,Оплаты!$D$6:$D$505,"&lt;&gt;"))</f>
        <v/>
      </c>
      <c r="E639" t="str">
        <f>IF(A639="","",IF(SUMPRODUCT((Ввод!$F$12:$F$31&lt;&gt;"")*(Ввод!$F$12:$F$31&lt;=A639)*(Ввод!$G$12:$G$31&gt;=A639))&gt;0,1,0))</f>
        <v/>
      </c>
      <c r="G639" t="str">
        <f t="shared" si="19"/>
        <v/>
      </c>
    </row>
    <row r="640" spans="1:7" x14ac:dyDescent="0.3">
      <c r="A640" s="21" t="str">
        <f>IF(A639="","",IF(A639+1&gt;Ввод!$B$4,"",A639+1))</f>
        <v/>
      </c>
      <c r="B640" s="23" t="str">
        <f>IF(A640="","",IFERROR(INDEX(Ввод!$B$12:$B$71,MATCH(A640,Ввод!$D$12:$D$71,1)),""))</f>
        <v/>
      </c>
      <c r="C640" t="str">
        <f t="shared" si="18"/>
        <v/>
      </c>
      <c r="D640" t="str">
        <f>IF(A640="","",SUMIFS(Акты!$D$5:$D$16,Акты!$E$5:$E$16,"&lt;="&amp;A640)-SUMIFS(Оплаты!$B$6:$B$505,Оплаты!$A$6:$A$505,"&lt;"&amp;A640,Оплаты!$D$6:$D$505,"&lt;&gt;"))</f>
        <v/>
      </c>
      <c r="E640" t="str">
        <f>IF(A640="","",IF(SUMPRODUCT((Ввод!$F$12:$F$31&lt;&gt;"")*(Ввод!$F$12:$F$31&lt;=A640)*(Ввод!$G$12:$G$31&gt;=A640))&gt;0,1,0))</f>
        <v/>
      </c>
      <c r="G640" t="str">
        <f t="shared" si="19"/>
        <v/>
      </c>
    </row>
    <row r="641" spans="1:7" x14ac:dyDescent="0.3">
      <c r="A641" s="21" t="str">
        <f>IF(A640="","",IF(A640+1&gt;Ввод!$B$4,"",A640+1))</f>
        <v/>
      </c>
      <c r="B641" s="23" t="str">
        <f>IF(A641="","",IFERROR(INDEX(Ввод!$B$12:$B$71,MATCH(A641,Ввод!$D$12:$D$71,1)),""))</f>
        <v/>
      </c>
      <c r="C641" t="str">
        <f t="shared" si="18"/>
        <v/>
      </c>
      <c r="D641" t="str">
        <f>IF(A641="","",SUMIFS(Акты!$D$5:$D$16,Акты!$E$5:$E$16,"&lt;="&amp;A641)-SUMIFS(Оплаты!$B$6:$B$505,Оплаты!$A$6:$A$505,"&lt;"&amp;A641,Оплаты!$D$6:$D$505,"&lt;&gt;"))</f>
        <v/>
      </c>
      <c r="E641" t="str">
        <f>IF(A641="","",IF(SUMPRODUCT((Ввод!$F$12:$F$31&lt;&gt;"")*(Ввод!$F$12:$F$31&lt;=A641)*(Ввод!$G$12:$G$31&gt;=A641))&gt;0,1,0))</f>
        <v/>
      </c>
      <c r="G641" t="str">
        <f t="shared" si="19"/>
        <v/>
      </c>
    </row>
    <row r="642" spans="1:7" x14ac:dyDescent="0.3">
      <c r="A642" s="21" t="str">
        <f>IF(A641="","",IF(A641+1&gt;Ввод!$B$4,"",A641+1))</f>
        <v/>
      </c>
      <c r="B642" s="23" t="str">
        <f>IF(A642="","",IFERROR(INDEX(Ввод!$B$12:$B$71,MATCH(A642,Ввод!$D$12:$D$71,1)),""))</f>
        <v/>
      </c>
      <c r="C642" t="str">
        <f t="shared" ref="C642:C705" si="20">IF(A642="","",DATE(YEAR(A642),12,31)-DATE(YEAR(A642),1,1)+1)</f>
        <v/>
      </c>
      <c r="D642" t="str">
        <f>IF(A642="","",SUMIFS(Акты!$D$5:$D$16,Акты!$E$5:$E$16,"&lt;="&amp;A642)-SUMIFS(Оплаты!$B$6:$B$505,Оплаты!$A$6:$A$505,"&lt;"&amp;A642,Оплаты!$D$6:$D$505,"&lt;&gt;"))</f>
        <v/>
      </c>
      <c r="E642" t="str">
        <f>IF(A642="","",IF(SUMPRODUCT((Ввод!$F$12:$F$31&lt;&gt;"")*(Ввод!$F$12:$F$31&lt;=A642)*(Ввод!$G$12:$G$31&gt;=A642))&gt;0,1,0))</f>
        <v/>
      </c>
      <c r="G642" t="str">
        <f t="shared" si="19"/>
        <v/>
      </c>
    </row>
    <row r="643" spans="1:7" x14ac:dyDescent="0.3">
      <c r="A643" s="21" t="str">
        <f>IF(A642="","",IF(A642+1&gt;Ввод!$B$4,"",A642+1))</f>
        <v/>
      </c>
      <c r="B643" s="23" t="str">
        <f>IF(A643="","",IFERROR(INDEX(Ввод!$B$12:$B$71,MATCH(A643,Ввод!$D$12:$D$71,1)),""))</f>
        <v/>
      </c>
      <c r="C643" t="str">
        <f t="shared" si="20"/>
        <v/>
      </c>
      <c r="D643" t="str">
        <f>IF(A643="","",SUMIFS(Акты!$D$5:$D$16,Акты!$E$5:$E$16,"&lt;="&amp;A643)-SUMIFS(Оплаты!$B$6:$B$505,Оплаты!$A$6:$A$505,"&lt;"&amp;A643,Оплаты!$D$6:$D$505,"&lt;&gt;"))</f>
        <v/>
      </c>
      <c r="E643" t="str">
        <f>IF(A643="","",IF(SUMPRODUCT((Ввод!$F$12:$F$31&lt;&gt;"")*(Ввод!$F$12:$F$31&lt;=A643)*(Ввод!$G$12:$G$31&gt;=A643))&gt;0,1,0))</f>
        <v/>
      </c>
      <c r="G643" t="str">
        <f t="shared" ref="G643:G706" si="21">IF(A643="","",IF(OR(B643&lt;&gt;B642,C643&lt;&gt;C642,E643&lt;&gt;E642),G642+1,G642))</f>
        <v/>
      </c>
    </row>
    <row r="644" spans="1:7" x14ac:dyDescent="0.3">
      <c r="A644" s="21" t="str">
        <f>IF(A643="","",IF(A643+1&gt;Ввод!$B$4,"",A643+1))</f>
        <v/>
      </c>
      <c r="B644" s="23" t="str">
        <f>IF(A644="","",IFERROR(INDEX(Ввод!$B$12:$B$71,MATCH(A644,Ввод!$D$12:$D$71,1)),""))</f>
        <v/>
      </c>
      <c r="C644" t="str">
        <f t="shared" si="20"/>
        <v/>
      </c>
      <c r="D644" t="str">
        <f>IF(A644="","",SUMIFS(Акты!$D$5:$D$16,Акты!$E$5:$E$16,"&lt;="&amp;A644)-SUMIFS(Оплаты!$B$6:$B$505,Оплаты!$A$6:$A$505,"&lt;"&amp;A644,Оплаты!$D$6:$D$505,"&lt;&gt;"))</f>
        <v/>
      </c>
      <c r="E644" t="str">
        <f>IF(A644="","",IF(SUMPRODUCT((Ввод!$F$12:$F$31&lt;&gt;"")*(Ввод!$F$12:$F$31&lt;=A644)*(Ввод!$G$12:$G$31&gt;=A644))&gt;0,1,0))</f>
        <v/>
      </c>
      <c r="G644" t="str">
        <f t="shared" si="21"/>
        <v/>
      </c>
    </row>
    <row r="645" spans="1:7" x14ac:dyDescent="0.3">
      <c r="A645" s="21" t="str">
        <f>IF(A644="","",IF(A644+1&gt;Ввод!$B$4,"",A644+1))</f>
        <v/>
      </c>
      <c r="B645" s="23" t="str">
        <f>IF(A645="","",IFERROR(INDEX(Ввод!$B$12:$B$71,MATCH(A645,Ввод!$D$12:$D$71,1)),""))</f>
        <v/>
      </c>
      <c r="C645" t="str">
        <f t="shared" si="20"/>
        <v/>
      </c>
      <c r="D645" t="str">
        <f>IF(A645="","",SUMIFS(Акты!$D$5:$D$16,Акты!$E$5:$E$16,"&lt;="&amp;A645)-SUMIFS(Оплаты!$B$6:$B$505,Оплаты!$A$6:$A$505,"&lt;"&amp;A645,Оплаты!$D$6:$D$505,"&lt;&gt;"))</f>
        <v/>
      </c>
      <c r="E645" t="str">
        <f>IF(A645="","",IF(SUMPRODUCT((Ввод!$F$12:$F$31&lt;&gt;"")*(Ввод!$F$12:$F$31&lt;=A645)*(Ввод!$G$12:$G$31&gt;=A645))&gt;0,1,0))</f>
        <v/>
      </c>
      <c r="G645" t="str">
        <f t="shared" si="21"/>
        <v/>
      </c>
    </row>
    <row r="646" spans="1:7" x14ac:dyDescent="0.3">
      <c r="A646" s="21" t="str">
        <f>IF(A645="","",IF(A645+1&gt;Ввод!$B$4,"",A645+1))</f>
        <v/>
      </c>
      <c r="B646" s="23" t="str">
        <f>IF(A646="","",IFERROR(INDEX(Ввод!$B$12:$B$71,MATCH(A646,Ввод!$D$12:$D$71,1)),""))</f>
        <v/>
      </c>
      <c r="C646" t="str">
        <f t="shared" si="20"/>
        <v/>
      </c>
      <c r="D646" t="str">
        <f>IF(A646="","",SUMIFS(Акты!$D$5:$D$16,Акты!$E$5:$E$16,"&lt;="&amp;A646)-SUMIFS(Оплаты!$B$6:$B$505,Оплаты!$A$6:$A$505,"&lt;"&amp;A646,Оплаты!$D$6:$D$505,"&lt;&gt;"))</f>
        <v/>
      </c>
      <c r="E646" t="str">
        <f>IF(A646="","",IF(SUMPRODUCT((Ввод!$F$12:$F$31&lt;&gt;"")*(Ввод!$F$12:$F$31&lt;=A646)*(Ввод!$G$12:$G$31&gt;=A646))&gt;0,1,0))</f>
        <v/>
      </c>
      <c r="G646" t="str">
        <f t="shared" si="21"/>
        <v/>
      </c>
    </row>
    <row r="647" spans="1:7" x14ac:dyDescent="0.3">
      <c r="A647" s="21" t="str">
        <f>IF(A646="","",IF(A646+1&gt;Ввод!$B$4,"",A646+1))</f>
        <v/>
      </c>
      <c r="B647" s="23" t="str">
        <f>IF(A647="","",IFERROR(INDEX(Ввод!$B$12:$B$71,MATCH(A647,Ввод!$D$12:$D$71,1)),""))</f>
        <v/>
      </c>
      <c r="C647" t="str">
        <f t="shared" si="20"/>
        <v/>
      </c>
      <c r="D647" t="str">
        <f>IF(A647="","",SUMIFS(Акты!$D$5:$D$16,Акты!$E$5:$E$16,"&lt;="&amp;A647)-SUMIFS(Оплаты!$B$6:$B$505,Оплаты!$A$6:$A$505,"&lt;"&amp;A647,Оплаты!$D$6:$D$505,"&lt;&gt;"))</f>
        <v/>
      </c>
      <c r="E647" t="str">
        <f>IF(A647="","",IF(SUMPRODUCT((Ввод!$F$12:$F$31&lt;&gt;"")*(Ввод!$F$12:$F$31&lt;=A647)*(Ввод!$G$12:$G$31&gt;=A647))&gt;0,1,0))</f>
        <v/>
      </c>
      <c r="G647" t="str">
        <f t="shared" si="21"/>
        <v/>
      </c>
    </row>
    <row r="648" spans="1:7" x14ac:dyDescent="0.3">
      <c r="A648" s="21" t="str">
        <f>IF(A647="","",IF(A647+1&gt;Ввод!$B$4,"",A647+1))</f>
        <v/>
      </c>
      <c r="B648" s="23" t="str">
        <f>IF(A648="","",IFERROR(INDEX(Ввод!$B$12:$B$71,MATCH(A648,Ввод!$D$12:$D$71,1)),""))</f>
        <v/>
      </c>
      <c r="C648" t="str">
        <f t="shared" si="20"/>
        <v/>
      </c>
      <c r="D648" t="str">
        <f>IF(A648="","",SUMIFS(Акты!$D$5:$D$16,Акты!$E$5:$E$16,"&lt;="&amp;A648)-SUMIFS(Оплаты!$B$6:$B$505,Оплаты!$A$6:$A$505,"&lt;"&amp;A648,Оплаты!$D$6:$D$505,"&lt;&gt;"))</f>
        <v/>
      </c>
      <c r="E648" t="str">
        <f>IF(A648="","",IF(SUMPRODUCT((Ввод!$F$12:$F$31&lt;&gt;"")*(Ввод!$F$12:$F$31&lt;=A648)*(Ввод!$G$12:$G$31&gt;=A648))&gt;0,1,0))</f>
        <v/>
      </c>
      <c r="G648" t="str">
        <f t="shared" si="21"/>
        <v/>
      </c>
    </row>
    <row r="649" spans="1:7" x14ac:dyDescent="0.3">
      <c r="A649" s="21" t="str">
        <f>IF(A648="","",IF(A648+1&gt;Ввод!$B$4,"",A648+1))</f>
        <v/>
      </c>
      <c r="B649" s="23" t="str">
        <f>IF(A649="","",IFERROR(INDEX(Ввод!$B$12:$B$71,MATCH(A649,Ввод!$D$12:$D$71,1)),""))</f>
        <v/>
      </c>
      <c r="C649" t="str">
        <f t="shared" si="20"/>
        <v/>
      </c>
      <c r="D649" t="str">
        <f>IF(A649="","",SUMIFS(Акты!$D$5:$D$16,Акты!$E$5:$E$16,"&lt;="&amp;A649)-SUMIFS(Оплаты!$B$6:$B$505,Оплаты!$A$6:$A$505,"&lt;"&amp;A649,Оплаты!$D$6:$D$505,"&lt;&gt;"))</f>
        <v/>
      </c>
      <c r="E649" t="str">
        <f>IF(A649="","",IF(SUMPRODUCT((Ввод!$F$12:$F$31&lt;&gt;"")*(Ввод!$F$12:$F$31&lt;=A649)*(Ввод!$G$12:$G$31&gt;=A649))&gt;0,1,0))</f>
        <v/>
      </c>
      <c r="G649" t="str">
        <f t="shared" si="21"/>
        <v/>
      </c>
    </row>
    <row r="650" spans="1:7" x14ac:dyDescent="0.3">
      <c r="A650" s="21" t="str">
        <f>IF(A649="","",IF(A649+1&gt;Ввод!$B$4,"",A649+1))</f>
        <v/>
      </c>
      <c r="B650" s="23" t="str">
        <f>IF(A650="","",IFERROR(INDEX(Ввод!$B$12:$B$71,MATCH(A650,Ввод!$D$12:$D$71,1)),""))</f>
        <v/>
      </c>
      <c r="C650" t="str">
        <f t="shared" si="20"/>
        <v/>
      </c>
      <c r="D650" t="str">
        <f>IF(A650="","",SUMIFS(Акты!$D$5:$D$16,Акты!$E$5:$E$16,"&lt;="&amp;A650)-SUMIFS(Оплаты!$B$6:$B$505,Оплаты!$A$6:$A$505,"&lt;"&amp;A650,Оплаты!$D$6:$D$505,"&lt;&gt;"))</f>
        <v/>
      </c>
      <c r="E650" t="str">
        <f>IF(A650="","",IF(SUMPRODUCT((Ввод!$F$12:$F$31&lt;&gt;"")*(Ввод!$F$12:$F$31&lt;=A650)*(Ввод!$G$12:$G$31&gt;=A650))&gt;0,1,0))</f>
        <v/>
      </c>
      <c r="G650" t="str">
        <f t="shared" si="21"/>
        <v/>
      </c>
    </row>
    <row r="651" spans="1:7" x14ac:dyDescent="0.3">
      <c r="A651" s="21" t="str">
        <f>IF(A650="","",IF(A650+1&gt;Ввод!$B$4,"",A650+1))</f>
        <v/>
      </c>
      <c r="B651" s="23" t="str">
        <f>IF(A651="","",IFERROR(INDEX(Ввод!$B$12:$B$71,MATCH(A651,Ввод!$D$12:$D$71,1)),""))</f>
        <v/>
      </c>
      <c r="C651" t="str">
        <f t="shared" si="20"/>
        <v/>
      </c>
      <c r="D651" t="str">
        <f>IF(A651="","",SUMIFS(Акты!$D$5:$D$16,Акты!$E$5:$E$16,"&lt;="&amp;A651)-SUMIFS(Оплаты!$B$6:$B$505,Оплаты!$A$6:$A$505,"&lt;"&amp;A651,Оплаты!$D$6:$D$505,"&lt;&gt;"))</f>
        <v/>
      </c>
      <c r="E651" t="str">
        <f>IF(A651="","",IF(SUMPRODUCT((Ввод!$F$12:$F$31&lt;&gt;"")*(Ввод!$F$12:$F$31&lt;=A651)*(Ввод!$G$12:$G$31&gt;=A651))&gt;0,1,0))</f>
        <v/>
      </c>
      <c r="G651" t="str">
        <f t="shared" si="21"/>
        <v/>
      </c>
    </row>
    <row r="652" spans="1:7" x14ac:dyDescent="0.3">
      <c r="A652" s="21" t="str">
        <f>IF(A651="","",IF(A651+1&gt;Ввод!$B$4,"",A651+1))</f>
        <v/>
      </c>
      <c r="B652" s="23" t="str">
        <f>IF(A652="","",IFERROR(INDEX(Ввод!$B$12:$B$71,MATCH(A652,Ввод!$D$12:$D$71,1)),""))</f>
        <v/>
      </c>
      <c r="C652" t="str">
        <f t="shared" si="20"/>
        <v/>
      </c>
      <c r="D652" t="str">
        <f>IF(A652="","",SUMIFS(Акты!$D$5:$D$16,Акты!$E$5:$E$16,"&lt;="&amp;A652)-SUMIFS(Оплаты!$B$6:$B$505,Оплаты!$A$6:$A$505,"&lt;"&amp;A652,Оплаты!$D$6:$D$505,"&lt;&gt;"))</f>
        <v/>
      </c>
      <c r="E652" t="str">
        <f>IF(A652="","",IF(SUMPRODUCT((Ввод!$F$12:$F$31&lt;&gt;"")*(Ввод!$F$12:$F$31&lt;=A652)*(Ввод!$G$12:$G$31&gt;=A652))&gt;0,1,0))</f>
        <v/>
      </c>
      <c r="G652" t="str">
        <f t="shared" si="21"/>
        <v/>
      </c>
    </row>
    <row r="653" spans="1:7" x14ac:dyDescent="0.3">
      <c r="A653" s="21" t="str">
        <f>IF(A652="","",IF(A652+1&gt;Ввод!$B$4,"",A652+1))</f>
        <v/>
      </c>
      <c r="B653" s="23" t="str">
        <f>IF(A653="","",IFERROR(INDEX(Ввод!$B$12:$B$71,MATCH(A653,Ввод!$D$12:$D$71,1)),""))</f>
        <v/>
      </c>
      <c r="C653" t="str">
        <f t="shared" si="20"/>
        <v/>
      </c>
      <c r="D653" t="str">
        <f>IF(A653="","",SUMIFS(Акты!$D$5:$D$16,Акты!$E$5:$E$16,"&lt;="&amp;A653)-SUMIFS(Оплаты!$B$6:$B$505,Оплаты!$A$6:$A$505,"&lt;"&amp;A653,Оплаты!$D$6:$D$505,"&lt;&gt;"))</f>
        <v/>
      </c>
      <c r="E653" t="str">
        <f>IF(A653="","",IF(SUMPRODUCT((Ввод!$F$12:$F$31&lt;&gt;"")*(Ввод!$F$12:$F$31&lt;=A653)*(Ввод!$G$12:$G$31&gt;=A653))&gt;0,1,0))</f>
        <v/>
      </c>
      <c r="G653" t="str">
        <f t="shared" si="21"/>
        <v/>
      </c>
    </row>
    <row r="654" spans="1:7" x14ac:dyDescent="0.3">
      <c r="A654" s="21" t="str">
        <f>IF(A653="","",IF(A653+1&gt;Ввод!$B$4,"",A653+1))</f>
        <v/>
      </c>
      <c r="B654" s="23" t="str">
        <f>IF(A654="","",IFERROR(INDEX(Ввод!$B$12:$B$71,MATCH(A654,Ввод!$D$12:$D$71,1)),""))</f>
        <v/>
      </c>
      <c r="C654" t="str">
        <f t="shared" si="20"/>
        <v/>
      </c>
      <c r="D654" t="str">
        <f>IF(A654="","",SUMIFS(Акты!$D$5:$D$16,Акты!$E$5:$E$16,"&lt;="&amp;A654)-SUMIFS(Оплаты!$B$6:$B$505,Оплаты!$A$6:$A$505,"&lt;"&amp;A654,Оплаты!$D$6:$D$505,"&lt;&gt;"))</f>
        <v/>
      </c>
      <c r="E654" t="str">
        <f>IF(A654="","",IF(SUMPRODUCT((Ввод!$F$12:$F$31&lt;&gt;"")*(Ввод!$F$12:$F$31&lt;=A654)*(Ввод!$G$12:$G$31&gt;=A654))&gt;0,1,0))</f>
        <v/>
      </c>
      <c r="G654" t="str">
        <f t="shared" si="21"/>
        <v/>
      </c>
    </row>
    <row r="655" spans="1:7" x14ac:dyDescent="0.3">
      <c r="A655" s="21" t="str">
        <f>IF(A654="","",IF(A654+1&gt;Ввод!$B$4,"",A654+1))</f>
        <v/>
      </c>
      <c r="B655" s="23" t="str">
        <f>IF(A655="","",IFERROR(INDEX(Ввод!$B$12:$B$71,MATCH(A655,Ввод!$D$12:$D$71,1)),""))</f>
        <v/>
      </c>
      <c r="C655" t="str">
        <f t="shared" si="20"/>
        <v/>
      </c>
      <c r="D655" t="str">
        <f>IF(A655="","",SUMIFS(Акты!$D$5:$D$16,Акты!$E$5:$E$16,"&lt;="&amp;A655)-SUMIFS(Оплаты!$B$6:$B$505,Оплаты!$A$6:$A$505,"&lt;"&amp;A655,Оплаты!$D$6:$D$505,"&lt;&gt;"))</f>
        <v/>
      </c>
      <c r="E655" t="str">
        <f>IF(A655="","",IF(SUMPRODUCT((Ввод!$F$12:$F$31&lt;&gt;"")*(Ввод!$F$12:$F$31&lt;=A655)*(Ввод!$G$12:$G$31&gt;=A655))&gt;0,1,0))</f>
        <v/>
      </c>
      <c r="G655" t="str">
        <f t="shared" si="21"/>
        <v/>
      </c>
    </row>
    <row r="656" spans="1:7" x14ac:dyDescent="0.3">
      <c r="A656" s="21" t="str">
        <f>IF(A655="","",IF(A655+1&gt;Ввод!$B$4,"",A655+1))</f>
        <v/>
      </c>
      <c r="B656" s="23" t="str">
        <f>IF(A656="","",IFERROR(INDEX(Ввод!$B$12:$B$71,MATCH(A656,Ввод!$D$12:$D$71,1)),""))</f>
        <v/>
      </c>
      <c r="C656" t="str">
        <f t="shared" si="20"/>
        <v/>
      </c>
      <c r="D656" t="str">
        <f>IF(A656="","",SUMIFS(Акты!$D$5:$D$16,Акты!$E$5:$E$16,"&lt;="&amp;A656)-SUMIFS(Оплаты!$B$6:$B$505,Оплаты!$A$6:$A$505,"&lt;"&amp;A656,Оплаты!$D$6:$D$505,"&lt;&gt;"))</f>
        <v/>
      </c>
      <c r="E656" t="str">
        <f>IF(A656="","",IF(SUMPRODUCT((Ввод!$F$12:$F$31&lt;&gt;"")*(Ввод!$F$12:$F$31&lt;=A656)*(Ввод!$G$12:$G$31&gt;=A656))&gt;0,1,0))</f>
        <v/>
      </c>
      <c r="G656" t="str">
        <f t="shared" si="21"/>
        <v/>
      </c>
    </row>
    <row r="657" spans="1:7" x14ac:dyDescent="0.3">
      <c r="A657" s="21" t="str">
        <f>IF(A656="","",IF(A656+1&gt;Ввод!$B$4,"",A656+1))</f>
        <v/>
      </c>
      <c r="B657" s="23" t="str">
        <f>IF(A657="","",IFERROR(INDEX(Ввод!$B$12:$B$71,MATCH(A657,Ввод!$D$12:$D$71,1)),""))</f>
        <v/>
      </c>
      <c r="C657" t="str">
        <f t="shared" si="20"/>
        <v/>
      </c>
      <c r="D657" t="str">
        <f>IF(A657="","",SUMIFS(Акты!$D$5:$D$16,Акты!$E$5:$E$16,"&lt;="&amp;A657)-SUMIFS(Оплаты!$B$6:$B$505,Оплаты!$A$6:$A$505,"&lt;"&amp;A657,Оплаты!$D$6:$D$505,"&lt;&gt;"))</f>
        <v/>
      </c>
      <c r="E657" t="str">
        <f>IF(A657="","",IF(SUMPRODUCT((Ввод!$F$12:$F$31&lt;&gt;"")*(Ввод!$F$12:$F$31&lt;=A657)*(Ввод!$G$12:$G$31&gt;=A657))&gt;0,1,0))</f>
        <v/>
      </c>
      <c r="G657" t="str">
        <f t="shared" si="21"/>
        <v/>
      </c>
    </row>
    <row r="658" spans="1:7" x14ac:dyDescent="0.3">
      <c r="A658" s="21" t="str">
        <f>IF(A657="","",IF(A657+1&gt;Ввод!$B$4,"",A657+1))</f>
        <v/>
      </c>
      <c r="B658" s="23" t="str">
        <f>IF(A658="","",IFERROR(INDEX(Ввод!$B$12:$B$71,MATCH(A658,Ввод!$D$12:$D$71,1)),""))</f>
        <v/>
      </c>
      <c r="C658" t="str">
        <f t="shared" si="20"/>
        <v/>
      </c>
      <c r="D658" t="str">
        <f>IF(A658="","",SUMIFS(Акты!$D$5:$D$16,Акты!$E$5:$E$16,"&lt;="&amp;A658)-SUMIFS(Оплаты!$B$6:$B$505,Оплаты!$A$6:$A$505,"&lt;"&amp;A658,Оплаты!$D$6:$D$505,"&lt;&gt;"))</f>
        <v/>
      </c>
      <c r="E658" t="str">
        <f>IF(A658="","",IF(SUMPRODUCT((Ввод!$F$12:$F$31&lt;&gt;"")*(Ввод!$F$12:$F$31&lt;=A658)*(Ввод!$G$12:$G$31&gt;=A658))&gt;0,1,0))</f>
        <v/>
      </c>
      <c r="G658" t="str">
        <f t="shared" si="21"/>
        <v/>
      </c>
    </row>
    <row r="659" spans="1:7" x14ac:dyDescent="0.3">
      <c r="A659" s="21" t="str">
        <f>IF(A658="","",IF(A658+1&gt;Ввод!$B$4,"",A658+1))</f>
        <v/>
      </c>
      <c r="B659" s="23" t="str">
        <f>IF(A659="","",IFERROR(INDEX(Ввод!$B$12:$B$71,MATCH(A659,Ввод!$D$12:$D$71,1)),""))</f>
        <v/>
      </c>
      <c r="C659" t="str">
        <f t="shared" si="20"/>
        <v/>
      </c>
      <c r="D659" t="str">
        <f>IF(A659="","",SUMIFS(Акты!$D$5:$D$16,Акты!$E$5:$E$16,"&lt;="&amp;A659)-SUMIFS(Оплаты!$B$6:$B$505,Оплаты!$A$6:$A$505,"&lt;"&amp;A659,Оплаты!$D$6:$D$505,"&lt;&gt;"))</f>
        <v/>
      </c>
      <c r="E659" t="str">
        <f>IF(A659="","",IF(SUMPRODUCT((Ввод!$F$12:$F$31&lt;&gt;"")*(Ввод!$F$12:$F$31&lt;=A659)*(Ввод!$G$12:$G$31&gt;=A659))&gt;0,1,0))</f>
        <v/>
      </c>
      <c r="G659" t="str">
        <f t="shared" si="21"/>
        <v/>
      </c>
    </row>
    <row r="660" spans="1:7" x14ac:dyDescent="0.3">
      <c r="A660" s="21" t="str">
        <f>IF(A659="","",IF(A659+1&gt;Ввод!$B$4,"",A659+1))</f>
        <v/>
      </c>
      <c r="B660" s="23" t="str">
        <f>IF(A660="","",IFERROR(INDEX(Ввод!$B$12:$B$71,MATCH(A660,Ввод!$D$12:$D$71,1)),""))</f>
        <v/>
      </c>
      <c r="C660" t="str">
        <f t="shared" si="20"/>
        <v/>
      </c>
      <c r="D660" t="str">
        <f>IF(A660="","",SUMIFS(Акты!$D$5:$D$16,Акты!$E$5:$E$16,"&lt;="&amp;A660)-SUMIFS(Оплаты!$B$6:$B$505,Оплаты!$A$6:$A$505,"&lt;"&amp;A660,Оплаты!$D$6:$D$505,"&lt;&gt;"))</f>
        <v/>
      </c>
      <c r="E660" t="str">
        <f>IF(A660="","",IF(SUMPRODUCT((Ввод!$F$12:$F$31&lt;&gt;"")*(Ввод!$F$12:$F$31&lt;=A660)*(Ввод!$G$12:$G$31&gt;=A660))&gt;0,1,0))</f>
        <v/>
      </c>
      <c r="G660" t="str">
        <f t="shared" si="21"/>
        <v/>
      </c>
    </row>
    <row r="661" spans="1:7" x14ac:dyDescent="0.3">
      <c r="A661" s="21" t="str">
        <f>IF(A660="","",IF(A660+1&gt;Ввод!$B$4,"",A660+1))</f>
        <v/>
      </c>
      <c r="B661" s="23" t="str">
        <f>IF(A661="","",IFERROR(INDEX(Ввод!$B$12:$B$71,MATCH(A661,Ввод!$D$12:$D$71,1)),""))</f>
        <v/>
      </c>
      <c r="C661" t="str">
        <f t="shared" si="20"/>
        <v/>
      </c>
      <c r="D661" t="str">
        <f>IF(A661="","",SUMIFS(Акты!$D$5:$D$16,Акты!$E$5:$E$16,"&lt;="&amp;A661)-SUMIFS(Оплаты!$B$6:$B$505,Оплаты!$A$6:$A$505,"&lt;"&amp;A661,Оплаты!$D$6:$D$505,"&lt;&gt;"))</f>
        <v/>
      </c>
      <c r="E661" t="str">
        <f>IF(A661="","",IF(SUMPRODUCT((Ввод!$F$12:$F$31&lt;&gt;"")*(Ввод!$F$12:$F$31&lt;=A661)*(Ввод!$G$12:$G$31&gt;=A661))&gt;0,1,0))</f>
        <v/>
      </c>
      <c r="G661" t="str">
        <f t="shared" si="21"/>
        <v/>
      </c>
    </row>
    <row r="662" spans="1:7" x14ac:dyDescent="0.3">
      <c r="A662" s="21" t="str">
        <f>IF(A661="","",IF(A661+1&gt;Ввод!$B$4,"",A661+1))</f>
        <v/>
      </c>
      <c r="B662" s="23" t="str">
        <f>IF(A662="","",IFERROR(INDEX(Ввод!$B$12:$B$71,MATCH(A662,Ввод!$D$12:$D$71,1)),""))</f>
        <v/>
      </c>
      <c r="C662" t="str">
        <f t="shared" si="20"/>
        <v/>
      </c>
      <c r="D662" t="str">
        <f>IF(A662="","",SUMIFS(Акты!$D$5:$D$16,Акты!$E$5:$E$16,"&lt;="&amp;A662)-SUMIFS(Оплаты!$B$6:$B$505,Оплаты!$A$6:$A$505,"&lt;"&amp;A662,Оплаты!$D$6:$D$505,"&lt;&gt;"))</f>
        <v/>
      </c>
      <c r="E662" t="str">
        <f>IF(A662="","",IF(SUMPRODUCT((Ввод!$F$12:$F$31&lt;&gt;"")*(Ввод!$F$12:$F$31&lt;=A662)*(Ввод!$G$12:$G$31&gt;=A662))&gt;0,1,0))</f>
        <v/>
      </c>
      <c r="G662" t="str">
        <f t="shared" si="21"/>
        <v/>
      </c>
    </row>
    <row r="663" spans="1:7" x14ac:dyDescent="0.3">
      <c r="A663" s="21" t="str">
        <f>IF(A662="","",IF(A662+1&gt;Ввод!$B$4,"",A662+1))</f>
        <v/>
      </c>
      <c r="B663" s="23" t="str">
        <f>IF(A663="","",IFERROR(INDEX(Ввод!$B$12:$B$71,MATCH(A663,Ввод!$D$12:$D$71,1)),""))</f>
        <v/>
      </c>
      <c r="C663" t="str">
        <f t="shared" si="20"/>
        <v/>
      </c>
      <c r="D663" t="str">
        <f>IF(A663="","",SUMIFS(Акты!$D$5:$D$16,Акты!$E$5:$E$16,"&lt;="&amp;A663)-SUMIFS(Оплаты!$B$6:$B$505,Оплаты!$A$6:$A$505,"&lt;"&amp;A663,Оплаты!$D$6:$D$505,"&lt;&gt;"))</f>
        <v/>
      </c>
      <c r="E663" t="str">
        <f>IF(A663="","",IF(SUMPRODUCT((Ввод!$F$12:$F$31&lt;&gt;"")*(Ввод!$F$12:$F$31&lt;=A663)*(Ввод!$G$12:$G$31&gt;=A663))&gt;0,1,0))</f>
        <v/>
      </c>
      <c r="G663" t="str">
        <f t="shared" si="21"/>
        <v/>
      </c>
    </row>
    <row r="664" spans="1:7" x14ac:dyDescent="0.3">
      <c r="A664" s="21" t="str">
        <f>IF(A663="","",IF(A663+1&gt;Ввод!$B$4,"",A663+1))</f>
        <v/>
      </c>
      <c r="B664" s="23" t="str">
        <f>IF(A664="","",IFERROR(INDEX(Ввод!$B$12:$B$71,MATCH(A664,Ввод!$D$12:$D$71,1)),""))</f>
        <v/>
      </c>
      <c r="C664" t="str">
        <f t="shared" si="20"/>
        <v/>
      </c>
      <c r="D664" t="str">
        <f>IF(A664="","",SUMIFS(Акты!$D$5:$D$16,Акты!$E$5:$E$16,"&lt;="&amp;A664)-SUMIFS(Оплаты!$B$6:$B$505,Оплаты!$A$6:$A$505,"&lt;"&amp;A664,Оплаты!$D$6:$D$505,"&lt;&gt;"))</f>
        <v/>
      </c>
      <c r="E664" t="str">
        <f>IF(A664="","",IF(SUMPRODUCT((Ввод!$F$12:$F$31&lt;&gt;"")*(Ввод!$F$12:$F$31&lt;=A664)*(Ввод!$G$12:$G$31&gt;=A664))&gt;0,1,0))</f>
        <v/>
      </c>
      <c r="G664" t="str">
        <f t="shared" si="21"/>
        <v/>
      </c>
    </row>
    <row r="665" spans="1:7" x14ac:dyDescent="0.3">
      <c r="A665" s="21" t="str">
        <f>IF(A664="","",IF(A664+1&gt;Ввод!$B$4,"",A664+1))</f>
        <v/>
      </c>
      <c r="B665" s="23" t="str">
        <f>IF(A665="","",IFERROR(INDEX(Ввод!$B$12:$B$71,MATCH(A665,Ввод!$D$12:$D$71,1)),""))</f>
        <v/>
      </c>
      <c r="C665" t="str">
        <f t="shared" si="20"/>
        <v/>
      </c>
      <c r="D665" t="str">
        <f>IF(A665="","",SUMIFS(Акты!$D$5:$D$16,Акты!$E$5:$E$16,"&lt;="&amp;A665)-SUMIFS(Оплаты!$B$6:$B$505,Оплаты!$A$6:$A$505,"&lt;"&amp;A665,Оплаты!$D$6:$D$505,"&lt;&gt;"))</f>
        <v/>
      </c>
      <c r="E665" t="str">
        <f>IF(A665="","",IF(SUMPRODUCT((Ввод!$F$12:$F$31&lt;&gt;"")*(Ввод!$F$12:$F$31&lt;=A665)*(Ввод!$G$12:$G$31&gt;=A665))&gt;0,1,0))</f>
        <v/>
      </c>
      <c r="G665" t="str">
        <f t="shared" si="21"/>
        <v/>
      </c>
    </row>
    <row r="666" spans="1:7" x14ac:dyDescent="0.3">
      <c r="A666" s="21" t="str">
        <f>IF(A665="","",IF(A665+1&gt;Ввод!$B$4,"",A665+1))</f>
        <v/>
      </c>
      <c r="B666" s="23" t="str">
        <f>IF(A666="","",IFERROR(INDEX(Ввод!$B$12:$B$71,MATCH(A666,Ввод!$D$12:$D$71,1)),""))</f>
        <v/>
      </c>
      <c r="C666" t="str">
        <f t="shared" si="20"/>
        <v/>
      </c>
      <c r="D666" t="str">
        <f>IF(A666="","",SUMIFS(Акты!$D$5:$D$16,Акты!$E$5:$E$16,"&lt;="&amp;A666)-SUMIFS(Оплаты!$B$6:$B$505,Оплаты!$A$6:$A$505,"&lt;"&amp;A666,Оплаты!$D$6:$D$505,"&lt;&gt;"))</f>
        <v/>
      </c>
      <c r="E666" t="str">
        <f>IF(A666="","",IF(SUMPRODUCT((Ввод!$F$12:$F$31&lt;&gt;"")*(Ввод!$F$12:$F$31&lt;=A666)*(Ввод!$G$12:$G$31&gt;=A666))&gt;0,1,0))</f>
        <v/>
      </c>
      <c r="G666" t="str">
        <f t="shared" si="21"/>
        <v/>
      </c>
    </row>
    <row r="667" spans="1:7" x14ac:dyDescent="0.3">
      <c r="A667" s="21" t="str">
        <f>IF(A666="","",IF(A666+1&gt;Ввод!$B$4,"",A666+1))</f>
        <v/>
      </c>
      <c r="B667" s="23" t="str">
        <f>IF(A667="","",IFERROR(INDEX(Ввод!$B$12:$B$71,MATCH(A667,Ввод!$D$12:$D$71,1)),""))</f>
        <v/>
      </c>
      <c r="C667" t="str">
        <f t="shared" si="20"/>
        <v/>
      </c>
      <c r="D667" t="str">
        <f>IF(A667="","",SUMIFS(Акты!$D$5:$D$16,Акты!$E$5:$E$16,"&lt;="&amp;A667)-SUMIFS(Оплаты!$B$6:$B$505,Оплаты!$A$6:$A$505,"&lt;"&amp;A667,Оплаты!$D$6:$D$505,"&lt;&gt;"))</f>
        <v/>
      </c>
      <c r="E667" t="str">
        <f>IF(A667="","",IF(SUMPRODUCT((Ввод!$F$12:$F$31&lt;&gt;"")*(Ввод!$F$12:$F$31&lt;=A667)*(Ввод!$G$12:$G$31&gt;=A667))&gt;0,1,0))</f>
        <v/>
      </c>
      <c r="G667" t="str">
        <f t="shared" si="21"/>
        <v/>
      </c>
    </row>
    <row r="668" spans="1:7" x14ac:dyDescent="0.3">
      <c r="A668" s="21" t="str">
        <f>IF(A667="","",IF(A667+1&gt;Ввод!$B$4,"",A667+1))</f>
        <v/>
      </c>
      <c r="B668" s="23" t="str">
        <f>IF(A668="","",IFERROR(INDEX(Ввод!$B$12:$B$71,MATCH(A668,Ввод!$D$12:$D$71,1)),""))</f>
        <v/>
      </c>
      <c r="C668" t="str">
        <f t="shared" si="20"/>
        <v/>
      </c>
      <c r="D668" t="str">
        <f>IF(A668="","",SUMIFS(Акты!$D$5:$D$16,Акты!$E$5:$E$16,"&lt;="&amp;A668)-SUMIFS(Оплаты!$B$6:$B$505,Оплаты!$A$6:$A$505,"&lt;"&amp;A668,Оплаты!$D$6:$D$505,"&lt;&gt;"))</f>
        <v/>
      </c>
      <c r="E668" t="str">
        <f>IF(A668="","",IF(SUMPRODUCT((Ввод!$F$12:$F$31&lt;&gt;"")*(Ввод!$F$12:$F$31&lt;=A668)*(Ввод!$G$12:$G$31&gt;=A668))&gt;0,1,0))</f>
        <v/>
      </c>
      <c r="G668" t="str">
        <f t="shared" si="21"/>
        <v/>
      </c>
    </row>
    <row r="669" spans="1:7" x14ac:dyDescent="0.3">
      <c r="A669" s="21" t="str">
        <f>IF(A668="","",IF(A668+1&gt;Ввод!$B$4,"",A668+1))</f>
        <v/>
      </c>
      <c r="B669" s="23" t="str">
        <f>IF(A669="","",IFERROR(INDEX(Ввод!$B$12:$B$71,MATCH(A669,Ввод!$D$12:$D$71,1)),""))</f>
        <v/>
      </c>
      <c r="C669" t="str">
        <f t="shared" si="20"/>
        <v/>
      </c>
      <c r="D669" t="str">
        <f>IF(A669="","",SUMIFS(Акты!$D$5:$D$16,Акты!$E$5:$E$16,"&lt;="&amp;A669)-SUMIFS(Оплаты!$B$6:$B$505,Оплаты!$A$6:$A$505,"&lt;"&amp;A669,Оплаты!$D$6:$D$505,"&lt;&gt;"))</f>
        <v/>
      </c>
      <c r="E669" t="str">
        <f>IF(A669="","",IF(SUMPRODUCT((Ввод!$F$12:$F$31&lt;&gt;"")*(Ввод!$F$12:$F$31&lt;=A669)*(Ввод!$G$12:$G$31&gt;=A669))&gt;0,1,0))</f>
        <v/>
      </c>
      <c r="G669" t="str">
        <f t="shared" si="21"/>
        <v/>
      </c>
    </row>
    <row r="670" spans="1:7" x14ac:dyDescent="0.3">
      <c r="A670" s="21" t="str">
        <f>IF(A669="","",IF(A669+1&gt;Ввод!$B$4,"",A669+1))</f>
        <v/>
      </c>
      <c r="B670" s="23" t="str">
        <f>IF(A670="","",IFERROR(INDEX(Ввод!$B$12:$B$71,MATCH(A670,Ввод!$D$12:$D$71,1)),""))</f>
        <v/>
      </c>
      <c r="C670" t="str">
        <f t="shared" si="20"/>
        <v/>
      </c>
      <c r="D670" t="str">
        <f>IF(A670="","",SUMIFS(Акты!$D$5:$D$16,Акты!$E$5:$E$16,"&lt;="&amp;A670)-SUMIFS(Оплаты!$B$6:$B$505,Оплаты!$A$6:$A$505,"&lt;"&amp;A670,Оплаты!$D$6:$D$505,"&lt;&gt;"))</f>
        <v/>
      </c>
      <c r="E670" t="str">
        <f>IF(A670="","",IF(SUMPRODUCT((Ввод!$F$12:$F$31&lt;&gt;"")*(Ввод!$F$12:$F$31&lt;=A670)*(Ввод!$G$12:$G$31&gt;=A670))&gt;0,1,0))</f>
        <v/>
      </c>
      <c r="G670" t="str">
        <f t="shared" si="21"/>
        <v/>
      </c>
    </row>
    <row r="671" spans="1:7" x14ac:dyDescent="0.3">
      <c r="A671" s="21" t="str">
        <f>IF(A670="","",IF(A670+1&gt;Ввод!$B$4,"",A670+1))</f>
        <v/>
      </c>
      <c r="B671" s="23" t="str">
        <f>IF(A671="","",IFERROR(INDEX(Ввод!$B$12:$B$71,MATCH(A671,Ввод!$D$12:$D$71,1)),""))</f>
        <v/>
      </c>
      <c r="C671" t="str">
        <f t="shared" si="20"/>
        <v/>
      </c>
      <c r="D671" t="str">
        <f>IF(A671="","",SUMIFS(Акты!$D$5:$D$16,Акты!$E$5:$E$16,"&lt;="&amp;A671)-SUMIFS(Оплаты!$B$6:$B$505,Оплаты!$A$6:$A$505,"&lt;"&amp;A671,Оплаты!$D$6:$D$505,"&lt;&gt;"))</f>
        <v/>
      </c>
      <c r="E671" t="str">
        <f>IF(A671="","",IF(SUMPRODUCT((Ввод!$F$12:$F$31&lt;&gt;"")*(Ввод!$F$12:$F$31&lt;=A671)*(Ввод!$G$12:$G$31&gt;=A671))&gt;0,1,0))</f>
        <v/>
      </c>
      <c r="G671" t="str">
        <f t="shared" si="21"/>
        <v/>
      </c>
    </row>
    <row r="672" spans="1:7" x14ac:dyDescent="0.3">
      <c r="A672" s="21" t="str">
        <f>IF(A671="","",IF(A671+1&gt;Ввод!$B$4,"",A671+1))</f>
        <v/>
      </c>
      <c r="B672" s="23" t="str">
        <f>IF(A672="","",IFERROR(INDEX(Ввод!$B$12:$B$71,MATCH(A672,Ввод!$D$12:$D$71,1)),""))</f>
        <v/>
      </c>
      <c r="C672" t="str">
        <f t="shared" si="20"/>
        <v/>
      </c>
      <c r="D672" t="str">
        <f>IF(A672="","",SUMIFS(Акты!$D$5:$D$16,Акты!$E$5:$E$16,"&lt;="&amp;A672)-SUMIFS(Оплаты!$B$6:$B$505,Оплаты!$A$6:$A$505,"&lt;"&amp;A672,Оплаты!$D$6:$D$505,"&lt;&gt;"))</f>
        <v/>
      </c>
      <c r="E672" t="str">
        <f>IF(A672="","",IF(SUMPRODUCT((Ввод!$F$12:$F$31&lt;&gt;"")*(Ввод!$F$12:$F$31&lt;=A672)*(Ввод!$G$12:$G$31&gt;=A672))&gt;0,1,0))</f>
        <v/>
      </c>
      <c r="G672" t="str">
        <f t="shared" si="21"/>
        <v/>
      </c>
    </row>
    <row r="673" spans="1:7" x14ac:dyDescent="0.3">
      <c r="A673" s="21" t="str">
        <f>IF(A672="","",IF(A672+1&gt;Ввод!$B$4,"",A672+1))</f>
        <v/>
      </c>
      <c r="B673" s="23" t="str">
        <f>IF(A673="","",IFERROR(INDEX(Ввод!$B$12:$B$71,MATCH(A673,Ввод!$D$12:$D$71,1)),""))</f>
        <v/>
      </c>
      <c r="C673" t="str">
        <f t="shared" si="20"/>
        <v/>
      </c>
      <c r="D673" t="str">
        <f>IF(A673="","",SUMIFS(Акты!$D$5:$D$16,Акты!$E$5:$E$16,"&lt;="&amp;A673)-SUMIFS(Оплаты!$B$6:$B$505,Оплаты!$A$6:$A$505,"&lt;"&amp;A673,Оплаты!$D$6:$D$505,"&lt;&gt;"))</f>
        <v/>
      </c>
      <c r="E673" t="str">
        <f>IF(A673="","",IF(SUMPRODUCT((Ввод!$F$12:$F$31&lt;&gt;"")*(Ввод!$F$12:$F$31&lt;=A673)*(Ввод!$G$12:$G$31&gt;=A673))&gt;0,1,0))</f>
        <v/>
      </c>
      <c r="G673" t="str">
        <f t="shared" si="21"/>
        <v/>
      </c>
    </row>
    <row r="674" spans="1:7" x14ac:dyDescent="0.3">
      <c r="A674" s="21" t="str">
        <f>IF(A673="","",IF(A673+1&gt;Ввод!$B$4,"",A673+1))</f>
        <v/>
      </c>
      <c r="B674" s="23" t="str">
        <f>IF(A674="","",IFERROR(INDEX(Ввод!$B$12:$B$71,MATCH(A674,Ввод!$D$12:$D$71,1)),""))</f>
        <v/>
      </c>
      <c r="C674" t="str">
        <f t="shared" si="20"/>
        <v/>
      </c>
      <c r="D674" t="str">
        <f>IF(A674="","",SUMIFS(Акты!$D$5:$D$16,Акты!$E$5:$E$16,"&lt;="&amp;A674)-SUMIFS(Оплаты!$B$6:$B$505,Оплаты!$A$6:$A$505,"&lt;"&amp;A674,Оплаты!$D$6:$D$505,"&lt;&gt;"))</f>
        <v/>
      </c>
      <c r="E674" t="str">
        <f>IF(A674="","",IF(SUMPRODUCT((Ввод!$F$12:$F$31&lt;&gt;"")*(Ввод!$F$12:$F$31&lt;=A674)*(Ввод!$G$12:$G$31&gt;=A674))&gt;0,1,0))</f>
        <v/>
      </c>
      <c r="G674" t="str">
        <f t="shared" si="21"/>
        <v/>
      </c>
    </row>
    <row r="675" spans="1:7" x14ac:dyDescent="0.3">
      <c r="A675" s="21" t="str">
        <f>IF(A674="","",IF(A674+1&gt;Ввод!$B$4,"",A674+1))</f>
        <v/>
      </c>
      <c r="B675" s="23" t="str">
        <f>IF(A675="","",IFERROR(INDEX(Ввод!$B$12:$B$71,MATCH(A675,Ввод!$D$12:$D$71,1)),""))</f>
        <v/>
      </c>
      <c r="C675" t="str">
        <f t="shared" si="20"/>
        <v/>
      </c>
      <c r="D675" t="str">
        <f>IF(A675="","",SUMIFS(Акты!$D$5:$D$16,Акты!$E$5:$E$16,"&lt;="&amp;A675)-SUMIFS(Оплаты!$B$6:$B$505,Оплаты!$A$6:$A$505,"&lt;"&amp;A675,Оплаты!$D$6:$D$505,"&lt;&gt;"))</f>
        <v/>
      </c>
      <c r="E675" t="str">
        <f>IF(A675="","",IF(SUMPRODUCT((Ввод!$F$12:$F$31&lt;&gt;"")*(Ввод!$F$12:$F$31&lt;=A675)*(Ввод!$G$12:$G$31&gt;=A675))&gt;0,1,0))</f>
        <v/>
      </c>
      <c r="G675" t="str">
        <f t="shared" si="21"/>
        <v/>
      </c>
    </row>
    <row r="676" spans="1:7" x14ac:dyDescent="0.3">
      <c r="A676" s="21" t="str">
        <f>IF(A675="","",IF(A675+1&gt;Ввод!$B$4,"",A675+1))</f>
        <v/>
      </c>
      <c r="B676" s="23" t="str">
        <f>IF(A676="","",IFERROR(INDEX(Ввод!$B$12:$B$71,MATCH(A676,Ввод!$D$12:$D$71,1)),""))</f>
        <v/>
      </c>
      <c r="C676" t="str">
        <f t="shared" si="20"/>
        <v/>
      </c>
      <c r="D676" t="str">
        <f>IF(A676="","",SUMIFS(Акты!$D$5:$D$16,Акты!$E$5:$E$16,"&lt;="&amp;A676)-SUMIFS(Оплаты!$B$6:$B$505,Оплаты!$A$6:$A$505,"&lt;"&amp;A676,Оплаты!$D$6:$D$505,"&lt;&gt;"))</f>
        <v/>
      </c>
      <c r="E676" t="str">
        <f>IF(A676="","",IF(SUMPRODUCT((Ввод!$F$12:$F$31&lt;&gt;"")*(Ввод!$F$12:$F$31&lt;=A676)*(Ввод!$G$12:$G$31&gt;=A676))&gt;0,1,0))</f>
        <v/>
      </c>
      <c r="G676" t="str">
        <f t="shared" si="21"/>
        <v/>
      </c>
    </row>
    <row r="677" spans="1:7" x14ac:dyDescent="0.3">
      <c r="A677" s="21" t="str">
        <f>IF(A676="","",IF(A676+1&gt;Ввод!$B$4,"",A676+1))</f>
        <v/>
      </c>
      <c r="B677" s="23" t="str">
        <f>IF(A677="","",IFERROR(INDEX(Ввод!$B$12:$B$71,MATCH(A677,Ввод!$D$12:$D$71,1)),""))</f>
        <v/>
      </c>
      <c r="C677" t="str">
        <f t="shared" si="20"/>
        <v/>
      </c>
      <c r="D677" t="str">
        <f>IF(A677="","",SUMIFS(Акты!$D$5:$D$16,Акты!$E$5:$E$16,"&lt;="&amp;A677)-SUMIFS(Оплаты!$B$6:$B$505,Оплаты!$A$6:$A$505,"&lt;"&amp;A677,Оплаты!$D$6:$D$505,"&lt;&gt;"))</f>
        <v/>
      </c>
      <c r="E677" t="str">
        <f>IF(A677="","",IF(SUMPRODUCT((Ввод!$F$12:$F$31&lt;&gt;"")*(Ввод!$F$12:$F$31&lt;=A677)*(Ввод!$G$12:$G$31&gt;=A677))&gt;0,1,0))</f>
        <v/>
      </c>
      <c r="G677" t="str">
        <f t="shared" si="21"/>
        <v/>
      </c>
    </row>
    <row r="678" spans="1:7" x14ac:dyDescent="0.3">
      <c r="A678" s="21" t="str">
        <f>IF(A677="","",IF(A677+1&gt;Ввод!$B$4,"",A677+1))</f>
        <v/>
      </c>
      <c r="B678" s="23" t="str">
        <f>IF(A678="","",IFERROR(INDEX(Ввод!$B$12:$B$71,MATCH(A678,Ввод!$D$12:$D$71,1)),""))</f>
        <v/>
      </c>
      <c r="C678" t="str">
        <f t="shared" si="20"/>
        <v/>
      </c>
      <c r="D678" t="str">
        <f>IF(A678="","",SUMIFS(Акты!$D$5:$D$16,Акты!$E$5:$E$16,"&lt;="&amp;A678)-SUMIFS(Оплаты!$B$6:$B$505,Оплаты!$A$6:$A$505,"&lt;"&amp;A678,Оплаты!$D$6:$D$505,"&lt;&gt;"))</f>
        <v/>
      </c>
      <c r="E678" t="str">
        <f>IF(A678="","",IF(SUMPRODUCT((Ввод!$F$12:$F$31&lt;&gt;"")*(Ввод!$F$12:$F$31&lt;=A678)*(Ввод!$G$12:$G$31&gt;=A678))&gt;0,1,0))</f>
        <v/>
      </c>
      <c r="G678" t="str">
        <f t="shared" si="21"/>
        <v/>
      </c>
    </row>
    <row r="679" spans="1:7" x14ac:dyDescent="0.3">
      <c r="A679" s="21" t="str">
        <f>IF(A678="","",IF(A678+1&gt;Ввод!$B$4,"",A678+1))</f>
        <v/>
      </c>
      <c r="B679" s="23" t="str">
        <f>IF(A679="","",IFERROR(INDEX(Ввод!$B$12:$B$71,MATCH(A679,Ввод!$D$12:$D$71,1)),""))</f>
        <v/>
      </c>
      <c r="C679" t="str">
        <f t="shared" si="20"/>
        <v/>
      </c>
      <c r="D679" t="str">
        <f>IF(A679="","",SUMIFS(Акты!$D$5:$D$16,Акты!$E$5:$E$16,"&lt;="&amp;A679)-SUMIFS(Оплаты!$B$6:$B$505,Оплаты!$A$6:$A$505,"&lt;"&amp;A679,Оплаты!$D$6:$D$505,"&lt;&gt;"))</f>
        <v/>
      </c>
      <c r="E679" t="str">
        <f>IF(A679="","",IF(SUMPRODUCT((Ввод!$F$12:$F$31&lt;&gt;"")*(Ввод!$F$12:$F$31&lt;=A679)*(Ввод!$G$12:$G$31&gt;=A679))&gt;0,1,0))</f>
        <v/>
      </c>
      <c r="G679" t="str">
        <f t="shared" si="21"/>
        <v/>
      </c>
    </row>
    <row r="680" spans="1:7" x14ac:dyDescent="0.3">
      <c r="A680" s="21" t="str">
        <f>IF(A679="","",IF(A679+1&gt;Ввод!$B$4,"",A679+1))</f>
        <v/>
      </c>
      <c r="B680" s="23" t="str">
        <f>IF(A680="","",IFERROR(INDEX(Ввод!$B$12:$B$71,MATCH(A680,Ввод!$D$12:$D$71,1)),""))</f>
        <v/>
      </c>
      <c r="C680" t="str">
        <f t="shared" si="20"/>
        <v/>
      </c>
      <c r="D680" t="str">
        <f>IF(A680="","",SUMIFS(Акты!$D$5:$D$16,Акты!$E$5:$E$16,"&lt;="&amp;A680)-SUMIFS(Оплаты!$B$6:$B$505,Оплаты!$A$6:$A$505,"&lt;"&amp;A680,Оплаты!$D$6:$D$505,"&lt;&gt;"))</f>
        <v/>
      </c>
      <c r="E680" t="str">
        <f>IF(A680="","",IF(SUMPRODUCT((Ввод!$F$12:$F$31&lt;&gt;"")*(Ввод!$F$12:$F$31&lt;=A680)*(Ввод!$G$12:$G$31&gt;=A680))&gt;0,1,0))</f>
        <v/>
      </c>
      <c r="G680" t="str">
        <f t="shared" si="21"/>
        <v/>
      </c>
    </row>
    <row r="681" spans="1:7" x14ac:dyDescent="0.3">
      <c r="A681" s="21" t="str">
        <f>IF(A680="","",IF(A680+1&gt;Ввод!$B$4,"",A680+1))</f>
        <v/>
      </c>
      <c r="B681" s="23" t="str">
        <f>IF(A681="","",IFERROR(INDEX(Ввод!$B$12:$B$71,MATCH(A681,Ввод!$D$12:$D$71,1)),""))</f>
        <v/>
      </c>
      <c r="C681" t="str">
        <f t="shared" si="20"/>
        <v/>
      </c>
      <c r="D681" t="str">
        <f>IF(A681="","",SUMIFS(Акты!$D$5:$D$16,Акты!$E$5:$E$16,"&lt;="&amp;A681)-SUMIFS(Оплаты!$B$6:$B$505,Оплаты!$A$6:$A$505,"&lt;"&amp;A681,Оплаты!$D$6:$D$505,"&lt;&gt;"))</f>
        <v/>
      </c>
      <c r="E681" t="str">
        <f>IF(A681="","",IF(SUMPRODUCT((Ввод!$F$12:$F$31&lt;&gt;"")*(Ввод!$F$12:$F$31&lt;=A681)*(Ввод!$G$12:$G$31&gt;=A681))&gt;0,1,0))</f>
        <v/>
      </c>
      <c r="G681" t="str">
        <f t="shared" si="21"/>
        <v/>
      </c>
    </row>
    <row r="682" spans="1:7" x14ac:dyDescent="0.3">
      <c r="A682" s="21" t="str">
        <f>IF(A681="","",IF(A681+1&gt;Ввод!$B$4,"",A681+1))</f>
        <v/>
      </c>
      <c r="B682" s="23" t="str">
        <f>IF(A682="","",IFERROR(INDEX(Ввод!$B$12:$B$71,MATCH(A682,Ввод!$D$12:$D$71,1)),""))</f>
        <v/>
      </c>
      <c r="C682" t="str">
        <f t="shared" si="20"/>
        <v/>
      </c>
      <c r="D682" t="str">
        <f>IF(A682="","",SUMIFS(Акты!$D$5:$D$16,Акты!$E$5:$E$16,"&lt;="&amp;A682)-SUMIFS(Оплаты!$B$6:$B$505,Оплаты!$A$6:$A$505,"&lt;"&amp;A682,Оплаты!$D$6:$D$505,"&lt;&gt;"))</f>
        <v/>
      </c>
      <c r="E682" t="str">
        <f>IF(A682="","",IF(SUMPRODUCT((Ввод!$F$12:$F$31&lt;&gt;"")*(Ввод!$F$12:$F$31&lt;=A682)*(Ввод!$G$12:$G$31&gt;=A682))&gt;0,1,0))</f>
        <v/>
      </c>
      <c r="G682" t="str">
        <f t="shared" si="21"/>
        <v/>
      </c>
    </row>
    <row r="683" spans="1:7" x14ac:dyDescent="0.3">
      <c r="A683" s="21" t="str">
        <f>IF(A682="","",IF(A682+1&gt;Ввод!$B$4,"",A682+1))</f>
        <v/>
      </c>
      <c r="B683" s="23" t="str">
        <f>IF(A683="","",IFERROR(INDEX(Ввод!$B$12:$B$71,MATCH(A683,Ввод!$D$12:$D$71,1)),""))</f>
        <v/>
      </c>
      <c r="C683" t="str">
        <f t="shared" si="20"/>
        <v/>
      </c>
      <c r="D683" t="str">
        <f>IF(A683="","",SUMIFS(Акты!$D$5:$D$16,Акты!$E$5:$E$16,"&lt;="&amp;A683)-SUMIFS(Оплаты!$B$6:$B$505,Оплаты!$A$6:$A$505,"&lt;"&amp;A683,Оплаты!$D$6:$D$505,"&lt;&gt;"))</f>
        <v/>
      </c>
      <c r="E683" t="str">
        <f>IF(A683="","",IF(SUMPRODUCT((Ввод!$F$12:$F$31&lt;&gt;"")*(Ввод!$F$12:$F$31&lt;=A683)*(Ввод!$G$12:$G$31&gt;=A683))&gt;0,1,0))</f>
        <v/>
      </c>
      <c r="G683" t="str">
        <f t="shared" si="21"/>
        <v/>
      </c>
    </row>
    <row r="684" spans="1:7" x14ac:dyDescent="0.3">
      <c r="A684" s="21" t="str">
        <f>IF(A683="","",IF(A683+1&gt;Ввод!$B$4,"",A683+1))</f>
        <v/>
      </c>
      <c r="B684" s="23" t="str">
        <f>IF(A684="","",IFERROR(INDEX(Ввод!$B$12:$B$71,MATCH(A684,Ввод!$D$12:$D$71,1)),""))</f>
        <v/>
      </c>
      <c r="C684" t="str">
        <f t="shared" si="20"/>
        <v/>
      </c>
      <c r="D684" t="str">
        <f>IF(A684="","",SUMIFS(Акты!$D$5:$D$16,Акты!$E$5:$E$16,"&lt;="&amp;A684)-SUMIFS(Оплаты!$B$6:$B$505,Оплаты!$A$6:$A$505,"&lt;"&amp;A684,Оплаты!$D$6:$D$505,"&lt;&gt;"))</f>
        <v/>
      </c>
      <c r="E684" t="str">
        <f>IF(A684="","",IF(SUMPRODUCT((Ввод!$F$12:$F$31&lt;&gt;"")*(Ввод!$F$12:$F$31&lt;=A684)*(Ввод!$G$12:$G$31&gt;=A684))&gt;0,1,0))</f>
        <v/>
      </c>
      <c r="G684" t="str">
        <f t="shared" si="21"/>
        <v/>
      </c>
    </row>
    <row r="685" spans="1:7" x14ac:dyDescent="0.3">
      <c r="A685" s="21" t="str">
        <f>IF(A684="","",IF(A684+1&gt;Ввод!$B$4,"",A684+1))</f>
        <v/>
      </c>
      <c r="B685" s="23" t="str">
        <f>IF(A685="","",IFERROR(INDEX(Ввод!$B$12:$B$71,MATCH(A685,Ввод!$D$12:$D$71,1)),""))</f>
        <v/>
      </c>
      <c r="C685" t="str">
        <f t="shared" si="20"/>
        <v/>
      </c>
      <c r="D685" t="str">
        <f>IF(A685="","",SUMIFS(Акты!$D$5:$D$16,Акты!$E$5:$E$16,"&lt;="&amp;A685)-SUMIFS(Оплаты!$B$6:$B$505,Оплаты!$A$6:$A$505,"&lt;"&amp;A685,Оплаты!$D$6:$D$505,"&lt;&gt;"))</f>
        <v/>
      </c>
      <c r="E685" t="str">
        <f>IF(A685="","",IF(SUMPRODUCT((Ввод!$F$12:$F$31&lt;&gt;"")*(Ввод!$F$12:$F$31&lt;=A685)*(Ввод!$G$12:$G$31&gt;=A685))&gt;0,1,0))</f>
        <v/>
      </c>
      <c r="G685" t="str">
        <f t="shared" si="21"/>
        <v/>
      </c>
    </row>
    <row r="686" spans="1:7" x14ac:dyDescent="0.3">
      <c r="A686" s="21" t="str">
        <f>IF(A685="","",IF(A685+1&gt;Ввод!$B$4,"",A685+1))</f>
        <v/>
      </c>
      <c r="B686" s="23" t="str">
        <f>IF(A686="","",IFERROR(INDEX(Ввод!$B$12:$B$71,MATCH(A686,Ввод!$D$12:$D$71,1)),""))</f>
        <v/>
      </c>
      <c r="C686" t="str">
        <f t="shared" si="20"/>
        <v/>
      </c>
      <c r="D686" t="str">
        <f>IF(A686="","",SUMIFS(Акты!$D$5:$D$16,Акты!$E$5:$E$16,"&lt;="&amp;A686)-SUMIFS(Оплаты!$B$6:$B$505,Оплаты!$A$6:$A$505,"&lt;"&amp;A686,Оплаты!$D$6:$D$505,"&lt;&gt;"))</f>
        <v/>
      </c>
      <c r="E686" t="str">
        <f>IF(A686="","",IF(SUMPRODUCT((Ввод!$F$12:$F$31&lt;&gt;"")*(Ввод!$F$12:$F$31&lt;=A686)*(Ввод!$G$12:$G$31&gt;=A686))&gt;0,1,0))</f>
        <v/>
      </c>
      <c r="G686" t="str">
        <f t="shared" si="21"/>
        <v/>
      </c>
    </row>
    <row r="687" spans="1:7" x14ac:dyDescent="0.3">
      <c r="A687" s="21" t="str">
        <f>IF(A686="","",IF(A686+1&gt;Ввод!$B$4,"",A686+1))</f>
        <v/>
      </c>
      <c r="B687" s="23" t="str">
        <f>IF(A687="","",IFERROR(INDEX(Ввод!$B$12:$B$71,MATCH(A687,Ввод!$D$12:$D$71,1)),""))</f>
        <v/>
      </c>
      <c r="C687" t="str">
        <f t="shared" si="20"/>
        <v/>
      </c>
      <c r="D687" t="str">
        <f>IF(A687="","",SUMIFS(Акты!$D$5:$D$16,Акты!$E$5:$E$16,"&lt;="&amp;A687)-SUMIFS(Оплаты!$B$6:$B$505,Оплаты!$A$6:$A$505,"&lt;"&amp;A687,Оплаты!$D$6:$D$505,"&lt;&gt;"))</f>
        <v/>
      </c>
      <c r="E687" t="str">
        <f>IF(A687="","",IF(SUMPRODUCT((Ввод!$F$12:$F$31&lt;&gt;"")*(Ввод!$F$12:$F$31&lt;=A687)*(Ввод!$G$12:$G$31&gt;=A687))&gt;0,1,0))</f>
        <v/>
      </c>
      <c r="G687" t="str">
        <f t="shared" si="21"/>
        <v/>
      </c>
    </row>
    <row r="688" spans="1:7" x14ac:dyDescent="0.3">
      <c r="A688" s="21" t="str">
        <f>IF(A687="","",IF(A687+1&gt;Ввод!$B$4,"",A687+1))</f>
        <v/>
      </c>
      <c r="B688" s="23" t="str">
        <f>IF(A688="","",IFERROR(INDEX(Ввод!$B$12:$B$71,MATCH(A688,Ввод!$D$12:$D$71,1)),""))</f>
        <v/>
      </c>
      <c r="C688" t="str">
        <f t="shared" si="20"/>
        <v/>
      </c>
      <c r="D688" t="str">
        <f>IF(A688="","",SUMIFS(Акты!$D$5:$D$16,Акты!$E$5:$E$16,"&lt;="&amp;A688)-SUMIFS(Оплаты!$B$6:$B$505,Оплаты!$A$6:$A$505,"&lt;"&amp;A688,Оплаты!$D$6:$D$505,"&lt;&gt;"))</f>
        <v/>
      </c>
      <c r="E688" t="str">
        <f>IF(A688="","",IF(SUMPRODUCT((Ввод!$F$12:$F$31&lt;&gt;"")*(Ввод!$F$12:$F$31&lt;=A688)*(Ввод!$G$12:$G$31&gt;=A688))&gt;0,1,0))</f>
        <v/>
      </c>
      <c r="G688" t="str">
        <f t="shared" si="21"/>
        <v/>
      </c>
    </row>
    <row r="689" spans="1:7" x14ac:dyDescent="0.3">
      <c r="A689" s="21" t="str">
        <f>IF(A688="","",IF(A688+1&gt;Ввод!$B$4,"",A688+1))</f>
        <v/>
      </c>
      <c r="B689" s="23" t="str">
        <f>IF(A689="","",IFERROR(INDEX(Ввод!$B$12:$B$71,MATCH(A689,Ввод!$D$12:$D$71,1)),""))</f>
        <v/>
      </c>
      <c r="C689" t="str">
        <f t="shared" si="20"/>
        <v/>
      </c>
      <c r="D689" t="str">
        <f>IF(A689="","",SUMIFS(Акты!$D$5:$D$16,Акты!$E$5:$E$16,"&lt;="&amp;A689)-SUMIFS(Оплаты!$B$6:$B$505,Оплаты!$A$6:$A$505,"&lt;"&amp;A689,Оплаты!$D$6:$D$505,"&lt;&gt;"))</f>
        <v/>
      </c>
      <c r="E689" t="str">
        <f>IF(A689="","",IF(SUMPRODUCT((Ввод!$F$12:$F$31&lt;&gt;"")*(Ввод!$F$12:$F$31&lt;=A689)*(Ввод!$G$12:$G$31&gt;=A689))&gt;0,1,0))</f>
        <v/>
      </c>
      <c r="G689" t="str">
        <f t="shared" si="21"/>
        <v/>
      </c>
    </row>
    <row r="690" spans="1:7" x14ac:dyDescent="0.3">
      <c r="A690" s="21" t="str">
        <f>IF(A689="","",IF(A689+1&gt;Ввод!$B$4,"",A689+1))</f>
        <v/>
      </c>
      <c r="B690" s="23" t="str">
        <f>IF(A690="","",IFERROR(INDEX(Ввод!$B$12:$B$71,MATCH(A690,Ввод!$D$12:$D$71,1)),""))</f>
        <v/>
      </c>
      <c r="C690" t="str">
        <f t="shared" si="20"/>
        <v/>
      </c>
      <c r="D690" t="str">
        <f>IF(A690="","",SUMIFS(Акты!$D$5:$D$16,Акты!$E$5:$E$16,"&lt;="&amp;A690)-SUMIFS(Оплаты!$B$6:$B$505,Оплаты!$A$6:$A$505,"&lt;"&amp;A690,Оплаты!$D$6:$D$505,"&lt;&gt;"))</f>
        <v/>
      </c>
      <c r="E690" t="str">
        <f>IF(A690="","",IF(SUMPRODUCT((Ввод!$F$12:$F$31&lt;&gt;"")*(Ввод!$F$12:$F$31&lt;=A690)*(Ввод!$G$12:$G$31&gt;=A690))&gt;0,1,0))</f>
        <v/>
      </c>
      <c r="G690" t="str">
        <f t="shared" si="21"/>
        <v/>
      </c>
    </row>
    <row r="691" spans="1:7" x14ac:dyDescent="0.3">
      <c r="A691" s="21" t="str">
        <f>IF(A690="","",IF(A690+1&gt;Ввод!$B$4,"",A690+1))</f>
        <v/>
      </c>
      <c r="B691" s="23" t="str">
        <f>IF(A691="","",IFERROR(INDEX(Ввод!$B$12:$B$71,MATCH(A691,Ввод!$D$12:$D$71,1)),""))</f>
        <v/>
      </c>
      <c r="C691" t="str">
        <f t="shared" si="20"/>
        <v/>
      </c>
      <c r="D691" t="str">
        <f>IF(A691="","",SUMIFS(Акты!$D$5:$D$16,Акты!$E$5:$E$16,"&lt;="&amp;A691)-SUMIFS(Оплаты!$B$6:$B$505,Оплаты!$A$6:$A$505,"&lt;"&amp;A691,Оплаты!$D$6:$D$505,"&lt;&gt;"))</f>
        <v/>
      </c>
      <c r="E691" t="str">
        <f>IF(A691="","",IF(SUMPRODUCT((Ввод!$F$12:$F$31&lt;&gt;"")*(Ввод!$F$12:$F$31&lt;=A691)*(Ввод!$G$12:$G$31&gt;=A691))&gt;0,1,0))</f>
        <v/>
      </c>
      <c r="G691" t="str">
        <f t="shared" si="21"/>
        <v/>
      </c>
    </row>
    <row r="692" spans="1:7" x14ac:dyDescent="0.3">
      <c r="A692" s="21" t="str">
        <f>IF(A691="","",IF(A691+1&gt;Ввод!$B$4,"",A691+1))</f>
        <v/>
      </c>
      <c r="B692" s="23" t="str">
        <f>IF(A692="","",IFERROR(INDEX(Ввод!$B$12:$B$71,MATCH(A692,Ввод!$D$12:$D$71,1)),""))</f>
        <v/>
      </c>
      <c r="C692" t="str">
        <f t="shared" si="20"/>
        <v/>
      </c>
      <c r="D692" t="str">
        <f>IF(A692="","",SUMIFS(Акты!$D$5:$D$16,Акты!$E$5:$E$16,"&lt;="&amp;A692)-SUMIFS(Оплаты!$B$6:$B$505,Оплаты!$A$6:$A$505,"&lt;"&amp;A692,Оплаты!$D$6:$D$505,"&lt;&gt;"))</f>
        <v/>
      </c>
      <c r="E692" t="str">
        <f>IF(A692="","",IF(SUMPRODUCT((Ввод!$F$12:$F$31&lt;&gt;"")*(Ввод!$F$12:$F$31&lt;=A692)*(Ввод!$G$12:$G$31&gt;=A692))&gt;0,1,0))</f>
        <v/>
      </c>
      <c r="G692" t="str">
        <f t="shared" si="21"/>
        <v/>
      </c>
    </row>
    <row r="693" spans="1:7" x14ac:dyDescent="0.3">
      <c r="A693" s="21" t="str">
        <f>IF(A692="","",IF(A692+1&gt;Ввод!$B$4,"",A692+1))</f>
        <v/>
      </c>
      <c r="B693" s="23" t="str">
        <f>IF(A693="","",IFERROR(INDEX(Ввод!$B$12:$B$71,MATCH(A693,Ввод!$D$12:$D$71,1)),""))</f>
        <v/>
      </c>
      <c r="C693" t="str">
        <f t="shared" si="20"/>
        <v/>
      </c>
      <c r="D693" t="str">
        <f>IF(A693="","",SUMIFS(Акты!$D$5:$D$16,Акты!$E$5:$E$16,"&lt;="&amp;A693)-SUMIFS(Оплаты!$B$6:$B$505,Оплаты!$A$6:$A$505,"&lt;"&amp;A693,Оплаты!$D$6:$D$505,"&lt;&gt;"))</f>
        <v/>
      </c>
      <c r="E693" t="str">
        <f>IF(A693="","",IF(SUMPRODUCT((Ввод!$F$12:$F$31&lt;&gt;"")*(Ввод!$F$12:$F$31&lt;=A693)*(Ввод!$G$12:$G$31&gt;=A693))&gt;0,1,0))</f>
        <v/>
      </c>
      <c r="G693" t="str">
        <f t="shared" si="21"/>
        <v/>
      </c>
    </row>
    <row r="694" spans="1:7" x14ac:dyDescent="0.3">
      <c r="A694" s="21" t="str">
        <f>IF(A693="","",IF(A693+1&gt;Ввод!$B$4,"",A693+1))</f>
        <v/>
      </c>
      <c r="B694" s="23" t="str">
        <f>IF(A694="","",IFERROR(INDEX(Ввод!$B$12:$B$71,MATCH(A694,Ввод!$D$12:$D$71,1)),""))</f>
        <v/>
      </c>
      <c r="C694" t="str">
        <f t="shared" si="20"/>
        <v/>
      </c>
      <c r="D694" t="str">
        <f>IF(A694="","",SUMIFS(Акты!$D$5:$D$16,Акты!$E$5:$E$16,"&lt;="&amp;A694)-SUMIFS(Оплаты!$B$6:$B$505,Оплаты!$A$6:$A$505,"&lt;"&amp;A694,Оплаты!$D$6:$D$505,"&lt;&gt;"))</f>
        <v/>
      </c>
      <c r="E694" t="str">
        <f>IF(A694="","",IF(SUMPRODUCT((Ввод!$F$12:$F$31&lt;&gt;"")*(Ввод!$F$12:$F$31&lt;=A694)*(Ввод!$G$12:$G$31&gt;=A694))&gt;0,1,0))</f>
        <v/>
      </c>
      <c r="G694" t="str">
        <f t="shared" si="21"/>
        <v/>
      </c>
    </row>
    <row r="695" spans="1:7" x14ac:dyDescent="0.3">
      <c r="A695" s="21" t="str">
        <f>IF(A694="","",IF(A694+1&gt;Ввод!$B$4,"",A694+1))</f>
        <v/>
      </c>
      <c r="B695" s="23" t="str">
        <f>IF(A695="","",IFERROR(INDEX(Ввод!$B$12:$B$71,MATCH(A695,Ввод!$D$12:$D$71,1)),""))</f>
        <v/>
      </c>
      <c r="C695" t="str">
        <f t="shared" si="20"/>
        <v/>
      </c>
      <c r="D695" t="str">
        <f>IF(A695="","",SUMIFS(Акты!$D$5:$D$16,Акты!$E$5:$E$16,"&lt;="&amp;A695)-SUMIFS(Оплаты!$B$6:$B$505,Оплаты!$A$6:$A$505,"&lt;"&amp;A695,Оплаты!$D$6:$D$505,"&lt;&gt;"))</f>
        <v/>
      </c>
      <c r="E695" t="str">
        <f>IF(A695="","",IF(SUMPRODUCT((Ввод!$F$12:$F$31&lt;&gt;"")*(Ввод!$F$12:$F$31&lt;=A695)*(Ввод!$G$12:$G$31&gt;=A695))&gt;0,1,0))</f>
        <v/>
      </c>
      <c r="G695" t="str">
        <f t="shared" si="21"/>
        <v/>
      </c>
    </row>
    <row r="696" spans="1:7" x14ac:dyDescent="0.3">
      <c r="A696" s="21" t="str">
        <f>IF(A695="","",IF(A695+1&gt;Ввод!$B$4,"",A695+1))</f>
        <v/>
      </c>
      <c r="B696" s="23" t="str">
        <f>IF(A696="","",IFERROR(INDEX(Ввод!$B$12:$B$71,MATCH(A696,Ввод!$D$12:$D$71,1)),""))</f>
        <v/>
      </c>
      <c r="C696" t="str">
        <f t="shared" si="20"/>
        <v/>
      </c>
      <c r="D696" t="str">
        <f>IF(A696="","",SUMIFS(Акты!$D$5:$D$16,Акты!$E$5:$E$16,"&lt;="&amp;A696)-SUMIFS(Оплаты!$B$6:$B$505,Оплаты!$A$6:$A$505,"&lt;"&amp;A696,Оплаты!$D$6:$D$505,"&lt;&gt;"))</f>
        <v/>
      </c>
      <c r="E696" t="str">
        <f>IF(A696="","",IF(SUMPRODUCT((Ввод!$F$12:$F$31&lt;&gt;"")*(Ввод!$F$12:$F$31&lt;=A696)*(Ввод!$G$12:$G$31&gt;=A696))&gt;0,1,0))</f>
        <v/>
      </c>
      <c r="G696" t="str">
        <f t="shared" si="21"/>
        <v/>
      </c>
    </row>
    <row r="697" spans="1:7" x14ac:dyDescent="0.3">
      <c r="A697" s="21" t="str">
        <f>IF(A696="","",IF(A696+1&gt;Ввод!$B$4,"",A696+1))</f>
        <v/>
      </c>
      <c r="B697" s="23" t="str">
        <f>IF(A697="","",IFERROR(INDEX(Ввод!$B$12:$B$71,MATCH(A697,Ввод!$D$12:$D$71,1)),""))</f>
        <v/>
      </c>
      <c r="C697" t="str">
        <f t="shared" si="20"/>
        <v/>
      </c>
      <c r="D697" t="str">
        <f>IF(A697="","",SUMIFS(Акты!$D$5:$D$16,Акты!$E$5:$E$16,"&lt;="&amp;A697)-SUMIFS(Оплаты!$B$6:$B$505,Оплаты!$A$6:$A$505,"&lt;"&amp;A697,Оплаты!$D$6:$D$505,"&lt;&gt;"))</f>
        <v/>
      </c>
      <c r="E697" t="str">
        <f>IF(A697="","",IF(SUMPRODUCT((Ввод!$F$12:$F$31&lt;&gt;"")*(Ввод!$F$12:$F$31&lt;=A697)*(Ввод!$G$12:$G$31&gt;=A697))&gt;0,1,0))</f>
        <v/>
      </c>
      <c r="G697" t="str">
        <f t="shared" si="21"/>
        <v/>
      </c>
    </row>
    <row r="698" spans="1:7" x14ac:dyDescent="0.3">
      <c r="A698" s="21" t="str">
        <f>IF(A697="","",IF(A697+1&gt;Ввод!$B$4,"",A697+1))</f>
        <v/>
      </c>
      <c r="B698" s="23" t="str">
        <f>IF(A698="","",IFERROR(INDEX(Ввод!$B$12:$B$71,MATCH(A698,Ввод!$D$12:$D$71,1)),""))</f>
        <v/>
      </c>
      <c r="C698" t="str">
        <f t="shared" si="20"/>
        <v/>
      </c>
      <c r="D698" t="str">
        <f>IF(A698="","",SUMIFS(Акты!$D$5:$D$16,Акты!$E$5:$E$16,"&lt;="&amp;A698)-SUMIFS(Оплаты!$B$6:$B$505,Оплаты!$A$6:$A$505,"&lt;"&amp;A698,Оплаты!$D$6:$D$505,"&lt;&gt;"))</f>
        <v/>
      </c>
      <c r="E698" t="str">
        <f>IF(A698="","",IF(SUMPRODUCT((Ввод!$F$12:$F$31&lt;&gt;"")*(Ввод!$F$12:$F$31&lt;=A698)*(Ввод!$G$12:$G$31&gt;=A698))&gt;0,1,0))</f>
        <v/>
      </c>
      <c r="G698" t="str">
        <f t="shared" si="21"/>
        <v/>
      </c>
    </row>
    <row r="699" spans="1:7" x14ac:dyDescent="0.3">
      <c r="A699" s="21" t="str">
        <f>IF(A698="","",IF(A698+1&gt;Ввод!$B$4,"",A698+1))</f>
        <v/>
      </c>
      <c r="B699" s="23" t="str">
        <f>IF(A699="","",IFERROR(INDEX(Ввод!$B$12:$B$71,MATCH(A699,Ввод!$D$12:$D$71,1)),""))</f>
        <v/>
      </c>
      <c r="C699" t="str">
        <f t="shared" si="20"/>
        <v/>
      </c>
      <c r="D699" t="str">
        <f>IF(A699="","",SUMIFS(Акты!$D$5:$D$16,Акты!$E$5:$E$16,"&lt;="&amp;A699)-SUMIFS(Оплаты!$B$6:$B$505,Оплаты!$A$6:$A$505,"&lt;"&amp;A699,Оплаты!$D$6:$D$505,"&lt;&gt;"))</f>
        <v/>
      </c>
      <c r="E699" t="str">
        <f>IF(A699="","",IF(SUMPRODUCT((Ввод!$F$12:$F$31&lt;&gt;"")*(Ввод!$F$12:$F$31&lt;=A699)*(Ввод!$G$12:$G$31&gt;=A699))&gt;0,1,0))</f>
        <v/>
      </c>
      <c r="G699" t="str">
        <f t="shared" si="21"/>
        <v/>
      </c>
    </row>
    <row r="700" spans="1:7" x14ac:dyDescent="0.3">
      <c r="A700" s="21" t="str">
        <f>IF(A699="","",IF(A699+1&gt;Ввод!$B$4,"",A699+1))</f>
        <v/>
      </c>
      <c r="B700" s="23" t="str">
        <f>IF(A700="","",IFERROR(INDEX(Ввод!$B$12:$B$71,MATCH(A700,Ввод!$D$12:$D$71,1)),""))</f>
        <v/>
      </c>
      <c r="C700" t="str">
        <f t="shared" si="20"/>
        <v/>
      </c>
      <c r="D700" t="str">
        <f>IF(A700="","",SUMIFS(Акты!$D$5:$D$16,Акты!$E$5:$E$16,"&lt;="&amp;A700)-SUMIFS(Оплаты!$B$6:$B$505,Оплаты!$A$6:$A$505,"&lt;"&amp;A700,Оплаты!$D$6:$D$505,"&lt;&gt;"))</f>
        <v/>
      </c>
      <c r="E700" t="str">
        <f>IF(A700="","",IF(SUMPRODUCT((Ввод!$F$12:$F$31&lt;&gt;"")*(Ввод!$F$12:$F$31&lt;=A700)*(Ввод!$G$12:$G$31&gt;=A700))&gt;0,1,0))</f>
        <v/>
      </c>
      <c r="G700" t="str">
        <f t="shared" si="21"/>
        <v/>
      </c>
    </row>
    <row r="701" spans="1:7" x14ac:dyDescent="0.3">
      <c r="A701" s="21" t="str">
        <f>IF(A700="","",IF(A700+1&gt;Ввод!$B$4,"",A700+1))</f>
        <v/>
      </c>
      <c r="B701" s="23" t="str">
        <f>IF(A701="","",IFERROR(INDEX(Ввод!$B$12:$B$71,MATCH(A701,Ввод!$D$12:$D$71,1)),""))</f>
        <v/>
      </c>
      <c r="C701" t="str">
        <f t="shared" si="20"/>
        <v/>
      </c>
      <c r="D701" t="str">
        <f>IF(A701="","",SUMIFS(Акты!$D$5:$D$16,Акты!$E$5:$E$16,"&lt;="&amp;A701)-SUMIFS(Оплаты!$B$6:$B$505,Оплаты!$A$6:$A$505,"&lt;"&amp;A701,Оплаты!$D$6:$D$505,"&lt;&gt;"))</f>
        <v/>
      </c>
      <c r="E701" t="str">
        <f>IF(A701="","",IF(SUMPRODUCT((Ввод!$F$12:$F$31&lt;&gt;"")*(Ввод!$F$12:$F$31&lt;=A701)*(Ввод!$G$12:$G$31&gt;=A701))&gt;0,1,0))</f>
        <v/>
      </c>
      <c r="G701" t="str">
        <f t="shared" si="21"/>
        <v/>
      </c>
    </row>
    <row r="702" spans="1:7" x14ac:dyDescent="0.3">
      <c r="A702" s="21" t="str">
        <f>IF(A701="","",IF(A701+1&gt;Ввод!$B$4,"",A701+1))</f>
        <v/>
      </c>
      <c r="B702" s="23" t="str">
        <f>IF(A702="","",IFERROR(INDEX(Ввод!$B$12:$B$71,MATCH(A702,Ввод!$D$12:$D$71,1)),""))</f>
        <v/>
      </c>
      <c r="C702" t="str">
        <f t="shared" si="20"/>
        <v/>
      </c>
      <c r="D702" t="str">
        <f>IF(A702="","",SUMIFS(Акты!$D$5:$D$16,Акты!$E$5:$E$16,"&lt;="&amp;A702)-SUMIFS(Оплаты!$B$6:$B$505,Оплаты!$A$6:$A$505,"&lt;"&amp;A702,Оплаты!$D$6:$D$505,"&lt;&gt;"))</f>
        <v/>
      </c>
      <c r="E702" t="str">
        <f>IF(A702="","",IF(SUMPRODUCT((Ввод!$F$12:$F$31&lt;&gt;"")*(Ввод!$F$12:$F$31&lt;=A702)*(Ввод!$G$12:$G$31&gt;=A702))&gt;0,1,0))</f>
        <v/>
      </c>
      <c r="G702" t="str">
        <f t="shared" si="21"/>
        <v/>
      </c>
    </row>
    <row r="703" spans="1:7" x14ac:dyDescent="0.3">
      <c r="A703" s="21" t="str">
        <f>IF(A702="","",IF(A702+1&gt;Ввод!$B$4,"",A702+1))</f>
        <v/>
      </c>
      <c r="B703" s="23" t="str">
        <f>IF(A703="","",IFERROR(INDEX(Ввод!$B$12:$B$71,MATCH(A703,Ввод!$D$12:$D$71,1)),""))</f>
        <v/>
      </c>
      <c r="C703" t="str">
        <f t="shared" si="20"/>
        <v/>
      </c>
      <c r="D703" t="str">
        <f>IF(A703="","",SUMIFS(Акты!$D$5:$D$16,Акты!$E$5:$E$16,"&lt;="&amp;A703)-SUMIFS(Оплаты!$B$6:$B$505,Оплаты!$A$6:$A$505,"&lt;"&amp;A703,Оплаты!$D$6:$D$505,"&lt;&gt;"))</f>
        <v/>
      </c>
      <c r="E703" t="str">
        <f>IF(A703="","",IF(SUMPRODUCT((Ввод!$F$12:$F$31&lt;&gt;"")*(Ввод!$F$12:$F$31&lt;=A703)*(Ввод!$G$12:$G$31&gt;=A703))&gt;0,1,0))</f>
        <v/>
      </c>
      <c r="G703" t="str">
        <f t="shared" si="21"/>
        <v/>
      </c>
    </row>
    <row r="704" spans="1:7" x14ac:dyDescent="0.3">
      <c r="A704" s="21" t="str">
        <f>IF(A703="","",IF(A703+1&gt;Ввод!$B$4,"",A703+1))</f>
        <v/>
      </c>
      <c r="B704" s="23" t="str">
        <f>IF(A704="","",IFERROR(INDEX(Ввод!$B$12:$B$71,MATCH(A704,Ввод!$D$12:$D$71,1)),""))</f>
        <v/>
      </c>
      <c r="C704" t="str">
        <f t="shared" si="20"/>
        <v/>
      </c>
      <c r="D704" t="str">
        <f>IF(A704="","",SUMIFS(Акты!$D$5:$D$16,Акты!$E$5:$E$16,"&lt;="&amp;A704)-SUMIFS(Оплаты!$B$6:$B$505,Оплаты!$A$6:$A$505,"&lt;"&amp;A704,Оплаты!$D$6:$D$505,"&lt;&gt;"))</f>
        <v/>
      </c>
      <c r="E704" t="str">
        <f>IF(A704="","",IF(SUMPRODUCT((Ввод!$F$12:$F$31&lt;&gt;"")*(Ввод!$F$12:$F$31&lt;=A704)*(Ввод!$G$12:$G$31&gt;=A704))&gt;0,1,0))</f>
        <v/>
      </c>
      <c r="G704" t="str">
        <f t="shared" si="21"/>
        <v/>
      </c>
    </row>
    <row r="705" spans="1:7" x14ac:dyDescent="0.3">
      <c r="A705" s="21" t="str">
        <f>IF(A704="","",IF(A704+1&gt;Ввод!$B$4,"",A704+1))</f>
        <v/>
      </c>
      <c r="B705" s="23" t="str">
        <f>IF(A705="","",IFERROR(INDEX(Ввод!$B$12:$B$71,MATCH(A705,Ввод!$D$12:$D$71,1)),""))</f>
        <v/>
      </c>
      <c r="C705" t="str">
        <f t="shared" si="20"/>
        <v/>
      </c>
      <c r="D705" t="str">
        <f>IF(A705="","",SUMIFS(Акты!$D$5:$D$16,Акты!$E$5:$E$16,"&lt;="&amp;A705)-SUMIFS(Оплаты!$B$6:$B$505,Оплаты!$A$6:$A$505,"&lt;"&amp;A705,Оплаты!$D$6:$D$505,"&lt;&gt;"))</f>
        <v/>
      </c>
      <c r="E705" t="str">
        <f>IF(A705="","",IF(SUMPRODUCT((Ввод!$F$12:$F$31&lt;&gt;"")*(Ввод!$F$12:$F$31&lt;=A705)*(Ввод!$G$12:$G$31&gt;=A705))&gt;0,1,0))</f>
        <v/>
      </c>
      <c r="G705" t="str">
        <f t="shared" si="21"/>
        <v/>
      </c>
    </row>
    <row r="706" spans="1:7" x14ac:dyDescent="0.3">
      <c r="A706" s="21" t="str">
        <f>IF(A705="","",IF(A705+1&gt;Ввод!$B$4,"",A705+1))</f>
        <v/>
      </c>
      <c r="B706" s="23" t="str">
        <f>IF(A706="","",IFERROR(INDEX(Ввод!$B$12:$B$71,MATCH(A706,Ввод!$D$12:$D$71,1)),""))</f>
        <v/>
      </c>
      <c r="C706" t="str">
        <f t="shared" ref="C706:C769" si="22">IF(A706="","",DATE(YEAR(A706),12,31)-DATE(YEAR(A706),1,1)+1)</f>
        <v/>
      </c>
      <c r="D706" t="str">
        <f>IF(A706="","",SUMIFS(Акты!$D$5:$D$16,Акты!$E$5:$E$16,"&lt;="&amp;A706)-SUMIFS(Оплаты!$B$6:$B$505,Оплаты!$A$6:$A$505,"&lt;"&amp;A706,Оплаты!$D$6:$D$505,"&lt;&gt;"))</f>
        <v/>
      </c>
      <c r="E706" t="str">
        <f>IF(A706="","",IF(SUMPRODUCT((Ввод!$F$12:$F$31&lt;&gt;"")*(Ввод!$F$12:$F$31&lt;=A706)*(Ввод!$G$12:$G$31&gt;=A706))&gt;0,1,0))</f>
        <v/>
      </c>
      <c r="G706" t="str">
        <f t="shared" si="21"/>
        <v/>
      </c>
    </row>
    <row r="707" spans="1:7" x14ac:dyDescent="0.3">
      <c r="A707" s="21" t="str">
        <f>IF(A706="","",IF(A706+1&gt;Ввод!$B$4,"",A706+1))</f>
        <v/>
      </c>
      <c r="B707" s="23" t="str">
        <f>IF(A707="","",IFERROR(INDEX(Ввод!$B$12:$B$71,MATCH(A707,Ввод!$D$12:$D$71,1)),""))</f>
        <v/>
      </c>
      <c r="C707" t="str">
        <f t="shared" si="22"/>
        <v/>
      </c>
      <c r="D707" t="str">
        <f>IF(A707="","",SUMIFS(Акты!$D$5:$D$16,Акты!$E$5:$E$16,"&lt;="&amp;A707)-SUMIFS(Оплаты!$B$6:$B$505,Оплаты!$A$6:$A$505,"&lt;"&amp;A707,Оплаты!$D$6:$D$505,"&lt;&gt;"))</f>
        <v/>
      </c>
      <c r="E707" t="str">
        <f>IF(A707="","",IF(SUMPRODUCT((Ввод!$F$12:$F$31&lt;&gt;"")*(Ввод!$F$12:$F$31&lt;=A707)*(Ввод!$G$12:$G$31&gt;=A707))&gt;0,1,0))</f>
        <v/>
      </c>
      <c r="G707" t="str">
        <f t="shared" ref="G707:G770" si="23">IF(A707="","",IF(OR(B707&lt;&gt;B706,C707&lt;&gt;C706,E707&lt;&gt;E706),G706+1,G706))</f>
        <v/>
      </c>
    </row>
    <row r="708" spans="1:7" x14ac:dyDescent="0.3">
      <c r="A708" s="21" t="str">
        <f>IF(A707="","",IF(A707+1&gt;Ввод!$B$4,"",A707+1))</f>
        <v/>
      </c>
      <c r="B708" s="23" t="str">
        <f>IF(A708="","",IFERROR(INDEX(Ввод!$B$12:$B$71,MATCH(A708,Ввод!$D$12:$D$71,1)),""))</f>
        <v/>
      </c>
      <c r="C708" t="str">
        <f t="shared" si="22"/>
        <v/>
      </c>
      <c r="D708" t="str">
        <f>IF(A708="","",SUMIFS(Акты!$D$5:$D$16,Акты!$E$5:$E$16,"&lt;="&amp;A708)-SUMIFS(Оплаты!$B$6:$B$505,Оплаты!$A$6:$A$505,"&lt;"&amp;A708,Оплаты!$D$6:$D$505,"&lt;&gt;"))</f>
        <v/>
      </c>
      <c r="E708" t="str">
        <f>IF(A708="","",IF(SUMPRODUCT((Ввод!$F$12:$F$31&lt;&gt;"")*(Ввод!$F$12:$F$31&lt;=A708)*(Ввод!$G$12:$G$31&gt;=A708))&gt;0,1,0))</f>
        <v/>
      </c>
      <c r="G708" t="str">
        <f t="shared" si="23"/>
        <v/>
      </c>
    </row>
    <row r="709" spans="1:7" x14ac:dyDescent="0.3">
      <c r="A709" s="21" t="str">
        <f>IF(A708="","",IF(A708+1&gt;Ввод!$B$4,"",A708+1))</f>
        <v/>
      </c>
      <c r="B709" s="23" t="str">
        <f>IF(A709="","",IFERROR(INDEX(Ввод!$B$12:$B$71,MATCH(A709,Ввод!$D$12:$D$71,1)),""))</f>
        <v/>
      </c>
      <c r="C709" t="str">
        <f t="shared" si="22"/>
        <v/>
      </c>
      <c r="D709" t="str">
        <f>IF(A709="","",SUMIFS(Акты!$D$5:$D$16,Акты!$E$5:$E$16,"&lt;="&amp;A709)-SUMIFS(Оплаты!$B$6:$B$505,Оплаты!$A$6:$A$505,"&lt;"&amp;A709,Оплаты!$D$6:$D$505,"&lt;&gt;"))</f>
        <v/>
      </c>
      <c r="E709" t="str">
        <f>IF(A709="","",IF(SUMPRODUCT((Ввод!$F$12:$F$31&lt;&gt;"")*(Ввод!$F$12:$F$31&lt;=A709)*(Ввод!$G$12:$G$31&gt;=A709))&gt;0,1,0))</f>
        <v/>
      </c>
      <c r="G709" t="str">
        <f t="shared" si="23"/>
        <v/>
      </c>
    </row>
    <row r="710" spans="1:7" x14ac:dyDescent="0.3">
      <c r="A710" s="21" t="str">
        <f>IF(A709="","",IF(A709+1&gt;Ввод!$B$4,"",A709+1))</f>
        <v/>
      </c>
      <c r="B710" s="23" t="str">
        <f>IF(A710="","",IFERROR(INDEX(Ввод!$B$12:$B$71,MATCH(A710,Ввод!$D$12:$D$71,1)),""))</f>
        <v/>
      </c>
      <c r="C710" t="str">
        <f t="shared" si="22"/>
        <v/>
      </c>
      <c r="D710" t="str">
        <f>IF(A710="","",SUMIFS(Акты!$D$5:$D$16,Акты!$E$5:$E$16,"&lt;="&amp;A710)-SUMIFS(Оплаты!$B$6:$B$505,Оплаты!$A$6:$A$505,"&lt;"&amp;A710,Оплаты!$D$6:$D$505,"&lt;&gt;"))</f>
        <v/>
      </c>
      <c r="E710" t="str">
        <f>IF(A710="","",IF(SUMPRODUCT((Ввод!$F$12:$F$31&lt;&gt;"")*(Ввод!$F$12:$F$31&lt;=A710)*(Ввод!$G$12:$G$31&gt;=A710))&gt;0,1,0))</f>
        <v/>
      </c>
      <c r="G710" t="str">
        <f t="shared" si="23"/>
        <v/>
      </c>
    </row>
    <row r="711" spans="1:7" x14ac:dyDescent="0.3">
      <c r="A711" s="21" t="str">
        <f>IF(A710="","",IF(A710+1&gt;Ввод!$B$4,"",A710+1))</f>
        <v/>
      </c>
      <c r="B711" s="23" t="str">
        <f>IF(A711="","",IFERROR(INDEX(Ввод!$B$12:$B$71,MATCH(A711,Ввод!$D$12:$D$71,1)),""))</f>
        <v/>
      </c>
      <c r="C711" t="str">
        <f t="shared" si="22"/>
        <v/>
      </c>
      <c r="D711" t="str">
        <f>IF(A711="","",SUMIFS(Акты!$D$5:$D$16,Акты!$E$5:$E$16,"&lt;="&amp;A711)-SUMIFS(Оплаты!$B$6:$B$505,Оплаты!$A$6:$A$505,"&lt;"&amp;A711,Оплаты!$D$6:$D$505,"&lt;&gt;"))</f>
        <v/>
      </c>
      <c r="E711" t="str">
        <f>IF(A711="","",IF(SUMPRODUCT((Ввод!$F$12:$F$31&lt;&gt;"")*(Ввод!$F$12:$F$31&lt;=A711)*(Ввод!$G$12:$G$31&gt;=A711))&gt;0,1,0))</f>
        <v/>
      </c>
      <c r="G711" t="str">
        <f t="shared" si="23"/>
        <v/>
      </c>
    </row>
    <row r="712" spans="1:7" x14ac:dyDescent="0.3">
      <c r="A712" s="21" t="str">
        <f>IF(A711="","",IF(A711+1&gt;Ввод!$B$4,"",A711+1))</f>
        <v/>
      </c>
      <c r="B712" s="23" t="str">
        <f>IF(A712="","",IFERROR(INDEX(Ввод!$B$12:$B$71,MATCH(A712,Ввод!$D$12:$D$71,1)),""))</f>
        <v/>
      </c>
      <c r="C712" t="str">
        <f t="shared" si="22"/>
        <v/>
      </c>
      <c r="D712" t="str">
        <f>IF(A712="","",SUMIFS(Акты!$D$5:$D$16,Акты!$E$5:$E$16,"&lt;="&amp;A712)-SUMIFS(Оплаты!$B$6:$B$505,Оплаты!$A$6:$A$505,"&lt;"&amp;A712,Оплаты!$D$6:$D$505,"&lt;&gt;"))</f>
        <v/>
      </c>
      <c r="E712" t="str">
        <f>IF(A712="","",IF(SUMPRODUCT((Ввод!$F$12:$F$31&lt;&gt;"")*(Ввод!$F$12:$F$31&lt;=A712)*(Ввод!$G$12:$G$31&gt;=A712))&gt;0,1,0))</f>
        <v/>
      </c>
      <c r="G712" t="str">
        <f t="shared" si="23"/>
        <v/>
      </c>
    </row>
    <row r="713" spans="1:7" x14ac:dyDescent="0.3">
      <c r="A713" s="21" t="str">
        <f>IF(A712="","",IF(A712+1&gt;Ввод!$B$4,"",A712+1))</f>
        <v/>
      </c>
      <c r="B713" s="23" t="str">
        <f>IF(A713="","",IFERROR(INDEX(Ввод!$B$12:$B$71,MATCH(A713,Ввод!$D$12:$D$71,1)),""))</f>
        <v/>
      </c>
      <c r="C713" t="str">
        <f t="shared" si="22"/>
        <v/>
      </c>
      <c r="D713" t="str">
        <f>IF(A713="","",SUMIFS(Акты!$D$5:$D$16,Акты!$E$5:$E$16,"&lt;="&amp;A713)-SUMIFS(Оплаты!$B$6:$B$505,Оплаты!$A$6:$A$505,"&lt;"&amp;A713,Оплаты!$D$6:$D$505,"&lt;&gt;"))</f>
        <v/>
      </c>
      <c r="E713" t="str">
        <f>IF(A713="","",IF(SUMPRODUCT((Ввод!$F$12:$F$31&lt;&gt;"")*(Ввод!$F$12:$F$31&lt;=A713)*(Ввод!$G$12:$G$31&gt;=A713))&gt;0,1,0))</f>
        <v/>
      </c>
      <c r="G713" t="str">
        <f t="shared" si="23"/>
        <v/>
      </c>
    </row>
    <row r="714" spans="1:7" x14ac:dyDescent="0.3">
      <c r="A714" s="21" t="str">
        <f>IF(A713="","",IF(A713+1&gt;Ввод!$B$4,"",A713+1))</f>
        <v/>
      </c>
      <c r="B714" s="23" t="str">
        <f>IF(A714="","",IFERROR(INDEX(Ввод!$B$12:$B$71,MATCH(A714,Ввод!$D$12:$D$71,1)),""))</f>
        <v/>
      </c>
      <c r="C714" t="str">
        <f t="shared" si="22"/>
        <v/>
      </c>
      <c r="D714" t="str">
        <f>IF(A714="","",SUMIFS(Акты!$D$5:$D$16,Акты!$E$5:$E$16,"&lt;="&amp;A714)-SUMIFS(Оплаты!$B$6:$B$505,Оплаты!$A$6:$A$505,"&lt;"&amp;A714,Оплаты!$D$6:$D$505,"&lt;&gt;"))</f>
        <v/>
      </c>
      <c r="E714" t="str">
        <f>IF(A714="","",IF(SUMPRODUCT((Ввод!$F$12:$F$31&lt;&gt;"")*(Ввод!$F$12:$F$31&lt;=A714)*(Ввод!$G$12:$G$31&gt;=A714))&gt;0,1,0))</f>
        <v/>
      </c>
      <c r="G714" t="str">
        <f t="shared" si="23"/>
        <v/>
      </c>
    </row>
    <row r="715" spans="1:7" x14ac:dyDescent="0.3">
      <c r="A715" s="21" t="str">
        <f>IF(A714="","",IF(A714+1&gt;Ввод!$B$4,"",A714+1))</f>
        <v/>
      </c>
      <c r="B715" s="23" t="str">
        <f>IF(A715="","",IFERROR(INDEX(Ввод!$B$12:$B$71,MATCH(A715,Ввод!$D$12:$D$71,1)),""))</f>
        <v/>
      </c>
      <c r="C715" t="str">
        <f t="shared" si="22"/>
        <v/>
      </c>
      <c r="D715" t="str">
        <f>IF(A715="","",SUMIFS(Акты!$D$5:$D$16,Акты!$E$5:$E$16,"&lt;="&amp;A715)-SUMIFS(Оплаты!$B$6:$B$505,Оплаты!$A$6:$A$505,"&lt;"&amp;A715,Оплаты!$D$6:$D$505,"&lt;&gt;"))</f>
        <v/>
      </c>
      <c r="E715" t="str">
        <f>IF(A715="","",IF(SUMPRODUCT((Ввод!$F$12:$F$31&lt;&gt;"")*(Ввод!$F$12:$F$31&lt;=A715)*(Ввод!$G$12:$G$31&gt;=A715))&gt;0,1,0))</f>
        <v/>
      </c>
      <c r="G715" t="str">
        <f t="shared" si="23"/>
        <v/>
      </c>
    </row>
    <row r="716" spans="1:7" x14ac:dyDescent="0.3">
      <c r="A716" s="21" t="str">
        <f>IF(A715="","",IF(A715+1&gt;Ввод!$B$4,"",A715+1))</f>
        <v/>
      </c>
      <c r="B716" s="23" t="str">
        <f>IF(A716="","",IFERROR(INDEX(Ввод!$B$12:$B$71,MATCH(A716,Ввод!$D$12:$D$71,1)),""))</f>
        <v/>
      </c>
      <c r="C716" t="str">
        <f t="shared" si="22"/>
        <v/>
      </c>
      <c r="D716" t="str">
        <f>IF(A716="","",SUMIFS(Акты!$D$5:$D$16,Акты!$E$5:$E$16,"&lt;="&amp;A716)-SUMIFS(Оплаты!$B$6:$B$505,Оплаты!$A$6:$A$505,"&lt;"&amp;A716,Оплаты!$D$6:$D$505,"&lt;&gt;"))</f>
        <v/>
      </c>
      <c r="E716" t="str">
        <f>IF(A716="","",IF(SUMPRODUCT((Ввод!$F$12:$F$31&lt;&gt;"")*(Ввод!$F$12:$F$31&lt;=A716)*(Ввод!$G$12:$G$31&gt;=A716))&gt;0,1,0))</f>
        <v/>
      </c>
      <c r="G716" t="str">
        <f t="shared" si="23"/>
        <v/>
      </c>
    </row>
    <row r="717" spans="1:7" x14ac:dyDescent="0.3">
      <c r="A717" s="21" t="str">
        <f>IF(A716="","",IF(A716+1&gt;Ввод!$B$4,"",A716+1))</f>
        <v/>
      </c>
      <c r="B717" s="23" t="str">
        <f>IF(A717="","",IFERROR(INDEX(Ввод!$B$12:$B$71,MATCH(A717,Ввод!$D$12:$D$71,1)),""))</f>
        <v/>
      </c>
      <c r="C717" t="str">
        <f t="shared" si="22"/>
        <v/>
      </c>
      <c r="D717" t="str">
        <f>IF(A717="","",SUMIFS(Акты!$D$5:$D$16,Акты!$E$5:$E$16,"&lt;="&amp;A717)-SUMIFS(Оплаты!$B$6:$B$505,Оплаты!$A$6:$A$505,"&lt;"&amp;A717,Оплаты!$D$6:$D$505,"&lt;&gt;"))</f>
        <v/>
      </c>
      <c r="E717" t="str">
        <f>IF(A717="","",IF(SUMPRODUCT((Ввод!$F$12:$F$31&lt;&gt;"")*(Ввод!$F$12:$F$31&lt;=A717)*(Ввод!$G$12:$G$31&gt;=A717))&gt;0,1,0))</f>
        <v/>
      </c>
      <c r="G717" t="str">
        <f t="shared" si="23"/>
        <v/>
      </c>
    </row>
    <row r="718" spans="1:7" x14ac:dyDescent="0.3">
      <c r="A718" s="21" t="str">
        <f>IF(A717="","",IF(A717+1&gt;Ввод!$B$4,"",A717+1))</f>
        <v/>
      </c>
      <c r="B718" s="23" t="str">
        <f>IF(A718="","",IFERROR(INDEX(Ввод!$B$12:$B$71,MATCH(A718,Ввод!$D$12:$D$71,1)),""))</f>
        <v/>
      </c>
      <c r="C718" t="str">
        <f t="shared" si="22"/>
        <v/>
      </c>
      <c r="D718" t="str">
        <f>IF(A718="","",SUMIFS(Акты!$D$5:$D$16,Акты!$E$5:$E$16,"&lt;="&amp;A718)-SUMIFS(Оплаты!$B$6:$B$505,Оплаты!$A$6:$A$505,"&lt;"&amp;A718,Оплаты!$D$6:$D$505,"&lt;&gt;"))</f>
        <v/>
      </c>
      <c r="E718" t="str">
        <f>IF(A718="","",IF(SUMPRODUCT((Ввод!$F$12:$F$31&lt;&gt;"")*(Ввод!$F$12:$F$31&lt;=A718)*(Ввод!$G$12:$G$31&gt;=A718))&gt;0,1,0))</f>
        <v/>
      </c>
      <c r="G718" t="str">
        <f t="shared" si="23"/>
        <v/>
      </c>
    </row>
    <row r="719" spans="1:7" x14ac:dyDescent="0.3">
      <c r="A719" s="21" t="str">
        <f>IF(A718="","",IF(A718+1&gt;Ввод!$B$4,"",A718+1))</f>
        <v/>
      </c>
      <c r="B719" s="23" t="str">
        <f>IF(A719="","",IFERROR(INDEX(Ввод!$B$12:$B$71,MATCH(A719,Ввод!$D$12:$D$71,1)),""))</f>
        <v/>
      </c>
      <c r="C719" t="str">
        <f t="shared" si="22"/>
        <v/>
      </c>
      <c r="D719" t="str">
        <f>IF(A719="","",SUMIFS(Акты!$D$5:$D$16,Акты!$E$5:$E$16,"&lt;="&amp;A719)-SUMIFS(Оплаты!$B$6:$B$505,Оплаты!$A$6:$A$505,"&lt;"&amp;A719,Оплаты!$D$6:$D$505,"&lt;&gt;"))</f>
        <v/>
      </c>
      <c r="E719" t="str">
        <f>IF(A719="","",IF(SUMPRODUCT((Ввод!$F$12:$F$31&lt;&gt;"")*(Ввод!$F$12:$F$31&lt;=A719)*(Ввод!$G$12:$G$31&gt;=A719))&gt;0,1,0))</f>
        <v/>
      </c>
      <c r="G719" t="str">
        <f t="shared" si="23"/>
        <v/>
      </c>
    </row>
    <row r="720" spans="1:7" x14ac:dyDescent="0.3">
      <c r="A720" s="21" t="str">
        <f>IF(A719="","",IF(A719+1&gt;Ввод!$B$4,"",A719+1))</f>
        <v/>
      </c>
      <c r="B720" s="23" t="str">
        <f>IF(A720="","",IFERROR(INDEX(Ввод!$B$12:$B$71,MATCH(A720,Ввод!$D$12:$D$71,1)),""))</f>
        <v/>
      </c>
      <c r="C720" t="str">
        <f t="shared" si="22"/>
        <v/>
      </c>
      <c r="D720" t="str">
        <f>IF(A720="","",SUMIFS(Акты!$D$5:$D$16,Акты!$E$5:$E$16,"&lt;="&amp;A720)-SUMIFS(Оплаты!$B$6:$B$505,Оплаты!$A$6:$A$505,"&lt;"&amp;A720,Оплаты!$D$6:$D$505,"&lt;&gt;"))</f>
        <v/>
      </c>
      <c r="E720" t="str">
        <f>IF(A720="","",IF(SUMPRODUCT((Ввод!$F$12:$F$31&lt;&gt;"")*(Ввод!$F$12:$F$31&lt;=A720)*(Ввод!$G$12:$G$31&gt;=A720))&gt;0,1,0))</f>
        <v/>
      </c>
      <c r="G720" t="str">
        <f t="shared" si="23"/>
        <v/>
      </c>
    </row>
    <row r="721" spans="1:7" x14ac:dyDescent="0.3">
      <c r="A721" s="21" t="str">
        <f>IF(A720="","",IF(A720+1&gt;Ввод!$B$4,"",A720+1))</f>
        <v/>
      </c>
      <c r="B721" s="23" t="str">
        <f>IF(A721="","",IFERROR(INDEX(Ввод!$B$12:$B$71,MATCH(A721,Ввод!$D$12:$D$71,1)),""))</f>
        <v/>
      </c>
      <c r="C721" t="str">
        <f t="shared" si="22"/>
        <v/>
      </c>
      <c r="D721" t="str">
        <f>IF(A721="","",SUMIFS(Акты!$D$5:$D$16,Акты!$E$5:$E$16,"&lt;="&amp;A721)-SUMIFS(Оплаты!$B$6:$B$505,Оплаты!$A$6:$A$505,"&lt;"&amp;A721,Оплаты!$D$6:$D$505,"&lt;&gt;"))</f>
        <v/>
      </c>
      <c r="E721" t="str">
        <f>IF(A721="","",IF(SUMPRODUCT((Ввод!$F$12:$F$31&lt;&gt;"")*(Ввод!$F$12:$F$31&lt;=A721)*(Ввод!$G$12:$G$31&gt;=A721))&gt;0,1,0))</f>
        <v/>
      </c>
      <c r="G721" t="str">
        <f t="shared" si="23"/>
        <v/>
      </c>
    </row>
    <row r="722" spans="1:7" x14ac:dyDescent="0.3">
      <c r="A722" s="21" t="str">
        <f>IF(A721="","",IF(A721+1&gt;Ввод!$B$4,"",A721+1))</f>
        <v/>
      </c>
      <c r="B722" s="23" t="str">
        <f>IF(A722="","",IFERROR(INDEX(Ввод!$B$12:$B$71,MATCH(A722,Ввод!$D$12:$D$71,1)),""))</f>
        <v/>
      </c>
      <c r="C722" t="str">
        <f t="shared" si="22"/>
        <v/>
      </c>
      <c r="D722" t="str">
        <f>IF(A722="","",SUMIFS(Акты!$D$5:$D$16,Акты!$E$5:$E$16,"&lt;="&amp;A722)-SUMIFS(Оплаты!$B$6:$B$505,Оплаты!$A$6:$A$505,"&lt;"&amp;A722,Оплаты!$D$6:$D$505,"&lt;&gt;"))</f>
        <v/>
      </c>
      <c r="E722" t="str">
        <f>IF(A722="","",IF(SUMPRODUCT((Ввод!$F$12:$F$31&lt;&gt;"")*(Ввод!$F$12:$F$31&lt;=A722)*(Ввод!$G$12:$G$31&gt;=A722))&gt;0,1,0))</f>
        <v/>
      </c>
      <c r="G722" t="str">
        <f t="shared" si="23"/>
        <v/>
      </c>
    </row>
    <row r="723" spans="1:7" x14ac:dyDescent="0.3">
      <c r="A723" s="21" t="str">
        <f>IF(A722="","",IF(A722+1&gt;Ввод!$B$4,"",A722+1))</f>
        <v/>
      </c>
      <c r="B723" s="23" t="str">
        <f>IF(A723="","",IFERROR(INDEX(Ввод!$B$12:$B$71,MATCH(A723,Ввод!$D$12:$D$71,1)),""))</f>
        <v/>
      </c>
      <c r="C723" t="str">
        <f t="shared" si="22"/>
        <v/>
      </c>
      <c r="D723" t="str">
        <f>IF(A723="","",SUMIFS(Акты!$D$5:$D$16,Акты!$E$5:$E$16,"&lt;="&amp;A723)-SUMIFS(Оплаты!$B$6:$B$505,Оплаты!$A$6:$A$505,"&lt;"&amp;A723,Оплаты!$D$6:$D$505,"&lt;&gt;"))</f>
        <v/>
      </c>
      <c r="E723" t="str">
        <f>IF(A723="","",IF(SUMPRODUCT((Ввод!$F$12:$F$31&lt;&gt;"")*(Ввод!$F$12:$F$31&lt;=A723)*(Ввод!$G$12:$G$31&gt;=A723))&gt;0,1,0))</f>
        <v/>
      </c>
      <c r="G723" t="str">
        <f t="shared" si="23"/>
        <v/>
      </c>
    </row>
    <row r="724" spans="1:7" x14ac:dyDescent="0.3">
      <c r="A724" s="21" t="str">
        <f>IF(A723="","",IF(A723+1&gt;Ввод!$B$4,"",A723+1))</f>
        <v/>
      </c>
      <c r="B724" s="23" t="str">
        <f>IF(A724="","",IFERROR(INDEX(Ввод!$B$12:$B$71,MATCH(A724,Ввод!$D$12:$D$71,1)),""))</f>
        <v/>
      </c>
      <c r="C724" t="str">
        <f t="shared" si="22"/>
        <v/>
      </c>
      <c r="D724" t="str">
        <f>IF(A724="","",SUMIFS(Акты!$D$5:$D$16,Акты!$E$5:$E$16,"&lt;="&amp;A724)-SUMIFS(Оплаты!$B$6:$B$505,Оплаты!$A$6:$A$505,"&lt;"&amp;A724,Оплаты!$D$6:$D$505,"&lt;&gt;"))</f>
        <v/>
      </c>
      <c r="E724" t="str">
        <f>IF(A724="","",IF(SUMPRODUCT((Ввод!$F$12:$F$31&lt;&gt;"")*(Ввод!$F$12:$F$31&lt;=A724)*(Ввод!$G$12:$G$31&gt;=A724))&gt;0,1,0))</f>
        <v/>
      </c>
      <c r="G724" t="str">
        <f t="shared" si="23"/>
        <v/>
      </c>
    </row>
    <row r="725" spans="1:7" x14ac:dyDescent="0.3">
      <c r="A725" s="21" t="str">
        <f>IF(A724="","",IF(A724+1&gt;Ввод!$B$4,"",A724+1))</f>
        <v/>
      </c>
      <c r="B725" s="23" t="str">
        <f>IF(A725="","",IFERROR(INDEX(Ввод!$B$12:$B$71,MATCH(A725,Ввод!$D$12:$D$71,1)),""))</f>
        <v/>
      </c>
      <c r="C725" t="str">
        <f t="shared" si="22"/>
        <v/>
      </c>
      <c r="D725" t="str">
        <f>IF(A725="","",SUMIFS(Акты!$D$5:$D$16,Акты!$E$5:$E$16,"&lt;="&amp;A725)-SUMIFS(Оплаты!$B$6:$B$505,Оплаты!$A$6:$A$505,"&lt;"&amp;A725,Оплаты!$D$6:$D$505,"&lt;&gt;"))</f>
        <v/>
      </c>
      <c r="E725" t="str">
        <f>IF(A725="","",IF(SUMPRODUCT((Ввод!$F$12:$F$31&lt;&gt;"")*(Ввод!$F$12:$F$31&lt;=A725)*(Ввод!$G$12:$G$31&gt;=A725))&gt;0,1,0))</f>
        <v/>
      </c>
      <c r="G725" t="str">
        <f t="shared" si="23"/>
        <v/>
      </c>
    </row>
    <row r="726" spans="1:7" x14ac:dyDescent="0.3">
      <c r="A726" s="21" t="str">
        <f>IF(A725="","",IF(A725+1&gt;Ввод!$B$4,"",A725+1))</f>
        <v/>
      </c>
      <c r="B726" s="23" t="str">
        <f>IF(A726="","",IFERROR(INDEX(Ввод!$B$12:$B$71,MATCH(A726,Ввод!$D$12:$D$71,1)),""))</f>
        <v/>
      </c>
      <c r="C726" t="str">
        <f t="shared" si="22"/>
        <v/>
      </c>
      <c r="D726" t="str">
        <f>IF(A726="","",SUMIFS(Акты!$D$5:$D$16,Акты!$E$5:$E$16,"&lt;="&amp;A726)-SUMIFS(Оплаты!$B$6:$B$505,Оплаты!$A$6:$A$505,"&lt;"&amp;A726,Оплаты!$D$6:$D$505,"&lt;&gt;"))</f>
        <v/>
      </c>
      <c r="E726" t="str">
        <f>IF(A726="","",IF(SUMPRODUCT((Ввод!$F$12:$F$31&lt;&gt;"")*(Ввод!$F$12:$F$31&lt;=A726)*(Ввод!$G$12:$G$31&gt;=A726))&gt;0,1,0))</f>
        <v/>
      </c>
      <c r="G726" t="str">
        <f t="shared" si="23"/>
        <v/>
      </c>
    </row>
    <row r="727" spans="1:7" x14ac:dyDescent="0.3">
      <c r="A727" s="21" t="str">
        <f>IF(A726="","",IF(A726+1&gt;Ввод!$B$4,"",A726+1))</f>
        <v/>
      </c>
      <c r="B727" s="23" t="str">
        <f>IF(A727="","",IFERROR(INDEX(Ввод!$B$12:$B$71,MATCH(A727,Ввод!$D$12:$D$71,1)),""))</f>
        <v/>
      </c>
      <c r="C727" t="str">
        <f t="shared" si="22"/>
        <v/>
      </c>
      <c r="D727" t="str">
        <f>IF(A727="","",SUMIFS(Акты!$D$5:$D$16,Акты!$E$5:$E$16,"&lt;="&amp;A727)-SUMIFS(Оплаты!$B$6:$B$505,Оплаты!$A$6:$A$505,"&lt;"&amp;A727,Оплаты!$D$6:$D$505,"&lt;&gt;"))</f>
        <v/>
      </c>
      <c r="E727" t="str">
        <f>IF(A727="","",IF(SUMPRODUCT((Ввод!$F$12:$F$31&lt;&gt;"")*(Ввод!$F$12:$F$31&lt;=A727)*(Ввод!$G$12:$G$31&gt;=A727))&gt;0,1,0))</f>
        <v/>
      </c>
      <c r="G727" t="str">
        <f t="shared" si="23"/>
        <v/>
      </c>
    </row>
    <row r="728" spans="1:7" x14ac:dyDescent="0.3">
      <c r="A728" s="21" t="str">
        <f>IF(A727="","",IF(A727+1&gt;Ввод!$B$4,"",A727+1))</f>
        <v/>
      </c>
      <c r="B728" s="23" t="str">
        <f>IF(A728="","",IFERROR(INDEX(Ввод!$B$12:$B$71,MATCH(A728,Ввод!$D$12:$D$71,1)),""))</f>
        <v/>
      </c>
      <c r="C728" t="str">
        <f t="shared" si="22"/>
        <v/>
      </c>
      <c r="D728" t="str">
        <f>IF(A728="","",SUMIFS(Акты!$D$5:$D$16,Акты!$E$5:$E$16,"&lt;="&amp;A728)-SUMIFS(Оплаты!$B$6:$B$505,Оплаты!$A$6:$A$505,"&lt;"&amp;A728,Оплаты!$D$6:$D$505,"&lt;&gt;"))</f>
        <v/>
      </c>
      <c r="E728" t="str">
        <f>IF(A728="","",IF(SUMPRODUCT((Ввод!$F$12:$F$31&lt;&gt;"")*(Ввод!$F$12:$F$31&lt;=A728)*(Ввод!$G$12:$G$31&gt;=A728))&gt;0,1,0))</f>
        <v/>
      </c>
      <c r="G728" t="str">
        <f t="shared" si="23"/>
        <v/>
      </c>
    </row>
    <row r="729" spans="1:7" x14ac:dyDescent="0.3">
      <c r="A729" s="21" t="str">
        <f>IF(A728="","",IF(A728+1&gt;Ввод!$B$4,"",A728+1))</f>
        <v/>
      </c>
      <c r="B729" s="23" t="str">
        <f>IF(A729="","",IFERROR(INDEX(Ввод!$B$12:$B$71,MATCH(A729,Ввод!$D$12:$D$71,1)),""))</f>
        <v/>
      </c>
      <c r="C729" t="str">
        <f t="shared" si="22"/>
        <v/>
      </c>
      <c r="D729" t="str">
        <f>IF(A729="","",SUMIFS(Акты!$D$5:$D$16,Акты!$E$5:$E$16,"&lt;="&amp;A729)-SUMIFS(Оплаты!$B$6:$B$505,Оплаты!$A$6:$A$505,"&lt;"&amp;A729,Оплаты!$D$6:$D$505,"&lt;&gt;"))</f>
        <v/>
      </c>
      <c r="E729" t="str">
        <f>IF(A729="","",IF(SUMPRODUCT((Ввод!$F$12:$F$31&lt;&gt;"")*(Ввод!$F$12:$F$31&lt;=A729)*(Ввод!$G$12:$G$31&gt;=A729))&gt;0,1,0))</f>
        <v/>
      </c>
      <c r="G729" t="str">
        <f t="shared" si="23"/>
        <v/>
      </c>
    </row>
    <row r="730" spans="1:7" x14ac:dyDescent="0.3">
      <c r="A730" s="21" t="str">
        <f>IF(A729="","",IF(A729+1&gt;Ввод!$B$4,"",A729+1))</f>
        <v/>
      </c>
      <c r="B730" s="23" t="str">
        <f>IF(A730="","",IFERROR(INDEX(Ввод!$B$12:$B$71,MATCH(A730,Ввод!$D$12:$D$71,1)),""))</f>
        <v/>
      </c>
      <c r="C730" t="str">
        <f t="shared" si="22"/>
        <v/>
      </c>
      <c r="D730" t="str">
        <f>IF(A730="","",SUMIFS(Акты!$D$5:$D$16,Акты!$E$5:$E$16,"&lt;="&amp;A730)-SUMIFS(Оплаты!$B$6:$B$505,Оплаты!$A$6:$A$505,"&lt;"&amp;A730,Оплаты!$D$6:$D$505,"&lt;&gt;"))</f>
        <v/>
      </c>
      <c r="E730" t="str">
        <f>IF(A730="","",IF(SUMPRODUCT((Ввод!$F$12:$F$31&lt;&gt;"")*(Ввод!$F$12:$F$31&lt;=A730)*(Ввод!$G$12:$G$31&gt;=A730))&gt;0,1,0))</f>
        <v/>
      </c>
      <c r="G730" t="str">
        <f t="shared" si="23"/>
        <v/>
      </c>
    </row>
    <row r="731" spans="1:7" x14ac:dyDescent="0.3">
      <c r="A731" s="21" t="str">
        <f>IF(A730="","",IF(A730+1&gt;Ввод!$B$4,"",A730+1))</f>
        <v/>
      </c>
      <c r="B731" s="23" t="str">
        <f>IF(A731="","",IFERROR(INDEX(Ввод!$B$12:$B$71,MATCH(A731,Ввод!$D$12:$D$71,1)),""))</f>
        <v/>
      </c>
      <c r="C731" t="str">
        <f t="shared" si="22"/>
        <v/>
      </c>
      <c r="D731" t="str">
        <f>IF(A731="","",SUMIFS(Акты!$D$5:$D$16,Акты!$E$5:$E$16,"&lt;="&amp;A731)-SUMIFS(Оплаты!$B$6:$B$505,Оплаты!$A$6:$A$505,"&lt;"&amp;A731,Оплаты!$D$6:$D$505,"&lt;&gt;"))</f>
        <v/>
      </c>
      <c r="E731" t="str">
        <f>IF(A731="","",IF(SUMPRODUCT((Ввод!$F$12:$F$31&lt;&gt;"")*(Ввод!$F$12:$F$31&lt;=A731)*(Ввод!$G$12:$G$31&gt;=A731))&gt;0,1,0))</f>
        <v/>
      </c>
      <c r="G731" t="str">
        <f t="shared" si="23"/>
        <v/>
      </c>
    </row>
    <row r="732" spans="1:7" x14ac:dyDescent="0.3">
      <c r="A732" s="21" t="str">
        <f>IF(A731="","",IF(A731+1&gt;Ввод!$B$4,"",A731+1))</f>
        <v/>
      </c>
      <c r="B732" s="23" t="str">
        <f>IF(A732="","",IFERROR(INDEX(Ввод!$B$12:$B$71,MATCH(A732,Ввод!$D$12:$D$71,1)),""))</f>
        <v/>
      </c>
      <c r="C732" t="str">
        <f t="shared" si="22"/>
        <v/>
      </c>
      <c r="D732" t="str">
        <f>IF(A732="","",SUMIFS(Акты!$D$5:$D$16,Акты!$E$5:$E$16,"&lt;="&amp;A732)-SUMIFS(Оплаты!$B$6:$B$505,Оплаты!$A$6:$A$505,"&lt;"&amp;A732,Оплаты!$D$6:$D$505,"&lt;&gt;"))</f>
        <v/>
      </c>
      <c r="E732" t="str">
        <f>IF(A732="","",IF(SUMPRODUCT((Ввод!$F$12:$F$31&lt;&gt;"")*(Ввод!$F$12:$F$31&lt;=A732)*(Ввод!$G$12:$G$31&gt;=A732))&gt;0,1,0))</f>
        <v/>
      </c>
      <c r="G732" t="str">
        <f t="shared" si="23"/>
        <v/>
      </c>
    </row>
    <row r="733" spans="1:7" x14ac:dyDescent="0.3">
      <c r="A733" s="21" t="str">
        <f>IF(A732="","",IF(A732+1&gt;Ввод!$B$4,"",A732+1))</f>
        <v/>
      </c>
      <c r="B733" s="23" t="str">
        <f>IF(A733="","",IFERROR(INDEX(Ввод!$B$12:$B$71,MATCH(A733,Ввод!$D$12:$D$71,1)),""))</f>
        <v/>
      </c>
      <c r="C733" t="str">
        <f t="shared" si="22"/>
        <v/>
      </c>
      <c r="D733" t="str">
        <f>IF(A733="","",SUMIFS(Акты!$D$5:$D$16,Акты!$E$5:$E$16,"&lt;="&amp;A733)-SUMIFS(Оплаты!$B$6:$B$505,Оплаты!$A$6:$A$505,"&lt;"&amp;A733,Оплаты!$D$6:$D$505,"&lt;&gt;"))</f>
        <v/>
      </c>
      <c r="E733" t="str">
        <f>IF(A733="","",IF(SUMPRODUCT((Ввод!$F$12:$F$31&lt;&gt;"")*(Ввод!$F$12:$F$31&lt;=A733)*(Ввод!$G$12:$G$31&gt;=A733))&gt;0,1,0))</f>
        <v/>
      </c>
      <c r="G733" t="str">
        <f t="shared" si="23"/>
        <v/>
      </c>
    </row>
    <row r="734" spans="1:7" x14ac:dyDescent="0.3">
      <c r="A734" s="21" t="str">
        <f>IF(A733="","",IF(A733+1&gt;Ввод!$B$4,"",A733+1))</f>
        <v/>
      </c>
      <c r="B734" s="23" t="str">
        <f>IF(A734="","",IFERROR(INDEX(Ввод!$B$12:$B$71,MATCH(A734,Ввод!$D$12:$D$71,1)),""))</f>
        <v/>
      </c>
      <c r="C734" t="str">
        <f t="shared" si="22"/>
        <v/>
      </c>
      <c r="D734" t="str">
        <f>IF(A734="","",SUMIFS(Акты!$D$5:$D$16,Акты!$E$5:$E$16,"&lt;="&amp;A734)-SUMIFS(Оплаты!$B$6:$B$505,Оплаты!$A$6:$A$505,"&lt;"&amp;A734,Оплаты!$D$6:$D$505,"&lt;&gt;"))</f>
        <v/>
      </c>
      <c r="E734" t="str">
        <f>IF(A734="","",IF(SUMPRODUCT((Ввод!$F$12:$F$31&lt;&gt;"")*(Ввод!$F$12:$F$31&lt;=A734)*(Ввод!$G$12:$G$31&gt;=A734))&gt;0,1,0))</f>
        <v/>
      </c>
      <c r="G734" t="str">
        <f t="shared" si="23"/>
        <v/>
      </c>
    </row>
    <row r="735" spans="1:7" x14ac:dyDescent="0.3">
      <c r="A735" s="21" t="str">
        <f>IF(A734="","",IF(A734+1&gt;Ввод!$B$4,"",A734+1))</f>
        <v/>
      </c>
      <c r="B735" s="23" t="str">
        <f>IF(A735="","",IFERROR(INDEX(Ввод!$B$12:$B$71,MATCH(A735,Ввод!$D$12:$D$71,1)),""))</f>
        <v/>
      </c>
      <c r="C735" t="str">
        <f t="shared" si="22"/>
        <v/>
      </c>
      <c r="D735" t="str">
        <f>IF(A735="","",SUMIFS(Акты!$D$5:$D$16,Акты!$E$5:$E$16,"&lt;="&amp;A735)-SUMIFS(Оплаты!$B$6:$B$505,Оплаты!$A$6:$A$505,"&lt;"&amp;A735,Оплаты!$D$6:$D$505,"&lt;&gt;"))</f>
        <v/>
      </c>
      <c r="E735" t="str">
        <f>IF(A735="","",IF(SUMPRODUCT((Ввод!$F$12:$F$31&lt;&gt;"")*(Ввод!$F$12:$F$31&lt;=A735)*(Ввод!$G$12:$G$31&gt;=A735))&gt;0,1,0))</f>
        <v/>
      </c>
      <c r="G735" t="str">
        <f t="shared" si="23"/>
        <v/>
      </c>
    </row>
    <row r="736" spans="1:7" x14ac:dyDescent="0.3">
      <c r="A736" s="21" t="str">
        <f>IF(A735="","",IF(A735+1&gt;Ввод!$B$4,"",A735+1))</f>
        <v/>
      </c>
      <c r="B736" s="23" t="str">
        <f>IF(A736="","",IFERROR(INDEX(Ввод!$B$12:$B$71,MATCH(A736,Ввод!$D$12:$D$71,1)),""))</f>
        <v/>
      </c>
      <c r="C736" t="str">
        <f t="shared" si="22"/>
        <v/>
      </c>
      <c r="D736" t="str">
        <f>IF(A736="","",SUMIFS(Акты!$D$5:$D$16,Акты!$E$5:$E$16,"&lt;="&amp;A736)-SUMIFS(Оплаты!$B$6:$B$505,Оплаты!$A$6:$A$505,"&lt;"&amp;A736,Оплаты!$D$6:$D$505,"&lt;&gt;"))</f>
        <v/>
      </c>
      <c r="E736" t="str">
        <f>IF(A736="","",IF(SUMPRODUCT((Ввод!$F$12:$F$31&lt;&gt;"")*(Ввод!$F$12:$F$31&lt;=A736)*(Ввод!$G$12:$G$31&gt;=A736))&gt;0,1,0))</f>
        <v/>
      </c>
      <c r="G736" t="str">
        <f t="shared" si="23"/>
        <v/>
      </c>
    </row>
    <row r="737" spans="1:7" x14ac:dyDescent="0.3">
      <c r="A737" s="21" t="str">
        <f>IF(A736="","",IF(A736+1&gt;Ввод!$B$4,"",A736+1))</f>
        <v/>
      </c>
      <c r="B737" s="23" t="str">
        <f>IF(A737="","",IFERROR(INDEX(Ввод!$B$12:$B$71,MATCH(A737,Ввод!$D$12:$D$71,1)),""))</f>
        <v/>
      </c>
      <c r="C737" t="str">
        <f t="shared" si="22"/>
        <v/>
      </c>
      <c r="D737" t="str">
        <f>IF(A737="","",SUMIFS(Акты!$D$5:$D$16,Акты!$E$5:$E$16,"&lt;="&amp;A737)-SUMIFS(Оплаты!$B$6:$B$505,Оплаты!$A$6:$A$505,"&lt;"&amp;A737,Оплаты!$D$6:$D$505,"&lt;&gt;"))</f>
        <v/>
      </c>
      <c r="E737" t="str">
        <f>IF(A737="","",IF(SUMPRODUCT((Ввод!$F$12:$F$31&lt;&gt;"")*(Ввод!$F$12:$F$31&lt;=A737)*(Ввод!$G$12:$G$31&gt;=A737))&gt;0,1,0))</f>
        <v/>
      </c>
      <c r="G737" t="str">
        <f t="shared" si="23"/>
        <v/>
      </c>
    </row>
    <row r="738" spans="1:7" x14ac:dyDescent="0.3">
      <c r="A738" s="21" t="str">
        <f>IF(A737="","",IF(A737+1&gt;Ввод!$B$4,"",A737+1))</f>
        <v/>
      </c>
      <c r="B738" s="23" t="str">
        <f>IF(A738="","",IFERROR(INDEX(Ввод!$B$12:$B$71,MATCH(A738,Ввод!$D$12:$D$71,1)),""))</f>
        <v/>
      </c>
      <c r="C738" t="str">
        <f t="shared" si="22"/>
        <v/>
      </c>
      <c r="D738" t="str">
        <f>IF(A738="","",SUMIFS(Акты!$D$5:$D$16,Акты!$E$5:$E$16,"&lt;="&amp;A738)-SUMIFS(Оплаты!$B$6:$B$505,Оплаты!$A$6:$A$505,"&lt;"&amp;A738,Оплаты!$D$6:$D$505,"&lt;&gt;"))</f>
        <v/>
      </c>
      <c r="E738" t="str">
        <f>IF(A738="","",IF(SUMPRODUCT((Ввод!$F$12:$F$31&lt;&gt;"")*(Ввод!$F$12:$F$31&lt;=A738)*(Ввод!$G$12:$G$31&gt;=A738))&gt;0,1,0))</f>
        <v/>
      </c>
      <c r="G738" t="str">
        <f t="shared" si="23"/>
        <v/>
      </c>
    </row>
    <row r="739" spans="1:7" x14ac:dyDescent="0.3">
      <c r="A739" s="21" t="str">
        <f>IF(A738="","",IF(A738+1&gt;Ввод!$B$4,"",A738+1))</f>
        <v/>
      </c>
      <c r="B739" s="23" t="str">
        <f>IF(A739="","",IFERROR(INDEX(Ввод!$B$12:$B$71,MATCH(A739,Ввод!$D$12:$D$71,1)),""))</f>
        <v/>
      </c>
      <c r="C739" t="str">
        <f t="shared" si="22"/>
        <v/>
      </c>
      <c r="D739" t="str">
        <f>IF(A739="","",SUMIFS(Акты!$D$5:$D$16,Акты!$E$5:$E$16,"&lt;="&amp;A739)-SUMIFS(Оплаты!$B$6:$B$505,Оплаты!$A$6:$A$505,"&lt;"&amp;A739,Оплаты!$D$6:$D$505,"&lt;&gt;"))</f>
        <v/>
      </c>
      <c r="E739" t="str">
        <f>IF(A739="","",IF(SUMPRODUCT((Ввод!$F$12:$F$31&lt;&gt;"")*(Ввод!$F$12:$F$31&lt;=A739)*(Ввод!$G$12:$G$31&gt;=A739))&gt;0,1,0))</f>
        <v/>
      </c>
      <c r="G739" t="str">
        <f t="shared" si="23"/>
        <v/>
      </c>
    </row>
    <row r="740" spans="1:7" x14ac:dyDescent="0.3">
      <c r="A740" s="21" t="str">
        <f>IF(A739="","",IF(A739+1&gt;Ввод!$B$4,"",A739+1))</f>
        <v/>
      </c>
      <c r="B740" s="23" t="str">
        <f>IF(A740="","",IFERROR(INDEX(Ввод!$B$12:$B$71,MATCH(A740,Ввод!$D$12:$D$71,1)),""))</f>
        <v/>
      </c>
      <c r="C740" t="str">
        <f t="shared" si="22"/>
        <v/>
      </c>
      <c r="D740" t="str">
        <f>IF(A740="","",SUMIFS(Акты!$D$5:$D$16,Акты!$E$5:$E$16,"&lt;="&amp;A740)-SUMIFS(Оплаты!$B$6:$B$505,Оплаты!$A$6:$A$505,"&lt;"&amp;A740,Оплаты!$D$6:$D$505,"&lt;&gt;"))</f>
        <v/>
      </c>
      <c r="E740" t="str">
        <f>IF(A740="","",IF(SUMPRODUCT((Ввод!$F$12:$F$31&lt;&gt;"")*(Ввод!$F$12:$F$31&lt;=A740)*(Ввод!$G$12:$G$31&gt;=A740))&gt;0,1,0))</f>
        <v/>
      </c>
      <c r="G740" t="str">
        <f t="shared" si="23"/>
        <v/>
      </c>
    </row>
    <row r="741" spans="1:7" x14ac:dyDescent="0.3">
      <c r="A741" s="21" t="str">
        <f>IF(A740="","",IF(A740+1&gt;Ввод!$B$4,"",A740+1))</f>
        <v/>
      </c>
      <c r="B741" s="23" t="str">
        <f>IF(A741="","",IFERROR(INDEX(Ввод!$B$12:$B$71,MATCH(A741,Ввод!$D$12:$D$71,1)),""))</f>
        <v/>
      </c>
      <c r="C741" t="str">
        <f t="shared" si="22"/>
        <v/>
      </c>
      <c r="D741" t="str">
        <f>IF(A741="","",SUMIFS(Акты!$D$5:$D$16,Акты!$E$5:$E$16,"&lt;="&amp;A741)-SUMIFS(Оплаты!$B$6:$B$505,Оплаты!$A$6:$A$505,"&lt;"&amp;A741,Оплаты!$D$6:$D$505,"&lt;&gt;"))</f>
        <v/>
      </c>
      <c r="E741" t="str">
        <f>IF(A741="","",IF(SUMPRODUCT((Ввод!$F$12:$F$31&lt;&gt;"")*(Ввод!$F$12:$F$31&lt;=A741)*(Ввод!$G$12:$G$31&gt;=A741))&gt;0,1,0))</f>
        <v/>
      </c>
      <c r="G741" t="str">
        <f t="shared" si="23"/>
        <v/>
      </c>
    </row>
    <row r="742" spans="1:7" x14ac:dyDescent="0.3">
      <c r="A742" s="21" t="str">
        <f>IF(A741="","",IF(A741+1&gt;Ввод!$B$4,"",A741+1))</f>
        <v/>
      </c>
      <c r="B742" s="23" t="str">
        <f>IF(A742="","",IFERROR(INDEX(Ввод!$B$12:$B$71,MATCH(A742,Ввод!$D$12:$D$71,1)),""))</f>
        <v/>
      </c>
      <c r="C742" t="str">
        <f t="shared" si="22"/>
        <v/>
      </c>
      <c r="D742" t="str">
        <f>IF(A742="","",SUMIFS(Акты!$D$5:$D$16,Акты!$E$5:$E$16,"&lt;="&amp;A742)-SUMIFS(Оплаты!$B$6:$B$505,Оплаты!$A$6:$A$505,"&lt;"&amp;A742,Оплаты!$D$6:$D$505,"&lt;&gt;"))</f>
        <v/>
      </c>
      <c r="E742" t="str">
        <f>IF(A742="","",IF(SUMPRODUCT((Ввод!$F$12:$F$31&lt;&gt;"")*(Ввод!$F$12:$F$31&lt;=A742)*(Ввод!$G$12:$G$31&gt;=A742))&gt;0,1,0))</f>
        <v/>
      </c>
      <c r="G742" t="str">
        <f t="shared" si="23"/>
        <v/>
      </c>
    </row>
    <row r="743" spans="1:7" x14ac:dyDescent="0.3">
      <c r="A743" s="21" t="str">
        <f>IF(A742="","",IF(A742+1&gt;Ввод!$B$4,"",A742+1))</f>
        <v/>
      </c>
      <c r="B743" s="23" t="str">
        <f>IF(A743="","",IFERROR(INDEX(Ввод!$B$12:$B$71,MATCH(A743,Ввод!$D$12:$D$71,1)),""))</f>
        <v/>
      </c>
      <c r="C743" t="str">
        <f t="shared" si="22"/>
        <v/>
      </c>
      <c r="D743" t="str">
        <f>IF(A743="","",SUMIFS(Акты!$D$5:$D$16,Акты!$E$5:$E$16,"&lt;="&amp;A743)-SUMIFS(Оплаты!$B$6:$B$505,Оплаты!$A$6:$A$505,"&lt;"&amp;A743,Оплаты!$D$6:$D$505,"&lt;&gt;"))</f>
        <v/>
      </c>
      <c r="E743" t="str">
        <f>IF(A743="","",IF(SUMPRODUCT((Ввод!$F$12:$F$31&lt;&gt;"")*(Ввод!$F$12:$F$31&lt;=A743)*(Ввод!$G$12:$G$31&gt;=A743))&gt;0,1,0))</f>
        <v/>
      </c>
      <c r="G743" t="str">
        <f t="shared" si="23"/>
        <v/>
      </c>
    </row>
    <row r="744" spans="1:7" x14ac:dyDescent="0.3">
      <c r="A744" s="21" t="str">
        <f>IF(A743="","",IF(A743+1&gt;Ввод!$B$4,"",A743+1))</f>
        <v/>
      </c>
      <c r="B744" s="23" t="str">
        <f>IF(A744="","",IFERROR(INDEX(Ввод!$B$12:$B$71,MATCH(A744,Ввод!$D$12:$D$71,1)),""))</f>
        <v/>
      </c>
      <c r="C744" t="str">
        <f t="shared" si="22"/>
        <v/>
      </c>
      <c r="D744" t="str">
        <f>IF(A744="","",SUMIFS(Акты!$D$5:$D$16,Акты!$E$5:$E$16,"&lt;="&amp;A744)-SUMIFS(Оплаты!$B$6:$B$505,Оплаты!$A$6:$A$505,"&lt;"&amp;A744,Оплаты!$D$6:$D$505,"&lt;&gt;"))</f>
        <v/>
      </c>
      <c r="E744" t="str">
        <f>IF(A744="","",IF(SUMPRODUCT((Ввод!$F$12:$F$31&lt;&gt;"")*(Ввод!$F$12:$F$31&lt;=A744)*(Ввод!$G$12:$G$31&gt;=A744))&gt;0,1,0))</f>
        <v/>
      </c>
      <c r="G744" t="str">
        <f t="shared" si="23"/>
        <v/>
      </c>
    </row>
    <row r="745" spans="1:7" x14ac:dyDescent="0.3">
      <c r="A745" s="21" t="str">
        <f>IF(A744="","",IF(A744+1&gt;Ввод!$B$4,"",A744+1))</f>
        <v/>
      </c>
      <c r="B745" s="23" t="str">
        <f>IF(A745="","",IFERROR(INDEX(Ввод!$B$12:$B$71,MATCH(A745,Ввод!$D$12:$D$71,1)),""))</f>
        <v/>
      </c>
      <c r="C745" t="str">
        <f t="shared" si="22"/>
        <v/>
      </c>
      <c r="D745" t="str">
        <f>IF(A745="","",SUMIFS(Акты!$D$5:$D$16,Акты!$E$5:$E$16,"&lt;="&amp;A745)-SUMIFS(Оплаты!$B$6:$B$505,Оплаты!$A$6:$A$505,"&lt;"&amp;A745,Оплаты!$D$6:$D$505,"&lt;&gt;"))</f>
        <v/>
      </c>
      <c r="E745" t="str">
        <f>IF(A745="","",IF(SUMPRODUCT((Ввод!$F$12:$F$31&lt;&gt;"")*(Ввод!$F$12:$F$31&lt;=A745)*(Ввод!$G$12:$G$31&gt;=A745))&gt;0,1,0))</f>
        <v/>
      </c>
      <c r="G745" t="str">
        <f t="shared" si="23"/>
        <v/>
      </c>
    </row>
    <row r="746" spans="1:7" x14ac:dyDescent="0.3">
      <c r="A746" s="21" t="str">
        <f>IF(A745="","",IF(A745+1&gt;Ввод!$B$4,"",A745+1))</f>
        <v/>
      </c>
      <c r="B746" s="23" t="str">
        <f>IF(A746="","",IFERROR(INDEX(Ввод!$B$12:$B$71,MATCH(A746,Ввод!$D$12:$D$71,1)),""))</f>
        <v/>
      </c>
      <c r="C746" t="str">
        <f t="shared" si="22"/>
        <v/>
      </c>
      <c r="D746" t="str">
        <f>IF(A746="","",SUMIFS(Акты!$D$5:$D$16,Акты!$E$5:$E$16,"&lt;="&amp;A746)-SUMIFS(Оплаты!$B$6:$B$505,Оплаты!$A$6:$A$505,"&lt;"&amp;A746,Оплаты!$D$6:$D$505,"&lt;&gt;"))</f>
        <v/>
      </c>
      <c r="E746" t="str">
        <f>IF(A746="","",IF(SUMPRODUCT((Ввод!$F$12:$F$31&lt;&gt;"")*(Ввод!$F$12:$F$31&lt;=A746)*(Ввод!$G$12:$G$31&gt;=A746))&gt;0,1,0))</f>
        <v/>
      </c>
      <c r="G746" t="str">
        <f t="shared" si="23"/>
        <v/>
      </c>
    </row>
    <row r="747" spans="1:7" x14ac:dyDescent="0.3">
      <c r="A747" s="21" t="str">
        <f>IF(A746="","",IF(A746+1&gt;Ввод!$B$4,"",A746+1))</f>
        <v/>
      </c>
      <c r="B747" s="23" t="str">
        <f>IF(A747="","",IFERROR(INDEX(Ввод!$B$12:$B$71,MATCH(A747,Ввод!$D$12:$D$71,1)),""))</f>
        <v/>
      </c>
      <c r="C747" t="str">
        <f t="shared" si="22"/>
        <v/>
      </c>
      <c r="D747" t="str">
        <f>IF(A747="","",SUMIFS(Акты!$D$5:$D$16,Акты!$E$5:$E$16,"&lt;="&amp;A747)-SUMIFS(Оплаты!$B$6:$B$505,Оплаты!$A$6:$A$505,"&lt;"&amp;A747,Оплаты!$D$6:$D$505,"&lt;&gt;"))</f>
        <v/>
      </c>
      <c r="E747" t="str">
        <f>IF(A747="","",IF(SUMPRODUCT((Ввод!$F$12:$F$31&lt;&gt;"")*(Ввод!$F$12:$F$31&lt;=A747)*(Ввод!$G$12:$G$31&gt;=A747))&gt;0,1,0))</f>
        <v/>
      </c>
      <c r="G747" t="str">
        <f t="shared" si="23"/>
        <v/>
      </c>
    </row>
    <row r="748" spans="1:7" x14ac:dyDescent="0.3">
      <c r="A748" s="21" t="str">
        <f>IF(A747="","",IF(A747+1&gt;Ввод!$B$4,"",A747+1))</f>
        <v/>
      </c>
      <c r="B748" s="23" t="str">
        <f>IF(A748="","",IFERROR(INDEX(Ввод!$B$12:$B$71,MATCH(A748,Ввод!$D$12:$D$71,1)),""))</f>
        <v/>
      </c>
      <c r="C748" t="str">
        <f t="shared" si="22"/>
        <v/>
      </c>
      <c r="D748" t="str">
        <f>IF(A748="","",SUMIFS(Акты!$D$5:$D$16,Акты!$E$5:$E$16,"&lt;="&amp;A748)-SUMIFS(Оплаты!$B$6:$B$505,Оплаты!$A$6:$A$505,"&lt;"&amp;A748,Оплаты!$D$6:$D$505,"&lt;&gt;"))</f>
        <v/>
      </c>
      <c r="E748" t="str">
        <f>IF(A748="","",IF(SUMPRODUCT((Ввод!$F$12:$F$31&lt;&gt;"")*(Ввод!$F$12:$F$31&lt;=A748)*(Ввод!$G$12:$G$31&gt;=A748))&gt;0,1,0))</f>
        <v/>
      </c>
      <c r="G748" t="str">
        <f t="shared" si="23"/>
        <v/>
      </c>
    </row>
    <row r="749" spans="1:7" x14ac:dyDescent="0.3">
      <c r="A749" s="21" t="str">
        <f>IF(A748="","",IF(A748+1&gt;Ввод!$B$4,"",A748+1))</f>
        <v/>
      </c>
      <c r="B749" s="23" t="str">
        <f>IF(A749="","",IFERROR(INDEX(Ввод!$B$12:$B$71,MATCH(A749,Ввод!$D$12:$D$71,1)),""))</f>
        <v/>
      </c>
      <c r="C749" t="str">
        <f t="shared" si="22"/>
        <v/>
      </c>
      <c r="D749" t="str">
        <f>IF(A749="","",SUMIFS(Акты!$D$5:$D$16,Акты!$E$5:$E$16,"&lt;="&amp;A749)-SUMIFS(Оплаты!$B$6:$B$505,Оплаты!$A$6:$A$505,"&lt;"&amp;A749,Оплаты!$D$6:$D$505,"&lt;&gt;"))</f>
        <v/>
      </c>
      <c r="E749" t="str">
        <f>IF(A749="","",IF(SUMPRODUCT((Ввод!$F$12:$F$31&lt;&gt;"")*(Ввод!$F$12:$F$31&lt;=A749)*(Ввод!$G$12:$G$31&gt;=A749))&gt;0,1,0))</f>
        <v/>
      </c>
      <c r="G749" t="str">
        <f t="shared" si="23"/>
        <v/>
      </c>
    </row>
    <row r="750" spans="1:7" x14ac:dyDescent="0.3">
      <c r="A750" s="21" t="str">
        <f>IF(A749="","",IF(A749+1&gt;Ввод!$B$4,"",A749+1))</f>
        <v/>
      </c>
      <c r="B750" s="23" t="str">
        <f>IF(A750="","",IFERROR(INDEX(Ввод!$B$12:$B$71,MATCH(A750,Ввод!$D$12:$D$71,1)),""))</f>
        <v/>
      </c>
      <c r="C750" t="str">
        <f t="shared" si="22"/>
        <v/>
      </c>
      <c r="D750" t="str">
        <f>IF(A750="","",SUMIFS(Акты!$D$5:$D$16,Акты!$E$5:$E$16,"&lt;="&amp;A750)-SUMIFS(Оплаты!$B$6:$B$505,Оплаты!$A$6:$A$505,"&lt;"&amp;A750,Оплаты!$D$6:$D$505,"&lt;&gt;"))</f>
        <v/>
      </c>
      <c r="E750" t="str">
        <f>IF(A750="","",IF(SUMPRODUCT((Ввод!$F$12:$F$31&lt;&gt;"")*(Ввод!$F$12:$F$31&lt;=A750)*(Ввод!$G$12:$G$31&gt;=A750))&gt;0,1,0))</f>
        <v/>
      </c>
      <c r="G750" t="str">
        <f t="shared" si="23"/>
        <v/>
      </c>
    </row>
    <row r="751" spans="1:7" x14ac:dyDescent="0.3">
      <c r="A751" s="21" t="str">
        <f>IF(A750="","",IF(A750+1&gt;Ввод!$B$4,"",A750+1))</f>
        <v/>
      </c>
      <c r="B751" s="23" t="str">
        <f>IF(A751="","",IFERROR(INDEX(Ввод!$B$12:$B$71,MATCH(A751,Ввод!$D$12:$D$71,1)),""))</f>
        <v/>
      </c>
      <c r="C751" t="str">
        <f t="shared" si="22"/>
        <v/>
      </c>
      <c r="D751" t="str">
        <f>IF(A751="","",SUMIFS(Акты!$D$5:$D$16,Акты!$E$5:$E$16,"&lt;="&amp;A751)-SUMIFS(Оплаты!$B$6:$B$505,Оплаты!$A$6:$A$505,"&lt;"&amp;A751,Оплаты!$D$6:$D$505,"&lt;&gt;"))</f>
        <v/>
      </c>
      <c r="E751" t="str">
        <f>IF(A751="","",IF(SUMPRODUCT((Ввод!$F$12:$F$31&lt;&gt;"")*(Ввод!$F$12:$F$31&lt;=A751)*(Ввод!$G$12:$G$31&gt;=A751))&gt;0,1,0))</f>
        <v/>
      </c>
      <c r="G751" t="str">
        <f t="shared" si="23"/>
        <v/>
      </c>
    </row>
    <row r="752" spans="1:7" x14ac:dyDescent="0.3">
      <c r="A752" s="21" t="str">
        <f>IF(A751="","",IF(A751+1&gt;Ввод!$B$4,"",A751+1))</f>
        <v/>
      </c>
      <c r="B752" s="23" t="str">
        <f>IF(A752="","",IFERROR(INDEX(Ввод!$B$12:$B$71,MATCH(A752,Ввод!$D$12:$D$71,1)),""))</f>
        <v/>
      </c>
      <c r="C752" t="str">
        <f t="shared" si="22"/>
        <v/>
      </c>
      <c r="D752" t="str">
        <f>IF(A752="","",SUMIFS(Акты!$D$5:$D$16,Акты!$E$5:$E$16,"&lt;="&amp;A752)-SUMIFS(Оплаты!$B$6:$B$505,Оплаты!$A$6:$A$505,"&lt;"&amp;A752,Оплаты!$D$6:$D$505,"&lt;&gt;"))</f>
        <v/>
      </c>
      <c r="E752" t="str">
        <f>IF(A752="","",IF(SUMPRODUCT((Ввод!$F$12:$F$31&lt;&gt;"")*(Ввод!$F$12:$F$31&lt;=A752)*(Ввод!$G$12:$G$31&gt;=A752))&gt;0,1,0))</f>
        <v/>
      </c>
      <c r="G752" t="str">
        <f t="shared" si="23"/>
        <v/>
      </c>
    </row>
    <row r="753" spans="1:7" x14ac:dyDescent="0.3">
      <c r="A753" s="21" t="str">
        <f>IF(A752="","",IF(A752+1&gt;Ввод!$B$4,"",A752+1))</f>
        <v/>
      </c>
      <c r="B753" s="23" t="str">
        <f>IF(A753="","",IFERROR(INDEX(Ввод!$B$12:$B$71,MATCH(A753,Ввод!$D$12:$D$71,1)),""))</f>
        <v/>
      </c>
      <c r="C753" t="str">
        <f t="shared" si="22"/>
        <v/>
      </c>
      <c r="D753" t="str">
        <f>IF(A753="","",SUMIFS(Акты!$D$5:$D$16,Акты!$E$5:$E$16,"&lt;="&amp;A753)-SUMIFS(Оплаты!$B$6:$B$505,Оплаты!$A$6:$A$505,"&lt;"&amp;A753,Оплаты!$D$6:$D$505,"&lt;&gt;"))</f>
        <v/>
      </c>
      <c r="E753" t="str">
        <f>IF(A753="","",IF(SUMPRODUCT((Ввод!$F$12:$F$31&lt;&gt;"")*(Ввод!$F$12:$F$31&lt;=A753)*(Ввод!$G$12:$G$31&gt;=A753))&gt;0,1,0))</f>
        <v/>
      </c>
      <c r="G753" t="str">
        <f t="shared" si="23"/>
        <v/>
      </c>
    </row>
    <row r="754" spans="1:7" x14ac:dyDescent="0.3">
      <c r="A754" s="21" t="str">
        <f>IF(A753="","",IF(A753+1&gt;Ввод!$B$4,"",A753+1))</f>
        <v/>
      </c>
      <c r="B754" s="23" t="str">
        <f>IF(A754="","",IFERROR(INDEX(Ввод!$B$12:$B$71,MATCH(A754,Ввод!$D$12:$D$71,1)),""))</f>
        <v/>
      </c>
      <c r="C754" t="str">
        <f t="shared" si="22"/>
        <v/>
      </c>
      <c r="D754" t="str">
        <f>IF(A754="","",SUMIFS(Акты!$D$5:$D$16,Акты!$E$5:$E$16,"&lt;="&amp;A754)-SUMIFS(Оплаты!$B$6:$B$505,Оплаты!$A$6:$A$505,"&lt;"&amp;A754,Оплаты!$D$6:$D$505,"&lt;&gt;"))</f>
        <v/>
      </c>
      <c r="E754" t="str">
        <f>IF(A754="","",IF(SUMPRODUCT((Ввод!$F$12:$F$31&lt;&gt;"")*(Ввод!$F$12:$F$31&lt;=A754)*(Ввод!$G$12:$G$31&gt;=A754))&gt;0,1,0))</f>
        <v/>
      </c>
      <c r="G754" t="str">
        <f t="shared" si="23"/>
        <v/>
      </c>
    </row>
    <row r="755" spans="1:7" x14ac:dyDescent="0.3">
      <c r="A755" s="21" t="str">
        <f>IF(A754="","",IF(A754+1&gt;Ввод!$B$4,"",A754+1))</f>
        <v/>
      </c>
      <c r="B755" s="23" t="str">
        <f>IF(A755="","",IFERROR(INDEX(Ввод!$B$12:$B$71,MATCH(A755,Ввод!$D$12:$D$71,1)),""))</f>
        <v/>
      </c>
      <c r="C755" t="str">
        <f t="shared" si="22"/>
        <v/>
      </c>
      <c r="D755" t="str">
        <f>IF(A755="","",SUMIFS(Акты!$D$5:$D$16,Акты!$E$5:$E$16,"&lt;="&amp;A755)-SUMIFS(Оплаты!$B$6:$B$505,Оплаты!$A$6:$A$505,"&lt;"&amp;A755,Оплаты!$D$6:$D$505,"&lt;&gt;"))</f>
        <v/>
      </c>
      <c r="E755" t="str">
        <f>IF(A755="","",IF(SUMPRODUCT((Ввод!$F$12:$F$31&lt;&gt;"")*(Ввод!$F$12:$F$31&lt;=A755)*(Ввод!$G$12:$G$31&gt;=A755))&gt;0,1,0))</f>
        <v/>
      </c>
      <c r="G755" t="str">
        <f t="shared" si="23"/>
        <v/>
      </c>
    </row>
    <row r="756" spans="1:7" x14ac:dyDescent="0.3">
      <c r="A756" s="21" t="str">
        <f>IF(A755="","",IF(A755+1&gt;Ввод!$B$4,"",A755+1))</f>
        <v/>
      </c>
      <c r="B756" s="23" t="str">
        <f>IF(A756="","",IFERROR(INDEX(Ввод!$B$12:$B$71,MATCH(A756,Ввод!$D$12:$D$71,1)),""))</f>
        <v/>
      </c>
      <c r="C756" t="str">
        <f t="shared" si="22"/>
        <v/>
      </c>
      <c r="D756" t="str">
        <f>IF(A756="","",SUMIFS(Акты!$D$5:$D$16,Акты!$E$5:$E$16,"&lt;="&amp;A756)-SUMIFS(Оплаты!$B$6:$B$505,Оплаты!$A$6:$A$505,"&lt;"&amp;A756,Оплаты!$D$6:$D$505,"&lt;&gt;"))</f>
        <v/>
      </c>
      <c r="E756" t="str">
        <f>IF(A756="","",IF(SUMPRODUCT((Ввод!$F$12:$F$31&lt;&gt;"")*(Ввод!$F$12:$F$31&lt;=A756)*(Ввод!$G$12:$G$31&gt;=A756))&gt;0,1,0))</f>
        <v/>
      </c>
      <c r="G756" t="str">
        <f t="shared" si="23"/>
        <v/>
      </c>
    </row>
    <row r="757" spans="1:7" x14ac:dyDescent="0.3">
      <c r="A757" s="21" t="str">
        <f>IF(A756="","",IF(A756+1&gt;Ввод!$B$4,"",A756+1))</f>
        <v/>
      </c>
      <c r="B757" s="23" t="str">
        <f>IF(A757="","",IFERROR(INDEX(Ввод!$B$12:$B$71,MATCH(A757,Ввод!$D$12:$D$71,1)),""))</f>
        <v/>
      </c>
      <c r="C757" t="str">
        <f t="shared" si="22"/>
        <v/>
      </c>
      <c r="D757" t="str">
        <f>IF(A757="","",SUMIFS(Акты!$D$5:$D$16,Акты!$E$5:$E$16,"&lt;="&amp;A757)-SUMIFS(Оплаты!$B$6:$B$505,Оплаты!$A$6:$A$505,"&lt;"&amp;A757,Оплаты!$D$6:$D$505,"&lt;&gt;"))</f>
        <v/>
      </c>
      <c r="E757" t="str">
        <f>IF(A757="","",IF(SUMPRODUCT((Ввод!$F$12:$F$31&lt;&gt;"")*(Ввод!$F$12:$F$31&lt;=A757)*(Ввод!$G$12:$G$31&gt;=A757))&gt;0,1,0))</f>
        <v/>
      </c>
      <c r="G757" t="str">
        <f t="shared" si="23"/>
        <v/>
      </c>
    </row>
    <row r="758" spans="1:7" x14ac:dyDescent="0.3">
      <c r="A758" s="21" t="str">
        <f>IF(A757="","",IF(A757+1&gt;Ввод!$B$4,"",A757+1))</f>
        <v/>
      </c>
      <c r="B758" s="23" t="str">
        <f>IF(A758="","",IFERROR(INDEX(Ввод!$B$12:$B$71,MATCH(A758,Ввод!$D$12:$D$71,1)),""))</f>
        <v/>
      </c>
      <c r="C758" t="str">
        <f t="shared" si="22"/>
        <v/>
      </c>
      <c r="D758" t="str">
        <f>IF(A758="","",SUMIFS(Акты!$D$5:$D$16,Акты!$E$5:$E$16,"&lt;="&amp;A758)-SUMIFS(Оплаты!$B$6:$B$505,Оплаты!$A$6:$A$505,"&lt;"&amp;A758,Оплаты!$D$6:$D$505,"&lt;&gt;"))</f>
        <v/>
      </c>
      <c r="E758" t="str">
        <f>IF(A758="","",IF(SUMPRODUCT((Ввод!$F$12:$F$31&lt;&gt;"")*(Ввод!$F$12:$F$31&lt;=A758)*(Ввод!$G$12:$G$31&gt;=A758))&gt;0,1,0))</f>
        <v/>
      </c>
      <c r="G758" t="str">
        <f t="shared" si="23"/>
        <v/>
      </c>
    </row>
    <row r="759" spans="1:7" x14ac:dyDescent="0.3">
      <c r="A759" s="21" t="str">
        <f>IF(A758="","",IF(A758+1&gt;Ввод!$B$4,"",A758+1))</f>
        <v/>
      </c>
      <c r="B759" s="23" t="str">
        <f>IF(A759="","",IFERROR(INDEX(Ввод!$B$12:$B$71,MATCH(A759,Ввод!$D$12:$D$71,1)),""))</f>
        <v/>
      </c>
      <c r="C759" t="str">
        <f t="shared" si="22"/>
        <v/>
      </c>
      <c r="D759" t="str">
        <f>IF(A759="","",SUMIFS(Акты!$D$5:$D$16,Акты!$E$5:$E$16,"&lt;="&amp;A759)-SUMIFS(Оплаты!$B$6:$B$505,Оплаты!$A$6:$A$505,"&lt;"&amp;A759,Оплаты!$D$6:$D$505,"&lt;&gt;"))</f>
        <v/>
      </c>
      <c r="E759" t="str">
        <f>IF(A759="","",IF(SUMPRODUCT((Ввод!$F$12:$F$31&lt;&gt;"")*(Ввод!$F$12:$F$31&lt;=A759)*(Ввод!$G$12:$G$31&gt;=A759))&gt;0,1,0))</f>
        <v/>
      </c>
      <c r="G759" t="str">
        <f t="shared" si="23"/>
        <v/>
      </c>
    </row>
    <row r="760" spans="1:7" x14ac:dyDescent="0.3">
      <c r="A760" s="21" t="str">
        <f>IF(A759="","",IF(A759+1&gt;Ввод!$B$4,"",A759+1))</f>
        <v/>
      </c>
      <c r="B760" s="23" t="str">
        <f>IF(A760="","",IFERROR(INDEX(Ввод!$B$12:$B$71,MATCH(A760,Ввод!$D$12:$D$71,1)),""))</f>
        <v/>
      </c>
      <c r="C760" t="str">
        <f t="shared" si="22"/>
        <v/>
      </c>
      <c r="D760" t="str">
        <f>IF(A760="","",SUMIFS(Акты!$D$5:$D$16,Акты!$E$5:$E$16,"&lt;="&amp;A760)-SUMIFS(Оплаты!$B$6:$B$505,Оплаты!$A$6:$A$505,"&lt;"&amp;A760,Оплаты!$D$6:$D$505,"&lt;&gt;"))</f>
        <v/>
      </c>
      <c r="E760" t="str">
        <f>IF(A760="","",IF(SUMPRODUCT((Ввод!$F$12:$F$31&lt;&gt;"")*(Ввод!$F$12:$F$31&lt;=A760)*(Ввод!$G$12:$G$31&gt;=A760))&gt;0,1,0))</f>
        <v/>
      </c>
      <c r="G760" t="str">
        <f t="shared" si="23"/>
        <v/>
      </c>
    </row>
    <row r="761" spans="1:7" x14ac:dyDescent="0.3">
      <c r="A761" s="21" t="str">
        <f>IF(A760="","",IF(A760+1&gt;Ввод!$B$4,"",A760+1))</f>
        <v/>
      </c>
      <c r="B761" s="23" t="str">
        <f>IF(A761="","",IFERROR(INDEX(Ввод!$B$12:$B$71,MATCH(A761,Ввод!$D$12:$D$71,1)),""))</f>
        <v/>
      </c>
      <c r="C761" t="str">
        <f t="shared" si="22"/>
        <v/>
      </c>
      <c r="D761" t="str">
        <f>IF(A761="","",SUMIFS(Акты!$D$5:$D$16,Акты!$E$5:$E$16,"&lt;="&amp;A761)-SUMIFS(Оплаты!$B$6:$B$505,Оплаты!$A$6:$A$505,"&lt;"&amp;A761,Оплаты!$D$6:$D$505,"&lt;&gt;"))</f>
        <v/>
      </c>
      <c r="E761" t="str">
        <f>IF(A761="","",IF(SUMPRODUCT((Ввод!$F$12:$F$31&lt;&gt;"")*(Ввод!$F$12:$F$31&lt;=A761)*(Ввод!$G$12:$G$31&gt;=A761))&gt;0,1,0))</f>
        <v/>
      </c>
      <c r="G761" t="str">
        <f t="shared" si="23"/>
        <v/>
      </c>
    </row>
    <row r="762" spans="1:7" x14ac:dyDescent="0.3">
      <c r="A762" s="21" t="str">
        <f>IF(A761="","",IF(A761+1&gt;Ввод!$B$4,"",A761+1))</f>
        <v/>
      </c>
      <c r="B762" s="23" t="str">
        <f>IF(A762="","",IFERROR(INDEX(Ввод!$B$12:$B$71,MATCH(A762,Ввод!$D$12:$D$71,1)),""))</f>
        <v/>
      </c>
      <c r="C762" t="str">
        <f t="shared" si="22"/>
        <v/>
      </c>
      <c r="D762" t="str">
        <f>IF(A762="","",SUMIFS(Акты!$D$5:$D$16,Акты!$E$5:$E$16,"&lt;="&amp;A762)-SUMIFS(Оплаты!$B$6:$B$505,Оплаты!$A$6:$A$505,"&lt;"&amp;A762,Оплаты!$D$6:$D$505,"&lt;&gt;"))</f>
        <v/>
      </c>
      <c r="E762" t="str">
        <f>IF(A762="","",IF(SUMPRODUCT((Ввод!$F$12:$F$31&lt;&gt;"")*(Ввод!$F$12:$F$31&lt;=A762)*(Ввод!$G$12:$G$31&gt;=A762))&gt;0,1,0))</f>
        <v/>
      </c>
      <c r="G762" t="str">
        <f t="shared" si="23"/>
        <v/>
      </c>
    </row>
    <row r="763" spans="1:7" x14ac:dyDescent="0.3">
      <c r="A763" s="21" t="str">
        <f>IF(A762="","",IF(A762+1&gt;Ввод!$B$4,"",A762+1))</f>
        <v/>
      </c>
      <c r="B763" s="23" t="str">
        <f>IF(A763="","",IFERROR(INDEX(Ввод!$B$12:$B$71,MATCH(A763,Ввод!$D$12:$D$71,1)),""))</f>
        <v/>
      </c>
      <c r="C763" t="str">
        <f t="shared" si="22"/>
        <v/>
      </c>
      <c r="D763" t="str">
        <f>IF(A763="","",SUMIFS(Акты!$D$5:$D$16,Акты!$E$5:$E$16,"&lt;="&amp;A763)-SUMIFS(Оплаты!$B$6:$B$505,Оплаты!$A$6:$A$505,"&lt;"&amp;A763,Оплаты!$D$6:$D$505,"&lt;&gt;"))</f>
        <v/>
      </c>
      <c r="E763" t="str">
        <f>IF(A763="","",IF(SUMPRODUCT((Ввод!$F$12:$F$31&lt;&gt;"")*(Ввод!$F$12:$F$31&lt;=A763)*(Ввод!$G$12:$G$31&gt;=A763))&gt;0,1,0))</f>
        <v/>
      </c>
      <c r="G763" t="str">
        <f t="shared" si="23"/>
        <v/>
      </c>
    </row>
    <row r="764" spans="1:7" x14ac:dyDescent="0.3">
      <c r="A764" s="21" t="str">
        <f>IF(A763="","",IF(A763+1&gt;Ввод!$B$4,"",A763+1))</f>
        <v/>
      </c>
      <c r="B764" s="23" t="str">
        <f>IF(A764="","",IFERROR(INDEX(Ввод!$B$12:$B$71,MATCH(A764,Ввод!$D$12:$D$71,1)),""))</f>
        <v/>
      </c>
      <c r="C764" t="str">
        <f t="shared" si="22"/>
        <v/>
      </c>
      <c r="D764" t="str">
        <f>IF(A764="","",SUMIFS(Акты!$D$5:$D$16,Акты!$E$5:$E$16,"&lt;="&amp;A764)-SUMIFS(Оплаты!$B$6:$B$505,Оплаты!$A$6:$A$505,"&lt;"&amp;A764,Оплаты!$D$6:$D$505,"&lt;&gt;"))</f>
        <v/>
      </c>
      <c r="E764" t="str">
        <f>IF(A764="","",IF(SUMPRODUCT((Ввод!$F$12:$F$31&lt;&gt;"")*(Ввод!$F$12:$F$31&lt;=A764)*(Ввод!$G$12:$G$31&gt;=A764))&gt;0,1,0))</f>
        <v/>
      </c>
      <c r="G764" t="str">
        <f t="shared" si="23"/>
        <v/>
      </c>
    </row>
    <row r="765" spans="1:7" x14ac:dyDescent="0.3">
      <c r="A765" s="21" t="str">
        <f>IF(A764="","",IF(A764+1&gt;Ввод!$B$4,"",A764+1))</f>
        <v/>
      </c>
      <c r="B765" s="23" t="str">
        <f>IF(A765="","",IFERROR(INDEX(Ввод!$B$12:$B$71,MATCH(A765,Ввод!$D$12:$D$71,1)),""))</f>
        <v/>
      </c>
      <c r="C765" t="str">
        <f t="shared" si="22"/>
        <v/>
      </c>
      <c r="D765" t="str">
        <f>IF(A765="","",SUMIFS(Акты!$D$5:$D$16,Акты!$E$5:$E$16,"&lt;="&amp;A765)-SUMIFS(Оплаты!$B$6:$B$505,Оплаты!$A$6:$A$505,"&lt;"&amp;A765,Оплаты!$D$6:$D$505,"&lt;&gt;"))</f>
        <v/>
      </c>
      <c r="E765" t="str">
        <f>IF(A765="","",IF(SUMPRODUCT((Ввод!$F$12:$F$31&lt;&gt;"")*(Ввод!$F$12:$F$31&lt;=A765)*(Ввод!$G$12:$G$31&gt;=A765))&gt;0,1,0))</f>
        <v/>
      </c>
      <c r="G765" t="str">
        <f t="shared" si="23"/>
        <v/>
      </c>
    </row>
    <row r="766" spans="1:7" x14ac:dyDescent="0.3">
      <c r="A766" s="21" t="str">
        <f>IF(A765="","",IF(A765+1&gt;Ввод!$B$4,"",A765+1))</f>
        <v/>
      </c>
      <c r="B766" s="23" t="str">
        <f>IF(A766="","",IFERROR(INDEX(Ввод!$B$12:$B$71,MATCH(A766,Ввод!$D$12:$D$71,1)),""))</f>
        <v/>
      </c>
      <c r="C766" t="str">
        <f t="shared" si="22"/>
        <v/>
      </c>
      <c r="D766" t="str">
        <f>IF(A766="","",SUMIFS(Акты!$D$5:$D$16,Акты!$E$5:$E$16,"&lt;="&amp;A766)-SUMIFS(Оплаты!$B$6:$B$505,Оплаты!$A$6:$A$505,"&lt;"&amp;A766,Оплаты!$D$6:$D$505,"&lt;&gt;"))</f>
        <v/>
      </c>
      <c r="E766" t="str">
        <f>IF(A766="","",IF(SUMPRODUCT((Ввод!$F$12:$F$31&lt;&gt;"")*(Ввод!$F$12:$F$31&lt;=A766)*(Ввод!$G$12:$G$31&gt;=A766))&gt;0,1,0))</f>
        <v/>
      </c>
      <c r="G766" t="str">
        <f t="shared" si="23"/>
        <v/>
      </c>
    </row>
    <row r="767" spans="1:7" x14ac:dyDescent="0.3">
      <c r="A767" s="21" t="str">
        <f>IF(A766="","",IF(A766+1&gt;Ввод!$B$4,"",A766+1))</f>
        <v/>
      </c>
      <c r="B767" s="23" t="str">
        <f>IF(A767="","",IFERROR(INDEX(Ввод!$B$12:$B$71,MATCH(A767,Ввод!$D$12:$D$71,1)),""))</f>
        <v/>
      </c>
      <c r="C767" t="str">
        <f t="shared" si="22"/>
        <v/>
      </c>
      <c r="D767" t="str">
        <f>IF(A767="","",SUMIFS(Акты!$D$5:$D$16,Акты!$E$5:$E$16,"&lt;="&amp;A767)-SUMIFS(Оплаты!$B$6:$B$505,Оплаты!$A$6:$A$505,"&lt;"&amp;A767,Оплаты!$D$6:$D$505,"&lt;&gt;"))</f>
        <v/>
      </c>
      <c r="E767" t="str">
        <f>IF(A767="","",IF(SUMPRODUCT((Ввод!$F$12:$F$31&lt;&gt;"")*(Ввод!$F$12:$F$31&lt;=A767)*(Ввод!$G$12:$G$31&gt;=A767))&gt;0,1,0))</f>
        <v/>
      </c>
      <c r="G767" t="str">
        <f t="shared" si="23"/>
        <v/>
      </c>
    </row>
    <row r="768" spans="1:7" x14ac:dyDescent="0.3">
      <c r="A768" s="21" t="str">
        <f>IF(A767="","",IF(A767+1&gt;Ввод!$B$4,"",A767+1))</f>
        <v/>
      </c>
      <c r="B768" s="23" t="str">
        <f>IF(A768="","",IFERROR(INDEX(Ввод!$B$12:$B$71,MATCH(A768,Ввод!$D$12:$D$71,1)),""))</f>
        <v/>
      </c>
      <c r="C768" t="str">
        <f t="shared" si="22"/>
        <v/>
      </c>
      <c r="D768" t="str">
        <f>IF(A768="","",SUMIFS(Акты!$D$5:$D$16,Акты!$E$5:$E$16,"&lt;="&amp;A768)-SUMIFS(Оплаты!$B$6:$B$505,Оплаты!$A$6:$A$505,"&lt;"&amp;A768,Оплаты!$D$6:$D$505,"&lt;&gt;"))</f>
        <v/>
      </c>
      <c r="E768" t="str">
        <f>IF(A768="","",IF(SUMPRODUCT((Ввод!$F$12:$F$31&lt;&gt;"")*(Ввод!$F$12:$F$31&lt;=A768)*(Ввод!$G$12:$G$31&gt;=A768))&gt;0,1,0))</f>
        <v/>
      </c>
      <c r="G768" t="str">
        <f t="shared" si="23"/>
        <v/>
      </c>
    </row>
    <row r="769" spans="1:7" x14ac:dyDescent="0.3">
      <c r="A769" s="21" t="str">
        <f>IF(A768="","",IF(A768+1&gt;Ввод!$B$4,"",A768+1))</f>
        <v/>
      </c>
      <c r="B769" s="23" t="str">
        <f>IF(A769="","",IFERROR(INDEX(Ввод!$B$12:$B$71,MATCH(A769,Ввод!$D$12:$D$71,1)),""))</f>
        <v/>
      </c>
      <c r="C769" t="str">
        <f t="shared" si="22"/>
        <v/>
      </c>
      <c r="D769" t="str">
        <f>IF(A769="","",SUMIFS(Акты!$D$5:$D$16,Акты!$E$5:$E$16,"&lt;="&amp;A769)-SUMIFS(Оплаты!$B$6:$B$505,Оплаты!$A$6:$A$505,"&lt;"&amp;A769,Оплаты!$D$6:$D$505,"&lt;&gt;"))</f>
        <v/>
      </c>
      <c r="E769" t="str">
        <f>IF(A769="","",IF(SUMPRODUCT((Ввод!$F$12:$F$31&lt;&gt;"")*(Ввод!$F$12:$F$31&lt;=A769)*(Ввод!$G$12:$G$31&gt;=A769))&gt;0,1,0))</f>
        <v/>
      </c>
      <c r="G769" t="str">
        <f t="shared" si="23"/>
        <v/>
      </c>
    </row>
    <row r="770" spans="1:7" x14ac:dyDescent="0.3">
      <c r="A770" s="21" t="str">
        <f>IF(A769="","",IF(A769+1&gt;Ввод!$B$4,"",A769+1))</f>
        <v/>
      </c>
      <c r="B770" s="23" t="str">
        <f>IF(A770="","",IFERROR(INDEX(Ввод!$B$12:$B$71,MATCH(A770,Ввод!$D$12:$D$71,1)),""))</f>
        <v/>
      </c>
      <c r="C770" t="str">
        <f t="shared" ref="C770:C833" si="24">IF(A770="","",DATE(YEAR(A770),12,31)-DATE(YEAR(A770),1,1)+1)</f>
        <v/>
      </c>
      <c r="D770" t="str">
        <f>IF(A770="","",SUMIFS(Акты!$D$5:$D$16,Акты!$E$5:$E$16,"&lt;="&amp;A770)-SUMIFS(Оплаты!$B$6:$B$505,Оплаты!$A$6:$A$505,"&lt;"&amp;A770,Оплаты!$D$6:$D$505,"&lt;&gt;"))</f>
        <v/>
      </c>
      <c r="E770" t="str">
        <f>IF(A770="","",IF(SUMPRODUCT((Ввод!$F$12:$F$31&lt;&gt;"")*(Ввод!$F$12:$F$31&lt;=A770)*(Ввод!$G$12:$G$31&gt;=A770))&gt;0,1,0))</f>
        <v/>
      </c>
      <c r="G770" t="str">
        <f t="shared" si="23"/>
        <v/>
      </c>
    </row>
    <row r="771" spans="1:7" x14ac:dyDescent="0.3">
      <c r="A771" s="21" t="str">
        <f>IF(A770="","",IF(A770+1&gt;Ввод!$B$4,"",A770+1))</f>
        <v/>
      </c>
      <c r="B771" s="23" t="str">
        <f>IF(A771="","",IFERROR(INDEX(Ввод!$B$12:$B$71,MATCH(A771,Ввод!$D$12:$D$71,1)),""))</f>
        <v/>
      </c>
      <c r="C771" t="str">
        <f t="shared" si="24"/>
        <v/>
      </c>
      <c r="D771" t="str">
        <f>IF(A771="","",SUMIFS(Акты!$D$5:$D$16,Акты!$E$5:$E$16,"&lt;="&amp;A771)-SUMIFS(Оплаты!$B$6:$B$505,Оплаты!$A$6:$A$505,"&lt;"&amp;A771,Оплаты!$D$6:$D$505,"&lt;&gt;"))</f>
        <v/>
      </c>
      <c r="E771" t="str">
        <f>IF(A771="","",IF(SUMPRODUCT((Ввод!$F$12:$F$31&lt;&gt;"")*(Ввод!$F$12:$F$31&lt;=A771)*(Ввод!$G$12:$G$31&gt;=A771))&gt;0,1,0))</f>
        <v/>
      </c>
      <c r="G771" t="str">
        <f t="shared" ref="G771:G834" si="25">IF(A771="","",IF(OR(B771&lt;&gt;B770,C771&lt;&gt;C770,E771&lt;&gt;E770),G770+1,G770))</f>
        <v/>
      </c>
    </row>
    <row r="772" spans="1:7" x14ac:dyDescent="0.3">
      <c r="A772" s="21" t="str">
        <f>IF(A771="","",IF(A771+1&gt;Ввод!$B$4,"",A771+1))</f>
        <v/>
      </c>
      <c r="B772" s="23" t="str">
        <f>IF(A772="","",IFERROR(INDEX(Ввод!$B$12:$B$71,MATCH(A772,Ввод!$D$12:$D$71,1)),""))</f>
        <v/>
      </c>
      <c r="C772" t="str">
        <f t="shared" si="24"/>
        <v/>
      </c>
      <c r="D772" t="str">
        <f>IF(A772="","",SUMIFS(Акты!$D$5:$D$16,Акты!$E$5:$E$16,"&lt;="&amp;A772)-SUMIFS(Оплаты!$B$6:$B$505,Оплаты!$A$6:$A$505,"&lt;"&amp;A772,Оплаты!$D$6:$D$505,"&lt;&gt;"))</f>
        <v/>
      </c>
      <c r="E772" t="str">
        <f>IF(A772="","",IF(SUMPRODUCT((Ввод!$F$12:$F$31&lt;&gt;"")*(Ввод!$F$12:$F$31&lt;=A772)*(Ввод!$G$12:$G$31&gt;=A772))&gt;0,1,0))</f>
        <v/>
      </c>
      <c r="G772" t="str">
        <f t="shared" si="25"/>
        <v/>
      </c>
    </row>
    <row r="773" spans="1:7" x14ac:dyDescent="0.3">
      <c r="A773" s="21" t="str">
        <f>IF(A772="","",IF(A772+1&gt;Ввод!$B$4,"",A772+1))</f>
        <v/>
      </c>
      <c r="B773" s="23" t="str">
        <f>IF(A773="","",IFERROR(INDEX(Ввод!$B$12:$B$71,MATCH(A773,Ввод!$D$12:$D$71,1)),""))</f>
        <v/>
      </c>
      <c r="C773" t="str">
        <f t="shared" si="24"/>
        <v/>
      </c>
      <c r="D773" t="str">
        <f>IF(A773="","",SUMIFS(Акты!$D$5:$D$16,Акты!$E$5:$E$16,"&lt;="&amp;A773)-SUMIFS(Оплаты!$B$6:$B$505,Оплаты!$A$6:$A$505,"&lt;"&amp;A773,Оплаты!$D$6:$D$505,"&lt;&gt;"))</f>
        <v/>
      </c>
      <c r="E773" t="str">
        <f>IF(A773="","",IF(SUMPRODUCT((Ввод!$F$12:$F$31&lt;&gt;"")*(Ввод!$F$12:$F$31&lt;=A773)*(Ввод!$G$12:$G$31&gt;=A773))&gt;0,1,0))</f>
        <v/>
      </c>
      <c r="G773" t="str">
        <f t="shared" si="25"/>
        <v/>
      </c>
    </row>
    <row r="774" spans="1:7" x14ac:dyDescent="0.3">
      <c r="A774" s="21" t="str">
        <f>IF(A773="","",IF(A773+1&gt;Ввод!$B$4,"",A773+1))</f>
        <v/>
      </c>
      <c r="B774" s="23" t="str">
        <f>IF(A774="","",IFERROR(INDEX(Ввод!$B$12:$B$71,MATCH(A774,Ввод!$D$12:$D$71,1)),""))</f>
        <v/>
      </c>
      <c r="C774" t="str">
        <f t="shared" si="24"/>
        <v/>
      </c>
      <c r="D774" t="str">
        <f>IF(A774="","",SUMIFS(Акты!$D$5:$D$16,Акты!$E$5:$E$16,"&lt;="&amp;A774)-SUMIFS(Оплаты!$B$6:$B$505,Оплаты!$A$6:$A$505,"&lt;"&amp;A774,Оплаты!$D$6:$D$505,"&lt;&gt;"))</f>
        <v/>
      </c>
      <c r="E774" t="str">
        <f>IF(A774="","",IF(SUMPRODUCT((Ввод!$F$12:$F$31&lt;&gt;"")*(Ввод!$F$12:$F$31&lt;=A774)*(Ввод!$G$12:$G$31&gt;=A774))&gt;0,1,0))</f>
        <v/>
      </c>
      <c r="G774" t="str">
        <f t="shared" si="25"/>
        <v/>
      </c>
    </row>
    <row r="775" spans="1:7" x14ac:dyDescent="0.3">
      <c r="A775" s="21" t="str">
        <f>IF(A774="","",IF(A774+1&gt;Ввод!$B$4,"",A774+1))</f>
        <v/>
      </c>
      <c r="B775" s="23" t="str">
        <f>IF(A775="","",IFERROR(INDEX(Ввод!$B$12:$B$71,MATCH(A775,Ввод!$D$12:$D$71,1)),""))</f>
        <v/>
      </c>
      <c r="C775" t="str">
        <f t="shared" si="24"/>
        <v/>
      </c>
      <c r="D775" t="str">
        <f>IF(A775="","",SUMIFS(Акты!$D$5:$D$16,Акты!$E$5:$E$16,"&lt;="&amp;A775)-SUMIFS(Оплаты!$B$6:$B$505,Оплаты!$A$6:$A$505,"&lt;"&amp;A775,Оплаты!$D$6:$D$505,"&lt;&gt;"))</f>
        <v/>
      </c>
      <c r="E775" t="str">
        <f>IF(A775="","",IF(SUMPRODUCT((Ввод!$F$12:$F$31&lt;&gt;"")*(Ввод!$F$12:$F$31&lt;=A775)*(Ввод!$G$12:$G$31&gt;=A775))&gt;0,1,0))</f>
        <v/>
      </c>
      <c r="G775" t="str">
        <f t="shared" si="25"/>
        <v/>
      </c>
    </row>
    <row r="776" spans="1:7" x14ac:dyDescent="0.3">
      <c r="A776" s="21" t="str">
        <f>IF(A775="","",IF(A775+1&gt;Ввод!$B$4,"",A775+1))</f>
        <v/>
      </c>
      <c r="B776" s="23" t="str">
        <f>IF(A776="","",IFERROR(INDEX(Ввод!$B$12:$B$71,MATCH(A776,Ввод!$D$12:$D$71,1)),""))</f>
        <v/>
      </c>
      <c r="C776" t="str">
        <f t="shared" si="24"/>
        <v/>
      </c>
      <c r="D776" t="str">
        <f>IF(A776="","",SUMIFS(Акты!$D$5:$D$16,Акты!$E$5:$E$16,"&lt;="&amp;A776)-SUMIFS(Оплаты!$B$6:$B$505,Оплаты!$A$6:$A$505,"&lt;"&amp;A776,Оплаты!$D$6:$D$505,"&lt;&gt;"))</f>
        <v/>
      </c>
      <c r="E776" t="str">
        <f>IF(A776="","",IF(SUMPRODUCT((Ввод!$F$12:$F$31&lt;&gt;"")*(Ввод!$F$12:$F$31&lt;=A776)*(Ввод!$G$12:$G$31&gt;=A776))&gt;0,1,0))</f>
        <v/>
      </c>
      <c r="G776" t="str">
        <f t="shared" si="25"/>
        <v/>
      </c>
    </row>
    <row r="777" spans="1:7" x14ac:dyDescent="0.3">
      <c r="A777" s="21" t="str">
        <f>IF(A776="","",IF(A776+1&gt;Ввод!$B$4,"",A776+1))</f>
        <v/>
      </c>
      <c r="B777" s="23" t="str">
        <f>IF(A777="","",IFERROR(INDEX(Ввод!$B$12:$B$71,MATCH(A777,Ввод!$D$12:$D$71,1)),""))</f>
        <v/>
      </c>
      <c r="C777" t="str">
        <f t="shared" si="24"/>
        <v/>
      </c>
      <c r="D777" t="str">
        <f>IF(A777="","",SUMIFS(Акты!$D$5:$D$16,Акты!$E$5:$E$16,"&lt;="&amp;A777)-SUMIFS(Оплаты!$B$6:$B$505,Оплаты!$A$6:$A$505,"&lt;"&amp;A777,Оплаты!$D$6:$D$505,"&lt;&gt;"))</f>
        <v/>
      </c>
      <c r="E777" t="str">
        <f>IF(A777="","",IF(SUMPRODUCT((Ввод!$F$12:$F$31&lt;&gt;"")*(Ввод!$F$12:$F$31&lt;=A777)*(Ввод!$G$12:$G$31&gt;=A777))&gt;0,1,0))</f>
        <v/>
      </c>
      <c r="G777" t="str">
        <f t="shared" si="25"/>
        <v/>
      </c>
    </row>
    <row r="778" spans="1:7" x14ac:dyDescent="0.3">
      <c r="A778" s="21" t="str">
        <f>IF(A777="","",IF(A777+1&gt;Ввод!$B$4,"",A777+1))</f>
        <v/>
      </c>
      <c r="B778" s="23" t="str">
        <f>IF(A778="","",IFERROR(INDEX(Ввод!$B$12:$B$71,MATCH(A778,Ввод!$D$12:$D$71,1)),""))</f>
        <v/>
      </c>
      <c r="C778" t="str">
        <f t="shared" si="24"/>
        <v/>
      </c>
      <c r="D778" t="str">
        <f>IF(A778="","",SUMIFS(Акты!$D$5:$D$16,Акты!$E$5:$E$16,"&lt;="&amp;A778)-SUMIFS(Оплаты!$B$6:$B$505,Оплаты!$A$6:$A$505,"&lt;"&amp;A778,Оплаты!$D$6:$D$505,"&lt;&gt;"))</f>
        <v/>
      </c>
      <c r="E778" t="str">
        <f>IF(A778="","",IF(SUMPRODUCT((Ввод!$F$12:$F$31&lt;&gt;"")*(Ввод!$F$12:$F$31&lt;=A778)*(Ввод!$G$12:$G$31&gt;=A778))&gt;0,1,0))</f>
        <v/>
      </c>
      <c r="G778" t="str">
        <f t="shared" si="25"/>
        <v/>
      </c>
    </row>
    <row r="779" spans="1:7" x14ac:dyDescent="0.3">
      <c r="A779" s="21" t="str">
        <f>IF(A778="","",IF(A778+1&gt;Ввод!$B$4,"",A778+1))</f>
        <v/>
      </c>
      <c r="B779" s="23" t="str">
        <f>IF(A779="","",IFERROR(INDEX(Ввод!$B$12:$B$71,MATCH(A779,Ввод!$D$12:$D$71,1)),""))</f>
        <v/>
      </c>
      <c r="C779" t="str">
        <f t="shared" si="24"/>
        <v/>
      </c>
      <c r="D779" t="str">
        <f>IF(A779="","",SUMIFS(Акты!$D$5:$D$16,Акты!$E$5:$E$16,"&lt;="&amp;A779)-SUMIFS(Оплаты!$B$6:$B$505,Оплаты!$A$6:$A$505,"&lt;"&amp;A779,Оплаты!$D$6:$D$505,"&lt;&gt;"))</f>
        <v/>
      </c>
      <c r="E779" t="str">
        <f>IF(A779="","",IF(SUMPRODUCT((Ввод!$F$12:$F$31&lt;&gt;"")*(Ввод!$F$12:$F$31&lt;=A779)*(Ввод!$G$12:$G$31&gt;=A779))&gt;0,1,0))</f>
        <v/>
      </c>
      <c r="G779" t="str">
        <f t="shared" si="25"/>
        <v/>
      </c>
    </row>
    <row r="780" spans="1:7" x14ac:dyDescent="0.3">
      <c r="A780" s="21" t="str">
        <f>IF(A779="","",IF(A779+1&gt;Ввод!$B$4,"",A779+1))</f>
        <v/>
      </c>
      <c r="B780" s="23" t="str">
        <f>IF(A780="","",IFERROR(INDEX(Ввод!$B$12:$B$71,MATCH(A780,Ввод!$D$12:$D$71,1)),""))</f>
        <v/>
      </c>
      <c r="C780" t="str">
        <f t="shared" si="24"/>
        <v/>
      </c>
      <c r="D780" t="str">
        <f>IF(A780="","",SUMIFS(Акты!$D$5:$D$16,Акты!$E$5:$E$16,"&lt;="&amp;A780)-SUMIFS(Оплаты!$B$6:$B$505,Оплаты!$A$6:$A$505,"&lt;"&amp;A780,Оплаты!$D$6:$D$505,"&lt;&gt;"))</f>
        <v/>
      </c>
      <c r="E780" t="str">
        <f>IF(A780="","",IF(SUMPRODUCT((Ввод!$F$12:$F$31&lt;&gt;"")*(Ввод!$F$12:$F$31&lt;=A780)*(Ввод!$G$12:$G$31&gt;=A780))&gt;0,1,0))</f>
        <v/>
      </c>
      <c r="G780" t="str">
        <f t="shared" si="25"/>
        <v/>
      </c>
    </row>
    <row r="781" spans="1:7" x14ac:dyDescent="0.3">
      <c r="A781" s="21" t="str">
        <f>IF(A780="","",IF(A780+1&gt;Ввод!$B$4,"",A780+1))</f>
        <v/>
      </c>
      <c r="B781" s="23" t="str">
        <f>IF(A781="","",IFERROR(INDEX(Ввод!$B$12:$B$71,MATCH(A781,Ввод!$D$12:$D$71,1)),""))</f>
        <v/>
      </c>
      <c r="C781" t="str">
        <f t="shared" si="24"/>
        <v/>
      </c>
      <c r="D781" t="str">
        <f>IF(A781="","",SUMIFS(Акты!$D$5:$D$16,Акты!$E$5:$E$16,"&lt;="&amp;A781)-SUMIFS(Оплаты!$B$6:$B$505,Оплаты!$A$6:$A$505,"&lt;"&amp;A781,Оплаты!$D$6:$D$505,"&lt;&gt;"))</f>
        <v/>
      </c>
      <c r="E781" t="str">
        <f>IF(A781="","",IF(SUMPRODUCT((Ввод!$F$12:$F$31&lt;&gt;"")*(Ввод!$F$12:$F$31&lt;=A781)*(Ввод!$G$12:$G$31&gt;=A781))&gt;0,1,0))</f>
        <v/>
      </c>
      <c r="G781" t="str">
        <f t="shared" si="25"/>
        <v/>
      </c>
    </row>
    <row r="782" spans="1:7" x14ac:dyDescent="0.3">
      <c r="A782" s="21" t="str">
        <f>IF(A781="","",IF(A781+1&gt;Ввод!$B$4,"",A781+1))</f>
        <v/>
      </c>
      <c r="B782" s="23" t="str">
        <f>IF(A782="","",IFERROR(INDEX(Ввод!$B$12:$B$71,MATCH(A782,Ввод!$D$12:$D$71,1)),""))</f>
        <v/>
      </c>
      <c r="C782" t="str">
        <f t="shared" si="24"/>
        <v/>
      </c>
      <c r="D782" t="str">
        <f>IF(A782="","",SUMIFS(Акты!$D$5:$D$16,Акты!$E$5:$E$16,"&lt;="&amp;A782)-SUMIFS(Оплаты!$B$6:$B$505,Оплаты!$A$6:$A$505,"&lt;"&amp;A782,Оплаты!$D$6:$D$505,"&lt;&gt;"))</f>
        <v/>
      </c>
      <c r="E782" t="str">
        <f>IF(A782="","",IF(SUMPRODUCT((Ввод!$F$12:$F$31&lt;&gt;"")*(Ввод!$F$12:$F$31&lt;=A782)*(Ввод!$G$12:$G$31&gt;=A782))&gt;0,1,0))</f>
        <v/>
      </c>
      <c r="G782" t="str">
        <f t="shared" si="25"/>
        <v/>
      </c>
    </row>
    <row r="783" spans="1:7" x14ac:dyDescent="0.3">
      <c r="A783" s="21" t="str">
        <f>IF(A782="","",IF(A782+1&gt;Ввод!$B$4,"",A782+1))</f>
        <v/>
      </c>
      <c r="B783" s="23" t="str">
        <f>IF(A783="","",IFERROR(INDEX(Ввод!$B$12:$B$71,MATCH(A783,Ввод!$D$12:$D$71,1)),""))</f>
        <v/>
      </c>
      <c r="C783" t="str">
        <f t="shared" si="24"/>
        <v/>
      </c>
      <c r="D783" t="str">
        <f>IF(A783="","",SUMIFS(Акты!$D$5:$D$16,Акты!$E$5:$E$16,"&lt;="&amp;A783)-SUMIFS(Оплаты!$B$6:$B$505,Оплаты!$A$6:$A$505,"&lt;"&amp;A783,Оплаты!$D$6:$D$505,"&lt;&gt;"))</f>
        <v/>
      </c>
      <c r="E783" t="str">
        <f>IF(A783="","",IF(SUMPRODUCT((Ввод!$F$12:$F$31&lt;&gt;"")*(Ввод!$F$12:$F$31&lt;=A783)*(Ввод!$G$12:$G$31&gt;=A783))&gt;0,1,0))</f>
        <v/>
      </c>
      <c r="G783" t="str">
        <f t="shared" si="25"/>
        <v/>
      </c>
    </row>
    <row r="784" spans="1:7" x14ac:dyDescent="0.3">
      <c r="A784" s="21" t="str">
        <f>IF(A783="","",IF(A783+1&gt;Ввод!$B$4,"",A783+1))</f>
        <v/>
      </c>
      <c r="B784" s="23" t="str">
        <f>IF(A784="","",IFERROR(INDEX(Ввод!$B$12:$B$71,MATCH(A784,Ввод!$D$12:$D$71,1)),""))</f>
        <v/>
      </c>
      <c r="C784" t="str">
        <f t="shared" si="24"/>
        <v/>
      </c>
      <c r="D784" t="str">
        <f>IF(A784="","",SUMIFS(Акты!$D$5:$D$16,Акты!$E$5:$E$16,"&lt;="&amp;A784)-SUMIFS(Оплаты!$B$6:$B$505,Оплаты!$A$6:$A$505,"&lt;"&amp;A784,Оплаты!$D$6:$D$505,"&lt;&gt;"))</f>
        <v/>
      </c>
      <c r="E784" t="str">
        <f>IF(A784="","",IF(SUMPRODUCT((Ввод!$F$12:$F$31&lt;&gt;"")*(Ввод!$F$12:$F$31&lt;=A784)*(Ввод!$G$12:$G$31&gt;=A784))&gt;0,1,0))</f>
        <v/>
      </c>
      <c r="G784" t="str">
        <f t="shared" si="25"/>
        <v/>
      </c>
    </row>
    <row r="785" spans="1:7" x14ac:dyDescent="0.3">
      <c r="A785" s="21" t="str">
        <f>IF(A784="","",IF(A784+1&gt;Ввод!$B$4,"",A784+1))</f>
        <v/>
      </c>
      <c r="B785" s="23" t="str">
        <f>IF(A785="","",IFERROR(INDEX(Ввод!$B$12:$B$71,MATCH(A785,Ввод!$D$12:$D$71,1)),""))</f>
        <v/>
      </c>
      <c r="C785" t="str">
        <f t="shared" si="24"/>
        <v/>
      </c>
      <c r="D785" t="str">
        <f>IF(A785="","",SUMIFS(Акты!$D$5:$D$16,Акты!$E$5:$E$16,"&lt;="&amp;A785)-SUMIFS(Оплаты!$B$6:$B$505,Оплаты!$A$6:$A$505,"&lt;"&amp;A785,Оплаты!$D$6:$D$505,"&lt;&gt;"))</f>
        <v/>
      </c>
      <c r="E785" t="str">
        <f>IF(A785="","",IF(SUMPRODUCT((Ввод!$F$12:$F$31&lt;&gt;"")*(Ввод!$F$12:$F$31&lt;=A785)*(Ввод!$G$12:$G$31&gt;=A785))&gt;0,1,0))</f>
        <v/>
      </c>
      <c r="G785" t="str">
        <f t="shared" si="25"/>
        <v/>
      </c>
    </row>
    <row r="786" spans="1:7" x14ac:dyDescent="0.3">
      <c r="A786" s="21" t="str">
        <f>IF(A785="","",IF(A785+1&gt;Ввод!$B$4,"",A785+1))</f>
        <v/>
      </c>
      <c r="B786" s="23" t="str">
        <f>IF(A786="","",IFERROR(INDEX(Ввод!$B$12:$B$71,MATCH(A786,Ввод!$D$12:$D$71,1)),""))</f>
        <v/>
      </c>
      <c r="C786" t="str">
        <f t="shared" si="24"/>
        <v/>
      </c>
      <c r="D786" t="str">
        <f>IF(A786="","",SUMIFS(Акты!$D$5:$D$16,Акты!$E$5:$E$16,"&lt;="&amp;A786)-SUMIFS(Оплаты!$B$6:$B$505,Оплаты!$A$6:$A$505,"&lt;"&amp;A786,Оплаты!$D$6:$D$505,"&lt;&gt;"))</f>
        <v/>
      </c>
      <c r="E786" t="str">
        <f>IF(A786="","",IF(SUMPRODUCT((Ввод!$F$12:$F$31&lt;&gt;"")*(Ввод!$F$12:$F$31&lt;=A786)*(Ввод!$G$12:$G$31&gt;=A786))&gt;0,1,0))</f>
        <v/>
      </c>
      <c r="G786" t="str">
        <f t="shared" si="25"/>
        <v/>
      </c>
    </row>
    <row r="787" spans="1:7" x14ac:dyDescent="0.3">
      <c r="A787" s="21" t="str">
        <f>IF(A786="","",IF(A786+1&gt;Ввод!$B$4,"",A786+1))</f>
        <v/>
      </c>
      <c r="B787" s="23" t="str">
        <f>IF(A787="","",IFERROR(INDEX(Ввод!$B$12:$B$71,MATCH(A787,Ввод!$D$12:$D$71,1)),""))</f>
        <v/>
      </c>
      <c r="C787" t="str">
        <f t="shared" si="24"/>
        <v/>
      </c>
      <c r="D787" t="str">
        <f>IF(A787="","",SUMIFS(Акты!$D$5:$D$16,Акты!$E$5:$E$16,"&lt;="&amp;A787)-SUMIFS(Оплаты!$B$6:$B$505,Оплаты!$A$6:$A$505,"&lt;"&amp;A787,Оплаты!$D$6:$D$505,"&lt;&gt;"))</f>
        <v/>
      </c>
      <c r="E787" t="str">
        <f>IF(A787="","",IF(SUMPRODUCT((Ввод!$F$12:$F$31&lt;&gt;"")*(Ввод!$F$12:$F$31&lt;=A787)*(Ввод!$G$12:$G$31&gt;=A787))&gt;0,1,0))</f>
        <v/>
      </c>
      <c r="G787" t="str">
        <f t="shared" si="25"/>
        <v/>
      </c>
    </row>
    <row r="788" spans="1:7" x14ac:dyDescent="0.3">
      <c r="A788" s="21" t="str">
        <f>IF(A787="","",IF(A787+1&gt;Ввод!$B$4,"",A787+1))</f>
        <v/>
      </c>
      <c r="B788" s="23" t="str">
        <f>IF(A788="","",IFERROR(INDEX(Ввод!$B$12:$B$71,MATCH(A788,Ввод!$D$12:$D$71,1)),""))</f>
        <v/>
      </c>
      <c r="C788" t="str">
        <f t="shared" si="24"/>
        <v/>
      </c>
      <c r="D788" t="str">
        <f>IF(A788="","",SUMIFS(Акты!$D$5:$D$16,Акты!$E$5:$E$16,"&lt;="&amp;A788)-SUMIFS(Оплаты!$B$6:$B$505,Оплаты!$A$6:$A$505,"&lt;"&amp;A788,Оплаты!$D$6:$D$505,"&lt;&gt;"))</f>
        <v/>
      </c>
      <c r="E788" t="str">
        <f>IF(A788="","",IF(SUMPRODUCT((Ввод!$F$12:$F$31&lt;&gt;"")*(Ввод!$F$12:$F$31&lt;=A788)*(Ввод!$G$12:$G$31&gt;=A788))&gt;0,1,0))</f>
        <v/>
      </c>
      <c r="G788" t="str">
        <f t="shared" si="25"/>
        <v/>
      </c>
    </row>
    <row r="789" spans="1:7" x14ac:dyDescent="0.3">
      <c r="A789" s="21" t="str">
        <f>IF(A788="","",IF(A788+1&gt;Ввод!$B$4,"",A788+1))</f>
        <v/>
      </c>
      <c r="B789" s="23" t="str">
        <f>IF(A789="","",IFERROR(INDEX(Ввод!$B$12:$B$71,MATCH(A789,Ввод!$D$12:$D$71,1)),""))</f>
        <v/>
      </c>
      <c r="C789" t="str">
        <f t="shared" si="24"/>
        <v/>
      </c>
      <c r="D789" t="str">
        <f>IF(A789="","",SUMIFS(Акты!$D$5:$D$16,Акты!$E$5:$E$16,"&lt;="&amp;A789)-SUMIFS(Оплаты!$B$6:$B$505,Оплаты!$A$6:$A$505,"&lt;"&amp;A789,Оплаты!$D$6:$D$505,"&lt;&gt;"))</f>
        <v/>
      </c>
      <c r="E789" t="str">
        <f>IF(A789="","",IF(SUMPRODUCT((Ввод!$F$12:$F$31&lt;&gt;"")*(Ввод!$F$12:$F$31&lt;=A789)*(Ввод!$G$12:$G$31&gt;=A789))&gt;0,1,0))</f>
        <v/>
      </c>
      <c r="G789" t="str">
        <f t="shared" si="25"/>
        <v/>
      </c>
    </row>
    <row r="790" spans="1:7" x14ac:dyDescent="0.3">
      <c r="A790" s="21" t="str">
        <f>IF(A789="","",IF(A789+1&gt;Ввод!$B$4,"",A789+1))</f>
        <v/>
      </c>
      <c r="B790" s="23" t="str">
        <f>IF(A790="","",IFERROR(INDEX(Ввод!$B$12:$B$71,MATCH(A790,Ввод!$D$12:$D$71,1)),""))</f>
        <v/>
      </c>
      <c r="C790" t="str">
        <f t="shared" si="24"/>
        <v/>
      </c>
      <c r="D790" t="str">
        <f>IF(A790="","",SUMIFS(Акты!$D$5:$D$16,Акты!$E$5:$E$16,"&lt;="&amp;A790)-SUMIFS(Оплаты!$B$6:$B$505,Оплаты!$A$6:$A$505,"&lt;"&amp;A790,Оплаты!$D$6:$D$505,"&lt;&gt;"))</f>
        <v/>
      </c>
      <c r="E790" t="str">
        <f>IF(A790="","",IF(SUMPRODUCT((Ввод!$F$12:$F$31&lt;&gt;"")*(Ввод!$F$12:$F$31&lt;=A790)*(Ввод!$G$12:$G$31&gt;=A790))&gt;0,1,0))</f>
        <v/>
      </c>
      <c r="G790" t="str">
        <f t="shared" si="25"/>
        <v/>
      </c>
    </row>
    <row r="791" spans="1:7" x14ac:dyDescent="0.3">
      <c r="A791" s="21" t="str">
        <f>IF(A790="","",IF(A790+1&gt;Ввод!$B$4,"",A790+1))</f>
        <v/>
      </c>
      <c r="B791" s="23" t="str">
        <f>IF(A791="","",IFERROR(INDEX(Ввод!$B$12:$B$71,MATCH(A791,Ввод!$D$12:$D$71,1)),""))</f>
        <v/>
      </c>
      <c r="C791" t="str">
        <f t="shared" si="24"/>
        <v/>
      </c>
      <c r="D791" t="str">
        <f>IF(A791="","",SUMIFS(Акты!$D$5:$D$16,Акты!$E$5:$E$16,"&lt;="&amp;A791)-SUMIFS(Оплаты!$B$6:$B$505,Оплаты!$A$6:$A$505,"&lt;"&amp;A791,Оплаты!$D$6:$D$505,"&lt;&gt;"))</f>
        <v/>
      </c>
      <c r="E791" t="str">
        <f>IF(A791="","",IF(SUMPRODUCT((Ввод!$F$12:$F$31&lt;&gt;"")*(Ввод!$F$12:$F$31&lt;=A791)*(Ввод!$G$12:$G$31&gt;=A791))&gt;0,1,0))</f>
        <v/>
      </c>
      <c r="G791" t="str">
        <f t="shared" si="25"/>
        <v/>
      </c>
    </row>
    <row r="792" spans="1:7" x14ac:dyDescent="0.3">
      <c r="A792" s="21" t="str">
        <f>IF(A791="","",IF(A791+1&gt;Ввод!$B$4,"",A791+1))</f>
        <v/>
      </c>
      <c r="B792" s="23" t="str">
        <f>IF(A792="","",IFERROR(INDEX(Ввод!$B$12:$B$71,MATCH(A792,Ввод!$D$12:$D$71,1)),""))</f>
        <v/>
      </c>
      <c r="C792" t="str">
        <f t="shared" si="24"/>
        <v/>
      </c>
      <c r="D792" t="str">
        <f>IF(A792="","",SUMIFS(Акты!$D$5:$D$16,Акты!$E$5:$E$16,"&lt;="&amp;A792)-SUMIFS(Оплаты!$B$6:$B$505,Оплаты!$A$6:$A$505,"&lt;"&amp;A792,Оплаты!$D$6:$D$505,"&lt;&gt;"))</f>
        <v/>
      </c>
      <c r="E792" t="str">
        <f>IF(A792="","",IF(SUMPRODUCT((Ввод!$F$12:$F$31&lt;&gt;"")*(Ввод!$F$12:$F$31&lt;=A792)*(Ввод!$G$12:$G$31&gt;=A792))&gt;0,1,0))</f>
        <v/>
      </c>
      <c r="G792" t="str">
        <f t="shared" si="25"/>
        <v/>
      </c>
    </row>
    <row r="793" spans="1:7" x14ac:dyDescent="0.3">
      <c r="A793" s="21" t="str">
        <f>IF(A792="","",IF(A792+1&gt;Ввод!$B$4,"",A792+1))</f>
        <v/>
      </c>
      <c r="B793" s="23" t="str">
        <f>IF(A793="","",IFERROR(INDEX(Ввод!$B$12:$B$71,MATCH(A793,Ввод!$D$12:$D$71,1)),""))</f>
        <v/>
      </c>
      <c r="C793" t="str">
        <f t="shared" si="24"/>
        <v/>
      </c>
      <c r="D793" t="str">
        <f>IF(A793="","",SUMIFS(Акты!$D$5:$D$16,Акты!$E$5:$E$16,"&lt;="&amp;A793)-SUMIFS(Оплаты!$B$6:$B$505,Оплаты!$A$6:$A$505,"&lt;"&amp;A793,Оплаты!$D$6:$D$505,"&lt;&gt;"))</f>
        <v/>
      </c>
      <c r="E793" t="str">
        <f>IF(A793="","",IF(SUMPRODUCT((Ввод!$F$12:$F$31&lt;&gt;"")*(Ввод!$F$12:$F$31&lt;=A793)*(Ввод!$G$12:$G$31&gt;=A793))&gt;0,1,0))</f>
        <v/>
      </c>
      <c r="G793" t="str">
        <f t="shared" si="25"/>
        <v/>
      </c>
    </row>
    <row r="794" spans="1:7" x14ac:dyDescent="0.3">
      <c r="A794" s="21" t="str">
        <f>IF(A793="","",IF(A793+1&gt;Ввод!$B$4,"",A793+1))</f>
        <v/>
      </c>
      <c r="B794" s="23" t="str">
        <f>IF(A794="","",IFERROR(INDEX(Ввод!$B$12:$B$71,MATCH(A794,Ввод!$D$12:$D$71,1)),""))</f>
        <v/>
      </c>
      <c r="C794" t="str">
        <f t="shared" si="24"/>
        <v/>
      </c>
      <c r="D794" t="str">
        <f>IF(A794="","",SUMIFS(Акты!$D$5:$D$16,Акты!$E$5:$E$16,"&lt;="&amp;A794)-SUMIFS(Оплаты!$B$6:$B$505,Оплаты!$A$6:$A$505,"&lt;"&amp;A794,Оплаты!$D$6:$D$505,"&lt;&gt;"))</f>
        <v/>
      </c>
      <c r="E794" t="str">
        <f>IF(A794="","",IF(SUMPRODUCT((Ввод!$F$12:$F$31&lt;&gt;"")*(Ввод!$F$12:$F$31&lt;=A794)*(Ввод!$G$12:$G$31&gt;=A794))&gt;0,1,0))</f>
        <v/>
      </c>
      <c r="G794" t="str">
        <f t="shared" si="25"/>
        <v/>
      </c>
    </row>
    <row r="795" spans="1:7" x14ac:dyDescent="0.3">
      <c r="A795" s="21" t="str">
        <f>IF(A794="","",IF(A794+1&gt;Ввод!$B$4,"",A794+1))</f>
        <v/>
      </c>
      <c r="B795" s="23" t="str">
        <f>IF(A795="","",IFERROR(INDEX(Ввод!$B$12:$B$71,MATCH(A795,Ввод!$D$12:$D$71,1)),""))</f>
        <v/>
      </c>
      <c r="C795" t="str">
        <f t="shared" si="24"/>
        <v/>
      </c>
      <c r="D795" t="str">
        <f>IF(A795="","",SUMIFS(Акты!$D$5:$D$16,Акты!$E$5:$E$16,"&lt;="&amp;A795)-SUMIFS(Оплаты!$B$6:$B$505,Оплаты!$A$6:$A$505,"&lt;"&amp;A795,Оплаты!$D$6:$D$505,"&lt;&gt;"))</f>
        <v/>
      </c>
      <c r="E795" t="str">
        <f>IF(A795="","",IF(SUMPRODUCT((Ввод!$F$12:$F$31&lt;&gt;"")*(Ввод!$F$12:$F$31&lt;=A795)*(Ввод!$G$12:$G$31&gt;=A795))&gt;0,1,0))</f>
        <v/>
      </c>
      <c r="G795" t="str">
        <f t="shared" si="25"/>
        <v/>
      </c>
    </row>
    <row r="796" spans="1:7" x14ac:dyDescent="0.3">
      <c r="A796" s="21" t="str">
        <f>IF(A795="","",IF(A795+1&gt;Ввод!$B$4,"",A795+1))</f>
        <v/>
      </c>
      <c r="B796" s="23" t="str">
        <f>IF(A796="","",IFERROR(INDEX(Ввод!$B$12:$B$71,MATCH(A796,Ввод!$D$12:$D$71,1)),""))</f>
        <v/>
      </c>
      <c r="C796" t="str">
        <f t="shared" si="24"/>
        <v/>
      </c>
      <c r="D796" t="str">
        <f>IF(A796="","",SUMIFS(Акты!$D$5:$D$16,Акты!$E$5:$E$16,"&lt;="&amp;A796)-SUMIFS(Оплаты!$B$6:$B$505,Оплаты!$A$6:$A$505,"&lt;"&amp;A796,Оплаты!$D$6:$D$505,"&lt;&gt;"))</f>
        <v/>
      </c>
      <c r="E796" t="str">
        <f>IF(A796="","",IF(SUMPRODUCT((Ввод!$F$12:$F$31&lt;&gt;"")*(Ввод!$F$12:$F$31&lt;=A796)*(Ввод!$G$12:$G$31&gt;=A796))&gt;0,1,0))</f>
        <v/>
      </c>
      <c r="G796" t="str">
        <f t="shared" si="25"/>
        <v/>
      </c>
    </row>
    <row r="797" spans="1:7" x14ac:dyDescent="0.3">
      <c r="A797" s="21" t="str">
        <f>IF(A796="","",IF(A796+1&gt;Ввод!$B$4,"",A796+1))</f>
        <v/>
      </c>
      <c r="B797" s="23" t="str">
        <f>IF(A797="","",IFERROR(INDEX(Ввод!$B$12:$B$71,MATCH(A797,Ввод!$D$12:$D$71,1)),""))</f>
        <v/>
      </c>
      <c r="C797" t="str">
        <f t="shared" si="24"/>
        <v/>
      </c>
      <c r="D797" t="str">
        <f>IF(A797="","",SUMIFS(Акты!$D$5:$D$16,Акты!$E$5:$E$16,"&lt;="&amp;A797)-SUMIFS(Оплаты!$B$6:$B$505,Оплаты!$A$6:$A$505,"&lt;"&amp;A797,Оплаты!$D$6:$D$505,"&lt;&gt;"))</f>
        <v/>
      </c>
      <c r="E797" t="str">
        <f>IF(A797="","",IF(SUMPRODUCT((Ввод!$F$12:$F$31&lt;&gt;"")*(Ввод!$F$12:$F$31&lt;=A797)*(Ввод!$G$12:$G$31&gt;=A797))&gt;0,1,0))</f>
        <v/>
      </c>
      <c r="G797" t="str">
        <f t="shared" si="25"/>
        <v/>
      </c>
    </row>
    <row r="798" spans="1:7" x14ac:dyDescent="0.3">
      <c r="A798" s="21" t="str">
        <f>IF(A797="","",IF(A797+1&gt;Ввод!$B$4,"",A797+1))</f>
        <v/>
      </c>
      <c r="B798" s="23" t="str">
        <f>IF(A798="","",IFERROR(INDEX(Ввод!$B$12:$B$71,MATCH(A798,Ввод!$D$12:$D$71,1)),""))</f>
        <v/>
      </c>
      <c r="C798" t="str">
        <f t="shared" si="24"/>
        <v/>
      </c>
      <c r="D798" t="str">
        <f>IF(A798="","",SUMIFS(Акты!$D$5:$D$16,Акты!$E$5:$E$16,"&lt;="&amp;A798)-SUMIFS(Оплаты!$B$6:$B$505,Оплаты!$A$6:$A$505,"&lt;"&amp;A798,Оплаты!$D$6:$D$505,"&lt;&gt;"))</f>
        <v/>
      </c>
      <c r="E798" t="str">
        <f>IF(A798="","",IF(SUMPRODUCT((Ввод!$F$12:$F$31&lt;&gt;"")*(Ввод!$F$12:$F$31&lt;=A798)*(Ввод!$G$12:$G$31&gt;=A798))&gt;0,1,0))</f>
        <v/>
      </c>
      <c r="G798" t="str">
        <f t="shared" si="25"/>
        <v/>
      </c>
    </row>
    <row r="799" spans="1:7" x14ac:dyDescent="0.3">
      <c r="A799" s="21" t="str">
        <f>IF(A798="","",IF(A798+1&gt;Ввод!$B$4,"",A798+1))</f>
        <v/>
      </c>
      <c r="B799" s="23" t="str">
        <f>IF(A799="","",IFERROR(INDEX(Ввод!$B$12:$B$71,MATCH(A799,Ввод!$D$12:$D$71,1)),""))</f>
        <v/>
      </c>
      <c r="C799" t="str">
        <f t="shared" si="24"/>
        <v/>
      </c>
      <c r="D799" t="str">
        <f>IF(A799="","",SUMIFS(Акты!$D$5:$D$16,Акты!$E$5:$E$16,"&lt;="&amp;A799)-SUMIFS(Оплаты!$B$6:$B$505,Оплаты!$A$6:$A$505,"&lt;"&amp;A799,Оплаты!$D$6:$D$505,"&lt;&gt;"))</f>
        <v/>
      </c>
      <c r="E799" t="str">
        <f>IF(A799="","",IF(SUMPRODUCT((Ввод!$F$12:$F$31&lt;&gt;"")*(Ввод!$F$12:$F$31&lt;=A799)*(Ввод!$G$12:$G$31&gt;=A799))&gt;0,1,0))</f>
        <v/>
      </c>
      <c r="G799" t="str">
        <f t="shared" si="25"/>
        <v/>
      </c>
    </row>
    <row r="800" spans="1:7" x14ac:dyDescent="0.3">
      <c r="A800" s="21" t="str">
        <f>IF(A799="","",IF(A799+1&gt;Ввод!$B$4,"",A799+1))</f>
        <v/>
      </c>
      <c r="B800" s="23" t="str">
        <f>IF(A800="","",IFERROR(INDEX(Ввод!$B$12:$B$71,MATCH(A800,Ввод!$D$12:$D$71,1)),""))</f>
        <v/>
      </c>
      <c r="C800" t="str">
        <f t="shared" si="24"/>
        <v/>
      </c>
      <c r="D800" t="str">
        <f>IF(A800="","",SUMIFS(Акты!$D$5:$D$16,Акты!$E$5:$E$16,"&lt;="&amp;A800)-SUMIFS(Оплаты!$B$6:$B$505,Оплаты!$A$6:$A$505,"&lt;"&amp;A800,Оплаты!$D$6:$D$505,"&lt;&gt;"))</f>
        <v/>
      </c>
      <c r="E800" t="str">
        <f>IF(A800="","",IF(SUMPRODUCT((Ввод!$F$12:$F$31&lt;&gt;"")*(Ввод!$F$12:$F$31&lt;=A800)*(Ввод!$G$12:$G$31&gt;=A800))&gt;0,1,0))</f>
        <v/>
      </c>
      <c r="G800" t="str">
        <f t="shared" si="25"/>
        <v/>
      </c>
    </row>
    <row r="801" spans="1:7" x14ac:dyDescent="0.3">
      <c r="A801" s="21" t="str">
        <f>IF(A800="","",IF(A800+1&gt;Ввод!$B$4,"",A800+1))</f>
        <v/>
      </c>
      <c r="B801" s="23" t="str">
        <f>IF(A801="","",IFERROR(INDEX(Ввод!$B$12:$B$71,MATCH(A801,Ввод!$D$12:$D$71,1)),""))</f>
        <v/>
      </c>
      <c r="C801" t="str">
        <f t="shared" si="24"/>
        <v/>
      </c>
      <c r="D801" t="str">
        <f>IF(A801="","",SUMIFS(Акты!$D$5:$D$16,Акты!$E$5:$E$16,"&lt;="&amp;A801)-SUMIFS(Оплаты!$B$6:$B$505,Оплаты!$A$6:$A$505,"&lt;"&amp;A801,Оплаты!$D$6:$D$505,"&lt;&gt;"))</f>
        <v/>
      </c>
      <c r="E801" t="str">
        <f>IF(A801="","",IF(SUMPRODUCT((Ввод!$F$12:$F$31&lt;&gt;"")*(Ввод!$F$12:$F$31&lt;=A801)*(Ввод!$G$12:$G$31&gt;=A801))&gt;0,1,0))</f>
        <v/>
      </c>
      <c r="G801" t="str">
        <f t="shared" si="25"/>
        <v/>
      </c>
    </row>
    <row r="802" spans="1:7" x14ac:dyDescent="0.3">
      <c r="A802" s="21" t="str">
        <f>IF(A801="","",IF(A801+1&gt;Ввод!$B$4,"",A801+1))</f>
        <v/>
      </c>
      <c r="B802" s="23" t="str">
        <f>IF(A802="","",IFERROR(INDEX(Ввод!$B$12:$B$71,MATCH(A802,Ввод!$D$12:$D$71,1)),""))</f>
        <v/>
      </c>
      <c r="C802" t="str">
        <f t="shared" si="24"/>
        <v/>
      </c>
      <c r="D802" t="str">
        <f>IF(A802="","",SUMIFS(Акты!$D$5:$D$16,Акты!$E$5:$E$16,"&lt;="&amp;A802)-SUMIFS(Оплаты!$B$6:$B$505,Оплаты!$A$6:$A$505,"&lt;"&amp;A802,Оплаты!$D$6:$D$505,"&lt;&gt;"))</f>
        <v/>
      </c>
      <c r="E802" t="str">
        <f>IF(A802="","",IF(SUMPRODUCT((Ввод!$F$12:$F$31&lt;&gt;"")*(Ввод!$F$12:$F$31&lt;=A802)*(Ввод!$G$12:$G$31&gt;=A802))&gt;0,1,0))</f>
        <v/>
      </c>
      <c r="G802" t="str">
        <f t="shared" si="25"/>
        <v/>
      </c>
    </row>
    <row r="803" spans="1:7" x14ac:dyDescent="0.3">
      <c r="A803" s="21" t="str">
        <f>IF(A802="","",IF(A802+1&gt;Ввод!$B$4,"",A802+1))</f>
        <v/>
      </c>
      <c r="B803" s="23" t="str">
        <f>IF(A803="","",IFERROR(INDEX(Ввод!$B$12:$B$71,MATCH(A803,Ввод!$D$12:$D$71,1)),""))</f>
        <v/>
      </c>
      <c r="C803" t="str">
        <f t="shared" si="24"/>
        <v/>
      </c>
      <c r="D803" t="str">
        <f>IF(A803="","",SUMIFS(Акты!$D$5:$D$16,Акты!$E$5:$E$16,"&lt;="&amp;A803)-SUMIFS(Оплаты!$B$6:$B$505,Оплаты!$A$6:$A$505,"&lt;"&amp;A803,Оплаты!$D$6:$D$505,"&lt;&gt;"))</f>
        <v/>
      </c>
      <c r="E803" t="str">
        <f>IF(A803="","",IF(SUMPRODUCT((Ввод!$F$12:$F$31&lt;&gt;"")*(Ввод!$F$12:$F$31&lt;=A803)*(Ввод!$G$12:$G$31&gt;=A803))&gt;0,1,0))</f>
        <v/>
      </c>
      <c r="G803" t="str">
        <f t="shared" si="25"/>
        <v/>
      </c>
    </row>
    <row r="804" spans="1:7" x14ac:dyDescent="0.3">
      <c r="A804" s="21" t="str">
        <f>IF(A803="","",IF(A803+1&gt;Ввод!$B$4,"",A803+1))</f>
        <v/>
      </c>
      <c r="B804" s="23" t="str">
        <f>IF(A804="","",IFERROR(INDEX(Ввод!$B$12:$B$71,MATCH(A804,Ввод!$D$12:$D$71,1)),""))</f>
        <v/>
      </c>
      <c r="C804" t="str">
        <f t="shared" si="24"/>
        <v/>
      </c>
      <c r="D804" t="str">
        <f>IF(A804="","",SUMIFS(Акты!$D$5:$D$16,Акты!$E$5:$E$16,"&lt;="&amp;A804)-SUMIFS(Оплаты!$B$6:$B$505,Оплаты!$A$6:$A$505,"&lt;"&amp;A804,Оплаты!$D$6:$D$505,"&lt;&gt;"))</f>
        <v/>
      </c>
      <c r="E804" t="str">
        <f>IF(A804="","",IF(SUMPRODUCT((Ввод!$F$12:$F$31&lt;&gt;"")*(Ввод!$F$12:$F$31&lt;=A804)*(Ввод!$G$12:$G$31&gt;=A804))&gt;0,1,0))</f>
        <v/>
      </c>
      <c r="G804" t="str">
        <f t="shared" si="25"/>
        <v/>
      </c>
    </row>
    <row r="805" spans="1:7" x14ac:dyDescent="0.3">
      <c r="A805" s="21" t="str">
        <f>IF(A804="","",IF(A804+1&gt;Ввод!$B$4,"",A804+1))</f>
        <v/>
      </c>
      <c r="B805" s="23" t="str">
        <f>IF(A805="","",IFERROR(INDEX(Ввод!$B$12:$B$71,MATCH(A805,Ввод!$D$12:$D$71,1)),""))</f>
        <v/>
      </c>
      <c r="C805" t="str">
        <f t="shared" si="24"/>
        <v/>
      </c>
      <c r="D805" t="str">
        <f>IF(A805="","",SUMIFS(Акты!$D$5:$D$16,Акты!$E$5:$E$16,"&lt;="&amp;A805)-SUMIFS(Оплаты!$B$6:$B$505,Оплаты!$A$6:$A$505,"&lt;"&amp;A805,Оплаты!$D$6:$D$505,"&lt;&gt;"))</f>
        <v/>
      </c>
      <c r="E805" t="str">
        <f>IF(A805="","",IF(SUMPRODUCT((Ввод!$F$12:$F$31&lt;&gt;"")*(Ввод!$F$12:$F$31&lt;=A805)*(Ввод!$G$12:$G$31&gt;=A805))&gt;0,1,0))</f>
        <v/>
      </c>
      <c r="G805" t="str">
        <f t="shared" si="25"/>
        <v/>
      </c>
    </row>
    <row r="806" spans="1:7" x14ac:dyDescent="0.3">
      <c r="A806" s="21" t="str">
        <f>IF(A805="","",IF(A805+1&gt;Ввод!$B$4,"",A805+1))</f>
        <v/>
      </c>
      <c r="B806" s="23" t="str">
        <f>IF(A806="","",IFERROR(INDEX(Ввод!$B$12:$B$71,MATCH(A806,Ввод!$D$12:$D$71,1)),""))</f>
        <v/>
      </c>
      <c r="C806" t="str">
        <f t="shared" si="24"/>
        <v/>
      </c>
      <c r="D806" t="str">
        <f>IF(A806="","",SUMIFS(Акты!$D$5:$D$16,Акты!$E$5:$E$16,"&lt;="&amp;A806)-SUMIFS(Оплаты!$B$6:$B$505,Оплаты!$A$6:$A$505,"&lt;"&amp;A806,Оплаты!$D$6:$D$505,"&lt;&gt;"))</f>
        <v/>
      </c>
      <c r="E806" t="str">
        <f>IF(A806="","",IF(SUMPRODUCT((Ввод!$F$12:$F$31&lt;&gt;"")*(Ввод!$F$12:$F$31&lt;=A806)*(Ввод!$G$12:$G$31&gt;=A806))&gt;0,1,0))</f>
        <v/>
      </c>
      <c r="G806" t="str">
        <f t="shared" si="25"/>
        <v/>
      </c>
    </row>
    <row r="807" spans="1:7" x14ac:dyDescent="0.3">
      <c r="A807" s="21" t="str">
        <f>IF(A806="","",IF(A806+1&gt;Ввод!$B$4,"",A806+1))</f>
        <v/>
      </c>
      <c r="B807" s="23" t="str">
        <f>IF(A807="","",IFERROR(INDEX(Ввод!$B$12:$B$71,MATCH(A807,Ввод!$D$12:$D$71,1)),""))</f>
        <v/>
      </c>
      <c r="C807" t="str">
        <f t="shared" si="24"/>
        <v/>
      </c>
      <c r="D807" t="str">
        <f>IF(A807="","",SUMIFS(Акты!$D$5:$D$16,Акты!$E$5:$E$16,"&lt;="&amp;A807)-SUMIFS(Оплаты!$B$6:$B$505,Оплаты!$A$6:$A$505,"&lt;"&amp;A807,Оплаты!$D$6:$D$505,"&lt;&gt;"))</f>
        <v/>
      </c>
      <c r="E807" t="str">
        <f>IF(A807="","",IF(SUMPRODUCT((Ввод!$F$12:$F$31&lt;&gt;"")*(Ввод!$F$12:$F$31&lt;=A807)*(Ввод!$G$12:$G$31&gt;=A807))&gt;0,1,0))</f>
        <v/>
      </c>
      <c r="G807" t="str">
        <f t="shared" si="25"/>
        <v/>
      </c>
    </row>
    <row r="808" spans="1:7" x14ac:dyDescent="0.3">
      <c r="A808" s="21" t="str">
        <f>IF(A807="","",IF(A807+1&gt;Ввод!$B$4,"",A807+1))</f>
        <v/>
      </c>
      <c r="B808" s="23" t="str">
        <f>IF(A808="","",IFERROR(INDEX(Ввод!$B$12:$B$71,MATCH(A808,Ввод!$D$12:$D$71,1)),""))</f>
        <v/>
      </c>
      <c r="C808" t="str">
        <f t="shared" si="24"/>
        <v/>
      </c>
      <c r="D808" t="str">
        <f>IF(A808="","",SUMIFS(Акты!$D$5:$D$16,Акты!$E$5:$E$16,"&lt;="&amp;A808)-SUMIFS(Оплаты!$B$6:$B$505,Оплаты!$A$6:$A$505,"&lt;"&amp;A808,Оплаты!$D$6:$D$505,"&lt;&gt;"))</f>
        <v/>
      </c>
      <c r="E808" t="str">
        <f>IF(A808="","",IF(SUMPRODUCT((Ввод!$F$12:$F$31&lt;&gt;"")*(Ввод!$F$12:$F$31&lt;=A808)*(Ввод!$G$12:$G$31&gt;=A808))&gt;0,1,0))</f>
        <v/>
      </c>
      <c r="G808" t="str">
        <f t="shared" si="25"/>
        <v/>
      </c>
    </row>
    <row r="809" spans="1:7" x14ac:dyDescent="0.3">
      <c r="A809" s="21" t="str">
        <f>IF(A808="","",IF(A808+1&gt;Ввод!$B$4,"",A808+1))</f>
        <v/>
      </c>
      <c r="B809" s="23" t="str">
        <f>IF(A809="","",IFERROR(INDEX(Ввод!$B$12:$B$71,MATCH(A809,Ввод!$D$12:$D$71,1)),""))</f>
        <v/>
      </c>
      <c r="C809" t="str">
        <f t="shared" si="24"/>
        <v/>
      </c>
      <c r="D809" t="str">
        <f>IF(A809="","",SUMIFS(Акты!$D$5:$D$16,Акты!$E$5:$E$16,"&lt;="&amp;A809)-SUMIFS(Оплаты!$B$6:$B$505,Оплаты!$A$6:$A$505,"&lt;"&amp;A809,Оплаты!$D$6:$D$505,"&lt;&gt;"))</f>
        <v/>
      </c>
      <c r="E809" t="str">
        <f>IF(A809="","",IF(SUMPRODUCT((Ввод!$F$12:$F$31&lt;&gt;"")*(Ввод!$F$12:$F$31&lt;=A809)*(Ввод!$G$12:$G$31&gt;=A809))&gt;0,1,0))</f>
        <v/>
      </c>
      <c r="G809" t="str">
        <f t="shared" si="25"/>
        <v/>
      </c>
    </row>
    <row r="810" spans="1:7" x14ac:dyDescent="0.3">
      <c r="A810" s="21" t="str">
        <f>IF(A809="","",IF(A809+1&gt;Ввод!$B$4,"",A809+1))</f>
        <v/>
      </c>
      <c r="B810" s="23" t="str">
        <f>IF(A810="","",IFERROR(INDEX(Ввод!$B$12:$B$71,MATCH(A810,Ввод!$D$12:$D$71,1)),""))</f>
        <v/>
      </c>
      <c r="C810" t="str">
        <f t="shared" si="24"/>
        <v/>
      </c>
      <c r="D810" t="str">
        <f>IF(A810="","",SUMIFS(Акты!$D$5:$D$16,Акты!$E$5:$E$16,"&lt;="&amp;A810)-SUMIFS(Оплаты!$B$6:$B$505,Оплаты!$A$6:$A$505,"&lt;"&amp;A810,Оплаты!$D$6:$D$505,"&lt;&gt;"))</f>
        <v/>
      </c>
      <c r="E810" t="str">
        <f>IF(A810="","",IF(SUMPRODUCT((Ввод!$F$12:$F$31&lt;&gt;"")*(Ввод!$F$12:$F$31&lt;=A810)*(Ввод!$G$12:$G$31&gt;=A810))&gt;0,1,0))</f>
        <v/>
      </c>
      <c r="G810" t="str">
        <f t="shared" si="25"/>
        <v/>
      </c>
    </row>
    <row r="811" spans="1:7" x14ac:dyDescent="0.3">
      <c r="A811" s="21" t="str">
        <f>IF(A810="","",IF(A810+1&gt;Ввод!$B$4,"",A810+1))</f>
        <v/>
      </c>
      <c r="B811" s="23" t="str">
        <f>IF(A811="","",IFERROR(INDEX(Ввод!$B$12:$B$71,MATCH(A811,Ввод!$D$12:$D$71,1)),""))</f>
        <v/>
      </c>
      <c r="C811" t="str">
        <f t="shared" si="24"/>
        <v/>
      </c>
      <c r="D811" t="str">
        <f>IF(A811="","",SUMIFS(Акты!$D$5:$D$16,Акты!$E$5:$E$16,"&lt;="&amp;A811)-SUMIFS(Оплаты!$B$6:$B$505,Оплаты!$A$6:$A$505,"&lt;"&amp;A811,Оплаты!$D$6:$D$505,"&lt;&gt;"))</f>
        <v/>
      </c>
      <c r="E811" t="str">
        <f>IF(A811="","",IF(SUMPRODUCT((Ввод!$F$12:$F$31&lt;&gt;"")*(Ввод!$F$12:$F$31&lt;=A811)*(Ввод!$G$12:$G$31&gt;=A811))&gt;0,1,0))</f>
        <v/>
      </c>
      <c r="G811" t="str">
        <f t="shared" si="25"/>
        <v/>
      </c>
    </row>
    <row r="812" spans="1:7" x14ac:dyDescent="0.3">
      <c r="A812" s="21" t="str">
        <f>IF(A811="","",IF(A811+1&gt;Ввод!$B$4,"",A811+1))</f>
        <v/>
      </c>
      <c r="B812" s="23" t="str">
        <f>IF(A812="","",IFERROR(INDEX(Ввод!$B$12:$B$71,MATCH(A812,Ввод!$D$12:$D$71,1)),""))</f>
        <v/>
      </c>
      <c r="C812" t="str">
        <f t="shared" si="24"/>
        <v/>
      </c>
      <c r="D812" t="str">
        <f>IF(A812="","",SUMIFS(Акты!$D$5:$D$16,Акты!$E$5:$E$16,"&lt;="&amp;A812)-SUMIFS(Оплаты!$B$6:$B$505,Оплаты!$A$6:$A$505,"&lt;"&amp;A812,Оплаты!$D$6:$D$505,"&lt;&gt;"))</f>
        <v/>
      </c>
      <c r="E812" t="str">
        <f>IF(A812="","",IF(SUMPRODUCT((Ввод!$F$12:$F$31&lt;&gt;"")*(Ввод!$F$12:$F$31&lt;=A812)*(Ввод!$G$12:$G$31&gt;=A812))&gt;0,1,0))</f>
        <v/>
      </c>
      <c r="G812" t="str">
        <f t="shared" si="25"/>
        <v/>
      </c>
    </row>
    <row r="813" spans="1:7" x14ac:dyDescent="0.3">
      <c r="A813" s="21" t="str">
        <f>IF(A812="","",IF(A812+1&gt;Ввод!$B$4,"",A812+1))</f>
        <v/>
      </c>
      <c r="B813" s="23" t="str">
        <f>IF(A813="","",IFERROR(INDEX(Ввод!$B$12:$B$71,MATCH(A813,Ввод!$D$12:$D$71,1)),""))</f>
        <v/>
      </c>
      <c r="C813" t="str">
        <f t="shared" si="24"/>
        <v/>
      </c>
      <c r="D813" t="str">
        <f>IF(A813="","",SUMIFS(Акты!$D$5:$D$16,Акты!$E$5:$E$16,"&lt;="&amp;A813)-SUMIFS(Оплаты!$B$6:$B$505,Оплаты!$A$6:$A$505,"&lt;"&amp;A813,Оплаты!$D$6:$D$505,"&lt;&gt;"))</f>
        <v/>
      </c>
      <c r="E813" t="str">
        <f>IF(A813="","",IF(SUMPRODUCT((Ввод!$F$12:$F$31&lt;&gt;"")*(Ввод!$F$12:$F$31&lt;=A813)*(Ввод!$G$12:$G$31&gt;=A813))&gt;0,1,0))</f>
        <v/>
      </c>
      <c r="G813" t="str">
        <f t="shared" si="25"/>
        <v/>
      </c>
    </row>
    <row r="814" spans="1:7" x14ac:dyDescent="0.3">
      <c r="A814" s="21" t="str">
        <f>IF(A813="","",IF(A813+1&gt;Ввод!$B$4,"",A813+1))</f>
        <v/>
      </c>
      <c r="B814" s="23" t="str">
        <f>IF(A814="","",IFERROR(INDEX(Ввод!$B$12:$B$71,MATCH(A814,Ввод!$D$12:$D$71,1)),""))</f>
        <v/>
      </c>
      <c r="C814" t="str">
        <f t="shared" si="24"/>
        <v/>
      </c>
      <c r="D814" t="str">
        <f>IF(A814="","",SUMIFS(Акты!$D$5:$D$16,Акты!$E$5:$E$16,"&lt;="&amp;A814)-SUMIFS(Оплаты!$B$6:$B$505,Оплаты!$A$6:$A$505,"&lt;"&amp;A814,Оплаты!$D$6:$D$505,"&lt;&gt;"))</f>
        <v/>
      </c>
      <c r="E814" t="str">
        <f>IF(A814="","",IF(SUMPRODUCT((Ввод!$F$12:$F$31&lt;&gt;"")*(Ввод!$F$12:$F$31&lt;=A814)*(Ввод!$G$12:$G$31&gt;=A814))&gt;0,1,0))</f>
        <v/>
      </c>
      <c r="G814" t="str">
        <f t="shared" si="25"/>
        <v/>
      </c>
    </row>
    <row r="815" spans="1:7" x14ac:dyDescent="0.3">
      <c r="A815" s="21" t="str">
        <f>IF(A814="","",IF(A814+1&gt;Ввод!$B$4,"",A814+1))</f>
        <v/>
      </c>
      <c r="B815" s="23" t="str">
        <f>IF(A815="","",IFERROR(INDEX(Ввод!$B$12:$B$71,MATCH(A815,Ввод!$D$12:$D$71,1)),""))</f>
        <v/>
      </c>
      <c r="C815" t="str">
        <f t="shared" si="24"/>
        <v/>
      </c>
      <c r="D815" t="str">
        <f>IF(A815="","",SUMIFS(Акты!$D$5:$D$16,Акты!$E$5:$E$16,"&lt;="&amp;A815)-SUMIFS(Оплаты!$B$6:$B$505,Оплаты!$A$6:$A$505,"&lt;"&amp;A815,Оплаты!$D$6:$D$505,"&lt;&gt;"))</f>
        <v/>
      </c>
      <c r="E815" t="str">
        <f>IF(A815="","",IF(SUMPRODUCT((Ввод!$F$12:$F$31&lt;&gt;"")*(Ввод!$F$12:$F$31&lt;=A815)*(Ввод!$G$12:$G$31&gt;=A815))&gt;0,1,0))</f>
        <v/>
      </c>
      <c r="G815" t="str">
        <f t="shared" si="25"/>
        <v/>
      </c>
    </row>
    <row r="816" spans="1:7" x14ac:dyDescent="0.3">
      <c r="A816" s="21" t="str">
        <f>IF(A815="","",IF(A815+1&gt;Ввод!$B$4,"",A815+1))</f>
        <v/>
      </c>
      <c r="B816" s="23" t="str">
        <f>IF(A816="","",IFERROR(INDEX(Ввод!$B$12:$B$71,MATCH(A816,Ввод!$D$12:$D$71,1)),""))</f>
        <v/>
      </c>
      <c r="C816" t="str">
        <f t="shared" si="24"/>
        <v/>
      </c>
      <c r="D816" t="str">
        <f>IF(A816="","",SUMIFS(Акты!$D$5:$D$16,Акты!$E$5:$E$16,"&lt;="&amp;A816)-SUMIFS(Оплаты!$B$6:$B$505,Оплаты!$A$6:$A$505,"&lt;"&amp;A816,Оплаты!$D$6:$D$505,"&lt;&gt;"))</f>
        <v/>
      </c>
      <c r="E816" t="str">
        <f>IF(A816="","",IF(SUMPRODUCT((Ввод!$F$12:$F$31&lt;&gt;"")*(Ввод!$F$12:$F$31&lt;=A816)*(Ввод!$G$12:$G$31&gt;=A816))&gt;0,1,0))</f>
        <v/>
      </c>
      <c r="G816" t="str">
        <f t="shared" si="25"/>
        <v/>
      </c>
    </row>
    <row r="817" spans="1:7" x14ac:dyDescent="0.3">
      <c r="A817" s="21" t="str">
        <f>IF(A816="","",IF(A816+1&gt;Ввод!$B$4,"",A816+1))</f>
        <v/>
      </c>
      <c r="B817" s="23" t="str">
        <f>IF(A817="","",IFERROR(INDEX(Ввод!$B$12:$B$71,MATCH(A817,Ввод!$D$12:$D$71,1)),""))</f>
        <v/>
      </c>
      <c r="C817" t="str">
        <f t="shared" si="24"/>
        <v/>
      </c>
      <c r="D817" t="str">
        <f>IF(A817="","",SUMIFS(Акты!$D$5:$D$16,Акты!$E$5:$E$16,"&lt;="&amp;A817)-SUMIFS(Оплаты!$B$6:$B$505,Оплаты!$A$6:$A$505,"&lt;"&amp;A817,Оплаты!$D$6:$D$505,"&lt;&gt;"))</f>
        <v/>
      </c>
      <c r="E817" t="str">
        <f>IF(A817="","",IF(SUMPRODUCT((Ввод!$F$12:$F$31&lt;&gt;"")*(Ввод!$F$12:$F$31&lt;=A817)*(Ввод!$G$12:$G$31&gt;=A817))&gt;0,1,0))</f>
        <v/>
      </c>
      <c r="G817" t="str">
        <f t="shared" si="25"/>
        <v/>
      </c>
    </row>
    <row r="818" spans="1:7" x14ac:dyDescent="0.3">
      <c r="A818" s="21" t="str">
        <f>IF(A817="","",IF(A817+1&gt;Ввод!$B$4,"",A817+1))</f>
        <v/>
      </c>
      <c r="B818" s="23" t="str">
        <f>IF(A818="","",IFERROR(INDEX(Ввод!$B$12:$B$71,MATCH(A818,Ввод!$D$12:$D$71,1)),""))</f>
        <v/>
      </c>
      <c r="C818" t="str">
        <f t="shared" si="24"/>
        <v/>
      </c>
      <c r="D818" t="str">
        <f>IF(A818="","",SUMIFS(Акты!$D$5:$D$16,Акты!$E$5:$E$16,"&lt;="&amp;A818)-SUMIFS(Оплаты!$B$6:$B$505,Оплаты!$A$6:$A$505,"&lt;"&amp;A818,Оплаты!$D$6:$D$505,"&lt;&gt;"))</f>
        <v/>
      </c>
      <c r="E818" t="str">
        <f>IF(A818="","",IF(SUMPRODUCT((Ввод!$F$12:$F$31&lt;&gt;"")*(Ввод!$F$12:$F$31&lt;=A818)*(Ввод!$G$12:$G$31&gt;=A818))&gt;0,1,0))</f>
        <v/>
      </c>
      <c r="G818" t="str">
        <f t="shared" si="25"/>
        <v/>
      </c>
    </row>
    <row r="819" spans="1:7" x14ac:dyDescent="0.3">
      <c r="A819" s="21" t="str">
        <f>IF(A818="","",IF(A818+1&gt;Ввод!$B$4,"",A818+1))</f>
        <v/>
      </c>
      <c r="B819" s="23" t="str">
        <f>IF(A819="","",IFERROR(INDEX(Ввод!$B$12:$B$71,MATCH(A819,Ввод!$D$12:$D$71,1)),""))</f>
        <v/>
      </c>
      <c r="C819" t="str">
        <f t="shared" si="24"/>
        <v/>
      </c>
      <c r="D819" t="str">
        <f>IF(A819="","",SUMIFS(Акты!$D$5:$D$16,Акты!$E$5:$E$16,"&lt;="&amp;A819)-SUMIFS(Оплаты!$B$6:$B$505,Оплаты!$A$6:$A$505,"&lt;"&amp;A819,Оплаты!$D$6:$D$505,"&lt;&gt;"))</f>
        <v/>
      </c>
      <c r="E819" t="str">
        <f>IF(A819="","",IF(SUMPRODUCT((Ввод!$F$12:$F$31&lt;&gt;"")*(Ввод!$F$12:$F$31&lt;=A819)*(Ввод!$G$12:$G$31&gt;=A819))&gt;0,1,0))</f>
        <v/>
      </c>
      <c r="G819" t="str">
        <f t="shared" si="25"/>
        <v/>
      </c>
    </row>
    <row r="820" spans="1:7" x14ac:dyDescent="0.3">
      <c r="A820" s="21" t="str">
        <f>IF(A819="","",IF(A819+1&gt;Ввод!$B$4,"",A819+1))</f>
        <v/>
      </c>
      <c r="B820" s="23" t="str">
        <f>IF(A820="","",IFERROR(INDEX(Ввод!$B$12:$B$71,MATCH(A820,Ввод!$D$12:$D$71,1)),""))</f>
        <v/>
      </c>
      <c r="C820" t="str">
        <f t="shared" si="24"/>
        <v/>
      </c>
      <c r="D820" t="str">
        <f>IF(A820="","",SUMIFS(Акты!$D$5:$D$16,Акты!$E$5:$E$16,"&lt;="&amp;A820)-SUMIFS(Оплаты!$B$6:$B$505,Оплаты!$A$6:$A$505,"&lt;"&amp;A820,Оплаты!$D$6:$D$505,"&lt;&gt;"))</f>
        <v/>
      </c>
      <c r="E820" t="str">
        <f>IF(A820="","",IF(SUMPRODUCT((Ввод!$F$12:$F$31&lt;&gt;"")*(Ввод!$F$12:$F$31&lt;=A820)*(Ввод!$G$12:$G$31&gt;=A820))&gt;0,1,0))</f>
        <v/>
      </c>
      <c r="G820" t="str">
        <f t="shared" si="25"/>
        <v/>
      </c>
    </row>
    <row r="821" spans="1:7" x14ac:dyDescent="0.3">
      <c r="A821" s="21" t="str">
        <f>IF(A820="","",IF(A820+1&gt;Ввод!$B$4,"",A820+1))</f>
        <v/>
      </c>
      <c r="B821" s="23" t="str">
        <f>IF(A821="","",IFERROR(INDEX(Ввод!$B$12:$B$71,MATCH(A821,Ввод!$D$12:$D$71,1)),""))</f>
        <v/>
      </c>
      <c r="C821" t="str">
        <f t="shared" si="24"/>
        <v/>
      </c>
      <c r="D821" t="str">
        <f>IF(A821="","",SUMIFS(Акты!$D$5:$D$16,Акты!$E$5:$E$16,"&lt;="&amp;A821)-SUMIFS(Оплаты!$B$6:$B$505,Оплаты!$A$6:$A$505,"&lt;"&amp;A821,Оплаты!$D$6:$D$505,"&lt;&gt;"))</f>
        <v/>
      </c>
      <c r="E821" t="str">
        <f>IF(A821="","",IF(SUMPRODUCT((Ввод!$F$12:$F$31&lt;&gt;"")*(Ввод!$F$12:$F$31&lt;=A821)*(Ввод!$G$12:$G$31&gt;=A821))&gt;0,1,0))</f>
        <v/>
      </c>
      <c r="G821" t="str">
        <f t="shared" si="25"/>
        <v/>
      </c>
    </row>
    <row r="822" spans="1:7" x14ac:dyDescent="0.3">
      <c r="A822" s="21" t="str">
        <f>IF(A821="","",IF(A821+1&gt;Ввод!$B$4,"",A821+1))</f>
        <v/>
      </c>
      <c r="B822" s="23" t="str">
        <f>IF(A822="","",IFERROR(INDEX(Ввод!$B$12:$B$71,MATCH(A822,Ввод!$D$12:$D$71,1)),""))</f>
        <v/>
      </c>
      <c r="C822" t="str">
        <f t="shared" si="24"/>
        <v/>
      </c>
      <c r="D822" t="str">
        <f>IF(A822="","",SUMIFS(Акты!$D$5:$D$16,Акты!$E$5:$E$16,"&lt;="&amp;A822)-SUMIFS(Оплаты!$B$6:$B$505,Оплаты!$A$6:$A$505,"&lt;"&amp;A822,Оплаты!$D$6:$D$505,"&lt;&gt;"))</f>
        <v/>
      </c>
      <c r="E822" t="str">
        <f>IF(A822="","",IF(SUMPRODUCT((Ввод!$F$12:$F$31&lt;&gt;"")*(Ввод!$F$12:$F$31&lt;=A822)*(Ввод!$G$12:$G$31&gt;=A822))&gt;0,1,0))</f>
        <v/>
      </c>
      <c r="G822" t="str">
        <f t="shared" si="25"/>
        <v/>
      </c>
    </row>
    <row r="823" spans="1:7" x14ac:dyDescent="0.3">
      <c r="A823" s="21" t="str">
        <f>IF(A822="","",IF(A822+1&gt;Ввод!$B$4,"",A822+1))</f>
        <v/>
      </c>
      <c r="B823" s="23" t="str">
        <f>IF(A823="","",IFERROR(INDEX(Ввод!$B$12:$B$71,MATCH(A823,Ввод!$D$12:$D$71,1)),""))</f>
        <v/>
      </c>
      <c r="C823" t="str">
        <f t="shared" si="24"/>
        <v/>
      </c>
      <c r="D823" t="str">
        <f>IF(A823="","",SUMIFS(Акты!$D$5:$D$16,Акты!$E$5:$E$16,"&lt;="&amp;A823)-SUMIFS(Оплаты!$B$6:$B$505,Оплаты!$A$6:$A$505,"&lt;"&amp;A823,Оплаты!$D$6:$D$505,"&lt;&gt;"))</f>
        <v/>
      </c>
      <c r="E823" t="str">
        <f>IF(A823="","",IF(SUMPRODUCT((Ввод!$F$12:$F$31&lt;&gt;"")*(Ввод!$F$12:$F$31&lt;=A823)*(Ввод!$G$12:$G$31&gt;=A823))&gt;0,1,0))</f>
        <v/>
      </c>
      <c r="G823" t="str">
        <f t="shared" si="25"/>
        <v/>
      </c>
    </row>
    <row r="824" spans="1:7" x14ac:dyDescent="0.3">
      <c r="A824" s="21" t="str">
        <f>IF(A823="","",IF(A823+1&gt;Ввод!$B$4,"",A823+1))</f>
        <v/>
      </c>
      <c r="B824" s="23" t="str">
        <f>IF(A824="","",IFERROR(INDEX(Ввод!$B$12:$B$71,MATCH(A824,Ввод!$D$12:$D$71,1)),""))</f>
        <v/>
      </c>
      <c r="C824" t="str">
        <f t="shared" si="24"/>
        <v/>
      </c>
      <c r="D824" t="str">
        <f>IF(A824="","",SUMIFS(Акты!$D$5:$D$16,Акты!$E$5:$E$16,"&lt;="&amp;A824)-SUMIFS(Оплаты!$B$6:$B$505,Оплаты!$A$6:$A$505,"&lt;"&amp;A824,Оплаты!$D$6:$D$505,"&lt;&gt;"))</f>
        <v/>
      </c>
      <c r="E824" t="str">
        <f>IF(A824="","",IF(SUMPRODUCT((Ввод!$F$12:$F$31&lt;&gt;"")*(Ввод!$F$12:$F$31&lt;=A824)*(Ввод!$G$12:$G$31&gt;=A824))&gt;0,1,0))</f>
        <v/>
      </c>
      <c r="G824" t="str">
        <f t="shared" si="25"/>
        <v/>
      </c>
    </row>
    <row r="825" spans="1:7" x14ac:dyDescent="0.3">
      <c r="A825" s="21" t="str">
        <f>IF(A824="","",IF(A824+1&gt;Ввод!$B$4,"",A824+1))</f>
        <v/>
      </c>
      <c r="B825" s="23" t="str">
        <f>IF(A825="","",IFERROR(INDEX(Ввод!$B$12:$B$71,MATCH(A825,Ввод!$D$12:$D$71,1)),""))</f>
        <v/>
      </c>
      <c r="C825" t="str">
        <f t="shared" si="24"/>
        <v/>
      </c>
      <c r="D825" t="str">
        <f>IF(A825="","",SUMIFS(Акты!$D$5:$D$16,Акты!$E$5:$E$16,"&lt;="&amp;A825)-SUMIFS(Оплаты!$B$6:$B$505,Оплаты!$A$6:$A$505,"&lt;"&amp;A825,Оплаты!$D$6:$D$505,"&lt;&gt;"))</f>
        <v/>
      </c>
      <c r="E825" t="str">
        <f>IF(A825="","",IF(SUMPRODUCT((Ввод!$F$12:$F$31&lt;&gt;"")*(Ввод!$F$12:$F$31&lt;=A825)*(Ввод!$G$12:$G$31&gt;=A825))&gt;0,1,0))</f>
        <v/>
      </c>
      <c r="G825" t="str">
        <f t="shared" si="25"/>
        <v/>
      </c>
    </row>
    <row r="826" spans="1:7" x14ac:dyDescent="0.3">
      <c r="A826" s="21" t="str">
        <f>IF(A825="","",IF(A825+1&gt;Ввод!$B$4,"",A825+1))</f>
        <v/>
      </c>
      <c r="B826" s="23" t="str">
        <f>IF(A826="","",IFERROR(INDEX(Ввод!$B$12:$B$71,MATCH(A826,Ввод!$D$12:$D$71,1)),""))</f>
        <v/>
      </c>
      <c r="C826" t="str">
        <f t="shared" si="24"/>
        <v/>
      </c>
      <c r="D826" t="str">
        <f>IF(A826="","",SUMIFS(Акты!$D$5:$D$16,Акты!$E$5:$E$16,"&lt;="&amp;A826)-SUMIFS(Оплаты!$B$6:$B$505,Оплаты!$A$6:$A$505,"&lt;"&amp;A826,Оплаты!$D$6:$D$505,"&lt;&gt;"))</f>
        <v/>
      </c>
      <c r="E826" t="str">
        <f>IF(A826="","",IF(SUMPRODUCT((Ввод!$F$12:$F$31&lt;&gt;"")*(Ввод!$F$12:$F$31&lt;=A826)*(Ввод!$G$12:$G$31&gt;=A826))&gt;0,1,0))</f>
        <v/>
      </c>
      <c r="G826" t="str">
        <f t="shared" si="25"/>
        <v/>
      </c>
    </row>
    <row r="827" spans="1:7" x14ac:dyDescent="0.3">
      <c r="A827" s="21" t="str">
        <f>IF(A826="","",IF(A826+1&gt;Ввод!$B$4,"",A826+1))</f>
        <v/>
      </c>
      <c r="B827" s="23" t="str">
        <f>IF(A827="","",IFERROR(INDEX(Ввод!$B$12:$B$71,MATCH(A827,Ввод!$D$12:$D$71,1)),""))</f>
        <v/>
      </c>
      <c r="C827" t="str">
        <f t="shared" si="24"/>
        <v/>
      </c>
      <c r="D827" t="str">
        <f>IF(A827="","",SUMIFS(Акты!$D$5:$D$16,Акты!$E$5:$E$16,"&lt;="&amp;A827)-SUMIFS(Оплаты!$B$6:$B$505,Оплаты!$A$6:$A$505,"&lt;"&amp;A827,Оплаты!$D$6:$D$505,"&lt;&gt;"))</f>
        <v/>
      </c>
      <c r="E827" t="str">
        <f>IF(A827="","",IF(SUMPRODUCT((Ввод!$F$12:$F$31&lt;&gt;"")*(Ввод!$F$12:$F$31&lt;=A827)*(Ввод!$G$12:$G$31&gt;=A827))&gt;0,1,0))</f>
        <v/>
      </c>
      <c r="G827" t="str">
        <f t="shared" si="25"/>
        <v/>
      </c>
    </row>
    <row r="828" spans="1:7" x14ac:dyDescent="0.3">
      <c r="A828" s="21" t="str">
        <f>IF(A827="","",IF(A827+1&gt;Ввод!$B$4,"",A827+1))</f>
        <v/>
      </c>
      <c r="B828" s="23" t="str">
        <f>IF(A828="","",IFERROR(INDEX(Ввод!$B$12:$B$71,MATCH(A828,Ввод!$D$12:$D$71,1)),""))</f>
        <v/>
      </c>
      <c r="C828" t="str">
        <f t="shared" si="24"/>
        <v/>
      </c>
      <c r="D828" t="str">
        <f>IF(A828="","",SUMIFS(Акты!$D$5:$D$16,Акты!$E$5:$E$16,"&lt;="&amp;A828)-SUMIFS(Оплаты!$B$6:$B$505,Оплаты!$A$6:$A$505,"&lt;"&amp;A828,Оплаты!$D$6:$D$505,"&lt;&gt;"))</f>
        <v/>
      </c>
      <c r="E828" t="str">
        <f>IF(A828="","",IF(SUMPRODUCT((Ввод!$F$12:$F$31&lt;&gt;"")*(Ввод!$F$12:$F$31&lt;=A828)*(Ввод!$G$12:$G$31&gt;=A828))&gt;0,1,0))</f>
        <v/>
      </c>
      <c r="G828" t="str">
        <f t="shared" si="25"/>
        <v/>
      </c>
    </row>
    <row r="829" spans="1:7" x14ac:dyDescent="0.3">
      <c r="A829" s="21" t="str">
        <f>IF(A828="","",IF(A828+1&gt;Ввод!$B$4,"",A828+1))</f>
        <v/>
      </c>
      <c r="B829" s="23" t="str">
        <f>IF(A829="","",IFERROR(INDEX(Ввод!$B$12:$B$71,MATCH(A829,Ввод!$D$12:$D$71,1)),""))</f>
        <v/>
      </c>
      <c r="C829" t="str">
        <f t="shared" si="24"/>
        <v/>
      </c>
      <c r="D829" t="str">
        <f>IF(A829="","",SUMIFS(Акты!$D$5:$D$16,Акты!$E$5:$E$16,"&lt;="&amp;A829)-SUMIFS(Оплаты!$B$6:$B$505,Оплаты!$A$6:$A$505,"&lt;"&amp;A829,Оплаты!$D$6:$D$505,"&lt;&gt;"))</f>
        <v/>
      </c>
      <c r="E829" t="str">
        <f>IF(A829="","",IF(SUMPRODUCT((Ввод!$F$12:$F$31&lt;&gt;"")*(Ввод!$F$12:$F$31&lt;=A829)*(Ввод!$G$12:$G$31&gt;=A829))&gt;0,1,0))</f>
        <v/>
      </c>
      <c r="G829" t="str">
        <f t="shared" si="25"/>
        <v/>
      </c>
    </row>
    <row r="830" spans="1:7" x14ac:dyDescent="0.3">
      <c r="A830" s="21" t="str">
        <f>IF(A829="","",IF(A829+1&gt;Ввод!$B$4,"",A829+1))</f>
        <v/>
      </c>
      <c r="B830" s="23" t="str">
        <f>IF(A830="","",IFERROR(INDEX(Ввод!$B$12:$B$71,MATCH(A830,Ввод!$D$12:$D$71,1)),""))</f>
        <v/>
      </c>
      <c r="C830" t="str">
        <f t="shared" si="24"/>
        <v/>
      </c>
      <c r="D830" t="str">
        <f>IF(A830="","",SUMIFS(Акты!$D$5:$D$16,Акты!$E$5:$E$16,"&lt;="&amp;A830)-SUMIFS(Оплаты!$B$6:$B$505,Оплаты!$A$6:$A$505,"&lt;"&amp;A830,Оплаты!$D$6:$D$505,"&lt;&gt;"))</f>
        <v/>
      </c>
      <c r="E830" t="str">
        <f>IF(A830="","",IF(SUMPRODUCT((Ввод!$F$12:$F$31&lt;&gt;"")*(Ввод!$F$12:$F$31&lt;=A830)*(Ввод!$G$12:$G$31&gt;=A830))&gt;0,1,0))</f>
        <v/>
      </c>
      <c r="G830" t="str">
        <f t="shared" si="25"/>
        <v/>
      </c>
    </row>
    <row r="831" spans="1:7" x14ac:dyDescent="0.3">
      <c r="A831" s="21" t="str">
        <f>IF(A830="","",IF(A830+1&gt;Ввод!$B$4,"",A830+1))</f>
        <v/>
      </c>
      <c r="B831" s="23" t="str">
        <f>IF(A831="","",IFERROR(INDEX(Ввод!$B$12:$B$71,MATCH(A831,Ввод!$D$12:$D$71,1)),""))</f>
        <v/>
      </c>
      <c r="C831" t="str">
        <f t="shared" si="24"/>
        <v/>
      </c>
      <c r="D831" t="str">
        <f>IF(A831="","",SUMIFS(Акты!$D$5:$D$16,Акты!$E$5:$E$16,"&lt;="&amp;A831)-SUMIFS(Оплаты!$B$6:$B$505,Оплаты!$A$6:$A$505,"&lt;"&amp;A831,Оплаты!$D$6:$D$505,"&lt;&gt;"))</f>
        <v/>
      </c>
      <c r="E831" t="str">
        <f>IF(A831="","",IF(SUMPRODUCT((Ввод!$F$12:$F$31&lt;&gt;"")*(Ввод!$F$12:$F$31&lt;=A831)*(Ввод!$G$12:$G$31&gt;=A831))&gt;0,1,0))</f>
        <v/>
      </c>
      <c r="G831" t="str">
        <f t="shared" si="25"/>
        <v/>
      </c>
    </row>
    <row r="832" spans="1:7" x14ac:dyDescent="0.3">
      <c r="A832" s="21" t="str">
        <f>IF(A831="","",IF(A831+1&gt;Ввод!$B$4,"",A831+1))</f>
        <v/>
      </c>
      <c r="B832" s="23" t="str">
        <f>IF(A832="","",IFERROR(INDEX(Ввод!$B$12:$B$71,MATCH(A832,Ввод!$D$12:$D$71,1)),""))</f>
        <v/>
      </c>
      <c r="C832" t="str">
        <f t="shared" si="24"/>
        <v/>
      </c>
      <c r="D832" t="str">
        <f>IF(A832="","",SUMIFS(Акты!$D$5:$D$16,Акты!$E$5:$E$16,"&lt;="&amp;A832)-SUMIFS(Оплаты!$B$6:$B$505,Оплаты!$A$6:$A$505,"&lt;"&amp;A832,Оплаты!$D$6:$D$505,"&lt;&gt;"))</f>
        <v/>
      </c>
      <c r="E832" t="str">
        <f>IF(A832="","",IF(SUMPRODUCT((Ввод!$F$12:$F$31&lt;&gt;"")*(Ввод!$F$12:$F$31&lt;=A832)*(Ввод!$G$12:$G$31&gt;=A832))&gt;0,1,0))</f>
        <v/>
      </c>
      <c r="G832" t="str">
        <f t="shared" si="25"/>
        <v/>
      </c>
    </row>
    <row r="833" spans="1:7" x14ac:dyDescent="0.3">
      <c r="A833" s="21" t="str">
        <f>IF(A832="","",IF(A832+1&gt;Ввод!$B$4,"",A832+1))</f>
        <v/>
      </c>
      <c r="B833" s="23" t="str">
        <f>IF(A833="","",IFERROR(INDEX(Ввод!$B$12:$B$71,MATCH(A833,Ввод!$D$12:$D$71,1)),""))</f>
        <v/>
      </c>
      <c r="C833" t="str">
        <f t="shared" si="24"/>
        <v/>
      </c>
      <c r="D833" t="str">
        <f>IF(A833="","",SUMIFS(Акты!$D$5:$D$16,Акты!$E$5:$E$16,"&lt;="&amp;A833)-SUMIFS(Оплаты!$B$6:$B$505,Оплаты!$A$6:$A$505,"&lt;"&amp;A833,Оплаты!$D$6:$D$505,"&lt;&gt;"))</f>
        <v/>
      </c>
      <c r="E833" t="str">
        <f>IF(A833="","",IF(SUMPRODUCT((Ввод!$F$12:$F$31&lt;&gt;"")*(Ввод!$F$12:$F$31&lt;=A833)*(Ввод!$G$12:$G$31&gt;=A833))&gt;0,1,0))</f>
        <v/>
      </c>
      <c r="G833" t="str">
        <f t="shared" si="25"/>
        <v/>
      </c>
    </row>
    <row r="834" spans="1:7" x14ac:dyDescent="0.3">
      <c r="A834" s="21" t="str">
        <f>IF(A833="","",IF(A833+1&gt;Ввод!$B$4,"",A833+1))</f>
        <v/>
      </c>
      <c r="B834" s="23" t="str">
        <f>IF(A834="","",IFERROR(INDEX(Ввод!$B$12:$B$71,MATCH(A834,Ввод!$D$12:$D$71,1)),""))</f>
        <v/>
      </c>
      <c r="C834" t="str">
        <f t="shared" ref="C834:C897" si="26">IF(A834="","",DATE(YEAR(A834),12,31)-DATE(YEAR(A834),1,1)+1)</f>
        <v/>
      </c>
      <c r="D834" t="str">
        <f>IF(A834="","",SUMIFS(Акты!$D$5:$D$16,Акты!$E$5:$E$16,"&lt;="&amp;A834)-SUMIFS(Оплаты!$B$6:$B$505,Оплаты!$A$6:$A$505,"&lt;"&amp;A834,Оплаты!$D$6:$D$505,"&lt;&gt;"))</f>
        <v/>
      </c>
      <c r="E834" t="str">
        <f>IF(A834="","",IF(SUMPRODUCT((Ввод!$F$12:$F$31&lt;&gt;"")*(Ввод!$F$12:$F$31&lt;=A834)*(Ввод!$G$12:$G$31&gt;=A834))&gt;0,1,0))</f>
        <v/>
      </c>
      <c r="G834" t="str">
        <f t="shared" si="25"/>
        <v/>
      </c>
    </row>
    <row r="835" spans="1:7" x14ac:dyDescent="0.3">
      <c r="A835" s="21" t="str">
        <f>IF(A834="","",IF(A834+1&gt;Ввод!$B$4,"",A834+1))</f>
        <v/>
      </c>
      <c r="B835" s="23" t="str">
        <f>IF(A835="","",IFERROR(INDEX(Ввод!$B$12:$B$71,MATCH(A835,Ввод!$D$12:$D$71,1)),""))</f>
        <v/>
      </c>
      <c r="C835" t="str">
        <f t="shared" si="26"/>
        <v/>
      </c>
      <c r="D835" t="str">
        <f>IF(A835="","",SUMIFS(Акты!$D$5:$D$16,Акты!$E$5:$E$16,"&lt;="&amp;A835)-SUMIFS(Оплаты!$B$6:$B$505,Оплаты!$A$6:$A$505,"&lt;"&amp;A835,Оплаты!$D$6:$D$505,"&lt;&gt;"))</f>
        <v/>
      </c>
      <c r="E835" t="str">
        <f>IF(A835="","",IF(SUMPRODUCT((Ввод!$F$12:$F$31&lt;&gt;"")*(Ввод!$F$12:$F$31&lt;=A835)*(Ввод!$G$12:$G$31&gt;=A835))&gt;0,1,0))</f>
        <v/>
      </c>
      <c r="G835" t="str">
        <f t="shared" ref="G835:G898" si="27">IF(A835="","",IF(OR(B835&lt;&gt;B834,C835&lt;&gt;C834,E835&lt;&gt;E834),G834+1,G834))</f>
        <v/>
      </c>
    </row>
    <row r="836" spans="1:7" x14ac:dyDescent="0.3">
      <c r="A836" s="21" t="str">
        <f>IF(A835="","",IF(A835+1&gt;Ввод!$B$4,"",A835+1))</f>
        <v/>
      </c>
      <c r="B836" s="23" t="str">
        <f>IF(A836="","",IFERROR(INDEX(Ввод!$B$12:$B$71,MATCH(A836,Ввод!$D$12:$D$71,1)),""))</f>
        <v/>
      </c>
      <c r="C836" t="str">
        <f t="shared" si="26"/>
        <v/>
      </c>
      <c r="D836" t="str">
        <f>IF(A836="","",SUMIFS(Акты!$D$5:$D$16,Акты!$E$5:$E$16,"&lt;="&amp;A836)-SUMIFS(Оплаты!$B$6:$B$505,Оплаты!$A$6:$A$505,"&lt;"&amp;A836,Оплаты!$D$6:$D$505,"&lt;&gt;"))</f>
        <v/>
      </c>
      <c r="E836" t="str">
        <f>IF(A836="","",IF(SUMPRODUCT((Ввод!$F$12:$F$31&lt;&gt;"")*(Ввод!$F$12:$F$31&lt;=A836)*(Ввод!$G$12:$G$31&gt;=A836))&gt;0,1,0))</f>
        <v/>
      </c>
      <c r="G836" t="str">
        <f t="shared" si="27"/>
        <v/>
      </c>
    </row>
    <row r="837" spans="1:7" x14ac:dyDescent="0.3">
      <c r="A837" s="21" t="str">
        <f>IF(A836="","",IF(A836+1&gt;Ввод!$B$4,"",A836+1))</f>
        <v/>
      </c>
      <c r="B837" s="23" t="str">
        <f>IF(A837="","",IFERROR(INDEX(Ввод!$B$12:$B$71,MATCH(A837,Ввод!$D$12:$D$71,1)),""))</f>
        <v/>
      </c>
      <c r="C837" t="str">
        <f t="shared" si="26"/>
        <v/>
      </c>
      <c r="D837" t="str">
        <f>IF(A837="","",SUMIFS(Акты!$D$5:$D$16,Акты!$E$5:$E$16,"&lt;="&amp;A837)-SUMIFS(Оплаты!$B$6:$B$505,Оплаты!$A$6:$A$505,"&lt;"&amp;A837,Оплаты!$D$6:$D$505,"&lt;&gt;"))</f>
        <v/>
      </c>
      <c r="E837" t="str">
        <f>IF(A837="","",IF(SUMPRODUCT((Ввод!$F$12:$F$31&lt;&gt;"")*(Ввод!$F$12:$F$31&lt;=A837)*(Ввод!$G$12:$G$31&gt;=A837))&gt;0,1,0))</f>
        <v/>
      </c>
      <c r="G837" t="str">
        <f t="shared" si="27"/>
        <v/>
      </c>
    </row>
    <row r="838" spans="1:7" x14ac:dyDescent="0.3">
      <c r="A838" s="21" t="str">
        <f>IF(A837="","",IF(A837+1&gt;Ввод!$B$4,"",A837+1))</f>
        <v/>
      </c>
      <c r="B838" s="23" t="str">
        <f>IF(A838="","",IFERROR(INDEX(Ввод!$B$12:$B$71,MATCH(A838,Ввод!$D$12:$D$71,1)),""))</f>
        <v/>
      </c>
      <c r="C838" t="str">
        <f t="shared" si="26"/>
        <v/>
      </c>
      <c r="D838" t="str">
        <f>IF(A838="","",SUMIFS(Акты!$D$5:$D$16,Акты!$E$5:$E$16,"&lt;="&amp;A838)-SUMIFS(Оплаты!$B$6:$B$505,Оплаты!$A$6:$A$505,"&lt;"&amp;A838,Оплаты!$D$6:$D$505,"&lt;&gt;"))</f>
        <v/>
      </c>
      <c r="E838" t="str">
        <f>IF(A838="","",IF(SUMPRODUCT((Ввод!$F$12:$F$31&lt;&gt;"")*(Ввод!$F$12:$F$31&lt;=A838)*(Ввод!$G$12:$G$31&gt;=A838))&gt;0,1,0))</f>
        <v/>
      </c>
      <c r="G838" t="str">
        <f t="shared" si="27"/>
        <v/>
      </c>
    </row>
    <row r="839" spans="1:7" x14ac:dyDescent="0.3">
      <c r="A839" s="21" t="str">
        <f>IF(A838="","",IF(A838+1&gt;Ввод!$B$4,"",A838+1))</f>
        <v/>
      </c>
      <c r="B839" s="23" t="str">
        <f>IF(A839="","",IFERROR(INDEX(Ввод!$B$12:$B$71,MATCH(A839,Ввод!$D$12:$D$71,1)),""))</f>
        <v/>
      </c>
      <c r="C839" t="str">
        <f t="shared" si="26"/>
        <v/>
      </c>
      <c r="D839" t="str">
        <f>IF(A839="","",SUMIFS(Акты!$D$5:$D$16,Акты!$E$5:$E$16,"&lt;="&amp;A839)-SUMIFS(Оплаты!$B$6:$B$505,Оплаты!$A$6:$A$505,"&lt;"&amp;A839,Оплаты!$D$6:$D$505,"&lt;&gt;"))</f>
        <v/>
      </c>
      <c r="E839" t="str">
        <f>IF(A839="","",IF(SUMPRODUCT((Ввод!$F$12:$F$31&lt;&gt;"")*(Ввод!$F$12:$F$31&lt;=A839)*(Ввод!$G$12:$G$31&gt;=A839))&gt;0,1,0))</f>
        <v/>
      </c>
      <c r="G839" t="str">
        <f t="shared" si="27"/>
        <v/>
      </c>
    </row>
    <row r="840" spans="1:7" x14ac:dyDescent="0.3">
      <c r="A840" s="21" t="str">
        <f>IF(A839="","",IF(A839+1&gt;Ввод!$B$4,"",A839+1))</f>
        <v/>
      </c>
      <c r="B840" s="23" t="str">
        <f>IF(A840="","",IFERROR(INDEX(Ввод!$B$12:$B$71,MATCH(A840,Ввод!$D$12:$D$71,1)),""))</f>
        <v/>
      </c>
      <c r="C840" t="str">
        <f t="shared" si="26"/>
        <v/>
      </c>
      <c r="D840" t="str">
        <f>IF(A840="","",SUMIFS(Акты!$D$5:$D$16,Акты!$E$5:$E$16,"&lt;="&amp;A840)-SUMIFS(Оплаты!$B$6:$B$505,Оплаты!$A$6:$A$505,"&lt;"&amp;A840,Оплаты!$D$6:$D$505,"&lt;&gt;"))</f>
        <v/>
      </c>
      <c r="E840" t="str">
        <f>IF(A840="","",IF(SUMPRODUCT((Ввод!$F$12:$F$31&lt;&gt;"")*(Ввод!$F$12:$F$31&lt;=A840)*(Ввод!$G$12:$G$31&gt;=A840))&gt;0,1,0))</f>
        <v/>
      </c>
      <c r="G840" t="str">
        <f t="shared" si="27"/>
        <v/>
      </c>
    </row>
    <row r="841" spans="1:7" x14ac:dyDescent="0.3">
      <c r="A841" s="21" t="str">
        <f>IF(A840="","",IF(A840+1&gt;Ввод!$B$4,"",A840+1))</f>
        <v/>
      </c>
      <c r="B841" s="23" t="str">
        <f>IF(A841="","",IFERROR(INDEX(Ввод!$B$12:$B$71,MATCH(A841,Ввод!$D$12:$D$71,1)),""))</f>
        <v/>
      </c>
      <c r="C841" t="str">
        <f t="shared" si="26"/>
        <v/>
      </c>
      <c r="D841" t="str">
        <f>IF(A841="","",SUMIFS(Акты!$D$5:$D$16,Акты!$E$5:$E$16,"&lt;="&amp;A841)-SUMIFS(Оплаты!$B$6:$B$505,Оплаты!$A$6:$A$505,"&lt;"&amp;A841,Оплаты!$D$6:$D$505,"&lt;&gt;"))</f>
        <v/>
      </c>
      <c r="E841" t="str">
        <f>IF(A841="","",IF(SUMPRODUCT((Ввод!$F$12:$F$31&lt;&gt;"")*(Ввод!$F$12:$F$31&lt;=A841)*(Ввод!$G$12:$G$31&gt;=A841))&gt;0,1,0))</f>
        <v/>
      </c>
      <c r="G841" t="str">
        <f t="shared" si="27"/>
        <v/>
      </c>
    </row>
    <row r="842" spans="1:7" x14ac:dyDescent="0.3">
      <c r="A842" s="21" t="str">
        <f>IF(A841="","",IF(A841+1&gt;Ввод!$B$4,"",A841+1))</f>
        <v/>
      </c>
      <c r="B842" s="23" t="str">
        <f>IF(A842="","",IFERROR(INDEX(Ввод!$B$12:$B$71,MATCH(A842,Ввод!$D$12:$D$71,1)),""))</f>
        <v/>
      </c>
      <c r="C842" t="str">
        <f t="shared" si="26"/>
        <v/>
      </c>
      <c r="D842" t="str">
        <f>IF(A842="","",SUMIFS(Акты!$D$5:$D$16,Акты!$E$5:$E$16,"&lt;="&amp;A842)-SUMIFS(Оплаты!$B$6:$B$505,Оплаты!$A$6:$A$505,"&lt;"&amp;A842,Оплаты!$D$6:$D$505,"&lt;&gt;"))</f>
        <v/>
      </c>
      <c r="E842" t="str">
        <f>IF(A842="","",IF(SUMPRODUCT((Ввод!$F$12:$F$31&lt;&gt;"")*(Ввод!$F$12:$F$31&lt;=A842)*(Ввод!$G$12:$G$31&gt;=A842))&gt;0,1,0))</f>
        <v/>
      </c>
      <c r="G842" t="str">
        <f t="shared" si="27"/>
        <v/>
      </c>
    </row>
    <row r="843" spans="1:7" x14ac:dyDescent="0.3">
      <c r="A843" s="21" t="str">
        <f>IF(A842="","",IF(A842+1&gt;Ввод!$B$4,"",A842+1))</f>
        <v/>
      </c>
      <c r="B843" s="23" t="str">
        <f>IF(A843="","",IFERROR(INDEX(Ввод!$B$12:$B$71,MATCH(A843,Ввод!$D$12:$D$71,1)),""))</f>
        <v/>
      </c>
      <c r="C843" t="str">
        <f t="shared" si="26"/>
        <v/>
      </c>
      <c r="D843" t="str">
        <f>IF(A843="","",SUMIFS(Акты!$D$5:$D$16,Акты!$E$5:$E$16,"&lt;="&amp;A843)-SUMIFS(Оплаты!$B$6:$B$505,Оплаты!$A$6:$A$505,"&lt;"&amp;A843,Оплаты!$D$6:$D$505,"&lt;&gt;"))</f>
        <v/>
      </c>
      <c r="E843" t="str">
        <f>IF(A843="","",IF(SUMPRODUCT((Ввод!$F$12:$F$31&lt;&gt;"")*(Ввод!$F$12:$F$31&lt;=A843)*(Ввод!$G$12:$G$31&gt;=A843))&gt;0,1,0))</f>
        <v/>
      </c>
      <c r="G843" t="str">
        <f t="shared" si="27"/>
        <v/>
      </c>
    </row>
    <row r="844" spans="1:7" x14ac:dyDescent="0.3">
      <c r="A844" s="21" t="str">
        <f>IF(A843="","",IF(A843+1&gt;Ввод!$B$4,"",A843+1))</f>
        <v/>
      </c>
      <c r="B844" s="23" t="str">
        <f>IF(A844="","",IFERROR(INDEX(Ввод!$B$12:$B$71,MATCH(A844,Ввод!$D$12:$D$71,1)),""))</f>
        <v/>
      </c>
      <c r="C844" t="str">
        <f t="shared" si="26"/>
        <v/>
      </c>
      <c r="D844" t="str">
        <f>IF(A844="","",SUMIFS(Акты!$D$5:$D$16,Акты!$E$5:$E$16,"&lt;="&amp;A844)-SUMIFS(Оплаты!$B$6:$B$505,Оплаты!$A$6:$A$505,"&lt;"&amp;A844,Оплаты!$D$6:$D$505,"&lt;&gt;"))</f>
        <v/>
      </c>
      <c r="E844" t="str">
        <f>IF(A844="","",IF(SUMPRODUCT((Ввод!$F$12:$F$31&lt;&gt;"")*(Ввод!$F$12:$F$31&lt;=A844)*(Ввод!$G$12:$G$31&gt;=A844))&gt;0,1,0))</f>
        <v/>
      </c>
      <c r="G844" t="str">
        <f t="shared" si="27"/>
        <v/>
      </c>
    </row>
    <row r="845" spans="1:7" x14ac:dyDescent="0.3">
      <c r="A845" s="21" t="str">
        <f>IF(A844="","",IF(A844+1&gt;Ввод!$B$4,"",A844+1))</f>
        <v/>
      </c>
      <c r="B845" s="23" t="str">
        <f>IF(A845="","",IFERROR(INDEX(Ввод!$B$12:$B$71,MATCH(A845,Ввод!$D$12:$D$71,1)),""))</f>
        <v/>
      </c>
      <c r="C845" t="str">
        <f t="shared" si="26"/>
        <v/>
      </c>
      <c r="D845" t="str">
        <f>IF(A845="","",SUMIFS(Акты!$D$5:$D$16,Акты!$E$5:$E$16,"&lt;="&amp;A845)-SUMIFS(Оплаты!$B$6:$B$505,Оплаты!$A$6:$A$505,"&lt;"&amp;A845,Оплаты!$D$6:$D$505,"&lt;&gt;"))</f>
        <v/>
      </c>
      <c r="E845" t="str">
        <f>IF(A845="","",IF(SUMPRODUCT((Ввод!$F$12:$F$31&lt;&gt;"")*(Ввод!$F$12:$F$31&lt;=A845)*(Ввод!$G$12:$G$31&gt;=A845))&gt;0,1,0))</f>
        <v/>
      </c>
      <c r="G845" t="str">
        <f t="shared" si="27"/>
        <v/>
      </c>
    </row>
    <row r="846" spans="1:7" x14ac:dyDescent="0.3">
      <c r="A846" s="21" t="str">
        <f>IF(A845="","",IF(A845+1&gt;Ввод!$B$4,"",A845+1))</f>
        <v/>
      </c>
      <c r="B846" s="23" t="str">
        <f>IF(A846="","",IFERROR(INDEX(Ввод!$B$12:$B$71,MATCH(A846,Ввод!$D$12:$D$71,1)),""))</f>
        <v/>
      </c>
      <c r="C846" t="str">
        <f t="shared" si="26"/>
        <v/>
      </c>
      <c r="D846" t="str">
        <f>IF(A846="","",SUMIFS(Акты!$D$5:$D$16,Акты!$E$5:$E$16,"&lt;="&amp;A846)-SUMIFS(Оплаты!$B$6:$B$505,Оплаты!$A$6:$A$505,"&lt;"&amp;A846,Оплаты!$D$6:$D$505,"&lt;&gt;"))</f>
        <v/>
      </c>
      <c r="E846" t="str">
        <f>IF(A846="","",IF(SUMPRODUCT((Ввод!$F$12:$F$31&lt;&gt;"")*(Ввод!$F$12:$F$31&lt;=A846)*(Ввод!$G$12:$G$31&gt;=A846))&gt;0,1,0))</f>
        <v/>
      </c>
      <c r="G846" t="str">
        <f t="shared" si="27"/>
        <v/>
      </c>
    </row>
    <row r="847" spans="1:7" x14ac:dyDescent="0.3">
      <c r="A847" s="21" t="str">
        <f>IF(A846="","",IF(A846+1&gt;Ввод!$B$4,"",A846+1))</f>
        <v/>
      </c>
      <c r="B847" s="23" t="str">
        <f>IF(A847="","",IFERROR(INDEX(Ввод!$B$12:$B$71,MATCH(A847,Ввод!$D$12:$D$71,1)),""))</f>
        <v/>
      </c>
      <c r="C847" t="str">
        <f t="shared" si="26"/>
        <v/>
      </c>
      <c r="D847" t="str">
        <f>IF(A847="","",SUMIFS(Акты!$D$5:$D$16,Акты!$E$5:$E$16,"&lt;="&amp;A847)-SUMIFS(Оплаты!$B$6:$B$505,Оплаты!$A$6:$A$505,"&lt;"&amp;A847,Оплаты!$D$6:$D$505,"&lt;&gt;"))</f>
        <v/>
      </c>
      <c r="E847" t="str">
        <f>IF(A847="","",IF(SUMPRODUCT((Ввод!$F$12:$F$31&lt;&gt;"")*(Ввод!$F$12:$F$31&lt;=A847)*(Ввод!$G$12:$G$31&gt;=A847))&gt;0,1,0))</f>
        <v/>
      </c>
      <c r="G847" t="str">
        <f t="shared" si="27"/>
        <v/>
      </c>
    </row>
    <row r="848" spans="1:7" x14ac:dyDescent="0.3">
      <c r="A848" s="21" t="str">
        <f>IF(A847="","",IF(A847+1&gt;Ввод!$B$4,"",A847+1))</f>
        <v/>
      </c>
      <c r="B848" s="23" t="str">
        <f>IF(A848="","",IFERROR(INDEX(Ввод!$B$12:$B$71,MATCH(A848,Ввод!$D$12:$D$71,1)),""))</f>
        <v/>
      </c>
      <c r="C848" t="str">
        <f t="shared" si="26"/>
        <v/>
      </c>
      <c r="D848" t="str">
        <f>IF(A848="","",SUMIFS(Акты!$D$5:$D$16,Акты!$E$5:$E$16,"&lt;="&amp;A848)-SUMIFS(Оплаты!$B$6:$B$505,Оплаты!$A$6:$A$505,"&lt;"&amp;A848,Оплаты!$D$6:$D$505,"&lt;&gt;"))</f>
        <v/>
      </c>
      <c r="E848" t="str">
        <f>IF(A848="","",IF(SUMPRODUCT((Ввод!$F$12:$F$31&lt;&gt;"")*(Ввод!$F$12:$F$31&lt;=A848)*(Ввод!$G$12:$G$31&gt;=A848))&gt;0,1,0))</f>
        <v/>
      </c>
      <c r="G848" t="str">
        <f t="shared" si="27"/>
        <v/>
      </c>
    </row>
    <row r="849" spans="1:7" x14ac:dyDescent="0.3">
      <c r="A849" s="21" t="str">
        <f>IF(A848="","",IF(A848+1&gt;Ввод!$B$4,"",A848+1))</f>
        <v/>
      </c>
      <c r="B849" s="23" t="str">
        <f>IF(A849="","",IFERROR(INDEX(Ввод!$B$12:$B$71,MATCH(A849,Ввод!$D$12:$D$71,1)),""))</f>
        <v/>
      </c>
      <c r="C849" t="str">
        <f t="shared" si="26"/>
        <v/>
      </c>
      <c r="D849" t="str">
        <f>IF(A849="","",SUMIFS(Акты!$D$5:$D$16,Акты!$E$5:$E$16,"&lt;="&amp;A849)-SUMIFS(Оплаты!$B$6:$B$505,Оплаты!$A$6:$A$505,"&lt;"&amp;A849,Оплаты!$D$6:$D$505,"&lt;&gt;"))</f>
        <v/>
      </c>
      <c r="E849" t="str">
        <f>IF(A849="","",IF(SUMPRODUCT((Ввод!$F$12:$F$31&lt;&gt;"")*(Ввод!$F$12:$F$31&lt;=A849)*(Ввод!$G$12:$G$31&gt;=A849))&gt;0,1,0))</f>
        <v/>
      </c>
      <c r="G849" t="str">
        <f t="shared" si="27"/>
        <v/>
      </c>
    </row>
    <row r="850" spans="1:7" x14ac:dyDescent="0.3">
      <c r="A850" s="21" t="str">
        <f>IF(A849="","",IF(A849+1&gt;Ввод!$B$4,"",A849+1))</f>
        <v/>
      </c>
      <c r="B850" s="23" t="str">
        <f>IF(A850="","",IFERROR(INDEX(Ввод!$B$12:$B$71,MATCH(A850,Ввод!$D$12:$D$71,1)),""))</f>
        <v/>
      </c>
      <c r="C850" t="str">
        <f t="shared" si="26"/>
        <v/>
      </c>
      <c r="D850" t="str">
        <f>IF(A850="","",SUMIFS(Акты!$D$5:$D$16,Акты!$E$5:$E$16,"&lt;="&amp;A850)-SUMIFS(Оплаты!$B$6:$B$505,Оплаты!$A$6:$A$505,"&lt;"&amp;A850,Оплаты!$D$6:$D$505,"&lt;&gt;"))</f>
        <v/>
      </c>
      <c r="E850" t="str">
        <f>IF(A850="","",IF(SUMPRODUCT((Ввод!$F$12:$F$31&lt;&gt;"")*(Ввод!$F$12:$F$31&lt;=A850)*(Ввод!$G$12:$G$31&gt;=A850))&gt;0,1,0))</f>
        <v/>
      </c>
      <c r="G850" t="str">
        <f t="shared" si="27"/>
        <v/>
      </c>
    </row>
    <row r="851" spans="1:7" x14ac:dyDescent="0.3">
      <c r="A851" s="21" t="str">
        <f>IF(A850="","",IF(A850+1&gt;Ввод!$B$4,"",A850+1))</f>
        <v/>
      </c>
      <c r="B851" s="23" t="str">
        <f>IF(A851="","",IFERROR(INDEX(Ввод!$B$12:$B$71,MATCH(A851,Ввод!$D$12:$D$71,1)),""))</f>
        <v/>
      </c>
      <c r="C851" t="str">
        <f t="shared" si="26"/>
        <v/>
      </c>
      <c r="D851" t="str">
        <f>IF(A851="","",SUMIFS(Акты!$D$5:$D$16,Акты!$E$5:$E$16,"&lt;="&amp;A851)-SUMIFS(Оплаты!$B$6:$B$505,Оплаты!$A$6:$A$505,"&lt;"&amp;A851,Оплаты!$D$6:$D$505,"&lt;&gt;"))</f>
        <v/>
      </c>
      <c r="E851" t="str">
        <f>IF(A851="","",IF(SUMPRODUCT((Ввод!$F$12:$F$31&lt;&gt;"")*(Ввод!$F$12:$F$31&lt;=A851)*(Ввод!$G$12:$G$31&gt;=A851))&gt;0,1,0))</f>
        <v/>
      </c>
      <c r="G851" t="str">
        <f t="shared" si="27"/>
        <v/>
      </c>
    </row>
    <row r="852" spans="1:7" x14ac:dyDescent="0.3">
      <c r="A852" s="21" t="str">
        <f>IF(A851="","",IF(A851+1&gt;Ввод!$B$4,"",A851+1))</f>
        <v/>
      </c>
      <c r="B852" s="23" t="str">
        <f>IF(A852="","",IFERROR(INDEX(Ввод!$B$12:$B$71,MATCH(A852,Ввод!$D$12:$D$71,1)),""))</f>
        <v/>
      </c>
      <c r="C852" t="str">
        <f t="shared" si="26"/>
        <v/>
      </c>
      <c r="D852" t="str">
        <f>IF(A852="","",SUMIFS(Акты!$D$5:$D$16,Акты!$E$5:$E$16,"&lt;="&amp;A852)-SUMIFS(Оплаты!$B$6:$B$505,Оплаты!$A$6:$A$505,"&lt;"&amp;A852,Оплаты!$D$6:$D$505,"&lt;&gt;"))</f>
        <v/>
      </c>
      <c r="E852" t="str">
        <f>IF(A852="","",IF(SUMPRODUCT((Ввод!$F$12:$F$31&lt;&gt;"")*(Ввод!$F$12:$F$31&lt;=A852)*(Ввод!$G$12:$G$31&gt;=A852))&gt;0,1,0))</f>
        <v/>
      </c>
      <c r="G852" t="str">
        <f t="shared" si="27"/>
        <v/>
      </c>
    </row>
    <row r="853" spans="1:7" x14ac:dyDescent="0.3">
      <c r="A853" s="21" t="str">
        <f>IF(A852="","",IF(A852+1&gt;Ввод!$B$4,"",A852+1))</f>
        <v/>
      </c>
      <c r="B853" s="23" t="str">
        <f>IF(A853="","",IFERROR(INDEX(Ввод!$B$12:$B$71,MATCH(A853,Ввод!$D$12:$D$71,1)),""))</f>
        <v/>
      </c>
      <c r="C853" t="str">
        <f t="shared" si="26"/>
        <v/>
      </c>
      <c r="D853" t="str">
        <f>IF(A853="","",SUMIFS(Акты!$D$5:$D$16,Акты!$E$5:$E$16,"&lt;="&amp;A853)-SUMIFS(Оплаты!$B$6:$B$505,Оплаты!$A$6:$A$505,"&lt;"&amp;A853,Оплаты!$D$6:$D$505,"&lt;&gt;"))</f>
        <v/>
      </c>
      <c r="E853" t="str">
        <f>IF(A853="","",IF(SUMPRODUCT((Ввод!$F$12:$F$31&lt;&gt;"")*(Ввод!$F$12:$F$31&lt;=A853)*(Ввод!$G$12:$G$31&gt;=A853))&gt;0,1,0))</f>
        <v/>
      </c>
      <c r="G853" t="str">
        <f t="shared" si="27"/>
        <v/>
      </c>
    </row>
    <row r="854" spans="1:7" x14ac:dyDescent="0.3">
      <c r="A854" s="21" t="str">
        <f>IF(A853="","",IF(A853+1&gt;Ввод!$B$4,"",A853+1))</f>
        <v/>
      </c>
      <c r="B854" s="23" t="str">
        <f>IF(A854="","",IFERROR(INDEX(Ввод!$B$12:$B$71,MATCH(A854,Ввод!$D$12:$D$71,1)),""))</f>
        <v/>
      </c>
      <c r="C854" t="str">
        <f t="shared" si="26"/>
        <v/>
      </c>
      <c r="D854" t="str">
        <f>IF(A854="","",SUMIFS(Акты!$D$5:$D$16,Акты!$E$5:$E$16,"&lt;="&amp;A854)-SUMIFS(Оплаты!$B$6:$B$505,Оплаты!$A$6:$A$505,"&lt;"&amp;A854,Оплаты!$D$6:$D$505,"&lt;&gt;"))</f>
        <v/>
      </c>
      <c r="E854" t="str">
        <f>IF(A854="","",IF(SUMPRODUCT((Ввод!$F$12:$F$31&lt;&gt;"")*(Ввод!$F$12:$F$31&lt;=A854)*(Ввод!$G$12:$G$31&gt;=A854))&gt;0,1,0))</f>
        <v/>
      </c>
      <c r="G854" t="str">
        <f t="shared" si="27"/>
        <v/>
      </c>
    </row>
    <row r="855" spans="1:7" x14ac:dyDescent="0.3">
      <c r="A855" s="21" t="str">
        <f>IF(A854="","",IF(A854+1&gt;Ввод!$B$4,"",A854+1))</f>
        <v/>
      </c>
      <c r="B855" s="23" t="str">
        <f>IF(A855="","",IFERROR(INDEX(Ввод!$B$12:$B$71,MATCH(A855,Ввод!$D$12:$D$71,1)),""))</f>
        <v/>
      </c>
      <c r="C855" t="str">
        <f t="shared" si="26"/>
        <v/>
      </c>
      <c r="D855" t="str">
        <f>IF(A855="","",SUMIFS(Акты!$D$5:$D$16,Акты!$E$5:$E$16,"&lt;="&amp;A855)-SUMIFS(Оплаты!$B$6:$B$505,Оплаты!$A$6:$A$505,"&lt;"&amp;A855,Оплаты!$D$6:$D$505,"&lt;&gt;"))</f>
        <v/>
      </c>
      <c r="E855" t="str">
        <f>IF(A855="","",IF(SUMPRODUCT((Ввод!$F$12:$F$31&lt;&gt;"")*(Ввод!$F$12:$F$31&lt;=A855)*(Ввод!$G$12:$G$31&gt;=A855))&gt;0,1,0))</f>
        <v/>
      </c>
      <c r="G855" t="str">
        <f t="shared" si="27"/>
        <v/>
      </c>
    </row>
    <row r="856" spans="1:7" x14ac:dyDescent="0.3">
      <c r="A856" s="21" t="str">
        <f>IF(A855="","",IF(A855+1&gt;Ввод!$B$4,"",A855+1))</f>
        <v/>
      </c>
      <c r="B856" s="23" t="str">
        <f>IF(A856="","",IFERROR(INDEX(Ввод!$B$12:$B$71,MATCH(A856,Ввод!$D$12:$D$71,1)),""))</f>
        <v/>
      </c>
      <c r="C856" t="str">
        <f t="shared" si="26"/>
        <v/>
      </c>
      <c r="D856" t="str">
        <f>IF(A856="","",SUMIFS(Акты!$D$5:$D$16,Акты!$E$5:$E$16,"&lt;="&amp;A856)-SUMIFS(Оплаты!$B$6:$B$505,Оплаты!$A$6:$A$505,"&lt;"&amp;A856,Оплаты!$D$6:$D$505,"&lt;&gt;"))</f>
        <v/>
      </c>
      <c r="E856" t="str">
        <f>IF(A856="","",IF(SUMPRODUCT((Ввод!$F$12:$F$31&lt;&gt;"")*(Ввод!$F$12:$F$31&lt;=A856)*(Ввод!$G$12:$G$31&gt;=A856))&gt;0,1,0))</f>
        <v/>
      </c>
      <c r="G856" t="str">
        <f t="shared" si="27"/>
        <v/>
      </c>
    </row>
    <row r="857" spans="1:7" x14ac:dyDescent="0.3">
      <c r="A857" s="21" t="str">
        <f>IF(A856="","",IF(A856+1&gt;Ввод!$B$4,"",A856+1))</f>
        <v/>
      </c>
      <c r="B857" s="23" t="str">
        <f>IF(A857="","",IFERROR(INDEX(Ввод!$B$12:$B$71,MATCH(A857,Ввод!$D$12:$D$71,1)),""))</f>
        <v/>
      </c>
      <c r="C857" t="str">
        <f t="shared" si="26"/>
        <v/>
      </c>
      <c r="D857" t="str">
        <f>IF(A857="","",SUMIFS(Акты!$D$5:$D$16,Акты!$E$5:$E$16,"&lt;="&amp;A857)-SUMIFS(Оплаты!$B$6:$B$505,Оплаты!$A$6:$A$505,"&lt;"&amp;A857,Оплаты!$D$6:$D$505,"&lt;&gt;"))</f>
        <v/>
      </c>
      <c r="E857" t="str">
        <f>IF(A857="","",IF(SUMPRODUCT((Ввод!$F$12:$F$31&lt;&gt;"")*(Ввод!$F$12:$F$31&lt;=A857)*(Ввод!$G$12:$G$31&gt;=A857))&gt;0,1,0))</f>
        <v/>
      </c>
      <c r="G857" t="str">
        <f t="shared" si="27"/>
        <v/>
      </c>
    </row>
    <row r="858" spans="1:7" x14ac:dyDescent="0.3">
      <c r="A858" s="21" t="str">
        <f>IF(A857="","",IF(A857+1&gt;Ввод!$B$4,"",A857+1))</f>
        <v/>
      </c>
      <c r="B858" s="23" t="str">
        <f>IF(A858="","",IFERROR(INDEX(Ввод!$B$12:$B$71,MATCH(A858,Ввод!$D$12:$D$71,1)),""))</f>
        <v/>
      </c>
      <c r="C858" t="str">
        <f t="shared" si="26"/>
        <v/>
      </c>
      <c r="D858" t="str">
        <f>IF(A858="","",SUMIFS(Акты!$D$5:$D$16,Акты!$E$5:$E$16,"&lt;="&amp;A858)-SUMIFS(Оплаты!$B$6:$B$505,Оплаты!$A$6:$A$505,"&lt;"&amp;A858,Оплаты!$D$6:$D$505,"&lt;&gt;"))</f>
        <v/>
      </c>
      <c r="E858" t="str">
        <f>IF(A858="","",IF(SUMPRODUCT((Ввод!$F$12:$F$31&lt;&gt;"")*(Ввод!$F$12:$F$31&lt;=A858)*(Ввод!$G$12:$G$31&gt;=A858))&gt;0,1,0))</f>
        <v/>
      </c>
      <c r="G858" t="str">
        <f t="shared" si="27"/>
        <v/>
      </c>
    </row>
    <row r="859" spans="1:7" x14ac:dyDescent="0.3">
      <c r="A859" s="21" t="str">
        <f>IF(A858="","",IF(A858+1&gt;Ввод!$B$4,"",A858+1))</f>
        <v/>
      </c>
      <c r="B859" s="23" t="str">
        <f>IF(A859="","",IFERROR(INDEX(Ввод!$B$12:$B$71,MATCH(A859,Ввод!$D$12:$D$71,1)),""))</f>
        <v/>
      </c>
      <c r="C859" t="str">
        <f t="shared" si="26"/>
        <v/>
      </c>
      <c r="D859" t="str">
        <f>IF(A859="","",SUMIFS(Акты!$D$5:$D$16,Акты!$E$5:$E$16,"&lt;="&amp;A859)-SUMIFS(Оплаты!$B$6:$B$505,Оплаты!$A$6:$A$505,"&lt;"&amp;A859,Оплаты!$D$6:$D$505,"&lt;&gt;"))</f>
        <v/>
      </c>
      <c r="E859" t="str">
        <f>IF(A859="","",IF(SUMPRODUCT((Ввод!$F$12:$F$31&lt;&gt;"")*(Ввод!$F$12:$F$31&lt;=A859)*(Ввод!$G$12:$G$31&gt;=A859))&gt;0,1,0))</f>
        <v/>
      </c>
      <c r="G859" t="str">
        <f t="shared" si="27"/>
        <v/>
      </c>
    </row>
    <row r="860" spans="1:7" x14ac:dyDescent="0.3">
      <c r="A860" s="21" t="str">
        <f>IF(A859="","",IF(A859+1&gt;Ввод!$B$4,"",A859+1))</f>
        <v/>
      </c>
      <c r="B860" s="23" t="str">
        <f>IF(A860="","",IFERROR(INDEX(Ввод!$B$12:$B$71,MATCH(A860,Ввод!$D$12:$D$71,1)),""))</f>
        <v/>
      </c>
      <c r="C860" t="str">
        <f t="shared" si="26"/>
        <v/>
      </c>
      <c r="D860" t="str">
        <f>IF(A860="","",SUMIFS(Акты!$D$5:$D$16,Акты!$E$5:$E$16,"&lt;="&amp;A860)-SUMIFS(Оплаты!$B$6:$B$505,Оплаты!$A$6:$A$505,"&lt;"&amp;A860,Оплаты!$D$6:$D$505,"&lt;&gt;"))</f>
        <v/>
      </c>
      <c r="E860" t="str">
        <f>IF(A860="","",IF(SUMPRODUCT((Ввод!$F$12:$F$31&lt;&gt;"")*(Ввод!$F$12:$F$31&lt;=A860)*(Ввод!$G$12:$G$31&gt;=A860))&gt;0,1,0))</f>
        <v/>
      </c>
      <c r="G860" t="str">
        <f t="shared" si="27"/>
        <v/>
      </c>
    </row>
    <row r="861" spans="1:7" x14ac:dyDescent="0.3">
      <c r="A861" s="21" t="str">
        <f>IF(A860="","",IF(A860+1&gt;Ввод!$B$4,"",A860+1))</f>
        <v/>
      </c>
      <c r="B861" s="23" t="str">
        <f>IF(A861="","",IFERROR(INDEX(Ввод!$B$12:$B$71,MATCH(A861,Ввод!$D$12:$D$71,1)),""))</f>
        <v/>
      </c>
      <c r="C861" t="str">
        <f t="shared" si="26"/>
        <v/>
      </c>
      <c r="D861" t="str">
        <f>IF(A861="","",SUMIFS(Акты!$D$5:$D$16,Акты!$E$5:$E$16,"&lt;="&amp;A861)-SUMIFS(Оплаты!$B$6:$B$505,Оплаты!$A$6:$A$505,"&lt;"&amp;A861,Оплаты!$D$6:$D$505,"&lt;&gt;"))</f>
        <v/>
      </c>
      <c r="E861" t="str">
        <f>IF(A861="","",IF(SUMPRODUCT((Ввод!$F$12:$F$31&lt;&gt;"")*(Ввод!$F$12:$F$31&lt;=A861)*(Ввод!$G$12:$G$31&gt;=A861))&gt;0,1,0))</f>
        <v/>
      </c>
      <c r="G861" t="str">
        <f t="shared" si="27"/>
        <v/>
      </c>
    </row>
    <row r="862" spans="1:7" x14ac:dyDescent="0.3">
      <c r="A862" s="21" t="str">
        <f>IF(A861="","",IF(A861+1&gt;Ввод!$B$4,"",A861+1))</f>
        <v/>
      </c>
      <c r="B862" s="23" t="str">
        <f>IF(A862="","",IFERROR(INDEX(Ввод!$B$12:$B$71,MATCH(A862,Ввод!$D$12:$D$71,1)),""))</f>
        <v/>
      </c>
      <c r="C862" t="str">
        <f t="shared" si="26"/>
        <v/>
      </c>
      <c r="D862" t="str">
        <f>IF(A862="","",SUMIFS(Акты!$D$5:$D$16,Акты!$E$5:$E$16,"&lt;="&amp;A862)-SUMIFS(Оплаты!$B$6:$B$505,Оплаты!$A$6:$A$505,"&lt;"&amp;A862,Оплаты!$D$6:$D$505,"&lt;&gt;"))</f>
        <v/>
      </c>
      <c r="E862" t="str">
        <f>IF(A862="","",IF(SUMPRODUCT((Ввод!$F$12:$F$31&lt;&gt;"")*(Ввод!$F$12:$F$31&lt;=A862)*(Ввод!$G$12:$G$31&gt;=A862))&gt;0,1,0))</f>
        <v/>
      </c>
      <c r="G862" t="str">
        <f t="shared" si="27"/>
        <v/>
      </c>
    </row>
    <row r="863" spans="1:7" x14ac:dyDescent="0.3">
      <c r="A863" s="21" t="str">
        <f>IF(A862="","",IF(A862+1&gt;Ввод!$B$4,"",A862+1))</f>
        <v/>
      </c>
      <c r="B863" s="23" t="str">
        <f>IF(A863="","",IFERROR(INDEX(Ввод!$B$12:$B$71,MATCH(A863,Ввод!$D$12:$D$71,1)),""))</f>
        <v/>
      </c>
      <c r="C863" t="str">
        <f t="shared" si="26"/>
        <v/>
      </c>
      <c r="D863" t="str">
        <f>IF(A863="","",SUMIFS(Акты!$D$5:$D$16,Акты!$E$5:$E$16,"&lt;="&amp;A863)-SUMIFS(Оплаты!$B$6:$B$505,Оплаты!$A$6:$A$505,"&lt;"&amp;A863,Оплаты!$D$6:$D$505,"&lt;&gt;"))</f>
        <v/>
      </c>
      <c r="E863" t="str">
        <f>IF(A863="","",IF(SUMPRODUCT((Ввод!$F$12:$F$31&lt;&gt;"")*(Ввод!$F$12:$F$31&lt;=A863)*(Ввод!$G$12:$G$31&gt;=A863))&gt;0,1,0))</f>
        <v/>
      </c>
      <c r="G863" t="str">
        <f t="shared" si="27"/>
        <v/>
      </c>
    </row>
    <row r="864" spans="1:7" x14ac:dyDescent="0.3">
      <c r="A864" s="21" t="str">
        <f>IF(A863="","",IF(A863+1&gt;Ввод!$B$4,"",A863+1))</f>
        <v/>
      </c>
      <c r="B864" s="23" t="str">
        <f>IF(A864="","",IFERROR(INDEX(Ввод!$B$12:$B$71,MATCH(A864,Ввод!$D$12:$D$71,1)),""))</f>
        <v/>
      </c>
      <c r="C864" t="str">
        <f t="shared" si="26"/>
        <v/>
      </c>
      <c r="D864" t="str">
        <f>IF(A864="","",SUMIFS(Акты!$D$5:$D$16,Акты!$E$5:$E$16,"&lt;="&amp;A864)-SUMIFS(Оплаты!$B$6:$B$505,Оплаты!$A$6:$A$505,"&lt;"&amp;A864,Оплаты!$D$6:$D$505,"&lt;&gt;"))</f>
        <v/>
      </c>
      <c r="E864" t="str">
        <f>IF(A864="","",IF(SUMPRODUCT((Ввод!$F$12:$F$31&lt;&gt;"")*(Ввод!$F$12:$F$31&lt;=A864)*(Ввод!$G$12:$G$31&gt;=A864))&gt;0,1,0))</f>
        <v/>
      </c>
      <c r="G864" t="str">
        <f t="shared" si="27"/>
        <v/>
      </c>
    </row>
    <row r="865" spans="1:7" x14ac:dyDescent="0.3">
      <c r="A865" s="21" t="str">
        <f>IF(A864="","",IF(A864+1&gt;Ввод!$B$4,"",A864+1))</f>
        <v/>
      </c>
      <c r="B865" s="23" t="str">
        <f>IF(A865="","",IFERROR(INDEX(Ввод!$B$12:$B$71,MATCH(A865,Ввод!$D$12:$D$71,1)),""))</f>
        <v/>
      </c>
      <c r="C865" t="str">
        <f t="shared" si="26"/>
        <v/>
      </c>
      <c r="D865" t="str">
        <f>IF(A865="","",SUMIFS(Акты!$D$5:$D$16,Акты!$E$5:$E$16,"&lt;="&amp;A865)-SUMIFS(Оплаты!$B$6:$B$505,Оплаты!$A$6:$A$505,"&lt;"&amp;A865,Оплаты!$D$6:$D$505,"&lt;&gt;"))</f>
        <v/>
      </c>
      <c r="E865" t="str">
        <f>IF(A865="","",IF(SUMPRODUCT((Ввод!$F$12:$F$31&lt;&gt;"")*(Ввод!$F$12:$F$31&lt;=A865)*(Ввод!$G$12:$G$31&gt;=A865))&gt;0,1,0))</f>
        <v/>
      </c>
      <c r="G865" t="str">
        <f t="shared" si="27"/>
        <v/>
      </c>
    </row>
    <row r="866" spans="1:7" x14ac:dyDescent="0.3">
      <c r="A866" s="21" t="str">
        <f>IF(A865="","",IF(A865+1&gt;Ввод!$B$4,"",A865+1))</f>
        <v/>
      </c>
      <c r="B866" s="23" t="str">
        <f>IF(A866="","",IFERROR(INDEX(Ввод!$B$12:$B$71,MATCH(A866,Ввод!$D$12:$D$71,1)),""))</f>
        <v/>
      </c>
      <c r="C866" t="str">
        <f t="shared" si="26"/>
        <v/>
      </c>
      <c r="D866" t="str">
        <f>IF(A866="","",SUMIFS(Акты!$D$5:$D$16,Акты!$E$5:$E$16,"&lt;="&amp;A866)-SUMIFS(Оплаты!$B$6:$B$505,Оплаты!$A$6:$A$505,"&lt;"&amp;A866,Оплаты!$D$6:$D$505,"&lt;&gt;"))</f>
        <v/>
      </c>
      <c r="E866" t="str">
        <f>IF(A866="","",IF(SUMPRODUCT((Ввод!$F$12:$F$31&lt;&gt;"")*(Ввод!$F$12:$F$31&lt;=A866)*(Ввод!$G$12:$G$31&gt;=A866))&gt;0,1,0))</f>
        <v/>
      </c>
      <c r="G866" t="str">
        <f t="shared" si="27"/>
        <v/>
      </c>
    </row>
    <row r="867" spans="1:7" x14ac:dyDescent="0.3">
      <c r="A867" s="21" t="str">
        <f>IF(A866="","",IF(A866+1&gt;Ввод!$B$4,"",A866+1))</f>
        <v/>
      </c>
      <c r="B867" s="23" t="str">
        <f>IF(A867="","",IFERROR(INDEX(Ввод!$B$12:$B$71,MATCH(A867,Ввод!$D$12:$D$71,1)),""))</f>
        <v/>
      </c>
      <c r="C867" t="str">
        <f t="shared" si="26"/>
        <v/>
      </c>
      <c r="D867" t="str">
        <f>IF(A867="","",SUMIFS(Акты!$D$5:$D$16,Акты!$E$5:$E$16,"&lt;="&amp;A867)-SUMIFS(Оплаты!$B$6:$B$505,Оплаты!$A$6:$A$505,"&lt;"&amp;A867,Оплаты!$D$6:$D$505,"&lt;&gt;"))</f>
        <v/>
      </c>
      <c r="E867" t="str">
        <f>IF(A867="","",IF(SUMPRODUCT((Ввод!$F$12:$F$31&lt;&gt;"")*(Ввод!$F$12:$F$31&lt;=A867)*(Ввод!$G$12:$G$31&gt;=A867))&gt;0,1,0))</f>
        <v/>
      </c>
      <c r="G867" t="str">
        <f t="shared" si="27"/>
        <v/>
      </c>
    </row>
    <row r="868" spans="1:7" x14ac:dyDescent="0.3">
      <c r="A868" s="21" t="str">
        <f>IF(A867="","",IF(A867+1&gt;Ввод!$B$4,"",A867+1))</f>
        <v/>
      </c>
      <c r="B868" s="23" t="str">
        <f>IF(A868="","",IFERROR(INDEX(Ввод!$B$12:$B$71,MATCH(A868,Ввод!$D$12:$D$71,1)),""))</f>
        <v/>
      </c>
      <c r="C868" t="str">
        <f t="shared" si="26"/>
        <v/>
      </c>
      <c r="D868" t="str">
        <f>IF(A868="","",SUMIFS(Акты!$D$5:$D$16,Акты!$E$5:$E$16,"&lt;="&amp;A868)-SUMIFS(Оплаты!$B$6:$B$505,Оплаты!$A$6:$A$505,"&lt;"&amp;A868,Оплаты!$D$6:$D$505,"&lt;&gt;"))</f>
        <v/>
      </c>
      <c r="E868" t="str">
        <f>IF(A868="","",IF(SUMPRODUCT((Ввод!$F$12:$F$31&lt;&gt;"")*(Ввод!$F$12:$F$31&lt;=A868)*(Ввод!$G$12:$G$31&gt;=A868))&gt;0,1,0))</f>
        <v/>
      </c>
      <c r="G868" t="str">
        <f t="shared" si="27"/>
        <v/>
      </c>
    </row>
    <row r="869" spans="1:7" x14ac:dyDescent="0.3">
      <c r="A869" s="21" t="str">
        <f>IF(A868="","",IF(A868+1&gt;Ввод!$B$4,"",A868+1))</f>
        <v/>
      </c>
      <c r="B869" s="23" t="str">
        <f>IF(A869="","",IFERROR(INDEX(Ввод!$B$12:$B$71,MATCH(A869,Ввод!$D$12:$D$71,1)),""))</f>
        <v/>
      </c>
      <c r="C869" t="str">
        <f t="shared" si="26"/>
        <v/>
      </c>
      <c r="D869" t="str">
        <f>IF(A869="","",SUMIFS(Акты!$D$5:$D$16,Акты!$E$5:$E$16,"&lt;="&amp;A869)-SUMIFS(Оплаты!$B$6:$B$505,Оплаты!$A$6:$A$505,"&lt;"&amp;A869,Оплаты!$D$6:$D$505,"&lt;&gt;"))</f>
        <v/>
      </c>
      <c r="E869" t="str">
        <f>IF(A869="","",IF(SUMPRODUCT((Ввод!$F$12:$F$31&lt;&gt;"")*(Ввод!$F$12:$F$31&lt;=A869)*(Ввод!$G$12:$G$31&gt;=A869))&gt;0,1,0))</f>
        <v/>
      </c>
      <c r="G869" t="str">
        <f t="shared" si="27"/>
        <v/>
      </c>
    </row>
    <row r="870" spans="1:7" x14ac:dyDescent="0.3">
      <c r="A870" s="21" t="str">
        <f>IF(A869="","",IF(A869+1&gt;Ввод!$B$4,"",A869+1))</f>
        <v/>
      </c>
      <c r="B870" s="23" t="str">
        <f>IF(A870="","",IFERROR(INDEX(Ввод!$B$12:$B$71,MATCH(A870,Ввод!$D$12:$D$71,1)),""))</f>
        <v/>
      </c>
      <c r="C870" t="str">
        <f t="shared" si="26"/>
        <v/>
      </c>
      <c r="D870" t="str">
        <f>IF(A870="","",SUMIFS(Акты!$D$5:$D$16,Акты!$E$5:$E$16,"&lt;="&amp;A870)-SUMIFS(Оплаты!$B$6:$B$505,Оплаты!$A$6:$A$505,"&lt;"&amp;A870,Оплаты!$D$6:$D$505,"&lt;&gt;"))</f>
        <v/>
      </c>
      <c r="E870" t="str">
        <f>IF(A870="","",IF(SUMPRODUCT((Ввод!$F$12:$F$31&lt;&gt;"")*(Ввод!$F$12:$F$31&lt;=A870)*(Ввод!$G$12:$G$31&gt;=A870))&gt;0,1,0))</f>
        <v/>
      </c>
      <c r="G870" t="str">
        <f t="shared" si="27"/>
        <v/>
      </c>
    </row>
    <row r="871" spans="1:7" x14ac:dyDescent="0.3">
      <c r="A871" s="21" t="str">
        <f>IF(A870="","",IF(A870+1&gt;Ввод!$B$4,"",A870+1))</f>
        <v/>
      </c>
      <c r="B871" s="23" t="str">
        <f>IF(A871="","",IFERROR(INDEX(Ввод!$B$12:$B$71,MATCH(A871,Ввод!$D$12:$D$71,1)),""))</f>
        <v/>
      </c>
      <c r="C871" t="str">
        <f t="shared" si="26"/>
        <v/>
      </c>
      <c r="D871" t="str">
        <f>IF(A871="","",SUMIFS(Акты!$D$5:$D$16,Акты!$E$5:$E$16,"&lt;="&amp;A871)-SUMIFS(Оплаты!$B$6:$B$505,Оплаты!$A$6:$A$505,"&lt;"&amp;A871,Оплаты!$D$6:$D$505,"&lt;&gt;"))</f>
        <v/>
      </c>
      <c r="E871" t="str">
        <f>IF(A871="","",IF(SUMPRODUCT((Ввод!$F$12:$F$31&lt;&gt;"")*(Ввод!$F$12:$F$31&lt;=A871)*(Ввод!$G$12:$G$31&gt;=A871))&gt;0,1,0))</f>
        <v/>
      </c>
      <c r="G871" t="str">
        <f t="shared" si="27"/>
        <v/>
      </c>
    </row>
    <row r="872" spans="1:7" x14ac:dyDescent="0.3">
      <c r="A872" s="21" t="str">
        <f>IF(A871="","",IF(A871+1&gt;Ввод!$B$4,"",A871+1))</f>
        <v/>
      </c>
      <c r="B872" s="23" t="str">
        <f>IF(A872="","",IFERROR(INDEX(Ввод!$B$12:$B$71,MATCH(A872,Ввод!$D$12:$D$71,1)),""))</f>
        <v/>
      </c>
      <c r="C872" t="str">
        <f t="shared" si="26"/>
        <v/>
      </c>
      <c r="D872" t="str">
        <f>IF(A872="","",SUMIFS(Акты!$D$5:$D$16,Акты!$E$5:$E$16,"&lt;="&amp;A872)-SUMIFS(Оплаты!$B$6:$B$505,Оплаты!$A$6:$A$505,"&lt;"&amp;A872,Оплаты!$D$6:$D$505,"&lt;&gt;"))</f>
        <v/>
      </c>
      <c r="E872" t="str">
        <f>IF(A872="","",IF(SUMPRODUCT((Ввод!$F$12:$F$31&lt;&gt;"")*(Ввод!$F$12:$F$31&lt;=A872)*(Ввод!$G$12:$G$31&gt;=A872))&gt;0,1,0))</f>
        <v/>
      </c>
      <c r="G872" t="str">
        <f t="shared" si="27"/>
        <v/>
      </c>
    </row>
    <row r="873" spans="1:7" x14ac:dyDescent="0.3">
      <c r="A873" s="21" t="str">
        <f>IF(A872="","",IF(A872+1&gt;Ввод!$B$4,"",A872+1))</f>
        <v/>
      </c>
      <c r="B873" s="23" t="str">
        <f>IF(A873="","",IFERROR(INDEX(Ввод!$B$12:$B$71,MATCH(A873,Ввод!$D$12:$D$71,1)),""))</f>
        <v/>
      </c>
      <c r="C873" t="str">
        <f t="shared" si="26"/>
        <v/>
      </c>
      <c r="D873" t="str">
        <f>IF(A873="","",SUMIFS(Акты!$D$5:$D$16,Акты!$E$5:$E$16,"&lt;="&amp;A873)-SUMIFS(Оплаты!$B$6:$B$505,Оплаты!$A$6:$A$505,"&lt;"&amp;A873,Оплаты!$D$6:$D$505,"&lt;&gt;"))</f>
        <v/>
      </c>
      <c r="E873" t="str">
        <f>IF(A873="","",IF(SUMPRODUCT((Ввод!$F$12:$F$31&lt;&gt;"")*(Ввод!$F$12:$F$31&lt;=A873)*(Ввод!$G$12:$G$31&gt;=A873))&gt;0,1,0))</f>
        <v/>
      </c>
      <c r="G873" t="str">
        <f t="shared" si="27"/>
        <v/>
      </c>
    </row>
    <row r="874" spans="1:7" x14ac:dyDescent="0.3">
      <c r="A874" s="21" t="str">
        <f>IF(A873="","",IF(A873+1&gt;Ввод!$B$4,"",A873+1))</f>
        <v/>
      </c>
      <c r="B874" s="23" t="str">
        <f>IF(A874="","",IFERROR(INDEX(Ввод!$B$12:$B$71,MATCH(A874,Ввод!$D$12:$D$71,1)),""))</f>
        <v/>
      </c>
      <c r="C874" t="str">
        <f t="shared" si="26"/>
        <v/>
      </c>
      <c r="D874" t="str">
        <f>IF(A874="","",SUMIFS(Акты!$D$5:$D$16,Акты!$E$5:$E$16,"&lt;="&amp;A874)-SUMIFS(Оплаты!$B$6:$B$505,Оплаты!$A$6:$A$505,"&lt;"&amp;A874,Оплаты!$D$6:$D$505,"&lt;&gt;"))</f>
        <v/>
      </c>
      <c r="E874" t="str">
        <f>IF(A874="","",IF(SUMPRODUCT((Ввод!$F$12:$F$31&lt;&gt;"")*(Ввод!$F$12:$F$31&lt;=A874)*(Ввод!$G$12:$G$31&gt;=A874))&gt;0,1,0))</f>
        <v/>
      </c>
      <c r="G874" t="str">
        <f t="shared" si="27"/>
        <v/>
      </c>
    </row>
    <row r="875" spans="1:7" x14ac:dyDescent="0.3">
      <c r="A875" s="21" t="str">
        <f>IF(A874="","",IF(A874+1&gt;Ввод!$B$4,"",A874+1))</f>
        <v/>
      </c>
      <c r="B875" s="23" t="str">
        <f>IF(A875="","",IFERROR(INDEX(Ввод!$B$12:$B$71,MATCH(A875,Ввод!$D$12:$D$71,1)),""))</f>
        <v/>
      </c>
      <c r="C875" t="str">
        <f t="shared" si="26"/>
        <v/>
      </c>
      <c r="D875" t="str">
        <f>IF(A875="","",SUMIFS(Акты!$D$5:$D$16,Акты!$E$5:$E$16,"&lt;="&amp;A875)-SUMIFS(Оплаты!$B$6:$B$505,Оплаты!$A$6:$A$505,"&lt;"&amp;A875,Оплаты!$D$6:$D$505,"&lt;&gt;"))</f>
        <v/>
      </c>
      <c r="E875" t="str">
        <f>IF(A875="","",IF(SUMPRODUCT((Ввод!$F$12:$F$31&lt;&gt;"")*(Ввод!$F$12:$F$31&lt;=A875)*(Ввод!$G$12:$G$31&gt;=A875))&gt;0,1,0))</f>
        <v/>
      </c>
      <c r="G875" t="str">
        <f t="shared" si="27"/>
        <v/>
      </c>
    </row>
    <row r="876" spans="1:7" x14ac:dyDescent="0.3">
      <c r="A876" s="21" t="str">
        <f>IF(A875="","",IF(A875+1&gt;Ввод!$B$4,"",A875+1))</f>
        <v/>
      </c>
      <c r="B876" s="23" t="str">
        <f>IF(A876="","",IFERROR(INDEX(Ввод!$B$12:$B$71,MATCH(A876,Ввод!$D$12:$D$71,1)),""))</f>
        <v/>
      </c>
      <c r="C876" t="str">
        <f t="shared" si="26"/>
        <v/>
      </c>
      <c r="D876" t="str">
        <f>IF(A876="","",SUMIFS(Акты!$D$5:$D$16,Акты!$E$5:$E$16,"&lt;="&amp;A876)-SUMIFS(Оплаты!$B$6:$B$505,Оплаты!$A$6:$A$505,"&lt;"&amp;A876,Оплаты!$D$6:$D$505,"&lt;&gt;"))</f>
        <v/>
      </c>
      <c r="E876" t="str">
        <f>IF(A876="","",IF(SUMPRODUCT((Ввод!$F$12:$F$31&lt;&gt;"")*(Ввод!$F$12:$F$31&lt;=A876)*(Ввод!$G$12:$G$31&gt;=A876))&gt;0,1,0))</f>
        <v/>
      </c>
      <c r="G876" t="str">
        <f t="shared" si="27"/>
        <v/>
      </c>
    </row>
    <row r="877" spans="1:7" x14ac:dyDescent="0.3">
      <c r="A877" s="21" t="str">
        <f>IF(A876="","",IF(A876+1&gt;Ввод!$B$4,"",A876+1))</f>
        <v/>
      </c>
      <c r="B877" s="23" t="str">
        <f>IF(A877="","",IFERROR(INDEX(Ввод!$B$12:$B$71,MATCH(A877,Ввод!$D$12:$D$71,1)),""))</f>
        <v/>
      </c>
      <c r="C877" t="str">
        <f t="shared" si="26"/>
        <v/>
      </c>
      <c r="D877" t="str">
        <f>IF(A877="","",SUMIFS(Акты!$D$5:$D$16,Акты!$E$5:$E$16,"&lt;="&amp;A877)-SUMIFS(Оплаты!$B$6:$B$505,Оплаты!$A$6:$A$505,"&lt;"&amp;A877,Оплаты!$D$6:$D$505,"&lt;&gt;"))</f>
        <v/>
      </c>
      <c r="E877" t="str">
        <f>IF(A877="","",IF(SUMPRODUCT((Ввод!$F$12:$F$31&lt;&gt;"")*(Ввод!$F$12:$F$31&lt;=A877)*(Ввод!$G$12:$G$31&gt;=A877))&gt;0,1,0))</f>
        <v/>
      </c>
      <c r="G877" t="str">
        <f t="shared" si="27"/>
        <v/>
      </c>
    </row>
    <row r="878" spans="1:7" x14ac:dyDescent="0.3">
      <c r="A878" s="21" t="str">
        <f>IF(A877="","",IF(A877+1&gt;Ввод!$B$4,"",A877+1))</f>
        <v/>
      </c>
      <c r="B878" s="23" t="str">
        <f>IF(A878="","",IFERROR(INDEX(Ввод!$B$12:$B$71,MATCH(A878,Ввод!$D$12:$D$71,1)),""))</f>
        <v/>
      </c>
      <c r="C878" t="str">
        <f t="shared" si="26"/>
        <v/>
      </c>
      <c r="D878" t="str">
        <f>IF(A878="","",SUMIFS(Акты!$D$5:$D$16,Акты!$E$5:$E$16,"&lt;="&amp;A878)-SUMIFS(Оплаты!$B$6:$B$505,Оплаты!$A$6:$A$505,"&lt;"&amp;A878,Оплаты!$D$6:$D$505,"&lt;&gt;"))</f>
        <v/>
      </c>
      <c r="E878" t="str">
        <f>IF(A878="","",IF(SUMPRODUCT((Ввод!$F$12:$F$31&lt;&gt;"")*(Ввод!$F$12:$F$31&lt;=A878)*(Ввод!$G$12:$G$31&gt;=A878))&gt;0,1,0))</f>
        <v/>
      </c>
      <c r="G878" t="str">
        <f t="shared" si="27"/>
        <v/>
      </c>
    </row>
    <row r="879" spans="1:7" x14ac:dyDescent="0.3">
      <c r="A879" s="21" t="str">
        <f>IF(A878="","",IF(A878+1&gt;Ввод!$B$4,"",A878+1))</f>
        <v/>
      </c>
      <c r="B879" s="23" t="str">
        <f>IF(A879="","",IFERROR(INDEX(Ввод!$B$12:$B$71,MATCH(A879,Ввод!$D$12:$D$71,1)),""))</f>
        <v/>
      </c>
      <c r="C879" t="str">
        <f t="shared" si="26"/>
        <v/>
      </c>
      <c r="D879" t="str">
        <f>IF(A879="","",SUMIFS(Акты!$D$5:$D$16,Акты!$E$5:$E$16,"&lt;="&amp;A879)-SUMIFS(Оплаты!$B$6:$B$505,Оплаты!$A$6:$A$505,"&lt;"&amp;A879,Оплаты!$D$6:$D$505,"&lt;&gt;"))</f>
        <v/>
      </c>
      <c r="E879" t="str">
        <f>IF(A879="","",IF(SUMPRODUCT((Ввод!$F$12:$F$31&lt;&gt;"")*(Ввод!$F$12:$F$31&lt;=A879)*(Ввод!$G$12:$G$31&gt;=A879))&gt;0,1,0))</f>
        <v/>
      </c>
      <c r="G879" t="str">
        <f t="shared" si="27"/>
        <v/>
      </c>
    </row>
    <row r="880" spans="1:7" x14ac:dyDescent="0.3">
      <c r="A880" s="21" t="str">
        <f>IF(A879="","",IF(A879+1&gt;Ввод!$B$4,"",A879+1))</f>
        <v/>
      </c>
      <c r="B880" s="23" t="str">
        <f>IF(A880="","",IFERROR(INDEX(Ввод!$B$12:$B$71,MATCH(A880,Ввод!$D$12:$D$71,1)),""))</f>
        <v/>
      </c>
      <c r="C880" t="str">
        <f t="shared" si="26"/>
        <v/>
      </c>
      <c r="D880" t="str">
        <f>IF(A880="","",SUMIFS(Акты!$D$5:$D$16,Акты!$E$5:$E$16,"&lt;="&amp;A880)-SUMIFS(Оплаты!$B$6:$B$505,Оплаты!$A$6:$A$505,"&lt;"&amp;A880,Оплаты!$D$6:$D$505,"&lt;&gt;"))</f>
        <v/>
      </c>
      <c r="E880" t="str">
        <f>IF(A880="","",IF(SUMPRODUCT((Ввод!$F$12:$F$31&lt;&gt;"")*(Ввод!$F$12:$F$31&lt;=A880)*(Ввод!$G$12:$G$31&gt;=A880))&gt;0,1,0))</f>
        <v/>
      </c>
      <c r="G880" t="str">
        <f t="shared" si="27"/>
        <v/>
      </c>
    </row>
    <row r="881" spans="1:7" x14ac:dyDescent="0.3">
      <c r="A881" s="21" t="str">
        <f>IF(A880="","",IF(A880+1&gt;Ввод!$B$4,"",A880+1))</f>
        <v/>
      </c>
      <c r="B881" s="23" t="str">
        <f>IF(A881="","",IFERROR(INDEX(Ввод!$B$12:$B$71,MATCH(A881,Ввод!$D$12:$D$71,1)),""))</f>
        <v/>
      </c>
      <c r="C881" t="str">
        <f t="shared" si="26"/>
        <v/>
      </c>
      <c r="D881" t="str">
        <f>IF(A881="","",SUMIFS(Акты!$D$5:$D$16,Акты!$E$5:$E$16,"&lt;="&amp;A881)-SUMIFS(Оплаты!$B$6:$B$505,Оплаты!$A$6:$A$505,"&lt;"&amp;A881,Оплаты!$D$6:$D$505,"&lt;&gt;"))</f>
        <v/>
      </c>
      <c r="E881" t="str">
        <f>IF(A881="","",IF(SUMPRODUCT((Ввод!$F$12:$F$31&lt;&gt;"")*(Ввод!$F$12:$F$31&lt;=A881)*(Ввод!$G$12:$G$31&gt;=A881))&gt;0,1,0))</f>
        <v/>
      </c>
      <c r="G881" t="str">
        <f t="shared" si="27"/>
        <v/>
      </c>
    </row>
    <row r="882" spans="1:7" x14ac:dyDescent="0.3">
      <c r="A882" s="21" t="str">
        <f>IF(A881="","",IF(A881+1&gt;Ввод!$B$4,"",A881+1))</f>
        <v/>
      </c>
      <c r="B882" s="23" t="str">
        <f>IF(A882="","",IFERROR(INDEX(Ввод!$B$12:$B$71,MATCH(A882,Ввод!$D$12:$D$71,1)),""))</f>
        <v/>
      </c>
      <c r="C882" t="str">
        <f t="shared" si="26"/>
        <v/>
      </c>
      <c r="D882" t="str">
        <f>IF(A882="","",SUMIFS(Акты!$D$5:$D$16,Акты!$E$5:$E$16,"&lt;="&amp;A882)-SUMIFS(Оплаты!$B$6:$B$505,Оплаты!$A$6:$A$505,"&lt;"&amp;A882,Оплаты!$D$6:$D$505,"&lt;&gt;"))</f>
        <v/>
      </c>
      <c r="E882" t="str">
        <f>IF(A882="","",IF(SUMPRODUCT((Ввод!$F$12:$F$31&lt;&gt;"")*(Ввод!$F$12:$F$31&lt;=A882)*(Ввод!$G$12:$G$31&gt;=A882))&gt;0,1,0))</f>
        <v/>
      </c>
      <c r="G882" t="str">
        <f t="shared" si="27"/>
        <v/>
      </c>
    </row>
    <row r="883" spans="1:7" x14ac:dyDescent="0.3">
      <c r="A883" s="21" t="str">
        <f>IF(A882="","",IF(A882+1&gt;Ввод!$B$4,"",A882+1))</f>
        <v/>
      </c>
      <c r="B883" s="23" t="str">
        <f>IF(A883="","",IFERROR(INDEX(Ввод!$B$12:$B$71,MATCH(A883,Ввод!$D$12:$D$71,1)),""))</f>
        <v/>
      </c>
      <c r="C883" t="str">
        <f t="shared" si="26"/>
        <v/>
      </c>
      <c r="D883" t="str">
        <f>IF(A883="","",SUMIFS(Акты!$D$5:$D$16,Акты!$E$5:$E$16,"&lt;="&amp;A883)-SUMIFS(Оплаты!$B$6:$B$505,Оплаты!$A$6:$A$505,"&lt;"&amp;A883,Оплаты!$D$6:$D$505,"&lt;&gt;"))</f>
        <v/>
      </c>
      <c r="E883" t="str">
        <f>IF(A883="","",IF(SUMPRODUCT((Ввод!$F$12:$F$31&lt;&gt;"")*(Ввод!$F$12:$F$31&lt;=A883)*(Ввод!$G$12:$G$31&gt;=A883))&gt;0,1,0))</f>
        <v/>
      </c>
      <c r="G883" t="str">
        <f t="shared" si="27"/>
        <v/>
      </c>
    </row>
    <row r="884" spans="1:7" x14ac:dyDescent="0.3">
      <c r="A884" s="21" t="str">
        <f>IF(A883="","",IF(A883+1&gt;Ввод!$B$4,"",A883+1))</f>
        <v/>
      </c>
      <c r="B884" s="23" t="str">
        <f>IF(A884="","",IFERROR(INDEX(Ввод!$B$12:$B$71,MATCH(A884,Ввод!$D$12:$D$71,1)),""))</f>
        <v/>
      </c>
      <c r="C884" t="str">
        <f t="shared" si="26"/>
        <v/>
      </c>
      <c r="D884" t="str">
        <f>IF(A884="","",SUMIFS(Акты!$D$5:$D$16,Акты!$E$5:$E$16,"&lt;="&amp;A884)-SUMIFS(Оплаты!$B$6:$B$505,Оплаты!$A$6:$A$505,"&lt;"&amp;A884,Оплаты!$D$6:$D$505,"&lt;&gt;"))</f>
        <v/>
      </c>
      <c r="E884" t="str">
        <f>IF(A884="","",IF(SUMPRODUCT((Ввод!$F$12:$F$31&lt;&gt;"")*(Ввод!$F$12:$F$31&lt;=A884)*(Ввод!$G$12:$G$31&gt;=A884))&gt;0,1,0))</f>
        <v/>
      </c>
      <c r="G884" t="str">
        <f t="shared" si="27"/>
        <v/>
      </c>
    </row>
    <row r="885" spans="1:7" x14ac:dyDescent="0.3">
      <c r="A885" s="21" t="str">
        <f>IF(A884="","",IF(A884+1&gt;Ввод!$B$4,"",A884+1))</f>
        <v/>
      </c>
      <c r="B885" s="23" t="str">
        <f>IF(A885="","",IFERROR(INDEX(Ввод!$B$12:$B$71,MATCH(A885,Ввод!$D$12:$D$71,1)),""))</f>
        <v/>
      </c>
      <c r="C885" t="str">
        <f t="shared" si="26"/>
        <v/>
      </c>
      <c r="D885" t="str">
        <f>IF(A885="","",SUMIFS(Акты!$D$5:$D$16,Акты!$E$5:$E$16,"&lt;="&amp;A885)-SUMIFS(Оплаты!$B$6:$B$505,Оплаты!$A$6:$A$505,"&lt;"&amp;A885,Оплаты!$D$6:$D$505,"&lt;&gt;"))</f>
        <v/>
      </c>
      <c r="E885" t="str">
        <f>IF(A885="","",IF(SUMPRODUCT((Ввод!$F$12:$F$31&lt;&gt;"")*(Ввод!$F$12:$F$31&lt;=A885)*(Ввод!$G$12:$G$31&gt;=A885))&gt;0,1,0))</f>
        <v/>
      </c>
      <c r="G885" t="str">
        <f t="shared" si="27"/>
        <v/>
      </c>
    </row>
    <row r="886" spans="1:7" x14ac:dyDescent="0.3">
      <c r="A886" s="21" t="str">
        <f>IF(A885="","",IF(A885+1&gt;Ввод!$B$4,"",A885+1))</f>
        <v/>
      </c>
      <c r="B886" s="23" t="str">
        <f>IF(A886="","",IFERROR(INDEX(Ввод!$B$12:$B$71,MATCH(A886,Ввод!$D$12:$D$71,1)),""))</f>
        <v/>
      </c>
      <c r="C886" t="str">
        <f t="shared" si="26"/>
        <v/>
      </c>
      <c r="D886" t="str">
        <f>IF(A886="","",SUMIFS(Акты!$D$5:$D$16,Акты!$E$5:$E$16,"&lt;="&amp;A886)-SUMIFS(Оплаты!$B$6:$B$505,Оплаты!$A$6:$A$505,"&lt;"&amp;A886,Оплаты!$D$6:$D$505,"&lt;&gt;"))</f>
        <v/>
      </c>
      <c r="E886" t="str">
        <f>IF(A886="","",IF(SUMPRODUCT((Ввод!$F$12:$F$31&lt;&gt;"")*(Ввод!$F$12:$F$31&lt;=A886)*(Ввод!$G$12:$G$31&gt;=A886))&gt;0,1,0))</f>
        <v/>
      </c>
      <c r="G886" t="str">
        <f t="shared" si="27"/>
        <v/>
      </c>
    </row>
    <row r="887" spans="1:7" x14ac:dyDescent="0.3">
      <c r="A887" s="21" t="str">
        <f>IF(A886="","",IF(A886+1&gt;Ввод!$B$4,"",A886+1))</f>
        <v/>
      </c>
      <c r="B887" s="23" t="str">
        <f>IF(A887="","",IFERROR(INDEX(Ввод!$B$12:$B$71,MATCH(A887,Ввод!$D$12:$D$71,1)),""))</f>
        <v/>
      </c>
      <c r="C887" t="str">
        <f t="shared" si="26"/>
        <v/>
      </c>
      <c r="D887" t="str">
        <f>IF(A887="","",SUMIFS(Акты!$D$5:$D$16,Акты!$E$5:$E$16,"&lt;="&amp;A887)-SUMIFS(Оплаты!$B$6:$B$505,Оплаты!$A$6:$A$505,"&lt;"&amp;A887,Оплаты!$D$6:$D$505,"&lt;&gt;"))</f>
        <v/>
      </c>
      <c r="E887" t="str">
        <f>IF(A887="","",IF(SUMPRODUCT((Ввод!$F$12:$F$31&lt;&gt;"")*(Ввод!$F$12:$F$31&lt;=A887)*(Ввод!$G$12:$G$31&gt;=A887))&gt;0,1,0))</f>
        <v/>
      </c>
      <c r="G887" t="str">
        <f t="shared" si="27"/>
        <v/>
      </c>
    </row>
    <row r="888" spans="1:7" x14ac:dyDescent="0.3">
      <c r="A888" s="21" t="str">
        <f>IF(A887="","",IF(A887+1&gt;Ввод!$B$4,"",A887+1))</f>
        <v/>
      </c>
      <c r="B888" s="23" t="str">
        <f>IF(A888="","",IFERROR(INDEX(Ввод!$B$12:$B$71,MATCH(A888,Ввод!$D$12:$D$71,1)),""))</f>
        <v/>
      </c>
      <c r="C888" t="str">
        <f t="shared" si="26"/>
        <v/>
      </c>
      <c r="D888" t="str">
        <f>IF(A888="","",SUMIFS(Акты!$D$5:$D$16,Акты!$E$5:$E$16,"&lt;="&amp;A888)-SUMIFS(Оплаты!$B$6:$B$505,Оплаты!$A$6:$A$505,"&lt;"&amp;A888,Оплаты!$D$6:$D$505,"&lt;&gt;"))</f>
        <v/>
      </c>
      <c r="E888" t="str">
        <f>IF(A888="","",IF(SUMPRODUCT((Ввод!$F$12:$F$31&lt;&gt;"")*(Ввод!$F$12:$F$31&lt;=A888)*(Ввод!$G$12:$G$31&gt;=A888))&gt;0,1,0))</f>
        <v/>
      </c>
      <c r="G888" t="str">
        <f t="shared" si="27"/>
        <v/>
      </c>
    </row>
    <row r="889" spans="1:7" x14ac:dyDescent="0.3">
      <c r="A889" s="21" t="str">
        <f>IF(A888="","",IF(A888+1&gt;Ввод!$B$4,"",A888+1))</f>
        <v/>
      </c>
      <c r="B889" s="23" t="str">
        <f>IF(A889="","",IFERROR(INDEX(Ввод!$B$12:$B$71,MATCH(A889,Ввод!$D$12:$D$71,1)),""))</f>
        <v/>
      </c>
      <c r="C889" t="str">
        <f t="shared" si="26"/>
        <v/>
      </c>
      <c r="D889" t="str">
        <f>IF(A889="","",SUMIFS(Акты!$D$5:$D$16,Акты!$E$5:$E$16,"&lt;="&amp;A889)-SUMIFS(Оплаты!$B$6:$B$505,Оплаты!$A$6:$A$505,"&lt;"&amp;A889,Оплаты!$D$6:$D$505,"&lt;&gt;"))</f>
        <v/>
      </c>
      <c r="E889" t="str">
        <f>IF(A889="","",IF(SUMPRODUCT((Ввод!$F$12:$F$31&lt;&gt;"")*(Ввод!$F$12:$F$31&lt;=A889)*(Ввод!$G$12:$G$31&gt;=A889))&gt;0,1,0))</f>
        <v/>
      </c>
      <c r="G889" t="str">
        <f t="shared" si="27"/>
        <v/>
      </c>
    </row>
    <row r="890" spans="1:7" x14ac:dyDescent="0.3">
      <c r="A890" s="21" t="str">
        <f>IF(A889="","",IF(A889+1&gt;Ввод!$B$4,"",A889+1))</f>
        <v/>
      </c>
      <c r="B890" s="23" t="str">
        <f>IF(A890="","",IFERROR(INDEX(Ввод!$B$12:$B$71,MATCH(A890,Ввод!$D$12:$D$71,1)),""))</f>
        <v/>
      </c>
      <c r="C890" t="str">
        <f t="shared" si="26"/>
        <v/>
      </c>
      <c r="D890" t="str">
        <f>IF(A890="","",SUMIFS(Акты!$D$5:$D$16,Акты!$E$5:$E$16,"&lt;="&amp;A890)-SUMIFS(Оплаты!$B$6:$B$505,Оплаты!$A$6:$A$505,"&lt;"&amp;A890,Оплаты!$D$6:$D$505,"&lt;&gt;"))</f>
        <v/>
      </c>
      <c r="E890" t="str">
        <f>IF(A890="","",IF(SUMPRODUCT((Ввод!$F$12:$F$31&lt;&gt;"")*(Ввод!$F$12:$F$31&lt;=A890)*(Ввод!$G$12:$G$31&gt;=A890))&gt;0,1,0))</f>
        <v/>
      </c>
      <c r="G890" t="str">
        <f t="shared" si="27"/>
        <v/>
      </c>
    </row>
    <row r="891" spans="1:7" x14ac:dyDescent="0.3">
      <c r="A891" s="21" t="str">
        <f>IF(A890="","",IF(A890+1&gt;Ввод!$B$4,"",A890+1))</f>
        <v/>
      </c>
      <c r="B891" s="23" t="str">
        <f>IF(A891="","",IFERROR(INDEX(Ввод!$B$12:$B$71,MATCH(A891,Ввод!$D$12:$D$71,1)),""))</f>
        <v/>
      </c>
      <c r="C891" t="str">
        <f t="shared" si="26"/>
        <v/>
      </c>
      <c r="D891" t="str">
        <f>IF(A891="","",SUMIFS(Акты!$D$5:$D$16,Акты!$E$5:$E$16,"&lt;="&amp;A891)-SUMIFS(Оплаты!$B$6:$B$505,Оплаты!$A$6:$A$505,"&lt;"&amp;A891,Оплаты!$D$6:$D$505,"&lt;&gt;"))</f>
        <v/>
      </c>
      <c r="E891" t="str">
        <f>IF(A891="","",IF(SUMPRODUCT((Ввод!$F$12:$F$31&lt;&gt;"")*(Ввод!$F$12:$F$31&lt;=A891)*(Ввод!$G$12:$G$31&gt;=A891))&gt;0,1,0))</f>
        <v/>
      </c>
      <c r="G891" t="str">
        <f t="shared" si="27"/>
        <v/>
      </c>
    </row>
    <row r="892" spans="1:7" x14ac:dyDescent="0.3">
      <c r="A892" s="21" t="str">
        <f>IF(A891="","",IF(A891+1&gt;Ввод!$B$4,"",A891+1))</f>
        <v/>
      </c>
      <c r="B892" s="23" t="str">
        <f>IF(A892="","",IFERROR(INDEX(Ввод!$B$12:$B$71,MATCH(A892,Ввод!$D$12:$D$71,1)),""))</f>
        <v/>
      </c>
      <c r="C892" t="str">
        <f t="shared" si="26"/>
        <v/>
      </c>
      <c r="D892" t="str">
        <f>IF(A892="","",SUMIFS(Акты!$D$5:$D$16,Акты!$E$5:$E$16,"&lt;="&amp;A892)-SUMIFS(Оплаты!$B$6:$B$505,Оплаты!$A$6:$A$505,"&lt;"&amp;A892,Оплаты!$D$6:$D$505,"&lt;&gt;"))</f>
        <v/>
      </c>
      <c r="E892" t="str">
        <f>IF(A892="","",IF(SUMPRODUCT((Ввод!$F$12:$F$31&lt;&gt;"")*(Ввод!$F$12:$F$31&lt;=A892)*(Ввод!$G$12:$G$31&gt;=A892))&gt;0,1,0))</f>
        <v/>
      </c>
      <c r="G892" t="str">
        <f t="shared" si="27"/>
        <v/>
      </c>
    </row>
    <row r="893" spans="1:7" x14ac:dyDescent="0.3">
      <c r="A893" s="21" t="str">
        <f>IF(A892="","",IF(A892+1&gt;Ввод!$B$4,"",A892+1))</f>
        <v/>
      </c>
      <c r="B893" s="23" t="str">
        <f>IF(A893="","",IFERROR(INDEX(Ввод!$B$12:$B$71,MATCH(A893,Ввод!$D$12:$D$71,1)),""))</f>
        <v/>
      </c>
      <c r="C893" t="str">
        <f t="shared" si="26"/>
        <v/>
      </c>
      <c r="D893" t="str">
        <f>IF(A893="","",SUMIFS(Акты!$D$5:$D$16,Акты!$E$5:$E$16,"&lt;="&amp;A893)-SUMIFS(Оплаты!$B$6:$B$505,Оплаты!$A$6:$A$505,"&lt;"&amp;A893,Оплаты!$D$6:$D$505,"&lt;&gt;"))</f>
        <v/>
      </c>
      <c r="E893" t="str">
        <f>IF(A893="","",IF(SUMPRODUCT((Ввод!$F$12:$F$31&lt;&gt;"")*(Ввод!$F$12:$F$31&lt;=A893)*(Ввод!$G$12:$G$31&gt;=A893))&gt;0,1,0))</f>
        <v/>
      </c>
      <c r="G893" t="str">
        <f t="shared" si="27"/>
        <v/>
      </c>
    </row>
    <row r="894" spans="1:7" x14ac:dyDescent="0.3">
      <c r="A894" s="21" t="str">
        <f>IF(A893="","",IF(A893+1&gt;Ввод!$B$4,"",A893+1))</f>
        <v/>
      </c>
      <c r="B894" s="23" t="str">
        <f>IF(A894="","",IFERROR(INDEX(Ввод!$B$12:$B$71,MATCH(A894,Ввод!$D$12:$D$71,1)),""))</f>
        <v/>
      </c>
      <c r="C894" t="str">
        <f t="shared" si="26"/>
        <v/>
      </c>
      <c r="D894" t="str">
        <f>IF(A894="","",SUMIFS(Акты!$D$5:$D$16,Акты!$E$5:$E$16,"&lt;="&amp;A894)-SUMIFS(Оплаты!$B$6:$B$505,Оплаты!$A$6:$A$505,"&lt;"&amp;A894,Оплаты!$D$6:$D$505,"&lt;&gt;"))</f>
        <v/>
      </c>
      <c r="E894" t="str">
        <f>IF(A894="","",IF(SUMPRODUCT((Ввод!$F$12:$F$31&lt;&gt;"")*(Ввод!$F$12:$F$31&lt;=A894)*(Ввод!$G$12:$G$31&gt;=A894))&gt;0,1,0))</f>
        <v/>
      </c>
      <c r="G894" t="str">
        <f t="shared" si="27"/>
        <v/>
      </c>
    </row>
    <row r="895" spans="1:7" x14ac:dyDescent="0.3">
      <c r="A895" s="21" t="str">
        <f>IF(A894="","",IF(A894+1&gt;Ввод!$B$4,"",A894+1))</f>
        <v/>
      </c>
      <c r="B895" s="23" t="str">
        <f>IF(A895="","",IFERROR(INDEX(Ввод!$B$12:$B$71,MATCH(A895,Ввод!$D$12:$D$71,1)),""))</f>
        <v/>
      </c>
      <c r="C895" t="str">
        <f t="shared" si="26"/>
        <v/>
      </c>
      <c r="D895" t="str">
        <f>IF(A895="","",SUMIFS(Акты!$D$5:$D$16,Акты!$E$5:$E$16,"&lt;="&amp;A895)-SUMIFS(Оплаты!$B$6:$B$505,Оплаты!$A$6:$A$505,"&lt;"&amp;A895,Оплаты!$D$6:$D$505,"&lt;&gt;"))</f>
        <v/>
      </c>
      <c r="E895" t="str">
        <f>IF(A895="","",IF(SUMPRODUCT((Ввод!$F$12:$F$31&lt;&gt;"")*(Ввод!$F$12:$F$31&lt;=A895)*(Ввод!$G$12:$G$31&gt;=A895))&gt;0,1,0))</f>
        <v/>
      </c>
      <c r="G895" t="str">
        <f t="shared" si="27"/>
        <v/>
      </c>
    </row>
    <row r="896" spans="1:7" x14ac:dyDescent="0.3">
      <c r="A896" s="21" t="str">
        <f>IF(A895="","",IF(A895+1&gt;Ввод!$B$4,"",A895+1))</f>
        <v/>
      </c>
      <c r="B896" s="23" t="str">
        <f>IF(A896="","",IFERROR(INDEX(Ввод!$B$12:$B$71,MATCH(A896,Ввод!$D$12:$D$71,1)),""))</f>
        <v/>
      </c>
      <c r="C896" t="str">
        <f t="shared" si="26"/>
        <v/>
      </c>
      <c r="D896" t="str">
        <f>IF(A896="","",SUMIFS(Акты!$D$5:$D$16,Акты!$E$5:$E$16,"&lt;="&amp;A896)-SUMIFS(Оплаты!$B$6:$B$505,Оплаты!$A$6:$A$505,"&lt;"&amp;A896,Оплаты!$D$6:$D$505,"&lt;&gt;"))</f>
        <v/>
      </c>
      <c r="E896" t="str">
        <f>IF(A896="","",IF(SUMPRODUCT((Ввод!$F$12:$F$31&lt;&gt;"")*(Ввод!$F$12:$F$31&lt;=A896)*(Ввод!$G$12:$G$31&gt;=A896))&gt;0,1,0))</f>
        <v/>
      </c>
      <c r="G896" t="str">
        <f t="shared" si="27"/>
        <v/>
      </c>
    </row>
    <row r="897" spans="1:7" x14ac:dyDescent="0.3">
      <c r="A897" s="21" t="str">
        <f>IF(A896="","",IF(A896+1&gt;Ввод!$B$4,"",A896+1))</f>
        <v/>
      </c>
      <c r="B897" s="23" t="str">
        <f>IF(A897="","",IFERROR(INDEX(Ввод!$B$12:$B$71,MATCH(A897,Ввод!$D$12:$D$71,1)),""))</f>
        <v/>
      </c>
      <c r="C897" t="str">
        <f t="shared" si="26"/>
        <v/>
      </c>
      <c r="D897" t="str">
        <f>IF(A897="","",SUMIFS(Акты!$D$5:$D$16,Акты!$E$5:$E$16,"&lt;="&amp;A897)-SUMIFS(Оплаты!$B$6:$B$505,Оплаты!$A$6:$A$505,"&lt;"&amp;A897,Оплаты!$D$6:$D$505,"&lt;&gt;"))</f>
        <v/>
      </c>
      <c r="E897" t="str">
        <f>IF(A897="","",IF(SUMPRODUCT((Ввод!$F$12:$F$31&lt;&gt;"")*(Ввод!$F$12:$F$31&lt;=A897)*(Ввод!$G$12:$G$31&gt;=A897))&gt;0,1,0))</f>
        <v/>
      </c>
      <c r="G897" t="str">
        <f t="shared" si="27"/>
        <v/>
      </c>
    </row>
    <row r="898" spans="1:7" x14ac:dyDescent="0.3">
      <c r="A898" s="21" t="str">
        <f>IF(A897="","",IF(A897+1&gt;Ввод!$B$4,"",A897+1))</f>
        <v/>
      </c>
      <c r="B898" s="23" t="str">
        <f>IF(A898="","",IFERROR(INDEX(Ввод!$B$12:$B$71,MATCH(A898,Ввод!$D$12:$D$71,1)),""))</f>
        <v/>
      </c>
      <c r="C898" t="str">
        <f t="shared" ref="C898:C961" si="28">IF(A898="","",DATE(YEAR(A898),12,31)-DATE(YEAR(A898),1,1)+1)</f>
        <v/>
      </c>
      <c r="D898" t="str">
        <f>IF(A898="","",SUMIFS(Акты!$D$5:$D$16,Акты!$E$5:$E$16,"&lt;="&amp;A898)-SUMIFS(Оплаты!$B$6:$B$505,Оплаты!$A$6:$A$505,"&lt;"&amp;A898,Оплаты!$D$6:$D$505,"&lt;&gt;"))</f>
        <v/>
      </c>
      <c r="E898" t="str">
        <f>IF(A898="","",IF(SUMPRODUCT((Ввод!$F$12:$F$31&lt;&gt;"")*(Ввод!$F$12:$F$31&lt;=A898)*(Ввод!$G$12:$G$31&gt;=A898))&gt;0,1,0))</f>
        <v/>
      </c>
      <c r="G898" t="str">
        <f t="shared" si="27"/>
        <v/>
      </c>
    </row>
    <row r="899" spans="1:7" x14ac:dyDescent="0.3">
      <c r="A899" s="21" t="str">
        <f>IF(A898="","",IF(A898+1&gt;Ввод!$B$4,"",A898+1))</f>
        <v/>
      </c>
      <c r="B899" s="23" t="str">
        <f>IF(A899="","",IFERROR(INDEX(Ввод!$B$12:$B$71,MATCH(A899,Ввод!$D$12:$D$71,1)),""))</f>
        <v/>
      </c>
      <c r="C899" t="str">
        <f t="shared" si="28"/>
        <v/>
      </c>
      <c r="D899" t="str">
        <f>IF(A899="","",SUMIFS(Акты!$D$5:$D$16,Акты!$E$5:$E$16,"&lt;="&amp;A899)-SUMIFS(Оплаты!$B$6:$B$505,Оплаты!$A$6:$A$505,"&lt;"&amp;A899,Оплаты!$D$6:$D$505,"&lt;&gt;"))</f>
        <v/>
      </c>
      <c r="E899" t="str">
        <f>IF(A899="","",IF(SUMPRODUCT((Ввод!$F$12:$F$31&lt;&gt;"")*(Ввод!$F$12:$F$31&lt;=A899)*(Ввод!$G$12:$G$31&gt;=A899))&gt;0,1,0))</f>
        <v/>
      </c>
      <c r="G899" t="str">
        <f t="shared" ref="G899:G962" si="29">IF(A899="","",IF(OR(B899&lt;&gt;B898,C899&lt;&gt;C898,E899&lt;&gt;E898),G898+1,G898))</f>
        <v/>
      </c>
    </row>
    <row r="900" spans="1:7" x14ac:dyDescent="0.3">
      <c r="A900" s="21" t="str">
        <f>IF(A899="","",IF(A899+1&gt;Ввод!$B$4,"",A899+1))</f>
        <v/>
      </c>
      <c r="B900" s="23" t="str">
        <f>IF(A900="","",IFERROR(INDEX(Ввод!$B$12:$B$71,MATCH(A900,Ввод!$D$12:$D$71,1)),""))</f>
        <v/>
      </c>
      <c r="C900" t="str">
        <f t="shared" si="28"/>
        <v/>
      </c>
      <c r="D900" t="str">
        <f>IF(A900="","",SUMIFS(Акты!$D$5:$D$16,Акты!$E$5:$E$16,"&lt;="&amp;A900)-SUMIFS(Оплаты!$B$6:$B$505,Оплаты!$A$6:$A$505,"&lt;"&amp;A900,Оплаты!$D$6:$D$505,"&lt;&gt;"))</f>
        <v/>
      </c>
      <c r="E900" t="str">
        <f>IF(A900="","",IF(SUMPRODUCT((Ввод!$F$12:$F$31&lt;&gt;"")*(Ввод!$F$12:$F$31&lt;=A900)*(Ввод!$G$12:$G$31&gt;=A900))&gt;0,1,0))</f>
        <v/>
      </c>
      <c r="G900" t="str">
        <f t="shared" si="29"/>
        <v/>
      </c>
    </row>
    <row r="901" spans="1:7" x14ac:dyDescent="0.3">
      <c r="A901" s="21" t="str">
        <f>IF(A900="","",IF(A900+1&gt;Ввод!$B$4,"",A900+1))</f>
        <v/>
      </c>
      <c r="B901" s="23" t="str">
        <f>IF(A901="","",IFERROR(INDEX(Ввод!$B$12:$B$71,MATCH(A901,Ввод!$D$12:$D$71,1)),""))</f>
        <v/>
      </c>
      <c r="C901" t="str">
        <f t="shared" si="28"/>
        <v/>
      </c>
      <c r="D901" t="str">
        <f>IF(A901="","",SUMIFS(Акты!$D$5:$D$16,Акты!$E$5:$E$16,"&lt;="&amp;A901)-SUMIFS(Оплаты!$B$6:$B$505,Оплаты!$A$6:$A$505,"&lt;"&amp;A901,Оплаты!$D$6:$D$505,"&lt;&gt;"))</f>
        <v/>
      </c>
      <c r="E901" t="str">
        <f>IF(A901="","",IF(SUMPRODUCT((Ввод!$F$12:$F$31&lt;&gt;"")*(Ввод!$F$12:$F$31&lt;=A901)*(Ввод!$G$12:$G$31&gt;=A901))&gt;0,1,0))</f>
        <v/>
      </c>
      <c r="G901" t="str">
        <f t="shared" si="29"/>
        <v/>
      </c>
    </row>
    <row r="902" spans="1:7" x14ac:dyDescent="0.3">
      <c r="A902" s="21" t="str">
        <f>IF(A901="","",IF(A901+1&gt;Ввод!$B$4,"",A901+1))</f>
        <v/>
      </c>
      <c r="B902" s="23" t="str">
        <f>IF(A902="","",IFERROR(INDEX(Ввод!$B$12:$B$71,MATCH(A902,Ввод!$D$12:$D$71,1)),""))</f>
        <v/>
      </c>
      <c r="C902" t="str">
        <f t="shared" si="28"/>
        <v/>
      </c>
      <c r="D902" t="str">
        <f>IF(A902="","",SUMIFS(Акты!$D$5:$D$16,Акты!$E$5:$E$16,"&lt;="&amp;A902)-SUMIFS(Оплаты!$B$6:$B$505,Оплаты!$A$6:$A$505,"&lt;"&amp;A902,Оплаты!$D$6:$D$505,"&lt;&gt;"))</f>
        <v/>
      </c>
      <c r="E902" t="str">
        <f>IF(A902="","",IF(SUMPRODUCT((Ввод!$F$12:$F$31&lt;&gt;"")*(Ввод!$F$12:$F$31&lt;=A902)*(Ввод!$G$12:$G$31&gt;=A902))&gt;0,1,0))</f>
        <v/>
      </c>
      <c r="G902" t="str">
        <f t="shared" si="29"/>
        <v/>
      </c>
    </row>
    <row r="903" spans="1:7" x14ac:dyDescent="0.3">
      <c r="A903" s="21" t="str">
        <f>IF(A902="","",IF(A902+1&gt;Ввод!$B$4,"",A902+1))</f>
        <v/>
      </c>
      <c r="B903" s="23" t="str">
        <f>IF(A903="","",IFERROR(INDEX(Ввод!$B$12:$B$71,MATCH(A903,Ввод!$D$12:$D$71,1)),""))</f>
        <v/>
      </c>
      <c r="C903" t="str">
        <f t="shared" si="28"/>
        <v/>
      </c>
      <c r="D903" t="str">
        <f>IF(A903="","",SUMIFS(Акты!$D$5:$D$16,Акты!$E$5:$E$16,"&lt;="&amp;A903)-SUMIFS(Оплаты!$B$6:$B$505,Оплаты!$A$6:$A$505,"&lt;"&amp;A903,Оплаты!$D$6:$D$505,"&lt;&gt;"))</f>
        <v/>
      </c>
      <c r="E903" t="str">
        <f>IF(A903="","",IF(SUMPRODUCT((Ввод!$F$12:$F$31&lt;&gt;"")*(Ввод!$F$12:$F$31&lt;=A903)*(Ввод!$G$12:$G$31&gt;=A903))&gt;0,1,0))</f>
        <v/>
      </c>
      <c r="G903" t="str">
        <f t="shared" si="29"/>
        <v/>
      </c>
    </row>
    <row r="904" spans="1:7" x14ac:dyDescent="0.3">
      <c r="A904" s="21" t="str">
        <f>IF(A903="","",IF(A903+1&gt;Ввод!$B$4,"",A903+1))</f>
        <v/>
      </c>
      <c r="B904" s="23" t="str">
        <f>IF(A904="","",IFERROR(INDEX(Ввод!$B$12:$B$71,MATCH(A904,Ввод!$D$12:$D$71,1)),""))</f>
        <v/>
      </c>
      <c r="C904" t="str">
        <f t="shared" si="28"/>
        <v/>
      </c>
      <c r="D904" t="str">
        <f>IF(A904="","",SUMIFS(Акты!$D$5:$D$16,Акты!$E$5:$E$16,"&lt;="&amp;A904)-SUMIFS(Оплаты!$B$6:$B$505,Оплаты!$A$6:$A$505,"&lt;"&amp;A904,Оплаты!$D$6:$D$505,"&lt;&gt;"))</f>
        <v/>
      </c>
      <c r="E904" t="str">
        <f>IF(A904="","",IF(SUMPRODUCT((Ввод!$F$12:$F$31&lt;&gt;"")*(Ввод!$F$12:$F$31&lt;=A904)*(Ввод!$G$12:$G$31&gt;=A904))&gt;0,1,0))</f>
        <v/>
      </c>
      <c r="G904" t="str">
        <f t="shared" si="29"/>
        <v/>
      </c>
    </row>
    <row r="905" spans="1:7" x14ac:dyDescent="0.3">
      <c r="A905" s="21" t="str">
        <f>IF(A904="","",IF(A904+1&gt;Ввод!$B$4,"",A904+1))</f>
        <v/>
      </c>
      <c r="B905" s="23" t="str">
        <f>IF(A905="","",IFERROR(INDEX(Ввод!$B$12:$B$71,MATCH(A905,Ввод!$D$12:$D$71,1)),""))</f>
        <v/>
      </c>
      <c r="C905" t="str">
        <f t="shared" si="28"/>
        <v/>
      </c>
      <c r="D905" t="str">
        <f>IF(A905="","",SUMIFS(Акты!$D$5:$D$16,Акты!$E$5:$E$16,"&lt;="&amp;A905)-SUMIFS(Оплаты!$B$6:$B$505,Оплаты!$A$6:$A$505,"&lt;"&amp;A905,Оплаты!$D$6:$D$505,"&lt;&gt;"))</f>
        <v/>
      </c>
      <c r="E905" t="str">
        <f>IF(A905="","",IF(SUMPRODUCT((Ввод!$F$12:$F$31&lt;&gt;"")*(Ввод!$F$12:$F$31&lt;=A905)*(Ввод!$G$12:$G$31&gt;=A905))&gt;0,1,0))</f>
        <v/>
      </c>
      <c r="G905" t="str">
        <f t="shared" si="29"/>
        <v/>
      </c>
    </row>
    <row r="906" spans="1:7" x14ac:dyDescent="0.3">
      <c r="A906" s="21" t="str">
        <f>IF(A905="","",IF(A905+1&gt;Ввод!$B$4,"",A905+1))</f>
        <v/>
      </c>
      <c r="B906" s="23" t="str">
        <f>IF(A906="","",IFERROR(INDEX(Ввод!$B$12:$B$71,MATCH(A906,Ввод!$D$12:$D$71,1)),""))</f>
        <v/>
      </c>
      <c r="C906" t="str">
        <f t="shared" si="28"/>
        <v/>
      </c>
      <c r="D906" t="str">
        <f>IF(A906="","",SUMIFS(Акты!$D$5:$D$16,Акты!$E$5:$E$16,"&lt;="&amp;A906)-SUMIFS(Оплаты!$B$6:$B$505,Оплаты!$A$6:$A$505,"&lt;"&amp;A906,Оплаты!$D$6:$D$505,"&lt;&gt;"))</f>
        <v/>
      </c>
      <c r="E906" t="str">
        <f>IF(A906="","",IF(SUMPRODUCT((Ввод!$F$12:$F$31&lt;&gt;"")*(Ввод!$F$12:$F$31&lt;=A906)*(Ввод!$G$12:$G$31&gt;=A906))&gt;0,1,0))</f>
        <v/>
      </c>
      <c r="G906" t="str">
        <f t="shared" si="29"/>
        <v/>
      </c>
    </row>
    <row r="907" spans="1:7" x14ac:dyDescent="0.3">
      <c r="A907" s="21" t="str">
        <f>IF(A906="","",IF(A906+1&gt;Ввод!$B$4,"",A906+1))</f>
        <v/>
      </c>
      <c r="B907" s="23" t="str">
        <f>IF(A907="","",IFERROR(INDEX(Ввод!$B$12:$B$71,MATCH(A907,Ввод!$D$12:$D$71,1)),""))</f>
        <v/>
      </c>
      <c r="C907" t="str">
        <f t="shared" si="28"/>
        <v/>
      </c>
      <c r="D907" t="str">
        <f>IF(A907="","",SUMIFS(Акты!$D$5:$D$16,Акты!$E$5:$E$16,"&lt;="&amp;A907)-SUMIFS(Оплаты!$B$6:$B$505,Оплаты!$A$6:$A$505,"&lt;"&amp;A907,Оплаты!$D$6:$D$505,"&lt;&gt;"))</f>
        <v/>
      </c>
      <c r="E907" t="str">
        <f>IF(A907="","",IF(SUMPRODUCT((Ввод!$F$12:$F$31&lt;&gt;"")*(Ввод!$F$12:$F$31&lt;=A907)*(Ввод!$G$12:$G$31&gt;=A907))&gt;0,1,0))</f>
        <v/>
      </c>
      <c r="G907" t="str">
        <f t="shared" si="29"/>
        <v/>
      </c>
    </row>
    <row r="908" spans="1:7" x14ac:dyDescent="0.3">
      <c r="A908" s="21" t="str">
        <f>IF(A907="","",IF(A907+1&gt;Ввод!$B$4,"",A907+1))</f>
        <v/>
      </c>
      <c r="B908" s="23" t="str">
        <f>IF(A908="","",IFERROR(INDEX(Ввод!$B$12:$B$71,MATCH(A908,Ввод!$D$12:$D$71,1)),""))</f>
        <v/>
      </c>
      <c r="C908" t="str">
        <f t="shared" si="28"/>
        <v/>
      </c>
      <c r="D908" t="str">
        <f>IF(A908="","",SUMIFS(Акты!$D$5:$D$16,Акты!$E$5:$E$16,"&lt;="&amp;A908)-SUMIFS(Оплаты!$B$6:$B$505,Оплаты!$A$6:$A$505,"&lt;"&amp;A908,Оплаты!$D$6:$D$505,"&lt;&gt;"))</f>
        <v/>
      </c>
      <c r="E908" t="str">
        <f>IF(A908="","",IF(SUMPRODUCT((Ввод!$F$12:$F$31&lt;&gt;"")*(Ввод!$F$12:$F$31&lt;=A908)*(Ввод!$G$12:$G$31&gt;=A908))&gt;0,1,0))</f>
        <v/>
      </c>
      <c r="G908" t="str">
        <f t="shared" si="29"/>
        <v/>
      </c>
    </row>
    <row r="909" spans="1:7" x14ac:dyDescent="0.3">
      <c r="A909" s="21" t="str">
        <f>IF(A908="","",IF(A908+1&gt;Ввод!$B$4,"",A908+1))</f>
        <v/>
      </c>
      <c r="B909" s="23" t="str">
        <f>IF(A909="","",IFERROR(INDEX(Ввод!$B$12:$B$71,MATCH(A909,Ввод!$D$12:$D$71,1)),""))</f>
        <v/>
      </c>
      <c r="C909" t="str">
        <f t="shared" si="28"/>
        <v/>
      </c>
      <c r="D909" t="str">
        <f>IF(A909="","",SUMIFS(Акты!$D$5:$D$16,Акты!$E$5:$E$16,"&lt;="&amp;A909)-SUMIFS(Оплаты!$B$6:$B$505,Оплаты!$A$6:$A$505,"&lt;"&amp;A909,Оплаты!$D$6:$D$505,"&lt;&gt;"))</f>
        <v/>
      </c>
      <c r="E909" t="str">
        <f>IF(A909="","",IF(SUMPRODUCT((Ввод!$F$12:$F$31&lt;&gt;"")*(Ввод!$F$12:$F$31&lt;=A909)*(Ввод!$G$12:$G$31&gt;=A909))&gt;0,1,0))</f>
        <v/>
      </c>
      <c r="G909" t="str">
        <f t="shared" si="29"/>
        <v/>
      </c>
    </row>
    <row r="910" spans="1:7" x14ac:dyDescent="0.3">
      <c r="A910" s="21" t="str">
        <f>IF(A909="","",IF(A909+1&gt;Ввод!$B$4,"",A909+1))</f>
        <v/>
      </c>
      <c r="B910" s="23" t="str">
        <f>IF(A910="","",IFERROR(INDEX(Ввод!$B$12:$B$71,MATCH(A910,Ввод!$D$12:$D$71,1)),""))</f>
        <v/>
      </c>
      <c r="C910" t="str">
        <f t="shared" si="28"/>
        <v/>
      </c>
      <c r="D910" t="str">
        <f>IF(A910="","",SUMIFS(Акты!$D$5:$D$16,Акты!$E$5:$E$16,"&lt;="&amp;A910)-SUMIFS(Оплаты!$B$6:$B$505,Оплаты!$A$6:$A$505,"&lt;"&amp;A910,Оплаты!$D$6:$D$505,"&lt;&gt;"))</f>
        <v/>
      </c>
      <c r="E910" t="str">
        <f>IF(A910="","",IF(SUMPRODUCT((Ввод!$F$12:$F$31&lt;&gt;"")*(Ввод!$F$12:$F$31&lt;=A910)*(Ввод!$G$12:$G$31&gt;=A910))&gt;0,1,0))</f>
        <v/>
      </c>
      <c r="G910" t="str">
        <f t="shared" si="29"/>
        <v/>
      </c>
    </row>
    <row r="911" spans="1:7" x14ac:dyDescent="0.3">
      <c r="A911" s="21" t="str">
        <f>IF(A910="","",IF(A910+1&gt;Ввод!$B$4,"",A910+1))</f>
        <v/>
      </c>
      <c r="B911" s="23" t="str">
        <f>IF(A911="","",IFERROR(INDEX(Ввод!$B$12:$B$71,MATCH(A911,Ввод!$D$12:$D$71,1)),""))</f>
        <v/>
      </c>
      <c r="C911" t="str">
        <f t="shared" si="28"/>
        <v/>
      </c>
      <c r="D911" t="str">
        <f>IF(A911="","",SUMIFS(Акты!$D$5:$D$16,Акты!$E$5:$E$16,"&lt;="&amp;A911)-SUMIFS(Оплаты!$B$6:$B$505,Оплаты!$A$6:$A$505,"&lt;"&amp;A911,Оплаты!$D$6:$D$505,"&lt;&gt;"))</f>
        <v/>
      </c>
      <c r="E911" t="str">
        <f>IF(A911="","",IF(SUMPRODUCT((Ввод!$F$12:$F$31&lt;&gt;"")*(Ввод!$F$12:$F$31&lt;=A911)*(Ввод!$G$12:$G$31&gt;=A911))&gt;0,1,0))</f>
        <v/>
      </c>
      <c r="G911" t="str">
        <f t="shared" si="29"/>
        <v/>
      </c>
    </row>
    <row r="912" spans="1:7" x14ac:dyDescent="0.3">
      <c r="A912" s="21" t="str">
        <f>IF(A911="","",IF(A911+1&gt;Ввод!$B$4,"",A911+1))</f>
        <v/>
      </c>
      <c r="B912" s="23" t="str">
        <f>IF(A912="","",IFERROR(INDEX(Ввод!$B$12:$B$71,MATCH(A912,Ввод!$D$12:$D$71,1)),""))</f>
        <v/>
      </c>
      <c r="C912" t="str">
        <f t="shared" si="28"/>
        <v/>
      </c>
      <c r="D912" t="str">
        <f>IF(A912="","",SUMIFS(Акты!$D$5:$D$16,Акты!$E$5:$E$16,"&lt;="&amp;A912)-SUMIFS(Оплаты!$B$6:$B$505,Оплаты!$A$6:$A$505,"&lt;"&amp;A912,Оплаты!$D$6:$D$505,"&lt;&gt;"))</f>
        <v/>
      </c>
      <c r="E912" t="str">
        <f>IF(A912="","",IF(SUMPRODUCT((Ввод!$F$12:$F$31&lt;&gt;"")*(Ввод!$F$12:$F$31&lt;=A912)*(Ввод!$G$12:$G$31&gt;=A912))&gt;0,1,0))</f>
        <v/>
      </c>
      <c r="G912" t="str">
        <f t="shared" si="29"/>
        <v/>
      </c>
    </row>
    <row r="913" spans="1:7" x14ac:dyDescent="0.3">
      <c r="A913" s="21" t="str">
        <f>IF(A912="","",IF(A912+1&gt;Ввод!$B$4,"",A912+1))</f>
        <v/>
      </c>
      <c r="B913" s="23" t="str">
        <f>IF(A913="","",IFERROR(INDEX(Ввод!$B$12:$B$71,MATCH(A913,Ввод!$D$12:$D$71,1)),""))</f>
        <v/>
      </c>
      <c r="C913" t="str">
        <f t="shared" si="28"/>
        <v/>
      </c>
      <c r="D913" t="str">
        <f>IF(A913="","",SUMIFS(Акты!$D$5:$D$16,Акты!$E$5:$E$16,"&lt;="&amp;A913)-SUMIFS(Оплаты!$B$6:$B$505,Оплаты!$A$6:$A$505,"&lt;"&amp;A913,Оплаты!$D$6:$D$505,"&lt;&gt;"))</f>
        <v/>
      </c>
      <c r="E913" t="str">
        <f>IF(A913="","",IF(SUMPRODUCT((Ввод!$F$12:$F$31&lt;&gt;"")*(Ввод!$F$12:$F$31&lt;=A913)*(Ввод!$G$12:$G$31&gt;=A913))&gt;0,1,0))</f>
        <v/>
      </c>
      <c r="G913" t="str">
        <f t="shared" si="29"/>
        <v/>
      </c>
    </row>
    <row r="914" spans="1:7" x14ac:dyDescent="0.3">
      <c r="A914" s="21" t="str">
        <f>IF(A913="","",IF(A913+1&gt;Ввод!$B$4,"",A913+1))</f>
        <v/>
      </c>
      <c r="B914" s="23" t="str">
        <f>IF(A914="","",IFERROR(INDEX(Ввод!$B$12:$B$71,MATCH(A914,Ввод!$D$12:$D$71,1)),""))</f>
        <v/>
      </c>
      <c r="C914" t="str">
        <f t="shared" si="28"/>
        <v/>
      </c>
      <c r="D914" t="str">
        <f>IF(A914="","",SUMIFS(Акты!$D$5:$D$16,Акты!$E$5:$E$16,"&lt;="&amp;A914)-SUMIFS(Оплаты!$B$6:$B$505,Оплаты!$A$6:$A$505,"&lt;"&amp;A914,Оплаты!$D$6:$D$505,"&lt;&gt;"))</f>
        <v/>
      </c>
      <c r="E914" t="str">
        <f>IF(A914="","",IF(SUMPRODUCT((Ввод!$F$12:$F$31&lt;&gt;"")*(Ввод!$F$12:$F$31&lt;=A914)*(Ввод!$G$12:$G$31&gt;=A914))&gt;0,1,0))</f>
        <v/>
      </c>
      <c r="G914" t="str">
        <f t="shared" si="29"/>
        <v/>
      </c>
    </row>
    <row r="915" spans="1:7" x14ac:dyDescent="0.3">
      <c r="A915" s="21" t="str">
        <f>IF(A914="","",IF(A914+1&gt;Ввод!$B$4,"",A914+1))</f>
        <v/>
      </c>
      <c r="B915" s="23" t="str">
        <f>IF(A915="","",IFERROR(INDEX(Ввод!$B$12:$B$71,MATCH(A915,Ввод!$D$12:$D$71,1)),""))</f>
        <v/>
      </c>
      <c r="C915" t="str">
        <f t="shared" si="28"/>
        <v/>
      </c>
      <c r="D915" t="str">
        <f>IF(A915="","",SUMIFS(Акты!$D$5:$D$16,Акты!$E$5:$E$16,"&lt;="&amp;A915)-SUMIFS(Оплаты!$B$6:$B$505,Оплаты!$A$6:$A$505,"&lt;"&amp;A915,Оплаты!$D$6:$D$505,"&lt;&gt;"))</f>
        <v/>
      </c>
      <c r="E915" t="str">
        <f>IF(A915="","",IF(SUMPRODUCT((Ввод!$F$12:$F$31&lt;&gt;"")*(Ввод!$F$12:$F$31&lt;=A915)*(Ввод!$G$12:$G$31&gt;=A915))&gt;0,1,0))</f>
        <v/>
      </c>
      <c r="G915" t="str">
        <f t="shared" si="29"/>
        <v/>
      </c>
    </row>
    <row r="916" spans="1:7" x14ac:dyDescent="0.3">
      <c r="A916" s="21" t="str">
        <f>IF(A915="","",IF(A915+1&gt;Ввод!$B$4,"",A915+1))</f>
        <v/>
      </c>
      <c r="B916" s="23" t="str">
        <f>IF(A916="","",IFERROR(INDEX(Ввод!$B$12:$B$71,MATCH(A916,Ввод!$D$12:$D$71,1)),""))</f>
        <v/>
      </c>
      <c r="C916" t="str">
        <f t="shared" si="28"/>
        <v/>
      </c>
      <c r="D916" t="str">
        <f>IF(A916="","",SUMIFS(Акты!$D$5:$D$16,Акты!$E$5:$E$16,"&lt;="&amp;A916)-SUMIFS(Оплаты!$B$6:$B$505,Оплаты!$A$6:$A$505,"&lt;"&amp;A916,Оплаты!$D$6:$D$505,"&lt;&gt;"))</f>
        <v/>
      </c>
      <c r="E916" t="str">
        <f>IF(A916="","",IF(SUMPRODUCT((Ввод!$F$12:$F$31&lt;&gt;"")*(Ввод!$F$12:$F$31&lt;=A916)*(Ввод!$G$12:$G$31&gt;=A916))&gt;0,1,0))</f>
        <v/>
      </c>
      <c r="G916" t="str">
        <f t="shared" si="29"/>
        <v/>
      </c>
    </row>
    <row r="917" spans="1:7" x14ac:dyDescent="0.3">
      <c r="A917" s="21" t="str">
        <f>IF(A916="","",IF(A916+1&gt;Ввод!$B$4,"",A916+1))</f>
        <v/>
      </c>
      <c r="B917" s="23" t="str">
        <f>IF(A917="","",IFERROR(INDEX(Ввод!$B$12:$B$71,MATCH(A917,Ввод!$D$12:$D$71,1)),""))</f>
        <v/>
      </c>
      <c r="C917" t="str">
        <f t="shared" si="28"/>
        <v/>
      </c>
      <c r="D917" t="str">
        <f>IF(A917="","",SUMIFS(Акты!$D$5:$D$16,Акты!$E$5:$E$16,"&lt;="&amp;A917)-SUMIFS(Оплаты!$B$6:$B$505,Оплаты!$A$6:$A$505,"&lt;"&amp;A917,Оплаты!$D$6:$D$505,"&lt;&gt;"))</f>
        <v/>
      </c>
      <c r="E917" t="str">
        <f>IF(A917="","",IF(SUMPRODUCT((Ввод!$F$12:$F$31&lt;&gt;"")*(Ввод!$F$12:$F$31&lt;=A917)*(Ввод!$G$12:$G$31&gt;=A917))&gt;0,1,0))</f>
        <v/>
      </c>
      <c r="G917" t="str">
        <f t="shared" si="29"/>
        <v/>
      </c>
    </row>
    <row r="918" spans="1:7" x14ac:dyDescent="0.3">
      <c r="A918" s="21" t="str">
        <f>IF(A917="","",IF(A917+1&gt;Ввод!$B$4,"",A917+1))</f>
        <v/>
      </c>
      <c r="B918" s="23" t="str">
        <f>IF(A918="","",IFERROR(INDEX(Ввод!$B$12:$B$71,MATCH(A918,Ввод!$D$12:$D$71,1)),""))</f>
        <v/>
      </c>
      <c r="C918" t="str">
        <f t="shared" si="28"/>
        <v/>
      </c>
      <c r="D918" t="str">
        <f>IF(A918="","",SUMIFS(Акты!$D$5:$D$16,Акты!$E$5:$E$16,"&lt;="&amp;A918)-SUMIFS(Оплаты!$B$6:$B$505,Оплаты!$A$6:$A$505,"&lt;"&amp;A918,Оплаты!$D$6:$D$505,"&lt;&gt;"))</f>
        <v/>
      </c>
      <c r="E918" t="str">
        <f>IF(A918="","",IF(SUMPRODUCT((Ввод!$F$12:$F$31&lt;&gt;"")*(Ввод!$F$12:$F$31&lt;=A918)*(Ввод!$G$12:$G$31&gt;=A918))&gt;0,1,0))</f>
        <v/>
      </c>
      <c r="G918" t="str">
        <f t="shared" si="29"/>
        <v/>
      </c>
    </row>
    <row r="919" spans="1:7" x14ac:dyDescent="0.3">
      <c r="A919" s="21" t="str">
        <f>IF(A918="","",IF(A918+1&gt;Ввод!$B$4,"",A918+1))</f>
        <v/>
      </c>
      <c r="B919" s="23" t="str">
        <f>IF(A919="","",IFERROR(INDEX(Ввод!$B$12:$B$71,MATCH(A919,Ввод!$D$12:$D$71,1)),""))</f>
        <v/>
      </c>
      <c r="C919" t="str">
        <f t="shared" si="28"/>
        <v/>
      </c>
      <c r="D919" t="str">
        <f>IF(A919="","",SUMIFS(Акты!$D$5:$D$16,Акты!$E$5:$E$16,"&lt;="&amp;A919)-SUMIFS(Оплаты!$B$6:$B$505,Оплаты!$A$6:$A$505,"&lt;"&amp;A919,Оплаты!$D$6:$D$505,"&lt;&gt;"))</f>
        <v/>
      </c>
      <c r="E919" t="str">
        <f>IF(A919="","",IF(SUMPRODUCT((Ввод!$F$12:$F$31&lt;&gt;"")*(Ввод!$F$12:$F$31&lt;=A919)*(Ввод!$G$12:$G$31&gt;=A919))&gt;0,1,0))</f>
        <v/>
      </c>
      <c r="G919" t="str">
        <f t="shared" si="29"/>
        <v/>
      </c>
    </row>
    <row r="920" spans="1:7" x14ac:dyDescent="0.3">
      <c r="A920" s="21" t="str">
        <f>IF(A919="","",IF(A919+1&gt;Ввод!$B$4,"",A919+1))</f>
        <v/>
      </c>
      <c r="B920" s="23" t="str">
        <f>IF(A920="","",IFERROR(INDEX(Ввод!$B$12:$B$71,MATCH(A920,Ввод!$D$12:$D$71,1)),""))</f>
        <v/>
      </c>
      <c r="C920" t="str">
        <f t="shared" si="28"/>
        <v/>
      </c>
      <c r="D920" t="str">
        <f>IF(A920="","",SUMIFS(Акты!$D$5:$D$16,Акты!$E$5:$E$16,"&lt;="&amp;A920)-SUMIFS(Оплаты!$B$6:$B$505,Оплаты!$A$6:$A$505,"&lt;"&amp;A920,Оплаты!$D$6:$D$505,"&lt;&gt;"))</f>
        <v/>
      </c>
      <c r="E920" t="str">
        <f>IF(A920="","",IF(SUMPRODUCT((Ввод!$F$12:$F$31&lt;&gt;"")*(Ввод!$F$12:$F$31&lt;=A920)*(Ввод!$G$12:$G$31&gt;=A920))&gt;0,1,0))</f>
        <v/>
      </c>
      <c r="G920" t="str">
        <f t="shared" si="29"/>
        <v/>
      </c>
    </row>
    <row r="921" spans="1:7" x14ac:dyDescent="0.3">
      <c r="A921" s="21" t="str">
        <f>IF(A920="","",IF(A920+1&gt;Ввод!$B$4,"",A920+1))</f>
        <v/>
      </c>
      <c r="B921" s="23" t="str">
        <f>IF(A921="","",IFERROR(INDEX(Ввод!$B$12:$B$71,MATCH(A921,Ввод!$D$12:$D$71,1)),""))</f>
        <v/>
      </c>
      <c r="C921" t="str">
        <f t="shared" si="28"/>
        <v/>
      </c>
      <c r="D921" t="str">
        <f>IF(A921="","",SUMIFS(Акты!$D$5:$D$16,Акты!$E$5:$E$16,"&lt;="&amp;A921)-SUMIFS(Оплаты!$B$6:$B$505,Оплаты!$A$6:$A$505,"&lt;"&amp;A921,Оплаты!$D$6:$D$505,"&lt;&gt;"))</f>
        <v/>
      </c>
      <c r="E921" t="str">
        <f>IF(A921="","",IF(SUMPRODUCT((Ввод!$F$12:$F$31&lt;&gt;"")*(Ввод!$F$12:$F$31&lt;=A921)*(Ввод!$G$12:$G$31&gt;=A921))&gt;0,1,0))</f>
        <v/>
      </c>
      <c r="G921" t="str">
        <f t="shared" si="29"/>
        <v/>
      </c>
    </row>
    <row r="922" spans="1:7" x14ac:dyDescent="0.3">
      <c r="A922" s="21" t="str">
        <f>IF(A921="","",IF(A921+1&gt;Ввод!$B$4,"",A921+1))</f>
        <v/>
      </c>
      <c r="B922" s="23" t="str">
        <f>IF(A922="","",IFERROR(INDEX(Ввод!$B$12:$B$71,MATCH(A922,Ввод!$D$12:$D$71,1)),""))</f>
        <v/>
      </c>
      <c r="C922" t="str">
        <f t="shared" si="28"/>
        <v/>
      </c>
      <c r="D922" t="str">
        <f>IF(A922="","",SUMIFS(Акты!$D$5:$D$16,Акты!$E$5:$E$16,"&lt;="&amp;A922)-SUMIFS(Оплаты!$B$6:$B$505,Оплаты!$A$6:$A$505,"&lt;"&amp;A922,Оплаты!$D$6:$D$505,"&lt;&gt;"))</f>
        <v/>
      </c>
      <c r="E922" t="str">
        <f>IF(A922="","",IF(SUMPRODUCT((Ввод!$F$12:$F$31&lt;&gt;"")*(Ввод!$F$12:$F$31&lt;=A922)*(Ввод!$G$12:$G$31&gt;=A922))&gt;0,1,0))</f>
        <v/>
      </c>
      <c r="G922" t="str">
        <f t="shared" si="29"/>
        <v/>
      </c>
    </row>
    <row r="923" spans="1:7" x14ac:dyDescent="0.3">
      <c r="A923" s="21" t="str">
        <f>IF(A922="","",IF(A922+1&gt;Ввод!$B$4,"",A922+1))</f>
        <v/>
      </c>
      <c r="B923" s="23" t="str">
        <f>IF(A923="","",IFERROR(INDEX(Ввод!$B$12:$B$71,MATCH(A923,Ввод!$D$12:$D$71,1)),""))</f>
        <v/>
      </c>
      <c r="C923" t="str">
        <f t="shared" si="28"/>
        <v/>
      </c>
      <c r="D923" t="str">
        <f>IF(A923="","",SUMIFS(Акты!$D$5:$D$16,Акты!$E$5:$E$16,"&lt;="&amp;A923)-SUMIFS(Оплаты!$B$6:$B$505,Оплаты!$A$6:$A$505,"&lt;"&amp;A923,Оплаты!$D$6:$D$505,"&lt;&gt;"))</f>
        <v/>
      </c>
      <c r="E923" t="str">
        <f>IF(A923="","",IF(SUMPRODUCT((Ввод!$F$12:$F$31&lt;&gt;"")*(Ввод!$F$12:$F$31&lt;=A923)*(Ввод!$G$12:$G$31&gt;=A923))&gt;0,1,0))</f>
        <v/>
      </c>
      <c r="G923" t="str">
        <f t="shared" si="29"/>
        <v/>
      </c>
    </row>
    <row r="924" spans="1:7" x14ac:dyDescent="0.3">
      <c r="A924" s="21" t="str">
        <f>IF(A923="","",IF(A923+1&gt;Ввод!$B$4,"",A923+1))</f>
        <v/>
      </c>
      <c r="B924" s="23" t="str">
        <f>IF(A924="","",IFERROR(INDEX(Ввод!$B$12:$B$71,MATCH(A924,Ввод!$D$12:$D$71,1)),""))</f>
        <v/>
      </c>
      <c r="C924" t="str">
        <f t="shared" si="28"/>
        <v/>
      </c>
      <c r="D924" t="str">
        <f>IF(A924="","",SUMIFS(Акты!$D$5:$D$16,Акты!$E$5:$E$16,"&lt;="&amp;A924)-SUMIFS(Оплаты!$B$6:$B$505,Оплаты!$A$6:$A$505,"&lt;"&amp;A924,Оплаты!$D$6:$D$505,"&lt;&gt;"))</f>
        <v/>
      </c>
      <c r="E924" t="str">
        <f>IF(A924="","",IF(SUMPRODUCT((Ввод!$F$12:$F$31&lt;&gt;"")*(Ввод!$F$12:$F$31&lt;=A924)*(Ввод!$G$12:$G$31&gt;=A924))&gt;0,1,0))</f>
        <v/>
      </c>
      <c r="G924" t="str">
        <f t="shared" si="29"/>
        <v/>
      </c>
    </row>
    <row r="925" spans="1:7" x14ac:dyDescent="0.3">
      <c r="A925" s="21" t="str">
        <f>IF(A924="","",IF(A924+1&gt;Ввод!$B$4,"",A924+1))</f>
        <v/>
      </c>
      <c r="B925" s="23" t="str">
        <f>IF(A925="","",IFERROR(INDEX(Ввод!$B$12:$B$71,MATCH(A925,Ввод!$D$12:$D$71,1)),""))</f>
        <v/>
      </c>
      <c r="C925" t="str">
        <f t="shared" si="28"/>
        <v/>
      </c>
      <c r="D925" t="str">
        <f>IF(A925="","",SUMIFS(Акты!$D$5:$D$16,Акты!$E$5:$E$16,"&lt;="&amp;A925)-SUMIFS(Оплаты!$B$6:$B$505,Оплаты!$A$6:$A$505,"&lt;"&amp;A925,Оплаты!$D$6:$D$505,"&lt;&gt;"))</f>
        <v/>
      </c>
      <c r="E925" t="str">
        <f>IF(A925="","",IF(SUMPRODUCT((Ввод!$F$12:$F$31&lt;&gt;"")*(Ввод!$F$12:$F$31&lt;=A925)*(Ввод!$G$12:$G$31&gt;=A925))&gt;0,1,0))</f>
        <v/>
      </c>
      <c r="G925" t="str">
        <f t="shared" si="29"/>
        <v/>
      </c>
    </row>
    <row r="926" spans="1:7" x14ac:dyDescent="0.3">
      <c r="A926" s="21" t="str">
        <f>IF(A925="","",IF(A925+1&gt;Ввод!$B$4,"",A925+1))</f>
        <v/>
      </c>
      <c r="B926" s="23" t="str">
        <f>IF(A926="","",IFERROR(INDEX(Ввод!$B$12:$B$71,MATCH(A926,Ввод!$D$12:$D$71,1)),""))</f>
        <v/>
      </c>
      <c r="C926" t="str">
        <f t="shared" si="28"/>
        <v/>
      </c>
      <c r="D926" t="str">
        <f>IF(A926="","",SUMIFS(Акты!$D$5:$D$16,Акты!$E$5:$E$16,"&lt;="&amp;A926)-SUMIFS(Оплаты!$B$6:$B$505,Оплаты!$A$6:$A$505,"&lt;"&amp;A926,Оплаты!$D$6:$D$505,"&lt;&gt;"))</f>
        <v/>
      </c>
      <c r="E926" t="str">
        <f>IF(A926="","",IF(SUMPRODUCT((Ввод!$F$12:$F$31&lt;&gt;"")*(Ввод!$F$12:$F$31&lt;=A926)*(Ввод!$G$12:$G$31&gt;=A926))&gt;0,1,0))</f>
        <v/>
      </c>
      <c r="G926" t="str">
        <f t="shared" si="29"/>
        <v/>
      </c>
    </row>
    <row r="927" spans="1:7" x14ac:dyDescent="0.3">
      <c r="A927" s="21" t="str">
        <f>IF(A926="","",IF(A926+1&gt;Ввод!$B$4,"",A926+1))</f>
        <v/>
      </c>
      <c r="B927" s="23" t="str">
        <f>IF(A927="","",IFERROR(INDEX(Ввод!$B$12:$B$71,MATCH(A927,Ввод!$D$12:$D$71,1)),""))</f>
        <v/>
      </c>
      <c r="C927" t="str">
        <f t="shared" si="28"/>
        <v/>
      </c>
      <c r="D927" t="str">
        <f>IF(A927="","",SUMIFS(Акты!$D$5:$D$16,Акты!$E$5:$E$16,"&lt;="&amp;A927)-SUMIFS(Оплаты!$B$6:$B$505,Оплаты!$A$6:$A$505,"&lt;"&amp;A927,Оплаты!$D$6:$D$505,"&lt;&gt;"))</f>
        <v/>
      </c>
      <c r="E927" t="str">
        <f>IF(A927="","",IF(SUMPRODUCT((Ввод!$F$12:$F$31&lt;&gt;"")*(Ввод!$F$12:$F$31&lt;=A927)*(Ввод!$G$12:$G$31&gt;=A927))&gt;0,1,0))</f>
        <v/>
      </c>
      <c r="G927" t="str">
        <f t="shared" si="29"/>
        <v/>
      </c>
    </row>
    <row r="928" spans="1:7" x14ac:dyDescent="0.3">
      <c r="A928" s="21" t="str">
        <f>IF(A927="","",IF(A927+1&gt;Ввод!$B$4,"",A927+1))</f>
        <v/>
      </c>
      <c r="B928" s="23" t="str">
        <f>IF(A928="","",IFERROR(INDEX(Ввод!$B$12:$B$71,MATCH(A928,Ввод!$D$12:$D$71,1)),""))</f>
        <v/>
      </c>
      <c r="C928" t="str">
        <f t="shared" si="28"/>
        <v/>
      </c>
      <c r="D928" t="str">
        <f>IF(A928="","",SUMIFS(Акты!$D$5:$D$16,Акты!$E$5:$E$16,"&lt;="&amp;A928)-SUMIFS(Оплаты!$B$6:$B$505,Оплаты!$A$6:$A$505,"&lt;"&amp;A928,Оплаты!$D$6:$D$505,"&lt;&gt;"))</f>
        <v/>
      </c>
      <c r="E928" t="str">
        <f>IF(A928="","",IF(SUMPRODUCT((Ввод!$F$12:$F$31&lt;&gt;"")*(Ввод!$F$12:$F$31&lt;=A928)*(Ввод!$G$12:$G$31&gt;=A928))&gt;0,1,0))</f>
        <v/>
      </c>
      <c r="G928" t="str">
        <f t="shared" si="29"/>
        <v/>
      </c>
    </row>
    <row r="929" spans="1:7" x14ac:dyDescent="0.3">
      <c r="A929" s="21" t="str">
        <f>IF(A928="","",IF(A928+1&gt;Ввод!$B$4,"",A928+1))</f>
        <v/>
      </c>
      <c r="B929" s="23" t="str">
        <f>IF(A929="","",IFERROR(INDEX(Ввод!$B$12:$B$71,MATCH(A929,Ввод!$D$12:$D$71,1)),""))</f>
        <v/>
      </c>
      <c r="C929" t="str">
        <f t="shared" si="28"/>
        <v/>
      </c>
      <c r="D929" t="str">
        <f>IF(A929="","",SUMIFS(Акты!$D$5:$D$16,Акты!$E$5:$E$16,"&lt;="&amp;A929)-SUMIFS(Оплаты!$B$6:$B$505,Оплаты!$A$6:$A$505,"&lt;"&amp;A929,Оплаты!$D$6:$D$505,"&lt;&gt;"))</f>
        <v/>
      </c>
      <c r="E929" t="str">
        <f>IF(A929="","",IF(SUMPRODUCT((Ввод!$F$12:$F$31&lt;&gt;"")*(Ввод!$F$12:$F$31&lt;=A929)*(Ввод!$G$12:$G$31&gt;=A929))&gt;0,1,0))</f>
        <v/>
      </c>
      <c r="G929" t="str">
        <f t="shared" si="29"/>
        <v/>
      </c>
    </row>
    <row r="930" spans="1:7" x14ac:dyDescent="0.3">
      <c r="A930" s="21" t="str">
        <f>IF(A929="","",IF(A929+1&gt;Ввод!$B$4,"",A929+1))</f>
        <v/>
      </c>
      <c r="B930" s="23" t="str">
        <f>IF(A930="","",IFERROR(INDEX(Ввод!$B$12:$B$71,MATCH(A930,Ввод!$D$12:$D$71,1)),""))</f>
        <v/>
      </c>
      <c r="C930" t="str">
        <f t="shared" si="28"/>
        <v/>
      </c>
      <c r="D930" t="str">
        <f>IF(A930="","",SUMIFS(Акты!$D$5:$D$16,Акты!$E$5:$E$16,"&lt;="&amp;A930)-SUMIFS(Оплаты!$B$6:$B$505,Оплаты!$A$6:$A$505,"&lt;"&amp;A930,Оплаты!$D$6:$D$505,"&lt;&gt;"))</f>
        <v/>
      </c>
      <c r="E930" t="str">
        <f>IF(A930="","",IF(SUMPRODUCT((Ввод!$F$12:$F$31&lt;&gt;"")*(Ввод!$F$12:$F$31&lt;=A930)*(Ввод!$G$12:$G$31&gt;=A930))&gt;0,1,0))</f>
        <v/>
      </c>
      <c r="G930" t="str">
        <f t="shared" si="29"/>
        <v/>
      </c>
    </row>
    <row r="931" spans="1:7" x14ac:dyDescent="0.3">
      <c r="A931" s="21" t="str">
        <f>IF(A930="","",IF(A930+1&gt;Ввод!$B$4,"",A930+1))</f>
        <v/>
      </c>
      <c r="B931" s="23" t="str">
        <f>IF(A931="","",IFERROR(INDEX(Ввод!$B$12:$B$71,MATCH(A931,Ввод!$D$12:$D$71,1)),""))</f>
        <v/>
      </c>
      <c r="C931" t="str">
        <f t="shared" si="28"/>
        <v/>
      </c>
      <c r="D931" t="str">
        <f>IF(A931="","",SUMIFS(Акты!$D$5:$D$16,Акты!$E$5:$E$16,"&lt;="&amp;A931)-SUMIFS(Оплаты!$B$6:$B$505,Оплаты!$A$6:$A$505,"&lt;"&amp;A931,Оплаты!$D$6:$D$505,"&lt;&gt;"))</f>
        <v/>
      </c>
      <c r="E931" t="str">
        <f>IF(A931="","",IF(SUMPRODUCT((Ввод!$F$12:$F$31&lt;&gt;"")*(Ввод!$F$12:$F$31&lt;=A931)*(Ввод!$G$12:$G$31&gt;=A931))&gt;0,1,0))</f>
        <v/>
      </c>
      <c r="G931" t="str">
        <f t="shared" si="29"/>
        <v/>
      </c>
    </row>
    <row r="932" spans="1:7" x14ac:dyDescent="0.3">
      <c r="A932" s="21" t="str">
        <f>IF(A931="","",IF(A931+1&gt;Ввод!$B$4,"",A931+1))</f>
        <v/>
      </c>
      <c r="B932" s="23" t="str">
        <f>IF(A932="","",IFERROR(INDEX(Ввод!$B$12:$B$71,MATCH(A932,Ввод!$D$12:$D$71,1)),""))</f>
        <v/>
      </c>
      <c r="C932" t="str">
        <f t="shared" si="28"/>
        <v/>
      </c>
      <c r="D932" t="str">
        <f>IF(A932="","",SUMIFS(Акты!$D$5:$D$16,Акты!$E$5:$E$16,"&lt;="&amp;A932)-SUMIFS(Оплаты!$B$6:$B$505,Оплаты!$A$6:$A$505,"&lt;"&amp;A932,Оплаты!$D$6:$D$505,"&lt;&gt;"))</f>
        <v/>
      </c>
      <c r="E932" t="str">
        <f>IF(A932="","",IF(SUMPRODUCT((Ввод!$F$12:$F$31&lt;&gt;"")*(Ввод!$F$12:$F$31&lt;=A932)*(Ввод!$G$12:$G$31&gt;=A932))&gt;0,1,0))</f>
        <v/>
      </c>
      <c r="G932" t="str">
        <f t="shared" si="29"/>
        <v/>
      </c>
    </row>
    <row r="933" spans="1:7" x14ac:dyDescent="0.3">
      <c r="A933" s="21" t="str">
        <f>IF(A932="","",IF(A932+1&gt;Ввод!$B$4,"",A932+1))</f>
        <v/>
      </c>
      <c r="B933" s="23" t="str">
        <f>IF(A933="","",IFERROR(INDEX(Ввод!$B$12:$B$71,MATCH(A933,Ввод!$D$12:$D$71,1)),""))</f>
        <v/>
      </c>
      <c r="C933" t="str">
        <f t="shared" si="28"/>
        <v/>
      </c>
      <c r="D933" t="str">
        <f>IF(A933="","",SUMIFS(Акты!$D$5:$D$16,Акты!$E$5:$E$16,"&lt;="&amp;A933)-SUMIFS(Оплаты!$B$6:$B$505,Оплаты!$A$6:$A$505,"&lt;"&amp;A933,Оплаты!$D$6:$D$505,"&lt;&gt;"))</f>
        <v/>
      </c>
      <c r="E933" t="str">
        <f>IF(A933="","",IF(SUMPRODUCT((Ввод!$F$12:$F$31&lt;&gt;"")*(Ввод!$F$12:$F$31&lt;=A933)*(Ввод!$G$12:$G$31&gt;=A933))&gt;0,1,0))</f>
        <v/>
      </c>
      <c r="G933" t="str">
        <f t="shared" si="29"/>
        <v/>
      </c>
    </row>
    <row r="934" spans="1:7" x14ac:dyDescent="0.3">
      <c r="A934" s="21" t="str">
        <f>IF(A933="","",IF(A933+1&gt;Ввод!$B$4,"",A933+1))</f>
        <v/>
      </c>
      <c r="B934" s="23" t="str">
        <f>IF(A934="","",IFERROR(INDEX(Ввод!$B$12:$B$71,MATCH(A934,Ввод!$D$12:$D$71,1)),""))</f>
        <v/>
      </c>
      <c r="C934" t="str">
        <f t="shared" si="28"/>
        <v/>
      </c>
      <c r="D934" t="str">
        <f>IF(A934="","",SUMIFS(Акты!$D$5:$D$16,Акты!$E$5:$E$16,"&lt;="&amp;A934)-SUMIFS(Оплаты!$B$6:$B$505,Оплаты!$A$6:$A$505,"&lt;"&amp;A934,Оплаты!$D$6:$D$505,"&lt;&gt;"))</f>
        <v/>
      </c>
      <c r="E934" t="str">
        <f>IF(A934="","",IF(SUMPRODUCT((Ввод!$F$12:$F$31&lt;&gt;"")*(Ввод!$F$12:$F$31&lt;=A934)*(Ввод!$G$12:$G$31&gt;=A934))&gt;0,1,0))</f>
        <v/>
      </c>
      <c r="G934" t="str">
        <f t="shared" si="29"/>
        <v/>
      </c>
    </row>
    <row r="935" spans="1:7" x14ac:dyDescent="0.3">
      <c r="A935" s="21" t="str">
        <f>IF(A934="","",IF(A934+1&gt;Ввод!$B$4,"",A934+1))</f>
        <v/>
      </c>
      <c r="B935" s="23" t="str">
        <f>IF(A935="","",IFERROR(INDEX(Ввод!$B$12:$B$71,MATCH(A935,Ввод!$D$12:$D$71,1)),""))</f>
        <v/>
      </c>
      <c r="C935" t="str">
        <f t="shared" si="28"/>
        <v/>
      </c>
      <c r="D935" t="str">
        <f>IF(A935="","",SUMIFS(Акты!$D$5:$D$16,Акты!$E$5:$E$16,"&lt;="&amp;A935)-SUMIFS(Оплаты!$B$6:$B$505,Оплаты!$A$6:$A$505,"&lt;"&amp;A935,Оплаты!$D$6:$D$505,"&lt;&gt;"))</f>
        <v/>
      </c>
      <c r="E935" t="str">
        <f>IF(A935="","",IF(SUMPRODUCT((Ввод!$F$12:$F$31&lt;&gt;"")*(Ввод!$F$12:$F$31&lt;=A935)*(Ввод!$G$12:$G$31&gt;=A935))&gt;0,1,0))</f>
        <v/>
      </c>
      <c r="G935" t="str">
        <f t="shared" si="29"/>
        <v/>
      </c>
    </row>
    <row r="936" spans="1:7" x14ac:dyDescent="0.3">
      <c r="A936" s="21" t="str">
        <f>IF(A935="","",IF(A935+1&gt;Ввод!$B$4,"",A935+1))</f>
        <v/>
      </c>
      <c r="B936" s="23" t="str">
        <f>IF(A936="","",IFERROR(INDEX(Ввод!$B$12:$B$71,MATCH(A936,Ввод!$D$12:$D$71,1)),""))</f>
        <v/>
      </c>
      <c r="C936" t="str">
        <f t="shared" si="28"/>
        <v/>
      </c>
      <c r="D936" t="str">
        <f>IF(A936="","",SUMIFS(Акты!$D$5:$D$16,Акты!$E$5:$E$16,"&lt;="&amp;A936)-SUMIFS(Оплаты!$B$6:$B$505,Оплаты!$A$6:$A$505,"&lt;"&amp;A936,Оплаты!$D$6:$D$505,"&lt;&gt;"))</f>
        <v/>
      </c>
      <c r="E936" t="str">
        <f>IF(A936="","",IF(SUMPRODUCT((Ввод!$F$12:$F$31&lt;&gt;"")*(Ввод!$F$12:$F$31&lt;=A936)*(Ввод!$G$12:$G$31&gt;=A936))&gt;0,1,0))</f>
        <v/>
      </c>
      <c r="G936" t="str">
        <f t="shared" si="29"/>
        <v/>
      </c>
    </row>
    <row r="937" spans="1:7" x14ac:dyDescent="0.3">
      <c r="A937" s="21" t="str">
        <f>IF(A936="","",IF(A936+1&gt;Ввод!$B$4,"",A936+1))</f>
        <v/>
      </c>
      <c r="B937" s="23" t="str">
        <f>IF(A937="","",IFERROR(INDEX(Ввод!$B$12:$B$71,MATCH(A937,Ввод!$D$12:$D$71,1)),""))</f>
        <v/>
      </c>
      <c r="C937" t="str">
        <f t="shared" si="28"/>
        <v/>
      </c>
      <c r="D937" t="str">
        <f>IF(A937="","",SUMIFS(Акты!$D$5:$D$16,Акты!$E$5:$E$16,"&lt;="&amp;A937)-SUMIFS(Оплаты!$B$6:$B$505,Оплаты!$A$6:$A$505,"&lt;"&amp;A937,Оплаты!$D$6:$D$505,"&lt;&gt;"))</f>
        <v/>
      </c>
      <c r="E937" t="str">
        <f>IF(A937="","",IF(SUMPRODUCT((Ввод!$F$12:$F$31&lt;&gt;"")*(Ввод!$F$12:$F$31&lt;=A937)*(Ввод!$G$12:$G$31&gt;=A937))&gt;0,1,0))</f>
        <v/>
      </c>
      <c r="G937" t="str">
        <f t="shared" si="29"/>
        <v/>
      </c>
    </row>
    <row r="938" spans="1:7" x14ac:dyDescent="0.3">
      <c r="A938" s="21" t="str">
        <f>IF(A937="","",IF(A937+1&gt;Ввод!$B$4,"",A937+1))</f>
        <v/>
      </c>
      <c r="B938" s="23" t="str">
        <f>IF(A938="","",IFERROR(INDEX(Ввод!$B$12:$B$71,MATCH(A938,Ввод!$D$12:$D$71,1)),""))</f>
        <v/>
      </c>
      <c r="C938" t="str">
        <f t="shared" si="28"/>
        <v/>
      </c>
      <c r="D938" t="str">
        <f>IF(A938="","",SUMIFS(Акты!$D$5:$D$16,Акты!$E$5:$E$16,"&lt;="&amp;A938)-SUMIFS(Оплаты!$B$6:$B$505,Оплаты!$A$6:$A$505,"&lt;"&amp;A938,Оплаты!$D$6:$D$505,"&lt;&gt;"))</f>
        <v/>
      </c>
      <c r="E938" t="str">
        <f>IF(A938="","",IF(SUMPRODUCT((Ввод!$F$12:$F$31&lt;&gt;"")*(Ввод!$F$12:$F$31&lt;=A938)*(Ввод!$G$12:$G$31&gt;=A938))&gt;0,1,0))</f>
        <v/>
      </c>
      <c r="G938" t="str">
        <f t="shared" si="29"/>
        <v/>
      </c>
    </row>
    <row r="939" spans="1:7" x14ac:dyDescent="0.3">
      <c r="A939" s="21" t="str">
        <f>IF(A938="","",IF(A938+1&gt;Ввод!$B$4,"",A938+1))</f>
        <v/>
      </c>
      <c r="B939" s="23" t="str">
        <f>IF(A939="","",IFERROR(INDEX(Ввод!$B$12:$B$71,MATCH(A939,Ввод!$D$12:$D$71,1)),""))</f>
        <v/>
      </c>
      <c r="C939" t="str">
        <f t="shared" si="28"/>
        <v/>
      </c>
      <c r="D939" t="str">
        <f>IF(A939="","",SUMIFS(Акты!$D$5:$D$16,Акты!$E$5:$E$16,"&lt;="&amp;A939)-SUMIFS(Оплаты!$B$6:$B$505,Оплаты!$A$6:$A$505,"&lt;"&amp;A939,Оплаты!$D$6:$D$505,"&lt;&gt;"))</f>
        <v/>
      </c>
      <c r="E939" t="str">
        <f>IF(A939="","",IF(SUMPRODUCT((Ввод!$F$12:$F$31&lt;&gt;"")*(Ввод!$F$12:$F$31&lt;=A939)*(Ввод!$G$12:$G$31&gt;=A939))&gt;0,1,0))</f>
        <v/>
      </c>
      <c r="G939" t="str">
        <f t="shared" si="29"/>
        <v/>
      </c>
    </row>
    <row r="940" spans="1:7" x14ac:dyDescent="0.3">
      <c r="A940" s="21" t="str">
        <f>IF(A939="","",IF(A939+1&gt;Ввод!$B$4,"",A939+1))</f>
        <v/>
      </c>
      <c r="B940" s="23" t="str">
        <f>IF(A940="","",IFERROR(INDEX(Ввод!$B$12:$B$71,MATCH(A940,Ввод!$D$12:$D$71,1)),""))</f>
        <v/>
      </c>
      <c r="C940" t="str">
        <f t="shared" si="28"/>
        <v/>
      </c>
      <c r="D940" t="str">
        <f>IF(A940="","",SUMIFS(Акты!$D$5:$D$16,Акты!$E$5:$E$16,"&lt;="&amp;A940)-SUMIFS(Оплаты!$B$6:$B$505,Оплаты!$A$6:$A$505,"&lt;"&amp;A940,Оплаты!$D$6:$D$505,"&lt;&gt;"))</f>
        <v/>
      </c>
      <c r="E940" t="str">
        <f>IF(A940="","",IF(SUMPRODUCT((Ввод!$F$12:$F$31&lt;&gt;"")*(Ввод!$F$12:$F$31&lt;=A940)*(Ввод!$G$12:$G$31&gt;=A940))&gt;0,1,0))</f>
        <v/>
      </c>
      <c r="G940" t="str">
        <f t="shared" si="29"/>
        <v/>
      </c>
    </row>
    <row r="941" spans="1:7" x14ac:dyDescent="0.3">
      <c r="A941" s="21" t="str">
        <f>IF(A940="","",IF(A940+1&gt;Ввод!$B$4,"",A940+1))</f>
        <v/>
      </c>
      <c r="B941" s="23" t="str">
        <f>IF(A941="","",IFERROR(INDEX(Ввод!$B$12:$B$71,MATCH(A941,Ввод!$D$12:$D$71,1)),""))</f>
        <v/>
      </c>
      <c r="C941" t="str">
        <f t="shared" si="28"/>
        <v/>
      </c>
      <c r="D941" t="str">
        <f>IF(A941="","",SUMIFS(Акты!$D$5:$D$16,Акты!$E$5:$E$16,"&lt;="&amp;A941)-SUMIFS(Оплаты!$B$6:$B$505,Оплаты!$A$6:$A$505,"&lt;"&amp;A941,Оплаты!$D$6:$D$505,"&lt;&gt;"))</f>
        <v/>
      </c>
      <c r="E941" t="str">
        <f>IF(A941="","",IF(SUMPRODUCT((Ввод!$F$12:$F$31&lt;&gt;"")*(Ввод!$F$12:$F$31&lt;=A941)*(Ввод!$G$12:$G$31&gt;=A941))&gt;0,1,0))</f>
        <v/>
      </c>
      <c r="G941" t="str">
        <f t="shared" si="29"/>
        <v/>
      </c>
    </row>
    <row r="942" spans="1:7" x14ac:dyDescent="0.3">
      <c r="A942" s="21" t="str">
        <f>IF(A941="","",IF(A941+1&gt;Ввод!$B$4,"",A941+1))</f>
        <v/>
      </c>
      <c r="B942" s="23" t="str">
        <f>IF(A942="","",IFERROR(INDEX(Ввод!$B$12:$B$71,MATCH(A942,Ввод!$D$12:$D$71,1)),""))</f>
        <v/>
      </c>
      <c r="C942" t="str">
        <f t="shared" si="28"/>
        <v/>
      </c>
      <c r="D942" t="str">
        <f>IF(A942="","",SUMIFS(Акты!$D$5:$D$16,Акты!$E$5:$E$16,"&lt;="&amp;A942)-SUMIFS(Оплаты!$B$6:$B$505,Оплаты!$A$6:$A$505,"&lt;"&amp;A942,Оплаты!$D$6:$D$505,"&lt;&gt;"))</f>
        <v/>
      </c>
      <c r="E942" t="str">
        <f>IF(A942="","",IF(SUMPRODUCT((Ввод!$F$12:$F$31&lt;&gt;"")*(Ввод!$F$12:$F$31&lt;=A942)*(Ввод!$G$12:$G$31&gt;=A942))&gt;0,1,0))</f>
        <v/>
      </c>
      <c r="G942" t="str">
        <f t="shared" si="29"/>
        <v/>
      </c>
    </row>
    <row r="943" spans="1:7" x14ac:dyDescent="0.3">
      <c r="A943" s="21" t="str">
        <f>IF(A942="","",IF(A942+1&gt;Ввод!$B$4,"",A942+1))</f>
        <v/>
      </c>
      <c r="B943" s="23" t="str">
        <f>IF(A943="","",IFERROR(INDEX(Ввод!$B$12:$B$71,MATCH(A943,Ввод!$D$12:$D$71,1)),""))</f>
        <v/>
      </c>
      <c r="C943" t="str">
        <f t="shared" si="28"/>
        <v/>
      </c>
      <c r="D943" t="str">
        <f>IF(A943="","",SUMIFS(Акты!$D$5:$D$16,Акты!$E$5:$E$16,"&lt;="&amp;A943)-SUMIFS(Оплаты!$B$6:$B$505,Оплаты!$A$6:$A$505,"&lt;"&amp;A943,Оплаты!$D$6:$D$505,"&lt;&gt;"))</f>
        <v/>
      </c>
      <c r="E943" t="str">
        <f>IF(A943="","",IF(SUMPRODUCT((Ввод!$F$12:$F$31&lt;&gt;"")*(Ввод!$F$12:$F$31&lt;=A943)*(Ввод!$G$12:$G$31&gt;=A943))&gt;0,1,0))</f>
        <v/>
      </c>
      <c r="G943" t="str">
        <f t="shared" si="29"/>
        <v/>
      </c>
    </row>
    <row r="944" spans="1:7" x14ac:dyDescent="0.3">
      <c r="A944" s="21" t="str">
        <f>IF(A943="","",IF(A943+1&gt;Ввод!$B$4,"",A943+1))</f>
        <v/>
      </c>
      <c r="B944" s="23" t="str">
        <f>IF(A944="","",IFERROR(INDEX(Ввод!$B$12:$B$71,MATCH(A944,Ввод!$D$12:$D$71,1)),""))</f>
        <v/>
      </c>
      <c r="C944" t="str">
        <f t="shared" si="28"/>
        <v/>
      </c>
      <c r="D944" t="str">
        <f>IF(A944="","",SUMIFS(Акты!$D$5:$D$16,Акты!$E$5:$E$16,"&lt;="&amp;A944)-SUMIFS(Оплаты!$B$6:$B$505,Оплаты!$A$6:$A$505,"&lt;"&amp;A944,Оплаты!$D$6:$D$505,"&lt;&gt;"))</f>
        <v/>
      </c>
      <c r="E944" t="str">
        <f>IF(A944="","",IF(SUMPRODUCT((Ввод!$F$12:$F$31&lt;&gt;"")*(Ввод!$F$12:$F$31&lt;=A944)*(Ввод!$G$12:$G$31&gt;=A944))&gt;0,1,0))</f>
        <v/>
      </c>
      <c r="G944" t="str">
        <f t="shared" si="29"/>
        <v/>
      </c>
    </row>
    <row r="945" spans="1:7" x14ac:dyDescent="0.3">
      <c r="A945" s="21" t="str">
        <f>IF(A944="","",IF(A944+1&gt;Ввод!$B$4,"",A944+1))</f>
        <v/>
      </c>
      <c r="B945" s="23" t="str">
        <f>IF(A945="","",IFERROR(INDEX(Ввод!$B$12:$B$71,MATCH(A945,Ввод!$D$12:$D$71,1)),""))</f>
        <v/>
      </c>
      <c r="C945" t="str">
        <f t="shared" si="28"/>
        <v/>
      </c>
      <c r="D945" t="str">
        <f>IF(A945="","",SUMIFS(Акты!$D$5:$D$16,Акты!$E$5:$E$16,"&lt;="&amp;A945)-SUMIFS(Оплаты!$B$6:$B$505,Оплаты!$A$6:$A$505,"&lt;"&amp;A945,Оплаты!$D$6:$D$505,"&lt;&gt;"))</f>
        <v/>
      </c>
      <c r="E945" t="str">
        <f>IF(A945="","",IF(SUMPRODUCT((Ввод!$F$12:$F$31&lt;&gt;"")*(Ввод!$F$12:$F$31&lt;=A945)*(Ввод!$G$12:$G$31&gt;=A945))&gt;0,1,0))</f>
        <v/>
      </c>
      <c r="G945" t="str">
        <f t="shared" si="29"/>
        <v/>
      </c>
    </row>
    <row r="946" spans="1:7" x14ac:dyDescent="0.3">
      <c r="A946" s="21" t="str">
        <f>IF(A945="","",IF(A945+1&gt;Ввод!$B$4,"",A945+1))</f>
        <v/>
      </c>
      <c r="B946" s="23" t="str">
        <f>IF(A946="","",IFERROR(INDEX(Ввод!$B$12:$B$71,MATCH(A946,Ввод!$D$12:$D$71,1)),""))</f>
        <v/>
      </c>
      <c r="C946" t="str">
        <f t="shared" si="28"/>
        <v/>
      </c>
      <c r="D946" t="str">
        <f>IF(A946="","",SUMIFS(Акты!$D$5:$D$16,Акты!$E$5:$E$16,"&lt;="&amp;A946)-SUMIFS(Оплаты!$B$6:$B$505,Оплаты!$A$6:$A$505,"&lt;"&amp;A946,Оплаты!$D$6:$D$505,"&lt;&gt;"))</f>
        <v/>
      </c>
      <c r="E946" t="str">
        <f>IF(A946="","",IF(SUMPRODUCT((Ввод!$F$12:$F$31&lt;&gt;"")*(Ввод!$F$12:$F$31&lt;=A946)*(Ввод!$G$12:$G$31&gt;=A946))&gt;0,1,0))</f>
        <v/>
      </c>
      <c r="G946" t="str">
        <f t="shared" si="29"/>
        <v/>
      </c>
    </row>
    <row r="947" spans="1:7" x14ac:dyDescent="0.3">
      <c r="A947" s="21" t="str">
        <f>IF(A946="","",IF(A946+1&gt;Ввод!$B$4,"",A946+1))</f>
        <v/>
      </c>
      <c r="B947" s="23" t="str">
        <f>IF(A947="","",IFERROR(INDEX(Ввод!$B$12:$B$71,MATCH(A947,Ввод!$D$12:$D$71,1)),""))</f>
        <v/>
      </c>
      <c r="C947" t="str">
        <f t="shared" si="28"/>
        <v/>
      </c>
      <c r="D947" t="str">
        <f>IF(A947="","",SUMIFS(Акты!$D$5:$D$16,Акты!$E$5:$E$16,"&lt;="&amp;A947)-SUMIFS(Оплаты!$B$6:$B$505,Оплаты!$A$6:$A$505,"&lt;"&amp;A947,Оплаты!$D$6:$D$505,"&lt;&gt;"))</f>
        <v/>
      </c>
      <c r="E947" t="str">
        <f>IF(A947="","",IF(SUMPRODUCT((Ввод!$F$12:$F$31&lt;&gt;"")*(Ввод!$F$12:$F$31&lt;=A947)*(Ввод!$G$12:$G$31&gt;=A947))&gt;0,1,0))</f>
        <v/>
      </c>
      <c r="G947" t="str">
        <f t="shared" si="29"/>
        <v/>
      </c>
    </row>
    <row r="948" spans="1:7" x14ac:dyDescent="0.3">
      <c r="A948" s="21" t="str">
        <f>IF(A947="","",IF(A947+1&gt;Ввод!$B$4,"",A947+1))</f>
        <v/>
      </c>
      <c r="B948" s="23" t="str">
        <f>IF(A948="","",IFERROR(INDEX(Ввод!$B$12:$B$71,MATCH(A948,Ввод!$D$12:$D$71,1)),""))</f>
        <v/>
      </c>
      <c r="C948" t="str">
        <f t="shared" si="28"/>
        <v/>
      </c>
      <c r="D948" t="str">
        <f>IF(A948="","",SUMIFS(Акты!$D$5:$D$16,Акты!$E$5:$E$16,"&lt;="&amp;A948)-SUMIFS(Оплаты!$B$6:$B$505,Оплаты!$A$6:$A$505,"&lt;"&amp;A948,Оплаты!$D$6:$D$505,"&lt;&gt;"))</f>
        <v/>
      </c>
      <c r="E948" t="str">
        <f>IF(A948="","",IF(SUMPRODUCT((Ввод!$F$12:$F$31&lt;&gt;"")*(Ввод!$F$12:$F$31&lt;=A948)*(Ввод!$G$12:$G$31&gt;=A948))&gt;0,1,0))</f>
        <v/>
      </c>
      <c r="G948" t="str">
        <f t="shared" si="29"/>
        <v/>
      </c>
    </row>
    <row r="949" spans="1:7" x14ac:dyDescent="0.3">
      <c r="A949" s="21" t="str">
        <f>IF(A948="","",IF(A948+1&gt;Ввод!$B$4,"",A948+1))</f>
        <v/>
      </c>
      <c r="B949" s="23" t="str">
        <f>IF(A949="","",IFERROR(INDEX(Ввод!$B$12:$B$71,MATCH(A949,Ввод!$D$12:$D$71,1)),""))</f>
        <v/>
      </c>
      <c r="C949" t="str">
        <f t="shared" si="28"/>
        <v/>
      </c>
      <c r="D949" t="str">
        <f>IF(A949="","",SUMIFS(Акты!$D$5:$D$16,Акты!$E$5:$E$16,"&lt;="&amp;A949)-SUMIFS(Оплаты!$B$6:$B$505,Оплаты!$A$6:$A$505,"&lt;"&amp;A949,Оплаты!$D$6:$D$505,"&lt;&gt;"))</f>
        <v/>
      </c>
      <c r="E949" t="str">
        <f>IF(A949="","",IF(SUMPRODUCT((Ввод!$F$12:$F$31&lt;&gt;"")*(Ввод!$F$12:$F$31&lt;=A949)*(Ввод!$G$12:$G$31&gt;=A949))&gt;0,1,0))</f>
        <v/>
      </c>
      <c r="G949" t="str">
        <f t="shared" si="29"/>
        <v/>
      </c>
    </row>
    <row r="950" spans="1:7" x14ac:dyDescent="0.3">
      <c r="A950" s="21" t="str">
        <f>IF(A949="","",IF(A949+1&gt;Ввод!$B$4,"",A949+1))</f>
        <v/>
      </c>
      <c r="B950" s="23" t="str">
        <f>IF(A950="","",IFERROR(INDEX(Ввод!$B$12:$B$71,MATCH(A950,Ввод!$D$12:$D$71,1)),""))</f>
        <v/>
      </c>
      <c r="C950" t="str">
        <f t="shared" si="28"/>
        <v/>
      </c>
      <c r="D950" t="str">
        <f>IF(A950="","",SUMIFS(Акты!$D$5:$D$16,Акты!$E$5:$E$16,"&lt;="&amp;A950)-SUMIFS(Оплаты!$B$6:$B$505,Оплаты!$A$6:$A$505,"&lt;"&amp;A950,Оплаты!$D$6:$D$505,"&lt;&gt;"))</f>
        <v/>
      </c>
      <c r="E950" t="str">
        <f>IF(A950="","",IF(SUMPRODUCT((Ввод!$F$12:$F$31&lt;&gt;"")*(Ввод!$F$12:$F$31&lt;=A950)*(Ввод!$G$12:$G$31&gt;=A950))&gt;0,1,0))</f>
        <v/>
      </c>
      <c r="G950" t="str">
        <f t="shared" si="29"/>
        <v/>
      </c>
    </row>
    <row r="951" spans="1:7" x14ac:dyDescent="0.3">
      <c r="A951" s="21" t="str">
        <f>IF(A950="","",IF(A950+1&gt;Ввод!$B$4,"",A950+1))</f>
        <v/>
      </c>
      <c r="B951" s="23" t="str">
        <f>IF(A951="","",IFERROR(INDEX(Ввод!$B$12:$B$71,MATCH(A951,Ввод!$D$12:$D$71,1)),""))</f>
        <v/>
      </c>
      <c r="C951" t="str">
        <f t="shared" si="28"/>
        <v/>
      </c>
      <c r="D951" t="str">
        <f>IF(A951="","",SUMIFS(Акты!$D$5:$D$16,Акты!$E$5:$E$16,"&lt;="&amp;A951)-SUMIFS(Оплаты!$B$6:$B$505,Оплаты!$A$6:$A$505,"&lt;"&amp;A951,Оплаты!$D$6:$D$505,"&lt;&gt;"))</f>
        <v/>
      </c>
      <c r="E951" t="str">
        <f>IF(A951="","",IF(SUMPRODUCT((Ввод!$F$12:$F$31&lt;&gt;"")*(Ввод!$F$12:$F$31&lt;=A951)*(Ввод!$G$12:$G$31&gt;=A951))&gt;0,1,0))</f>
        <v/>
      </c>
      <c r="G951" t="str">
        <f t="shared" si="29"/>
        <v/>
      </c>
    </row>
    <row r="952" spans="1:7" x14ac:dyDescent="0.3">
      <c r="A952" s="21" t="str">
        <f>IF(A951="","",IF(A951+1&gt;Ввод!$B$4,"",A951+1))</f>
        <v/>
      </c>
      <c r="B952" s="23" t="str">
        <f>IF(A952="","",IFERROR(INDEX(Ввод!$B$12:$B$71,MATCH(A952,Ввод!$D$12:$D$71,1)),""))</f>
        <v/>
      </c>
      <c r="C952" t="str">
        <f t="shared" si="28"/>
        <v/>
      </c>
      <c r="D952" t="str">
        <f>IF(A952="","",SUMIFS(Акты!$D$5:$D$16,Акты!$E$5:$E$16,"&lt;="&amp;A952)-SUMIFS(Оплаты!$B$6:$B$505,Оплаты!$A$6:$A$505,"&lt;"&amp;A952,Оплаты!$D$6:$D$505,"&lt;&gt;"))</f>
        <v/>
      </c>
      <c r="E952" t="str">
        <f>IF(A952="","",IF(SUMPRODUCT((Ввод!$F$12:$F$31&lt;&gt;"")*(Ввод!$F$12:$F$31&lt;=A952)*(Ввод!$G$12:$G$31&gt;=A952))&gt;0,1,0))</f>
        <v/>
      </c>
      <c r="G952" t="str">
        <f t="shared" si="29"/>
        <v/>
      </c>
    </row>
    <row r="953" spans="1:7" x14ac:dyDescent="0.3">
      <c r="A953" s="21" t="str">
        <f>IF(A952="","",IF(A952+1&gt;Ввод!$B$4,"",A952+1))</f>
        <v/>
      </c>
      <c r="B953" s="23" t="str">
        <f>IF(A953="","",IFERROR(INDEX(Ввод!$B$12:$B$71,MATCH(A953,Ввод!$D$12:$D$71,1)),""))</f>
        <v/>
      </c>
      <c r="C953" t="str">
        <f t="shared" si="28"/>
        <v/>
      </c>
      <c r="D953" t="str">
        <f>IF(A953="","",SUMIFS(Акты!$D$5:$D$16,Акты!$E$5:$E$16,"&lt;="&amp;A953)-SUMIFS(Оплаты!$B$6:$B$505,Оплаты!$A$6:$A$505,"&lt;"&amp;A953,Оплаты!$D$6:$D$505,"&lt;&gt;"))</f>
        <v/>
      </c>
      <c r="E953" t="str">
        <f>IF(A953="","",IF(SUMPRODUCT((Ввод!$F$12:$F$31&lt;&gt;"")*(Ввод!$F$12:$F$31&lt;=A953)*(Ввод!$G$12:$G$31&gt;=A953))&gt;0,1,0))</f>
        <v/>
      </c>
      <c r="G953" t="str">
        <f t="shared" si="29"/>
        <v/>
      </c>
    </row>
    <row r="954" spans="1:7" x14ac:dyDescent="0.3">
      <c r="A954" s="21" t="str">
        <f>IF(A953="","",IF(A953+1&gt;Ввод!$B$4,"",A953+1))</f>
        <v/>
      </c>
      <c r="B954" s="23" t="str">
        <f>IF(A954="","",IFERROR(INDEX(Ввод!$B$12:$B$71,MATCH(A954,Ввод!$D$12:$D$71,1)),""))</f>
        <v/>
      </c>
      <c r="C954" t="str">
        <f t="shared" si="28"/>
        <v/>
      </c>
      <c r="D954" t="str">
        <f>IF(A954="","",SUMIFS(Акты!$D$5:$D$16,Акты!$E$5:$E$16,"&lt;="&amp;A954)-SUMIFS(Оплаты!$B$6:$B$505,Оплаты!$A$6:$A$505,"&lt;"&amp;A954,Оплаты!$D$6:$D$505,"&lt;&gt;"))</f>
        <v/>
      </c>
      <c r="E954" t="str">
        <f>IF(A954="","",IF(SUMPRODUCT((Ввод!$F$12:$F$31&lt;&gt;"")*(Ввод!$F$12:$F$31&lt;=A954)*(Ввод!$G$12:$G$31&gt;=A954))&gt;0,1,0))</f>
        <v/>
      </c>
      <c r="G954" t="str">
        <f t="shared" si="29"/>
        <v/>
      </c>
    </row>
    <row r="955" spans="1:7" x14ac:dyDescent="0.3">
      <c r="A955" s="21" t="str">
        <f>IF(A954="","",IF(A954+1&gt;Ввод!$B$4,"",A954+1))</f>
        <v/>
      </c>
      <c r="B955" s="23" t="str">
        <f>IF(A955="","",IFERROR(INDEX(Ввод!$B$12:$B$71,MATCH(A955,Ввод!$D$12:$D$71,1)),""))</f>
        <v/>
      </c>
      <c r="C955" t="str">
        <f t="shared" si="28"/>
        <v/>
      </c>
      <c r="D955" t="str">
        <f>IF(A955="","",SUMIFS(Акты!$D$5:$D$16,Акты!$E$5:$E$16,"&lt;="&amp;A955)-SUMIFS(Оплаты!$B$6:$B$505,Оплаты!$A$6:$A$505,"&lt;"&amp;A955,Оплаты!$D$6:$D$505,"&lt;&gt;"))</f>
        <v/>
      </c>
      <c r="E955" t="str">
        <f>IF(A955="","",IF(SUMPRODUCT((Ввод!$F$12:$F$31&lt;&gt;"")*(Ввод!$F$12:$F$31&lt;=A955)*(Ввод!$G$12:$G$31&gt;=A955))&gt;0,1,0))</f>
        <v/>
      </c>
      <c r="G955" t="str">
        <f t="shared" si="29"/>
        <v/>
      </c>
    </row>
    <row r="956" spans="1:7" x14ac:dyDescent="0.3">
      <c r="A956" s="21" t="str">
        <f>IF(A955="","",IF(A955+1&gt;Ввод!$B$4,"",A955+1))</f>
        <v/>
      </c>
      <c r="B956" s="23" t="str">
        <f>IF(A956="","",IFERROR(INDEX(Ввод!$B$12:$B$71,MATCH(A956,Ввод!$D$12:$D$71,1)),""))</f>
        <v/>
      </c>
      <c r="C956" t="str">
        <f t="shared" si="28"/>
        <v/>
      </c>
      <c r="D956" t="str">
        <f>IF(A956="","",SUMIFS(Акты!$D$5:$D$16,Акты!$E$5:$E$16,"&lt;="&amp;A956)-SUMIFS(Оплаты!$B$6:$B$505,Оплаты!$A$6:$A$505,"&lt;"&amp;A956,Оплаты!$D$6:$D$505,"&lt;&gt;"))</f>
        <v/>
      </c>
      <c r="E956" t="str">
        <f>IF(A956="","",IF(SUMPRODUCT((Ввод!$F$12:$F$31&lt;&gt;"")*(Ввод!$F$12:$F$31&lt;=A956)*(Ввод!$G$12:$G$31&gt;=A956))&gt;0,1,0))</f>
        <v/>
      </c>
      <c r="G956" t="str">
        <f t="shared" si="29"/>
        <v/>
      </c>
    </row>
    <row r="957" spans="1:7" x14ac:dyDescent="0.3">
      <c r="A957" s="21" t="str">
        <f>IF(A956="","",IF(A956+1&gt;Ввод!$B$4,"",A956+1))</f>
        <v/>
      </c>
      <c r="B957" s="23" t="str">
        <f>IF(A957="","",IFERROR(INDEX(Ввод!$B$12:$B$71,MATCH(A957,Ввод!$D$12:$D$71,1)),""))</f>
        <v/>
      </c>
      <c r="C957" t="str">
        <f t="shared" si="28"/>
        <v/>
      </c>
      <c r="D957" t="str">
        <f>IF(A957="","",SUMIFS(Акты!$D$5:$D$16,Акты!$E$5:$E$16,"&lt;="&amp;A957)-SUMIFS(Оплаты!$B$6:$B$505,Оплаты!$A$6:$A$505,"&lt;"&amp;A957,Оплаты!$D$6:$D$505,"&lt;&gt;"))</f>
        <v/>
      </c>
      <c r="E957" t="str">
        <f>IF(A957="","",IF(SUMPRODUCT((Ввод!$F$12:$F$31&lt;&gt;"")*(Ввод!$F$12:$F$31&lt;=A957)*(Ввод!$G$12:$G$31&gt;=A957))&gt;0,1,0))</f>
        <v/>
      </c>
      <c r="G957" t="str">
        <f t="shared" si="29"/>
        <v/>
      </c>
    </row>
    <row r="958" spans="1:7" x14ac:dyDescent="0.3">
      <c r="A958" s="21" t="str">
        <f>IF(A957="","",IF(A957+1&gt;Ввод!$B$4,"",A957+1))</f>
        <v/>
      </c>
      <c r="B958" s="23" t="str">
        <f>IF(A958="","",IFERROR(INDEX(Ввод!$B$12:$B$71,MATCH(A958,Ввод!$D$12:$D$71,1)),""))</f>
        <v/>
      </c>
      <c r="C958" t="str">
        <f t="shared" si="28"/>
        <v/>
      </c>
      <c r="D958" t="str">
        <f>IF(A958="","",SUMIFS(Акты!$D$5:$D$16,Акты!$E$5:$E$16,"&lt;="&amp;A958)-SUMIFS(Оплаты!$B$6:$B$505,Оплаты!$A$6:$A$505,"&lt;"&amp;A958,Оплаты!$D$6:$D$505,"&lt;&gt;"))</f>
        <v/>
      </c>
      <c r="E958" t="str">
        <f>IF(A958="","",IF(SUMPRODUCT((Ввод!$F$12:$F$31&lt;&gt;"")*(Ввод!$F$12:$F$31&lt;=A958)*(Ввод!$G$12:$G$31&gt;=A958))&gt;0,1,0))</f>
        <v/>
      </c>
      <c r="G958" t="str">
        <f t="shared" si="29"/>
        <v/>
      </c>
    </row>
    <row r="959" spans="1:7" x14ac:dyDescent="0.3">
      <c r="A959" s="21" t="str">
        <f>IF(A958="","",IF(A958+1&gt;Ввод!$B$4,"",A958+1))</f>
        <v/>
      </c>
      <c r="B959" s="23" t="str">
        <f>IF(A959="","",IFERROR(INDEX(Ввод!$B$12:$B$71,MATCH(A959,Ввод!$D$12:$D$71,1)),""))</f>
        <v/>
      </c>
      <c r="C959" t="str">
        <f t="shared" si="28"/>
        <v/>
      </c>
      <c r="D959" t="str">
        <f>IF(A959="","",SUMIFS(Акты!$D$5:$D$16,Акты!$E$5:$E$16,"&lt;="&amp;A959)-SUMIFS(Оплаты!$B$6:$B$505,Оплаты!$A$6:$A$505,"&lt;"&amp;A959,Оплаты!$D$6:$D$505,"&lt;&gt;"))</f>
        <v/>
      </c>
      <c r="E959" t="str">
        <f>IF(A959="","",IF(SUMPRODUCT((Ввод!$F$12:$F$31&lt;&gt;"")*(Ввод!$F$12:$F$31&lt;=A959)*(Ввод!$G$12:$G$31&gt;=A959))&gt;0,1,0))</f>
        <v/>
      </c>
      <c r="G959" t="str">
        <f t="shared" si="29"/>
        <v/>
      </c>
    </row>
    <row r="960" spans="1:7" x14ac:dyDescent="0.3">
      <c r="A960" s="21" t="str">
        <f>IF(A959="","",IF(A959+1&gt;Ввод!$B$4,"",A959+1))</f>
        <v/>
      </c>
      <c r="B960" s="23" t="str">
        <f>IF(A960="","",IFERROR(INDEX(Ввод!$B$12:$B$71,MATCH(A960,Ввод!$D$12:$D$71,1)),""))</f>
        <v/>
      </c>
      <c r="C960" t="str">
        <f t="shared" si="28"/>
        <v/>
      </c>
      <c r="D960" t="str">
        <f>IF(A960="","",SUMIFS(Акты!$D$5:$D$16,Акты!$E$5:$E$16,"&lt;="&amp;A960)-SUMIFS(Оплаты!$B$6:$B$505,Оплаты!$A$6:$A$505,"&lt;"&amp;A960,Оплаты!$D$6:$D$505,"&lt;&gt;"))</f>
        <v/>
      </c>
      <c r="E960" t="str">
        <f>IF(A960="","",IF(SUMPRODUCT((Ввод!$F$12:$F$31&lt;&gt;"")*(Ввод!$F$12:$F$31&lt;=A960)*(Ввод!$G$12:$G$31&gt;=A960))&gt;0,1,0))</f>
        <v/>
      </c>
      <c r="G960" t="str">
        <f t="shared" si="29"/>
        <v/>
      </c>
    </row>
    <row r="961" spans="1:7" x14ac:dyDescent="0.3">
      <c r="A961" s="21" t="str">
        <f>IF(A960="","",IF(A960+1&gt;Ввод!$B$4,"",A960+1))</f>
        <v/>
      </c>
      <c r="B961" s="23" t="str">
        <f>IF(A961="","",IFERROR(INDEX(Ввод!$B$12:$B$71,MATCH(A961,Ввод!$D$12:$D$71,1)),""))</f>
        <v/>
      </c>
      <c r="C961" t="str">
        <f t="shared" si="28"/>
        <v/>
      </c>
      <c r="D961" t="str">
        <f>IF(A961="","",SUMIFS(Акты!$D$5:$D$16,Акты!$E$5:$E$16,"&lt;="&amp;A961)-SUMIFS(Оплаты!$B$6:$B$505,Оплаты!$A$6:$A$505,"&lt;"&amp;A961,Оплаты!$D$6:$D$505,"&lt;&gt;"))</f>
        <v/>
      </c>
      <c r="E961" t="str">
        <f>IF(A961="","",IF(SUMPRODUCT((Ввод!$F$12:$F$31&lt;&gt;"")*(Ввод!$F$12:$F$31&lt;=A961)*(Ввод!$G$12:$G$31&gt;=A961))&gt;0,1,0))</f>
        <v/>
      </c>
      <c r="G961" t="str">
        <f t="shared" si="29"/>
        <v/>
      </c>
    </row>
    <row r="962" spans="1:7" x14ac:dyDescent="0.3">
      <c r="A962" s="21" t="str">
        <f>IF(A961="","",IF(A961+1&gt;Ввод!$B$4,"",A961+1))</f>
        <v/>
      </c>
      <c r="B962" s="23" t="str">
        <f>IF(A962="","",IFERROR(INDEX(Ввод!$B$12:$B$71,MATCH(A962,Ввод!$D$12:$D$71,1)),""))</f>
        <v/>
      </c>
      <c r="C962" t="str">
        <f t="shared" ref="C962:C1025" si="30">IF(A962="","",DATE(YEAR(A962),12,31)-DATE(YEAR(A962),1,1)+1)</f>
        <v/>
      </c>
      <c r="D962" t="str">
        <f>IF(A962="","",SUMIFS(Акты!$D$5:$D$16,Акты!$E$5:$E$16,"&lt;="&amp;A962)-SUMIFS(Оплаты!$B$6:$B$505,Оплаты!$A$6:$A$505,"&lt;"&amp;A962,Оплаты!$D$6:$D$505,"&lt;&gt;"))</f>
        <v/>
      </c>
      <c r="E962" t="str">
        <f>IF(A962="","",IF(SUMPRODUCT((Ввод!$F$12:$F$31&lt;&gt;"")*(Ввод!$F$12:$F$31&lt;=A962)*(Ввод!$G$12:$G$31&gt;=A962))&gt;0,1,0))</f>
        <v/>
      </c>
      <c r="G962" t="str">
        <f t="shared" si="29"/>
        <v/>
      </c>
    </row>
    <row r="963" spans="1:7" x14ac:dyDescent="0.3">
      <c r="A963" s="21" t="str">
        <f>IF(A962="","",IF(A962+1&gt;Ввод!$B$4,"",A962+1))</f>
        <v/>
      </c>
      <c r="B963" s="23" t="str">
        <f>IF(A963="","",IFERROR(INDEX(Ввод!$B$12:$B$71,MATCH(A963,Ввод!$D$12:$D$71,1)),""))</f>
        <v/>
      </c>
      <c r="C963" t="str">
        <f t="shared" si="30"/>
        <v/>
      </c>
      <c r="D963" t="str">
        <f>IF(A963="","",SUMIFS(Акты!$D$5:$D$16,Акты!$E$5:$E$16,"&lt;="&amp;A963)-SUMIFS(Оплаты!$B$6:$B$505,Оплаты!$A$6:$A$505,"&lt;"&amp;A963,Оплаты!$D$6:$D$505,"&lt;&gt;"))</f>
        <v/>
      </c>
      <c r="E963" t="str">
        <f>IF(A963="","",IF(SUMPRODUCT((Ввод!$F$12:$F$31&lt;&gt;"")*(Ввод!$F$12:$F$31&lt;=A963)*(Ввод!$G$12:$G$31&gt;=A963))&gt;0,1,0))</f>
        <v/>
      </c>
      <c r="G963" t="str">
        <f t="shared" ref="G963:G1026" si="31">IF(A963="","",IF(OR(B963&lt;&gt;B962,C963&lt;&gt;C962,E963&lt;&gt;E962),G962+1,G962))</f>
        <v/>
      </c>
    </row>
    <row r="964" spans="1:7" x14ac:dyDescent="0.3">
      <c r="A964" s="21" t="str">
        <f>IF(A963="","",IF(A963+1&gt;Ввод!$B$4,"",A963+1))</f>
        <v/>
      </c>
      <c r="B964" s="23" t="str">
        <f>IF(A964="","",IFERROR(INDEX(Ввод!$B$12:$B$71,MATCH(A964,Ввод!$D$12:$D$71,1)),""))</f>
        <v/>
      </c>
      <c r="C964" t="str">
        <f t="shared" si="30"/>
        <v/>
      </c>
      <c r="D964" t="str">
        <f>IF(A964="","",SUMIFS(Акты!$D$5:$D$16,Акты!$E$5:$E$16,"&lt;="&amp;A964)-SUMIFS(Оплаты!$B$6:$B$505,Оплаты!$A$6:$A$505,"&lt;"&amp;A964,Оплаты!$D$6:$D$505,"&lt;&gt;"))</f>
        <v/>
      </c>
      <c r="E964" t="str">
        <f>IF(A964="","",IF(SUMPRODUCT((Ввод!$F$12:$F$31&lt;&gt;"")*(Ввод!$F$12:$F$31&lt;=A964)*(Ввод!$G$12:$G$31&gt;=A964))&gt;0,1,0))</f>
        <v/>
      </c>
      <c r="G964" t="str">
        <f t="shared" si="31"/>
        <v/>
      </c>
    </row>
    <row r="965" spans="1:7" x14ac:dyDescent="0.3">
      <c r="A965" s="21" t="str">
        <f>IF(A964="","",IF(A964+1&gt;Ввод!$B$4,"",A964+1))</f>
        <v/>
      </c>
      <c r="B965" s="23" t="str">
        <f>IF(A965="","",IFERROR(INDEX(Ввод!$B$12:$B$71,MATCH(A965,Ввод!$D$12:$D$71,1)),""))</f>
        <v/>
      </c>
      <c r="C965" t="str">
        <f t="shared" si="30"/>
        <v/>
      </c>
      <c r="D965" t="str">
        <f>IF(A965="","",SUMIFS(Акты!$D$5:$D$16,Акты!$E$5:$E$16,"&lt;="&amp;A965)-SUMIFS(Оплаты!$B$6:$B$505,Оплаты!$A$6:$A$505,"&lt;"&amp;A965,Оплаты!$D$6:$D$505,"&lt;&gt;"))</f>
        <v/>
      </c>
      <c r="E965" t="str">
        <f>IF(A965="","",IF(SUMPRODUCT((Ввод!$F$12:$F$31&lt;&gt;"")*(Ввод!$F$12:$F$31&lt;=A965)*(Ввод!$G$12:$G$31&gt;=A965))&gt;0,1,0))</f>
        <v/>
      </c>
      <c r="G965" t="str">
        <f t="shared" si="31"/>
        <v/>
      </c>
    </row>
    <row r="966" spans="1:7" x14ac:dyDescent="0.3">
      <c r="A966" s="21" t="str">
        <f>IF(A965="","",IF(A965+1&gt;Ввод!$B$4,"",A965+1))</f>
        <v/>
      </c>
      <c r="B966" s="23" t="str">
        <f>IF(A966="","",IFERROR(INDEX(Ввод!$B$12:$B$71,MATCH(A966,Ввод!$D$12:$D$71,1)),""))</f>
        <v/>
      </c>
      <c r="C966" t="str">
        <f t="shared" si="30"/>
        <v/>
      </c>
      <c r="D966" t="str">
        <f>IF(A966="","",SUMIFS(Акты!$D$5:$D$16,Акты!$E$5:$E$16,"&lt;="&amp;A966)-SUMIFS(Оплаты!$B$6:$B$505,Оплаты!$A$6:$A$505,"&lt;"&amp;A966,Оплаты!$D$6:$D$505,"&lt;&gt;"))</f>
        <v/>
      </c>
      <c r="E966" t="str">
        <f>IF(A966="","",IF(SUMPRODUCT((Ввод!$F$12:$F$31&lt;&gt;"")*(Ввод!$F$12:$F$31&lt;=A966)*(Ввод!$G$12:$G$31&gt;=A966))&gt;0,1,0))</f>
        <v/>
      </c>
      <c r="G966" t="str">
        <f t="shared" si="31"/>
        <v/>
      </c>
    </row>
    <row r="967" spans="1:7" x14ac:dyDescent="0.3">
      <c r="A967" s="21" t="str">
        <f>IF(A966="","",IF(A966+1&gt;Ввод!$B$4,"",A966+1))</f>
        <v/>
      </c>
      <c r="B967" s="23" t="str">
        <f>IF(A967="","",IFERROR(INDEX(Ввод!$B$12:$B$71,MATCH(A967,Ввод!$D$12:$D$71,1)),""))</f>
        <v/>
      </c>
      <c r="C967" t="str">
        <f t="shared" si="30"/>
        <v/>
      </c>
      <c r="D967" t="str">
        <f>IF(A967="","",SUMIFS(Акты!$D$5:$D$16,Акты!$E$5:$E$16,"&lt;="&amp;A967)-SUMIFS(Оплаты!$B$6:$B$505,Оплаты!$A$6:$A$505,"&lt;"&amp;A967,Оплаты!$D$6:$D$505,"&lt;&gt;"))</f>
        <v/>
      </c>
      <c r="E967" t="str">
        <f>IF(A967="","",IF(SUMPRODUCT((Ввод!$F$12:$F$31&lt;&gt;"")*(Ввод!$F$12:$F$31&lt;=A967)*(Ввод!$G$12:$G$31&gt;=A967))&gt;0,1,0))</f>
        <v/>
      </c>
      <c r="G967" t="str">
        <f t="shared" si="31"/>
        <v/>
      </c>
    </row>
    <row r="968" spans="1:7" x14ac:dyDescent="0.3">
      <c r="A968" s="21" t="str">
        <f>IF(A967="","",IF(A967+1&gt;Ввод!$B$4,"",A967+1))</f>
        <v/>
      </c>
      <c r="B968" s="23" t="str">
        <f>IF(A968="","",IFERROR(INDEX(Ввод!$B$12:$B$71,MATCH(A968,Ввод!$D$12:$D$71,1)),""))</f>
        <v/>
      </c>
      <c r="C968" t="str">
        <f t="shared" si="30"/>
        <v/>
      </c>
      <c r="D968" t="str">
        <f>IF(A968="","",SUMIFS(Акты!$D$5:$D$16,Акты!$E$5:$E$16,"&lt;="&amp;A968)-SUMIFS(Оплаты!$B$6:$B$505,Оплаты!$A$6:$A$505,"&lt;"&amp;A968,Оплаты!$D$6:$D$505,"&lt;&gt;"))</f>
        <v/>
      </c>
      <c r="E968" t="str">
        <f>IF(A968="","",IF(SUMPRODUCT((Ввод!$F$12:$F$31&lt;&gt;"")*(Ввод!$F$12:$F$31&lt;=A968)*(Ввод!$G$12:$G$31&gt;=A968))&gt;0,1,0))</f>
        <v/>
      </c>
      <c r="G968" t="str">
        <f t="shared" si="31"/>
        <v/>
      </c>
    </row>
    <row r="969" spans="1:7" x14ac:dyDescent="0.3">
      <c r="A969" s="21" t="str">
        <f>IF(A968="","",IF(A968+1&gt;Ввод!$B$4,"",A968+1))</f>
        <v/>
      </c>
      <c r="B969" s="23" t="str">
        <f>IF(A969="","",IFERROR(INDEX(Ввод!$B$12:$B$71,MATCH(A969,Ввод!$D$12:$D$71,1)),""))</f>
        <v/>
      </c>
      <c r="C969" t="str">
        <f t="shared" si="30"/>
        <v/>
      </c>
      <c r="D969" t="str">
        <f>IF(A969="","",SUMIFS(Акты!$D$5:$D$16,Акты!$E$5:$E$16,"&lt;="&amp;A969)-SUMIFS(Оплаты!$B$6:$B$505,Оплаты!$A$6:$A$505,"&lt;"&amp;A969,Оплаты!$D$6:$D$505,"&lt;&gt;"))</f>
        <v/>
      </c>
      <c r="E969" t="str">
        <f>IF(A969="","",IF(SUMPRODUCT((Ввод!$F$12:$F$31&lt;&gt;"")*(Ввод!$F$12:$F$31&lt;=A969)*(Ввод!$G$12:$G$31&gt;=A969))&gt;0,1,0))</f>
        <v/>
      </c>
      <c r="G969" t="str">
        <f t="shared" si="31"/>
        <v/>
      </c>
    </row>
    <row r="970" spans="1:7" x14ac:dyDescent="0.3">
      <c r="A970" s="21" t="str">
        <f>IF(A969="","",IF(A969+1&gt;Ввод!$B$4,"",A969+1))</f>
        <v/>
      </c>
      <c r="B970" s="23" t="str">
        <f>IF(A970="","",IFERROR(INDEX(Ввод!$B$12:$B$71,MATCH(A970,Ввод!$D$12:$D$71,1)),""))</f>
        <v/>
      </c>
      <c r="C970" t="str">
        <f t="shared" si="30"/>
        <v/>
      </c>
      <c r="D970" t="str">
        <f>IF(A970="","",SUMIFS(Акты!$D$5:$D$16,Акты!$E$5:$E$16,"&lt;="&amp;A970)-SUMIFS(Оплаты!$B$6:$B$505,Оплаты!$A$6:$A$505,"&lt;"&amp;A970,Оплаты!$D$6:$D$505,"&lt;&gt;"))</f>
        <v/>
      </c>
      <c r="E970" t="str">
        <f>IF(A970="","",IF(SUMPRODUCT((Ввод!$F$12:$F$31&lt;&gt;"")*(Ввод!$F$12:$F$31&lt;=A970)*(Ввод!$G$12:$G$31&gt;=A970))&gt;0,1,0))</f>
        <v/>
      </c>
      <c r="G970" t="str">
        <f t="shared" si="31"/>
        <v/>
      </c>
    </row>
    <row r="971" spans="1:7" x14ac:dyDescent="0.3">
      <c r="A971" s="21" t="str">
        <f>IF(A970="","",IF(A970+1&gt;Ввод!$B$4,"",A970+1))</f>
        <v/>
      </c>
      <c r="B971" s="23" t="str">
        <f>IF(A971="","",IFERROR(INDEX(Ввод!$B$12:$B$71,MATCH(A971,Ввод!$D$12:$D$71,1)),""))</f>
        <v/>
      </c>
      <c r="C971" t="str">
        <f t="shared" si="30"/>
        <v/>
      </c>
      <c r="D971" t="str">
        <f>IF(A971="","",SUMIFS(Акты!$D$5:$D$16,Акты!$E$5:$E$16,"&lt;="&amp;A971)-SUMIFS(Оплаты!$B$6:$B$505,Оплаты!$A$6:$A$505,"&lt;"&amp;A971,Оплаты!$D$6:$D$505,"&lt;&gt;"))</f>
        <v/>
      </c>
      <c r="E971" t="str">
        <f>IF(A971="","",IF(SUMPRODUCT((Ввод!$F$12:$F$31&lt;&gt;"")*(Ввод!$F$12:$F$31&lt;=A971)*(Ввод!$G$12:$G$31&gt;=A971))&gt;0,1,0))</f>
        <v/>
      </c>
      <c r="G971" t="str">
        <f t="shared" si="31"/>
        <v/>
      </c>
    </row>
    <row r="972" spans="1:7" x14ac:dyDescent="0.3">
      <c r="A972" s="21" t="str">
        <f>IF(A971="","",IF(A971+1&gt;Ввод!$B$4,"",A971+1))</f>
        <v/>
      </c>
      <c r="B972" s="23" t="str">
        <f>IF(A972="","",IFERROR(INDEX(Ввод!$B$12:$B$71,MATCH(A972,Ввод!$D$12:$D$71,1)),""))</f>
        <v/>
      </c>
      <c r="C972" t="str">
        <f t="shared" si="30"/>
        <v/>
      </c>
      <c r="D972" t="str">
        <f>IF(A972="","",SUMIFS(Акты!$D$5:$D$16,Акты!$E$5:$E$16,"&lt;="&amp;A972)-SUMIFS(Оплаты!$B$6:$B$505,Оплаты!$A$6:$A$505,"&lt;"&amp;A972,Оплаты!$D$6:$D$505,"&lt;&gt;"))</f>
        <v/>
      </c>
      <c r="E972" t="str">
        <f>IF(A972="","",IF(SUMPRODUCT((Ввод!$F$12:$F$31&lt;&gt;"")*(Ввод!$F$12:$F$31&lt;=A972)*(Ввод!$G$12:$G$31&gt;=A972))&gt;0,1,0))</f>
        <v/>
      </c>
      <c r="G972" t="str">
        <f t="shared" si="31"/>
        <v/>
      </c>
    </row>
    <row r="973" spans="1:7" x14ac:dyDescent="0.3">
      <c r="A973" s="21" t="str">
        <f>IF(A972="","",IF(A972+1&gt;Ввод!$B$4,"",A972+1))</f>
        <v/>
      </c>
      <c r="B973" s="23" t="str">
        <f>IF(A973="","",IFERROR(INDEX(Ввод!$B$12:$B$71,MATCH(A973,Ввод!$D$12:$D$71,1)),""))</f>
        <v/>
      </c>
      <c r="C973" t="str">
        <f t="shared" si="30"/>
        <v/>
      </c>
      <c r="D973" t="str">
        <f>IF(A973="","",SUMIFS(Акты!$D$5:$D$16,Акты!$E$5:$E$16,"&lt;="&amp;A973)-SUMIFS(Оплаты!$B$6:$B$505,Оплаты!$A$6:$A$505,"&lt;"&amp;A973,Оплаты!$D$6:$D$505,"&lt;&gt;"))</f>
        <v/>
      </c>
      <c r="E973" t="str">
        <f>IF(A973="","",IF(SUMPRODUCT((Ввод!$F$12:$F$31&lt;&gt;"")*(Ввод!$F$12:$F$31&lt;=A973)*(Ввод!$G$12:$G$31&gt;=A973))&gt;0,1,0))</f>
        <v/>
      </c>
      <c r="G973" t="str">
        <f t="shared" si="31"/>
        <v/>
      </c>
    </row>
    <row r="974" spans="1:7" x14ac:dyDescent="0.3">
      <c r="A974" s="21" t="str">
        <f>IF(A973="","",IF(A973+1&gt;Ввод!$B$4,"",A973+1))</f>
        <v/>
      </c>
      <c r="B974" s="23" t="str">
        <f>IF(A974="","",IFERROR(INDEX(Ввод!$B$12:$B$71,MATCH(A974,Ввод!$D$12:$D$71,1)),""))</f>
        <v/>
      </c>
      <c r="C974" t="str">
        <f t="shared" si="30"/>
        <v/>
      </c>
      <c r="D974" t="str">
        <f>IF(A974="","",SUMIFS(Акты!$D$5:$D$16,Акты!$E$5:$E$16,"&lt;="&amp;A974)-SUMIFS(Оплаты!$B$6:$B$505,Оплаты!$A$6:$A$505,"&lt;"&amp;A974,Оплаты!$D$6:$D$505,"&lt;&gt;"))</f>
        <v/>
      </c>
      <c r="E974" t="str">
        <f>IF(A974="","",IF(SUMPRODUCT((Ввод!$F$12:$F$31&lt;&gt;"")*(Ввод!$F$12:$F$31&lt;=A974)*(Ввод!$G$12:$G$31&gt;=A974))&gt;0,1,0))</f>
        <v/>
      </c>
      <c r="G974" t="str">
        <f t="shared" si="31"/>
        <v/>
      </c>
    </row>
    <row r="975" spans="1:7" x14ac:dyDescent="0.3">
      <c r="A975" s="21" t="str">
        <f>IF(A974="","",IF(A974+1&gt;Ввод!$B$4,"",A974+1))</f>
        <v/>
      </c>
      <c r="B975" s="23" t="str">
        <f>IF(A975="","",IFERROR(INDEX(Ввод!$B$12:$B$71,MATCH(A975,Ввод!$D$12:$D$71,1)),""))</f>
        <v/>
      </c>
      <c r="C975" t="str">
        <f t="shared" si="30"/>
        <v/>
      </c>
      <c r="D975" t="str">
        <f>IF(A975="","",SUMIFS(Акты!$D$5:$D$16,Акты!$E$5:$E$16,"&lt;="&amp;A975)-SUMIFS(Оплаты!$B$6:$B$505,Оплаты!$A$6:$A$505,"&lt;"&amp;A975,Оплаты!$D$6:$D$505,"&lt;&gt;"))</f>
        <v/>
      </c>
      <c r="E975" t="str">
        <f>IF(A975="","",IF(SUMPRODUCT((Ввод!$F$12:$F$31&lt;&gt;"")*(Ввод!$F$12:$F$31&lt;=A975)*(Ввод!$G$12:$G$31&gt;=A975))&gt;0,1,0))</f>
        <v/>
      </c>
      <c r="G975" t="str">
        <f t="shared" si="31"/>
        <v/>
      </c>
    </row>
    <row r="976" spans="1:7" x14ac:dyDescent="0.3">
      <c r="A976" s="21" t="str">
        <f>IF(A975="","",IF(A975+1&gt;Ввод!$B$4,"",A975+1))</f>
        <v/>
      </c>
      <c r="B976" s="23" t="str">
        <f>IF(A976="","",IFERROR(INDEX(Ввод!$B$12:$B$71,MATCH(A976,Ввод!$D$12:$D$71,1)),""))</f>
        <v/>
      </c>
      <c r="C976" t="str">
        <f t="shared" si="30"/>
        <v/>
      </c>
      <c r="D976" t="str">
        <f>IF(A976="","",SUMIFS(Акты!$D$5:$D$16,Акты!$E$5:$E$16,"&lt;="&amp;A976)-SUMIFS(Оплаты!$B$6:$B$505,Оплаты!$A$6:$A$505,"&lt;"&amp;A976,Оплаты!$D$6:$D$505,"&lt;&gt;"))</f>
        <v/>
      </c>
      <c r="E976" t="str">
        <f>IF(A976="","",IF(SUMPRODUCT((Ввод!$F$12:$F$31&lt;&gt;"")*(Ввод!$F$12:$F$31&lt;=A976)*(Ввод!$G$12:$G$31&gt;=A976))&gt;0,1,0))</f>
        <v/>
      </c>
      <c r="G976" t="str">
        <f t="shared" si="31"/>
        <v/>
      </c>
    </row>
    <row r="977" spans="1:7" x14ac:dyDescent="0.3">
      <c r="A977" s="21" t="str">
        <f>IF(A976="","",IF(A976+1&gt;Ввод!$B$4,"",A976+1))</f>
        <v/>
      </c>
      <c r="B977" s="23" t="str">
        <f>IF(A977="","",IFERROR(INDEX(Ввод!$B$12:$B$71,MATCH(A977,Ввод!$D$12:$D$71,1)),""))</f>
        <v/>
      </c>
      <c r="C977" t="str">
        <f t="shared" si="30"/>
        <v/>
      </c>
      <c r="D977" t="str">
        <f>IF(A977="","",SUMIFS(Акты!$D$5:$D$16,Акты!$E$5:$E$16,"&lt;="&amp;A977)-SUMIFS(Оплаты!$B$6:$B$505,Оплаты!$A$6:$A$505,"&lt;"&amp;A977,Оплаты!$D$6:$D$505,"&lt;&gt;"))</f>
        <v/>
      </c>
      <c r="E977" t="str">
        <f>IF(A977="","",IF(SUMPRODUCT((Ввод!$F$12:$F$31&lt;&gt;"")*(Ввод!$F$12:$F$31&lt;=A977)*(Ввод!$G$12:$G$31&gt;=A977))&gt;0,1,0))</f>
        <v/>
      </c>
      <c r="G977" t="str">
        <f t="shared" si="31"/>
        <v/>
      </c>
    </row>
    <row r="978" spans="1:7" x14ac:dyDescent="0.3">
      <c r="A978" s="21" t="str">
        <f>IF(A977="","",IF(A977+1&gt;Ввод!$B$4,"",A977+1))</f>
        <v/>
      </c>
      <c r="B978" s="23" t="str">
        <f>IF(A978="","",IFERROR(INDEX(Ввод!$B$12:$B$71,MATCH(A978,Ввод!$D$12:$D$71,1)),""))</f>
        <v/>
      </c>
      <c r="C978" t="str">
        <f t="shared" si="30"/>
        <v/>
      </c>
      <c r="D978" t="str">
        <f>IF(A978="","",SUMIFS(Акты!$D$5:$D$16,Акты!$E$5:$E$16,"&lt;="&amp;A978)-SUMIFS(Оплаты!$B$6:$B$505,Оплаты!$A$6:$A$505,"&lt;"&amp;A978,Оплаты!$D$6:$D$505,"&lt;&gt;"))</f>
        <v/>
      </c>
      <c r="E978" t="str">
        <f>IF(A978="","",IF(SUMPRODUCT((Ввод!$F$12:$F$31&lt;&gt;"")*(Ввод!$F$12:$F$31&lt;=A978)*(Ввод!$G$12:$G$31&gt;=A978))&gt;0,1,0))</f>
        <v/>
      </c>
      <c r="G978" t="str">
        <f t="shared" si="31"/>
        <v/>
      </c>
    </row>
    <row r="979" spans="1:7" x14ac:dyDescent="0.3">
      <c r="A979" s="21" t="str">
        <f>IF(A978="","",IF(A978+1&gt;Ввод!$B$4,"",A978+1))</f>
        <v/>
      </c>
      <c r="B979" s="23" t="str">
        <f>IF(A979="","",IFERROR(INDEX(Ввод!$B$12:$B$71,MATCH(A979,Ввод!$D$12:$D$71,1)),""))</f>
        <v/>
      </c>
      <c r="C979" t="str">
        <f t="shared" si="30"/>
        <v/>
      </c>
      <c r="D979" t="str">
        <f>IF(A979="","",SUMIFS(Акты!$D$5:$D$16,Акты!$E$5:$E$16,"&lt;="&amp;A979)-SUMIFS(Оплаты!$B$6:$B$505,Оплаты!$A$6:$A$505,"&lt;"&amp;A979,Оплаты!$D$6:$D$505,"&lt;&gt;"))</f>
        <v/>
      </c>
      <c r="E979" t="str">
        <f>IF(A979="","",IF(SUMPRODUCT((Ввод!$F$12:$F$31&lt;&gt;"")*(Ввод!$F$12:$F$31&lt;=A979)*(Ввод!$G$12:$G$31&gt;=A979))&gt;0,1,0))</f>
        <v/>
      </c>
      <c r="G979" t="str">
        <f t="shared" si="31"/>
        <v/>
      </c>
    </row>
    <row r="980" spans="1:7" x14ac:dyDescent="0.3">
      <c r="A980" s="21" t="str">
        <f>IF(A979="","",IF(A979+1&gt;Ввод!$B$4,"",A979+1))</f>
        <v/>
      </c>
      <c r="B980" s="23" t="str">
        <f>IF(A980="","",IFERROR(INDEX(Ввод!$B$12:$B$71,MATCH(A980,Ввод!$D$12:$D$71,1)),""))</f>
        <v/>
      </c>
      <c r="C980" t="str">
        <f t="shared" si="30"/>
        <v/>
      </c>
      <c r="D980" t="str">
        <f>IF(A980="","",SUMIFS(Акты!$D$5:$D$16,Акты!$E$5:$E$16,"&lt;="&amp;A980)-SUMIFS(Оплаты!$B$6:$B$505,Оплаты!$A$6:$A$505,"&lt;"&amp;A980,Оплаты!$D$6:$D$505,"&lt;&gt;"))</f>
        <v/>
      </c>
      <c r="E980" t="str">
        <f>IF(A980="","",IF(SUMPRODUCT((Ввод!$F$12:$F$31&lt;&gt;"")*(Ввод!$F$12:$F$31&lt;=A980)*(Ввод!$G$12:$G$31&gt;=A980))&gt;0,1,0))</f>
        <v/>
      </c>
      <c r="G980" t="str">
        <f t="shared" si="31"/>
        <v/>
      </c>
    </row>
    <row r="981" spans="1:7" x14ac:dyDescent="0.3">
      <c r="A981" s="21" t="str">
        <f>IF(A980="","",IF(A980+1&gt;Ввод!$B$4,"",A980+1))</f>
        <v/>
      </c>
      <c r="B981" s="23" t="str">
        <f>IF(A981="","",IFERROR(INDEX(Ввод!$B$12:$B$71,MATCH(A981,Ввод!$D$12:$D$71,1)),""))</f>
        <v/>
      </c>
      <c r="C981" t="str">
        <f t="shared" si="30"/>
        <v/>
      </c>
      <c r="D981" t="str">
        <f>IF(A981="","",SUMIFS(Акты!$D$5:$D$16,Акты!$E$5:$E$16,"&lt;="&amp;A981)-SUMIFS(Оплаты!$B$6:$B$505,Оплаты!$A$6:$A$505,"&lt;"&amp;A981,Оплаты!$D$6:$D$505,"&lt;&gt;"))</f>
        <v/>
      </c>
      <c r="E981" t="str">
        <f>IF(A981="","",IF(SUMPRODUCT((Ввод!$F$12:$F$31&lt;&gt;"")*(Ввод!$F$12:$F$31&lt;=A981)*(Ввод!$G$12:$G$31&gt;=A981))&gt;0,1,0))</f>
        <v/>
      </c>
      <c r="G981" t="str">
        <f t="shared" si="31"/>
        <v/>
      </c>
    </row>
    <row r="982" spans="1:7" x14ac:dyDescent="0.3">
      <c r="A982" s="21" t="str">
        <f>IF(A981="","",IF(A981+1&gt;Ввод!$B$4,"",A981+1))</f>
        <v/>
      </c>
      <c r="B982" s="23" t="str">
        <f>IF(A982="","",IFERROR(INDEX(Ввод!$B$12:$B$71,MATCH(A982,Ввод!$D$12:$D$71,1)),""))</f>
        <v/>
      </c>
      <c r="C982" t="str">
        <f t="shared" si="30"/>
        <v/>
      </c>
      <c r="D982" t="str">
        <f>IF(A982="","",SUMIFS(Акты!$D$5:$D$16,Акты!$E$5:$E$16,"&lt;="&amp;A982)-SUMIFS(Оплаты!$B$6:$B$505,Оплаты!$A$6:$A$505,"&lt;"&amp;A982,Оплаты!$D$6:$D$505,"&lt;&gt;"))</f>
        <v/>
      </c>
      <c r="E982" t="str">
        <f>IF(A982="","",IF(SUMPRODUCT((Ввод!$F$12:$F$31&lt;&gt;"")*(Ввод!$F$12:$F$31&lt;=A982)*(Ввод!$G$12:$G$31&gt;=A982))&gt;0,1,0))</f>
        <v/>
      </c>
      <c r="G982" t="str">
        <f t="shared" si="31"/>
        <v/>
      </c>
    </row>
    <row r="983" spans="1:7" x14ac:dyDescent="0.3">
      <c r="A983" s="21" t="str">
        <f>IF(A982="","",IF(A982+1&gt;Ввод!$B$4,"",A982+1))</f>
        <v/>
      </c>
      <c r="B983" s="23" t="str">
        <f>IF(A983="","",IFERROR(INDEX(Ввод!$B$12:$B$71,MATCH(A983,Ввод!$D$12:$D$71,1)),""))</f>
        <v/>
      </c>
      <c r="C983" t="str">
        <f t="shared" si="30"/>
        <v/>
      </c>
      <c r="D983" t="str">
        <f>IF(A983="","",SUMIFS(Акты!$D$5:$D$16,Акты!$E$5:$E$16,"&lt;="&amp;A983)-SUMIFS(Оплаты!$B$6:$B$505,Оплаты!$A$6:$A$505,"&lt;"&amp;A983,Оплаты!$D$6:$D$505,"&lt;&gt;"))</f>
        <v/>
      </c>
      <c r="E983" t="str">
        <f>IF(A983="","",IF(SUMPRODUCT((Ввод!$F$12:$F$31&lt;&gt;"")*(Ввод!$F$12:$F$31&lt;=A983)*(Ввод!$G$12:$G$31&gt;=A983))&gt;0,1,0))</f>
        <v/>
      </c>
      <c r="G983" t="str">
        <f t="shared" si="31"/>
        <v/>
      </c>
    </row>
    <row r="984" spans="1:7" x14ac:dyDescent="0.3">
      <c r="A984" s="21" t="str">
        <f>IF(A983="","",IF(A983+1&gt;Ввод!$B$4,"",A983+1))</f>
        <v/>
      </c>
      <c r="B984" s="23" t="str">
        <f>IF(A984="","",IFERROR(INDEX(Ввод!$B$12:$B$71,MATCH(A984,Ввод!$D$12:$D$71,1)),""))</f>
        <v/>
      </c>
      <c r="C984" t="str">
        <f t="shared" si="30"/>
        <v/>
      </c>
      <c r="D984" t="str">
        <f>IF(A984="","",SUMIFS(Акты!$D$5:$D$16,Акты!$E$5:$E$16,"&lt;="&amp;A984)-SUMIFS(Оплаты!$B$6:$B$505,Оплаты!$A$6:$A$505,"&lt;"&amp;A984,Оплаты!$D$6:$D$505,"&lt;&gt;"))</f>
        <v/>
      </c>
      <c r="E984" t="str">
        <f>IF(A984="","",IF(SUMPRODUCT((Ввод!$F$12:$F$31&lt;&gt;"")*(Ввод!$F$12:$F$31&lt;=A984)*(Ввод!$G$12:$G$31&gt;=A984))&gt;0,1,0))</f>
        <v/>
      </c>
      <c r="G984" t="str">
        <f t="shared" si="31"/>
        <v/>
      </c>
    </row>
    <row r="985" spans="1:7" x14ac:dyDescent="0.3">
      <c r="A985" s="21" t="str">
        <f>IF(A984="","",IF(A984+1&gt;Ввод!$B$4,"",A984+1))</f>
        <v/>
      </c>
      <c r="B985" s="23" t="str">
        <f>IF(A985="","",IFERROR(INDEX(Ввод!$B$12:$B$71,MATCH(A985,Ввод!$D$12:$D$71,1)),""))</f>
        <v/>
      </c>
      <c r="C985" t="str">
        <f t="shared" si="30"/>
        <v/>
      </c>
      <c r="D985" t="str">
        <f>IF(A985="","",SUMIFS(Акты!$D$5:$D$16,Акты!$E$5:$E$16,"&lt;="&amp;A985)-SUMIFS(Оплаты!$B$6:$B$505,Оплаты!$A$6:$A$505,"&lt;"&amp;A985,Оплаты!$D$6:$D$505,"&lt;&gt;"))</f>
        <v/>
      </c>
      <c r="E985" t="str">
        <f>IF(A985="","",IF(SUMPRODUCT((Ввод!$F$12:$F$31&lt;&gt;"")*(Ввод!$F$12:$F$31&lt;=A985)*(Ввод!$G$12:$G$31&gt;=A985))&gt;0,1,0))</f>
        <v/>
      </c>
      <c r="G985" t="str">
        <f t="shared" si="31"/>
        <v/>
      </c>
    </row>
    <row r="986" spans="1:7" x14ac:dyDescent="0.3">
      <c r="A986" s="21" t="str">
        <f>IF(A985="","",IF(A985+1&gt;Ввод!$B$4,"",A985+1))</f>
        <v/>
      </c>
      <c r="B986" s="23" t="str">
        <f>IF(A986="","",IFERROR(INDEX(Ввод!$B$12:$B$71,MATCH(A986,Ввод!$D$12:$D$71,1)),""))</f>
        <v/>
      </c>
      <c r="C986" t="str">
        <f t="shared" si="30"/>
        <v/>
      </c>
      <c r="D986" t="str">
        <f>IF(A986="","",SUMIFS(Акты!$D$5:$D$16,Акты!$E$5:$E$16,"&lt;="&amp;A986)-SUMIFS(Оплаты!$B$6:$B$505,Оплаты!$A$6:$A$505,"&lt;"&amp;A986,Оплаты!$D$6:$D$505,"&lt;&gt;"))</f>
        <v/>
      </c>
      <c r="E986" t="str">
        <f>IF(A986="","",IF(SUMPRODUCT((Ввод!$F$12:$F$31&lt;&gt;"")*(Ввод!$F$12:$F$31&lt;=A986)*(Ввод!$G$12:$G$31&gt;=A986))&gt;0,1,0))</f>
        <v/>
      </c>
      <c r="G986" t="str">
        <f t="shared" si="31"/>
        <v/>
      </c>
    </row>
    <row r="987" spans="1:7" x14ac:dyDescent="0.3">
      <c r="A987" s="21" t="str">
        <f>IF(A986="","",IF(A986+1&gt;Ввод!$B$4,"",A986+1))</f>
        <v/>
      </c>
      <c r="B987" s="23" t="str">
        <f>IF(A987="","",IFERROR(INDEX(Ввод!$B$12:$B$71,MATCH(A987,Ввод!$D$12:$D$71,1)),""))</f>
        <v/>
      </c>
      <c r="C987" t="str">
        <f t="shared" si="30"/>
        <v/>
      </c>
      <c r="D987" t="str">
        <f>IF(A987="","",SUMIFS(Акты!$D$5:$D$16,Акты!$E$5:$E$16,"&lt;="&amp;A987)-SUMIFS(Оплаты!$B$6:$B$505,Оплаты!$A$6:$A$505,"&lt;"&amp;A987,Оплаты!$D$6:$D$505,"&lt;&gt;"))</f>
        <v/>
      </c>
      <c r="E987" t="str">
        <f>IF(A987="","",IF(SUMPRODUCT((Ввод!$F$12:$F$31&lt;&gt;"")*(Ввод!$F$12:$F$31&lt;=A987)*(Ввод!$G$12:$G$31&gt;=A987))&gt;0,1,0))</f>
        <v/>
      </c>
      <c r="G987" t="str">
        <f t="shared" si="31"/>
        <v/>
      </c>
    </row>
    <row r="988" spans="1:7" x14ac:dyDescent="0.3">
      <c r="A988" s="21" t="str">
        <f>IF(A987="","",IF(A987+1&gt;Ввод!$B$4,"",A987+1))</f>
        <v/>
      </c>
      <c r="B988" s="23" t="str">
        <f>IF(A988="","",IFERROR(INDEX(Ввод!$B$12:$B$71,MATCH(A988,Ввод!$D$12:$D$71,1)),""))</f>
        <v/>
      </c>
      <c r="C988" t="str">
        <f t="shared" si="30"/>
        <v/>
      </c>
      <c r="D988" t="str">
        <f>IF(A988="","",SUMIFS(Акты!$D$5:$D$16,Акты!$E$5:$E$16,"&lt;="&amp;A988)-SUMIFS(Оплаты!$B$6:$B$505,Оплаты!$A$6:$A$505,"&lt;"&amp;A988,Оплаты!$D$6:$D$505,"&lt;&gt;"))</f>
        <v/>
      </c>
      <c r="E988" t="str">
        <f>IF(A988="","",IF(SUMPRODUCT((Ввод!$F$12:$F$31&lt;&gt;"")*(Ввод!$F$12:$F$31&lt;=A988)*(Ввод!$G$12:$G$31&gt;=A988))&gt;0,1,0))</f>
        <v/>
      </c>
      <c r="G988" t="str">
        <f t="shared" si="31"/>
        <v/>
      </c>
    </row>
    <row r="989" spans="1:7" x14ac:dyDescent="0.3">
      <c r="A989" s="21" t="str">
        <f>IF(A988="","",IF(A988+1&gt;Ввод!$B$4,"",A988+1))</f>
        <v/>
      </c>
      <c r="B989" s="23" t="str">
        <f>IF(A989="","",IFERROR(INDEX(Ввод!$B$12:$B$71,MATCH(A989,Ввод!$D$12:$D$71,1)),""))</f>
        <v/>
      </c>
      <c r="C989" t="str">
        <f t="shared" si="30"/>
        <v/>
      </c>
      <c r="D989" t="str">
        <f>IF(A989="","",SUMIFS(Акты!$D$5:$D$16,Акты!$E$5:$E$16,"&lt;="&amp;A989)-SUMIFS(Оплаты!$B$6:$B$505,Оплаты!$A$6:$A$505,"&lt;"&amp;A989,Оплаты!$D$6:$D$505,"&lt;&gt;"))</f>
        <v/>
      </c>
      <c r="E989" t="str">
        <f>IF(A989="","",IF(SUMPRODUCT((Ввод!$F$12:$F$31&lt;&gt;"")*(Ввод!$F$12:$F$31&lt;=A989)*(Ввод!$G$12:$G$31&gt;=A989))&gt;0,1,0))</f>
        <v/>
      </c>
      <c r="G989" t="str">
        <f t="shared" si="31"/>
        <v/>
      </c>
    </row>
    <row r="990" spans="1:7" x14ac:dyDescent="0.3">
      <c r="A990" s="21" t="str">
        <f>IF(A989="","",IF(A989+1&gt;Ввод!$B$4,"",A989+1))</f>
        <v/>
      </c>
      <c r="B990" s="23" t="str">
        <f>IF(A990="","",IFERROR(INDEX(Ввод!$B$12:$B$71,MATCH(A990,Ввод!$D$12:$D$71,1)),""))</f>
        <v/>
      </c>
      <c r="C990" t="str">
        <f t="shared" si="30"/>
        <v/>
      </c>
      <c r="D990" t="str">
        <f>IF(A990="","",SUMIFS(Акты!$D$5:$D$16,Акты!$E$5:$E$16,"&lt;="&amp;A990)-SUMIFS(Оплаты!$B$6:$B$505,Оплаты!$A$6:$A$505,"&lt;"&amp;A990,Оплаты!$D$6:$D$505,"&lt;&gt;"))</f>
        <v/>
      </c>
      <c r="E990" t="str">
        <f>IF(A990="","",IF(SUMPRODUCT((Ввод!$F$12:$F$31&lt;&gt;"")*(Ввод!$F$12:$F$31&lt;=A990)*(Ввод!$G$12:$G$31&gt;=A990))&gt;0,1,0))</f>
        <v/>
      </c>
      <c r="G990" t="str">
        <f t="shared" si="31"/>
        <v/>
      </c>
    </row>
    <row r="991" spans="1:7" x14ac:dyDescent="0.3">
      <c r="A991" s="21" t="str">
        <f>IF(A990="","",IF(A990+1&gt;Ввод!$B$4,"",A990+1))</f>
        <v/>
      </c>
      <c r="B991" s="23" t="str">
        <f>IF(A991="","",IFERROR(INDEX(Ввод!$B$12:$B$71,MATCH(A991,Ввод!$D$12:$D$71,1)),""))</f>
        <v/>
      </c>
      <c r="C991" t="str">
        <f t="shared" si="30"/>
        <v/>
      </c>
      <c r="D991" t="str">
        <f>IF(A991="","",SUMIFS(Акты!$D$5:$D$16,Акты!$E$5:$E$16,"&lt;="&amp;A991)-SUMIFS(Оплаты!$B$6:$B$505,Оплаты!$A$6:$A$505,"&lt;"&amp;A991,Оплаты!$D$6:$D$505,"&lt;&gt;"))</f>
        <v/>
      </c>
      <c r="E991" t="str">
        <f>IF(A991="","",IF(SUMPRODUCT((Ввод!$F$12:$F$31&lt;&gt;"")*(Ввод!$F$12:$F$31&lt;=A991)*(Ввод!$G$12:$G$31&gt;=A991))&gt;0,1,0))</f>
        <v/>
      </c>
      <c r="G991" t="str">
        <f t="shared" si="31"/>
        <v/>
      </c>
    </row>
    <row r="992" spans="1:7" x14ac:dyDescent="0.3">
      <c r="A992" s="21" t="str">
        <f>IF(A991="","",IF(A991+1&gt;Ввод!$B$4,"",A991+1))</f>
        <v/>
      </c>
      <c r="B992" s="23" t="str">
        <f>IF(A992="","",IFERROR(INDEX(Ввод!$B$12:$B$71,MATCH(A992,Ввод!$D$12:$D$71,1)),""))</f>
        <v/>
      </c>
      <c r="C992" t="str">
        <f t="shared" si="30"/>
        <v/>
      </c>
      <c r="D992" t="str">
        <f>IF(A992="","",SUMIFS(Акты!$D$5:$D$16,Акты!$E$5:$E$16,"&lt;="&amp;A992)-SUMIFS(Оплаты!$B$6:$B$505,Оплаты!$A$6:$A$505,"&lt;"&amp;A992,Оплаты!$D$6:$D$505,"&lt;&gt;"))</f>
        <v/>
      </c>
      <c r="E992" t="str">
        <f>IF(A992="","",IF(SUMPRODUCT((Ввод!$F$12:$F$31&lt;&gt;"")*(Ввод!$F$12:$F$31&lt;=A992)*(Ввод!$G$12:$G$31&gt;=A992))&gt;0,1,0))</f>
        <v/>
      </c>
      <c r="G992" t="str">
        <f t="shared" si="31"/>
        <v/>
      </c>
    </row>
    <row r="993" spans="1:7" x14ac:dyDescent="0.3">
      <c r="A993" s="21" t="str">
        <f>IF(A992="","",IF(A992+1&gt;Ввод!$B$4,"",A992+1))</f>
        <v/>
      </c>
      <c r="B993" s="23" t="str">
        <f>IF(A993="","",IFERROR(INDEX(Ввод!$B$12:$B$71,MATCH(A993,Ввод!$D$12:$D$71,1)),""))</f>
        <v/>
      </c>
      <c r="C993" t="str">
        <f t="shared" si="30"/>
        <v/>
      </c>
      <c r="D993" t="str">
        <f>IF(A993="","",SUMIFS(Акты!$D$5:$D$16,Акты!$E$5:$E$16,"&lt;="&amp;A993)-SUMIFS(Оплаты!$B$6:$B$505,Оплаты!$A$6:$A$505,"&lt;"&amp;A993,Оплаты!$D$6:$D$505,"&lt;&gt;"))</f>
        <v/>
      </c>
      <c r="E993" t="str">
        <f>IF(A993="","",IF(SUMPRODUCT((Ввод!$F$12:$F$31&lt;&gt;"")*(Ввод!$F$12:$F$31&lt;=A993)*(Ввод!$G$12:$G$31&gt;=A993))&gt;0,1,0))</f>
        <v/>
      </c>
      <c r="G993" t="str">
        <f t="shared" si="31"/>
        <v/>
      </c>
    </row>
    <row r="994" spans="1:7" x14ac:dyDescent="0.3">
      <c r="A994" s="21" t="str">
        <f>IF(A993="","",IF(A993+1&gt;Ввод!$B$4,"",A993+1))</f>
        <v/>
      </c>
      <c r="B994" s="23" t="str">
        <f>IF(A994="","",IFERROR(INDEX(Ввод!$B$12:$B$71,MATCH(A994,Ввод!$D$12:$D$71,1)),""))</f>
        <v/>
      </c>
      <c r="C994" t="str">
        <f t="shared" si="30"/>
        <v/>
      </c>
      <c r="D994" t="str">
        <f>IF(A994="","",SUMIFS(Акты!$D$5:$D$16,Акты!$E$5:$E$16,"&lt;="&amp;A994)-SUMIFS(Оплаты!$B$6:$B$505,Оплаты!$A$6:$A$505,"&lt;"&amp;A994,Оплаты!$D$6:$D$505,"&lt;&gt;"))</f>
        <v/>
      </c>
      <c r="E994" t="str">
        <f>IF(A994="","",IF(SUMPRODUCT((Ввод!$F$12:$F$31&lt;&gt;"")*(Ввод!$F$12:$F$31&lt;=A994)*(Ввод!$G$12:$G$31&gt;=A994))&gt;0,1,0))</f>
        <v/>
      </c>
      <c r="G994" t="str">
        <f t="shared" si="31"/>
        <v/>
      </c>
    </row>
    <row r="995" spans="1:7" x14ac:dyDescent="0.3">
      <c r="A995" s="21" t="str">
        <f>IF(A994="","",IF(A994+1&gt;Ввод!$B$4,"",A994+1))</f>
        <v/>
      </c>
      <c r="B995" s="23" t="str">
        <f>IF(A995="","",IFERROR(INDEX(Ввод!$B$12:$B$71,MATCH(A995,Ввод!$D$12:$D$71,1)),""))</f>
        <v/>
      </c>
      <c r="C995" t="str">
        <f t="shared" si="30"/>
        <v/>
      </c>
      <c r="D995" t="str">
        <f>IF(A995="","",SUMIFS(Акты!$D$5:$D$16,Акты!$E$5:$E$16,"&lt;="&amp;A995)-SUMIFS(Оплаты!$B$6:$B$505,Оплаты!$A$6:$A$505,"&lt;"&amp;A995,Оплаты!$D$6:$D$505,"&lt;&gt;"))</f>
        <v/>
      </c>
      <c r="E995" t="str">
        <f>IF(A995="","",IF(SUMPRODUCT((Ввод!$F$12:$F$31&lt;&gt;"")*(Ввод!$F$12:$F$31&lt;=A995)*(Ввод!$G$12:$G$31&gt;=A995))&gt;0,1,0))</f>
        <v/>
      </c>
      <c r="G995" t="str">
        <f t="shared" si="31"/>
        <v/>
      </c>
    </row>
    <row r="996" spans="1:7" x14ac:dyDescent="0.3">
      <c r="A996" s="21" t="str">
        <f>IF(A995="","",IF(A995+1&gt;Ввод!$B$4,"",A995+1))</f>
        <v/>
      </c>
      <c r="B996" s="23" t="str">
        <f>IF(A996="","",IFERROR(INDEX(Ввод!$B$12:$B$71,MATCH(A996,Ввод!$D$12:$D$71,1)),""))</f>
        <v/>
      </c>
      <c r="C996" t="str">
        <f t="shared" si="30"/>
        <v/>
      </c>
      <c r="D996" t="str">
        <f>IF(A996="","",SUMIFS(Акты!$D$5:$D$16,Акты!$E$5:$E$16,"&lt;="&amp;A996)-SUMIFS(Оплаты!$B$6:$B$505,Оплаты!$A$6:$A$505,"&lt;"&amp;A996,Оплаты!$D$6:$D$505,"&lt;&gt;"))</f>
        <v/>
      </c>
      <c r="E996" t="str">
        <f>IF(A996="","",IF(SUMPRODUCT((Ввод!$F$12:$F$31&lt;&gt;"")*(Ввод!$F$12:$F$31&lt;=A996)*(Ввод!$G$12:$G$31&gt;=A996))&gt;0,1,0))</f>
        <v/>
      </c>
      <c r="G996" t="str">
        <f t="shared" si="31"/>
        <v/>
      </c>
    </row>
    <row r="997" spans="1:7" x14ac:dyDescent="0.3">
      <c r="A997" s="21" t="str">
        <f>IF(A996="","",IF(A996+1&gt;Ввод!$B$4,"",A996+1))</f>
        <v/>
      </c>
      <c r="B997" s="23" t="str">
        <f>IF(A997="","",IFERROR(INDEX(Ввод!$B$12:$B$71,MATCH(A997,Ввод!$D$12:$D$71,1)),""))</f>
        <v/>
      </c>
      <c r="C997" t="str">
        <f t="shared" si="30"/>
        <v/>
      </c>
      <c r="D997" t="str">
        <f>IF(A997="","",SUMIFS(Акты!$D$5:$D$16,Акты!$E$5:$E$16,"&lt;="&amp;A997)-SUMIFS(Оплаты!$B$6:$B$505,Оплаты!$A$6:$A$505,"&lt;"&amp;A997,Оплаты!$D$6:$D$505,"&lt;&gt;"))</f>
        <v/>
      </c>
      <c r="E997" t="str">
        <f>IF(A997="","",IF(SUMPRODUCT((Ввод!$F$12:$F$31&lt;&gt;"")*(Ввод!$F$12:$F$31&lt;=A997)*(Ввод!$G$12:$G$31&gt;=A997))&gt;0,1,0))</f>
        <v/>
      </c>
      <c r="G997" t="str">
        <f t="shared" si="31"/>
        <v/>
      </c>
    </row>
    <row r="998" spans="1:7" x14ac:dyDescent="0.3">
      <c r="A998" s="21" t="str">
        <f>IF(A997="","",IF(A997+1&gt;Ввод!$B$4,"",A997+1))</f>
        <v/>
      </c>
      <c r="B998" s="23" t="str">
        <f>IF(A998="","",IFERROR(INDEX(Ввод!$B$12:$B$71,MATCH(A998,Ввод!$D$12:$D$71,1)),""))</f>
        <v/>
      </c>
      <c r="C998" t="str">
        <f t="shared" si="30"/>
        <v/>
      </c>
      <c r="D998" t="str">
        <f>IF(A998="","",SUMIFS(Акты!$D$5:$D$16,Акты!$E$5:$E$16,"&lt;="&amp;A998)-SUMIFS(Оплаты!$B$6:$B$505,Оплаты!$A$6:$A$505,"&lt;"&amp;A998,Оплаты!$D$6:$D$505,"&lt;&gt;"))</f>
        <v/>
      </c>
      <c r="E998" t="str">
        <f>IF(A998="","",IF(SUMPRODUCT((Ввод!$F$12:$F$31&lt;&gt;"")*(Ввод!$F$12:$F$31&lt;=A998)*(Ввод!$G$12:$G$31&gt;=A998))&gt;0,1,0))</f>
        <v/>
      </c>
      <c r="G998" t="str">
        <f t="shared" si="31"/>
        <v/>
      </c>
    </row>
    <row r="999" spans="1:7" x14ac:dyDescent="0.3">
      <c r="A999" s="21" t="str">
        <f>IF(A998="","",IF(A998+1&gt;Ввод!$B$4,"",A998+1))</f>
        <v/>
      </c>
      <c r="B999" s="23" t="str">
        <f>IF(A999="","",IFERROR(INDEX(Ввод!$B$12:$B$71,MATCH(A999,Ввод!$D$12:$D$71,1)),""))</f>
        <v/>
      </c>
      <c r="C999" t="str">
        <f t="shared" si="30"/>
        <v/>
      </c>
      <c r="D999" t="str">
        <f>IF(A999="","",SUMIFS(Акты!$D$5:$D$16,Акты!$E$5:$E$16,"&lt;="&amp;A999)-SUMIFS(Оплаты!$B$6:$B$505,Оплаты!$A$6:$A$505,"&lt;"&amp;A999,Оплаты!$D$6:$D$505,"&lt;&gt;"))</f>
        <v/>
      </c>
      <c r="E999" t="str">
        <f>IF(A999="","",IF(SUMPRODUCT((Ввод!$F$12:$F$31&lt;&gt;"")*(Ввод!$F$12:$F$31&lt;=A999)*(Ввод!$G$12:$G$31&gt;=A999))&gt;0,1,0))</f>
        <v/>
      </c>
      <c r="G999" t="str">
        <f t="shared" si="31"/>
        <v/>
      </c>
    </row>
    <row r="1000" spans="1:7" x14ac:dyDescent="0.3">
      <c r="A1000" s="21" t="str">
        <f>IF(A999="","",IF(A999+1&gt;Ввод!$B$4,"",A999+1))</f>
        <v/>
      </c>
      <c r="B1000" s="23" t="str">
        <f>IF(A1000="","",IFERROR(INDEX(Ввод!$B$12:$B$71,MATCH(A1000,Ввод!$D$12:$D$71,1)),""))</f>
        <v/>
      </c>
      <c r="C1000" t="str">
        <f t="shared" si="30"/>
        <v/>
      </c>
      <c r="D1000" t="str">
        <f>IF(A1000="","",SUMIFS(Акты!$D$5:$D$16,Акты!$E$5:$E$16,"&lt;="&amp;A1000)-SUMIFS(Оплаты!$B$6:$B$505,Оплаты!$A$6:$A$505,"&lt;"&amp;A1000,Оплаты!$D$6:$D$505,"&lt;&gt;"))</f>
        <v/>
      </c>
      <c r="E1000" t="str">
        <f>IF(A1000="","",IF(SUMPRODUCT((Ввод!$F$12:$F$31&lt;&gt;"")*(Ввод!$F$12:$F$31&lt;=A1000)*(Ввод!$G$12:$G$31&gt;=A1000))&gt;0,1,0))</f>
        <v/>
      </c>
      <c r="G1000" t="str">
        <f t="shared" si="31"/>
        <v/>
      </c>
    </row>
    <row r="1001" spans="1:7" x14ac:dyDescent="0.3">
      <c r="A1001" s="21" t="str">
        <f>IF(A1000="","",IF(A1000+1&gt;Ввод!$B$4,"",A1000+1))</f>
        <v/>
      </c>
      <c r="B1001" s="23" t="str">
        <f>IF(A1001="","",IFERROR(INDEX(Ввод!$B$12:$B$71,MATCH(A1001,Ввод!$D$12:$D$71,1)),""))</f>
        <v/>
      </c>
      <c r="C1001" t="str">
        <f t="shared" si="30"/>
        <v/>
      </c>
      <c r="D1001" t="str">
        <f>IF(A1001="","",SUMIFS(Акты!$D$5:$D$16,Акты!$E$5:$E$16,"&lt;="&amp;A1001)-SUMIFS(Оплаты!$B$6:$B$505,Оплаты!$A$6:$A$505,"&lt;"&amp;A1001,Оплаты!$D$6:$D$505,"&lt;&gt;"))</f>
        <v/>
      </c>
      <c r="E1001" t="str">
        <f>IF(A1001="","",IF(SUMPRODUCT((Ввод!$F$12:$F$31&lt;&gt;"")*(Ввод!$F$12:$F$31&lt;=A1001)*(Ввод!$G$12:$G$31&gt;=A1001))&gt;0,1,0))</f>
        <v/>
      </c>
      <c r="G1001" t="str">
        <f t="shared" si="31"/>
        <v/>
      </c>
    </row>
    <row r="1002" spans="1:7" x14ac:dyDescent="0.3">
      <c r="A1002" s="21" t="str">
        <f>IF(A1001="","",IF(A1001+1&gt;Ввод!$B$4,"",A1001+1))</f>
        <v/>
      </c>
      <c r="B1002" s="23" t="str">
        <f>IF(A1002="","",IFERROR(INDEX(Ввод!$B$12:$B$71,MATCH(A1002,Ввод!$D$12:$D$71,1)),""))</f>
        <v/>
      </c>
      <c r="C1002" t="str">
        <f t="shared" si="30"/>
        <v/>
      </c>
      <c r="D1002" t="str">
        <f>IF(A1002="","",SUMIFS(Акты!$D$5:$D$16,Акты!$E$5:$E$16,"&lt;="&amp;A1002)-SUMIFS(Оплаты!$B$6:$B$505,Оплаты!$A$6:$A$505,"&lt;"&amp;A1002,Оплаты!$D$6:$D$505,"&lt;&gt;"))</f>
        <v/>
      </c>
      <c r="E1002" t="str">
        <f>IF(A1002="","",IF(SUMPRODUCT((Ввод!$F$12:$F$31&lt;&gt;"")*(Ввод!$F$12:$F$31&lt;=A1002)*(Ввод!$G$12:$G$31&gt;=A1002))&gt;0,1,0))</f>
        <v/>
      </c>
      <c r="G1002" t="str">
        <f t="shared" si="31"/>
        <v/>
      </c>
    </row>
    <row r="1003" spans="1:7" x14ac:dyDescent="0.3">
      <c r="A1003" s="21" t="str">
        <f>IF(A1002="","",IF(A1002+1&gt;Ввод!$B$4,"",A1002+1))</f>
        <v/>
      </c>
      <c r="B1003" s="23" t="str">
        <f>IF(A1003="","",IFERROR(INDEX(Ввод!$B$12:$B$71,MATCH(A1003,Ввод!$D$12:$D$71,1)),""))</f>
        <v/>
      </c>
      <c r="C1003" t="str">
        <f t="shared" si="30"/>
        <v/>
      </c>
      <c r="D1003" t="str">
        <f>IF(A1003="","",SUMIFS(Акты!$D$5:$D$16,Акты!$E$5:$E$16,"&lt;="&amp;A1003)-SUMIFS(Оплаты!$B$6:$B$505,Оплаты!$A$6:$A$505,"&lt;"&amp;A1003,Оплаты!$D$6:$D$505,"&lt;&gt;"))</f>
        <v/>
      </c>
      <c r="E1003" t="str">
        <f>IF(A1003="","",IF(SUMPRODUCT((Ввод!$F$12:$F$31&lt;&gt;"")*(Ввод!$F$12:$F$31&lt;=A1003)*(Ввод!$G$12:$G$31&gt;=A1003))&gt;0,1,0))</f>
        <v/>
      </c>
      <c r="G1003" t="str">
        <f t="shared" si="31"/>
        <v/>
      </c>
    </row>
    <row r="1004" spans="1:7" x14ac:dyDescent="0.3">
      <c r="A1004" s="21" t="str">
        <f>IF(A1003="","",IF(A1003+1&gt;Ввод!$B$4,"",A1003+1))</f>
        <v/>
      </c>
      <c r="B1004" s="23" t="str">
        <f>IF(A1004="","",IFERROR(INDEX(Ввод!$B$12:$B$71,MATCH(A1004,Ввод!$D$12:$D$71,1)),""))</f>
        <v/>
      </c>
      <c r="C1004" t="str">
        <f t="shared" si="30"/>
        <v/>
      </c>
      <c r="D1004" t="str">
        <f>IF(A1004="","",SUMIFS(Акты!$D$5:$D$16,Акты!$E$5:$E$16,"&lt;="&amp;A1004)-SUMIFS(Оплаты!$B$6:$B$505,Оплаты!$A$6:$A$505,"&lt;"&amp;A1004,Оплаты!$D$6:$D$505,"&lt;&gt;"))</f>
        <v/>
      </c>
      <c r="E1004" t="str">
        <f>IF(A1004="","",IF(SUMPRODUCT((Ввод!$F$12:$F$31&lt;&gt;"")*(Ввод!$F$12:$F$31&lt;=A1004)*(Ввод!$G$12:$G$31&gt;=A1004))&gt;0,1,0))</f>
        <v/>
      </c>
      <c r="G1004" t="str">
        <f t="shared" si="31"/>
        <v/>
      </c>
    </row>
    <row r="1005" spans="1:7" x14ac:dyDescent="0.3">
      <c r="A1005" s="21" t="str">
        <f>IF(A1004="","",IF(A1004+1&gt;Ввод!$B$4,"",A1004+1))</f>
        <v/>
      </c>
      <c r="B1005" s="23" t="str">
        <f>IF(A1005="","",IFERROR(INDEX(Ввод!$B$12:$B$71,MATCH(A1005,Ввод!$D$12:$D$71,1)),""))</f>
        <v/>
      </c>
      <c r="C1005" t="str">
        <f t="shared" si="30"/>
        <v/>
      </c>
      <c r="D1005" t="str">
        <f>IF(A1005="","",SUMIFS(Акты!$D$5:$D$16,Акты!$E$5:$E$16,"&lt;="&amp;A1005)-SUMIFS(Оплаты!$B$6:$B$505,Оплаты!$A$6:$A$505,"&lt;"&amp;A1005,Оплаты!$D$6:$D$505,"&lt;&gt;"))</f>
        <v/>
      </c>
      <c r="E1005" t="str">
        <f>IF(A1005="","",IF(SUMPRODUCT((Ввод!$F$12:$F$31&lt;&gt;"")*(Ввод!$F$12:$F$31&lt;=A1005)*(Ввод!$G$12:$G$31&gt;=A1005))&gt;0,1,0))</f>
        <v/>
      </c>
      <c r="G1005" t="str">
        <f t="shared" si="31"/>
        <v/>
      </c>
    </row>
    <row r="1006" spans="1:7" x14ac:dyDescent="0.3">
      <c r="A1006" s="21" t="str">
        <f>IF(A1005="","",IF(A1005+1&gt;Ввод!$B$4,"",A1005+1))</f>
        <v/>
      </c>
      <c r="B1006" s="23" t="str">
        <f>IF(A1006="","",IFERROR(INDEX(Ввод!$B$12:$B$71,MATCH(A1006,Ввод!$D$12:$D$71,1)),""))</f>
        <v/>
      </c>
      <c r="C1006" t="str">
        <f t="shared" si="30"/>
        <v/>
      </c>
      <c r="D1006" t="str">
        <f>IF(A1006="","",SUMIFS(Акты!$D$5:$D$16,Акты!$E$5:$E$16,"&lt;="&amp;A1006)-SUMIFS(Оплаты!$B$6:$B$505,Оплаты!$A$6:$A$505,"&lt;"&amp;A1006,Оплаты!$D$6:$D$505,"&lt;&gt;"))</f>
        <v/>
      </c>
      <c r="E1006" t="str">
        <f>IF(A1006="","",IF(SUMPRODUCT((Ввод!$F$12:$F$31&lt;&gt;"")*(Ввод!$F$12:$F$31&lt;=A1006)*(Ввод!$G$12:$G$31&gt;=A1006))&gt;0,1,0))</f>
        <v/>
      </c>
      <c r="G1006" t="str">
        <f t="shared" si="31"/>
        <v/>
      </c>
    </row>
    <row r="1007" spans="1:7" x14ac:dyDescent="0.3">
      <c r="A1007" s="21" t="str">
        <f>IF(A1006="","",IF(A1006+1&gt;Ввод!$B$4,"",A1006+1))</f>
        <v/>
      </c>
      <c r="B1007" s="23" t="str">
        <f>IF(A1007="","",IFERROR(INDEX(Ввод!$B$12:$B$71,MATCH(A1007,Ввод!$D$12:$D$71,1)),""))</f>
        <v/>
      </c>
      <c r="C1007" t="str">
        <f t="shared" si="30"/>
        <v/>
      </c>
      <c r="D1007" t="str">
        <f>IF(A1007="","",SUMIFS(Акты!$D$5:$D$16,Акты!$E$5:$E$16,"&lt;="&amp;A1007)-SUMIFS(Оплаты!$B$6:$B$505,Оплаты!$A$6:$A$505,"&lt;"&amp;A1007,Оплаты!$D$6:$D$505,"&lt;&gt;"))</f>
        <v/>
      </c>
      <c r="E1007" t="str">
        <f>IF(A1007="","",IF(SUMPRODUCT((Ввод!$F$12:$F$31&lt;&gt;"")*(Ввод!$F$12:$F$31&lt;=A1007)*(Ввод!$G$12:$G$31&gt;=A1007))&gt;0,1,0))</f>
        <v/>
      </c>
      <c r="G1007" t="str">
        <f t="shared" si="31"/>
        <v/>
      </c>
    </row>
    <row r="1008" spans="1:7" x14ac:dyDescent="0.3">
      <c r="A1008" s="21" t="str">
        <f>IF(A1007="","",IF(A1007+1&gt;Ввод!$B$4,"",A1007+1))</f>
        <v/>
      </c>
      <c r="B1008" s="23" t="str">
        <f>IF(A1008="","",IFERROR(INDEX(Ввод!$B$12:$B$71,MATCH(A1008,Ввод!$D$12:$D$71,1)),""))</f>
        <v/>
      </c>
      <c r="C1008" t="str">
        <f t="shared" si="30"/>
        <v/>
      </c>
      <c r="D1008" t="str">
        <f>IF(A1008="","",SUMIFS(Акты!$D$5:$D$16,Акты!$E$5:$E$16,"&lt;="&amp;A1008)-SUMIFS(Оплаты!$B$6:$B$505,Оплаты!$A$6:$A$505,"&lt;"&amp;A1008,Оплаты!$D$6:$D$505,"&lt;&gt;"))</f>
        <v/>
      </c>
      <c r="E1008" t="str">
        <f>IF(A1008="","",IF(SUMPRODUCT((Ввод!$F$12:$F$31&lt;&gt;"")*(Ввод!$F$12:$F$31&lt;=A1008)*(Ввод!$G$12:$G$31&gt;=A1008))&gt;0,1,0))</f>
        <v/>
      </c>
      <c r="G1008" t="str">
        <f t="shared" si="31"/>
        <v/>
      </c>
    </row>
    <row r="1009" spans="1:7" x14ac:dyDescent="0.3">
      <c r="A1009" s="21" t="str">
        <f>IF(A1008="","",IF(A1008+1&gt;Ввод!$B$4,"",A1008+1))</f>
        <v/>
      </c>
      <c r="B1009" s="23" t="str">
        <f>IF(A1009="","",IFERROR(INDEX(Ввод!$B$12:$B$71,MATCH(A1009,Ввод!$D$12:$D$71,1)),""))</f>
        <v/>
      </c>
      <c r="C1009" t="str">
        <f t="shared" si="30"/>
        <v/>
      </c>
      <c r="D1009" t="str">
        <f>IF(A1009="","",SUMIFS(Акты!$D$5:$D$16,Акты!$E$5:$E$16,"&lt;="&amp;A1009)-SUMIFS(Оплаты!$B$6:$B$505,Оплаты!$A$6:$A$505,"&lt;"&amp;A1009,Оплаты!$D$6:$D$505,"&lt;&gt;"))</f>
        <v/>
      </c>
      <c r="E1009" t="str">
        <f>IF(A1009="","",IF(SUMPRODUCT((Ввод!$F$12:$F$31&lt;&gt;"")*(Ввод!$F$12:$F$31&lt;=A1009)*(Ввод!$G$12:$G$31&gt;=A1009))&gt;0,1,0))</f>
        <v/>
      </c>
      <c r="G1009" t="str">
        <f t="shared" si="31"/>
        <v/>
      </c>
    </row>
    <row r="1010" spans="1:7" x14ac:dyDescent="0.3">
      <c r="A1010" s="21" t="str">
        <f>IF(A1009="","",IF(A1009+1&gt;Ввод!$B$4,"",A1009+1))</f>
        <v/>
      </c>
      <c r="B1010" s="23" t="str">
        <f>IF(A1010="","",IFERROR(INDEX(Ввод!$B$12:$B$71,MATCH(A1010,Ввод!$D$12:$D$71,1)),""))</f>
        <v/>
      </c>
      <c r="C1010" t="str">
        <f t="shared" si="30"/>
        <v/>
      </c>
      <c r="D1010" t="str">
        <f>IF(A1010="","",SUMIFS(Акты!$D$5:$D$16,Акты!$E$5:$E$16,"&lt;="&amp;A1010)-SUMIFS(Оплаты!$B$6:$B$505,Оплаты!$A$6:$A$505,"&lt;"&amp;A1010,Оплаты!$D$6:$D$505,"&lt;&gt;"))</f>
        <v/>
      </c>
      <c r="E1010" t="str">
        <f>IF(A1010="","",IF(SUMPRODUCT((Ввод!$F$12:$F$31&lt;&gt;"")*(Ввод!$F$12:$F$31&lt;=A1010)*(Ввод!$G$12:$G$31&gt;=A1010))&gt;0,1,0))</f>
        <v/>
      </c>
      <c r="G1010" t="str">
        <f t="shared" si="31"/>
        <v/>
      </c>
    </row>
    <row r="1011" spans="1:7" x14ac:dyDescent="0.3">
      <c r="A1011" s="21" t="str">
        <f>IF(A1010="","",IF(A1010+1&gt;Ввод!$B$4,"",A1010+1))</f>
        <v/>
      </c>
      <c r="B1011" s="23" t="str">
        <f>IF(A1011="","",IFERROR(INDEX(Ввод!$B$12:$B$71,MATCH(A1011,Ввод!$D$12:$D$71,1)),""))</f>
        <v/>
      </c>
      <c r="C1011" t="str">
        <f t="shared" si="30"/>
        <v/>
      </c>
      <c r="D1011" t="str">
        <f>IF(A1011="","",SUMIFS(Акты!$D$5:$D$16,Акты!$E$5:$E$16,"&lt;="&amp;A1011)-SUMIFS(Оплаты!$B$6:$B$505,Оплаты!$A$6:$A$505,"&lt;"&amp;A1011,Оплаты!$D$6:$D$505,"&lt;&gt;"))</f>
        <v/>
      </c>
      <c r="E1011" t="str">
        <f>IF(A1011="","",IF(SUMPRODUCT((Ввод!$F$12:$F$31&lt;&gt;"")*(Ввод!$F$12:$F$31&lt;=A1011)*(Ввод!$G$12:$G$31&gt;=A1011))&gt;0,1,0))</f>
        <v/>
      </c>
      <c r="G1011" t="str">
        <f t="shared" si="31"/>
        <v/>
      </c>
    </row>
    <row r="1012" spans="1:7" x14ac:dyDescent="0.3">
      <c r="A1012" s="21" t="str">
        <f>IF(A1011="","",IF(A1011+1&gt;Ввод!$B$4,"",A1011+1))</f>
        <v/>
      </c>
      <c r="B1012" s="23" t="str">
        <f>IF(A1012="","",IFERROR(INDEX(Ввод!$B$12:$B$71,MATCH(A1012,Ввод!$D$12:$D$71,1)),""))</f>
        <v/>
      </c>
      <c r="C1012" t="str">
        <f t="shared" si="30"/>
        <v/>
      </c>
      <c r="D1012" t="str">
        <f>IF(A1012="","",SUMIFS(Акты!$D$5:$D$16,Акты!$E$5:$E$16,"&lt;="&amp;A1012)-SUMIFS(Оплаты!$B$6:$B$505,Оплаты!$A$6:$A$505,"&lt;"&amp;A1012,Оплаты!$D$6:$D$505,"&lt;&gt;"))</f>
        <v/>
      </c>
      <c r="E1012" t="str">
        <f>IF(A1012="","",IF(SUMPRODUCT((Ввод!$F$12:$F$31&lt;&gt;"")*(Ввод!$F$12:$F$31&lt;=A1012)*(Ввод!$G$12:$G$31&gt;=A1012))&gt;0,1,0))</f>
        <v/>
      </c>
      <c r="G1012" t="str">
        <f t="shared" si="31"/>
        <v/>
      </c>
    </row>
    <row r="1013" spans="1:7" x14ac:dyDescent="0.3">
      <c r="A1013" s="21" t="str">
        <f>IF(A1012="","",IF(A1012+1&gt;Ввод!$B$4,"",A1012+1))</f>
        <v/>
      </c>
      <c r="B1013" s="23" t="str">
        <f>IF(A1013="","",IFERROR(INDEX(Ввод!$B$12:$B$71,MATCH(A1013,Ввод!$D$12:$D$71,1)),""))</f>
        <v/>
      </c>
      <c r="C1013" t="str">
        <f t="shared" si="30"/>
        <v/>
      </c>
      <c r="D1013" t="str">
        <f>IF(A1013="","",SUMIFS(Акты!$D$5:$D$16,Акты!$E$5:$E$16,"&lt;="&amp;A1013)-SUMIFS(Оплаты!$B$6:$B$505,Оплаты!$A$6:$A$505,"&lt;"&amp;A1013,Оплаты!$D$6:$D$505,"&lt;&gt;"))</f>
        <v/>
      </c>
      <c r="E1013" t="str">
        <f>IF(A1013="","",IF(SUMPRODUCT((Ввод!$F$12:$F$31&lt;&gt;"")*(Ввод!$F$12:$F$31&lt;=A1013)*(Ввод!$G$12:$G$31&gt;=A1013))&gt;0,1,0))</f>
        <v/>
      </c>
      <c r="G1013" t="str">
        <f t="shared" si="31"/>
        <v/>
      </c>
    </row>
    <row r="1014" spans="1:7" x14ac:dyDescent="0.3">
      <c r="A1014" s="21" t="str">
        <f>IF(A1013="","",IF(A1013+1&gt;Ввод!$B$4,"",A1013+1))</f>
        <v/>
      </c>
      <c r="B1014" s="23" t="str">
        <f>IF(A1014="","",IFERROR(INDEX(Ввод!$B$12:$B$71,MATCH(A1014,Ввод!$D$12:$D$71,1)),""))</f>
        <v/>
      </c>
      <c r="C1014" t="str">
        <f t="shared" si="30"/>
        <v/>
      </c>
      <c r="D1014" t="str">
        <f>IF(A1014="","",SUMIFS(Акты!$D$5:$D$16,Акты!$E$5:$E$16,"&lt;="&amp;A1014)-SUMIFS(Оплаты!$B$6:$B$505,Оплаты!$A$6:$A$505,"&lt;"&amp;A1014,Оплаты!$D$6:$D$505,"&lt;&gt;"))</f>
        <v/>
      </c>
      <c r="E1014" t="str">
        <f>IF(A1014="","",IF(SUMPRODUCT((Ввод!$F$12:$F$31&lt;&gt;"")*(Ввод!$F$12:$F$31&lt;=A1014)*(Ввод!$G$12:$G$31&gt;=A1014))&gt;0,1,0))</f>
        <v/>
      </c>
      <c r="G1014" t="str">
        <f t="shared" si="31"/>
        <v/>
      </c>
    </row>
    <row r="1015" spans="1:7" x14ac:dyDescent="0.3">
      <c r="A1015" s="21" t="str">
        <f>IF(A1014="","",IF(A1014+1&gt;Ввод!$B$4,"",A1014+1))</f>
        <v/>
      </c>
      <c r="B1015" s="23" t="str">
        <f>IF(A1015="","",IFERROR(INDEX(Ввод!$B$12:$B$71,MATCH(A1015,Ввод!$D$12:$D$71,1)),""))</f>
        <v/>
      </c>
      <c r="C1015" t="str">
        <f t="shared" si="30"/>
        <v/>
      </c>
      <c r="D1015" t="str">
        <f>IF(A1015="","",SUMIFS(Акты!$D$5:$D$16,Акты!$E$5:$E$16,"&lt;="&amp;A1015)-SUMIFS(Оплаты!$B$6:$B$505,Оплаты!$A$6:$A$505,"&lt;"&amp;A1015,Оплаты!$D$6:$D$505,"&lt;&gt;"))</f>
        <v/>
      </c>
      <c r="E1015" t="str">
        <f>IF(A1015="","",IF(SUMPRODUCT((Ввод!$F$12:$F$31&lt;&gt;"")*(Ввод!$F$12:$F$31&lt;=A1015)*(Ввод!$G$12:$G$31&gt;=A1015))&gt;0,1,0))</f>
        <v/>
      </c>
      <c r="G1015" t="str">
        <f t="shared" si="31"/>
        <v/>
      </c>
    </row>
    <row r="1016" spans="1:7" x14ac:dyDescent="0.3">
      <c r="A1016" s="21" t="str">
        <f>IF(A1015="","",IF(A1015+1&gt;Ввод!$B$4,"",A1015+1))</f>
        <v/>
      </c>
      <c r="B1016" s="23" t="str">
        <f>IF(A1016="","",IFERROR(INDEX(Ввод!$B$12:$B$71,MATCH(A1016,Ввод!$D$12:$D$71,1)),""))</f>
        <v/>
      </c>
      <c r="C1016" t="str">
        <f t="shared" si="30"/>
        <v/>
      </c>
      <c r="D1016" t="str">
        <f>IF(A1016="","",SUMIFS(Акты!$D$5:$D$16,Акты!$E$5:$E$16,"&lt;="&amp;A1016)-SUMIFS(Оплаты!$B$6:$B$505,Оплаты!$A$6:$A$505,"&lt;"&amp;A1016,Оплаты!$D$6:$D$505,"&lt;&gt;"))</f>
        <v/>
      </c>
      <c r="E1016" t="str">
        <f>IF(A1016="","",IF(SUMPRODUCT((Ввод!$F$12:$F$31&lt;&gt;"")*(Ввод!$F$12:$F$31&lt;=A1016)*(Ввод!$G$12:$G$31&gt;=A1016))&gt;0,1,0))</f>
        <v/>
      </c>
      <c r="G1016" t="str">
        <f t="shared" si="31"/>
        <v/>
      </c>
    </row>
    <row r="1017" spans="1:7" x14ac:dyDescent="0.3">
      <c r="A1017" s="21" t="str">
        <f>IF(A1016="","",IF(A1016+1&gt;Ввод!$B$4,"",A1016+1))</f>
        <v/>
      </c>
      <c r="B1017" s="23" t="str">
        <f>IF(A1017="","",IFERROR(INDEX(Ввод!$B$12:$B$71,MATCH(A1017,Ввод!$D$12:$D$71,1)),""))</f>
        <v/>
      </c>
      <c r="C1017" t="str">
        <f t="shared" si="30"/>
        <v/>
      </c>
      <c r="D1017" t="str">
        <f>IF(A1017="","",SUMIFS(Акты!$D$5:$D$16,Акты!$E$5:$E$16,"&lt;="&amp;A1017)-SUMIFS(Оплаты!$B$6:$B$505,Оплаты!$A$6:$A$505,"&lt;"&amp;A1017,Оплаты!$D$6:$D$505,"&lt;&gt;"))</f>
        <v/>
      </c>
      <c r="E1017" t="str">
        <f>IF(A1017="","",IF(SUMPRODUCT((Ввод!$F$12:$F$31&lt;&gt;"")*(Ввод!$F$12:$F$31&lt;=A1017)*(Ввод!$G$12:$G$31&gt;=A1017))&gt;0,1,0))</f>
        <v/>
      </c>
      <c r="G1017" t="str">
        <f t="shared" si="31"/>
        <v/>
      </c>
    </row>
    <row r="1018" spans="1:7" x14ac:dyDescent="0.3">
      <c r="A1018" s="21" t="str">
        <f>IF(A1017="","",IF(A1017+1&gt;Ввод!$B$4,"",A1017+1))</f>
        <v/>
      </c>
      <c r="B1018" s="23" t="str">
        <f>IF(A1018="","",IFERROR(INDEX(Ввод!$B$12:$B$71,MATCH(A1018,Ввод!$D$12:$D$71,1)),""))</f>
        <v/>
      </c>
      <c r="C1018" t="str">
        <f t="shared" si="30"/>
        <v/>
      </c>
      <c r="D1018" t="str">
        <f>IF(A1018="","",SUMIFS(Акты!$D$5:$D$16,Акты!$E$5:$E$16,"&lt;="&amp;A1018)-SUMIFS(Оплаты!$B$6:$B$505,Оплаты!$A$6:$A$505,"&lt;"&amp;A1018,Оплаты!$D$6:$D$505,"&lt;&gt;"))</f>
        <v/>
      </c>
      <c r="E1018" t="str">
        <f>IF(A1018="","",IF(SUMPRODUCT((Ввод!$F$12:$F$31&lt;&gt;"")*(Ввод!$F$12:$F$31&lt;=A1018)*(Ввод!$G$12:$G$31&gt;=A1018))&gt;0,1,0))</f>
        <v/>
      </c>
      <c r="G1018" t="str">
        <f t="shared" si="31"/>
        <v/>
      </c>
    </row>
    <row r="1019" spans="1:7" x14ac:dyDescent="0.3">
      <c r="A1019" s="21" t="str">
        <f>IF(A1018="","",IF(A1018+1&gt;Ввод!$B$4,"",A1018+1))</f>
        <v/>
      </c>
      <c r="B1019" s="23" t="str">
        <f>IF(A1019="","",IFERROR(INDEX(Ввод!$B$12:$B$71,MATCH(A1019,Ввод!$D$12:$D$71,1)),""))</f>
        <v/>
      </c>
      <c r="C1019" t="str">
        <f t="shared" si="30"/>
        <v/>
      </c>
      <c r="D1019" t="str">
        <f>IF(A1019="","",SUMIFS(Акты!$D$5:$D$16,Акты!$E$5:$E$16,"&lt;="&amp;A1019)-SUMIFS(Оплаты!$B$6:$B$505,Оплаты!$A$6:$A$505,"&lt;"&amp;A1019,Оплаты!$D$6:$D$505,"&lt;&gt;"))</f>
        <v/>
      </c>
      <c r="E1019" t="str">
        <f>IF(A1019="","",IF(SUMPRODUCT((Ввод!$F$12:$F$31&lt;&gt;"")*(Ввод!$F$12:$F$31&lt;=A1019)*(Ввод!$G$12:$G$31&gt;=A1019))&gt;0,1,0))</f>
        <v/>
      </c>
      <c r="G1019" t="str">
        <f t="shared" si="31"/>
        <v/>
      </c>
    </row>
    <row r="1020" spans="1:7" x14ac:dyDescent="0.3">
      <c r="A1020" s="21" t="str">
        <f>IF(A1019="","",IF(A1019+1&gt;Ввод!$B$4,"",A1019+1))</f>
        <v/>
      </c>
      <c r="B1020" s="23" t="str">
        <f>IF(A1020="","",IFERROR(INDEX(Ввод!$B$12:$B$71,MATCH(A1020,Ввод!$D$12:$D$71,1)),""))</f>
        <v/>
      </c>
      <c r="C1020" t="str">
        <f t="shared" si="30"/>
        <v/>
      </c>
      <c r="D1020" t="str">
        <f>IF(A1020="","",SUMIFS(Акты!$D$5:$D$16,Акты!$E$5:$E$16,"&lt;="&amp;A1020)-SUMIFS(Оплаты!$B$6:$B$505,Оплаты!$A$6:$A$505,"&lt;"&amp;A1020,Оплаты!$D$6:$D$505,"&lt;&gt;"))</f>
        <v/>
      </c>
      <c r="E1020" t="str">
        <f>IF(A1020="","",IF(SUMPRODUCT((Ввод!$F$12:$F$31&lt;&gt;"")*(Ввод!$F$12:$F$31&lt;=A1020)*(Ввод!$G$12:$G$31&gt;=A1020))&gt;0,1,0))</f>
        <v/>
      </c>
      <c r="G1020" t="str">
        <f t="shared" si="31"/>
        <v/>
      </c>
    </row>
    <row r="1021" spans="1:7" x14ac:dyDescent="0.3">
      <c r="A1021" s="21" t="str">
        <f>IF(A1020="","",IF(A1020+1&gt;Ввод!$B$4,"",A1020+1))</f>
        <v/>
      </c>
      <c r="B1021" s="23" t="str">
        <f>IF(A1021="","",IFERROR(INDEX(Ввод!$B$12:$B$71,MATCH(A1021,Ввод!$D$12:$D$71,1)),""))</f>
        <v/>
      </c>
      <c r="C1021" t="str">
        <f t="shared" si="30"/>
        <v/>
      </c>
      <c r="D1021" t="str">
        <f>IF(A1021="","",SUMIFS(Акты!$D$5:$D$16,Акты!$E$5:$E$16,"&lt;="&amp;A1021)-SUMIFS(Оплаты!$B$6:$B$505,Оплаты!$A$6:$A$505,"&lt;"&amp;A1021,Оплаты!$D$6:$D$505,"&lt;&gt;"))</f>
        <v/>
      </c>
      <c r="E1021" t="str">
        <f>IF(A1021="","",IF(SUMPRODUCT((Ввод!$F$12:$F$31&lt;&gt;"")*(Ввод!$F$12:$F$31&lt;=A1021)*(Ввод!$G$12:$G$31&gt;=A1021))&gt;0,1,0))</f>
        <v/>
      </c>
      <c r="G1021" t="str">
        <f t="shared" si="31"/>
        <v/>
      </c>
    </row>
    <row r="1022" spans="1:7" x14ac:dyDescent="0.3">
      <c r="A1022" s="21" t="str">
        <f>IF(A1021="","",IF(A1021+1&gt;Ввод!$B$4,"",A1021+1))</f>
        <v/>
      </c>
      <c r="B1022" s="23" t="str">
        <f>IF(A1022="","",IFERROR(INDEX(Ввод!$B$12:$B$71,MATCH(A1022,Ввод!$D$12:$D$71,1)),""))</f>
        <v/>
      </c>
      <c r="C1022" t="str">
        <f t="shared" si="30"/>
        <v/>
      </c>
      <c r="D1022" t="str">
        <f>IF(A1022="","",SUMIFS(Акты!$D$5:$D$16,Акты!$E$5:$E$16,"&lt;="&amp;A1022)-SUMIFS(Оплаты!$B$6:$B$505,Оплаты!$A$6:$A$505,"&lt;"&amp;A1022,Оплаты!$D$6:$D$505,"&lt;&gt;"))</f>
        <v/>
      </c>
      <c r="E1022" t="str">
        <f>IF(A1022="","",IF(SUMPRODUCT((Ввод!$F$12:$F$31&lt;&gt;"")*(Ввод!$F$12:$F$31&lt;=A1022)*(Ввод!$G$12:$G$31&gt;=A1022))&gt;0,1,0))</f>
        <v/>
      </c>
      <c r="G1022" t="str">
        <f t="shared" si="31"/>
        <v/>
      </c>
    </row>
    <row r="1023" spans="1:7" x14ac:dyDescent="0.3">
      <c r="A1023" s="21" t="str">
        <f>IF(A1022="","",IF(A1022+1&gt;Ввод!$B$4,"",A1022+1))</f>
        <v/>
      </c>
      <c r="B1023" s="23" t="str">
        <f>IF(A1023="","",IFERROR(INDEX(Ввод!$B$12:$B$71,MATCH(A1023,Ввод!$D$12:$D$71,1)),""))</f>
        <v/>
      </c>
      <c r="C1023" t="str">
        <f t="shared" si="30"/>
        <v/>
      </c>
      <c r="D1023" t="str">
        <f>IF(A1023="","",SUMIFS(Акты!$D$5:$D$16,Акты!$E$5:$E$16,"&lt;="&amp;A1023)-SUMIFS(Оплаты!$B$6:$B$505,Оплаты!$A$6:$A$505,"&lt;"&amp;A1023,Оплаты!$D$6:$D$505,"&lt;&gt;"))</f>
        <v/>
      </c>
      <c r="E1023" t="str">
        <f>IF(A1023="","",IF(SUMPRODUCT((Ввод!$F$12:$F$31&lt;&gt;"")*(Ввод!$F$12:$F$31&lt;=A1023)*(Ввод!$G$12:$G$31&gt;=A1023))&gt;0,1,0))</f>
        <v/>
      </c>
      <c r="G1023" t="str">
        <f t="shared" si="31"/>
        <v/>
      </c>
    </row>
    <row r="1024" spans="1:7" x14ac:dyDescent="0.3">
      <c r="A1024" s="21" t="str">
        <f>IF(A1023="","",IF(A1023+1&gt;Ввод!$B$4,"",A1023+1))</f>
        <v/>
      </c>
      <c r="B1024" s="23" t="str">
        <f>IF(A1024="","",IFERROR(INDEX(Ввод!$B$12:$B$71,MATCH(A1024,Ввод!$D$12:$D$71,1)),""))</f>
        <v/>
      </c>
      <c r="C1024" t="str">
        <f t="shared" si="30"/>
        <v/>
      </c>
      <c r="D1024" t="str">
        <f>IF(A1024="","",SUMIFS(Акты!$D$5:$D$16,Акты!$E$5:$E$16,"&lt;="&amp;A1024)-SUMIFS(Оплаты!$B$6:$B$505,Оплаты!$A$6:$A$505,"&lt;"&amp;A1024,Оплаты!$D$6:$D$505,"&lt;&gt;"))</f>
        <v/>
      </c>
      <c r="E1024" t="str">
        <f>IF(A1024="","",IF(SUMPRODUCT((Ввод!$F$12:$F$31&lt;&gt;"")*(Ввод!$F$12:$F$31&lt;=A1024)*(Ввод!$G$12:$G$31&gt;=A1024))&gt;0,1,0))</f>
        <v/>
      </c>
      <c r="G1024" t="str">
        <f t="shared" si="31"/>
        <v/>
      </c>
    </row>
    <row r="1025" spans="1:7" x14ac:dyDescent="0.3">
      <c r="A1025" s="21" t="str">
        <f>IF(A1024="","",IF(A1024+1&gt;Ввод!$B$4,"",A1024+1))</f>
        <v/>
      </c>
      <c r="B1025" s="23" t="str">
        <f>IF(A1025="","",IFERROR(INDEX(Ввод!$B$12:$B$71,MATCH(A1025,Ввод!$D$12:$D$71,1)),""))</f>
        <v/>
      </c>
      <c r="C1025" t="str">
        <f t="shared" si="30"/>
        <v/>
      </c>
      <c r="D1025" t="str">
        <f>IF(A1025="","",SUMIFS(Акты!$D$5:$D$16,Акты!$E$5:$E$16,"&lt;="&amp;A1025)-SUMIFS(Оплаты!$B$6:$B$505,Оплаты!$A$6:$A$505,"&lt;"&amp;A1025,Оплаты!$D$6:$D$505,"&lt;&gt;"))</f>
        <v/>
      </c>
      <c r="E1025" t="str">
        <f>IF(A1025="","",IF(SUMPRODUCT((Ввод!$F$12:$F$31&lt;&gt;"")*(Ввод!$F$12:$F$31&lt;=A1025)*(Ввод!$G$12:$G$31&gt;=A1025))&gt;0,1,0))</f>
        <v/>
      </c>
      <c r="G1025" t="str">
        <f t="shared" si="31"/>
        <v/>
      </c>
    </row>
    <row r="1026" spans="1:7" x14ac:dyDescent="0.3">
      <c r="A1026" s="21" t="str">
        <f>IF(A1025="","",IF(A1025+1&gt;Ввод!$B$4,"",A1025+1))</f>
        <v/>
      </c>
      <c r="B1026" s="23" t="str">
        <f>IF(A1026="","",IFERROR(INDEX(Ввод!$B$12:$B$71,MATCH(A1026,Ввод!$D$12:$D$71,1)),""))</f>
        <v/>
      </c>
      <c r="C1026" t="str">
        <f t="shared" ref="C1026:C1089" si="32">IF(A1026="","",DATE(YEAR(A1026),12,31)-DATE(YEAR(A1026),1,1)+1)</f>
        <v/>
      </c>
      <c r="D1026" t="str">
        <f>IF(A1026="","",SUMIFS(Акты!$D$5:$D$16,Акты!$E$5:$E$16,"&lt;="&amp;A1026)-SUMIFS(Оплаты!$B$6:$B$505,Оплаты!$A$6:$A$505,"&lt;"&amp;A1026,Оплаты!$D$6:$D$505,"&lt;&gt;"))</f>
        <v/>
      </c>
      <c r="E1026" t="str">
        <f>IF(A1026="","",IF(SUMPRODUCT((Ввод!$F$12:$F$31&lt;&gt;"")*(Ввод!$F$12:$F$31&lt;=A1026)*(Ввод!$G$12:$G$31&gt;=A1026))&gt;0,1,0))</f>
        <v/>
      </c>
      <c r="G1026" t="str">
        <f t="shared" si="31"/>
        <v/>
      </c>
    </row>
    <row r="1027" spans="1:7" x14ac:dyDescent="0.3">
      <c r="A1027" s="21" t="str">
        <f>IF(A1026="","",IF(A1026+1&gt;Ввод!$B$4,"",A1026+1))</f>
        <v/>
      </c>
      <c r="B1027" s="23" t="str">
        <f>IF(A1027="","",IFERROR(INDEX(Ввод!$B$12:$B$71,MATCH(A1027,Ввод!$D$12:$D$71,1)),""))</f>
        <v/>
      </c>
      <c r="C1027" t="str">
        <f t="shared" si="32"/>
        <v/>
      </c>
      <c r="D1027" t="str">
        <f>IF(A1027="","",SUMIFS(Акты!$D$5:$D$16,Акты!$E$5:$E$16,"&lt;="&amp;A1027)-SUMIFS(Оплаты!$B$6:$B$505,Оплаты!$A$6:$A$505,"&lt;"&amp;A1027,Оплаты!$D$6:$D$505,"&lt;&gt;"))</f>
        <v/>
      </c>
      <c r="E1027" t="str">
        <f>IF(A1027="","",IF(SUMPRODUCT((Ввод!$F$12:$F$31&lt;&gt;"")*(Ввод!$F$12:$F$31&lt;=A1027)*(Ввод!$G$12:$G$31&gt;=A1027))&gt;0,1,0))</f>
        <v/>
      </c>
      <c r="G1027" t="str">
        <f t="shared" ref="G1027:G1090" si="33">IF(A1027="","",IF(OR(B1027&lt;&gt;B1026,C1027&lt;&gt;C1026,E1027&lt;&gt;E1026),G1026+1,G1026))</f>
        <v/>
      </c>
    </row>
    <row r="1028" spans="1:7" x14ac:dyDescent="0.3">
      <c r="A1028" s="21" t="str">
        <f>IF(A1027="","",IF(A1027+1&gt;Ввод!$B$4,"",A1027+1))</f>
        <v/>
      </c>
      <c r="B1028" s="23" t="str">
        <f>IF(A1028="","",IFERROR(INDEX(Ввод!$B$12:$B$71,MATCH(A1028,Ввод!$D$12:$D$71,1)),""))</f>
        <v/>
      </c>
      <c r="C1028" t="str">
        <f t="shared" si="32"/>
        <v/>
      </c>
      <c r="D1028" t="str">
        <f>IF(A1028="","",SUMIFS(Акты!$D$5:$D$16,Акты!$E$5:$E$16,"&lt;="&amp;A1028)-SUMIFS(Оплаты!$B$6:$B$505,Оплаты!$A$6:$A$505,"&lt;"&amp;A1028,Оплаты!$D$6:$D$505,"&lt;&gt;"))</f>
        <v/>
      </c>
      <c r="E1028" t="str">
        <f>IF(A1028="","",IF(SUMPRODUCT((Ввод!$F$12:$F$31&lt;&gt;"")*(Ввод!$F$12:$F$31&lt;=A1028)*(Ввод!$G$12:$G$31&gt;=A1028))&gt;0,1,0))</f>
        <v/>
      </c>
      <c r="G1028" t="str">
        <f t="shared" si="33"/>
        <v/>
      </c>
    </row>
    <row r="1029" spans="1:7" x14ac:dyDescent="0.3">
      <c r="A1029" s="21" t="str">
        <f>IF(A1028="","",IF(A1028+1&gt;Ввод!$B$4,"",A1028+1))</f>
        <v/>
      </c>
      <c r="B1029" s="23" t="str">
        <f>IF(A1029="","",IFERROR(INDEX(Ввод!$B$12:$B$71,MATCH(A1029,Ввод!$D$12:$D$71,1)),""))</f>
        <v/>
      </c>
      <c r="C1029" t="str">
        <f t="shared" si="32"/>
        <v/>
      </c>
      <c r="D1029" t="str">
        <f>IF(A1029="","",SUMIFS(Акты!$D$5:$D$16,Акты!$E$5:$E$16,"&lt;="&amp;A1029)-SUMIFS(Оплаты!$B$6:$B$505,Оплаты!$A$6:$A$505,"&lt;"&amp;A1029,Оплаты!$D$6:$D$505,"&lt;&gt;"))</f>
        <v/>
      </c>
      <c r="E1029" t="str">
        <f>IF(A1029="","",IF(SUMPRODUCT((Ввод!$F$12:$F$31&lt;&gt;"")*(Ввод!$F$12:$F$31&lt;=A1029)*(Ввод!$G$12:$G$31&gt;=A1029))&gt;0,1,0))</f>
        <v/>
      </c>
      <c r="G1029" t="str">
        <f t="shared" si="33"/>
        <v/>
      </c>
    </row>
    <row r="1030" spans="1:7" x14ac:dyDescent="0.3">
      <c r="A1030" s="21" t="str">
        <f>IF(A1029="","",IF(A1029+1&gt;Ввод!$B$4,"",A1029+1))</f>
        <v/>
      </c>
      <c r="B1030" s="23" t="str">
        <f>IF(A1030="","",IFERROR(INDEX(Ввод!$B$12:$B$71,MATCH(A1030,Ввод!$D$12:$D$71,1)),""))</f>
        <v/>
      </c>
      <c r="C1030" t="str">
        <f t="shared" si="32"/>
        <v/>
      </c>
      <c r="D1030" t="str">
        <f>IF(A1030="","",SUMIFS(Акты!$D$5:$D$16,Акты!$E$5:$E$16,"&lt;="&amp;A1030)-SUMIFS(Оплаты!$B$6:$B$505,Оплаты!$A$6:$A$505,"&lt;"&amp;A1030,Оплаты!$D$6:$D$505,"&lt;&gt;"))</f>
        <v/>
      </c>
      <c r="E1030" t="str">
        <f>IF(A1030="","",IF(SUMPRODUCT((Ввод!$F$12:$F$31&lt;&gt;"")*(Ввод!$F$12:$F$31&lt;=A1030)*(Ввод!$G$12:$G$31&gt;=A1030))&gt;0,1,0))</f>
        <v/>
      </c>
      <c r="G1030" t="str">
        <f t="shared" si="33"/>
        <v/>
      </c>
    </row>
    <row r="1031" spans="1:7" x14ac:dyDescent="0.3">
      <c r="A1031" s="21" t="str">
        <f>IF(A1030="","",IF(A1030+1&gt;Ввод!$B$4,"",A1030+1))</f>
        <v/>
      </c>
      <c r="B1031" s="23" t="str">
        <f>IF(A1031="","",IFERROR(INDEX(Ввод!$B$12:$B$71,MATCH(A1031,Ввод!$D$12:$D$71,1)),""))</f>
        <v/>
      </c>
      <c r="C1031" t="str">
        <f t="shared" si="32"/>
        <v/>
      </c>
      <c r="D1031" t="str">
        <f>IF(A1031="","",SUMIFS(Акты!$D$5:$D$16,Акты!$E$5:$E$16,"&lt;="&amp;A1031)-SUMIFS(Оплаты!$B$6:$B$505,Оплаты!$A$6:$A$505,"&lt;"&amp;A1031,Оплаты!$D$6:$D$505,"&lt;&gt;"))</f>
        <v/>
      </c>
      <c r="E1031" t="str">
        <f>IF(A1031="","",IF(SUMPRODUCT((Ввод!$F$12:$F$31&lt;&gt;"")*(Ввод!$F$12:$F$31&lt;=A1031)*(Ввод!$G$12:$G$31&gt;=A1031))&gt;0,1,0))</f>
        <v/>
      </c>
      <c r="G1031" t="str">
        <f t="shared" si="33"/>
        <v/>
      </c>
    </row>
    <row r="1032" spans="1:7" x14ac:dyDescent="0.3">
      <c r="A1032" s="21" t="str">
        <f>IF(A1031="","",IF(A1031+1&gt;Ввод!$B$4,"",A1031+1))</f>
        <v/>
      </c>
      <c r="B1032" s="23" t="str">
        <f>IF(A1032="","",IFERROR(INDEX(Ввод!$B$12:$B$71,MATCH(A1032,Ввод!$D$12:$D$71,1)),""))</f>
        <v/>
      </c>
      <c r="C1032" t="str">
        <f t="shared" si="32"/>
        <v/>
      </c>
      <c r="D1032" t="str">
        <f>IF(A1032="","",SUMIFS(Акты!$D$5:$D$16,Акты!$E$5:$E$16,"&lt;="&amp;A1032)-SUMIFS(Оплаты!$B$6:$B$505,Оплаты!$A$6:$A$505,"&lt;"&amp;A1032,Оплаты!$D$6:$D$505,"&lt;&gt;"))</f>
        <v/>
      </c>
      <c r="E1032" t="str">
        <f>IF(A1032="","",IF(SUMPRODUCT((Ввод!$F$12:$F$31&lt;&gt;"")*(Ввод!$F$12:$F$31&lt;=A1032)*(Ввод!$G$12:$G$31&gt;=A1032))&gt;0,1,0))</f>
        <v/>
      </c>
      <c r="G1032" t="str">
        <f t="shared" si="33"/>
        <v/>
      </c>
    </row>
    <row r="1033" spans="1:7" x14ac:dyDescent="0.3">
      <c r="A1033" s="21" t="str">
        <f>IF(A1032="","",IF(A1032+1&gt;Ввод!$B$4,"",A1032+1))</f>
        <v/>
      </c>
      <c r="B1033" s="23" t="str">
        <f>IF(A1033="","",IFERROR(INDEX(Ввод!$B$12:$B$71,MATCH(A1033,Ввод!$D$12:$D$71,1)),""))</f>
        <v/>
      </c>
      <c r="C1033" t="str">
        <f t="shared" si="32"/>
        <v/>
      </c>
      <c r="D1033" t="str">
        <f>IF(A1033="","",SUMIFS(Акты!$D$5:$D$16,Акты!$E$5:$E$16,"&lt;="&amp;A1033)-SUMIFS(Оплаты!$B$6:$B$505,Оплаты!$A$6:$A$505,"&lt;"&amp;A1033,Оплаты!$D$6:$D$505,"&lt;&gt;"))</f>
        <v/>
      </c>
      <c r="E1033" t="str">
        <f>IF(A1033="","",IF(SUMPRODUCT((Ввод!$F$12:$F$31&lt;&gt;"")*(Ввод!$F$12:$F$31&lt;=A1033)*(Ввод!$G$12:$G$31&gt;=A1033))&gt;0,1,0))</f>
        <v/>
      </c>
      <c r="G1033" t="str">
        <f t="shared" si="33"/>
        <v/>
      </c>
    </row>
    <row r="1034" spans="1:7" x14ac:dyDescent="0.3">
      <c r="A1034" s="21" t="str">
        <f>IF(A1033="","",IF(A1033+1&gt;Ввод!$B$4,"",A1033+1))</f>
        <v/>
      </c>
      <c r="B1034" s="23" t="str">
        <f>IF(A1034="","",IFERROR(INDEX(Ввод!$B$12:$B$71,MATCH(A1034,Ввод!$D$12:$D$71,1)),""))</f>
        <v/>
      </c>
      <c r="C1034" t="str">
        <f t="shared" si="32"/>
        <v/>
      </c>
      <c r="D1034" t="str">
        <f>IF(A1034="","",SUMIFS(Акты!$D$5:$D$16,Акты!$E$5:$E$16,"&lt;="&amp;A1034)-SUMIFS(Оплаты!$B$6:$B$505,Оплаты!$A$6:$A$505,"&lt;"&amp;A1034,Оплаты!$D$6:$D$505,"&lt;&gt;"))</f>
        <v/>
      </c>
      <c r="E1034" t="str">
        <f>IF(A1034="","",IF(SUMPRODUCT((Ввод!$F$12:$F$31&lt;&gt;"")*(Ввод!$F$12:$F$31&lt;=A1034)*(Ввод!$G$12:$G$31&gt;=A1034))&gt;0,1,0))</f>
        <v/>
      </c>
      <c r="G1034" t="str">
        <f t="shared" si="33"/>
        <v/>
      </c>
    </row>
    <row r="1035" spans="1:7" x14ac:dyDescent="0.3">
      <c r="A1035" s="21" t="str">
        <f>IF(A1034="","",IF(A1034+1&gt;Ввод!$B$4,"",A1034+1))</f>
        <v/>
      </c>
      <c r="B1035" s="23" t="str">
        <f>IF(A1035="","",IFERROR(INDEX(Ввод!$B$12:$B$71,MATCH(A1035,Ввод!$D$12:$D$71,1)),""))</f>
        <v/>
      </c>
      <c r="C1035" t="str">
        <f t="shared" si="32"/>
        <v/>
      </c>
      <c r="D1035" t="str">
        <f>IF(A1035="","",SUMIFS(Акты!$D$5:$D$16,Акты!$E$5:$E$16,"&lt;="&amp;A1035)-SUMIFS(Оплаты!$B$6:$B$505,Оплаты!$A$6:$A$505,"&lt;"&amp;A1035,Оплаты!$D$6:$D$505,"&lt;&gt;"))</f>
        <v/>
      </c>
      <c r="E1035" t="str">
        <f>IF(A1035="","",IF(SUMPRODUCT((Ввод!$F$12:$F$31&lt;&gt;"")*(Ввод!$F$12:$F$31&lt;=A1035)*(Ввод!$G$12:$G$31&gt;=A1035))&gt;0,1,0))</f>
        <v/>
      </c>
      <c r="G1035" t="str">
        <f t="shared" si="33"/>
        <v/>
      </c>
    </row>
    <row r="1036" spans="1:7" x14ac:dyDescent="0.3">
      <c r="A1036" s="21" t="str">
        <f>IF(A1035="","",IF(A1035+1&gt;Ввод!$B$4,"",A1035+1))</f>
        <v/>
      </c>
      <c r="B1036" s="23" t="str">
        <f>IF(A1036="","",IFERROR(INDEX(Ввод!$B$12:$B$71,MATCH(A1036,Ввод!$D$12:$D$71,1)),""))</f>
        <v/>
      </c>
      <c r="C1036" t="str">
        <f t="shared" si="32"/>
        <v/>
      </c>
      <c r="D1036" t="str">
        <f>IF(A1036="","",SUMIFS(Акты!$D$5:$D$16,Акты!$E$5:$E$16,"&lt;="&amp;A1036)-SUMIFS(Оплаты!$B$6:$B$505,Оплаты!$A$6:$A$505,"&lt;"&amp;A1036,Оплаты!$D$6:$D$505,"&lt;&gt;"))</f>
        <v/>
      </c>
      <c r="E1036" t="str">
        <f>IF(A1036="","",IF(SUMPRODUCT((Ввод!$F$12:$F$31&lt;&gt;"")*(Ввод!$F$12:$F$31&lt;=A1036)*(Ввод!$G$12:$G$31&gt;=A1036))&gt;0,1,0))</f>
        <v/>
      </c>
      <c r="G1036" t="str">
        <f t="shared" si="33"/>
        <v/>
      </c>
    </row>
    <row r="1037" spans="1:7" x14ac:dyDescent="0.3">
      <c r="A1037" s="21" t="str">
        <f>IF(A1036="","",IF(A1036+1&gt;Ввод!$B$4,"",A1036+1))</f>
        <v/>
      </c>
      <c r="B1037" s="23" t="str">
        <f>IF(A1037="","",IFERROR(INDEX(Ввод!$B$12:$B$71,MATCH(A1037,Ввод!$D$12:$D$71,1)),""))</f>
        <v/>
      </c>
      <c r="C1037" t="str">
        <f t="shared" si="32"/>
        <v/>
      </c>
      <c r="D1037" t="str">
        <f>IF(A1037="","",SUMIFS(Акты!$D$5:$D$16,Акты!$E$5:$E$16,"&lt;="&amp;A1037)-SUMIFS(Оплаты!$B$6:$B$505,Оплаты!$A$6:$A$505,"&lt;"&amp;A1037,Оплаты!$D$6:$D$505,"&lt;&gt;"))</f>
        <v/>
      </c>
      <c r="E1037" t="str">
        <f>IF(A1037="","",IF(SUMPRODUCT((Ввод!$F$12:$F$31&lt;&gt;"")*(Ввод!$F$12:$F$31&lt;=A1037)*(Ввод!$G$12:$G$31&gt;=A1037))&gt;0,1,0))</f>
        <v/>
      </c>
      <c r="G1037" t="str">
        <f t="shared" si="33"/>
        <v/>
      </c>
    </row>
    <row r="1038" spans="1:7" x14ac:dyDescent="0.3">
      <c r="A1038" s="21" t="str">
        <f>IF(A1037="","",IF(A1037+1&gt;Ввод!$B$4,"",A1037+1))</f>
        <v/>
      </c>
      <c r="B1038" s="23" t="str">
        <f>IF(A1038="","",IFERROR(INDEX(Ввод!$B$12:$B$71,MATCH(A1038,Ввод!$D$12:$D$71,1)),""))</f>
        <v/>
      </c>
      <c r="C1038" t="str">
        <f t="shared" si="32"/>
        <v/>
      </c>
      <c r="D1038" t="str">
        <f>IF(A1038="","",SUMIFS(Акты!$D$5:$D$16,Акты!$E$5:$E$16,"&lt;="&amp;A1038)-SUMIFS(Оплаты!$B$6:$B$505,Оплаты!$A$6:$A$505,"&lt;"&amp;A1038,Оплаты!$D$6:$D$505,"&lt;&gt;"))</f>
        <v/>
      </c>
      <c r="E1038" t="str">
        <f>IF(A1038="","",IF(SUMPRODUCT((Ввод!$F$12:$F$31&lt;&gt;"")*(Ввод!$F$12:$F$31&lt;=A1038)*(Ввод!$G$12:$G$31&gt;=A1038))&gt;0,1,0))</f>
        <v/>
      </c>
      <c r="G1038" t="str">
        <f t="shared" si="33"/>
        <v/>
      </c>
    </row>
    <row r="1039" spans="1:7" x14ac:dyDescent="0.3">
      <c r="A1039" s="21" t="str">
        <f>IF(A1038="","",IF(A1038+1&gt;Ввод!$B$4,"",A1038+1))</f>
        <v/>
      </c>
      <c r="B1039" s="23" t="str">
        <f>IF(A1039="","",IFERROR(INDEX(Ввод!$B$12:$B$71,MATCH(A1039,Ввод!$D$12:$D$71,1)),""))</f>
        <v/>
      </c>
      <c r="C1039" t="str">
        <f t="shared" si="32"/>
        <v/>
      </c>
      <c r="D1039" t="str">
        <f>IF(A1039="","",SUMIFS(Акты!$D$5:$D$16,Акты!$E$5:$E$16,"&lt;="&amp;A1039)-SUMIFS(Оплаты!$B$6:$B$505,Оплаты!$A$6:$A$505,"&lt;"&amp;A1039,Оплаты!$D$6:$D$505,"&lt;&gt;"))</f>
        <v/>
      </c>
      <c r="E1039" t="str">
        <f>IF(A1039="","",IF(SUMPRODUCT((Ввод!$F$12:$F$31&lt;&gt;"")*(Ввод!$F$12:$F$31&lt;=A1039)*(Ввод!$G$12:$G$31&gt;=A1039))&gt;0,1,0))</f>
        <v/>
      </c>
      <c r="G1039" t="str">
        <f t="shared" si="33"/>
        <v/>
      </c>
    </row>
    <row r="1040" spans="1:7" x14ac:dyDescent="0.3">
      <c r="A1040" s="21" t="str">
        <f>IF(A1039="","",IF(A1039+1&gt;Ввод!$B$4,"",A1039+1))</f>
        <v/>
      </c>
      <c r="B1040" s="23" t="str">
        <f>IF(A1040="","",IFERROR(INDEX(Ввод!$B$12:$B$71,MATCH(A1040,Ввод!$D$12:$D$71,1)),""))</f>
        <v/>
      </c>
      <c r="C1040" t="str">
        <f t="shared" si="32"/>
        <v/>
      </c>
      <c r="D1040" t="str">
        <f>IF(A1040="","",SUMIFS(Акты!$D$5:$D$16,Акты!$E$5:$E$16,"&lt;="&amp;A1040)-SUMIFS(Оплаты!$B$6:$B$505,Оплаты!$A$6:$A$505,"&lt;"&amp;A1040,Оплаты!$D$6:$D$505,"&lt;&gt;"))</f>
        <v/>
      </c>
      <c r="E1040" t="str">
        <f>IF(A1040="","",IF(SUMPRODUCT((Ввод!$F$12:$F$31&lt;&gt;"")*(Ввод!$F$12:$F$31&lt;=A1040)*(Ввод!$G$12:$G$31&gt;=A1040))&gt;0,1,0))</f>
        <v/>
      </c>
      <c r="G1040" t="str">
        <f t="shared" si="33"/>
        <v/>
      </c>
    </row>
    <row r="1041" spans="1:7" x14ac:dyDescent="0.3">
      <c r="A1041" s="21" t="str">
        <f>IF(A1040="","",IF(A1040+1&gt;Ввод!$B$4,"",A1040+1))</f>
        <v/>
      </c>
      <c r="B1041" s="23" t="str">
        <f>IF(A1041="","",IFERROR(INDEX(Ввод!$B$12:$B$71,MATCH(A1041,Ввод!$D$12:$D$71,1)),""))</f>
        <v/>
      </c>
      <c r="C1041" t="str">
        <f t="shared" si="32"/>
        <v/>
      </c>
      <c r="D1041" t="str">
        <f>IF(A1041="","",SUMIFS(Акты!$D$5:$D$16,Акты!$E$5:$E$16,"&lt;="&amp;A1041)-SUMIFS(Оплаты!$B$6:$B$505,Оплаты!$A$6:$A$505,"&lt;"&amp;A1041,Оплаты!$D$6:$D$505,"&lt;&gt;"))</f>
        <v/>
      </c>
      <c r="E1041" t="str">
        <f>IF(A1041="","",IF(SUMPRODUCT((Ввод!$F$12:$F$31&lt;&gt;"")*(Ввод!$F$12:$F$31&lt;=A1041)*(Ввод!$G$12:$G$31&gt;=A1041))&gt;0,1,0))</f>
        <v/>
      </c>
      <c r="G1041" t="str">
        <f t="shared" si="33"/>
        <v/>
      </c>
    </row>
    <row r="1042" spans="1:7" x14ac:dyDescent="0.3">
      <c r="A1042" s="21" t="str">
        <f>IF(A1041="","",IF(A1041+1&gt;Ввод!$B$4,"",A1041+1))</f>
        <v/>
      </c>
      <c r="B1042" s="23" t="str">
        <f>IF(A1042="","",IFERROR(INDEX(Ввод!$B$12:$B$71,MATCH(A1042,Ввод!$D$12:$D$71,1)),""))</f>
        <v/>
      </c>
      <c r="C1042" t="str">
        <f t="shared" si="32"/>
        <v/>
      </c>
      <c r="D1042" t="str">
        <f>IF(A1042="","",SUMIFS(Акты!$D$5:$D$16,Акты!$E$5:$E$16,"&lt;="&amp;A1042)-SUMIFS(Оплаты!$B$6:$B$505,Оплаты!$A$6:$A$505,"&lt;"&amp;A1042,Оплаты!$D$6:$D$505,"&lt;&gt;"))</f>
        <v/>
      </c>
      <c r="E1042" t="str">
        <f>IF(A1042="","",IF(SUMPRODUCT((Ввод!$F$12:$F$31&lt;&gt;"")*(Ввод!$F$12:$F$31&lt;=A1042)*(Ввод!$G$12:$G$31&gt;=A1042))&gt;0,1,0))</f>
        <v/>
      </c>
      <c r="G1042" t="str">
        <f t="shared" si="33"/>
        <v/>
      </c>
    </row>
    <row r="1043" spans="1:7" x14ac:dyDescent="0.3">
      <c r="A1043" s="21" t="str">
        <f>IF(A1042="","",IF(A1042+1&gt;Ввод!$B$4,"",A1042+1))</f>
        <v/>
      </c>
      <c r="B1043" s="23" t="str">
        <f>IF(A1043="","",IFERROR(INDEX(Ввод!$B$12:$B$71,MATCH(A1043,Ввод!$D$12:$D$71,1)),""))</f>
        <v/>
      </c>
      <c r="C1043" t="str">
        <f t="shared" si="32"/>
        <v/>
      </c>
      <c r="D1043" t="str">
        <f>IF(A1043="","",SUMIFS(Акты!$D$5:$D$16,Акты!$E$5:$E$16,"&lt;="&amp;A1043)-SUMIFS(Оплаты!$B$6:$B$505,Оплаты!$A$6:$A$505,"&lt;"&amp;A1043,Оплаты!$D$6:$D$505,"&lt;&gt;"))</f>
        <v/>
      </c>
      <c r="E1043" t="str">
        <f>IF(A1043="","",IF(SUMPRODUCT((Ввод!$F$12:$F$31&lt;&gt;"")*(Ввод!$F$12:$F$31&lt;=A1043)*(Ввод!$G$12:$G$31&gt;=A1043))&gt;0,1,0))</f>
        <v/>
      </c>
      <c r="G1043" t="str">
        <f t="shared" si="33"/>
        <v/>
      </c>
    </row>
    <row r="1044" spans="1:7" x14ac:dyDescent="0.3">
      <c r="A1044" s="21" t="str">
        <f>IF(A1043="","",IF(A1043+1&gt;Ввод!$B$4,"",A1043+1))</f>
        <v/>
      </c>
      <c r="B1044" s="23" t="str">
        <f>IF(A1044="","",IFERROR(INDEX(Ввод!$B$12:$B$71,MATCH(A1044,Ввод!$D$12:$D$71,1)),""))</f>
        <v/>
      </c>
      <c r="C1044" t="str">
        <f t="shared" si="32"/>
        <v/>
      </c>
      <c r="D1044" t="str">
        <f>IF(A1044="","",SUMIFS(Акты!$D$5:$D$16,Акты!$E$5:$E$16,"&lt;="&amp;A1044)-SUMIFS(Оплаты!$B$6:$B$505,Оплаты!$A$6:$A$505,"&lt;"&amp;A1044,Оплаты!$D$6:$D$505,"&lt;&gt;"))</f>
        <v/>
      </c>
      <c r="E1044" t="str">
        <f>IF(A1044="","",IF(SUMPRODUCT((Ввод!$F$12:$F$31&lt;&gt;"")*(Ввод!$F$12:$F$31&lt;=A1044)*(Ввод!$G$12:$G$31&gt;=A1044))&gt;0,1,0))</f>
        <v/>
      </c>
      <c r="G1044" t="str">
        <f t="shared" si="33"/>
        <v/>
      </c>
    </row>
    <row r="1045" spans="1:7" x14ac:dyDescent="0.3">
      <c r="A1045" s="21" t="str">
        <f>IF(A1044="","",IF(A1044+1&gt;Ввод!$B$4,"",A1044+1))</f>
        <v/>
      </c>
      <c r="B1045" s="23" t="str">
        <f>IF(A1045="","",IFERROR(INDEX(Ввод!$B$12:$B$71,MATCH(A1045,Ввод!$D$12:$D$71,1)),""))</f>
        <v/>
      </c>
      <c r="C1045" t="str">
        <f t="shared" si="32"/>
        <v/>
      </c>
      <c r="D1045" t="str">
        <f>IF(A1045="","",SUMIFS(Акты!$D$5:$D$16,Акты!$E$5:$E$16,"&lt;="&amp;A1045)-SUMIFS(Оплаты!$B$6:$B$505,Оплаты!$A$6:$A$505,"&lt;"&amp;A1045,Оплаты!$D$6:$D$505,"&lt;&gt;"))</f>
        <v/>
      </c>
      <c r="E1045" t="str">
        <f>IF(A1045="","",IF(SUMPRODUCT((Ввод!$F$12:$F$31&lt;&gt;"")*(Ввод!$F$12:$F$31&lt;=A1045)*(Ввод!$G$12:$G$31&gt;=A1045))&gt;0,1,0))</f>
        <v/>
      </c>
      <c r="G1045" t="str">
        <f t="shared" si="33"/>
        <v/>
      </c>
    </row>
    <row r="1046" spans="1:7" x14ac:dyDescent="0.3">
      <c r="A1046" s="21" t="str">
        <f>IF(A1045="","",IF(A1045+1&gt;Ввод!$B$4,"",A1045+1))</f>
        <v/>
      </c>
      <c r="B1046" s="23" t="str">
        <f>IF(A1046="","",IFERROR(INDEX(Ввод!$B$12:$B$71,MATCH(A1046,Ввод!$D$12:$D$71,1)),""))</f>
        <v/>
      </c>
      <c r="C1046" t="str">
        <f t="shared" si="32"/>
        <v/>
      </c>
      <c r="D1046" t="str">
        <f>IF(A1046="","",SUMIFS(Акты!$D$5:$D$16,Акты!$E$5:$E$16,"&lt;="&amp;A1046)-SUMIFS(Оплаты!$B$6:$B$505,Оплаты!$A$6:$A$505,"&lt;"&amp;A1046,Оплаты!$D$6:$D$505,"&lt;&gt;"))</f>
        <v/>
      </c>
      <c r="E1046" t="str">
        <f>IF(A1046="","",IF(SUMPRODUCT((Ввод!$F$12:$F$31&lt;&gt;"")*(Ввод!$F$12:$F$31&lt;=A1046)*(Ввод!$G$12:$G$31&gt;=A1046))&gt;0,1,0))</f>
        <v/>
      </c>
      <c r="G1046" t="str">
        <f t="shared" si="33"/>
        <v/>
      </c>
    </row>
    <row r="1047" spans="1:7" x14ac:dyDescent="0.3">
      <c r="A1047" s="21" t="str">
        <f>IF(A1046="","",IF(A1046+1&gt;Ввод!$B$4,"",A1046+1))</f>
        <v/>
      </c>
      <c r="B1047" s="23" t="str">
        <f>IF(A1047="","",IFERROR(INDEX(Ввод!$B$12:$B$71,MATCH(A1047,Ввод!$D$12:$D$71,1)),""))</f>
        <v/>
      </c>
      <c r="C1047" t="str">
        <f t="shared" si="32"/>
        <v/>
      </c>
      <c r="D1047" t="str">
        <f>IF(A1047="","",SUMIFS(Акты!$D$5:$D$16,Акты!$E$5:$E$16,"&lt;="&amp;A1047)-SUMIFS(Оплаты!$B$6:$B$505,Оплаты!$A$6:$A$505,"&lt;"&amp;A1047,Оплаты!$D$6:$D$505,"&lt;&gt;"))</f>
        <v/>
      </c>
      <c r="E1047" t="str">
        <f>IF(A1047="","",IF(SUMPRODUCT((Ввод!$F$12:$F$31&lt;&gt;"")*(Ввод!$F$12:$F$31&lt;=A1047)*(Ввод!$G$12:$G$31&gt;=A1047))&gt;0,1,0))</f>
        <v/>
      </c>
      <c r="G1047" t="str">
        <f t="shared" si="33"/>
        <v/>
      </c>
    </row>
    <row r="1048" spans="1:7" x14ac:dyDescent="0.3">
      <c r="A1048" s="21" t="str">
        <f>IF(A1047="","",IF(A1047+1&gt;Ввод!$B$4,"",A1047+1))</f>
        <v/>
      </c>
      <c r="B1048" s="23" t="str">
        <f>IF(A1048="","",IFERROR(INDEX(Ввод!$B$12:$B$71,MATCH(A1048,Ввод!$D$12:$D$71,1)),""))</f>
        <v/>
      </c>
      <c r="C1048" t="str">
        <f t="shared" si="32"/>
        <v/>
      </c>
      <c r="D1048" t="str">
        <f>IF(A1048="","",SUMIFS(Акты!$D$5:$D$16,Акты!$E$5:$E$16,"&lt;="&amp;A1048)-SUMIFS(Оплаты!$B$6:$B$505,Оплаты!$A$6:$A$505,"&lt;"&amp;A1048,Оплаты!$D$6:$D$505,"&lt;&gt;"))</f>
        <v/>
      </c>
      <c r="E1048" t="str">
        <f>IF(A1048="","",IF(SUMPRODUCT((Ввод!$F$12:$F$31&lt;&gt;"")*(Ввод!$F$12:$F$31&lt;=A1048)*(Ввод!$G$12:$G$31&gt;=A1048))&gt;0,1,0))</f>
        <v/>
      </c>
      <c r="G1048" t="str">
        <f t="shared" si="33"/>
        <v/>
      </c>
    </row>
    <row r="1049" spans="1:7" x14ac:dyDescent="0.3">
      <c r="A1049" s="21" t="str">
        <f>IF(A1048="","",IF(A1048+1&gt;Ввод!$B$4,"",A1048+1))</f>
        <v/>
      </c>
      <c r="B1049" s="23" t="str">
        <f>IF(A1049="","",IFERROR(INDEX(Ввод!$B$12:$B$71,MATCH(A1049,Ввод!$D$12:$D$71,1)),""))</f>
        <v/>
      </c>
      <c r="C1049" t="str">
        <f t="shared" si="32"/>
        <v/>
      </c>
      <c r="D1049" t="str">
        <f>IF(A1049="","",SUMIFS(Акты!$D$5:$D$16,Акты!$E$5:$E$16,"&lt;="&amp;A1049)-SUMIFS(Оплаты!$B$6:$B$505,Оплаты!$A$6:$A$505,"&lt;"&amp;A1049,Оплаты!$D$6:$D$505,"&lt;&gt;"))</f>
        <v/>
      </c>
      <c r="E1049" t="str">
        <f>IF(A1049="","",IF(SUMPRODUCT((Ввод!$F$12:$F$31&lt;&gt;"")*(Ввод!$F$12:$F$31&lt;=A1049)*(Ввод!$G$12:$G$31&gt;=A1049))&gt;0,1,0))</f>
        <v/>
      </c>
      <c r="G1049" t="str">
        <f t="shared" si="33"/>
        <v/>
      </c>
    </row>
    <row r="1050" spans="1:7" x14ac:dyDescent="0.3">
      <c r="A1050" s="21" t="str">
        <f>IF(A1049="","",IF(A1049+1&gt;Ввод!$B$4,"",A1049+1))</f>
        <v/>
      </c>
      <c r="B1050" s="23" t="str">
        <f>IF(A1050="","",IFERROR(INDEX(Ввод!$B$12:$B$71,MATCH(A1050,Ввод!$D$12:$D$71,1)),""))</f>
        <v/>
      </c>
      <c r="C1050" t="str">
        <f t="shared" si="32"/>
        <v/>
      </c>
      <c r="D1050" t="str">
        <f>IF(A1050="","",SUMIFS(Акты!$D$5:$D$16,Акты!$E$5:$E$16,"&lt;="&amp;A1050)-SUMIFS(Оплаты!$B$6:$B$505,Оплаты!$A$6:$A$505,"&lt;"&amp;A1050,Оплаты!$D$6:$D$505,"&lt;&gt;"))</f>
        <v/>
      </c>
      <c r="E1050" t="str">
        <f>IF(A1050="","",IF(SUMPRODUCT((Ввод!$F$12:$F$31&lt;&gt;"")*(Ввод!$F$12:$F$31&lt;=A1050)*(Ввод!$G$12:$G$31&gt;=A1050))&gt;0,1,0))</f>
        <v/>
      </c>
      <c r="G1050" t="str">
        <f t="shared" si="33"/>
        <v/>
      </c>
    </row>
    <row r="1051" spans="1:7" x14ac:dyDescent="0.3">
      <c r="A1051" s="21" t="str">
        <f>IF(A1050="","",IF(A1050+1&gt;Ввод!$B$4,"",A1050+1))</f>
        <v/>
      </c>
      <c r="B1051" s="23" t="str">
        <f>IF(A1051="","",IFERROR(INDEX(Ввод!$B$12:$B$71,MATCH(A1051,Ввод!$D$12:$D$71,1)),""))</f>
        <v/>
      </c>
      <c r="C1051" t="str">
        <f t="shared" si="32"/>
        <v/>
      </c>
      <c r="D1051" t="str">
        <f>IF(A1051="","",SUMIFS(Акты!$D$5:$D$16,Акты!$E$5:$E$16,"&lt;="&amp;A1051)-SUMIFS(Оплаты!$B$6:$B$505,Оплаты!$A$6:$A$505,"&lt;"&amp;A1051,Оплаты!$D$6:$D$505,"&lt;&gt;"))</f>
        <v/>
      </c>
      <c r="E1051" t="str">
        <f>IF(A1051="","",IF(SUMPRODUCT((Ввод!$F$12:$F$31&lt;&gt;"")*(Ввод!$F$12:$F$31&lt;=A1051)*(Ввод!$G$12:$G$31&gt;=A1051))&gt;0,1,0))</f>
        <v/>
      </c>
      <c r="G1051" t="str">
        <f t="shared" si="33"/>
        <v/>
      </c>
    </row>
    <row r="1052" spans="1:7" x14ac:dyDescent="0.3">
      <c r="A1052" s="21" t="str">
        <f>IF(A1051="","",IF(A1051+1&gt;Ввод!$B$4,"",A1051+1))</f>
        <v/>
      </c>
      <c r="B1052" s="23" t="str">
        <f>IF(A1052="","",IFERROR(INDEX(Ввод!$B$12:$B$71,MATCH(A1052,Ввод!$D$12:$D$71,1)),""))</f>
        <v/>
      </c>
      <c r="C1052" t="str">
        <f t="shared" si="32"/>
        <v/>
      </c>
      <c r="D1052" t="str">
        <f>IF(A1052="","",SUMIFS(Акты!$D$5:$D$16,Акты!$E$5:$E$16,"&lt;="&amp;A1052)-SUMIFS(Оплаты!$B$6:$B$505,Оплаты!$A$6:$A$505,"&lt;"&amp;A1052,Оплаты!$D$6:$D$505,"&lt;&gt;"))</f>
        <v/>
      </c>
      <c r="E1052" t="str">
        <f>IF(A1052="","",IF(SUMPRODUCT((Ввод!$F$12:$F$31&lt;&gt;"")*(Ввод!$F$12:$F$31&lt;=A1052)*(Ввод!$G$12:$G$31&gt;=A1052))&gt;0,1,0))</f>
        <v/>
      </c>
      <c r="G1052" t="str">
        <f t="shared" si="33"/>
        <v/>
      </c>
    </row>
    <row r="1053" spans="1:7" x14ac:dyDescent="0.3">
      <c r="A1053" s="21" t="str">
        <f>IF(A1052="","",IF(A1052+1&gt;Ввод!$B$4,"",A1052+1))</f>
        <v/>
      </c>
      <c r="B1053" s="23" t="str">
        <f>IF(A1053="","",IFERROR(INDEX(Ввод!$B$12:$B$71,MATCH(A1053,Ввод!$D$12:$D$71,1)),""))</f>
        <v/>
      </c>
      <c r="C1053" t="str">
        <f t="shared" si="32"/>
        <v/>
      </c>
      <c r="D1053" t="str">
        <f>IF(A1053="","",SUMIFS(Акты!$D$5:$D$16,Акты!$E$5:$E$16,"&lt;="&amp;A1053)-SUMIFS(Оплаты!$B$6:$B$505,Оплаты!$A$6:$A$505,"&lt;"&amp;A1053,Оплаты!$D$6:$D$505,"&lt;&gt;"))</f>
        <v/>
      </c>
      <c r="E1053" t="str">
        <f>IF(A1053="","",IF(SUMPRODUCT((Ввод!$F$12:$F$31&lt;&gt;"")*(Ввод!$F$12:$F$31&lt;=A1053)*(Ввод!$G$12:$G$31&gt;=A1053))&gt;0,1,0))</f>
        <v/>
      </c>
      <c r="G1053" t="str">
        <f t="shared" si="33"/>
        <v/>
      </c>
    </row>
    <row r="1054" spans="1:7" x14ac:dyDescent="0.3">
      <c r="A1054" s="21" t="str">
        <f>IF(A1053="","",IF(A1053+1&gt;Ввод!$B$4,"",A1053+1))</f>
        <v/>
      </c>
      <c r="B1054" s="23" t="str">
        <f>IF(A1054="","",IFERROR(INDEX(Ввод!$B$12:$B$71,MATCH(A1054,Ввод!$D$12:$D$71,1)),""))</f>
        <v/>
      </c>
      <c r="C1054" t="str">
        <f t="shared" si="32"/>
        <v/>
      </c>
      <c r="D1054" t="str">
        <f>IF(A1054="","",SUMIFS(Акты!$D$5:$D$16,Акты!$E$5:$E$16,"&lt;="&amp;A1054)-SUMIFS(Оплаты!$B$6:$B$505,Оплаты!$A$6:$A$505,"&lt;"&amp;A1054,Оплаты!$D$6:$D$505,"&lt;&gt;"))</f>
        <v/>
      </c>
      <c r="E1054" t="str">
        <f>IF(A1054="","",IF(SUMPRODUCT((Ввод!$F$12:$F$31&lt;&gt;"")*(Ввод!$F$12:$F$31&lt;=A1054)*(Ввод!$G$12:$G$31&gt;=A1054))&gt;0,1,0))</f>
        <v/>
      </c>
      <c r="G1054" t="str">
        <f t="shared" si="33"/>
        <v/>
      </c>
    </row>
    <row r="1055" spans="1:7" x14ac:dyDescent="0.3">
      <c r="A1055" s="21" t="str">
        <f>IF(A1054="","",IF(A1054+1&gt;Ввод!$B$4,"",A1054+1))</f>
        <v/>
      </c>
      <c r="B1055" s="23" t="str">
        <f>IF(A1055="","",IFERROR(INDEX(Ввод!$B$12:$B$71,MATCH(A1055,Ввод!$D$12:$D$71,1)),""))</f>
        <v/>
      </c>
      <c r="C1055" t="str">
        <f t="shared" si="32"/>
        <v/>
      </c>
      <c r="D1055" t="str">
        <f>IF(A1055="","",SUMIFS(Акты!$D$5:$D$16,Акты!$E$5:$E$16,"&lt;="&amp;A1055)-SUMIFS(Оплаты!$B$6:$B$505,Оплаты!$A$6:$A$505,"&lt;"&amp;A1055,Оплаты!$D$6:$D$505,"&lt;&gt;"))</f>
        <v/>
      </c>
      <c r="E1055" t="str">
        <f>IF(A1055="","",IF(SUMPRODUCT((Ввод!$F$12:$F$31&lt;&gt;"")*(Ввод!$F$12:$F$31&lt;=A1055)*(Ввод!$G$12:$G$31&gt;=A1055))&gt;0,1,0))</f>
        <v/>
      </c>
      <c r="G1055" t="str">
        <f t="shared" si="33"/>
        <v/>
      </c>
    </row>
    <row r="1056" spans="1:7" x14ac:dyDescent="0.3">
      <c r="A1056" s="21" t="str">
        <f>IF(A1055="","",IF(A1055+1&gt;Ввод!$B$4,"",A1055+1))</f>
        <v/>
      </c>
      <c r="B1056" s="23" t="str">
        <f>IF(A1056="","",IFERROR(INDEX(Ввод!$B$12:$B$71,MATCH(A1056,Ввод!$D$12:$D$71,1)),""))</f>
        <v/>
      </c>
      <c r="C1056" t="str">
        <f t="shared" si="32"/>
        <v/>
      </c>
      <c r="D1056" t="str">
        <f>IF(A1056="","",SUMIFS(Акты!$D$5:$D$16,Акты!$E$5:$E$16,"&lt;="&amp;A1056)-SUMIFS(Оплаты!$B$6:$B$505,Оплаты!$A$6:$A$505,"&lt;"&amp;A1056,Оплаты!$D$6:$D$505,"&lt;&gt;"))</f>
        <v/>
      </c>
      <c r="E1056" t="str">
        <f>IF(A1056="","",IF(SUMPRODUCT((Ввод!$F$12:$F$31&lt;&gt;"")*(Ввод!$F$12:$F$31&lt;=A1056)*(Ввод!$G$12:$G$31&gt;=A1056))&gt;0,1,0))</f>
        <v/>
      </c>
      <c r="G1056" t="str">
        <f t="shared" si="33"/>
        <v/>
      </c>
    </row>
    <row r="1057" spans="1:7" x14ac:dyDescent="0.3">
      <c r="A1057" s="21" t="str">
        <f>IF(A1056="","",IF(A1056+1&gt;Ввод!$B$4,"",A1056+1))</f>
        <v/>
      </c>
      <c r="B1057" s="23" t="str">
        <f>IF(A1057="","",IFERROR(INDEX(Ввод!$B$12:$B$71,MATCH(A1057,Ввод!$D$12:$D$71,1)),""))</f>
        <v/>
      </c>
      <c r="C1057" t="str">
        <f t="shared" si="32"/>
        <v/>
      </c>
      <c r="D1057" t="str">
        <f>IF(A1057="","",SUMIFS(Акты!$D$5:$D$16,Акты!$E$5:$E$16,"&lt;="&amp;A1057)-SUMIFS(Оплаты!$B$6:$B$505,Оплаты!$A$6:$A$505,"&lt;"&amp;A1057,Оплаты!$D$6:$D$505,"&lt;&gt;"))</f>
        <v/>
      </c>
      <c r="E1057" t="str">
        <f>IF(A1057="","",IF(SUMPRODUCT((Ввод!$F$12:$F$31&lt;&gt;"")*(Ввод!$F$12:$F$31&lt;=A1057)*(Ввод!$G$12:$G$31&gt;=A1057))&gt;0,1,0))</f>
        <v/>
      </c>
      <c r="G1057" t="str">
        <f t="shared" si="33"/>
        <v/>
      </c>
    </row>
    <row r="1058" spans="1:7" x14ac:dyDescent="0.3">
      <c r="A1058" s="21" t="str">
        <f>IF(A1057="","",IF(A1057+1&gt;Ввод!$B$4,"",A1057+1))</f>
        <v/>
      </c>
      <c r="B1058" s="23" t="str">
        <f>IF(A1058="","",IFERROR(INDEX(Ввод!$B$12:$B$71,MATCH(A1058,Ввод!$D$12:$D$71,1)),""))</f>
        <v/>
      </c>
      <c r="C1058" t="str">
        <f t="shared" si="32"/>
        <v/>
      </c>
      <c r="D1058" t="str">
        <f>IF(A1058="","",SUMIFS(Акты!$D$5:$D$16,Акты!$E$5:$E$16,"&lt;="&amp;A1058)-SUMIFS(Оплаты!$B$6:$B$505,Оплаты!$A$6:$A$505,"&lt;"&amp;A1058,Оплаты!$D$6:$D$505,"&lt;&gt;"))</f>
        <v/>
      </c>
      <c r="E1058" t="str">
        <f>IF(A1058="","",IF(SUMPRODUCT((Ввод!$F$12:$F$31&lt;&gt;"")*(Ввод!$F$12:$F$31&lt;=A1058)*(Ввод!$G$12:$G$31&gt;=A1058))&gt;0,1,0))</f>
        <v/>
      </c>
      <c r="G1058" t="str">
        <f t="shared" si="33"/>
        <v/>
      </c>
    </row>
    <row r="1059" spans="1:7" x14ac:dyDescent="0.3">
      <c r="A1059" s="21" t="str">
        <f>IF(A1058="","",IF(A1058+1&gt;Ввод!$B$4,"",A1058+1))</f>
        <v/>
      </c>
      <c r="B1059" s="23" t="str">
        <f>IF(A1059="","",IFERROR(INDEX(Ввод!$B$12:$B$71,MATCH(A1059,Ввод!$D$12:$D$71,1)),""))</f>
        <v/>
      </c>
      <c r="C1059" t="str">
        <f t="shared" si="32"/>
        <v/>
      </c>
      <c r="D1059" t="str">
        <f>IF(A1059="","",SUMIFS(Акты!$D$5:$D$16,Акты!$E$5:$E$16,"&lt;="&amp;A1059)-SUMIFS(Оплаты!$B$6:$B$505,Оплаты!$A$6:$A$505,"&lt;"&amp;A1059,Оплаты!$D$6:$D$505,"&lt;&gt;"))</f>
        <v/>
      </c>
      <c r="E1059" t="str">
        <f>IF(A1059="","",IF(SUMPRODUCT((Ввод!$F$12:$F$31&lt;&gt;"")*(Ввод!$F$12:$F$31&lt;=A1059)*(Ввод!$G$12:$G$31&gt;=A1059))&gt;0,1,0))</f>
        <v/>
      </c>
      <c r="G1059" t="str">
        <f t="shared" si="33"/>
        <v/>
      </c>
    </row>
    <row r="1060" spans="1:7" x14ac:dyDescent="0.3">
      <c r="A1060" s="21" t="str">
        <f>IF(A1059="","",IF(A1059+1&gt;Ввод!$B$4,"",A1059+1))</f>
        <v/>
      </c>
      <c r="B1060" s="23" t="str">
        <f>IF(A1060="","",IFERROR(INDEX(Ввод!$B$12:$B$71,MATCH(A1060,Ввод!$D$12:$D$71,1)),""))</f>
        <v/>
      </c>
      <c r="C1060" t="str">
        <f t="shared" si="32"/>
        <v/>
      </c>
      <c r="D1060" t="str">
        <f>IF(A1060="","",SUMIFS(Акты!$D$5:$D$16,Акты!$E$5:$E$16,"&lt;="&amp;A1060)-SUMIFS(Оплаты!$B$6:$B$505,Оплаты!$A$6:$A$505,"&lt;"&amp;A1060,Оплаты!$D$6:$D$505,"&lt;&gt;"))</f>
        <v/>
      </c>
      <c r="E1060" t="str">
        <f>IF(A1060="","",IF(SUMPRODUCT((Ввод!$F$12:$F$31&lt;&gt;"")*(Ввод!$F$12:$F$31&lt;=A1060)*(Ввод!$G$12:$G$31&gt;=A1060))&gt;0,1,0))</f>
        <v/>
      </c>
      <c r="G1060" t="str">
        <f t="shared" si="33"/>
        <v/>
      </c>
    </row>
    <row r="1061" spans="1:7" x14ac:dyDescent="0.3">
      <c r="A1061" s="21" t="str">
        <f>IF(A1060="","",IF(A1060+1&gt;Ввод!$B$4,"",A1060+1))</f>
        <v/>
      </c>
      <c r="B1061" s="23" t="str">
        <f>IF(A1061="","",IFERROR(INDEX(Ввод!$B$12:$B$71,MATCH(A1061,Ввод!$D$12:$D$71,1)),""))</f>
        <v/>
      </c>
      <c r="C1061" t="str">
        <f t="shared" si="32"/>
        <v/>
      </c>
      <c r="D1061" t="str">
        <f>IF(A1061="","",SUMIFS(Акты!$D$5:$D$16,Акты!$E$5:$E$16,"&lt;="&amp;A1061)-SUMIFS(Оплаты!$B$6:$B$505,Оплаты!$A$6:$A$505,"&lt;"&amp;A1061,Оплаты!$D$6:$D$505,"&lt;&gt;"))</f>
        <v/>
      </c>
      <c r="E1061" t="str">
        <f>IF(A1061="","",IF(SUMPRODUCT((Ввод!$F$12:$F$31&lt;&gt;"")*(Ввод!$F$12:$F$31&lt;=A1061)*(Ввод!$G$12:$G$31&gt;=A1061))&gt;0,1,0))</f>
        <v/>
      </c>
      <c r="G1061" t="str">
        <f t="shared" si="33"/>
        <v/>
      </c>
    </row>
    <row r="1062" spans="1:7" x14ac:dyDescent="0.3">
      <c r="A1062" s="21" t="str">
        <f>IF(A1061="","",IF(A1061+1&gt;Ввод!$B$4,"",A1061+1))</f>
        <v/>
      </c>
      <c r="B1062" s="23" t="str">
        <f>IF(A1062="","",IFERROR(INDEX(Ввод!$B$12:$B$71,MATCH(A1062,Ввод!$D$12:$D$71,1)),""))</f>
        <v/>
      </c>
      <c r="C1062" t="str">
        <f t="shared" si="32"/>
        <v/>
      </c>
      <c r="D1062" t="str">
        <f>IF(A1062="","",SUMIFS(Акты!$D$5:$D$16,Акты!$E$5:$E$16,"&lt;="&amp;A1062)-SUMIFS(Оплаты!$B$6:$B$505,Оплаты!$A$6:$A$505,"&lt;"&amp;A1062,Оплаты!$D$6:$D$505,"&lt;&gt;"))</f>
        <v/>
      </c>
      <c r="E1062" t="str">
        <f>IF(A1062="","",IF(SUMPRODUCT((Ввод!$F$12:$F$31&lt;&gt;"")*(Ввод!$F$12:$F$31&lt;=A1062)*(Ввод!$G$12:$G$31&gt;=A1062))&gt;0,1,0))</f>
        <v/>
      </c>
      <c r="G1062" t="str">
        <f t="shared" si="33"/>
        <v/>
      </c>
    </row>
    <row r="1063" spans="1:7" x14ac:dyDescent="0.3">
      <c r="A1063" s="21" t="str">
        <f>IF(A1062="","",IF(A1062+1&gt;Ввод!$B$4,"",A1062+1))</f>
        <v/>
      </c>
      <c r="B1063" s="23" t="str">
        <f>IF(A1063="","",IFERROR(INDEX(Ввод!$B$12:$B$71,MATCH(A1063,Ввод!$D$12:$D$71,1)),""))</f>
        <v/>
      </c>
      <c r="C1063" t="str">
        <f t="shared" si="32"/>
        <v/>
      </c>
      <c r="D1063" t="str">
        <f>IF(A1063="","",SUMIFS(Акты!$D$5:$D$16,Акты!$E$5:$E$16,"&lt;="&amp;A1063)-SUMIFS(Оплаты!$B$6:$B$505,Оплаты!$A$6:$A$505,"&lt;"&amp;A1063,Оплаты!$D$6:$D$505,"&lt;&gt;"))</f>
        <v/>
      </c>
      <c r="E1063" t="str">
        <f>IF(A1063="","",IF(SUMPRODUCT((Ввод!$F$12:$F$31&lt;&gt;"")*(Ввод!$F$12:$F$31&lt;=A1063)*(Ввод!$G$12:$G$31&gt;=A1063))&gt;0,1,0))</f>
        <v/>
      </c>
      <c r="G1063" t="str">
        <f t="shared" si="33"/>
        <v/>
      </c>
    </row>
    <row r="1064" spans="1:7" x14ac:dyDescent="0.3">
      <c r="A1064" s="21" t="str">
        <f>IF(A1063="","",IF(A1063+1&gt;Ввод!$B$4,"",A1063+1))</f>
        <v/>
      </c>
      <c r="B1064" s="23" t="str">
        <f>IF(A1064="","",IFERROR(INDEX(Ввод!$B$12:$B$71,MATCH(A1064,Ввод!$D$12:$D$71,1)),""))</f>
        <v/>
      </c>
      <c r="C1064" t="str">
        <f t="shared" si="32"/>
        <v/>
      </c>
      <c r="D1064" t="str">
        <f>IF(A1064="","",SUMIFS(Акты!$D$5:$D$16,Акты!$E$5:$E$16,"&lt;="&amp;A1064)-SUMIFS(Оплаты!$B$6:$B$505,Оплаты!$A$6:$A$505,"&lt;"&amp;A1064,Оплаты!$D$6:$D$505,"&lt;&gt;"))</f>
        <v/>
      </c>
      <c r="E1064" t="str">
        <f>IF(A1064="","",IF(SUMPRODUCT((Ввод!$F$12:$F$31&lt;&gt;"")*(Ввод!$F$12:$F$31&lt;=A1064)*(Ввод!$G$12:$G$31&gt;=A1064))&gt;0,1,0))</f>
        <v/>
      </c>
      <c r="G1064" t="str">
        <f t="shared" si="33"/>
        <v/>
      </c>
    </row>
    <row r="1065" spans="1:7" x14ac:dyDescent="0.3">
      <c r="A1065" s="21" t="str">
        <f>IF(A1064="","",IF(A1064+1&gt;Ввод!$B$4,"",A1064+1))</f>
        <v/>
      </c>
      <c r="B1065" s="23" t="str">
        <f>IF(A1065="","",IFERROR(INDEX(Ввод!$B$12:$B$71,MATCH(A1065,Ввод!$D$12:$D$71,1)),""))</f>
        <v/>
      </c>
      <c r="C1065" t="str">
        <f t="shared" si="32"/>
        <v/>
      </c>
      <c r="D1065" t="str">
        <f>IF(A1065="","",SUMIFS(Акты!$D$5:$D$16,Акты!$E$5:$E$16,"&lt;="&amp;A1065)-SUMIFS(Оплаты!$B$6:$B$505,Оплаты!$A$6:$A$505,"&lt;"&amp;A1065,Оплаты!$D$6:$D$505,"&lt;&gt;"))</f>
        <v/>
      </c>
      <c r="E1065" t="str">
        <f>IF(A1065="","",IF(SUMPRODUCT((Ввод!$F$12:$F$31&lt;&gt;"")*(Ввод!$F$12:$F$31&lt;=A1065)*(Ввод!$G$12:$G$31&gt;=A1065))&gt;0,1,0))</f>
        <v/>
      </c>
      <c r="G1065" t="str">
        <f t="shared" si="33"/>
        <v/>
      </c>
    </row>
    <row r="1066" spans="1:7" x14ac:dyDescent="0.3">
      <c r="A1066" s="21" t="str">
        <f>IF(A1065="","",IF(A1065+1&gt;Ввод!$B$4,"",A1065+1))</f>
        <v/>
      </c>
      <c r="B1066" s="23" t="str">
        <f>IF(A1066="","",IFERROR(INDEX(Ввод!$B$12:$B$71,MATCH(A1066,Ввод!$D$12:$D$71,1)),""))</f>
        <v/>
      </c>
      <c r="C1066" t="str">
        <f t="shared" si="32"/>
        <v/>
      </c>
      <c r="D1066" t="str">
        <f>IF(A1066="","",SUMIFS(Акты!$D$5:$D$16,Акты!$E$5:$E$16,"&lt;="&amp;A1066)-SUMIFS(Оплаты!$B$6:$B$505,Оплаты!$A$6:$A$505,"&lt;"&amp;A1066,Оплаты!$D$6:$D$505,"&lt;&gt;"))</f>
        <v/>
      </c>
      <c r="E1066" t="str">
        <f>IF(A1066="","",IF(SUMPRODUCT((Ввод!$F$12:$F$31&lt;&gt;"")*(Ввод!$F$12:$F$31&lt;=A1066)*(Ввод!$G$12:$G$31&gt;=A1066))&gt;0,1,0))</f>
        <v/>
      </c>
      <c r="G1066" t="str">
        <f t="shared" si="33"/>
        <v/>
      </c>
    </row>
    <row r="1067" spans="1:7" x14ac:dyDescent="0.3">
      <c r="A1067" s="21" t="str">
        <f>IF(A1066="","",IF(A1066+1&gt;Ввод!$B$4,"",A1066+1))</f>
        <v/>
      </c>
      <c r="B1067" s="23" t="str">
        <f>IF(A1067="","",IFERROR(INDEX(Ввод!$B$12:$B$71,MATCH(A1067,Ввод!$D$12:$D$71,1)),""))</f>
        <v/>
      </c>
      <c r="C1067" t="str">
        <f t="shared" si="32"/>
        <v/>
      </c>
      <c r="D1067" t="str">
        <f>IF(A1067="","",SUMIFS(Акты!$D$5:$D$16,Акты!$E$5:$E$16,"&lt;="&amp;A1067)-SUMIFS(Оплаты!$B$6:$B$505,Оплаты!$A$6:$A$505,"&lt;"&amp;A1067,Оплаты!$D$6:$D$505,"&lt;&gt;"))</f>
        <v/>
      </c>
      <c r="E1067" t="str">
        <f>IF(A1067="","",IF(SUMPRODUCT((Ввод!$F$12:$F$31&lt;&gt;"")*(Ввод!$F$12:$F$31&lt;=A1067)*(Ввод!$G$12:$G$31&gt;=A1067))&gt;0,1,0))</f>
        <v/>
      </c>
      <c r="G1067" t="str">
        <f t="shared" si="33"/>
        <v/>
      </c>
    </row>
    <row r="1068" spans="1:7" x14ac:dyDescent="0.3">
      <c r="A1068" s="21" t="str">
        <f>IF(A1067="","",IF(A1067+1&gt;Ввод!$B$4,"",A1067+1))</f>
        <v/>
      </c>
      <c r="B1068" s="23" t="str">
        <f>IF(A1068="","",IFERROR(INDEX(Ввод!$B$12:$B$71,MATCH(A1068,Ввод!$D$12:$D$71,1)),""))</f>
        <v/>
      </c>
      <c r="C1068" t="str">
        <f t="shared" si="32"/>
        <v/>
      </c>
      <c r="D1068" t="str">
        <f>IF(A1068="","",SUMIFS(Акты!$D$5:$D$16,Акты!$E$5:$E$16,"&lt;="&amp;A1068)-SUMIFS(Оплаты!$B$6:$B$505,Оплаты!$A$6:$A$505,"&lt;"&amp;A1068,Оплаты!$D$6:$D$505,"&lt;&gt;"))</f>
        <v/>
      </c>
      <c r="E1068" t="str">
        <f>IF(A1068="","",IF(SUMPRODUCT((Ввод!$F$12:$F$31&lt;&gt;"")*(Ввод!$F$12:$F$31&lt;=A1068)*(Ввод!$G$12:$G$31&gt;=A1068))&gt;0,1,0))</f>
        <v/>
      </c>
      <c r="G1068" t="str">
        <f t="shared" si="33"/>
        <v/>
      </c>
    </row>
    <row r="1069" spans="1:7" x14ac:dyDescent="0.3">
      <c r="A1069" s="21" t="str">
        <f>IF(A1068="","",IF(A1068+1&gt;Ввод!$B$4,"",A1068+1))</f>
        <v/>
      </c>
      <c r="B1069" s="23" t="str">
        <f>IF(A1069="","",IFERROR(INDEX(Ввод!$B$12:$B$71,MATCH(A1069,Ввод!$D$12:$D$71,1)),""))</f>
        <v/>
      </c>
      <c r="C1069" t="str">
        <f t="shared" si="32"/>
        <v/>
      </c>
      <c r="D1069" t="str">
        <f>IF(A1069="","",SUMIFS(Акты!$D$5:$D$16,Акты!$E$5:$E$16,"&lt;="&amp;A1069)-SUMIFS(Оплаты!$B$6:$B$505,Оплаты!$A$6:$A$505,"&lt;"&amp;A1069,Оплаты!$D$6:$D$505,"&lt;&gt;"))</f>
        <v/>
      </c>
      <c r="E1069" t="str">
        <f>IF(A1069="","",IF(SUMPRODUCT((Ввод!$F$12:$F$31&lt;&gt;"")*(Ввод!$F$12:$F$31&lt;=A1069)*(Ввод!$G$12:$G$31&gt;=A1069))&gt;0,1,0))</f>
        <v/>
      </c>
      <c r="G1069" t="str">
        <f t="shared" si="33"/>
        <v/>
      </c>
    </row>
    <row r="1070" spans="1:7" x14ac:dyDescent="0.3">
      <c r="A1070" s="21" t="str">
        <f>IF(A1069="","",IF(A1069+1&gt;Ввод!$B$4,"",A1069+1))</f>
        <v/>
      </c>
      <c r="B1070" s="23" t="str">
        <f>IF(A1070="","",IFERROR(INDEX(Ввод!$B$12:$B$71,MATCH(A1070,Ввод!$D$12:$D$71,1)),""))</f>
        <v/>
      </c>
      <c r="C1070" t="str">
        <f t="shared" si="32"/>
        <v/>
      </c>
      <c r="D1070" t="str">
        <f>IF(A1070="","",SUMIFS(Акты!$D$5:$D$16,Акты!$E$5:$E$16,"&lt;="&amp;A1070)-SUMIFS(Оплаты!$B$6:$B$505,Оплаты!$A$6:$A$505,"&lt;"&amp;A1070,Оплаты!$D$6:$D$505,"&lt;&gt;"))</f>
        <v/>
      </c>
      <c r="E1070" t="str">
        <f>IF(A1070="","",IF(SUMPRODUCT((Ввод!$F$12:$F$31&lt;&gt;"")*(Ввод!$F$12:$F$31&lt;=A1070)*(Ввод!$G$12:$G$31&gt;=A1070))&gt;0,1,0))</f>
        <v/>
      </c>
      <c r="G1070" t="str">
        <f t="shared" si="33"/>
        <v/>
      </c>
    </row>
    <row r="1071" spans="1:7" x14ac:dyDescent="0.3">
      <c r="A1071" s="21" t="str">
        <f>IF(A1070="","",IF(A1070+1&gt;Ввод!$B$4,"",A1070+1))</f>
        <v/>
      </c>
      <c r="B1071" s="23" t="str">
        <f>IF(A1071="","",IFERROR(INDEX(Ввод!$B$12:$B$71,MATCH(A1071,Ввод!$D$12:$D$71,1)),""))</f>
        <v/>
      </c>
      <c r="C1071" t="str">
        <f t="shared" si="32"/>
        <v/>
      </c>
      <c r="D1071" t="str">
        <f>IF(A1071="","",SUMIFS(Акты!$D$5:$D$16,Акты!$E$5:$E$16,"&lt;="&amp;A1071)-SUMIFS(Оплаты!$B$6:$B$505,Оплаты!$A$6:$A$505,"&lt;"&amp;A1071,Оплаты!$D$6:$D$505,"&lt;&gt;"))</f>
        <v/>
      </c>
      <c r="E1071" t="str">
        <f>IF(A1071="","",IF(SUMPRODUCT((Ввод!$F$12:$F$31&lt;&gt;"")*(Ввод!$F$12:$F$31&lt;=A1071)*(Ввод!$G$12:$G$31&gt;=A1071))&gt;0,1,0))</f>
        <v/>
      </c>
      <c r="G1071" t="str">
        <f t="shared" si="33"/>
        <v/>
      </c>
    </row>
    <row r="1072" spans="1:7" x14ac:dyDescent="0.3">
      <c r="A1072" s="21" t="str">
        <f>IF(A1071="","",IF(A1071+1&gt;Ввод!$B$4,"",A1071+1))</f>
        <v/>
      </c>
      <c r="B1072" s="23" t="str">
        <f>IF(A1072="","",IFERROR(INDEX(Ввод!$B$12:$B$71,MATCH(A1072,Ввод!$D$12:$D$71,1)),""))</f>
        <v/>
      </c>
      <c r="C1072" t="str">
        <f t="shared" si="32"/>
        <v/>
      </c>
      <c r="D1072" t="str">
        <f>IF(A1072="","",SUMIFS(Акты!$D$5:$D$16,Акты!$E$5:$E$16,"&lt;="&amp;A1072)-SUMIFS(Оплаты!$B$6:$B$505,Оплаты!$A$6:$A$505,"&lt;"&amp;A1072,Оплаты!$D$6:$D$505,"&lt;&gt;"))</f>
        <v/>
      </c>
      <c r="E1072" t="str">
        <f>IF(A1072="","",IF(SUMPRODUCT((Ввод!$F$12:$F$31&lt;&gt;"")*(Ввод!$F$12:$F$31&lt;=A1072)*(Ввод!$G$12:$G$31&gt;=A1072))&gt;0,1,0))</f>
        <v/>
      </c>
      <c r="G1072" t="str">
        <f t="shared" si="33"/>
        <v/>
      </c>
    </row>
    <row r="1073" spans="1:7" x14ac:dyDescent="0.3">
      <c r="A1073" s="21" t="str">
        <f>IF(A1072="","",IF(A1072+1&gt;Ввод!$B$4,"",A1072+1))</f>
        <v/>
      </c>
      <c r="B1073" s="23" t="str">
        <f>IF(A1073="","",IFERROR(INDEX(Ввод!$B$12:$B$71,MATCH(A1073,Ввод!$D$12:$D$71,1)),""))</f>
        <v/>
      </c>
      <c r="C1073" t="str">
        <f t="shared" si="32"/>
        <v/>
      </c>
      <c r="D1073" t="str">
        <f>IF(A1073="","",SUMIFS(Акты!$D$5:$D$16,Акты!$E$5:$E$16,"&lt;="&amp;A1073)-SUMIFS(Оплаты!$B$6:$B$505,Оплаты!$A$6:$A$505,"&lt;"&amp;A1073,Оплаты!$D$6:$D$505,"&lt;&gt;"))</f>
        <v/>
      </c>
      <c r="E1073" t="str">
        <f>IF(A1073="","",IF(SUMPRODUCT((Ввод!$F$12:$F$31&lt;&gt;"")*(Ввод!$F$12:$F$31&lt;=A1073)*(Ввод!$G$12:$G$31&gt;=A1073))&gt;0,1,0))</f>
        <v/>
      </c>
      <c r="G1073" t="str">
        <f t="shared" si="33"/>
        <v/>
      </c>
    </row>
    <row r="1074" spans="1:7" x14ac:dyDescent="0.3">
      <c r="A1074" s="21" t="str">
        <f>IF(A1073="","",IF(A1073+1&gt;Ввод!$B$4,"",A1073+1))</f>
        <v/>
      </c>
      <c r="B1074" s="23" t="str">
        <f>IF(A1074="","",IFERROR(INDEX(Ввод!$B$12:$B$71,MATCH(A1074,Ввод!$D$12:$D$71,1)),""))</f>
        <v/>
      </c>
      <c r="C1074" t="str">
        <f t="shared" si="32"/>
        <v/>
      </c>
      <c r="D1074" t="str">
        <f>IF(A1074="","",SUMIFS(Акты!$D$5:$D$16,Акты!$E$5:$E$16,"&lt;="&amp;A1074)-SUMIFS(Оплаты!$B$6:$B$505,Оплаты!$A$6:$A$505,"&lt;"&amp;A1074,Оплаты!$D$6:$D$505,"&lt;&gt;"))</f>
        <v/>
      </c>
      <c r="E1074" t="str">
        <f>IF(A1074="","",IF(SUMPRODUCT((Ввод!$F$12:$F$31&lt;&gt;"")*(Ввод!$F$12:$F$31&lt;=A1074)*(Ввод!$G$12:$G$31&gt;=A1074))&gt;0,1,0))</f>
        <v/>
      </c>
      <c r="G1074" t="str">
        <f t="shared" si="33"/>
        <v/>
      </c>
    </row>
    <row r="1075" spans="1:7" x14ac:dyDescent="0.3">
      <c r="A1075" s="21" t="str">
        <f>IF(A1074="","",IF(A1074+1&gt;Ввод!$B$4,"",A1074+1))</f>
        <v/>
      </c>
      <c r="B1075" s="23" t="str">
        <f>IF(A1075="","",IFERROR(INDEX(Ввод!$B$12:$B$71,MATCH(A1075,Ввод!$D$12:$D$71,1)),""))</f>
        <v/>
      </c>
      <c r="C1075" t="str">
        <f t="shared" si="32"/>
        <v/>
      </c>
      <c r="D1075" t="str">
        <f>IF(A1075="","",SUMIFS(Акты!$D$5:$D$16,Акты!$E$5:$E$16,"&lt;="&amp;A1075)-SUMIFS(Оплаты!$B$6:$B$505,Оплаты!$A$6:$A$505,"&lt;"&amp;A1075,Оплаты!$D$6:$D$505,"&lt;&gt;"))</f>
        <v/>
      </c>
      <c r="E1075" t="str">
        <f>IF(A1075="","",IF(SUMPRODUCT((Ввод!$F$12:$F$31&lt;&gt;"")*(Ввод!$F$12:$F$31&lt;=A1075)*(Ввод!$G$12:$G$31&gt;=A1075))&gt;0,1,0))</f>
        <v/>
      </c>
      <c r="G1075" t="str">
        <f t="shared" si="33"/>
        <v/>
      </c>
    </row>
    <row r="1076" spans="1:7" x14ac:dyDescent="0.3">
      <c r="A1076" s="21" t="str">
        <f>IF(A1075="","",IF(A1075+1&gt;Ввод!$B$4,"",A1075+1))</f>
        <v/>
      </c>
      <c r="B1076" s="23" t="str">
        <f>IF(A1076="","",IFERROR(INDEX(Ввод!$B$12:$B$71,MATCH(A1076,Ввод!$D$12:$D$71,1)),""))</f>
        <v/>
      </c>
      <c r="C1076" t="str">
        <f t="shared" si="32"/>
        <v/>
      </c>
      <c r="D1076" t="str">
        <f>IF(A1076="","",SUMIFS(Акты!$D$5:$D$16,Акты!$E$5:$E$16,"&lt;="&amp;A1076)-SUMIFS(Оплаты!$B$6:$B$505,Оплаты!$A$6:$A$505,"&lt;"&amp;A1076,Оплаты!$D$6:$D$505,"&lt;&gt;"))</f>
        <v/>
      </c>
      <c r="E1076" t="str">
        <f>IF(A1076="","",IF(SUMPRODUCT((Ввод!$F$12:$F$31&lt;&gt;"")*(Ввод!$F$12:$F$31&lt;=A1076)*(Ввод!$G$12:$G$31&gt;=A1076))&gt;0,1,0))</f>
        <v/>
      </c>
      <c r="G1076" t="str">
        <f t="shared" si="33"/>
        <v/>
      </c>
    </row>
    <row r="1077" spans="1:7" x14ac:dyDescent="0.3">
      <c r="A1077" s="21" t="str">
        <f>IF(A1076="","",IF(A1076+1&gt;Ввод!$B$4,"",A1076+1))</f>
        <v/>
      </c>
      <c r="B1077" s="23" t="str">
        <f>IF(A1077="","",IFERROR(INDEX(Ввод!$B$12:$B$71,MATCH(A1077,Ввод!$D$12:$D$71,1)),""))</f>
        <v/>
      </c>
      <c r="C1077" t="str">
        <f t="shared" si="32"/>
        <v/>
      </c>
      <c r="D1077" t="str">
        <f>IF(A1077="","",SUMIFS(Акты!$D$5:$D$16,Акты!$E$5:$E$16,"&lt;="&amp;A1077)-SUMIFS(Оплаты!$B$6:$B$505,Оплаты!$A$6:$A$505,"&lt;"&amp;A1077,Оплаты!$D$6:$D$505,"&lt;&gt;"))</f>
        <v/>
      </c>
      <c r="E1077" t="str">
        <f>IF(A1077="","",IF(SUMPRODUCT((Ввод!$F$12:$F$31&lt;&gt;"")*(Ввод!$F$12:$F$31&lt;=A1077)*(Ввод!$G$12:$G$31&gt;=A1077))&gt;0,1,0))</f>
        <v/>
      </c>
      <c r="G1077" t="str">
        <f t="shared" si="33"/>
        <v/>
      </c>
    </row>
    <row r="1078" spans="1:7" x14ac:dyDescent="0.3">
      <c r="A1078" s="21" t="str">
        <f>IF(A1077="","",IF(A1077+1&gt;Ввод!$B$4,"",A1077+1))</f>
        <v/>
      </c>
      <c r="B1078" s="23" t="str">
        <f>IF(A1078="","",IFERROR(INDEX(Ввод!$B$12:$B$71,MATCH(A1078,Ввод!$D$12:$D$71,1)),""))</f>
        <v/>
      </c>
      <c r="C1078" t="str">
        <f t="shared" si="32"/>
        <v/>
      </c>
      <c r="D1078" t="str">
        <f>IF(A1078="","",SUMIFS(Акты!$D$5:$D$16,Акты!$E$5:$E$16,"&lt;="&amp;A1078)-SUMIFS(Оплаты!$B$6:$B$505,Оплаты!$A$6:$A$505,"&lt;"&amp;A1078,Оплаты!$D$6:$D$505,"&lt;&gt;"))</f>
        <v/>
      </c>
      <c r="E1078" t="str">
        <f>IF(A1078="","",IF(SUMPRODUCT((Ввод!$F$12:$F$31&lt;&gt;"")*(Ввод!$F$12:$F$31&lt;=A1078)*(Ввод!$G$12:$G$31&gt;=A1078))&gt;0,1,0))</f>
        <v/>
      </c>
      <c r="G1078" t="str">
        <f t="shared" si="33"/>
        <v/>
      </c>
    </row>
    <row r="1079" spans="1:7" x14ac:dyDescent="0.3">
      <c r="A1079" s="21" t="str">
        <f>IF(A1078="","",IF(A1078+1&gt;Ввод!$B$4,"",A1078+1))</f>
        <v/>
      </c>
      <c r="B1079" s="23" t="str">
        <f>IF(A1079="","",IFERROR(INDEX(Ввод!$B$12:$B$71,MATCH(A1079,Ввод!$D$12:$D$71,1)),""))</f>
        <v/>
      </c>
      <c r="C1079" t="str">
        <f t="shared" si="32"/>
        <v/>
      </c>
      <c r="D1079" t="str">
        <f>IF(A1079="","",SUMIFS(Акты!$D$5:$D$16,Акты!$E$5:$E$16,"&lt;="&amp;A1079)-SUMIFS(Оплаты!$B$6:$B$505,Оплаты!$A$6:$A$505,"&lt;"&amp;A1079,Оплаты!$D$6:$D$505,"&lt;&gt;"))</f>
        <v/>
      </c>
      <c r="E1079" t="str">
        <f>IF(A1079="","",IF(SUMPRODUCT((Ввод!$F$12:$F$31&lt;&gt;"")*(Ввод!$F$12:$F$31&lt;=A1079)*(Ввод!$G$12:$G$31&gt;=A1079))&gt;0,1,0))</f>
        <v/>
      </c>
      <c r="G1079" t="str">
        <f t="shared" si="33"/>
        <v/>
      </c>
    </row>
    <row r="1080" spans="1:7" x14ac:dyDescent="0.3">
      <c r="A1080" s="21" t="str">
        <f>IF(A1079="","",IF(A1079+1&gt;Ввод!$B$4,"",A1079+1))</f>
        <v/>
      </c>
      <c r="B1080" s="23" t="str">
        <f>IF(A1080="","",IFERROR(INDEX(Ввод!$B$12:$B$71,MATCH(A1080,Ввод!$D$12:$D$71,1)),""))</f>
        <v/>
      </c>
      <c r="C1080" t="str">
        <f t="shared" si="32"/>
        <v/>
      </c>
      <c r="D1080" t="str">
        <f>IF(A1080="","",SUMIFS(Акты!$D$5:$D$16,Акты!$E$5:$E$16,"&lt;="&amp;A1080)-SUMIFS(Оплаты!$B$6:$B$505,Оплаты!$A$6:$A$505,"&lt;"&amp;A1080,Оплаты!$D$6:$D$505,"&lt;&gt;"))</f>
        <v/>
      </c>
      <c r="E1080" t="str">
        <f>IF(A1080="","",IF(SUMPRODUCT((Ввод!$F$12:$F$31&lt;&gt;"")*(Ввод!$F$12:$F$31&lt;=A1080)*(Ввод!$G$12:$G$31&gt;=A1080))&gt;0,1,0))</f>
        <v/>
      </c>
      <c r="G1080" t="str">
        <f t="shared" si="33"/>
        <v/>
      </c>
    </row>
    <row r="1081" spans="1:7" x14ac:dyDescent="0.3">
      <c r="A1081" s="21" t="str">
        <f>IF(A1080="","",IF(A1080+1&gt;Ввод!$B$4,"",A1080+1))</f>
        <v/>
      </c>
      <c r="B1081" s="23" t="str">
        <f>IF(A1081="","",IFERROR(INDEX(Ввод!$B$12:$B$71,MATCH(A1081,Ввод!$D$12:$D$71,1)),""))</f>
        <v/>
      </c>
      <c r="C1081" t="str">
        <f t="shared" si="32"/>
        <v/>
      </c>
      <c r="D1081" t="str">
        <f>IF(A1081="","",SUMIFS(Акты!$D$5:$D$16,Акты!$E$5:$E$16,"&lt;="&amp;A1081)-SUMIFS(Оплаты!$B$6:$B$505,Оплаты!$A$6:$A$505,"&lt;"&amp;A1081,Оплаты!$D$6:$D$505,"&lt;&gt;"))</f>
        <v/>
      </c>
      <c r="E1081" t="str">
        <f>IF(A1081="","",IF(SUMPRODUCT((Ввод!$F$12:$F$31&lt;&gt;"")*(Ввод!$F$12:$F$31&lt;=A1081)*(Ввод!$G$12:$G$31&gt;=A1081))&gt;0,1,0))</f>
        <v/>
      </c>
      <c r="G1081" t="str">
        <f t="shared" si="33"/>
        <v/>
      </c>
    </row>
    <row r="1082" spans="1:7" x14ac:dyDescent="0.3">
      <c r="A1082" s="21" t="str">
        <f>IF(A1081="","",IF(A1081+1&gt;Ввод!$B$4,"",A1081+1))</f>
        <v/>
      </c>
      <c r="B1082" s="23" t="str">
        <f>IF(A1082="","",IFERROR(INDEX(Ввод!$B$12:$B$71,MATCH(A1082,Ввод!$D$12:$D$71,1)),""))</f>
        <v/>
      </c>
      <c r="C1082" t="str">
        <f t="shared" si="32"/>
        <v/>
      </c>
      <c r="D1082" t="str">
        <f>IF(A1082="","",SUMIFS(Акты!$D$5:$D$16,Акты!$E$5:$E$16,"&lt;="&amp;A1082)-SUMIFS(Оплаты!$B$6:$B$505,Оплаты!$A$6:$A$505,"&lt;"&amp;A1082,Оплаты!$D$6:$D$505,"&lt;&gt;"))</f>
        <v/>
      </c>
      <c r="E1082" t="str">
        <f>IF(A1082="","",IF(SUMPRODUCT((Ввод!$F$12:$F$31&lt;&gt;"")*(Ввод!$F$12:$F$31&lt;=A1082)*(Ввод!$G$12:$G$31&gt;=A1082))&gt;0,1,0))</f>
        <v/>
      </c>
      <c r="G1082" t="str">
        <f t="shared" si="33"/>
        <v/>
      </c>
    </row>
    <row r="1083" spans="1:7" x14ac:dyDescent="0.3">
      <c r="A1083" s="21" t="str">
        <f>IF(A1082="","",IF(A1082+1&gt;Ввод!$B$4,"",A1082+1))</f>
        <v/>
      </c>
      <c r="B1083" s="23" t="str">
        <f>IF(A1083="","",IFERROR(INDEX(Ввод!$B$12:$B$71,MATCH(A1083,Ввод!$D$12:$D$71,1)),""))</f>
        <v/>
      </c>
      <c r="C1083" t="str">
        <f t="shared" si="32"/>
        <v/>
      </c>
      <c r="D1083" t="str">
        <f>IF(A1083="","",SUMIFS(Акты!$D$5:$D$16,Акты!$E$5:$E$16,"&lt;="&amp;A1083)-SUMIFS(Оплаты!$B$6:$B$505,Оплаты!$A$6:$A$505,"&lt;"&amp;A1083,Оплаты!$D$6:$D$505,"&lt;&gt;"))</f>
        <v/>
      </c>
      <c r="E1083" t="str">
        <f>IF(A1083="","",IF(SUMPRODUCT((Ввод!$F$12:$F$31&lt;&gt;"")*(Ввод!$F$12:$F$31&lt;=A1083)*(Ввод!$G$12:$G$31&gt;=A1083))&gt;0,1,0))</f>
        <v/>
      </c>
      <c r="G1083" t="str">
        <f t="shared" si="33"/>
        <v/>
      </c>
    </row>
    <row r="1084" spans="1:7" x14ac:dyDescent="0.3">
      <c r="A1084" s="21" t="str">
        <f>IF(A1083="","",IF(A1083+1&gt;Ввод!$B$4,"",A1083+1))</f>
        <v/>
      </c>
      <c r="B1084" s="23" t="str">
        <f>IF(A1084="","",IFERROR(INDEX(Ввод!$B$12:$B$71,MATCH(A1084,Ввод!$D$12:$D$71,1)),""))</f>
        <v/>
      </c>
      <c r="C1084" t="str">
        <f t="shared" si="32"/>
        <v/>
      </c>
      <c r="D1084" t="str">
        <f>IF(A1084="","",SUMIFS(Акты!$D$5:$D$16,Акты!$E$5:$E$16,"&lt;="&amp;A1084)-SUMIFS(Оплаты!$B$6:$B$505,Оплаты!$A$6:$A$505,"&lt;"&amp;A1084,Оплаты!$D$6:$D$505,"&lt;&gt;"))</f>
        <v/>
      </c>
      <c r="E1084" t="str">
        <f>IF(A1084="","",IF(SUMPRODUCT((Ввод!$F$12:$F$31&lt;&gt;"")*(Ввод!$F$12:$F$31&lt;=A1084)*(Ввод!$G$12:$G$31&gt;=A1084))&gt;0,1,0))</f>
        <v/>
      </c>
      <c r="G1084" t="str">
        <f t="shared" si="33"/>
        <v/>
      </c>
    </row>
    <row r="1085" spans="1:7" x14ac:dyDescent="0.3">
      <c r="A1085" s="21" t="str">
        <f>IF(A1084="","",IF(A1084+1&gt;Ввод!$B$4,"",A1084+1))</f>
        <v/>
      </c>
      <c r="B1085" s="23" t="str">
        <f>IF(A1085="","",IFERROR(INDEX(Ввод!$B$12:$B$71,MATCH(A1085,Ввод!$D$12:$D$71,1)),""))</f>
        <v/>
      </c>
      <c r="C1085" t="str">
        <f t="shared" si="32"/>
        <v/>
      </c>
      <c r="D1085" t="str">
        <f>IF(A1085="","",SUMIFS(Акты!$D$5:$D$16,Акты!$E$5:$E$16,"&lt;="&amp;A1085)-SUMIFS(Оплаты!$B$6:$B$505,Оплаты!$A$6:$A$505,"&lt;"&amp;A1085,Оплаты!$D$6:$D$505,"&lt;&gt;"))</f>
        <v/>
      </c>
      <c r="E1085" t="str">
        <f>IF(A1085="","",IF(SUMPRODUCT((Ввод!$F$12:$F$31&lt;&gt;"")*(Ввод!$F$12:$F$31&lt;=A1085)*(Ввод!$G$12:$G$31&gt;=A1085))&gt;0,1,0))</f>
        <v/>
      </c>
      <c r="G1085" t="str">
        <f t="shared" si="33"/>
        <v/>
      </c>
    </row>
    <row r="1086" spans="1:7" x14ac:dyDescent="0.3">
      <c r="A1086" s="21" t="str">
        <f>IF(A1085="","",IF(A1085+1&gt;Ввод!$B$4,"",A1085+1))</f>
        <v/>
      </c>
      <c r="B1086" s="23" t="str">
        <f>IF(A1086="","",IFERROR(INDEX(Ввод!$B$12:$B$71,MATCH(A1086,Ввод!$D$12:$D$71,1)),""))</f>
        <v/>
      </c>
      <c r="C1086" t="str">
        <f t="shared" si="32"/>
        <v/>
      </c>
      <c r="D1086" t="str">
        <f>IF(A1086="","",SUMIFS(Акты!$D$5:$D$16,Акты!$E$5:$E$16,"&lt;="&amp;A1086)-SUMIFS(Оплаты!$B$6:$B$505,Оплаты!$A$6:$A$505,"&lt;"&amp;A1086,Оплаты!$D$6:$D$505,"&lt;&gt;"))</f>
        <v/>
      </c>
      <c r="E1086" t="str">
        <f>IF(A1086="","",IF(SUMPRODUCT((Ввод!$F$12:$F$31&lt;&gt;"")*(Ввод!$F$12:$F$31&lt;=A1086)*(Ввод!$G$12:$G$31&gt;=A1086))&gt;0,1,0))</f>
        <v/>
      </c>
      <c r="G1086" t="str">
        <f t="shared" si="33"/>
        <v/>
      </c>
    </row>
    <row r="1087" spans="1:7" x14ac:dyDescent="0.3">
      <c r="A1087" s="21" t="str">
        <f>IF(A1086="","",IF(A1086+1&gt;Ввод!$B$4,"",A1086+1))</f>
        <v/>
      </c>
      <c r="B1087" s="23" t="str">
        <f>IF(A1087="","",IFERROR(INDEX(Ввод!$B$12:$B$71,MATCH(A1087,Ввод!$D$12:$D$71,1)),""))</f>
        <v/>
      </c>
      <c r="C1087" t="str">
        <f t="shared" si="32"/>
        <v/>
      </c>
      <c r="D1087" t="str">
        <f>IF(A1087="","",SUMIFS(Акты!$D$5:$D$16,Акты!$E$5:$E$16,"&lt;="&amp;A1087)-SUMIFS(Оплаты!$B$6:$B$505,Оплаты!$A$6:$A$505,"&lt;"&amp;A1087,Оплаты!$D$6:$D$505,"&lt;&gt;"))</f>
        <v/>
      </c>
      <c r="E1087" t="str">
        <f>IF(A1087="","",IF(SUMPRODUCT((Ввод!$F$12:$F$31&lt;&gt;"")*(Ввод!$F$12:$F$31&lt;=A1087)*(Ввод!$G$12:$G$31&gt;=A1087))&gt;0,1,0))</f>
        <v/>
      </c>
      <c r="G1087" t="str">
        <f t="shared" si="33"/>
        <v/>
      </c>
    </row>
    <row r="1088" spans="1:7" x14ac:dyDescent="0.3">
      <c r="A1088" s="21" t="str">
        <f>IF(A1087="","",IF(A1087+1&gt;Ввод!$B$4,"",A1087+1))</f>
        <v/>
      </c>
      <c r="B1088" s="23" t="str">
        <f>IF(A1088="","",IFERROR(INDEX(Ввод!$B$12:$B$71,MATCH(A1088,Ввод!$D$12:$D$71,1)),""))</f>
        <v/>
      </c>
      <c r="C1088" t="str">
        <f t="shared" si="32"/>
        <v/>
      </c>
      <c r="D1088" t="str">
        <f>IF(A1088="","",SUMIFS(Акты!$D$5:$D$16,Акты!$E$5:$E$16,"&lt;="&amp;A1088)-SUMIFS(Оплаты!$B$6:$B$505,Оплаты!$A$6:$A$505,"&lt;"&amp;A1088,Оплаты!$D$6:$D$505,"&lt;&gt;"))</f>
        <v/>
      </c>
      <c r="E1088" t="str">
        <f>IF(A1088="","",IF(SUMPRODUCT((Ввод!$F$12:$F$31&lt;&gt;"")*(Ввод!$F$12:$F$31&lt;=A1088)*(Ввод!$G$12:$G$31&gt;=A1088))&gt;0,1,0))</f>
        <v/>
      </c>
      <c r="G1088" t="str">
        <f t="shared" si="33"/>
        <v/>
      </c>
    </row>
    <row r="1089" spans="1:7" x14ac:dyDescent="0.3">
      <c r="A1089" s="21" t="str">
        <f>IF(A1088="","",IF(A1088+1&gt;Ввод!$B$4,"",A1088+1))</f>
        <v/>
      </c>
      <c r="B1089" s="23" t="str">
        <f>IF(A1089="","",IFERROR(INDEX(Ввод!$B$12:$B$71,MATCH(A1089,Ввод!$D$12:$D$71,1)),""))</f>
        <v/>
      </c>
      <c r="C1089" t="str">
        <f t="shared" si="32"/>
        <v/>
      </c>
      <c r="D1089" t="str">
        <f>IF(A1089="","",SUMIFS(Акты!$D$5:$D$16,Акты!$E$5:$E$16,"&lt;="&amp;A1089)-SUMIFS(Оплаты!$B$6:$B$505,Оплаты!$A$6:$A$505,"&lt;"&amp;A1089,Оплаты!$D$6:$D$505,"&lt;&gt;"))</f>
        <v/>
      </c>
      <c r="E1089" t="str">
        <f>IF(A1089="","",IF(SUMPRODUCT((Ввод!$F$12:$F$31&lt;&gt;"")*(Ввод!$F$12:$F$31&lt;=A1089)*(Ввод!$G$12:$G$31&gt;=A1089))&gt;0,1,0))</f>
        <v/>
      </c>
      <c r="G1089" t="str">
        <f t="shared" si="33"/>
        <v/>
      </c>
    </row>
    <row r="1090" spans="1:7" x14ac:dyDescent="0.3">
      <c r="A1090" s="21" t="str">
        <f>IF(A1089="","",IF(A1089+1&gt;Ввод!$B$4,"",A1089+1))</f>
        <v/>
      </c>
      <c r="B1090" s="23" t="str">
        <f>IF(A1090="","",IFERROR(INDEX(Ввод!$B$12:$B$71,MATCH(A1090,Ввод!$D$12:$D$71,1)),""))</f>
        <v/>
      </c>
      <c r="C1090" t="str">
        <f t="shared" ref="C1090:C1153" si="34">IF(A1090="","",DATE(YEAR(A1090),12,31)-DATE(YEAR(A1090),1,1)+1)</f>
        <v/>
      </c>
      <c r="D1090" t="str">
        <f>IF(A1090="","",SUMIFS(Акты!$D$5:$D$16,Акты!$E$5:$E$16,"&lt;="&amp;A1090)-SUMIFS(Оплаты!$B$6:$B$505,Оплаты!$A$6:$A$505,"&lt;"&amp;A1090,Оплаты!$D$6:$D$505,"&lt;&gt;"))</f>
        <v/>
      </c>
      <c r="E1090" t="str">
        <f>IF(A1090="","",IF(SUMPRODUCT((Ввод!$F$12:$F$31&lt;&gt;"")*(Ввод!$F$12:$F$31&lt;=A1090)*(Ввод!$G$12:$G$31&gt;=A1090))&gt;0,1,0))</f>
        <v/>
      </c>
      <c r="G1090" t="str">
        <f t="shared" si="33"/>
        <v/>
      </c>
    </row>
    <row r="1091" spans="1:7" x14ac:dyDescent="0.3">
      <c r="A1091" s="21" t="str">
        <f>IF(A1090="","",IF(A1090+1&gt;Ввод!$B$4,"",A1090+1))</f>
        <v/>
      </c>
      <c r="B1091" s="23" t="str">
        <f>IF(A1091="","",IFERROR(INDEX(Ввод!$B$12:$B$71,MATCH(A1091,Ввод!$D$12:$D$71,1)),""))</f>
        <v/>
      </c>
      <c r="C1091" t="str">
        <f t="shared" si="34"/>
        <v/>
      </c>
      <c r="D1091" t="str">
        <f>IF(A1091="","",SUMIFS(Акты!$D$5:$D$16,Акты!$E$5:$E$16,"&lt;="&amp;A1091)-SUMIFS(Оплаты!$B$6:$B$505,Оплаты!$A$6:$A$505,"&lt;"&amp;A1091,Оплаты!$D$6:$D$505,"&lt;&gt;"))</f>
        <v/>
      </c>
      <c r="E1091" t="str">
        <f>IF(A1091="","",IF(SUMPRODUCT((Ввод!$F$12:$F$31&lt;&gt;"")*(Ввод!$F$12:$F$31&lt;=A1091)*(Ввод!$G$12:$G$31&gt;=A1091))&gt;0,1,0))</f>
        <v/>
      </c>
      <c r="G1091" t="str">
        <f t="shared" ref="G1091:G1154" si="35">IF(A1091="","",IF(OR(B1091&lt;&gt;B1090,C1091&lt;&gt;C1090,E1091&lt;&gt;E1090),G1090+1,G1090))</f>
        <v/>
      </c>
    </row>
    <row r="1092" spans="1:7" x14ac:dyDescent="0.3">
      <c r="A1092" s="21" t="str">
        <f>IF(A1091="","",IF(A1091+1&gt;Ввод!$B$4,"",A1091+1))</f>
        <v/>
      </c>
      <c r="B1092" s="23" t="str">
        <f>IF(A1092="","",IFERROR(INDEX(Ввод!$B$12:$B$71,MATCH(A1092,Ввод!$D$12:$D$71,1)),""))</f>
        <v/>
      </c>
      <c r="C1092" t="str">
        <f t="shared" si="34"/>
        <v/>
      </c>
      <c r="D1092" t="str">
        <f>IF(A1092="","",SUMIFS(Акты!$D$5:$D$16,Акты!$E$5:$E$16,"&lt;="&amp;A1092)-SUMIFS(Оплаты!$B$6:$B$505,Оплаты!$A$6:$A$505,"&lt;"&amp;A1092,Оплаты!$D$6:$D$505,"&lt;&gt;"))</f>
        <v/>
      </c>
      <c r="E1092" t="str">
        <f>IF(A1092="","",IF(SUMPRODUCT((Ввод!$F$12:$F$31&lt;&gt;"")*(Ввод!$F$12:$F$31&lt;=A1092)*(Ввод!$G$12:$G$31&gt;=A1092))&gt;0,1,0))</f>
        <v/>
      </c>
      <c r="G1092" t="str">
        <f t="shared" si="35"/>
        <v/>
      </c>
    </row>
    <row r="1093" spans="1:7" x14ac:dyDescent="0.3">
      <c r="A1093" s="21" t="str">
        <f>IF(A1092="","",IF(A1092+1&gt;Ввод!$B$4,"",A1092+1))</f>
        <v/>
      </c>
      <c r="B1093" s="23" t="str">
        <f>IF(A1093="","",IFERROR(INDEX(Ввод!$B$12:$B$71,MATCH(A1093,Ввод!$D$12:$D$71,1)),""))</f>
        <v/>
      </c>
      <c r="C1093" t="str">
        <f t="shared" si="34"/>
        <v/>
      </c>
      <c r="D1093" t="str">
        <f>IF(A1093="","",SUMIFS(Акты!$D$5:$D$16,Акты!$E$5:$E$16,"&lt;="&amp;A1093)-SUMIFS(Оплаты!$B$6:$B$505,Оплаты!$A$6:$A$505,"&lt;"&amp;A1093,Оплаты!$D$6:$D$505,"&lt;&gt;"))</f>
        <v/>
      </c>
      <c r="E1093" t="str">
        <f>IF(A1093="","",IF(SUMPRODUCT((Ввод!$F$12:$F$31&lt;&gt;"")*(Ввод!$F$12:$F$31&lt;=A1093)*(Ввод!$G$12:$G$31&gt;=A1093))&gt;0,1,0))</f>
        <v/>
      </c>
      <c r="G1093" t="str">
        <f t="shared" si="35"/>
        <v/>
      </c>
    </row>
    <row r="1094" spans="1:7" x14ac:dyDescent="0.3">
      <c r="A1094" s="21" t="str">
        <f>IF(A1093="","",IF(A1093+1&gt;Ввод!$B$4,"",A1093+1))</f>
        <v/>
      </c>
      <c r="B1094" s="23" t="str">
        <f>IF(A1094="","",IFERROR(INDEX(Ввод!$B$12:$B$71,MATCH(A1094,Ввод!$D$12:$D$71,1)),""))</f>
        <v/>
      </c>
      <c r="C1094" t="str">
        <f t="shared" si="34"/>
        <v/>
      </c>
      <c r="D1094" t="str">
        <f>IF(A1094="","",SUMIFS(Акты!$D$5:$D$16,Акты!$E$5:$E$16,"&lt;="&amp;A1094)-SUMIFS(Оплаты!$B$6:$B$505,Оплаты!$A$6:$A$505,"&lt;"&amp;A1094,Оплаты!$D$6:$D$505,"&lt;&gt;"))</f>
        <v/>
      </c>
      <c r="E1094" t="str">
        <f>IF(A1094="","",IF(SUMPRODUCT((Ввод!$F$12:$F$31&lt;&gt;"")*(Ввод!$F$12:$F$31&lt;=A1094)*(Ввод!$G$12:$G$31&gt;=A1094))&gt;0,1,0))</f>
        <v/>
      </c>
      <c r="G1094" t="str">
        <f t="shared" si="35"/>
        <v/>
      </c>
    </row>
    <row r="1095" spans="1:7" x14ac:dyDescent="0.3">
      <c r="A1095" s="21" t="str">
        <f>IF(A1094="","",IF(A1094+1&gt;Ввод!$B$4,"",A1094+1))</f>
        <v/>
      </c>
      <c r="B1095" s="23" t="str">
        <f>IF(A1095="","",IFERROR(INDEX(Ввод!$B$12:$B$71,MATCH(A1095,Ввод!$D$12:$D$71,1)),""))</f>
        <v/>
      </c>
      <c r="C1095" t="str">
        <f t="shared" si="34"/>
        <v/>
      </c>
      <c r="D1095" t="str">
        <f>IF(A1095="","",SUMIFS(Акты!$D$5:$D$16,Акты!$E$5:$E$16,"&lt;="&amp;A1095)-SUMIFS(Оплаты!$B$6:$B$505,Оплаты!$A$6:$A$505,"&lt;"&amp;A1095,Оплаты!$D$6:$D$505,"&lt;&gt;"))</f>
        <v/>
      </c>
      <c r="E1095" t="str">
        <f>IF(A1095="","",IF(SUMPRODUCT((Ввод!$F$12:$F$31&lt;&gt;"")*(Ввод!$F$12:$F$31&lt;=A1095)*(Ввод!$G$12:$G$31&gt;=A1095))&gt;0,1,0))</f>
        <v/>
      </c>
      <c r="G1095" t="str">
        <f t="shared" si="35"/>
        <v/>
      </c>
    </row>
    <row r="1096" spans="1:7" x14ac:dyDescent="0.3">
      <c r="A1096" s="21" t="str">
        <f>IF(A1095="","",IF(A1095+1&gt;Ввод!$B$4,"",A1095+1))</f>
        <v/>
      </c>
      <c r="B1096" s="23" t="str">
        <f>IF(A1096="","",IFERROR(INDEX(Ввод!$B$12:$B$71,MATCH(A1096,Ввод!$D$12:$D$71,1)),""))</f>
        <v/>
      </c>
      <c r="C1096" t="str">
        <f t="shared" si="34"/>
        <v/>
      </c>
      <c r="D1096" t="str">
        <f>IF(A1096="","",SUMIFS(Акты!$D$5:$D$16,Акты!$E$5:$E$16,"&lt;="&amp;A1096)-SUMIFS(Оплаты!$B$6:$B$505,Оплаты!$A$6:$A$505,"&lt;"&amp;A1096,Оплаты!$D$6:$D$505,"&lt;&gt;"))</f>
        <v/>
      </c>
      <c r="E1096" t="str">
        <f>IF(A1096="","",IF(SUMPRODUCT((Ввод!$F$12:$F$31&lt;&gt;"")*(Ввод!$F$12:$F$31&lt;=A1096)*(Ввод!$G$12:$G$31&gt;=A1096))&gt;0,1,0))</f>
        <v/>
      </c>
      <c r="G1096" t="str">
        <f t="shared" si="35"/>
        <v/>
      </c>
    </row>
    <row r="1097" spans="1:7" x14ac:dyDescent="0.3">
      <c r="A1097" s="21" t="str">
        <f>IF(A1096="","",IF(A1096+1&gt;Ввод!$B$4,"",A1096+1))</f>
        <v/>
      </c>
      <c r="B1097" s="23" t="str">
        <f>IF(A1097="","",IFERROR(INDEX(Ввод!$B$12:$B$71,MATCH(A1097,Ввод!$D$12:$D$71,1)),""))</f>
        <v/>
      </c>
      <c r="C1097" t="str">
        <f t="shared" si="34"/>
        <v/>
      </c>
      <c r="D1097" t="str">
        <f>IF(A1097="","",SUMIFS(Акты!$D$5:$D$16,Акты!$E$5:$E$16,"&lt;="&amp;A1097)-SUMIFS(Оплаты!$B$6:$B$505,Оплаты!$A$6:$A$505,"&lt;"&amp;A1097,Оплаты!$D$6:$D$505,"&lt;&gt;"))</f>
        <v/>
      </c>
      <c r="E1097" t="str">
        <f>IF(A1097="","",IF(SUMPRODUCT((Ввод!$F$12:$F$31&lt;&gt;"")*(Ввод!$F$12:$F$31&lt;=A1097)*(Ввод!$G$12:$G$31&gt;=A1097))&gt;0,1,0))</f>
        <v/>
      </c>
      <c r="G1097" t="str">
        <f t="shared" si="35"/>
        <v/>
      </c>
    </row>
    <row r="1098" spans="1:7" x14ac:dyDescent="0.3">
      <c r="A1098" s="21" t="str">
        <f>IF(A1097="","",IF(A1097+1&gt;Ввод!$B$4,"",A1097+1))</f>
        <v/>
      </c>
      <c r="B1098" s="23" t="str">
        <f>IF(A1098="","",IFERROR(INDEX(Ввод!$B$12:$B$71,MATCH(A1098,Ввод!$D$12:$D$71,1)),""))</f>
        <v/>
      </c>
      <c r="C1098" t="str">
        <f t="shared" si="34"/>
        <v/>
      </c>
      <c r="D1098" t="str">
        <f>IF(A1098="","",SUMIFS(Акты!$D$5:$D$16,Акты!$E$5:$E$16,"&lt;="&amp;A1098)-SUMIFS(Оплаты!$B$6:$B$505,Оплаты!$A$6:$A$505,"&lt;"&amp;A1098,Оплаты!$D$6:$D$505,"&lt;&gt;"))</f>
        <v/>
      </c>
      <c r="E1098" t="str">
        <f>IF(A1098="","",IF(SUMPRODUCT((Ввод!$F$12:$F$31&lt;&gt;"")*(Ввод!$F$12:$F$31&lt;=A1098)*(Ввод!$G$12:$G$31&gt;=A1098))&gt;0,1,0))</f>
        <v/>
      </c>
      <c r="G1098" t="str">
        <f t="shared" si="35"/>
        <v/>
      </c>
    </row>
    <row r="1099" spans="1:7" x14ac:dyDescent="0.3">
      <c r="A1099" s="21" t="str">
        <f>IF(A1098="","",IF(A1098+1&gt;Ввод!$B$4,"",A1098+1))</f>
        <v/>
      </c>
      <c r="B1099" s="23" t="str">
        <f>IF(A1099="","",IFERROR(INDEX(Ввод!$B$12:$B$71,MATCH(A1099,Ввод!$D$12:$D$71,1)),""))</f>
        <v/>
      </c>
      <c r="C1099" t="str">
        <f t="shared" si="34"/>
        <v/>
      </c>
      <c r="D1099" t="str">
        <f>IF(A1099="","",SUMIFS(Акты!$D$5:$D$16,Акты!$E$5:$E$16,"&lt;="&amp;A1099)-SUMIFS(Оплаты!$B$6:$B$505,Оплаты!$A$6:$A$505,"&lt;"&amp;A1099,Оплаты!$D$6:$D$505,"&lt;&gt;"))</f>
        <v/>
      </c>
      <c r="E1099" t="str">
        <f>IF(A1099="","",IF(SUMPRODUCT((Ввод!$F$12:$F$31&lt;&gt;"")*(Ввод!$F$12:$F$31&lt;=A1099)*(Ввод!$G$12:$G$31&gt;=A1099))&gt;0,1,0))</f>
        <v/>
      </c>
      <c r="G1099" t="str">
        <f t="shared" si="35"/>
        <v/>
      </c>
    </row>
    <row r="1100" spans="1:7" x14ac:dyDescent="0.3">
      <c r="A1100" s="21" t="str">
        <f>IF(A1099="","",IF(A1099+1&gt;Ввод!$B$4,"",A1099+1))</f>
        <v/>
      </c>
      <c r="B1100" s="23" t="str">
        <f>IF(A1100="","",IFERROR(INDEX(Ввод!$B$12:$B$71,MATCH(A1100,Ввод!$D$12:$D$71,1)),""))</f>
        <v/>
      </c>
      <c r="C1100" t="str">
        <f t="shared" si="34"/>
        <v/>
      </c>
      <c r="D1100" t="str">
        <f>IF(A1100="","",SUMIFS(Акты!$D$5:$D$16,Акты!$E$5:$E$16,"&lt;="&amp;A1100)-SUMIFS(Оплаты!$B$6:$B$505,Оплаты!$A$6:$A$505,"&lt;"&amp;A1100,Оплаты!$D$6:$D$505,"&lt;&gt;"))</f>
        <v/>
      </c>
      <c r="E1100" t="str">
        <f>IF(A1100="","",IF(SUMPRODUCT((Ввод!$F$12:$F$31&lt;&gt;"")*(Ввод!$F$12:$F$31&lt;=A1100)*(Ввод!$G$12:$G$31&gt;=A1100))&gt;0,1,0))</f>
        <v/>
      </c>
      <c r="G1100" t="str">
        <f t="shared" si="35"/>
        <v/>
      </c>
    </row>
    <row r="1101" spans="1:7" x14ac:dyDescent="0.3">
      <c r="A1101" s="21" t="str">
        <f>IF(A1100="","",IF(A1100+1&gt;Ввод!$B$4,"",A1100+1))</f>
        <v/>
      </c>
      <c r="B1101" s="23" t="str">
        <f>IF(A1101="","",IFERROR(INDEX(Ввод!$B$12:$B$71,MATCH(A1101,Ввод!$D$12:$D$71,1)),""))</f>
        <v/>
      </c>
      <c r="C1101" t="str">
        <f t="shared" si="34"/>
        <v/>
      </c>
      <c r="D1101" t="str">
        <f>IF(A1101="","",SUMIFS(Акты!$D$5:$D$16,Акты!$E$5:$E$16,"&lt;="&amp;A1101)-SUMIFS(Оплаты!$B$6:$B$505,Оплаты!$A$6:$A$505,"&lt;"&amp;A1101,Оплаты!$D$6:$D$505,"&lt;&gt;"))</f>
        <v/>
      </c>
      <c r="E1101" t="str">
        <f>IF(A1101="","",IF(SUMPRODUCT((Ввод!$F$12:$F$31&lt;&gt;"")*(Ввод!$F$12:$F$31&lt;=A1101)*(Ввод!$G$12:$G$31&gt;=A1101))&gt;0,1,0))</f>
        <v/>
      </c>
      <c r="G1101" t="str">
        <f t="shared" si="35"/>
        <v/>
      </c>
    </row>
    <row r="1102" spans="1:7" x14ac:dyDescent="0.3">
      <c r="A1102" s="21" t="str">
        <f>IF(A1101="","",IF(A1101+1&gt;Ввод!$B$4,"",A1101+1))</f>
        <v/>
      </c>
      <c r="B1102" s="23" t="str">
        <f>IF(A1102="","",IFERROR(INDEX(Ввод!$B$12:$B$71,MATCH(A1102,Ввод!$D$12:$D$71,1)),""))</f>
        <v/>
      </c>
      <c r="C1102" t="str">
        <f t="shared" si="34"/>
        <v/>
      </c>
      <c r="D1102" t="str">
        <f>IF(A1102="","",SUMIFS(Акты!$D$5:$D$16,Акты!$E$5:$E$16,"&lt;="&amp;A1102)-SUMIFS(Оплаты!$B$6:$B$505,Оплаты!$A$6:$A$505,"&lt;"&amp;A1102,Оплаты!$D$6:$D$505,"&lt;&gt;"))</f>
        <v/>
      </c>
      <c r="E1102" t="str">
        <f>IF(A1102="","",IF(SUMPRODUCT((Ввод!$F$12:$F$31&lt;&gt;"")*(Ввод!$F$12:$F$31&lt;=A1102)*(Ввод!$G$12:$G$31&gt;=A1102))&gt;0,1,0))</f>
        <v/>
      </c>
      <c r="G1102" t="str">
        <f t="shared" si="35"/>
        <v/>
      </c>
    </row>
    <row r="1103" spans="1:7" x14ac:dyDescent="0.3">
      <c r="A1103" s="21" t="str">
        <f>IF(A1102="","",IF(A1102+1&gt;Ввод!$B$4,"",A1102+1))</f>
        <v/>
      </c>
      <c r="B1103" s="23" t="str">
        <f>IF(A1103="","",IFERROR(INDEX(Ввод!$B$12:$B$71,MATCH(A1103,Ввод!$D$12:$D$71,1)),""))</f>
        <v/>
      </c>
      <c r="C1103" t="str">
        <f t="shared" si="34"/>
        <v/>
      </c>
      <c r="D1103" t="str">
        <f>IF(A1103="","",SUMIFS(Акты!$D$5:$D$16,Акты!$E$5:$E$16,"&lt;="&amp;A1103)-SUMIFS(Оплаты!$B$6:$B$505,Оплаты!$A$6:$A$505,"&lt;"&amp;A1103,Оплаты!$D$6:$D$505,"&lt;&gt;"))</f>
        <v/>
      </c>
      <c r="E1103" t="str">
        <f>IF(A1103="","",IF(SUMPRODUCT((Ввод!$F$12:$F$31&lt;&gt;"")*(Ввод!$F$12:$F$31&lt;=A1103)*(Ввод!$G$12:$G$31&gt;=A1103))&gt;0,1,0))</f>
        <v/>
      </c>
      <c r="G1103" t="str">
        <f t="shared" si="35"/>
        <v/>
      </c>
    </row>
    <row r="1104" spans="1:7" x14ac:dyDescent="0.3">
      <c r="A1104" s="21" t="str">
        <f>IF(A1103="","",IF(A1103+1&gt;Ввод!$B$4,"",A1103+1))</f>
        <v/>
      </c>
      <c r="B1104" s="23" t="str">
        <f>IF(A1104="","",IFERROR(INDEX(Ввод!$B$12:$B$71,MATCH(A1104,Ввод!$D$12:$D$71,1)),""))</f>
        <v/>
      </c>
      <c r="C1104" t="str">
        <f t="shared" si="34"/>
        <v/>
      </c>
      <c r="D1104" t="str">
        <f>IF(A1104="","",SUMIFS(Акты!$D$5:$D$16,Акты!$E$5:$E$16,"&lt;="&amp;A1104)-SUMIFS(Оплаты!$B$6:$B$505,Оплаты!$A$6:$A$505,"&lt;"&amp;A1104,Оплаты!$D$6:$D$505,"&lt;&gt;"))</f>
        <v/>
      </c>
      <c r="E1104" t="str">
        <f>IF(A1104="","",IF(SUMPRODUCT((Ввод!$F$12:$F$31&lt;&gt;"")*(Ввод!$F$12:$F$31&lt;=A1104)*(Ввод!$G$12:$G$31&gt;=A1104))&gt;0,1,0))</f>
        <v/>
      </c>
      <c r="G1104" t="str">
        <f t="shared" si="35"/>
        <v/>
      </c>
    </row>
    <row r="1105" spans="1:7" x14ac:dyDescent="0.3">
      <c r="A1105" s="21" t="str">
        <f>IF(A1104="","",IF(A1104+1&gt;Ввод!$B$4,"",A1104+1))</f>
        <v/>
      </c>
      <c r="B1105" s="23" t="str">
        <f>IF(A1105="","",IFERROR(INDEX(Ввод!$B$12:$B$71,MATCH(A1105,Ввод!$D$12:$D$71,1)),""))</f>
        <v/>
      </c>
      <c r="C1105" t="str">
        <f t="shared" si="34"/>
        <v/>
      </c>
      <c r="D1105" t="str">
        <f>IF(A1105="","",SUMIFS(Акты!$D$5:$D$16,Акты!$E$5:$E$16,"&lt;="&amp;A1105)-SUMIFS(Оплаты!$B$6:$B$505,Оплаты!$A$6:$A$505,"&lt;"&amp;A1105,Оплаты!$D$6:$D$505,"&lt;&gt;"))</f>
        <v/>
      </c>
      <c r="E1105" t="str">
        <f>IF(A1105="","",IF(SUMPRODUCT((Ввод!$F$12:$F$31&lt;&gt;"")*(Ввод!$F$12:$F$31&lt;=A1105)*(Ввод!$G$12:$G$31&gt;=A1105))&gt;0,1,0))</f>
        <v/>
      </c>
      <c r="G1105" t="str">
        <f t="shared" si="35"/>
        <v/>
      </c>
    </row>
    <row r="1106" spans="1:7" x14ac:dyDescent="0.3">
      <c r="A1106" s="21" t="str">
        <f>IF(A1105="","",IF(A1105+1&gt;Ввод!$B$4,"",A1105+1))</f>
        <v/>
      </c>
      <c r="B1106" s="23" t="str">
        <f>IF(A1106="","",IFERROR(INDEX(Ввод!$B$12:$B$71,MATCH(A1106,Ввод!$D$12:$D$71,1)),""))</f>
        <v/>
      </c>
      <c r="C1106" t="str">
        <f t="shared" si="34"/>
        <v/>
      </c>
      <c r="D1106" t="str">
        <f>IF(A1106="","",SUMIFS(Акты!$D$5:$D$16,Акты!$E$5:$E$16,"&lt;="&amp;A1106)-SUMIFS(Оплаты!$B$6:$B$505,Оплаты!$A$6:$A$505,"&lt;"&amp;A1106,Оплаты!$D$6:$D$505,"&lt;&gt;"))</f>
        <v/>
      </c>
      <c r="E1106" t="str">
        <f>IF(A1106="","",IF(SUMPRODUCT((Ввод!$F$12:$F$31&lt;&gt;"")*(Ввод!$F$12:$F$31&lt;=A1106)*(Ввод!$G$12:$G$31&gt;=A1106))&gt;0,1,0))</f>
        <v/>
      </c>
      <c r="G1106" t="str">
        <f t="shared" si="35"/>
        <v/>
      </c>
    </row>
    <row r="1107" spans="1:7" x14ac:dyDescent="0.3">
      <c r="A1107" s="21" t="str">
        <f>IF(A1106="","",IF(A1106+1&gt;Ввод!$B$4,"",A1106+1))</f>
        <v/>
      </c>
      <c r="B1107" s="23" t="str">
        <f>IF(A1107="","",IFERROR(INDEX(Ввод!$B$12:$B$71,MATCH(A1107,Ввод!$D$12:$D$71,1)),""))</f>
        <v/>
      </c>
      <c r="C1107" t="str">
        <f t="shared" si="34"/>
        <v/>
      </c>
      <c r="D1107" t="str">
        <f>IF(A1107="","",SUMIFS(Акты!$D$5:$D$16,Акты!$E$5:$E$16,"&lt;="&amp;A1107)-SUMIFS(Оплаты!$B$6:$B$505,Оплаты!$A$6:$A$505,"&lt;"&amp;A1107,Оплаты!$D$6:$D$505,"&lt;&gt;"))</f>
        <v/>
      </c>
      <c r="E1107" t="str">
        <f>IF(A1107="","",IF(SUMPRODUCT((Ввод!$F$12:$F$31&lt;&gt;"")*(Ввод!$F$12:$F$31&lt;=A1107)*(Ввод!$G$12:$G$31&gt;=A1107))&gt;0,1,0))</f>
        <v/>
      </c>
      <c r="G1107" t="str">
        <f t="shared" si="35"/>
        <v/>
      </c>
    </row>
    <row r="1108" spans="1:7" x14ac:dyDescent="0.3">
      <c r="A1108" s="21" t="str">
        <f>IF(A1107="","",IF(A1107+1&gt;Ввод!$B$4,"",A1107+1))</f>
        <v/>
      </c>
      <c r="B1108" s="23" t="str">
        <f>IF(A1108="","",IFERROR(INDEX(Ввод!$B$12:$B$71,MATCH(A1108,Ввод!$D$12:$D$71,1)),""))</f>
        <v/>
      </c>
      <c r="C1108" t="str">
        <f t="shared" si="34"/>
        <v/>
      </c>
      <c r="D1108" t="str">
        <f>IF(A1108="","",SUMIFS(Акты!$D$5:$D$16,Акты!$E$5:$E$16,"&lt;="&amp;A1108)-SUMIFS(Оплаты!$B$6:$B$505,Оплаты!$A$6:$A$505,"&lt;"&amp;A1108,Оплаты!$D$6:$D$505,"&lt;&gt;"))</f>
        <v/>
      </c>
      <c r="E1108" t="str">
        <f>IF(A1108="","",IF(SUMPRODUCT((Ввод!$F$12:$F$31&lt;&gt;"")*(Ввод!$F$12:$F$31&lt;=A1108)*(Ввод!$G$12:$G$31&gt;=A1108))&gt;0,1,0))</f>
        <v/>
      </c>
      <c r="G1108" t="str">
        <f t="shared" si="35"/>
        <v/>
      </c>
    </row>
    <row r="1109" spans="1:7" x14ac:dyDescent="0.3">
      <c r="A1109" s="21" t="str">
        <f>IF(A1108="","",IF(A1108+1&gt;Ввод!$B$4,"",A1108+1))</f>
        <v/>
      </c>
      <c r="B1109" s="23" t="str">
        <f>IF(A1109="","",IFERROR(INDEX(Ввод!$B$12:$B$71,MATCH(A1109,Ввод!$D$12:$D$71,1)),""))</f>
        <v/>
      </c>
      <c r="C1109" t="str">
        <f t="shared" si="34"/>
        <v/>
      </c>
      <c r="D1109" t="str">
        <f>IF(A1109="","",SUMIFS(Акты!$D$5:$D$16,Акты!$E$5:$E$16,"&lt;="&amp;A1109)-SUMIFS(Оплаты!$B$6:$B$505,Оплаты!$A$6:$A$505,"&lt;"&amp;A1109,Оплаты!$D$6:$D$505,"&lt;&gt;"))</f>
        <v/>
      </c>
      <c r="E1109" t="str">
        <f>IF(A1109="","",IF(SUMPRODUCT((Ввод!$F$12:$F$31&lt;&gt;"")*(Ввод!$F$12:$F$31&lt;=A1109)*(Ввод!$G$12:$G$31&gt;=A1109))&gt;0,1,0))</f>
        <v/>
      </c>
      <c r="G1109" t="str">
        <f t="shared" si="35"/>
        <v/>
      </c>
    </row>
    <row r="1110" spans="1:7" x14ac:dyDescent="0.3">
      <c r="A1110" s="21" t="str">
        <f>IF(A1109="","",IF(A1109+1&gt;Ввод!$B$4,"",A1109+1))</f>
        <v/>
      </c>
      <c r="B1110" s="23" t="str">
        <f>IF(A1110="","",IFERROR(INDEX(Ввод!$B$12:$B$71,MATCH(A1110,Ввод!$D$12:$D$71,1)),""))</f>
        <v/>
      </c>
      <c r="C1110" t="str">
        <f t="shared" si="34"/>
        <v/>
      </c>
      <c r="D1110" t="str">
        <f>IF(A1110="","",SUMIFS(Акты!$D$5:$D$16,Акты!$E$5:$E$16,"&lt;="&amp;A1110)-SUMIFS(Оплаты!$B$6:$B$505,Оплаты!$A$6:$A$505,"&lt;"&amp;A1110,Оплаты!$D$6:$D$505,"&lt;&gt;"))</f>
        <v/>
      </c>
      <c r="E1110" t="str">
        <f>IF(A1110="","",IF(SUMPRODUCT((Ввод!$F$12:$F$31&lt;&gt;"")*(Ввод!$F$12:$F$31&lt;=A1110)*(Ввод!$G$12:$G$31&gt;=A1110))&gt;0,1,0))</f>
        <v/>
      </c>
      <c r="G1110" t="str">
        <f t="shared" si="35"/>
        <v/>
      </c>
    </row>
    <row r="1111" spans="1:7" x14ac:dyDescent="0.3">
      <c r="A1111" s="21" t="str">
        <f>IF(A1110="","",IF(A1110+1&gt;Ввод!$B$4,"",A1110+1))</f>
        <v/>
      </c>
      <c r="B1111" s="23" t="str">
        <f>IF(A1111="","",IFERROR(INDEX(Ввод!$B$12:$B$71,MATCH(A1111,Ввод!$D$12:$D$71,1)),""))</f>
        <v/>
      </c>
      <c r="C1111" t="str">
        <f t="shared" si="34"/>
        <v/>
      </c>
      <c r="D1111" t="str">
        <f>IF(A1111="","",SUMIFS(Акты!$D$5:$D$16,Акты!$E$5:$E$16,"&lt;="&amp;A1111)-SUMIFS(Оплаты!$B$6:$B$505,Оплаты!$A$6:$A$505,"&lt;"&amp;A1111,Оплаты!$D$6:$D$505,"&lt;&gt;"))</f>
        <v/>
      </c>
      <c r="E1111" t="str">
        <f>IF(A1111="","",IF(SUMPRODUCT((Ввод!$F$12:$F$31&lt;&gt;"")*(Ввод!$F$12:$F$31&lt;=A1111)*(Ввод!$G$12:$G$31&gt;=A1111))&gt;0,1,0))</f>
        <v/>
      </c>
      <c r="G1111" t="str">
        <f t="shared" si="35"/>
        <v/>
      </c>
    </row>
    <row r="1112" spans="1:7" x14ac:dyDescent="0.3">
      <c r="A1112" s="21" t="str">
        <f>IF(A1111="","",IF(A1111+1&gt;Ввод!$B$4,"",A1111+1))</f>
        <v/>
      </c>
      <c r="B1112" s="23" t="str">
        <f>IF(A1112="","",IFERROR(INDEX(Ввод!$B$12:$B$71,MATCH(A1112,Ввод!$D$12:$D$71,1)),""))</f>
        <v/>
      </c>
      <c r="C1112" t="str">
        <f t="shared" si="34"/>
        <v/>
      </c>
      <c r="D1112" t="str">
        <f>IF(A1112="","",SUMIFS(Акты!$D$5:$D$16,Акты!$E$5:$E$16,"&lt;="&amp;A1112)-SUMIFS(Оплаты!$B$6:$B$505,Оплаты!$A$6:$A$505,"&lt;"&amp;A1112,Оплаты!$D$6:$D$505,"&lt;&gt;"))</f>
        <v/>
      </c>
      <c r="E1112" t="str">
        <f>IF(A1112="","",IF(SUMPRODUCT((Ввод!$F$12:$F$31&lt;&gt;"")*(Ввод!$F$12:$F$31&lt;=A1112)*(Ввод!$G$12:$G$31&gt;=A1112))&gt;0,1,0))</f>
        <v/>
      </c>
      <c r="G1112" t="str">
        <f t="shared" si="35"/>
        <v/>
      </c>
    </row>
    <row r="1113" spans="1:7" x14ac:dyDescent="0.3">
      <c r="A1113" s="21" t="str">
        <f>IF(A1112="","",IF(A1112+1&gt;Ввод!$B$4,"",A1112+1))</f>
        <v/>
      </c>
      <c r="B1113" s="23" t="str">
        <f>IF(A1113="","",IFERROR(INDEX(Ввод!$B$12:$B$71,MATCH(A1113,Ввод!$D$12:$D$71,1)),""))</f>
        <v/>
      </c>
      <c r="C1113" t="str">
        <f t="shared" si="34"/>
        <v/>
      </c>
      <c r="D1113" t="str">
        <f>IF(A1113="","",SUMIFS(Акты!$D$5:$D$16,Акты!$E$5:$E$16,"&lt;="&amp;A1113)-SUMIFS(Оплаты!$B$6:$B$505,Оплаты!$A$6:$A$505,"&lt;"&amp;A1113,Оплаты!$D$6:$D$505,"&lt;&gt;"))</f>
        <v/>
      </c>
      <c r="E1113" t="str">
        <f>IF(A1113="","",IF(SUMPRODUCT((Ввод!$F$12:$F$31&lt;&gt;"")*(Ввод!$F$12:$F$31&lt;=A1113)*(Ввод!$G$12:$G$31&gt;=A1113))&gt;0,1,0))</f>
        <v/>
      </c>
      <c r="G1113" t="str">
        <f t="shared" si="35"/>
        <v/>
      </c>
    </row>
    <row r="1114" spans="1:7" x14ac:dyDescent="0.3">
      <c r="A1114" s="21" t="str">
        <f>IF(A1113="","",IF(A1113+1&gt;Ввод!$B$4,"",A1113+1))</f>
        <v/>
      </c>
      <c r="B1114" s="23" t="str">
        <f>IF(A1114="","",IFERROR(INDEX(Ввод!$B$12:$B$71,MATCH(A1114,Ввод!$D$12:$D$71,1)),""))</f>
        <v/>
      </c>
      <c r="C1114" t="str">
        <f t="shared" si="34"/>
        <v/>
      </c>
      <c r="D1114" t="str">
        <f>IF(A1114="","",SUMIFS(Акты!$D$5:$D$16,Акты!$E$5:$E$16,"&lt;="&amp;A1114)-SUMIFS(Оплаты!$B$6:$B$505,Оплаты!$A$6:$A$505,"&lt;"&amp;A1114,Оплаты!$D$6:$D$505,"&lt;&gt;"))</f>
        <v/>
      </c>
      <c r="E1114" t="str">
        <f>IF(A1114="","",IF(SUMPRODUCT((Ввод!$F$12:$F$31&lt;&gt;"")*(Ввод!$F$12:$F$31&lt;=A1114)*(Ввод!$G$12:$G$31&gt;=A1114))&gt;0,1,0))</f>
        <v/>
      </c>
      <c r="G1114" t="str">
        <f t="shared" si="35"/>
        <v/>
      </c>
    </row>
    <row r="1115" spans="1:7" x14ac:dyDescent="0.3">
      <c r="A1115" s="21" t="str">
        <f>IF(A1114="","",IF(A1114+1&gt;Ввод!$B$4,"",A1114+1))</f>
        <v/>
      </c>
      <c r="B1115" s="23" t="str">
        <f>IF(A1115="","",IFERROR(INDEX(Ввод!$B$12:$B$71,MATCH(A1115,Ввод!$D$12:$D$71,1)),""))</f>
        <v/>
      </c>
      <c r="C1115" t="str">
        <f t="shared" si="34"/>
        <v/>
      </c>
      <c r="D1115" t="str">
        <f>IF(A1115="","",SUMIFS(Акты!$D$5:$D$16,Акты!$E$5:$E$16,"&lt;="&amp;A1115)-SUMIFS(Оплаты!$B$6:$B$505,Оплаты!$A$6:$A$505,"&lt;"&amp;A1115,Оплаты!$D$6:$D$505,"&lt;&gt;"))</f>
        <v/>
      </c>
      <c r="E1115" t="str">
        <f>IF(A1115="","",IF(SUMPRODUCT((Ввод!$F$12:$F$31&lt;&gt;"")*(Ввод!$F$12:$F$31&lt;=A1115)*(Ввод!$G$12:$G$31&gt;=A1115))&gt;0,1,0))</f>
        <v/>
      </c>
      <c r="G1115" t="str">
        <f t="shared" si="35"/>
        <v/>
      </c>
    </row>
    <row r="1116" spans="1:7" x14ac:dyDescent="0.3">
      <c r="A1116" s="21" t="str">
        <f>IF(A1115="","",IF(A1115+1&gt;Ввод!$B$4,"",A1115+1))</f>
        <v/>
      </c>
      <c r="B1116" s="23" t="str">
        <f>IF(A1116="","",IFERROR(INDEX(Ввод!$B$12:$B$71,MATCH(A1116,Ввод!$D$12:$D$71,1)),""))</f>
        <v/>
      </c>
      <c r="C1116" t="str">
        <f t="shared" si="34"/>
        <v/>
      </c>
      <c r="D1116" t="str">
        <f>IF(A1116="","",SUMIFS(Акты!$D$5:$D$16,Акты!$E$5:$E$16,"&lt;="&amp;A1116)-SUMIFS(Оплаты!$B$6:$B$505,Оплаты!$A$6:$A$505,"&lt;"&amp;A1116,Оплаты!$D$6:$D$505,"&lt;&gt;"))</f>
        <v/>
      </c>
      <c r="E1116" t="str">
        <f>IF(A1116="","",IF(SUMPRODUCT((Ввод!$F$12:$F$31&lt;&gt;"")*(Ввод!$F$12:$F$31&lt;=A1116)*(Ввод!$G$12:$G$31&gt;=A1116))&gt;0,1,0))</f>
        <v/>
      </c>
      <c r="G1116" t="str">
        <f t="shared" si="35"/>
        <v/>
      </c>
    </row>
    <row r="1117" spans="1:7" x14ac:dyDescent="0.3">
      <c r="A1117" s="21" t="str">
        <f>IF(A1116="","",IF(A1116+1&gt;Ввод!$B$4,"",A1116+1))</f>
        <v/>
      </c>
      <c r="B1117" s="23" t="str">
        <f>IF(A1117="","",IFERROR(INDEX(Ввод!$B$12:$B$71,MATCH(A1117,Ввод!$D$12:$D$71,1)),""))</f>
        <v/>
      </c>
      <c r="C1117" t="str">
        <f t="shared" si="34"/>
        <v/>
      </c>
      <c r="D1117" t="str">
        <f>IF(A1117="","",SUMIFS(Акты!$D$5:$D$16,Акты!$E$5:$E$16,"&lt;="&amp;A1117)-SUMIFS(Оплаты!$B$6:$B$505,Оплаты!$A$6:$A$505,"&lt;"&amp;A1117,Оплаты!$D$6:$D$505,"&lt;&gt;"))</f>
        <v/>
      </c>
      <c r="E1117" t="str">
        <f>IF(A1117="","",IF(SUMPRODUCT((Ввод!$F$12:$F$31&lt;&gt;"")*(Ввод!$F$12:$F$31&lt;=A1117)*(Ввод!$G$12:$G$31&gt;=A1117))&gt;0,1,0))</f>
        <v/>
      </c>
      <c r="G1117" t="str">
        <f t="shared" si="35"/>
        <v/>
      </c>
    </row>
    <row r="1118" spans="1:7" x14ac:dyDescent="0.3">
      <c r="A1118" s="21" t="str">
        <f>IF(A1117="","",IF(A1117+1&gt;Ввод!$B$4,"",A1117+1))</f>
        <v/>
      </c>
      <c r="B1118" s="23" t="str">
        <f>IF(A1118="","",IFERROR(INDEX(Ввод!$B$12:$B$71,MATCH(A1118,Ввод!$D$12:$D$71,1)),""))</f>
        <v/>
      </c>
      <c r="C1118" t="str">
        <f t="shared" si="34"/>
        <v/>
      </c>
      <c r="D1118" t="str">
        <f>IF(A1118="","",SUMIFS(Акты!$D$5:$D$16,Акты!$E$5:$E$16,"&lt;="&amp;A1118)-SUMIFS(Оплаты!$B$6:$B$505,Оплаты!$A$6:$A$505,"&lt;"&amp;A1118,Оплаты!$D$6:$D$505,"&lt;&gt;"))</f>
        <v/>
      </c>
      <c r="E1118" t="str">
        <f>IF(A1118="","",IF(SUMPRODUCT((Ввод!$F$12:$F$31&lt;&gt;"")*(Ввод!$F$12:$F$31&lt;=A1118)*(Ввод!$G$12:$G$31&gt;=A1118))&gt;0,1,0))</f>
        <v/>
      </c>
      <c r="G1118" t="str">
        <f t="shared" si="35"/>
        <v/>
      </c>
    </row>
    <row r="1119" spans="1:7" x14ac:dyDescent="0.3">
      <c r="A1119" s="21" t="str">
        <f>IF(A1118="","",IF(A1118+1&gt;Ввод!$B$4,"",A1118+1))</f>
        <v/>
      </c>
      <c r="B1119" s="23" t="str">
        <f>IF(A1119="","",IFERROR(INDEX(Ввод!$B$12:$B$71,MATCH(A1119,Ввод!$D$12:$D$71,1)),""))</f>
        <v/>
      </c>
      <c r="C1119" t="str">
        <f t="shared" si="34"/>
        <v/>
      </c>
      <c r="D1119" t="str">
        <f>IF(A1119="","",SUMIFS(Акты!$D$5:$D$16,Акты!$E$5:$E$16,"&lt;="&amp;A1119)-SUMIFS(Оплаты!$B$6:$B$505,Оплаты!$A$6:$A$505,"&lt;"&amp;A1119,Оплаты!$D$6:$D$505,"&lt;&gt;"))</f>
        <v/>
      </c>
      <c r="E1119" t="str">
        <f>IF(A1119="","",IF(SUMPRODUCT((Ввод!$F$12:$F$31&lt;&gt;"")*(Ввод!$F$12:$F$31&lt;=A1119)*(Ввод!$G$12:$G$31&gt;=A1119))&gt;0,1,0))</f>
        <v/>
      </c>
      <c r="G1119" t="str">
        <f t="shared" si="35"/>
        <v/>
      </c>
    </row>
    <row r="1120" spans="1:7" x14ac:dyDescent="0.3">
      <c r="A1120" s="21" t="str">
        <f>IF(A1119="","",IF(A1119+1&gt;Ввод!$B$4,"",A1119+1))</f>
        <v/>
      </c>
      <c r="B1120" s="23" t="str">
        <f>IF(A1120="","",IFERROR(INDEX(Ввод!$B$12:$B$71,MATCH(A1120,Ввод!$D$12:$D$71,1)),""))</f>
        <v/>
      </c>
      <c r="C1120" t="str">
        <f t="shared" si="34"/>
        <v/>
      </c>
      <c r="D1120" t="str">
        <f>IF(A1120="","",SUMIFS(Акты!$D$5:$D$16,Акты!$E$5:$E$16,"&lt;="&amp;A1120)-SUMIFS(Оплаты!$B$6:$B$505,Оплаты!$A$6:$A$505,"&lt;"&amp;A1120,Оплаты!$D$6:$D$505,"&lt;&gt;"))</f>
        <v/>
      </c>
      <c r="E1120" t="str">
        <f>IF(A1120="","",IF(SUMPRODUCT((Ввод!$F$12:$F$31&lt;&gt;"")*(Ввод!$F$12:$F$31&lt;=A1120)*(Ввод!$G$12:$G$31&gt;=A1120))&gt;0,1,0))</f>
        <v/>
      </c>
      <c r="G1120" t="str">
        <f t="shared" si="35"/>
        <v/>
      </c>
    </row>
    <row r="1121" spans="1:7" x14ac:dyDescent="0.3">
      <c r="A1121" s="21" t="str">
        <f>IF(A1120="","",IF(A1120+1&gt;Ввод!$B$4,"",A1120+1))</f>
        <v/>
      </c>
      <c r="B1121" s="23" t="str">
        <f>IF(A1121="","",IFERROR(INDEX(Ввод!$B$12:$B$71,MATCH(A1121,Ввод!$D$12:$D$71,1)),""))</f>
        <v/>
      </c>
      <c r="C1121" t="str">
        <f t="shared" si="34"/>
        <v/>
      </c>
      <c r="D1121" t="str">
        <f>IF(A1121="","",SUMIFS(Акты!$D$5:$D$16,Акты!$E$5:$E$16,"&lt;="&amp;A1121)-SUMIFS(Оплаты!$B$6:$B$505,Оплаты!$A$6:$A$505,"&lt;"&amp;A1121,Оплаты!$D$6:$D$505,"&lt;&gt;"))</f>
        <v/>
      </c>
      <c r="E1121" t="str">
        <f>IF(A1121="","",IF(SUMPRODUCT((Ввод!$F$12:$F$31&lt;&gt;"")*(Ввод!$F$12:$F$31&lt;=A1121)*(Ввод!$G$12:$G$31&gt;=A1121))&gt;0,1,0))</f>
        <v/>
      </c>
      <c r="G1121" t="str">
        <f t="shared" si="35"/>
        <v/>
      </c>
    </row>
    <row r="1122" spans="1:7" x14ac:dyDescent="0.3">
      <c r="A1122" s="21" t="str">
        <f>IF(A1121="","",IF(A1121+1&gt;Ввод!$B$4,"",A1121+1))</f>
        <v/>
      </c>
      <c r="B1122" s="23" t="str">
        <f>IF(A1122="","",IFERROR(INDEX(Ввод!$B$12:$B$71,MATCH(A1122,Ввод!$D$12:$D$71,1)),""))</f>
        <v/>
      </c>
      <c r="C1122" t="str">
        <f t="shared" si="34"/>
        <v/>
      </c>
      <c r="D1122" t="str">
        <f>IF(A1122="","",SUMIFS(Акты!$D$5:$D$16,Акты!$E$5:$E$16,"&lt;="&amp;A1122)-SUMIFS(Оплаты!$B$6:$B$505,Оплаты!$A$6:$A$505,"&lt;"&amp;A1122,Оплаты!$D$6:$D$505,"&lt;&gt;"))</f>
        <v/>
      </c>
      <c r="E1122" t="str">
        <f>IF(A1122="","",IF(SUMPRODUCT((Ввод!$F$12:$F$31&lt;&gt;"")*(Ввод!$F$12:$F$31&lt;=A1122)*(Ввод!$G$12:$G$31&gt;=A1122))&gt;0,1,0))</f>
        <v/>
      </c>
      <c r="G1122" t="str">
        <f t="shared" si="35"/>
        <v/>
      </c>
    </row>
    <row r="1123" spans="1:7" x14ac:dyDescent="0.3">
      <c r="A1123" s="21" t="str">
        <f>IF(A1122="","",IF(A1122+1&gt;Ввод!$B$4,"",A1122+1))</f>
        <v/>
      </c>
      <c r="B1123" s="23" t="str">
        <f>IF(A1123="","",IFERROR(INDEX(Ввод!$B$12:$B$71,MATCH(A1123,Ввод!$D$12:$D$71,1)),""))</f>
        <v/>
      </c>
      <c r="C1123" t="str">
        <f t="shared" si="34"/>
        <v/>
      </c>
      <c r="D1123" t="str">
        <f>IF(A1123="","",SUMIFS(Акты!$D$5:$D$16,Акты!$E$5:$E$16,"&lt;="&amp;A1123)-SUMIFS(Оплаты!$B$6:$B$505,Оплаты!$A$6:$A$505,"&lt;"&amp;A1123,Оплаты!$D$6:$D$505,"&lt;&gt;"))</f>
        <v/>
      </c>
      <c r="E1123" t="str">
        <f>IF(A1123="","",IF(SUMPRODUCT((Ввод!$F$12:$F$31&lt;&gt;"")*(Ввод!$F$12:$F$31&lt;=A1123)*(Ввод!$G$12:$G$31&gt;=A1123))&gt;0,1,0))</f>
        <v/>
      </c>
      <c r="G1123" t="str">
        <f t="shared" si="35"/>
        <v/>
      </c>
    </row>
    <row r="1124" spans="1:7" x14ac:dyDescent="0.3">
      <c r="A1124" s="21" t="str">
        <f>IF(A1123="","",IF(A1123+1&gt;Ввод!$B$4,"",A1123+1))</f>
        <v/>
      </c>
      <c r="B1124" s="23" t="str">
        <f>IF(A1124="","",IFERROR(INDEX(Ввод!$B$12:$B$71,MATCH(A1124,Ввод!$D$12:$D$71,1)),""))</f>
        <v/>
      </c>
      <c r="C1124" t="str">
        <f t="shared" si="34"/>
        <v/>
      </c>
      <c r="D1124" t="str">
        <f>IF(A1124="","",SUMIFS(Акты!$D$5:$D$16,Акты!$E$5:$E$16,"&lt;="&amp;A1124)-SUMIFS(Оплаты!$B$6:$B$505,Оплаты!$A$6:$A$505,"&lt;"&amp;A1124,Оплаты!$D$6:$D$505,"&lt;&gt;"))</f>
        <v/>
      </c>
      <c r="E1124" t="str">
        <f>IF(A1124="","",IF(SUMPRODUCT((Ввод!$F$12:$F$31&lt;&gt;"")*(Ввод!$F$12:$F$31&lt;=A1124)*(Ввод!$G$12:$G$31&gt;=A1124))&gt;0,1,0))</f>
        <v/>
      </c>
      <c r="G1124" t="str">
        <f t="shared" si="35"/>
        <v/>
      </c>
    </row>
    <row r="1125" spans="1:7" x14ac:dyDescent="0.3">
      <c r="A1125" s="21" t="str">
        <f>IF(A1124="","",IF(A1124+1&gt;Ввод!$B$4,"",A1124+1))</f>
        <v/>
      </c>
      <c r="B1125" s="23" t="str">
        <f>IF(A1125="","",IFERROR(INDEX(Ввод!$B$12:$B$71,MATCH(A1125,Ввод!$D$12:$D$71,1)),""))</f>
        <v/>
      </c>
      <c r="C1125" t="str">
        <f t="shared" si="34"/>
        <v/>
      </c>
      <c r="D1125" t="str">
        <f>IF(A1125="","",SUMIFS(Акты!$D$5:$D$16,Акты!$E$5:$E$16,"&lt;="&amp;A1125)-SUMIFS(Оплаты!$B$6:$B$505,Оплаты!$A$6:$A$505,"&lt;"&amp;A1125,Оплаты!$D$6:$D$505,"&lt;&gt;"))</f>
        <v/>
      </c>
      <c r="E1125" t="str">
        <f>IF(A1125="","",IF(SUMPRODUCT((Ввод!$F$12:$F$31&lt;&gt;"")*(Ввод!$F$12:$F$31&lt;=A1125)*(Ввод!$G$12:$G$31&gt;=A1125))&gt;0,1,0))</f>
        <v/>
      </c>
      <c r="G1125" t="str">
        <f t="shared" si="35"/>
        <v/>
      </c>
    </row>
    <row r="1126" spans="1:7" x14ac:dyDescent="0.3">
      <c r="A1126" s="21" t="str">
        <f>IF(A1125="","",IF(A1125+1&gt;Ввод!$B$4,"",A1125+1))</f>
        <v/>
      </c>
      <c r="B1126" s="23" t="str">
        <f>IF(A1126="","",IFERROR(INDEX(Ввод!$B$12:$B$71,MATCH(A1126,Ввод!$D$12:$D$71,1)),""))</f>
        <v/>
      </c>
      <c r="C1126" t="str">
        <f t="shared" si="34"/>
        <v/>
      </c>
      <c r="D1126" t="str">
        <f>IF(A1126="","",SUMIFS(Акты!$D$5:$D$16,Акты!$E$5:$E$16,"&lt;="&amp;A1126)-SUMIFS(Оплаты!$B$6:$B$505,Оплаты!$A$6:$A$505,"&lt;"&amp;A1126,Оплаты!$D$6:$D$505,"&lt;&gt;"))</f>
        <v/>
      </c>
      <c r="E1126" t="str">
        <f>IF(A1126="","",IF(SUMPRODUCT((Ввод!$F$12:$F$31&lt;&gt;"")*(Ввод!$F$12:$F$31&lt;=A1126)*(Ввод!$G$12:$G$31&gt;=A1126))&gt;0,1,0))</f>
        <v/>
      </c>
      <c r="G1126" t="str">
        <f t="shared" si="35"/>
        <v/>
      </c>
    </row>
    <row r="1127" spans="1:7" x14ac:dyDescent="0.3">
      <c r="A1127" s="21" t="str">
        <f>IF(A1126="","",IF(A1126+1&gt;Ввод!$B$4,"",A1126+1))</f>
        <v/>
      </c>
      <c r="B1127" s="23" t="str">
        <f>IF(A1127="","",IFERROR(INDEX(Ввод!$B$12:$B$71,MATCH(A1127,Ввод!$D$12:$D$71,1)),""))</f>
        <v/>
      </c>
      <c r="C1127" t="str">
        <f t="shared" si="34"/>
        <v/>
      </c>
      <c r="D1127" t="str">
        <f>IF(A1127="","",SUMIFS(Акты!$D$5:$D$16,Акты!$E$5:$E$16,"&lt;="&amp;A1127)-SUMIFS(Оплаты!$B$6:$B$505,Оплаты!$A$6:$A$505,"&lt;"&amp;A1127,Оплаты!$D$6:$D$505,"&lt;&gt;"))</f>
        <v/>
      </c>
      <c r="E1127" t="str">
        <f>IF(A1127="","",IF(SUMPRODUCT((Ввод!$F$12:$F$31&lt;&gt;"")*(Ввод!$F$12:$F$31&lt;=A1127)*(Ввод!$G$12:$G$31&gt;=A1127))&gt;0,1,0))</f>
        <v/>
      </c>
      <c r="G1127" t="str">
        <f t="shared" si="35"/>
        <v/>
      </c>
    </row>
    <row r="1128" spans="1:7" x14ac:dyDescent="0.3">
      <c r="A1128" s="21" t="str">
        <f>IF(A1127="","",IF(A1127+1&gt;Ввод!$B$4,"",A1127+1))</f>
        <v/>
      </c>
      <c r="B1128" s="23" t="str">
        <f>IF(A1128="","",IFERROR(INDEX(Ввод!$B$12:$B$71,MATCH(A1128,Ввод!$D$12:$D$71,1)),""))</f>
        <v/>
      </c>
      <c r="C1128" t="str">
        <f t="shared" si="34"/>
        <v/>
      </c>
      <c r="D1128" t="str">
        <f>IF(A1128="","",SUMIFS(Акты!$D$5:$D$16,Акты!$E$5:$E$16,"&lt;="&amp;A1128)-SUMIFS(Оплаты!$B$6:$B$505,Оплаты!$A$6:$A$505,"&lt;"&amp;A1128,Оплаты!$D$6:$D$505,"&lt;&gt;"))</f>
        <v/>
      </c>
      <c r="E1128" t="str">
        <f>IF(A1128="","",IF(SUMPRODUCT((Ввод!$F$12:$F$31&lt;&gt;"")*(Ввод!$F$12:$F$31&lt;=A1128)*(Ввод!$G$12:$G$31&gt;=A1128))&gt;0,1,0))</f>
        <v/>
      </c>
      <c r="G1128" t="str">
        <f t="shared" si="35"/>
        <v/>
      </c>
    </row>
    <row r="1129" spans="1:7" x14ac:dyDescent="0.3">
      <c r="A1129" s="21" t="str">
        <f>IF(A1128="","",IF(A1128+1&gt;Ввод!$B$4,"",A1128+1))</f>
        <v/>
      </c>
      <c r="B1129" s="23" t="str">
        <f>IF(A1129="","",IFERROR(INDEX(Ввод!$B$12:$B$71,MATCH(A1129,Ввод!$D$12:$D$71,1)),""))</f>
        <v/>
      </c>
      <c r="C1129" t="str">
        <f t="shared" si="34"/>
        <v/>
      </c>
      <c r="D1129" t="str">
        <f>IF(A1129="","",SUMIFS(Акты!$D$5:$D$16,Акты!$E$5:$E$16,"&lt;="&amp;A1129)-SUMIFS(Оплаты!$B$6:$B$505,Оплаты!$A$6:$A$505,"&lt;"&amp;A1129,Оплаты!$D$6:$D$505,"&lt;&gt;"))</f>
        <v/>
      </c>
      <c r="E1129" t="str">
        <f>IF(A1129="","",IF(SUMPRODUCT((Ввод!$F$12:$F$31&lt;&gt;"")*(Ввод!$F$12:$F$31&lt;=A1129)*(Ввод!$G$12:$G$31&gt;=A1129))&gt;0,1,0))</f>
        <v/>
      </c>
      <c r="G1129" t="str">
        <f t="shared" si="35"/>
        <v/>
      </c>
    </row>
    <row r="1130" spans="1:7" x14ac:dyDescent="0.3">
      <c r="A1130" s="21" t="str">
        <f>IF(A1129="","",IF(A1129+1&gt;Ввод!$B$4,"",A1129+1))</f>
        <v/>
      </c>
      <c r="B1130" s="23" t="str">
        <f>IF(A1130="","",IFERROR(INDEX(Ввод!$B$12:$B$71,MATCH(A1130,Ввод!$D$12:$D$71,1)),""))</f>
        <v/>
      </c>
      <c r="C1130" t="str">
        <f t="shared" si="34"/>
        <v/>
      </c>
      <c r="D1130" t="str">
        <f>IF(A1130="","",SUMIFS(Акты!$D$5:$D$16,Акты!$E$5:$E$16,"&lt;="&amp;A1130)-SUMIFS(Оплаты!$B$6:$B$505,Оплаты!$A$6:$A$505,"&lt;"&amp;A1130,Оплаты!$D$6:$D$505,"&lt;&gt;"))</f>
        <v/>
      </c>
      <c r="E1130" t="str">
        <f>IF(A1130="","",IF(SUMPRODUCT((Ввод!$F$12:$F$31&lt;&gt;"")*(Ввод!$F$12:$F$31&lt;=A1130)*(Ввод!$G$12:$G$31&gt;=A1130))&gt;0,1,0))</f>
        <v/>
      </c>
      <c r="G1130" t="str">
        <f t="shared" si="35"/>
        <v/>
      </c>
    </row>
    <row r="1131" spans="1:7" x14ac:dyDescent="0.3">
      <c r="A1131" s="21" t="str">
        <f>IF(A1130="","",IF(A1130+1&gt;Ввод!$B$4,"",A1130+1))</f>
        <v/>
      </c>
      <c r="B1131" s="23" t="str">
        <f>IF(A1131="","",IFERROR(INDEX(Ввод!$B$12:$B$71,MATCH(A1131,Ввод!$D$12:$D$71,1)),""))</f>
        <v/>
      </c>
      <c r="C1131" t="str">
        <f t="shared" si="34"/>
        <v/>
      </c>
      <c r="D1131" t="str">
        <f>IF(A1131="","",SUMIFS(Акты!$D$5:$D$16,Акты!$E$5:$E$16,"&lt;="&amp;A1131)-SUMIFS(Оплаты!$B$6:$B$505,Оплаты!$A$6:$A$505,"&lt;"&amp;A1131,Оплаты!$D$6:$D$505,"&lt;&gt;"))</f>
        <v/>
      </c>
      <c r="E1131" t="str">
        <f>IF(A1131="","",IF(SUMPRODUCT((Ввод!$F$12:$F$31&lt;&gt;"")*(Ввод!$F$12:$F$31&lt;=A1131)*(Ввод!$G$12:$G$31&gt;=A1131))&gt;0,1,0))</f>
        <v/>
      </c>
      <c r="G1131" t="str">
        <f t="shared" si="35"/>
        <v/>
      </c>
    </row>
    <row r="1132" spans="1:7" x14ac:dyDescent="0.3">
      <c r="A1132" s="21" t="str">
        <f>IF(A1131="","",IF(A1131+1&gt;Ввод!$B$4,"",A1131+1))</f>
        <v/>
      </c>
      <c r="B1132" s="23" t="str">
        <f>IF(A1132="","",IFERROR(INDEX(Ввод!$B$12:$B$71,MATCH(A1132,Ввод!$D$12:$D$71,1)),""))</f>
        <v/>
      </c>
      <c r="C1132" t="str">
        <f t="shared" si="34"/>
        <v/>
      </c>
      <c r="D1132" t="str">
        <f>IF(A1132="","",SUMIFS(Акты!$D$5:$D$16,Акты!$E$5:$E$16,"&lt;="&amp;A1132)-SUMIFS(Оплаты!$B$6:$B$505,Оплаты!$A$6:$A$505,"&lt;"&amp;A1132,Оплаты!$D$6:$D$505,"&lt;&gt;"))</f>
        <v/>
      </c>
      <c r="E1132" t="str">
        <f>IF(A1132="","",IF(SUMPRODUCT((Ввод!$F$12:$F$31&lt;&gt;"")*(Ввод!$F$12:$F$31&lt;=A1132)*(Ввод!$G$12:$G$31&gt;=A1132))&gt;0,1,0))</f>
        <v/>
      </c>
      <c r="G1132" t="str">
        <f t="shared" si="35"/>
        <v/>
      </c>
    </row>
    <row r="1133" spans="1:7" x14ac:dyDescent="0.3">
      <c r="A1133" s="21" t="str">
        <f>IF(A1132="","",IF(A1132+1&gt;Ввод!$B$4,"",A1132+1))</f>
        <v/>
      </c>
      <c r="B1133" s="23" t="str">
        <f>IF(A1133="","",IFERROR(INDEX(Ввод!$B$12:$B$71,MATCH(A1133,Ввод!$D$12:$D$71,1)),""))</f>
        <v/>
      </c>
      <c r="C1133" t="str">
        <f t="shared" si="34"/>
        <v/>
      </c>
      <c r="D1133" t="str">
        <f>IF(A1133="","",SUMIFS(Акты!$D$5:$D$16,Акты!$E$5:$E$16,"&lt;="&amp;A1133)-SUMIFS(Оплаты!$B$6:$B$505,Оплаты!$A$6:$A$505,"&lt;"&amp;A1133,Оплаты!$D$6:$D$505,"&lt;&gt;"))</f>
        <v/>
      </c>
      <c r="E1133" t="str">
        <f>IF(A1133="","",IF(SUMPRODUCT((Ввод!$F$12:$F$31&lt;&gt;"")*(Ввод!$F$12:$F$31&lt;=A1133)*(Ввод!$G$12:$G$31&gt;=A1133))&gt;0,1,0))</f>
        <v/>
      </c>
      <c r="G1133" t="str">
        <f t="shared" si="35"/>
        <v/>
      </c>
    </row>
    <row r="1134" spans="1:7" x14ac:dyDescent="0.3">
      <c r="A1134" s="21" t="str">
        <f>IF(A1133="","",IF(A1133+1&gt;Ввод!$B$4,"",A1133+1))</f>
        <v/>
      </c>
      <c r="B1134" s="23" t="str">
        <f>IF(A1134="","",IFERROR(INDEX(Ввод!$B$12:$B$71,MATCH(A1134,Ввод!$D$12:$D$71,1)),""))</f>
        <v/>
      </c>
      <c r="C1134" t="str">
        <f t="shared" si="34"/>
        <v/>
      </c>
      <c r="D1134" t="str">
        <f>IF(A1134="","",SUMIFS(Акты!$D$5:$D$16,Акты!$E$5:$E$16,"&lt;="&amp;A1134)-SUMIFS(Оплаты!$B$6:$B$505,Оплаты!$A$6:$A$505,"&lt;"&amp;A1134,Оплаты!$D$6:$D$505,"&lt;&gt;"))</f>
        <v/>
      </c>
      <c r="E1134" t="str">
        <f>IF(A1134="","",IF(SUMPRODUCT((Ввод!$F$12:$F$31&lt;&gt;"")*(Ввод!$F$12:$F$31&lt;=A1134)*(Ввод!$G$12:$G$31&gt;=A1134))&gt;0,1,0))</f>
        <v/>
      </c>
      <c r="G1134" t="str">
        <f t="shared" si="35"/>
        <v/>
      </c>
    </row>
    <row r="1135" spans="1:7" x14ac:dyDescent="0.3">
      <c r="A1135" s="21" t="str">
        <f>IF(A1134="","",IF(A1134+1&gt;Ввод!$B$4,"",A1134+1))</f>
        <v/>
      </c>
      <c r="B1135" s="23" t="str">
        <f>IF(A1135="","",IFERROR(INDEX(Ввод!$B$12:$B$71,MATCH(A1135,Ввод!$D$12:$D$71,1)),""))</f>
        <v/>
      </c>
      <c r="C1135" t="str">
        <f t="shared" si="34"/>
        <v/>
      </c>
      <c r="D1135" t="str">
        <f>IF(A1135="","",SUMIFS(Акты!$D$5:$D$16,Акты!$E$5:$E$16,"&lt;="&amp;A1135)-SUMIFS(Оплаты!$B$6:$B$505,Оплаты!$A$6:$A$505,"&lt;"&amp;A1135,Оплаты!$D$6:$D$505,"&lt;&gt;"))</f>
        <v/>
      </c>
      <c r="E1135" t="str">
        <f>IF(A1135="","",IF(SUMPRODUCT((Ввод!$F$12:$F$31&lt;&gt;"")*(Ввод!$F$12:$F$31&lt;=A1135)*(Ввод!$G$12:$G$31&gt;=A1135))&gt;0,1,0))</f>
        <v/>
      </c>
      <c r="G1135" t="str">
        <f t="shared" si="35"/>
        <v/>
      </c>
    </row>
    <row r="1136" spans="1:7" x14ac:dyDescent="0.3">
      <c r="A1136" s="21" t="str">
        <f>IF(A1135="","",IF(A1135+1&gt;Ввод!$B$4,"",A1135+1))</f>
        <v/>
      </c>
      <c r="B1136" s="23" t="str">
        <f>IF(A1136="","",IFERROR(INDEX(Ввод!$B$12:$B$71,MATCH(A1136,Ввод!$D$12:$D$71,1)),""))</f>
        <v/>
      </c>
      <c r="C1136" t="str">
        <f t="shared" si="34"/>
        <v/>
      </c>
      <c r="D1136" t="str">
        <f>IF(A1136="","",SUMIFS(Акты!$D$5:$D$16,Акты!$E$5:$E$16,"&lt;="&amp;A1136)-SUMIFS(Оплаты!$B$6:$B$505,Оплаты!$A$6:$A$505,"&lt;"&amp;A1136,Оплаты!$D$6:$D$505,"&lt;&gt;"))</f>
        <v/>
      </c>
      <c r="E1136" t="str">
        <f>IF(A1136="","",IF(SUMPRODUCT((Ввод!$F$12:$F$31&lt;&gt;"")*(Ввод!$F$12:$F$31&lt;=A1136)*(Ввод!$G$12:$G$31&gt;=A1136))&gt;0,1,0))</f>
        <v/>
      </c>
      <c r="G1136" t="str">
        <f t="shared" si="35"/>
        <v/>
      </c>
    </row>
    <row r="1137" spans="1:7" x14ac:dyDescent="0.3">
      <c r="A1137" s="21" t="str">
        <f>IF(A1136="","",IF(A1136+1&gt;Ввод!$B$4,"",A1136+1))</f>
        <v/>
      </c>
      <c r="B1137" s="23" t="str">
        <f>IF(A1137="","",IFERROR(INDEX(Ввод!$B$12:$B$71,MATCH(A1137,Ввод!$D$12:$D$71,1)),""))</f>
        <v/>
      </c>
      <c r="C1137" t="str">
        <f t="shared" si="34"/>
        <v/>
      </c>
      <c r="D1137" t="str">
        <f>IF(A1137="","",SUMIFS(Акты!$D$5:$D$16,Акты!$E$5:$E$16,"&lt;="&amp;A1137)-SUMIFS(Оплаты!$B$6:$B$505,Оплаты!$A$6:$A$505,"&lt;"&amp;A1137,Оплаты!$D$6:$D$505,"&lt;&gt;"))</f>
        <v/>
      </c>
      <c r="E1137" t="str">
        <f>IF(A1137="","",IF(SUMPRODUCT((Ввод!$F$12:$F$31&lt;&gt;"")*(Ввод!$F$12:$F$31&lt;=A1137)*(Ввод!$G$12:$G$31&gt;=A1137))&gt;0,1,0))</f>
        <v/>
      </c>
      <c r="G1137" t="str">
        <f t="shared" si="35"/>
        <v/>
      </c>
    </row>
    <row r="1138" spans="1:7" x14ac:dyDescent="0.3">
      <c r="A1138" s="21" t="str">
        <f>IF(A1137="","",IF(A1137+1&gt;Ввод!$B$4,"",A1137+1))</f>
        <v/>
      </c>
      <c r="B1138" s="23" t="str">
        <f>IF(A1138="","",IFERROR(INDEX(Ввод!$B$12:$B$71,MATCH(A1138,Ввод!$D$12:$D$71,1)),""))</f>
        <v/>
      </c>
      <c r="C1138" t="str">
        <f t="shared" si="34"/>
        <v/>
      </c>
      <c r="D1138" t="str">
        <f>IF(A1138="","",SUMIFS(Акты!$D$5:$D$16,Акты!$E$5:$E$16,"&lt;="&amp;A1138)-SUMIFS(Оплаты!$B$6:$B$505,Оплаты!$A$6:$A$505,"&lt;"&amp;A1138,Оплаты!$D$6:$D$505,"&lt;&gt;"))</f>
        <v/>
      </c>
      <c r="E1138" t="str">
        <f>IF(A1138="","",IF(SUMPRODUCT((Ввод!$F$12:$F$31&lt;&gt;"")*(Ввод!$F$12:$F$31&lt;=A1138)*(Ввод!$G$12:$G$31&gt;=A1138))&gt;0,1,0))</f>
        <v/>
      </c>
      <c r="G1138" t="str">
        <f t="shared" si="35"/>
        <v/>
      </c>
    </row>
    <row r="1139" spans="1:7" x14ac:dyDescent="0.3">
      <c r="A1139" s="21" t="str">
        <f>IF(A1138="","",IF(A1138+1&gt;Ввод!$B$4,"",A1138+1))</f>
        <v/>
      </c>
      <c r="B1139" s="23" t="str">
        <f>IF(A1139="","",IFERROR(INDEX(Ввод!$B$12:$B$71,MATCH(A1139,Ввод!$D$12:$D$71,1)),""))</f>
        <v/>
      </c>
      <c r="C1139" t="str">
        <f t="shared" si="34"/>
        <v/>
      </c>
      <c r="D1139" t="str">
        <f>IF(A1139="","",SUMIFS(Акты!$D$5:$D$16,Акты!$E$5:$E$16,"&lt;="&amp;A1139)-SUMIFS(Оплаты!$B$6:$B$505,Оплаты!$A$6:$A$505,"&lt;"&amp;A1139,Оплаты!$D$6:$D$505,"&lt;&gt;"))</f>
        <v/>
      </c>
      <c r="E1139" t="str">
        <f>IF(A1139="","",IF(SUMPRODUCT((Ввод!$F$12:$F$31&lt;&gt;"")*(Ввод!$F$12:$F$31&lt;=A1139)*(Ввод!$G$12:$G$31&gt;=A1139))&gt;0,1,0))</f>
        <v/>
      </c>
      <c r="G1139" t="str">
        <f t="shared" si="35"/>
        <v/>
      </c>
    </row>
    <row r="1140" spans="1:7" x14ac:dyDescent="0.3">
      <c r="A1140" s="21" t="str">
        <f>IF(A1139="","",IF(A1139+1&gt;Ввод!$B$4,"",A1139+1))</f>
        <v/>
      </c>
      <c r="B1140" s="23" t="str">
        <f>IF(A1140="","",IFERROR(INDEX(Ввод!$B$12:$B$71,MATCH(A1140,Ввод!$D$12:$D$71,1)),""))</f>
        <v/>
      </c>
      <c r="C1140" t="str">
        <f t="shared" si="34"/>
        <v/>
      </c>
      <c r="D1140" t="str">
        <f>IF(A1140="","",SUMIFS(Акты!$D$5:$D$16,Акты!$E$5:$E$16,"&lt;="&amp;A1140)-SUMIFS(Оплаты!$B$6:$B$505,Оплаты!$A$6:$A$505,"&lt;"&amp;A1140,Оплаты!$D$6:$D$505,"&lt;&gt;"))</f>
        <v/>
      </c>
      <c r="E1140" t="str">
        <f>IF(A1140="","",IF(SUMPRODUCT((Ввод!$F$12:$F$31&lt;&gt;"")*(Ввод!$F$12:$F$31&lt;=A1140)*(Ввод!$G$12:$G$31&gt;=A1140))&gt;0,1,0))</f>
        <v/>
      </c>
      <c r="G1140" t="str">
        <f t="shared" si="35"/>
        <v/>
      </c>
    </row>
    <row r="1141" spans="1:7" x14ac:dyDescent="0.3">
      <c r="A1141" s="21" t="str">
        <f>IF(A1140="","",IF(A1140+1&gt;Ввод!$B$4,"",A1140+1))</f>
        <v/>
      </c>
      <c r="B1141" s="23" t="str">
        <f>IF(A1141="","",IFERROR(INDEX(Ввод!$B$12:$B$71,MATCH(A1141,Ввод!$D$12:$D$71,1)),""))</f>
        <v/>
      </c>
      <c r="C1141" t="str">
        <f t="shared" si="34"/>
        <v/>
      </c>
      <c r="D1141" t="str">
        <f>IF(A1141="","",SUMIFS(Акты!$D$5:$D$16,Акты!$E$5:$E$16,"&lt;="&amp;A1141)-SUMIFS(Оплаты!$B$6:$B$505,Оплаты!$A$6:$A$505,"&lt;"&amp;A1141,Оплаты!$D$6:$D$505,"&lt;&gt;"))</f>
        <v/>
      </c>
      <c r="E1141" t="str">
        <f>IF(A1141="","",IF(SUMPRODUCT((Ввод!$F$12:$F$31&lt;&gt;"")*(Ввод!$F$12:$F$31&lt;=A1141)*(Ввод!$G$12:$G$31&gt;=A1141))&gt;0,1,0))</f>
        <v/>
      </c>
      <c r="G1141" t="str">
        <f t="shared" si="35"/>
        <v/>
      </c>
    </row>
    <row r="1142" spans="1:7" x14ac:dyDescent="0.3">
      <c r="A1142" s="21" t="str">
        <f>IF(A1141="","",IF(A1141+1&gt;Ввод!$B$4,"",A1141+1))</f>
        <v/>
      </c>
      <c r="B1142" s="23" t="str">
        <f>IF(A1142="","",IFERROR(INDEX(Ввод!$B$12:$B$71,MATCH(A1142,Ввод!$D$12:$D$71,1)),""))</f>
        <v/>
      </c>
      <c r="C1142" t="str">
        <f t="shared" si="34"/>
        <v/>
      </c>
      <c r="D1142" t="str">
        <f>IF(A1142="","",SUMIFS(Акты!$D$5:$D$16,Акты!$E$5:$E$16,"&lt;="&amp;A1142)-SUMIFS(Оплаты!$B$6:$B$505,Оплаты!$A$6:$A$505,"&lt;"&amp;A1142,Оплаты!$D$6:$D$505,"&lt;&gt;"))</f>
        <v/>
      </c>
      <c r="E1142" t="str">
        <f>IF(A1142="","",IF(SUMPRODUCT((Ввод!$F$12:$F$31&lt;&gt;"")*(Ввод!$F$12:$F$31&lt;=A1142)*(Ввод!$G$12:$G$31&gt;=A1142))&gt;0,1,0))</f>
        <v/>
      </c>
      <c r="G1142" t="str">
        <f t="shared" si="35"/>
        <v/>
      </c>
    </row>
    <row r="1143" spans="1:7" x14ac:dyDescent="0.3">
      <c r="A1143" s="21" t="str">
        <f>IF(A1142="","",IF(A1142+1&gt;Ввод!$B$4,"",A1142+1))</f>
        <v/>
      </c>
      <c r="B1143" s="23" t="str">
        <f>IF(A1143="","",IFERROR(INDEX(Ввод!$B$12:$B$71,MATCH(A1143,Ввод!$D$12:$D$71,1)),""))</f>
        <v/>
      </c>
      <c r="C1143" t="str">
        <f t="shared" si="34"/>
        <v/>
      </c>
      <c r="D1143" t="str">
        <f>IF(A1143="","",SUMIFS(Акты!$D$5:$D$16,Акты!$E$5:$E$16,"&lt;="&amp;A1143)-SUMIFS(Оплаты!$B$6:$B$505,Оплаты!$A$6:$A$505,"&lt;"&amp;A1143,Оплаты!$D$6:$D$505,"&lt;&gt;"))</f>
        <v/>
      </c>
      <c r="E1143" t="str">
        <f>IF(A1143="","",IF(SUMPRODUCT((Ввод!$F$12:$F$31&lt;&gt;"")*(Ввод!$F$12:$F$31&lt;=A1143)*(Ввод!$G$12:$G$31&gt;=A1143))&gt;0,1,0))</f>
        <v/>
      </c>
      <c r="G1143" t="str">
        <f t="shared" si="35"/>
        <v/>
      </c>
    </row>
    <row r="1144" spans="1:7" x14ac:dyDescent="0.3">
      <c r="A1144" s="21" t="str">
        <f>IF(A1143="","",IF(A1143+1&gt;Ввод!$B$4,"",A1143+1))</f>
        <v/>
      </c>
      <c r="B1144" s="23" t="str">
        <f>IF(A1144="","",IFERROR(INDEX(Ввод!$B$12:$B$71,MATCH(A1144,Ввод!$D$12:$D$71,1)),""))</f>
        <v/>
      </c>
      <c r="C1144" t="str">
        <f t="shared" si="34"/>
        <v/>
      </c>
      <c r="D1144" t="str">
        <f>IF(A1144="","",SUMIFS(Акты!$D$5:$D$16,Акты!$E$5:$E$16,"&lt;="&amp;A1144)-SUMIFS(Оплаты!$B$6:$B$505,Оплаты!$A$6:$A$505,"&lt;"&amp;A1144,Оплаты!$D$6:$D$505,"&lt;&gt;"))</f>
        <v/>
      </c>
      <c r="E1144" t="str">
        <f>IF(A1144="","",IF(SUMPRODUCT((Ввод!$F$12:$F$31&lt;&gt;"")*(Ввод!$F$12:$F$31&lt;=A1144)*(Ввод!$G$12:$G$31&gt;=A1144))&gt;0,1,0))</f>
        <v/>
      </c>
      <c r="G1144" t="str">
        <f t="shared" si="35"/>
        <v/>
      </c>
    </row>
    <row r="1145" spans="1:7" x14ac:dyDescent="0.3">
      <c r="A1145" s="21" t="str">
        <f>IF(A1144="","",IF(A1144+1&gt;Ввод!$B$4,"",A1144+1))</f>
        <v/>
      </c>
      <c r="B1145" s="23" t="str">
        <f>IF(A1145="","",IFERROR(INDEX(Ввод!$B$12:$B$71,MATCH(A1145,Ввод!$D$12:$D$71,1)),""))</f>
        <v/>
      </c>
      <c r="C1145" t="str">
        <f t="shared" si="34"/>
        <v/>
      </c>
      <c r="D1145" t="str">
        <f>IF(A1145="","",SUMIFS(Акты!$D$5:$D$16,Акты!$E$5:$E$16,"&lt;="&amp;A1145)-SUMIFS(Оплаты!$B$6:$B$505,Оплаты!$A$6:$A$505,"&lt;"&amp;A1145,Оплаты!$D$6:$D$505,"&lt;&gt;"))</f>
        <v/>
      </c>
      <c r="E1145" t="str">
        <f>IF(A1145="","",IF(SUMPRODUCT((Ввод!$F$12:$F$31&lt;&gt;"")*(Ввод!$F$12:$F$31&lt;=A1145)*(Ввод!$G$12:$G$31&gt;=A1145))&gt;0,1,0))</f>
        <v/>
      </c>
      <c r="G1145" t="str">
        <f t="shared" si="35"/>
        <v/>
      </c>
    </row>
    <row r="1146" spans="1:7" x14ac:dyDescent="0.3">
      <c r="A1146" s="21" t="str">
        <f>IF(A1145="","",IF(A1145+1&gt;Ввод!$B$4,"",A1145+1))</f>
        <v/>
      </c>
      <c r="B1146" s="23" t="str">
        <f>IF(A1146="","",IFERROR(INDEX(Ввод!$B$12:$B$71,MATCH(A1146,Ввод!$D$12:$D$71,1)),""))</f>
        <v/>
      </c>
      <c r="C1146" t="str">
        <f t="shared" si="34"/>
        <v/>
      </c>
      <c r="D1146" t="str">
        <f>IF(A1146="","",SUMIFS(Акты!$D$5:$D$16,Акты!$E$5:$E$16,"&lt;="&amp;A1146)-SUMIFS(Оплаты!$B$6:$B$505,Оплаты!$A$6:$A$505,"&lt;"&amp;A1146,Оплаты!$D$6:$D$505,"&lt;&gt;"))</f>
        <v/>
      </c>
      <c r="E1146" t="str">
        <f>IF(A1146="","",IF(SUMPRODUCT((Ввод!$F$12:$F$31&lt;&gt;"")*(Ввод!$F$12:$F$31&lt;=A1146)*(Ввод!$G$12:$G$31&gt;=A1146))&gt;0,1,0))</f>
        <v/>
      </c>
      <c r="G1146" t="str">
        <f t="shared" si="35"/>
        <v/>
      </c>
    </row>
    <row r="1147" spans="1:7" x14ac:dyDescent="0.3">
      <c r="A1147" s="21" t="str">
        <f>IF(A1146="","",IF(A1146+1&gt;Ввод!$B$4,"",A1146+1))</f>
        <v/>
      </c>
      <c r="B1147" s="23" t="str">
        <f>IF(A1147="","",IFERROR(INDEX(Ввод!$B$12:$B$71,MATCH(A1147,Ввод!$D$12:$D$71,1)),""))</f>
        <v/>
      </c>
      <c r="C1147" t="str">
        <f t="shared" si="34"/>
        <v/>
      </c>
      <c r="D1147" t="str">
        <f>IF(A1147="","",SUMIFS(Акты!$D$5:$D$16,Акты!$E$5:$E$16,"&lt;="&amp;A1147)-SUMIFS(Оплаты!$B$6:$B$505,Оплаты!$A$6:$A$505,"&lt;"&amp;A1147,Оплаты!$D$6:$D$505,"&lt;&gt;"))</f>
        <v/>
      </c>
      <c r="E1147" t="str">
        <f>IF(A1147="","",IF(SUMPRODUCT((Ввод!$F$12:$F$31&lt;&gt;"")*(Ввод!$F$12:$F$31&lt;=A1147)*(Ввод!$G$12:$G$31&gt;=A1147))&gt;0,1,0))</f>
        <v/>
      </c>
      <c r="G1147" t="str">
        <f t="shared" si="35"/>
        <v/>
      </c>
    </row>
    <row r="1148" spans="1:7" x14ac:dyDescent="0.3">
      <c r="A1148" s="21" t="str">
        <f>IF(A1147="","",IF(A1147+1&gt;Ввод!$B$4,"",A1147+1))</f>
        <v/>
      </c>
      <c r="B1148" s="23" t="str">
        <f>IF(A1148="","",IFERROR(INDEX(Ввод!$B$12:$B$71,MATCH(A1148,Ввод!$D$12:$D$71,1)),""))</f>
        <v/>
      </c>
      <c r="C1148" t="str">
        <f t="shared" si="34"/>
        <v/>
      </c>
      <c r="D1148" t="str">
        <f>IF(A1148="","",SUMIFS(Акты!$D$5:$D$16,Акты!$E$5:$E$16,"&lt;="&amp;A1148)-SUMIFS(Оплаты!$B$6:$B$505,Оплаты!$A$6:$A$505,"&lt;"&amp;A1148,Оплаты!$D$6:$D$505,"&lt;&gt;"))</f>
        <v/>
      </c>
      <c r="E1148" t="str">
        <f>IF(A1148="","",IF(SUMPRODUCT((Ввод!$F$12:$F$31&lt;&gt;"")*(Ввод!$F$12:$F$31&lt;=A1148)*(Ввод!$G$12:$G$31&gt;=A1148))&gt;0,1,0))</f>
        <v/>
      </c>
      <c r="G1148" t="str">
        <f t="shared" si="35"/>
        <v/>
      </c>
    </row>
    <row r="1149" spans="1:7" x14ac:dyDescent="0.3">
      <c r="A1149" s="21" t="str">
        <f>IF(A1148="","",IF(A1148+1&gt;Ввод!$B$4,"",A1148+1))</f>
        <v/>
      </c>
      <c r="B1149" s="23" t="str">
        <f>IF(A1149="","",IFERROR(INDEX(Ввод!$B$12:$B$71,MATCH(A1149,Ввод!$D$12:$D$71,1)),""))</f>
        <v/>
      </c>
      <c r="C1149" t="str">
        <f t="shared" si="34"/>
        <v/>
      </c>
      <c r="D1149" t="str">
        <f>IF(A1149="","",SUMIFS(Акты!$D$5:$D$16,Акты!$E$5:$E$16,"&lt;="&amp;A1149)-SUMIFS(Оплаты!$B$6:$B$505,Оплаты!$A$6:$A$505,"&lt;"&amp;A1149,Оплаты!$D$6:$D$505,"&lt;&gt;"))</f>
        <v/>
      </c>
      <c r="E1149" t="str">
        <f>IF(A1149="","",IF(SUMPRODUCT((Ввод!$F$12:$F$31&lt;&gt;"")*(Ввод!$F$12:$F$31&lt;=A1149)*(Ввод!$G$12:$G$31&gt;=A1149))&gt;0,1,0))</f>
        <v/>
      </c>
      <c r="G1149" t="str">
        <f t="shared" si="35"/>
        <v/>
      </c>
    </row>
    <row r="1150" spans="1:7" x14ac:dyDescent="0.3">
      <c r="A1150" s="21" t="str">
        <f>IF(A1149="","",IF(A1149+1&gt;Ввод!$B$4,"",A1149+1))</f>
        <v/>
      </c>
      <c r="B1150" s="23" t="str">
        <f>IF(A1150="","",IFERROR(INDEX(Ввод!$B$12:$B$71,MATCH(A1150,Ввод!$D$12:$D$71,1)),""))</f>
        <v/>
      </c>
      <c r="C1150" t="str">
        <f t="shared" si="34"/>
        <v/>
      </c>
      <c r="D1150" t="str">
        <f>IF(A1150="","",SUMIFS(Акты!$D$5:$D$16,Акты!$E$5:$E$16,"&lt;="&amp;A1150)-SUMIFS(Оплаты!$B$6:$B$505,Оплаты!$A$6:$A$505,"&lt;"&amp;A1150,Оплаты!$D$6:$D$505,"&lt;&gt;"))</f>
        <v/>
      </c>
      <c r="E1150" t="str">
        <f>IF(A1150="","",IF(SUMPRODUCT((Ввод!$F$12:$F$31&lt;&gt;"")*(Ввод!$F$12:$F$31&lt;=A1150)*(Ввод!$G$12:$G$31&gt;=A1150))&gt;0,1,0))</f>
        <v/>
      </c>
      <c r="G1150" t="str">
        <f t="shared" si="35"/>
        <v/>
      </c>
    </row>
    <row r="1151" spans="1:7" x14ac:dyDescent="0.3">
      <c r="A1151" s="21" t="str">
        <f>IF(A1150="","",IF(A1150+1&gt;Ввод!$B$4,"",A1150+1))</f>
        <v/>
      </c>
      <c r="B1151" s="23" t="str">
        <f>IF(A1151="","",IFERROR(INDEX(Ввод!$B$12:$B$71,MATCH(A1151,Ввод!$D$12:$D$71,1)),""))</f>
        <v/>
      </c>
      <c r="C1151" t="str">
        <f t="shared" si="34"/>
        <v/>
      </c>
      <c r="D1151" t="str">
        <f>IF(A1151="","",SUMIFS(Акты!$D$5:$D$16,Акты!$E$5:$E$16,"&lt;="&amp;A1151)-SUMIFS(Оплаты!$B$6:$B$505,Оплаты!$A$6:$A$505,"&lt;"&amp;A1151,Оплаты!$D$6:$D$505,"&lt;&gt;"))</f>
        <v/>
      </c>
      <c r="E1151" t="str">
        <f>IF(A1151="","",IF(SUMPRODUCT((Ввод!$F$12:$F$31&lt;&gt;"")*(Ввод!$F$12:$F$31&lt;=A1151)*(Ввод!$G$12:$G$31&gt;=A1151))&gt;0,1,0))</f>
        <v/>
      </c>
      <c r="G1151" t="str">
        <f t="shared" si="35"/>
        <v/>
      </c>
    </row>
    <row r="1152" spans="1:7" x14ac:dyDescent="0.3">
      <c r="A1152" s="21" t="str">
        <f>IF(A1151="","",IF(A1151+1&gt;Ввод!$B$4,"",A1151+1))</f>
        <v/>
      </c>
      <c r="B1152" s="23" t="str">
        <f>IF(A1152="","",IFERROR(INDEX(Ввод!$B$12:$B$71,MATCH(A1152,Ввод!$D$12:$D$71,1)),""))</f>
        <v/>
      </c>
      <c r="C1152" t="str">
        <f t="shared" si="34"/>
        <v/>
      </c>
      <c r="D1152" t="str">
        <f>IF(A1152="","",SUMIFS(Акты!$D$5:$D$16,Акты!$E$5:$E$16,"&lt;="&amp;A1152)-SUMIFS(Оплаты!$B$6:$B$505,Оплаты!$A$6:$A$505,"&lt;"&amp;A1152,Оплаты!$D$6:$D$505,"&lt;&gt;"))</f>
        <v/>
      </c>
      <c r="E1152" t="str">
        <f>IF(A1152="","",IF(SUMPRODUCT((Ввод!$F$12:$F$31&lt;&gt;"")*(Ввод!$F$12:$F$31&lt;=A1152)*(Ввод!$G$12:$G$31&gt;=A1152))&gt;0,1,0))</f>
        <v/>
      </c>
      <c r="G1152" t="str">
        <f t="shared" si="35"/>
        <v/>
      </c>
    </row>
    <row r="1153" spans="1:7" x14ac:dyDescent="0.3">
      <c r="A1153" s="21" t="str">
        <f>IF(A1152="","",IF(A1152+1&gt;Ввод!$B$4,"",A1152+1))</f>
        <v/>
      </c>
      <c r="B1153" s="23" t="str">
        <f>IF(A1153="","",IFERROR(INDEX(Ввод!$B$12:$B$71,MATCH(A1153,Ввод!$D$12:$D$71,1)),""))</f>
        <v/>
      </c>
      <c r="C1153" t="str">
        <f t="shared" si="34"/>
        <v/>
      </c>
      <c r="D1153" t="str">
        <f>IF(A1153="","",SUMIFS(Акты!$D$5:$D$16,Акты!$E$5:$E$16,"&lt;="&amp;A1153)-SUMIFS(Оплаты!$B$6:$B$505,Оплаты!$A$6:$A$505,"&lt;"&amp;A1153,Оплаты!$D$6:$D$505,"&lt;&gt;"))</f>
        <v/>
      </c>
      <c r="E1153" t="str">
        <f>IF(A1153="","",IF(SUMPRODUCT((Ввод!$F$12:$F$31&lt;&gt;"")*(Ввод!$F$12:$F$31&lt;=A1153)*(Ввод!$G$12:$G$31&gt;=A1153))&gt;0,1,0))</f>
        <v/>
      </c>
      <c r="G1153" t="str">
        <f t="shared" si="35"/>
        <v/>
      </c>
    </row>
    <row r="1154" spans="1:7" x14ac:dyDescent="0.3">
      <c r="A1154" s="21" t="str">
        <f>IF(A1153="","",IF(A1153+1&gt;Ввод!$B$4,"",A1153+1))</f>
        <v/>
      </c>
      <c r="B1154" s="23" t="str">
        <f>IF(A1154="","",IFERROR(INDEX(Ввод!$B$12:$B$71,MATCH(A1154,Ввод!$D$12:$D$71,1)),""))</f>
        <v/>
      </c>
      <c r="C1154" t="str">
        <f t="shared" ref="C1154:C1217" si="36">IF(A1154="","",DATE(YEAR(A1154),12,31)-DATE(YEAR(A1154),1,1)+1)</f>
        <v/>
      </c>
      <c r="D1154" t="str">
        <f>IF(A1154="","",SUMIFS(Акты!$D$5:$D$16,Акты!$E$5:$E$16,"&lt;="&amp;A1154)-SUMIFS(Оплаты!$B$6:$B$505,Оплаты!$A$6:$A$505,"&lt;"&amp;A1154,Оплаты!$D$6:$D$505,"&lt;&gt;"))</f>
        <v/>
      </c>
      <c r="E1154" t="str">
        <f>IF(A1154="","",IF(SUMPRODUCT((Ввод!$F$12:$F$31&lt;&gt;"")*(Ввод!$F$12:$F$31&lt;=A1154)*(Ввод!$G$12:$G$31&gt;=A1154))&gt;0,1,0))</f>
        <v/>
      </c>
      <c r="G1154" t="str">
        <f t="shared" si="35"/>
        <v/>
      </c>
    </row>
    <row r="1155" spans="1:7" x14ac:dyDescent="0.3">
      <c r="A1155" s="21" t="str">
        <f>IF(A1154="","",IF(A1154+1&gt;Ввод!$B$4,"",A1154+1))</f>
        <v/>
      </c>
      <c r="B1155" s="23" t="str">
        <f>IF(A1155="","",IFERROR(INDEX(Ввод!$B$12:$B$71,MATCH(A1155,Ввод!$D$12:$D$71,1)),""))</f>
        <v/>
      </c>
      <c r="C1155" t="str">
        <f t="shared" si="36"/>
        <v/>
      </c>
      <c r="D1155" t="str">
        <f>IF(A1155="","",SUMIFS(Акты!$D$5:$D$16,Акты!$E$5:$E$16,"&lt;="&amp;A1155)-SUMIFS(Оплаты!$B$6:$B$505,Оплаты!$A$6:$A$505,"&lt;"&amp;A1155,Оплаты!$D$6:$D$505,"&lt;&gt;"))</f>
        <v/>
      </c>
      <c r="E1155" t="str">
        <f>IF(A1155="","",IF(SUMPRODUCT((Ввод!$F$12:$F$31&lt;&gt;"")*(Ввод!$F$12:$F$31&lt;=A1155)*(Ввод!$G$12:$G$31&gt;=A1155))&gt;0,1,0))</f>
        <v/>
      </c>
      <c r="G1155" t="str">
        <f t="shared" ref="G1155:G1218" si="37">IF(A1155="","",IF(OR(B1155&lt;&gt;B1154,C1155&lt;&gt;C1154,E1155&lt;&gt;E1154),G1154+1,G1154))</f>
        <v/>
      </c>
    </row>
    <row r="1156" spans="1:7" x14ac:dyDescent="0.3">
      <c r="A1156" s="21" t="str">
        <f>IF(A1155="","",IF(A1155+1&gt;Ввод!$B$4,"",A1155+1))</f>
        <v/>
      </c>
      <c r="B1156" s="23" t="str">
        <f>IF(A1156="","",IFERROR(INDEX(Ввод!$B$12:$B$71,MATCH(A1156,Ввод!$D$12:$D$71,1)),""))</f>
        <v/>
      </c>
      <c r="C1156" t="str">
        <f t="shared" si="36"/>
        <v/>
      </c>
      <c r="D1156" t="str">
        <f>IF(A1156="","",SUMIFS(Акты!$D$5:$D$16,Акты!$E$5:$E$16,"&lt;="&amp;A1156)-SUMIFS(Оплаты!$B$6:$B$505,Оплаты!$A$6:$A$505,"&lt;"&amp;A1156,Оплаты!$D$6:$D$505,"&lt;&gt;"))</f>
        <v/>
      </c>
      <c r="E1156" t="str">
        <f>IF(A1156="","",IF(SUMPRODUCT((Ввод!$F$12:$F$31&lt;&gt;"")*(Ввод!$F$12:$F$31&lt;=A1156)*(Ввод!$G$12:$G$31&gt;=A1156))&gt;0,1,0))</f>
        <v/>
      </c>
      <c r="G1156" t="str">
        <f t="shared" si="37"/>
        <v/>
      </c>
    </row>
    <row r="1157" spans="1:7" x14ac:dyDescent="0.3">
      <c r="A1157" s="21" t="str">
        <f>IF(A1156="","",IF(A1156+1&gt;Ввод!$B$4,"",A1156+1))</f>
        <v/>
      </c>
      <c r="B1157" s="23" t="str">
        <f>IF(A1157="","",IFERROR(INDEX(Ввод!$B$12:$B$71,MATCH(A1157,Ввод!$D$12:$D$71,1)),""))</f>
        <v/>
      </c>
      <c r="C1157" t="str">
        <f t="shared" si="36"/>
        <v/>
      </c>
      <c r="D1157" t="str">
        <f>IF(A1157="","",SUMIFS(Акты!$D$5:$D$16,Акты!$E$5:$E$16,"&lt;="&amp;A1157)-SUMIFS(Оплаты!$B$6:$B$505,Оплаты!$A$6:$A$505,"&lt;"&amp;A1157,Оплаты!$D$6:$D$505,"&lt;&gt;"))</f>
        <v/>
      </c>
      <c r="E1157" t="str">
        <f>IF(A1157="","",IF(SUMPRODUCT((Ввод!$F$12:$F$31&lt;&gt;"")*(Ввод!$F$12:$F$31&lt;=A1157)*(Ввод!$G$12:$G$31&gt;=A1157))&gt;0,1,0))</f>
        <v/>
      </c>
      <c r="G1157" t="str">
        <f t="shared" si="37"/>
        <v/>
      </c>
    </row>
    <row r="1158" spans="1:7" x14ac:dyDescent="0.3">
      <c r="A1158" s="21" t="str">
        <f>IF(A1157="","",IF(A1157+1&gt;Ввод!$B$4,"",A1157+1))</f>
        <v/>
      </c>
      <c r="B1158" s="23" t="str">
        <f>IF(A1158="","",IFERROR(INDEX(Ввод!$B$12:$B$71,MATCH(A1158,Ввод!$D$12:$D$71,1)),""))</f>
        <v/>
      </c>
      <c r="C1158" t="str">
        <f t="shared" si="36"/>
        <v/>
      </c>
      <c r="D1158" t="str">
        <f>IF(A1158="","",SUMIFS(Акты!$D$5:$D$16,Акты!$E$5:$E$16,"&lt;="&amp;A1158)-SUMIFS(Оплаты!$B$6:$B$505,Оплаты!$A$6:$A$505,"&lt;"&amp;A1158,Оплаты!$D$6:$D$505,"&lt;&gt;"))</f>
        <v/>
      </c>
      <c r="E1158" t="str">
        <f>IF(A1158="","",IF(SUMPRODUCT((Ввод!$F$12:$F$31&lt;&gt;"")*(Ввод!$F$12:$F$31&lt;=A1158)*(Ввод!$G$12:$G$31&gt;=A1158))&gt;0,1,0))</f>
        <v/>
      </c>
      <c r="G1158" t="str">
        <f t="shared" si="37"/>
        <v/>
      </c>
    </row>
    <row r="1159" spans="1:7" x14ac:dyDescent="0.3">
      <c r="A1159" s="21" t="str">
        <f>IF(A1158="","",IF(A1158+1&gt;Ввод!$B$4,"",A1158+1))</f>
        <v/>
      </c>
      <c r="B1159" s="23" t="str">
        <f>IF(A1159="","",IFERROR(INDEX(Ввод!$B$12:$B$71,MATCH(A1159,Ввод!$D$12:$D$71,1)),""))</f>
        <v/>
      </c>
      <c r="C1159" t="str">
        <f t="shared" si="36"/>
        <v/>
      </c>
      <c r="D1159" t="str">
        <f>IF(A1159="","",SUMIFS(Акты!$D$5:$D$16,Акты!$E$5:$E$16,"&lt;="&amp;A1159)-SUMIFS(Оплаты!$B$6:$B$505,Оплаты!$A$6:$A$505,"&lt;"&amp;A1159,Оплаты!$D$6:$D$505,"&lt;&gt;"))</f>
        <v/>
      </c>
      <c r="E1159" t="str">
        <f>IF(A1159="","",IF(SUMPRODUCT((Ввод!$F$12:$F$31&lt;&gt;"")*(Ввод!$F$12:$F$31&lt;=A1159)*(Ввод!$G$12:$G$31&gt;=A1159))&gt;0,1,0))</f>
        <v/>
      </c>
      <c r="G1159" t="str">
        <f t="shared" si="37"/>
        <v/>
      </c>
    </row>
    <row r="1160" spans="1:7" x14ac:dyDescent="0.3">
      <c r="A1160" s="21" t="str">
        <f>IF(A1159="","",IF(A1159+1&gt;Ввод!$B$4,"",A1159+1))</f>
        <v/>
      </c>
      <c r="B1160" s="23" t="str">
        <f>IF(A1160="","",IFERROR(INDEX(Ввод!$B$12:$B$71,MATCH(A1160,Ввод!$D$12:$D$71,1)),""))</f>
        <v/>
      </c>
      <c r="C1160" t="str">
        <f t="shared" si="36"/>
        <v/>
      </c>
      <c r="D1160" t="str">
        <f>IF(A1160="","",SUMIFS(Акты!$D$5:$D$16,Акты!$E$5:$E$16,"&lt;="&amp;A1160)-SUMIFS(Оплаты!$B$6:$B$505,Оплаты!$A$6:$A$505,"&lt;"&amp;A1160,Оплаты!$D$6:$D$505,"&lt;&gt;"))</f>
        <v/>
      </c>
      <c r="E1160" t="str">
        <f>IF(A1160="","",IF(SUMPRODUCT((Ввод!$F$12:$F$31&lt;&gt;"")*(Ввод!$F$12:$F$31&lt;=A1160)*(Ввод!$G$12:$G$31&gt;=A1160))&gt;0,1,0))</f>
        <v/>
      </c>
      <c r="G1160" t="str">
        <f t="shared" si="37"/>
        <v/>
      </c>
    </row>
    <row r="1161" spans="1:7" x14ac:dyDescent="0.3">
      <c r="A1161" s="21" t="str">
        <f>IF(A1160="","",IF(A1160+1&gt;Ввод!$B$4,"",A1160+1))</f>
        <v/>
      </c>
      <c r="B1161" s="23" t="str">
        <f>IF(A1161="","",IFERROR(INDEX(Ввод!$B$12:$B$71,MATCH(A1161,Ввод!$D$12:$D$71,1)),""))</f>
        <v/>
      </c>
      <c r="C1161" t="str">
        <f t="shared" si="36"/>
        <v/>
      </c>
      <c r="D1161" t="str">
        <f>IF(A1161="","",SUMIFS(Акты!$D$5:$D$16,Акты!$E$5:$E$16,"&lt;="&amp;A1161)-SUMIFS(Оплаты!$B$6:$B$505,Оплаты!$A$6:$A$505,"&lt;"&amp;A1161,Оплаты!$D$6:$D$505,"&lt;&gt;"))</f>
        <v/>
      </c>
      <c r="E1161" t="str">
        <f>IF(A1161="","",IF(SUMPRODUCT((Ввод!$F$12:$F$31&lt;&gt;"")*(Ввод!$F$12:$F$31&lt;=A1161)*(Ввод!$G$12:$G$31&gt;=A1161))&gt;0,1,0))</f>
        <v/>
      </c>
      <c r="G1161" t="str">
        <f t="shared" si="37"/>
        <v/>
      </c>
    </row>
    <row r="1162" spans="1:7" x14ac:dyDescent="0.3">
      <c r="A1162" s="21" t="str">
        <f>IF(A1161="","",IF(A1161+1&gt;Ввод!$B$4,"",A1161+1))</f>
        <v/>
      </c>
      <c r="B1162" s="23" t="str">
        <f>IF(A1162="","",IFERROR(INDEX(Ввод!$B$12:$B$71,MATCH(A1162,Ввод!$D$12:$D$71,1)),""))</f>
        <v/>
      </c>
      <c r="C1162" t="str">
        <f t="shared" si="36"/>
        <v/>
      </c>
      <c r="D1162" t="str">
        <f>IF(A1162="","",SUMIFS(Акты!$D$5:$D$16,Акты!$E$5:$E$16,"&lt;="&amp;A1162)-SUMIFS(Оплаты!$B$6:$B$505,Оплаты!$A$6:$A$505,"&lt;"&amp;A1162,Оплаты!$D$6:$D$505,"&lt;&gt;"))</f>
        <v/>
      </c>
      <c r="E1162" t="str">
        <f>IF(A1162="","",IF(SUMPRODUCT((Ввод!$F$12:$F$31&lt;&gt;"")*(Ввод!$F$12:$F$31&lt;=A1162)*(Ввод!$G$12:$G$31&gt;=A1162))&gt;0,1,0))</f>
        <v/>
      </c>
      <c r="G1162" t="str">
        <f t="shared" si="37"/>
        <v/>
      </c>
    </row>
    <row r="1163" spans="1:7" x14ac:dyDescent="0.3">
      <c r="A1163" s="21" t="str">
        <f>IF(A1162="","",IF(A1162+1&gt;Ввод!$B$4,"",A1162+1))</f>
        <v/>
      </c>
      <c r="B1163" s="23" t="str">
        <f>IF(A1163="","",IFERROR(INDEX(Ввод!$B$12:$B$71,MATCH(A1163,Ввод!$D$12:$D$71,1)),""))</f>
        <v/>
      </c>
      <c r="C1163" t="str">
        <f t="shared" si="36"/>
        <v/>
      </c>
      <c r="D1163" t="str">
        <f>IF(A1163="","",SUMIFS(Акты!$D$5:$D$16,Акты!$E$5:$E$16,"&lt;="&amp;A1163)-SUMIFS(Оплаты!$B$6:$B$505,Оплаты!$A$6:$A$505,"&lt;"&amp;A1163,Оплаты!$D$6:$D$505,"&lt;&gt;"))</f>
        <v/>
      </c>
      <c r="E1163" t="str">
        <f>IF(A1163="","",IF(SUMPRODUCT((Ввод!$F$12:$F$31&lt;&gt;"")*(Ввод!$F$12:$F$31&lt;=A1163)*(Ввод!$G$12:$G$31&gt;=A1163))&gt;0,1,0))</f>
        <v/>
      </c>
      <c r="G1163" t="str">
        <f t="shared" si="37"/>
        <v/>
      </c>
    </row>
    <row r="1164" spans="1:7" x14ac:dyDescent="0.3">
      <c r="A1164" s="21" t="str">
        <f>IF(A1163="","",IF(A1163+1&gt;Ввод!$B$4,"",A1163+1))</f>
        <v/>
      </c>
      <c r="B1164" s="23" t="str">
        <f>IF(A1164="","",IFERROR(INDEX(Ввод!$B$12:$B$71,MATCH(A1164,Ввод!$D$12:$D$71,1)),""))</f>
        <v/>
      </c>
      <c r="C1164" t="str">
        <f t="shared" si="36"/>
        <v/>
      </c>
      <c r="D1164" t="str">
        <f>IF(A1164="","",SUMIFS(Акты!$D$5:$D$16,Акты!$E$5:$E$16,"&lt;="&amp;A1164)-SUMIFS(Оплаты!$B$6:$B$505,Оплаты!$A$6:$A$505,"&lt;"&amp;A1164,Оплаты!$D$6:$D$505,"&lt;&gt;"))</f>
        <v/>
      </c>
      <c r="E1164" t="str">
        <f>IF(A1164="","",IF(SUMPRODUCT((Ввод!$F$12:$F$31&lt;&gt;"")*(Ввод!$F$12:$F$31&lt;=A1164)*(Ввод!$G$12:$G$31&gt;=A1164))&gt;0,1,0))</f>
        <v/>
      </c>
      <c r="G1164" t="str">
        <f t="shared" si="37"/>
        <v/>
      </c>
    </row>
    <row r="1165" spans="1:7" x14ac:dyDescent="0.3">
      <c r="A1165" s="21" t="str">
        <f>IF(A1164="","",IF(A1164+1&gt;Ввод!$B$4,"",A1164+1))</f>
        <v/>
      </c>
      <c r="B1165" s="23" t="str">
        <f>IF(A1165="","",IFERROR(INDEX(Ввод!$B$12:$B$71,MATCH(A1165,Ввод!$D$12:$D$71,1)),""))</f>
        <v/>
      </c>
      <c r="C1165" t="str">
        <f t="shared" si="36"/>
        <v/>
      </c>
      <c r="D1165" t="str">
        <f>IF(A1165="","",SUMIFS(Акты!$D$5:$D$16,Акты!$E$5:$E$16,"&lt;="&amp;A1165)-SUMIFS(Оплаты!$B$6:$B$505,Оплаты!$A$6:$A$505,"&lt;"&amp;A1165,Оплаты!$D$6:$D$505,"&lt;&gt;"))</f>
        <v/>
      </c>
      <c r="E1165" t="str">
        <f>IF(A1165="","",IF(SUMPRODUCT((Ввод!$F$12:$F$31&lt;&gt;"")*(Ввод!$F$12:$F$31&lt;=A1165)*(Ввод!$G$12:$G$31&gt;=A1165))&gt;0,1,0))</f>
        <v/>
      </c>
      <c r="G1165" t="str">
        <f t="shared" si="37"/>
        <v/>
      </c>
    </row>
    <row r="1166" spans="1:7" x14ac:dyDescent="0.3">
      <c r="A1166" s="21" t="str">
        <f>IF(A1165="","",IF(A1165+1&gt;Ввод!$B$4,"",A1165+1))</f>
        <v/>
      </c>
      <c r="B1166" s="23" t="str">
        <f>IF(A1166="","",IFERROR(INDEX(Ввод!$B$12:$B$71,MATCH(A1166,Ввод!$D$12:$D$71,1)),""))</f>
        <v/>
      </c>
      <c r="C1166" t="str">
        <f t="shared" si="36"/>
        <v/>
      </c>
      <c r="D1166" t="str">
        <f>IF(A1166="","",SUMIFS(Акты!$D$5:$D$16,Акты!$E$5:$E$16,"&lt;="&amp;A1166)-SUMIFS(Оплаты!$B$6:$B$505,Оплаты!$A$6:$A$505,"&lt;"&amp;A1166,Оплаты!$D$6:$D$505,"&lt;&gt;"))</f>
        <v/>
      </c>
      <c r="E1166" t="str">
        <f>IF(A1166="","",IF(SUMPRODUCT((Ввод!$F$12:$F$31&lt;&gt;"")*(Ввод!$F$12:$F$31&lt;=A1166)*(Ввод!$G$12:$G$31&gt;=A1166))&gt;0,1,0))</f>
        <v/>
      </c>
      <c r="G1166" t="str">
        <f t="shared" si="37"/>
        <v/>
      </c>
    </row>
    <row r="1167" spans="1:7" x14ac:dyDescent="0.3">
      <c r="A1167" s="21" t="str">
        <f>IF(A1166="","",IF(A1166+1&gt;Ввод!$B$4,"",A1166+1))</f>
        <v/>
      </c>
      <c r="B1167" s="23" t="str">
        <f>IF(A1167="","",IFERROR(INDEX(Ввод!$B$12:$B$71,MATCH(A1167,Ввод!$D$12:$D$71,1)),""))</f>
        <v/>
      </c>
      <c r="C1167" t="str">
        <f t="shared" si="36"/>
        <v/>
      </c>
      <c r="D1167" t="str">
        <f>IF(A1167="","",SUMIFS(Акты!$D$5:$D$16,Акты!$E$5:$E$16,"&lt;="&amp;A1167)-SUMIFS(Оплаты!$B$6:$B$505,Оплаты!$A$6:$A$505,"&lt;"&amp;A1167,Оплаты!$D$6:$D$505,"&lt;&gt;"))</f>
        <v/>
      </c>
      <c r="E1167" t="str">
        <f>IF(A1167="","",IF(SUMPRODUCT((Ввод!$F$12:$F$31&lt;&gt;"")*(Ввод!$F$12:$F$31&lt;=A1167)*(Ввод!$G$12:$G$31&gt;=A1167))&gt;0,1,0))</f>
        <v/>
      </c>
      <c r="G1167" t="str">
        <f t="shared" si="37"/>
        <v/>
      </c>
    </row>
    <row r="1168" spans="1:7" x14ac:dyDescent="0.3">
      <c r="A1168" s="21" t="str">
        <f>IF(A1167="","",IF(A1167+1&gt;Ввод!$B$4,"",A1167+1))</f>
        <v/>
      </c>
      <c r="B1168" s="23" t="str">
        <f>IF(A1168="","",IFERROR(INDEX(Ввод!$B$12:$B$71,MATCH(A1168,Ввод!$D$12:$D$71,1)),""))</f>
        <v/>
      </c>
      <c r="C1168" t="str">
        <f t="shared" si="36"/>
        <v/>
      </c>
      <c r="D1168" t="str">
        <f>IF(A1168="","",SUMIFS(Акты!$D$5:$D$16,Акты!$E$5:$E$16,"&lt;="&amp;A1168)-SUMIFS(Оплаты!$B$6:$B$505,Оплаты!$A$6:$A$505,"&lt;"&amp;A1168,Оплаты!$D$6:$D$505,"&lt;&gt;"))</f>
        <v/>
      </c>
      <c r="E1168" t="str">
        <f>IF(A1168="","",IF(SUMPRODUCT((Ввод!$F$12:$F$31&lt;&gt;"")*(Ввод!$F$12:$F$31&lt;=A1168)*(Ввод!$G$12:$G$31&gt;=A1168))&gt;0,1,0))</f>
        <v/>
      </c>
      <c r="G1168" t="str">
        <f t="shared" si="37"/>
        <v/>
      </c>
    </row>
    <row r="1169" spans="1:7" x14ac:dyDescent="0.3">
      <c r="A1169" s="21" t="str">
        <f>IF(A1168="","",IF(A1168+1&gt;Ввод!$B$4,"",A1168+1))</f>
        <v/>
      </c>
      <c r="B1169" s="23" t="str">
        <f>IF(A1169="","",IFERROR(INDEX(Ввод!$B$12:$B$71,MATCH(A1169,Ввод!$D$12:$D$71,1)),""))</f>
        <v/>
      </c>
      <c r="C1169" t="str">
        <f t="shared" si="36"/>
        <v/>
      </c>
      <c r="D1169" t="str">
        <f>IF(A1169="","",SUMIFS(Акты!$D$5:$D$16,Акты!$E$5:$E$16,"&lt;="&amp;A1169)-SUMIFS(Оплаты!$B$6:$B$505,Оплаты!$A$6:$A$505,"&lt;"&amp;A1169,Оплаты!$D$6:$D$505,"&lt;&gt;"))</f>
        <v/>
      </c>
      <c r="E1169" t="str">
        <f>IF(A1169="","",IF(SUMPRODUCT((Ввод!$F$12:$F$31&lt;&gt;"")*(Ввод!$F$12:$F$31&lt;=A1169)*(Ввод!$G$12:$G$31&gt;=A1169))&gt;0,1,0))</f>
        <v/>
      </c>
      <c r="G1169" t="str">
        <f t="shared" si="37"/>
        <v/>
      </c>
    </row>
    <row r="1170" spans="1:7" x14ac:dyDescent="0.3">
      <c r="A1170" s="21" t="str">
        <f>IF(A1169="","",IF(A1169+1&gt;Ввод!$B$4,"",A1169+1))</f>
        <v/>
      </c>
      <c r="B1170" s="23" t="str">
        <f>IF(A1170="","",IFERROR(INDEX(Ввод!$B$12:$B$71,MATCH(A1170,Ввод!$D$12:$D$71,1)),""))</f>
        <v/>
      </c>
      <c r="C1170" t="str">
        <f t="shared" si="36"/>
        <v/>
      </c>
      <c r="D1170" t="str">
        <f>IF(A1170="","",SUMIFS(Акты!$D$5:$D$16,Акты!$E$5:$E$16,"&lt;="&amp;A1170)-SUMIFS(Оплаты!$B$6:$B$505,Оплаты!$A$6:$A$505,"&lt;"&amp;A1170,Оплаты!$D$6:$D$505,"&lt;&gt;"))</f>
        <v/>
      </c>
      <c r="E1170" t="str">
        <f>IF(A1170="","",IF(SUMPRODUCT((Ввод!$F$12:$F$31&lt;&gt;"")*(Ввод!$F$12:$F$31&lt;=A1170)*(Ввод!$G$12:$G$31&gt;=A1170))&gt;0,1,0))</f>
        <v/>
      </c>
      <c r="G1170" t="str">
        <f t="shared" si="37"/>
        <v/>
      </c>
    </row>
    <row r="1171" spans="1:7" x14ac:dyDescent="0.3">
      <c r="A1171" s="21" t="str">
        <f>IF(A1170="","",IF(A1170+1&gt;Ввод!$B$4,"",A1170+1))</f>
        <v/>
      </c>
      <c r="B1171" s="23" t="str">
        <f>IF(A1171="","",IFERROR(INDEX(Ввод!$B$12:$B$71,MATCH(A1171,Ввод!$D$12:$D$71,1)),""))</f>
        <v/>
      </c>
      <c r="C1171" t="str">
        <f t="shared" si="36"/>
        <v/>
      </c>
      <c r="D1171" t="str">
        <f>IF(A1171="","",SUMIFS(Акты!$D$5:$D$16,Акты!$E$5:$E$16,"&lt;="&amp;A1171)-SUMIFS(Оплаты!$B$6:$B$505,Оплаты!$A$6:$A$505,"&lt;"&amp;A1171,Оплаты!$D$6:$D$505,"&lt;&gt;"))</f>
        <v/>
      </c>
      <c r="E1171" t="str">
        <f>IF(A1171="","",IF(SUMPRODUCT((Ввод!$F$12:$F$31&lt;&gt;"")*(Ввод!$F$12:$F$31&lt;=A1171)*(Ввод!$G$12:$G$31&gt;=A1171))&gt;0,1,0))</f>
        <v/>
      </c>
      <c r="G1171" t="str">
        <f t="shared" si="37"/>
        <v/>
      </c>
    </row>
    <row r="1172" spans="1:7" x14ac:dyDescent="0.3">
      <c r="A1172" s="21" t="str">
        <f>IF(A1171="","",IF(A1171+1&gt;Ввод!$B$4,"",A1171+1))</f>
        <v/>
      </c>
      <c r="B1172" s="23" t="str">
        <f>IF(A1172="","",IFERROR(INDEX(Ввод!$B$12:$B$71,MATCH(A1172,Ввод!$D$12:$D$71,1)),""))</f>
        <v/>
      </c>
      <c r="C1172" t="str">
        <f t="shared" si="36"/>
        <v/>
      </c>
      <c r="D1172" t="str">
        <f>IF(A1172="","",SUMIFS(Акты!$D$5:$D$16,Акты!$E$5:$E$16,"&lt;="&amp;A1172)-SUMIFS(Оплаты!$B$6:$B$505,Оплаты!$A$6:$A$505,"&lt;"&amp;A1172,Оплаты!$D$6:$D$505,"&lt;&gt;"))</f>
        <v/>
      </c>
      <c r="E1172" t="str">
        <f>IF(A1172="","",IF(SUMPRODUCT((Ввод!$F$12:$F$31&lt;&gt;"")*(Ввод!$F$12:$F$31&lt;=A1172)*(Ввод!$G$12:$G$31&gt;=A1172))&gt;0,1,0))</f>
        <v/>
      </c>
      <c r="G1172" t="str">
        <f t="shared" si="37"/>
        <v/>
      </c>
    </row>
    <row r="1173" spans="1:7" x14ac:dyDescent="0.3">
      <c r="A1173" s="21" t="str">
        <f>IF(A1172="","",IF(A1172+1&gt;Ввод!$B$4,"",A1172+1))</f>
        <v/>
      </c>
      <c r="B1173" s="23" t="str">
        <f>IF(A1173="","",IFERROR(INDEX(Ввод!$B$12:$B$71,MATCH(A1173,Ввод!$D$12:$D$71,1)),""))</f>
        <v/>
      </c>
      <c r="C1173" t="str">
        <f t="shared" si="36"/>
        <v/>
      </c>
      <c r="D1173" t="str">
        <f>IF(A1173="","",SUMIFS(Акты!$D$5:$D$16,Акты!$E$5:$E$16,"&lt;="&amp;A1173)-SUMIFS(Оплаты!$B$6:$B$505,Оплаты!$A$6:$A$505,"&lt;"&amp;A1173,Оплаты!$D$6:$D$505,"&lt;&gt;"))</f>
        <v/>
      </c>
      <c r="E1173" t="str">
        <f>IF(A1173="","",IF(SUMPRODUCT((Ввод!$F$12:$F$31&lt;&gt;"")*(Ввод!$F$12:$F$31&lt;=A1173)*(Ввод!$G$12:$G$31&gt;=A1173))&gt;0,1,0))</f>
        <v/>
      </c>
      <c r="G1173" t="str">
        <f t="shared" si="37"/>
        <v/>
      </c>
    </row>
    <row r="1174" spans="1:7" x14ac:dyDescent="0.3">
      <c r="A1174" s="21" t="str">
        <f>IF(A1173="","",IF(A1173+1&gt;Ввод!$B$4,"",A1173+1))</f>
        <v/>
      </c>
      <c r="B1174" s="23" t="str">
        <f>IF(A1174="","",IFERROR(INDEX(Ввод!$B$12:$B$71,MATCH(A1174,Ввод!$D$12:$D$71,1)),""))</f>
        <v/>
      </c>
      <c r="C1174" t="str">
        <f t="shared" si="36"/>
        <v/>
      </c>
      <c r="D1174" t="str">
        <f>IF(A1174="","",SUMIFS(Акты!$D$5:$D$16,Акты!$E$5:$E$16,"&lt;="&amp;A1174)-SUMIFS(Оплаты!$B$6:$B$505,Оплаты!$A$6:$A$505,"&lt;"&amp;A1174,Оплаты!$D$6:$D$505,"&lt;&gt;"))</f>
        <v/>
      </c>
      <c r="E1174" t="str">
        <f>IF(A1174="","",IF(SUMPRODUCT((Ввод!$F$12:$F$31&lt;&gt;"")*(Ввод!$F$12:$F$31&lt;=A1174)*(Ввод!$G$12:$G$31&gt;=A1174))&gt;0,1,0))</f>
        <v/>
      </c>
      <c r="G1174" t="str">
        <f t="shared" si="37"/>
        <v/>
      </c>
    </row>
    <row r="1175" spans="1:7" x14ac:dyDescent="0.3">
      <c r="A1175" s="21" t="str">
        <f>IF(A1174="","",IF(A1174+1&gt;Ввод!$B$4,"",A1174+1))</f>
        <v/>
      </c>
      <c r="B1175" s="23" t="str">
        <f>IF(A1175="","",IFERROR(INDEX(Ввод!$B$12:$B$71,MATCH(A1175,Ввод!$D$12:$D$71,1)),""))</f>
        <v/>
      </c>
      <c r="C1175" t="str">
        <f t="shared" si="36"/>
        <v/>
      </c>
      <c r="D1175" t="str">
        <f>IF(A1175="","",SUMIFS(Акты!$D$5:$D$16,Акты!$E$5:$E$16,"&lt;="&amp;A1175)-SUMIFS(Оплаты!$B$6:$B$505,Оплаты!$A$6:$A$505,"&lt;"&amp;A1175,Оплаты!$D$6:$D$505,"&lt;&gt;"))</f>
        <v/>
      </c>
      <c r="E1175" t="str">
        <f>IF(A1175="","",IF(SUMPRODUCT((Ввод!$F$12:$F$31&lt;&gt;"")*(Ввод!$F$12:$F$31&lt;=A1175)*(Ввод!$G$12:$G$31&gt;=A1175))&gt;0,1,0))</f>
        <v/>
      </c>
      <c r="G1175" t="str">
        <f t="shared" si="37"/>
        <v/>
      </c>
    </row>
    <row r="1176" spans="1:7" x14ac:dyDescent="0.3">
      <c r="A1176" s="21" t="str">
        <f>IF(A1175="","",IF(A1175+1&gt;Ввод!$B$4,"",A1175+1))</f>
        <v/>
      </c>
      <c r="B1176" s="23" t="str">
        <f>IF(A1176="","",IFERROR(INDEX(Ввод!$B$12:$B$71,MATCH(A1176,Ввод!$D$12:$D$71,1)),""))</f>
        <v/>
      </c>
      <c r="C1176" t="str">
        <f t="shared" si="36"/>
        <v/>
      </c>
      <c r="D1176" t="str">
        <f>IF(A1176="","",SUMIFS(Акты!$D$5:$D$16,Акты!$E$5:$E$16,"&lt;="&amp;A1176)-SUMIFS(Оплаты!$B$6:$B$505,Оплаты!$A$6:$A$505,"&lt;"&amp;A1176,Оплаты!$D$6:$D$505,"&lt;&gt;"))</f>
        <v/>
      </c>
      <c r="E1176" t="str">
        <f>IF(A1176="","",IF(SUMPRODUCT((Ввод!$F$12:$F$31&lt;&gt;"")*(Ввод!$F$12:$F$31&lt;=A1176)*(Ввод!$G$12:$G$31&gt;=A1176))&gt;0,1,0))</f>
        <v/>
      </c>
      <c r="G1176" t="str">
        <f t="shared" si="37"/>
        <v/>
      </c>
    </row>
    <row r="1177" spans="1:7" x14ac:dyDescent="0.3">
      <c r="A1177" s="21" t="str">
        <f>IF(A1176="","",IF(A1176+1&gt;Ввод!$B$4,"",A1176+1))</f>
        <v/>
      </c>
      <c r="B1177" s="23" t="str">
        <f>IF(A1177="","",IFERROR(INDEX(Ввод!$B$12:$B$71,MATCH(A1177,Ввод!$D$12:$D$71,1)),""))</f>
        <v/>
      </c>
      <c r="C1177" t="str">
        <f t="shared" si="36"/>
        <v/>
      </c>
      <c r="D1177" t="str">
        <f>IF(A1177="","",SUMIFS(Акты!$D$5:$D$16,Акты!$E$5:$E$16,"&lt;="&amp;A1177)-SUMIFS(Оплаты!$B$6:$B$505,Оплаты!$A$6:$A$505,"&lt;"&amp;A1177,Оплаты!$D$6:$D$505,"&lt;&gt;"))</f>
        <v/>
      </c>
      <c r="E1177" t="str">
        <f>IF(A1177="","",IF(SUMPRODUCT((Ввод!$F$12:$F$31&lt;&gt;"")*(Ввод!$F$12:$F$31&lt;=A1177)*(Ввод!$G$12:$G$31&gt;=A1177))&gt;0,1,0))</f>
        <v/>
      </c>
      <c r="G1177" t="str">
        <f t="shared" si="37"/>
        <v/>
      </c>
    </row>
    <row r="1178" spans="1:7" x14ac:dyDescent="0.3">
      <c r="A1178" s="21" t="str">
        <f>IF(A1177="","",IF(A1177+1&gt;Ввод!$B$4,"",A1177+1))</f>
        <v/>
      </c>
      <c r="B1178" s="23" t="str">
        <f>IF(A1178="","",IFERROR(INDEX(Ввод!$B$12:$B$71,MATCH(A1178,Ввод!$D$12:$D$71,1)),""))</f>
        <v/>
      </c>
      <c r="C1178" t="str">
        <f t="shared" si="36"/>
        <v/>
      </c>
      <c r="D1178" t="str">
        <f>IF(A1178="","",SUMIFS(Акты!$D$5:$D$16,Акты!$E$5:$E$16,"&lt;="&amp;A1178)-SUMIFS(Оплаты!$B$6:$B$505,Оплаты!$A$6:$A$505,"&lt;"&amp;A1178,Оплаты!$D$6:$D$505,"&lt;&gt;"))</f>
        <v/>
      </c>
      <c r="E1178" t="str">
        <f>IF(A1178="","",IF(SUMPRODUCT((Ввод!$F$12:$F$31&lt;&gt;"")*(Ввод!$F$12:$F$31&lt;=A1178)*(Ввод!$G$12:$G$31&gt;=A1178))&gt;0,1,0))</f>
        <v/>
      </c>
      <c r="G1178" t="str">
        <f t="shared" si="37"/>
        <v/>
      </c>
    </row>
    <row r="1179" spans="1:7" x14ac:dyDescent="0.3">
      <c r="A1179" s="21" t="str">
        <f>IF(A1178="","",IF(A1178+1&gt;Ввод!$B$4,"",A1178+1))</f>
        <v/>
      </c>
      <c r="B1179" s="23" t="str">
        <f>IF(A1179="","",IFERROR(INDEX(Ввод!$B$12:$B$71,MATCH(A1179,Ввод!$D$12:$D$71,1)),""))</f>
        <v/>
      </c>
      <c r="C1179" t="str">
        <f t="shared" si="36"/>
        <v/>
      </c>
      <c r="D1179" t="str">
        <f>IF(A1179="","",SUMIFS(Акты!$D$5:$D$16,Акты!$E$5:$E$16,"&lt;="&amp;A1179)-SUMIFS(Оплаты!$B$6:$B$505,Оплаты!$A$6:$A$505,"&lt;"&amp;A1179,Оплаты!$D$6:$D$505,"&lt;&gt;"))</f>
        <v/>
      </c>
      <c r="E1179" t="str">
        <f>IF(A1179="","",IF(SUMPRODUCT((Ввод!$F$12:$F$31&lt;&gt;"")*(Ввод!$F$12:$F$31&lt;=A1179)*(Ввод!$G$12:$G$31&gt;=A1179))&gt;0,1,0))</f>
        <v/>
      </c>
      <c r="G1179" t="str">
        <f t="shared" si="37"/>
        <v/>
      </c>
    </row>
    <row r="1180" spans="1:7" x14ac:dyDescent="0.3">
      <c r="A1180" s="21" t="str">
        <f>IF(A1179="","",IF(A1179+1&gt;Ввод!$B$4,"",A1179+1))</f>
        <v/>
      </c>
      <c r="B1180" s="23" t="str">
        <f>IF(A1180="","",IFERROR(INDEX(Ввод!$B$12:$B$71,MATCH(A1180,Ввод!$D$12:$D$71,1)),""))</f>
        <v/>
      </c>
      <c r="C1180" t="str">
        <f t="shared" si="36"/>
        <v/>
      </c>
      <c r="D1180" t="str">
        <f>IF(A1180="","",SUMIFS(Акты!$D$5:$D$16,Акты!$E$5:$E$16,"&lt;="&amp;A1180)-SUMIFS(Оплаты!$B$6:$B$505,Оплаты!$A$6:$A$505,"&lt;"&amp;A1180,Оплаты!$D$6:$D$505,"&lt;&gt;"))</f>
        <v/>
      </c>
      <c r="E1180" t="str">
        <f>IF(A1180="","",IF(SUMPRODUCT((Ввод!$F$12:$F$31&lt;&gt;"")*(Ввод!$F$12:$F$31&lt;=A1180)*(Ввод!$G$12:$G$31&gt;=A1180))&gt;0,1,0))</f>
        <v/>
      </c>
      <c r="G1180" t="str">
        <f t="shared" si="37"/>
        <v/>
      </c>
    </row>
    <row r="1181" spans="1:7" x14ac:dyDescent="0.3">
      <c r="A1181" s="21" t="str">
        <f>IF(A1180="","",IF(A1180+1&gt;Ввод!$B$4,"",A1180+1))</f>
        <v/>
      </c>
      <c r="B1181" s="23" t="str">
        <f>IF(A1181="","",IFERROR(INDEX(Ввод!$B$12:$B$71,MATCH(A1181,Ввод!$D$12:$D$71,1)),""))</f>
        <v/>
      </c>
      <c r="C1181" t="str">
        <f t="shared" si="36"/>
        <v/>
      </c>
      <c r="D1181" t="str">
        <f>IF(A1181="","",SUMIFS(Акты!$D$5:$D$16,Акты!$E$5:$E$16,"&lt;="&amp;A1181)-SUMIFS(Оплаты!$B$6:$B$505,Оплаты!$A$6:$A$505,"&lt;"&amp;A1181,Оплаты!$D$6:$D$505,"&lt;&gt;"))</f>
        <v/>
      </c>
      <c r="E1181" t="str">
        <f>IF(A1181="","",IF(SUMPRODUCT((Ввод!$F$12:$F$31&lt;&gt;"")*(Ввод!$F$12:$F$31&lt;=A1181)*(Ввод!$G$12:$G$31&gt;=A1181))&gt;0,1,0))</f>
        <v/>
      </c>
      <c r="G1181" t="str">
        <f t="shared" si="37"/>
        <v/>
      </c>
    </row>
    <row r="1182" spans="1:7" x14ac:dyDescent="0.3">
      <c r="A1182" s="21" t="str">
        <f>IF(A1181="","",IF(A1181+1&gt;Ввод!$B$4,"",A1181+1))</f>
        <v/>
      </c>
      <c r="B1182" s="23" t="str">
        <f>IF(A1182="","",IFERROR(INDEX(Ввод!$B$12:$B$71,MATCH(A1182,Ввод!$D$12:$D$71,1)),""))</f>
        <v/>
      </c>
      <c r="C1182" t="str">
        <f t="shared" si="36"/>
        <v/>
      </c>
      <c r="D1182" t="str">
        <f>IF(A1182="","",SUMIFS(Акты!$D$5:$D$16,Акты!$E$5:$E$16,"&lt;="&amp;A1182)-SUMIFS(Оплаты!$B$6:$B$505,Оплаты!$A$6:$A$505,"&lt;"&amp;A1182,Оплаты!$D$6:$D$505,"&lt;&gt;"))</f>
        <v/>
      </c>
      <c r="E1182" t="str">
        <f>IF(A1182="","",IF(SUMPRODUCT((Ввод!$F$12:$F$31&lt;&gt;"")*(Ввод!$F$12:$F$31&lt;=A1182)*(Ввод!$G$12:$G$31&gt;=A1182))&gt;0,1,0))</f>
        <v/>
      </c>
      <c r="G1182" t="str">
        <f t="shared" si="37"/>
        <v/>
      </c>
    </row>
    <row r="1183" spans="1:7" x14ac:dyDescent="0.3">
      <c r="A1183" s="21" t="str">
        <f>IF(A1182="","",IF(A1182+1&gt;Ввод!$B$4,"",A1182+1))</f>
        <v/>
      </c>
      <c r="B1183" s="23" t="str">
        <f>IF(A1183="","",IFERROR(INDEX(Ввод!$B$12:$B$71,MATCH(A1183,Ввод!$D$12:$D$71,1)),""))</f>
        <v/>
      </c>
      <c r="C1183" t="str">
        <f t="shared" si="36"/>
        <v/>
      </c>
      <c r="D1183" t="str">
        <f>IF(A1183="","",SUMIFS(Акты!$D$5:$D$16,Акты!$E$5:$E$16,"&lt;="&amp;A1183)-SUMIFS(Оплаты!$B$6:$B$505,Оплаты!$A$6:$A$505,"&lt;"&amp;A1183,Оплаты!$D$6:$D$505,"&lt;&gt;"))</f>
        <v/>
      </c>
      <c r="E1183" t="str">
        <f>IF(A1183="","",IF(SUMPRODUCT((Ввод!$F$12:$F$31&lt;&gt;"")*(Ввод!$F$12:$F$31&lt;=A1183)*(Ввод!$G$12:$G$31&gt;=A1183))&gt;0,1,0))</f>
        <v/>
      </c>
      <c r="G1183" t="str">
        <f t="shared" si="37"/>
        <v/>
      </c>
    </row>
    <row r="1184" spans="1:7" x14ac:dyDescent="0.3">
      <c r="A1184" s="21" t="str">
        <f>IF(A1183="","",IF(A1183+1&gt;Ввод!$B$4,"",A1183+1))</f>
        <v/>
      </c>
      <c r="B1184" s="23" t="str">
        <f>IF(A1184="","",IFERROR(INDEX(Ввод!$B$12:$B$71,MATCH(A1184,Ввод!$D$12:$D$71,1)),""))</f>
        <v/>
      </c>
      <c r="C1184" t="str">
        <f t="shared" si="36"/>
        <v/>
      </c>
      <c r="D1184" t="str">
        <f>IF(A1184="","",SUMIFS(Акты!$D$5:$D$16,Акты!$E$5:$E$16,"&lt;="&amp;A1184)-SUMIFS(Оплаты!$B$6:$B$505,Оплаты!$A$6:$A$505,"&lt;"&amp;A1184,Оплаты!$D$6:$D$505,"&lt;&gt;"))</f>
        <v/>
      </c>
      <c r="E1184" t="str">
        <f>IF(A1184="","",IF(SUMPRODUCT((Ввод!$F$12:$F$31&lt;&gt;"")*(Ввод!$F$12:$F$31&lt;=A1184)*(Ввод!$G$12:$G$31&gt;=A1184))&gt;0,1,0))</f>
        <v/>
      </c>
      <c r="G1184" t="str">
        <f t="shared" si="37"/>
        <v/>
      </c>
    </row>
    <row r="1185" spans="1:7" x14ac:dyDescent="0.3">
      <c r="A1185" s="21" t="str">
        <f>IF(A1184="","",IF(A1184+1&gt;Ввод!$B$4,"",A1184+1))</f>
        <v/>
      </c>
      <c r="B1185" s="23" t="str">
        <f>IF(A1185="","",IFERROR(INDEX(Ввод!$B$12:$B$71,MATCH(A1185,Ввод!$D$12:$D$71,1)),""))</f>
        <v/>
      </c>
      <c r="C1185" t="str">
        <f t="shared" si="36"/>
        <v/>
      </c>
      <c r="D1185" t="str">
        <f>IF(A1185="","",SUMIFS(Акты!$D$5:$D$16,Акты!$E$5:$E$16,"&lt;="&amp;A1185)-SUMIFS(Оплаты!$B$6:$B$505,Оплаты!$A$6:$A$505,"&lt;"&amp;A1185,Оплаты!$D$6:$D$505,"&lt;&gt;"))</f>
        <v/>
      </c>
      <c r="E1185" t="str">
        <f>IF(A1185="","",IF(SUMPRODUCT((Ввод!$F$12:$F$31&lt;&gt;"")*(Ввод!$F$12:$F$31&lt;=A1185)*(Ввод!$G$12:$G$31&gt;=A1185))&gt;0,1,0))</f>
        <v/>
      </c>
      <c r="G1185" t="str">
        <f t="shared" si="37"/>
        <v/>
      </c>
    </row>
    <row r="1186" spans="1:7" x14ac:dyDescent="0.3">
      <c r="A1186" s="21" t="str">
        <f>IF(A1185="","",IF(A1185+1&gt;Ввод!$B$4,"",A1185+1))</f>
        <v/>
      </c>
      <c r="B1186" s="23" t="str">
        <f>IF(A1186="","",IFERROR(INDEX(Ввод!$B$12:$B$71,MATCH(A1186,Ввод!$D$12:$D$71,1)),""))</f>
        <v/>
      </c>
      <c r="C1186" t="str">
        <f t="shared" si="36"/>
        <v/>
      </c>
      <c r="D1186" t="str">
        <f>IF(A1186="","",SUMIFS(Акты!$D$5:$D$16,Акты!$E$5:$E$16,"&lt;="&amp;A1186)-SUMIFS(Оплаты!$B$6:$B$505,Оплаты!$A$6:$A$505,"&lt;"&amp;A1186,Оплаты!$D$6:$D$505,"&lt;&gt;"))</f>
        <v/>
      </c>
      <c r="E1186" t="str">
        <f>IF(A1186="","",IF(SUMPRODUCT((Ввод!$F$12:$F$31&lt;&gt;"")*(Ввод!$F$12:$F$31&lt;=A1186)*(Ввод!$G$12:$G$31&gt;=A1186))&gt;0,1,0))</f>
        <v/>
      </c>
      <c r="G1186" t="str">
        <f t="shared" si="37"/>
        <v/>
      </c>
    </row>
    <row r="1187" spans="1:7" x14ac:dyDescent="0.3">
      <c r="A1187" s="21" t="str">
        <f>IF(A1186="","",IF(A1186+1&gt;Ввод!$B$4,"",A1186+1))</f>
        <v/>
      </c>
      <c r="B1187" s="23" t="str">
        <f>IF(A1187="","",IFERROR(INDEX(Ввод!$B$12:$B$71,MATCH(A1187,Ввод!$D$12:$D$71,1)),""))</f>
        <v/>
      </c>
      <c r="C1187" t="str">
        <f t="shared" si="36"/>
        <v/>
      </c>
      <c r="D1187" t="str">
        <f>IF(A1187="","",SUMIFS(Акты!$D$5:$D$16,Акты!$E$5:$E$16,"&lt;="&amp;A1187)-SUMIFS(Оплаты!$B$6:$B$505,Оплаты!$A$6:$A$505,"&lt;"&amp;A1187,Оплаты!$D$6:$D$505,"&lt;&gt;"))</f>
        <v/>
      </c>
      <c r="E1187" t="str">
        <f>IF(A1187="","",IF(SUMPRODUCT((Ввод!$F$12:$F$31&lt;&gt;"")*(Ввод!$F$12:$F$31&lt;=A1187)*(Ввод!$G$12:$G$31&gt;=A1187))&gt;0,1,0))</f>
        <v/>
      </c>
      <c r="G1187" t="str">
        <f t="shared" si="37"/>
        <v/>
      </c>
    </row>
    <row r="1188" spans="1:7" x14ac:dyDescent="0.3">
      <c r="A1188" s="21" t="str">
        <f>IF(A1187="","",IF(A1187+1&gt;Ввод!$B$4,"",A1187+1))</f>
        <v/>
      </c>
      <c r="B1188" s="23" t="str">
        <f>IF(A1188="","",IFERROR(INDEX(Ввод!$B$12:$B$71,MATCH(A1188,Ввод!$D$12:$D$71,1)),""))</f>
        <v/>
      </c>
      <c r="C1188" t="str">
        <f t="shared" si="36"/>
        <v/>
      </c>
      <c r="D1188" t="str">
        <f>IF(A1188="","",SUMIFS(Акты!$D$5:$D$16,Акты!$E$5:$E$16,"&lt;="&amp;A1188)-SUMIFS(Оплаты!$B$6:$B$505,Оплаты!$A$6:$A$505,"&lt;"&amp;A1188,Оплаты!$D$6:$D$505,"&lt;&gt;"))</f>
        <v/>
      </c>
      <c r="E1188" t="str">
        <f>IF(A1188="","",IF(SUMPRODUCT((Ввод!$F$12:$F$31&lt;&gt;"")*(Ввод!$F$12:$F$31&lt;=A1188)*(Ввод!$G$12:$G$31&gt;=A1188))&gt;0,1,0))</f>
        <v/>
      </c>
      <c r="G1188" t="str">
        <f t="shared" si="37"/>
        <v/>
      </c>
    </row>
    <row r="1189" spans="1:7" x14ac:dyDescent="0.3">
      <c r="A1189" s="21" t="str">
        <f>IF(A1188="","",IF(A1188+1&gt;Ввод!$B$4,"",A1188+1))</f>
        <v/>
      </c>
      <c r="B1189" s="23" t="str">
        <f>IF(A1189="","",IFERROR(INDEX(Ввод!$B$12:$B$71,MATCH(A1189,Ввод!$D$12:$D$71,1)),""))</f>
        <v/>
      </c>
      <c r="C1189" t="str">
        <f t="shared" si="36"/>
        <v/>
      </c>
      <c r="D1189" t="str">
        <f>IF(A1189="","",SUMIFS(Акты!$D$5:$D$16,Акты!$E$5:$E$16,"&lt;="&amp;A1189)-SUMIFS(Оплаты!$B$6:$B$505,Оплаты!$A$6:$A$505,"&lt;"&amp;A1189,Оплаты!$D$6:$D$505,"&lt;&gt;"))</f>
        <v/>
      </c>
      <c r="E1189" t="str">
        <f>IF(A1189="","",IF(SUMPRODUCT((Ввод!$F$12:$F$31&lt;&gt;"")*(Ввод!$F$12:$F$31&lt;=A1189)*(Ввод!$G$12:$G$31&gt;=A1189))&gt;0,1,0))</f>
        <v/>
      </c>
      <c r="G1189" t="str">
        <f t="shared" si="37"/>
        <v/>
      </c>
    </row>
    <row r="1190" spans="1:7" x14ac:dyDescent="0.3">
      <c r="A1190" s="21" t="str">
        <f>IF(A1189="","",IF(A1189+1&gt;Ввод!$B$4,"",A1189+1))</f>
        <v/>
      </c>
      <c r="B1190" s="23" t="str">
        <f>IF(A1190="","",IFERROR(INDEX(Ввод!$B$12:$B$71,MATCH(A1190,Ввод!$D$12:$D$71,1)),""))</f>
        <v/>
      </c>
      <c r="C1190" t="str">
        <f t="shared" si="36"/>
        <v/>
      </c>
      <c r="D1190" t="str">
        <f>IF(A1190="","",SUMIFS(Акты!$D$5:$D$16,Акты!$E$5:$E$16,"&lt;="&amp;A1190)-SUMIFS(Оплаты!$B$6:$B$505,Оплаты!$A$6:$A$505,"&lt;"&amp;A1190,Оплаты!$D$6:$D$505,"&lt;&gt;"))</f>
        <v/>
      </c>
      <c r="E1190" t="str">
        <f>IF(A1190="","",IF(SUMPRODUCT((Ввод!$F$12:$F$31&lt;&gt;"")*(Ввод!$F$12:$F$31&lt;=A1190)*(Ввод!$G$12:$G$31&gt;=A1190))&gt;0,1,0))</f>
        <v/>
      </c>
      <c r="G1190" t="str">
        <f t="shared" si="37"/>
        <v/>
      </c>
    </row>
    <row r="1191" spans="1:7" x14ac:dyDescent="0.3">
      <c r="A1191" s="21" t="str">
        <f>IF(A1190="","",IF(A1190+1&gt;Ввод!$B$4,"",A1190+1))</f>
        <v/>
      </c>
      <c r="B1191" s="23" t="str">
        <f>IF(A1191="","",IFERROR(INDEX(Ввод!$B$12:$B$71,MATCH(A1191,Ввод!$D$12:$D$71,1)),""))</f>
        <v/>
      </c>
      <c r="C1191" t="str">
        <f t="shared" si="36"/>
        <v/>
      </c>
      <c r="D1191" t="str">
        <f>IF(A1191="","",SUMIFS(Акты!$D$5:$D$16,Акты!$E$5:$E$16,"&lt;="&amp;A1191)-SUMIFS(Оплаты!$B$6:$B$505,Оплаты!$A$6:$A$505,"&lt;"&amp;A1191,Оплаты!$D$6:$D$505,"&lt;&gt;"))</f>
        <v/>
      </c>
      <c r="E1191" t="str">
        <f>IF(A1191="","",IF(SUMPRODUCT((Ввод!$F$12:$F$31&lt;&gt;"")*(Ввод!$F$12:$F$31&lt;=A1191)*(Ввод!$G$12:$G$31&gt;=A1191))&gt;0,1,0))</f>
        <v/>
      </c>
      <c r="G1191" t="str">
        <f t="shared" si="37"/>
        <v/>
      </c>
    </row>
    <row r="1192" spans="1:7" x14ac:dyDescent="0.3">
      <c r="A1192" s="21" t="str">
        <f>IF(A1191="","",IF(A1191+1&gt;Ввод!$B$4,"",A1191+1))</f>
        <v/>
      </c>
      <c r="B1192" s="23" t="str">
        <f>IF(A1192="","",IFERROR(INDEX(Ввод!$B$12:$B$71,MATCH(A1192,Ввод!$D$12:$D$71,1)),""))</f>
        <v/>
      </c>
      <c r="C1192" t="str">
        <f t="shared" si="36"/>
        <v/>
      </c>
      <c r="D1192" t="str">
        <f>IF(A1192="","",SUMIFS(Акты!$D$5:$D$16,Акты!$E$5:$E$16,"&lt;="&amp;A1192)-SUMIFS(Оплаты!$B$6:$B$505,Оплаты!$A$6:$A$505,"&lt;"&amp;A1192,Оплаты!$D$6:$D$505,"&lt;&gt;"))</f>
        <v/>
      </c>
      <c r="E1192" t="str">
        <f>IF(A1192="","",IF(SUMPRODUCT((Ввод!$F$12:$F$31&lt;&gt;"")*(Ввод!$F$12:$F$31&lt;=A1192)*(Ввод!$G$12:$G$31&gt;=A1192))&gt;0,1,0))</f>
        <v/>
      </c>
      <c r="G1192" t="str">
        <f t="shared" si="37"/>
        <v/>
      </c>
    </row>
    <row r="1193" spans="1:7" x14ac:dyDescent="0.3">
      <c r="A1193" s="21" t="str">
        <f>IF(A1192="","",IF(A1192+1&gt;Ввод!$B$4,"",A1192+1))</f>
        <v/>
      </c>
      <c r="B1193" s="23" t="str">
        <f>IF(A1193="","",IFERROR(INDEX(Ввод!$B$12:$B$71,MATCH(A1193,Ввод!$D$12:$D$71,1)),""))</f>
        <v/>
      </c>
      <c r="C1193" t="str">
        <f t="shared" si="36"/>
        <v/>
      </c>
      <c r="D1193" t="str">
        <f>IF(A1193="","",SUMIFS(Акты!$D$5:$D$16,Акты!$E$5:$E$16,"&lt;="&amp;A1193)-SUMIFS(Оплаты!$B$6:$B$505,Оплаты!$A$6:$A$505,"&lt;"&amp;A1193,Оплаты!$D$6:$D$505,"&lt;&gt;"))</f>
        <v/>
      </c>
      <c r="E1193" t="str">
        <f>IF(A1193="","",IF(SUMPRODUCT((Ввод!$F$12:$F$31&lt;&gt;"")*(Ввод!$F$12:$F$31&lt;=A1193)*(Ввод!$G$12:$G$31&gt;=A1193))&gt;0,1,0))</f>
        <v/>
      </c>
      <c r="G1193" t="str">
        <f t="shared" si="37"/>
        <v/>
      </c>
    </row>
    <row r="1194" spans="1:7" x14ac:dyDescent="0.3">
      <c r="A1194" s="21" t="str">
        <f>IF(A1193="","",IF(A1193+1&gt;Ввод!$B$4,"",A1193+1))</f>
        <v/>
      </c>
      <c r="B1194" s="23" t="str">
        <f>IF(A1194="","",IFERROR(INDEX(Ввод!$B$12:$B$71,MATCH(A1194,Ввод!$D$12:$D$71,1)),""))</f>
        <v/>
      </c>
      <c r="C1194" t="str">
        <f t="shared" si="36"/>
        <v/>
      </c>
      <c r="D1194" t="str">
        <f>IF(A1194="","",SUMIFS(Акты!$D$5:$D$16,Акты!$E$5:$E$16,"&lt;="&amp;A1194)-SUMIFS(Оплаты!$B$6:$B$505,Оплаты!$A$6:$A$505,"&lt;"&amp;A1194,Оплаты!$D$6:$D$505,"&lt;&gt;"))</f>
        <v/>
      </c>
      <c r="E1194" t="str">
        <f>IF(A1194="","",IF(SUMPRODUCT((Ввод!$F$12:$F$31&lt;&gt;"")*(Ввод!$F$12:$F$31&lt;=A1194)*(Ввод!$G$12:$G$31&gt;=A1194))&gt;0,1,0))</f>
        <v/>
      </c>
      <c r="G1194" t="str">
        <f t="shared" si="37"/>
        <v/>
      </c>
    </row>
    <row r="1195" spans="1:7" x14ac:dyDescent="0.3">
      <c r="A1195" s="21" t="str">
        <f>IF(A1194="","",IF(A1194+1&gt;Ввод!$B$4,"",A1194+1))</f>
        <v/>
      </c>
      <c r="B1195" s="23" t="str">
        <f>IF(A1195="","",IFERROR(INDEX(Ввод!$B$12:$B$71,MATCH(A1195,Ввод!$D$12:$D$71,1)),""))</f>
        <v/>
      </c>
      <c r="C1195" t="str">
        <f t="shared" si="36"/>
        <v/>
      </c>
      <c r="D1195" t="str">
        <f>IF(A1195="","",SUMIFS(Акты!$D$5:$D$16,Акты!$E$5:$E$16,"&lt;="&amp;A1195)-SUMIFS(Оплаты!$B$6:$B$505,Оплаты!$A$6:$A$505,"&lt;"&amp;A1195,Оплаты!$D$6:$D$505,"&lt;&gt;"))</f>
        <v/>
      </c>
      <c r="E1195" t="str">
        <f>IF(A1195="","",IF(SUMPRODUCT((Ввод!$F$12:$F$31&lt;&gt;"")*(Ввод!$F$12:$F$31&lt;=A1195)*(Ввод!$G$12:$G$31&gt;=A1195))&gt;0,1,0))</f>
        <v/>
      </c>
      <c r="G1195" t="str">
        <f t="shared" si="37"/>
        <v/>
      </c>
    </row>
    <row r="1196" spans="1:7" x14ac:dyDescent="0.3">
      <c r="A1196" s="21" t="str">
        <f>IF(A1195="","",IF(A1195+1&gt;Ввод!$B$4,"",A1195+1))</f>
        <v/>
      </c>
      <c r="B1196" s="23" t="str">
        <f>IF(A1196="","",IFERROR(INDEX(Ввод!$B$12:$B$71,MATCH(A1196,Ввод!$D$12:$D$71,1)),""))</f>
        <v/>
      </c>
      <c r="C1196" t="str">
        <f t="shared" si="36"/>
        <v/>
      </c>
      <c r="D1196" t="str">
        <f>IF(A1196="","",SUMIFS(Акты!$D$5:$D$16,Акты!$E$5:$E$16,"&lt;="&amp;A1196)-SUMIFS(Оплаты!$B$6:$B$505,Оплаты!$A$6:$A$505,"&lt;"&amp;A1196,Оплаты!$D$6:$D$505,"&lt;&gt;"))</f>
        <v/>
      </c>
      <c r="E1196" t="str">
        <f>IF(A1196="","",IF(SUMPRODUCT((Ввод!$F$12:$F$31&lt;&gt;"")*(Ввод!$F$12:$F$31&lt;=A1196)*(Ввод!$G$12:$G$31&gt;=A1196))&gt;0,1,0))</f>
        <v/>
      </c>
      <c r="G1196" t="str">
        <f t="shared" si="37"/>
        <v/>
      </c>
    </row>
    <row r="1197" spans="1:7" x14ac:dyDescent="0.3">
      <c r="A1197" s="21" t="str">
        <f>IF(A1196="","",IF(A1196+1&gt;Ввод!$B$4,"",A1196+1))</f>
        <v/>
      </c>
      <c r="B1197" s="23" t="str">
        <f>IF(A1197="","",IFERROR(INDEX(Ввод!$B$12:$B$71,MATCH(A1197,Ввод!$D$12:$D$71,1)),""))</f>
        <v/>
      </c>
      <c r="C1197" t="str">
        <f t="shared" si="36"/>
        <v/>
      </c>
      <c r="D1197" t="str">
        <f>IF(A1197="","",SUMIFS(Акты!$D$5:$D$16,Акты!$E$5:$E$16,"&lt;="&amp;A1197)-SUMIFS(Оплаты!$B$6:$B$505,Оплаты!$A$6:$A$505,"&lt;"&amp;A1197,Оплаты!$D$6:$D$505,"&lt;&gt;"))</f>
        <v/>
      </c>
      <c r="E1197" t="str">
        <f>IF(A1197="","",IF(SUMPRODUCT((Ввод!$F$12:$F$31&lt;&gt;"")*(Ввод!$F$12:$F$31&lt;=A1197)*(Ввод!$G$12:$G$31&gt;=A1197))&gt;0,1,0))</f>
        <v/>
      </c>
      <c r="G1197" t="str">
        <f t="shared" si="37"/>
        <v/>
      </c>
    </row>
    <row r="1198" spans="1:7" x14ac:dyDescent="0.3">
      <c r="A1198" s="21" t="str">
        <f>IF(A1197="","",IF(A1197+1&gt;Ввод!$B$4,"",A1197+1))</f>
        <v/>
      </c>
      <c r="B1198" s="23" t="str">
        <f>IF(A1198="","",IFERROR(INDEX(Ввод!$B$12:$B$71,MATCH(A1198,Ввод!$D$12:$D$71,1)),""))</f>
        <v/>
      </c>
      <c r="C1198" t="str">
        <f t="shared" si="36"/>
        <v/>
      </c>
      <c r="D1198" t="str">
        <f>IF(A1198="","",SUMIFS(Акты!$D$5:$D$16,Акты!$E$5:$E$16,"&lt;="&amp;A1198)-SUMIFS(Оплаты!$B$6:$B$505,Оплаты!$A$6:$A$505,"&lt;"&amp;A1198,Оплаты!$D$6:$D$505,"&lt;&gt;"))</f>
        <v/>
      </c>
      <c r="E1198" t="str">
        <f>IF(A1198="","",IF(SUMPRODUCT((Ввод!$F$12:$F$31&lt;&gt;"")*(Ввод!$F$12:$F$31&lt;=A1198)*(Ввод!$G$12:$G$31&gt;=A1198))&gt;0,1,0))</f>
        <v/>
      </c>
      <c r="G1198" t="str">
        <f t="shared" si="37"/>
        <v/>
      </c>
    </row>
    <row r="1199" spans="1:7" x14ac:dyDescent="0.3">
      <c r="A1199" s="21" t="str">
        <f>IF(A1198="","",IF(A1198+1&gt;Ввод!$B$4,"",A1198+1))</f>
        <v/>
      </c>
      <c r="B1199" s="23" t="str">
        <f>IF(A1199="","",IFERROR(INDEX(Ввод!$B$12:$B$71,MATCH(A1199,Ввод!$D$12:$D$71,1)),""))</f>
        <v/>
      </c>
      <c r="C1199" t="str">
        <f t="shared" si="36"/>
        <v/>
      </c>
      <c r="D1199" t="str">
        <f>IF(A1199="","",SUMIFS(Акты!$D$5:$D$16,Акты!$E$5:$E$16,"&lt;="&amp;A1199)-SUMIFS(Оплаты!$B$6:$B$505,Оплаты!$A$6:$A$505,"&lt;"&amp;A1199,Оплаты!$D$6:$D$505,"&lt;&gt;"))</f>
        <v/>
      </c>
      <c r="E1199" t="str">
        <f>IF(A1199="","",IF(SUMPRODUCT((Ввод!$F$12:$F$31&lt;&gt;"")*(Ввод!$F$12:$F$31&lt;=A1199)*(Ввод!$G$12:$G$31&gt;=A1199))&gt;0,1,0))</f>
        <v/>
      </c>
      <c r="G1199" t="str">
        <f t="shared" si="37"/>
        <v/>
      </c>
    </row>
    <row r="1200" spans="1:7" x14ac:dyDescent="0.3">
      <c r="A1200" s="21" t="str">
        <f>IF(A1199="","",IF(A1199+1&gt;Ввод!$B$4,"",A1199+1))</f>
        <v/>
      </c>
      <c r="B1200" s="23" t="str">
        <f>IF(A1200="","",IFERROR(INDEX(Ввод!$B$12:$B$71,MATCH(A1200,Ввод!$D$12:$D$71,1)),""))</f>
        <v/>
      </c>
      <c r="C1200" t="str">
        <f t="shared" si="36"/>
        <v/>
      </c>
      <c r="D1200" t="str">
        <f>IF(A1200="","",SUMIFS(Акты!$D$5:$D$16,Акты!$E$5:$E$16,"&lt;="&amp;A1200)-SUMIFS(Оплаты!$B$6:$B$505,Оплаты!$A$6:$A$505,"&lt;"&amp;A1200,Оплаты!$D$6:$D$505,"&lt;&gt;"))</f>
        <v/>
      </c>
      <c r="E1200" t="str">
        <f>IF(A1200="","",IF(SUMPRODUCT((Ввод!$F$12:$F$31&lt;&gt;"")*(Ввод!$F$12:$F$31&lt;=A1200)*(Ввод!$G$12:$G$31&gt;=A1200))&gt;0,1,0))</f>
        <v/>
      </c>
      <c r="G1200" t="str">
        <f t="shared" si="37"/>
        <v/>
      </c>
    </row>
    <row r="1201" spans="1:7" x14ac:dyDescent="0.3">
      <c r="A1201" s="21" t="str">
        <f>IF(A1200="","",IF(A1200+1&gt;Ввод!$B$4,"",A1200+1))</f>
        <v/>
      </c>
      <c r="B1201" s="23" t="str">
        <f>IF(A1201="","",IFERROR(INDEX(Ввод!$B$12:$B$71,MATCH(A1201,Ввод!$D$12:$D$71,1)),""))</f>
        <v/>
      </c>
      <c r="C1201" t="str">
        <f t="shared" si="36"/>
        <v/>
      </c>
      <c r="D1201" t="str">
        <f>IF(A1201="","",SUMIFS(Акты!$D$5:$D$16,Акты!$E$5:$E$16,"&lt;="&amp;A1201)-SUMIFS(Оплаты!$B$6:$B$505,Оплаты!$A$6:$A$505,"&lt;"&amp;A1201,Оплаты!$D$6:$D$505,"&lt;&gt;"))</f>
        <v/>
      </c>
      <c r="E1201" t="str">
        <f>IF(A1201="","",IF(SUMPRODUCT((Ввод!$F$12:$F$31&lt;&gt;"")*(Ввод!$F$12:$F$31&lt;=A1201)*(Ввод!$G$12:$G$31&gt;=A1201))&gt;0,1,0))</f>
        <v/>
      </c>
      <c r="G1201" t="str">
        <f t="shared" si="37"/>
        <v/>
      </c>
    </row>
    <row r="1202" spans="1:7" x14ac:dyDescent="0.3">
      <c r="A1202" s="21" t="str">
        <f>IF(A1201="","",IF(A1201+1&gt;Ввод!$B$4,"",A1201+1))</f>
        <v/>
      </c>
      <c r="B1202" s="23" t="str">
        <f>IF(A1202="","",IFERROR(INDEX(Ввод!$B$12:$B$71,MATCH(A1202,Ввод!$D$12:$D$71,1)),""))</f>
        <v/>
      </c>
      <c r="C1202" t="str">
        <f t="shared" si="36"/>
        <v/>
      </c>
      <c r="D1202" t="str">
        <f>IF(A1202="","",SUMIFS(Акты!$D$5:$D$16,Акты!$E$5:$E$16,"&lt;="&amp;A1202)-SUMIFS(Оплаты!$B$6:$B$505,Оплаты!$A$6:$A$505,"&lt;"&amp;A1202,Оплаты!$D$6:$D$505,"&lt;&gt;"))</f>
        <v/>
      </c>
      <c r="E1202" t="str">
        <f>IF(A1202="","",IF(SUMPRODUCT((Ввод!$F$12:$F$31&lt;&gt;"")*(Ввод!$F$12:$F$31&lt;=A1202)*(Ввод!$G$12:$G$31&gt;=A1202))&gt;0,1,0))</f>
        <v/>
      </c>
      <c r="G1202" t="str">
        <f t="shared" si="37"/>
        <v/>
      </c>
    </row>
    <row r="1203" spans="1:7" x14ac:dyDescent="0.3">
      <c r="A1203" s="21" t="str">
        <f>IF(A1202="","",IF(A1202+1&gt;Ввод!$B$4,"",A1202+1))</f>
        <v/>
      </c>
      <c r="B1203" s="23" t="str">
        <f>IF(A1203="","",IFERROR(INDEX(Ввод!$B$12:$B$71,MATCH(A1203,Ввод!$D$12:$D$71,1)),""))</f>
        <v/>
      </c>
      <c r="C1203" t="str">
        <f t="shared" si="36"/>
        <v/>
      </c>
      <c r="D1203" t="str">
        <f>IF(A1203="","",SUMIFS(Акты!$D$5:$D$16,Акты!$E$5:$E$16,"&lt;="&amp;A1203)-SUMIFS(Оплаты!$B$6:$B$505,Оплаты!$A$6:$A$505,"&lt;"&amp;A1203,Оплаты!$D$6:$D$505,"&lt;&gt;"))</f>
        <v/>
      </c>
      <c r="E1203" t="str">
        <f>IF(A1203="","",IF(SUMPRODUCT((Ввод!$F$12:$F$31&lt;&gt;"")*(Ввод!$F$12:$F$31&lt;=A1203)*(Ввод!$G$12:$G$31&gt;=A1203))&gt;0,1,0))</f>
        <v/>
      </c>
      <c r="G1203" t="str">
        <f t="shared" si="37"/>
        <v/>
      </c>
    </row>
    <row r="1204" spans="1:7" x14ac:dyDescent="0.3">
      <c r="A1204" s="21" t="str">
        <f>IF(A1203="","",IF(A1203+1&gt;Ввод!$B$4,"",A1203+1))</f>
        <v/>
      </c>
      <c r="B1204" s="23" t="str">
        <f>IF(A1204="","",IFERROR(INDEX(Ввод!$B$12:$B$71,MATCH(A1204,Ввод!$D$12:$D$71,1)),""))</f>
        <v/>
      </c>
      <c r="C1204" t="str">
        <f t="shared" si="36"/>
        <v/>
      </c>
      <c r="D1204" t="str">
        <f>IF(A1204="","",SUMIFS(Акты!$D$5:$D$16,Акты!$E$5:$E$16,"&lt;="&amp;A1204)-SUMIFS(Оплаты!$B$6:$B$505,Оплаты!$A$6:$A$505,"&lt;"&amp;A1204,Оплаты!$D$6:$D$505,"&lt;&gt;"))</f>
        <v/>
      </c>
      <c r="E1204" t="str">
        <f>IF(A1204="","",IF(SUMPRODUCT((Ввод!$F$12:$F$31&lt;&gt;"")*(Ввод!$F$12:$F$31&lt;=A1204)*(Ввод!$G$12:$G$31&gt;=A1204))&gt;0,1,0))</f>
        <v/>
      </c>
      <c r="G1204" t="str">
        <f t="shared" si="37"/>
        <v/>
      </c>
    </row>
    <row r="1205" spans="1:7" x14ac:dyDescent="0.3">
      <c r="A1205" s="21" t="str">
        <f>IF(A1204="","",IF(A1204+1&gt;Ввод!$B$4,"",A1204+1))</f>
        <v/>
      </c>
      <c r="B1205" s="23" t="str">
        <f>IF(A1205="","",IFERROR(INDEX(Ввод!$B$12:$B$71,MATCH(A1205,Ввод!$D$12:$D$71,1)),""))</f>
        <v/>
      </c>
      <c r="C1205" t="str">
        <f t="shared" si="36"/>
        <v/>
      </c>
      <c r="D1205" t="str">
        <f>IF(A1205="","",SUMIFS(Акты!$D$5:$D$16,Акты!$E$5:$E$16,"&lt;="&amp;A1205)-SUMIFS(Оплаты!$B$6:$B$505,Оплаты!$A$6:$A$505,"&lt;"&amp;A1205,Оплаты!$D$6:$D$505,"&lt;&gt;"))</f>
        <v/>
      </c>
      <c r="E1205" t="str">
        <f>IF(A1205="","",IF(SUMPRODUCT((Ввод!$F$12:$F$31&lt;&gt;"")*(Ввод!$F$12:$F$31&lt;=A1205)*(Ввод!$G$12:$G$31&gt;=A1205))&gt;0,1,0))</f>
        <v/>
      </c>
      <c r="G1205" t="str">
        <f t="shared" si="37"/>
        <v/>
      </c>
    </row>
    <row r="1206" spans="1:7" x14ac:dyDescent="0.3">
      <c r="A1206" s="21" t="str">
        <f>IF(A1205="","",IF(A1205+1&gt;Ввод!$B$4,"",A1205+1))</f>
        <v/>
      </c>
      <c r="B1206" s="23" t="str">
        <f>IF(A1206="","",IFERROR(INDEX(Ввод!$B$12:$B$71,MATCH(A1206,Ввод!$D$12:$D$71,1)),""))</f>
        <v/>
      </c>
      <c r="C1206" t="str">
        <f t="shared" si="36"/>
        <v/>
      </c>
      <c r="D1206" t="str">
        <f>IF(A1206="","",SUMIFS(Акты!$D$5:$D$16,Акты!$E$5:$E$16,"&lt;="&amp;A1206)-SUMIFS(Оплаты!$B$6:$B$505,Оплаты!$A$6:$A$505,"&lt;"&amp;A1206,Оплаты!$D$6:$D$505,"&lt;&gt;"))</f>
        <v/>
      </c>
      <c r="E1206" t="str">
        <f>IF(A1206="","",IF(SUMPRODUCT((Ввод!$F$12:$F$31&lt;&gt;"")*(Ввод!$F$12:$F$31&lt;=A1206)*(Ввод!$G$12:$G$31&gt;=A1206))&gt;0,1,0))</f>
        <v/>
      </c>
      <c r="G1206" t="str">
        <f t="shared" si="37"/>
        <v/>
      </c>
    </row>
    <row r="1207" spans="1:7" x14ac:dyDescent="0.3">
      <c r="A1207" s="21" t="str">
        <f>IF(A1206="","",IF(A1206+1&gt;Ввод!$B$4,"",A1206+1))</f>
        <v/>
      </c>
      <c r="B1207" s="23" t="str">
        <f>IF(A1207="","",IFERROR(INDEX(Ввод!$B$12:$B$71,MATCH(A1207,Ввод!$D$12:$D$71,1)),""))</f>
        <v/>
      </c>
      <c r="C1207" t="str">
        <f t="shared" si="36"/>
        <v/>
      </c>
      <c r="D1207" t="str">
        <f>IF(A1207="","",SUMIFS(Акты!$D$5:$D$16,Акты!$E$5:$E$16,"&lt;="&amp;A1207)-SUMIFS(Оплаты!$B$6:$B$505,Оплаты!$A$6:$A$505,"&lt;"&amp;A1207,Оплаты!$D$6:$D$505,"&lt;&gt;"))</f>
        <v/>
      </c>
      <c r="E1207" t="str">
        <f>IF(A1207="","",IF(SUMPRODUCT((Ввод!$F$12:$F$31&lt;&gt;"")*(Ввод!$F$12:$F$31&lt;=A1207)*(Ввод!$G$12:$G$31&gt;=A1207))&gt;0,1,0))</f>
        <v/>
      </c>
      <c r="G1207" t="str">
        <f t="shared" si="37"/>
        <v/>
      </c>
    </row>
    <row r="1208" spans="1:7" x14ac:dyDescent="0.3">
      <c r="A1208" s="21" t="str">
        <f>IF(A1207="","",IF(A1207+1&gt;Ввод!$B$4,"",A1207+1))</f>
        <v/>
      </c>
      <c r="B1208" s="23" t="str">
        <f>IF(A1208="","",IFERROR(INDEX(Ввод!$B$12:$B$71,MATCH(A1208,Ввод!$D$12:$D$71,1)),""))</f>
        <v/>
      </c>
      <c r="C1208" t="str">
        <f t="shared" si="36"/>
        <v/>
      </c>
      <c r="D1208" t="str">
        <f>IF(A1208="","",SUMIFS(Акты!$D$5:$D$16,Акты!$E$5:$E$16,"&lt;="&amp;A1208)-SUMIFS(Оплаты!$B$6:$B$505,Оплаты!$A$6:$A$505,"&lt;"&amp;A1208,Оплаты!$D$6:$D$505,"&lt;&gt;"))</f>
        <v/>
      </c>
      <c r="E1208" t="str">
        <f>IF(A1208="","",IF(SUMPRODUCT((Ввод!$F$12:$F$31&lt;&gt;"")*(Ввод!$F$12:$F$31&lt;=A1208)*(Ввод!$G$12:$G$31&gt;=A1208))&gt;0,1,0))</f>
        <v/>
      </c>
      <c r="G1208" t="str">
        <f t="shared" si="37"/>
        <v/>
      </c>
    </row>
    <row r="1209" spans="1:7" x14ac:dyDescent="0.3">
      <c r="A1209" s="21" t="str">
        <f>IF(A1208="","",IF(A1208+1&gt;Ввод!$B$4,"",A1208+1))</f>
        <v/>
      </c>
      <c r="B1209" s="23" t="str">
        <f>IF(A1209="","",IFERROR(INDEX(Ввод!$B$12:$B$71,MATCH(A1209,Ввод!$D$12:$D$71,1)),""))</f>
        <v/>
      </c>
      <c r="C1209" t="str">
        <f t="shared" si="36"/>
        <v/>
      </c>
      <c r="D1209" t="str">
        <f>IF(A1209="","",SUMIFS(Акты!$D$5:$D$16,Акты!$E$5:$E$16,"&lt;="&amp;A1209)-SUMIFS(Оплаты!$B$6:$B$505,Оплаты!$A$6:$A$505,"&lt;"&amp;A1209,Оплаты!$D$6:$D$505,"&lt;&gt;"))</f>
        <v/>
      </c>
      <c r="E1209" t="str">
        <f>IF(A1209="","",IF(SUMPRODUCT((Ввод!$F$12:$F$31&lt;&gt;"")*(Ввод!$F$12:$F$31&lt;=A1209)*(Ввод!$G$12:$G$31&gt;=A1209))&gt;0,1,0))</f>
        <v/>
      </c>
      <c r="G1209" t="str">
        <f t="shared" si="37"/>
        <v/>
      </c>
    </row>
    <row r="1210" spans="1:7" x14ac:dyDescent="0.3">
      <c r="A1210" s="21" t="str">
        <f>IF(A1209="","",IF(A1209+1&gt;Ввод!$B$4,"",A1209+1))</f>
        <v/>
      </c>
      <c r="B1210" s="23" t="str">
        <f>IF(A1210="","",IFERROR(INDEX(Ввод!$B$12:$B$71,MATCH(A1210,Ввод!$D$12:$D$71,1)),""))</f>
        <v/>
      </c>
      <c r="C1210" t="str">
        <f t="shared" si="36"/>
        <v/>
      </c>
      <c r="D1210" t="str">
        <f>IF(A1210="","",SUMIFS(Акты!$D$5:$D$16,Акты!$E$5:$E$16,"&lt;="&amp;A1210)-SUMIFS(Оплаты!$B$6:$B$505,Оплаты!$A$6:$A$505,"&lt;"&amp;A1210,Оплаты!$D$6:$D$505,"&lt;&gt;"))</f>
        <v/>
      </c>
      <c r="E1210" t="str">
        <f>IF(A1210="","",IF(SUMPRODUCT((Ввод!$F$12:$F$31&lt;&gt;"")*(Ввод!$F$12:$F$31&lt;=A1210)*(Ввод!$G$12:$G$31&gt;=A1210))&gt;0,1,0))</f>
        <v/>
      </c>
      <c r="G1210" t="str">
        <f t="shared" si="37"/>
        <v/>
      </c>
    </row>
    <row r="1211" spans="1:7" x14ac:dyDescent="0.3">
      <c r="A1211" s="21" t="str">
        <f>IF(A1210="","",IF(A1210+1&gt;Ввод!$B$4,"",A1210+1))</f>
        <v/>
      </c>
      <c r="B1211" s="23" t="str">
        <f>IF(A1211="","",IFERROR(INDEX(Ввод!$B$12:$B$71,MATCH(A1211,Ввод!$D$12:$D$71,1)),""))</f>
        <v/>
      </c>
      <c r="C1211" t="str">
        <f t="shared" si="36"/>
        <v/>
      </c>
      <c r="D1211" t="str">
        <f>IF(A1211="","",SUMIFS(Акты!$D$5:$D$16,Акты!$E$5:$E$16,"&lt;="&amp;A1211)-SUMIFS(Оплаты!$B$6:$B$505,Оплаты!$A$6:$A$505,"&lt;"&amp;A1211,Оплаты!$D$6:$D$505,"&lt;&gt;"))</f>
        <v/>
      </c>
      <c r="E1211" t="str">
        <f>IF(A1211="","",IF(SUMPRODUCT((Ввод!$F$12:$F$31&lt;&gt;"")*(Ввод!$F$12:$F$31&lt;=A1211)*(Ввод!$G$12:$G$31&gt;=A1211))&gt;0,1,0))</f>
        <v/>
      </c>
      <c r="G1211" t="str">
        <f t="shared" si="37"/>
        <v/>
      </c>
    </row>
    <row r="1212" spans="1:7" x14ac:dyDescent="0.3">
      <c r="A1212" s="21" t="str">
        <f>IF(A1211="","",IF(A1211+1&gt;Ввод!$B$4,"",A1211+1))</f>
        <v/>
      </c>
      <c r="B1212" s="23" t="str">
        <f>IF(A1212="","",IFERROR(INDEX(Ввод!$B$12:$B$71,MATCH(A1212,Ввод!$D$12:$D$71,1)),""))</f>
        <v/>
      </c>
      <c r="C1212" t="str">
        <f t="shared" si="36"/>
        <v/>
      </c>
      <c r="D1212" t="str">
        <f>IF(A1212="","",SUMIFS(Акты!$D$5:$D$16,Акты!$E$5:$E$16,"&lt;="&amp;A1212)-SUMIFS(Оплаты!$B$6:$B$505,Оплаты!$A$6:$A$505,"&lt;"&amp;A1212,Оплаты!$D$6:$D$505,"&lt;&gt;"))</f>
        <v/>
      </c>
      <c r="E1212" t="str">
        <f>IF(A1212="","",IF(SUMPRODUCT((Ввод!$F$12:$F$31&lt;&gt;"")*(Ввод!$F$12:$F$31&lt;=A1212)*(Ввод!$G$12:$G$31&gt;=A1212))&gt;0,1,0))</f>
        <v/>
      </c>
      <c r="G1212" t="str">
        <f t="shared" si="37"/>
        <v/>
      </c>
    </row>
    <row r="1213" spans="1:7" x14ac:dyDescent="0.3">
      <c r="A1213" s="21" t="str">
        <f>IF(A1212="","",IF(A1212+1&gt;Ввод!$B$4,"",A1212+1))</f>
        <v/>
      </c>
      <c r="B1213" s="23" t="str">
        <f>IF(A1213="","",IFERROR(INDEX(Ввод!$B$12:$B$71,MATCH(A1213,Ввод!$D$12:$D$71,1)),""))</f>
        <v/>
      </c>
      <c r="C1213" t="str">
        <f t="shared" si="36"/>
        <v/>
      </c>
      <c r="D1213" t="str">
        <f>IF(A1213="","",SUMIFS(Акты!$D$5:$D$16,Акты!$E$5:$E$16,"&lt;="&amp;A1213)-SUMIFS(Оплаты!$B$6:$B$505,Оплаты!$A$6:$A$505,"&lt;"&amp;A1213,Оплаты!$D$6:$D$505,"&lt;&gt;"))</f>
        <v/>
      </c>
      <c r="E1213" t="str">
        <f>IF(A1213="","",IF(SUMPRODUCT((Ввод!$F$12:$F$31&lt;&gt;"")*(Ввод!$F$12:$F$31&lt;=A1213)*(Ввод!$G$12:$G$31&gt;=A1213))&gt;0,1,0))</f>
        <v/>
      </c>
      <c r="G1213" t="str">
        <f t="shared" si="37"/>
        <v/>
      </c>
    </row>
    <row r="1214" spans="1:7" x14ac:dyDescent="0.3">
      <c r="A1214" s="21" t="str">
        <f>IF(A1213="","",IF(A1213+1&gt;Ввод!$B$4,"",A1213+1))</f>
        <v/>
      </c>
      <c r="B1214" s="23" t="str">
        <f>IF(A1214="","",IFERROR(INDEX(Ввод!$B$12:$B$71,MATCH(A1214,Ввод!$D$12:$D$71,1)),""))</f>
        <v/>
      </c>
      <c r="C1214" t="str">
        <f t="shared" si="36"/>
        <v/>
      </c>
      <c r="D1214" t="str">
        <f>IF(A1214="","",SUMIFS(Акты!$D$5:$D$16,Акты!$E$5:$E$16,"&lt;="&amp;A1214)-SUMIFS(Оплаты!$B$6:$B$505,Оплаты!$A$6:$A$505,"&lt;"&amp;A1214,Оплаты!$D$6:$D$505,"&lt;&gt;"))</f>
        <v/>
      </c>
      <c r="E1214" t="str">
        <f>IF(A1214="","",IF(SUMPRODUCT((Ввод!$F$12:$F$31&lt;&gt;"")*(Ввод!$F$12:$F$31&lt;=A1214)*(Ввод!$G$12:$G$31&gt;=A1214))&gt;0,1,0))</f>
        <v/>
      </c>
      <c r="G1214" t="str">
        <f t="shared" si="37"/>
        <v/>
      </c>
    </row>
    <row r="1215" spans="1:7" x14ac:dyDescent="0.3">
      <c r="A1215" s="21" t="str">
        <f>IF(A1214="","",IF(A1214+1&gt;Ввод!$B$4,"",A1214+1))</f>
        <v/>
      </c>
      <c r="B1215" s="23" t="str">
        <f>IF(A1215="","",IFERROR(INDEX(Ввод!$B$12:$B$71,MATCH(A1215,Ввод!$D$12:$D$71,1)),""))</f>
        <v/>
      </c>
      <c r="C1215" t="str">
        <f t="shared" si="36"/>
        <v/>
      </c>
      <c r="D1215" t="str">
        <f>IF(A1215="","",SUMIFS(Акты!$D$5:$D$16,Акты!$E$5:$E$16,"&lt;="&amp;A1215)-SUMIFS(Оплаты!$B$6:$B$505,Оплаты!$A$6:$A$505,"&lt;"&amp;A1215,Оплаты!$D$6:$D$505,"&lt;&gt;"))</f>
        <v/>
      </c>
      <c r="E1215" t="str">
        <f>IF(A1215="","",IF(SUMPRODUCT((Ввод!$F$12:$F$31&lt;&gt;"")*(Ввод!$F$12:$F$31&lt;=A1215)*(Ввод!$G$12:$G$31&gt;=A1215))&gt;0,1,0))</f>
        <v/>
      </c>
      <c r="G1215" t="str">
        <f t="shared" si="37"/>
        <v/>
      </c>
    </row>
    <row r="1216" spans="1:7" x14ac:dyDescent="0.3">
      <c r="A1216" s="21" t="str">
        <f>IF(A1215="","",IF(A1215+1&gt;Ввод!$B$4,"",A1215+1))</f>
        <v/>
      </c>
      <c r="B1216" s="23" t="str">
        <f>IF(A1216="","",IFERROR(INDEX(Ввод!$B$12:$B$71,MATCH(A1216,Ввод!$D$12:$D$71,1)),""))</f>
        <v/>
      </c>
      <c r="C1216" t="str">
        <f t="shared" si="36"/>
        <v/>
      </c>
      <c r="D1216" t="str">
        <f>IF(A1216="","",SUMIFS(Акты!$D$5:$D$16,Акты!$E$5:$E$16,"&lt;="&amp;A1216)-SUMIFS(Оплаты!$B$6:$B$505,Оплаты!$A$6:$A$505,"&lt;"&amp;A1216,Оплаты!$D$6:$D$505,"&lt;&gt;"))</f>
        <v/>
      </c>
      <c r="E1216" t="str">
        <f>IF(A1216="","",IF(SUMPRODUCT((Ввод!$F$12:$F$31&lt;&gt;"")*(Ввод!$F$12:$F$31&lt;=A1216)*(Ввод!$G$12:$G$31&gt;=A1216))&gt;0,1,0))</f>
        <v/>
      </c>
      <c r="G1216" t="str">
        <f t="shared" si="37"/>
        <v/>
      </c>
    </row>
    <row r="1217" spans="1:7" x14ac:dyDescent="0.3">
      <c r="A1217" s="21" t="str">
        <f>IF(A1216="","",IF(A1216+1&gt;Ввод!$B$4,"",A1216+1))</f>
        <v/>
      </c>
      <c r="B1217" s="23" t="str">
        <f>IF(A1217="","",IFERROR(INDEX(Ввод!$B$12:$B$71,MATCH(A1217,Ввод!$D$12:$D$71,1)),""))</f>
        <v/>
      </c>
      <c r="C1217" t="str">
        <f t="shared" si="36"/>
        <v/>
      </c>
      <c r="D1217" t="str">
        <f>IF(A1217="","",SUMIFS(Акты!$D$5:$D$16,Акты!$E$5:$E$16,"&lt;="&amp;A1217)-SUMIFS(Оплаты!$B$6:$B$505,Оплаты!$A$6:$A$505,"&lt;"&amp;A1217,Оплаты!$D$6:$D$505,"&lt;&gt;"))</f>
        <v/>
      </c>
      <c r="E1217" t="str">
        <f>IF(A1217="","",IF(SUMPRODUCT((Ввод!$F$12:$F$31&lt;&gt;"")*(Ввод!$F$12:$F$31&lt;=A1217)*(Ввод!$G$12:$G$31&gt;=A1217))&gt;0,1,0))</f>
        <v/>
      </c>
      <c r="G1217" t="str">
        <f t="shared" si="37"/>
        <v/>
      </c>
    </row>
    <row r="1218" spans="1:7" x14ac:dyDescent="0.3">
      <c r="A1218" s="21" t="str">
        <f>IF(A1217="","",IF(A1217+1&gt;Ввод!$B$4,"",A1217+1))</f>
        <v/>
      </c>
      <c r="B1218" s="23" t="str">
        <f>IF(A1218="","",IFERROR(INDEX(Ввод!$B$12:$B$71,MATCH(A1218,Ввод!$D$12:$D$71,1)),""))</f>
        <v/>
      </c>
      <c r="C1218" t="str">
        <f t="shared" ref="C1218:C1281" si="38">IF(A1218="","",DATE(YEAR(A1218),12,31)-DATE(YEAR(A1218),1,1)+1)</f>
        <v/>
      </c>
      <c r="D1218" t="str">
        <f>IF(A1218="","",SUMIFS(Акты!$D$5:$D$16,Акты!$E$5:$E$16,"&lt;="&amp;A1218)-SUMIFS(Оплаты!$B$6:$B$505,Оплаты!$A$6:$A$505,"&lt;"&amp;A1218,Оплаты!$D$6:$D$505,"&lt;&gt;"))</f>
        <v/>
      </c>
      <c r="E1218" t="str">
        <f>IF(A1218="","",IF(SUMPRODUCT((Ввод!$F$12:$F$31&lt;&gt;"")*(Ввод!$F$12:$F$31&lt;=A1218)*(Ввод!$G$12:$G$31&gt;=A1218))&gt;0,1,0))</f>
        <v/>
      </c>
      <c r="G1218" t="str">
        <f t="shared" si="37"/>
        <v/>
      </c>
    </row>
    <row r="1219" spans="1:7" x14ac:dyDescent="0.3">
      <c r="A1219" s="21" t="str">
        <f>IF(A1218="","",IF(A1218+1&gt;Ввод!$B$4,"",A1218+1))</f>
        <v/>
      </c>
      <c r="B1219" s="23" t="str">
        <f>IF(A1219="","",IFERROR(INDEX(Ввод!$B$12:$B$71,MATCH(A1219,Ввод!$D$12:$D$71,1)),""))</f>
        <v/>
      </c>
      <c r="C1219" t="str">
        <f t="shared" si="38"/>
        <v/>
      </c>
      <c r="D1219" t="str">
        <f>IF(A1219="","",SUMIFS(Акты!$D$5:$D$16,Акты!$E$5:$E$16,"&lt;="&amp;A1219)-SUMIFS(Оплаты!$B$6:$B$505,Оплаты!$A$6:$A$505,"&lt;"&amp;A1219,Оплаты!$D$6:$D$505,"&lt;&gt;"))</f>
        <v/>
      </c>
      <c r="E1219" t="str">
        <f>IF(A1219="","",IF(SUMPRODUCT((Ввод!$F$12:$F$31&lt;&gt;"")*(Ввод!$F$12:$F$31&lt;=A1219)*(Ввод!$G$12:$G$31&gt;=A1219))&gt;0,1,0))</f>
        <v/>
      </c>
      <c r="G1219" t="str">
        <f t="shared" ref="G1219:G1282" si="39">IF(A1219="","",IF(OR(B1219&lt;&gt;B1218,C1219&lt;&gt;C1218,E1219&lt;&gt;E1218),G1218+1,G1218))</f>
        <v/>
      </c>
    </row>
    <row r="1220" spans="1:7" x14ac:dyDescent="0.3">
      <c r="A1220" s="21" t="str">
        <f>IF(A1219="","",IF(A1219+1&gt;Ввод!$B$4,"",A1219+1))</f>
        <v/>
      </c>
      <c r="B1220" s="23" t="str">
        <f>IF(A1220="","",IFERROR(INDEX(Ввод!$B$12:$B$71,MATCH(A1220,Ввод!$D$12:$D$71,1)),""))</f>
        <v/>
      </c>
      <c r="C1220" t="str">
        <f t="shared" si="38"/>
        <v/>
      </c>
      <c r="D1220" t="str">
        <f>IF(A1220="","",SUMIFS(Акты!$D$5:$D$16,Акты!$E$5:$E$16,"&lt;="&amp;A1220)-SUMIFS(Оплаты!$B$6:$B$505,Оплаты!$A$6:$A$505,"&lt;"&amp;A1220,Оплаты!$D$6:$D$505,"&lt;&gt;"))</f>
        <v/>
      </c>
      <c r="E1220" t="str">
        <f>IF(A1220="","",IF(SUMPRODUCT((Ввод!$F$12:$F$31&lt;&gt;"")*(Ввод!$F$12:$F$31&lt;=A1220)*(Ввод!$G$12:$G$31&gt;=A1220))&gt;0,1,0))</f>
        <v/>
      </c>
      <c r="G1220" t="str">
        <f t="shared" si="39"/>
        <v/>
      </c>
    </row>
    <row r="1221" spans="1:7" x14ac:dyDescent="0.3">
      <c r="A1221" s="21" t="str">
        <f>IF(A1220="","",IF(A1220+1&gt;Ввод!$B$4,"",A1220+1))</f>
        <v/>
      </c>
      <c r="B1221" s="23" t="str">
        <f>IF(A1221="","",IFERROR(INDEX(Ввод!$B$12:$B$71,MATCH(A1221,Ввод!$D$12:$D$71,1)),""))</f>
        <v/>
      </c>
      <c r="C1221" t="str">
        <f t="shared" si="38"/>
        <v/>
      </c>
      <c r="D1221" t="str">
        <f>IF(A1221="","",SUMIFS(Акты!$D$5:$D$16,Акты!$E$5:$E$16,"&lt;="&amp;A1221)-SUMIFS(Оплаты!$B$6:$B$505,Оплаты!$A$6:$A$505,"&lt;"&amp;A1221,Оплаты!$D$6:$D$505,"&lt;&gt;"))</f>
        <v/>
      </c>
      <c r="E1221" t="str">
        <f>IF(A1221="","",IF(SUMPRODUCT((Ввод!$F$12:$F$31&lt;&gt;"")*(Ввод!$F$12:$F$31&lt;=A1221)*(Ввод!$G$12:$G$31&gt;=A1221))&gt;0,1,0))</f>
        <v/>
      </c>
      <c r="G1221" t="str">
        <f t="shared" si="39"/>
        <v/>
      </c>
    </row>
    <row r="1222" spans="1:7" x14ac:dyDescent="0.3">
      <c r="A1222" s="21" t="str">
        <f>IF(A1221="","",IF(A1221+1&gt;Ввод!$B$4,"",A1221+1))</f>
        <v/>
      </c>
      <c r="B1222" s="23" t="str">
        <f>IF(A1222="","",IFERROR(INDEX(Ввод!$B$12:$B$71,MATCH(A1222,Ввод!$D$12:$D$71,1)),""))</f>
        <v/>
      </c>
      <c r="C1222" t="str">
        <f t="shared" si="38"/>
        <v/>
      </c>
      <c r="D1222" t="str">
        <f>IF(A1222="","",SUMIFS(Акты!$D$5:$D$16,Акты!$E$5:$E$16,"&lt;="&amp;A1222)-SUMIFS(Оплаты!$B$6:$B$505,Оплаты!$A$6:$A$505,"&lt;"&amp;A1222,Оплаты!$D$6:$D$505,"&lt;&gt;"))</f>
        <v/>
      </c>
      <c r="E1222" t="str">
        <f>IF(A1222="","",IF(SUMPRODUCT((Ввод!$F$12:$F$31&lt;&gt;"")*(Ввод!$F$12:$F$31&lt;=A1222)*(Ввод!$G$12:$G$31&gt;=A1222))&gt;0,1,0))</f>
        <v/>
      </c>
      <c r="G1222" t="str">
        <f t="shared" si="39"/>
        <v/>
      </c>
    </row>
    <row r="1223" spans="1:7" x14ac:dyDescent="0.3">
      <c r="A1223" s="21" t="str">
        <f>IF(A1222="","",IF(A1222+1&gt;Ввод!$B$4,"",A1222+1))</f>
        <v/>
      </c>
      <c r="B1223" s="23" t="str">
        <f>IF(A1223="","",IFERROR(INDEX(Ввод!$B$12:$B$71,MATCH(A1223,Ввод!$D$12:$D$71,1)),""))</f>
        <v/>
      </c>
      <c r="C1223" t="str">
        <f t="shared" si="38"/>
        <v/>
      </c>
      <c r="D1223" t="str">
        <f>IF(A1223="","",SUMIFS(Акты!$D$5:$D$16,Акты!$E$5:$E$16,"&lt;="&amp;A1223)-SUMIFS(Оплаты!$B$6:$B$505,Оплаты!$A$6:$A$505,"&lt;"&amp;A1223,Оплаты!$D$6:$D$505,"&lt;&gt;"))</f>
        <v/>
      </c>
      <c r="E1223" t="str">
        <f>IF(A1223="","",IF(SUMPRODUCT((Ввод!$F$12:$F$31&lt;&gt;"")*(Ввод!$F$12:$F$31&lt;=A1223)*(Ввод!$G$12:$G$31&gt;=A1223))&gt;0,1,0))</f>
        <v/>
      </c>
      <c r="G1223" t="str">
        <f t="shared" si="39"/>
        <v/>
      </c>
    </row>
    <row r="1224" spans="1:7" x14ac:dyDescent="0.3">
      <c r="A1224" s="21" t="str">
        <f>IF(A1223="","",IF(A1223+1&gt;Ввод!$B$4,"",A1223+1))</f>
        <v/>
      </c>
      <c r="B1224" s="23" t="str">
        <f>IF(A1224="","",IFERROR(INDEX(Ввод!$B$12:$B$71,MATCH(A1224,Ввод!$D$12:$D$71,1)),""))</f>
        <v/>
      </c>
      <c r="C1224" t="str">
        <f t="shared" si="38"/>
        <v/>
      </c>
      <c r="D1224" t="str">
        <f>IF(A1224="","",SUMIFS(Акты!$D$5:$D$16,Акты!$E$5:$E$16,"&lt;="&amp;A1224)-SUMIFS(Оплаты!$B$6:$B$505,Оплаты!$A$6:$A$505,"&lt;"&amp;A1224,Оплаты!$D$6:$D$505,"&lt;&gt;"))</f>
        <v/>
      </c>
      <c r="E1224" t="str">
        <f>IF(A1224="","",IF(SUMPRODUCT((Ввод!$F$12:$F$31&lt;&gt;"")*(Ввод!$F$12:$F$31&lt;=A1224)*(Ввод!$G$12:$G$31&gt;=A1224))&gt;0,1,0))</f>
        <v/>
      </c>
      <c r="G1224" t="str">
        <f t="shared" si="39"/>
        <v/>
      </c>
    </row>
    <row r="1225" spans="1:7" x14ac:dyDescent="0.3">
      <c r="A1225" s="21" t="str">
        <f>IF(A1224="","",IF(A1224+1&gt;Ввод!$B$4,"",A1224+1))</f>
        <v/>
      </c>
      <c r="B1225" s="23" t="str">
        <f>IF(A1225="","",IFERROR(INDEX(Ввод!$B$12:$B$71,MATCH(A1225,Ввод!$D$12:$D$71,1)),""))</f>
        <v/>
      </c>
      <c r="C1225" t="str">
        <f t="shared" si="38"/>
        <v/>
      </c>
      <c r="D1225" t="str">
        <f>IF(A1225="","",SUMIFS(Акты!$D$5:$D$16,Акты!$E$5:$E$16,"&lt;="&amp;A1225)-SUMIFS(Оплаты!$B$6:$B$505,Оплаты!$A$6:$A$505,"&lt;"&amp;A1225,Оплаты!$D$6:$D$505,"&lt;&gt;"))</f>
        <v/>
      </c>
      <c r="E1225" t="str">
        <f>IF(A1225="","",IF(SUMPRODUCT((Ввод!$F$12:$F$31&lt;&gt;"")*(Ввод!$F$12:$F$31&lt;=A1225)*(Ввод!$G$12:$G$31&gt;=A1225))&gt;0,1,0))</f>
        <v/>
      </c>
      <c r="G1225" t="str">
        <f t="shared" si="39"/>
        <v/>
      </c>
    </row>
    <row r="1226" spans="1:7" x14ac:dyDescent="0.3">
      <c r="A1226" s="21" t="str">
        <f>IF(A1225="","",IF(A1225+1&gt;Ввод!$B$4,"",A1225+1))</f>
        <v/>
      </c>
      <c r="B1226" s="23" t="str">
        <f>IF(A1226="","",IFERROR(INDEX(Ввод!$B$12:$B$71,MATCH(A1226,Ввод!$D$12:$D$71,1)),""))</f>
        <v/>
      </c>
      <c r="C1226" t="str">
        <f t="shared" si="38"/>
        <v/>
      </c>
      <c r="D1226" t="str">
        <f>IF(A1226="","",SUMIFS(Акты!$D$5:$D$16,Акты!$E$5:$E$16,"&lt;="&amp;A1226)-SUMIFS(Оплаты!$B$6:$B$505,Оплаты!$A$6:$A$505,"&lt;"&amp;A1226,Оплаты!$D$6:$D$505,"&lt;&gt;"))</f>
        <v/>
      </c>
      <c r="E1226" t="str">
        <f>IF(A1226="","",IF(SUMPRODUCT((Ввод!$F$12:$F$31&lt;&gt;"")*(Ввод!$F$12:$F$31&lt;=A1226)*(Ввод!$G$12:$G$31&gt;=A1226))&gt;0,1,0))</f>
        <v/>
      </c>
      <c r="G1226" t="str">
        <f t="shared" si="39"/>
        <v/>
      </c>
    </row>
    <row r="1227" spans="1:7" x14ac:dyDescent="0.3">
      <c r="A1227" s="21" t="str">
        <f>IF(A1226="","",IF(A1226+1&gt;Ввод!$B$4,"",A1226+1))</f>
        <v/>
      </c>
      <c r="B1227" s="23" t="str">
        <f>IF(A1227="","",IFERROR(INDEX(Ввод!$B$12:$B$71,MATCH(A1227,Ввод!$D$12:$D$71,1)),""))</f>
        <v/>
      </c>
      <c r="C1227" t="str">
        <f t="shared" si="38"/>
        <v/>
      </c>
      <c r="D1227" t="str">
        <f>IF(A1227="","",SUMIFS(Акты!$D$5:$D$16,Акты!$E$5:$E$16,"&lt;="&amp;A1227)-SUMIFS(Оплаты!$B$6:$B$505,Оплаты!$A$6:$A$505,"&lt;"&amp;A1227,Оплаты!$D$6:$D$505,"&lt;&gt;"))</f>
        <v/>
      </c>
      <c r="E1227" t="str">
        <f>IF(A1227="","",IF(SUMPRODUCT((Ввод!$F$12:$F$31&lt;&gt;"")*(Ввод!$F$12:$F$31&lt;=A1227)*(Ввод!$G$12:$G$31&gt;=A1227))&gt;0,1,0))</f>
        <v/>
      </c>
      <c r="G1227" t="str">
        <f t="shared" si="39"/>
        <v/>
      </c>
    </row>
    <row r="1228" spans="1:7" x14ac:dyDescent="0.3">
      <c r="A1228" s="21" t="str">
        <f>IF(A1227="","",IF(A1227+1&gt;Ввод!$B$4,"",A1227+1))</f>
        <v/>
      </c>
      <c r="B1228" s="23" t="str">
        <f>IF(A1228="","",IFERROR(INDEX(Ввод!$B$12:$B$71,MATCH(A1228,Ввод!$D$12:$D$71,1)),""))</f>
        <v/>
      </c>
      <c r="C1228" t="str">
        <f t="shared" si="38"/>
        <v/>
      </c>
      <c r="D1228" t="str">
        <f>IF(A1228="","",SUMIFS(Акты!$D$5:$D$16,Акты!$E$5:$E$16,"&lt;="&amp;A1228)-SUMIFS(Оплаты!$B$6:$B$505,Оплаты!$A$6:$A$505,"&lt;"&amp;A1228,Оплаты!$D$6:$D$505,"&lt;&gt;"))</f>
        <v/>
      </c>
      <c r="E1228" t="str">
        <f>IF(A1228="","",IF(SUMPRODUCT((Ввод!$F$12:$F$31&lt;&gt;"")*(Ввод!$F$12:$F$31&lt;=A1228)*(Ввод!$G$12:$G$31&gt;=A1228))&gt;0,1,0))</f>
        <v/>
      </c>
      <c r="G1228" t="str">
        <f t="shared" si="39"/>
        <v/>
      </c>
    </row>
    <row r="1229" spans="1:7" x14ac:dyDescent="0.3">
      <c r="A1229" s="21" t="str">
        <f>IF(A1228="","",IF(A1228+1&gt;Ввод!$B$4,"",A1228+1))</f>
        <v/>
      </c>
      <c r="B1229" s="23" t="str">
        <f>IF(A1229="","",IFERROR(INDEX(Ввод!$B$12:$B$71,MATCH(A1229,Ввод!$D$12:$D$71,1)),""))</f>
        <v/>
      </c>
      <c r="C1229" t="str">
        <f t="shared" si="38"/>
        <v/>
      </c>
      <c r="D1229" t="str">
        <f>IF(A1229="","",SUMIFS(Акты!$D$5:$D$16,Акты!$E$5:$E$16,"&lt;="&amp;A1229)-SUMIFS(Оплаты!$B$6:$B$505,Оплаты!$A$6:$A$505,"&lt;"&amp;A1229,Оплаты!$D$6:$D$505,"&lt;&gt;"))</f>
        <v/>
      </c>
      <c r="E1229" t="str">
        <f>IF(A1229="","",IF(SUMPRODUCT((Ввод!$F$12:$F$31&lt;&gt;"")*(Ввод!$F$12:$F$31&lt;=A1229)*(Ввод!$G$12:$G$31&gt;=A1229))&gt;0,1,0))</f>
        <v/>
      </c>
      <c r="G1229" t="str">
        <f t="shared" si="39"/>
        <v/>
      </c>
    </row>
    <row r="1230" spans="1:7" x14ac:dyDescent="0.3">
      <c r="A1230" s="21" t="str">
        <f>IF(A1229="","",IF(A1229+1&gt;Ввод!$B$4,"",A1229+1))</f>
        <v/>
      </c>
      <c r="B1230" s="23" t="str">
        <f>IF(A1230="","",IFERROR(INDEX(Ввод!$B$12:$B$71,MATCH(A1230,Ввод!$D$12:$D$71,1)),""))</f>
        <v/>
      </c>
      <c r="C1230" t="str">
        <f t="shared" si="38"/>
        <v/>
      </c>
      <c r="D1230" t="str">
        <f>IF(A1230="","",SUMIFS(Акты!$D$5:$D$16,Акты!$E$5:$E$16,"&lt;="&amp;A1230)-SUMIFS(Оплаты!$B$6:$B$505,Оплаты!$A$6:$A$505,"&lt;"&amp;A1230,Оплаты!$D$6:$D$505,"&lt;&gt;"))</f>
        <v/>
      </c>
      <c r="E1230" t="str">
        <f>IF(A1230="","",IF(SUMPRODUCT((Ввод!$F$12:$F$31&lt;&gt;"")*(Ввод!$F$12:$F$31&lt;=A1230)*(Ввод!$G$12:$G$31&gt;=A1230))&gt;0,1,0))</f>
        <v/>
      </c>
      <c r="G1230" t="str">
        <f t="shared" si="39"/>
        <v/>
      </c>
    </row>
    <row r="1231" spans="1:7" x14ac:dyDescent="0.3">
      <c r="A1231" s="21" t="str">
        <f>IF(A1230="","",IF(A1230+1&gt;Ввод!$B$4,"",A1230+1))</f>
        <v/>
      </c>
      <c r="B1231" s="23" t="str">
        <f>IF(A1231="","",IFERROR(INDEX(Ввод!$B$12:$B$71,MATCH(A1231,Ввод!$D$12:$D$71,1)),""))</f>
        <v/>
      </c>
      <c r="C1231" t="str">
        <f t="shared" si="38"/>
        <v/>
      </c>
      <c r="D1231" t="str">
        <f>IF(A1231="","",SUMIFS(Акты!$D$5:$D$16,Акты!$E$5:$E$16,"&lt;="&amp;A1231)-SUMIFS(Оплаты!$B$6:$B$505,Оплаты!$A$6:$A$505,"&lt;"&amp;A1231,Оплаты!$D$6:$D$505,"&lt;&gt;"))</f>
        <v/>
      </c>
      <c r="E1231" t="str">
        <f>IF(A1231="","",IF(SUMPRODUCT((Ввод!$F$12:$F$31&lt;&gt;"")*(Ввод!$F$12:$F$31&lt;=A1231)*(Ввод!$G$12:$G$31&gt;=A1231))&gt;0,1,0))</f>
        <v/>
      </c>
      <c r="G1231" t="str">
        <f t="shared" si="39"/>
        <v/>
      </c>
    </row>
    <row r="1232" spans="1:7" x14ac:dyDescent="0.3">
      <c r="A1232" s="21" t="str">
        <f>IF(A1231="","",IF(A1231+1&gt;Ввод!$B$4,"",A1231+1))</f>
        <v/>
      </c>
      <c r="B1232" s="23" t="str">
        <f>IF(A1232="","",IFERROR(INDEX(Ввод!$B$12:$B$71,MATCH(A1232,Ввод!$D$12:$D$71,1)),""))</f>
        <v/>
      </c>
      <c r="C1232" t="str">
        <f t="shared" si="38"/>
        <v/>
      </c>
      <c r="D1232" t="str">
        <f>IF(A1232="","",SUMIFS(Акты!$D$5:$D$16,Акты!$E$5:$E$16,"&lt;="&amp;A1232)-SUMIFS(Оплаты!$B$6:$B$505,Оплаты!$A$6:$A$505,"&lt;"&amp;A1232,Оплаты!$D$6:$D$505,"&lt;&gt;"))</f>
        <v/>
      </c>
      <c r="E1232" t="str">
        <f>IF(A1232="","",IF(SUMPRODUCT((Ввод!$F$12:$F$31&lt;&gt;"")*(Ввод!$F$12:$F$31&lt;=A1232)*(Ввод!$G$12:$G$31&gt;=A1232))&gt;0,1,0))</f>
        <v/>
      </c>
      <c r="G1232" t="str">
        <f t="shared" si="39"/>
        <v/>
      </c>
    </row>
    <row r="1233" spans="1:7" x14ac:dyDescent="0.3">
      <c r="A1233" s="21" t="str">
        <f>IF(A1232="","",IF(A1232+1&gt;Ввод!$B$4,"",A1232+1))</f>
        <v/>
      </c>
      <c r="B1233" s="23" t="str">
        <f>IF(A1233="","",IFERROR(INDEX(Ввод!$B$12:$B$71,MATCH(A1233,Ввод!$D$12:$D$71,1)),""))</f>
        <v/>
      </c>
      <c r="C1233" t="str">
        <f t="shared" si="38"/>
        <v/>
      </c>
      <c r="D1233" t="str">
        <f>IF(A1233="","",SUMIFS(Акты!$D$5:$D$16,Акты!$E$5:$E$16,"&lt;="&amp;A1233)-SUMIFS(Оплаты!$B$6:$B$505,Оплаты!$A$6:$A$505,"&lt;"&amp;A1233,Оплаты!$D$6:$D$505,"&lt;&gt;"))</f>
        <v/>
      </c>
      <c r="E1233" t="str">
        <f>IF(A1233="","",IF(SUMPRODUCT((Ввод!$F$12:$F$31&lt;&gt;"")*(Ввод!$F$12:$F$31&lt;=A1233)*(Ввод!$G$12:$G$31&gt;=A1233))&gt;0,1,0))</f>
        <v/>
      </c>
      <c r="G1233" t="str">
        <f t="shared" si="39"/>
        <v/>
      </c>
    </row>
    <row r="1234" spans="1:7" x14ac:dyDescent="0.3">
      <c r="A1234" s="21" t="str">
        <f>IF(A1233="","",IF(A1233+1&gt;Ввод!$B$4,"",A1233+1))</f>
        <v/>
      </c>
      <c r="B1234" s="23" t="str">
        <f>IF(A1234="","",IFERROR(INDEX(Ввод!$B$12:$B$71,MATCH(A1234,Ввод!$D$12:$D$71,1)),""))</f>
        <v/>
      </c>
      <c r="C1234" t="str">
        <f t="shared" si="38"/>
        <v/>
      </c>
      <c r="D1234" t="str">
        <f>IF(A1234="","",SUMIFS(Акты!$D$5:$D$16,Акты!$E$5:$E$16,"&lt;="&amp;A1234)-SUMIFS(Оплаты!$B$6:$B$505,Оплаты!$A$6:$A$505,"&lt;"&amp;A1234,Оплаты!$D$6:$D$505,"&lt;&gt;"))</f>
        <v/>
      </c>
      <c r="E1234" t="str">
        <f>IF(A1234="","",IF(SUMPRODUCT((Ввод!$F$12:$F$31&lt;&gt;"")*(Ввод!$F$12:$F$31&lt;=A1234)*(Ввод!$G$12:$G$31&gt;=A1234))&gt;0,1,0))</f>
        <v/>
      </c>
      <c r="G1234" t="str">
        <f t="shared" si="39"/>
        <v/>
      </c>
    </row>
    <row r="1235" spans="1:7" x14ac:dyDescent="0.3">
      <c r="A1235" s="21" t="str">
        <f>IF(A1234="","",IF(A1234+1&gt;Ввод!$B$4,"",A1234+1))</f>
        <v/>
      </c>
      <c r="B1235" s="23" t="str">
        <f>IF(A1235="","",IFERROR(INDEX(Ввод!$B$12:$B$71,MATCH(A1235,Ввод!$D$12:$D$71,1)),""))</f>
        <v/>
      </c>
      <c r="C1235" t="str">
        <f t="shared" si="38"/>
        <v/>
      </c>
      <c r="D1235" t="str">
        <f>IF(A1235="","",SUMIFS(Акты!$D$5:$D$16,Акты!$E$5:$E$16,"&lt;="&amp;A1235)-SUMIFS(Оплаты!$B$6:$B$505,Оплаты!$A$6:$A$505,"&lt;"&amp;A1235,Оплаты!$D$6:$D$505,"&lt;&gt;"))</f>
        <v/>
      </c>
      <c r="E1235" t="str">
        <f>IF(A1235="","",IF(SUMPRODUCT((Ввод!$F$12:$F$31&lt;&gt;"")*(Ввод!$F$12:$F$31&lt;=A1235)*(Ввод!$G$12:$G$31&gt;=A1235))&gt;0,1,0))</f>
        <v/>
      </c>
      <c r="G1235" t="str">
        <f t="shared" si="39"/>
        <v/>
      </c>
    </row>
    <row r="1236" spans="1:7" x14ac:dyDescent="0.3">
      <c r="A1236" s="21" t="str">
        <f>IF(A1235="","",IF(A1235+1&gt;Ввод!$B$4,"",A1235+1))</f>
        <v/>
      </c>
      <c r="B1236" s="23" t="str">
        <f>IF(A1236="","",IFERROR(INDEX(Ввод!$B$12:$B$71,MATCH(A1236,Ввод!$D$12:$D$71,1)),""))</f>
        <v/>
      </c>
      <c r="C1236" t="str">
        <f t="shared" si="38"/>
        <v/>
      </c>
      <c r="D1236" t="str">
        <f>IF(A1236="","",SUMIFS(Акты!$D$5:$D$16,Акты!$E$5:$E$16,"&lt;="&amp;A1236)-SUMIFS(Оплаты!$B$6:$B$505,Оплаты!$A$6:$A$505,"&lt;"&amp;A1236,Оплаты!$D$6:$D$505,"&lt;&gt;"))</f>
        <v/>
      </c>
      <c r="E1236" t="str">
        <f>IF(A1236="","",IF(SUMPRODUCT((Ввод!$F$12:$F$31&lt;&gt;"")*(Ввод!$F$12:$F$31&lt;=A1236)*(Ввод!$G$12:$G$31&gt;=A1236))&gt;0,1,0))</f>
        <v/>
      </c>
      <c r="G1236" t="str">
        <f t="shared" si="39"/>
        <v/>
      </c>
    </row>
    <row r="1237" spans="1:7" x14ac:dyDescent="0.3">
      <c r="A1237" s="21" t="str">
        <f>IF(A1236="","",IF(A1236+1&gt;Ввод!$B$4,"",A1236+1))</f>
        <v/>
      </c>
      <c r="B1237" s="23" t="str">
        <f>IF(A1237="","",IFERROR(INDEX(Ввод!$B$12:$B$71,MATCH(A1237,Ввод!$D$12:$D$71,1)),""))</f>
        <v/>
      </c>
      <c r="C1237" t="str">
        <f t="shared" si="38"/>
        <v/>
      </c>
      <c r="D1237" t="str">
        <f>IF(A1237="","",SUMIFS(Акты!$D$5:$D$16,Акты!$E$5:$E$16,"&lt;="&amp;A1237)-SUMIFS(Оплаты!$B$6:$B$505,Оплаты!$A$6:$A$505,"&lt;"&amp;A1237,Оплаты!$D$6:$D$505,"&lt;&gt;"))</f>
        <v/>
      </c>
      <c r="E1237" t="str">
        <f>IF(A1237="","",IF(SUMPRODUCT((Ввод!$F$12:$F$31&lt;&gt;"")*(Ввод!$F$12:$F$31&lt;=A1237)*(Ввод!$G$12:$G$31&gt;=A1237))&gt;0,1,0))</f>
        <v/>
      </c>
      <c r="G1237" t="str">
        <f t="shared" si="39"/>
        <v/>
      </c>
    </row>
    <row r="1238" spans="1:7" x14ac:dyDescent="0.3">
      <c r="A1238" s="21" t="str">
        <f>IF(A1237="","",IF(A1237+1&gt;Ввод!$B$4,"",A1237+1))</f>
        <v/>
      </c>
      <c r="B1238" s="23" t="str">
        <f>IF(A1238="","",IFERROR(INDEX(Ввод!$B$12:$B$71,MATCH(A1238,Ввод!$D$12:$D$71,1)),""))</f>
        <v/>
      </c>
      <c r="C1238" t="str">
        <f t="shared" si="38"/>
        <v/>
      </c>
      <c r="D1238" t="str">
        <f>IF(A1238="","",SUMIFS(Акты!$D$5:$D$16,Акты!$E$5:$E$16,"&lt;="&amp;A1238)-SUMIFS(Оплаты!$B$6:$B$505,Оплаты!$A$6:$A$505,"&lt;"&amp;A1238,Оплаты!$D$6:$D$505,"&lt;&gt;"))</f>
        <v/>
      </c>
      <c r="E1238" t="str">
        <f>IF(A1238="","",IF(SUMPRODUCT((Ввод!$F$12:$F$31&lt;&gt;"")*(Ввод!$F$12:$F$31&lt;=A1238)*(Ввод!$G$12:$G$31&gt;=A1238))&gt;0,1,0))</f>
        <v/>
      </c>
      <c r="G1238" t="str">
        <f t="shared" si="39"/>
        <v/>
      </c>
    </row>
    <row r="1239" spans="1:7" x14ac:dyDescent="0.3">
      <c r="A1239" s="21" t="str">
        <f>IF(A1238="","",IF(A1238+1&gt;Ввод!$B$4,"",A1238+1))</f>
        <v/>
      </c>
      <c r="B1239" s="23" t="str">
        <f>IF(A1239="","",IFERROR(INDEX(Ввод!$B$12:$B$71,MATCH(A1239,Ввод!$D$12:$D$71,1)),""))</f>
        <v/>
      </c>
      <c r="C1239" t="str">
        <f t="shared" si="38"/>
        <v/>
      </c>
      <c r="D1239" t="str">
        <f>IF(A1239="","",SUMIFS(Акты!$D$5:$D$16,Акты!$E$5:$E$16,"&lt;="&amp;A1239)-SUMIFS(Оплаты!$B$6:$B$505,Оплаты!$A$6:$A$505,"&lt;"&amp;A1239,Оплаты!$D$6:$D$505,"&lt;&gt;"))</f>
        <v/>
      </c>
      <c r="E1239" t="str">
        <f>IF(A1239="","",IF(SUMPRODUCT((Ввод!$F$12:$F$31&lt;&gt;"")*(Ввод!$F$12:$F$31&lt;=A1239)*(Ввод!$G$12:$G$31&gt;=A1239))&gt;0,1,0))</f>
        <v/>
      </c>
      <c r="G1239" t="str">
        <f t="shared" si="39"/>
        <v/>
      </c>
    </row>
    <row r="1240" spans="1:7" x14ac:dyDescent="0.3">
      <c r="A1240" s="21" t="str">
        <f>IF(A1239="","",IF(A1239+1&gt;Ввод!$B$4,"",A1239+1))</f>
        <v/>
      </c>
      <c r="B1240" s="23" t="str">
        <f>IF(A1240="","",IFERROR(INDEX(Ввод!$B$12:$B$71,MATCH(A1240,Ввод!$D$12:$D$71,1)),""))</f>
        <v/>
      </c>
      <c r="C1240" t="str">
        <f t="shared" si="38"/>
        <v/>
      </c>
      <c r="D1240" t="str">
        <f>IF(A1240="","",SUMIFS(Акты!$D$5:$D$16,Акты!$E$5:$E$16,"&lt;="&amp;A1240)-SUMIFS(Оплаты!$B$6:$B$505,Оплаты!$A$6:$A$505,"&lt;"&amp;A1240,Оплаты!$D$6:$D$505,"&lt;&gt;"))</f>
        <v/>
      </c>
      <c r="E1240" t="str">
        <f>IF(A1240="","",IF(SUMPRODUCT((Ввод!$F$12:$F$31&lt;&gt;"")*(Ввод!$F$12:$F$31&lt;=A1240)*(Ввод!$G$12:$G$31&gt;=A1240))&gt;0,1,0))</f>
        <v/>
      </c>
      <c r="G1240" t="str">
        <f t="shared" si="39"/>
        <v/>
      </c>
    </row>
    <row r="1241" spans="1:7" x14ac:dyDescent="0.3">
      <c r="A1241" s="21" t="str">
        <f>IF(A1240="","",IF(A1240+1&gt;Ввод!$B$4,"",A1240+1))</f>
        <v/>
      </c>
      <c r="B1241" s="23" t="str">
        <f>IF(A1241="","",IFERROR(INDEX(Ввод!$B$12:$B$71,MATCH(A1241,Ввод!$D$12:$D$71,1)),""))</f>
        <v/>
      </c>
      <c r="C1241" t="str">
        <f t="shared" si="38"/>
        <v/>
      </c>
      <c r="D1241" t="str">
        <f>IF(A1241="","",SUMIFS(Акты!$D$5:$D$16,Акты!$E$5:$E$16,"&lt;="&amp;A1241)-SUMIFS(Оплаты!$B$6:$B$505,Оплаты!$A$6:$A$505,"&lt;"&amp;A1241,Оплаты!$D$6:$D$505,"&lt;&gt;"))</f>
        <v/>
      </c>
      <c r="E1241" t="str">
        <f>IF(A1241="","",IF(SUMPRODUCT((Ввод!$F$12:$F$31&lt;&gt;"")*(Ввод!$F$12:$F$31&lt;=A1241)*(Ввод!$G$12:$G$31&gt;=A1241))&gt;0,1,0))</f>
        <v/>
      </c>
      <c r="G1241" t="str">
        <f t="shared" si="39"/>
        <v/>
      </c>
    </row>
    <row r="1242" spans="1:7" x14ac:dyDescent="0.3">
      <c r="A1242" s="21" t="str">
        <f>IF(A1241="","",IF(A1241+1&gt;Ввод!$B$4,"",A1241+1))</f>
        <v/>
      </c>
      <c r="B1242" s="23" t="str">
        <f>IF(A1242="","",IFERROR(INDEX(Ввод!$B$12:$B$71,MATCH(A1242,Ввод!$D$12:$D$71,1)),""))</f>
        <v/>
      </c>
      <c r="C1242" t="str">
        <f t="shared" si="38"/>
        <v/>
      </c>
      <c r="D1242" t="str">
        <f>IF(A1242="","",SUMIFS(Акты!$D$5:$D$16,Акты!$E$5:$E$16,"&lt;="&amp;A1242)-SUMIFS(Оплаты!$B$6:$B$505,Оплаты!$A$6:$A$505,"&lt;"&amp;A1242,Оплаты!$D$6:$D$505,"&lt;&gt;"))</f>
        <v/>
      </c>
      <c r="E1242" t="str">
        <f>IF(A1242="","",IF(SUMPRODUCT((Ввод!$F$12:$F$31&lt;&gt;"")*(Ввод!$F$12:$F$31&lt;=A1242)*(Ввод!$G$12:$G$31&gt;=A1242))&gt;0,1,0))</f>
        <v/>
      </c>
      <c r="G1242" t="str">
        <f t="shared" si="39"/>
        <v/>
      </c>
    </row>
    <row r="1243" spans="1:7" x14ac:dyDescent="0.3">
      <c r="A1243" s="21" t="str">
        <f>IF(A1242="","",IF(A1242+1&gt;Ввод!$B$4,"",A1242+1))</f>
        <v/>
      </c>
      <c r="B1243" s="23" t="str">
        <f>IF(A1243="","",IFERROR(INDEX(Ввод!$B$12:$B$71,MATCH(A1243,Ввод!$D$12:$D$71,1)),""))</f>
        <v/>
      </c>
      <c r="C1243" t="str">
        <f t="shared" si="38"/>
        <v/>
      </c>
      <c r="D1243" t="str">
        <f>IF(A1243="","",SUMIFS(Акты!$D$5:$D$16,Акты!$E$5:$E$16,"&lt;="&amp;A1243)-SUMIFS(Оплаты!$B$6:$B$505,Оплаты!$A$6:$A$505,"&lt;"&amp;A1243,Оплаты!$D$6:$D$505,"&lt;&gt;"))</f>
        <v/>
      </c>
      <c r="E1243" t="str">
        <f>IF(A1243="","",IF(SUMPRODUCT((Ввод!$F$12:$F$31&lt;&gt;"")*(Ввод!$F$12:$F$31&lt;=A1243)*(Ввод!$G$12:$G$31&gt;=A1243))&gt;0,1,0))</f>
        <v/>
      </c>
      <c r="G1243" t="str">
        <f t="shared" si="39"/>
        <v/>
      </c>
    </row>
    <row r="1244" spans="1:7" x14ac:dyDescent="0.3">
      <c r="A1244" s="21" t="str">
        <f>IF(A1243="","",IF(A1243+1&gt;Ввод!$B$4,"",A1243+1))</f>
        <v/>
      </c>
      <c r="B1244" s="23" t="str">
        <f>IF(A1244="","",IFERROR(INDEX(Ввод!$B$12:$B$71,MATCH(A1244,Ввод!$D$12:$D$71,1)),""))</f>
        <v/>
      </c>
      <c r="C1244" t="str">
        <f t="shared" si="38"/>
        <v/>
      </c>
      <c r="D1244" t="str">
        <f>IF(A1244="","",SUMIFS(Акты!$D$5:$D$16,Акты!$E$5:$E$16,"&lt;="&amp;A1244)-SUMIFS(Оплаты!$B$6:$B$505,Оплаты!$A$6:$A$505,"&lt;"&amp;A1244,Оплаты!$D$6:$D$505,"&lt;&gt;"))</f>
        <v/>
      </c>
      <c r="E1244" t="str">
        <f>IF(A1244="","",IF(SUMPRODUCT((Ввод!$F$12:$F$31&lt;&gt;"")*(Ввод!$F$12:$F$31&lt;=A1244)*(Ввод!$G$12:$G$31&gt;=A1244))&gt;0,1,0))</f>
        <v/>
      </c>
      <c r="G1244" t="str">
        <f t="shared" si="39"/>
        <v/>
      </c>
    </row>
    <row r="1245" spans="1:7" x14ac:dyDescent="0.3">
      <c r="A1245" s="21" t="str">
        <f>IF(A1244="","",IF(A1244+1&gt;Ввод!$B$4,"",A1244+1))</f>
        <v/>
      </c>
      <c r="B1245" s="23" t="str">
        <f>IF(A1245="","",IFERROR(INDEX(Ввод!$B$12:$B$71,MATCH(A1245,Ввод!$D$12:$D$71,1)),""))</f>
        <v/>
      </c>
      <c r="C1245" t="str">
        <f t="shared" si="38"/>
        <v/>
      </c>
      <c r="D1245" t="str">
        <f>IF(A1245="","",SUMIFS(Акты!$D$5:$D$16,Акты!$E$5:$E$16,"&lt;="&amp;A1245)-SUMIFS(Оплаты!$B$6:$B$505,Оплаты!$A$6:$A$505,"&lt;"&amp;A1245,Оплаты!$D$6:$D$505,"&lt;&gt;"))</f>
        <v/>
      </c>
      <c r="E1245" t="str">
        <f>IF(A1245="","",IF(SUMPRODUCT((Ввод!$F$12:$F$31&lt;&gt;"")*(Ввод!$F$12:$F$31&lt;=A1245)*(Ввод!$G$12:$G$31&gt;=A1245))&gt;0,1,0))</f>
        <v/>
      </c>
      <c r="G1245" t="str">
        <f t="shared" si="39"/>
        <v/>
      </c>
    </row>
    <row r="1246" spans="1:7" x14ac:dyDescent="0.3">
      <c r="A1246" s="21" t="str">
        <f>IF(A1245="","",IF(A1245+1&gt;Ввод!$B$4,"",A1245+1))</f>
        <v/>
      </c>
      <c r="B1246" s="23" t="str">
        <f>IF(A1246="","",IFERROR(INDEX(Ввод!$B$12:$B$71,MATCH(A1246,Ввод!$D$12:$D$71,1)),""))</f>
        <v/>
      </c>
      <c r="C1246" t="str">
        <f t="shared" si="38"/>
        <v/>
      </c>
      <c r="D1246" t="str">
        <f>IF(A1246="","",SUMIFS(Акты!$D$5:$D$16,Акты!$E$5:$E$16,"&lt;="&amp;A1246)-SUMIFS(Оплаты!$B$6:$B$505,Оплаты!$A$6:$A$505,"&lt;"&amp;A1246,Оплаты!$D$6:$D$505,"&lt;&gt;"))</f>
        <v/>
      </c>
      <c r="E1246" t="str">
        <f>IF(A1246="","",IF(SUMPRODUCT((Ввод!$F$12:$F$31&lt;&gt;"")*(Ввод!$F$12:$F$31&lt;=A1246)*(Ввод!$G$12:$G$31&gt;=A1246))&gt;0,1,0))</f>
        <v/>
      </c>
      <c r="G1246" t="str">
        <f t="shared" si="39"/>
        <v/>
      </c>
    </row>
    <row r="1247" spans="1:7" x14ac:dyDescent="0.3">
      <c r="A1247" s="21" t="str">
        <f>IF(A1246="","",IF(A1246+1&gt;Ввод!$B$4,"",A1246+1))</f>
        <v/>
      </c>
      <c r="B1247" s="23" t="str">
        <f>IF(A1247="","",IFERROR(INDEX(Ввод!$B$12:$B$71,MATCH(A1247,Ввод!$D$12:$D$71,1)),""))</f>
        <v/>
      </c>
      <c r="C1247" t="str">
        <f t="shared" si="38"/>
        <v/>
      </c>
      <c r="D1247" t="str">
        <f>IF(A1247="","",SUMIFS(Акты!$D$5:$D$16,Акты!$E$5:$E$16,"&lt;="&amp;A1247)-SUMIFS(Оплаты!$B$6:$B$505,Оплаты!$A$6:$A$505,"&lt;"&amp;A1247,Оплаты!$D$6:$D$505,"&lt;&gt;"))</f>
        <v/>
      </c>
      <c r="E1247" t="str">
        <f>IF(A1247="","",IF(SUMPRODUCT((Ввод!$F$12:$F$31&lt;&gt;"")*(Ввод!$F$12:$F$31&lt;=A1247)*(Ввод!$G$12:$G$31&gt;=A1247))&gt;0,1,0))</f>
        <v/>
      </c>
      <c r="G1247" t="str">
        <f t="shared" si="39"/>
        <v/>
      </c>
    </row>
    <row r="1248" spans="1:7" x14ac:dyDescent="0.3">
      <c r="A1248" s="21" t="str">
        <f>IF(A1247="","",IF(A1247+1&gt;Ввод!$B$4,"",A1247+1))</f>
        <v/>
      </c>
      <c r="B1248" s="23" t="str">
        <f>IF(A1248="","",IFERROR(INDEX(Ввод!$B$12:$B$71,MATCH(A1248,Ввод!$D$12:$D$71,1)),""))</f>
        <v/>
      </c>
      <c r="C1248" t="str">
        <f t="shared" si="38"/>
        <v/>
      </c>
      <c r="D1248" t="str">
        <f>IF(A1248="","",SUMIFS(Акты!$D$5:$D$16,Акты!$E$5:$E$16,"&lt;="&amp;A1248)-SUMIFS(Оплаты!$B$6:$B$505,Оплаты!$A$6:$A$505,"&lt;"&amp;A1248,Оплаты!$D$6:$D$505,"&lt;&gt;"))</f>
        <v/>
      </c>
      <c r="E1248" t="str">
        <f>IF(A1248="","",IF(SUMPRODUCT((Ввод!$F$12:$F$31&lt;&gt;"")*(Ввод!$F$12:$F$31&lt;=A1248)*(Ввод!$G$12:$G$31&gt;=A1248))&gt;0,1,0))</f>
        <v/>
      </c>
      <c r="G1248" t="str">
        <f t="shared" si="39"/>
        <v/>
      </c>
    </row>
    <row r="1249" spans="1:7" x14ac:dyDescent="0.3">
      <c r="A1249" s="21" t="str">
        <f>IF(A1248="","",IF(A1248+1&gt;Ввод!$B$4,"",A1248+1))</f>
        <v/>
      </c>
      <c r="B1249" s="23" t="str">
        <f>IF(A1249="","",IFERROR(INDEX(Ввод!$B$12:$B$71,MATCH(A1249,Ввод!$D$12:$D$71,1)),""))</f>
        <v/>
      </c>
      <c r="C1249" t="str">
        <f t="shared" si="38"/>
        <v/>
      </c>
      <c r="D1249" t="str">
        <f>IF(A1249="","",SUMIFS(Акты!$D$5:$D$16,Акты!$E$5:$E$16,"&lt;="&amp;A1249)-SUMIFS(Оплаты!$B$6:$B$505,Оплаты!$A$6:$A$505,"&lt;"&amp;A1249,Оплаты!$D$6:$D$505,"&lt;&gt;"))</f>
        <v/>
      </c>
      <c r="E1249" t="str">
        <f>IF(A1249="","",IF(SUMPRODUCT((Ввод!$F$12:$F$31&lt;&gt;"")*(Ввод!$F$12:$F$31&lt;=A1249)*(Ввод!$G$12:$G$31&gt;=A1249))&gt;0,1,0))</f>
        <v/>
      </c>
      <c r="G1249" t="str">
        <f t="shared" si="39"/>
        <v/>
      </c>
    </row>
    <row r="1250" spans="1:7" x14ac:dyDescent="0.3">
      <c r="A1250" s="21" t="str">
        <f>IF(A1249="","",IF(A1249+1&gt;Ввод!$B$4,"",A1249+1))</f>
        <v/>
      </c>
      <c r="B1250" s="23" t="str">
        <f>IF(A1250="","",IFERROR(INDEX(Ввод!$B$12:$B$71,MATCH(A1250,Ввод!$D$12:$D$71,1)),""))</f>
        <v/>
      </c>
      <c r="C1250" t="str">
        <f t="shared" si="38"/>
        <v/>
      </c>
      <c r="D1250" t="str">
        <f>IF(A1250="","",SUMIFS(Акты!$D$5:$D$16,Акты!$E$5:$E$16,"&lt;="&amp;A1250)-SUMIFS(Оплаты!$B$6:$B$505,Оплаты!$A$6:$A$505,"&lt;"&amp;A1250,Оплаты!$D$6:$D$505,"&lt;&gt;"))</f>
        <v/>
      </c>
      <c r="E1250" t="str">
        <f>IF(A1250="","",IF(SUMPRODUCT((Ввод!$F$12:$F$31&lt;&gt;"")*(Ввод!$F$12:$F$31&lt;=A1250)*(Ввод!$G$12:$G$31&gt;=A1250))&gt;0,1,0))</f>
        <v/>
      </c>
      <c r="G1250" t="str">
        <f t="shared" si="39"/>
        <v/>
      </c>
    </row>
    <row r="1251" spans="1:7" x14ac:dyDescent="0.3">
      <c r="A1251" s="21" t="str">
        <f>IF(A1250="","",IF(A1250+1&gt;Ввод!$B$4,"",A1250+1))</f>
        <v/>
      </c>
      <c r="B1251" s="23" t="str">
        <f>IF(A1251="","",IFERROR(INDEX(Ввод!$B$12:$B$71,MATCH(A1251,Ввод!$D$12:$D$71,1)),""))</f>
        <v/>
      </c>
      <c r="C1251" t="str">
        <f t="shared" si="38"/>
        <v/>
      </c>
      <c r="D1251" t="str">
        <f>IF(A1251="","",SUMIFS(Акты!$D$5:$D$16,Акты!$E$5:$E$16,"&lt;="&amp;A1251)-SUMIFS(Оплаты!$B$6:$B$505,Оплаты!$A$6:$A$505,"&lt;"&amp;A1251,Оплаты!$D$6:$D$505,"&lt;&gt;"))</f>
        <v/>
      </c>
      <c r="E1251" t="str">
        <f>IF(A1251="","",IF(SUMPRODUCT((Ввод!$F$12:$F$31&lt;&gt;"")*(Ввод!$F$12:$F$31&lt;=A1251)*(Ввод!$G$12:$G$31&gt;=A1251))&gt;0,1,0))</f>
        <v/>
      </c>
      <c r="G1251" t="str">
        <f t="shared" si="39"/>
        <v/>
      </c>
    </row>
    <row r="1252" spans="1:7" x14ac:dyDescent="0.3">
      <c r="A1252" s="21" t="str">
        <f>IF(A1251="","",IF(A1251+1&gt;Ввод!$B$4,"",A1251+1))</f>
        <v/>
      </c>
      <c r="B1252" s="23" t="str">
        <f>IF(A1252="","",IFERROR(INDEX(Ввод!$B$12:$B$71,MATCH(A1252,Ввод!$D$12:$D$71,1)),""))</f>
        <v/>
      </c>
      <c r="C1252" t="str">
        <f t="shared" si="38"/>
        <v/>
      </c>
      <c r="D1252" t="str">
        <f>IF(A1252="","",SUMIFS(Акты!$D$5:$D$16,Акты!$E$5:$E$16,"&lt;="&amp;A1252)-SUMIFS(Оплаты!$B$6:$B$505,Оплаты!$A$6:$A$505,"&lt;"&amp;A1252,Оплаты!$D$6:$D$505,"&lt;&gt;"))</f>
        <v/>
      </c>
      <c r="E1252" t="str">
        <f>IF(A1252="","",IF(SUMPRODUCT((Ввод!$F$12:$F$31&lt;&gt;"")*(Ввод!$F$12:$F$31&lt;=A1252)*(Ввод!$G$12:$G$31&gt;=A1252))&gt;0,1,0))</f>
        <v/>
      </c>
      <c r="G1252" t="str">
        <f t="shared" si="39"/>
        <v/>
      </c>
    </row>
    <row r="1253" spans="1:7" x14ac:dyDescent="0.3">
      <c r="A1253" s="21" t="str">
        <f>IF(A1252="","",IF(A1252+1&gt;Ввод!$B$4,"",A1252+1))</f>
        <v/>
      </c>
      <c r="B1253" s="23" t="str">
        <f>IF(A1253="","",IFERROR(INDEX(Ввод!$B$12:$B$71,MATCH(A1253,Ввод!$D$12:$D$71,1)),""))</f>
        <v/>
      </c>
      <c r="C1253" t="str">
        <f t="shared" si="38"/>
        <v/>
      </c>
      <c r="D1253" t="str">
        <f>IF(A1253="","",SUMIFS(Акты!$D$5:$D$16,Акты!$E$5:$E$16,"&lt;="&amp;A1253)-SUMIFS(Оплаты!$B$6:$B$505,Оплаты!$A$6:$A$505,"&lt;"&amp;A1253,Оплаты!$D$6:$D$505,"&lt;&gt;"))</f>
        <v/>
      </c>
      <c r="E1253" t="str">
        <f>IF(A1253="","",IF(SUMPRODUCT((Ввод!$F$12:$F$31&lt;&gt;"")*(Ввод!$F$12:$F$31&lt;=A1253)*(Ввод!$G$12:$G$31&gt;=A1253))&gt;0,1,0))</f>
        <v/>
      </c>
      <c r="G1253" t="str">
        <f t="shared" si="39"/>
        <v/>
      </c>
    </row>
    <row r="1254" spans="1:7" x14ac:dyDescent="0.3">
      <c r="A1254" s="21" t="str">
        <f>IF(A1253="","",IF(A1253+1&gt;Ввод!$B$4,"",A1253+1))</f>
        <v/>
      </c>
      <c r="B1254" s="23" t="str">
        <f>IF(A1254="","",IFERROR(INDEX(Ввод!$B$12:$B$71,MATCH(A1254,Ввод!$D$12:$D$71,1)),""))</f>
        <v/>
      </c>
      <c r="C1254" t="str">
        <f t="shared" si="38"/>
        <v/>
      </c>
      <c r="D1254" t="str">
        <f>IF(A1254="","",SUMIFS(Акты!$D$5:$D$16,Акты!$E$5:$E$16,"&lt;="&amp;A1254)-SUMIFS(Оплаты!$B$6:$B$505,Оплаты!$A$6:$A$505,"&lt;"&amp;A1254,Оплаты!$D$6:$D$505,"&lt;&gt;"))</f>
        <v/>
      </c>
      <c r="E1254" t="str">
        <f>IF(A1254="","",IF(SUMPRODUCT((Ввод!$F$12:$F$31&lt;&gt;"")*(Ввод!$F$12:$F$31&lt;=A1254)*(Ввод!$G$12:$G$31&gt;=A1254))&gt;0,1,0))</f>
        <v/>
      </c>
      <c r="G1254" t="str">
        <f t="shared" si="39"/>
        <v/>
      </c>
    </row>
    <row r="1255" spans="1:7" x14ac:dyDescent="0.3">
      <c r="A1255" s="21" t="str">
        <f>IF(A1254="","",IF(A1254+1&gt;Ввод!$B$4,"",A1254+1))</f>
        <v/>
      </c>
      <c r="B1255" s="23" t="str">
        <f>IF(A1255="","",IFERROR(INDEX(Ввод!$B$12:$B$71,MATCH(A1255,Ввод!$D$12:$D$71,1)),""))</f>
        <v/>
      </c>
      <c r="C1255" t="str">
        <f t="shared" si="38"/>
        <v/>
      </c>
      <c r="D1255" t="str">
        <f>IF(A1255="","",SUMIFS(Акты!$D$5:$D$16,Акты!$E$5:$E$16,"&lt;="&amp;A1255)-SUMIFS(Оплаты!$B$6:$B$505,Оплаты!$A$6:$A$505,"&lt;"&amp;A1255,Оплаты!$D$6:$D$505,"&lt;&gt;"))</f>
        <v/>
      </c>
      <c r="E1255" t="str">
        <f>IF(A1255="","",IF(SUMPRODUCT((Ввод!$F$12:$F$31&lt;&gt;"")*(Ввод!$F$12:$F$31&lt;=A1255)*(Ввод!$G$12:$G$31&gt;=A1255))&gt;0,1,0))</f>
        <v/>
      </c>
      <c r="G1255" t="str">
        <f t="shared" si="39"/>
        <v/>
      </c>
    </row>
    <row r="1256" spans="1:7" x14ac:dyDescent="0.3">
      <c r="A1256" s="21" t="str">
        <f>IF(A1255="","",IF(A1255+1&gt;Ввод!$B$4,"",A1255+1))</f>
        <v/>
      </c>
      <c r="B1256" s="23" t="str">
        <f>IF(A1256="","",IFERROR(INDEX(Ввод!$B$12:$B$71,MATCH(A1256,Ввод!$D$12:$D$71,1)),""))</f>
        <v/>
      </c>
      <c r="C1256" t="str">
        <f t="shared" si="38"/>
        <v/>
      </c>
      <c r="D1256" t="str">
        <f>IF(A1256="","",SUMIFS(Акты!$D$5:$D$16,Акты!$E$5:$E$16,"&lt;="&amp;A1256)-SUMIFS(Оплаты!$B$6:$B$505,Оплаты!$A$6:$A$505,"&lt;"&amp;A1256,Оплаты!$D$6:$D$505,"&lt;&gt;"))</f>
        <v/>
      </c>
      <c r="E1256" t="str">
        <f>IF(A1256="","",IF(SUMPRODUCT((Ввод!$F$12:$F$31&lt;&gt;"")*(Ввод!$F$12:$F$31&lt;=A1256)*(Ввод!$G$12:$G$31&gt;=A1256))&gt;0,1,0))</f>
        <v/>
      </c>
      <c r="G1256" t="str">
        <f t="shared" si="39"/>
        <v/>
      </c>
    </row>
    <row r="1257" spans="1:7" x14ac:dyDescent="0.3">
      <c r="A1257" s="21" t="str">
        <f>IF(A1256="","",IF(A1256+1&gt;Ввод!$B$4,"",A1256+1))</f>
        <v/>
      </c>
      <c r="B1257" s="23" t="str">
        <f>IF(A1257="","",IFERROR(INDEX(Ввод!$B$12:$B$71,MATCH(A1257,Ввод!$D$12:$D$71,1)),""))</f>
        <v/>
      </c>
      <c r="C1257" t="str">
        <f t="shared" si="38"/>
        <v/>
      </c>
      <c r="D1257" t="str">
        <f>IF(A1257="","",SUMIFS(Акты!$D$5:$D$16,Акты!$E$5:$E$16,"&lt;="&amp;A1257)-SUMIFS(Оплаты!$B$6:$B$505,Оплаты!$A$6:$A$505,"&lt;"&amp;A1257,Оплаты!$D$6:$D$505,"&lt;&gt;"))</f>
        <v/>
      </c>
      <c r="E1257" t="str">
        <f>IF(A1257="","",IF(SUMPRODUCT((Ввод!$F$12:$F$31&lt;&gt;"")*(Ввод!$F$12:$F$31&lt;=A1257)*(Ввод!$G$12:$G$31&gt;=A1257))&gt;0,1,0))</f>
        <v/>
      </c>
      <c r="G1257" t="str">
        <f t="shared" si="39"/>
        <v/>
      </c>
    </row>
    <row r="1258" spans="1:7" x14ac:dyDescent="0.3">
      <c r="A1258" s="21" t="str">
        <f>IF(A1257="","",IF(A1257+1&gt;Ввод!$B$4,"",A1257+1))</f>
        <v/>
      </c>
      <c r="B1258" s="23" t="str">
        <f>IF(A1258="","",IFERROR(INDEX(Ввод!$B$12:$B$71,MATCH(A1258,Ввод!$D$12:$D$71,1)),""))</f>
        <v/>
      </c>
      <c r="C1258" t="str">
        <f t="shared" si="38"/>
        <v/>
      </c>
      <c r="D1258" t="str">
        <f>IF(A1258="","",SUMIFS(Акты!$D$5:$D$16,Акты!$E$5:$E$16,"&lt;="&amp;A1258)-SUMIFS(Оплаты!$B$6:$B$505,Оплаты!$A$6:$A$505,"&lt;"&amp;A1258,Оплаты!$D$6:$D$505,"&lt;&gt;"))</f>
        <v/>
      </c>
      <c r="E1258" t="str">
        <f>IF(A1258="","",IF(SUMPRODUCT((Ввод!$F$12:$F$31&lt;&gt;"")*(Ввод!$F$12:$F$31&lt;=A1258)*(Ввод!$G$12:$G$31&gt;=A1258))&gt;0,1,0))</f>
        <v/>
      </c>
      <c r="G1258" t="str">
        <f t="shared" si="39"/>
        <v/>
      </c>
    </row>
    <row r="1259" spans="1:7" x14ac:dyDescent="0.3">
      <c r="A1259" s="21" t="str">
        <f>IF(A1258="","",IF(A1258+1&gt;Ввод!$B$4,"",A1258+1))</f>
        <v/>
      </c>
      <c r="B1259" s="23" t="str">
        <f>IF(A1259="","",IFERROR(INDEX(Ввод!$B$12:$B$71,MATCH(A1259,Ввод!$D$12:$D$71,1)),""))</f>
        <v/>
      </c>
      <c r="C1259" t="str">
        <f t="shared" si="38"/>
        <v/>
      </c>
      <c r="D1259" t="str">
        <f>IF(A1259="","",SUMIFS(Акты!$D$5:$D$16,Акты!$E$5:$E$16,"&lt;="&amp;A1259)-SUMIFS(Оплаты!$B$6:$B$505,Оплаты!$A$6:$A$505,"&lt;"&amp;A1259,Оплаты!$D$6:$D$505,"&lt;&gt;"))</f>
        <v/>
      </c>
      <c r="E1259" t="str">
        <f>IF(A1259="","",IF(SUMPRODUCT((Ввод!$F$12:$F$31&lt;&gt;"")*(Ввод!$F$12:$F$31&lt;=A1259)*(Ввод!$G$12:$G$31&gt;=A1259))&gt;0,1,0))</f>
        <v/>
      </c>
      <c r="G1259" t="str">
        <f t="shared" si="39"/>
        <v/>
      </c>
    </row>
    <row r="1260" spans="1:7" x14ac:dyDescent="0.3">
      <c r="A1260" s="21" t="str">
        <f>IF(A1259="","",IF(A1259+1&gt;Ввод!$B$4,"",A1259+1))</f>
        <v/>
      </c>
      <c r="B1260" s="23" t="str">
        <f>IF(A1260="","",IFERROR(INDEX(Ввод!$B$12:$B$71,MATCH(A1260,Ввод!$D$12:$D$71,1)),""))</f>
        <v/>
      </c>
      <c r="C1260" t="str">
        <f t="shared" si="38"/>
        <v/>
      </c>
      <c r="D1260" t="str">
        <f>IF(A1260="","",SUMIFS(Акты!$D$5:$D$16,Акты!$E$5:$E$16,"&lt;="&amp;A1260)-SUMIFS(Оплаты!$B$6:$B$505,Оплаты!$A$6:$A$505,"&lt;"&amp;A1260,Оплаты!$D$6:$D$505,"&lt;&gt;"))</f>
        <v/>
      </c>
      <c r="E1260" t="str">
        <f>IF(A1260="","",IF(SUMPRODUCT((Ввод!$F$12:$F$31&lt;&gt;"")*(Ввод!$F$12:$F$31&lt;=A1260)*(Ввод!$G$12:$G$31&gt;=A1260))&gt;0,1,0))</f>
        <v/>
      </c>
      <c r="G1260" t="str">
        <f t="shared" si="39"/>
        <v/>
      </c>
    </row>
    <row r="1261" spans="1:7" x14ac:dyDescent="0.3">
      <c r="A1261" s="21" t="str">
        <f>IF(A1260="","",IF(A1260+1&gt;Ввод!$B$4,"",A1260+1))</f>
        <v/>
      </c>
      <c r="B1261" s="23" t="str">
        <f>IF(A1261="","",IFERROR(INDEX(Ввод!$B$12:$B$71,MATCH(A1261,Ввод!$D$12:$D$71,1)),""))</f>
        <v/>
      </c>
      <c r="C1261" t="str">
        <f t="shared" si="38"/>
        <v/>
      </c>
      <c r="D1261" t="str">
        <f>IF(A1261="","",SUMIFS(Акты!$D$5:$D$16,Акты!$E$5:$E$16,"&lt;="&amp;A1261)-SUMIFS(Оплаты!$B$6:$B$505,Оплаты!$A$6:$A$505,"&lt;"&amp;A1261,Оплаты!$D$6:$D$505,"&lt;&gt;"))</f>
        <v/>
      </c>
      <c r="E1261" t="str">
        <f>IF(A1261="","",IF(SUMPRODUCT((Ввод!$F$12:$F$31&lt;&gt;"")*(Ввод!$F$12:$F$31&lt;=A1261)*(Ввод!$G$12:$G$31&gt;=A1261))&gt;0,1,0))</f>
        <v/>
      </c>
      <c r="G1261" t="str">
        <f t="shared" si="39"/>
        <v/>
      </c>
    </row>
    <row r="1262" spans="1:7" x14ac:dyDescent="0.3">
      <c r="A1262" s="21" t="str">
        <f>IF(A1261="","",IF(A1261+1&gt;Ввод!$B$4,"",A1261+1))</f>
        <v/>
      </c>
      <c r="B1262" s="23" t="str">
        <f>IF(A1262="","",IFERROR(INDEX(Ввод!$B$12:$B$71,MATCH(A1262,Ввод!$D$12:$D$71,1)),""))</f>
        <v/>
      </c>
      <c r="C1262" t="str">
        <f t="shared" si="38"/>
        <v/>
      </c>
      <c r="D1262" t="str">
        <f>IF(A1262="","",SUMIFS(Акты!$D$5:$D$16,Акты!$E$5:$E$16,"&lt;="&amp;A1262)-SUMIFS(Оплаты!$B$6:$B$505,Оплаты!$A$6:$A$505,"&lt;"&amp;A1262,Оплаты!$D$6:$D$505,"&lt;&gt;"))</f>
        <v/>
      </c>
      <c r="E1262" t="str">
        <f>IF(A1262="","",IF(SUMPRODUCT((Ввод!$F$12:$F$31&lt;&gt;"")*(Ввод!$F$12:$F$31&lt;=A1262)*(Ввод!$G$12:$G$31&gt;=A1262))&gt;0,1,0))</f>
        <v/>
      </c>
      <c r="G1262" t="str">
        <f t="shared" si="39"/>
        <v/>
      </c>
    </row>
    <row r="1263" spans="1:7" x14ac:dyDescent="0.3">
      <c r="A1263" s="21" t="str">
        <f>IF(A1262="","",IF(A1262+1&gt;Ввод!$B$4,"",A1262+1))</f>
        <v/>
      </c>
      <c r="B1263" s="23" t="str">
        <f>IF(A1263="","",IFERROR(INDEX(Ввод!$B$12:$B$71,MATCH(A1263,Ввод!$D$12:$D$71,1)),""))</f>
        <v/>
      </c>
      <c r="C1263" t="str">
        <f t="shared" si="38"/>
        <v/>
      </c>
      <c r="D1263" t="str">
        <f>IF(A1263="","",SUMIFS(Акты!$D$5:$D$16,Акты!$E$5:$E$16,"&lt;="&amp;A1263)-SUMIFS(Оплаты!$B$6:$B$505,Оплаты!$A$6:$A$505,"&lt;"&amp;A1263,Оплаты!$D$6:$D$505,"&lt;&gt;"))</f>
        <v/>
      </c>
      <c r="E1263" t="str">
        <f>IF(A1263="","",IF(SUMPRODUCT((Ввод!$F$12:$F$31&lt;&gt;"")*(Ввод!$F$12:$F$31&lt;=A1263)*(Ввод!$G$12:$G$31&gt;=A1263))&gt;0,1,0))</f>
        <v/>
      </c>
      <c r="G1263" t="str">
        <f t="shared" si="39"/>
        <v/>
      </c>
    </row>
    <row r="1264" spans="1:7" x14ac:dyDescent="0.3">
      <c r="A1264" s="21" t="str">
        <f>IF(A1263="","",IF(A1263+1&gt;Ввод!$B$4,"",A1263+1))</f>
        <v/>
      </c>
      <c r="B1264" s="23" t="str">
        <f>IF(A1264="","",IFERROR(INDEX(Ввод!$B$12:$B$71,MATCH(A1264,Ввод!$D$12:$D$71,1)),""))</f>
        <v/>
      </c>
      <c r="C1264" t="str">
        <f t="shared" si="38"/>
        <v/>
      </c>
      <c r="D1264" t="str">
        <f>IF(A1264="","",SUMIFS(Акты!$D$5:$D$16,Акты!$E$5:$E$16,"&lt;="&amp;A1264)-SUMIFS(Оплаты!$B$6:$B$505,Оплаты!$A$6:$A$505,"&lt;"&amp;A1264,Оплаты!$D$6:$D$505,"&lt;&gt;"))</f>
        <v/>
      </c>
      <c r="E1264" t="str">
        <f>IF(A1264="","",IF(SUMPRODUCT((Ввод!$F$12:$F$31&lt;&gt;"")*(Ввод!$F$12:$F$31&lt;=A1264)*(Ввод!$G$12:$G$31&gt;=A1264))&gt;0,1,0))</f>
        <v/>
      </c>
      <c r="G1264" t="str">
        <f t="shared" si="39"/>
        <v/>
      </c>
    </row>
    <row r="1265" spans="1:7" x14ac:dyDescent="0.3">
      <c r="A1265" s="21" t="str">
        <f>IF(A1264="","",IF(A1264+1&gt;Ввод!$B$4,"",A1264+1))</f>
        <v/>
      </c>
      <c r="B1265" s="23" t="str">
        <f>IF(A1265="","",IFERROR(INDEX(Ввод!$B$12:$B$71,MATCH(A1265,Ввод!$D$12:$D$71,1)),""))</f>
        <v/>
      </c>
      <c r="C1265" t="str">
        <f t="shared" si="38"/>
        <v/>
      </c>
      <c r="D1265" t="str">
        <f>IF(A1265="","",SUMIFS(Акты!$D$5:$D$16,Акты!$E$5:$E$16,"&lt;="&amp;A1265)-SUMIFS(Оплаты!$B$6:$B$505,Оплаты!$A$6:$A$505,"&lt;"&amp;A1265,Оплаты!$D$6:$D$505,"&lt;&gt;"))</f>
        <v/>
      </c>
      <c r="E1265" t="str">
        <f>IF(A1265="","",IF(SUMPRODUCT((Ввод!$F$12:$F$31&lt;&gt;"")*(Ввод!$F$12:$F$31&lt;=A1265)*(Ввод!$G$12:$G$31&gt;=A1265))&gt;0,1,0))</f>
        <v/>
      </c>
      <c r="G1265" t="str">
        <f t="shared" si="39"/>
        <v/>
      </c>
    </row>
    <row r="1266" spans="1:7" x14ac:dyDescent="0.3">
      <c r="A1266" s="21" t="str">
        <f>IF(A1265="","",IF(A1265+1&gt;Ввод!$B$4,"",A1265+1))</f>
        <v/>
      </c>
      <c r="B1266" s="23" t="str">
        <f>IF(A1266="","",IFERROR(INDEX(Ввод!$B$12:$B$71,MATCH(A1266,Ввод!$D$12:$D$71,1)),""))</f>
        <v/>
      </c>
      <c r="C1266" t="str">
        <f t="shared" si="38"/>
        <v/>
      </c>
      <c r="D1266" t="str">
        <f>IF(A1266="","",SUMIFS(Акты!$D$5:$D$16,Акты!$E$5:$E$16,"&lt;="&amp;A1266)-SUMIFS(Оплаты!$B$6:$B$505,Оплаты!$A$6:$A$505,"&lt;"&amp;A1266,Оплаты!$D$6:$D$505,"&lt;&gt;"))</f>
        <v/>
      </c>
      <c r="E1266" t="str">
        <f>IF(A1266="","",IF(SUMPRODUCT((Ввод!$F$12:$F$31&lt;&gt;"")*(Ввод!$F$12:$F$31&lt;=A1266)*(Ввод!$G$12:$G$31&gt;=A1266))&gt;0,1,0))</f>
        <v/>
      </c>
      <c r="G1266" t="str">
        <f t="shared" si="39"/>
        <v/>
      </c>
    </row>
    <row r="1267" spans="1:7" x14ac:dyDescent="0.3">
      <c r="A1267" s="21" t="str">
        <f>IF(A1266="","",IF(A1266+1&gt;Ввод!$B$4,"",A1266+1))</f>
        <v/>
      </c>
      <c r="B1267" s="23" t="str">
        <f>IF(A1267="","",IFERROR(INDEX(Ввод!$B$12:$B$71,MATCH(A1267,Ввод!$D$12:$D$71,1)),""))</f>
        <v/>
      </c>
      <c r="C1267" t="str">
        <f t="shared" si="38"/>
        <v/>
      </c>
      <c r="D1267" t="str">
        <f>IF(A1267="","",SUMIFS(Акты!$D$5:$D$16,Акты!$E$5:$E$16,"&lt;="&amp;A1267)-SUMIFS(Оплаты!$B$6:$B$505,Оплаты!$A$6:$A$505,"&lt;"&amp;A1267,Оплаты!$D$6:$D$505,"&lt;&gt;"))</f>
        <v/>
      </c>
      <c r="E1267" t="str">
        <f>IF(A1267="","",IF(SUMPRODUCT((Ввод!$F$12:$F$31&lt;&gt;"")*(Ввод!$F$12:$F$31&lt;=A1267)*(Ввод!$G$12:$G$31&gt;=A1267))&gt;0,1,0))</f>
        <v/>
      </c>
      <c r="G1267" t="str">
        <f t="shared" si="39"/>
        <v/>
      </c>
    </row>
    <row r="1268" spans="1:7" x14ac:dyDescent="0.3">
      <c r="A1268" s="21" t="str">
        <f>IF(A1267="","",IF(A1267+1&gt;Ввод!$B$4,"",A1267+1))</f>
        <v/>
      </c>
      <c r="B1268" s="23" t="str">
        <f>IF(A1268="","",IFERROR(INDEX(Ввод!$B$12:$B$71,MATCH(A1268,Ввод!$D$12:$D$71,1)),""))</f>
        <v/>
      </c>
      <c r="C1268" t="str">
        <f t="shared" si="38"/>
        <v/>
      </c>
      <c r="D1268" t="str">
        <f>IF(A1268="","",SUMIFS(Акты!$D$5:$D$16,Акты!$E$5:$E$16,"&lt;="&amp;A1268)-SUMIFS(Оплаты!$B$6:$B$505,Оплаты!$A$6:$A$505,"&lt;"&amp;A1268,Оплаты!$D$6:$D$505,"&lt;&gt;"))</f>
        <v/>
      </c>
      <c r="E1268" t="str">
        <f>IF(A1268="","",IF(SUMPRODUCT((Ввод!$F$12:$F$31&lt;&gt;"")*(Ввод!$F$12:$F$31&lt;=A1268)*(Ввод!$G$12:$G$31&gt;=A1268))&gt;0,1,0))</f>
        <v/>
      </c>
      <c r="G1268" t="str">
        <f t="shared" si="39"/>
        <v/>
      </c>
    </row>
    <row r="1269" spans="1:7" x14ac:dyDescent="0.3">
      <c r="A1269" s="21" t="str">
        <f>IF(A1268="","",IF(A1268+1&gt;Ввод!$B$4,"",A1268+1))</f>
        <v/>
      </c>
      <c r="B1269" s="23" t="str">
        <f>IF(A1269="","",IFERROR(INDEX(Ввод!$B$12:$B$71,MATCH(A1269,Ввод!$D$12:$D$71,1)),""))</f>
        <v/>
      </c>
      <c r="C1269" t="str">
        <f t="shared" si="38"/>
        <v/>
      </c>
      <c r="D1269" t="str">
        <f>IF(A1269="","",SUMIFS(Акты!$D$5:$D$16,Акты!$E$5:$E$16,"&lt;="&amp;A1269)-SUMIFS(Оплаты!$B$6:$B$505,Оплаты!$A$6:$A$505,"&lt;"&amp;A1269,Оплаты!$D$6:$D$505,"&lt;&gt;"))</f>
        <v/>
      </c>
      <c r="E1269" t="str">
        <f>IF(A1269="","",IF(SUMPRODUCT((Ввод!$F$12:$F$31&lt;&gt;"")*(Ввод!$F$12:$F$31&lt;=A1269)*(Ввод!$G$12:$G$31&gt;=A1269))&gt;0,1,0))</f>
        <v/>
      </c>
      <c r="G1269" t="str">
        <f t="shared" si="39"/>
        <v/>
      </c>
    </row>
    <row r="1270" spans="1:7" x14ac:dyDescent="0.3">
      <c r="A1270" s="21" t="str">
        <f>IF(A1269="","",IF(A1269+1&gt;Ввод!$B$4,"",A1269+1))</f>
        <v/>
      </c>
      <c r="B1270" s="23" t="str">
        <f>IF(A1270="","",IFERROR(INDEX(Ввод!$B$12:$B$71,MATCH(A1270,Ввод!$D$12:$D$71,1)),""))</f>
        <v/>
      </c>
      <c r="C1270" t="str">
        <f t="shared" si="38"/>
        <v/>
      </c>
      <c r="D1270" t="str">
        <f>IF(A1270="","",SUMIFS(Акты!$D$5:$D$16,Акты!$E$5:$E$16,"&lt;="&amp;A1270)-SUMIFS(Оплаты!$B$6:$B$505,Оплаты!$A$6:$A$505,"&lt;"&amp;A1270,Оплаты!$D$6:$D$505,"&lt;&gt;"))</f>
        <v/>
      </c>
      <c r="E1270" t="str">
        <f>IF(A1270="","",IF(SUMPRODUCT((Ввод!$F$12:$F$31&lt;&gt;"")*(Ввод!$F$12:$F$31&lt;=A1270)*(Ввод!$G$12:$G$31&gt;=A1270))&gt;0,1,0))</f>
        <v/>
      </c>
      <c r="G1270" t="str">
        <f t="shared" si="39"/>
        <v/>
      </c>
    </row>
    <row r="1271" spans="1:7" x14ac:dyDescent="0.3">
      <c r="A1271" s="21" t="str">
        <f>IF(A1270="","",IF(A1270+1&gt;Ввод!$B$4,"",A1270+1))</f>
        <v/>
      </c>
      <c r="B1271" s="23" t="str">
        <f>IF(A1271="","",IFERROR(INDEX(Ввод!$B$12:$B$71,MATCH(A1271,Ввод!$D$12:$D$71,1)),""))</f>
        <v/>
      </c>
      <c r="C1271" t="str">
        <f t="shared" si="38"/>
        <v/>
      </c>
      <c r="D1271" t="str">
        <f>IF(A1271="","",SUMIFS(Акты!$D$5:$D$16,Акты!$E$5:$E$16,"&lt;="&amp;A1271)-SUMIFS(Оплаты!$B$6:$B$505,Оплаты!$A$6:$A$505,"&lt;"&amp;A1271,Оплаты!$D$6:$D$505,"&lt;&gt;"))</f>
        <v/>
      </c>
      <c r="E1271" t="str">
        <f>IF(A1271="","",IF(SUMPRODUCT((Ввод!$F$12:$F$31&lt;&gt;"")*(Ввод!$F$12:$F$31&lt;=A1271)*(Ввод!$G$12:$G$31&gt;=A1271))&gt;0,1,0))</f>
        <v/>
      </c>
      <c r="G1271" t="str">
        <f t="shared" si="39"/>
        <v/>
      </c>
    </row>
    <row r="1272" spans="1:7" x14ac:dyDescent="0.3">
      <c r="A1272" s="21" t="str">
        <f>IF(A1271="","",IF(A1271+1&gt;Ввод!$B$4,"",A1271+1))</f>
        <v/>
      </c>
      <c r="B1272" s="23" t="str">
        <f>IF(A1272="","",IFERROR(INDEX(Ввод!$B$12:$B$71,MATCH(A1272,Ввод!$D$12:$D$71,1)),""))</f>
        <v/>
      </c>
      <c r="C1272" t="str">
        <f t="shared" si="38"/>
        <v/>
      </c>
      <c r="D1272" t="str">
        <f>IF(A1272="","",SUMIFS(Акты!$D$5:$D$16,Акты!$E$5:$E$16,"&lt;="&amp;A1272)-SUMIFS(Оплаты!$B$6:$B$505,Оплаты!$A$6:$A$505,"&lt;"&amp;A1272,Оплаты!$D$6:$D$505,"&lt;&gt;"))</f>
        <v/>
      </c>
      <c r="E1272" t="str">
        <f>IF(A1272="","",IF(SUMPRODUCT((Ввод!$F$12:$F$31&lt;&gt;"")*(Ввод!$F$12:$F$31&lt;=A1272)*(Ввод!$G$12:$G$31&gt;=A1272))&gt;0,1,0))</f>
        <v/>
      </c>
      <c r="G1272" t="str">
        <f t="shared" si="39"/>
        <v/>
      </c>
    </row>
    <row r="1273" spans="1:7" x14ac:dyDescent="0.3">
      <c r="A1273" s="21" t="str">
        <f>IF(A1272="","",IF(A1272+1&gt;Ввод!$B$4,"",A1272+1))</f>
        <v/>
      </c>
      <c r="B1273" s="23" t="str">
        <f>IF(A1273="","",IFERROR(INDEX(Ввод!$B$12:$B$71,MATCH(A1273,Ввод!$D$12:$D$71,1)),""))</f>
        <v/>
      </c>
      <c r="C1273" t="str">
        <f t="shared" si="38"/>
        <v/>
      </c>
      <c r="D1273" t="str">
        <f>IF(A1273="","",SUMIFS(Акты!$D$5:$D$16,Акты!$E$5:$E$16,"&lt;="&amp;A1273)-SUMIFS(Оплаты!$B$6:$B$505,Оплаты!$A$6:$A$505,"&lt;"&amp;A1273,Оплаты!$D$6:$D$505,"&lt;&gt;"))</f>
        <v/>
      </c>
      <c r="E1273" t="str">
        <f>IF(A1273="","",IF(SUMPRODUCT((Ввод!$F$12:$F$31&lt;&gt;"")*(Ввод!$F$12:$F$31&lt;=A1273)*(Ввод!$G$12:$G$31&gt;=A1273))&gt;0,1,0))</f>
        <v/>
      </c>
      <c r="G1273" t="str">
        <f t="shared" si="39"/>
        <v/>
      </c>
    </row>
    <row r="1274" spans="1:7" x14ac:dyDescent="0.3">
      <c r="A1274" s="21" t="str">
        <f>IF(A1273="","",IF(A1273+1&gt;Ввод!$B$4,"",A1273+1))</f>
        <v/>
      </c>
      <c r="B1274" s="23" t="str">
        <f>IF(A1274="","",IFERROR(INDEX(Ввод!$B$12:$B$71,MATCH(A1274,Ввод!$D$12:$D$71,1)),""))</f>
        <v/>
      </c>
      <c r="C1274" t="str">
        <f t="shared" si="38"/>
        <v/>
      </c>
      <c r="D1274" t="str">
        <f>IF(A1274="","",SUMIFS(Акты!$D$5:$D$16,Акты!$E$5:$E$16,"&lt;="&amp;A1274)-SUMIFS(Оплаты!$B$6:$B$505,Оплаты!$A$6:$A$505,"&lt;"&amp;A1274,Оплаты!$D$6:$D$505,"&lt;&gt;"))</f>
        <v/>
      </c>
      <c r="E1274" t="str">
        <f>IF(A1274="","",IF(SUMPRODUCT((Ввод!$F$12:$F$31&lt;&gt;"")*(Ввод!$F$12:$F$31&lt;=A1274)*(Ввод!$G$12:$G$31&gt;=A1274))&gt;0,1,0))</f>
        <v/>
      </c>
      <c r="G1274" t="str">
        <f t="shared" si="39"/>
        <v/>
      </c>
    </row>
    <row r="1275" spans="1:7" x14ac:dyDescent="0.3">
      <c r="A1275" s="21" t="str">
        <f>IF(A1274="","",IF(A1274+1&gt;Ввод!$B$4,"",A1274+1))</f>
        <v/>
      </c>
      <c r="B1275" s="23" t="str">
        <f>IF(A1275="","",IFERROR(INDEX(Ввод!$B$12:$B$71,MATCH(A1275,Ввод!$D$12:$D$71,1)),""))</f>
        <v/>
      </c>
      <c r="C1275" t="str">
        <f t="shared" si="38"/>
        <v/>
      </c>
      <c r="D1275" t="str">
        <f>IF(A1275="","",SUMIFS(Акты!$D$5:$D$16,Акты!$E$5:$E$16,"&lt;="&amp;A1275)-SUMIFS(Оплаты!$B$6:$B$505,Оплаты!$A$6:$A$505,"&lt;"&amp;A1275,Оплаты!$D$6:$D$505,"&lt;&gt;"))</f>
        <v/>
      </c>
      <c r="E1275" t="str">
        <f>IF(A1275="","",IF(SUMPRODUCT((Ввод!$F$12:$F$31&lt;&gt;"")*(Ввод!$F$12:$F$31&lt;=A1275)*(Ввод!$G$12:$G$31&gt;=A1275))&gt;0,1,0))</f>
        <v/>
      </c>
      <c r="G1275" t="str">
        <f t="shared" si="39"/>
        <v/>
      </c>
    </row>
    <row r="1276" spans="1:7" x14ac:dyDescent="0.3">
      <c r="A1276" s="21" t="str">
        <f>IF(A1275="","",IF(A1275+1&gt;Ввод!$B$4,"",A1275+1))</f>
        <v/>
      </c>
      <c r="B1276" s="23" t="str">
        <f>IF(A1276="","",IFERROR(INDEX(Ввод!$B$12:$B$71,MATCH(A1276,Ввод!$D$12:$D$71,1)),""))</f>
        <v/>
      </c>
      <c r="C1276" t="str">
        <f t="shared" si="38"/>
        <v/>
      </c>
      <c r="D1276" t="str">
        <f>IF(A1276="","",SUMIFS(Акты!$D$5:$D$16,Акты!$E$5:$E$16,"&lt;="&amp;A1276)-SUMIFS(Оплаты!$B$6:$B$505,Оплаты!$A$6:$A$505,"&lt;"&amp;A1276,Оплаты!$D$6:$D$505,"&lt;&gt;"))</f>
        <v/>
      </c>
      <c r="E1276" t="str">
        <f>IF(A1276="","",IF(SUMPRODUCT((Ввод!$F$12:$F$31&lt;&gt;"")*(Ввод!$F$12:$F$31&lt;=A1276)*(Ввод!$G$12:$G$31&gt;=A1276))&gt;0,1,0))</f>
        <v/>
      </c>
      <c r="G1276" t="str">
        <f t="shared" si="39"/>
        <v/>
      </c>
    </row>
    <row r="1277" spans="1:7" x14ac:dyDescent="0.3">
      <c r="A1277" s="21" t="str">
        <f>IF(A1276="","",IF(A1276+1&gt;Ввод!$B$4,"",A1276+1))</f>
        <v/>
      </c>
      <c r="B1277" s="23" t="str">
        <f>IF(A1277="","",IFERROR(INDEX(Ввод!$B$12:$B$71,MATCH(A1277,Ввод!$D$12:$D$71,1)),""))</f>
        <v/>
      </c>
      <c r="C1277" t="str">
        <f t="shared" si="38"/>
        <v/>
      </c>
      <c r="D1277" t="str">
        <f>IF(A1277="","",SUMIFS(Акты!$D$5:$D$16,Акты!$E$5:$E$16,"&lt;="&amp;A1277)-SUMIFS(Оплаты!$B$6:$B$505,Оплаты!$A$6:$A$505,"&lt;"&amp;A1277,Оплаты!$D$6:$D$505,"&lt;&gt;"))</f>
        <v/>
      </c>
      <c r="E1277" t="str">
        <f>IF(A1277="","",IF(SUMPRODUCT((Ввод!$F$12:$F$31&lt;&gt;"")*(Ввод!$F$12:$F$31&lt;=A1277)*(Ввод!$G$12:$G$31&gt;=A1277))&gt;0,1,0))</f>
        <v/>
      </c>
      <c r="G1277" t="str">
        <f t="shared" si="39"/>
        <v/>
      </c>
    </row>
    <row r="1278" spans="1:7" x14ac:dyDescent="0.3">
      <c r="A1278" s="21" t="str">
        <f>IF(A1277="","",IF(A1277+1&gt;Ввод!$B$4,"",A1277+1))</f>
        <v/>
      </c>
      <c r="B1278" s="23" t="str">
        <f>IF(A1278="","",IFERROR(INDEX(Ввод!$B$12:$B$71,MATCH(A1278,Ввод!$D$12:$D$71,1)),""))</f>
        <v/>
      </c>
      <c r="C1278" t="str">
        <f t="shared" si="38"/>
        <v/>
      </c>
      <c r="D1278" t="str">
        <f>IF(A1278="","",SUMIFS(Акты!$D$5:$D$16,Акты!$E$5:$E$16,"&lt;="&amp;A1278)-SUMIFS(Оплаты!$B$6:$B$505,Оплаты!$A$6:$A$505,"&lt;"&amp;A1278,Оплаты!$D$6:$D$505,"&lt;&gt;"))</f>
        <v/>
      </c>
      <c r="E1278" t="str">
        <f>IF(A1278="","",IF(SUMPRODUCT((Ввод!$F$12:$F$31&lt;&gt;"")*(Ввод!$F$12:$F$31&lt;=A1278)*(Ввод!$G$12:$G$31&gt;=A1278))&gt;0,1,0))</f>
        <v/>
      </c>
      <c r="G1278" t="str">
        <f t="shared" si="39"/>
        <v/>
      </c>
    </row>
    <row r="1279" spans="1:7" x14ac:dyDescent="0.3">
      <c r="A1279" s="21" t="str">
        <f>IF(A1278="","",IF(A1278+1&gt;Ввод!$B$4,"",A1278+1))</f>
        <v/>
      </c>
      <c r="B1279" s="23" t="str">
        <f>IF(A1279="","",IFERROR(INDEX(Ввод!$B$12:$B$71,MATCH(A1279,Ввод!$D$12:$D$71,1)),""))</f>
        <v/>
      </c>
      <c r="C1279" t="str">
        <f t="shared" si="38"/>
        <v/>
      </c>
      <c r="D1279" t="str">
        <f>IF(A1279="","",SUMIFS(Акты!$D$5:$D$16,Акты!$E$5:$E$16,"&lt;="&amp;A1279)-SUMIFS(Оплаты!$B$6:$B$505,Оплаты!$A$6:$A$505,"&lt;"&amp;A1279,Оплаты!$D$6:$D$505,"&lt;&gt;"))</f>
        <v/>
      </c>
      <c r="E1279" t="str">
        <f>IF(A1279="","",IF(SUMPRODUCT((Ввод!$F$12:$F$31&lt;&gt;"")*(Ввод!$F$12:$F$31&lt;=A1279)*(Ввод!$G$12:$G$31&gt;=A1279))&gt;0,1,0))</f>
        <v/>
      </c>
      <c r="G1279" t="str">
        <f t="shared" si="39"/>
        <v/>
      </c>
    </row>
    <row r="1280" spans="1:7" x14ac:dyDescent="0.3">
      <c r="A1280" s="21" t="str">
        <f>IF(A1279="","",IF(A1279+1&gt;Ввод!$B$4,"",A1279+1))</f>
        <v/>
      </c>
      <c r="B1280" s="23" t="str">
        <f>IF(A1280="","",IFERROR(INDEX(Ввод!$B$12:$B$71,MATCH(A1280,Ввод!$D$12:$D$71,1)),""))</f>
        <v/>
      </c>
      <c r="C1280" t="str">
        <f t="shared" si="38"/>
        <v/>
      </c>
      <c r="D1280" t="str">
        <f>IF(A1280="","",SUMIFS(Акты!$D$5:$D$16,Акты!$E$5:$E$16,"&lt;="&amp;A1280)-SUMIFS(Оплаты!$B$6:$B$505,Оплаты!$A$6:$A$505,"&lt;"&amp;A1280,Оплаты!$D$6:$D$505,"&lt;&gt;"))</f>
        <v/>
      </c>
      <c r="E1280" t="str">
        <f>IF(A1280="","",IF(SUMPRODUCT((Ввод!$F$12:$F$31&lt;&gt;"")*(Ввод!$F$12:$F$31&lt;=A1280)*(Ввод!$G$12:$G$31&gt;=A1280))&gt;0,1,0))</f>
        <v/>
      </c>
      <c r="G1280" t="str">
        <f t="shared" si="39"/>
        <v/>
      </c>
    </row>
    <row r="1281" spans="1:7" x14ac:dyDescent="0.3">
      <c r="A1281" s="21" t="str">
        <f>IF(A1280="","",IF(A1280+1&gt;Ввод!$B$4,"",A1280+1))</f>
        <v/>
      </c>
      <c r="B1281" s="23" t="str">
        <f>IF(A1281="","",IFERROR(INDEX(Ввод!$B$12:$B$71,MATCH(A1281,Ввод!$D$12:$D$71,1)),""))</f>
        <v/>
      </c>
      <c r="C1281" t="str">
        <f t="shared" si="38"/>
        <v/>
      </c>
      <c r="D1281" t="str">
        <f>IF(A1281="","",SUMIFS(Акты!$D$5:$D$16,Акты!$E$5:$E$16,"&lt;="&amp;A1281)-SUMIFS(Оплаты!$B$6:$B$505,Оплаты!$A$6:$A$505,"&lt;"&amp;A1281,Оплаты!$D$6:$D$505,"&lt;&gt;"))</f>
        <v/>
      </c>
      <c r="E1281" t="str">
        <f>IF(A1281="","",IF(SUMPRODUCT((Ввод!$F$12:$F$31&lt;&gt;"")*(Ввод!$F$12:$F$31&lt;=A1281)*(Ввод!$G$12:$G$31&gt;=A1281))&gt;0,1,0))</f>
        <v/>
      </c>
      <c r="G1281" t="str">
        <f t="shared" si="39"/>
        <v/>
      </c>
    </row>
    <row r="1282" spans="1:7" x14ac:dyDescent="0.3">
      <c r="A1282" s="21" t="str">
        <f>IF(A1281="","",IF(A1281+1&gt;Ввод!$B$4,"",A1281+1))</f>
        <v/>
      </c>
      <c r="B1282" s="23" t="str">
        <f>IF(A1282="","",IFERROR(INDEX(Ввод!$B$12:$B$71,MATCH(A1282,Ввод!$D$12:$D$71,1)),""))</f>
        <v/>
      </c>
      <c r="C1282" t="str">
        <f t="shared" ref="C1282:C1345" si="40">IF(A1282="","",DATE(YEAR(A1282),12,31)-DATE(YEAR(A1282),1,1)+1)</f>
        <v/>
      </c>
      <c r="D1282" t="str">
        <f>IF(A1282="","",SUMIFS(Акты!$D$5:$D$16,Акты!$E$5:$E$16,"&lt;="&amp;A1282)-SUMIFS(Оплаты!$B$6:$B$505,Оплаты!$A$6:$A$505,"&lt;"&amp;A1282,Оплаты!$D$6:$D$505,"&lt;&gt;"))</f>
        <v/>
      </c>
      <c r="E1282" t="str">
        <f>IF(A1282="","",IF(SUMPRODUCT((Ввод!$F$12:$F$31&lt;&gt;"")*(Ввод!$F$12:$F$31&lt;=A1282)*(Ввод!$G$12:$G$31&gt;=A1282))&gt;0,1,0))</f>
        <v/>
      </c>
      <c r="G1282" t="str">
        <f t="shared" si="39"/>
        <v/>
      </c>
    </row>
    <row r="1283" spans="1:7" x14ac:dyDescent="0.3">
      <c r="A1283" s="21" t="str">
        <f>IF(A1282="","",IF(A1282+1&gt;Ввод!$B$4,"",A1282+1))</f>
        <v/>
      </c>
      <c r="B1283" s="23" t="str">
        <f>IF(A1283="","",IFERROR(INDEX(Ввод!$B$12:$B$71,MATCH(A1283,Ввод!$D$12:$D$71,1)),""))</f>
        <v/>
      </c>
      <c r="C1283" t="str">
        <f t="shared" si="40"/>
        <v/>
      </c>
      <c r="D1283" t="str">
        <f>IF(A1283="","",SUMIFS(Акты!$D$5:$D$16,Акты!$E$5:$E$16,"&lt;="&amp;A1283)-SUMIFS(Оплаты!$B$6:$B$505,Оплаты!$A$6:$A$505,"&lt;"&amp;A1283,Оплаты!$D$6:$D$505,"&lt;&gt;"))</f>
        <v/>
      </c>
      <c r="E1283" t="str">
        <f>IF(A1283="","",IF(SUMPRODUCT((Ввод!$F$12:$F$31&lt;&gt;"")*(Ввод!$F$12:$F$31&lt;=A1283)*(Ввод!$G$12:$G$31&gt;=A1283))&gt;0,1,0))</f>
        <v/>
      </c>
      <c r="G1283" t="str">
        <f t="shared" ref="G1283:G1346" si="41">IF(A1283="","",IF(OR(B1283&lt;&gt;B1282,C1283&lt;&gt;C1282,E1283&lt;&gt;E1282),G1282+1,G1282))</f>
        <v/>
      </c>
    </row>
    <row r="1284" spans="1:7" x14ac:dyDescent="0.3">
      <c r="A1284" s="21" t="str">
        <f>IF(A1283="","",IF(A1283+1&gt;Ввод!$B$4,"",A1283+1))</f>
        <v/>
      </c>
      <c r="B1284" s="23" t="str">
        <f>IF(A1284="","",IFERROR(INDEX(Ввод!$B$12:$B$71,MATCH(A1284,Ввод!$D$12:$D$71,1)),""))</f>
        <v/>
      </c>
      <c r="C1284" t="str">
        <f t="shared" si="40"/>
        <v/>
      </c>
      <c r="D1284" t="str">
        <f>IF(A1284="","",SUMIFS(Акты!$D$5:$D$16,Акты!$E$5:$E$16,"&lt;="&amp;A1284)-SUMIFS(Оплаты!$B$6:$B$505,Оплаты!$A$6:$A$505,"&lt;"&amp;A1284,Оплаты!$D$6:$D$505,"&lt;&gt;"))</f>
        <v/>
      </c>
      <c r="E1284" t="str">
        <f>IF(A1284="","",IF(SUMPRODUCT((Ввод!$F$12:$F$31&lt;&gt;"")*(Ввод!$F$12:$F$31&lt;=A1284)*(Ввод!$G$12:$G$31&gt;=A1284))&gt;0,1,0))</f>
        <v/>
      </c>
      <c r="G1284" t="str">
        <f t="shared" si="41"/>
        <v/>
      </c>
    </row>
    <row r="1285" spans="1:7" x14ac:dyDescent="0.3">
      <c r="A1285" s="21" t="str">
        <f>IF(A1284="","",IF(A1284+1&gt;Ввод!$B$4,"",A1284+1))</f>
        <v/>
      </c>
      <c r="B1285" s="23" t="str">
        <f>IF(A1285="","",IFERROR(INDEX(Ввод!$B$12:$B$71,MATCH(A1285,Ввод!$D$12:$D$71,1)),""))</f>
        <v/>
      </c>
      <c r="C1285" t="str">
        <f t="shared" si="40"/>
        <v/>
      </c>
      <c r="D1285" t="str">
        <f>IF(A1285="","",SUMIFS(Акты!$D$5:$D$16,Акты!$E$5:$E$16,"&lt;="&amp;A1285)-SUMIFS(Оплаты!$B$6:$B$505,Оплаты!$A$6:$A$505,"&lt;"&amp;A1285,Оплаты!$D$6:$D$505,"&lt;&gt;"))</f>
        <v/>
      </c>
      <c r="E1285" t="str">
        <f>IF(A1285="","",IF(SUMPRODUCT((Ввод!$F$12:$F$31&lt;&gt;"")*(Ввод!$F$12:$F$31&lt;=A1285)*(Ввод!$G$12:$G$31&gt;=A1285))&gt;0,1,0))</f>
        <v/>
      </c>
      <c r="G1285" t="str">
        <f t="shared" si="41"/>
        <v/>
      </c>
    </row>
    <row r="1286" spans="1:7" x14ac:dyDescent="0.3">
      <c r="A1286" s="21" t="str">
        <f>IF(A1285="","",IF(A1285+1&gt;Ввод!$B$4,"",A1285+1))</f>
        <v/>
      </c>
      <c r="B1286" s="23" t="str">
        <f>IF(A1286="","",IFERROR(INDEX(Ввод!$B$12:$B$71,MATCH(A1286,Ввод!$D$12:$D$71,1)),""))</f>
        <v/>
      </c>
      <c r="C1286" t="str">
        <f t="shared" si="40"/>
        <v/>
      </c>
      <c r="D1286" t="str">
        <f>IF(A1286="","",SUMIFS(Акты!$D$5:$D$16,Акты!$E$5:$E$16,"&lt;="&amp;A1286)-SUMIFS(Оплаты!$B$6:$B$505,Оплаты!$A$6:$A$505,"&lt;"&amp;A1286,Оплаты!$D$6:$D$505,"&lt;&gt;"))</f>
        <v/>
      </c>
      <c r="E1286" t="str">
        <f>IF(A1286="","",IF(SUMPRODUCT((Ввод!$F$12:$F$31&lt;&gt;"")*(Ввод!$F$12:$F$31&lt;=A1286)*(Ввод!$G$12:$G$31&gt;=A1286))&gt;0,1,0))</f>
        <v/>
      </c>
      <c r="G1286" t="str">
        <f t="shared" si="41"/>
        <v/>
      </c>
    </row>
    <row r="1287" spans="1:7" x14ac:dyDescent="0.3">
      <c r="A1287" s="21" t="str">
        <f>IF(A1286="","",IF(A1286+1&gt;Ввод!$B$4,"",A1286+1))</f>
        <v/>
      </c>
      <c r="B1287" s="23" t="str">
        <f>IF(A1287="","",IFERROR(INDEX(Ввод!$B$12:$B$71,MATCH(A1287,Ввод!$D$12:$D$71,1)),""))</f>
        <v/>
      </c>
      <c r="C1287" t="str">
        <f t="shared" si="40"/>
        <v/>
      </c>
      <c r="D1287" t="str">
        <f>IF(A1287="","",SUMIFS(Акты!$D$5:$D$16,Акты!$E$5:$E$16,"&lt;="&amp;A1287)-SUMIFS(Оплаты!$B$6:$B$505,Оплаты!$A$6:$A$505,"&lt;"&amp;A1287,Оплаты!$D$6:$D$505,"&lt;&gt;"))</f>
        <v/>
      </c>
      <c r="E1287" t="str">
        <f>IF(A1287="","",IF(SUMPRODUCT((Ввод!$F$12:$F$31&lt;&gt;"")*(Ввод!$F$12:$F$31&lt;=A1287)*(Ввод!$G$12:$G$31&gt;=A1287))&gt;0,1,0))</f>
        <v/>
      </c>
      <c r="G1287" t="str">
        <f t="shared" si="41"/>
        <v/>
      </c>
    </row>
    <row r="1288" spans="1:7" x14ac:dyDescent="0.3">
      <c r="A1288" s="21" t="str">
        <f>IF(A1287="","",IF(A1287+1&gt;Ввод!$B$4,"",A1287+1))</f>
        <v/>
      </c>
      <c r="B1288" s="23" t="str">
        <f>IF(A1288="","",IFERROR(INDEX(Ввод!$B$12:$B$71,MATCH(A1288,Ввод!$D$12:$D$71,1)),""))</f>
        <v/>
      </c>
      <c r="C1288" t="str">
        <f t="shared" si="40"/>
        <v/>
      </c>
      <c r="D1288" t="str">
        <f>IF(A1288="","",SUMIFS(Акты!$D$5:$D$16,Акты!$E$5:$E$16,"&lt;="&amp;A1288)-SUMIFS(Оплаты!$B$6:$B$505,Оплаты!$A$6:$A$505,"&lt;"&amp;A1288,Оплаты!$D$6:$D$505,"&lt;&gt;"))</f>
        <v/>
      </c>
      <c r="E1288" t="str">
        <f>IF(A1288="","",IF(SUMPRODUCT((Ввод!$F$12:$F$31&lt;&gt;"")*(Ввод!$F$12:$F$31&lt;=A1288)*(Ввод!$G$12:$G$31&gt;=A1288))&gt;0,1,0))</f>
        <v/>
      </c>
      <c r="G1288" t="str">
        <f t="shared" si="41"/>
        <v/>
      </c>
    </row>
    <row r="1289" spans="1:7" x14ac:dyDescent="0.3">
      <c r="A1289" s="21" t="str">
        <f>IF(A1288="","",IF(A1288+1&gt;Ввод!$B$4,"",A1288+1))</f>
        <v/>
      </c>
      <c r="B1289" s="23" t="str">
        <f>IF(A1289="","",IFERROR(INDEX(Ввод!$B$12:$B$71,MATCH(A1289,Ввод!$D$12:$D$71,1)),""))</f>
        <v/>
      </c>
      <c r="C1289" t="str">
        <f t="shared" si="40"/>
        <v/>
      </c>
      <c r="D1289" t="str">
        <f>IF(A1289="","",SUMIFS(Акты!$D$5:$D$16,Акты!$E$5:$E$16,"&lt;="&amp;A1289)-SUMIFS(Оплаты!$B$6:$B$505,Оплаты!$A$6:$A$505,"&lt;"&amp;A1289,Оплаты!$D$6:$D$505,"&lt;&gt;"))</f>
        <v/>
      </c>
      <c r="E1289" t="str">
        <f>IF(A1289="","",IF(SUMPRODUCT((Ввод!$F$12:$F$31&lt;&gt;"")*(Ввод!$F$12:$F$31&lt;=A1289)*(Ввод!$G$12:$G$31&gt;=A1289))&gt;0,1,0))</f>
        <v/>
      </c>
      <c r="G1289" t="str">
        <f t="shared" si="41"/>
        <v/>
      </c>
    </row>
    <row r="1290" spans="1:7" x14ac:dyDescent="0.3">
      <c r="A1290" s="21" t="str">
        <f>IF(A1289="","",IF(A1289+1&gt;Ввод!$B$4,"",A1289+1))</f>
        <v/>
      </c>
      <c r="B1290" s="23" t="str">
        <f>IF(A1290="","",IFERROR(INDEX(Ввод!$B$12:$B$71,MATCH(A1290,Ввод!$D$12:$D$71,1)),""))</f>
        <v/>
      </c>
      <c r="C1290" t="str">
        <f t="shared" si="40"/>
        <v/>
      </c>
      <c r="D1290" t="str">
        <f>IF(A1290="","",SUMIFS(Акты!$D$5:$D$16,Акты!$E$5:$E$16,"&lt;="&amp;A1290)-SUMIFS(Оплаты!$B$6:$B$505,Оплаты!$A$6:$A$505,"&lt;"&amp;A1290,Оплаты!$D$6:$D$505,"&lt;&gt;"))</f>
        <v/>
      </c>
      <c r="E1290" t="str">
        <f>IF(A1290="","",IF(SUMPRODUCT((Ввод!$F$12:$F$31&lt;&gt;"")*(Ввод!$F$12:$F$31&lt;=A1290)*(Ввод!$G$12:$G$31&gt;=A1290))&gt;0,1,0))</f>
        <v/>
      </c>
      <c r="G1290" t="str">
        <f t="shared" si="41"/>
        <v/>
      </c>
    </row>
    <row r="1291" spans="1:7" x14ac:dyDescent="0.3">
      <c r="A1291" s="21" t="str">
        <f>IF(A1290="","",IF(A1290+1&gt;Ввод!$B$4,"",A1290+1))</f>
        <v/>
      </c>
      <c r="B1291" s="23" t="str">
        <f>IF(A1291="","",IFERROR(INDEX(Ввод!$B$12:$B$71,MATCH(A1291,Ввод!$D$12:$D$71,1)),""))</f>
        <v/>
      </c>
      <c r="C1291" t="str">
        <f t="shared" si="40"/>
        <v/>
      </c>
      <c r="D1291" t="str">
        <f>IF(A1291="","",SUMIFS(Акты!$D$5:$D$16,Акты!$E$5:$E$16,"&lt;="&amp;A1291)-SUMIFS(Оплаты!$B$6:$B$505,Оплаты!$A$6:$A$505,"&lt;"&amp;A1291,Оплаты!$D$6:$D$505,"&lt;&gt;"))</f>
        <v/>
      </c>
      <c r="E1291" t="str">
        <f>IF(A1291="","",IF(SUMPRODUCT((Ввод!$F$12:$F$31&lt;&gt;"")*(Ввод!$F$12:$F$31&lt;=A1291)*(Ввод!$G$12:$G$31&gt;=A1291))&gt;0,1,0))</f>
        <v/>
      </c>
      <c r="G1291" t="str">
        <f t="shared" si="41"/>
        <v/>
      </c>
    </row>
    <row r="1292" spans="1:7" x14ac:dyDescent="0.3">
      <c r="A1292" s="21" t="str">
        <f>IF(A1291="","",IF(A1291+1&gt;Ввод!$B$4,"",A1291+1))</f>
        <v/>
      </c>
      <c r="B1292" s="23" t="str">
        <f>IF(A1292="","",IFERROR(INDEX(Ввод!$B$12:$B$71,MATCH(A1292,Ввод!$D$12:$D$71,1)),""))</f>
        <v/>
      </c>
      <c r="C1292" t="str">
        <f t="shared" si="40"/>
        <v/>
      </c>
      <c r="D1292" t="str">
        <f>IF(A1292="","",SUMIFS(Акты!$D$5:$D$16,Акты!$E$5:$E$16,"&lt;="&amp;A1292)-SUMIFS(Оплаты!$B$6:$B$505,Оплаты!$A$6:$A$505,"&lt;"&amp;A1292,Оплаты!$D$6:$D$505,"&lt;&gt;"))</f>
        <v/>
      </c>
      <c r="E1292" t="str">
        <f>IF(A1292="","",IF(SUMPRODUCT((Ввод!$F$12:$F$31&lt;&gt;"")*(Ввод!$F$12:$F$31&lt;=A1292)*(Ввод!$G$12:$G$31&gt;=A1292))&gt;0,1,0))</f>
        <v/>
      </c>
      <c r="G1292" t="str">
        <f t="shared" si="41"/>
        <v/>
      </c>
    </row>
    <row r="1293" spans="1:7" x14ac:dyDescent="0.3">
      <c r="A1293" s="21" t="str">
        <f>IF(A1292="","",IF(A1292+1&gt;Ввод!$B$4,"",A1292+1))</f>
        <v/>
      </c>
      <c r="B1293" s="23" t="str">
        <f>IF(A1293="","",IFERROR(INDEX(Ввод!$B$12:$B$71,MATCH(A1293,Ввод!$D$12:$D$71,1)),""))</f>
        <v/>
      </c>
      <c r="C1293" t="str">
        <f t="shared" si="40"/>
        <v/>
      </c>
      <c r="D1293" t="str">
        <f>IF(A1293="","",SUMIFS(Акты!$D$5:$D$16,Акты!$E$5:$E$16,"&lt;="&amp;A1293)-SUMIFS(Оплаты!$B$6:$B$505,Оплаты!$A$6:$A$505,"&lt;"&amp;A1293,Оплаты!$D$6:$D$505,"&lt;&gt;"))</f>
        <v/>
      </c>
      <c r="E1293" t="str">
        <f>IF(A1293="","",IF(SUMPRODUCT((Ввод!$F$12:$F$31&lt;&gt;"")*(Ввод!$F$12:$F$31&lt;=A1293)*(Ввод!$G$12:$G$31&gt;=A1293))&gt;0,1,0))</f>
        <v/>
      </c>
      <c r="G1293" t="str">
        <f t="shared" si="41"/>
        <v/>
      </c>
    </row>
    <row r="1294" spans="1:7" x14ac:dyDescent="0.3">
      <c r="A1294" s="21" t="str">
        <f>IF(A1293="","",IF(A1293+1&gt;Ввод!$B$4,"",A1293+1))</f>
        <v/>
      </c>
      <c r="B1294" s="23" t="str">
        <f>IF(A1294="","",IFERROR(INDEX(Ввод!$B$12:$B$71,MATCH(A1294,Ввод!$D$12:$D$71,1)),""))</f>
        <v/>
      </c>
      <c r="C1294" t="str">
        <f t="shared" si="40"/>
        <v/>
      </c>
      <c r="D1294" t="str">
        <f>IF(A1294="","",SUMIFS(Акты!$D$5:$D$16,Акты!$E$5:$E$16,"&lt;="&amp;A1294)-SUMIFS(Оплаты!$B$6:$B$505,Оплаты!$A$6:$A$505,"&lt;"&amp;A1294,Оплаты!$D$6:$D$505,"&lt;&gt;"))</f>
        <v/>
      </c>
      <c r="E1294" t="str">
        <f>IF(A1294="","",IF(SUMPRODUCT((Ввод!$F$12:$F$31&lt;&gt;"")*(Ввод!$F$12:$F$31&lt;=A1294)*(Ввод!$G$12:$G$31&gt;=A1294))&gt;0,1,0))</f>
        <v/>
      </c>
      <c r="G1294" t="str">
        <f t="shared" si="41"/>
        <v/>
      </c>
    </row>
    <row r="1295" spans="1:7" x14ac:dyDescent="0.3">
      <c r="A1295" s="21" t="str">
        <f>IF(A1294="","",IF(A1294+1&gt;Ввод!$B$4,"",A1294+1))</f>
        <v/>
      </c>
      <c r="B1295" s="23" t="str">
        <f>IF(A1295="","",IFERROR(INDEX(Ввод!$B$12:$B$71,MATCH(A1295,Ввод!$D$12:$D$71,1)),""))</f>
        <v/>
      </c>
      <c r="C1295" t="str">
        <f t="shared" si="40"/>
        <v/>
      </c>
      <c r="D1295" t="str">
        <f>IF(A1295="","",SUMIFS(Акты!$D$5:$D$16,Акты!$E$5:$E$16,"&lt;="&amp;A1295)-SUMIFS(Оплаты!$B$6:$B$505,Оплаты!$A$6:$A$505,"&lt;"&amp;A1295,Оплаты!$D$6:$D$505,"&lt;&gt;"))</f>
        <v/>
      </c>
      <c r="E1295" t="str">
        <f>IF(A1295="","",IF(SUMPRODUCT((Ввод!$F$12:$F$31&lt;&gt;"")*(Ввод!$F$12:$F$31&lt;=A1295)*(Ввод!$G$12:$G$31&gt;=A1295))&gt;0,1,0))</f>
        <v/>
      </c>
      <c r="G1295" t="str">
        <f t="shared" si="41"/>
        <v/>
      </c>
    </row>
    <row r="1296" spans="1:7" x14ac:dyDescent="0.3">
      <c r="A1296" s="21" t="str">
        <f>IF(A1295="","",IF(A1295+1&gt;Ввод!$B$4,"",A1295+1))</f>
        <v/>
      </c>
      <c r="B1296" s="23" t="str">
        <f>IF(A1296="","",IFERROR(INDEX(Ввод!$B$12:$B$71,MATCH(A1296,Ввод!$D$12:$D$71,1)),""))</f>
        <v/>
      </c>
      <c r="C1296" t="str">
        <f t="shared" si="40"/>
        <v/>
      </c>
      <c r="D1296" t="str">
        <f>IF(A1296="","",SUMIFS(Акты!$D$5:$D$16,Акты!$E$5:$E$16,"&lt;="&amp;A1296)-SUMIFS(Оплаты!$B$6:$B$505,Оплаты!$A$6:$A$505,"&lt;"&amp;A1296,Оплаты!$D$6:$D$505,"&lt;&gt;"))</f>
        <v/>
      </c>
      <c r="E1296" t="str">
        <f>IF(A1296="","",IF(SUMPRODUCT((Ввод!$F$12:$F$31&lt;&gt;"")*(Ввод!$F$12:$F$31&lt;=A1296)*(Ввод!$G$12:$G$31&gt;=A1296))&gt;0,1,0))</f>
        <v/>
      </c>
      <c r="G1296" t="str">
        <f t="shared" si="41"/>
        <v/>
      </c>
    </row>
    <row r="1297" spans="1:7" x14ac:dyDescent="0.3">
      <c r="A1297" s="21" t="str">
        <f>IF(A1296="","",IF(A1296+1&gt;Ввод!$B$4,"",A1296+1))</f>
        <v/>
      </c>
      <c r="B1297" s="23" t="str">
        <f>IF(A1297="","",IFERROR(INDEX(Ввод!$B$12:$B$71,MATCH(A1297,Ввод!$D$12:$D$71,1)),""))</f>
        <v/>
      </c>
      <c r="C1297" t="str">
        <f t="shared" si="40"/>
        <v/>
      </c>
      <c r="D1297" t="str">
        <f>IF(A1297="","",SUMIFS(Акты!$D$5:$D$16,Акты!$E$5:$E$16,"&lt;="&amp;A1297)-SUMIFS(Оплаты!$B$6:$B$505,Оплаты!$A$6:$A$505,"&lt;"&amp;A1297,Оплаты!$D$6:$D$505,"&lt;&gt;"))</f>
        <v/>
      </c>
      <c r="E1297" t="str">
        <f>IF(A1297="","",IF(SUMPRODUCT((Ввод!$F$12:$F$31&lt;&gt;"")*(Ввод!$F$12:$F$31&lt;=A1297)*(Ввод!$G$12:$G$31&gt;=A1297))&gt;0,1,0))</f>
        <v/>
      </c>
      <c r="G1297" t="str">
        <f t="shared" si="41"/>
        <v/>
      </c>
    </row>
    <row r="1298" spans="1:7" x14ac:dyDescent="0.3">
      <c r="A1298" s="21" t="str">
        <f>IF(A1297="","",IF(A1297+1&gt;Ввод!$B$4,"",A1297+1))</f>
        <v/>
      </c>
      <c r="B1298" s="23" t="str">
        <f>IF(A1298="","",IFERROR(INDEX(Ввод!$B$12:$B$71,MATCH(A1298,Ввод!$D$12:$D$71,1)),""))</f>
        <v/>
      </c>
      <c r="C1298" t="str">
        <f t="shared" si="40"/>
        <v/>
      </c>
      <c r="D1298" t="str">
        <f>IF(A1298="","",SUMIFS(Акты!$D$5:$D$16,Акты!$E$5:$E$16,"&lt;="&amp;A1298)-SUMIFS(Оплаты!$B$6:$B$505,Оплаты!$A$6:$A$505,"&lt;"&amp;A1298,Оплаты!$D$6:$D$505,"&lt;&gt;"))</f>
        <v/>
      </c>
      <c r="E1298" t="str">
        <f>IF(A1298="","",IF(SUMPRODUCT((Ввод!$F$12:$F$31&lt;&gt;"")*(Ввод!$F$12:$F$31&lt;=A1298)*(Ввод!$G$12:$G$31&gt;=A1298))&gt;0,1,0))</f>
        <v/>
      </c>
      <c r="G1298" t="str">
        <f t="shared" si="41"/>
        <v/>
      </c>
    </row>
    <row r="1299" spans="1:7" x14ac:dyDescent="0.3">
      <c r="A1299" s="21" t="str">
        <f>IF(A1298="","",IF(A1298+1&gt;Ввод!$B$4,"",A1298+1))</f>
        <v/>
      </c>
      <c r="B1299" s="23" t="str">
        <f>IF(A1299="","",IFERROR(INDEX(Ввод!$B$12:$B$71,MATCH(A1299,Ввод!$D$12:$D$71,1)),""))</f>
        <v/>
      </c>
      <c r="C1299" t="str">
        <f t="shared" si="40"/>
        <v/>
      </c>
      <c r="D1299" t="str">
        <f>IF(A1299="","",SUMIFS(Акты!$D$5:$D$16,Акты!$E$5:$E$16,"&lt;="&amp;A1299)-SUMIFS(Оплаты!$B$6:$B$505,Оплаты!$A$6:$A$505,"&lt;"&amp;A1299,Оплаты!$D$6:$D$505,"&lt;&gt;"))</f>
        <v/>
      </c>
      <c r="E1299" t="str">
        <f>IF(A1299="","",IF(SUMPRODUCT((Ввод!$F$12:$F$31&lt;&gt;"")*(Ввод!$F$12:$F$31&lt;=A1299)*(Ввод!$G$12:$G$31&gt;=A1299))&gt;0,1,0))</f>
        <v/>
      </c>
      <c r="G1299" t="str">
        <f t="shared" si="41"/>
        <v/>
      </c>
    </row>
    <row r="1300" spans="1:7" x14ac:dyDescent="0.3">
      <c r="A1300" s="21" t="str">
        <f>IF(A1299="","",IF(A1299+1&gt;Ввод!$B$4,"",A1299+1))</f>
        <v/>
      </c>
      <c r="B1300" s="23" t="str">
        <f>IF(A1300="","",IFERROR(INDEX(Ввод!$B$12:$B$71,MATCH(A1300,Ввод!$D$12:$D$71,1)),""))</f>
        <v/>
      </c>
      <c r="C1300" t="str">
        <f t="shared" si="40"/>
        <v/>
      </c>
      <c r="D1300" t="str">
        <f>IF(A1300="","",SUMIFS(Акты!$D$5:$D$16,Акты!$E$5:$E$16,"&lt;="&amp;A1300)-SUMIFS(Оплаты!$B$6:$B$505,Оплаты!$A$6:$A$505,"&lt;"&amp;A1300,Оплаты!$D$6:$D$505,"&lt;&gt;"))</f>
        <v/>
      </c>
      <c r="E1300" t="str">
        <f>IF(A1300="","",IF(SUMPRODUCT((Ввод!$F$12:$F$31&lt;&gt;"")*(Ввод!$F$12:$F$31&lt;=A1300)*(Ввод!$G$12:$G$31&gt;=A1300))&gt;0,1,0))</f>
        <v/>
      </c>
      <c r="G1300" t="str">
        <f t="shared" si="41"/>
        <v/>
      </c>
    </row>
    <row r="1301" spans="1:7" x14ac:dyDescent="0.3">
      <c r="A1301" s="21" t="str">
        <f>IF(A1300="","",IF(A1300+1&gt;Ввод!$B$4,"",A1300+1))</f>
        <v/>
      </c>
      <c r="B1301" s="23" t="str">
        <f>IF(A1301="","",IFERROR(INDEX(Ввод!$B$12:$B$71,MATCH(A1301,Ввод!$D$12:$D$71,1)),""))</f>
        <v/>
      </c>
      <c r="C1301" t="str">
        <f t="shared" si="40"/>
        <v/>
      </c>
      <c r="D1301" t="str">
        <f>IF(A1301="","",SUMIFS(Акты!$D$5:$D$16,Акты!$E$5:$E$16,"&lt;="&amp;A1301)-SUMIFS(Оплаты!$B$6:$B$505,Оплаты!$A$6:$A$505,"&lt;"&amp;A1301,Оплаты!$D$6:$D$505,"&lt;&gt;"))</f>
        <v/>
      </c>
      <c r="E1301" t="str">
        <f>IF(A1301="","",IF(SUMPRODUCT((Ввод!$F$12:$F$31&lt;&gt;"")*(Ввод!$F$12:$F$31&lt;=A1301)*(Ввод!$G$12:$G$31&gt;=A1301))&gt;0,1,0))</f>
        <v/>
      </c>
      <c r="G1301" t="str">
        <f t="shared" si="41"/>
        <v/>
      </c>
    </row>
    <row r="1302" spans="1:7" x14ac:dyDescent="0.3">
      <c r="A1302" s="21" t="str">
        <f>IF(A1301="","",IF(A1301+1&gt;Ввод!$B$4,"",A1301+1))</f>
        <v/>
      </c>
      <c r="B1302" s="23" t="str">
        <f>IF(A1302="","",IFERROR(INDEX(Ввод!$B$12:$B$71,MATCH(A1302,Ввод!$D$12:$D$71,1)),""))</f>
        <v/>
      </c>
      <c r="C1302" t="str">
        <f t="shared" si="40"/>
        <v/>
      </c>
      <c r="D1302" t="str">
        <f>IF(A1302="","",SUMIFS(Акты!$D$5:$D$16,Акты!$E$5:$E$16,"&lt;="&amp;A1302)-SUMIFS(Оплаты!$B$6:$B$505,Оплаты!$A$6:$A$505,"&lt;"&amp;A1302,Оплаты!$D$6:$D$505,"&lt;&gt;"))</f>
        <v/>
      </c>
      <c r="E1302" t="str">
        <f>IF(A1302="","",IF(SUMPRODUCT((Ввод!$F$12:$F$31&lt;&gt;"")*(Ввод!$F$12:$F$31&lt;=A1302)*(Ввод!$G$12:$G$31&gt;=A1302))&gt;0,1,0))</f>
        <v/>
      </c>
      <c r="G1302" t="str">
        <f t="shared" si="41"/>
        <v/>
      </c>
    </row>
    <row r="1303" spans="1:7" x14ac:dyDescent="0.3">
      <c r="A1303" s="21" t="str">
        <f>IF(A1302="","",IF(A1302+1&gt;Ввод!$B$4,"",A1302+1))</f>
        <v/>
      </c>
      <c r="B1303" s="23" t="str">
        <f>IF(A1303="","",IFERROR(INDEX(Ввод!$B$12:$B$71,MATCH(A1303,Ввод!$D$12:$D$71,1)),""))</f>
        <v/>
      </c>
      <c r="C1303" t="str">
        <f t="shared" si="40"/>
        <v/>
      </c>
      <c r="D1303" t="str">
        <f>IF(A1303="","",SUMIFS(Акты!$D$5:$D$16,Акты!$E$5:$E$16,"&lt;="&amp;A1303)-SUMIFS(Оплаты!$B$6:$B$505,Оплаты!$A$6:$A$505,"&lt;"&amp;A1303,Оплаты!$D$6:$D$505,"&lt;&gt;"))</f>
        <v/>
      </c>
      <c r="E1303" t="str">
        <f>IF(A1303="","",IF(SUMPRODUCT((Ввод!$F$12:$F$31&lt;&gt;"")*(Ввод!$F$12:$F$31&lt;=A1303)*(Ввод!$G$12:$G$31&gt;=A1303))&gt;0,1,0))</f>
        <v/>
      </c>
      <c r="G1303" t="str">
        <f t="shared" si="41"/>
        <v/>
      </c>
    </row>
    <row r="1304" spans="1:7" x14ac:dyDescent="0.3">
      <c r="A1304" s="21" t="str">
        <f>IF(A1303="","",IF(A1303+1&gt;Ввод!$B$4,"",A1303+1))</f>
        <v/>
      </c>
      <c r="B1304" s="23" t="str">
        <f>IF(A1304="","",IFERROR(INDEX(Ввод!$B$12:$B$71,MATCH(A1304,Ввод!$D$12:$D$71,1)),""))</f>
        <v/>
      </c>
      <c r="C1304" t="str">
        <f t="shared" si="40"/>
        <v/>
      </c>
      <c r="D1304" t="str">
        <f>IF(A1304="","",SUMIFS(Акты!$D$5:$D$16,Акты!$E$5:$E$16,"&lt;="&amp;A1304)-SUMIFS(Оплаты!$B$6:$B$505,Оплаты!$A$6:$A$505,"&lt;"&amp;A1304,Оплаты!$D$6:$D$505,"&lt;&gt;"))</f>
        <v/>
      </c>
      <c r="E1304" t="str">
        <f>IF(A1304="","",IF(SUMPRODUCT((Ввод!$F$12:$F$31&lt;&gt;"")*(Ввод!$F$12:$F$31&lt;=A1304)*(Ввод!$G$12:$G$31&gt;=A1304))&gt;0,1,0))</f>
        <v/>
      </c>
      <c r="G1304" t="str">
        <f t="shared" si="41"/>
        <v/>
      </c>
    </row>
    <row r="1305" spans="1:7" x14ac:dyDescent="0.3">
      <c r="A1305" s="21" t="str">
        <f>IF(A1304="","",IF(A1304+1&gt;Ввод!$B$4,"",A1304+1))</f>
        <v/>
      </c>
      <c r="B1305" s="23" t="str">
        <f>IF(A1305="","",IFERROR(INDEX(Ввод!$B$12:$B$71,MATCH(A1305,Ввод!$D$12:$D$71,1)),""))</f>
        <v/>
      </c>
      <c r="C1305" t="str">
        <f t="shared" si="40"/>
        <v/>
      </c>
      <c r="D1305" t="str">
        <f>IF(A1305="","",SUMIFS(Акты!$D$5:$D$16,Акты!$E$5:$E$16,"&lt;="&amp;A1305)-SUMIFS(Оплаты!$B$6:$B$505,Оплаты!$A$6:$A$505,"&lt;"&amp;A1305,Оплаты!$D$6:$D$505,"&lt;&gt;"))</f>
        <v/>
      </c>
      <c r="E1305" t="str">
        <f>IF(A1305="","",IF(SUMPRODUCT((Ввод!$F$12:$F$31&lt;&gt;"")*(Ввод!$F$12:$F$31&lt;=A1305)*(Ввод!$G$12:$G$31&gt;=A1305))&gt;0,1,0))</f>
        <v/>
      </c>
      <c r="G1305" t="str">
        <f t="shared" si="41"/>
        <v/>
      </c>
    </row>
    <row r="1306" spans="1:7" x14ac:dyDescent="0.3">
      <c r="A1306" s="21" t="str">
        <f>IF(A1305="","",IF(A1305+1&gt;Ввод!$B$4,"",A1305+1))</f>
        <v/>
      </c>
      <c r="B1306" s="23" t="str">
        <f>IF(A1306="","",IFERROR(INDEX(Ввод!$B$12:$B$71,MATCH(A1306,Ввод!$D$12:$D$71,1)),""))</f>
        <v/>
      </c>
      <c r="C1306" t="str">
        <f t="shared" si="40"/>
        <v/>
      </c>
      <c r="D1306" t="str">
        <f>IF(A1306="","",SUMIFS(Акты!$D$5:$D$16,Акты!$E$5:$E$16,"&lt;="&amp;A1306)-SUMIFS(Оплаты!$B$6:$B$505,Оплаты!$A$6:$A$505,"&lt;"&amp;A1306,Оплаты!$D$6:$D$505,"&lt;&gt;"))</f>
        <v/>
      </c>
      <c r="E1306" t="str">
        <f>IF(A1306="","",IF(SUMPRODUCT((Ввод!$F$12:$F$31&lt;&gt;"")*(Ввод!$F$12:$F$31&lt;=A1306)*(Ввод!$G$12:$G$31&gt;=A1306))&gt;0,1,0))</f>
        <v/>
      </c>
      <c r="G1306" t="str">
        <f t="shared" si="41"/>
        <v/>
      </c>
    </row>
    <row r="1307" spans="1:7" x14ac:dyDescent="0.3">
      <c r="A1307" s="21" t="str">
        <f>IF(A1306="","",IF(A1306+1&gt;Ввод!$B$4,"",A1306+1))</f>
        <v/>
      </c>
      <c r="B1307" s="23" t="str">
        <f>IF(A1307="","",IFERROR(INDEX(Ввод!$B$12:$B$71,MATCH(A1307,Ввод!$D$12:$D$71,1)),""))</f>
        <v/>
      </c>
      <c r="C1307" t="str">
        <f t="shared" si="40"/>
        <v/>
      </c>
      <c r="D1307" t="str">
        <f>IF(A1307="","",SUMIFS(Акты!$D$5:$D$16,Акты!$E$5:$E$16,"&lt;="&amp;A1307)-SUMIFS(Оплаты!$B$6:$B$505,Оплаты!$A$6:$A$505,"&lt;"&amp;A1307,Оплаты!$D$6:$D$505,"&lt;&gt;"))</f>
        <v/>
      </c>
      <c r="E1307" t="str">
        <f>IF(A1307="","",IF(SUMPRODUCT((Ввод!$F$12:$F$31&lt;&gt;"")*(Ввод!$F$12:$F$31&lt;=A1307)*(Ввод!$G$12:$G$31&gt;=A1307))&gt;0,1,0))</f>
        <v/>
      </c>
      <c r="G1307" t="str">
        <f t="shared" si="41"/>
        <v/>
      </c>
    </row>
    <row r="1308" spans="1:7" x14ac:dyDescent="0.3">
      <c r="A1308" s="21" t="str">
        <f>IF(A1307="","",IF(A1307+1&gt;Ввод!$B$4,"",A1307+1))</f>
        <v/>
      </c>
      <c r="B1308" s="23" t="str">
        <f>IF(A1308="","",IFERROR(INDEX(Ввод!$B$12:$B$71,MATCH(A1308,Ввод!$D$12:$D$71,1)),""))</f>
        <v/>
      </c>
      <c r="C1308" t="str">
        <f t="shared" si="40"/>
        <v/>
      </c>
      <c r="D1308" t="str">
        <f>IF(A1308="","",SUMIFS(Акты!$D$5:$D$16,Акты!$E$5:$E$16,"&lt;="&amp;A1308)-SUMIFS(Оплаты!$B$6:$B$505,Оплаты!$A$6:$A$505,"&lt;"&amp;A1308,Оплаты!$D$6:$D$505,"&lt;&gt;"))</f>
        <v/>
      </c>
      <c r="E1308" t="str">
        <f>IF(A1308="","",IF(SUMPRODUCT((Ввод!$F$12:$F$31&lt;&gt;"")*(Ввод!$F$12:$F$31&lt;=A1308)*(Ввод!$G$12:$G$31&gt;=A1308))&gt;0,1,0))</f>
        <v/>
      </c>
      <c r="G1308" t="str">
        <f t="shared" si="41"/>
        <v/>
      </c>
    </row>
    <row r="1309" spans="1:7" x14ac:dyDescent="0.3">
      <c r="A1309" s="21" t="str">
        <f>IF(A1308="","",IF(A1308+1&gt;Ввод!$B$4,"",A1308+1))</f>
        <v/>
      </c>
      <c r="B1309" s="23" t="str">
        <f>IF(A1309="","",IFERROR(INDEX(Ввод!$B$12:$B$71,MATCH(A1309,Ввод!$D$12:$D$71,1)),""))</f>
        <v/>
      </c>
      <c r="C1309" t="str">
        <f t="shared" si="40"/>
        <v/>
      </c>
      <c r="D1309" t="str">
        <f>IF(A1309="","",SUMIFS(Акты!$D$5:$D$16,Акты!$E$5:$E$16,"&lt;="&amp;A1309)-SUMIFS(Оплаты!$B$6:$B$505,Оплаты!$A$6:$A$505,"&lt;"&amp;A1309,Оплаты!$D$6:$D$505,"&lt;&gt;"))</f>
        <v/>
      </c>
      <c r="E1309" t="str">
        <f>IF(A1309="","",IF(SUMPRODUCT((Ввод!$F$12:$F$31&lt;&gt;"")*(Ввод!$F$12:$F$31&lt;=A1309)*(Ввод!$G$12:$G$31&gt;=A1309))&gt;0,1,0))</f>
        <v/>
      </c>
      <c r="G1309" t="str">
        <f t="shared" si="41"/>
        <v/>
      </c>
    </row>
    <row r="1310" spans="1:7" x14ac:dyDescent="0.3">
      <c r="A1310" s="21" t="str">
        <f>IF(A1309="","",IF(A1309+1&gt;Ввод!$B$4,"",A1309+1))</f>
        <v/>
      </c>
      <c r="B1310" s="23" t="str">
        <f>IF(A1310="","",IFERROR(INDEX(Ввод!$B$12:$B$71,MATCH(A1310,Ввод!$D$12:$D$71,1)),""))</f>
        <v/>
      </c>
      <c r="C1310" t="str">
        <f t="shared" si="40"/>
        <v/>
      </c>
      <c r="D1310" t="str">
        <f>IF(A1310="","",SUMIFS(Акты!$D$5:$D$16,Акты!$E$5:$E$16,"&lt;="&amp;A1310)-SUMIFS(Оплаты!$B$6:$B$505,Оплаты!$A$6:$A$505,"&lt;"&amp;A1310,Оплаты!$D$6:$D$505,"&lt;&gt;"))</f>
        <v/>
      </c>
      <c r="E1310" t="str">
        <f>IF(A1310="","",IF(SUMPRODUCT((Ввод!$F$12:$F$31&lt;&gt;"")*(Ввод!$F$12:$F$31&lt;=A1310)*(Ввод!$G$12:$G$31&gt;=A1310))&gt;0,1,0))</f>
        <v/>
      </c>
      <c r="G1310" t="str">
        <f t="shared" si="41"/>
        <v/>
      </c>
    </row>
    <row r="1311" spans="1:7" x14ac:dyDescent="0.3">
      <c r="A1311" s="21" t="str">
        <f>IF(A1310="","",IF(A1310+1&gt;Ввод!$B$4,"",A1310+1))</f>
        <v/>
      </c>
      <c r="B1311" s="23" t="str">
        <f>IF(A1311="","",IFERROR(INDEX(Ввод!$B$12:$B$71,MATCH(A1311,Ввод!$D$12:$D$71,1)),""))</f>
        <v/>
      </c>
      <c r="C1311" t="str">
        <f t="shared" si="40"/>
        <v/>
      </c>
      <c r="D1311" t="str">
        <f>IF(A1311="","",SUMIFS(Акты!$D$5:$D$16,Акты!$E$5:$E$16,"&lt;="&amp;A1311)-SUMIFS(Оплаты!$B$6:$B$505,Оплаты!$A$6:$A$505,"&lt;"&amp;A1311,Оплаты!$D$6:$D$505,"&lt;&gt;"))</f>
        <v/>
      </c>
      <c r="E1311" t="str">
        <f>IF(A1311="","",IF(SUMPRODUCT((Ввод!$F$12:$F$31&lt;&gt;"")*(Ввод!$F$12:$F$31&lt;=A1311)*(Ввод!$G$12:$G$31&gt;=A1311))&gt;0,1,0))</f>
        <v/>
      </c>
      <c r="G1311" t="str">
        <f t="shared" si="41"/>
        <v/>
      </c>
    </row>
    <row r="1312" spans="1:7" x14ac:dyDescent="0.3">
      <c r="A1312" s="21" t="str">
        <f>IF(A1311="","",IF(A1311+1&gt;Ввод!$B$4,"",A1311+1))</f>
        <v/>
      </c>
      <c r="B1312" s="23" t="str">
        <f>IF(A1312="","",IFERROR(INDEX(Ввод!$B$12:$B$71,MATCH(A1312,Ввод!$D$12:$D$71,1)),""))</f>
        <v/>
      </c>
      <c r="C1312" t="str">
        <f t="shared" si="40"/>
        <v/>
      </c>
      <c r="D1312" t="str">
        <f>IF(A1312="","",SUMIFS(Акты!$D$5:$D$16,Акты!$E$5:$E$16,"&lt;="&amp;A1312)-SUMIFS(Оплаты!$B$6:$B$505,Оплаты!$A$6:$A$505,"&lt;"&amp;A1312,Оплаты!$D$6:$D$505,"&lt;&gt;"))</f>
        <v/>
      </c>
      <c r="E1312" t="str">
        <f>IF(A1312="","",IF(SUMPRODUCT((Ввод!$F$12:$F$31&lt;&gt;"")*(Ввод!$F$12:$F$31&lt;=A1312)*(Ввод!$G$12:$G$31&gt;=A1312))&gt;0,1,0))</f>
        <v/>
      </c>
      <c r="G1312" t="str">
        <f t="shared" si="41"/>
        <v/>
      </c>
    </row>
    <row r="1313" spans="1:7" x14ac:dyDescent="0.3">
      <c r="A1313" s="21" t="str">
        <f>IF(A1312="","",IF(A1312+1&gt;Ввод!$B$4,"",A1312+1))</f>
        <v/>
      </c>
      <c r="B1313" s="23" t="str">
        <f>IF(A1313="","",IFERROR(INDEX(Ввод!$B$12:$B$71,MATCH(A1313,Ввод!$D$12:$D$71,1)),""))</f>
        <v/>
      </c>
      <c r="C1313" t="str">
        <f t="shared" si="40"/>
        <v/>
      </c>
      <c r="D1313" t="str">
        <f>IF(A1313="","",SUMIFS(Акты!$D$5:$D$16,Акты!$E$5:$E$16,"&lt;="&amp;A1313)-SUMIFS(Оплаты!$B$6:$B$505,Оплаты!$A$6:$A$505,"&lt;"&amp;A1313,Оплаты!$D$6:$D$505,"&lt;&gt;"))</f>
        <v/>
      </c>
      <c r="E1313" t="str">
        <f>IF(A1313="","",IF(SUMPRODUCT((Ввод!$F$12:$F$31&lt;&gt;"")*(Ввод!$F$12:$F$31&lt;=A1313)*(Ввод!$G$12:$G$31&gt;=A1313))&gt;0,1,0))</f>
        <v/>
      </c>
      <c r="G1313" t="str">
        <f t="shared" si="41"/>
        <v/>
      </c>
    </row>
    <row r="1314" spans="1:7" x14ac:dyDescent="0.3">
      <c r="A1314" s="21" t="str">
        <f>IF(A1313="","",IF(A1313+1&gt;Ввод!$B$4,"",A1313+1))</f>
        <v/>
      </c>
      <c r="B1314" s="23" t="str">
        <f>IF(A1314="","",IFERROR(INDEX(Ввод!$B$12:$B$71,MATCH(A1314,Ввод!$D$12:$D$71,1)),""))</f>
        <v/>
      </c>
      <c r="C1314" t="str">
        <f t="shared" si="40"/>
        <v/>
      </c>
      <c r="D1314" t="str">
        <f>IF(A1314="","",SUMIFS(Акты!$D$5:$D$16,Акты!$E$5:$E$16,"&lt;="&amp;A1314)-SUMIFS(Оплаты!$B$6:$B$505,Оплаты!$A$6:$A$505,"&lt;"&amp;A1314,Оплаты!$D$6:$D$505,"&lt;&gt;"))</f>
        <v/>
      </c>
      <c r="E1314" t="str">
        <f>IF(A1314="","",IF(SUMPRODUCT((Ввод!$F$12:$F$31&lt;&gt;"")*(Ввод!$F$12:$F$31&lt;=A1314)*(Ввод!$G$12:$G$31&gt;=A1314))&gt;0,1,0))</f>
        <v/>
      </c>
      <c r="G1314" t="str">
        <f t="shared" si="41"/>
        <v/>
      </c>
    </row>
    <row r="1315" spans="1:7" x14ac:dyDescent="0.3">
      <c r="A1315" s="21" t="str">
        <f>IF(A1314="","",IF(A1314+1&gt;Ввод!$B$4,"",A1314+1))</f>
        <v/>
      </c>
      <c r="B1315" s="23" t="str">
        <f>IF(A1315="","",IFERROR(INDEX(Ввод!$B$12:$B$71,MATCH(A1315,Ввод!$D$12:$D$71,1)),""))</f>
        <v/>
      </c>
      <c r="C1315" t="str">
        <f t="shared" si="40"/>
        <v/>
      </c>
      <c r="D1315" t="str">
        <f>IF(A1315="","",SUMIFS(Акты!$D$5:$D$16,Акты!$E$5:$E$16,"&lt;="&amp;A1315)-SUMIFS(Оплаты!$B$6:$B$505,Оплаты!$A$6:$A$505,"&lt;"&amp;A1315,Оплаты!$D$6:$D$505,"&lt;&gt;"))</f>
        <v/>
      </c>
      <c r="E1315" t="str">
        <f>IF(A1315="","",IF(SUMPRODUCT((Ввод!$F$12:$F$31&lt;&gt;"")*(Ввод!$F$12:$F$31&lt;=A1315)*(Ввод!$G$12:$G$31&gt;=A1315))&gt;0,1,0))</f>
        <v/>
      </c>
      <c r="G1315" t="str">
        <f t="shared" si="41"/>
        <v/>
      </c>
    </row>
    <row r="1316" spans="1:7" x14ac:dyDescent="0.3">
      <c r="A1316" s="21" t="str">
        <f>IF(A1315="","",IF(A1315+1&gt;Ввод!$B$4,"",A1315+1))</f>
        <v/>
      </c>
      <c r="B1316" s="23" t="str">
        <f>IF(A1316="","",IFERROR(INDEX(Ввод!$B$12:$B$71,MATCH(A1316,Ввод!$D$12:$D$71,1)),""))</f>
        <v/>
      </c>
      <c r="C1316" t="str">
        <f t="shared" si="40"/>
        <v/>
      </c>
      <c r="D1316" t="str">
        <f>IF(A1316="","",SUMIFS(Акты!$D$5:$D$16,Акты!$E$5:$E$16,"&lt;="&amp;A1316)-SUMIFS(Оплаты!$B$6:$B$505,Оплаты!$A$6:$A$505,"&lt;"&amp;A1316,Оплаты!$D$6:$D$505,"&lt;&gt;"))</f>
        <v/>
      </c>
      <c r="E1316" t="str">
        <f>IF(A1316="","",IF(SUMPRODUCT((Ввод!$F$12:$F$31&lt;&gt;"")*(Ввод!$F$12:$F$31&lt;=A1316)*(Ввод!$G$12:$G$31&gt;=A1316))&gt;0,1,0))</f>
        <v/>
      </c>
      <c r="G1316" t="str">
        <f t="shared" si="41"/>
        <v/>
      </c>
    </row>
    <row r="1317" spans="1:7" x14ac:dyDescent="0.3">
      <c r="A1317" s="21" t="str">
        <f>IF(A1316="","",IF(A1316+1&gt;Ввод!$B$4,"",A1316+1))</f>
        <v/>
      </c>
      <c r="B1317" s="23" t="str">
        <f>IF(A1317="","",IFERROR(INDEX(Ввод!$B$12:$B$71,MATCH(A1317,Ввод!$D$12:$D$71,1)),""))</f>
        <v/>
      </c>
      <c r="C1317" t="str">
        <f t="shared" si="40"/>
        <v/>
      </c>
      <c r="D1317" t="str">
        <f>IF(A1317="","",SUMIFS(Акты!$D$5:$D$16,Акты!$E$5:$E$16,"&lt;="&amp;A1317)-SUMIFS(Оплаты!$B$6:$B$505,Оплаты!$A$6:$A$505,"&lt;"&amp;A1317,Оплаты!$D$6:$D$505,"&lt;&gt;"))</f>
        <v/>
      </c>
      <c r="E1317" t="str">
        <f>IF(A1317="","",IF(SUMPRODUCT((Ввод!$F$12:$F$31&lt;&gt;"")*(Ввод!$F$12:$F$31&lt;=A1317)*(Ввод!$G$12:$G$31&gt;=A1317))&gt;0,1,0))</f>
        <v/>
      </c>
      <c r="G1317" t="str">
        <f t="shared" si="41"/>
        <v/>
      </c>
    </row>
    <row r="1318" spans="1:7" x14ac:dyDescent="0.3">
      <c r="A1318" s="21" t="str">
        <f>IF(A1317="","",IF(A1317+1&gt;Ввод!$B$4,"",A1317+1))</f>
        <v/>
      </c>
      <c r="B1318" s="23" t="str">
        <f>IF(A1318="","",IFERROR(INDEX(Ввод!$B$12:$B$71,MATCH(A1318,Ввод!$D$12:$D$71,1)),""))</f>
        <v/>
      </c>
      <c r="C1318" t="str">
        <f t="shared" si="40"/>
        <v/>
      </c>
      <c r="D1318" t="str">
        <f>IF(A1318="","",SUMIFS(Акты!$D$5:$D$16,Акты!$E$5:$E$16,"&lt;="&amp;A1318)-SUMIFS(Оплаты!$B$6:$B$505,Оплаты!$A$6:$A$505,"&lt;"&amp;A1318,Оплаты!$D$6:$D$505,"&lt;&gt;"))</f>
        <v/>
      </c>
      <c r="E1318" t="str">
        <f>IF(A1318="","",IF(SUMPRODUCT((Ввод!$F$12:$F$31&lt;&gt;"")*(Ввод!$F$12:$F$31&lt;=A1318)*(Ввод!$G$12:$G$31&gt;=A1318))&gt;0,1,0))</f>
        <v/>
      </c>
      <c r="G1318" t="str">
        <f t="shared" si="41"/>
        <v/>
      </c>
    </row>
    <row r="1319" spans="1:7" x14ac:dyDescent="0.3">
      <c r="A1319" s="21" t="str">
        <f>IF(A1318="","",IF(A1318+1&gt;Ввод!$B$4,"",A1318+1))</f>
        <v/>
      </c>
      <c r="B1319" s="23" t="str">
        <f>IF(A1319="","",IFERROR(INDEX(Ввод!$B$12:$B$71,MATCH(A1319,Ввод!$D$12:$D$71,1)),""))</f>
        <v/>
      </c>
      <c r="C1319" t="str">
        <f t="shared" si="40"/>
        <v/>
      </c>
      <c r="D1319" t="str">
        <f>IF(A1319="","",SUMIFS(Акты!$D$5:$D$16,Акты!$E$5:$E$16,"&lt;="&amp;A1319)-SUMIFS(Оплаты!$B$6:$B$505,Оплаты!$A$6:$A$505,"&lt;"&amp;A1319,Оплаты!$D$6:$D$505,"&lt;&gt;"))</f>
        <v/>
      </c>
      <c r="E1319" t="str">
        <f>IF(A1319="","",IF(SUMPRODUCT((Ввод!$F$12:$F$31&lt;&gt;"")*(Ввод!$F$12:$F$31&lt;=A1319)*(Ввод!$G$12:$G$31&gt;=A1319))&gt;0,1,0))</f>
        <v/>
      </c>
      <c r="G1319" t="str">
        <f t="shared" si="41"/>
        <v/>
      </c>
    </row>
    <row r="1320" spans="1:7" x14ac:dyDescent="0.3">
      <c r="A1320" s="21" t="str">
        <f>IF(A1319="","",IF(A1319+1&gt;Ввод!$B$4,"",A1319+1))</f>
        <v/>
      </c>
      <c r="B1320" s="23" t="str">
        <f>IF(A1320="","",IFERROR(INDEX(Ввод!$B$12:$B$71,MATCH(A1320,Ввод!$D$12:$D$71,1)),""))</f>
        <v/>
      </c>
      <c r="C1320" t="str">
        <f t="shared" si="40"/>
        <v/>
      </c>
      <c r="D1320" t="str">
        <f>IF(A1320="","",SUMIFS(Акты!$D$5:$D$16,Акты!$E$5:$E$16,"&lt;="&amp;A1320)-SUMIFS(Оплаты!$B$6:$B$505,Оплаты!$A$6:$A$505,"&lt;"&amp;A1320,Оплаты!$D$6:$D$505,"&lt;&gt;"))</f>
        <v/>
      </c>
      <c r="E1320" t="str">
        <f>IF(A1320="","",IF(SUMPRODUCT((Ввод!$F$12:$F$31&lt;&gt;"")*(Ввод!$F$12:$F$31&lt;=A1320)*(Ввод!$G$12:$G$31&gt;=A1320))&gt;0,1,0))</f>
        <v/>
      </c>
      <c r="G1320" t="str">
        <f t="shared" si="41"/>
        <v/>
      </c>
    </row>
    <row r="1321" spans="1:7" x14ac:dyDescent="0.3">
      <c r="A1321" s="21" t="str">
        <f>IF(A1320="","",IF(A1320+1&gt;Ввод!$B$4,"",A1320+1))</f>
        <v/>
      </c>
      <c r="B1321" s="23" t="str">
        <f>IF(A1321="","",IFERROR(INDEX(Ввод!$B$12:$B$71,MATCH(A1321,Ввод!$D$12:$D$71,1)),""))</f>
        <v/>
      </c>
      <c r="C1321" t="str">
        <f t="shared" si="40"/>
        <v/>
      </c>
      <c r="D1321" t="str">
        <f>IF(A1321="","",SUMIFS(Акты!$D$5:$D$16,Акты!$E$5:$E$16,"&lt;="&amp;A1321)-SUMIFS(Оплаты!$B$6:$B$505,Оплаты!$A$6:$A$505,"&lt;"&amp;A1321,Оплаты!$D$6:$D$505,"&lt;&gt;"))</f>
        <v/>
      </c>
      <c r="E1321" t="str">
        <f>IF(A1321="","",IF(SUMPRODUCT((Ввод!$F$12:$F$31&lt;&gt;"")*(Ввод!$F$12:$F$31&lt;=A1321)*(Ввод!$G$12:$G$31&gt;=A1321))&gt;0,1,0))</f>
        <v/>
      </c>
      <c r="G1321" t="str">
        <f t="shared" si="41"/>
        <v/>
      </c>
    </row>
    <row r="1322" spans="1:7" x14ac:dyDescent="0.3">
      <c r="A1322" s="21" t="str">
        <f>IF(A1321="","",IF(A1321+1&gt;Ввод!$B$4,"",A1321+1))</f>
        <v/>
      </c>
      <c r="B1322" s="23" t="str">
        <f>IF(A1322="","",IFERROR(INDEX(Ввод!$B$12:$B$71,MATCH(A1322,Ввод!$D$12:$D$71,1)),""))</f>
        <v/>
      </c>
      <c r="C1322" t="str">
        <f t="shared" si="40"/>
        <v/>
      </c>
      <c r="D1322" t="str">
        <f>IF(A1322="","",SUMIFS(Акты!$D$5:$D$16,Акты!$E$5:$E$16,"&lt;="&amp;A1322)-SUMIFS(Оплаты!$B$6:$B$505,Оплаты!$A$6:$A$505,"&lt;"&amp;A1322,Оплаты!$D$6:$D$505,"&lt;&gt;"))</f>
        <v/>
      </c>
      <c r="E1322" t="str">
        <f>IF(A1322="","",IF(SUMPRODUCT((Ввод!$F$12:$F$31&lt;&gt;"")*(Ввод!$F$12:$F$31&lt;=A1322)*(Ввод!$G$12:$G$31&gt;=A1322))&gt;0,1,0))</f>
        <v/>
      </c>
      <c r="G1322" t="str">
        <f t="shared" si="41"/>
        <v/>
      </c>
    </row>
    <row r="1323" spans="1:7" x14ac:dyDescent="0.3">
      <c r="A1323" s="21" t="str">
        <f>IF(A1322="","",IF(A1322+1&gt;Ввод!$B$4,"",A1322+1))</f>
        <v/>
      </c>
      <c r="B1323" s="23" t="str">
        <f>IF(A1323="","",IFERROR(INDEX(Ввод!$B$12:$B$71,MATCH(A1323,Ввод!$D$12:$D$71,1)),""))</f>
        <v/>
      </c>
      <c r="C1323" t="str">
        <f t="shared" si="40"/>
        <v/>
      </c>
      <c r="D1323" t="str">
        <f>IF(A1323="","",SUMIFS(Акты!$D$5:$D$16,Акты!$E$5:$E$16,"&lt;="&amp;A1323)-SUMIFS(Оплаты!$B$6:$B$505,Оплаты!$A$6:$A$505,"&lt;"&amp;A1323,Оплаты!$D$6:$D$505,"&lt;&gt;"))</f>
        <v/>
      </c>
      <c r="E1323" t="str">
        <f>IF(A1323="","",IF(SUMPRODUCT((Ввод!$F$12:$F$31&lt;&gt;"")*(Ввод!$F$12:$F$31&lt;=A1323)*(Ввод!$G$12:$G$31&gt;=A1323))&gt;0,1,0))</f>
        <v/>
      </c>
      <c r="G1323" t="str">
        <f t="shared" si="41"/>
        <v/>
      </c>
    </row>
    <row r="1324" spans="1:7" x14ac:dyDescent="0.3">
      <c r="A1324" s="21" t="str">
        <f>IF(A1323="","",IF(A1323+1&gt;Ввод!$B$4,"",A1323+1))</f>
        <v/>
      </c>
      <c r="B1324" s="23" t="str">
        <f>IF(A1324="","",IFERROR(INDEX(Ввод!$B$12:$B$71,MATCH(A1324,Ввод!$D$12:$D$71,1)),""))</f>
        <v/>
      </c>
      <c r="C1324" t="str">
        <f t="shared" si="40"/>
        <v/>
      </c>
      <c r="D1324" t="str">
        <f>IF(A1324="","",SUMIFS(Акты!$D$5:$D$16,Акты!$E$5:$E$16,"&lt;="&amp;A1324)-SUMIFS(Оплаты!$B$6:$B$505,Оплаты!$A$6:$A$505,"&lt;"&amp;A1324,Оплаты!$D$6:$D$505,"&lt;&gt;"))</f>
        <v/>
      </c>
      <c r="E1324" t="str">
        <f>IF(A1324="","",IF(SUMPRODUCT((Ввод!$F$12:$F$31&lt;&gt;"")*(Ввод!$F$12:$F$31&lt;=A1324)*(Ввод!$G$12:$G$31&gt;=A1324))&gt;0,1,0))</f>
        <v/>
      </c>
      <c r="G1324" t="str">
        <f t="shared" si="41"/>
        <v/>
      </c>
    </row>
    <row r="1325" spans="1:7" x14ac:dyDescent="0.3">
      <c r="A1325" s="21" t="str">
        <f>IF(A1324="","",IF(A1324+1&gt;Ввод!$B$4,"",A1324+1))</f>
        <v/>
      </c>
      <c r="B1325" s="23" t="str">
        <f>IF(A1325="","",IFERROR(INDEX(Ввод!$B$12:$B$71,MATCH(A1325,Ввод!$D$12:$D$71,1)),""))</f>
        <v/>
      </c>
      <c r="C1325" t="str">
        <f t="shared" si="40"/>
        <v/>
      </c>
      <c r="D1325" t="str">
        <f>IF(A1325="","",SUMIFS(Акты!$D$5:$D$16,Акты!$E$5:$E$16,"&lt;="&amp;A1325)-SUMIFS(Оплаты!$B$6:$B$505,Оплаты!$A$6:$A$505,"&lt;"&amp;A1325,Оплаты!$D$6:$D$505,"&lt;&gt;"))</f>
        <v/>
      </c>
      <c r="E1325" t="str">
        <f>IF(A1325="","",IF(SUMPRODUCT((Ввод!$F$12:$F$31&lt;&gt;"")*(Ввод!$F$12:$F$31&lt;=A1325)*(Ввод!$G$12:$G$31&gt;=A1325))&gt;0,1,0))</f>
        <v/>
      </c>
      <c r="G1325" t="str">
        <f t="shared" si="41"/>
        <v/>
      </c>
    </row>
    <row r="1326" spans="1:7" x14ac:dyDescent="0.3">
      <c r="A1326" s="21" t="str">
        <f>IF(A1325="","",IF(A1325+1&gt;Ввод!$B$4,"",A1325+1))</f>
        <v/>
      </c>
      <c r="B1326" s="23" t="str">
        <f>IF(A1326="","",IFERROR(INDEX(Ввод!$B$12:$B$71,MATCH(A1326,Ввод!$D$12:$D$71,1)),""))</f>
        <v/>
      </c>
      <c r="C1326" t="str">
        <f t="shared" si="40"/>
        <v/>
      </c>
      <c r="D1326" t="str">
        <f>IF(A1326="","",SUMIFS(Акты!$D$5:$D$16,Акты!$E$5:$E$16,"&lt;="&amp;A1326)-SUMIFS(Оплаты!$B$6:$B$505,Оплаты!$A$6:$A$505,"&lt;"&amp;A1326,Оплаты!$D$6:$D$505,"&lt;&gt;"))</f>
        <v/>
      </c>
      <c r="E1326" t="str">
        <f>IF(A1326="","",IF(SUMPRODUCT((Ввод!$F$12:$F$31&lt;&gt;"")*(Ввод!$F$12:$F$31&lt;=A1326)*(Ввод!$G$12:$G$31&gt;=A1326))&gt;0,1,0))</f>
        <v/>
      </c>
      <c r="G1326" t="str">
        <f t="shared" si="41"/>
        <v/>
      </c>
    </row>
    <row r="1327" spans="1:7" x14ac:dyDescent="0.3">
      <c r="A1327" s="21" t="str">
        <f>IF(A1326="","",IF(A1326+1&gt;Ввод!$B$4,"",A1326+1))</f>
        <v/>
      </c>
      <c r="B1327" s="23" t="str">
        <f>IF(A1327="","",IFERROR(INDEX(Ввод!$B$12:$B$71,MATCH(A1327,Ввод!$D$12:$D$71,1)),""))</f>
        <v/>
      </c>
      <c r="C1327" t="str">
        <f t="shared" si="40"/>
        <v/>
      </c>
      <c r="D1327" t="str">
        <f>IF(A1327="","",SUMIFS(Акты!$D$5:$D$16,Акты!$E$5:$E$16,"&lt;="&amp;A1327)-SUMIFS(Оплаты!$B$6:$B$505,Оплаты!$A$6:$A$505,"&lt;"&amp;A1327,Оплаты!$D$6:$D$505,"&lt;&gt;"))</f>
        <v/>
      </c>
      <c r="E1327" t="str">
        <f>IF(A1327="","",IF(SUMPRODUCT((Ввод!$F$12:$F$31&lt;&gt;"")*(Ввод!$F$12:$F$31&lt;=A1327)*(Ввод!$G$12:$G$31&gt;=A1327))&gt;0,1,0))</f>
        <v/>
      </c>
      <c r="G1327" t="str">
        <f t="shared" si="41"/>
        <v/>
      </c>
    </row>
    <row r="1328" spans="1:7" x14ac:dyDescent="0.3">
      <c r="A1328" s="21" t="str">
        <f>IF(A1327="","",IF(A1327+1&gt;Ввод!$B$4,"",A1327+1))</f>
        <v/>
      </c>
      <c r="B1328" s="23" t="str">
        <f>IF(A1328="","",IFERROR(INDEX(Ввод!$B$12:$B$71,MATCH(A1328,Ввод!$D$12:$D$71,1)),""))</f>
        <v/>
      </c>
      <c r="C1328" t="str">
        <f t="shared" si="40"/>
        <v/>
      </c>
      <c r="D1328" t="str">
        <f>IF(A1328="","",SUMIFS(Акты!$D$5:$D$16,Акты!$E$5:$E$16,"&lt;="&amp;A1328)-SUMIFS(Оплаты!$B$6:$B$505,Оплаты!$A$6:$A$505,"&lt;"&amp;A1328,Оплаты!$D$6:$D$505,"&lt;&gt;"))</f>
        <v/>
      </c>
      <c r="E1328" t="str">
        <f>IF(A1328="","",IF(SUMPRODUCT((Ввод!$F$12:$F$31&lt;&gt;"")*(Ввод!$F$12:$F$31&lt;=A1328)*(Ввод!$G$12:$G$31&gt;=A1328))&gt;0,1,0))</f>
        <v/>
      </c>
      <c r="G1328" t="str">
        <f t="shared" si="41"/>
        <v/>
      </c>
    </row>
    <row r="1329" spans="1:7" x14ac:dyDescent="0.3">
      <c r="A1329" s="21" t="str">
        <f>IF(A1328="","",IF(A1328+1&gt;Ввод!$B$4,"",A1328+1))</f>
        <v/>
      </c>
      <c r="B1329" s="23" t="str">
        <f>IF(A1329="","",IFERROR(INDEX(Ввод!$B$12:$B$71,MATCH(A1329,Ввод!$D$12:$D$71,1)),""))</f>
        <v/>
      </c>
      <c r="C1329" t="str">
        <f t="shared" si="40"/>
        <v/>
      </c>
      <c r="D1329" t="str">
        <f>IF(A1329="","",SUMIFS(Акты!$D$5:$D$16,Акты!$E$5:$E$16,"&lt;="&amp;A1329)-SUMIFS(Оплаты!$B$6:$B$505,Оплаты!$A$6:$A$505,"&lt;"&amp;A1329,Оплаты!$D$6:$D$505,"&lt;&gt;"))</f>
        <v/>
      </c>
      <c r="E1329" t="str">
        <f>IF(A1329="","",IF(SUMPRODUCT((Ввод!$F$12:$F$31&lt;&gt;"")*(Ввод!$F$12:$F$31&lt;=A1329)*(Ввод!$G$12:$G$31&gt;=A1329))&gt;0,1,0))</f>
        <v/>
      </c>
      <c r="G1329" t="str">
        <f t="shared" si="41"/>
        <v/>
      </c>
    </row>
    <row r="1330" spans="1:7" x14ac:dyDescent="0.3">
      <c r="A1330" s="21" t="str">
        <f>IF(A1329="","",IF(A1329+1&gt;Ввод!$B$4,"",A1329+1))</f>
        <v/>
      </c>
      <c r="B1330" s="23" t="str">
        <f>IF(A1330="","",IFERROR(INDEX(Ввод!$B$12:$B$71,MATCH(A1330,Ввод!$D$12:$D$71,1)),""))</f>
        <v/>
      </c>
      <c r="C1330" t="str">
        <f t="shared" si="40"/>
        <v/>
      </c>
      <c r="D1330" t="str">
        <f>IF(A1330="","",SUMIFS(Акты!$D$5:$D$16,Акты!$E$5:$E$16,"&lt;="&amp;A1330)-SUMIFS(Оплаты!$B$6:$B$505,Оплаты!$A$6:$A$505,"&lt;"&amp;A1330,Оплаты!$D$6:$D$505,"&lt;&gt;"))</f>
        <v/>
      </c>
      <c r="E1330" t="str">
        <f>IF(A1330="","",IF(SUMPRODUCT((Ввод!$F$12:$F$31&lt;&gt;"")*(Ввод!$F$12:$F$31&lt;=A1330)*(Ввод!$G$12:$G$31&gt;=A1330))&gt;0,1,0))</f>
        <v/>
      </c>
      <c r="G1330" t="str">
        <f t="shared" si="41"/>
        <v/>
      </c>
    </row>
    <row r="1331" spans="1:7" x14ac:dyDescent="0.3">
      <c r="A1331" s="21" t="str">
        <f>IF(A1330="","",IF(A1330+1&gt;Ввод!$B$4,"",A1330+1))</f>
        <v/>
      </c>
      <c r="B1331" s="23" t="str">
        <f>IF(A1331="","",IFERROR(INDEX(Ввод!$B$12:$B$71,MATCH(A1331,Ввод!$D$12:$D$71,1)),""))</f>
        <v/>
      </c>
      <c r="C1331" t="str">
        <f t="shared" si="40"/>
        <v/>
      </c>
      <c r="D1331" t="str">
        <f>IF(A1331="","",SUMIFS(Акты!$D$5:$D$16,Акты!$E$5:$E$16,"&lt;="&amp;A1331)-SUMIFS(Оплаты!$B$6:$B$505,Оплаты!$A$6:$A$505,"&lt;"&amp;A1331,Оплаты!$D$6:$D$505,"&lt;&gt;"))</f>
        <v/>
      </c>
      <c r="E1331" t="str">
        <f>IF(A1331="","",IF(SUMPRODUCT((Ввод!$F$12:$F$31&lt;&gt;"")*(Ввод!$F$12:$F$31&lt;=A1331)*(Ввод!$G$12:$G$31&gt;=A1331))&gt;0,1,0))</f>
        <v/>
      </c>
      <c r="G1331" t="str">
        <f t="shared" si="41"/>
        <v/>
      </c>
    </row>
    <row r="1332" spans="1:7" x14ac:dyDescent="0.3">
      <c r="A1332" s="21" t="str">
        <f>IF(A1331="","",IF(A1331+1&gt;Ввод!$B$4,"",A1331+1))</f>
        <v/>
      </c>
      <c r="B1332" s="23" t="str">
        <f>IF(A1332="","",IFERROR(INDEX(Ввод!$B$12:$B$71,MATCH(A1332,Ввод!$D$12:$D$71,1)),""))</f>
        <v/>
      </c>
      <c r="C1332" t="str">
        <f t="shared" si="40"/>
        <v/>
      </c>
      <c r="D1332" t="str">
        <f>IF(A1332="","",SUMIFS(Акты!$D$5:$D$16,Акты!$E$5:$E$16,"&lt;="&amp;A1332)-SUMIFS(Оплаты!$B$6:$B$505,Оплаты!$A$6:$A$505,"&lt;"&amp;A1332,Оплаты!$D$6:$D$505,"&lt;&gt;"))</f>
        <v/>
      </c>
      <c r="E1332" t="str">
        <f>IF(A1332="","",IF(SUMPRODUCT((Ввод!$F$12:$F$31&lt;&gt;"")*(Ввод!$F$12:$F$31&lt;=A1332)*(Ввод!$G$12:$G$31&gt;=A1332))&gt;0,1,0))</f>
        <v/>
      </c>
      <c r="G1332" t="str">
        <f t="shared" si="41"/>
        <v/>
      </c>
    </row>
    <row r="1333" spans="1:7" x14ac:dyDescent="0.3">
      <c r="A1333" s="21" t="str">
        <f>IF(A1332="","",IF(A1332+1&gt;Ввод!$B$4,"",A1332+1))</f>
        <v/>
      </c>
      <c r="B1333" s="23" t="str">
        <f>IF(A1333="","",IFERROR(INDEX(Ввод!$B$12:$B$71,MATCH(A1333,Ввод!$D$12:$D$71,1)),""))</f>
        <v/>
      </c>
      <c r="C1333" t="str">
        <f t="shared" si="40"/>
        <v/>
      </c>
      <c r="D1333" t="str">
        <f>IF(A1333="","",SUMIFS(Акты!$D$5:$D$16,Акты!$E$5:$E$16,"&lt;="&amp;A1333)-SUMIFS(Оплаты!$B$6:$B$505,Оплаты!$A$6:$A$505,"&lt;"&amp;A1333,Оплаты!$D$6:$D$505,"&lt;&gt;"))</f>
        <v/>
      </c>
      <c r="E1333" t="str">
        <f>IF(A1333="","",IF(SUMPRODUCT((Ввод!$F$12:$F$31&lt;&gt;"")*(Ввод!$F$12:$F$31&lt;=A1333)*(Ввод!$G$12:$G$31&gt;=A1333))&gt;0,1,0))</f>
        <v/>
      </c>
      <c r="G1333" t="str">
        <f t="shared" si="41"/>
        <v/>
      </c>
    </row>
    <row r="1334" spans="1:7" x14ac:dyDescent="0.3">
      <c r="A1334" s="21" t="str">
        <f>IF(A1333="","",IF(A1333+1&gt;Ввод!$B$4,"",A1333+1))</f>
        <v/>
      </c>
      <c r="B1334" s="23" t="str">
        <f>IF(A1334="","",IFERROR(INDEX(Ввод!$B$12:$B$71,MATCH(A1334,Ввод!$D$12:$D$71,1)),""))</f>
        <v/>
      </c>
      <c r="C1334" t="str">
        <f t="shared" si="40"/>
        <v/>
      </c>
      <c r="D1334" t="str">
        <f>IF(A1334="","",SUMIFS(Акты!$D$5:$D$16,Акты!$E$5:$E$16,"&lt;="&amp;A1334)-SUMIFS(Оплаты!$B$6:$B$505,Оплаты!$A$6:$A$505,"&lt;"&amp;A1334,Оплаты!$D$6:$D$505,"&lt;&gt;"))</f>
        <v/>
      </c>
      <c r="E1334" t="str">
        <f>IF(A1334="","",IF(SUMPRODUCT((Ввод!$F$12:$F$31&lt;&gt;"")*(Ввод!$F$12:$F$31&lt;=A1334)*(Ввод!$G$12:$G$31&gt;=A1334))&gt;0,1,0))</f>
        <v/>
      </c>
      <c r="G1334" t="str">
        <f t="shared" si="41"/>
        <v/>
      </c>
    </row>
    <row r="1335" spans="1:7" x14ac:dyDescent="0.3">
      <c r="A1335" s="21" t="str">
        <f>IF(A1334="","",IF(A1334+1&gt;Ввод!$B$4,"",A1334+1))</f>
        <v/>
      </c>
      <c r="B1335" s="23" t="str">
        <f>IF(A1335="","",IFERROR(INDEX(Ввод!$B$12:$B$71,MATCH(A1335,Ввод!$D$12:$D$71,1)),""))</f>
        <v/>
      </c>
      <c r="C1335" t="str">
        <f t="shared" si="40"/>
        <v/>
      </c>
      <c r="D1335" t="str">
        <f>IF(A1335="","",SUMIFS(Акты!$D$5:$D$16,Акты!$E$5:$E$16,"&lt;="&amp;A1335)-SUMIFS(Оплаты!$B$6:$B$505,Оплаты!$A$6:$A$505,"&lt;"&amp;A1335,Оплаты!$D$6:$D$505,"&lt;&gt;"))</f>
        <v/>
      </c>
      <c r="E1335" t="str">
        <f>IF(A1335="","",IF(SUMPRODUCT((Ввод!$F$12:$F$31&lt;&gt;"")*(Ввод!$F$12:$F$31&lt;=A1335)*(Ввод!$G$12:$G$31&gt;=A1335))&gt;0,1,0))</f>
        <v/>
      </c>
      <c r="G1335" t="str">
        <f t="shared" si="41"/>
        <v/>
      </c>
    </row>
    <row r="1336" spans="1:7" x14ac:dyDescent="0.3">
      <c r="A1336" s="21" t="str">
        <f>IF(A1335="","",IF(A1335+1&gt;Ввод!$B$4,"",A1335+1))</f>
        <v/>
      </c>
      <c r="B1336" s="23" t="str">
        <f>IF(A1336="","",IFERROR(INDEX(Ввод!$B$12:$B$71,MATCH(A1336,Ввод!$D$12:$D$71,1)),""))</f>
        <v/>
      </c>
      <c r="C1336" t="str">
        <f t="shared" si="40"/>
        <v/>
      </c>
      <c r="D1336" t="str">
        <f>IF(A1336="","",SUMIFS(Акты!$D$5:$D$16,Акты!$E$5:$E$16,"&lt;="&amp;A1336)-SUMIFS(Оплаты!$B$6:$B$505,Оплаты!$A$6:$A$505,"&lt;"&amp;A1336,Оплаты!$D$6:$D$505,"&lt;&gt;"))</f>
        <v/>
      </c>
      <c r="E1336" t="str">
        <f>IF(A1336="","",IF(SUMPRODUCT((Ввод!$F$12:$F$31&lt;&gt;"")*(Ввод!$F$12:$F$31&lt;=A1336)*(Ввод!$G$12:$G$31&gt;=A1336))&gt;0,1,0))</f>
        <v/>
      </c>
      <c r="G1336" t="str">
        <f t="shared" si="41"/>
        <v/>
      </c>
    </row>
    <row r="1337" spans="1:7" x14ac:dyDescent="0.3">
      <c r="A1337" s="21" t="str">
        <f>IF(A1336="","",IF(A1336+1&gt;Ввод!$B$4,"",A1336+1))</f>
        <v/>
      </c>
      <c r="B1337" s="23" t="str">
        <f>IF(A1337="","",IFERROR(INDEX(Ввод!$B$12:$B$71,MATCH(A1337,Ввод!$D$12:$D$71,1)),""))</f>
        <v/>
      </c>
      <c r="C1337" t="str">
        <f t="shared" si="40"/>
        <v/>
      </c>
      <c r="D1337" t="str">
        <f>IF(A1337="","",SUMIFS(Акты!$D$5:$D$16,Акты!$E$5:$E$16,"&lt;="&amp;A1337)-SUMIFS(Оплаты!$B$6:$B$505,Оплаты!$A$6:$A$505,"&lt;"&amp;A1337,Оплаты!$D$6:$D$505,"&lt;&gt;"))</f>
        <v/>
      </c>
      <c r="E1337" t="str">
        <f>IF(A1337="","",IF(SUMPRODUCT((Ввод!$F$12:$F$31&lt;&gt;"")*(Ввод!$F$12:$F$31&lt;=A1337)*(Ввод!$G$12:$G$31&gt;=A1337))&gt;0,1,0))</f>
        <v/>
      </c>
      <c r="G1337" t="str">
        <f t="shared" si="41"/>
        <v/>
      </c>
    </row>
    <row r="1338" spans="1:7" x14ac:dyDescent="0.3">
      <c r="A1338" s="21" t="str">
        <f>IF(A1337="","",IF(A1337+1&gt;Ввод!$B$4,"",A1337+1))</f>
        <v/>
      </c>
      <c r="B1338" s="23" t="str">
        <f>IF(A1338="","",IFERROR(INDEX(Ввод!$B$12:$B$71,MATCH(A1338,Ввод!$D$12:$D$71,1)),""))</f>
        <v/>
      </c>
      <c r="C1338" t="str">
        <f t="shared" si="40"/>
        <v/>
      </c>
      <c r="D1338" t="str">
        <f>IF(A1338="","",SUMIFS(Акты!$D$5:$D$16,Акты!$E$5:$E$16,"&lt;="&amp;A1338)-SUMIFS(Оплаты!$B$6:$B$505,Оплаты!$A$6:$A$505,"&lt;"&amp;A1338,Оплаты!$D$6:$D$505,"&lt;&gt;"))</f>
        <v/>
      </c>
      <c r="E1338" t="str">
        <f>IF(A1338="","",IF(SUMPRODUCT((Ввод!$F$12:$F$31&lt;&gt;"")*(Ввод!$F$12:$F$31&lt;=A1338)*(Ввод!$G$12:$G$31&gt;=A1338))&gt;0,1,0))</f>
        <v/>
      </c>
      <c r="G1338" t="str">
        <f t="shared" si="41"/>
        <v/>
      </c>
    </row>
    <row r="1339" spans="1:7" x14ac:dyDescent="0.3">
      <c r="A1339" s="21" t="str">
        <f>IF(A1338="","",IF(A1338+1&gt;Ввод!$B$4,"",A1338+1))</f>
        <v/>
      </c>
      <c r="B1339" s="23" t="str">
        <f>IF(A1339="","",IFERROR(INDEX(Ввод!$B$12:$B$71,MATCH(A1339,Ввод!$D$12:$D$71,1)),""))</f>
        <v/>
      </c>
      <c r="C1339" t="str">
        <f t="shared" si="40"/>
        <v/>
      </c>
      <c r="D1339" t="str">
        <f>IF(A1339="","",SUMIFS(Акты!$D$5:$D$16,Акты!$E$5:$E$16,"&lt;="&amp;A1339)-SUMIFS(Оплаты!$B$6:$B$505,Оплаты!$A$6:$A$505,"&lt;"&amp;A1339,Оплаты!$D$6:$D$505,"&lt;&gt;"))</f>
        <v/>
      </c>
      <c r="E1339" t="str">
        <f>IF(A1339="","",IF(SUMPRODUCT((Ввод!$F$12:$F$31&lt;&gt;"")*(Ввод!$F$12:$F$31&lt;=A1339)*(Ввод!$G$12:$G$31&gt;=A1339))&gt;0,1,0))</f>
        <v/>
      </c>
      <c r="G1339" t="str">
        <f t="shared" si="41"/>
        <v/>
      </c>
    </row>
    <row r="1340" spans="1:7" x14ac:dyDescent="0.3">
      <c r="A1340" s="21" t="str">
        <f>IF(A1339="","",IF(A1339+1&gt;Ввод!$B$4,"",A1339+1))</f>
        <v/>
      </c>
      <c r="B1340" s="23" t="str">
        <f>IF(A1340="","",IFERROR(INDEX(Ввод!$B$12:$B$71,MATCH(A1340,Ввод!$D$12:$D$71,1)),""))</f>
        <v/>
      </c>
      <c r="C1340" t="str">
        <f t="shared" si="40"/>
        <v/>
      </c>
      <c r="D1340" t="str">
        <f>IF(A1340="","",SUMIFS(Акты!$D$5:$D$16,Акты!$E$5:$E$16,"&lt;="&amp;A1340)-SUMIFS(Оплаты!$B$6:$B$505,Оплаты!$A$6:$A$505,"&lt;"&amp;A1340,Оплаты!$D$6:$D$505,"&lt;&gt;"))</f>
        <v/>
      </c>
      <c r="E1340" t="str">
        <f>IF(A1340="","",IF(SUMPRODUCT((Ввод!$F$12:$F$31&lt;&gt;"")*(Ввод!$F$12:$F$31&lt;=A1340)*(Ввод!$G$12:$G$31&gt;=A1340))&gt;0,1,0))</f>
        <v/>
      </c>
      <c r="G1340" t="str">
        <f t="shared" si="41"/>
        <v/>
      </c>
    </row>
    <row r="1341" spans="1:7" x14ac:dyDescent="0.3">
      <c r="A1341" s="21" t="str">
        <f>IF(A1340="","",IF(A1340+1&gt;Ввод!$B$4,"",A1340+1))</f>
        <v/>
      </c>
      <c r="B1341" s="23" t="str">
        <f>IF(A1341="","",IFERROR(INDEX(Ввод!$B$12:$B$71,MATCH(A1341,Ввод!$D$12:$D$71,1)),""))</f>
        <v/>
      </c>
      <c r="C1341" t="str">
        <f t="shared" si="40"/>
        <v/>
      </c>
      <c r="D1341" t="str">
        <f>IF(A1341="","",SUMIFS(Акты!$D$5:$D$16,Акты!$E$5:$E$16,"&lt;="&amp;A1341)-SUMIFS(Оплаты!$B$6:$B$505,Оплаты!$A$6:$A$505,"&lt;"&amp;A1341,Оплаты!$D$6:$D$505,"&lt;&gt;"))</f>
        <v/>
      </c>
      <c r="E1341" t="str">
        <f>IF(A1341="","",IF(SUMPRODUCT((Ввод!$F$12:$F$31&lt;&gt;"")*(Ввод!$F$12:$F$31&lt;=A1341)*(Ввод!$G$12:$G$31&gt;=A1341))&gt;0,1,0))</f>
        <v/>
      </c>
      <c r="G1341" t="str">
        <f t="shared" si="41"/>
        <v/>
      </c>
    </row>
    <row r="1342" spans="1:7" x14ac:dyDescent="0.3">
      <c r="A1342" s="21" t="str">
        <f>IF(A1341="","",IF(A1341+1&gt;Ввод!$B$4,"",A1341+1))</f>
        <v/>
      </c>
      <c r="B1342" s="23" t="str">
        <f>IF(A1342="","",IFERROR(INDEX(Ввод!$B$12:$B$71,MATCH(A1342,Ввод!$D$12:$D$71,1)),""))</f>
        <v/>
      </c>
      <c r="C1342" t="str">
        <f t="shared" si="40"/>
        <v/>
      </c>
      <c r="D1342" t="str">
        <f>IF(A1342="","",SUMIFS(Акты!$D$5:$D$16,Акты!$E$5:$E$16,"&lt;="&amp;A1342)-SUMIFS(Оплаты!$B$6:$B$505,Оплаты!$A$6:$A$505,"&lt;"&amp;A1342,Оплаты!$D$6:$D$505,"&lt;&gt;"))</f>
        <v/>
      </c>
      <c r="E1342" t="str">
        <f>IF(A1342="","",IF(SUMPRODUCT((Ввод!$F$12:$F$31&lt;&gt;"")*(Ввод!$F$12:$F$31&lt;=A1342)*(Ввод!$G$12:$G$31&gt;=A1342))&gt;0,1,0))</f>
        <v/>
      </c>
      <c r="G1342" t="str">
        <f t="shared" si="41"/>
        <v/>
      </c>
    </row>
    <row r="1343" spans="1:7" x14ac:dyDescent="0.3">
      <c r="A1343" s="21" t="str">
        <f>IF(A1342="","",IF(A1342+1&gt;Ввод!$B$4,"",A1342+1))</f>
        <v/>
      </c>
      <c r="B1343" s="23" t="str">
        <f>IF(A1343="","",IFERROR(INDEX(Ввод!$B$12:$B$71,MATCH(A1343,Ввод!$D$12:$D$71,1)),""))</f>
        <v/>
      </c>
      <c r="C1343" t="str">
        <f t="shared" si="40"/>
        <v/>
      </c>
      <c r="D1343" t="str">
        <f>IF(A1343="","",SUMIFS(Акты!$D$5:$D$16,Акты!$E$5:$E$16,"&lt;="&amp;A1343)-SUMIFS(Оплаты!$B$6:$B$505,Оплаты!$A$6:$A$505,"&lt;"&amp;A1343,Оплаты!$D$6:$D$505,"&lt;&gt;"))</f>
        <v/>
      </c>
      <c r="E1343" t="str">
        <f>IF(A1343="","",IF(SUMPRODUCT((Ввод!$F$12:$F$31&lt;&gt;"")*(Ввод!$F$12:$F$31&lt;=A1343)*(Ввод!$G$12:$G$31&gt;=A1343))&gt;0,1,0))</f>
        <v/>
      </c>
      <c r="G1343" t="str">
        <f t="shared" si="41"/>
        <v/>
      </c>
    </row>
    <row r="1344" spans="1:7" x14ac:dyDescent="0.3">
      <c r="A1344" s="21" t="str">
        <f>IF(A1343="","",IF(A1343+1&gt;Ввод!$B$4,"",A1343+1))</f>
        <v/>
      </c>
      <c r="B1344" s="23" t="str">
        <f>IF(A1344="","",IFERROR(INDEX(Ввод!$B$12:$B$71,MATCH(A1344,Ввод!$D$12:$D$71,1)),""))</f>
        <v/>
      </c>
      <c r="C1344" t="str">
        <f t="shared" si="40"/>
        <v/>
      </c>
      <c r="D1344" t="str">
        <f>IF(A1344="","",SUMIFS(Акты!$D$5:$D$16,Акты!$E$5:$E$16,"&lt;="&amp;A1344)-SUMIFS(Оплаты!$B$6:$B$505,Оплаты!$A$6:$A$505,"&lt;"&amp;A1344,Оплаты!$D$6:$D$505,"&lt;&gt;"))</f>
        <v/>
      </c>
      <c r="E1344" t="str">
        <f>IF(A1344="","",IF(SUMPRODUCT((Ввод!$F$12:$F$31&lt;&gt;"")*(Ввод!$F$12:$F$31&lt;=A1344)*(Ввод!$G$12:$G$31&gt;=A1344))&gt;0,1,0))</f>
        <v/>
      </c>
      <c r="G1344" t="str">
        <f t="shared" si="41"/>
        <v/>
      </c>
    </row>
    <row r="1345" spans="1:7" x14ac:dyDescent="0.3">
      <c r="A1345" s="21" t="str">
        <f>IF(A1344="","",IF(A1344+1&gt;Ввод!$B$4,"",A1344+1))</f>
        <v/>
      </c>
      <c r="B1345" s="23" t="str">
        <f>IF(A1345="","",IFERROR(INDEX(Ввод!$B$12:$B$71,MATCH(A1345,Ввод!$D$12:$D$71,1)),""))</f>
        <v/>
      </c>
      <c r="C1345" t="str">
        <f t="shared" si="40"/>
        <v/>
      </c>
      <c r="D1345" t="str">
        <f>IF(A1345="","",SUMIFS(Акты!$D$5:$D$16,Акты!$E$5:$E$16,"&lt;="&amp;A1345)-SUMIFS(Оплаты!$B$6:$B$505,Оплаты!$A$6:$A$505,"&lt;"&amp;A1345,Оплаты!$D$6:$D$505,"&lt;&gt;"))</f>
        <v/>
      </c>
      <c r="E1345" t="str">
        <f>IF(A1345="","",IF(SUMPRODUCT((Ввод!$F$12:$F$31&lt;&gt;"")*(Ввод!$F$12:$F$31&lt;=A1345)*(Ввод!$G$12:$G$31&gt;=A1345))&gt;0,1,0))</f>
        <v/>
      </c>
      <c r="G1345" t="str">
        <f t="shared" si="41"/>
        <v/>
      </c>
    </row>
    <row r="1346" spans="1:7" x14ac:dyDescent="0.3">
      <c r="A1346" s="21" t="str">
        <f>IF(A1345="","",IF(A1345+1&gt;Ввод!$B$4,"",A1345+1))</f>
        <v/>
      </c>
      <c r="B1346" s="23" t="str">
        <f>IF(A1346="","",IFERROR(INDEX(Ввод!$B$12:$B$71,MATCH(A1346,Ввод!$D$12:$D$71,1)),""))</f>
        <v/>
      </c>
      <c r="C1346" t="str">
        <f t="shared" ref="C1346:C1409" si="42">IF(A1346="","",DATE(YEAR(A1346),12,31)-DATE(YEAR(A1346),1,1)+1)</f>
        <v/>
      </c>
      <c r="D1346" t="str">
        <f>IF(A1346="","",SUMIFS(Акты!$D$5:$D$16,Акты!$E$5:$E$16,"&lt;="&amp;A1346)-SUMIFS(Оплаты!$B$6:$B$505,Оплаты!$A$6:$A$505,"&lt;"&amp;A1346,Оплаты!$D$6:$D$505,"&lt;&gt;"))</f>
        <v/>
      </c>
      <c r="E1346" t="str">
        <f>IF(A1346="","",IF(SUMPRODUCT((Ввод!$F$12:$F$31&lt;&gt;"")*(Ввод!$F$12:$F$31&lt;=A1346)*(Ввод!$G$12:$G$31&gt;=A1346))&gt;0,1,0))</f>
        <v/>
      </c>
      <c r="G1346" t="str">
        <f t="shared" si="41"/>
        <v/>
      </c>
    </row>
    <row r="1347" spans="1:7" x14ac:dyDescent="0.3">
      <c r="A1347" s="21" t="str">
        <f>IF(A1346="","",IF(A1346+1&gt;Ввод!$B$4,"",A1346+1))</f>
        <v/>
      </c>
      <c r="B1347" s="23" t="str">
        <f>IF(A1347="","",IFERROR(INDEX(Ввод!$B$12:$B$71,MATCH(A1347,Ввод!$D$12:$D$71,1)),""))</f>
        <v/>
      </c>
      <c r="C1347" t="str">
        <f t="shared" si="42"/>
        <v/>
      </c>
      <c r="D1347" t="str">
        <f>IF(A1347="","",SUMIFS(Акты!$D$5:$D$16,Акты!$E$5:$E$16,"&lt;="&amp;A1347)-SUMIFS(Оплаты!$B$6:$B$505,Оплаты!$A$6:$A$505,"&lt;"&amp;A1347,Оплаты!$D$6:$D$505,"&lt;&gt;"))</f>
        <v/>
      </c>
      <c r="E1347" t="str">
        <f>IF(A1347="","",IF(SUMPRODUCT((Ввод!$F$12:$F$31&lt;&gt;"")*(Ввод!$F$12:$F$31&lt;=A1347)*(Ввод!$G$12:$G$31&gt;=A1347))&gt;0,1,0))</f>
        <v/>
      </c>
      <c r="G1347" t="str">
        <f t="shared" ref="G1347:G1410" si="43">IF(A1347="","",IF(OR(B1347&lt;&gt;B1346,C1347&lt;&gt;C1346,E1347&lt;&gt;E1346),G1346+1,G1346))</f>
        <v/>
      </c>
    </row>
    <row r="1348" spans="1:7" x14ac:dyDescent="0.3">
      <c r="A1348" s="21" t="str">
        <f>IF(A1347="","",IF(A1347+1&gt;Ввод!$B$4,"",A1347+1))</f>
        <v/>
      </c>
      <c r="B1348" s="23" t="str">
        <f>IF(A1348="","",IFERROR(INDEX(Ввод!$B$12:$B$71,MATCH(A1348,Ввод!$D$12:$D$71,1)),""))</f>
        <v/>
      </c>
      <c r="C1348" t="str">
        <f t="shared" si="42"/>
        <v/>
      </c>
      <c r="D1348" t="str">
        <f>IF(A1348="","",SUMIFS(Акты!$D$5:$D$16,Акты!$E$5:$E$16,"&lt;="&amp;A1348)-SUMIFS(Оплаты!$B$6:$B$505,Оплаты!$A$6:$A$505,"&lt;"&amp;A1348,Оплаты!$D$6:$D$505,"&lt;&gt;"))</f>
        <v/>
      </c>
      <c r="E1348" t="str">
        <f>IF(A1348="","",IF(SUMPRODUCT((Ввод!$F$12:$F$31&lt;&gt;"")*(Ввод!$F$12:$F$31&lt;=A1348)*(Ввод!$G$12:$G$31&gt;=A1348))&gt;0,1,0))</f>
        <v/>
      </c>
      <c r="G1348" t="str">
        <f t="shared" si="43"/>
        <v/>
      </c>
    </row>
    <row r="1349" spans="1:7" x14ac:dyDescent="0.3">
      <c r="A1349" s="21" t="str">
        <f>IF(A1348="","",IF(A1348+1&gt;Ввод!$B$4,"",A1348+1))</f>
        <v/>
      </c>
      <c r="B1349" s="23" t="str">
        <f>IF(A1349="","",IFERROR(INDEX(Ввод!$B$12:$B$71,MATCH(A1349,Ввод!$D$12:$D$71,1)),""))</f>
        <v/>
      </c>
      <c r="C1349" t="str">
        <f t="shared" si="42"/>
        <v/>
      </c>
      <c r="D1349" t="str">
        <f>IF(A1349="","",SUMIFS(Акты!$D$5:$D$16,Акты!$E$5:$E$16,"&lt;="&amp;A1349)-SUMIFS(Оплаты!$B$6:$B$505,Оплаты!$A$6:$A$505,"&lt;"&amp;A1349,Оплаты!$D$6:$D$505,"&lt;&gt;"))</f>
        <v/>
      </c>
      <c r="E1349" t="str">
        <f>IF(A1349="","",IF(SUMPRODUCT((Ввод!$F$12:$F$31&lt;&gt;"")*(Ввод!$F$12:$F$31&lt;=A1349)*(Ввод!$G$12:$G$31&gt;=A1349))&gt;0,1,0))</f>
        <v/>
      </c>
      <c r="G1349" t="str">
        <f t="shared" si="43"/>
        <v/>
      </c>
    </row>
    <row r="1350" spans="1:7" x14ac:dyDescent="0.3">
      <c r="A1350" s="21" t="str">
        <f>IF(A1349="","",IF(A1349+1&gt;Ввод!$B$4,"",A1349+1))</f>
        <v/>
      </c>
      <c r="B1350" s="23" t="str">
        <f>IF(A1350="","",IFERROR(INDEX(Ввод!$B$12:$B$71,MATCH(A1350,Ввод!$D$12:$D$71,1)),""))</f>
        <v/>
      </c>
      <c r="C1350" t="str">
        <f t="shared" si="42"/>
        <v/>
      </c>
      <c r="D1350" t="str">
        <f>IF(A1350="","",SUMIFS(Акты!$D$5:$D$16,Акты!$E$5:$E$16,"&lt;="&amp;A1350)-SUMIFS(Оплаты!$B$6:$B$505,Оплаты!$A$6:$A$505,"&lt;"&amp;A1350,Оплаты!$D$6:$D$505,"&lt;&gt;"))</f>
        <v/>
      </c>
      <c r="E1350" t="str">
        <f>IF(A1350="","",IF(SUMPRODUCT((Ввод!$F$12:$F$31&lt;&gt;"")*(Ввод!$F$12:$F$31&lt;=A1350)*(Ввод!$G$12:$G$31&gt;=A1350))&gt;0,1,0))</f>
        <v/>
      </c>
      <c r="G1350" t="str">
        <f t="shared" si="43"/>
        <v/>
      </c>
    </row>
    <row r="1351" spans="1:7" x14ac:dyDescent="0.3">
      <c r="A1351" s="21" t="str">
        <f>IF(A1350="","",IF(A1350+1&gt;Ввод!$B$4,"",A1350+1))</f>
        <v/>
      </c>
      <c r="B1351" s="23" t="str">
        <f>IF(A1351="","",IFERROR(INDEX(Ввод!$B$12:$B$71,MATCH(A1351,Ввод!$D$12:$D$71,1)),""))</f>
        <v/>
      </c>
      <c r="C1351" t="str">
        <f t="shared" si="42"/>
        <v/>
      </c>
      <c r="D1351" t="str">
        <f>IF(A1351="","",SUMIFS(Акты!$D$5:$D$16,Акты!$E$5:$E$16,"&lt;="&amp;A1351)-SUMIFS(Оплаты!$B$6:$B$505,Оплаты!$A$6:$A$505,"&lt;"&amp;A1351,Оплаты!$D$6:$D$505,"&lt;&gt;"))</f>
        <v/>
      </c>
      <c r="E1351" t="str">
        <f>IF(A1351="","",IF(SUMPRODUCT((Ввод!$F$12:$F$31&lt;&gt;"")*(Ввод!$F$12:$F$31&lt;=A1351)*(Ввод!$G$12:$G$31&gt;=A1351))&gt;0,1,0))</f>
        <v/>
      </c>
      <c r="G1351" t="str">
        <f t="shared" si="43"/>
        <v/>
      </c>
    </row>
    <row r="1352" spans="1:7" x14ac:dyDescent="0.3">
      <c r="A1352" s="21" t="str">
        <f>IF(A1351="","",IF(A1351+1&gt;Ввод!$B$4,"",A1351+1))</f>
        <v/>
      </c>
      <c r="B1352" s="23" t="str">
        <f>IF(A1352="","",IFERROR(INDEX(Ввод!$B$12:$B$71,MATCH(A1352,Ввод!$D$12:$D$71,1)),""))</f>
        <v/>
      </c>
      <c r="C1352" t="str">
        <f t="shared" si="42"/>
        <v/>
      </c>
      <c r="D1352" t="str">
        <f>IF(A1352="","",SUMIFS(Акты!$D$5:$D$16,Акты!$E$5:$E$16,"&lt;="&amp;A1352)-SUMIFS(Оплаты!$B$6:$B$505,Оплаты!$A$6:$A$505,"&lt;"&amp;A1352,Оплаты!$D$6:$D$505,"&lt;&gt;"))</f>
        <v/>
      </c>
      <c r="E1352" t="str">
        <f>IF(A1352="","",IF(SUMPRODUCT((Ввод!$F$12:$F$31&lt;&gt;"")*(Ввод!$F$12:$F$31&lt;=A1352)*(Ввод!$G$12:$G$31&gt;=A1352))&gt;0,1,0))</f>
        <v/>
      </c>
      <c r="G1352" t="str">
        <f t="shared" si="43"/>
        <v/>
      </c>
    </row>
    <row r="1353" spans="1:7" x14ac:dyDescent="0.3">
      <c r="A1353" s="21" t="str">
        <f>IF(A1352="","",IF(A1352+1&gt;Ввод!$B$4,"",A1352+1))</f>
        <v/>
      </c>
      <c r="B1353" s="23" t="str">
        <f>IF(A1353="","",IFERROR(INDEX(Ввод!$B$12:$B$71,MATCH(A1353,Ввод!$D$12:$D$71,1)),""))</f>
        <v/>
      </c>
      <c r="C1353" t="str">
        <f t="shared" si="42"/>
        <v/>
      </c>
      <c r="D1353" t="str">
        <f>IF(A1353="","",SUMIFS(Акты!$D$5:$D$16,Акты!$E$5:$E$16,"&lt;="&amp;A1353)-SUMIFS(Оплаты!$B$6:$B$505,Оплаты!$A$6:$A$505,"&lt;"&amp;A1353,Оплаты!$D$6:$D$505,"&lt;&gt;"))</f>
        <v/>
      </c>
      <c r="E1353" t="str">
        <f>IF(A1353="","",IF(SUMPRODUCT((Ввод!$F$12:$F$31&lt;&gt;"")*(Ввод!$F$12:$F$31&lt;=A1353)*(Ввод!$G$12:$G$31&gt;=A1353))&gt;0,1,0))</f>
        <v/>
      </c>
      <c r="G1353" t="str">
        <f t="shared" si="43"/>
        <v/>
      </c>
    </row>
    <row r="1354" spans="1:7" x14ac:dyDescent="0.3">
      <c r="A1354" s="21" t="str">
        <f>IF(A1353="","",IF(A1353+1&gt;Ввод!$B$4,"",A1353+1))</f>
        <v/>
      </c>
      <c r="B1354" s="23" t="str">
        <f>IF(A1354="","",IFERROR(INDEX(Ввод!$B$12:$B$71,MATCH(A1354,Ввод!$D$12:$D$71,1)),""))</f>
        <v/>
      </c>
      <c r="C1354" t="str">
        <f t="shared" si="42"/>
        <v/>
      </c>
      <c r="D1354" t="str">
        <f>IF(A1354="","",SUMIFS(Акты!$D$5:$D$16,Акты!$E$5:$E$16,"&lt;="&amp;A1354)-SUMIFS(Оплаты!$B$6:$B$505,Оплаты!$A$6:$A$505,"&lt;"&amp;A1354,Оплаты!$D$6:$D$505,"&lt;&gt;"))</f>
        <v/>
      </c>
      <c r="E1354" t="str">
        <f>IF(A1354="","",IF(SUMPRODUCT((Ввод!$F$12:$F$31&lt;&gt;"")*(Ввод!$F$12:$F$31&lt;=A1354)*(Ввод!$G$12:$G$31&gt;=A1354))&gt;0,1,0))</f>
        <v/>
      </c>
      <c r="G1354" t="str">
        <f t="shared" si="43"/>
        <v/>
      </c>
    </row>
    <row r="1355" spans="1:7" x14ac:dyDescent="0.3">
      <c r="A1355" s="21" t="str">
        <f>IF(A1354="","",IF(A1354+1&gt;Ввод!$B$4,"",A1354+1))</f>
        <v/>
      </c>
      <c r="B1355" s="23" t="str">
        <f>IF(A1355="","",IFERROR(INDEX(Ввод!$B$12:$B$71,MATCH(A1355,Ввод!$D$12:$D$71,1)),""))</f>
        <v/>
      </c>
      <c r="C1355" t="str">
        <f t="shared" si="42"/>
        <v/>
      </c>
      <c r="D1355" t="str">
        <f>IF(A1355="","",SUMIFS(Акты!$D$5:$D$16,Акты!$E$5:$E$16,"&lt;="&amp;A1355)-SUMIFS(Оплаты!$B$6:$B$505,Оплаты!$A$6:$A$505,"&lt;"&amp;A1355,Оплаты!$D$6:$D$505,"&lt;&gt;"))</f>
        <v/>
      </c>
      <c r="E1355" t="str">
        <f>IF(A1355="","",IF(SUMPRODUCT((Ввод!$F$12:$F$31&lt;&gt;"")*(Ввод!$F$12:$F$31&lt;=A1355)*(Ввод!$G$12:$G$31&gt;=A1355))&gt;0,1,0))</f>
        <v/>
      </c>
      <c r="G1355" t="str">
        <f t="shared" si="43"/>
        <v/>
      </c>
    </row>
    <row r="1356" spans="1:7" x14ac:dyDescent="0.3">
      <c r="A1356" s="21" t="str">
        <f>IF(A1355="","",IF(A1355+1&gt;Ввод!$B$4,"",A1355+1))</f>
        <v/>
      </c>
      <c r="B1356" s="23" t="str">
        <f>IF(A1356="","",IFERROR(INDEX(Ввод!$B$12:$B$71,MATCH(A1356,Ввод!$D$12:$D$71,1)),""))</f>
        <v/>
      </c>
      <c r="C1356" t="str">
        <f t="shared" si="42"/>
        <v/>
      </c>
      <c r="D1356" t="str">
        <f>IF(A1356="","",SUMIFS(Акты!$D$5:$D$16,Акты!$E$5:$E$16,"&lt;="&amp;A1356)-SUMIFS(Оплаты!$B$6:$B$505,Оплаты!$A$6:$A$505,"&lt;"&amp;A1356,Оплаты!$D$6:$D$505,"&lt;&gt;"))</f>
        <v/>
      </c>
      <c r="E1356" t="str">
        <f>IF(A1356="","",IF(SUMPRODUCT((Ввод!$F$12:$F$31&lt;&gt;"")*(Ввод!$F$12:$F$31&lt;=A1356)*(Ввод!$G$12:$G$31&gt;=A1356))&gt;0,1,0))</f>
        <v/>
      </c>
      <c r="G1356" t="str">
        <f t="shared" si="43"/>
        <v/>
      </c>
    </row>
    <row r="1357" spans="1:7" x14ac:dyDescent="0.3">
      <c r="A1357" s="21" t="str">
        <f>IF(A1356="","",IF(A1356+1&gt;Ввод!$B$4,"",A1356+1))</f>
        <v/>
      </c>
      <c r="B1357" s="23" t="str">
        <f>IF(A1357="","",IFERROR(INDEX(Ввод!$B$12:$B$71,MATCH(A1357,Ввод!$D$12:$D$71,1)),""))</f>
        <v/>
      </c>
      <c r="C1357" t="str">
        <f t="shared" si="42"/>
        <v/>
      </c>
      <c r="D1357" t="str">
        <f>IF(A1357="","",SUMIFS(Акты!$D$5:$D$16,Акты!$E$5:$E$16,"&lt;="&amp;A1357)-SUMIFS(Оплаты!$B$6:$B$505,Оплаты!$A$6:$A$505,"&lt;"&amp;A1357,Оплаты!$D$6:$D$505,"&lt;&gt;"))</f>
        <v/>
      </c>
      <c r="E1357" t="str">
        <f>IF(A1357="","",IF(SUMPRODUCT((Ввод!$F$12:$F$31&lt;&gt;"")*(Ввод!$F$12:$F$31&lt;=A1357)*(Ввод!$G$12:$G$31&gt;=A1357))&gt;0,1,0))</f>
        <v/>
      </c>
      <c r="G1357" t="str">
        <f t="shared" si="43"/>
        <v/>
      </c>
    </row>
    <row r="1358" spans="1:7" x14ac:dyDescent="0.3">
      <c r="A1358" s="21" t="str">
        <f>IF(A1357="","",IF(A1357+1&gt;Ввод!$B$4,"",A1357+1))</f>
        <v/>
      </c>
      <c r="B1358" s="23" t="str">
        <f>IF(A1358="","",IFERROR(INDEX(Ввод!$B$12:$B$71,MATCH(A1358,Ввод!$D$12:$D$71,1)),""))</f>
        <v/>
      </c>
      <c r="C1358" t="str">
        <f t="shared" si="42"/>
        <v/>
      </c>
      <c r="D1358" t="str">
        <f>IF(A1358="","",SUMIFS(Акты!$D$5:$D$16,Акты!$E$5:$E$16,"&lt;="&amp;A1358)-SUMIFS(Оплаты!$B$6:$B$505,Оплаты!$A$6:$A$505,"&lt;"&amp;A1358,Оплаты!$D$6:$D$505,"&lt;&gt;"))</f>
        <v/>
      </c>
      <c r="E1358" t="str">
        <f>IF(A1358="","",IF(SUMPRODUCT((Ввод!$F$12:$F$31&lt;&gt;"")*(Ввод!$F$12:$F$31&lt;=A1358)*(Ввод!$G$12:$G$31&gt;=A1358))&gt;0,1,0))</f>
        <v/>
      </c>
      <c r="G1358" t="str">
        <f t="shared" si="43"/>
        <v/>
      </c>
    </row>
    <row r="1359" spans="1:7" x14ac:dyDescent="0.3">
      <c r="A1359" s="21" t="str">
        <f>IF(A1358="","",IF(A1358+1&gt;Ввод!$B$4,"",A1358+1))</f>
        <v/>
      </c>
      <c r="B1359" s="23" t="str">
        <f>IF(A1359="","",IFERROR(INDEX(Ввод!$B$12:$B$71,MATCH(A1359,Ввод!$D$12:$D$71,1)),""))</f>
        <v/>
      </c>
      <c r="C1359" t="str">
        <f t="shared" si="42"/>
        <v/>
      </c>
      <c r="D1359" t="str">
        <f>IF(A1359="","",SUMIFS(Акты!$D$5:$D$16,Акты!$E$5:$E$16,"&lt;="&amp;A1359)-SUMIFS(Оплаты!$B$6:$B$505,Оплаты!$A$6:$A$505,"&lt;"&amp;A1359,Оплаты!$D$6:$D$505,"&lt;&gt;"))</f>
        <v/>
      </c>
      <c r="E1359" t="str">
        <f>IF(A1359="","",IF(SUMPRODUCT((Ввод!$F$12:$F$31&lt;&gt;"")*(Ввод!$F$12:$F$31&lt;=A1359)*(Ввод!$G$12:$G$31&gt;=A1359))&gt;0,1,0))</f>
        <v/>
      </c>
      <c r="G1359" t="str">
        <f t="shared" si="43"/>
        <v/>
      </c>
    </row>
    <row r="1360" spans="1:7" x14ac:dyDescent="0.3">
      <c r="A1360" s="21" t="str">
        <f>IF(A1359="","",IF(A1359+1&gt;Ввод!$B$4,"",A1359+1))</f>
        <v/>
      </c>
      <c r="B1360" s="23" t="str">
        <f>IF(A1360="","",IFERROR(INDEX(Ввод!$B$12:$B$71,MATCH(A1360,Ввод!$D$12:$D$71,1)),""))</f>
        <v/>
      </c>
      <c r="C1360" t="str">
        <f t="shared" si="42"/>
        <v/>
      </c>
      <c r="D1360" t="str">
        <f>IF(A1360="","",SUMIFS(Акты!$D$5:$D$16,Акты!$E$5:$E$16,"&lt;="&amp;A1360)-SUMIFS(Оплаты!$B$6:$B$505,Оплаты!$A$6:$A$505,"&lt;"&amp;A1360,Оплаты!$D$6:$D$505,"&lt;&gt;"))</f>
        <v/>
      </c>
      <c r="E1360" t="str">
        <f>IF(A1360="","",IF(SUMPRODUCT((Ввод!$F$12:$F$31&lt;&gt;"")*(Ввод!$F$12:$F$31&lt;=A1360)*(Ввод!$G$12:$G$31&gt;=A1360))&gt;0,1,0))</f>
        <v/>
      </c>
      <c r="G1360" t="str">
        <f t="shared" si="43"/>
        <v/>
      </c>
    </row>
    <row r="1361" spans="1:7" x14ac:dyDescent="0.3">
      <c r="A1361" s="21" t="str">
        <f>IF(A1360="","",IF(A1360+1&gt;Ввод!$B$4,"",A1360+1))</f>
        <v/>
      </c>
      <c r="B1361" s="23" t="str">
        <f>IF(A1361="","",IFERROR(INDEX(Ввод!$B$12:$B$71,MATCH(A1361,Ввод!$D$12:$D$71,1)),""))</f>
        <v/>
      </c>
      <c r="C1361" t="str">
        <f t="shared" si="42"/>
        <v/>
      </c>
      <c r="D1361" t="str">
        <f>IF(A1361="","",SUMIFS(Акты!$D$5:$D$16,Акты!$E$5:$E$16,"&lt;="&amp;A1361)-SUMIFS(Оплаты!$B$6:$B$505,Оплаты!$A$6:$A$505,"&lt;"&amp;A1361,Оплаты!$D$6:$D$505,"&lt;&gt;"))</f>
        <v/>
      </c>
      <c r="E1361" t="str">
        <f>IF(A1361="","",IF(SUMPRODUCT((Ввод!$F$12:$F$31&lt;&gt;"")*(Ввод!$F$12:$F$31&lt;=A1361)*(Ввод!$G$12:$G$31&gt;=A1361))&gt;0,1,0))</f>
        <v/>
      </c>
      <c r="G1361" t="str">
        <f t="shared" si="43"/>
        <v/>
      </c>
    </row>
    <row r="1362" spans="1:7" x14ac:dyDescent="0.3">
      <c r="A1362" s="21" t="str">
        <f>IF(A1361="","",IF(A1361+1&gt;Ввод!$B$4,"",A1361+1))</f>
        <v/>
      </c>
      <c r="B1362" s="23" t="str">
        <f>IF(A1362="","",IFERROR(INDEX(Ввод!$B$12:$B$71,MATCH(A1362,Ввод!$D$12:$D$71,1)),""))</f>
        <v/>
      </c>
      <c r="C1362" t="str">
        <f t="shared" si="42"/>
        <v/>
      </c>
      <c r="D1362" t="str">
        <f>IF(A1362="","",SUMIFS(Акты!$D$5:$D$16,Акты!$E$5:$E$16,"&lt;="&amp;A1362)-SUMIFS(Оплаты!$B$6:$B$505,Оплаты!$A$6:$A$505,"&lt;"&amp;A1362,Оплаты!$D$6:$D$505,"&lt;&gt;"))</f>
        <v/>
      </c>
      <c r="E1362" t="str">
        <f>IF(A1362="","",IF(SUMPRODUCT((Ввод!$F$12:$F$31&lt;&gt;"")*(Ввод!$F$12:$F$31&lt;=A1362)*(Ввод!$G$12:$G$31&gt;=A1362))&gt;0,1,0))</f>
        <v/>
      </c>
      <c r="G1362" t="str">
        <f t="shared" si="43"/>
        <v/>
      </c>
    </row>
    <row r="1363" spans="1:7" x14ac:dyDescent="0.3">
      <c r="A1363" s="21" t="str">
        <f>IF(A1362="","",IF(A1362+1&gt;Ввод!$B$4,"",A1362+1))</f>
        <v/>
      </c>
      <c r="B1363" s="23" t="str">
        <f>IF(A1363="","",IFERROR(INDEX(Ввод!$B$12:$B$71,MATCH(A1363,Ввод!$D$12:$D$71,1)),""))</f>
        <v/>
      </c>
      <c r="C1363" t="str">
        <f t="shared" si="42"/>
        <v/>
      </c>
      <c r="D1363" t="str">
        <f>IF(A1363="","",SUMIFS(Акты!$D$5:$D$16,Акты!$E$5:$E$16,"&lt;="&amp;A1363)-SUMIFS(Оплаты!$B$6:$B$505,Оплаты!$A$6:$A$505,"&lt;"&amp;A1363,Оплаты!$D$6:$D$505,"&lt;&gt;"))</f>
        <v/>
      </c>
      <c r="E1363" t="str">
        <f>IF(A1363="","",IF(SUMPRODUCT((Ввод!$F$12:$F$31&lt;&gt;"")*(Ввод!$F$12:$F$31&lt;=A1363)*(Ввод!$G$12:$G$31&gt;=A1363))&gt;0,1,0))</f>
        <v/>
      </c>
      <c r="G1363" t="str">
        <f t="shared" si="43"/>
        <v/>
      </c>
    </row>
    <row r="1364" spans="1:7" x14ac:dyDescent="0.3">
      <c r="A1364" s="21" t="str">
        <f>IF(A1363="","",IF(A1363+1&gt;Ввод!$B$4,"",A1363+1))</f>
        <v/>
      </c>
      <c r="B1364" s="23" t="str">
        <f>IF(A1364="","",IFERROR(INDEX(Ввод!$B$12:$B$71,MATCH(A1364,Ввод!$D$12:$D$71,1)),""))</f>
        <v/>
      </c>
      <c r="C1364" t="str">
        <f t="shared" si="42"/>
        <v/>
      </c>
      <c r="D1364" t="str">
        <f>IF(A1364="","",SUMIFS(Акты!$D$5:$D$16,Акты!$E$5:$E$16,"&lt;="&amp;A1364)-SUMIFS(Оплаты!$B$6:$B$505,Оплаты!$A$6:$A$505,"&lt;"&amp;A1364,Оплаты!$D$6:$D$505,"&lt;&gt;"))</f>
        <v/>
      </c>
      <c r="E1364" t="str">
        <f>IF(A1364="","",IF(SUMPRODUCT((Ввод!$F$12:$F$31&lt;&gt;"")*(Ввод!$F$12:$F$31&lt;=A1364)*(Ввод!$G$12:$G$31&gt;=A1364))&gt;0,1,0))</f>
        <v/>
      </c>
      <c r="G1364" t="str">
        <f t="shared" si="43"/>
        <v/>
      </c>
    </row>
    <row r="1365" spans="1:7" x14ac:dyDescent="0.3">
      <c r="A1365" s="21" t="str">
        <f>IF(A1364="","",IF(A1364+1&gt;Ввод!$B$4,"",A1364+1))</f>
        <v/>
      </c>
      <c r="B1365" s="23" t="str">
        <f>IF(A1365="","",IFERROR(INDEX(Ввод!$B$12:$B$71,MATCH(A1365,Ввод!$D$12:$D$71,1)),""))</f>
        <v/>
      </c>
      <c r="C1365" t="str">
        <f t="shared" si="42"/>
        <v/>
      </c>
      <c r="D1365" t="str">
        <f>IF(A1365="","",SUMIFS(Акты!$D$5:$D$16,Акты!$E$5:$E$16,"&lt;="&amp;A1365)-SUMIFS(Оплаты!$B$6:$B$505,Оплаты!$A$6:$A$505,"&lt;"&amp;A1365,Оплаты!$D$6:$D$505,"&lt;&gt;"))</f>
        <v/>
      </c>
      <c r="E1365" t="str">
        <f>IF(A1365="","",IF(SUMPRODUCT((Ввод!$F$12:$F$31&lt;&gt;"")*(Ввод!$F$12:$F$31&lt;=A1365)*(Ввод!$G$12:$G$31&gt;=A1365))&gt;0,1,0))</f>
        <v/>
      </c>
      <c r="G1365" t="str">
        <f t="shared" si="43"/>
        <v/>
      </c>
    </row>
    <row r="1366" spans="1:7" x14ac:dyDescent="0.3">
      <c r="A1366" s="21" t="str">
        <f>IF(A1365="","",IF(A1365+1&gt;Ввод!$B$4,"",A1365+1))</f>
        <v/>
      </c>
      <c r="B1366" s="23" t="str">
        <f>IF(A1366="","",IFERROR(INDEX(Ввод!$B$12:$B$71,MATCH(A1366,Ввод!$D$12:$D$71,1)),""))</f>
        <v/>
      </c>
      <c r="C1366" t="str">
        <f t="shared" si="42"/>
        <v/>
      </c>
      <c r="D1366" t="str">
        <f>IF(A1366="","",SUMIFS(Акты!$D$5:$D$16,Акты!$E$5:$E$16,"&lt;="&amp;A1366)-SUMIFS(Оплаты!$B$6:$B$505,Оплаты!$A$6:$A$505,"&lt;"&amp;A1366,Оплаты!$D$6:$D$505,"&lt;&gt;"))</f>
        <v/>
      </c>
      <c r="E1366" t="str">
        <f>IF(A1366="","",IF(SUMPRODUCT((Ввод!$F$12:$F$31&lt;&gt;"")*(Ввод!$F$12:$F$31&lt;=A1366)*(Ввод!$G$12:$G$31&gt;=A1366))&gt;0,1,0))</f>
        <v/>
      </c>
      <c r="G1366" t="str">
        <f t="shared" si="43"/>
        <v/>
      </c>
    </row>
    <row r="1367" spans="1:7" x14ac:dyDescent="0.3">
      <c r="A1367" s="21" t="str">
        <f>IF(A1366="","",IF(A1366+1&gt;Ввод!$B$4,"",A1366+1))</f>
        <v/>
      </c>
      <c r="B1367" s="23" t="str">
        <f>IF(A1367="","",IFERROR(INDEX(Ввод!$B$12:$B$71,MATCH(A1367,Ввод!$D$12:$D$71,1)),""))</f>
        <v/>
      </c>
      <c r="C1367" t="str">
        <f t="shared" si="42"/>
        <v/>
      </c>
      <c r="D1367" t="str">
        <f>IF(A1367="","",SUMIFS(Акты!$D$5:$D$16,Акты!$E$5:$E$16,"&lt;="&amp;A1367)-SUMIFS(Оплаты!$B$6:$B$505,Оплаты!$A$6:$A$505,"&lt;"&amp;A1367,Оплаты!$D$6:$D$505,"&lt;&gt;"))</f>
        <v/>
      </c>
      <c r="E1367" t="str">
        <f>IF(A1367="","",IF(SUMPRODUCT((Ввод!$F$12:$F$31&lt;&gt;"")*(Ввод!$F$12:$F$31&lt;=A1367)*(Ввод!$G$12:$G$31&gt;=A1367))&gt;0,1,0))</f>
        <v/>
      </c>
      <c r="G1367" t="str">
        <f t="shared" si="43"/>
        <v/>
      </c>
    </row>
    <row r="1368" spans="1:7" x14ac:dyDescent="0.3">
      <c r="A1368" s="21" t="str">
        <f>IF(A1367="","",IF(A1367+1&gt;Ввод!$B$4,"",A1367+1))</f>
        <v/>
      </c>
      <c r="B1368" s="23" t="str">
        <f>IF(A1368="","",IFERROR(INDEX(Ввод!$B$12:$B$71,MATCH(A1368,Ввод!$D$12:$D$71,1)),""))</f>
        <v/>
      </c>
      <c r="C1368" t="str">
        <f t="shared" si="42"/>
        <v/>
      </c>
      <c r="D1368" t="str">
        <f>IF(A1368="","",SUMIFS(Акты!$D$5:$D$16,Акты!$E$5:$E$16,"&lt;="&amp;A1368)-SUMIFS(Оплаты!$B$6:$B$505,Оплаты!$A$6:$A$505,"&lt;"&amp;A1368,Оплаты!$D$6:$D$505,"&lt;&gt;"))</f>
        <v/>
      </c>
      <c r="E1368" t="str">
        <f>IF(A1368="","",IF(SUMPRODUCT((Ввод!$F$12:$F$31&lt;&gt;"")*(Ввод!$F$12:$F$31&lt;=A1368)*(Ввод!$G$12:$G$31&gt;=A1368))&gt;0,1,0))</f>
        <v/>
      </c>
      <c r="G1368" t="str">
        <f t="shared" si="43"/>
        <v/>
      </c>
    </row>
    <row r="1369" spans="1:7" x14ac:dyDescent="0.3">
      <c r="A1369" s="21" t="str">
        <f>IF(A1368="","",IF(A1368+1&gt;Ввод!$B$4,"",A1368+1))</f>
        <v/>
      </c>
      <c r="B1369" s="23" t="str">
        <f>IF(A1369="","",IFERROR(INDEX(Ввод!$B$12:$B$71,MATCH(A1369,Ввод!$D$12:$D$71,1)),""))</f>
        <v/>
      </c>
      <c r="C1369" t="str">
        <f t="shared" si="42"/>
        <v/>
      </c>
      <c r="D1369" t="str">
        <f>IF(A1369="","",SUMIFS(Акты!$D$5:$D$16,Акты!$E$5:$E$16,"&lt;="&amp;A1369)-SUMIFS(Оплаты!$B$6:$B$505,Оплаты!$A$6:$A$505,"&lt;"&amp;A1369,Оплаты!$D$6:$D$505,"&lt;&gt;"))</f>
        <v/>
      </c>
      <c r="E1369" t="str">
        <f>IF(A1369="","",IF(SUMPRODUCT((Ввод!$F$12:$F$31&lt;&gt;"")*(Ввод!$F$12:$F$31&lt;=A1369)*(Ввод!$G$12:$G$31&gt;=A1369))&gt;0,1,0))</f>
        <v/>
      </c>
      <c r="G1369" t="str">
        <f t="shared" si="43"/>
        <v/>
      </c>
    </row>
    <row r="1370" spans="1:7" x14ac:dyDescent="0.3">
      <c r="A1370" s="21" t="str">
        <f>IF(A1369="","",IF(A1369+1&gt;Ввод!$B$4,"",A1369+1))</f>
        <v/>
      </c>
      <c r="B1370" s="23" t="str">
        <f>IF(A1370="","",IFERROR(INDEX(Ввод!$B$12:$B$71,MATCH(A1370,Ввод!$D$12:$D$71,1)),""))</f>
        <v/>
      </c>
      <c r="C1370" t="str">
        <f t="shared" si="42"/>
        <v/>
      </c>
      <c r="D1370" t="str">
        <f>IF(A1370="","",SUMIFS(Акты!$D$5:$D$16,Акты!$E$5:$E$16,"&lt;="&amp;A1370)-SUMIFS(Оплаты!$B$6:$B$505,Оплаты!$A$6:$A$505,"&lt;"&amp;A1370,Оплаты!$D$6:$D$505,"&lt;&gt;"))</f>
        <v/>
      </c>
      <c r="E1370" t="str">
        <f>IF(A1370="","",IF(SUMPRODUCT((Ввод!$F$12:$F$31&lt;&gt;"")*(Ввод!$F$12:$F$31&lt;=A1370)*(Ввод!$G$12:$G$31&gt;=A1370))&gt;0,1,0))</f>
        <v/>
      </c>
      <c r="G1370" t="str">
        <f t="shared" si="43"/>
        <v/>
      </c>
    </row>
    <row r="1371" spans="1:7" x14ac:dyDescent="0.3">
      <c r="A1371" s="21" t="str">
        <f>IF(A1370="","",IF(A1370+1&gt;Ввод!$B$4,"",A1370+1))</f>
        <v/>
      </c>
      <c r="B1371" s="23" t="str">
        <f>IF(A1371="","",IFERROR(INDEX(Ввод!$B$12:$B$71,MATCH(A1371,Ввод!$D$12:$D$71,1)),""))</f>
        <v/>
      </c>
      <c r="C1371" t="str">
        <f t="shared" si="42"/>
        <v/>
      </c>
      <c r="D1371" t="str">
        <f>IF(A1371="","",SUMIFS(Акты!$D$5:$D$16,Акты!$E$5:$E$16,"&lt;="&amp;A1371)-SUMIFS(Оплаты!$B$6:$B$505,Оплаты!$A$6:$A$505,"&lt;"&amp;A1371,Оплаты!$D$6:$D$505,"&lt;&gt;"))</f>
        <v/>
      </c>
      <c r="E1371" t="str">
        <f>IF(A1371="","",IF(SUMPRODUCT((Ввод!$F$12:$F$31&lt;&gt;"")*(Ввод!$F$12:$F$31&lt;=A1371)*(Ввод!$G$12:$G$31&gt;=A1371))&gt;0,1,0))</f>
        <v/>
      </c>
      <c r="G1371" t="str">
        <f t="shared" si="43"/>
        <v/>
      </c>
    </row>
    <row r="1372" spans="1:7" x14ac:dyDescent="0.3">
      <c r="A1372" s="21" t="str">
        <f>IF(A1371="","",IF(A1371+1&gt;Ввод!$B$4,"",A1371+1))</f>
        <v/>
      </c>
      <c r="B1372" s="23" t="str">
        <f>IF(A1372="","",IFERROR(INDEX(Ввод!$B$12:$B$71,MATCH(A1372,Ввод!$D$12:$D$71,1)),""))</f>
        <v/>
      </c>
      <c r="C1372" t="str">
        <f t="shared" si="42"/>
        <v/>
      </c>
      <c r="D1372" t="str">
        <f>IF(A1372="","",SUMIFS(Акты!$D$5:$D$16,Акты!$E$5:$E$16,"&lt;="&amp;A1372)-SUMIFS(Оплаты!$B$6:$B$505,Оплаты!$A$6:$A$505,"&lt;"&amp;A1372,Оплаты!$D$6:$D$505,"&lt;&gt;"))</f>
        <v/>
      </c>
      <c r="E1372" t="str">
        <f>IF(A1372="","",IF(SUMPRODUCT((Ввод!$F$12:$F$31&lt;&gt;"")*(Ввод!$F$12:$F$31&lt;=A1372)*(Ввод!$G$12:$G$31&gt;=A1372))&gt;0,1,0))</f>
        <v/>
      </c>
      <c r="G1372" t="str">
        <f t="shared" si="43"/>
        <v/>
      </c>
    </row>
    <row r="1373" spans="1:7" x14ac:dyDescent="0.3">
      <c r="A1373" s="21" t="str">
        <f>IF(A1372="","",IF(A1372+1&gt;Ввод!$B$4,"",A1372+1))</f>
        <v/>
      </c>
      <c r="B1373" s="23" t="str">
        <f>IF(A1373="","",IFERROR(INDEX(Ввод!$B$12:$B$71,MATCH(A1373,Ввод!$D$12:$D$71,1)),""))</f>
        <v/>
      </c>
      <c r="C1373" t="str">
        <f t="shared" si="42"/>
        <v/>
      </c>
      <c r="D1373" t="str">
        <f>IF(A1373="","",SUMIFS(Акты!$D$5:$D$16,Акты!$E$5:$E$16,"&lt;="&amp;A1373)-SUMIFS(Оплаты!$B$6:$B$505,Оплаты!$A$6:$A$505,"&lt;"&amp;A1373,Оплаты!$D$6:$D$505,"&lt;&gt;"))</f>
        <v/>
      </c>
      <c r="E1373" t="str">
        <f>IF(A1373="","",IF(SUMPRODUCT((Ввод!$F$12:$F$31&lt;&gt;"")*(Ввод!$F$12:$F$31&lt;=A1373)*(Ввод!$G$12:$G$31&gt;=A1373))&gt;0,1,0))</f>
        <v/>
      </c>
      <c r="G1373" t="str">
        <f t="shared" si="43"/>
        <v/>
      </c>
    </row>
    <row r="1374" spans="1:7" x14ac:dyDescent="0.3">
      <c r="A1374" s="21" t="str">
        <f>IF(A1373="","",IF(A1373+1&gt;Ввод!$B$4,"",A1373+1))</f>
        <v/>
      </c>
      <c r="B1374" s="23" t="str">
        <f>IF(A1374="","",IFERROR(INDEX(Ввод!$B$12:$B$71,MATCH(A1374,Ввод!$D$12:$D$71,1)),""))</f>
        <v/>
      </c>
      <c r="C1374" t="str">
        <f t="shared" si="42"/>
        <v/>
      </c>
      <c r="D1374" t="str">
        <f>IF(A1374="","",SUMIFS(Акты!$D$5:$D$16,Акты!$E$5:$E$16,"&lt;="&amp;A1374)-SUMIFS(Оплаты!$B$6:$B$505,Оплаты!$A$6:$A$505,"&lt;"&amp;A1374,Оплаты!$D$6:$D$505,"&lt;&gt;"))</f>
        <v/>
      </c>
      <c r="E1374" t="str">
        <f>IF(A1374="","",IF(SUMPRODUCT((Ввод!$F$12:$F$31&lt;&gt;"")*(Ввод!$F$12:$F$31&lt;=A1374)*(Ввод!$G$12:$G$31&gt;=A1374))&gt;0,1,0))</f>
        <v/>
      </c>
      <c r="G1374" t="str">
        <f t="shared" si="43"/>
        <v/>
      </c>
    </row>
    <row r="1375" spans="1:7" x14ac:dyDescent="0.3">
      <c r="A1375" s="21" t="str">
        <f>IF(A1374="","",IF(A1374+1&gt;Ввод!$B$4,"",A1374+1))</f>
        <v/>
      </c>
      <c r="B1375" s="23" t="str">
        <f>IF(A1375="","",IFERROR(INDEX(Ввод!$B$12:$B$71,MATCH(A1375,Ввод!$D$12:$D$71,1)),""))</f>
        <v/>
      </c>
      <c r="C1375" t="str">
        <f t="shared" si="42"/>
        <v/>
      </c>
      <c r="D1375" t="str">
        <f>IF(A1375="","",SUMIFS(Акты!$D$5:$D$16,Акты!$E$5:$E$16,"&lt;="&amp;A1375)-SUMIFS(Оплаты!$B$6:$B$505,Оплаты!$A$6:$A$505,"&lt;"&amp;A1375,Оплаты!$D$6:$D$505,"&lt;&gt;"))</f>
        <v/>
      </c>
      <c r="E1375" t="str">
        <f>IF(A1375="","",IF(SUMPRODUCT((Ввод!$F$12:$F$31&lt;&gt;"")*(Ввод!$F$12:$F$31&lt;=A1375)*(Ввод!$G$12:$G$31&gt;=A1375))&gt;0,1,0))</f>
        <v/>
      </c>
      <c r="G1375" t="str">
        <f t="shared" si="43"/>
        <v/>
      </c>
    </row>
    <row r="1376" spans="1:7" x14ac:dyDescent="0.3">
      <c r="A1376" s="21" t="str">
        <f>IF(A1375="","",IF(A1375+1&gt;Ввод!$B$4,"",A1375+1))</f>
        <v/>
      </c>
      <c r="B1376" s="23" t="str">
        <f>IF(A1376="","",IFERROR(INDEX(Ввод!$B$12:$B$71,MATCH(A1376,Ввод!$D$12:$D$71,1)),""))</f>
        <v/>
      </c>
      <c r="C1376" t="str">
        <f t="shared" si="42"/>
        <v/>
      </c>
      <c r="D1376" t="str">
        <f>IF(A1376="","",SUMIFS(Акты!$D$5:$D$16,Акты!$E$5:$E$16,"&lt;="&amp;A1376)-SUMIFS(Оплаты!$B$6:$B$505,Оплаты!$A$6:$A$505,"&lt;"&amp;A1376,Оплаты!$D$6:$D$505,"&lt;&gt;"))</f>
        <v/>
      </c>
      <c r="E1376" t="str">
        <f>IF(A1376="","",IF(SUMPRODUCT((Ввод!$F$12:$F$31&lt;&gt;"")*(Ввод!$F$12:$F$31&lt;=A1376)*(Ввод!$G$12:$G$31&gt;=A1376))&gt;0,1,0))</f>
        <v/>
      </c>
      <c r="G1376" t="str">
        <f t="shared" si="43"/>
        <v/>
      </c>
    </row>
    <row r="1377" spans="1:7" x14ac:dyDescent="0.3">
      <c r="A1377" s="21" t="str">
        <f>IF(A1376="","",IF(A1376+1&gt;Ввод!$B$4,"",A1376+1))</f>
        <v/>
      </c>
      <c r="B1377" s="23" t="str">
        <f>IF(A1377="","",IFERROR(INDEX(Ввод!$B$12:$B$71,MATCH(A1377,Ввод!$D$12:$D$71,1)),""))</f>
        <v/>
      </c>
      <c r="C1377" t="str">
        <f t="shared" si="42"/>
        <v/>
      </c>
      <c r="D1377" t="str">
        <f>IF(A1377="","",SUMIFS(Акты!$D$5:$D$16,Акты!$E$5:$E$16,"&lt;="&amp;A1377)-SUMIFS(Оплаты!$B$6:$B$505,Оплаты!$A$6:$A$505,"&lt;"&amp;A1377,Оплаты!$D$6:$D$505,"&lt;&gt;"))</f>
        <v/>
      </c>
      <c r="E1377" t="str">
        <f>IF(A1377="","",IF(SUMPRODUCT((Ввод!$F$12:$F$31&lt;&gt;"")*(Ввод!$F$12:$F$31&lt;=A1377)*(Ввод!$G$12:$G$31&gt;=A1377))&gt;0,1,0))</f>
        <v/>
      </c>
      <c r="G1377" t="str">
        <f t="shared" si="43"/>
        <v/>
      </c>
    </row>
    <row r="1378" spans="1:7" x14ac:dyDescent="0.3">
      <c r="A1378" s="21" t="str">
        <f>IF(A1377="","",IF(A1377+1&gt;Ввод!$B$4,"",A1377+1))</f>
        <v/>
      </c>
      <c r="B1378" s="23" t="str">
        <f>IF(A1378="","",IFERROR(INDEX(Ввод!$B$12:$B$71,MATCH(A1378,Ввод!$D$12:$D$71,1)),""))</f>
        <v/>
      </c>
      <c r="C1378" t="str">
        <f t="shared" si="42"/>
        <v/>
      </c>
      <c r="D1378" t="str">
        <f>IF(A1378="","",SUMIFS(Акты!$D$5:$D$16,Акты!$E$5:$E$16,"&lt;="&amp;A1378)-SUMIFS(Оплаты!$B$6:$B$505,Оплаты!$A$6:$A$505,"&lt;"&amp;A1378,Оплаты!$D$6:$D$505,"&lt;&gt;"))</f>
        <v/>
      </c>
      <c r="E1378" t="str">
        <f>IF(A1378="","",IF(SUMPRODUCT((Ввод!$F$12:$F$31&lt;&gt;"")*(Ввод!$F$12:$F$31&lt;=A1378)*(Ввод!$G$12:$G$31&gt;=A1378))&gt;0,1,0))</f>
        <v/>
      </c>
      <c r="G1378" t="str">
        <f t="shared" si="43"/>
        <v/>
      </c>
    </row>
    <row r="1379" spans="1:7" x14ac:dyDescent="0.3">
      <c r="A1379" s="21" t="str">
        <f>IF(A1378="","",IF(A1378+1&gt;Ввод!$B$4,"",A1378+1))</f>
        <v/>
      </c>
      <c r="B1379" s="23" t="str">
        <f>IF(A1379="","",IFERROR(INDEX(Ввод!$B$12:$B$71,MATCH(A1379,Ввод!$D$12:$D$71,1)),""))</f>
        <v/>
      </c>
      <c r="C1379" t="str">
        <f t="shared" si="42"/>
        <v/>
      </c>
      <c r="D1379" t="str">
        <f>IF(A1379="","",SUMIFS(Акты!$D$5:$D$16,Акты!$E$5:$E$16,"&lt;="&amp;A1379)-SUMIFS(Оплаты!$B$6:$B$505,Оплаты!$A$6:$A$505,"&lt;"&amp;A1379,Оплаты!$D$6:$D$505,"&lt;&gt;"))</f>
        <v/>
      </c>
      <c r="E1379" t="str">
        <f>IF(A1379="","",IF(SUMPRODUCT((Ввод!$F$12:$F$31&lt;&gt;"")*(Ввод!$F$12:$F$31&lt;=A1379)*(Ввод!$G$12:$G$31&gt;=A1379))&gt;0,1,0))</f>
        <v/>
      </c>
      <c r="G1379" t="str">
        <f t="shared" si="43"/>
        <v/>
      </c>
    </row>
    <row r="1380" spans="1:7" x14ac:dyDescent="0.3">
      <c r="A1380" s="21" t="str">
        <f>IF(A1379="","",IF(A1379+1&gt;Ввод!$B$4,"",A1379+1))</f>
        <v/>
      </c>
      <c r="B1380" s="23" t="str">
        <f>IF(A1380="","",IFERROR(INDEX(Ввод!$B$12:$B$71,MATCH(A1380,Ввод!$D$12:$D$71,1)),""))</f>
        <v/>
      </c>
      <c r="C1380" t="str">
        <f t="shared" si="42"/>
        <v/>
      </c>
      <c r="D1380" t="str">
        <f>IF(A1380="","",SUMIFS(Акты!$D$5:$D$16,Акты!$E$5:$E$16,"&lt;="&amp;A1380)-SUMIFS(Оплаты!$B$6:$B$505,Оплаты!$A$6:$A$505,"&lt;"&amp;A1380,Оплаты!$D$6:$D$505,"&lt;&gt;"))</f>
        <v/>
      </c>
      <c r="E1380" t="str">
        <f>IF(A1380="","",IF(SUMPRODUCT((Ввод!$F$12:$F$31&lt;&gt;"")*(Ввод!$F$12:$F$31&lt;=A1380)*(Ввод!$G$12:$G$31&gt;=A1380))&gt;0,1,0))</f>
        <v/>
      </c>
      <c r="G1380" t="str">
        <f t="shared" si="43"/>
        <v/>
      </c>
    </row>
    <row r="1381" spans="1:7" x14ac:dyDescent="0.3">
      <c r="A1381" s="21" t="str">
        <f>IF(A1380="","",IF(A1380+1&gt;Ввод!$B$4,"",A1380+1))</f>
        <v/>
      </c>
      <c r="B1381" s="23" t="str">
        <f>IF(A1381="","",IFERROR(INDEX(Ввод!$B$12:$B$71,MATCH(A1381,Ввод!$D$12:$D$71,1)),""))</f>
        <v/>
      </c>
      <c r="C1381" t="str">
        <f t="shared" si="42"/>
        <v/>
      </c>
      <c r="D1381" t="str">
        <f>IF(A1381="","",SUMIFS(Акты!$D$5:$D$16,Акты!$E$5:$E$16,"&lt;="&amp;A1381)-SUMIFS(Оплаты!$B$6:$B$505,Оплаты!$A$6:$A$505,"&lt;"&amp;A1381,Оплаты!$D$6:$D$505,"&lt;&gt;"))</f>
        <v/>
      </c>
      <c r="E1381" t="str">
        <f>IF(A1381="","",IF(SUMPRODUCT((Ввод!$F$12:$F$31&lt;&gt;"")*(Ввод!$F$12:$F$31&lt;=A1381)*(Ввод!$G$12:$G$31&gt;=A1381))&gt;0,1,0))</f>
        <v/>
      </c>
      <c r="G1381" t="str">
        <f t="shared" si="43"/>
        <v/>
      </c>
    </row>
    <row r="1382" spans="1:7" x14ac:dyDescent="0.3">
      <c r="A1382" s="21" t="str">
        <f>IF(A1381="","",IF(A1381+1&gt;Ввод!$B$4,"",A1381+1))</f>
        <v/>
      </c>
      <c r="B1382" s="23" t="str">
        <f>IF(A1382="","",IFERROR(INDEX(Ввод!$B$12:$B$71,MATCH(A1382,Ввод!$D$12:$D$71,1)),""))</f>
        <v/>
      </c>
      <c r="C1382" t="str">
        <f t="shared" si="42"/>
        <v/>
      </c>
      <c r="D1382" t="str">
        <f>IF(A1382="","",SUMIFS(Акты!$D$5:$D$16,Акты!$E$5:$E$16,"&lt;="&amp;A1382)-SUMIFS(Оплаты!$B$6:$B$505,Оплаты!$A$6:$A$505,"&lt;"&amp;A1382,Оплаты!$D$6:$D$505,"&lt;&gt;"))</f>
        <v/>
      </c>
      <c r="E1382" t="str">
        <f>IF(A1382="","",IF(SUMPRODUCT((Ввод!$F$12:$F$31&lt;&gt;"")*(Ввод!$F$12:$F$31&lt;=A1382)*(Ввод!$G$12:$G$31&gt;=A1382))&gt;0,1,0))</f>
        <v/>
      </c>
      <c r="G1382" t="str">
        <f t="shared" si="43"/>
        <v/>
      </c>
    </row>
    <row r="1383" spans="1:7" x14ac:dyDescent="0.3">
      <c r="A1383" s="21" t="str">
        <f>IF(A1382="","",IF(A1382+1&gt;Ввод!$B$4,"",A1382+1))</f>
        <v/>
      </c>
      <c r="B1383" s="23" t="str">
        <f>IF(A1383="","",IFERROR(INDEX(Ввод!$B$12:$B$71,MATCH(A1383,Ввод!$D$12:$D$71,1)),""))</f>
        <v/>
      </c>
      <c r="C1383" t="str">
        <f t="shared" si="42"/>
        <v/>
      </c>
      <c r="D1383" t="str">
        <f>IF(A1383="","",SUMIFS(Акты!$D$5:$D$16,Акты!$E$5:$E$16,"&lt;="&amp;A1383)-SUMIFS(Оплаты!$B$6:$B$505,Оплаты!$A$6:$A$505,"&lt;"&amp;A1383,Оплаты!$D$6:$D$505,"&lt;&gt;"))</f>
        <v/>
      </c>
      <c r="E1383" t="str">
        <f>IF(A1383="","",IF(SUMPRODUCT((Ввод!$F$12:$F$31&lt;&gt;"")*(Ввод!$F$12:$F$31&lt;=A1383)*(Ввод!$G$12:$G$31&gt;=A1383))&gt;0,1,0))</f>
        <v/>
      </c>
      <c r="G1383" t="str">
        <f t="shared" si="43"/>
        <v/>
      </c>
    </row>
    <row r="1384" spans="1:7" x14ac:dyDescent="0.3">
      <c r="A1384" s="21" t="str">
        <f>IF(A1383="","",IF(A1383+1&gt;Ввод!$B$4,"",A1383+1))</f>
        <v/>
      </c>
      <c r="B1384" s="23" t="str">
        <f>IF(A1384="","",IFERROR(INDEX(Ввод!$B$12:$B$71,MATCH(A1384,Ввод!$D$12:$D$71,1)),""))</f>
        <v/>
      </c>
      <c r="C1384" t="str">
        <f t="shared" si="42"/>
        <v/>
      </c>
      <c r="D1384" t="str">
        <f>IF(A1384="","",SUMIFS(Акты!$D$5:$D$16,Акты!$E$5:$E$16,"&lt;="&amp;A1384)-SUMIFS(Оплаты!$B$6:$B$505,Оплаты!$A$6:$A$505,"&lt;"&amp;A1384,Оплаты!$D$6:$D$505,"&lt;&gt;"))</f>
        <v/>
      </c>
      <c r="E1384" t="str">
        <f>IF(A1384="","",IF(SUMPRODUCT((Ввод!$F$12:$F$31&lt;&gt;"")*(Ввод!$F$12:$F$31&lt;=A1384)*(Ввод!$G$12:$G$31&gt;=A1384))&gt;0,1,0))</f>
        <v/>
      </c>
      <c r="G1384" t="str">
        <f t="shared" si="43"/>
        <v/>
      </c>
    </row>
    <row r="1385" spans="1:7" x14ac:dyDescent="0.3">
      <c r="A1385" s="21" t="str">
        <f>IF(A1384="","",IF(A1384+1&gt;Ввод!$B$4,"",A1384+1))</f>
        <v/>
      </c>
      <c r="B1385" s="23" t="str">
        <f>IF(A1385="","",IFERROR(INDEX(Ввод!$B$12:$B$71,MATCH(A1385,Ввод!$D$12:$D$71,1)),""))</f>
        <v/>
      </c>
      <c r="C1385" t="str">
        <f t="shared" si="42"/>
        <v/>
      </c>
      <c r="D1385" t="str">
        <f>IF(A1385="","",SUMIFS(Акты!$D$5:$D$16,Акты!$E$5:$E$16,"&lt;="&amp;A1385)-SUMIFS(Оплаты!$B$6:$B$505,Оплаты!$A$6:$A$505,"&lt;"&amp;A1385,Оплаты!$D$6:$D$505,"&lt;&gt;"))</f>
        <v/>
      </c>
      <c r="E1385" t="str">
        <f>IF(A1385="","",IF(SUMPRODUCT((Ввод!$F$12:$F$31&lt;&gt;"")*(Ввод!$F$12:$F$31&lt;=A1385)*(Ввод!$G$12:$G$31&gt;=A1385))&gt;0,1,0))</f>
        <v/>
      </c>
      <c r="G1385" t="str">
        <f t="shared" si="43"/>
        <v/>
      </c>
    </row>
    <row r="1386" spans="1:7" x14ac:dyDescent="0.3">
      <c r="A1386" s="21" t="str">
        <f>IF(A1385="","",IF(A1385+1&gt;Ввод!$B$4,"",A1385+1))</f>
        <v/>
      </c>
      <c r="B1386" s="23" t="str">
        <f>IF(A1386="","",IFERROR(INDEX(Ввод!$B$12:$B$71,MATCH(A1386,Ввод!$D$12:$D$71,1)),""))</f>
        <v/>
      </c>
      <c r="C1386" t="str">
        <f t="shared" si="42"/>
        <v/>
      </c>
      <c r="D1386" t="str">
        <f>IF(A1386="","",SUMIFS(Акты!$D$5:$D$16,Акты!$E$5:$E$16,"&lt;="&amp;A1386)-SUMIFS(Оплаты!$B$6:$B$505,Оплаты!$A$6:$A$505,"&lt;"&amp;A1386,Оплаты!$D$6:$D$505,"&lt;&gt;"))</f>
        <v/>
      </c>
      <c r="E1386" t="str">
        <f>IF(A1386="","",IF(SUMPRODUCT((Ввод!$F$12:$F$31&lt;&gt;"")*(Ввод!$F$12:$F$31&lt;=A1386)*(Ввод!$G$12:$G$31&gt;=A1386))&gt;0,1,0))</f>
        <v/>
      </c>
      <c r="G1386" t="str">
        <f t="shared" si="43"/>
        <v/>
      </c>
    </row>
    <row r="1387" spans="1:7" x14ac:dyDescent="0.3">
      <c r="A1387" s="21" t="str">
        <f>IF(A1386="","",IF(A1386+1&gt;Ввод!$B$4,"",A1386+1))</f>
        <v/>
      </c>
      <c r="B1387" s="23" t="str">
        <f>IF(A1387="","",IFERROR(INDEX(Ввод!$B$12:$B$71,MATCH(A1387,Ввод!$D$12:$D$71,1)),""))</f>
        <v/>
      </c>
      <c r="C1387" t="str">
        <f t="shared" si="42"/>
        <v/>
      </c>
      <c r="D1387" t="str">
        <f>IF(A1387="","",SUMIFS(Акты!$D$5:$D$16,Акты!$E$5:$E$16,"&lt;="&amp;A1387)-SUMIFS(Оплаты!$B$6:$B$505,Оплаты!$A$6:$A$505,"&lt;"&amp;A1387,Оплаты!$D$6:$D$505,"&lt;&gt;"))</f>
        <v/>
      </c>
      <c r="E1387" t="str">
        <f>IF(A1387="","",IF(SUMPRODUCT((Ввод!$F$12:$F$31&lt;&gt;"")*(Ввод!$F$12:$F$31&lt;=A1387)*(Ввод!$G$12:$G$31&gt;=A1387))&gt;0,1,0))</f>
        <v/>
      </c>
      <c r="G1387" t="str">
        <f t="shared" si="43"/>
        <v/>
      </c>
    </row>
    <row r="1388" spans="1:7" x14ac:dyDescent="0.3">
      <c r="A1388" s="21" t="str">
        <f>IF(A1387="","",IF(A1387+1&gt;Ввод!$B$4,"",A1387+1))</f>
        <v/>
      </c>
      <c r="B1388" s="23" t="str">
        <f>IF(A1388="","",IFERROR(INDEX(Ввод!$B$12:$B$71,MATCH(A1388,Ввод!$D$12:$D$71,1)),""))</f>
        <v/>
      </c>
      <c r="C1388" t="str">
        <f t="shared" si="42"/>
        <v/>
      </c>
      <c r="D1388" t="str">
        <f>IF(A1388="","",SUMIFS(Акты!$D$5:$D$16,Акты!$E$5:$E$16,"&lt;="&amp;A1388)-SUMIFS(Оплаты!$B$6:$B$505,Оплаты!$A$6:$A$505,"&lt;"&amp;A1388,Оплаты!$D$6:$D$505,"&lt;&gt;"))</f>
        <v/>
      </c>
      <c r="E1388" t="str">
        <f>IF(A1388="","",IF(SUMPRODUCT((Ввод!$F$12:$F$31&lt;&gt;"")*(Ввод!$F$12:$F$31&lt;=A1388)*(Ввод!$G$12:$G$31&gt;=A1388))&gt;0,1,0))</f>
        <v/>
      </c>
      <c r="G1388" t="str">
        <f t="shared" si="43"/>
        <v/>
      </c>
    </row>
    <row r="1389" spans="1:7" x14ac:dyDescent="0.3">
      <c r="A1389" s="21" t="str">
        <f>IF(A1388="","",IF(A1388+1&gt;Ввод!$B$4,"",A1388+1))</f>
        <v/>
      </c>
      <c r="B1389" s="23" t="str">
        <f>IF(A1389="","",IFERROR(INDEX(Ввод!$B$12:$B$71,MATCH(A1389,Ввод!$D$12:$D$71,1)),""))</f>
        <v/>
      </c>
      <c r="C1389" t="str">
        <f t="shared" si="42"/>
        <v/>
      </c>
      <c r="D1389" t="str">
        <f>IF(A1389="","",SUMIFS(Акты!$D$5:$D$16,Акты!$E$5:$E$16,"&lt;="&amp;A1389)-SUMIFS(Оплаты!$B$6:$B$505,Оплаты!$A$6:$A$505,"&lt;"&amp;A1389,Оплаты!$D$6:$D$505,"&lt;&gt;"))</f>
        <v/>
      </c>
      <c r="E1389" t="str">
        <f>IF(A1389="","",IF(SUMPRODUCT((Ввод!$F$12:$F$31&lt;&gt;"")*(Ввод!$F$12:$F$31&lt;=A1389)*(Ввод!$G$12:$G$31&gt;=A1389))&gt;0,1,0))</f>
        <v/>
      </c>
      <c r="G1389" t="str">
        <f t="shared" si="43"/>
        <v/>
      </c>
    </row>
    <row r="1390" spans="1:7" x14ac:dyDescent="0.3">
      <c r="A1390" s="21" t="str">
        <f>IF(A1389="","",IF(A1389+1&gt;Ввод!$B$4,"",A1389+1))</f>
        <v/>
      </c>
      <c r="B1390" s="23" t="str">
        <f>IF(A1390="","",IFERROR(INDEX(Ввод!$B$12:$B$71,MATCH(A1390,Ввод!$D$12:$D$71,1)),""))</f>
        <v/>
      </c>
      <c r="C1390" t="str">
        <f t="shared" si="42"/>
        <v/>
      </c>
      <c r="D1390" t="str">
        <f>IF(A1390="","",SUMIFS(Акты!$D$5:$D$16,Акты!$E$5:$E$16,"&lt;="&amp;A1390)-SUMIFS(Оплаты!$B$6:$B$505,Оплаты!$A$6:$A$505,"&lt;"&amp;A1390,Оплаты!$D$6:$D$505,"&lt;&gt;"))</f>
        <v/>
      </c>
      <c r="E1390" t="str">
        <f>IF(A1390="","",IF(SUMPRODUCT((Ввод!$F$12:$F$31&lt;&gt;"")*(Ввод!$F$12:$F$31&lt;=A1390)*(Ввод!$G$12:$G$31&gt;=A1390))&gt;0,1,0))</f>
        <v/>
      </c>
      <c r="G1390" t="str">
        <f t="shared" si="43"/>
        <v/>
      </c>
    </row>
    <row r="1391" spans="1:7" x14ac:dyDescent="0.3">
      <c r="A1391" s="21" t="str">
        <f>IF(A1390="","",IF(A1390+1&gt;Ввод!$B$4,"",A1390+1))</f>
        <v/>
      </c>
      <c r="B1391" s="23" t="str">
        <f>IF(A1391="","",IFERROR(INDEX(Ввод!$B$12:$B$71,MATCH(A1391,Ввод!$D$12:$D$71,1)),""))</f>
        <v/>
      </c>
      <c r="C1391" t="str">
        <f t="shared" si="42"/>
        <v/>
      </c>
      <c r="D1391" t="str">
        <f>IF(A1391="","",SUMIFS(Акты!$D$5:$D$16,Акты!$E$5:$E$16,"&lt;="&amp;A1391)-SUMIFS(Оплаты!$B$6:$B$505,Оплаты!$A$6:$A$505,"&lt;"&amp;A1391,Оплаты!$D$6:$D$505,"&lt;&gt;"))</f>
        <v/>
      </c>
      <c r="E1391" t="str">
        <f>IF(A1391="","",IF(SUMPRODUCT((Ввод!$F$12:$F$31&lt;&gt;"")*(Ввод!$F$12:$F$31&lt;=A1391)*(Ввод!$G$12:$G$31&gt;=A1391))&gt;0,1,0))</f>
        <v/>
      </c>
      <c r="G1391" t="str">
        <f t="shared" si="43"/>
        <v/>
      </c>
    </row>
    <row r="1392" spans="1:7" x14ac:dyDescent="0.3">
      <c r="A1392" s="21" t="str">
        <f>IF(A1391="","",IF(A1391+1&gt;Ввод!$B$4,"",A1391+1))</f>
        <v/>
      </c>
      <c r="B1392" s="23" t="str">
        <f>IF(A1392="","",IFERROR(INDEX(Ввод!$B$12:$B$71,MATCH(A1392,Ввод!$D$12:$D$71,1)),""))</f>
        <v/>
      </c>
      <c r="C1392" t="str">
        <f t="shared" si="42"/>
        <v/>
      </c>
      <c r="D1392" t="str">
        <f>IF(A1392="","",SUMIFS(Акты!$D$5:$D$16,Акты!$E$5:$E$16,"&lt;="&amp;A1392)-SUMIFS(Оплаты!$B$6:$B$505,Оплаты!$A$6:$A$505,"&lt;"&amp;A1392,Оплаты!$D$6:$D$505,"&lt;&gt;"))</f>
        <v/>
      </c>
      <c r="E1392" t="str">
        <f>IF(A1392="","",IF(SUMPRODUCT((Ввод!$F$12:$F$31&lt;&gt;"")*(Ввод!$F$12:$F$31&lt;=A1392)*(Ввод!$G$12:$G$31&gt;=A1392))&gt;0,1,0))</f>
        <v/>
      </c>
      <c r="G1392" t="str">
        <f t="shared" si="43"/>
        <v/>
      </c>
    </row>
    <row r="1393" spans="1:7" x14ac:dyDescent="0.3">
      <c r="A1393" s="21" t="str">
        <f>IF(A1392="","",IF(A1392+1&gt;Ввод!$B$4,"",A1392+1))</f>
        <v/>
      </c>
      <c r="B1393" s="23" t="str">
        <f>IF(A1393="","",IFERROR(INDEX(Ввод!$B$12:$B$71,MATCH(A1393,Ввод!$D$12:$D$71,1)),""))</f>
        <v/>
      </c>
      <c r="C1393" t="str">
        <f t="shared" si="42"/>
        <v/>
      </c>
      <c r="D1393" t="str">
        <f>IF(A1393="","",SUMIFS(Акты!$D$5:$D$16,Акты!$E$5:$E$16,"&lt;="&amp;A1393)-SUMIFS(Оплаты!$B$6:$B$505,Оплаты!$A$6:$A$505,"&lt;"&amp;A1393,Оплаты!$D$6:$D$505,"&lt;&gt;"))</f>
        <v/>
      </c>
      <c r="E1393" t="str">
        <f>IF(A1393="","",IF(SUMPRODUCT((Ввод!$F$12:$F$31&lt;&gt;"")*(Ввод!$F$12:$F$31&lt;=A1393)*(Ввод!$G$12:$G$31&gt;=A1393))&gt;0,1,0))</f>
        <v/>
      </c>
      <c r="G1393" t="str">
        <f t="shared" si="43"/>
        <v/>
      </c>
    </row>
    <row r="1394" spans="1:7" x14ac:dyDescent="0.3">
      <c r="A1394" s="21" t="str">
        <f>IF(A1393="","",IF(A1393+1&gt;Ввод!$B$4,"",A1393+1))</f>
        <v/>
      </c>
      <c r="B1394" s="23" t="str">
        <f>IF(A1394="","",IFERROR(INDEX(Ввод!$B$12:$B$71,MATCH(A1394,Ввод!$D$12:$D$71,1)),""))</f>
        <v/>
      </c>
      <c r="C1394" t="str">
        <f t="shared" si="42"/>
        <v/>
      </c>
      <c r="D1394" t="str">
        <f>IF(A1394="","",SUMIFS(Акты!$D$5:$D$16,Акты!$E$5:$E$16,"&lt;="&amp;A1394)-SUMIFS(Оплаты!$B$6:$B$505,Оплаты!$A$6:$A$505,"&lt;"&amp;A1394,Оплаты!$D$6:$D$505,"&lt;&gt;"))</f>
        <v/>
      </c>
      <c r="E1394" t="str">
        <f>IF(A1394="","",IF(SUMPRODUCT((Ввод!$F$12:$F$31&lt;&gt;"")*(Ввод!$F$12:$F$31&lt;=A1394)*(Ввод!$G$12:$G$31&gt;=A1394))&gt;0,1,0))</f>
        <v/>
      </c>
      <c r="G1394" t="str">
        <f t="shared" si="43"/>
        <v/>
      </c>
    </row>
    <row r="1395" spans="1:7" x14ac:dyDescent="0.3">
      <c r="A1395" s="21" t="str">
        <f>IF(A1394="","",IF(A1394+1&gt;Ввод!$B$4,"",A1394+1))</f>
        <v/>
      </c>
      <c r="B1395" s="23" t="str">
        <f>IF(A1395="","",IFERROR(INDEX(Ввод!$B$12:$B$71,MATCH(A1395,Ввод!$D$12:$D$71,1)),""))</f>
        <v/>
      </c>
      <c r="C1395" t="str">
        <f t="shared" si="42"/>
        <v/>
      </c>
      <c r="D1395" t="str">
        <f>IF(A1395="","",SUMIFS(Акты!$D$5:$D$16,Акты!$E$5:$E$16,"&lt;="&amp;A1395)-SUMIFS(Оплаты!$B$6:$B$505,Оплаты!$A$6:$A$505,"&lt;"&amp;A1395,Оплаты!$D$6:$D$505,"&lt;&gt;"))</f>
        <v/>
      </c>
      <c r="E1395" t="str">
        <f>IF(A1395="","",IF(SUMPRODUCT((Ввод!$F$12:$F$31&lt;&gt;"")*(Ввод!$F$12:$F$31&lt;=A1395)*(Ввод!$G$12:$G$31&gt;=A1395))&gt;0,1,0))</f>
        <v/>
      </c>
      <c r="G1395" t="str">
        <f t="shared" si="43"/>
        <v/>
      </c>
    </row>
    <row r="1396" spans="1:7" x14ac:dyDescent="0.3">
      <c r="A1396" s="21" t="str">
        <f>IF(A1395="","",IF(A1395+1&gt;Ввод!$B$4,"",A1395+1))</f>
        <v/>
      </c>
      <c r="B1396" s="23" t="str">
        <f>IF(A1396="","",IFERROR(INDEX(Ввод!$B$12:$B$71,MATCH(A1396,Ввод!$D$12:$D$71,1)),""))</f>
        <v/>
      </c>
      <c r="C1396" t="str">
        <f t="shared" si="42"/>
        <v/>
      </c>
      <c r="D1396" t="str">
        <f>IF(A1396="","",SUMIFS(Акты!$D$5:$D$16,Акты!$E$5:$E$16,"&lt;="&amp;A1396)-SUMIFS(Оплаты!$B$6:$B$505,Оплаты!$A$6:$A$505,"&lt;"&amp;A1396,Оплаты!$D$6:$D$505,"&lt;&gt;"))</f>
        <v/>
      </c>
      <c r="E1396" t="str">
        <f>IF(A1396="","",IF(SUMPRODUCT((Ввод!$F$12:$F$31&lt;&gt;"")*(Ввод!$F$12:$F$31&lt;=A1396)*(Ввод!$G$12:$G$31&gt;=A1396))&gt;0,1,0))</f>
        <v/>
      </c>
      <c r="G1396" t="str">
        <f t="shared" si="43"/>
        <v/>
      </c>
    </row>
    <row r="1397" spans="1:7" x14ac:dyDescent="0.3">
      <c r="A1397" s="21" t="str">
        <f>IF(A1396="","",IF(A1396+1&gt;Ввод!$B$4,"",A1396+1))</f>
        <v/>
      </c>
      <c r="B1397" s="23" t="str">
        <f>IF(A1397="","",IFERROR(INDEX(Ввод!$B$12:$B$71,MATCH(A1397,Ввод!$D$12:$D$71,1)),""))</f>
        <v/>
      </c>
      <c r="C1397" t="str">
        <f t="shared" si="42"/>
        <v/>
      </c>
      <c r="D1397" t="str">
        <f>IF(A1397="","",SUMIFS(Акты!$D$5:$D$16,Акты!$E$5:$E$16,"&lt;="&amp;A1397)-SUMIFS(Оплаты!$B$6:$B$505,Оплаты!$A$6:$A$505,"&lt;"&amp;A1397,Оплаты!$D$6:$D$505,"&lt;&gt;"))</f>
        <v/>
      </c>
      <c r="E1397" t="str">
        <f>IF(A1397="","",IF(SUMPRODUCT((Ввод!$F$12:$F$31&lt;&gt;"")*(Ввод!$F$12:$F$31&lt;=A1397)*(Ввод!$G$12:$G$31&gt;=A1397))&gt;0,1,0))</f>
        <v/>
      </c>
      <c r="G1397" t="str">
        <f t="shared" si="43"/>
        <v/>
      </c>
    </row>
    <row r="1398" spans="1:7" x14ac:dyDescent="0.3">
      <c r="A1398" s="21" t="str">
        <f>IF(A1397="","",IF(A1397+1&gt;Ввод!$B$4,"",A1397+1))</f>
        <v/>
      </c>
      <c r="B1398" s="23" t="str">
        <f>IF(A1398="","",IFERROR(INDEX(Ввод!$B$12:$B$71,MATCH(A1398,Ввод!$D$12:$D$71,1)),""))</f>
        <v/>
      </c>
      <c r="C1398" t="str">
        <f t="shared" si="42"/>
        <v/>
      </c>
      <c r="D1398" t="str">
        <f>IF(A1398="","",SUMIFS(Акты!$D$5:$D$16,Акты!$E$5:$E$16,"&lt;="&amp;A1398)-SUMIFS(Оплаты!$B$6:$B$505,Оплаты!$A$6:$A$505,"&lt;"&amp;A1398,Оплаты!$D$6:$D$505,"&lt;&gt;"))</f>
        <v/>
      </c>
      <c r="E1398" t="str">
        <f>IF(A1398="","",IF(SUMPRODUCT((Ввод!$F$12:$F$31&lt;&gt;"")*(Ввод!$F$12:$F$31&lt;=A1398)*(Ввод!$G$12:$G$31&gt;=A1398))&gt;0,1,0))</f>
        <v/>
      </c>
      <c r="G1398" t="str">
        <f t="shared" si="43"/>
        <v/>
      </c>
    </row>
    <row r="1399" spans="1:7" x14ac:dyDescent="0.3">
      <c r="A1399" s="21" t="str">
        <f>IF(A1398="","",IF(A1398+1&gt;Ввод!$B$4,"",A1398+1))</f>
        <v/>
      </c>
      <c r="B1399" s="23" t="str">
        <f>IF(A1399="","",IFERROR(INDEX(Ввод!$B$12:$B$71,MATCH(A1399,Ввод!$D$12:$D$71,1)),""))</f>
        <v/>
      </c>
      <c r="C1399" t="str">
        <f t="shared" si="42"/>
        <v/>
      </c>
      <c r="D1399" t="str">
        <f>IF(A1399="","",SUMIFS(Акты!$D$5:$D$16,Акты!$E$5:$E$16,"&lt;="&amp;A1399)-SUMIFS(Оплаты!$B$6:$B$505,Оплаты!$A$6:$A$505,"&lt;"&amp;A1399,Оплаты!$D$6:$D$505,"&lt;&gt;"))</f>
        <v/>
      </c>
      <c r="E1399" t="str">
        <f>IF(A1399="","",IF(SUMPRODUCT((Ввод!$F$12:$F$31&lt;&gt;"")*(Ввод!$F$12:$F$31&lt;=A1399)*(Ввод!$G$12:$G$31&gt;=A1399))&gt;0,1,0))</f>
        <v/>
      </c>
      <c r="G1399" t="str">
        <f t="shared" si="43"/>
        <v/>
      </c>
    </row>
    <row r="1400" spans="1:7" x14ac:dyDescent="0.3">
      <c r="A1400" s="21" t="str">
        <f>IF(A1399="","",IF(A1399+1&gt;Ввод!$B$4,"",A1399+1))</f>
        <v/>
      </c>
      <c r="B1400" s="23" t="str">
        <f>IF(A1400="","",IFERROR(INDEX(Ввод!$B$12:$B$71,MATCH(A1400,Ввод!$D$12:$D$71,1)),""))</f>
        <v/>
      </c>
      <c r="C1400" t="str">
        <f t="shared" si="42"/>
        <v/>
      </c>
      <c r="D1400" t="str">
        <f>IF(A1400="","",SUMIFS(Акты!$D$5:$D$16,Акты!$E$5:$E$16,"&lt;="&amp;A1400)-SUMIFS(Оплаты!$B$6:$B$505,Оплаты!$A$6:$A$505,"&lt;"&amp;A1400,Оплаты!$D$6:$D$505,"&lt;&gt;"))</f>
        <v/>
      </c>
      <c r="E1400" t="str">
        <f>IF(A1400="","",IF(SUMPRODUCT((Ввод!$F$12:$F$31&lt;&gt;"")*(Ввод!$F$12:$F$31&lt;=A1400)*(Ввод!$G$12:$G$31&gt;=A1400))&gt;0,1,0))</f>
        <v/>
      </c>
      <c r="G1400" t="str">
        <f t="shared" si="43"/>
        <v/>
      </c>
    </row>
    <row r="1401" spans="1:7" x14ac:dyDescent="0.3">
      <c r="A1401" s="21" t="str">
        <f>IF(A1400="","",IF(A1400+1&gt;Ввод!$B$4,"",A1400+1))</f>
        <v/>
      </c>
      <c r="B1401" s="23" t="str">
        <f>IF(A1401="","",IFERROR(INDEX(Ввод!$B$12:$B$71,MATCH(A1401,Ввод!$D$12:$D$71,1)),""))</f>
        <v/>
      </c>
      <c r="C1401" t="str">
        <f t="shared" si="42"/>
        <v/>
      </c>
      <c r="D1401" t="str">
        <f>IF(A1401="","",SUMIFS(Акты!$D$5:$D$16,Акты!$E$5:$E$16,"&lt;="&amp;A1401)-SUMIFS(Оплаты!$B$6:$B$505,Оплаты!$A$6:$A$505,"&lt;"&amp;A1401,Оплаты!$D$6:$D$505,"&lt;&gt;"))</f>
        <v/>
      </c>
      <c r="E1401" t="str">
        <f>IF(A1401="","",IF(SUMPRODUCT((Ввод!$F$12:$F$31&lt;&gt;"")*(Ввод!$F$12:$F$31&lt;=A1401)*(Ввод!$G$12:$G$31&gt;=A1401))&gt;0,1,0))</f>
        <v/>
      </c>
      <c r="G1401" t="str">
        <f t="shared" si="43"/>
        <v/>
      </c>
    </row>
    <row r="1402" spans="1:7" x14ac:dyDescent="0.3">
      <c r="A1402" s="21" t="str">
        <f>IF(A1401="","",IF(A1401+1&gt;Ввод!$B$4,"",A1401+1))</f>
        <v/>
      </c>
      <c r="B1402" s="23" t="str">
        <f>IF(A1402="","",IFERROR(INDEX(Ввод!$B$12:$B$71,MATCH(A1402,Ввод!$D$12:$D$71,1)),""))</f>
        <v/>
      </c>
      <c r="C1402" t="str">
        <f t="shared" si="42"/>
        <v/>
      </c>
      <c r="D1402" t="str">
        <f>IF(A1402="","",SUMIFS(Акты!$D$5:$D$16,Акты!$E$5:$E$16,"&lt;="&amp;A1402)-SUMIFS(Оплаты!$B$6:$B$505,Оплаты!$A$6:$A$505,"&lt;"&amp;A1402,Оплаты!$D$6:$D$505,"&lt;&gt;"))</f>
        <v/>
      </c>
      <c r="E1402" t="str">
        <f>IF(A1402="","",IF(SUMPRODUCT((Ввод!$F$12:$F$31&lt;&gt;"")*(Ввод!$F$12:$F$31&lt;=A1402)*(Ввод!$G$12:$G$31&gt;=A1402))&gt;0,1,0))</f>
        <v/>
      </c>
      <c r="G1402" t="str">
        <f t="shared" si="43"/>
        <v/>
      </c>
    </row>
    <row r="1403" spans="1:7" x14ac:dyDescent="0.3">
      <c r="A1403" s="21" t="str">
        <f>IF(A1402="","",IF(A1402+1&gt;Ввод!$B$4,"",A1402+1))</f>
        <v/>
      </c>
      <c r="B1403" s="23" t="str">
        <f>IF(A1403="","",IFERROR(INDEX(Ввод!$B$12:$B$71,MATCH(A1403,Ввод!$D$12:$D$71,1)),""))</f>
        <v/>
      </c>
      <c r="C1403" t="str">
        <f t="shared" si="42"/>
        <v/>
      </c>
      <c r="D1403" t="str">
        <f>IF(A1403="","",SUMIFS(Акты!$D$5:$D$16,Акты!$E$5:$E$16,"&lt;="&amp;A1403)-SUMIFS(Оплаты!$B$6:$B$505,Оплаты!$A$6:$A$505,"&lt;"&amp;A1403,Оплаты!$D$6:$D$505,"&lt;&gt;"))</f>
        <v/>
      </c>
      <c r="E1403" t="str">
        <f>IF(A1403="","",IF(SUMPRODUCT((Ввод!$F$12:$F$31&lt;&gt;"")*(Ввод!$F$12:$F$31&lt;=A1403)*(Ввод!$G$12:$G$31&gt;=A1403))&gt;0,1,0))</f>
        <v/>
      </c>
      <c r="G1403" t="str">
        <f t="shared" si="43"/>
        <v/>
      </c>
    </row>
    <row r="1404" spans="1:7" x14ac:dyDescent="0.3">
      <c r="A1404" s="21" t="str">
        <f>IF(A1403="","",IF(A1403+1&gt;Ввод!$B$4,"",A1403+1))</f>
        <v/>
      </c>
      <c r="B1404" s="23" t="str">
        <f>IF(A1404="","",IFERROR(INDEX(Ввод!$B$12:$B$71,MATCH(A1404,Ввод!$D$12:$D$71,1)),""))</f>
        <v/>
      </c>
      <c r="C1404" t="str">
        <f t="shared" si="42"/>
        <v/>
      </c>
      <c r="D1404" t="str">
        <f>IF(A1404="","",SUMIFS(Акты!$D$5:$D$16,Акты!$E$5:$E$16,"&lt;="&amp;A1404)-SUMIFS(Оплаты!$B$6:$B$505,Оплаты!$A$6:$A$505,"&lt;"&amp;A1404,Оплаты!$D$6:$D$505,"&lt;&gt;"))</f>
        <v/>
      </c>
      <c r="E1404" t="str">
        <f>IF(A1404="","",IF(SUMPRODUCT((Ввод!$F$12:$F$31&lt;&gt;"")*(Ввод!$F$12:$F$31&lt;=A1404)*(Ввод!$G$12:$G$31&gt;=A1404))&gt;0,1,0))</f>
        <v/>
      </c>
      <c r="G1404" t="str">
        <f t="shared" si="43"/>
        <v/>
      </c>
    </row>
    <row r="1405" spans="1:7" x14ac:dyDescent="0.3">
      <c r="A1405" s="21" t="str">
        <f>IF(A1404="","",IF(A1404+1&gt;Ввод!$B$4,"",A1404+1))</f>
        <v/>
      </c>
      <c r="B1405" s="23" t="str">
        <f>IF(A1405="","",IFERROR(INDEX(Ввод!$B$12:$B$71,MATCH(A1405,Ввод!$D$12:$D$71,1)),""))</f>
        <v/>
      </c>
      <c r="C1405" t="str">
        <f t="shared" si="42"/>
        <v/>
      </c>
      <c r="D1405" t="str">
        <f>IF(A1405="","",SUMIFS(Акты!$D$5:$D$16,Акты!$E$5:$E$16,"&lt;="&amp;A1405)-SUMIFS(Оплаты!$B$6:$B$505,Оплаты!$A$6:$A$505,"&lt;"&amp;A1405,Оплаты!$D$6:$D$505,"&lt;&gt;"))</f>
        <v/>
      </c>
      <c r="E1405" t="str">
        <f>IF(A1405="","",IF(SUMPRODUCT((Ввод!$F$12:$F$31&lt;&gt;"")*(Ввод!$F$12:$F$31&lt;=A1405)*(Ввод!$G$12:$G$31&gt;=A1405))&gt;0,1,0))</f>
        <v/>
      </c>
      <c r="G1405" t="str">
        <f t="shared" si="43"/>
        <v/>
      </c>
    </row>
    <row r="1406" spans="1:7" x14ac:dyDescent="0.3">
      <c r="A1406" s="21" t="str">
        <f>IF(A1405="","",IF(A1405+1&gt;Ввод!$B$4,"",A1405+1))</f>
        <v/>
      </c>
      <c r="B1406" s="23" t="str">
        <f>IF(A1406="","",IFERROR(INDEX(Ввод!$B$12:$B$71,MATCH(A1406,Ввод!$D$12:$D$71,1)),""))</f>
        <v/>
      </c>
      <c r="C1406" t="str">
        <f t="shared" si="42"/>
        <v/>
      </c>
      <c r="D1406" t="str">
        <f>IF(A1406="","",SUMIFS(Акты!$D$5:$D$16,Акты!$E$5:$E$16,"&lt;="&amp;A1406)-SUMIFS(Оплаты!$B$6:$B$505,Оплаты!$A$6:$A$505,"&lt;"&amp;A1406,Оплаты!$D$6:$D$505,"&lt;&gt;"))</f>
        <v/>
      </c>
      <c r="E1406" t="str">
        <f>IF(A1406="","",IF(SUMPRODUCT((Ввод!$F$12:$F$31&lt;&gt;"")*(Ввод!$F$12:$F$31&lt;=A1406)*(Ввод!$G$12:$G$31&gt;=A1406))&gt;0,1,0))</f>
        <v/>
      </c>
      <c r="G1406" t="str">
        <f t="shared" si="43"/>
        <v/>
      </c>
    </row>
    <row r="1407" spans="1:7" x14ac:dyDescent="0.3">
      <c r="A1407" s="21" t="str">
        <f>IF(A1406="","",IF(A1406+1&gt;Ввод!$B$4,"",A1406+1))</f>
        <v/>
      </c>
      <c r="B1407" s="23" t="str">
        <f>IF(A1407="","",IFERROR(INDEX(Ввод!$B$12:$B$71,MATCH(A1407,Ввод!$D$12:$D$71,1)),""))</f>
        <v/>
      </c>
      <c r="C1407" t="str">
        <f t="shared" si="42"/>
        <v/>
      </c>
      <c r="D1407" t="str">
        <f>IF(A1407="","",SUMIFS(Акты!$D$5:$D$16,Акты!$E$5:$E$16,"&lt;="&amp;A1407)-SUMIFS(Оплаты!$B$6:$B$505,Оплаты!$A$6:$A$505,"&lt;"&amp;A1407,Оплаты!$D$6:$D$505,"&lt;&gt;"))</f>
        <v/>
      </c>
      <c r="E1407" t="str">
        <f>IF(A1407="","",IF(SUMPRODUCT((Ввод!$F$12:$F$31&lt;&gt;"")*(Ввод!$F$12:$F$31&lt;=A1407)*(Ввод!$G$12:$G$31&gt;=A1407))&gt;0,1,0))</f>
        <v/>
      </c>
      <c r="G1407" t="str">
        <f t="shared" si="43"/>
        <v/>
      </c>
    </row>
    <row r="1408" spans="1:7" x14ac:dyDescent="0.3">
      <c r="A1408" s="21" t="str">
        <f>IF(A1407="","",IF(A1407+1&gt;Ввод!$B$4,"",A1407+1))</f>
        <v/>
      </c>
      <c r="B1408" s="23" t="str">
        <f>IF(A1408="","",IFERROR(INDEX(Ввод!$B$12:$B$71,MATCH(A1408,Ввод!$D$12:$D$71,1)),""))</f>
        <v/>
      </c>
      <c r="C1408" t="str">
        <f t="shared" si="42"/>
        <v/>
      </c>
      <c r="D1408" t="str">
        <f>IF(A1408="","",SUMIFS(Акты!$D$5:$D$16,Акты!$E$5:$E$16,"&lt;="&amp;A1408)-SUMIFS(Оплаты!$B$6:$B$505,Оплаты!$A$6:$A$505,"&lt;"&amp;A1408,Оплаты!$D$6:$D$505,"&lt;&gt;"))</f>
        <v/>
      </c>
      <c r="E1408" t="str">
        <f>IF(A1408="","",IF(SUMPRODUCT((Ввод!$F$12:$F$31&lt;&gt;"")*(Ввод!$F$12:$F$31&lt;=A1408)*(Ввод!$G$12:$G$31&gt;=A1408))&gt;0,1,0))</f>
        <v/>
      </c>
      <c r="G1408" t="str">
        <f t="shared" si="43"/>
        <v/>
      </c>
    </row>
    <row r="1409" spans="1:7" x14ac:dyDescent="0.3">
      <c r="A1409" s="21" t="str">
        <f>IF(A1408="","",IF(A1408+1&gt;Ввод!$B$4,"",A1408+1))</f>
        <v/>
      </c>
      <c r="B1409" s="23" t="str">
        <f>IF(A1409="","",IFERROR(INDEX(Ввод!$B$12:$B$71,MATCH(A1409,Ввод!$D$12:$D$71,1)),""))</f>
        <v/>
      </c>
      <c r="C1409" t="str">
        <f t="shared" si="42"/>
        <v/>
      </c>
      <c r="D1409" t="str">
        <f>IF(A1409="","",SUMIFS(Акты!$D$5:$D$16,Акты!$E$5:$E$16,"&lt;="&amp;A1409)-SUMIFS(Оплаты!$B$6:$B$505,Оплаты!$A$6:$A$505,"&lt;"&amp;A1409,Оплаты!$D$6:$D$505,"&lt;&gt;"))</f>
        <v/>
      </c>
      <c r="E1409" t="str">
        <f>IF(A1409="","",IF(SUMPRODUCT((Ввод!$F$12:$F$31&lt;&gt;"")*(Ввод!$F$12:$F$31&lt;=A1409)*(Ввод!$G$12:$G$31&gt;=A1409))&gt;0,1,0))</f>
        <v/>
      </c>
      <c r="G1409" t="str">
        <f t="shared" si="43"/>
        <v/>
      </c>
    </row>
    <row r="1410" spans="1:7" x14ac:dyDescent="0.3">
      <c r="A1410" s="21" t="str">
        <f>IF(A1409="","",IF(A1409+1&gt;Ввод!$B$4,"",A1409+1))</f>
        <v/>
      </c>
      <c r="B1410" s="23" t="str">
        <f>IF(A1410="","",IFERROR(INDEX(Ввод!$B$12:$B$71,MATCH(A1410,Ввод!$D$12:$D$71,1)),""))</f>
        <v/>
      </c>
      <c r="C1410" t="str">
        <f t="shared" ref="C1410:C1473" si="44">IF(A1410="","",DATE(YEAR(A1410),12,31)-DATE(YEAR(A1410),1,1)+1)</f>
        <v/>
      </c>
      <c r="D1410" t="str">
        <f>IF(A1410="","",SUMIFS(Акты!$D$5:$D$16,Акты!$E$5:$E$16,"&lt;="&amp;A1410)-SUMIFS(Оплаты!$B$6:$B$505,Оплаты!$A$6:$A$505,"&lt;"&amp;A1410,Оплаты!$D$6:$D$505,"&lt;&gt;"))</f>
        <v/>
      </c>
      <c r="E1410" t="str">
        <f>IF(A1410="","",IF(SUMPRODUCT((Ввод!$F$12:$F$31&lt;&gt;"")*(Ввод!$F$12:$F$31&lt;=A1410)*(Ввод!$G$12:$G$31&gt;=A1410))&gt;0,1,0))</f>
        <v/>
      </c>
      <c r="G1410" t="str">
        <f t="shared" si="43"/>
        <v/>
      </c>
    </row>
    <row r="1411" spans="1:7" x14ac:dyDescent="0.3">
      <c r="A1411" s="21" t="str">
        <f>IF(A1410="","",IF(A1410+1&gt;Ввод!$B$4,"",A1410+1))</f>
        <v/>
      </c>
      <c r="B1411" s="23" t="str">
        <f>IF(A1411="","",IFERROR(INDEX(Ввод!$B$12:$B$71,MATCH(A1411,Ввод!$D$12:$D$71,1)),""))</f>
        <v/>
      </c>
      <c r="C1411" t="str">
        <f t="shared" si="44"/>
        <v/>
      </c>
      <c r="D1411" t="str">
        <f>IF(A1411="","",SUMIFS(Акты!$D$5:$D$16,Акты!$E$5:$E$16,"&lt;="&amp;A1411)-SUMIFS(Оплаты!$B$6:$B$505,Оплаты!$A$6:$A$505,"&lt;"&amp;A1411,Оплаты!$D$6:$D$505,"&lt;&gt;"))</f>
        <v/>
      </c>
      <c r="E1411" t="str">
        <f>IF(A1411="","",IF(SUMPRODUCT((Ввод!$F$12:$F$31&lt;&gt;"")*(Ввод!$F$12:$F$31&lt;=A1411)*(Ввод!$G$12:$G$31&gt;=A1411))&gt;0,1,0))</f>
        <v/>
      </c>
      <c r="G1411" t="str">
        <f t="shared" ref="G1411:G1474" si="45">IF(A1411="","",IF(OR(B1411&lt;&gt;B1410,C1411&lt;&gt;C1410,E1411&lt;&gt;E1410),G1410+1,G1410))</f>
        <v/>
      </c>
    </row>
    <row r="1412" spans="1:7" x14ac:dyDescent="0.3">
      <c r="A1412" s="21" t="str">
        <f>IF(A1411="","",IF(A1411+1&gt;Ввод!$B$4,"",A1411+1))</f>
        <v/>
      </c>
      <c r="B1412" s="23" t="str">
        <f>IF(A1412="","",IFERROR(INDEX(Ввод!$B$12:$B$71,MATCH(A1412,Ввод!$D$12:$D$71,1)),""))</f>
        <v/>
      </c>
      <c r="C1412" t="str">
        <f t="shared" si="44"/>
        <v/>
      </c>
      <c r="D1412" t="str">
        <f>IF(A1412="","",SUMIFS(Акты!$D$5:$D$16,Акты!$E$5:$E$16,"&lt;="&amp;A1412)-SUMIFS(Оплаты!$B$6:$B$505,Оплаты!$A$6:$A$505,"&lt;"&amp;A1412,Оплаты!$D$6:$D$505,"&lt;&gt;"))</f>
        <v/>
      </c>
      <c r="E1412" t="str">
        <f>IF(A1412="","",IF(SUMPRODUCT((Ввод!$F$12:$F$31&lt;&gt;"")*(Ввод!$F$12:$F$31&lt;=A1412)*(Ввод!$G$12:$G$31&gt;=A1412))&gt;0,1,0))</f>
        <v/>
      </c>
      <c r="G1412" t="str">
        <f t="shared" si="45"/>
        <v/>
      </c>
    </row>
    <row r="1413" spans="1:7" x14ac:dyDescent="0.3">
      <c r="A1413" s="21" t="str">
        <f>IF(A1412="","",IF(A1412+1&gt;Ввод!$B$4,"",A1412+1))</f>
        <v/>
      </c>
      <c r="B1413" s="23" t="str">
        <f>IF(A1413="","",IFERROR(INDEX(Ввод!$B$12:$B$71,MATCH(A1413,Ввод!$D$12:$D$71,1)),""))</f>
        <v/>
      </c>
      <c r="C1413" t="str">
        <f t="shared" si="44"/>
        <v/>
      </c>
      <c r="D1413" t="str">
        <f>IF(A1413="","",SUMIFS(Акты!$D$5:$D$16,Акты!$E$5:$E$16,"&lt;="&amp;A1413)-SUMIFS(Оплаты!$B$6:$B$505,Оплаты!$A$6:$A$505,"&lt;"&amp;A1413,Оплаты!$D$6:$D$505,"&lt;&gt;"))</f>
        <v/>
      </c>
      <c r="E1413" t="str">
        <f>IF(A1413="","",IF(SUMPRODUCT((Ввод!$F$12:$F$31&lt;&gt;"")*(Ввод!$F$12:$F$31&lt;=A1413)*(Ввод!$G$12:$G$31&gt;=A1413))&gt;0,1,0))</f>
        <v/>
      </c>
      <c r="G1413" t="str">
        <f t="shared" si="45"/>
        <v/>
      </c>
    </row>
    <row r="1414" spans="1:7" x14ac:dyDescent="0.3">
      <c r="A1414" s="21" t="str">
        <f>IF(A1413="","",IF(A1413+1&gt;Ввод!$B$4,"",A1413+1))</f>
        <v/>
      </c>
      <c r="B1414" s="23" t="str">
        <f>IF(A1414="","",IFERROR(INDEX(Ввод!$B$12:$B$71,MATCH(A1414,Ввод!$D$12:$D$71,1)),""))</f>
        <v/>
      </c>
      <c r="C1414" t="str">
        <f t="shared" si="44"/>
        <v/>
      </c>
      <c r="D1414" t="str">
        <f>IF(A1414="","",SUMIFS(Акты!$D$5:$D$16,Акты!$E$5:$E$16,"&lt;="&amp;A1414)-SUMIFS(Оплаты!$B$6:$B$505,Оплаты!$A$6:$A$505,"&lt;"&amp;A1414,Оплаты!$D$6:$D$505,"&lt;&gt;"))</f>
        <v/>
      </c>
      <c r="E1414" t="str">
        <f>IF(A1414="","",IF(SUMPRODUCT((Ввод!$F$12:$F$31&lt;&gt;"")*(Ввод!$F$12:$F$31&lt;=A1414)*(Ввод!$G$12:$G$31&gt;=A1414))&gt;0,1,0))</f>
        <v/>
      </c>
      <c r="G1414" t="str">
        <f t="shared" si="45"/>
        <v/>
      </c>
    </row>
    <row r="1415" spans="1:7" x14ac:dyDescent="0.3">
      <c r="A1415" s="21" t="str">
        <f>IF(A1414="","",IF(A1414+1&gt;Ввод!$B$4,"",A1414+1))</f>
        <v/>
      </c>
      <c r="B1415" s="23" t="str">
        <f>IF(A1415="","",IFERROR(INDEX(Ввод!$B$12:$B$71,MATCH(A1415,Ввод!$D$12:$D$71,1)),""))</f>
        <v/>
      </c>
      <c r="C1415" t="str">
        <f t="shared" si="44"/>
        <v/>
      </c>
      <c r="D1415" t="str">
        <f>IF(A1415="","",SUMIFS(Акты!$D$5:$D$16,Акты!$E$5:$E$16,"&lt;="&amp;A1415)-SUMIFS(Оплаты!$B$6:$B$505,Оплаты!$A$6:$A$505,"&lt;"&amp;A1415,Оплаты!$D$6:$D$505,"&lt;&gt;"))</f>
        <v/>
      </c>
      <c r="E1415" t="str">
        <f>IF(A1415="","",IF(SUMPRODUCT((Ввод!$F$12:$F$31&lt;&gt;"")*(Ввод!$F$12:$F$31&lt;=A1415)*(Ввод!$G$12:$G$31&gt;=A1415))&gt;0,1,0))</f>
        <v/>
      </c>
      <c r="G1415" t="str">
        <f t="shared" si="45"/>
        <v/>
      </c>
    </row>
    <row r="1416" spans="1:7" x14ac:dyDescent="0.3">
      <c r="A1416" s="21" t="str">
        <f>IF(A1415="","",IF(A1415+1&gt;Ввод!$B$4,"",A1415+1))</f>
        <v/>
      </c>
      <c r="B1416" s="23" t="str">
        <f>IF(A1416="","",IFERROR(INDEX(Ввод!$B$12:$B$71,MATCH(A1416,Ввод!$D$12:$D$71,1)),""))</f>
        <v/>
      </c>
      <c r="C1416" t="str">
        <f t="shared" si="44"/>
        <v/>
      </c>
      <c r="D1416" t="str">
        <f>IF(A1416="","",SUMIFS(Акты!$D$5:$D$16,Акты!$E$5:$E$16,"&lt;="&amp;A1416)-SUMIFS(Оплаты!$B$6:$B$505,Оплаты!$A$6:$A$505,"&lt;"&amp;A1416,Оплаты!$D$6:$D$505,"&lt;&gt;"))</f>
        <v/>
      </c>
      <c r="E1416" t="str">
        <f>IF(A1416="","",IF(SUMPRODUCT((Ввод!$F$12:$F$31&lt;&gt;"")*(Ввод!$F$12:$F$31&lt;=A1416)*(Ввод!$G$12:$G$31&gt;=A1416))&gt;0,1,0))</f>
        <v/>
      </c>
      <c r="G1416" t="str">
        <f t="shared" si="45"/>
        <v/>
      </c>
    </row>
    <row r="1417" spans="1:7" x14ac:dyDescent="0.3">
      <c r="A1417" s="21" t="str">
        <f>IF(A1416="","",IF(A1416+1&gt;Ввод!$B$4,"",A1416+1))</f>
        <v/>
      </c>
      <c r="B1417" s="23" t="str">
        <f>IF(A1417="","",IFERROR(INDEX(Ввод!$B$12:$B$71,MATCH(A1417,Ввод!$D$12:$D$71,1)),""))</f>
        <v/>
      </c>
      <c r="C1417" t="str">
        <f t="shared" si="44"/>
        <v/>
      </c>
      <c r="D1417" t="str">
        <f>IF(A1417="","",SUMIFS(Акты!$D$5:$D$16,Акты!$E$5:$E$16,"&lt;="&amp;A1417)-SUMIFS(Оплаты!$B$6:$B$505,Оплаты!$A$6:$A$505,"&lt;"&amp;A1417,Оплаты!$D$6:$D$505,"&lt;&gt;"))</f>
        <v/>
      </c>
      <c r="E1417" t="str">
        <f>IF(A1417="","",IF(SUMPRODUCT((Ввод!$F$12:$F$31&lt;&gt;"")*(Ввод!$F$12:$F$31&lt;=A1417)*(Ввод!$G$12:$G$31&gt;=A1417))&gt;0,1,0))</f>
        <v/>
      </c>
      <c r="G1417" t="str">
        <f t="shared" si="45"/>
        <v/>
      </c>
    </row>
    <row r="1418" spans="1:7" x14ac:dyDescent="0.3">
      <c r="A1418" s="21" t="str">
        <f>IF(A1417="","",IF(A1417+1&gt;Ввод!$B$4,"",A1417+1))</f>
        <v/>
      </c>
      <c r="B1418" s="23" t="str">
        <f>IF(A1418="","",IFERROR(INDEX(Ввод!$B$12:$B$71,MATCH(A1418,Ввод!$D$12:$D$71,1)),""))</f>
        <v/>
      </c>
      <c r="C1418" t="str">
        <f t="shared" si="44"/>
        <v/>
      </c>
      <c r="D1418" t="str">
        <f>IF(A1418="","",SUMIFS(Акты!$D$5:$D$16,Акты!$E$5:$E$16,"&lt;="&amp;A1418)-SUMIFS(Оплаты!$B$6:$B$505,Оплаты!$A$6:$A$505,"&lt;"&amp;A1418,Оплаты!$D$6:$D$505,"&lt;&gt;"))</f>
        <v/>
      </c>
      <c r="E1418" t="str">
        <f>IF(A1418="","",IF(SUMPRODUCT((Ввод!$F$12:$F$31&lt;&gt;"")*(Ввод!$F$12:$F$31&lt;=A1418)*(Ввод!$G$12:$G$31&gt;=A1418))&gt;0,1,0))</f>
        <v/>
      </c>
      <c r="G1418" t="str">
        <f t="shared" si="45"/>
        <v/>
      </c>
    </row>
    <row r="1419" spans="1:7" x14ac:dyDescent="0.3">
      <c r="A1419" s="21" t="str">
        <f>IF(A1418="","",IF(A1418+1&gt;Ввод!$B$4,"",A1418+1))</f>
        <v/>
      </c>
      <c r="B1419" s="23" t="str">
        <f>IF(A1419="","",IFERROR(INDEX(Ввод!$B$12:$B$71,MATCH(A1419,Ввод!$D$12:$D$71,1)),""))</f>
        <v/>
      </c>
      <c r="C1419" t="str">
        <f t="shared" si="44"/>
        <v/>
      </c>
      <c r="D1419" t="str">
        <f>IF(A1419="","",SUMIFS(Акты!$D$5:$D$16,Акты!$E$5:$E$16,"&lt;="&amp;A1419)-SUMIFS(Оплаты!$B$6:$B$505,Оплаты!$A$6:$A$505,"&lt;"&amp;A1419,Оплаты!$D$6:$D$505,"&lt;&gt;"))</f>
        <v/>
      </c>
      <c r="E1419" t="str">
        <f>IF(A1419="","",IF(SUMPRODUCT((Ввод!$F$12:$F$31&lt;&gt;"")*(Ввод!$F$12:$F$31&lt;=A1419)*(Ввод!$G$12:$G$31&gt;=A1419))&gt;0,1,0))</f>
        <v/>
      </c>
      <c r="G1419" t="str">
        <f t="shared" si="45"/>
        <v/>
      </c>
    </row>
    <row r="1420" spans="1:7" x14ac:dyDescent="0.3">
      <c r="A1420" s="21" t="str">
        <f>IF(A1419="","",IF(A1419+1&gt;Ввод!$B$4,"",A1419+1))</f>
        <v/>
      </c>
      <c r="B1420" s="23" t="str">
        <f>IF(A1420="","",IFERROR(INDEX(Ввод!$B$12:$B$71,MATCH(A1420,Ввод!$D$12:$D$71,1)),""))</f>
        <v/>
      </c>
      <c r="C1420" t="str">
        <f t="shared" si="44"/>
        <v/>
      </c>
      <c r="D1420" t="str">
        <f>IF(A1420="","",SUMIFS(Акты!$D$5:$D$16,Акты!$E$5:$E$16,"&lt;="&amp;A1420)-SUMIFS(Оплаты!$B$6:$B$505,Оплаты!$A$6:$A$505,"&lt;"&amp;A1420,Оплаты!$D$6:$D$505,"&lt;&gt;"))</f>
        <v/>
      </c>
      <c r="E1420" t="str">
        <f>IF(A1420="","",IF(SUMPRODUCT((Ввод!$F$12:$F$31&lt;&gt;"")*(Ввод!$F$12:$F$31&lt;=A1420)*(Ввод!$G$12:$G$31&gt;=A1420))&gt;0,1,0))</f>
        <v/>
      </c>
      <c r="G1420" t="str">
        <f t="shared" si="45"/>
        <v/>
      </c>
    </row>
    <row r="1421" spans="1:7" x14ac:dyDescent="0.3">
      <c r="A1421" s="21" t="str">
        <f>IF(A1420="","",IF(A1420+1&gt;Ввод!$B$4,"",A1420+1))</f>
        <v/>
      </c>
      <c r="B1421" s="23" t="str">
        <f>IF(A1421="","",IFERROR(INDEX(Ввод!$B$12:$B$71,MATCH(A1421,Ввод!$D$12:$D$71,1)),""))</f>
        <v/>
      </c>
      <c r="C1421" t="str">
        <f t="shared" si="44"/>
        <v/>
      </c>
      <c r="D1421" t="str">
        <f>IF(A1421="","",SUMIFS(Акты!$D$5:$D$16,Акты!$E$5:$E$16,"&lt;="&amp;A1421)-SUMIFS(Оплаты!$B$6:$B$505,Оплаты!$A$6:$A$505,"&lt;"&amp;A1421,Оплаты!$D$6:$D$505,"&lt;&gt;"))</f>
        <v/>
      </c>
      <c r="E1421" t="str">
        <f>IF(A1421="","",IF(SUMPRODUCT((Ввод!$F$12:$F$31&lt;&gt;"")*(Ввод!$F$12:$F$31&lt;=A1421)*(Ввод!$G$12:$G$31&gt;=A1421))&gt;0,1,0))</f>
        <v/>
      </c>
      <c r="G1421" t="str">
        <f t="shared" si="45"/>
        <v/>
      </c>
    </row>
    <row r="1422" spans="1:7" x14ac:dyDescent="0.3">
      <c r="A1422" s="21" t="str">
        <f>IF(A1421="","",IF(A1421+1&gt;Ввод!$B$4,"",A1421+1))</f>
        <v/>
      </c>
      <c r="B1422" s="23" t="str">
        <f>IF(A1422="","",IFERROR(INDEX(Ввод!$B$12:$B$71,MATCH(A1422,Ввод!$D$12:$D$71,1)),""))</f>
        <v/>
      </c>
      <c r="C1422" t="str">
        <f t="shared" si="44"/>
        <v/>
      </c>
      <c r="D1422" t="str">
        <f>IF(A1422="","",SUMIFS(Акты!$D$5:$D$16,Акты!$E$5:$E$16,"&lt;="&amp;A1422)-SUMIFS(Оплаты!$B$6:$B$505,Оплаты!$A$6:$A$505,"&lt;"&amp;A1422,Оплаты!$D$6:$D$505,"&lt;&gt;"))</f>
        <v/>
      </c>
      <c r="E1422" t="str">
        <f>IF(A1422="","",IF(SUMPRODUCT((Ввод!$F$12:$F$31&lt;&gt;"")*(Ввод!$F$12:$F$31&lt;=A1422)*(Ввод!$G$12:$G$31&gt;=A1422))&gt;0,1,0))</f>
        <v/>
      </c>
      <c r="G1422" t="str">
        <f t="shared" si="45"/>
        <v/>
      </c>
    </row>
    <row r="1423" spans="1:7" x14ac:dyDescent="0.3">
      <c r="A1423" s="21" t="str">
        <f>IF(A1422="","",IF(A1422+1&gt;Ввод!$B$4,"",A1422+1))</f>
        <v/>
      </c>
      <c r="B1423" s="23" t="str">
        <f>IF(A1423="","",IFERROR(INDEX(Ввод!$B$12:$B$71,MATCH(A1423,Ввод!$D$12:$D$71,1)),""))</f>
        <v/>
      </c>
      <c r="C1423" t="str">
        <f t="shared" si="44"/>
        <v/>
      </c>
      <c r="D1423" t="str">
        <f>IF(A1423="","",SUMIFS(Акты!$D$5:$D$16,Акты!$E$5:$E$16,"&lt;="&amp;A1423)-SUMIFS(Оплаты!$B$6:$B$505,Оплаты!$A$6:$A$505,"&lt;"&amp;A1423,Оплаты!$D$6:$D$505,"&lt;&gt;"))</f>
        <v/>
      </c>
      <c r="E1423" t="str">
        <f>IF(A1423="","",IF(SUMPRODUCT((Ввод!$F$12:$F$31&lt;&gt;"")*(Ввод!$F$12:$F$31&lt;=A1423)*(Ввод!$G$12:$G$31&gt;=A1423))&gt;0,1,0))</f>
        <v/>
      </c>
      <c r="G1423" t="str">
        <f t="shared" si="45"/>
        <v/>
      </c>
    </row>
    <row r="1424" spans="1:7" x14ac:dyDescent="0.3">
      <c r="A1424" s="21" t="str">
        <f>IF(A1423="","",IF(A1423+1&gt;Ввод!$B$4,"",A1423+1))</f>
        <v/>
      </c>
      <c r="B1424" s="23" t="str">
        <f>IF(A1424="","",IFERROR(INDEX(Ввод!$B$12:$B$71,MATCH(A1424,Ввод!$D$12:$D$71,1)),""))</f>
        <v/>
      </c>
      <c r="C1424" t="str">
        <f t="shared" si="44"/>
        <v/>
      </c>
      <c r="D1424" t="str">
        <f>IF(A1424="","",SUMIFS(Акты!$D$5:$D$16,Акты!$E$5:$E$16,"&lt;="&amp;A1424)-SUMIFS(Оплаты!$B$6:$B$505,Оплаты!$A$6:$A$505,"&lt;"&amp;A1424,Оплаты!$D$6:$D$505,"&lt;&gt;"))</f>
        <v/>
      </c>
      <c r="E1424" t="str">
        <f>IF(A1424="","",IF(SUMPRODUCT((Ввод!$F$12:$F$31&lt;&gt;"")*(Ввод!$F$12:$F$31&lt;=A1424)*(Ввод!$G$12:$G$31&gt;=A1424))&gt;0,1,0))</f>
        <v/>
      </c>
      <c r="G1424" t="str">
        <f t="shared" si="45"/>
        <v/>
      </c>
    </row>
    <row r="1425" spans="1:7" x14ac:dyDescent="0.3">
      <c r="A1425" s="21" t="str">
        <f>IF(A1424="","",IF(A1424+1&gt;Ввод!$B$4,"",A1424+1))</f>
        <v/>
      </c>
      <c r="B1425" s="23" t="str">
        <f>IF(A1425="","",IFERROR(INDEX(Ввод!$B$12:$B$71,MATCH(A1425,Ввод!$D$12:$D$71,1)),""))</f>
        <v/>
      </c>
      <c r="C1425" t="str">
        <f t="shared" si="44"/>
        <v/>
      </c>
      <c r="D1425" t="str">
        <f>IF(A1425="","",SUMIFS(Акты!$D$5:$D$16,Акты!$E$5:$E$16,"&lt;="&amp;A1425)-SUMIFS(Оплаты!$B$6:$B$505,Оплаты!$A$6:$A$505,"&lt;"&amp;A1425,Оплаты!$D$6:$D$505,"&lt;&gt;"))</f>
        <v/>
      </c>
      <c r="E1425" t="str">
        <f>IF(A1425="","",IF(SUMPRODUCT((Ввод!$F$12:$F$31&lt;&gt;"")*(Ввод!$F$12:$F$31&lt;=A1425)*(Ввод!$G$12:$G$31&gt;=A1425))&gt;0,1,0))</f>
        <v/>
      </c>
      <c r="G1425" t="str">
        <f t="shared" si="45"/>
        <v/>
      </c>
    </row>
    <row r="1426" spans="1:7" x14ac:dyDescent="0.3">
      <c r="A1426" s="21" t="str">
        <f>IF(A1425="","",IF(A1425+1&gt;Ввод!$B$4,"",A1425+1))</f>
        <v/>
      </c>
      <c r="B1426" s="23" t="str">
        <f>IF(A1426="","",IFERROR(INDEX(Ввод!$B$12:$B$71,MATCH(A1426,Ввод!$D$12:$D$71,1)),""))</f>
        <v/>
      </c>
      <c r="C1426" t="str">
        <f t="shared" si="44"/>
        <v/>
      </c>
      <c r="D1426" t="str">
        <f>IF(A1426="","",SUMIFS(Акты!$D$5:$D$16,Акты!$E$5:$E$16,"&lt;="&amp;A1426)-SUMIFS(Оплаты!$B$6:$B$505,Оплаты!$A$6:$A$505,"&lt;"&amp;A1426,Оплаты!$D$6:$D$505,"&lt;&gt;"))</f>
        <v/>
      </c>
      <c r="E1426" t="str">
        <f>IF(A1426="","",IF(SUMPRODUCT((Ввод!$F$12:$F$31&lt;&gt;"")*(Ввод!$F$12:$F$31&lt;=A1426)*(Ввод!$G$12:$G$31&gt;=A1426))&gt;0,1,0))</f>
        <v/>
      </c>
      <c r="G1426" t="str">
        <f t="shared" si="45"/>
        <v/>
      </c>
    </row>
    <row r="1427" spans="1:7" x14ac:dyDescent="0.3">
      <c r="A1427" s="21" t="str">
        <f>IF(A1426="","",IF(A1426+1&gt;Ввод!$B$4,"",A1426+1))</f>
        <v/>
      </c>
      <c r="B1427" s="23" t="str">
        <f>IF(A1427="","",IFERROR(INDEX(Ввод!$B$12:$B$71,MATCH(A1427,Ввод!$D$12:$D$71,1)),""))</f>
        <v/>
      </c>
      <c r="C1427" t="str">
        <f t="shared" si="44"/>
        <v/>
      </c>
      <c r="D1427" t="str">
        <f>IF(A1427="","",SUMIFS(Акты!$D$5:$D$16,Акты!$E$5:$E$16,"&lt;="&amp;A1427)-SUMIFS(Оплаты!$B$6:$B$505,Оплаты!$A$6:$A$505,"&lt;"&amp;A1427,Оплаты!$D$6:$D$505,"&lt;&gt;"))</f>
        <v/>
      </c>
      <c r="E1427" t="str">
        <f>IF(A1427="","",IF(SUMPRODUCT((Ввод!$F$12:$F$31&lt;&gt;"")*(Ввод!$F$12:$F$31&lt;=A1427)*(Ввод!$G$12:$G$31&gt;=A1427))&gt;0,1,0))</f>
        <v/>
      </c>
      <c r="G1427" t="str">
        <f t="shared" si="45"/>
        <v/>
      </c>
    </row>
    <row r="1428" spans="1:7" x14ac:dyDescent="0.3">
      <c r="A1428" s="21" t="str">
        <f>IF(A1427="","",IF(A1427+1&gt;Ввод!$B$4,"",A1427+1))</f>
        <v/>
      </c>
      <c r="B1428" s="23" t="str">
        <f>IF(A1428="","",IFERROR(INDEX(Ввод!$B$12:$B$71,MATCH(A1428,Ввод!$D$12:$D$71,1)),""))</f>
        <v/>
      </c>
      <c r="C1428" t="str">
        <f t="shared" si="44"/>
        <v/>
      </c>
      <c r="D1428" t="str">
        <f>IF(A1428="","",SUMIFS(Акты!$D$5:$D$16,Акты!$E$5:$E$16,"&lt;="&amp;A1428)-SUMIFS(Оплаты!$B$6:$B$505,Оплаты!$A$6:$A$505,"&lt;"&amp;A1428,Оплаты!$D$6:$D$505,"&lt;&gt;"))</f>
        <v/>
      </c>
      <c r="E1428" t="str">
        <f>IF(A1428="","",IF(SUMPRODUCT((Ввод!$F$12:$F$31&lt;&gt;"")*(Ввод!$F$12:$F$31&lt;=A1428)*(Ввод!$G$12:$G$31&gt;=A1428))&gt;0,1,0))</f>
        <v/>
      </c>
      <c r="G1428" t="str">
        <f t="shared" si="45"/>
        <v/>
      </c>
    </row>
    <row r="1429" spans="1:7" x14ac:dyDescent="0.3">
      <c r="A1429" s="21" t="str">
        <f>IF(A1428="","",IF(A1428+1&gt;Ввод!$B$4,"",A1428+1))</f>
        <v/>
      </c>
      <c r="B1429" s="23" t="str">
        <f>IF(A1429="","",IFERROR(INDEX(Ввод!$B$12:$B$71,MATCH(A1429,Ввод!$D$12:$D$71,1)),""))</f>
        <v/>
      </c>
      <c r="C1429" t="str">
        <f t="shared" si="44"/>
        <v/>
      </c>
      <c r="D1429" t="str">
        <f>IF(A1429="","",SUMIFS(Акты!$D$5:$D$16,Акты!$E$5:$E$16,"&lt;="&amp;A1429)-SUMIFS(Оплаты!$B$6:$B$505,Оплаты!$A$6:$A$505,"&lt;"&amp;A1429,Оплаты!$D$6:$D$505,"&lt;&gt;"))</f>
        <v/>
      </c>
      <c r="E1429" t="str">
        <f>IF(A1429="","",IF(SUMPRODUCT((Ввод!$F$12:$F$31&lt;&gt;"")*(Ввод!$F$12:$F$31&lt;=A1429)*(Ввод!$G$12:$G$31&gt;=A1429))&gt;0,1,0))</f>
        <v/>
      </c>
      <c r="G1429" t="str">
        <f t="shared" si="45"/>
        <v/>
      </c>
    </row>
    <row r="1430" spans="1:7" x14ac:dyDescent="0.3">
      <c r="A1430" s="21" t="str">
        <f>IF(A1429="","",IF(A1429+1&gt;Ввод!$B$4,"",A1429+1))</f>
        <v/>
      </c>
      <c r="B1430" s="23" t="str">
        <f>IF(A1430="","",IFERROR(INDEX(Ввод!$B$12:$B$71,MATCH(A1430,Ввод!$D$12:$D$71,1)),""))</f>
        <v/>
      </c>
      <c r="C1430" t="str">
        <f t="shared" si="44"/>
        <v/>
      </c>
      <c r="D1430" t="str">
        <f>IF(A1430="","",SUMIFS(Акты!$D$5:$D$16,Акты!$E$5:$E$16,"&lt;="&amp;A1430)-SUMIFS(Оплаты!$B$6:$B$505,Оплаты!$A$6:$A$505,"&lt;"&amp;A1430,Оплаты!$D$6:$D$505,"&lt;&gt;"))</f>
        <v/>
      </c>
      <c r="E1430" t="str">
        <f>IF(A1430="","",IF(SUMPRODUCT((Ввод!$F$12:$F$31&lt;&gt;"")*(Ввод!$F$12:$F$31&lt;=A1430)*(Ввод!$G$12:$G$31&gt;=A1430))&gt;0,1,0))</f>
        <v/>
      </c>
      <c r="G1430" t="str">
        <f t="shared" si="45"/>
        <v/>
      </c>
    </row>
    <row r="1431" spans="1:7" x14ac:dyDescent="0.3">
      <c r="A1431" s="21" t="str">
        <f>IF(A1430="","",IF(A1430+1&gt;Ввод!$B$4,"",A1430+1))</f>
        <v/>
      </c>
      <c r="B1431" s="23" t="str">
        <f>IF(A1431="","",IFERROR(INDEX(Ввод!$B$12:$B$71,MATCH(A1431,Ввод!$D$12:$D$71,1)),""))</f>
        <v/>
      </c>
      <c r="C1431" t="str">
        <f t="shared" si="44"/>
        <v/>
      </c>
      <c r="D1431" t="str">
        <f>IF(A1431="","",SUMIFS(Акты!$D$5:$D$16,Акты!$E$5:$E$16,"&lt;="&amp;A1431)-SUMIFS(Оплаты!$B$6:$B$505,Оплаты!$A$6:$A$505,"&lt;"&amp;A1431,Оплаты!$D$6:$D$505,"&lt;&gt;"))</f>
        <v/>
      </c>
      <c r="E1431" t="str">
        <f>IF(A1431="","",IF(SUMPRODUCT((Ввод!$F$12:$F$31&lt;&gt;"")*(Ввод!$F$12:$F$31&lt;=A1431)*(Ввод!$G$12:$G$31&gt;=A1431))&gt;0,1,0))</f>
        <v/>
      </c>
      <c r="G1431" t="str">
        <f t="shared" si="45"/>
        <v/>
      </c>
    </row>
    <row r="1432" spans="1:7" x14ac:dyDescent="0.3">
      <c r="A1432" s="21" t="str">
        <f>IF(A1431="","",IF(A1431+1&gt;Ввод!$B$4,"",A1431+1))</f>
        <v/>
      </c>
      <c r="B1432" s="23" t="str">
        <f>IF(A1432="","",IFERROR(INDEX(Ввод!$B$12:$B$71,MATCH(A1432,Ввод!$D$12:$D$71,1)),""))</f>
        <v/>
      </c>
      <c r="C1432" t="str">
        <f t="shared" si="44"/>
        <v/>
      </c>
      <c r="D1432" t="str">
        <f>IF(A1432="","",SUMIFS(Акты!$D$5:$D$16,Акты!$E$5:$E$16,"&lt;="&amp;A1432)-SUMIFS(Оплаты!$B$6:$B$505,Оплаты!$A$6:$A$505,"&lt;"&amp;A1432,Оплаты!$D$6:$D$505,"&lt;&gt;"))</f>
        <v/>
      </c>
      <c r="E1432" t="str">
        <f>IF(A1432="","",IF(SUMPRODUCT((Ввод!$F$12:$F$31&lt;&gt;"")*(Ввод!$F$12:$F$31&lt;=A1432)*(Ввод!$G$12:$G$31&gt;=A1432))&gt;0,1,0))</f>
        <v/>
      </c>
      <c r="G1432" t="str">
        <f t="shared" si="45"/>
        <v/>
      </c>
    </row>
    <row r="1433" spans="1:7" x14ac:dyDescent="0.3">
      <c r="A1433" s="21" t="str">
        <f>IF(A1432="","",IF(A1432+1&gt;Ввод!$B$4,"",A1432+1))</f>
        <v/>
      </c>
      <c r="B1433" s="23" t="str">
        <f>IF(A1433="","",IFERROR(INDEX(Ввод!$B$12:$B$71,MATCH(A1433,Ввод!$D$12:$D$71,1)),""))</f>
        <v/>
      </c>
      <c r="C1433" t="str">
        <f t="shared" si="44"/>
        <v/>
      </c>
      <c r="D1433" t="str">
        <f>IF(A1433="","",SUMIFS(Акты!$D$5:$D$16,Акты!$E$5:$E$16,"&lt;="&amp;A1433)-SUMIFS(Оплаты!$B$6:$B$505,Оплаты!$A$6:$A$505,"&lt;"&amp;A1433,Оплаты!$D$6:$D$505,"&lt;&gt;"))</f>
        <v/>
      </c>
      <c r="E1433" t="str">
        <f>IF(A1433="","",IF(SUMPRODUCT((Ввод!$F$12:$F$31&lt;&gt;"")*(Ввод!$F$12:$F$31&lt;=A1433)*(Ввод!$G$12:$G$31&gt;=A1433))&gt;0,1,0))</f>
        <v/>
      </c>
      <c r="G1433" t="str">
        <f t="shared" si="45"/>
        <v/>
      </c>
    </row>
    <row r="1434" spans="1:7" x14ac:dyDescent="0.3">
      <c r="A1434" s="21" t="str">
        <f>IF(A1433="","",IF(A1433+1&gt;Ввод!$B$4,"",A1433+1))</f>
        <v/>
      </c>
      <c r="B1434" s="23" t="str">
        <f>IF(A1434="","",IFERROR(INDEX(Ввод!$B$12:$B$71,MATCH(A1434,Ввод!$D$12:$D$71,1)),""))</f>
        <v/>
      </c>
      <c r="C1434" t="str">
        <f t="shared" si="44"/>
        <v/>
      </c>
      <c r="D1434" t="str">
        <f>IF(A1434="","",SUMIFS(Акты!$D$5:$D$16,Акты!$E$5:$E$16,"&lt;="&amp;A1434)-SUMIFS(Оплаты!$B$6:$B$505,Оплаты!$A$6:$A$505,"&lt;"&amp;A1434,Оплаты!$D$6:$D$505,"&lt;&gt;"))</f>
        <v/>
      </c>
      <c r="E1434" t="str">
        <f>IF(A1434="","",IF(SUMPRODUCT((Ввод!$F$12:$F$31&lt;&gt;"")*(Ввод!$F$12:$F$31&lt;=A1434)*(Ввод!$G$12:$G$31&gt;=A1434))&gt;0,1,0))</f>
        <v/>
      </c>
      <c r="G1434" t="str">
        <f t="shared" si="45"/>
        <v/>
      </c>
    </row>
    <row r="1435" spans="1:7" x14ac:dyDescent="0.3">
      <c r="A1435" s="21" t="str">
        <f>IF(A1434="","",IF(A1434+1&gt;Ввод!$B$4,"",A1434+1))</f>
        <v/>
      </c>
      <c r="B1435" s="23" t="str">
        <f>IF(A1435="","",IFERROR(INDEX(Ввод!$B$12:$B$71,MATCH(A1435,Ввод!$D$12:$D$71,1)),""))</f>
        <v/>
      </c>
      <c r="C1435" t="str">
        <f t="shared" si="44"/>
        <v/>
      </c>
      <c r="D1435" t="str">
        <f>IF(A1435="","",SUMIFS(Акты!$D$5:$D$16,Акты!$E$5:$E$16,"&lt;="&amp;A1435)-SUMIFS(Оплаты!$B$6:$B$505,Оплаты!$A$6:$A$505,"&lt;"&amp;A1435,Оплаты!$D$6:$D$505,"&lt;&gt;"))</f>
        <v/>
      </c>
      <c r="E1435" t="str">
        <f>IF(A1435="","",IF(SUMPRODUCT((Ввод!$F$12:$F$31&lt;&gt;"")*(Ввод!$F$12:$F$31&lt;=A1435)*(Ввод!$G$12:$G$31&gt;=A1435))&gt;0,1,0))</f>
        <v/>
      </c>
      <c r="G1435" t="str">
        <f t="shared" si="45"/>
        <v/>
      </c>
    </row>
    <row r="1436" spans="1:7" x14ac:dyDescent="0.3">
      <c r="A1436" s="21" t="str">
        <f>IF(A1435="","",IF(A1435+1&gt;Ввод!$B$4,"",A1435+1))</f>
        <v/>
      </c>
      <c r="B1436" s="23" t="str">
        <f>IF(A1436="","",IFERROR(INDEX(Ввод!$B$12:$B$71,MATCH(A1436,Ввод!$D$12:$D$71,1)),""))</f>
        <v/>
      </c>
      <c r="C1436" t="str">
        <f t="shared" si="44"/>
        <v/>
      </c>
      <c r="D1436" t="str">
        <f>IF(A1436="","",SUMIFS(Акты!$D$5:$D$16,Акты!$E$5:$E$16,"&lt;="&amp;A1436)-SUMIFS(Оплаты!$B$6:$B$505,Оплаты!$A$6:$A$505,"&lt;"&amp;A1436,Оплаты!$D$6:$D$505,"&lt;&gt;"))</f>
        <v/>
      </c>
      <c r="E1436" t="str">
        <f>IF(A1436="","",IF(SUMPRODUCT((Ввод!$F$12:$F$31&lt;&gt;"")*(Ввод!$F$12:$F$31&lt;=A1436)*(Ввод!$G$12:$G$31&gt;=A1436))&gt;0,1,0))</f>
        <v/>
      </c>
      <c r="G1436" t="str">
        <f t="shared" si="45"/>
        <v/>
      </c>
    </row>
    <row r="1437" spans="1:7" x14ac:dyDescent="0.3">
      <c r="A1437" s="21" t="str">
        <f>IF(A1436="","",IF(A1436+1&gt;Ввод!$B$4,"",A1436+1))</f>
        <v/>
      </c>
      <c r="B1437" s="23" t="str">
        <f>IF(A1437="","",IFERROR(INDEX(Ввод!$B$12:$B$71,MATCH(A1437,Ввод!$D$12:$D$71,1)),""))</f>
        <v/>
      </c>
      <c r="C1437" t="str">
        <f t="shared" si="44"/>
        <v/>
      </c>
      <c r="D1437" t="str">
        <f>IF(A1437="","",SUMIFS(Акты!$D$5:$D$16,Акты!$E$5:$E$16,"&lt;="&amp;A1437)-SUMIFS(Оплаты!$B$6:$B$505,Оплаты!$A$6:$A$505,"&lt;"&amp;A1437,Оплаты!$D$6:$D$505,"&lt;&gt;"))</f>
        <v/>
      </c>
      <c r="E1437" t="str">
        <f>IF(A1437="","",IF(SUMPRODUCT((Ввод!$F$12:$F$31&lt;&gt;"")*(Ввод!$F$12:$F$31&lt;=A1437)*(Ввод!$G$12:$G$31&gt;=A1437))&gt;0,1,0))</f>
        <v/>
      </c>
      <c r="G1437" t="str">
        <f t="shared" si="45"/>
        <v/>
      </c>
    </row>
    <row r="1438" spans="1:7" x14ac:dyDescent="0.3">
      <c r="A1438" s="21" t="str">
        <f>IF(A1437="","",IF(A1437+1&gt;Ввод!$B$4,"",A1437+1))</f>
        <v/>
      </c>
      <c r="B1438" s="23" t="str">
        <f>IF(A1438="","",IFERROR(INDEX(Ввод!$B$12:$B$71,MATCH(A1438,Ввод!$D$12:$D$71,1)),""))</f>
        <v/>
      </c>
      <c r="C1438" t="str">
        <f t="shared" si="44"/>
        <v/>
      </c>
      <c r="D1438" t="str">
        <f>IF(A1438="","",SUMIFS(Акты!$D$5:$D$16,Акты!$E$5:$E$16,"&lt;="&amp;A1438)-SUMIFS(Оплаты!$B$6:$B$505,Оплаты!$A$6:$A$505,"&lt;"&amp;A1438,Оплаты!$D$6:$D$505,"&lt;&gt;"))</f>
        <v/>
      </c>
      <c r="E1438" t="str">
        <f>IF(A1438="","",IF(SUMPRODUCT((Ввод!$F$12:$F$31&lt;&gt;"")*(Ввод!$F$12:$F$31&lt;=A1438)*(Ввод!$G$12:$G$31&gt;=A1438))&gt;0,1,0))</f>
        <v/>
      </c>
      <c r="G1438" t="str">
        <f t="shared" si="45"/>
        <v/>
      </c>
    </row>
    <row r="1439" spans="1:7" x14ac:dyDescent="0.3">
      <c r="A1439" s="21" t="str">
        <f>IF(A1438="","",IF(A1438+1&gt;Ввод!$B$4,"",A1438+1))</f>
        <v/>
      </c>
      <c r="B1439" s="23" t="str">
        <f>IF(A1439="","",IFERROR(INDEX(Ввод!$B$12:$B$71,MATCH(A1439,Ввод!$D$12:$D$71,1)),""))</f>
        <v/>
      </c>
      <c r="C1439" t="str">
        <f t="shared" si="44"/>
        <v/>
      </c>
      <c r="D1439" t="str">
        <f>IF(A1439="","",SUMIFS(Акты!$D$5:$D$16,Акты!$E$5:$E$16,"&lt;="&amp;A1439)-SUMIFS(Оплаты!$B$6:$B$505,Оплаты!$A$6:$A$505,"&lt;"&amp;A1439,Оплаты!$D$6:$D$505,"&lt;&gt;"))</f>
        <v/>
      </c>
      <c r="E1439" t="str">
        <f>IF(A1439="","",IF(SUMPRODUCT((Ввод!$F$12:$F$31&lt;&gt;"")*(Ввод!$F$12:$F$31&lt;=A1439)*(Ввод!$G$12:$G$31&gt;=A1439))&gt;0,1,0))</f>
        <v/>
      </c>
      <c r="G1439" t="str">
        <f t="shared" si="45"/>
        <v/>
      </c>
    </row>
    <row r="1440" spans="1:7" x14ac:dyDescent="0.3">
      <c r="A1440" s="21" t="str">
        <f>IF(A1439="","",IF(A1439+1&gt;Ввод!$B$4,"",A1439+1))</f>
        <v/>
      </c>
      <c r="B1440" s="23" t="str">
        <f>IF(A1440="","",IFERROR(INDEX(Ввод!$B$12:$B$71,MATCH(A1440,Ввод!$D$12:$D$71,1)),""))</f>
        <v/>
      </c>
      <c r="C1440" t="str">
        <f t="shared" si="44"/>
        <v/>
      </c>
      <c r="D1440" t="str">
        <f>IF(A1440="","",SUMIFS(Акты!$D$5:$D$16,Акты!$E$5:$E$16,"&lt;="&amp;A1440)-SUMIFS(Оплаты!$B$6:$B$505,Оплаты!$A$6:$A$505,"&lt;"&amp;A1440,Оплаты!$D$6:$D$505,"&lt;&gt;"))</f>
        <v/>
      </c>
      <c r="E1440" t="str">
        <f>IF(A1440="","",IF(SUMPRODUCT((Ввод!$F$12:$F$31&lt;&gt;"")*(Ввод!$F$12:$F$31&lt;=A1440)*(Ввод!$G$12:$G$31&gt;=A1440))&gt;0,1,0))</f>
        <v/>
      </c>
      <c r="G1440" t="str">
        <f t="shared" si="45"/>
        <v/>
      </c>
    </row>
    <row r="1441" spans="1:7" x14ac:dyDescent="0.3">
      <c r="A1441" s="21" t="str">
        <f>IF(A1440="","",IF(A1440+1&gt;Ввод!$B$4,"",A1440+1))</f>
        <v/>
      </c>
      <c r="B1441" s="23" t="str">
        <f>IF(A1441="","",IFERROR(INDEX(Ввод!$B$12:$B$71,MATCH(A1441,Ввод!$D$12:$D$71,1)),""))</f>
        <v/>
      </c>
      <c r="C1441" t="str">
        <f t="shared" si="44"/>
        <v/>
      </c>
      <c r="D1441" t="str">
        <f>IF(A1441="","",SUMIFS(Акты!$D$5:$D$16,Акты!$E$5:$E$16,"&lt;="&amp;A1441)-SUMIFS(Оплаты!$B$6:$B$505,Оплаты!$A$6:$A$505,"&lt;"&amp;A1441,Оплаты!$D$6:$D$505,"&lt;&gt;"))</f>
        <v/>
      </c>
      <c r="E1441" t="str">
        <f>IF(A1441="","",IF(SUMPRODUCT((Ввод!$F$12:$F$31&lt;&gt;"")*(Ввод!$F$12:$F$31&lt;=A1441)*(Ввод!$G$12:$G$31&gt;=A1441))&gt;0,1,0))</f>
        <v/>
      </c>
      <c r="G1441" t="str">
        <f t="shared" si="45"/>
        <v/>
      </c>
    </row>
    <row r="1442" spans="1:7" x14ac:dyDescent="0.3">
      <c r="A1442" s="21" t="str">
        <f>IF(A1441="","",IF(A1441+1&gt;Ввод!$B$4,"",A1441+1))</f>
        <v/>
      </c>
      <c r="B1442" s="23" t="str">
        <f>IF(A1442="","",IFERROR(INDEX(Ввод!$B$12:$B$71,MATCH(A1442,Ввод!$D$12:$D$71,1)),""))</f>
        <v/>
      </c>
      <c r="C1442" t="str">
        <f t="shared" si="44"/>
        <v/>
      </c>
      <c r="D1442" t="str">
        <f>IF(A1442="","",SUMIFS(Акты!$D$5:$D$16,Акты!$E$5:$E$16,"&lt;="&amp;A1442)-SUMIFS(Оплаты!$B$6:$B$505,Оплаты!$A$6:$A$505,"&lt;"&amp;A1442,Оплаты!$D$6:$D$505,"&lt;&gt;"))</f>
        <v/>
      </c>
      <c r="E1442" t="str">
        <f>IF(A1442="","",IF(SUMPRODUCT((Ввод!$F$12:$F$31&lt;&gt;"")*(Ввод!$F$12:$F$31&lt;=A1442)*(Ввод!$G$12:$G$31&gt;=A1442))&gt;0,1,0))</f>
        <v/>
      </c>
      <c r="G1442" t="str">
        <f t="shared" si="45"/>
        <v/>
      </c>
    </row>
    <row r="1443" spans="1:7" x14ac:dyDescent="0.3">
      <c r="A1443" s="21" t="str">
        <f>IF(A1442="","",IF(A1442+1&gt;Ввод!$B$4,"",A1442+1))</f>
        <v/>
      </c>
      <c r="B1443" s="23" t="str">
        <f>IF(A1443="","",IFERROR(INDEX(Ввод!$B$12:$B$71,MATCH(A1443,Ввод!$D$12:$D$71,1)),""))</f>
        <v/>
      </c>
      <c r="C1443" t="str">
        <f t="shared" si="44"/>
        <v/>
      </c>
      <c r="D1443" t="str">
        <f>IF(A1443="","",SUMIFS(Акты!$D$5:$D$16,Акты!$E$5:$E$16,"&lt;="&amp;A1443)-SUMIFS(Оплаты!$B$6:$B$505,Оплаты!$A$6:$A$505,"&lt;"&amp;A1443,Оплаты!$D$6:$D$505,"&lt;&gt;"))</f>
        <v/>
      </c>
      <c r="E1443" t="str">
        <f>IF(A1443="","",IF(SUMPRODUCT((Ввод!$F$12:$F$31&lt;&gt;"")*(Ввод!$F$12:$F$31&lt;=A1443)*(Ввод!$G$12:$G$31&gt;=A1443))&gt;0,1,0))</f>
        <v/>
      </c>
      <c r="G1443" t="str">
        <f t="shared" si="45"/>
        <v/>
      </c>
    </row>
    <row r="1444" spans="1:7" x14ac:dyDescent="0.3">
      <c r="A1444" s="21" t="str">
        <f>IF(A1443="","",IF(A1443+1&gt;Ввод!$B$4,"",A1443+1))</f>
        <v/>
      </c>
      <c r="B1444" s="23" t="str">
        <f>IF(A1444="","",IFERROR(INDEX(Ввод!$B$12:$B$71,MATCH(A1444,Ввод!$D$12:$D$71,1)),""))</f>
        <v/>
      </c>
      <c r="C1444" t="str">
        <f t="shared" si="44"/>
        <v/>
      </c>
      <c r="D1444" t="str">
        <f>IF(A1444="","",SUMIFS(Акты!$D$5:$D$16,Акты!$E$5:$E$16,"&lt;="&amp;A1444)-SUMIFS(Оплаты!$B$6:$B$505,Оплаты!$A$6:$A$505,"&lt;"&amp;A1444,Оплаты!$D$6:$D$505,"&lt;&gt;"))</f>
        <v/>
      </c>
      <c r="E1444" t="str">
        <f>IF(A1444="","",IF(SUMPRODUCT((Ввод!$F$12:$F$31&lt;&gt;"")*(Ввод!$F$12:$F$31&lt;=A1444)*(Ввод!$G$12:$G$31&gt;=A1444))&gt;0,1,0))</f>
        <v/>
      </c>
      <c r="G1444" t="str">
        <f t="shared" si="45"/>
        <v/>
      </c>
    </row>
    <row r="1445" spans="1:7" x14ac:dyDescent="0.3">
      <c r="A1445" s="21" t="str">
        <f>IF(A1444="","",IF(A1444+1&gt;Ввод!$B$4,"",A1444+1))</f>
        <v/>
      </c>
      <c r="B1445" s="23" t="str">
        <f>IF(A1445="","",IFERROR(INDEX(Ввод!$B$12:$B$71,MATCH(A1445,Ввод!$D$12:$D$71,1)),""))</f>
        <v/>
      </c>
      <c r="C1445" t="str">
        <f t="shared" si="44"/>
        <v/>
      </c>
      <c r="D1445" t="str">
        <f>IF(A1445="","",SUMIFS(Акты!$D$5:$D$16,Акты!$E$5:$E$16,"&lt;="&amp;A1445)-SUMIFS(Оплаты!$B$6:$B$505,Оплаты!$A$6:$A$505,"&lt;"&amp;A1445,Оплаты!$D$6:$D$505,"&lt;&gt;"))</f>
        <v/>
      </c>
      <c r="E1445" t="str">
        <f>IF(A1445="","",IF(SUMPRODUCT((Ввод!$F$12:$F$31&lt;&gt;"")*(Ввод!$F$12:$F$31&lt;=A1445)*(Ввод!$G$12:$G$31&gt;=A1445))&gt;0,1,0))</f>
        <v/>
      </c>
      <c r="G1445" t="str">
        <f t="shared" si="45"/>
        <v/>
      </c>
    </row>
    <row r="1446" spans="1:7" x14ac:dyDescent="0.3">
      <c r="A1446" s="21" t="str">
        <f>IF(A1445="","",IF(A1445+1&gt;Ввод!$B$4,"",A1445+1))</f>
        <v/>
      </c>
      <c r="B1446" s="23" t="str">
        <f>IF(A1446="","",IFERROR(INDEX(Ввод!$B$12:$B$71,MATCH(A1446,Ввод!$D$12:$D$71,1)),""))</f>
        <v/>
      </c>
      <c r="C1446" t="str">
        <f t="shared" si="44"/>
        <v/>
      </c>
      <c r="D1446" t="str">
        <f>IF(A1446="","",SUMIFS(Акты!$D$5:$D$16,Акты!$E$5:$E$16,"&lt;="&amp;A1446)-SUMIFS(Оплаты!$B$6:$B$505,Оплаты!$A$6:$A$505,"&lt;"&amp;A1446,Оплаты!$D$6:$D$505,"&lt;&gt;"))</f>
        <v/>
      </c>
      <c r="E1446" t="str">
        <f>IF(A1446="","",IF(SUMPRODUCT((Ввод!$F$12:$F$31&lt;&gt;"")*(Ввод!$F$12:$F$31&lt;=A1446)*(Ввод!$G$12:$G$31&gt;=A1446))&gt;0,1,0))</f>
        <v/>
      </c>
      <c r="G1446" t="str">
        <f t="shared" si="45"/>
        <v/>
      </c>
    </row>
    <row r="1447" spans="1:7" x14ac:dyDescent="0.3">
      <c r="A1447" s="21" t="str">
        <f>IF(A1446="","",IF(A1446+1&gt;Ввод!$B$4,"",A1446+1))</f>
        <v/>
      </c>
      <c r="B1447" s="23" t="str">
        <f>IF(A1447="","",IFERROR(INDEX(Ввод!$B$12:$B$71,MATCH(A1447,Ввод!$D$12:$D$71,1)),""))</f>
        <v/>
      </c>
      <c r="C1447" t="str">
        <f t="shared" si="44"/>
        <v/>
      </c>
      <c r="D1447" t="str">
        <f>IF(A1447="","",SUMIFS(Акты!$D$5:$D$16,Акты!$E$5:$E$16,"&lt;="&amp;A1447)-SUMIFS(Оплаты!$B$6:$B$505,Оплаты!$A$6:$A$505,"&lt;"&amp;A1447,Оплаты!$D$6:$D$505,"&lt;&gt;"))</f>
        <v/>
      </c>
      <c r="E1447" t="str">
        <f>IF(A1447="","",IF(SUMPRODUCT((Ввод!$F$12:$F$31&lt;&gt;"")*(Ввод!$F$12:$F$31&lt;=A1447)*(Ввод!$G$12:$G$31&gt;=A1447))&gt;0,1,0))</f>
        <v/>
      </c>
      <c r="G1447" t="str">
        <f t="shared" si="45"/>
        <v/>
      </c>
    </row>
    <row r="1448" spans="1:7" x14ac:dyDescent="0.3">
      <c r="A1448" s="21" t="str">
        <f>IF(A1447="","",IF(A1447+1&gt;Ввод!$B$4,"",A1447+1))</f>
        <v/>
      </c>
      <c r="B1448" s="23" t="str">
        <f>IF(A1448="","",IFERROR(INDEX(Ввод!$B$12:$B$71,MATCH(A1448,Ввод!$D$12:$D$71,1)),""))</f>
        <v/>
      </c>
      <c r="C1448" t="str">
        <f t="shared" si="44"/>
        <v/>
      </c>
      <c r="D1448" t="str">
        <f>IF(A1448="","",SUMIFS(Акты!$D$5:$D$16,Акты!$E$5:$E$16,"&lt;="&amp;A1448)-SUMIFS(Оплаты!$B$6:$B$505,Оплаты!$A$6:$A$505,"&lt;"&amp;A1448,Оплаты!$D$6:$D$505,"&lt;&gt;"))</f>
        <v/>
      </c>
      <c r="E1448" t="str">
        <f>IF(A1448="","",IF(SUMPRODUCT((Ввод!$F$12:$F$31&lt;&gt;"")*(Ввод!$F$12:$F$31&lt;=A1448)*(Ввод!$G$12:$G$31&gt;=A1448))&gt;0,1,0))</f>
        <v/>
      </c>
      <c r="G1448" t="str">
        <f t="shared" si="45"/>
        <v/>
      </c>
    </row>
    <row r="1449" spans="1:7" x14ac:dyDescent="0.3">
      <c r="A1449" s="21" t="str">
        <f>IF(A1448="","",IF(A1448+1&gt;Ввод!$B$4,"",A1448+1))</f>
        <v/>
      </c>
      <c r="B1449" s="23" t="str">
        <f>IF(A1449="","",IFERROR(INDEX(Ввод!$B$12:$B$71,MATCH(A1449,Ввод!$D$12:$D$71,1)),""))</f>
        <v/>
      </c>
      <c r="C1449" t="str">
        <f t="shared" si="44"/>
        <v/>
      </c>
      <c r="D1449" t="str">
        <f>IF(A1449="","",SUMIFS(Акты!$D$5:$D$16,Акты!$E$5:$E$16,"&lt;="&amp;A1449)-SUMIFS(Оплаты!$B$6:$B$505,Оплаты!$A$6:$A$505,"&lt;"&amp;A1449,Оплаты!$D$6:$D$505,"&lt;&gt;"))</f>
        <v/>
      </c>
      <c r="E1449" t="str">
        <f>IF(A1449="","",IF(SUMPRODUCT((Ввод!$F$12:$F$31&lt;&gt;"")*(Ввод!$F$12:$F$31&lt;=A1449)*(Ввод!$G$12:$G$31&gt;=A1449))&gt;0,1,0))</f>
        <v/>
      </c>
      <c r="G1449" t="str">
        <f t="shared" si="45"/>
        <v/>
      </c>
    </row>
    <row r="1450" spans="1:7" x14ac:dyDescent="0.3">
      <c r="A1450" s="21" t="str">
        <f>IF(A1449="","",IF(A1449+1&gt;Ввод!$B$4,"",A1449+1))</f>
        <v/>
      </c>
      <c r="B1450" s="23" t="str">
        <f>IF(A1450="","",IFERROR(INDEX(Ввод!$B$12:$B$71,MATCH(A1450,Ввод!$D$12:$D$71,1)),""))</f>
        <v/>
      </c>
      <c r="C1450" t="str">
        <f t="shared" si="44"/>
        <v/>
      </c>
      <c r="D1450" t="str">
        <f>IF(A1450="","",SUMIFS(Акты!$D$5:$D$16,Акты!$E$5:$E$16,"&lt;="&amp;A1450)-SUMIFS(Оплаты!$B$6:$B$505,Оплаты!$A$6:$A$505,"&lt;"&amp;A1450,Оплаты!$D$6:$D$505,"&lt;&gt;"))</f>
        <v/>
      </c>
      <c r="E1450" t="str">
        <f>IF(A1450="","",IF(SUMPRODUCT((Ввод!$F$12:$F$31&lt;&gt;"")*(Ввод!$F$12:$F$31&lt;=A1450)*(Ввод!$G$12:$G$31&gt;=A1450))&gt;0,1,0))</f>
        <v/>
      </c>
      <c r="G1450" t="str">
        <f t="shared" si="45"/>
        <v/>
      </c>
    </row>
    <row r="1451" spans="1:7" x14ac:dyDescent="0.3">
      <c r="A1451" s="21" t="str">
        <f>IF(A1450="","",IF(A1450+1&gt;Ввод!$B$4,"",A1450+1))</f>
        <v/>
      </c>
      <c r="B1451" s="23" t="str">
        <f>IF(A1451="","",IFERROR(INDEX(Ввод!$B$12:$B$71,MATCH(A1451,Ввод!$D$12:$D$71,1)),""))</f>
        <v/>
      </c>
      <c r="C1451" t="str">
        <f t="shared" si="44"/>
        <v/>
      </c>
      <c r="D1451" t="str">
        <f>IF(A1451="","",SUMIFS(Акты!$D$5:$D$16,Акты!$E$5:$E$16,"&lt;="&amp;A1451)-SUMIFS(Оплаты!$B$6:$B$505,Оплаты!$A$6:$A$505,"&lt;"&amp;A1451,Оплаты!$D$6:$D$505,"&lt;&gt;"))</f>
        <v/>
      </c>
      <c r="E1451" t="str">
        <f>IF(A1451="","",IF(SUMPRODUCT((Ввод!$F$12:$F$31&lt;&gt;"")*(Ввод!$F$12:$F$31&lt;=A1451)*(Ввод!$G$12:$G$31&gt;=A1451))&gt;0,1,0))</f>
        <v/>
      </c>
      <c r="G1451" t="str">
        <f t="shared" si="45"/>
        <v/>
      </c>
    </row>
    <row r="1452" spans="1:7" x14ac:dyDescent="0.3">
      <c r="A1452" s="21" t="str">
        <f>IF(A1451="","",IF(A1451+1&gt;Ввод!$B$4,"",A1451+1))</f>
        <v/>
      </c>
      <c r="B1452" s="23" t="str">
        <f>IF(A1452="","",IFERROR(INDEX(Ввод!$B$12:$B$71,MATCH(A1452,Ввод!$D$12:$D$71,1)),""))</f>
        <v/>
      </c>
      <c r="C1452" t="str">
        <f t="shared" si="44"/>
        <v/>
      </c>
      <c r="D1452" t="str">
        <f>IF(A1452="","",SUMIFS(Акты!$D$5:$D$16,Акты!$E$5:$E$16,"&lt;="&amp;A1452)-SUMIFS(Оплаты!$B$6:$B$505,Оплаты!$A$6:$A$505,"&lt;"&amp;A1452,Оплаты!$D$6:$D$505,"&lt;&gt;"))</f>
        <v/>
      </c>
      <c r="E1452" t="str">
        <f>IF(A1452="","",IF(SUMPRODUCT((Ввод!$F$12:$F$31&lt;&gt;"")*(Ввод!$F$12:$F$31&lt;=A1452)*(Ввод!$G$12:$G$31&gt;=A1452))&gt;0,1,0))</f>
        <v/>
      </c>
      <c r="G1452" t="str">
        <f t="shared" si="45"/>
        <v/>
      </c>
    </row>
    <row r="1453" spans="1:7" x14ac:dyDescent="0.3">
      <c r="A1453" s="21" t="str">
        <f>IF(A1452="","",IF(A1452+1&gt;Ввод!$B$4,"",A1452+1))</f>
        <v/>
      </c>
      <c r="B1453" s="23" t="str">
        <f>IF(A1453="","",IFERROR(INDEX(Ввод!$B$12:$B$71,MATCH(A1453,Ввод!$D$12:$D$71,1)),""))</f>
        <v/>
      </c>
      <c r="C1453" t="str">
        <f t="shared" si="44"/>
        <v/>
      </c>
      <c r="D1453" t="str">
        <f>IF(A1453="","",SUMIFS(Акты!$D$5:$D$16,Акты!$E$5:$E$16,"&lt;="&amp;A1453)-SUMIFS(Оплаты!$B$6:$B$505,Оплаты!$A$6:$A$505,"&lt;"&amp;A1453,Оплаты!$D$6:$D$505,"&lt;&gt;"))</f>
        <v/>
      </c>
      <c r="E1453" t="str">
        <f>IF(A1453="","",IF(SUMPRODUCT((Ввод!$F$12:$F$31&lt;&gt;"")*(Ввод!$F$12:$F$31&lt;=A1453)*(Ввод!$G$12:$G$31&gt;=A1453))&gt;0,1,0))</f>
        <v/>
      </c>
      <c r="G1453" t="str">
        <f t="shared" si="45"/>
        <v/>
      </c>
    </row>
    <row r="1454" spans="1:7" x14ac:dyDescent="0.3">
      <c r="A1454" s="21" t="str">
        <f>IF(A1453="","",IF(A1453+1&gt;Ввод!$B$4,"",A1453+1))</f>
        <v/>
      </c>
      <c r="B1454" s="23" t="str">
        <f>IF(A1454="","",IFERROR(INDEX(Ввод!$B$12:$B$71,MATCH(A1454,Ввод!$D$12:$D$71,1)),""))</f>
        <v/>
      </c>
      <c r="C1454" t="str">
        <f t="shared" si="44"/>
        <v/>
      </c>
      <c r="D1454" t="str">
        <f>IF(A1454="","",SUMIFS(Акты!$D$5:$D$16,Акты!$E$5:$E$16,"&lt;="&amp;A1454)-SUMIFS(Оплаты!$B$6:$B$505,Оплаты!$A$6:$A$505,"&lt;"&amp;A1454,Оплаты!$D$6:$D$505,"&lt;&gt;"))</f>
        <v/>
      </c>
      <c r="E1454" t="str">
        <f>IF(A1454="","",IF(SUMPRODUCT((Ввод!$F$12:$F$31&lt;&gt;"")*(Ввод!$F$12:$F$31&lt;=A1454)*(Ввод!$G$12:$G$31&gt;=A1454))&gt;0,1,0))</f>
        <v/>
      </c>
      <c r="G1454" t="str">
        <f t="shared" si="45"/>
        <v/>
      </c>
    </row>
    <row r="1455" spans="1:7" x14ac:dyDescent="0.3">
      <c r="A1455" s="21" t="str">
        <f>IF(A1454="","",IF(A1454+1&gt;Ввод!$B$4,"",A1454+1))</f>
        <v/>
      </c>
      <c r="B1455" s="23" t="str">
        <f>IF(A1455="","",IFERROR(INDEX(Ввод!$B$12:$B$71,MATCH(A1455,Ввод!$D$12:$D$71,1)),""))</f>
        <v/>
      </c>
      <c r="C1455" t="str">
        <f t="shared" si="44"/>
        <v/>
      </c>
      <c r="D1455" t="str">
        <f>IF(A1455="","",SUMIFS(Акты!$D$5:$D$16,Акты!$E$5:$E$16,"&lt;="&amp;A1455)-SUMIFS(Оплаты!$B$6:$B$505,Оплаты!$A$6:$A$505,"&lt;"&amp;A1455,Оплаты!$D$6:$D$505,"&lt;&gt;"))</f>
        <v/>
      </c>
      <c r="E1455" t="str">
        <f>IF(A1455="","",IF(SUMPRODUCT((Ввод!$F$12:$F$31&lt;&gt;"")*(Ввод!$F$12:$F$31&lt;=A1455)*(Ввод!$G$12:$G$31&gt;=A1455))&gt;0,1,0))</f>
        <v/>
      </c>
      <c r="G1455" t="str">
        <f t="shared" si="45"/>
        <v/>
      </c>
    </row>
    <row r="1456" spans="1:7" x14ac:dyDescent="0.3">
      <c r="A1456" s="21" t="str">
        <f>IF(A1455="","",IF(A1455+1&gt;Ввод!$B$4,"",A1455+1))</f>
        <v/>
      </c>
      <c r="B1456" s="23" t="str">
        <f>IF(A1456="","",IFERROR(INDEX(Ввод!$B$12:$B$71,MATCH(A1456,Ввод!$D$12:$D$71,1)),""))</f>
        <v/>
      </c>
      <c r="C1456" t="str">
        <f t="shared" si="44"/>
        <v/>
      </c>
      <c r="D1456" t="str">
        <f>IF(A1456="","",SUMIFS(Акты!$D$5:$D$16,Акты!$E$5:$E$16,"&lt;="&amp;A1456)-SUMIFS(Оплаты!$B$6:$B$505,Оплаты!$A$6:$A$505,"&lt;"&amp;A1456,Оплаты!$D$6:$D$505,"&lt;&gt;"))</f>
        <v/>
      </c>
      <c r="E1456" t="str">
        <f>IF(A1456="","",IF(SUMPRODUCT((Ввод!$F$12:$F$31&lt;&gt;"")*(Ввод!$F$12:$F$31&lt;=A1456)*(Ввод!$G$12:$G$31&gt;=A1456))&gt;0,1,0))</f>
        <v/>
      </c>
      <c r="G1456" t="str">
        <f t="shared" si="45"/>
        <v/>
      </c>
    </row>
    <row r="1457" spans="1:7" x14ac:dyDescent="0.3">
      <c r="A1457" s="21" t="str">
        <f>IF(A1456="","",IF(A1456+1&gt;Ввод!$B$4,"",A1456+1))</f>
        <v/>
      </c>
      <c r="B1457" s="23" t="str">
        <f>IF(A1457="","",IFERROR(INDEX(Ввод!$B$12:$B$71,MATCH(A1457,Ввод!$D$12:$D$71,1)),""))</f>
        <v/>
      </c>
      <c r="C1457" t="str">
        <f t="shared" si="44"/>
        <v/>
      </c>
      <c r="D1457" t="str">
        <f>IF(A1457="","",SUMIFS(Акты!$D$5:$D$16,Акты!$E$5:$E$16,"&lt;="&amp;A1457)-SUMIFS(Оплаты!$B$6:$B$505,Оплаты!$A$6:$A$505,"&lt;"&amp;A1457,Оплаты!$D$6:$D$505,"&lt;&gt;"))</f>
        <v/>
      </c>
      <c r="E1457" t="str">
        <f>IF(A1457="","",IF(SUMPRODUCT((Ввод!$F$12:$F$31&lt;&gt;"")*(Ввод!$F$12:$F$31&lt;=A1457)*(Ввод!$G$12:$G$31&gt;=A1457))&gt;0,1,0))</f>
        <v/>
      </c>
      <c r="G1457" t="str">
        <f t="shared" si="45"/>
        <v/>
      </c>
    </row>
    <row r="1458" spans="1:7" x14ac:dyDescent="0.3">
      <c r="A1458" s="21" t="str">
        <f>IF(A1457="","",IF(A1457+1&gt;Ввод!$B$4,"",A1457+1))</f>
        <v/>
      </c>
      <c r="B1458" s="23" t="str">
        <f>IF(A1458="","",IFERROR(INDEX(Ввод!$B$12:$B$71,MATCH(A1458,Ввод!$D$12:$D$71,1)),""))</f>
        <v/>
      </c>
      <c r="C1458" t="str">
        <f t="shared" si="44"/>
        <v/>
      </c>
      <c r="D1458" t="str">
        <f>IF(A1458="","",SUMIFS(Акты!$D$5:$D$16,Акты!$E$5:$E$16,"&lt;="&amp;A1458)-SUMIFS(Оплаты!$B$6:$B$505,Оплаты!$A$6:$A$505,"&lt;"&amp;A1458,Оплаты!$D$6:$D$505,"&lt;&gt;"))</f>
        <v/>
      </c>
      <c r="E1458" t="str">
        <f>IF(A1458="","",IF(SUMPRODUCT((Ввод!$F$12:$F$31&lt;&gt;"")*(Ввод!$F$12:$F$31&lt;=A1458)*(Ввод!$G$12:$G$31&gt;=A1458))&gt;0,1,0))</f>
        <v/>
      </c>
      <c r="G1458" t="str">
        <f t="shared" si="45"/>
        <v/>
      </c>
    </row>
    <row r="1459" spans="1:7" x14ac:dyDescent="0.3">
      <c r="A1459" s="21" t="str">
        <f>IF(A1458="","",IF(A1458+1&gt;Ввод!$B$4,"",A1458+1))</f>
        <v/>
      </c>
      <c r="B1459" s="23" t="str">
        <f>IF(A1459="","",IFERROR(INDEX(Ввод!$B$12:$B$71,MATCH(A1459,Ввод!$D$12:$D$71,1)),""))</f>
        <v/>
      </c>
      <c r="C1459" t="str">
        <f t="shared" si="44"/>
        <v/>
      </c>
      <c r="D1459" t="str">
        <f>IF(A1459="","",SUMIFS(Акты!$D$5:$D$16,Акты!$E$5:$E$16,"&lt;="&amp;A1459)-SUMIFS(Оплаты!$B$6:$B$505,Оплаты!$A$6:$A$505,"&lt;"&amp;A1459,Оплаты!$D$6:$D$505,"&lt;&gt;"))</f>
        <v/>
      </c>
      <c r="E1459" t="str">
        <f>IF(A1459="","",IF(SUMPRODUCT((Ввод!$F$12:$F$31&lt;&gt;"")*(Ввод!$F$12:$F$31&lt;=A1459)*(Ввод!$G$12:$G$31&gt;=A1459))&gt;0,1,0))</f>
        <v/>
      </c>
      <c r="G1459" t="str">
        <f t="shared" si="45"/>
        <v/>
      </c>
    </row>
    <row r="1460" spans="1:7" x14ac:dyDescent="0.3">
      <c r="A1460" s="21" t="str">
        <f>IF(A1459="","",IF(A1459+1&gt;Ввод!$B$4,"",A1459+1))</f>
        <v/>
      </c>
      <c r="B1460" s="23" t="str">
        <f>IF(A1460="","",IFERROR(INDEX(Ввод!$B$12:$B$71,MATCH(A1460,Ввод!$D$12:$D$71,1)),""))</f>
        <v/>
      </c>
      <c r="C1460" t="str">
        <f t="shared" si="44"/>
        <v/>
      </c>
      <c r="D1460" t="str">
        <f>IF(A1460="","",SUMIFS(Акты!$D$5:$D$16,Акты!$E$5:$E$16,"&lt;="&amp;A1460)-SUMIFS(Оплаты!$B$6:$B$505,Оплаты!$A$6:$A$505,"&lt;"&amp;A1460,Оплаты!$D$6:$D$505,"&lt;&gt;"))</f>
        <v/>
      </c>
      <c r="E1460" t="str">
        <f>IF(A1460="","",IF(SUMPRODUCT((Ввод!$F$12:$F$31&lt;&gt;"")*(Ввод!$F$12:$F$31&lt;=A1460)*(Ввод!$G$12:$G$31&gt;=A1460))&gt;0,1,0))</f>
        <v/>
      </c>
      <c r="G1460" t="str">
        <f t="shared" si="45"/>
        <v/>
      </c>
    </row>
    <row r="1461" spans="1:7" x14ac:dyDescent="0.3">
      <c r="A1461" s="21" t="str">
        <f>IF(A1460="","",IF(A1460+1&gt;Ввод!$B$4,"",A1460+1))</f>
        <v/>
      </c>
      <c r="B1461" s="23" t="str">
        <f>IF(A1461="","",IFERROR(INDEX(Ввод!$B$12:$B$71,MATCH(A1461,Ввод!$D$12:$D$71,1)),""))</f>
        <v/>
      </c>
      <c r="C1461" t="str">
        <f t="shared" si="44"/>
        <v/>
      </c>
      <c r="D1461" t="str">
        <f>IF(A1461="","",SUMIFS(Акты!$D$5:$D$16,Акты!$E$5:$E$16,"&lt;="&amp;A1461)-SUMIFS(Оплаты!$B$6:$B$505,Оплаты!$A$6:$A$505,"&lt;"&amp;A1461,Оплаты!$D$6:$D$505,"&lt;&gt;"))</f>
        <v/>
      </c>
      <c r="E1461" t="str">
        <f>IF(A1461="","",IF(SUMPRODUCT((Ввод!$F$12:$F$31&lt;&gt;"")*(Ввод!$F$12:$F$31&lt;=A1461)*(Ввод!$G$12:$G$31&gt;=A1461))&gt;0,1,0))</f>
        <v/>
      </c>
      <c r="G1461" t="str">
        <f t="shared" si="45"/>
        <v/>
      </c>
    </row>
    <row r="1462" spans="1:7" x14ac:dyDescent="0.3">
      <c r="A1462" s="21" t="str">
        <f>IF(A1461="","",IF(A1461+1&gt;Ввод!$B$4,"",A1461+1))</f>
        <v/>
      </c>
      <c r="B1462" s="23" t="str">
        <f>IF(A1462="","",IFERROR(INDEX(Ввод!$B$12:$B$71,MATCH(A1462,Ввод!$D$12:$D$71,1)),""))</f>
        <v/>
      </c>
      <c r="C1462" t="str">
        <f t="shared" si="44"/>
        <v/>
      </c>
      <c r="D1462" t="str">
        <f>IF(A1462="","",SUMIFS(Акты!$D$5:$D$16,Акты!$E$5:$E$16,"&lt;="&amp;A1462)-SUMIFS(Оплаты!$B$6:$B$505,Оплаты!$A$6:$A$505,"&lt;"&amp;A1462,Оплаты!$D$6:$D$505,"&lt;&gt;"))</f>
        <v/>
      </c>
      <c r="E1462" t="str">
        <f>IF(A1462="","",IF(SUMPRODUCT((Ввод!$F$12:$F$31&lt;&gt;"")*(Ввод!$F$12:$F$31&lt;=A1462)*(Ввод!$G$12:$G$31&gt;=A1462))&gt;0,1,0))</f>
        <v/>
      </c>
      <c r="G1462" t="str">
        <f t="shared" si="45"/>
        <v/>
      </c>
    </row>
    <row r="1463" spans="1:7" x14ac:dyDescent="0.3">
      <c r="A1463" s="21" t="str">
        <f>IF(A1462="","",IF(A1462+1&gt;Ввод!$B$4,"",A1462+1))</f>
        <v/>
      </c>
      <c r="B1463" s="23" t="str">
        <f>IF(A1463="","",IFERROR(INDEX(Ввод!$B$12:$B$71,MATCH(A1463,Ввод!$D$12:$D$71,1)),""))</f>
        <v/>
      </c>
      <c r="C1463" t="str">
        <f t="shared" si="44"/>
        <v/>
      </c>
      <c r="D1463" t="str">
        <f>IF(A1463="","",SUMIFS(Акты!$D$5:$D$16,Акты!$E$5:$E$16,"&lt;="&amp;A1463)-SUMIFS(Оплаты!$B$6:$B$505,Оплаты!$A$6:$A$505,"&lt;"&amp;A1463,Оплаты!$D$6:$D$505,"&lt;&gt;"))</f>
        <v/>
      </c>
      <c r="E1463" t="str">
        <f>IF(A1463="","",IF(SUMPRODUCT((Ввод!$F$12:$F$31&lt;&gt;"")*(Ввод!$F$12:$F$31&lt;=A1463)*(Ввод!$G$12:$G$31&gt;=A1463))&gt;0,1,0))</f>
        <v/>
      </c>
      <c r="G1463" t="str">
        <f t="shared" si="45"/>
        <v/>
      </c>
    </row>
    <row r="1464" spans="1:7" x14ac:dyDescent="0.3">
      <c r="A1464" s="21" t="str">
        <f>IF(A1463="","",IF(A1463+1&gt;Ввод!$B$4,"",A1463+1))</f>
        <v/>
      </c>
      <c r="B1464" s="23" t="str">
        <f>IF(A1464="","",IFERROR(INDEX(Ввод!$B$12:$B$71,MATCH(A1464,Ввод!$D$12:$D$71,1)),""))</f>
        <v/>
      </c>
      <c r="C1464" t="str">
        <f t="shared" si="44"/>
        <v/>
      </c>
      <c r="D1464" t="str">
        <f>IF(A1464="","",SUMIFS(Акты!$D$5:$D$16,Акты!$E$5:$E$16,"&lt;="&amp;A1464)-SUMIFS(Оплаты!$B$6:$B$505,Оплаты!$A$6:$A$505,"&lt;"&amp;A1464,Оплаты!$D$6:$D$505,"&lt;&gt;"))</f>
        <v/>
      </c>
      <c r="E1464" t="str">
        <f>IF(A1464="","",IF(SUMPRODUCT((Ввод!$F$12:$F$31&lt;&gt;"")*(Ввод!$F$12:$F$31&lt;=A1464)*(Ввод!$G$12:$G$31&gt;=A1464))&gt;0,1,0))</f>
        <v/>
      </c>
      <c r="G1464" t="str">
        <f t="shared" si="45"/>
        <v/>
      </c>
    </row>
    <row r="1465" spans="1:7" x14ac:dyDescent="0.3">
      <c r="A1465" s="21" t="str">
        <f>IF(A1464="","",IF(A1464+1&gt;Ввод!$B$4,"",A1464+1))</f>
        <v/>
      </c>
      <c r="B1465" s="23" t="str">
        <f>IF(A1465="","",IFERROR(INDEX(Ввод!$B$12:$B$71,MATCH(A1465,Ввод!$D$12:$D$71,1)),""))</f>
        <v/>
      </c>
      <c r="C1465" t="str">
        <f t="shared" si="44"/>
        <v/>
      </c>
      <c r="D1465" t="str">
        <f>IF(A1465="","",SUMIFS(Акты!$D$5:$D$16,Акты!$E$5:$E$16,"&lt;="&amp;A1465)-SUMIFS(Оплаты!$B$6:$B$505,Оплаты!$A$6:$A$505,"&lt;"&amp;A1465,Оплаты!$D$6:$D$505,"&lt;&gt;"))</f>
        <v/>
      </c>
      <c r="E1465" t="str">
        <f>IF(A1465="","",IF(SUMPRODUCT((Ввод!$F$12:$F$31&lt;&gt;"")*(Ввод!$F$12:$F$31&lt;=A1465)*(Ввод!$G$12:$G$31&gt;=A1465))&gt;0,1,0))</f>
        <v/>
      </c>
      <c r="G1465" t="str">
        <f t="shared" si="45"/>
        <v/>
      </c>
    </row>
    <row r="1466" spans="1:7" x14ac:dyDescent="0.3">
      <c r="A1466" s="21" t="str">
        <f>IF(A1465="","",IF(A1465+1&gt;Ввод!$B$4,"",A1465+1))</f>
        <v/>
      </c>
      <c r="B1466" s="23" t="str">
        <f>IF(A1466="","",IFERROR(INDEX(Ввод!$B$12:$B$71,MATCH(A1466,Ввод!$D$12:$D$71,1)),""))</f>
        <v/>
      </c>
      <c r="C1466" t="str">
        <f t="shared" si="44"/>
        <v/>
      </c>
      <c r="D1466" t="str">
        <f>IF(A1466="","",SUMIFS(Акты!$D$5:$D$16,Акты!$E$5:$E$16,"&lt;="&amp;A1466)-SUMIFS(Оплаты!$B$6:$B$505,Оплаты!$A$6:$A$505,"&lt;"&amp;A1466,Оплаты!$D$6:$D$505,"&lt;&gt;"))</f>
        <v/>
      </c>
      <c r="E1466" t="str">
        <f>IF(A1466="","",IF(SUMPRODUCT((Ввод!$F$12:$F$31&lt;&gt;"")*(Ввод!$F$12:$F$31&lt;=A1466)*(Ввод!$G$12:$G$31&gt;=A1466))&gt;0,1,0))</f>
        <v/>
      </c>
      <c r="G1466" t="str">
        <f t="shared" si="45"/>
        <v/>
      </c>
    </row>
    <row r="1467" spans="1:7" x14ac:dyDescent="0.3">
      <c r="A1467" s="21" t="str">
        <f>IF(A1466="","",IF(A1466+1&gt;Ввод!$B$4,"",A1466+1))</f>
        <v/>
      </c>
      <c r="B1467" s="23" t="str">
        <f>IF(A1467="","",IFERROR(INDEX(Ввод!$B$12:$B$71,MATCH(A1467,Ввод!$D$12:$D$71,1)),""))</f>
        <v/>
      </c>
      <c r="C1467" t="str">
        <f t="shared" si="44"/>
        <v/>
      </c>
      <c r="D1467" t="str">
        <f>IF(A1467="","",SUMIFS(Акты!$D$5:$D$16,Акты!$E$5:$E$16,"&lt;="&amp;A1467)-SUMIFS(Оплаты!$B$6:$B$505,Оплаты!$A$6:$A$505,"&lt;"&amp;A1467,Оплаты!$D$6:$D$505,"&lt;&gt;"))</f>
        <v/>
      </c>
      <c r="E1467" t="str">
        <f>IF(A1467="","",IF(SUMPRODUCT((Ввод!$F$12:$F$31&lt;&gt;"")*(Ввод!$F$12:$F$31&lt;=A1467)*(Ввод!$G$12:$G$31&gt;=A1467))&gt;0,1,0))</f>
        <v/>
      </c>
      <c r="G1467" t="str">
        <f t="shared" si="45"/>
        <v/>
      </c>
    </row>
    <row r="1468" spans="1:7" x14ac:dyDescent="0.3">
      <c r="A1468" s="21" t="str">
        <f>IF(A1467="","",IF(A1467+1&gt;Ввод!$B$4,"",A1467+1))</f>
        <v/>
      </c>
      <c r="B1468" s="23" t="str">
        <f>IF(A1468="","",IFERROR(INDEX(Ввод!$B$12:$B$71,MATCH(A1468,Ввод!$D$12:$D$71,1)),""))</f>
        <v/>
      </c>
      <c r="C1468" t="str">
        <f t="shared" si="44"/>
        <v/>
      </c>
      <c r="D1468" t="str">
        <f>IF(A1468="","",SUMIFS(Акты!$D$5:$D$16,Акты!$E$5:$E$16,"&lt;="&amp;A1468)-SUMIFS(Оплаты!$B$6:$B$505,Оплаты!$A$6:$A$505,"&lt;"&amp;A1468,Оплаты!$D$6:$D$505,"&lt;&gt;"))</f>
        <v/>
      </c>
      <c r="E1468" t="str">
        <f>IF(A1468="","",IF(SUMPRODUCT((Ввод!$F$12:$F$31&lt;&gt;"")*(Ввод!$F$12:$F$31&lt;=A1468)*(Ввод!$G$12:$G$31&gt;=A1468))&gt;0,1,0))</f>
        <v/>
      </c>
      <c r="G1468" t="str">
        <f t="shared" si="45"/>
        <v/>
      </c>
    </row>
    <row r="1469" spans="1:7" x14ac:dyDescent="0.3">
      <c r="A1469" s="21" t="str">
        <f>IF(A1468="","",IF(A1468+1&gt;Ввод!$B$4,"",A1468+1))</f>
        <v/>
      </c>
      <c r="B1469" s="23" t="str">
        <f>IF(A1469="","",IFERROR(INDEX(Ввод!$B$12:$B$71,MATCH(A1469,Ввод!$D$12:$D$71,1)),""))</f>
        <v/>
      </c>
      <c r="C1469" t="str">
        <f t="shared" si="44"/>
        <v/>
      </c>
      <c r="D1469" t="str">
        <f>IF(A1469="","",SUMIFS(Акты!$D$5:$D$16,Акты!$E$5:$E$16,"&lt;="&amp;A1469)-SUMIFS(Оплаты!$B$6:$B$505,Оплаты!$A$6:$A$505,"&lt;"&amp;A1469,Оплаты!$D$6:$D$505,"&lt;&gt;"))</f>
        <v/>
      </c>
      <c r="E1469" t="str">
        <f>IF(A1469="","",IF(SUMPRODUCT((Ввод!$F$12:$F$31&lt;&gt;"")*(Ввод!$F$12:$F$31&lt;=A1469)*(Ввод!$G$12:$G$31&gt;=A1469))&gt;0,1,0))</f>
        <v/>
      </c>
      <c r="G1469" t="str">
        <f t="shared" si="45"/>
        <v/>
      </c>
    </row>
    <row r="1470" spans="1:7" x14ac:dyDescent="0.3">
      <c r="A1470" s="21" t="str">
        <f>IF(A1469="","",IF(A1469+1&gt;Ввод!$B$4,"",A1469+1))</f>
        <v/>
      </c>
      <c r="B1470" s="23" t="str">
        <f>IF(A1470="","",IFERROR(INDEX(Ввод!$B$12:$B$71,MATCH(A1470,Ввод!$D$12:$D$71,1)),""))</f>
        <v/>
      </c>
      <c r="C1470" t="str">
        <f t="shared" si="44"/>
        <v/>
      </c>
      <c r="D1470" t="str">
        <f>IF(A1470="","",SUMIFS(Акты!$D$5:$D$16,Акты!$E$5:$E$16,"&lt;="&amp;A1470)-SUMIFS(Оплаты!$B$6:$B$505,Оплаты!$A$6:$A$505,"&lt;"&amp;A1470,Оплаты!$D$6:$D$505,"&lt;&gt;"))</f>
        <v/>
      </c>
      <c r="E1470" t="str">
        <f>IF(A1470="","",IF(SUMPRODUCT((Ввод!$F$12:$F$31&lt;&gt;"")*(Ввод!$F$12:$F$31&lt;=A1470)*(Ввод!$G$12:$G$31&gt;=A1470))&gt;0,1,0))</f>
        <v/>
      </c>
      <c r="G1470" t="str">
        <f t="shared" si="45"/>
        <v/>
      </c>
    </row>
    <row r="1471" spans="1:7" x14ac:dyDescent="0.3">
      <c r="A1471" s="21" t="str">
        <f>IF(A1470="","",IF(A1470+1&gt;Ввод!$B$4,"",A1470+1))</f>
        <v/>
      </c>
      <c r="B1471" s="23" t="str">
        <f>IF(A1471="","",IFERROR(INDEX(Ввод!$B$12:$B$71,MATCH(A1471,Ввод!$D$12:$D$71,1)),""))</f>
        <v/>
      </c>
      <c r="C1471" t="str">
        <f t="shared" si="44"/>
        <v/>
      </c>
      <c r="D1471" t="str">
        <f>IF(A1471="","",SUMIFS(Акты!$D$5:$D$16,Акты!$E$5:$E$16,"&lt;="&amp;A1471)-SUMIFS(Оплаты!$B$6:$B$505,Оплаты!$A$6:$A$505,"&lt;"&amp;A1471,Оплаты!$D$6:$D$505,"&lt;&gt;"))</f>
        <v/>
      </c>
      <c r="E1471" t="str">
        <f>IF(A1471="","",IF(SUMPRODUCT((Ввод!$F$12:$F$31&lt;&gt;"")*(Ввод!$F$12:$F$31&lt;=A1471)*(Ввод!$G$12:$G$31&gt;=A1471))&gt;0,1,0))</f>
        <v/>
      </c>
      <c r="G1471" t="str">
        <f t="shared" si="45"/>
        <v/>
      </c>
    </row>
    <row r="1472" spans="1:7" x14ac:dyDescent="0.3">
      <c r="A1472" s="21" t="str">
        <f>IF(A1471="","",IF(A1471+1&gt;Ввод!$B$4,"",A1471+1))</f>
        <v/>
      </c>
      <c r="B1472" s="23" t="str">
        <f>IF(A1472="","",IFERROR(INDEX(Ввод!$B$12:$B$71,MATCH(A1472,Ввод!$D$12:$D$71,1)),""))</f>
        <v/>
      </c>
      <c r="C1472" t="str">
        <f t="shared" si="44"/>
        <v/>
      </c>
      <c r="D1472" t="str">
        <f>IF(A1472="","",SUMIFS(Акты!$D$5:$D$16,Акты!$E$5:$E$16,"&lt;="&amp;A1472)-SUMIFS(Оплаты!$B$6:$B$505,Оплаты!$A$6:$A$505,"&lt;"&amp;A1472,Оплаты!$D$6:$D$505,"&lt;&gt;"))</f>
        <v/>
      </c>
      <c r="E1472" t="str">
        <f>IF(A1472="","",IF(SUMPRODUCT((Ввод!$F$12:$F$31&lt;&gt;"")*(Ввод!$F$12:$F$31&lt;=A1472)*(Ввод!$G$12:$G$31&gt;=A1472))&gt;0,1,0))</f>
        <v/>
      </c>
      <c r="G1472" t="str">
        <f t="shared" si="45"/>
        <v/>
      </c>
    </row>
    <row r="1473" spans="1:7" x14ac:dyDescent="0.3">
      <c r="A1473" s="21" t="str">
        <f>IF(A1472="","",IF(A1472+1&gt;Ввод!$B$4,"",A1472+1))</f>
        <v/>
      </c>
      <c r="B1473" s="23" t="str">
        <f>IF(A1473="","",IFERROR(INDEX(Ввод!$B$12:$B$71,MATCH(A1473,Ввод!$D$12:$D$71,1)),""))</f>
        <v/>
      </c>
      <c r="C1473" t="str">
        <f t="shared" si="44"/>
        <v/>
      </c>
      <c r="D1473" t="str">
        <f>IF(A1473="","",SUMIFS(Акты!$D$5:$D$16,Акты!$E$5:$E$16,"&lt;="&amp;A1473)-SUMIFS(Оплаты!$B$6:$B$505,Оплаты!$A$6:$A$505,"&lt;"&amp;A1473,Оплаты!$D$6:$D$505,"&lt;&gt;"))</f>
        <v/>
      </c>
      <c r="E1473" t="str">
        <f>IF(A1473="","",IF(SUMPRODUCT((Ввод!$F$12:$F$31&lt;&gt;"")*(Ввод!$F$12:$F$31&lt;=A1473)*(Ввод!$G$12:$G$31&gt;=A1473))&gt;0,1,0))</f>
        <v/>
      </c>
      <c r="G1473" t="str">
        <f t="shared" si="45"/>
        <v/>
      </c>
    </row>
    <row r="1474" spans="1:7" x14ac:dyDescent="0.3">
      <c r="A1474" s="21" t="str">
        <f>IF(A1473="","",IF(A1473+1&gt;Ввод!$B$4,"",A1473+1))</f>
        <v/>
      </c>
      <c r="B1474" s="23" t="str">
        <f>IF(A1474="","",IFERROR(INDEX(Ввод!$B$12:$B$71,MATCH(A1474,Ввод!$D$12:$D$71,1)),""))</f>
        <v/>
      </c>
      <c r="C1474" t="str">
        <f t="shared" ref="C1474:C1537" si="46">IF(A1474="","",DATE(YEAR(A1474),12,31)-DATE(YEAR(A1474),1,1)+1)</f>
        <v/>
      </c>
      <c r="D1474" t="str">
        <f>IF(A1474="","",SUMIFS(Акты!$D$5:$D$16,Акты!$E$5:$E$16,"&lt;="&amp;A1474)-SUMIFS(Оплаты!$B$6:$B$505,Оплаты!$A$6:$A$505,"&lt;"&amp;A1474,Оплаты!$D$6:$D$505,"&lt;&gt;"))</f>
        <v/>
      </c>
      <c r="E1474" t="str">
        <f>IF(A1474="","",IF(SUMPRODUCT((Ввод!$F$12:$F$31&lt;&gt;"")*(Ввод!$F$12:$F$31&lt;=A1474)*(Ввод!$G$12:$G$31&gt;=A1474))&gt;0,1,0))</f>
        <v/>
      </c>
      <c r="G1474" t="str">
        <f t="shared" si="45"/>
        <v/>
      </c>
    </row>
    <row r="1475" spans="1:7" x14ac:dyDescent="0.3">
      <c r="A1475" s="21" t="str">
        <f>IF(A1474="","",IF(A1474+1&gt;Ввод!$B$4,"",A1474+1))</f>
        <v/>
      </c>
      <c r="B1475" s="23" t="str">
        <f>IF(A1475="","",IFERROR(INDEX(Ввод!$B$12:$B$71,MATCH(A1475,Ввод!$D$12:$D$71,1)),""))</f>
        <v/>
      </c>
      <c r="C1475" t="str">
        <f t="shared" si="46"/>
        <v/>
      </c>
      <c r="D1475" t="str">
        <f>IF(A1475="","",SUMIFS(Акты!$D$5:$D$16,Акты!$E$5:$E$16,"&lt;="&amp;A1475)-SUMIFS(Оплаты!$B$6:$B$505,Оплаты!$A$6:$A$505,"&lt;"&amp;A1475,Оплаты!$D$6:$D$505,"&lt;&gt;"))</f>
        <v/>
      </c>
      <c r="E1475" t="str">
        <f>IF(A1475="","",IF(SUMPRODUCT((Ввод!$F$12:$F$31&lt;&gt;"")*(Ввод!$F$12:$F$31&lt;=A1475)*(Ввод!$G$12:$G$31&gt;=A1475))&gt;0,1,0))</f>
        <v/>
      </c>
      <c r="G1475" t="str">
        <f t="shared" ref="G1475:G1538" si="47">IF(A1475="","",IF(OR(B1475&lt;&gt;B1474,C1475&lt;&gt;C1474,E1475&lt;&gt;E1474),G1474+1,G1474))</f>
        <v/>
      </c>
    </row>
    <row r="1476" spans="1:7" x14ac:dyDescent="0.3">
      <c r="A1476" s="21" t="str">
        <f>IF(A1475="","",IF(A1475+1&gt;Ввод!$B$4,"",A1475+1))</f>
        <v/>
      </c>
      <c r="B1476" s="23" t="str">
        <f>IF(A1476="","",IFERROR(INDEX(Ввод!$B$12:$B$71,MATCH(A1476,Ввод!$D$12:$D$71,1)),""))</f>
        <v/>
      </c>
      <c r="C1476" t="str">
        <f t="shared" si="46"/>
        <v/>
      </c>
      <c r="D1476" t="str">
        <f>IF(A1476="","",SUMIFS(Акты!$D$5:$D$16,Акты!$E$5:$E$16,"&lt;="&amp;A1476)-SUMIFS(Оплаты!$B$6:$B$505,Оплаты!$A$6:$A$505,"&lt;"&amp;A1476,Оплаты!$D$6:$D$505,"&lt;&gt;"))</f>
        <v/>
      </c>
      <c r="E1476" t="str">
        <f>IF(A1476="","",IF(SUMPRODUCT((Ввод!$F$12:$F$31&lt;&gt;"")*(Ввод!$F$12:$F$31&lt;=A1476)*(Ввод!$G$12:$G$31&gt;=A1476))&gt;0,1,0))</f>
        <v/>
      </c>
      <c r="G1476" t="str">
        <f t="shared" si="47"/>
        <v/>
      </c>
    </row>
    <row r="1477" spans="1:7" x14ac:dyDescent="0.3">
      <c r="A1477" s="21" t="str">
        <f>IF(A1476="","",IF(A1476+1&gt;Ввод!$B$4,"",A1476+1))</f>
        <v/>
      </c>
      <c r="B1477" s="23" t="str">
        <f>IF(A1477="","",IFERROR(INDEX(Ввод!$B$12:$B$71,MATCH(A1477,Ввод!$D$12:$D$71,1)),""))</f>
        <v/>
      </c>
      <c r="C1477" t="str">
        <f t="shared" si="46"/>
        <v/>
      </c>
      <c r="D1477" t="str">
        <f>IF(A1477="","",SUMIFS(Акты!$D$5:$D$16,Акты!$E$5:$E$16,"&lt;="&amp;A1477)-SUMIFS(Оплаты!$B$6:$B$505,Оплаты!$A$6:$A$505,"&lt;"&amp;A1477,Оплаты!$D$6:$D$505,"&lt;&gt;"))</f>
        <v/>
      </c>
      <c r="E1477" t="str">
        <f>IF(A1477="","",IF(SUMPRODUCT((Ввод!$F$12:$F$31&lt;&gt;"")*(Ввод!$F$12:$F$31&lt;=A1477)*(Ввод!$G$12:$G$31&gt;=A1477))&gt;0,1,0))</f>
        <v/>
      </c>
      <c r="G1477" t="str">
        <f t="shared" si="47"/>
        <v/>
      </c>
    </row>
    <row r="1478" spans="1:7" x14ac:dyDescent="0.3">
      <c r="A1478" s="21" t="str">
        <f>IF(A1477="","",IF(A1477+1&gt;Ввод!$B$4,"",A1477+1))</f>
        <v/>
      </c>
      <c r="B1478" s="23" t="str">
        <f>IF(A1478="","",IFERROR(INDEX(Ввод!$B$12:$B$71,MATCH(A1478,Ввод!$D$12:$D$71,1)),""))</f>
        <v/>
      </c>
      <c r="C1478" t="str">
        <f t="shared" si="46"/>
        <v/>
      </c>
      <c r="D1478" t="str">
        <f>IF(A1478="","",SUMIFS(Акты!$D$5:$D$16,Акты!$E$5:$E$16,"&lt;="&amp;A1478)-SUMIFS(Оплаты!$B$6:$B$505,Оплаты!$A$6:$A$505,"&lt;"&amp;A1478,Оплаты!$D$6:$D$505,"&lt;&gt;"))</f>
        <v/>
      </c>
      <c r="E1478" t="str">
        <f>IF(A1478="","",IF(SUMPRODUCT((Ввод!$F$12:$F$31&lt;&gt;"")*(Ввод!$F$12:$F$31&lt;=A1478)*(Ввод!$G$12:$G$31&gt;=A1478))&gt;0,1,0))</f>
        <v/>
      </c>
      <c r="G1478" t="str">
        <f t="shared" si="47"/>
        <v/>
      </c>
    </row>
    <row r="1479" spans="1:7" x14ac:dyDescent="0.3">
      <c r="A1479" s="21" t="str">
        <f>IF(A1478="","",IF(A1478+1&gt;Ввод!$B$4,"",A1478+1))</f>
        <v/>
      </c>
      <c r="B1479" s="23" t="str">
        <f>IF(A1479="","",IFERROR(INDEX(Ввод!$B$12:$B$71,MATCH(A1479,Ввод!$D$12:$D$71,1)),""))</f>
        <v/>
      </c>
      <c r="C1479" t="str">
        <f t="shared" si="46"/>
        <v/>
      </c>
      <c r="D1479" t="str">
        <f>IF(A1479="","",SUMIFS(Акты!$D$5:$D$16,Акты!$E$5:$E$16,"&lt;="&amp;A1479)-SUMIFS(Оплаты!$B$6:$B$505,Оплаты!$A$6:$A$505,"&lt;"&amp;A1479,Оплаты!$D$6:$D$505,"&lt;&gt;"))</f>
        <v/>
      </c>
      <c r="E1479" t="str">
        <f>IF(A1479="","",IF(SUMPRODUCT((Ввод!$F$12:$F$31&lt;&gt;"")*(Ввод!$F$12:$F$31&lt;=A1479)*(Ввод!$G$12:$G$31&gt;=A1479))&gt;0,1,0))</f>
        <v/>
      </c>
      <c r="G1479" t="str">
        <f t="shared" si="47"/>
        <v/>
      </c>
    </row>
    <row r="1480" spans="1:7" x14ac:dyDescent="0.3">
      <c r="A1480" s="21" t="str">
        <f>IF(A1479="","",IF(A1479+1&gt;Ввод!$B$4,"",A1479+1))</f>
        <v/>
      </c>
      <c r="B1480" s="23" t="str">
        <f>IF(A1480="","",IFERROR(INDEX(Ввод!$B$12:$B$71,MATCH(A1480,Ввод!$D$12:$D$71,1)),""))</f>
        <v/>
      </c>
      <c r="C1480" t="str">
        <f t="shared" si="46"/>
        <v/>
      </c>
      <c r="D1480" t="str">
        <f>IF(A1480="","",SUMIFS(Акты!$D$5:$D$16,Акты!$E$5:$E$16,"&lt;="&amp;A1480)-SUMIFS(Оплаты!$B$6:$B$505,Оплаты!$A$6:$A$505,"&lt;"&amp;A1480,Оплаты!$D$6:$D$505,"&lt;&gt;"))</f>
        <v/>
      </c>
      <c r="E1480" t="str">
        <f>IF(A1480="","",IF(SUMPRODUCT((Ввод!$F$12:$F$31&lt;&gt;"")*(Ввод!$F$12:$F$31&lt;=A1480)*(Ввод!$G$12:$G$31&gt;=A1480))&gt;0,1,0))</f>
        <v/>
      </c>
      <c r="G1480" t="str">
        <f t="shared" si="47"/>
        <v/>
      </c>
    </row>
    <row r="1481" spans="1:7" x14ac:dyDescent="0.3">
      <c r="A1481" s="21" t="str">
        <f>IF(A1480="","",IF(A1480+1&gt;Ввод!$B$4,"",A1480+1))</f>
        <v/>
      </c>
      <c r="B1481" s="23" t="str">
        <f>IF(A1481="","",IFERROR(INDEX(Ввод!$B$12:$B$71,MATCH(A1481,Ввод!$D$12:$D$71,1)),""))</f>
        <v/>
      </c>
      <c r="C1481" t="str">
        <f t="shared" si="46"/>
        <v/>
      </c>
      <c r="D1481" t="str">
        <f>IF(A1481="","",SUMIFS(Акты!$D$5:$D$16,Акты!$E$5:$E$16,"&lt;="&amp;A1481)-SUMIFS(Оплаты!$B$6:$B$505,Оплаты!$A$6:$A$505,"&lt;"&amp;A1481,Оплаты!$D$6:$D$505,"&lt;&gt;"))</f>
        <v/>
      </c>
      <c r="E1481" t="str">
        <f>IF(A1481="","",IF(SUMPRODUCT((Ввод!$F$12:$F$31&lt;&gt;"")*(Ввод!$F$12:$F$31&lt;=A1481)*(Ввод!$G$12:$G$31&gt;=A1481))&gt;0,1,0))</f>
        <v/>
      </c>
      <c r="G1481" t="str">
        <f t="shared" si="47"/>
        <v/>
      </c>
    </row>
    <row r="1482" spans="1:7" x14ac:dyDescent="0.3">
      <c r="A1482" s="21" t="str">
        <f>IF(A1481="","",IF(A1481+1&gt;Ввод!$B$4,"",A1481+1))</f>
        <v/>
      </c>
      <c r="B1482" s="23" t="str">
        <f>IF(A1482="","",IFERROR(INDEX(Ввод!$B$12:$B$71,MATCH(A1482,Ввод!$D$12:$D$71,1)),""))</f>
        <v/>
      </c>
      <c r="C1482" t="str">
        <f t="shared" si="46"/>
        <v/>
      </c>
      <c r="D1482" t="str">
        <f>IF(A1482="","",SUMIFS(Акты!$D$5:$D$16,Акты!$E$5:$E$16,"&lt;="&amp;A1482)-SUMIFS(Оплаты!$B$6:$B$505,Оплаты!$A$6:$A$505,"&lt;"&amp;A1482,Оплаты!$D$6:$D$505,"&lt;&gt;"))</f>
        <v/>
      </c>
      <c r="E1482" t="str">
        <f>IF(A1482="","",IF(SUMPRODUCT((Ввод!$F$12:$F$31&lt;&gt;"")*(Ввод!$F$12:$F$31&lt;=A1482)*(Ввод!$G$12:$G$31&gt;=A1482))&gt;0,1,0))</f>
        <v/>
      </c>
      <c r="G1482" t="str">
        <f t="shared" si="47"/>
        <v/>
      </c>
    </row>
    <row r="1483" spans="1:7" x14ac:dyDescent="0.3">
      <c r="A1483" s="21" t="str">
        <f>IF(A1482="","",IF(A1482+1&gt;Ввод!$B$4,"",A1482+1))</f>
        <v/>
      </c>
      <c r="B1483" s="23" t="str">
        <f>IF(A1483="","",IFERROR(INDEX(Ввод!$B$12:$B$71,MATCH(A1483,Ввод!$D$12:$D$71,1)),""))</f>
        <v/>
      </c>
      <c r="C1483" t="str">
        <f t="shared" si="46"/>
        <v/>
      </c>
      <c r="D1483" t="str">
        <f>IF(A1483="","",SUMIFS(Акты!$D$5:$D$16,Акты!$E$5:$E$16,"&lt;="&amp;A1483)-SUMIFS(Оплаты!$B$6:$B$505,Оплаты!$A$6:$A$505,"&lt;"&amp;A1483,Оплаты!$D$6:$D$505,"&lt;&gt;"))</f>
        <v/>
      </c>
      <c r="E1483" t="str">
        <f>IF(A1483="","",IF(SUMPRODUCT((Ввод!$F$12:$F$31&lt;&gt;"")*(Ввод!$F$12:$F$31&lt;=A1483)*(Ввод!$G$12:$G$31&gt;=A1483))&gt;0,1,0))</f>
        <v/>
      </c>
      <c r="G1483" t="str">
        <f t="shared" si="47"/>
        <v/>
      </c>
    </row>
    <row r="1484" spans="1:7" x14ac:dyDescent="0.3">
      <c r="A1484" s="21" t="str">
        <f>IF(A1483="","",IF(A1483+1&gt;Ввод!$B$4,"",A1483+1))</f>
        <v/>
      </c>
      <c r="B1484" s="23" t="str">
        <f>IF(A1484="","",IFERROR(INDEX(Ввод!$B$12:$B$71,MATCH(A1484,Ввод!$D$12:$D$71,1)),""))</f>
        <v/>
      </c>
      <c r="C1484" t="str">
        <f t="shared" si="46"/>
        <v/>
      </c>
      <c r="D1484" t="str">
        <f>IF(A1484="","",SUMIFS(Акты!$D$5:$D$16,Акты!$E$5:$E$16,"&lt;="&amp;A1484)-SUMIFS(Оплаты!$B$6:$B$505,Оплаты!$A$6:$A$505,"&lt;"&amp;A1484,Оплаты!$D$6:$D$505,"&lt;&gt;"))</f>
        <v/>
      </c>
      <c r="E1484" t="str">
        <f>IF(A1484="","",IF(SUMPRODUCT((Ввод!$F$12:$F$31&lt;&gt;"")*(Ввод!$F$12:$F$31&lt;=A1484)*(Ввод!$G$12:$G$31&gt;=A1484))&gt;0,1,0))</f>
        <v/>
      </c>
      <c r="G1484" t="str">
        <f t="shared" si="47"/>
        <v/>
      </c>
    </row>
    <row r="1485" spans="1:7" x14ac:dyDescent="0.3">
      <c r="A1485" s="21" t="str">
        <f>IF(A1484="","",IF(A1484+1&gt;Ввод!$B$4,"",A1484+1))</f>
        <v/>
      </c>
      <c r="B1485" s="23" t="str">
        <f>IF(A1485="","",IFERROR(INDEX(Ввод!$B$12:$B$71,MATCH(A1485,Ввод!$D$12:$D$71,1)),""))</f>
        <v/>
      </c>
      <c r="C1485" t="str">
        <f t="shared" si="46"/>
        <v/>
      </c>
      <c r="D1485" t="str">
        <f>IF(A1485="","",SUMIFS(Акты!$D$5:$D$16,Акты!$E$5:$E$16,"&lt;="&amp;A1485)-SUMIFS(Оплаты!$B$6:$B$505,Оплаты!$A$6:$A$505,"&lt;"&amp;A1485,Оплаты!$D$6:$D$505,"&lt;&gt;"))</f>
        <v/>
      </c>
      <c r="E1485" t="str">
        <f>IF(A1485="","",IF(SUMPRODUCT((Ввод!$F$12:$F$31&lt;&gt;"")*(Ввод!$F$12:$F$31&lt;=A1485)*(Ввод!$G$12:$G$31&gt;=A1485))&gt;0,1,0))</f>
        <v/>
      </c>
      <c r="G1485" t="str">
        <f t="shared" si="47"/>
        <v/>
      </c>
    </row>
    <row r="1486" spans="1:7" x14ac:dyDescent="0.3">
      <c r="A1486" s="21" t="str">
        <f>IF(A1485="","",IF(A1485+1&gt;Ввод!$B$4,"",A1485+1))</f>
        <v/>
      </c>
      <c r="B1486" s="23" t="str">
        <f>IF(A1486="","",IFERROR(INDEX(Ввод!$B$12:$B$71,MATCH(A1486,Ввод!$D$12:$D$71,1)),""))</f>
        <v/>
      </c>
      <c r="C1486" t="str">
        <f t="shared" si="46"/>
        <v/>
      </c>
      <c r="D1486" t="str">
        <f>IF(A1486="","",SUMIFS(Акты!$D$5:$D$16,Акты!$E$5:$E$16,"&lt;="&amp;A1486)-SUMIFS(Оплаты!$B$6:$B$505,Оплаты!$A$6:$A$505,"&lt;"&amp;A1486,Оплаты!$D$6:$D$505,"&lt;&gt;"))</f>
        <v/>
      </c>
      <c r="E1486" t="str">
        <f>IF(A1486="","",IF(SUMPRODUCT((Ввод!$F$12:$F$31&lt;&gt;"")*(Ввод!$F$12:$F$31&lt;=A1486)*(Ввод!$G$12:$G$31&gt;=A1486))&gt;0,1,0))</f>
        <v/>
      </c>
      <c r="G1486" t="str">
        <f t="shared" si="47"/>
        <v/>
      </c>
    </row>
    <row r="1487" spans="1:7" x14ac:dyDescent="0.3">
      <c r="A1487" s="21" t="str">
        <f>IF(A1486="","",IF(A1486+1&gt;Ввод!$B$4,"",A1486+1))</f>
        <v/>
      </c>
      <c r="B1487" s="23" t="str">
        <f>IF(A1487="","",IFERROR(INDEX(Ввод!$B$12:$B$71,MATCH(A1487,Ввод!$D$12:$D$71,1)),""))</f>
        <v/>
      </c>
      <c r="C1487" t="str">
        <f t="shared" si="46"/>
        <v/>
      </c>
      <c r="D1487" t="str">
        <f>IF(A1487="","",SUMIFS(Акты!$D$5:$D$16,Акты!$E$5:$E$16,"&lt;="&amp;A1487)-SUMIFS(Оплаты!$B$6:$B$505,Оплаты!$A$6:$A$505,"&lt;"&amp;A1487,Оплаты!$D$6:$D$505,"&lt;&gt;"))</f>
        <v/>
      </c>
      <c r="E1487" t="str">
        <f>IF(A1487="","",IF(SUMPRODUCT((Ввод!$F$12:$F$31&lt;&gt;"")*(Ввод!$F$12:$F$31&lt;=A1487)*(Ввод!$G$12:$G$31&gt;=A1487))&gt;0,1,0))</f>
        <v/>
      </c>
      <c r="G1487" t="str">
        <f t="shared" si="47"/>
        <v/>
      </c>
    </row>
    <row r="1488" spans="1:7" x14ac:dyDescent="0.3">
      <c r="A1488" s="21" t="str">
        <f>IF(A1487="","",IF(A1487+1&gt;Ввод!$B$4,"",A1487+1))</f>
        <v/>
      </c>
      <c r="B1488" s="23" t="str">
        <f>IF(A1488="","",IFERROR(INDEX(Ввод!$B$12:$B$71,MATCH(A1488,Ввод!$D$12:$D$71,1)),""))</f>
        <v/>
      </c>
      <c r="C1488" t="str">
        <f t="shared" si="46"/>
        <v/>
      </c>
      <c r="D1488" t="str">
        <f>IF(A1488="","",SUMIFS(Акты!$D$5:$D$16,Акты!$E$5:$E$16,"&lt;="&amp;A1488)-SUMIFS(Оплаты!$B$6:$B$505,Оплаты!$A$6:$A$505,"&lt;"&amp;A1488,Оплаты!$D$6:$D$505,"&lt;&gt;"))</f>
        <v/>
      </c>
      <c r="E1488" t="str">
        <f>IF(A1488="","",IF(SUMPRODUCT((Ввод!$F$12:$F$31&lt;&gt;"")*(Ввод!$F$12:$F$31&lt;=A1488)*(Ввод!$G$12:$G$31&gt;=A1488))&gt;0,1,0))</f>
        <v/>
      </c>
      <c r="G1488" t="str">
        <f t="shared" si="47"/>
        <v/>
      </c>
    </row>
    <row r="1489" spans="1:7" x14ac:dyDescent="0.3">
      <c r="A1489" s="21" t="str">
        <f>IF(A1488="","",IF(A1488+1&gt;Ввод!$B$4,"",A1488+1))</f>
        <v/>
      </c>
      <c r="B1489" s="23" t="str">
        <f>IF(A1489="","",IFERROR(INDEX(Ввод!$B$12:$B$71,MATCH(A1489,Ввод!$D$12:$D$71,1)),""))</f>
        <v/>
      </c>
      <c r="C1489" t="str">
        <f t="shared" si="46"/>
        <v/>
      </c>
      <c r="D1489" t="str">
        <f>IF(A1489="","",SUMIFS(Акты!$D$5:$D$16,Акты!$E$5:$E$16,"&lt;="&amp;A1489)-SUMIFS(Оплаты!$B$6:$B$505,Оплаты!$A$6:$A$505,"&lt;"&amp;A1489,Оплаты!$D$6:$D$505,"&lt;&gt;"))</f>
        <v/>
      </c>
      <c r="E1489" t="str">
        <f>IF(A1489="","",IF(SUMPRODUCT((Ввод!$F$12:$F$31&lt;&gt;"")*(Ввод!$F$12:$F$31&lt;=A1489)*(Ввод!$G$12:$G$31&gt;=A1489))&gt;0,1,0))</f>
        <v/>
      </c>
      <c r="G1489" t="str">
        <f t="shared" si="47"/>
        <v/>
      </c>
    </row>
    <row r="1490" spans="1:7" x14ac:dyDescent="0.3">
      <c r="A1490" s="21" t="str">
        <f>IF(A1489="","",IF(A1489+1&gt;Ввод!$B$4,"",A1489+1))</f>
        <v/>
      </c>
      <c r="B1490" s="23" t="str">
        <f>IF(A1490="","",IFERROR(INDEX(Ввод!$B$12:$B$71,MATCH(A1490,Ввод!$D$12:$D$71,1)),""))</f>
        <v/>
      </c>
      <c r="C1490" t="str">
        <f t="shared" si="46"/>
        <v/>
      </c>
      <c r="D1490" t="str">
        <f>IF(A1490="","",SUMIFS(Акты!$D$5:$D$16,Акты!$E$5:$E$16,"&lt;="&amp;A1490)-SUMIFS(Оплаты!$B$6:$B$505,Оплаты!$A$6:$A$505,"&lt;"&amp;A1490,Оплаты!$D$6:$D$505,"&lt;&gt;"))</f>
        <v/>
      </c>
      <c r="E1490" t="str">
        <f>IF(A1490="","",IF(SUMPRODUCT((Ввод!$F$12:$F$31&lt;&gt;"")*(Ввод!$F$12:$F$31&lt;=A1490)*(Ввод!$G$12:$G$31&gt;=A1490))&gt;0,1,0))</f>
        <v/>
      </c>
      <c r="G1490" t="str">
        <f t="shared" si="47"/>
        <v/>
      </c>
    </row>
    <row r="1491" spans="1:7" x14ac:dyDescent="0.3">
      <c r="A1491" s="21" t="str">
        <f>IF(A1490="","",IF(A1490+1&gt;Ввод!$B$4,"",A1490+1))</f>
        <v/>
      </c>
      <c r="B1491" s="23" t="str">
        <f>IF(A1491="","",IFERROR(INDEX(Ввод!$B$12:$B$71,MATCH(A1491,Ввод!$D$12:$D$71,1)),""))</f>
        <v/>
      </c>
      <c r="C1491" t="str">
        <f t="shared" si="46"/>
        <v/>
      </c>
      <c r="D1491" t="str">
        <f>IF(A1491="","",SUMIFS(Акты!$D$5:$D$16,Акты!$E$5:$E$16,"&lt;="&amp;A1491)-SUMIFS(Оплаты!$B$6:$B$505,Оплаты!$A$6:$A$505,"&lt;"&amp;A1491,Оплаты!$D$6:$D$505,"&lt;&gt;"))</f>
        <v/>
      </c>
      <c r="E1491" t="str">
        <f>IF(A1491="","",IF(SUMPRODUCT((Ввод!$F$12:$F$31&lt;&gt;"")*(Ввод!$F$12:$F$31&lt;=A1491)*(Ввод!$G$12:$G$31&gt;=A1491))&gt;0,1,0))</f>
        <v/>
      </c>
      <c r="G1491" t="str">
        <f t="shared" si="47"/>
        <v/>
      </c>
    </row>
    <row r="1492" spans="1:7" x14ac:dyDescent="0.3">
      <c r="A1492" s="21" t="str">
        <f>IF(A1491="","",IF(A1491+1&gt;Ввод!$B$4,"",A1491+1))</f>
        <v/>
      </c>
      <c r="B1492" s="23" t="str">
        <f>IF(A1492="","",IFERROR(INDEX(Ввод!$B$12:$B$71,MATCH(A1492,Ввод!$D$12:$D$71,1)),""))</f>
        <v/>
      </c>
      <c r="C1492" t="str">
        <f t="shared" si="46"/>
        <v/>
      </c>
      <c r="D1492" t="str">
        <f>IF(A1492="","",SUMIFS(Акты!$D$5:$D$16,Акты!$E$5:$E$16,"&lt;="&amp;A1492)-SUMIFS(Оплаты!$B$6:$B$505,Оплаты!$A$6:$A$505,"&lt;"&amp;A1492,Оплаты!$D$6:$D$505,"&lt;&gt;"))</f>
        <v/>
      </c>
      <c r="E1492" t="str">
        <f>IF(A1492="","",IF(SUMPRODUCT((Ввод!$F$12:$F$31&lt;&gt;"")*(Ввод!$F$12:$F$31&lt;=A1492)*(Ввод!$G$12:$G$31&gt;=A1492))&gt;0,1,0))</f>
        <v/>
      </c>
      <c r="G1492" t="str">
        <f t="shared" si="47"/>
        <v/>
      </c>
    </row>
    <row r="1493" spans="1:7" x14ac:dyDescent="0.3">
      <c r="A1493" s="21" t="str">
        <f>IF(A1492="","",IF(A1492+1&gt;Ввод!$B$4,"",A1492+1))</f>
        <v/>
      </c>
      <c r="B1493" s="23" t="str">
        <f>IF(A1493="","",IFERROR(INDEX(Ввод!$B$12:$B$71,MATCH(A1493,Ввод!$D$12:$D$71,1)),""))</f>
        <v/>
      </c>
      <c r="C1493" t="str">
        <f t="shared" si="46"/>
        <v/>
      </c>
      <c r="D1493" t="str">
        <f>IF(A1493="","",SUMIFS(Акты!$D$5:$D$16,Акты!$E$5:$E$16,"&lt;="&amp;A1493)-SUMIFS(Оплаты!$B$6:$B$505,Оплаты!$A$6:$A$505,"&lt;"&amp;A1493,Оплаты!$D$6:$D$505,"&lt;&gt;"))</f>
        <v/>
      </c>
      <c r="E1493" t="str">
        <f>IF(A1493="","",IF(SUMPRODUCT((Ввод!$F$12:$F$31&lt;&gt;"")*(Ввод!$F$12:$F$31&lt;=A1493)*(Ввод!$G$12:$G$31&gt;=A1493))&gt;0,1,0))</f>
        <v/>
      </c>
      <c r="G1493" t="str">
        <f t="shared" si="47"/>
        <v/>
      </c>
    </row>
    <row r="1494" spans="1:7" x14ac:dyDescent="0.3">
      <c r="A1494" s="21" t="str">
        <f>IF(A1493="","",IF(A1493+1&gt;Ввод!$B$4,"",A1493+1))</f>
        <v/>
      </c>
      <c r="B1494" s="23" t="str">
        <f>IF(A1494="","",IFERROR(INDEX(Ввод!$B$12:$B$71,MATCH(A1494,Ввод!$D$12:$D$71,1)),""))</f>
        <v/>
      </c>
      <c r="C1494" t="str">
        <f t="shared" si="46"/>
        <v/>
      </c>
      <c r="D1494" t="str">
        <f>IF(A1494="","",SUMIFS(Акты!$D$5:$D$16,Акты!$E$5:$E$16,"&lt;="&amp;A1494)-SUMIFS(Оплаты!$B$6:$B$505,Оплаты!$A$6:$A$505,"&lt;"&amp;A1494,Оплаты!$D$6:$D$505,"&lt;&gt;"))</f>
        <v/>
      </c>
      <c r="E1494" t="str">
        <f>IF(A1494="","",IF(SUMPRODUCT((Ввод!$F$12:$F$31&lt;&gt;"")*(Ввод!$F$12:$F$31&lt;=A1494)*(Ввод!$G$12:$G$31&gt;=A1494))&gt;0,1,0))</f>
        <v/>
      </c>
      <c r="G1494" t="str">
        <f t="shared" si="47"/>
        <v/>
      </c>
    </row>
    <row r="1495" spans="1:7" x14ac:dyDescent="0.3">
      <c r="A1495" s="21" t="str">
        <f>IF(A1494="","",IF(A1494+1&gt;Ввод!$B$4,"",A1494+1))</f>
        <v/>
      </c>
      <c r="B1495" s="23" t="str">
        <f>IF(A1495="","",IFERROR(INDEX(Ввод!$B$12:$B$71,MATCH(A1495,Ввод!$D$12:$D$71,1)),""))</f>
        <v/>
      </c>
      <c r="C1495" t="str">
        <f t="shared" si="46"/>
        <v/>
      </c>
      <c r="D1495" t="str">
        <f>IF(A1495="","",SUMIFS(Акты!$D$5:$D$16,Акты!$E$5:$E$16,"&lt;="&amp;A1495)-SUMIFS(Оплаты!$B$6:$B$505,Оплаты!$A$6:$A$505,"&lt;"&amp;A1495,Оплаты!$D$6:$D$505,"&lt;&gt;"))</f>
        <v/>
      </c>
      <c r="E1495" t="str">
        <f>IF(A1495="","",IF(SUMPRODUCT((Ввод!$F$12:$F$31&lt;&gt;"")*(Ввод!$F$12:$F$31&lt;=A1495)*(Ввод!$G$12:$G$31&gt;=A1495))&gt;0,1,0))</f>
        <v/>
      </c>
      <c r="G1495" t="str">
        <f t="shared" si="47"/>
        <v/>
      </c>
    </row>
    <row r="1496" spans="1:7" x14ac:dyDescent="0.3">
      <c r="A1496" s="21" t="str">
        <f>IF(A1495="","",IF(A1495+1&gt;Ввод!$B$4,"",A1495+1))</f>
        <v/>
      </c>
      <c r="B1496" s="23" t="str">
        <f>IF(A1496="","",IFERROR(INDEX(Ввод!$B$12:$B$71,MATCH(A1496,Ввод!$D$12:$D$71,1)),""))</f>
        <v/>
      </c>
      <c r="C1496" t="str">
        <f t="shared" si="46"/>
        <v/>
      </c>
      <c r="D1496" t="str">
        <f>IF(A1496="","",SUMIFS(Акты!$D$5:$D$16,Акты!$E$5:$E$16,"&lt;="&amp;A1496)-SUMIFS(Оплаты!$B$6:$B$505,Оплаты!$A$6:$A$505,"&lt;"&amp;A1496,Оплаты!$D$6:$D$505,"&lt;&gt;"))</f>
        <v/>
      </c>
      <c r="E1496" t="str">
        <f>IF(A1496="","",IF(SUMPRODUCT((Ввод!$F$12:$F$31&lt;&gt;"")*(Ввод!$F$12:$F$31&lt;=A1496)*(Ввод!$G$12:$G$31&gt;=A1496))&gt;0,1,0))</f>
        <v/>
      </c>
      <c r="G1496" t="str">
        <f t="shared" si="47"/>
        <v/>
      </c>
    </row>
    <row r="1497" spans="1:7" x14ac:dyDescent="0.3">
      <c r="A1497" s="21" t="str">
        <f>IF(A1496="","",IF(A1496+1&gt;Ввод!$B$4,"",A1496+1))</f>
        <v/>
      </c>
      <c r="B1497" s="23" t="str">
        <f>IF(A1497="","",IFERROR(INDEX(Ввод!$B$12:$B$71,MATCH(A1497,Ввод!$D$12:$D$71,1)),""))</f>
        <v/>
      </c>
      <c r="C1497" t="str">
        <f t="shared" si="46"/>
        <v/>
      </c>
      <c r="D1497" t="str">
        <f>IF(A1497="","",SUMIFS(Акты!$D$5:$D$16,Акты!$E$5:$E$16,"&lt;="&amp;A1497)-SUMIFS(Оплаты!$B$6:$B$505,Оплаты!$A$6:$A$505,"&lt;"&amp;A1497,Оплаты!$D$6:$D$505,"&lt;&gt;"))</f>
        <v/>
      </c>
      <c r="E1497" t="str">
        <f>IF(A1497="","",IF(SUMPRODUCT((Ввод!$F$12:$F$31&lt;&gt;"")*(Ввод!$F$12:$F$31&lt;=A1497)*(Ввод!$G$12:$G$31&gt;=A1497))&gt;0,1,0))</f>
        <v/>
      </c>
      <c r="G1497" t="str">
        <f t="shared" si="47"/>
        <v/>
      </c>
    </row>
    <row r="1498" spans="1:7" x14ac:dyDescent="0.3">
      <c r="A1498" s="21" t="str">
        <f>IF(A1497="","",IF(A1497+1&gt;Ввод!$B$4,"",A1497+1))</f>
        <v/>
      </c>
      <c r="B1498" s="23" t="str">
        <f>IF(A1498="","",IFERROR(INDEX(Ввод!$B$12:$B$71,MATCH(A1498,Ввод!$D$12:$D$71,1)),""))</f>
        <v/>
      </c>
      <c r="C1498" t="str">
        <f t="shared" si="46"/>
        <v/>
      </c>
      <c r="D1498" t="str">
        <f>IF(A1498="","",SUMIFS(Акты!$D$5:$D$16,Акты!$E$5:$E$16,"&lt;="&amp;A1498)-SUMIFS(Оплаты!$B$6:$B$505,Оплаты!$A$6:$A$505,"&lt;"&amp;A1498,Оплаты!$D$6:$D$505,"&lt;&gt;"))</f>
        <v/>
      </c>
      <c r="E1498" t="str">
        <f>IF(A1498="","",IF(SUMPRODUCT((Ввод!$F$12:$F$31&lt;&gt;"")*(Ввод!$F$12:$F$31&lt;=A1498)*(Ввод!$G$12:$G$31&gt;=A1498))&gt;0,1,0))</f>
        <v/>
      </c>
      <c r="G1498" t="str">
        <f t="shared" si="47"/>
        <v/>
      </c>
    </row>
    <row r="1499" spans="1:7" x14ac:dyDescent="0.3">
      <c r="A1499" s="21" t="str">
        <f>IF(A1498="","",IF(A1498+1&gt;Ввод!$B$4,"",A1498+1))</f>
        <v/>
      </c>
      <c r="B1499" s="23" t="str">
        <f>IF(A1499="","",IFERROR(INDEX(Ввод!$B$12:$B$71,MATCH(A1499,Ввод!$D$12:$D$71,1)),""))</f>
        <v/>
      </c>
      <c r="C1499" t="str">
        <f t="shared" si="46"/>
        <v/>
      </c>
      <c r="D1499" t="str">
        <f>IF(A1499="","",SUMIFS(Акты!$D$5:$D$16,Акты!$E$5:$E$16,"&lt;="&amp;A1499)-SUMIFS(Оплаты!$B$6:$B$505,Оплаты!$A$6:$A$505,"&lt;"&amp;A1499,Оплаты!$D$6:$D$505,"&lt;&gt;"))</f>
        <v/>
      </c>
      <c r="E1499" t="str">
        <f>IF(A1499="","",IF(SUMPRODUCT((Ввод!$F$12:$F$31&lt;&gt;"")*(Ввод!$F$12:$F$31&lt;=A1499)*(Ввод!$G$12:$G$31&gt;=A1499))&gt;0,1,0))</f>
        <v/>
      </c>
      <c r="G1499" t="str">
        <f t="shared" si="47"/>
        <v/>
      </c>
    </row>
    <row r="1500" spans="1:7" x14ac:dyDescent="0.3">
      <c r="A1500" s="21" t="str">
        <f>IF(A1499="","",IF(A1499+1&gt;Ввод!$B$4,"",A1499+1))</f>
        <v/>
      </c>
      <c r="B1500" s="23" t="str">
        <f>IF(A1500="","",IFERROR(INDEX(Ввод!$B$12:$B$71,MATCH(A1500,Ввод!$D$12:$D$71,1)),""))</f>
        <v/>
      </c>
      <c r="C1500" t="str">
        <f t="shared" si="46"/>
        <v/>
      </c>
      <c r="D1500" t="str">
        <f>IF(A1500="","",SUMIFS(Акты!$D$5:$D$16,Акты!$E$5:$E$16,"&lt;="&amp;A1500)-SUMIFS(Оплаты!$B$6:$B$505,Оплаты!$A$6:$A$505,"&lt;"&amp;A1500,Оплаты!$D$6:$D$505,"&lt;&gt;"))</f>
        <v/>
      </c>
      <c r="E1500" t="str">
        <f>IF(A1500="","",IF(SUMPRODUCT((Ввод!$F$12:$F$31&lt;&gt;"")*(Ввод!$F$12:$F$31&lt;=A1500)*(Ввод!$G$12:$G$31&gt;=A1500))&gt;0,1,0))</f>
        <v/>
      </c>
      <c r="G1500" t="str">
        <f t="shared" si="47"/>
        <v/>
      </c>
    </row>
    <row r="1501" spans="1:7" x14ac:dyDescent="0.3">
      <c r="A1501" s="21" t="str">
        <f>IF(A1500="","",IF(A1500+1&gt;Ввод!$B$4,"",A1500+1))</f>
        <v/>
      </c>
      <c r="B1501" s="23" t="str">
        <f>IF(A1501="","",IFERROR(INDEX(Ввод!$B$12:$B$71,MATCH(A1501,Ввод!$D$12:$D$71,1)),""))</f>
        <v/>
      </c>
      <c r="C1501" t="str">
        <f t="shared" si="46"/>
        <v/>
      </c>
      <c r="D1501" t="str">
        <f>IF(A1501="","",SUMIFS(Акты!$D$5:$D$16,Акты!$E$5:$E$16,"&lt;="&amp;A1501)-SUMIFS(Оплаты!$B$6:$B$505,Оплаты!$A$6:$A$505,"&lt;"&amp;A1501,Оплаты!$D$6:$D$505,"&lt;&gt;"))</f>
        <v/>
      </c>
      <c r="E1501" t="str">
        <f>IF(A1501="","",IF(SUMPRODUCT((Ввод!$F$12:$F$31&lt;&gt;"")*(Ввод!$F$12:$F$31&lt;=A1501)*(Ввод!$G$12:$G$31&gt;=A1501))&gt;0,1,0))</f>
        <v/>
      </c>
      <c r="G1501" t="str">
        <f t="shared" si="47"/>
        <v/>
      </c>
    </row>
    <row r="1502" spans="1:7" x14ac:dyDescent="0.3">
      <c r="A1502" s="21" t="str">
        <f>IF(A1501="","",IF(A1501+1&gt;Ввод!$B$4,"",A1501+1))</f>
        <v/>
      </c>
      <c r="B1502" s="23" t="str">
        <f>IF(A1502="","",IFERROR(INDEX(Ввод!$B$12:$B$71,MATCH(A1502,Ввод!$D$12:$D$71,1)),""))</f>
        <v/>
      </c>
      <c r="C1502" t="str">
        <f t="shared" si="46"/>
        <v/>
      </c>
      <c r="D1502" t="str">
        <f>IF(A1502="","",SUMIFS(Акты!$D$5:$D$16,Акты!$E$5:$E$16,"&lt;="&amp;A1502)-SUMIFS(Оплаты!$B$6:$B$505,Оплаты!$A$6:$A$505,"&lt;"&amp;A1502,Оплаты!$D$6:$D$505,"&lt;&gt;"))</f>
        <v/>
      </c>
      <c r="E1502" t="str">
        <f>IF(A1502="","",IF(SUMPRODUCT((Ввод!$F$12:$F$31&lt;&gt;"")*(Ввод!$F$12:$F$31&lt;=A1502)*(Ввод!$G$12:$G$31&gt;=A1502))&gt;0,1,0))</f>
        <v/>
      </c>
      <c r="G1502" t="str">
        <f t="shared" si="47"/>
        <v/>
      </c>
    </row>
    <row r="1503" spans="1:7" x14ac:dyDescent="0.3">
      <c r="A1503" s="21" t="str">
        <f>IF(A1502="","",IF(A1502+1&gt;Ввод!$B$4,"",A1502+1))</f>
        <v/>
      </c>
      <c r="B1503" s="23" t="str">
        <f>IF(A1503="","",IFERROR(INDEX(Ввод!$B$12:$B$71,MATCH(A1503,Ввод!$D$12:$D$71,1)),""))</f>
        <v/>
      </c>
      <c r="C1503" t="str">
        <f t="shared" si="46"/>
        <v/>
      </c>
      <c r="D1503" t="str">
        <f>IF(A1503="","",SUMIFS(Акты!$D$5:$D$16,Акты!$E$5:$E$16,"&lt;="&amp;A1503)-SUMIFS(Оплаты!$B$6:$B$505,Оплаты!$A$6:$A$505,"&lt;"&amp;A1503,Оплаты!$D$6:$D$505,"&lt;&gt;"))</f>
        <v/>
      </c>
      <c r="E1503" t="str">
        <f>IF(A1503="","",IF(SUMPRODUCT((Ввод!$F$12:$F$31&lt;&gt;"")*(Ввод!$F$12:$F$31&lt;=A1503)*(Ввод!$G$12:$G$31&gt;=A1503))&gt;0,1,0))</f>
        <v/>
      </c>
      <c r="G1503" t="str">
        <f t="shared" si="47"/>
        <v/>
      </c>
    </row>
    <row r="1504" spans="1:7" x14ac:dyDescent="0.3">
      <c r="A1504" s="21" t="str">
        <f>IF(A1503="","",IF(A1503+1&gt;Ввод!$B$4,"",A1503+1))</f>
        <v/>
      </c>
      <c r="B1504" s="23" t="str">
        <f>IF(A1504="","",IFERROR(INDEX(Ввод!$B$12:$B$71,MATCH(A1504,Ввод!$D$12:$D$71,1)),""))</f>
        <v/>
      </c>
      <c r="C1504" t="str">
        <f t="shared" si="46"/>
        <v/>
      </c>
      <c r="D1504" t="str">
        <f>IF(A1504="","",SUMIFS(Акты!$D$5:$D$16,Акты!$E$5:$E$16,"&lt;="&amp;A1504)-SUMIFS(Оплаты!$B$6:$B$505,Оплаты!$A$6:$A$505,"&lt;"&amp;A1504,Оплаты!$D$6:$D$505,"&lt;&gt;"))</f>
        <v/>
      </c>
      <c r="E1504" t="str">
        <f>IF(A1504="","",IF(SUMPRODUCT((Ввод!$F$12:$F$31&lt;&gt;"")*(Ввод!$F$12:$F$31&lt;=A1504)*(Ввод!$G$12:$G$31&gt;=A1504))&gt;0,1,0))</f>
        <v/>
      </c>
      <c r="G1504" t="str">
        <f t="shared" si="47"/>
        <v/>
      </c>
    </row>
    <row r="1505" spans="1:7" x14ac:dyDescent="0.3">
      <c r="A1505" s="21" t="str">
        <f>IF(A1504="","",IF(A1504+1&gt;Ввод!$B$4,"",A1504+1))</f>
        <v/>
      </c>
      <c r="B1505" s="23" t="str">
        <f>IF(A1505="","",IFERROR(INDEX(Ввод!$B$12:$B$71,MATCH(A1505,Ввод!$D$12:$D$71,1)),""))</f>
        <v/>
      </c>
      <c r="C1505" t="str">
        <f t="shared" si="46"/>
        <v/>
      </c>
      <c r="D1505" t="str">
        <f>IF(A1505="","",SUMIFS(Акты!$D$5:$D$16,Акты!$E$5:$E$16,"&lt;="&amp;A1505)-SUMIFS(Оплаты!$B$6:$B$505,Оплаты!$A$6:$A$505,"&lt;"&amp;A1505,Оплаты!$D$6:$D$505,"&lt;&gt;"))</f>
        <v/>
      </c>
      <c r="E1505" t="str">
        <f>IF(A1505="","",IF(SUMPRODUCT((Ввод!$F$12:$F$31&lt;&gt;"")*(Ввод!$F$12:$F$31&lt;=A1505)*(Ввод!$G$12:$G$31&gt;=A1505))&gt;0,1,0))</f>
        <v/>
      </c>
      <c r="G1505" t="str">
        <f t="shared" si="47"/>
        <v/>
      </c>
    </row>
    <row r="1506" spans="1:7" x14ac:dyDescent="0.3">
      <c r="A1506" s="21" t="str">
        <f>IF(A1505="","",IF(A1505+1&gt;Ввод!$B$4,"",A1505+1))</f>
        <v/>
      </c>
      <c r="B1506" s="23" t="str">
        <f>IF(A1506="","",IFERROR(INDEX(Ввод!$B$12:$B$71,MATCH(A1506,Ввод!$D$12:$D$71,1)),""))</f>
        <v/>
      </c>
      <c r="C1506" t="str">
        <f t="shared" si="46"/>
        <v/>
      </c>
      <c r="D1506" t="str">
        <f>IF(A1506="","",SUMIFS(Акты!$D$5:$D$16,Акты!$E$5:$E$16,"&lt;="&amp;A1506)-SUMIFS(Оплаты!$B$6:$B$505,Оплаты!$A$6:$A$505,"&lt;"&amp;A1506,Оплаты!$D$6:$D$505,"&lt;&gt;"))</f>
        <v/>
      </c>
      <c r="E1506" t="str">
        <f>IF(A1506="","",IF(SUMPRODUCT((Ввод!$F$12:$F$31&lt;&gt;"")*(Ввод!$F$12:$F$31&lt;=A1506)*(Ввод!$G$12:$G$31&gt;=A1506))&gt;0,1,0))</f>
        <v/>
      </c>
      <c r="G1506" t="str">
        <f t="shared" si="47"/>
        <v/>
      </c>
    </row>
    <row r="1507" spans="1:7" x14ac:dyDescent="0.3">
      <c r="A1507" s="21" t="str">
        <f>IF(A1506="","",IF(A1506+1&gt;Ввод!$B$4,"",A1506+1))</f>
        <v/>
      </c>
      <c r="B1507" s="23" t="str">
        <f>IF(A1507="","",IFERROR(INDEX(Ввод!$B$12:$B$71,MATCH(A1507,Ввод!$D$12:$D$71,1)),""))</f>
        <v/>
      </c>
      <c r="C1507" t="str">
        <f t="shared" si="46"/>
        <v/>
      </c>
      <c r="D1507" t="str">
        <f>IF(A1507="","",SUMIFS(Акты!$D$5:$D$16,Акты!$E$5:$E$16,"&lt;="&amp;A1507)-SUMIFS(Оплаты!$B$6:$B$505,Оплаты!$A$6:$A$505,"&lt;"&amp;A1507,Оплаты!$D$6:$D$505,"&lt;&gt;"))</f>
        <v/>
      </c>
      <c r="E1507" t="str">
        <f>IF(A1507="","",IF(SUMPRODUCT((Ввод!$F$12:$F$31&lt;&gt;"")*(Ввод!$F$12:$F$31&lt;=A1507)*(Ввод!$G$12:$G$31&gt;=A1507))&gt;0,1,0))</f>
        <v/>
      </c>
      <c r="G1507" t="str">
        <f t="shared" si="47"/>
        <v/>
      </c>
    </row>
    <row r="1508" spans="1:7" x14ac:dyDescent="0.3">
      <c r="A1508" s="21" t="str">
        <f>IF(A1507="","",IF(A1507+1&gt;Ввод!$B$4,"",A1507+1))</f>
        <v/>
      </c>
      <c r="B1508" s="23" t="str">
        <f>IF(A1508="","",IFERROR(INDEX(Ввод!$B$12:$B$71,MATCH(A1508,Ввод!$D$12:$D$71,1)),""))</f>
        <v/>
      </c>
      <c r="C1508" t="str">
        <f t="shared" si="46"/>
        <v/>
      </c>
      <c r="D1508" t="str">
        <f>IF(A1508="","",SUMIFS(Акты!$D$5:$D$16,Акты!$E$5:$E$16,"&lt;="&amp;A1508)-SUMIFS(Оплаты!$B$6:$B$505,Оплаты!$A$6:$A$505,"&lt;"&amp;A1508,Оплаты!$D$6:$D$505,"&lt;&gt;"))</f>
        <v/>
      </c>
      <c r="E1508" t="str">
        <f>IF(A1508="","",IF(SUMPRODUCT((Ввод!$F$12:$F$31&lt;&gt;"")*(Ввод!$F$12:$F$31&lt;=A1508)*(Ввод!$G$12:$G$31&gt;=A1508))&gt;0,1,0))</f>
        <v/>
      </c>
      <c r="G1508" t="str">
        <f t="shared" si="47"/>
        <v/>
      </c>
    </row>
    <row r="1509" spans="1:7" x14ac:dyDescent="0.3">
      <c r="A1509" s="21" t="str">
        <f>IF(A1508="","",IF(A1508+1&gt;Ввод!$B$4,"",A1508+1))</f>
        <v/>
      </c>
      <c r="B1509" s="23" t="str">
        <f>IF(A1509="","",IFERROR(INDEX(Ввод!$B$12:$B$71,MATCH(A1509,Ввод!$D$12:$D$71,1)),""))</f>
        <v/>
      </c>
      <c r="C1509" t="str">
        <f t="shared" si="46"/>
        <v/>
      </c>
      <c r="D1509" t="str">
        <f>IF(A1509="","",SUMIFS(Акты!$D$5:$D$16,Акты!$E$5:$E$16,"&lt;="&amp;A1509)-SUMIFS(Оплаты!$B$6:$B$505,Оплаты!$A$6:$A$505,"&lt;"&amp;A1509,Оплаты!$D$6:$D$505,"&lt;&gt;"))</f>
        <v/>
      </c>
      <c r="E1509" t="str">
        <f>IF(A1509="","",IF(SUMPRODUCT((Ввод!$F$12:$F$31&lt;&gt;"")*(Ввод!$F$12:$F$31&lt;=A1509)*(Ввод!$G$12:$G$31&gt;=A1509))&gt;0,1,0))</f>
        <v/>
      </c>
      <c r="G1509" t="str">
        <f t="shared" si="47"/>
        <v/>
      </c>
    </row>
    <row r="1510" spans="1:7" x14ac:dyDescent="0.3">
      <c r="A1510" s="21" t="str">
        <f>IF(A1509="","",IF(A1509+1&gt;Ввод!$B$4,"",A1509+1))</f>
        <v/>
      </c>
      <c r="B1510" s="23" t="str">
        <f>IF(A1510="","",IFERROR(INDEX(Ввод!$B$12:$B$71,MATCH(A1510,Ввод!$D$12:$D$71,1)),""))</f>
        <v/>
      </c>
      <c r="C1510" t="str">
        <f t="shared" si="46"/>
        <v/>
      </c>
      <c r="D1510" t="str">
        <f>IF(A1510="","",SUMIFS(Акты!$D$5:$D$16,Акты!$E$5:$E$16,"&lt;="&amp;A1510)-SUMIFS(Оплаты!$B$6:$B$505,Оплаты!$A$6:$A$505,"&lt;"&amp;A1510,Оплаты!$D$6:$D$505,"&lt;&gt;"))</f>
        <v/>
      </c>
      <c r="E1510" t="str">
        <f>IF(A1510="","",IF(SUMPRODUCT((Ввод!$F$12:$F$31&lt;&gt;"")*(Ввод!$F$12:$F$31&lt;=A1510)*(Ввод!$G$12:$G$31&gt;=A1510))&gt;0,1,0))</f>
        <v/>
      </c>
      <c r="G1510" t="str">
        <f t="shared" si="47"/>
        <v/>
      </c>
    </row>
    <row r="1511" spans="1:7" x14ac:dyDescent="0.3">
      <c r="A1511" s="21" t="str">
        <f>IF(A1510="","",IF(A1510+1&gt;Ввод!$B$4,"",A1510+1))</f>
        <v/>
      </c>
      <c r="B1511" s="23" t="str">
        <f>IF(A1511="","",IFERROR(INDEX(Ввод!$B$12:$B$71,MATCH(A1511,Ввод!$D$12:$D$71,1)),""))</f>
        <v/>
      </c>
      <c r="C1511" t="str">
        <f t="shared" si="46"/>
        <v/>
      </c>
      <c r="D1511" t="str">
        <f>IF(A1511="","",SUMIFS(Акты!$D$5:$D$16,Акты!$E$5:$E$16,"&lt;="&amp;A1511)-SUMIFS(Оплаты!$B$6:$B$505,Оплаты!$A$6:$A$505,"&lt;"&amp;A1511,Оплаты!$D$6:$D$505,"&lt;&gt;"))</f>
        <v/>
      </c>
      <c r="E1511" t="str">
        <f>IF(A1511="","",IF(SUMPRODUCT((Ввод!$F$12:$F$31&lt;&gt;"")*(Ввод!$F$12:$F$31&lt;=A1511)*(Ввод!$G$12:$G$31&gt;=A1511))&gt;0,1,0))</f>
        <v/>
      </c>
      <c r="G1511" t="str">
        <f t="shared" si="47"/>
        <v/>
      </c>
    </row>
    <row r="1512" spans="1:7" x14ac:dyDescent="0.3">
      <c r="A1512" s="21" t="str">
        <f>IF(A1511="","",IF(A1511+1&gt;Ввод!$B$4,"",A1511+1))</f>
        <v/>
      </c>
      <c r="B1512" s="23" t="str">
        <f>IF(A1512="","",IFERROR(INDEX(Ввод!$B$12:$B$71,MATCH(A1512,Ввод!$D$12:$D$71,1)),""))</f>
        <v/>
      </c>
      <c r="C1512" t="str">
        <f t="shared" si="46"/>
        <v/>
      </c>
      <c r="D1512" t="str">
        <f>IF(A1512="","",SUMIFS(Акты!$D$5:$D$16,Акты!$E$5:$E$16,"&lt;="&amp;A1512)-SUMIFS(Оплаты!$B$6:$B$505,Оплаты!$A$6:$A$505,"&lt;"&amp;A1512,Оплаты!$D$6:$D$505,"&lt;&gt;"))</f>
        <v/>
      </c>
      <c r="E1512" t="str">
        <f>IF(A1512="","",IF(SUMPRODUCT((Ввод!$F$12:$F$31&lt;&gt;"")*(Ввод!$F$12:$F$31&lt;=A1512)*(Ввод!$G$12:$G$31&gt;=A1512))&gt;0,1,0))</f>
        <v/>
      </c>
      <c r="G1512" t="str">
        <f t="shared" si="47"/>
        <v/>
      </c>
    </row>
    <row r="1513" spans="1:7" x14ac:dyDescent="0.3">
      <c r="A1513" s="21" t="str">
        <f>IF(A1512="","",IF(A1512+1&gt;Ввод!$B$4,"",A1512+1))</f>
        <v/>
      </c>
      <c r="B1513" s="23" t="str">
        <f>IF(A1513="","",IFERROR(INDEX(Ввод!$B$12:$B$71,MATCH(A1513,Ввод!$D$12:$D$71,1)),""))</f>
        <v/>
      </c>
      <c r="C1513" t="str">
        <f t="shared" si="46"/>
        <v/>
      </c>
      <c r="D1513" t="str">
        <f>IF(A1513="","",SUMIFS(Акты!$D$5:$D$16,Акты!$E$5:$E$16,"&lt;="&amp;A1513)-SUMIFS(Оплаты!$B$6:$B$505,Оплаты!$A$6:$A$505,"&lt;"&amp;A1513,Оплаты!$D$6:$D$505,"&lt;&gt;"))</f>
        <v/>
      </c>
      <c r="E1513" t="str">
        <f>IF(A1513="","",IF(SUMPRODUCT((Ввод!$F$12:$F$31&lt;&gt;"")*(Ввод!$F$12:$F$31&lt;=A1513)*(Ввод!$G$12:$G$31&gt;=A1513))&gt;0,1,0))</f>
        <v/>
      </c>
      <c r="G1513" t="str">
        <f t="shared" si="47"/>
        <v/>
      </c>
    </row>
    <row r="1514" spans="1:7" x14ac:dyDescent="0.3">
      <c r="A1514" s="21" t="str">
        <f>IF(A1513="","",IF(A1513+1&gt;Ввод!$B$4,"",A1513+1))</f>
        <v/>
      </c>
      <c r="B1514" s="23" t="str">
        <f>IF(A1514="","",IFERROR(INDEX(Ввод!$B$12:$B$71,MATCH(A1514,Ввод!$D$12:$D$71,1)),""))</f>
        <v/>
      </c>
      <c r="C1514" t="str">
        <f t="shared" si="46"/>
        <v/>
      </c>
      <c r="D1514" t="str">
        <f>IF(A1514="","",SUMIFS(Акты!$D$5:$D$16,Акты!$E$5:$E$16,"&lt;="&amp;A1514)-SUMIFS(Оплаты!$B$6:$B$505,Оплаты!$A$6:$A$505,"&lt;"&amp;A1514,Оплаты!$D$6:$D$505,"&lt;&gt;"))</f>
        <v/>
      </c>
      <c r="E1514" t="str">
        <f>IF(A1514="","",IF(SUMPRODUCT((Ввод!$F$12:$F$31&lt;&gt;"")*(Ввод!$F$12:$F$31&lt;=A1514)*(Ввод!$G$12:$G$31&gt;=A1514))&gt;0,1,0))</f>
        <v/>
      </c>
      <c r="G1514" t="str">
        <f t="shared" si="47"/>
        <v/>
      </c>
    </row>
    <row r="1515" spans="1:7" x14ac:dyDescent="0.3">
      <c r="A1515" s="21" t="str">
        <f>IF(A1514="","",IF(A1514+1&gt;Ввод!$B$4,"",A1514+1))</f>
        <v/>
      </c>
      <c r="B1515" s="23" t="str">
        <f>IF(A1515="","",IFERROR(INDEX(Ввод!$B$12:$B$71,MATCH(A1515,Ввод!$D$12:$D$71,1)),""))</f>
        <v/>
      </c>
      <c r="C1515" t="str">
        <f t="shared" si="46"/>
        <v/>
      </c>
      <c r="D1515" t="str">
        <f>IF(A1515="","",SUMIFS(Акты!$D$5:$D$16,Акты!$E$5:$E$16,"&lt;="&amp;A1515)-SUMIFS(Оплаты!$B$6:$B$505,Оплаты!$A$6:$A$505,"&lt;"&amp;A1515,Оплаты!$D$6:$D$505,"&lt;&gt;"))</f>
        <v/>
      </c>
      <c r="E1515" t="str">
        <f>IF(A1515="","",IF(SUMPRODUCT((Ввод!$F$12:$F$31&lt;&gt;"")*(Ввод!$F$12:$F$31&lt;=A1515)*(Ввод!$G$12:$G$31&gt;=A1515))&gt;0,1,0))</f>
        <v/>
      </c>
      <c r="G1515" t="str">
        <f t="shared" si="47"/>
        <v/>
      </c>
    </row>
    <row r="1516" spans="1:7" x14ac:dyDescent="0.3">
      <c r="A1516" s="21" t="str">
        <f>IF(A1515="","",IF(A1515+1&gt;Ввод!$B$4,"",A1515+1))</f>
        <v/>
      </c>
      <c r="B1516" s="23" t="str">
        <f>IF(A1516="","",IFERROR(INDEX(Ввод!$B$12:$B$71,MATCH(A1516,Ввод!$D$12:$D$71,1)),""))</f>
        <v/>
      </c>
      <c r="C1516" t="str">
        <f t="shared" si="46"/>
        <v/>
      </c>
      <c r="D1516" t="str">
        <f>IF(A1516="","",SUMIFS(Акты!$D$5:$D$16,Акты!$E$5:$E$16,"&lt;="&amp;A1516)-SUMIFS(Оплаты!$B$6:$B$505,Оплаты!$A$6:$A$505,"&lt;"&amp;A1516,Оплаты!$D$6:$D$505,"&lt;&gt;"))</f>
        <v/>
      </c>
      <c r="E1516" t="str">
        <f>IF(A1516="","",IF(SUMPRODUCT((Ввод!$F$12:$F$31&lt;&gt;"")*(Ввод!$F$12:$F$31&lt;=A1516)*(Ввод!$G$12:$G$31&gt;=A1516))&gt;0,1,0))</f>
        <v/>
      </c>
      <c r="G1516" t="str">
        <f t="shared" si="47"/>
        <v/>
      </c>
    </row>
    <row r="1517" spans="1:7" x14ac:dyDescent="0.3">
      <c r="A1517" s="21" t="str">
        <f>IF(A1516="","",IF(A1516+1&gt;Ввод!$B$4,"",A1516+1))</f>
        <v/>
      </c>
      <c r="B1517" s="23" t="str">
        <f>IF(A1517="","",IFERROR(INDEX(Ввод!$B$12:$B$71,MATCH(A1517,Ввод!$D$12:$D$71,1)),""))</f>
        <v/>
      </c>
      <c r="C1517" t="str">
        <f t="shared" si="46"/>
        <v/>
      </c>
      <c r="D1517" t="str">
        <f>IF(A1517="","",SUMIFS(Акты!$D$5:$D$16,Акты!$E$5:$E$16,"&lt;="&amp;A1517)-SUMIFS(Оплаты!$B$6:$B$505,Оплаты!$A$6:$A$505,"&lt;"&amp;A1517,Оплаты!$D$6:$D$505,"&lt;&gt;"))</f>
        <v/>
      </c>
      <c r="E1517" t="str">
        <f>IF(A1517="","",IF(SUMPRODUCT((Ввод!$F$12:$F$31&lt;&gt;"")*(Ввод!$F$12:$F$31&lt;=A1517)*(Ввод!$G$12:$G$31&gt;=A1517))&gt;0,1,0))</f>
        <v/>
      </c>
      <c r="G1517" t="str">
        <f t="shared" si="47"/>
        <v/>
      </c>
    </row>
    <row r="1518" spans="1:7" x14ac:dyDescent="0.3">
      <c r="A1518" s="21" t="str">
        <f>IF(A1517="","",IF(A1517+1&gt;Ввод!$B$4,"",A1517+1))</f>
        <v/>
      </c>
      <c r="B1518" s="23" t="str">
        <f>IF(A1518="","",IFERROR(INDEX(Ввод!$B$12:$B$71,MATCH(A1518,Ввод!$D$12:$D$71,1)),""))</f>
        <v/>
      </c>
      <c r="C1518" t="str">
        <f t="shared" si="46"/>
        <v/>
      </c>
      <c r="D1518" t="str">
        <f>IF(A1518="","",SUMIFS(Акты!$D$5:$D$16,Акты!$E$5:$E$16,"&lt;="&amp;A1518)-SUMIFS(Оплаты!$B$6:$B$505,Оплаты!$A$6:$A$505,"&lt;"&amp;A1518,Оплаты!$D$6:$D$505,"&lt;&gt;"))</f>
        <v/>
      </c>
      <c r="E1518" t="str">
        <f>IF(A1518="","",IF(SUMPRODUCT((Ввод!$F$12:$F$31&lt;&gt;"")*(Ввод!$F$12:$F$31&lt;=A1518)*(Ввод!$G$12:$G$31&gt;=A1518))&gt;0,1,0))</f>
        <v/>
      </c>
      <c r="G1518" t="str">
        <f t="shared" si="47"/>
        <v/>
      </c>
    </row>
    <row r="1519" spans="1:7" x14ac:dyDescent="0.3">
      <c r="A1519" s="21" t="str">
        <f>IF(A1518="","",IF(A1518+1&gt;Ввод!$B$4,"",A1518+1))</f>
        <v/>
      </c>
      <c r="B1519" s="23" t="str">
        <f>IF(A1519="","",IFERROR(INDEX(Ввод!$B$12:$B$71,MATCH(A1519,Ввод!$D$12:$D$71,1)),""))</f>
        <v/>
      </c>
      <c r="C1519" t="str">
        <f t="shared" si="46"/>
        <v/>
      </c>
      <c r="D1519" t="str">
        <f>IF(A1519="","",SUMIFS(Акты!$D$5:$D$16,Акты!$E$5:$E$16,"&lt;="&amp;A1519)-SUMIFS(Оплаты!$B$6:$B$505,Оплаты!$A$6:$A$505,"&lt;"&amp;A1519,Оплаты!$D$6:$D$505,"&lt;&gt;"))</f>
        <v/>
      </c>
      <c r="E1519" t="str">
        <f>IF(A1519="","",IF(SUMPRODUCT((Ввод!$F$12:$F$31&lt;&gt;"")*(Ввод!$F$12:$F$31&lt;=A1519)*(Ввод!$G$12:$G$31&gt;=A1519))&gt;0,1,0))</f>
        <v/>
      </c>
      <c r="G1519" t="str">
        <f t="shared" si="47"/>
        <v/>
      </c>
    </row>
    <row r="1520" spans="1:7" x14ac:dyDescent="0.3">
      <c r="A1520" s="21" t="str">
        <f>IF(A1519="","",IF(A1519+1&gt;Ввод!$B$4,"",A1519+1))</f>
        <v/>
      </c>
      <c r="B1520" s="23" t="str">
        <f>IF(A1520="","",IFERROR(INDEX(Ввод!$B$12:$B$71,MATCH(A1520,Ввод!$D$12:$D$71,1)),""))</f>
        <v/>
      </c>
      <c r="C1520" t="str">
        <f t="shared" si="46"/>
        <v/>
      </c>
      <c r="D1520" t="str">
        <f>IF(A1520="","",SUMIFS(Акты!$D$5:$D$16,Акты!$E$5:$E$16,"&lt;="&amp;A1520)-SUMIFS(Оплаты!$B$6:$B$505,Оплаты!$A$6:$A$505,"&lt;"&amp;A1520,Оплаты!$D$6:$D$505,"&lt;&gt;"))</f>
        <v/>
      </c>
      <c r="E1520" t="str">
        <f>IF(A1520="","",IF(SUMPRODUCT((Ввод!$F$12:$F$31&lt;&gt;"")*(Ввод!$F$12:$F$31&lt;=A1520)*(Ввод!$G$12:$G$31&gt;=A1520))&gt;0,1,0))</f>
        <v/>
      </c>
      <c r="G1520" t="str">
        <f t="shared" si="47"/>
        <v/>
      </c>
    </row>
    <row r="1521" spans="1:7" x14ac:dyDescent="0.3">
      <c r="A1521" s="21" t="str">
        <f>IF(A1520="","",IF(A1520+1&gt;Ввод!$B$4,"",A1520+1))</f>
        <v/>
      </c>
      <c r="B1521" s="23" t="str">
        <f>IF(A1521="","",IFERROR(INDEX(Ввод!$B$12:$B$71,MATCH(A1521,Ввод!$D$12:$D$71,1)),""))</f>
        <v/>
      </c>
      <c r="C1521" t="str">
        <f t="shared" si="46"/>
        <v/>
      </c>
      <c r="D1521" t="str">
        <f>IF(A1521="","",SUMIFS(Акты!$D$5:$D$16,Акты!$E$5:$E$16,"&lt;="&amp;A1521)-SUMIFS(Оплаты!$B$6:$B$505,Оплаты!$A$6:$A$505,"&lt;"&amp;A1521,Оплаты!$D$6:$D$505,"&lt;&gt;"))</f>
        <v/>
      </c>
      <c r="E1521" t="str">
        <f>IF(A1521="","",IF(SUMPRODUCT((Ввод!$F$12:$F$31&lt;&gt;"")*(Ввод!$F$12:$F$31&lt;=A1521)*(Ввод!$G$12:$G$31&gt;=A1521))&gt;0,1,0))</f>
        <v/>
      </c>
      <c r="G1521" t="str">
        <f t="shared" si="47"/>
        <v/>
      </c>
    </row>
    <row r="1522" spans="1:7" x14ac:dyDescent="0.3">
      <c r="A1522" s="21" t="str">
        <f>IF(A1521="","",IF(A1521+1&gt;Ввод!$B$4,"",A1521+1))</f>
        <v/>
      </c>
      <c r="B1522" s="23" t="str">
        <f>IF(A1522="","",IFERROR(INDEX(Ввод!$B$12:$B$71,MATCH(A1522,Ввод!$D$12:$D$71,1)),""))</f>
        <v/>
      </c>
      <c r="C1522" t="str">
        <f t="shared" si="46"/>
        <v/>
      </c>
      <c r="D1522" t="str">
        <f>IF(A1522="","",SUMIFS(Акты!$D$5:$D$16,Акты!$E$5:$E$16,"&lt;="&amp;A1522)-SUMIFS(Оплаты!$B$6:$B$505,Оплаты!$A$6:$A$505,"&lt;"&amp;A1522,Оплаты!$D$6:$D$505,"&lt;&gt;"))</f>
        <v/>
      </c>
      <c r="E1522" t="str">
        <f>IF(A1522="","",IF(SUMPRODUCT((Ввод!$F$12:$F$31&lt;&gt;"")*(Ввод!$F$12:$F$31&lt;=A1522)*(Ввод!$G$12:$G$31&gt;=A1522))&gt;0,1,0))</f>
        <v/>
      </c>
      <c r="G1522" t="str">
        <f t="shared" si="47"/>
        <v/>
      </c>
    </row>
    <row r="1523" spans="1:7" x14ac:dyDescent="0.3">
      <c r="A1523" s="21" t="str">
        <f>IF(A1522="","",IF(A1522+1&gt;Ввод!$B$4,"",A1522+1))</f>
        <v/>
      </c>
      <c r="B1523" s="23" t="str">
        <f>IF(A1523="","",IFERROR(INDEX(Ввод!$B$12:$B$71,MATCH(A1523,Ввод!$D$12:$D$71,1)),""))</f>
        <v/>
      </c>
      <c r="C1523" t="str">
        <f t="shared" si="46"/>
        <v/>
      </c>
      <c r="D1523" t="str">
        <f>IF(A1523="","",SUMIFS(Акты!$D$5:$D$16,Акты!$E$5:$E$16,"&lt;="&amp;A1523)-SUMIFS(Оплаты!$B$6:$B$505,Оплаты!$A$6:$A$505,"&lt;"&amp;A1523,Оплаты!$D$6:$D$505,"&lt;&gt;"))</f>
        <v/>
      </c>
      <c r="E1523" t="str">
        <f>IF(A1523="","",IF(SUMPRODUCT((Ввод!$F$12:$F$31&lt;&gt;"")*(Ввод!$F$12:$F$31&lt;=A1523)*(Ввод!$G$12:$G$31&gt;=A1523))&gt;0,1,0))</f>
        <v/>
      </c>
      <c r="G1523" t="str">
        <f t="shared" si="47"/>
        <v/>
      </c>
    </row>
    <row r="1524" spans="1:7" x14ac:dyDescent="0.3">
      <c r="A1524" s="21" t="str">
        <f>IF(A1523="","",IF(A1523+1&gt;Ввод!$B$4,"",A1523+1))</f>
        <v/>
      </c>
      <c r="B1524" s="23" t="str">
        <f>IF(A1524="","",IFERROR(INDEX(Ввод!$B$12:$B$71,MATCH(A1524,Ввод!$D$12:$D$71,1)),""))</f>
        <v/>
      </c>
      <c r="C1524" t="str">
        <f t="shared" si="46"/>
        <v/>
      </c>
      <c r="D1524" t="str">
        <f>IF(A1524="","",SUMIFS(Акты!$D$5:$D$16,Акты!$E$5:$E$16,"&lt;="&amp;A1524)-SUMIFS(Оплаты!$B$6:$B$505,Оплаты!$A$6:$A$505,"&lt;"&amp;A1524,Оплаты!$D$6:$D$505,"&lt;&gt;"))</f>
        <v/>
      </c>
      <c r="E1524" t="str">
        <f>IF(A1524="","",IF(SUMPRODUCT((Ввод!$F$12:$F$31&lt;&gt;"")*(Ввод!$F$12:$F$31&lt;=A1524)*(Ввод!$G$12:$G$31&gt;=A1524))&gt;0,1,0))</f>
        <v/>
      </c>
      <c r="G1524" t="str">
        <f t="shared" si="47"/>
        <v/>
      </c>
    </row>
    <row r="1525" spans="1:7" x14ac:dyDescent="0.3">
      <c r="A1525" s="21" t="str">
        <f>IF(A1524="","",IF(A1524+1&gt;Ввод!$B$4,"",A1524+1))</f>
        <v/>
      </c>
      <c r="B1525" s="23" t="str">
        <f>IF(A1525="","",IFERROR(INDEX(Ввод!$B$12:$B$71,MATCH(A1525,Ввод!$D$12:$D$71,1)),""))</f>
        <v/>
      </c>
      <c r="C1525" t="str">
        <f t="shared" si="46"/>
        <v/>
      </c>
      <c r="D1525" t="str">
        <f>IF(A1525="","",SUMIFS(Акты!$D$5:$D$16,Акты!$E$5:$E$16,"&lt;="&amp;A1525)-SUMIFS(Оплаты!$B$6:$B$505,Оплаты!$A$6:$A$505,"&lt;"&amp;A1525,Оплаты!$D$6:$D$505,"&lt;&gt;"))</f>
        <v/>
      </c>
      <c r="E1525" t="str">
        <f>IF(A1525="","",IF(SUMPRODUCT((Ввод!$F$12:$F$31&lt;&gt;"")*(Ввод!$F$12:$F$31&lt;=A1525)*(Ввод!$G$12:$G$31&gt;=A1525))&gt;0,1,0))</f>
        <v/>
      </c>
      <c r="G1525" t="str">
        <f t="shared" si="47"/>
        <v/>
      </c>
    </row>
    <row r="1526" spans="1:7" x14ac:dyDescent="0.3">
      <c r="A1526" s="21" t="str">
        <f>IF(A1525="","",IF(A1525+1&gt;Ввод!$B$4,"",A1525+1))</f>
        <v/>
      </c>
      <c r="B1526" s="23" t="str">
        <f>IF(A1526="","",IFERROR(INDEX(Ввод!$B$12:$B$71,MATCH(A1526,Ввод!$D$12:$D$71,1)),""))</f>
        <v/>
      </c>
      <c r="C1526" t="str">
        <f t="shared" si="46"/>
        <v/>
      </c>
      <c r="D1526" t="str">
        <f>IF(A1526="","",SUMIFS(Акты!$D$5:$D$16,Акты!$E$5:$E$16,"&lt;="&amp;A1526)-SUMIFS(Оплаты!$B$6:$B$505,Оплаты!$A$6:$A$505,"&lt;"&amp;A1526,Оплаты!$D$6:$D$505,"&lt;&gt;"))</f>
        <v/>
      </c>
      <c r="E1526" t="str">
        <f>IF(A1526="","",IF(SUMPRODUCT((Ввод!$F$12:$F$31&lt;&gt;"")*(Ввод!$F$12:$F$31&lt;=A1526)*(Ввод!$G$12:$G$31&gt;=A1526))&gt;0,1,0))</f>
        <v/>
      </c>
      <c r="G1526" t="str">
        <f t="shared" si="47"/>
        <v/>
      </c>
    </row>
    <row r="1527" spans="1:7" x14ac:dyDescent="0.3">
      <c r="A1527" s="21" t="str">
        <f>IF(A1526="","",IF(A1526+1&gt;Ввод!$B$4,"",A1526+1))</f>
        <v/>
      </c>
      <c r="B1527" s="23" t="str">
        <f>IF(A1527="","",IFERROR(INDEX(Ввод!$B$12:$B$71,MATCH(A1527,Ввод!$D$12:$D$71,1)),""))</f>
        <v/>
      </c>
      <c r="C1527" t="str">
        <f t="shared" si="46"/>
        <v/>
      </c>
      <c r="D1527" t="str">
        <f>IF(A1527="","",SUMIFS(Акты!$D$5:$D$16,Акты!$E$5:$E$16,"&lt;="&amp;A1527)-SUMIFS(Оплаты!$B$6:$B$505,Оплаты!$A$6:$A$505,"&lt;"&amp;A1527,Оплаты!$D$6:$D$505,"&lt;&gt;"))</f>
        <v/>
      </c>
      <c r="E1527" t="str">
        <f>IF(A1527="","",IF(SUMPRODUCT((Ввод!$F$12:$F$31&lt;&gt;"")*(Ввод!$F$12:$F$31&lt;=A1527)*(Ввод!$G$12:$G$31&gt;=A1527))&gt;0,1,0))</f>
        <v/>
      </c>
      <c r="G1527" t="str">
        <f t="shared" si="47"/>
        <v/>
      </c>
    </row>
    <row r="1528" spans="1:7" x14ac:dyDescent="0.3">
      <c r="A1528" s="21" t="str">
        <f>IF(A1527="","",IF(A1527+1&gt;Ввод!$B$4,"",A1527+1))</f>
        <v/>
      </c>
      <c r="B1528" s="23" t="str">
        <f>IF(A1528="","",IFERROR(INDEX(Ввод!$B$12:$B$71,MATCH(A1528,Ввод!$D$12:$D$71,1)),""))</f>
        <v/>
      </c>
      <c r="C1528" t="str">
        <f t="shared" si="46"/>
        <v/>
      </c>
      <c r="D1528" t="str">
        <f>IF(A1528="","",SUMIFS(Акты!$D$5:$D$16,Акты!$E$5:$E$16,"&lt;="&amp;A1528)-SUMIFS(Оплаты!$B$6:$B$505,Оплаты!$A$6:$A$505,"&lt;"&amp;A1528,Оплаты!$D$6:$D$505,"&lt;&gt;"))</f>
        <v/>
      </c>
      <c r="E1528" t="str">
        <f>IF(A1528="","",IF(SUMPRODUCT((Ввод!$F$12:$F$31&lt;&gt;"")*(Ввод!$F$12:$F$31&lt;=A1528)*(Ввод!$G$12:$G$31&gt;=A1528))&gt;0,1,0))</f>
        <v/>
      </c>
      <c r="G1528" t="str">
        <f t="shared" si="47"/>
        <v/>
      </c>
    </row>
    <row r="1529" spans="1:7" x14ac:dyDescent="0.3">
      <c r="A1529" s="21" t="str">
        <f>IF(A1528="","",IF(A1528+1&gt;Ввод!$B$4,"",A1528+1))</f>
        <v/>
      </c>
      <c r="B1529" s="23" t="str">
        <f>IF(A1529="","",IFERROR(INDEX(Ввод!$B$12:$B$71,MATCH(A1529,Ввод!$D$12:$D$71,1)),""))</f>
        <v/>
      </c>
      <c r="C1529" t="str">
        <f t="shared" si="46"/>
        <v/>
      </c>
      <c r="D1529" t="str">
        <f>IF(A1529="","",SUMIFS(Акты!$D$5:$D$16,Акты!$E$5:$E$16,"&lt;="&amp;A1529)-SUMIFS(Оплаты!$B$6:$B$505,Оплаты!$A$6:$A$505,"&lt;"&amp;A1529,Оплаты!$D$6:$D$505,"&lt;&gt;"))</f>
        <v/>
      </c>
      <c r="E1529" t="str">
        <f>IF(A1529="","",IF(SUMPRODUCT((Ввод!$F$12:$F$31&lt;&gt;"")*(Ввод!$F$12:$F$31&lt;=A1529)*(Ввод!$G$12:$G$31&gt;=A1529))&gt;0,1,0))</f>
        <v/>
      </c>
      <c r="G1529" t="str">
        <f t="shared" si="47"/>
        <v/>
      </c>
    </row>
    <row r="1530" spans="1:7" x14ac:dyDescent="0.3">
      <c r="A1530" s="21" t="str">
        <f>IF(A1529="","",IF(A1529+1&gt;Ввод!$B$4,"",A1529+1))</f>
        <v/>
      </c>
      <c r="B1530" s="23" t="str">
        <f>IF(A1530="","",IFERROR(INDEX(Ввод!$B$12:$B$71,MATCH(A1530,Ввод!$D$12:$D$71,1)),""))</f>
        <v/>
      </c>
      <c r="C1530" t="str">
        <f t="shared" si="46"/>
        <v/>
      </c>
      <c r="D1530" t="str">
        <f>IF(A1530="","",SUMIFS(Акты!$D$5:$D$16,Акты!$E$5:$E$16,"&lt;="&amp;A1530)-SUMIFS(Оплаты!$B$6:$B$505,Оплаты!$A$6:$A$505,"&lt;"&amp;A1530,Оплаты!$D$6:$D$505,"&lt;&gt;"))</f>
        <v/>
      </c>
      <c r="E1530" t="str">
        <f>IF(A1530="","",IF(SUMPRODUCT((Ввод!$F$12:$F$31&lt;&gt;"")*(Ввод!$F$12:$F$31&lt;=A1530)*(Ввод!$G$12:$G$31&gt;=A1530))&gt;0,1,0))</f>
        <v/>
      </c>
      <c r="G1530" t="str">
        <f t="shared" si="47"/>
        <v/>
      </c>
    </row>
    <row r="1531" spans="1:7" x14ac:dyDescent="0.3">
      <c r="A1531" s="21" t="str">
        <f>IF(A1530="","",IF(A1530+1&gt;Ввод!$B$4,"",A1530+1))</f>
        <v/>
      </c>
      <c r="B1531" s="23" t="str">
        <f>IF(A1531="","",IFERROR(INDEX(Ввод!$B$12:$B$71,MATCH(A1531,Ввод!$D$12:$D$71,1)),""))</f>
        <v/>
      </c>
      <c r="C1531" t="str">
        <f t="shared" si="46"/>
        <v/>
      </c>
      <c r="D1531" t="str">
        <f>IF(A1531="","",SUMIFS(Акты!$D$5:$D$16,Акты!$E$5:$E$16,"&lt;="&amp;A1531)-SUMIFS(Оплаты!$B$6:$B$505,Оплаты!$A$6:$A$505,"&lt;"&amp;A1531,Оплаты!$D$6:$D$505,"&lt;&gt;"))</f>
        <v/>
      </c>
      <c r="E1531" t="str">
        <f>IF(A1531="","",IF(SUMPRODUCT((Ввод!$F$12:$F$31&lt;&gt;"")*(Ввод!$F$12:$F$31&lt;=A1531)*(Ввод!$G$12:$G$31&gt;=A1531))&gt;0,1,0))</f>
        <v/>
      </c>
      <c r="G1531" t="str">
        <f t="shared" si="47"/>
        <v/>
      </c>
    </row>
    <row r="1532" spans="1:7" x14ac:dyDescent="0.3">
      <c r="A1532" s="21" t="str">
        <f>IF(A1531="","",IF(A1531+1&gt;Ввод!$B$4,"",A1531+1))</f>
        <v/>
      </c>
      <c r="B1532" s="23" t="str">
        <f>IF(A1532="","",IFERROR(INDEX(Ввод!$B$12:$B$71,MATCH(A1532,Ввод!$D$12:$D$71,1)),""))</f>
        <v/>
      </c>
      <c r="C1532" t="str">
        <f t="shared" si="46"/>
        <v/>
      </c>
      <c r="D1532" t="str">
        <f>IF(A1532="","",SUMIFS(Акты!$D$5:$D$16,Акты!$E$5:$E$16,"&lt;="&amp;A1532)-SUMIFS(Оплаты!$B$6:$B$505,Оплаты!$A$6:$A$505,"&lt;"&amp;A1532,Оплаты!$D$6:$D$505,"&lt;&gt;"))</f>
        <v/>
      </c>
      <c r="E1532" t="str">
        <f>IF(A1532="","",IF(SUMPRODUCT((Ввод!$F$12:$F$31&lt;&gt;"")*(Ввод!$F$12:$F$31&lt;=A1532)*(Ввод!$G$12:$G$31&gt;=A1532))&gt;0,1,0))</f>
        <v/>
      </c>
      <c r="G1532" t="str">
        <f t="shared" si="47"/>
        <v/>
      </c>
    </row>
    <row r="1533" spans="1:7" x14ac:dyDescent="0.3">
      <c r="A1533" s="21" t="str">
        <f>IF(A1532="","",IF(A1532+1&gt;Ввод!$B$4,"",A1532+1))</f>
        <v/>
      </c>
      <c r="B1533" s="23" t="str">
        <f>IF(A1533="","",IFERROR(INDEX(Ввод!$B$12:$B$71,MATCH(A1533,Ввод!$D$12:$D$71,1)),""))</f>
        <v/>
      </c>
      <c r="C1533" t="str">
        <f t="shared" si="46"/>
        <v/>
      </c>
      <c r="D1533" t="str">
        <f>IF(A1533="","",SUMIFS(Акты!$D$5:$D$16,Акты!$E$5:$E$16,"&lt;="&amp;A1533)-SUMIFS(Оплаты!$B$6:$B$505,Оплаты!$A$6:$A$505,"&lt;"&amp;A1533,Оплаты!$D$6:$D$505,"&lt;&gt;"))</f>
        <v/>
      </c>
      <c r="E1533" t="str">
        <f>IF(A1533="","",IF(SUMPRODUCT((Ввод!$F$12:$F$31&lt;&gt;"")*(Ввод!$F$12:$F$31&lt;=A1533)*(Ввод!$G$12:$G$31&gt;=A1533))&gt;0,1,0))</f>
        <v/>
      </c>
      <c r="G1533" t="str">
        <f t="shared" si="47"/>
        <v/>
      </c>
    </row>
    <row r="1534" spans="1:7" x14ac:dyDescent="0.3">
      <c r="A1534" s="21" t="str">
        <f>IF(A1533="","",IF(A1533+1&gt;Ввод!$B$4,"",A1533+1))</f>
        <v/>
      </c>
      <c r="B1534" s="23" t="str">
        <f>IF(A1534="","",IFERROR(INDEX(Ввод!$B$12:$B$71,MATCH(A1534,Ввод!$D$12:$D$71,1)),""))</f>
        <v/>
      </c>
      <c r="C1534" t="str">
        <f t="shared" si="46"/>
        <v/>
      </c>
      <c r="D1534" t="str">
        <f>IF(A1534="","",SUMIFS(Акты!$D$5:$D$16,Акты!$E$5:$E$16,"&lt;="&amp;A1534)-SUMIFS(Оплаты!$B$6:$B$505,Оплаты!$A$6:$A$505,"&lt;"&amp;A1534,Оплаты!$D$6:$D$505,"&lt;&gt;"))</f>
        <v/>
      </c>
      <c r="E1534" t="str">
        <f>IF(A1534="","",IF(SUMPRODUCT((Ввод!$F$12:$F$31&lt;&gt;"")*(Ввод!$F$12:$F$31&lt;=A1534)*(Ввод!$G$12:$G$31&gt;=A1534))&gt;0,1,0))</f>
        <v/>
      </c>
      <c r="G1534" t="str">
        <f t="shared" si="47"/>
        <v/>
      </c>
    </row>
    <row r="1535" spans="1:7" x14ac:dyDescent="0.3">
      <c r="A1535" s="21" t="str">
        <f>IF(A1534="","",IF(A1534+1&gt;Ввод!$B$4,"",A1534+1))</f>
        <v/>
      </c>
      <c r="B1535" s="23" t="str">
        <f>IF(A1535="","",IFERROR(INDEX(Ввод!$B$12:$B$71,MATCH(A1535,Ввод!$D$12:$D$71,1)),""))</f>
        <v/>
      </c>
      <c r="C1535" t="str">
        <f t="shared" si="46"/>
        <v/>
      </c>
      <c r="D1535" t="str">
        <f>IF(A1535="","",SUMIFS(Акты!$D$5:$D$16,Акты!$E$5:$E$16,"&lt;="&amp;A1535)-SUMIFS(Оплаты!$B$6:$B$505,Оплаты!$A$6:$A$505,"&lt;"&amp;A1535,Оплаты!$D$6:$D$505,"&lt;&gt;"))</f>
        <v/>
      </c>
      <c r="E1535" t="str">
        <f>IF(A1535="","",IF(SUMPRODUCT((Ввод!$F$12:$F$31&lt;&gt;"")*(Ввод!$F$12:$F$31&lt;=A1535)*(Ввод!$G$12:$G$31&gt;=A1535))&gt;0,1,0))</f>
        <v/>
      </c>
      <c r="G1535" t="str">
        <f t="shared" si="47"/>
        <v/>
      </c>
    </row>
    <row r="1536" spans="1:7" x14ac:dyDescent="0.3">
      <c r="A1536" s="21" t="str">
        <f>IF(A1535="","",IF(A1535+1&gt;Ввод!$B$4,"",A1535+1))</f>
        <v/>
      </c>
      <c r="B1536" s="23" t="str">
        <f>IF(A1536="","",IFERROR(INDEX(Ввод!$B$12:$B$71,MATCH(A1536,Ввод!$D$12:$D$71,1)),""))</f>
        <v/>
      </c>
      <c r="C1536" t="str">
        <f t="shared" si="46"/>
        <v/>
      </c>
      <c r="D1536" t="str">
        <f>IF(A1536="","",SUMIFS(Акты!$D$5:$D$16,Акты!$E$5:$E$16,"&lt;="&amp;A1536)-SUMIFS(Оплаты!$B$6:$B$505,Оплаты!$A$6:$A$505,"&lt;"&amp;A1536,Оплаты!$D$6:$D$505,"&lt;&gt;"))</f>
        <v/>
      </c>
      <c r="E1536" t="str">
        <f>IF(A1536="","",IF(SUMPRODUCT((Ввод!$F$12:$F$31&lt;&gt;"")*(Ввод!$F$12:$F$31&lt;=A1536)*(Ввод!$G$12:$G$31&gt;=A1536))&gt;0,1,0))</f>
        <v/>
      </c>
      <c r="G1536" t="str">
        <f t="shared" si="47"/>
        <v/>
      </c>
    </row>
    <row r="1537" spans="1:7" x14ac:dyDescent="0.3">
      <c r="A1537" s="21" t="str">
        <f>IF(A1536="","",IF(A1536+1&gt;Ввод!$B$4,"",A1536+1))</f>
        <v/>
      </c>
      <c r="B1537" s="23" t="str">
        <f>IF(A1537="","",IFERROR(INDEX(Ввод!$B$12:$B$71,MATCH(A1537,Ввод!$D$12:$D$71,1)),""))</f>
        <v/>
      </c>
      <c r="C1537" t="str">
        <f t="shared" si="46"/>
        <v/>
      </c>
      <c r="D1537" t="str">
        <f>IF(A1537="","",SUMIFS(Акты!$D$5:$D$16,Акты!$E$5:$E$16,"&lt;="&amp;A1537)-SUMIFS(Оплаты!$B$6:$B$505,Оплаты!$A$6:$A$505,"&lt;"&amp;A1537,Оплаты!$D$6:$D$505,"&lt;&gt;"))</f>
        <v/>
      </c>
      <c r="E1537" t="str">
        <f>IF(A1537="","",IF(SUMPRODUCT((Ввод!$F$12:$F$31&lt;&gt;"")*(Ввод!$F$12:$F$31&lt;=A1537)*(Ввод!$G$12:$G$31&gt;=A1537))&gt;0,1,0))</f>
        <v/>
      </c>
      <c r="G1537" t="str">
        <f t="shared" si="47"/>
        <v/>
      </c>
    </row>
    <row r="1538" spans="1:7" x14ac:dyDescent="0.3">
      <c r="A1538" s="21" t="str">
        <f>IF(A1537="","",IF(A1537+1&gt;Ввод!$B$4,"",A1537+1))</f>
        <v/>
      </c>
      <c r="B1538" s="23" t="str">
        <f>IF(A1538="","",IFERROR(INDEX(Ввод!$B$12:$B$71,MATCH(A1538,Ввод!$D$12:$D$71,1)),""))</f>
        <v/>
      </c>
      <c r="C1538" t="str">
        <f t="shared" ref="C1538:C1601" si="48">IF(A1538="","",DATE(YEAR(A1538),12,31)-DATE(YEAR(A1538),1,1)+1)</f>
        <v/>
      </c>
      <c r="D1538" t="str">
        <f>IF(A1538="","",SUMIFS(Акты!$D$5:$D$16,Акты!$E$5:$E$16,"&lt;="&amp;A1538)-SUMIFS(Оплаты!$B$6:$B$505,Оплаты!$A$6:$A$505,"&lt;"&amp;A1538,Оплаты!$D$6:$D$505,"&lt;&gt;"))</f>
        <v/>
      </c>
      <c r="E1538" t="str">
        <f>IF(A1538="","",IF(SUMPRODUCT((Ввод!$F$12:$F$31&lt;&gt;"")*(Ввод!$F$12:$F$31&lt;=A1538)*(Ввод!$G$12:$G$31&gt;=A1538))&gt;0,1,0))</f>
        <v/>
      </c>
      <c r="G1538" t="str">
        <f t="shared" si="47"/>
        <v/>
      </c>
    </row>
    <row r="1539" spans="1:7" x14ac:dyDescent="0.3">
      <c r="A1539" s="21" t="str">
        <f>IF(A1538="","",IF(A1538+1&gt;Ввод!$B$4,"",A1538+1))</f>
        <v/>
      </c>
      <c r="B1539" s="23" t="str">
        <f>IF(A1539="","",IFERROR(INDEX(Ввод!$B$12:$B$71,MATCH(A1539,Ввод!$D$12:$D$71,1)),""))</f>
        <v/>
      </c>
      <c r="C1539" t="str">
        <f t="shared" si="48"/>
        <v/>
      </c>
      <c r="D1539" t="str">
        <f>IF(A1539="","",SUMIFS(Акты!$D$5:$D$16,Акты!$E$5:$E$16,"&lt;="&amp;A1539)-SUMIFS(Оплаты!$B$6:$B$505,Оплаты!$A$6:$A$505,"&lt;"&amp;A1539,Оплаты!$D$6:$D$505,"&lt;&gt;"))</f>
        <v/>
      </c>
      <c r="E1539" t="str">
        <f>IF(A1539="","",IF(SUMPRODUCT((Ввод!$F$12:$F$31&lt;&gt;"")*(Ввод!$F$12:$F$31&lt;=A1539)*(Ввод!$G$12:$G$31&gt;=A1539))&gt;0,1,0))</f>
        <v/>
      </c>
      <c r="G1539" t="str">
        <f t="shared" ref="G1539:G1602" si="49">IF(A1539="","",IF(OR(B1539&lt;&gt;B1538,C1539&lt;&gt;C1538,E1539&lt;&gt;E1538),G1538+1,G1538))</f>
        <v/>
      </c>
    </row>
    <row r="1540" spans="1:7" x14ac:dyDescent="0.3">
      <c r="A1540" s="21" t="str">
        <f>IF(A1539="","",IF(A1539+1&gt;Ввод!$B$4,"",A1539+1))</f>
        <v/>
      </c>
      <c r="B1540" s="23" t="str">
        <f>IF(A1540="","",IFERROR(INDEX(Ввод!$B$12:$B$71,MATCH(A1540,Ввод!$D$12:$D$71,1)),""))</f>
        <v/>
      </c>
      <c r="C1540" t="str">
        <f t="shared" si="48"/>
        <v/>
      </c>
      <c r="D1540" t="str">
        <f>IF(A1540="","",SUMIFS(Акты!$D$5:$D$16,Акты!$E$5:$E$16,"&lt;="&amp;A1540)-SUMIFS(Оплаты!$B$6:$B$505,Оплаты!$A$6:$A$505,"&lt;"&amp;A1540,Оплаты!$D$6:$D$505,"&lt;&gt;"))</f>
        <v/>
      </c>
      <c r="E1540" t="str">
        <f>IF(A1540="","",IF(SUMPRODUCT((Ввод!$F$12:$F$31&lt;&gt;"")*(Ввод!$F$12:$F$31&lt;=A1540)*(Ввод!$G$12:$G$31&gt;=A1540))&gt;0,1,0))</f>
        <v/>
      </c>
      <c r="G1540" t="str">
        <f t="shared" si="49"/>
        <v/>
      </c>
    </row>
    <row r="1541" spans="1:7" x14ac:dyDescent="0.3">
      <c r="A1541" s="21" t="str">
        <f>IF(A1540="","",IF(A1540+1&gt;Ввод!$B$4,"",A1540+1))</f>
        <v/>
      </c>
      <c r="B1541" s="23" t="str">
        <f>IF(A1541="","",IFERROR(INDEX(Ввод!$B$12:$B$71,MATCH(A1541,Ввод!$D$12:$D$71,1)),""))</f>
        <v/>
      </c>
      <c r="C1541" t="str">
        <f t="shared" si="48"/>
        <v/>
      </c>
      <c r="D1541" t="str">
        <f>IF(A1541="","",SUMIFS(Акты!$D$5:$D$16,Акты!$E$5:$E$16,"&lt;="&amp;A1541)-SUMIFS(Оплаты!$B$6:$B$505,Оплаты!$A$6:$A$505,"&lt;"&amp;A1541,Оплаты!$D$6:$D$505,"&lt;&gt;"))</f>
        <v/>
      </c>
      <c r="E1541" t="str">
        <f>IF(A1541="","",IF(SUMPRODUCT((Ввод!$F$12:$F$31&lt;&gt;"")*(Ввод!$F$12:$F$31&lt;=A1541)*(Ввод!$G$12:$G$31&gt;=A1541))&gt;0,1,0))</f>
        <v/>
      </c>
      <c r="G1541" t="str">
        <f t="shared" si="49"/>
        <v/>
      </c>
    </row>
    <row r="1542" spans="1:7" x14ac:dyDescent="0.3">
      <c r="A1542" s="21" t="str">
        <f>IF(A1541="","",IF(A1541+1&gt;Ввод!$B$4,"",A1541+1))</f>
        <v/>
      </c>
      <c r="B1542" s="23" t="str">
        <f>IF(A1542="","",IFERROR(INDEX(Ввод!$B$12:$B$71,MATCH(A1542,Ввод!$D$12:$D$71,1)),""))</f>
        <v/>
      </c>
      <c r="C1542" t="str">
        <f t="shared" si="48"/>
        <v/>
      </c>
      <c r="D1542" t="str">
        <f>IF(A1542="","",SUMIFS(Акты!$D$5:$D$16,Акты!$E$5:$E$16,"&lt;="&amp;A1542)-SUMIFS(Оплаты!$B$6:$B$505,Оплаты!$A$6:$A$505,"&lt;"&amp;A1542,Оплаты!$D$6:$D$505,"&lt;&gt;"))</f>
        <v/>
      </c>
      <c r="E1542" t="str">
        <f>IF(A1542="","",IF(SUMPRODUCT((Ввод!$F$12:$F$31&lt;&gt;"")*(Ввод!$F$12:$F$31&lt;=A1542)*(Ввод!$G$12:$G$31&gt;=A1542))&gt;0,1,0))</f>
        <v/>
      </c>
      <c r="G1542" t="str">
        <f t="shared" si="49"/>
        <v/>
      </c>
    </row>
    <row r="1543" spans="1:7" x14ac:dyDescent="0.3">
      <c r="A1543" s="21" t="str">
        <f>IF(A1542="","",IF(A1542+1&gt;Ввод!$B$4,"",A1542+1))</f>
        <v/>
      </c>
      <c r="B1543" s="23" t="str">
        <f>IF(A1543="","",IFERROR(INDEX(Ввод!$B$12:$B$71,MATCH(A1543,Ввод!$D$12:$D$71,1)),""))</f>
        <v/>
      </c>
      <c r="C1543" t="str">
        <f t="shared" si="48"/>
        <v/>
      </c>
      <c r="D1543" t="str">
        <f>IF(A1543="","",SUMIFS(Акты!$D$5:$D$16,Акты!$E$5:$E$16,"&lt;="&amp;A1543)-SUMIFS(Оплаты!$B$6:$B$505,Оплаты!$A$6:$A$505,"&lt;"&amp;A1543,Оплаты!$D$6:$D$505,"&lt;&gt;"))</f>
        <v/>
      </c>
      <c r="E1543" t="str">
        <f>IF(A1543="","",IF(SUMPRODUCT((Ввод!$F$12:$F$31&lt;&gt;"")*(Ввод!$F$12:$F$31&lt;=A1543)*(Ввод!$G$12:$G$31&gt;=A1543))&gt;0,1,0))</f>
        <v/>
      </c>
      <c r="G1543" t="str">
        <f t="shared" si="49"/>
        <v/>
      </c>
    </row>
    <row r="1544" spans="1:7" x14ac:dyDescent="0.3">
      <c r="A1544" s="21" t="str">
        <f>IF(A1543="","",IF(A1543+1&gt;Ввод!$B$4,"",A1543+1))</f>
        <v/>
      </c>
      <c r="B1544" s="23" t="str">
        <f>IF(A1544="","",IFERROR(INDEX(Ввод!$B$12:$B$71,MATCH(A1544,Ввод!$D$12:$D$71,1)),""))</f>
        <v/>
      </c>
      <c r="C1544" t="str">
        <f t="shared" si="48"/>
        <v/>
      </c>
      <c r="D1544" t="str">
        <f>IF(A1544="","",SUMIFS(Акты!$D$5:$D$16,Акты!$E$5:$E$16,"&lt;="&amp;A1544)-SUMIFS(Оплаты!$B$6:$B$505,Оплаты!$A$6:$A$505,"&lt;"&amp;A1544,Оплаты!$D$6:$D$505,"&lt;&gt;"))</f>
        <v/>
      </c>
      <c r="E1544" t="str">
        <f>IF(A1544="","",IF(SUMPRODUCT((Ввод!$F$12:$F$31&lt;&gt;"")*(Ввод!$F$12:$F$31&lt;=A1544)*(Ввод!$G$12:$G$31&gt;=A1544))&gt;0,1,0))</f>
        <v/>
      </c>
      <c r="G1544" t="str">
        <f t="shared" si="49"/>
        <v/>
      </c>
    </row>
    <row r="1545" spans="1:7" x14ac:dyDescent="0.3">
      <c r="A1545" s="21" t="str">
        <f>IF(A1544="","",IF(A1544+1&gt;Ввод!$B$4,"",A1544+1))</f>
        <v/>
      </c>
      <c r="B1545" s="23" t="str">
        <f>IF(A1545="","",IFERROR(INDEX(Ввод!$B$12:$B$71,MATCH(A1545,Ввод!$D$12:$D$71,1)),""))</f>
        <v/>
      </c>
      <c r="C1545" t="str">
        <f t="shared" si="48"/>
        <v/>
      </c>
      <c r="D1545" t="str">
        <f>IF(A1545="","",SUMIFS(Акты!$D$5:$D$16,Акты!$E$5:$E$16,"&lt;="&amp;A1545)-SUMIFS(Оплаты!$B$6:$B$505,Оплаты!$A$6:$A$505,"&lt;"&amp;A1545,Оплаты!$D$6:$D$505,"&lt;&gt;"))</f>
        <v/>
      </c>
      <c r="E1545" t="str">
        <f>IF(A1545="","",IF(SUMPRODUCT((Ввод!$F$12:$F$31&lt;&gt;"")*(Ввод!$F$12:$F$31&lt;=A1545)*(Ввод!$G$12:$G$31&gt;=A1545))&gt;0,1,0))</f>
        <v/>
      </c>
      <c r="G1545" t="str">
        <f t="shared" si="49"/>
        <v/>
      </c>
    </row>
    <row r="1546" spans="1:7" x14ac:dyDescent="0.3">
      <c r="A1546" s="21" t="str">
        <f>IF(A1545="","",IF(A1545+1&gt;Ввод!$B$4,"",A1545+1))</f>
        <v/>
      </c>
      <c r="B1546" s="23" t="str">
        <f>IF(A1546="","",IFERROR(INDEX(Ввод!$B$12:$B$71,MATCH(A1546,Ввод!$D$12:$D$71,1)),""))</f>
        <v/>
      </c>
      <c r="C1546" t="str">
        <f t="shared" si="48"/>
        <v/>
      </c>
      <c r="D1546" t="str">
        <f>IF(A1546="","",SUMIFS(Акты!$D$5:$D$16,Акты!$E$5:$E$16,"&lt;="&amp;A1546)-SUMIFS(Оплаты!$B$6:$B$505,Оплаты!$A$6:$A$505,"&lt;"&amp;A1546,Оплаты!$D$6:$D$505,"&lt;&gt;"))</f>
        <v/>
      </c>
      <c r="E1546" t="str">
        <f>IF(A1546="","",IF(SUMPRODUCT((Ввод!$F$12:$F$31&lt;&gt;"")*(Ввод!$F$12:$F$31&lt;=A1546)*(Ввод!$G$12:$G$31&gt;=A1546))&gt;0,1,0))</f>
        <v/>
      </c>
      <c r="G1546" t="str">
        <f t="shared" si="49"/>
        <v/>
      </c>
    </row>
    <row r="1547" spans="1:7" x14ac:dyDescent="0.3">
      <c r="A1547" s="21" t="str">
        <f>IF(A1546="","",IF(A1546+1&gt;Ввод!$B$4,"",A1546+1))</f>
        <v/>
      </c>
      <c r="B1547" s="23" t="str">
        <f>IF(A1547="","",IFERROR(INDEX(Ввод!$B$12:$B$71,MATCH(A1547,Ввод!$D$12:$D$71,1)),""))</f>
        <v/>
      </c>
      <c r="C1547" t="str">
        <f t="shared" si="48"/>
        <v/>
      </c>
      <c r="D1547" t="str">
        <f>IF(A1547="","",SUMIFS(Акты!$D$5:$D$16,Акты!$E$5:$E$16,"&lt;="&amp;A1547)-SUMIFS(Оплаты!$B$6:$B$505,Оплаты!$A$6:$A$505,"&lt;"&amp;A1547,Оплаты!$D$6:$D$505,"&lt;&gt;"))</f>
        <v/>
      </c>
      <c r="E1547" t="str">
        <f>IF(A1547="","",IF(SUMPRODUCT((Ввод!$F$12:$F$31&lt;&gt;"")*(Ввод!$F$12:$F$31&lt;=A1547)*(Ввод!$G$12:$G$31&gt;=A1547))&gt;0,1,0))</f>
        <v/>
      </c>
      <c r="G1547" t="str">
        <f t="shared" si="49"/>
        <v/>
      </c>
    </row>
    <row r="1548" spans="1:7" x14ac:dyDescent="0.3">
      <c r="A1548" s="21" t="str">
        <f>IF(A1547="","",IF(A1547+1&gt;Ввод!$B$4,"",A1547+1))</f>
        <v/>
      </c>
      <c r="B1548" s="23" t="str">
        <f>IF(A1548="","",IFERROR(INDEX(Ввод!$B$12:$B$71,MATCH(A1548,Ввод!$D$12:$D$71,1)),""))</f>
        <v/>
      </c>
      <c r="C1548" t="str">
        <f t="shared" si="48"/>
        <v/>
      </c>
      <c r="D1548" t="str">
        <f>IF(A1548="","",SUMIFS(Акты!$D$5:$D$16,Акты!$E$5:$E$16,"&lt;="&amp;A1548)-SUMIFS(Оплаты!$B$6:$B$505,Оплаты!$A$6:$A$505,"&lt;"&amp;A1548,Оплаты!$D$6:$D$505,"&lt;&gt;"))</f>
        <v/>
      </c>
      <c r="E1548" t="str">
        <f>IF(A1548="","",IF(SUMPRODUCT((Ввод!$F$12:$F$31&lt;&gt;"")*(Ввод!$F$12:$F$31&lt;=A1548)*(Ввод!$G$12:$G$31&gt;=A1548))&gt;0,1,0))</f>
        <v/>
      </c>
      <c r="G1548" t="str">
        <f t="shared" si="49"/>
        <v/>
      </c>
    </row>
    <row r="1549" spans="1:7" x14ac:dyDescent="0.3">
      <c r="A1549" s="21" t="str">
        <f>IF(A1548="","",IF(A1548+1&gt;Ввод!$B$4,"",A1548+1))</f>
        <v/>
      </c>
      <c r="B1549" s="23" t="str">
        <f>IF(A1549="","",IFERROR(INDEX(Ввод!$B$12:$B$71,MATCH(A1549,Ввод!$D$12:$D$71,1)),""))</f>
        <v/>
      </c>
      <c r="C1549" t="str">
        <f t="shared" si="48"/>
        <v/>
      </c>
      <c r="D1549" t="str">
        <f>IF(A1549="","",SUMIFS(Акты!$D$5:$D$16,Акты!$E$5:$E$16,"&lt;="&amp;A1549)-SUMIFS(Оплаты!$B$6:$B$505,Оплаты!$A$6:$A$505,"&lt;"&amp;A1549,Оплаты!$D$6:$D$505,"&lt;&gt;"))</f>
        <v/>
      </c>
      <c r="E1549" t="str">
        <f>IF(A1549="","",IF(SUMPRODUCT((Ввод!$F$12:$F$31&lt;&gt;"")*(Ввод!$F$12:$F$31&lt;=A1549)*(Ввод!$G$12:$G$31&gt;=A1549))&gt;0,1,0))</f>
        <v/>
      </c>
      <c r="G1549" t="str">
        <f t="shared" si="49"/>
        <v/>
      </c>
    </row>
    <row r="1550" spans="1:7" x14ac:dyDescent="0.3">
      <c r="A1550" s="21" t="str">
        <f>IF(A1549="","",IF(A1549+1&gt;Ввод!$B$4,"",A1549+1))</f>
        <v/>
      </c>
      <c r="B1550" s="23" t="str">
        <f>IF(A1550="","",IFERROR(INDEX(Ввод!$B$12:$B$71,MATCH(A1550,Ввод!$D$12:$D$71,1)),""))</f>
        <v/>
      </c>
      <c r="C1550" t="str">
        <f t="shared" si="48"/>
        <v/>
      </c>
      <c r="D1550" t="str">
        <f>IF(A1550="","",SUMIFS(Акты!$D$5:$D$16,Акты!$E$5:$E$16,"&lt;="&amp;A1550)-SUMIFS(Оплаты!$B$6:$B$505,Оплаты!$A$6:$A$505,"&lt;"&amp;A1550,Оплаты!$D$6:$D$505,"&lt;&gt;"))</f>
        <v/>
      </c>
      <c r="E1550" t="str">
        <f>IF(A1550="","",IF(SUMPRODUCT((Ввод!$F$12:$F$31&lt;&gt;"")*(Ввод!$F$12:$F$31&lt;=A1550)*(Ввод!$G$12:$G$31&gt;=A1550))&gt;0,1,0))</f>
        <v/>
      </c>
      <c r="G1550" t="str">
        <f t="shared" si="49"/>
        <v/>
      </c>
    </row>
    <row r="1551" spans="1:7" x14ac:dyDescent="0.3">
      <c r="A1551" s="21" t="str">
        <f>IF(A1550="","",IF(A1550+1&gt;Ввод!$B$4,"",A1550+1))</f>
        <v/>
      </c>
      <c r="B1551" s="23" t="str">
        <f>IF(A1551="","",IFERROR(INDEX(Ввод!$B$12:$B$71,MATCH(A1551,Ввод!$D$12:$D$71,1)),""))</f>
        <v/>
      </c>
      <c r="C1551" t="str">
        <f t="shared" si="48"/>
        <v/>
      </c>
      <c r="D1551" t="str">
        <f>IF(A1551="","",SUMIFS(Акты!$D$5:$D$16,Акты!$E$5:$E$16,"&lt;="&amp;A1551)-SUMIFS(Оплаты!$B$6:$B$505,Оплаты!$A$6:$A$505,"&lt;"&amp;A1551,Оплаты!$D$6:$D$505,"&lt;&gt;"))</f>
        <v/>
      </c>
      <c r="E1551" t="str">
        <f>IF(A1551="","",IF(SUMPRODUCT((Ввод!$F$12:$F$31&lt;&gt;"")*(Ввод!$F$12:$F$31&lt;=A1551)*(Ввод!$G$12:$G$31&gt;=A1551))&gt;0,1,0))</f>
        <v/>
      </c>
      <c r="G1551" t="str">
        <f t="shared" si="49"/>
        <v/>
      </c>
    </row>
    <row r="1552" spans="1:7" x14ac:dyDescent="0.3">
      <c r="A1552" s="21" t="str">
        <f>IF(A1551="","",IF(A1551+1&gt;Ввод!$B$4,"",A1551+1))</f>
        <v/>
      </c>
      <c r="B1552" s="23" t="str">
        <f>IF(A1552="","",IFERROR(INDEX(Ввод!$B$12:$B$71,MATCH(A1552,Ввод!$D$12:$D$71,1)),""))</f>
        <v/>
      </c>
      <c r="C1552" t="str">
        <f t="shared" si="48"/>
        <v/>
      </c>
      <c r="D1552" t="str">
        <f>IF(A1552="","",SUMIFS(Акты!$D$5:$D$16,Акты!$E$5:$E$16,"&lt;="&amp;A1552)-SUMIFS(Оплаты!$B$6:$B$505,Оплаты!$A$6:$A$505,"&lt;"&amp;A1552,Оплаты!$D$6:$D$505,"&lt;&gt;"))</f>
        <v/>
      </c>
      <c r="E1552" t="str">
        <f>IF(A1552="","",IF(SUMPRODUCT((Ввод!$F$12:$F$31&lt;&gt;"")*(Ввод!$F$12:$F$31&lt;=A1552)*(Ввод!$G$12:$G$31&gt;=A1552))&gt;0,1,0))</f>
        <v/>
      </c>
      <c r="G1552" t="str">
        <f t="shared" si="49"/>
        <v/>
      </c>
    </row>
    <row r="1553" spans="1:7" x14ac:dyDescent="0.3">
      <c r="A1553" s="21" t="str">
        <f>IF(A1552="","",IF(A1552+1&gt;Ввод!$B$4,"",A1552+1))</f>
        <v/>
      </c>
      <c r="B1553" s="23" t="str">
        <f>IF(A1553="","",IFERROR(INDEX(Ввод!$B$12:$B$71,MATCH(A1553,Ввод!$D$12:$D$71,1)),""))</f>
        <v/>
      </c>
      <c r="C1553" t="str">
        <f t="shared" si="48"/>
        <v/>
      </c>
      <c r="D1553" t="str">
        <f>IF(A1553="","",SUMIFS(Акты!$D$5:$D$16,Акты!$E$5:$E$16,"&lt;="&amp;A1553)-SUMIFS(Оплаты!$B$6:$B$505,Оплаты!$A$6:$A$505,"&lt;"&amp;A1553,Оплаты!$D$6:$D$505,"&lt;&gt;"))</f>
        <v/>
      </c>
      <c r="E1553" t="str">
        <f>IF(A1553="","",IF(SUMPRODUCT((Ввод!$F$12:$F$31&lt;&gt;"")*(Ввод!$F$12:$F$31&lt;=A1553)*(Ввод!$G$12:$G$31&gt;=A1553))&gt;0,1,0))</f>
        <v/>
      </c>
      <c r="G1553" t="str">
        <f t="shared" si="49"/>
        <v/>
      </c>
    </row>
    <row r="1554" spans="1:7" x14ac:dyDescent="0.3">
      <c r="A1554" s="21" t="str">
        <f>IF(A1553="","",IF(A1553+1&gt;Ввод!$B$4,"",A1553+1))</f>
        <v/>
      </c>
      <c r="B1554" s="23" t="str">
        <f>IF(A1554="","",IFERROR(INDEX(Ввод!$B$12:$B$71,MATCH(A1554,Ввод!$D$12:$D$71,1)),""))</f>
        <v/>
      </c>
      <c r="C1554" t="str">
        <f t="shared" si="48"/>
        <v/>
      </c>
      <c r="D1554" t="str">
        <f>IF(A1554="","",SUMIFS(Акты!$D$5:$D$16,Акты!$E$5:$E$16,"&lt;="&amp;A1554)-SUMIFS(Оплаты!$B$6:$B$505,Оплаты!$A$6:$A$505,"&lt;"&amp;A1554,Оплаты!$D$6:$D$505,"&lt;&gt;"))</f>
        <v/>
      </c>
      <c r="E1554" t="str">
        <f>IF(A1554="","",IF(SUMPRODUCT((Ввод!$F$12:$F$31&lt;&gt;"")*(Ввод!$F$12:$F$31&lt;=A1554)*(Ввод!$G$12:$G$31&gt;=A1554))&gt;0,1,0))</f>
        <v/>
      </c>
      <c r="G1554" t="str">
        <f t="shared" si="49"/>
        <v/>
      </c>
    </row>
    <row r="1555" spans="1:7" x14ac:dyDescent="0.3">
      <c r="A1555" s="21" t="str">
        <f>IF(A1554="","",IF(A1554+1&gt;Ввод!$B$4,"",A1554+1))</f>
        <v/>
      </c>
      <c r="B1555" s="23" t="str">
        <f>IF(A1555="","",IFERROR(INDEX(Ввод!$B$12:$B$71,MATCH(A1555,Ввод!$D$12:$D$71,1)),""))</f>
        <v/>
      </c>
      <c r="C1555" t="str">
        <f t="shared" si="48"/>
        <v/>
      </c>
      <c r="D1555" t="str">
        <f>IF(A1555="","",SUMIFS(Акты!$D$5:$D$16,Акты!$E$5:$E$16,"&lt;="&amp;A1555)-SUMIFS(Оплаты!$B$6:$B$505,Оплаты!$A$6:$A$505,"&lt;"&amp;A1555,Оплаты!$D$6:$D$505,"&lt;&gt;"))</f>
        <v/>
      </c>
      <c r="E1555" t="str">
        <f>IF(A1555="","",IF(SUMPRODUCT((Ввод!$F$12:$F$31&lt;&gt;"")*(Ввод!$F$12:$F$31&lt;=A1555)*(Ввод!$G$12:$G$31&gt;=A1555))&gt;0,1,0))</f>
        <v/>
      </c>
      <c r="G1555" t="str">
        <f t="shared" si="49"/>
        <v/>
      </c>
    </row>
    <row r="1556" spans="1:7" x14ac:dyDescent="0.3">
      <c r="A1556" s="21" t="str">
        <f>IF(A1555="","",IF(A1555+1&gt;Ввод!$B$4,"",A1555+1))</f>
        <v/>
      </c>
      <c r="B1556" s="23" t="str">
        <f>IF(A1556="","",IFERROR(INDEX(Ввод!$B$12:$B$71,MATCH(A1556,Ввод!$D$12:$D$71,1)),""))</f>
        <v/>
      </c>
      <c r="C1556" t="str">
        <f t="shared" si="48"/>
        <v/>
      </c>
      <c r="D1556" t="str">
        <f>IF(A1556="","",SUMIFS(Акты!$D$5:$D$16,Акты!$E$5:$E$16,"&lt;="&amp;A1556)-SUMIFS(Оплаты!$B$6:$B$505,Оплаты!$A$6:$A$505,"&lt;"&amp;A1556,Оплаты!$D$6:$D$505,"&lt;&gt;"))</f>
        <v/>
      </c>
      <c r="E1556" t="str">
        <f>IF(A1556="","",IF(SUMPRODUCT((Ввод!$F$12:$F$31&lt;&gt;"")*(Ввод!$F$12:$F$31&lt;=A1556)*(Ввод!$G$12:$G$31&gt;=A1556))&gt;0,1,0))</f>
        <v/>
      </c>
      <c r="G1556" t="str">
        <f t="shared" si="49"/>
        <v/>
      </c>
    </row>
    <row r="1557" spans="1:7" x14ac:dyDescent="0.3">
      <c r="A1557" s="21" t="str">
        <f>IF(A1556="","",IF(A1556+1&gt;Ввод!$B$4,"",A1556+1))</f>
        <v/>
      </c>
      <c r="B1557" s="23" t="str">
        <f>IF(A1557="","",IFERROR(INDEX(Ввод!$B$12:$B$71,MATCH(A1557,Ввод!$D$12:$D$71,1)),""))</f>
        <v/>
      </c>
      <c r="C1557" t="str">
        <f t="shared" si="48"/>
        <v/>
      </c>
      <c r="D1557" t="str">
        <f>IF(A1557="","",SUMIFS(Акты!$D$5:$D$16,Акты!$E$5:$E$16,"&lt;="&amp;A1557)-SUMIFS(Оплаты!$B$6:$B$505,Оплаты!$A$6:$A$505,"&lt;"&amp;A1557,Оплаты!$D$6:$D$505,"&lt;&gt;"))</f>
        <v/>
      </c>
      <c r="E1557" t="str">
        <f>IF(A1557="","",IF(SUMPRODUCT((Ввод!$F$12:$F$31&lt;&gt;"")*(Ввод!$F$12:$F$31&lt;=A1557)*(Ввод!$G$12:$G$31&gt;=A1557))&gt;0,1,0))</f>
        <v/>
      </c>
      <c r="G1557" t="str">
        <f t="shared" si="49"/>
        <v/>
      </c>
    </row>
    <row r="1558" spans="1:7" x14ac:dyDescent="0.3">
      <c r="A1558" s="21" t="str">
        <f>IF(A1557="","",IF(A1557+1&gt;Ввод!$B$4,"",A1557+1))</f>
        <v/>
      </c>
      <c r="B1558" s="23" t="str">
        <f>IF(A1558="","",IFERROR(INDEX(Ввод!$B$12:$B$71,MATCH(A1558,Ввод!$D$12:$D$71,1)),""))</f>
        <v/>
      </c>
      <c r="C1558" t="str">
        <f t="shared" si="48"/>
        <v/>
      </c>
      <c r="D1558" t="str">
        <f>IF(A1558="","",SUMIFS(Акты!$D$5:$D$16,Акты!$E$5:$E$16,"&lt;="&amp;A1558)-SUMIFS(Оплаты!$B$6:$B$505,Оплаты!$A$6:$A$505,"&lt;"&amp;A1558,Оплаты!$D$6:$D$505,"&lt;&gt;"))</f>
        <v/>
      </c>
      <c r="E1558" t="str">
        <f>IF(A1558="","",IF(SUMPRODUCT((Ввод!$F$12:$F$31&lt;&gt;"")*(Ввод!$F$12:$F$31&lt;=A1558)*(Ввод!$G$12:$G$31&gt;=A1558))&gt;0,1,0))</f>
        <v/>
      </c>
      <c r="G1558" t="str">
        <f t="shared" si="49"/>
        <v/>
      </c>
    </row>
    <row r="1559" spans="1:7" x14ac:dyDescent="0.3">
      <c r="A1559" s="21" t="str">
        <f>IF(A1558="","",IF(A1558+1&gt;Ввод!$B$4,"",A1558+1))</f>
        <v/>
      </c>
      <c r="B1559" s="23" t="str">
        <f>IF(A1559="","",IFERROR(INDEX(Ввод!$B$12:$B$71,MATCH(A1559,Ввод!$D$12:$D$71,1)),""))</f>
        <v/>
      </c>
      <c r="C1559" t="str">
        <f t="shared" si="48"/>
        <v/>
      </c>
      <c r="D1559" t="str">
        <f>IF(A1559="","",SUMIFS(Акты!$D$5:$D$16,Акты!$E$5:$E$16,"&lt;="&amp;A1559)-SUMIFS(Оплаты!$B$6:$B$505,Оплаты!$A$6:$A$505,"&lt;"&amp;A1559,Оплаты!$D$6:$D$505,"&lt;&gt;"))</f>
        <v/>
      </c>
      <c r="E1559" t="str">
        <f>IF(A1559="","",IF(SUMPRODUCT((Ввод!$F$12:$F$31&lt;&gt;"")*(Ввод!$F$12:$F$31&lt;=A1559)*(Ввод!$G$12:$G$31&gt;=A1559))&gt;0,1,0))</f>
        <v/>
      </c>
      <c r="G1559" t="str">
        <f t="shared" si="49"/>
        <v/>
      </c>
    </row>
    <row r="1560" spans="1:7" x14ac:dyDescent="0.3">
      <c r="A1560" s="21" t="str">
        <f>IF(A1559="","",IF(A1559+1&gt;Ввод!$B$4,"",A1559+1))</f>
        <v/>
      </c>
      <c r="B1560" s="23" t="str">
        <f>IF(A1560="","",IFERROR(INDEX(Ввод!$B$12:$B$71,MATCH(A1560,Ввод!$D$12:$D$71,1)),""))</f>
        <v/>
      </c>
      <c r="C1560" t="str">
        <f t="shared" si="48"/>
        <v/>
      </c>
      <c r="D1560" t="str">
        <f>IF(A1560="","",SUMIFS(Акты!$D$5:$D$16,Акты!$E$5:$E$16,"&lt;="&amp;A1560)-SUMIFS(Оплаты!$B$6:$B$505,Оплаты!$A$6:$A$505,"&lt;"&amp;A1560,Оплаты!$D$6:$D$505,"&lt;&gt;"))</f>
        <v/>
      </c>
      <c r="E1560" t="str">
        <f>IF(A1560="","",IF(SUMPRODUCT((Ввод!$F$12:$F$31&lt;&gt;"")*(Ввод!$F$12:$F$31&lt;=A1560)*(Ввод!$G$12:$G$31&gt;=A1560))&gt;0,1,0))</f>
        <v/>
      </c>
      <c r="G1560" t="str">
        <f t="shared" si="49"/>
        <v/>
      </c>
    </row>
    <row r="1561" spans="1:7" x14ac:dyDescent="0.3">
      <c r="A1561" s="21" t="str">
        <f>IF(A1560="","",IF(A1560+1&gt;Ввод!$B$4,"",A1560+1))</f>
        <v/>
      </c>
      <c r="B1561" s="23" t="str">
        <f>IF(A1561="","",IFERROR(INDEX(Ввод!$B$12:$B$71,MATCH(A1561,Ввод!$D$12:$D$71,1)),""))</f>
        <v/>
      </c>
      <c r="C1561" t="str">
        <f t="shared" si="48"/>
        <v/>
      </c>
      <c r="D1561" t="str">
        <f>IF(A1561="","",SUMIFS(Акты!$D$5:$D$16,Акты!$E$5:$E$16,"&lt;="&amp;A1561)-SUMIFS(Оплаты!$B$6:$B$505,Оплаты!$A$6:$A$505,"&lt;"&amp;A1561,Оплаты!$D$6:$D$505,"&lt;&gt;"))</f>
        <v/>
      </c>
      <c r="E1561" t="str">
        <f>IF(A1561="","",IF(SUMPRODUCT((Ввод!$F$12:$F$31&lt;&gt;"")*(Ввод!$F$12:$F$31&lt;=A1561)*(Ввод!$G$12:$G$31&gt;=A1561))&gt;0,1,0))</f>
        <v/>
      </c>
      <c r="G1561" t="str">
        <f t="shared" si="49"/>
        <v/>
      </c>
    </row>
    <row r="1562" spans="1:7" x14ac:dyDescent="0.3">
      <c r="A1562" s="21" t="str">
        <f>IF(A1561="","",IF(A1561+1&gt;Ввод!$B$4,"",A1561+1))</f>
        <v/>
      </c>
      <c r="B1562" s="23" t="str">
        <f>IF(A1562="","",IFERROR(INDEX(Ввод!$B$12:$B$71,MATCH(A1562,Ввод!$D$12:$D$71,1)),""))</f>
        <v/>
      </c>
      <c r="C1562" t="str">
        <f t="shared" si="48"/>
        <v/>
      </c>
      <c r="D1562" t="str">
        <f>IF(A1562="","",SUMIFS(Акты!$D$5:$D$16,Акты!$E$5:$E$16,"&lt;="&amp;A1562)-SUMIFS(Оплаты!$B$6:$B$505,Оплаты!$A$6:$A$505,"&lt;"&amp;A1562,Оплаты!$D$6:$D$505,"&lt;&gt;"))</f>
        <v/>
      </c>
      <c r="E1562" t="str">
        <f>IF(A1562="","",IF(SUMPRODUCT((Ввод!$F$12:$F$31&lt;&gt;"")*(Ввод!$F$12:$F$31&lt;=A1562)*(Ввод!$G$12:$G$31&gt;=A1562))&gt;0,1,0))</f>
        <v/>
      </c>
      <c r="G1562" t="str">
        <f t="shared" si="49"/>
        <v/>
      </c>
    </row>
    <row r="1563" spans="1:7" x14ac:dyDescent="0.3">
      <c r="A1563" s="21" t="str">
        <f>IF(A1562="","",IF(A1562+1&gt;Ввод!$B$4,"",A1562+1))</f>
        <v/>
      </c>
      <c r="B1563" s="23" t="str">
        <f>IF(A1563="","",IFERROR(INDEX(Ввод!$B$12:$B$71,MATCH(A1563,Ввод!$D$12:$D$71,1)),""))</f>
        <v/>
      </c>
      <c r="C1563" t="str">
        <f t="shared" si="48"/>
        <v/>
      </c>
      <c r="D1563" t="str">
        <f>IF(A1563="","",SUMIFS(Акты!$D$5:$D$16,Акты!$E$5:$E$16,"&lt;="&amp;A1563)-SUMIFS(Оплаты!$B$6:$B$505,Оплаты!$A$6:$A$505,"&lt;"&amp;A1563,Оплаты!$D$6:$D$505,"&lt;&gt;"))</f>
        <v/>
      </c>
      <c r="E1563" t="str">
        <f>IF(A1563="","",IF(SUMPRODUCT((Ввод!$F$12:$F$31&lt;&gt;"")*(Ввод!$F$12:$F$31&lt;=A1563)*(Ввод!$G$12:$G$31&gt;=A1563))&gt;0,1,0))</f>
        <v/>
      </c>
      <c r="G1563" t="str">
        <f t="shared" si="49"/>
        <v/>
      </c>
    </row>
    <row r="1564" spans="1:7" x14ac:dyDescent="0.3">
      <c r="A1564" s="21" t="str">
        <f>IF(A1563="","",IF(A1563+1&gt;Ввод!$B$4,"",A1563+1))</f>
        <v/>
      </c>
      <c r="B1564" s="23" t="str">
        <f>IF(A1564="","",IFERROR(INDEX(Ввод!$B$12:$B$71,MATCH(A1564,Ввод!$D$12:$D$71,1)),""))</f>
        <v/>
      </c>
      <c r="C1564" t="str">
        <f t="shared" si="48"/>
        <v/>
      </c>
      <c r="D1564" t="str">
        <f>IF(A1564="","",SUMIFS(Акты!$D$5:$D$16,Акты!$E$5:$E$16,"&lt;="&amp;A1564)-SUMIFS(Оплаты!$B$6:$B$505,Оплаты!$A$6:$A$505,"&lt;"&amp;A1564,Оплаты!$D$6:$D$505,"&lt;&gt;"))</f>
        <v/>
      </c>
      <c r="E1564" t="str">
        <f>IF(A1564="","",IF(SUMPRODUCT((Ввод!$F$12:$F$31&lt;&gt;"")*(Ввод!$F$12:$F$31&lt;=A1564)*(Ввод!$G$12:$G$31&gt;=A1564))&gt;0,1,0))</f>
        <v/>
      </c>
      <c r="G1564" t="str">
        <f t="shared" si="49"/>
        <v/>
      </c>
    </row>
    <row r="1565" spans="1:7" x14ac:dyDescent="0.3">
      <c r="A1565" s="21" t="str">
        <f>IF(A1564="","",IF(A1564+1&gt;Ввод!$B$4,"",A1564+1))</f>
        <v/>
      </c>
      <c r="B1565" s="23" t="str">
        <f>IF(A1565="","",IFERROR(INDEX(Ввод!$B$12:$B$71,MATCH(A1565,Ввод!$D$12:$D$71,1)),""))</f>
        <v/>
      </c>
      <c r="C1565" t="str">
        <f t="shared" si="48"/>
        <v/>
      </c>
      <c r="D1565" t="str">
        <f>IF(A1565="","",SUMIFS(Акты!$D$5:$D$16,Акты!$E$5:$E$16,"&lt;="&amp;A1565)-SUMIFS(Оплаты!$B$6:$B$505,Оплаты!$A$6:$A$505,"&lt;"&amp;A1565,Оплаты!$D$6:$D$505,"&lt;&gt;"))</f>
        <v/>
      </c>
      <c r="E1565" t="str">
        <f>IF(A1565="","",IF(SUMPRODUCT((Ввод!$F$12:$F$31&lt;&gt;"")*(Ввод!$F$12:$F$31&lt;=A1565)*(Ввод!$G$12:$G$31&gt;=A1565))&gt;0,1,0))</f>
        <v/>
      </c>
      <c r="G1565" t="str">
        <f t="shared" si="49"/>
        <v/>
      </c>
    </row>
    <row r="1566" spans="1:7" x14ac:dyDescent="0.3">
      <c r="A1566" s="21" t="str">
        <f>IF(A1565="","",IF(A1565+1&gt;Ввод!$B$4,"",A1565+1))</f>
        <v/>
      </c>
      <c r="B1566" s="23" t="str">
        <f>IF(A1566="","",IFERROR(INDEX(Ввод!$B$12:$B$71,MATCH(A1566,Ввод!$D$12:$D$71,1)),""))</f>
        <v/>
      </c>
      <c r="C1566" t="str">
        <f t="shared" si="48"/>
        <v/>
      </c>
      <c r="D1566" t="str">
        <f>IF(A1566="","",SUMIFS(Акты!$D$5:$D$16,Акты!$E$5:$E$16,"&lt;="&amp;A1566)-SUMIFS(Оплаты!$B$6:$B$505,Оплаты!$A$6:$A$505,"&lt;"&amp;A1566,Оплаты!$D$6:$D$505,"&lt;&gt;"))</f>
        <v/>
      </c>
      <c r="E1566" t="str">
        <f>IF(A1566="","",IF(SUMPRODUCT((Ввод!$F$12:$F$31&lt;&gt;"")*(Ввод!$F$12:$F$31&lt;=A1566)*(Ввод!$G$12:$G$31&gt;=A1566))&gt;0,1,0))</f>
        <v/>
      </c>
      <c r="G1566" t="str">
        <f t="shared" si="49"/>
        <v/>
      </c>
    </row>
    <row r="1567" spans="1:7" x14ac:dyDescent="0.3">
      <c r="A1567" s="21" t="str">
        <f>IF(A1566="","",IF(A1566+1&gt;Ввод!$B$4,"",A1566+1))</f>
        <v/>
      </c>
      <c r="B1567" s="23" t="str">
        <f>IF(A1567="","",IFERROR(INDEX(Ввод!$B$12:$B$71,MATCH(A1567,Ввод!$D$12:$D$71,1)),""))</f>
        <v/>
      </c>
      <c r="C1567" t="str">
        <f t="shared" si="48"/>
        <v/>
      </c>
      <c r="D1567" t="str">
        <f>IF(A1567="","",SUMIFS(Акты!$D$5:$D$16,Акты!$E$5:$E$16,"&lt;="&amp;A1567)-SUMIFS(Оплаты!$B$6:$B$505,Оплаты!$A$6:$A$505,"&lt;"&amp;A1567,Оплаты!$D$6:$D$505,"&lt;&gt;"))</f>
        <v/>
      </c>
      <c r="E1567" t="str">
        <f>IF(A1567="","",IF(SUMPRODUCT((Ввод!$F$12:$F$31&lt;&gt;"")*(Ввод!$F$12:$F$31&lt;=A1567)*(Ввод!$G$12:$G$31&gt;=A1567))&gt;0,1,0))</f>
        <v/>
      </c>
      <c r="G1567" t="str">
        <f t="shared" si="49"/>
        <v/>
      </c>
    </row>
    <row r="1568" spans="1:7" x14ac:dyDescent="0.3">
      <c r="A1568" s="21" t="str">
        <f>IF(A1567="","",IF(A1567+1&gt;Ввод!$B$4,"",A1567+1))</f>
        <v/>
      </c>
      <c r="B1568" s="23" t="str">
        <f>IF(A1568="","",IFERROR(INDEX(Ввод!$B$12:$B$71,MATCH(A1568,Ввод!$D$12:$D$71,1)),""))</f>
        <v/>
      </c>
      <c r="C1568" t="str">
        <f t="shared" si="48"/>
        <v/>
      </c>
      <c r="D1568" t="str">
        <f>IF(A1568="","",SUMIFS(Акты!$D$5:$D$16,Акты!$E$5:$E$16,"&lt;="&amp;A1568)-SUMIFS(Оплаты!$B$6:$B$505,Оплаты!$A$6:$A$505,"&lt;"&amp;A1568,Оплаты!$D$6:$D$505,"&lt;&gt;"))</f>
        <v/>
      </c>
      <c r="E1568" t="str">
        <f>IF(A1568="","",IF(SUMPRODUCT((Ввод!$F$12:$F$31&lt;&gt;"")*(Ввод!$F$12:$F$31&lt;=A1568)*(Ввод!$G$12:$G$31&gt;=A1568))&gt;0,1,0))</f>
        <v/>
      </c>
      <c r="G1568" t="str">
        <f t="shared" si="49"/>
        <v/>
      </c>
    </row>
    <row r="1569" spans="1:7" x14ac:dyDescent="0.3">
      <c r="A1569" s="21" t="str">
        <f>IF(A1568="","",IF(A1568+1&gt;Ввод!$B$4,"",A1568+1))</f>
        <v/>
      </c>
      <c r="B1569" s="23" t="str">
        <f>IF(A1569="","",IFERROR(INDEX(Ввод!$B$12:$B$71,MATCH(A1569,Ввод!$D$12:$D$71,1)),""))</f>
        <v/>
      </c>
      <c r="C1569" t="str">
        <f t="shared" si="48"/>
        <v/>
      </c>
      <c r="D1569" t="str">
        <f>IF(A1569="","",SUMIFS(Акты!$D$5:$D$16,Акты!$E$5:$E$16,"&lt;="&amp;A1569)-SUMIFS(Оплаты!$B$6:$B$505,Оплаты!$A$6:$A$505,"&lt;"&amp;A1569,Оплаты!$D$6:$D$505,"&lt;&gt;"))</f>
        <v/>
      </c>
      <c r="E1569" t="str">
        <f>IF(A1569="","",IF(SUMPRODUCT((Ввод!$F$12:$F$31&lt;&gt;"")*(Ввод!$F$12:$F$31&lt;=A1569)*(Ввод!$G$12:$G$31&gt;=A1569))&gt;0,1,0))</f>
        <v/>
      </c>
      <c r="G1569" t="str">
        <f t="shared" si="49"/>
        <v/>
      </c>
    </row>
    <row r="1570" spans="1:7" x14ac:dyDescent="0.3">
      <c r="A1570" s="21" t="str">
        <f>IF(A1569="","",IF(A1569+1&gt;Ввод!$B$4,"",A1569+1))</f>
        <v/>
      </c>
      <c r="B1570" s="23" t="str">
        <f>IF(A1570="","",IFERROR(INDEX(Ввод!$B$12:$B$71,MATCH(A1570,Ввод!$D$12:$D$71,1)),""))</f>
        <v/>
      </c>
      <c r="C1570" t="str">
        <f t="shared" si="48"/>
        <v/>
      </c>
      <c r="D1570" t="str">
        <f>IF(A1570="","",SUMIFS(Акты!$D$5:$D$16,Акты!$E$5:$E$16,"&lt;="&amp;A1570)-SUMIFS(Оплаты!$B$6:$B$505,Оплаты!$A$6:$A$505,"&lt;"&amp;A1570,Оплаты!$D$6:$D$505,"&lt;&gt;"))</f>
        <v/>
      </c>
      <c r="E1570" t="str">
        <f>IF(A1570="","",IF(SUMPRODUCT((Ввод!$F$12:$F$31&lt;&gt;"")*(Ввод!$F$12:$F$31&lt;=A1570)*(Ввод!$G$12:$G$31&gt;=A1570))&gt;0,1,0))</f>
        <v/>
      </c>
      <c r="G1570" t="str">
        <f t="shared" si="49"/>
        <v/>
      </c>
    </row>
    <row r="1571" spans="1:7" x14ac:dyDescent="0.3">
      <c r="A1571" s="21" t="str">
        <f>IF(A1570="","",IF(A1570+1&gt;Ввод!$B$4,"",A1570+1))</f>
        <v/>
      </c>
      <c r="B1571" s="23" t="str">
        <f>IF(A1571="","",IFERROR(INDEX(Ввод!$B$12:$B$71,MATCH(A1571,Ввод!$D$12:$D$71,1)),""))</f>
        <v/>
      </c>
      <c r="C1571" t="str">
        <f t="shared" si="48"/>
        <v/>
      </c>
      <c r="D1571" t="str">
        <f>IF(A1571="","",SUMIFS(Акты!$D$5:$D$16,Акты!$E$5:$E$16,"&lt;="&amp;A1571)-SUMIFS(Оплаты!$B$6:$B$505,Оплаты!$A$6:$A$505,"&lt;"&amp;A1571,Оплаты!$D$6:$D$505,"&lt;&gt;"))</f>
        <v/>
      </c>
      <c r="E1571" t="str">
        <f>IF(A1571="","",IF(SUMPRODUCT((Ввод!$F$12:$F$31&lt;&gt;"")*(Ввод!$F$12:$F$31&lt;=A1571)*(Ввод!$G$12:$G$31&gt;=A1571))&gt;0,1,0))</f>
        <v/>
      </c>
      <c r="G1571" t="str">
        <f t="shared" si="49"/>
        <v/>
      </c>
    </row>
    <row r="1572" spans="1:7" x14ac:dyDescent="0.3">
      <c r="A1572" s="21" t="str">
        <f>IF(A1571="","",IF(A1571+1&gt;Ввод!$B$4,"",A1571+1))</f>
        <v/>
      </c>
      <c r="B1572" s="23" t="str">
        <f>IF(A1572="","",IFERROR(INDEX(Ввод!$B$12:$B$71,MATCH(A1572,Ввод!$D$12:$D$71,1)),""))</f>
        <v/>
      </c>
      <c r="C1572" t="str">
        <f t="shared" si="48"/>
        <v/>
      </c>
      <c r="D1572" t="str">
        <f>IF(A1572="","",SUMIFS(Акты!$D$5:$D$16,Акты!$E$5:$E$16,"&lt;="&amp;A1572)-SUMIFS(Оплаты!$B$6:$B$505,Оплаты!$A$6:$A$505,"&lt;"&amp;A1572,Оплаты!$D$6:$D$505,"&lt;&gt;"))</f>
        <v/>
      </c>
      <c r="E1572" t="str">
        <f>IF(A1572="","",IF(SUMPRODUCT((Ввод!$F$12:$F$31&lt;&gt;"")*(Ввод!$F$12:$F$31&lt;=A1572)*(Ввод!$G$12:$G$31&gt;=A1572))&gt;0,1,0))</f>
        <v/>
      </c>
      <c r="G1572" t="str">
        <f t="shared" si="49"/>
        <v/>
      </c>
    </row>
    <row r="1573" spans="1:7" x14ac:dyDescent="0.3">
      <c r="A1573" s="21" t="str">
        <f>IF(A1572="","",IF(A1572+1&gt;Ввод!$B$4,"",A1572+1))</f>
        <v/>
      </c>
      <c r="B1573" s="23" t="str">
        <f>IF(A1573="","",IFERROR(INDEX(Ввод!$B$12:$B$71,MATCH(A1573,Ввод!$D$12:$D$71,1)),""))</f>
        <v/>
      </c>
      <c r="C1573" t="str">
        <f t="shared" si="48"/>
        <v/>
      </c>
      <c r="D1573" t="str">
        <f>IF(A1573="","",SUMIFS(Акты!$D$5:$D$16,Акты!$E$5:$E$16,"&lt;="&amp;A1573)-SUMIFS(Оплаты!$B$6:$B$505,Оплаты!$A$6:$A$505,"&lt;"&amp;A1573,Оплаты!$D$6:$D$505,"&lt;&gt;"))</f>
        <v/>
      </c>
      <c r="E1573" t="str">
        <f>IF(A1573="","",IF(SUMPRODUCT((Ввод!$F$12:$F$31&lt;&gt;"")*(Ввод!$F$12:$F$31&lt;=A1573)*(Ввод!$G$12:$G$31&gt;=A1573))&gt;0,1,0))</f>
        <v/>
      </c>
      <c r="G1573" t="str">
        <f t="shared" si="49"/>
        <v/>
      </c>
    </row>
    <row r="1574" spans="1:7" x14ac:dyDescent="0.3">
      <c r="A1574" s="21" t="str">
        <f>IF(A1573="","",IF(A1573+1&gt;Ввод!$B$4,"",A1573+1))</f>
        <v/>
      </c>
      <c r="B1574" s="23" t="str">
        <f>IF(A1574="","",IFERROR(INDEX(Ввод!$B$12:$B$71,MATCH(A1574,Ввод!$D$12:$D$71,1)),""))</f>
        <v/>
      </c>
      <c r="C1574" t="str">
        <f t="shared" si="48"/>
        <v/>
      </c>
      <c r="D1574" t="str">
        <f>IF(A1574="","",SUMIFS(Акты!$D$5:$D$16,Акты!$E$5:$E$16,"&lt;="&amp;A1574)-SUMIFS(Оплаты!$B$6:$B$505,Оплаты!$A$6:$A$505,"&lt;"&amp;A1574,Оплаты!$D$6:$D$505,"&lt;&gt;"))</f>
        <v/>
      </c>
      <c r="E1574" t="str">
        <f>IF(A1574="","",IF(SUMPRODUCT((Ввод!$F$12:$F$31&lt;&gt;"")*(Ввод!$F$12:$F$31&lt;=A1574)*(Ввод!$G$12:$G$31&gt;=A1574))&gt;0,1,0))</f>
        <v/>
      </c>
      <c r="G1574" t="str">
        <f t="shared" si="49"/>
        <v/>
      </c>
    </row>
    <row r="1575" spans="1:7" x14ac:dyDescent="0.3">
      <c r="A1575" s="21" t="str">
        <f>IF(A1574="","",IF(A1574+1&gt;Ввод!$B$4,"",A1574+1))</f>
        <v/>
      </c>
      <c r="B1575" s="23" t="str">
        <f>IF(A1575="","",IFERROR(INDEX(Ввод!$B$12:$B$71,MATCH(A1575,Ввод!$D$12:$D$71,1)),""))</f>
        <v/>
      </c>
      <c r="C1575" t="str">
        <f t="shared" si="48"/>
        <v/>
      </c>
      <c r="D1575" t="str">
        <f>IF(A1575="","",SUMIFS(Акты!$D$5:$D$16,Акты!$E$5:$E$16,"&lt;="&amp;A1575)-SUMIFS(Оплаты!$B$6:$B$505,Оплаты!$A$6:$A$505,"&lt;"&amp;A1575,Оплаты!$D$6:$D$505,"&lt;&gt;"))</f>
        <v/>
      </c>
      <c r="E1575" t="str">
        <f>IF(A1575="","",IF(SUMPRODUCT((Ввод!$F$12:$F$31&lt;&gt;"")*(Ввод!$F$12:$F$31&lt;=A1575)*(Ввод!$G$12:$G$31&gt;=A1575))&gt;0,1,0))</f>
        <v/>
      </c>
      <c r="G1575" t="str">
        <f t="shared" si="49"/>
        <v/>
      </c>
    </row>
    <row r="1576" spans="1:7" x14ac:dyDescent="0.3">
      <c r="A1576" s="21" t="str">
        <f>IF(A1575="","",IF(A1575+1&gt;Ввод!$B$4,"",A1575+1))</f>
        <v/>
      </c>
      <c r="B1576" s="23" t="str">
        <f>IF(A1576="","",IFERROR(INDEX(Ввод!$B$12:$B$71,MATCH(A1576,Ввод!$D$12:$D$71,1)),""))</f>
        <v/>
      </c>
      <c r="C1576" t="str">
        <f t="shared" si="48"/>
        <v/>
      </c>
      <c r="D1576" t="str">
        <f>IF(A1576="","",SUMIFS(Акты!$D$5:$D$16,Акты!$E$5:$E$16,"&lt;="&amp;A1576)-SUMIFS(Оплаты!$B$6:$B$505,Оплаты!$A$6:$A$505,"&lt;"&amp;A1576,Оплаты!$D$6:$D$505,"&lt;&gt;"))</f>
        <v/>
      </c>
      <c r="E1576" t="str">
        <f>IF(A1576="","",IF(SUMPRODUCT((Ввод!$F$12:$F$31&lt;&gt;"")*(Ввод!$F$12:$F$31&lt;=A1576)*(Ввод!$G$12:$G$31&gt;=A1576))&gt;0,1,0))</f>
        <v/>
      </c>
      <c r="G1576" t="str">
        <f t="shared" si="49"/>
        <v/>
      </c>
    </row>
    <row r="1577" spans="1:7" x14ac:dyDescent="0.3">
      <c r="A1577" s="21" t="str">
        <f>IF(A1576="","",IF(A1576+1&gt;Ввод!$B$4,"",A1576+1))</f>
        <v/>
      </c>
      <c r="B1577" s="23" t="str">
        <f>IF(A1577="","",IFERROR(INDEX(Ввод!$B$12:$B$71,MATCH(A1577,Ввод!$D$12:$D$71,1)),""))</f>
        <v/>
      </c>
      <c r="C1577" t="str">
        <f t="shared" si="48"/>
        <v/>
      </c>
      <c r="D1577" t="str">
        <f>IF(A1577="","",SUMIFS(Акты!$D$5:$D$16,Акты!$E$5:$E$16,"&lt;="&amp;A1577)-SUMIFS(Оплаты!$B$6:$B$505,Оплаты!$A$6:$A$505,"&lt;"&amp;A1577,Оплаты!$D$6:$D$505,"&lt;&gt;"))</f>
        <v/>
      </c>
      <c r="E1577" t="str">
        <f>IF(A1577="","",IF(SUMPRODUCT((Ввод!$F$12:$F$31&lt;&gt;"")*(Ввод!$F$12:$F$31&lt;=A1577)*(Ввод!$G$12:$G$31&gt;=A1577))&gt;0,1,0))</f>
        <v/>
      </c>
      <c r="G1577" t="str">
        <f t="shared" si="49"/>
        <v/>
      </c>
    </row>
    <row r="1578" spans="1:7" x14ac:dyDescent="0.3">
      <c r="A1578" s="21" t="str">
        <f>IF(A1577="","",IF(A1577+1&gt;Ввод!$B$4,"",A1577+1))</f>
        <v/>
      </c>
      <c r="B1578" s="23" t="str">
        <f>IF(A1578="","",IFERROR(INDEX(Ввод!$B$12:$B$71,MATCH(A1578,Ввод!$D$12:$D$71,1)),""))</f>
        <v/>
      </c>
      <c r="C1578" t="str">
        <f t="shared" si="48"/>
        <v/>
      </c>
      <c r="D1578" t="str">
        <f>IF(A1578="","",SUMIFS(Акты!$D$5:$D$16,Акты!$E$5:$E$16,"&lt;="&amp;A1578)-SUMIFS(Оплаты!$B$6:$B$505,Оплаты!$A$6:$A$505,"&lt;"&amp;A1578,Оплаты!$D$6:$D$505,"&lt;&gt;"))</f>
        <v/>
      </c>
      <c r="E1578" t="str">
        <f>IF(A1578="","",IF(SUMPRODUCT((Ввод!$F$12:$F$31&lt;&gt;"")*(Ввод!$F$12:$F$31&lt;=A1578)*(Ввод!$G$12:$G$31&gt;=A1578))&gt;0,1,0))</f>
        <v/>
      </c>
      <c r="G1578" t="str">
        <f t="shared" si="49"/>
        <v/>
      </c>
    </row>
    <row r="1579" spans="1:7" x14ac:dyDescent="0.3">
      <c r="A1579" s="21" t="str">
        <f>IF(A1578="","",IF(A1578+1&gt;Ввод!$B$4,"",A1578+1))</f>
        <v/>
      </c>
      <c r="B1579" s="23" t="str">
        <f>IF(A1579="","",IFERROR(INDEX(Ввод!$B$12:$B$71,MATCH(A1579,Ввод!$D$12:$D$71,1)),""))</f>
        <v/>
      </c>
      <c r="C1579" t="str">
        <f t="shared" si="48"/>
        <v/>
      </c>
      <c r="D1579" t="str">
        <f>IF(A1579="","",SUMIFS(Акты!$D$5:$D$16,Акты!$E$5:$E$16,"&lt;="&amp;A1579)-SUMIFS(Оплаты!$B$6:$B$505,Оплаты!$A$6:$A$505,"&lt;"&amp;A1579,Оплаты!$D$6:$D$505,"&lt;&gt;"))</f>
        <v/>
      </c>
      <c r="E1579" t="str">
        <f>IF(A1579="","",IF(SUMPRODUCT((Ввод!$F$12:$F$31&lt;&gt;"")*(Ввод!$F$12:$F$31&lt;=A1579)*(Ввод!$G$12:$G$31&gt;=A1579))&gt;0,1,0))</f>
        <v/>
      </c>
      <c r="G1579" t="str">
        <f t="shared" si="49"/>
        <v/>
      </c>
    </row>
    <row r="1580" spans="1:7" x14ac:dyDescent="0.3">
      <c r="A1580" s="21" t="str">
        <f>IF(A1579="","",IF(A1579+1&gt;Ввод!$B$4,"",A1579+1))</f>
        <v/>
      </c>
      <c r="B1580" s="23" t="str">
        <f>IF(A1580="","",IFERROR(INDEX(Ввод!$B$12:$B$71,MATCH(A1580,Ввод!$D$12:$D$71,1)),""))</f>
        <v/>
      </c>
      <c r="C1580" t="str">
        <f t="shared" si="48"/>
        <v/>
      </c>
      <c r="D1580" t="str">
        <f>IF(A1580="","",SUMIFS(Акты!$D$5:$D$16,Акты!$E$5:$E$16,"&lt;="&amp;A1580)-SUMIFS(Оплаты!$B$6:$B$505,Оплаты!$A$6:$A$505,"&lt;"&amp;A1580,Оплаты!$D$6:$D$505,"&lt;&gt;"))</f>
        <v/>
      </c>
      <c r="E1580" t="str">
        <f>IF(A1580="","",IF(SUMPRODUCT((Ввод!$F$12:$F$31&lt;&gt;"")*(Ввод!$F$12:$F$31&lt;=A1580)*(Ввод!$G$12:$G$31&gt;=A1580))&gt;0,1,0))</f>
        <v/>
      </c>
      <c r="G1580" t="str">
        <f t="shared" si="49"/>
        <v/>
      </c>
    </row>
    <row r="1581" spans="1:7" x14ac:dyDescent="0.3">
      <c r="A1581" s="21" t="str">
        <f>IF(A1580="","",IF(A1580+1&gt;Ввод!$B$4,"",A1580+1))</f>
        <v/>
      </c>
      <c r="B1581" s="23" t="str">
        <f>IF(A1581="","",IFERROR(INDEX(Ввод!$B$12:$B$71,MATCH(A1581,Ввод!$D$12:$D$71,1)),""))</f>
        <v/>
      </c>
      <c r="C1581" t="str">
        <f t="shared" si="48"/>
        <v/>
      </c>
      <c r="D1581" t="str">
        <f>IF(A1581="","",SUMIFS(Акты!$D$5:$D$16,Акты!$E$5:$E$16,"&lt;="&amp;A1581)-SUMIFS(Оплаты!$B$6:$B$505,Оплаты!$A$6:$A$505,"&lt;"&amp;A1581,Оплаты!$D$6:$D$505,"&lt;&gt;"))</f>
        <v/>
      </c>
      <c r="E1581" t="str">
        <f>IF(A1581="","",IF(SUMPRODUCT((Ввод!$F$12:$F$31&lt;&gt;"")*(Ввод!$F$12:$F$31&lt;=A1581)*(Ввод!$G$12:$G$31&gt;=A1581))&gt;0,1,0))</f>
        <v/>
      </c>
      <c r="G1581" t="str">
        <f t="shared" si="49"/>
        <v/>
      </c>
    </row>
    <row r="1582" spans="1:7" x14ac:dyDescent="0.3">
      <c r="A1582" s="21" t="str">
        <f>IF(A1581="","",IF(A1581+1&gt;Ввод!$B$4,"",A1581+1))</f>
        <v/>
      </c>
      <c r="B1582" s="23" t="str">
        <f>IF(A1582="","",IFERROR(INDEX(Ввод!$B$12:$B$71,MATCH(A1582,Ввод!$D$12:$D$71,1)),""))</f>
        <v/>
      </c>
      <c r="C1582" t="str">
        <f t="shared" si="48"/>
        <v/>
      </c>
      <c r="D1582" t="str">
        <f>IF(A1582="","",SUMIFS(Акты!$D$5:$D$16,Акты!$E$5:$E$16,"&lt;="&amp;A1582)-SUMIFS(Оплаты!$B$6:$B$505,Оплаты!$A$6:$A$505,"&lt;"&amp;A1582,Оплаты!$D$6:$D$505,"&lt;&gt;"))</f>
        <v/>
      </c>
      <c r="E1582" t="str">
        <f>IF(A1582="","",IF(SUMPRODUCT((Ввод!$F$12:$F$31&lt;&gt;"")*(Ввод!$F$12:$F$31&lt;=A1582)*(Ввод!$G$12:$G$31&gt;=A1582))&gt;0,1,0))</f>
        <v/>
      </c>
      <c r="G1582" t="str">
        <f t="shared" si="49"/>
        <v/>
      </c>
    </row>
    <row r="1583" spans="1:7" x14ac:dyDescent="0.3">
      <c r="A1583" s="21" t="str">
        <f>IF(A1582="","",IF(A1582+1&gt;Ввод!$B$4,"",A1582+1))</f>
        <v/>
      </c>
      <c r="B1583" s="23" t="str">
        <f>IF(A1583="","",IFERROR(INDEX(Ввод!$B$12:$B$71,MATCH(A1583,Ввод!$D$12:$D$71,1)),""))</f>
        <v/>
      </c>
      <c r="C1583" t="str">
        <f t="shared" si="48"/>
        <v/>
      </c>
      <c r="D1583" t="str">
        <f>IF(A1583="","",SUMIFS(Акты!$D$5:$D$16,Акты!$E$5:$E$16,"&lt;="&amp;A1583)-SUMIFS(Оплаты!$B$6:$B$505,Оплаты!$A$6:$A$505,"&lt;"&amp;A1583,Оплаты!$D$6:$D$505,"&lt;&gt;"))</f>
        <v/>
      </c>
      <c r="E1583" t="str">
        <f>IF(A1583="","",IF(SUMPRODUCT((Ввод!$F$12:$F$31&lt;&gt;"")*(Ввод!$F$12:$F$31&lt;=A1583)*(Ввод!$G$12:$G$31&gt;=A1583))&gt;0,1,0))</f>
        <v/>
      </c>
      <c r="G1583" t="str">
        <f t="shared" si="49"/>
        <v/>
      </c>
    </row>
    <row r="1584" spans="1:7" x14ac:dyDescent="0.3">
      <c r="A1584" s="21" t="str">
        <f>IF(A1583="","",IF(A1583+1&gt;Ввод!$B$4,"",A1583+1))</f>
        <v/>
      </c>
      <c r="B1584" s="23" t="str">
        <f>IF(A1584="","",IFERROR(INDEX(Ввод!$B$12:$B$71,MATCH(A1584,Ввод!$D$12:$D$71,1)),""))</f>
        <v/>
      </c>
      <c r="C1584" t="str">
        <f t="shared" si="48"/>
        <v/>
      </c>
      <c r="D1584" t="str">
        <f>IF(A1584="","",SUMIFS(Акты!$D$5:$D$16,Акты!$E$5:$E$16,"&lt;="&amp;A1584)-SUMIFS(Оплаты!$B$6:$B$505,Оплаты!$A$6:$A$505,"&lt;"&amp;A1584,Оплаты!$D$6:$D$505,"&lt;&gt;"))</f>
        <v/>
      </c>
      <c r="E1584" t="str">
        <f>IF(A1584="","",IF(SUMPRODUCT((Ввод!$F$12:$F$31&lt;&gt;"")*(Ввод!$F$12:$F$31&lt;=A1584)*(Ввод!$G$12:$G$31&gt;=A1584))&gt;0,1,0))</f>
        <v/>
      </c>
      <c r="G1584" t="str">
        <f t="shared" si="49"/>
        <v/>
      </c>
    </row>
    <row r="1585" spans="1:7" x14ac:dyDescent="0.3">
      <c r="A1585" s="21" t="str">
        <f>IF(A1584="","",IF(A1584+1&gt;Ввод!$B$4,"",A1584+1))</f>
        <v/>
      </c>
      <c r="B1585" s="23" t="str">
        <f>IF(A1585="","",IFERROR(INDEX(Ввод!$B$12:$B$71,MATCH(A1585,Ввод!$D$12:$D$71,1)),""))</f>
        <v/>
      </c>
      <c r="C1585" t="str">
        <f t="shared" si="48"/>
        <v/>
      </c>
      <c r="D1585" t="str">
        <f>IF(A1585="","",SUMIFS(Акты!$D$5:$D$16,Акты!$E$5:$E$16,"&lt;="&amp;A1585)-SUMIFS(Оплаты!$B$6:$B$505,Оплаты!$A$6:$A$505,"&lt;"&amp;A1585,Оплаты!$D$6:$D$505,"&lt;&gt;"))</f>
        <v/>
      </c>
      <c r="E1585" t="str">
        <f>IF(A1585="","",IF(SUMPRODUCT((Ввод!$F$12:$F$31&lt;&gt;"")*(Ввод!$F$12:$F$31&lt;=A1585)*(Ввод!$G$12:$G$31&gt;=A1585))&gt;0,1,0))</f>
        <v/>
      </c>
      <c r="G1585" t="str">
        <f t="shared" si="49"/>
        <v/>
      </c>
    </row>
    <row r="1586" spans="1:7" x14ac:dyDescent="0.3">
      <c r="A1586" s="21" t="str">
        <f>IF(A1585="","",IF(A1585+1&gt;Ввод!$B$4,"",A1585+1))</f>
        <v/>
      </c>
      <c r="B1586" s="23" t="str">
        <f>IF(A1586="","",IFERROR(INDEX(Ввод!$B$12:$B$71,MATCH(A1586,Ввод!$D$12:$D$71,1)),""))</f>
        <v/>
      </c>
      <c r="C1586" t="str">
        <f t="shared" si="48"/>
        <v/>
      </c>
      <c r="D1586" t="str">
        <f>IF(A1586="","",SUMIFS(Акты!$D$5:$D$16,Акты!$E$5:$E$16,"&lt;="&amp;A1586)-SUMIFS(Оплаты!$B$6:$B$505,Оплаты!$A$6:$A$505,"&lt;"&amp;A1586,Оплаты!$D$6:$D$505,"&lt;&gt;"))</f>
        <v/>
      </c>
      <c r="E1586" t="str">
        <f>IF(A1586="","",IF(SUMPRODUCT((Ввод!$F$12:$F$31&lt;&gt;"")*(Ввод!$F$12:$F$31&lt;=A1586)*(Ввод!$G$12:$G$31&gt;=A1586))&gt;0,1,0))</f>
        <v/>
      </c>
      <c r="G1586" t="str">
        <f t="shared" si="49"/>
        <v/>
      </c>
    </row>
    <row r="1587" spans="1:7" x14ac:dyDescent="0.3">
      <c r="A1587" s="21" t="str">
        <f>IF(A1586="","",IF(A1586+1&gt;Ввод!$B$4,"",A1586+1))</f>
        <v/>
      </c>
      <c r="B1587" s="23" t="str">
        <f>IF(A1587="","",IFERROR(INDEX(Ввод!$B$12:$B$71,MATCH(A1587,Ввод!$D$12:$D$71,1)),""))</f>
        <v/>
      </c>
      <c r="C1587" t="str">
        <f t="shared" si="48"/>
        <v/>
      </c>
      <c r="D1587" t="str">
        <f>IF(A1587="","",SUMIFS(Акты!$D$5:$D$16,Акты!$E$5:$E$16,"&lt;="&amp;A1587)-SUMIFS(Оплаты!$B$6:$B$505,Оплаты!$A$6:$A$505,"&lt;"&amp;A1587,Оплаты!$D$6:$D$505,"&lt;&gt;"))</f>
        <v/>
      </c>
      <c r="E1587" t="str">
        <f>IF(A1587="","",IF(SUMPRODUCT((Ввод!$F$12:$F$31&lt;&gt;"")*(Ввод!$F$12:$F$31&lt;=A1587)*(Ввод!$G$12:$G$31&gt;=A1587))&gt;0,1,0))</f>
        <v/>
      </c>
      <c r="G1587" t="str">
        <f t="shared" si="49"/>
        <v/>
      </c>
    </row>
    <row r="1588" spans="1:7" x14ac:dyDescent="0.3">
      <c r="A1588" s="21" t="str">
        <f>IF(A1587="","",IF(A1587+1&gt;Ввод!$B$4,"",A1587+1))</f>
        <v/>
      </c>
      <c r="B1588" s="23" t="str">
        <f>IF(A1588="","",IFERROR(INDEX(Ввод!$B$12:$B$71,MATCH(A1588,Ввод!$D$12:$D$71,1)),""))</f>
        <v/>
      </c>
      <c r="C1588" t="str">
        <f t="shared" si="48"/>
        <v/>
      </c>
      <c r="D1588" t="str">
        <f>IF(A1588="","",SUMIFS(Акты!$D$5:$D$16,Акты!$E$5:$E$16,"&lt;="&amp;A1588)-SUMIFS(Оплаты!$B$6:$B$505,Оплаты!$A$6:$A$505,"&lt;"&amp;A1588,Оплаты!$D$6:$D$505,"&lt;&gt;"))</f>
        <v/>
      </c>
      <c r="E1588" t="str">
        <f>IF(A1588="","",IF(SUMPRODUCT((Ввод!$F$12:$F$31&lt;&gt;"")*(Ввод!$F$12:$F$31&lt;=A1588)*(Ввод!$G$12:$G$31&gt;=A1588))&gt;0,1,0))</f>
        <v/>
      </c>
      <c r="G1588" t="str">
        <f t="shared" si="49"/>
        <v/>
      </c>
    </row>
    <row r="1589" spans="1:7" x14ac:dyDescent="0.3">
      <c r="A1589" s="21" t="str">
        <f>IF(A1588="","",IF(A1588+1&gt;Ввод!$B$4,"",A1588+1))</f>
        <v/>
      </c>
      <c r="B1589" s="23" t="str">
        <f>IF(A1589="","",IFERROR(INDEX(Ввод!$B$12:$B$71,MATCH(A1589,Ввод!$D$12:$D$71,1)),""))</f>
        <v/>
      </c>
      <c r="C1589" t="str">
        <f t="shared" si="48"/>
        <v/>
      </c>
      <c r="D1589" t="str">
        <f>IF(A1589="","",SUMIFS(Акты!$D$5:$D$16,Акты!$E$5:$E$16,"&lt;="&amp;A1589)-SUMIFS(Оплаты!$B$6:$B$505,Оплаты!$A$6:$A$505,"&lt;"&amp;A1589,Оплаты!$D$6:$D$505,"&lt;&gt;"))</f>
        <v/>
      </c>
      <c r="E1589" t="str">
        <f>IF(A1589="","",IF(SUMPRODUCT((Ввод!$F$12:$F$31&lt;&gt;"")*(Ввод!$F$12:$F$31&lt;=A1589)*(Ввод!$G$12:$G$31&gt;=A1589))&gt;0,1,0))</f>
        <v/>
      </c>
      <c r="G1589" t="str">
        <f t="shared" si="49"/>
        <v/>
      </c>
    </row>
    <row r="1590" spans="1:7" x14ac:dyDescent="0.3">
      <c r="A1590" s="21" t="str">
        <f>IF(A1589="","",IF(A1589+1&gt;Ввод!$B$4,"",A1589+1))</f>
        <v/>
      </c>
      <c r="B1590" s="23" t="str">
        <f>IF(A1590="","",IFERROR(INDEX(Ввод!$B$12:$B$71,MATCH(A1590,Ввод!$D$12:$D$71,1)),""))</f>
        <v/>
      </c>
      <c r="C1590" t="str">
        <f t="shared" si="48"/>
        <v/>
      </c>
      <c r="D1590" t="str">
        <f>IF(A1590="","",SUMIFS(Акты!$D$5:$D$16,Акты!$E$5:$E$16,"&lt;="&amp;A1590)-SUMIFS(Оплаты!$B$6:$B$505,Оплаты!$A$6:$A$505,"&lt;"&amp;A1590,Оплаты!$D$6:$D$505,"&lt;&gt;"))</f>
        <v/>
      </c>
      <c r="E1590" t="str">
        <f>IF(A1590="","",IF(SUMPRODUCT((Ввод!$F$12:$F$31&lt;&gt;"")*(Ввод!$F$12:$F$31&lt;=A1590)*(Ввод!$G$12:$G$31&gt;=A1590))&gt;0,1,0))</f>
        <v/>
      </c>
      <c r="G1590" t="str">
        <f t="shared" si="49"/>
        <v/>
      </c>
    </row>
    <row r="1591" spans="1:7" x14ac:dyDescent="0.3">
      <c r="A1591" s="21" t="str">
        <f>IF(A1590="","",IF(A1590+1&gt;Ввод!$B$4,"",A1590+1))</f>
        <v/>
      </c>
      <c r="B1591" s="23" t="str">
        <f>IF(A1591="","",IFERROR(INDEX(Ввод!$B$12:$B$71,MATCH(A1591,Ввод!$D$12:$D$71,1)),""))</f>
        <v/>
      </c>
      <c r="C1591" t="str">
        <f t="shared" si="48"/>
        <v/>
      </c>
      <c r="D1591" t="str">
        <f>IF(A1591="","",SUMIFS(Акты!$D$5:$D$16,Акты!$E$5:$E$16,"&lt;="&amp;A1591)-SUMIFS(Оплаты!$B$6:$B$505,Оплаты!$A$6:$A$505,"&lt;"&amp;A1591,Оплаты!$D$6:$D$505,"&lt;&gt;"))</f>
        <v/>
      </c>
      <c r="E1591" t="str">
        <f>IF(A1591="","",IF(SUMPRODUCT((Ввод!$F$12:$F$31&lt;&gt;"")*(Ввод!$F$12:$F$31&lt;=A1591)*(Ввод!$G$12:$G$31&gt;=A1591))&gt;0,1,0))</f>
        <v/>
      </c>
      <c r="G1591" t="str">
        <f t="shared" si="49"/>
        <v/>
      </c>
    </row>
    <row r="1592" spans="1:7" x14ac:dyDescent="0.3">
      <c r="A1592" s="21" t="str">
        <f>IF(A1591="","",IF(A1591+1&gt;Ввод!$B$4,"",A1591+1))</f>
        <v/>
      </c>
      <c r="B1592" s="23" t="str">
        <f>IF(A1592="","",IFERROR(INDEX(Ввод!$B$12:$B$71,MATCH(A1592,Ввод!$D$12:$D$71,1)),""))</f>
        <v/>
      </c>
      <c r="C1592" t="str">
        <f t="shared" si="48"/>
        <v/>
      </c>
      <c r="D1592" t="str">
        <f>IF(A1592="","",SUMIFS(Акты!$D$5:$D$16,Акты!$E$5:$E$16,"&lt;="&amp;A1592)-SUMIFS(Оплаты!$B$6:$B$505,Оплаты!$A$6:$A$505,"&lt;"&amp;A1592,Оплаты!$D$6:$D$505,"&lt;&gt;"))</f>
        <v/>
      </c>
      <c r="E1592" t="str">
        <f>IF(A1592="","",IF(SUMPRODUCT((Ввод!$F$12:$F$31&lt;&gt;"")*(Ввод!$F$12:$F$31&lt;=A1592)*(Ввод!$G$12:$G$31&gt;=A1592))&gt;0,1,0))</f>
        <v/>
      </c>
      <c r="G1592" t="str">
        <f t="shared" si="49"/>
        <v/>
      </c>
    </row>
    <row r="1593" spans="1:7" x14ac:dyDescent="0.3">
      <c r="A1593" s="21" t="str">
        <f>IF(A1592="","",IF(A1592+1&gt;Ввод!$B$4,"",A1592+1))</f>
        <v/>
      </c>
      <c r="B1593" s="23" t="str">
        <f>IF(A1593="","",IFERROR(INDEX(Ввод!$B$12:$B$71,MATCH(A1593,Ввод!$D$12:$D$71,1)),""))</f>
        <v/>
      </c>
      <c r="C1593" t="str">
        <f t="shared" si="48"/>
        <v/>
      </c>
      <c r="D1593" t="str">
        <f>IF(A1593="","",SUMIFS(Акты!$D$5:$D$16,Акты!$E$5:$E$16,"&lt;="&amp;A1593)-SUMIFS(Оплаты!$B$6:$B$505,Оплаты!$A$6:$A$505,"&lt;"&amp;A1593,Оплаты!$D$6:$D$505,"&lt;&gt;"))</f>
        <v/>
      </c>
      <c r="E1593" t="str">
        <f>IF(A1593="","",IF(SUMPRODUCT((Ввод!$F$12:$F$31&lt;&gt;"")*(Ввод!$F$12:$F$31&lt;=A1593)*(Ввод!$G$12:$G$31&gt;=A1593))&gt;0,1,0))</f>
        <v/>
      </c>
      <c r="G1593" t="str">
        <f t="shared" si="49"/>
        <v/>
      </c>
    </row>
    <row r="1594" spans="1:7" x14ac:dyDescent="0.3">
      <c r="A1594" s="21" t="str">
        <f>IF(A1593="","",IF(A1593+1&gt;Ввод!$B$4,"",A1593+1))</f>
        <v/>
      </c>
      <c r="B1594" s="23" t="str">
        <f>IF(A1594="","",IFERROR(INDEX(Ввод!$B$12:$B$71,MATCH(A1594,Ввод!$D$12:$D$71,1)),""))</f>
        <v/>
      </c>
      <c r="C1594" t="str">
        <f t="shared" si="48"/>
        <v/>
      </c>
      <c r="D1594" t="str">
        <f>IF(A1594="","",SUMIFS(Акты!$D$5:$D$16,Акты!$E$5:$E$16,"&lt;="&amp;A1594)-SUMIFS(Оплаты!$B$6:$B$505,Оплаты!$A$6:$A$505,"&lt;"&amp;A1594,Оплаты!$D$6:$D$505,"&lt;&gt;"))</f>
        <v/>
      </c>
      <c r="E1594" t="str">
        <f>IF(A1594="","",IF(SUMPRODUCT((Ввод!$F$12:$F$31&lt;&gt;"")*(Ввод!$F$12:$F$31&lt;=A1594)*(Ввод!$G$12:$G$31&gt;=A1594))&gt;0,1,0))</f>
        <v/>
      </c>
      <c r="G1594" t="str">
        <f t="shared" si="49"/>
        <v/>
      </c>
    </row>
    <row r="1595" spans="1:7" x14ac:dyDescent="0.3">
      <c r="A1595" s="21" t="str">
        <f>IF(A1594="","",IF(A1594+1&gt;Ввод!$B$4,"",A1594+1))</f>
        <v/>
      </c>
      <c r="B1595" s="23" t="str">
        <f>IF(A1595="","",IFERROR(INDEX(Ввод!$B$12:$B$71,MATCH(A1595,Ввод!$D$12:$D$71,1)),""))</f>
        <v/>
      </c>
      <c r="C1595" t="str">
        <f t="shared" si="48"/>
        <v/>
      </c>
      <c r="D1595" t="str">
        <f>IF(A1595="","",SUMIFS(Акты!$D$5:$D$16,Акты!$E$5:$E$16,"&lt;="&amp;A1595)-SUMIFS(Оплаты!$B$6:$B$505,Оплаты!$A$6:$A$505,"&lt;"&amp;A1595,Оплаты!$D$6:$D$505,"&lt;&gt;"))</f>
        <v/>
      </c>
      <c r="E1595" t="str">
        <f>IF(A1595="","",IF(SUMPRODUCT((Ввод!$F$12:$F$31&lt;&gt;"")*(Ввод!$F$12:$F$31&lt;=A1595)*(Ввод!$G$12:$G$31&gt;=A1595))&gt;0,1,0))</f>
        <v/>
      </c>
      <c r="G1595" t="str">
        <f t="shared" si="49"/>
        <v/>
      </c>
    </row>
    <row r="1596" spans="1:7" x14ac:dyDescent="0.3">
      <c r="A1596" s="21" t="str">
        <f>IF(A1595="","",IF(A1595+1&gt;Ввод!$B$4,"",A1595+1))</f>
        <v/>
      </c>
      <c r="B1596" s="23" t="str">
        <f>IF(A1596="","",IFERROR(INDEX(Ввод!$B$12:$B$71,MATCH(A1596,Ввод!$D$12:$D$71,1)),""))</f>
        <v/>
      </c>
      <c r="C1596" t="str">
        <f t="shared" si="48"/>
        <v/>
      </c>
      <c r="D1596" t="str">
        <f>IF(A1596="","",SUMIFS(Акты!$D$5:$D$16,Акты!$E$5:$E$16,"&lt;="&amp;A1596)-SUMIFS(Оплаты!$B$6:$B$505,Оплаты!$A$6:$A$505,"&lt;"&amp;A1596,Оплаты!$D$6:$D$505,"&lt;&gt;"))</f>
        <v/>
      </c>
      <c r="E1596" t="str">
        <f>IF(A1596="","",IF(SUMPRODUCT((Ввод!$F$12:$F$31&lt;&gt;"")*(Ввод!$F$12:$F$31&lt;=A1596)*(Ввод!$G$12:$G$31&gt;=A1596))&gt;0,1,0))</f>
        <v/>
      </c>
      <c r="G1596" t="str">
        <f t="shared" si="49"/>
        <v/>
      </c>
    </row>
    <row r="1597" spans="1:7" x14ac:dyDescent="0.3">
      <c r="A1597" s="21" t="str">
        <f>IF(A1596="","",IF(A1596+1&gt;Ввод!$B$4,"",A1596+1))</f>
        <v/>
      </c>
      <c r="B1597" s="23" t="str">
        <f>IF(A1597="","",IFERROR(INDEX(Ввод!$B$12:$B$71,MATCH(A1597,Ввод!$D$12:$D$71,1)),""))</f>
        <v/>
      </c>
      <c r="C1597" t="str">
        <f t="shared" si="48"/>
        <v/>
      </c>
      <c r="D1597" t="str">
        <f>IF(A1597="","",SUMIFS(Акты!$D$5:$D$16,Акты!$E$5:$E$16,"&lt;="&amp;A1597)-SUMIFS(Оплаты!$B$6:$B$505,Оплаты!$A$6:$A$505,"&lt;"&amp;A1597,Оплаты!$D$6:$D$505,"&lt;&gt;"))</f>
        <v/>
      </c>
      <c r="E1597" t="str">
        <f>IF(A1597="","",IF(SUMPRODUCT((Ввод!$F$12:$F$31&lt;&gt;"")*(Ввод!$F$12:$F$31&lt;=A1597)*(Ввод!$G$12:$G$31&gt;=A1597))&gt;0,1,0))</f>
        <v/>
      </c>
      <c r="G1597" t="str">
        <f t="shared" si="49"/>
        <v/>
      </c>
    </row>
    <row r="1598" spans="1:7" x14ac:dyDescent="0.3">
      <c r="A1598" s="21" t="str">
        <f>IF(A1597="","",IF(A1597+1&gt;Ввод!$B$4,"",A1597+1))</f>
        <v/>
      </c>
      <c r="B1598" s="23" t="str">
        <f>IF(A1598="","",IFERROR(INDEX(Ввод!$B$12:$B$71,MATCH(A1598,Ввод!$D$12:$D$71,1)),""))</f>
        <v/>
      </c>
      <c r="C1598" t="str">
        <f t="shared" si="48"/>
        <v/>
      </c>
      <c r="D1598" t="str">
        <f>IF(A1598="","",SUMIFS(Акты!$D$5:$D$16,Акты!$E$5:$E$16,"&lt;="&amp;A1598)-SUMIFS(Оплаты!$B$6:$B$505,Оплаты!$A$6:$A$505,"&lt;"&amp;A1598,Оплаты!$D$6:$D$505,"&lt;&gt;"))</f>
        <v/>
      </c>
      <c r="E1598" t="str">
        <f>IF(A1598="","",IF(SUMPRODUCT((Ввод!$F$12:$F$31&lt;&gt;"")*(Ввод!$F$12:$F$31&lt;=A1598)*(Ввод!$G$12:$G$31&gt;=A1598))&gt;0,1,0))</f>
        <v/>
      </c>
      <c r="G1598" t="str">
        <f t="shared" si="49"/>
        <v/>
      </c>
    </row>
    <row r="1599" spans="1:7" x14ac:dyDescent="0.3">
      <c r="A1599" s="21" t="str">
        <f>IF(A1598="","",IF(A1598+1&gt;Ввод!$B$4,"",A1598+1))</f>
        <v/>
      </c>
      <c r="B1599" s="23" t="str">
        <f>IF(A1599="","",IFERROR(INDEX(Ввод!$B$12:$B$71,MATCH(A1599,Ввод!$D$12:$D$71,1)),""))</f>
        <v/>
      </c>
      <c r="C1599" t="str">
        <f t="shared" si="48"/>
        <v/>
      </c>
      <c r="D1599" t="str">
        <f>IF(A1599="","",SUMIFS(Акты!$D$5:$D$16,Акты!$E$5:$E$16,"&lt;="&amp;A1599)-SUMIFS(Оплаты!$B$6:$B$505,Оплаты!$A$6:$A$505,"&lt;"&amp;A1599,Оплаты!$D$6:$D$505,"&lt;&gt;"))</f>
        <v/>
      </c>
      <c r="E1599" t="str">
        <f>IF(A1599="","",IF(SUMPRODUCT((Ввод!$F$12:$F$31&lt;&gt;"")*(Ввод!$F$12:$F$31&lt;=A1599)*(Ввод!$G$12:$G$31&gt;=A1599))&gt;0,1,0))</f>
        <v/>
      </c>
      <c r="G1599" t="str">
        <f t="shared" si="49"/>
        <v/>
      </c>
    </row>
    <row r="1600" spans="1:7" x14ac:dyDescent="0.3">
      <c r="A1600" s="21" t="str">
        <f>IF(A1599="","",IF(A1599+1&gt;Ввод!$B$4,"",A1599+1))</f>
        <v/>
      </c>
      <c r="B1600" s="23" t="str">
        <f>IF(A1600="","",IFERROR(INDEX(Ввод!$B$12:$B$71,MATCH(A1600,Ввод!$D$12:$D$71,1)),""))</f>
        <v/>
      </c>
      <c r="C1600" t="str">
        <f t="shared" si="48"/>
        <v/>
      </c>
      <c r="D1600" t="str">
        <f>IF(A1600="","",SUMIFS(Акты!$D$5:$D$16,Акты!$E$5:$E$16,"&lt;="&amp;A1600)-SUMIFS(Оплаты!$B$6:$B$505,Оплаты!$A$6:$A$505,"&lt;"&amp;A1600,Оплаты!$D$6:$D$505,"&lt;&gt;"))</f>
        <v/>
      </c>
      <c r="E1600" t="str">
        <f>IF(A1600="","",IF(SUMPRODUCT((Ввод!$F$12:$F$31&lt;&gt;"")*(Ввод!$F$12:$F$31&lt;=A1600)*(Ввод!$G$12:$G$31&gt;=A1600))&gt;0,1,0))</f>
        <v/>
      </c>
      <c r="G1600" t="str">
        <f t="shared" si="49"/>
        <v/>
      </c>
    </row>
    <row r="1601" spans="1:7" x14ac:dyDescent="0.3">
      <c r="A1601" s="21" t="str">
        <f>IF(A1600="","",IF(A1600+1&gt;Ввод!$B$4,"",A1600+1))</f>
        <v/>
      </c>
      <c r="B1601" s="23" t="str">
        <f>IF(A1601="","",IFERROR(INDEX(Ввод!$B$12:$B$71,MATCH(A1601,Ввод!$D$12:$D$71,1)),""))</f>
        <v/>
      </c>
      <c r="C1601" t="str">
        <f t="shared" si="48"/>
        <v/>
      </c>
      <c r="D1601" t="str">
        <f>IF(A1601="","",SUMIFS(Акты!$D$5:$D$16,Акты!$E$5:$E$16,"&lt;="&amp;A1601)-SUMIFS(Оплаты!$B$6:$B$505,Оплаты!$A$6:$A$505,"&lt;"&amp;A1601,Оплаты!$D$6:$D$505,"&lt;&gt;"))</f>
        <v/>
      </c>
      <c r="E1601" t="str">
        <f>IF(A1601="","",IF(SUMPRODUCT((Ввод!$F$12:$F$31&lt;&gt;"")*(Ввод!$F$12:$F$31&lt;=A1601)*(Ввод!$G$12:$G$31&gt;=A1601))&gt;0,1,0))</f>
        <v/>
      </c>
      <c r="G1601" t="str">
        <f t="shared" si="49"/>
        <v/>
      </c>
    </row>
    <row r="1602" spans="1:7" x14ac:dyDescent="0.3">
      <c r="A1602" s="21" t="str">
        <f>IF(A1601="","",IF(A1601+1&gt;Ввод!$B$4,"",A1601+1))</f>
        <v/>
      </c>
      <c r="B1602" s="23" t="str">
        <f>IF(A1602="","",IFERROR(INDEX(Ввод!$B$12:$B$71,MATCH(A1602,Ввод!$D$12:$D$71,1)),""))</f>
        <v/>
      </c>
      <c r="C1602" t="str">
        <f t="shared" ref="C1602:C1665" si="50">IF(A1602="","",DATE(YEAR(A1602),12,31)-DATE(YEAR(A1602),1,1)+1)</f>
        <v/>
      </c>
      <c r="D1602" t="str">
        <f>IF(A1602="","",SUMIFS(Акты!$D$5:$D$16,Акты!$E$5:$E$16,"&lt;="&amp;A1602)-SUMIFS(Оплаты!$B$6:$B$505,Оплаты!$A$6:$A$505,"&lt;"&amp;A1602,Оплаты!$D$6:$D$505,"&lt;&gt;"))</f>
        <v/>
      </c>
      <c r="E1602" t="str">
        <f>IF(A1602="","",IF(SUMPRODUCT((Ввод!$F$12:$F$31&lt;&gt;"")*(Ввод!$F$12:$F$31&lt;=A1602)*(Ввод!$G$12:$G$31&gt;=A1602))&gt;0,1,0))</f>
        <v/>
      </c>
      <c r="G1602" t="str">
        <f t="shared" si="49"/>
        <v/>
      </c>
    </row>
    <row r="1603" spans="1:7" x14ac:dyDescent="0.3">
      <c r="A1603" s="21" t="str">
        <f>IF(A1602="","",IF(A1602+1&gt;Ввод!$B$4,"",A1602+1))</f>
        <v/>
      </c>
      <c r="B1603" s="23" t="str">
        <f>IF(A1603="","",IFERROR(INDEX(Ввод!$B$12:$B$71,MATCH(A1603,Ввод!$D$12:$D$71,1)),""))</f>
        <v/>
      </c>
      <c r="C1603" t="str">
        <f t="shared" si="50"/>
        <v/>
      </c>
      <c r="D1603" t="str">
        <f>IF(A1603="","",SUMIFS(Акты!$D$5:$D$16,Акты!$E$5:$E$16,"&lt;="&amp;A1603)-SUMIFS(Оплаты!$B$6:$B$505,Оплаты!$A$6:$A$505,"&lt;"&amp;A1603,Оплаты!$D$6:$D$505,"&lt;&gt;"))</f>
        <v/>
      </c>
      <c r="E1603" t="str">
        <f>IF(A1603="","",IF(SUMPRODUCT((Ввод!$F$12:$F$31&lt;&gt;"")*(Ввод!$F$12:$F$31&lt;=A1603)*(Ввод!$G$12:$G$31&gt;=A1603))&gt;0,1,0))</f>
        <v/>
      </c>
      <c r="G1603" t="str">
        <f t="shared" ref="G1603:G1666" si="51">IF(A1603="","",IF(OR(B1603&lt;&gt;B1602,C1603&lt;&gt;C1602,E1603&lt;&gt;E1602),G1602+1,G1602))</f>
        <v/>
      </c>
    </row>
    <row r="1604" spans="1:7" x14ac:dyDescent="0.3">
      <c r="A1604" s="21" t="str">
        <f>IF(A1603="","",IF(A1603+1&gt;Ввод!$B$4,"",A1603+1))</f>
        <v/>
      </c>
      <c r="B1604" s="23" t="str">
        <f>IF(A1604="","",IFERROR(INDEX(Ввод!$B$12:$B$71,MATCH(A1604,Ввод!$D$12:$D$71,1)),""))</f>
        <v/>
      </c>
      <c r="C1604" t="str">
        <f t="shared" si="50"/>
        <v/>
      </c>
      <c r="D1604" t="str">
        <f>IF(A1604="","",SUMIFS(Акты!$D$5:$D$16,Акты!$E$5:$E$16,"&lt;="&amp;A1604)-SUMIFS(Оплаты!$B$6:$B$505,Оплаты!$A$6:$A$505,"&lt;"&amp;A1604,Оплаты!$D$6:$D$505,"&lt;&gt;"))</f>
        <v/>
      </c>
      <c r="E1604" t="str">
        <f>IF(A1604="","",IF(SUMPRODUCT((Ввод!$F$12:$F$31&lt;&gt;"")*(Ввод!$F$12:$F$31&lt;=A1604)*(Ввод!$G$12:$G$31&gt;=A1604))&gt;0,1,0))</f>
        <v/>
      </c>
      <c r="G1604" t="str">
        <f t="shared" si="51"/>
        <v/>
      </c>
    </row>
    <row r="1605" spans="1:7" x14ac:dyDescent="0.3">
      <c r="A1605" s="21" t="str">
        <f>IF(A1604="","",IF(A1604+1&gt;Ввод!$B$4,"",A1604+1))</f>
        <v/>
      </c>
      <c r="B1605" s="23" t="str">
        <f>IF(A1605="","",IFERROR(INDEX(Ввод!$B$12:$B$71,MATCH(A1605,Ввод!$D$12:$D$71,1)),""))</f>
        <v/>
      </c>
      <c r="C1605" t="str">
        <f t="shared" si="50"/>
        <v/>
      </c>
      <c r="D1605" t="str">
        <f>IF(A1605="","",SUMIFS(Акты!$D$5:$D$16,Акты!$E$5:$E$16,"&lt;="&amp;A1605)-SUMIFS(Оплаты!$B$6:$B$505,Оплаты!$A$6:$A$505,"&lt;"&amp;A1605,Оплаты!$D$6:$D$505,"&lt;&gt;"))</f>
        <v/>
      </c>
      <c r="E1605" t="str">
        <f>IF(A1605="","",IF(SUMPRODUCT((Ввод!$F$12:$F$31&lt;&gt;"")*(Ввод!$F$12:$F$31&lt;=A1605)*(Ввод!$G$12:$G$31&gt;=A1605))&gt;0,1,0))</f>
        <v/>
      </c>
      <c r="G1605" t="str">
        <f t="shared" si="51"/>
        <v/>
      </c>
    </row>
    <row r="1606" spans="1:7" x14ac:dyDescent="0.3">
      <c r="A1606" s="21" t="str">
        <f>IF(A1605="","",IF(A1605+1&gt;Ввод!$B$4,"",A1605+1))</f>
        <v/>
      </c>
      <c r="B1606" s="23" t="str">
        <f>IF(A1606="","",IFERROR(INDEX(Ввод!$B$12:$B$71,MATCH(A1606,Ввод!$D$12:$D$71,1)),""))</f>
        <v/>
      </c>
      <c r="C1606" t="str">
        <f t="shared" si="50"/>
        <v/>
      </c>
      <c r="D1606" t="str">
        <f>IF(A1606="","",SUMIFS(Акты!$D$5:$D$16,Акты!$E$5:$E$16,"&lt;="&amp;A1606)-SUMIFS(Оплаты!$B$6:$B$505,Оплаты!$A$6:$A$505,"&lt;"&amp;A1606,Оплаты!$D$6:$D$505,"&lt;&gt;"))</f>
        <v/>
      </c>
      <c r="E1606" t="str">
        <f>IF(A1606="","",IF(SUMPRODUCT((Ввод!$F$12:$F$31&lt;&gt;"")*(Ввод!$F$12:$F$31&lt;=A1606)*(Ввод!$G$12:$G$31&gt;=A1606))&gt;0,1,0))</f>
        <v/>
      </c>
      <c r="G1606" t="str">
        <f t="shared" si="51"/>
        <v/>
      </c>
    </row>
    <row r="1607" spans="1:7" x14ac:dyDescent="0.3">
      <c r="A1607" s="21" t="str">
        <f>IF(A1606="","",IF(A1606+1&gt;Ввод!$B$4,"",A1606+1))</f>
        <v/>
      </c>
      <c r="B1607" s="23" t="str">
        <f>IF(A1607="","",IFERROR(INDEX(Ввод!$B$12:$B$71,MATCH(A1607,Ввод!$D$12:$D$71,1)),""))</f>
        <v/>
      </c>
      <c r="C1607" t="str">
        <f t="shared" si="50"/>
        <v/>
      </c>
      <c r="D1607" t="str">
        <f>IF(A1607="","",SUMIFS(Акты!$D$5:$D$16,Акты!$E$5:$E$16,"&lt;="&amp;A1607)-SUMIFS(Оплаты!$B$6:$B$505,Оплаты!$A$6:$A$505,"&lt;"&amp;A1607,Оплаты!$D$6:$D$505,"&lt;&gt;"))</f>
        <v/>
      </c>
      <c r="E1607" t="str">
        <f>IF(A1607="","",IF(SUMPRODUCT((Ввод!$F$12:$F$31&lt;&gt;"")*(Ввод!$F$12:$F$31&lt;=A1607)*(Ввод!$G$12:$G$31&gt;=A1607))&gt;0,1,0))</f>
        <v/>
      </c>
      <c r="G1607" t="str">
        <f t="shared" si="51"/>
        <v/>
      </c>
    </row>
    <row r="1608" spans="1:7" x14ac:dyDescent="0.3">
      <c r="A1608" s="21" t="str">
        <f>IF(A1607="","",IF(A1607+1&gt;Ввод!$B$4,"",A1607+1))</f>
        <v/>
      </c>
      <c r="B1608" s="23" t="str">
        <f>IF(A1608="","",IFERROR(INDEX(Ввод!$B$12:$B$71,MATCH(A1608,Ввод!$D$12:$D$71,1)),""))</f>
        <v/>
      </c>
      <c r="C1608" t="str">
        <f t="shared" si="50"/>
        <v/>
      </c>
      <c r="D1608" t="str">
        <f>IF(A1608="","",SUMIFS(Акты!$D$5:$D$16,Акты!$E$5:$E$16,"&lt;="&amp;A1608)-SUMIFS(Оплаты!$B$6:$B$505,Оплаты!$A$6:$A$505,"&lt;"&amp;A1608,Оплаты!$D$6:$D$505,"&lt;&gt;"))</f>
        <v/>
      </c>
      <c r="E1608" t="str">
        <f>IF(A1608="","",IF(SUMPRODUCT((Ввод!$F$12:$F$31&lt;&gt;"")*(Ввод!$F$12:$F$31&lt;=A1608)*(Ввод!$G$12:$G$31&gt;=A1608))&gt;0,1,0))</f>
        <v/>
      </c>
      <c r="G1608" t="str">
        <f t="shared" si="51"/>
        <v/>
      </c>
    </row>
    <row r="1609" spans="1:7" x14ac:dyDescent="0.3">
      <c r="A1609" s="21" t="str">
        <f>IF(A1608="","",IF(A1608+1&gt;Ввод!$B$4,"",A1608+1))</f>
        <v/>
      </c>
      <c r="B1609" s="23" t="str">
        <f>IF(A1609="","",IFERROR(INDEX(Ввод!$B$12:$B$71,MATCH(A1609,Ввод!$D$12:$D$71,1)),""))</f>
        <v/>
      </c>
      <c r="C1609" t="str">
        <f t="shared" si="50"/>
        <v/>
      </c>
      <c r="D1609" t="str">
        <f>IF(A1609="","",SUMIFS(Акты!$D$5:$D$16,Акты!$E$5:$E$16,"&lt;="&amp;A1609)-SUMIFS(Оплаты!$B$6:$B$505,Оплаты!$A$6:$A$505,"&lt;"&amp;A1609,Оплаты!$D$6:$D$505,"&lt;&gt;"))</f>
        <v/>
      </c>
      <c r="E1609" t="str">
        <f>IF(A1609="","",IF(SUMPRODUCT((Ввод!$F$12:$F$31&lt;&gt;"")*(Ввод!$F$12:$F$31&lt;=A1609)*(Ввод!$G$12:$G$31&gt;=A1609))&gt;0,1,0))</f>
        <v/>
      </c>
      <c r="G1609" t="str">
        <f t="shared" si="51"/>
        <v/>
      </c>
    </row>
    <row r="1610" spans="1:7" x14ac:dyDescent="0.3">
      <c r="A1610" s="21" t="str">
        <f>IF(A1609="","",IF(A1609+1&gt;Ввод!$B$4,"",A1609+1))</f>
        <v/>
      </c>
      <c r="B1610" s="23" t="str">
        <f>IF(A1610="","",IFERROR(INDEX(Ввод!$B$12:$B$71,MATCH(A1610,Ввод!$D$12:$D$71,1)),""))</f>
        <v/>
      </c>
      <c r="C1610" t="str">
        <f t="shared" si="50"/>
        <v/>
      </c>
      <c r="D1610" t="str">
        <f>IF(A1610="","",SUMIFS(Акты!$D$5:$D$16,Акты!$E$5:$E$16,"&lt;="&amp;A1610)-SUMIFS(Оплаты!$B$6:$B$505,Оплаты!$A$6:$A$505,"&lt;"&amp;A1610,Оплаты!$D$6:$D$505,"&lt;&gt;"))</f>
        <v/>
      </c>
      <c r="E1610" t="str">
        <f>IF(A1610="","",IF(SUMPRODUCT((Ввод!$F$12:$F$31&lt;&gt;"")*(Ввод!$F$12:$F$31&lt;=A1610)*(Ввод!$G$12:$G$31&gt;=A1610))&gt;0,1,0))</f>
        <v/>
      </c>
      <c r="G1610" t="str">
        <f t="shared" si="51"/>
        <v/>
      </c>
    </row>
    <row r="1611" spans="1:7" x14ac:dyDescent="0.3">
      <c r="A1611" s="21" t="str">
        <f>IF(A1610="","",IF(A1610+1&gt;Ввод!$B$4,"",A1610+1))</f>
        <v/>
      </c>
      <c r="B1611" s="23" t="str">
        <f>IF(A1611="","",IFERROR(INDEX(Ввод!$B$12:$B$71,MATCH(A1611,Ввод!$D$12:$D$71,1)),""))</f>
        <v/>
      </c>
      <c r="C1611" t="str">
        <f t="shared" si="50"/>
        <v/>
      </c>
      <c r="D1611" t="str">
        <f>IF(A1611="","",SUMIFS(Акты!$D$5:$D$16,Акты!$E$5:$E$16,"&lt;="&amp;A1611)-SUMIFS(Оплаты!$B$6:$B$505,Оплаты!$A$6:$A$505,"&lt;"&amp;A1611,Оплаты!$D$6:$D$505,"&lt;&gt;"))</f>
        <v/>
      </c>
      <c r="E1611" t="str">
        <f>IF(A1611="","",IF(SUMPRODUCT((Ввод!$F$12:$F$31&lt;&gt;"")*(Ввод!$F$12:$F$31&lt;=A1611)*(Ввод!$G$12:$G$31&gt;=A1611))&gt;0,1,0))</f>
        <v/>
      </c>
      <c r="G1611" t="str">
        <f t="shared" si="51"/>
        <v/>
      </c>
    </row>
    <row r="1612" spans="1:7" x14ac:dyDescent="0.3">
      <c r="A1612" s="21" t="str">
        <f>IF(A1611="","",IF(A1611+1&gt;Ввод!$B$4,"",A1611+1))</f>
        <v/>
      </c>
      <c r="B1612" s="23" t="str">
        <f>IF(A1612="","",IFERROR(INDEX(Ввод!$B$12:$B$71,MATCH(A1612,Ввод!$D$12:$D$71,1)),""))</f>
        <v/>
      </c>
      <c r="C1612" t="str">
        <f t="shared" si="50"/>
        <v/>
      </c>
      <c r="D1612" t="str">
        <f>IF(A1612="","",SUMIFS(Акты!$D$5:$D$16,Акты!$E$5:$E$16,"&lt;="&amp;A1612)-SUMIFS(Оплаты!$B$6:$B$505,Оплаты!$A$6:$A$505,"&lt;"&amp;A1612,Оплаты!$D$6:$D$505,"&lt;&gt;"))</f>
        <v/>
      </c>
      <c r="E1612" t="str">
        <f>IF(A1612="","",IF(SUMPRODUCT((Ввод!$F$12:$F$31&lt;&gt;"")*(Ввод!$F$12:$F$31&lt;=A1612)*(Ввод!$G$12:$G$31&gt;=A1612))&gt;0,1,0))</f>
        <v/>
      </c>
      <c r="G1612" t="str">
        <f t="shared" si="51"/>
        <v/>
      </c>
    </row>
    <row r="1613" spans="1:7" x14ac:dyDescent="0.3">
      <c r="A1613" s="21" t="str">
        <f>IF(A1612="","",IF(A1612+1&gt;Ввод!$B$4,"",A1612+1))</f>
        <v/>
      </c>
      <c r="B1613" s="23" t="str">
        <f>IF(A1613="","",IFERROR(INDEX(Ввод!$B$12:$B$71,MATCH(A1613,Ввод!$D$12:$D$71,1)),""))</f>
        <v/>
      </c>
      <c r="C1613" t="str">
        <f t="shared" si="50"/>
        <v/>
      </c>
      <c r="D1613" t="str">
        <f>IF(A1613="","",SUMIFS(Акты!$D$5:$D$16,Акты!$E$5:$E$16,"&lt;="&amp;A1613)-SUMIFS(Оплаты!$B$6:$B$505,Оплаты!$A$6:$A$505,"&lt;"&amp;A1613,Оплаты!$D$6:$D$505,"&lt;&gt;"))</f>
        <v/>
      </c>
      <c r="E1613" t="str">
        <f>IF(A1613="","",IF(SUMPRODUCT((Ввод!$F$12:$F$31&lt;&gt;"")*(Ввод!$F$12:$F$31&lt;=A1613)*(Ввод!$G$12:$G$31&gt;=A1613))&gt;0,1,0))</f>
        <v/>
      </c>
      <c r="G1613" t="str">
        <f t="shared" si="51"/>
        <v/>
      </c>
    </row>
    <row r="1614" spans="1:7" x14ac:dyDescent="0.3">
      <c r="A1614" s="21" t="str">
        <f>IF(A1613="","",IF(A1613+1&gt;Ввод!$B$4,"",A1613+1))</f>
        <v/>
      </c>
      <c r="B1614" s="23" t="str">
        <f>IF(A1614="","",IFERROR(INDEX(Ввод!$B$12:$B$71,MATCH(A1614,Ввод!$D$12:$D$71,1)),""))</f>
        <v/>
      </c>
      <c r="C1614" t="str">
        <f t="shared" si="50"/>
        <v/>
      </c>
      <c r="D1614" t="str">
        <f>IF(A1614="","",SUMIFS(Акты!$D$5:$D$16,Акты!$E$5:$E$16,"&lt;="&amp;A1614)-SUMIFS(Оплаты!$B$6:$B$505,Оплаты!$A$6:$A$505,"&lt;"&amp;A1614,Оплаты!$D$6:$D$505,"&lt;&gt;"))</f>
        <v/>
      </c>
      <c r="E1614" t="str">
        <f>IF(A1614="","",IF(SUMPRODUCT((Ввод!$F$12:$F$31&lt;&gt;"")*(Ввод!$F$12:$F$31&lt;=A1614)*(Ввод!$G$12:$G$31&gt;=A1614))&gt;0,1,0))</f>
        <v/>
      </c>
      <c r="G1614" t="str">
        <f t="shared" si="51"/>
        <v/>
      </c>
    </row>
    <row r="1615" spans="1:7" x14ac:dyDescent="0.3">
      <c r="A1615" s="21" t="str">
        <f>IF(A1614="","",IF(A1614+1&gt;Ввод!$B$4,"",A1614+1))</f>
        <v/>
      </c>
      <c r="B1615" s="23" t="str">
        <f>IF(A1615="","",IFERROR(INDEX(Ввод!$B$12:$B$71,MATCH(A1615,Ввод!$D$12:$D$71,1)),""))</f>
        <v/>
      </c>
      <c r="C1615" t="str">
        <f t="shared" si="50"/>
        <v/>
      </c>
      <c r="D1615" t="str">
        <f>IF(A1615="","",SUMIFS(Акты!$D$5:$D$16,Акты!$E$5:$E$16,"&lt;="&amp;A1615)-SUMIFS(Оплаты!$B$6:$B$505,Оплаты!$A$6:$A$505,"&lt;"&amp;A1615,Оплаты!$D$6:$D$505,"&lt;&gt;"))</f>
        <v/>
      </c>
      <c r="E1615" t="str">
        <f>IF(A1615="","",IF(SUMPRODUCT((Ввод!$F$12:$F$31&lt;&gt;"")*(Ввод!$F$12:$F$31&lt;=A1615)*(Ввод!$G$12:$G$31&gt;=A1615))&gt;0,1,0))</f>
        <v/>
      </c>
      <c r="G1615" t="str">
        <f t="shared" si="51"/>
        <v/>
      </c>
    </row>
    <row r="1616" spans="1:7" x14ac:dyDescent="0.3">
      <c r="A1616" s="21" t="str">
        <f>IF(A1615="","",IF(A1615+1&gt;Ввод!$B$4,"",A1615+1))</f>
        <v/>
      </c>
      <c r="B1616" s="23" t="str">
        <f>IF(A1616="","",IFERROR(INDEX(Ввод!$B$12:$B$71,MATCH(A1616,Ввод!$D$12:$D$71,1)),""))</f>
        <v/>
      </c>
      <c r="C1616" t="str">
        <f t="shared" si="50"/>
        <v/>
      </c>
      <c r="D1616" t="str">
        <f>IF(A1616="","",SUMIFS(Акты!$D$5:$D$16,Акты!$E$5:$E$16,"&lt;="&amp;A1616)-SUMIFS(Оплаты!$B$6:$B$505,Оплаты!$A$6:$A$505,"&lt;"&amp;A1616,Оплаты!$D$6:$D$505,"&lt;&gt;"))</f>
        <v/>
      </c>
      <c r="E1616" t="str">
        <f>IF(A1616="","",IF(SUMPRODUCT((Ввод!$F$12:$F$31&lt;&gt;"")*(Ввод!$F$12:$F$31&lt;=A1616)*(Ввод!$G$12:$G$31&gt;=A1616))&gt;0,1,0))</f>
        <v/>
      </c>
      <c r="G1616" t="str">
        <f t="shared" si="51"/>
        <v/>
      </c>
    </row>
    <row r="1617" spans="1:7" x14ac:dyDescent="0.3">
      <c r="A1617" s="21" t="str">
        <f>IF(A1616="","",IF(A1616+1&gt;Ввод!$B$4,"",A1616+1))</f>
        <v/>
      </c>
      <c r="B1617" s="23" t="str">
        <f>IF(A1617="","",IFERROR(INDEX(Ввод!$B$12:$B$71,MATCH(A1617,Ввод!$D$12:$D$71,1)),""))</f>
        <v/>
      </c>
      <c r="C1617" t="str">
        <f t="shared" si="50"/>
        <v/>
      </c>
      <c r="D1617" t="str">
        <f>IF(A1617="","",SUMIFS(Акты!$D$5:$D$16,Акты!$E$5:$E$16,"&lt;="&amp;A1617)-SUMIFS(Оплаты!$B$6:$B$505,Оплаты!$A$6:$A$505,"&lt;"&amp;A1617,Оплаты!$D$6:$D$505,"&lt;&gt;"))</f>
        <v/>
      </c>
      <c r="E1617" t="str">
        <f>IF(A1617="","",IF(SUMPRODUCT((Ввод!$F$12:$F$31&lt;&gt;"")*(Ввод!$F$12:$F$31&lt;=A1617)*(Ввод!$G$12:$G$31&gt;=A1617))&gt;0,1,0))</f>
        <v/>
      </c>
      <c r="G1617" t="str">
        <f t="shared" si="51"/>
        <v/>
      </c>
    </row>
    <row r="1618" spans="1:7" x14ac:dyDescent="0.3">
      <c r="A1618" s="21" t="str">
        <f>IF(A1617="","",IF(A1617+1&gt;Ввод!$B$4,"",A1617+1))</f>
        <v/>
      </c>
      <c r="B1618" s="23" t="str">
        <f>IF(A1618="","",IFERROR(INDEX(Ввод!$B$12:$B$71,MATCH(A1618,Ввод!$D$12:$D$71,1)),""))</f>
        <v/>
      </c>
      <c r="C1618" t="str">
        <f t="shared" si="50"/>
        <v/>
      </c>
      <c r="D1618" t="str">
        <f>IF(A1618="","",SUMIFS(Акты!$D$5:$D$16,Акты!$E$5:$E$16,"&lt;="&amp;A1618)-SUMIFS(Оплаты!$B$6:$B$505,Оплаты!$A$6:$A$505,"&lt;"&amp;A1618,Оплаты!$D$6:$D$505,"&lt;&gt;"))</f>
        <v/>
      </c>
      <c r="E1618" t="str">
        <f>IF(A1618="","",IF(SUMPRODUCT((Ввод!$F$12:$F$31&lt;&gt;"")*(Ввод!$F$12:$F$31&lt;=A1618)*(Ввод!$G$12:$G$31&gt;=A1618))&gt;0,1,0))</f>
        <v/>
      </c>
      <c r="G1618" t="str">
        <f t="shared" si="51"/>
        <v/>
      </c>
    </row>
    <row r="1619" spans="1:7" x14ac:dyDescent="0.3">
      <c r="A1619" s="21" t="str">
        <f>IF(A1618="","",IF(A1618+1&gt;Ввод!$B$4,"",A1618+1))</f>
        <v/>
      </c>
      <c r="B1619" s="23" t="str">
        <f>IF(A1619="","",IFERROR(INDEX(Ввод!$B$12:$B$71,MATCH(A1619,Ввод!$D$12:$D$71,1)),""))</f>
        <v/>
      </c>
      <c r="C1619" t="str">
        <f t="shared" si="50"/>
        <v/>
      </c>
      <c r="D1619" t="str">
        <f>IF(A1619="","",SUMIFS(Акты!$D$5:$D$16,Акты!$E$5:$E$16,"&lt;="&amp;A1619)-SUMIFS(Оплаты!$B$6:$B$505,Оплаты!$A$6:$A$505,"&lt;"&amp;A1619,Оплаты!$D$6:$D$505,"&lt;&gt;"))</f>
        <v/>
      </c>
      <c r="E1619" t="str">
        <f>IF(A1619="","",IF(SUMPRODUCT((Ввод!$F$12:$F$31&lt;&gt;"")*(Ввод!$F$12:$F$31&lt;=A1619)*(Ввод!$G$12:$G$31&gt;=A1619))&gt;0,1,0))</f>
        <v/>
      </c>
      <c r="G1619" t="str">
        <f t="shared" si="51"/>
        <v/>
      </c>
    </row>
    <row r="1620" spans="1:7" x14ac:dyDescent="0.3">
      <c r="A1620" s="21" t="str">
        <f>IF(A1619="","",IF(A1619+1&gt;Ввод!$B$4,"",A1619+1))</f>
        <v/>
      </c>
      <c r="B1620" s="23" t="str">
        <f>IF(A1620="","",IFERROR(INDEX(Ввод!$B$12:$B$71,MATCH(A1620,Ввод!$D$12:$D$71,1)),""))</f>
        <v/>
      </c>
      <c r="C1620" t="str">
        <f t="shared" si="50"/>
        <v/>
      </c>
      <c r="D1620" t="str">
        <f>IF(A1620="","",SUMIFS(Акты!$D$5:$D$16,Акты!$E$5:$E$16,"&lt;="&amp;A1620)-SUMIFS(Оплаты!$B$6:$B$505,Оплаты!$A$6:$A$505,"&lt;"&amp;A1620,Оплаты!$D$6:$D$505,"&lt;&gt;"))</f>
        <v/>
      </c>
      <c r="E1620" t="str">
        <f>IF(A1620="","",IF(SUMPRODUCT((Ввод!$F$12:$F$31&lt;&gt;"")*(Ввод!$F$12:$F$31&lt;=A1620)*(Ввод!$G$12:$G$31&gt;=A1620))&gt;0,1,0))</f>
        <v/>
      </c>
      <c r="G1620" t="str">
        <f t="shared" si="51"/>
        <v/>
      </c>
    </row>
    <row r="1621" spans="1:7" x14ac:dyDescent="0.3">
      <c r="A1621" s="21" t="str">
        <f>IF(A1620="","",IF(A1620+1&gt;Ввод!$B$4,"",A1620+1))</f>
        <v/>
      </c>
      <c r="B1621" s="23" t="str">
        <f>IF(A1621="","",IFERROR(INDEX(Ввод!$B$12:$B$71,MATCH(A1621,Ввод!$D$12:$D$71,1)),""))</f>
        <v/>
      </c>
      <c r="C1621" t="str">
        <f t="shared" si="50"/>
        <v/>
      </c>
      <c r="D1621" t="str">
        <f>IF(A1621="","",SUMIFS(Акты!$D$5:$D$16,Акты!$E$5:$E$16,"&lt;="&amp;A1621)-SUMIFS(Оплаты!$B$6:$B$505,Оплаты!$A$6:$A$505,"&lt;"&amp;A1621,Оплаты!$D$6:$D$505,"&lt;&gt;"))</f>
        <v/>
      </c>
      <c r="E1621" t="str">
        <f>IF(A1621="","",IF(SUMPRODUCT((Ввод!$F$12:$F$31&lt;&gt;"")*(Ввод!$F$12:$F$31&lt;=A1621)*(Ввод!$G$12:$G$31&gt;=A1621))&gt;0,1,0))</f>
        <v/>
      </c>
      <c r="G1621" t="str">
        <f t="shared" si="51"/>
        <v/>
      </c>
    </row>
    <row r="1622" spans="1:7" x14ac:dyDescent="0.3">
      <c r="A1622" s="21" t="str">
        <f>IF(A1621="","",IF(A1621+1&gt;Ввод!$B$4,"",A1621+1))</f>
        <v/>
      </c>
      <c r="B1622" s="23" t="str">
        <f>IF(A1622="","",IFERROR(INDEX(Ввод!$B$12:$B$71,MATCH(A1622,Ввод!$D$12:$D$71,1)),""))</f>
        <v/>
      </c>
      <c r="C1622" t="str">
        <f t="shared" si="50"/>
        <v/>
      </c>
      <c r="D1622" t="str">
        <f>IF(A1622="","",SUMIFS(Акты!$D$5:$D$16,Акты!$E$5:$E$16,"&lt;="&amp;A1622)-SUMIFS(Оплаты!$B$6:$B$505,Оплаты!$A$6:$A$505,"&lt;"&amp;A1622,Оплаты!$D$6:$D$505,"&lt;&gt;"))</f>
        <v/>
      </c>
      <c r="E1622" t="str">
        <f>IF(A1622="","",IF(SUMPRODUCT((Ввод!$F$12:$F$31&lt;&gt;"")*(Ввод!$F$12:$F$31&lt;=A1622)*(Ввод!$G$12:$G$31&gt;=A1622))&gt;0,1,0))</f>
        <v/>
      </c>
      <c r="G1622" t="str">
        <f t="shared" si="51"/>
        <v/>
      </c>
    </row>
    <row r="1623" spans="1:7" x14ac:dyDescent="0.3">
      <c r="A1623" s="21" t="str">
        <f>IF(A1622="","",IF(A1622+1&gt;Ввод!$B$4,"",A1622+1))</f>
        <v/>
      </c>
      <c r="B1623" s="23" t="str">
        <f>IF(A1623="","",IFERROR(INDEX(Ввод!$B$12:$B$71,MATCH(A1623,Ввод!$D$12:$D$71,1)),""))</f>
        <v/>
      </c>
      <c r="C1623" t="str">
        <f t="shared" si="50"/>
        <v/>
      </c>
      <c r="D1623" t="str">
        <f>IF(A1623="","",SUMIFS(Акты!$D$5:$D$16,Акты!$E$5:$E$16,"&lt;="&amp;A1623)-SUMIFS(Оплаты!$B$6:$B$505,Оплаты!$A$6:$A$505,"&lt;"&amp;A1623,Оплаты!$D$6:$D$505,"&lt;&gt;"))</f>
        <v/>
      </c>
      <c r="E1623" t="str">
        <f>IF(A1623="","",IF(SUMPRODUCT((Ввод!$F$12:$F$31&lt;&gt;"")*(Ввод!$F$12:$F$31&lt;=A1623)*(Ввод!$G$12:$G$31&gt;=A1623))&gt;0,1,0))</f>
        <v/>
      </c>
      <c r="G1623" t="str">
        <f t="shared" si="51"/>
        <v/>
      </c>
    </row>
    <row r="1624" spans="1:7" x14ac:dyDescent="0.3">
      <c r="A1624" s="21" t="str">
        <f>IF(A1623="","",IF(A1623+1&gt;Ввод!$B$4,"",A1623+1))</f>
        <v/>
      </c>
      <c r="B1624" s="23" t="str">
        <f>IF(A1624="","",IFERROR(INDEX(Ввод!$B$12:$B$71,MATCH(A1624,Ввод!$D$12:$D$71,1)),""))</f>
        <v/>
      </c>
      <c r="C1624" t="str">
        <f t="shared" si="50"/>
        <v/>
      </c>
      <c r="D1624" t="str">
        <f>IF(A1624="","",SUMIFS(Акты!$D$5:$D$16,Акты!$E$5:$E$16,"&lt;="&amp;A1624)-SUMIFS(Оплаты!$B$6:$B$505,Оплаты!$A$6:$A$505,"&lt;"&amp;A1624,Оплаты!$D$6:$D$505,"&lt;&gt;"))</f>
        <v/>
      </c>
      <c r="E1624" t="str">
        <f>IF(A1624="","",IF(SUMPRODUCT((Ввод!$F$12:$F$31&lt;&gt;"")*(Ввод!$F$12:$F$31&lt;=A1624)*(Ввод!$G$12:$G$31&gt;=A1624))&gt;0,1,0))</f>
        <v/>
      </c>
      <c r="G1624" t="str">
        <f t="shared" si="51"/>
        <v/>
      </c>
    </row>
    <row r="1625" spans="1:7" x14ac:dyDescent="0.3">
      <c r="A1625" s="21" t="str">
        <f>IF(A1624="","",IF(A1624+1&gt;Ввод!$B$4,"",A1624+1))</f>
        <v/>
      </c>
      <c r="B1625" s="23" t="str">
        <f>IF(A1625="","",IFERROR(INDEX(Ввод!$B$12:$B$71,MATCH(A1625,Ввод!$D$12:$D$71,1)),""))</f>
        <v/>
      </c>
      <c r="C1625" t="str">
        <f t="shared" si="50"/>
        <v/>
      </c>
      <c r="D1625" t="str">
        <f>IF(A1625="","",SUMIFS(Акты!$D$5:$D$16,Акты!$E$5:$E$16,"&lt;="&amp;A1625)-SUMIFS(Оплаты!$B$6:$B$505,Оплаты!$A$6:$A$505,"&lt;"&amp;A1625,Оплаты!$D$6:$D$505,"&lt;&gt;"))</f>
        <v/>
      </c>
      <c r="E1625" t="str">
        <f>IF(A1625="","",IF(SUMPRODUCT((Ввод!$F$12:$F$31&lt;&gt;"")*(Ввод!$F$12:$F$31&lt;=A1625)*(Ввод!$G$12:$G$31&gt;=A1625))&gt;0,1,0))</f>
        <v/>
      </c>
      <c r="G1625" t="str">
        <f t="shared" si="51"/>
        <v/>
      </c>
    </row>
    <row r="1626" spans="1:7" x14ac:dyDescent="0.3">
      <c r="A1626" s="21" t="str">
        <f>IF(A1625="","",IF(A1625+1&gt;Ввод!$B$4,"",A1625+1))</f>
        <v/>
      </c>
      <c r="B1626" s="23" t="str">
        <f>IF(A1626="","",IFERROR(INDEX(Ввод!$B$12:$B$71,MATCH(A1626,Ввод!$D$12:$D$71,1)),""))</f>
        <v/>
      </c>
      <c r="C1626" t="str">
        <f t="shared" si="50"/>
        <v/>
      </c>
      <c r="D1626" t="str">
        <f>IF(A1626="","",SUMIFS(Акты!$D$5:$D$16,Акты!$E$5:$E$16,"&lt;="&amp;A1626)-SUMIFS(Оплаты!$B$6:$B$505,Оплаты!$A$6:$A$505,"&lt;"&amp;A1626,Оплаты!$D$6:$D$505,"&lt;&gt;"))</f>
        <v/>
      </c>
      <c r="E1626" t="str">
        <f>IF(A1626="","",IF(SUMPRODUCT((Ввод!$F$12:$F$31&lt;&gt;"")*(Ввод!$F$12:$F$31&lt;=A1626)*(Ввод!$G$12:$G$31&gt;=A1626))&gt;0,1,0))</f>
        <v/>
      </c>
      <c r="G1626" t="str">
        <f t="shared" si="51"/>
        <v/>
      </c>
    </row>
    <row r="1627" spans="1:7" x14ac:dyDescent="0.3">
      <c r="A1627" s="21" t="str">
        <f>IF(A1626="","",IF(A1626+1&gt;Ввод!$B$4,"",A1626+1))</f>
        <v/>
      </c>
      <c r="B1627" s="23" t="str">
        <f>IF(A1627="","",IFERROR(INDEX(Ввод!$B$12:$B$71,MATCH(A1627,Ввод!$D$12:$D$71,1)),""))</f>
        <v/>
      </c>
      <c r="C1627" t="str">
        <f t="shared" si="50"/>
        <v/>
      </c>
      <c r="D1627" t="str">
        <f>IF(A1627="","",SUMIFS(Акты!$D$5:$D$16,Акты!$E$5:$E$16,"&lt;="&amp;A1627)-SUMIFS(Оплаты!$B$6:$B$505,Оплаты!$A$6:$A$505,"&lt;"&amp;A1627,Оплаты!$D$6:$D$505,"&lt;&gt;"))</f>
        <v/>
      </c>
      <c r="E1627" t="str">
        <f>IF(A1627="","",IF(SUMPRODUCT((Ввод!$F$12:$F$31&lt;&gt;"")*(Ввод!$F$12:$F$31&lt;=A1627)*(Ввод!$G$12:$G$31&gt;=A1627))&gt;0,1,0))</f>
        <v/>
      </c>
      <c r="G1627" t="str">
        <f t="shared" si="51"/>
        <v/>
      </c>
    </row>
    <row r="1628" spans="1:7" x14ac:dyDescent="0.3">
      <c r="A1628" s="21" t="str">
        <f>IF(A1627="","",IF(A1627+1&gt;Ввод!$B$4,"",A1627+1))</f>
        <v/>
      </c>
      <c r="B1628" s="23" t="str">
        <f>IF(A1628="","",IFERROR(INDEX(Ввод!$B$12:$B$71,MATCH(A1628,Ввод!$D$12:$D$71,1)),""))</f>
        <v/>
      </c>
      <c r="C1628" t="str">
        <f t="shared" si="50"/>
        <v/>
      </c>
      <c r="D1628" t="str">
        <f>IF(A1628="","",SUMIFS(Акты!$D$5:$D$16,Акты!$E$5:$E$16,"&lt;="&amp;A1628)-SUMIFS(Оплаты!$B$6:$B$505,Оплаты!$A$6:$A$505,"&lt;"&amp;A1628,Оплаты!$D$6:$D$505,"&lt;&gt;"))</f>
        <v/>
      </c>
      <c r="E1628" t="str">
        <f>IF(A1628="","",IF(SUMPRODUCT((Ввод!$F$12:$F$31&lt;&gt;"")*(Ввод!$F$12:$F$31&lt;=A1628)*(Ввод!$G$12:$G$31&gt;=A1628))&gt;0,1,0))</f>
        <v/>
      </c>
      <c r="G1628" t="str">
        <f t="shared" si="51"/>
        <v/>
      </c>
    </row>
    <row r="1629" spans="1:7" x14ac:dyDescent="0.3">
      <c r="A1629" s="21" t="str">
        <f>IF(A1628="","",IF(A1628+1&gt;Ввод!$B$4,"",A1628+1))</f>
        <v/>
      </c>
      <c r="B1629" s="23" t="str">
        <f>IF(A1629="","",IFERROR(INDEX(Ввод!$B$12:$B$71,MATCH(A1629,Ввод!$D$12:$D$71,1)),""))</f>
        <v/>
      </c>
      <c r="C1629" t="str">
        <f t="shared" si="50"/>
        <v/>
      </c>
      <c r="D1629" t="str">
        <f>IF(A1629="","",SUMIFS(Акты!$D$5:$D$16,Акты!$E$5:$E$16,"&lt;="&amp;A1629)-SUMIFS(Оплаты!$B$6:$B$505,Оплаты!$A$6:$A$505,"&lt;"&amp;A1629,Оплаты!$D$6:$D$505,"&lt;&gt;"))</f>
        <v/>
      </c>
      <c r="E1629" t="str">
        <f>IF(A1629="","",IF(SUMPRODUCT((Ввод!$F$12:$F$31&lt;&gt;"")*(Ввод!$F$12:$F$31&lt;=A1629)*(Ввод!$G$12:$G$31&gt;=A1629))&gt;0,1,0))</f>
        <v/>
      </c>
      <c r="G1629" t="str">
        <f t="shared" si="51"/>
        <v/>
      </c>
    </row>
    <row r="1630" spans="1:7" x14ac:dyDescent="0.3">
      <c r="A1630" s="21" t="str">
        <f>IF(A1629="","",IF(A1629+1&gt;Ввод!$B$4,"",A1629+1))</f>
        <v/>
      </c>
      <c r="B1630" s="23" t="str">
        <f>IF(A1630="","",IFERROR(INDEX(Ввод!$B$12:$B$71,MATCH(A1630,Ввод!$D$12:$D$71,1)),""))</f>
        <v/>
      </c>
      <c r="C1630" t="str">
        <f t="shared" si="50"/>
        <v/>
      </c>
      <c r="D1630" t="str">
        <f>IF(A1630="","",SUMIFS(Акты!$D$5:$D$16,Акты!$E$5:$E$16,"&lt;="&amp;A1630)-SUMIFS(Оплаты!$B$6:$B$505,Оплаты!$A$6:$A$505,"&lt;"&amp;A1630,Оплаты!$D$6:$D$505,"&lt;&gt;"))</f>
        <v/>
      </c>
      <c r="E1630" t="str">
        <f>IF(A1630="","",IF(SUMPRODUCT((Ввод!$F$12:$F$31&lt;&gt;"")*(Ввод!$F$12:$F$31&lt;=A1630)*(Ввод!$G$12:$G$31&gt;=A1630))&gt;0,1,0))</f>
        <v/>
      </c>
      <c r="G1630" t="str">
        <f t="shared" si="51"/>
        <v/>
      </c>
    </row>
    <row r="1631" spans="1:7" x14ac:dyDescent="0.3">
      <c r="A1631" s="21" t="str">
        <f>IF(A1630="","",IF(A1630+1&gt;Ввод!$B$4,"",A1630+1))</f>
        <v/>
      </c>
      <c r="B1631" s="23" t="str">
        <f>IF(A1631="","",IFERROR(INDEX(Ввод!$B$12:$B$71,MATCH(A1631,Ввод!$D$12:$D$71,1)),""))</f>
        <v/>
      </c>
      <c r="C1631" t="str">
        <f t="shared" si="50"/>
        <v/>
      </c>
      <c r="D1631" t="str">
        <f>IF(A1631="","",SUMIFS(Акты!$D$5:$D$16,Акты!$E$5:$E$16,"&lt;="&amp;A1631)-SUMIFS(Оплаты!$B$6:$B$505,Оплаты!$A$6:$A$505,"&lt;"&amp;A1631,Оплаты!$D$6:$D$505,"&lt;&gt;"))</f>
        <v/>
      </c>
      <c r="E1631" t="str">
        <f>IF(A1631="","",IF(SUMPRODUCT((Ввод!$F$12:$F$31&lt;&gt;"")*(Ввод!$F$12:$F$31&lt;=A1631)*(Ввод!$G$12:$G$31&gt;=A1631))&gt;0,1,0))</f>
        <v/>
      </c>
      <c r="G1631" t="str">
        <f t="shared" si="51"/>
        <v/>
      </c>
    </row>
    <row r="1632" spans="1:7" x14ac:dyDescent="0.3">
      <c r="A1632" s="21" t="str">
        <f>IF(A1631="","",IF(A1631+1&gt;Ввод!$B$4,"",A1631+1))</f>
        <v/>
      </c>
      <c r="B1632" s="23" t="str">
        <f>IF(A1632="","",IFERROR(INDEX(Ввод!$B$12:$B$71,MATCH(A1632,Ввод!$D$12:$D$71,1)),""))</f>
        <v/>
      </c>
      <c r="C1632" t="str">
        <f t="shared" si="50"/>
        <v/>
      </c>
      <c r="D1632" t="str">
        <f>IF(A1632="","",SUMIFS(Акты!$D$5:$D$16,Акты!$E$5:$E$16,"&lt;="&amp;A1632)-SUMIFS(Оплаты!$B$6:$B$505,Оплаты!$A$6:$A$505,"&lt;"&amp;A1632,Оплаты!$D$6:$D$505,"&lt;&gt;"))</f>
        <v/>
      </c>
      <c r="E1632" t="str">
        <f>IF(A1632="","",IF(SUMPRODUCT((Ввод!$F$12:$F$31&lt;&gt;"")*(Ввод!$F$12:$F$31&lt;=A1632)*(Ввод!$G$12:$G$31&gt;=A1632))&gt;0,1,0))</f>
        <v/>
      </c>
      <c r="G1632" t="str">
        <f t="shared" si="51"/>
        <v/>
      </c>
    </row>
    <row r="1633" spans="1:7" x14ac:dyDescent="0.3">
      <c r="A1633" s="21" t="str">
        <f>IF(A1632="","",IF(A1632+1&gt;Ввод!$B$4,"",A1632+1))</f>
        <v/>
      </c>
      <c r="B1633" s="23" t="str">
        <f>IF(A1633="","",IFERROR(INDEX(Ввод!$B$12:$B$71,MATCH(A1633,Ввод!$D$12:$D$71,1)),""))</f>
        <v/>
      </c>
      <c r="C1633" t="str">
        <f t="shared" si="50"/>
        <v/>
      </c>
      <c r="D1633" t="str">
        <f>IF(A1633="","",SUMIFS(Акты!$D$5:$D$16,Акты!$E$5:$E$16,"&lt;="&amp;A1633)-SUMIFS(Оплаты!$B$6:$B$505,Оплаты!$A$6:$A$505,"&lt;"&amp;A1633,Оплаты!$D$6:$D$505,"&lt;&gt;"))</f>
        <v/>
      </c>
      <c r="E1633" t="str">
        <f>IF(A1633="","",IF(SUMPRODUCT((Ввод!$F$12:$F$31&lt;&gt;"")*(Ввод!$F$12:$F$31&lt;=A1633)*(Ввод!$G$12:$G$31&gt;=A1633))&gt;0,1,0))</f>
        <v/>
      </c>
      <c r="G1633" t="str">
        <f t="shared" si="51"/>
        <v/>
      </c>
    </row>
    <row r="1634" spans="1:7" x14ac:dyDescent="0.3">
      <c r="A1634" s="21" t="str">
        <f>IF(A1633="","",IF(A1633+1&gt;Ввод!$B$4,"",A1633+1))</f>
        <v/>
      </c>
      <c r="B1634" s="23" t="str">
        <f>IF(A1634="","",IFERROR(INDEX(Ввод!$B$12:$B$71,MATCH(A1634,Ввод!$D$12:$D$71,1)),""))</f>
        <v/>
      </c>
      <c r="C1634" t="str">
        <f t="shared" si="50"/>
        <v/>
      </c>
      <c r="D1634" t="str">
        <f>IF(A1634="","",SUMIFS(Акты!$D$5:$D$16,Акты!$E$5:$E$16,"&lt;="&amp;A1634)-SUMIFS(Оплаты!$B$6:$B$505,Оплаты!$A$6:$A$505,"&lt;"&amp;A1634,Оплаты!$D$6:$D$505,"&lt;&gt;"))</f>
        <v/>
      </c>
      <c r="E1634" t="str">
        <f>IF(A1634="","",IF(SUMPRODUCT((Ввод!$F$12:$F$31&lt;&gt;"")*(Ввод!$F$12:$F$31&lt;=A1634)*(Ввод!$G$12:$G$31&gt;=A1634))&gt;0,1,0))</f>
        <v/>
      </c>
      <c r="G1634" t="str">
        <f t="shared" si="51"/>
        <v/>
      </c>
    </row>
    <row r="1635" spans="1:7" x14ac:dyDescent="0.3">
      <c r="A1635" s="21" t="str">
        <f>IF(A1634="","",IF(A1634+1&gt;Ввод!$B$4,"",A1634+1))</f>
        <v/>
      </c>
      <c r="B1635" s="23" t="str">
        <f>IF(A1635="","",IFERROR(INDEX(Ввод!$B$12:$B$71,MATCH(A1635,Ввод!$D$12:$D$71,1)),""))</f>
        <v/>
      </c>
      <c r="C1635" t="str">
        <f t="shared" si="50"/>
        <v/>
      </c>
      <c r="D1635" t="str">
        <f>IF(A1635="","",SUMIFS(Акты!$D$5:$D$16,Акты!$E$5:$E$16,"&lt;="&amp;A1635)-SUMIFS(Оплаты!$B$6:$B$505,Оплаты!$A$6:$A$505,"&lt;"&amp;A1635,Оплаты!$D$6:$D$505,"&lt;&gt;"))</f>
        <v/>
      </c>
      <c r="E1635" t="str">
        <f>IF(A1635="","",IF(SUMPRODUCT((Ввод!$F$12:$F$31&lt;&gt;"")*(Ввод!$F$12:$F$31&lt;=A1635)*(Ввод!$G$12:$G$31&gt;=A1635))&gt;0,1,0))</f>
        <v/>
      </c>
      <c r="G1635" t="str">
        <f t="shared" si="51"/>
        <v/>
      </c>
    </row>
    <row r="1636" spans="1:7" x14ac:dyDescent="0.3">
      <c r="A1636" s="21" t="str">
        <f>IF(A1635="","",IF(A1635+1&gt;Ввод!$B$4,"",A1635+1))</f>
        <v/>
      </c>
      <c r="B1636" s="23" t="str">
        <f>IF(A1636="","",IFERROR(INDEX(Ввод!$B$12:$B$71,MATCH(A1636,Ввод!$D$12:$D$71,1)),""))</f>
        <v/>
      </c>
      <c r="C1636" t="str">
        <f t="shared" si="50"/>
        <v/>
      </c>
      <c r="D1636" t="str">
        <f>IF(A1636="","",SUMIFS(Акты!$D$5:$D$16,Акты!$E$5:$E$16,"&lt;="&amp;A1636)-SUMIFS(Оплаты!$B$6:$B$505,Оплаты!$A$6:$A$505,"&lt;"&amp;A1636,Оплаты!$D$6:$D$505,"&lt;&gt;"))</f>
        <v/>
      </c>
      <c r="E1636" t="str">
        <f>IF(A1636="","",IF(SUMPRODUCT((Ввод!$F$12:$F$31&lt;&gt;"")*(Ввод!$F$12:$F$31&lt;=A1636)*(Ввод!$G$12:$G$31&gt;=A1636))&gt;0,1,0))</f>
        <v/>
      </c>
      <c r="G1636" t="str">
        <f t="shared" si="51"/>
        <v/>
      </c>
    </row>
    <row r="1637" spans="1:7" x14ac:dyDescent="0.3">
      <c r="A1637" s="21" t="str">
        <f>IF(A1636="","",IF(A1636+1&gt;Ввод!$B$4,"",A1636+1))</f>
        <v/>
      </c>
      <c r="B1637" s="23" t="str">
        <f>IF(A1637="","",IFERROR(INDEX(Ввод!$B$12:$B$71,MATCH(A1637,Ввод!$D$12:$D$71,1)),""))</f>
        <v/>
      </c>
      <c r="C1637" t="str">
        <f t="shared" si="50"/>
        <v/>
      </c>
      <c r="D1637" t="str">
        <f>IF(A1637="","",SUMIFS(Акты!$D$5:$D$16,Акты!$E$5:$E$16,"&lt;="&amp;A1637)-SUMIFS(Оплаты!$B$6:$B$505,Оплаты!$A$6:$A$505,"&lt;"&amp;A1637,Оплаты!$D$6:$D$505,"&lt;&gt;"))</f>
        <v/>
      </c>
      <c r="E1637" t="str">
        <f>IF(A1637="","",IF(SUMPRODUCT((Ввод!$F$12:$F$31&lt;&gt;"")*(Ввод!$F$12:$F$31&lt;=A1637)*(Ввод!$G$12:$G$31&gt;=A1637))&gt;0,1,0))</f>
        <v/>
      </c>
      <c r="G1637" t="str">
        <f t="shared" si="51"/>
        <v/>
      </c>
    </row>
    <row r="1638" spans="1:7" x14ac:dyDescent="0.3">
      <c r="A1638" s="21" t="str">
        <f>IF(A1637="","",IF(A1637+1&gt;Ввод!$B$4,"",A1637+1))</f>
        <v/>
      </c>
      <c r="B1638" s="23" t="str">
        <f>IF(A1638="","",IFERROR(INDEX(Ввод!$B$12:$B$71,MATCH(A1638,Ввод!$D$12:$D$71,1)),""))</f>
        <v/>
      </c>
      <c r="C1638" t="str">
        <f t="shared" si="50"/>
        <v/>
      </c>
      <c r="D1638" t="str">
        <f>IF(A1638="","",SUMIFS(Акты!$D$5:$D$16,Акты!$E$5:$E$16,"&lt;="&amp;A1638)-SUMIFS(Оплаты!$B$6:$B$505,Оплаты!$A$6:$A$505,"&lt;"&amp;A1638,Оплаты!$D$6:$D$505,"&lt;&gt;"))</f>
        <v/>
      </c>
      <c r="E1638" t="str">
        <f>IF(A1638="","",IF(SUMPRODUCT((Ввод!$F$12:$F$31&lt;&gt;"")*(Ввод!$F$12:$F$31&lt;=A1638)*(Ввод!$G$12:$G$31&gt;=A1638))&gt;0,1,0))</f>
        <v/>
      </c>
      <c r="G1638" t="str">
        <f t="shared" si="51"/>
        <v/>
      </c>
    </row>
    <row r="1639" spans="1:7" x14ac:dyDescent="0.3">
      <c r="A1639" s="21" t="str">
        <f>IF(A1638="","",IF(A1638+1&gt;Ввод!$B$4,"",A1638+1))</f>
        <v/>
      </c>
      <c r="B1639" s="23" t="str">
        <f>IF(A1639="","",IFERROR(INDEX(Ввод!$B$12:$B$71,MATCH(A1639,Ввод!$D$12:$D$71,1)),""))</f>
        <v/>
      </c>
      <c r="C1639" t="str">
        <f t="shared" si="50"/>
        <v/>
      </c>
      <c r="D1639" t="str">
        <f>IF(A1639="","",SUMIFS(Акты!$D$5:$D$16,Акты!$E$5:$E$16,"&lt;="&amp;A1639)-SUMIFS(Оплаты!$B$6:$B$505,Оплаты!$A$6:$A$505,"&lt;"&amp;A1639,Оплаты!$D$6:$D$505,"&lt;&gt;"))</f>
        <v/>
      </c>
      <c r="E1639" t="str">
        <f>IF(A1639="","",IF(SUMPRODUCT((Ввод!$F$12:$F$31&lt;&gt;"")*(Ввод!$F$12:$F$31&lt;=A1639)*(Ввод!$G$12:$G$31&gt;=A1639))&gt;0,1,0))</f>
        <v/>
      </c>
      <c r="G1639" t="str">
        <f t="shared" si="51"/>
        <v/>
      </c>
    </row>
    <row r="1640" spans="1:7" x14ac:dyDescent="0.3">
      <c r="A1640" s="21" t="str">
        <f>IF(A1639="","",IF(A1639+1&gt;Ввод!$B$4,"",A1639+1))</f>
        <v/>
      </c>
      <c r="B1640" s="23" t="str">
        <f>IF(A1640="","",IFERROR(INDEX(Ввод!$B$12:$B$71,MATCH(A1640,Ввод!$D$12:$D$71,1)),""))</f>
        <v/>
      </c>
      <c r="C1640" t="str">
        <f t="shared" si="50"/>
        <v/>
      </c>
      <c r="D1640" t="str">
        <f>IF(A1640="","",SUMIFS(Акты!$D$5:$D$16,Акты!$E$5:$E$16,"&lt;="&amp;A1640)-SUMIFS(Оплаты!$B$6:$B$505,Оплаты!$A$6:$A$505,"&lt;"&amp;A1640,Оплаты!$D$6:$D$505,"&lt;&gt;"))</f>
        <v/>
      </c>
      <c r="E1640" t="str">
        <f>IF(A1640="","",IF(SUMPRODUCT((Ввод!$F$12:$F$31&lt;&gt;"")*(Ввод!$F$12:$F$31&lt;=A1640)*(Ввод!$G$12:$G$31&gt;=A1640))&gt;0,1,0))</f>
        <v/>
      </c>
      <c r="G1640" t="str">
        <f t="shared" si="51"/>
        <v/>
      </c>
    </row>
    <row r="1641" spans="1:7" x14ac:dyDescent="0.3">
      <c r="A1641" s="21" t="str">
        <f>IF(A1640="","",IF(A1640+1&gt;Ввод!$B$4,"",A1640+1))</f>
        <v/>
      </c>
      <c r="B1641" s="23" t="str">
        <f>IF(A1641="","",IFERROR(INDEX(Ввод!$B$12:$B$71,MATCH(A1641,Ввод!$D$12:$D$71,1)),""))</f>
        <v/>
      </c>
      <c r="C1641" t="str">
        <f t="shared" si="50"/>
        <v/>
      </c>
      <c r="D1641" t="str">
        <f>IF(A1641="","",SUMIFS(Акты!$D$5:$D$16,Акты!$E$5:$E$16,"&lt;="&amp;A1641)-SUMIFS(Оплаты!$B$6:$B$505,Оплаты!$A$6:$A$505,"&lt;"&amp;A1641,Оплаты!$D$6:$D$505,"&lt;&gt;"))</f>
        <v/>
      </c>
      <c r="E1641" t="str">
        <f>IF(A1641="","",IF(SUMPRODUCT((Ввод!$F$12:$F$31&lt;&gt;"")*(Ввод!$F$12:$F$31&lt;=A1641)*(Ввод!$G$12:$G$31&gt;=A1641))&gt;0,1,0))</f>
        <v/>
      </c>
      <c r="G1641" t="str">
        <f t="shared" si="51"/>
        <v/>
      </c>
    </row>
    <row r="1642" spans="1:7" x14ac:dyDescent="0.3">
      <c r="A1642" s="21" t="str">
        <f>IF(A1641="","",IF(A1641+1&gt;Ввод!$B$4,"",A1641+1))</f>
        <v/>
      </c>
      <c r="B1642" s="23" t="str">
        <f>IF(A1642="","",IFERROR(INDEX(Ввод!$B$12:$B$71,MATCH(A1642,Ввод!$D$12:$D$71,1)),""))</f>
        <v/>
      </c>
      <c r="C1642" t="str">
        <f t="shared" si="50"/>
        <v/>
      </c>
      <c r="D1642" t="str">
        <f>IF(A1642="","",SUMIFS(Акты!$D$5:$D$16,Акты!$E$5:$E$16,"&lt;="&amp;A1642)-SUMIFS(Оплаты!$B$6:$B$505,Оплаты!$A$6:$A$505,"&lt;"&amp;A1642,Оплаты!$D$6:$D$505,"&lt;&gt;"))</f>
        <v/>
      </c>
      <c r="E1642" t="str">
        <f>IF(A1642="","",IF(SUMPRODUCT((Ввод!$F$12:$F$31&lt;&gt;"")*(Ввод!$F$12:$F$31&lt;=A1642)*(Ввод!$G$12:$G$31&gt;=A1642))&gt;0,1,0))</f>
        <v/>
      </c>
      <c r="G1642" t="str">
        <f t="shared" si="51"/>
        <v/>
      </c>
    </row>
    <row r="1643" spans="1:7" x14ac:dyDescent="0.3">
      <c r="A1643" s="21" t="str">
        <f>IF(A1642="","",IF(A1642+1&gt;Ввод!$B$4,"",A1642+1))</f>
        <v/>
      </c>
      <c r="B1643" s="23" t="str">
        <f>IF(A1643="","",IFERROR(INDEX(Ввод!$B$12:$B$71,MATCH(A1643,Ввод!$D$12:$D$71,1)),""))</f>
        <v/>
      </c>
      <c r="C1643" t="str">
        <f t="shared" si="50"/>
        <v/>
      </c>
      <c r="D1643" t="str">
        <f>IF(A1643="","",SUMIFS(Акты!$D$5:$D$16,Акты!$E$5:$E$16,"&lt;="&amp;A1643)-SUMIFS(Оплаты!$B$6:$B$505,Оплаты!$A$6:$A$505,"&lt;"&amp;A1643,Оплаты!$D$6:$D$505,"&lt;&gt;"))</f>
        <v/>
      </c>
      <c r="E1643" t="str">
        <f>IF(A1643="","",IF(SUMPRODUCT((Ввод!$F$12:$F$31&lt;&gt;"")*(Ввод!$F$12:$F$31&lt;=A1643)*(Ввод!$G$12:$G$31&gt;=A1643))&gt;0,1,0))</f>
        <v/>
      </c>
      <c r="G1643" t="str">
        <f t="shared" si="51"/>
        <v/>
      </c>
    </row>
    <row r="1644" spans="1:7" x14ac:dyDescent="0.3">
      <c r="A1644" s="21" t="str">
        <f>IF(A1643="","",IF(A1643+1&gt;Ввод!$B$4,"",A1643+1))</f>
        <v/>
      </c>
      <c r="B1644" s="23" t="str">
        <f>IF(A1644="","",IFERROR(INDEX(Ввод!$B$12:$B$71,MATCH(A1644,Ввод!$D$12:$D$71,1)),""))</f>
        <v/>
      </c>
      <c r="C1644" t="str">
        <f t="shared" si="50"/>
        <v/>
      </c>
      <c r="D1644" t="str">
        <f>IF(A1644="","",SUMIFS(Акты!$D$5:$D$16,Акты!$E$5:$E$16,"&lt;="&amp;A1644)-SUMIFS(Оплаты!$B$6:$B$505,Оплаты!$A$6:$A$505,"&lt;"&amp;A1644,Оплаты!$D$6:$D$505,"&lt;&gt;"))</f>
        <v/>
      </c>
      <c r="E1644" t="str">
        <f>IF(A1644="","",IF(SUMPRODUCT((Ввод!$F$12:$F$31&lt;&gt;"")*(Ввод!$F$12:$F$31&lt;=A1644)*(Ввод!$G$12:$G$31&gt;=A1644))&gt;0,1,0))</f>
        <v/>
      </c>
      <c r="G1644" t="str">
        <f t="shared" si="51"/>
        <v/>
      </c>
    </row>
    <row r="1645" spans="1:7" x14ac:dyDescent="0.3">
      <c r="A1645" s="21" t="str">
        <f>IF(A1644="","",IF(A1644+1&gt;Ввод!$B$4,"",A1644+1))</f>
        <v/>
      </c>
      <c r="B1645" s="23" t="str">
        <f>IF(A1645="","",IFERROR(INDEX(Ввод!$B$12:$B$71,MATCH(A1645,Ввод!$D$12:$D$71,1)),""))</f>
        <v/>
      </c>
      <c r="C1645" t="str">
        <f t="shared" si="50"/>
        <v/>
      </c>
      <c r="D1645" t="str">
        <f>IF(A1645="","",SUMIFS(Акты!$D$5:$D$16,Акты!$E$5:$E$16,"&lt;="&amp;A1645)-SUMIFS(Оплаты!$B$6:$B$505,Оплаты!$A$6:$A$505,"&lt;"&amp;A1645,Оплаты!$D$6:$D$505,"&lt;&gt;"))</f>
        <v/>
      </c>
      <c r="E1645" t="str">
        <f>IF(A1645="","",IF(SUMPRODUCT((Ввод!$F$12:$F$31&lt;&gt;"")*(Ввод!$F$12:$F$31&lt;=A1645)*(Ввод!$G$12:$G$31&gt;=A1645))&gt;0,1,0))</f>
        <v/>
      </c>
      <c r="G1645" t="str">
        <f t="shared" si="51"/>
        <v/>
      </c>
    </row>
    <row r="1646" spans="1:7" x14ac:dyDescent="0.3">
      <c r="A1646" s="21" t="str">
        <f>IF(A1645="","",IF(A1645+1&gt;Ввод!$B$4,"",A1645+1))</f>
        <v/>
      </c>
      <c r="B1646" s="23" t="str">
        <f>IF(A1646="","",IFERROR(INDEX(Ввод!$B$12:$B$71,MATCH(A1646,Ввод!$D$12:$D$71,1)),""))</f>
        <v/>
      </c>
      <c r="C1646" t="str">
        <f t="shared" si="50"/>
        <v/>
      </c>
      <c r="D1646" t="str">
        <f>IF(A1646="","",SUMIFS(Акты!$D$5:$D$16,Акты!$E$5:$E$16,"&lt;="&amp;A1646)-SUMIFS(Оплаты!$B$6:$B$505,Оплаты!$A$6:$A$505,"&lt;"&amp;A1646,Оплаты!$D$6:$D$505,"&lt;&gt;"))</f>
        <v/>
      </c>
      <c r="E1646" t="str">
        <f>IF(A1646="","",IF(SUMPRODUCT((Ввод!$F$12:$F$31&lt;&gt;"")*(Ввод!$F$12:$F$31&lt;=A1646)*(Ввод!$G$12:$G$31&gt;=A1646))&gt;0,1,0))</f>
        <v/>
      </c>
      <c r="G1646" t="str">
        <f t="shared" si="51"/>
        <v/>
      </c>
    </row>
    <row r="1647" spans="1:7" x14ac:dyDescent="0.3">
      <c r="A1647" s="21" t="str">
        <f>IF(A1646="","",IF(A1646+1&gt;Ввод!$B$4,"",A1646+1))</f>
        <v/>
      </c>
      <c r="B1647" s="23" t="str">
        <f>IF(A1647="","",IFERROR(INDEX(Ввод!$B$12:$B$71,MATCH(A1647,Ввод!$D$12:$D$71,1)),""))</f>
        <v/>
      </c>
      <c r="C1647" t="str">
        <f t="shared" si="50"/>
        <v/>
      </c>
      <c r="D1647" t="str">
        <f>IF(A1647="","",SUMIFS(Акты!$D$5:$D$16,Акты!$E$5:$E$16,"&lt;="&amp;A1647)-SUMIFS(Оплаты!$B$6:$B$505,Оплаты!$A$6:$A$505,"&lt;"&amp;A1647,Оплаты!$D$6:$D$505,"&lt;&gt;"))</f>
        <v/>
      </c>
      <c r="E1647" t="str">
        <f>IF(A1647="","",IF(SUMPRODUCT((Ввод!$F$12:$F$31&lt;&gt;"")*(Ввод!$F$12:$F$31&lt;=A1647)*(Ввод!$G$12:$G$31&gt;=A1647))&gt;0,1,0))</f>
        <v/>
      </c>
      <c r="G1647" t="str">
        <f t="shared" si="51"/>
        <v/>
      </c>
    </row>
    <row r="1648" spans="1:7" x14ac:dyDescent="0.3">
      <c r="A1648" s="21" t="str">
        <f>IF(A1647="","",IF(A1647+1&gt;Ввод!$B$4,"",A1647+1))</f>
        <v/>
      </c>
      <c r="B1648" s="23" t="str">
        <f>IF(A1648="","",IFERROR(INDEX(Ввод!$B$12:$B$71,MATCH(A1648,Ввод!$D$12:$D$71,1)),""))</f>
        <v/>
      </c>
      <c r="C1648" t="str">
        <f t="shared" si="50"/>
        <v/>
      </c>
      <c r="D1648" t="str">
        <f>IF(A1648="","",SUMIFS(Акты!$D$5:$D$16,Акты!$E$5:$E$16,"&lt;="&amp;A1648)-SUMIFS(Оплаты!$B$6:$B$505,Оплаты!$A$6:$A$505,"&lt;"&amp;A1648,Оплаты!$D$6:$D$505,"&lt;&gt;"))</f>
        <v/>
      </c>
      <c r="E1648" t="str">
        <f>IF(A1648="","",IF(SUMPRODUCT((Ввод!$F$12:$F$31&lt;&gt;"")*(Ввод!$F$12:$F$31&lt;=A1648)*(Ввод!$G$12:$G$31&gt;=A1648))&gt;0,1,0))</f>
        <v/>
      </c>
      <c r="G1648" t="str">
        <f t="shared" si="51"/>
        <v/>
      </c>
    </row>
    <row r="1649" spans="1:7" x14ac:dyDescent="0.3">
      <c r="A1649" s="21" t="str">
        <f>IF(A1648="","",IF(A1648+1&gt;Ввод!$B$4,"",A1648+1))</f>
        <v/>
      </c>
      <c r="B1649" s="23" t="str">
        <f>IF(A1649="","",IFERROR(INDEX(Ввод!$B$12:$B$71,MATCH(A1649,Ввод!$D$12:$D$71,1)),""))</f>
        <v/>
      </c>
      <c r="C1649" t="str">
        <f t="shared" si="50"/>
        <v/>
      </c>
      <c r="D1649" t="str">
        <f>IF(A1649="","",SUMIFS(Акты!$D$5:$D$16,Акты!$E$5:$E$16,"&lt;="&amp;A1649)-SUMIFS(Оплаты!$B$6:$B$505,Оплаты!$A$6:$A$505,"&lt;"&amp;A1649,Оплаты!$D$6:$D$505,"&lt;&gt;"))</f>
        <v/>
      </c>
      <c r="E1649" t="str">
        <f>IF(A1649="","",IF(SUMPRODUCT((Ввод!$F$12:$F$31&lt;&gt;"")*(Ввод!$F$12:$F$31&lt;=A1649)*(Ввод!$G$12:$G$31&gt;=A1649))&gt;0,1,0))</f>
        <v/>
      </c>
      <c r="G1649" t="str">
        <f t="shared" si="51"/>
        <v/>
      </c>
    </row>
    <row r="1650" spans="1:7" x14ac:dyDescent="0.3">
      <c r="A1650" s="21" t="str">
        <f>IF(A1649="","",IF(A1649+1&gt;Ввод!$B$4,"",A1649+1))</f>
        <v/>
      </c>
      <c r="B1650" s="23" t="str">
        <f>IF(A1650="","",IFERROR(INDEX(Ввод!$B$12:$B$71,MATCH(A1650,Ввод!$D$12:$D$71,1)),""))</f>
        <v/>
      </c>
      <c r="C1650" t="str">
        <f t="shared" si="50"/>
        <v/>
      </c>
      <c r="D1650" t="str">
        <f>IF(A1650="","",SUMIFS(Акты!$D$5:$D$16,Акты!$E$5:$E$16,"&lt;="&amp;A1650)-SUMIFS(Оплаты!$B$6:$B$505,Оплаты!$A$6:$A$505,"&lt;"&amp;A1650,Оплаты!$D$6:$D$505,"&lt;&gt;"))</f>
        <v/>
      </c>
      <c r="E1650" t="str">
        <f>IF(A1650="","",IF(SUMPRODUCT((Ввод!$F$12:$F$31&lt;&gt;"")*(Ввод!$F$12:$F$31&lt;=A1650)*(Ввод!$G$12:$G$31&gt;=A1650))&gt;0,1,0))</f>
        <v/>
      </c>
      <c r="G1650" t="str">
        <f t="shared" si="51"/>
        <v/>
      </c>
    </row>
    <row r="1651" spans="1:7" x14ac:dyDescent="0.3">
      <c r="A1651" s="21" t="str">
        <f>IF(A1650="","",IF(A1650+1&gt;Ввод!$B$4,"",A1650+1))</f>
        <v/>
      </c>
      <c r="B1651" s="23" t="str">
        <f>IF(A1651="","",IFERROR(INDEX(Ввод!$B$12:$B$71,MATCH(A1651,Ввод!$D$12:$D$71,1)),""))</f>
        <v/>
      </c>
      <c r="C1651" t="str">
        <f t="shared" si="50"/>
        <v/>
      </c>
      <c r="D1651" t="str">
        <f>IF(A1651="","",SUMIFS(Акты!$D$5:$D$16,Акты!$E$5:$E$16,"&lt;="&amp;A1651)-SUMIFS(Оплаты!$B$6:$B$505,Оплаты!$A$6:$A$505,"&lt;"&amp;A1651,Оплаты!$D$6:$D$505,"&lt;&gt;"))</f>
        <v/>
      </c>
      <c r="E1651" t="str">
        <f>IF(A1651="","",IF(SUMPRODUCT((Ввод!$F$12:$F$31&lt;&gt;"")*(Ввод!$F$12:$F$31&lt;=A1651)*(Ввод!$G$12:$G$31&gt;=A1651))&gt;0,1,0))</f>
        <v/>
      </c>
      <c r="G1651" t="str">
        <f t="shared" si="51"/>
        <v/>
      </c>
    </row>
    <row r="1652" spans="1:7" x14ac:dyDescent="0.3">
      <c r="A1652" s="21" t="str">
        <f>IF(A1651="","",IF(A1651+1&gt;Ввод!$B$4,"",A1651+1))</f>
        <v/>
      </c>
      <c r="B1652" s="23" t="str">
        <f>IF(A1652="","",IFERROR(INDEX(Ввод!$B$12:$B$71,MATCH(A1652,Ввод!$D$12:$D$71,1)),""))</f>
        <v/>
      </c>
      <c r="C1652" t="str">
        <f t="shared" si="50"/>
        <v/>
      </c>
      <c r="D1652" t="str">
        <f>IF(A1652="","",SUMIFS(Акты!$D$5:$D$16,Акты!$E$5:$E$16,"&lt;="&amp;A1652)-SUMIFS(Оплаты!$B$6:$B$505,Оплаты!$A$6:$A$505,"&lt;"&amp;A1652,Оплаты!$D$6:$D$505,"&lt;&gt;"))</f>
        <v/>
      </c>
      <c r="E1652" t="str">
        <f>IF(A1652="","",IF(SUMPRODUCT((Ввод!$F$12:$F$31&lt;&gt;"")*(Ввод!$F$12:$F$31&lt;=A1652)*(Ввод!$G$12:$G$31&gt;=A1652))&gt;0,1,0))</f>
        <v/>
      </c>
      <c r="G1652" t="str">
        <f t="shared" si="51"/>
        <v/>
      </c>
    </row>
    <row r="1653" spans="1:7" x14ac:dyDescent="0.3">
      <c r="A1653" s="21" t="str">
        <f>IF(A1652="","",IF(A1652+1&gt;Ввод!$B$4,"",A1652+1))</f>
        <v/>
      </c>
      <c r="B1653" s="23" t="str">
        <f>IF(A1653="","",IFERROR(INDEX(Ввод!$B$12:$B$71,MATCH(A1653,Ввод!$D$12:$D$71,1)),""))</f>
        <v/>
      </c>
      <c r="C1653" t="str">
        <f t="shared" si="50"/>
        <v/>
      </c>
      <c r="D1653" t="str">
        <f>IF(A1653="","",SUMIFS(Акты!$D$5:$D$16,Акты!$E$5:$E$16,"&lt;="&amp;A1653)-SUMIFS(Оплаты!$B$6:$B$505,Оплаты!$A$6:$A$505,"&lt;"&amp;A1653,Оплаты!$D$6:$D$505,"&lt;&gt;"))</f>
        <v/>
      </c>
      <c r="E1653" t="str">
        <f>IF(A1653="","",IF(SUMPRODUCT((Ввод!$F$12:$F$31&lt;&gt;"")*(Ввод!$F$12:$F$31&lt;=A1653)*(Ввод!$G$12:$G$31&gt;=A1653))&gt;0,1,0))</f>
        <v/>
      </c>
      <c r="G1653" t="str">
        <f t="shared" si="51"/>
        <v/>
      </c>
    </row>
    <row r="1654" spans="1:7" x14ac:dyDescent="0.3">
      <c r="A1654" s="21" t="str">
        <f>IF(A1653="","",IF(A1653+1&gt;Ввод!$B$4,"",A1653+1))</f>
        <v/>
      </c>
      <c r="B1654" s="23" t="str">
        <f>IF(A1654="","",IFERROR(INDEX(Ввод!$B$12:$B$71,MATCH(A1654,Ввод!$D$12:$D$71,1)),""))</f>
        <v/>
      </c>
      <c r="C1654" t="str">
        <f t="shared" si="50"/>
        <v/>
      </c>
      <c r="D1654" t="str">
        <f>IF(A1654="","",SUMIFS(Акты!$D$5:$D$16,Акты!$E$5:$E$16,"&lt;="&amp;A1654)-SUMIFS(Оплаты!$B$6:$B$505,Оплаты!$A$6:$A$505,"&lt;"&amp;A1654,Оплаты!$D$6:$D$505,"&lt;&gt;"))</f>
        <v/>
      </c>
      <c r="E1654" t="str">
        <f>IF(A1654="","",IF(SUMPRODUCT((Ввод!$F$12:$F$31&lt;&gt;"")*(Ввод!$F$12:$F$31&lt;=A1654)*(Ввод!$G$12:$G$31&gt;=A1654))&gt;0,1,0))</f>
        <v/>
      </c>
      <c r="G1654" t="str">
        <f t="shared" si="51"/>
        <v/>
      </c>
    </row>
    <row r="1655" spans="1:7" x14ac:dyDescent="0.3">
      <c r="A1655" s="21" t="str">
        <f>IF(A1654="","",IF(A1654+1&gt;Ввод!$B$4,"",A1654+1))</f>
        <v/>
      </c>
      <c r="B1655" s="23" t="str">
        <f>IF(A1655="","",IFERROR(INDEX(Ввод!$B$12:$B$71,MATCH(A1655,Ввод!$D$12:$D$71,1)),""))</f>
        <v/>
      </c>
      <c r="C1655" t="str">
        <f t="shared" si="50"/>
        <v/>
      </c>
      <c r="D1655" t="str">
        <f>IF(A1655="","",SUMIFS(Акты!$D$5:$D$16,Акты!$E$5:$E$16,"&lt;="&amp;A1655)-SUMIFS(Оплаты!$B$6:$B$505,Оплаты!$A$6:$A$505,"&lt;"&amp;A1655,Оплаты!$D$6:$D$505,"&lt;&gt;"))</f>
        <v/>
      </c>
      <c r="E1655" t="str">
        <f>IF(A1655="","",IF(SUMPRODUCT((Ввод!$F$12:$F$31&lt;&gt;"")*(Ввод!$F$12:$F$31&lt;=A1655)*(Ввод!$G$12:$G$31&gt;=A1655))&gt;0,1,0))</f>
        <v/>
      </c>
      <c r="G1655" t="str">
        <f t="shared" si="51"/>
        <v/>
      </c>
    </row>
    <row r="1656" spans="1:7" x14ac:dyDescent="0.3">
      <c r="A1656" s="21" t="str">
        <f>IF(A1655="","",IF(A1655+1&gt;Ввод!$B$4,"",A1655+1))</f>
        <v/>
      </c>
      <c r="B1656" s="23" t="str">
        <f>IF(A1656="","",IFERROR(INDEX(Ввод!$B$12:$B$71,MATCH(A1656,Ввод!$D$12:$D$71,1)),""))</f>
        <v/>
      </c>
      <c r="C1656" t="str">
        <f t="shared" si="50"/>
        <v/>
      </c>
      <c r="D1656" t="str">
        <f>IF(A1656="","",SUMIFS(Акты!$D$5:$D$16,Акты!$E$5:$E$16,"&lt;="&amp;A1656)-SUMIFS(Оплаты!$B$6:$B$505,Оплаты!$A$6:$A$505,"&lt;"&amp;A1656,Оплаты!$D$6:$D$505,"&lt;&gt;"))</f>
        <v/>
      </c>
      <c r="E1656" t="str">
        <f>IF(A1656="","",IF(SUMPRODUCT((Ввод!$F$12:$F$31&lt;&gt;"")*(Ввод!$F$12:$F$31&lt;=A1656)*(Ввод!$G$12:$G$31&gt;=A1656))&gt;0,1,0))</f>
        <v/>
      </c>
      <c r="G1656" t="str">
        <f t="shared" si="51"/>
        <v/>
      </c>
    </row>
    <row r="1657" spans="1:7" x14ac:dyDescent="0.3">
      <c r="A1657" s="21" t="str">
        <f>IF(A1656="","",IF(A1656+1&gt;Ввод!$B$4,"",A1656+1))</f>
        <v/>
      </c>
      <c r="B1657" s="23" t="str">
        <f>IF(A1657="","",IFERROR(INDEX(Ввод!$B$12:$B$71,MATCH(A1657,Ввод!$D$12:$D$71,1)),""))</f>
        <v/>
      </c>
      <c r="C1657" t="str">
        <f t="shared" si="50"/>
        <v/>
      </c>
      <c r="D1657" t="str">
        <f>IF(A1657="","",SUMIFS(Акты!$D$5:$D$16,Акты!$E$5:$E$16,"&lt;="&amp;A1657)-SUMIFS(Оплаты!$B$6:$B$505,Оплаты!$A$6:$A$505,"&lt;"&amp;A1657,Оплаты!$D$6:$D$505,"&lt;&gt;"))</f>
        <v/>
      </c>
      <c r="E1657" t="str">
        <f>IF(A1657="","",IF(SUMPRODUCT((Ввод!$F$12:$F$31&lt;&gt;"")*(Ввод!$F$12:$F$31&lt;=A1657)*(Ввод!$G$12:$G$31&gt;=A1657))&gt;0,1,0))</f>
        <v/>
      </c>
      <c r="G1657" t="str">
        <f t="shared" si="51"/>
        <v/>
      </c>
    </row>
    <row r="1658" spans="1:7" x14ac:dyDescent="0.3">
      <c r="A1658" s="21" t="str">
        <f>IF(A1657="","",IF(A1657+1&gt;Ввод!$B$4,"",A1657+1))</f>
        <v/>
      </c>
      <c r="B1658" s="23" t="str">
        <f>IF(A1658="","",IFERROR(INDEX(Ввод!$B$12:$B$71,MATCH(A1658,Ввод!$D$12:$D$71,1)),""))</f>
        <v/>
      </c>
      <c r="C1658" t="str">
        <f t="shared" si="50"/>
        <v/>
      </c>
      <c r="D1658" t="str">
        <f>IF(A1658="","",SUMIFS(Акты!$D$5:$D$16,Акты!$E$5:$E$16,"&lt;="&amp;A1658)-SUMIFS(Оплаты!$B$6:$B$505,Оплаты!$A$6:$A$505,"&lt;"&amp;A1658,Оплаты!$D$6:$D$505,"&lt;&gt;"))</f>
        <v/>
      </c>
      <c r="E1658" t="str">
        <f>IF(A1658="","",IF(SUMPRODUCT((Ввод!$F$12:$F$31&lt;&gt;"")*(Ввод!$F$12:$F$31&lt;=A1658)*(Ввод!$G$12:$G$31&gt;=A1658))&gt;0,1,0))</f>
        <v/>
      </c>
      <c r="G1658" t="str">
        <f t="shared" si="51"/>
        <v/>
      </c>
    </row>
    <row r="1659" spans="1:7" x14ac:dyDescent="0.3">
      <c r="A1659" s="21" t="str">
        <f>IF(A1658="","",IF(A1658+1&gt;Ввод!$B$4,"",A1658+1))</f>
        <v/>
      </c>
      <c r="B1659" s="23" t="str">
        <f>IF(A1659="","",IFERROR(INDEX(Ввод!$B$12:$B$71,MATCH(A1659,Ввод!$D$12:$D$71,1)),""))</f>
        <v/>
      </c>
      <c r="C1659" t="str">
        <f t="shared" si="50"/>
        <v/>
      </c>
      <c r="D1659" t="str">
        <f>IF(A1659="","",SUMIFS(Акты!$D$5:$D$16,Акты!$E$5:$E$16,"&lt;="&amp;A1659)-SUMIFS(Оплаты!$B$6:$B$505,Оплаты!$A$6:$A$505,"&lt;"&amp;A1659,Оплаты!$D$6:$D$505,"&lt;&gt;"))</f>
        <v/>
      </c>
      <c r="E1659" t="str">
        <f>IF(A1659="","",IF(SUMPRODUCT((Ввод!$F$12:$F$31&lt;&gt;"")*(Ввод!$F$12:$F$31&lt;=A1659)*(Ввод!$G$12:$G$31&gt;=A1659))&gt;0,1,0))</f>
        <v/>
      </c>
      <c r="G1659" t="str">
        <f t="shared" si="51"/>
        <v/>
      </c>
    </row>
    <row r="1660" spans="1:7" x14ac:dyDescent="0.3">
      <c r="A1660" s="21" t="str">
        <f>IF(A1659="","",IF(A1659+1&gt;Ввод!$B$4,"",A1659+1))</f>
        <v/>
      </c>
      <c r="B1660" s="23" t="str">
        <f>IF(A1660="","",IFERROR(INDEX(Ввод!$B$12:$B$71,MATCH(A1660,Ввод!$D$12:$D$71,1)),""))</f>
        <v/>
      </c>
      <c r="C1660" t="str">
        <f t="shared" si="50"/>
        <v/>
      </c>
      <c r="D1660" t="str">
        <f>IF(A1660="","",SUMIFS(Акты!$D$5:$D$16,Акты!$E$5:$E$16,"&lt;="&amp;A1660)-SUMIFS(Оплаты!$B$6:$B$505,Оплаты!$A$6:$A$505,"&lt;"&amp;A1660,Оплаты!$D$6:$D$505,"&lt;&gt;"))</f>
        <v/>
      </c>
      <c r="E1660" t="str">
        <f>IF(A1660="","",IF(SUMPRODUCT((Ввод!$F$12:$F$31&lt;&gt;"")*(Ввод!$F$12:$F$31&lt;=A1660)*(Ввод!$G$12:$G$31&gt;=A1660))&gt;0,1,0))</f>
        <v/>
      </c>
      <c r="G1660" t="str">
        <f t="shared" si="51"/>
        <v/>
      </c>
    </row>
    <row r="1661" spans="1:7" x14ac:dyDescent="0.3">
      <c r="A1661" s="21" t="str">
        <f>IF(A1660="","",IF(A1660+1&gt;Ввод!$B$4,"",A1660+1))</f>
        <v/>
      </c>
      <c r="B1661" s="23" t="str">
        <f>IF(A1661="","",IFERROR(INDEX(Ввод!$B$12:$B$71,MATCH(A1661,Ввод!$D$12:$D$71,1)),""))</f>
        <v/>
      </c>
      <c r="C1661" t="str">
        <f t="shared" si="50"/>
        <v/>
      </c>
      <c r="D1661" t="str">
        <f>IF(A1661="","",SUMIFS(Акты!$D$5:$D$16,Акты!$E$5:$E$16,"&lt;="&amp;A1661)-SUMIFS(Оплаты!$B$6:$B$505,Оплаты!$A$6:$A$505,"&lt;"&amp;A1661,Оплаты!$D$6:$D$505,"&lt;&gt;"))</f>
        <v/>
      </c>
      <c r="E1661" t="str">
        <f>IF(A1661="","",IF(SUMPRODUCT((Ввод!$F$12:$F$31&lt;&gt;"")*(Ввод!$F$12:$F$31&lt;=A1661)*(Ввод!$G$12:$G$31&gt;=A1661))&gt;0,1,0))</f>
        <v/>
      </c>
      <c r="G1661" t="str">
        <f t="shared" si="51"/>
        <v/>
      </c>
    </row>
    <row r="1662" spans="1:7" x14ac:dyDescent="0.3">
      <c r="A1662" s="21" t="str">
        <f>IF(A1661="","",IF(A1661+1&gt;Ввод!$B$4,"",A1661+1))</f>
        <v/>
      </c>
      <c r="B1662" s="23" t="str">
        <f>IF(A1662="","",IFERROR(INDEX(Ввод!$B$12:$B$71,MATCH(A1662,Ввод!$D$12:$D$71,1)),""))</f>
        <v/>
      </c>
      <c r="C1662" t="str">
        <f t="shared" si="50"/>
        <v/>
      </c>
      <c r="D1662" t="str">
        <f>IF(A1662="","",SUMIFS(Акты!$D$5:$D$16,Акты!$E$5:$E$16,"&lt;="&amp;A1662)-SUMIFS(Оплаты!$B$6:$B$505,Оплаты!$A$6:$A$505,"&lt;"&amp;A1662,Оплаты!$D$6:$D$505,"&lt;&gt;"))</f>
        <v/>
      </c>
      <c r="E1662" t="str">
        <f>IF(A1662="","",IF(SUMPRODUCT((Ввод!$F$12:$F$31&lt;&gt;"")*(Ввод!$F$12:$F$31&lt;=A1662)*(Ввод!$G$12:$G$31&gt;=A1662))&gt;0,1,0))</f>
        <v/>
      </c>
      <c r="G1662" t="str">
        <f t="shared" si="51"/>
        <v/>
      </c>
    </row>
    <row r="1663" spans="1:7" x14ac:dyDescent="0.3">
      <c r="A1663" s="21" t="str">
        <f>IF(A1662="","",IF(A1662+1&gt;Ввод!$B$4,"",A1662+1))</f>
        <v/>
      </c>
      <c r="B1663" s="23" t="str">
        <f>IF(A1663="","",IFERROR(INDEX(Ввод!$B$12:$B$71,MATCH(A1663,Ввод!$D$12:$D$71,1)),""))</f>
        <v/>
      </c>
      <c r="C1663" t="str">
        <f t="shared" si="50"/>
        <v/>
      </c>
      <c r="D1663" t="str">
        <f>IF(A1663="","",SUMIFS(Акты!$D$5:$D$16,Акты!$E$5:$E$16,"&lt;="&amp;A1663)-SUMIFS(Оплаты!$B$6:$B$505,Оплаты!$A$6:$A$505,"&lt;"&amp;A1663,Оплаты!$D$6:$D$505,"&lt;&gt;"))</f>
        <v/>
      </c>
      <c r="E1663" t="str">
        <f>IF(A1663="","",IF(SUMPRODUCT((Ввод!$F$12:$F$31&lt;&gt;"")*(Ввод!$F$12:$F$31&lt;=A1663)*(Ввод!$G$12:$G$31&gt;=A1663))&gt;0,1,0))</f>
        <v/>
      </c>
      <c r="G1663" t="str">
        <f t="shared" si="51"/>
        <v/>
      </c>
    </row>
    <row r="1664" spans="1:7" x14ac:dyDescent="0.3">
      <c r="A1664" s="21" t="str">
        <f>IF(A1663="","",IF(A1663+1&gt;Ввод!$B$4,"",A1663+1))</f>
        <v/>
      </c>
      <c r="B1664" s="23" t="str">
        <f>IF(A1664="","",IFERROR(INDEX(Ввод!$B$12:$B$71,MATCH(A1664,Ввод!$D$12:$D$71,1)),""))</f>
        <v/>
      </c>
      <c r="C1664" t="str">
        <f t="shared" si="50"/>
        <v/>
      </c>
      <c r="D1664" t="str">
        <f>IF(A1664="","",SUMIFS(Акты!$D$5:$D$16,Акты!$E$5:$E$16,"&lt;="&amp;A1664)-SUMIFS(Оплаты!$B$6:$B$505,Оплаты!$A$6:$A$505,"&lt;"&amp;A1664,Оплаты!$D$6:$D$505,"&lt;&gt;"))</f>
        <v/>
      </c>
      <c r="E1664" t="str">
        <f>IF(A1664="","",IF(SUMPRODUCT((Ввод!$F$12:$F$31&lt;&gt;"")*(Ввод!$F$12:$F$31&lt;=A1664)*(Ввод!$G$12:$G$31&gt;=A1664))&gt;0,1,0))</f>
        <v/>
      </c>
      <c r="G1664" t="str">
        <f t="shared" si="51"/>
        <v/>
      </c>
    </row>
    <row r="1665" spans="1:7" x14ac:dyDescent="0.3">
      <c r="A1665" s="21" t="str">
        <f>IF(A1664="","",IF(A1664+1&gt;Ввод!$B$4,"",A1664+1))</f>
        <v/>
      </c>
      <c r="B1665" s="23" t="str">
        <f>IF(A1665="","",IFERROR(INDEX(Ввод!$B$12:$B$71,MATCH(A1665,Ввод!$D$12:$D$71,1)),""))</f>
        <v/>
      </c>
      <c r="C1665" t="str">
        <f t="shared" si="50"/>
        <v/>
      </c>
      <c r="D1665" t="str">
        <f>IF(A1665="","",SUMIFS(Акты!$D$5:$D$16,Акты!$E$5:$E$16,"&lt;="&amp;A1665)-SUMIFS(Оплаты!$B$6:$B$505,Оплаты!$A$6:$A$505,"&lt;"&amp;A1665,Оплаты!$D$6:$D$505,"&lt;&gt;"))</f>
        <v/>
      </c>
      <c r="E1665" t="str">
        <f>IF(A1665="","",IF(SUMPRODUCT((Ввод!$F$12:$F$31&lt;&gt;"")*(Ввод!$F$12:$F$31&lt;=A1665)*(Ввод!$G$12:$G$31&gt;=A1665))&gt;0,1,0))</f>
        <v/>
      </c>
      <c r="G1665" t="str">
        <f t="shared" si="51"/>
        <v/>
      </c>
    </row>
    <row r="1666" spans="1:7" x14ac:dyDescent="0.3">
      <c r="A1666" s="21" t="str">
        <f>IF(A1665="","",IF(A1665+1&gt;Ввод!$B$4,"",A1665+1))</f>
        <v/>
      </c>
      <c r="B1666" s="23" t="str">
        <f>IF(A1666="","",IFERROR(INDEX(Ввод!$B$12:$B$71,MATCH(A1666,Ввод!$D$12:$D$71,1)),""))</f>
        <v/>
      </c>
      <c r="C1666" t="str">
        <f t="shared" ref="C1666:C1729" si="52">IF(A1666="","",DATE(YEAR(A1666),12,31)-DATE(YEAR(A1666),1,1)+1)</f>
        <v/>
      </c>
      <c r="D1666" t="str">
        <f>IF(A1666="","",SUMIFS(Акты!$D$5:$D$16,Акты!$E$5:$E$16,"&lt;="&amp;A1666)-SUMIFS(Оплаты!$B$6:$B$505,Оплаты!$A$6:$A$505,"&lt;"&amp;A1666,Оплаты!$D$6:$D$505,"&lt;&gt;"))</f>
        <v/>
      </c>
      <c r="E1666" t="str">
        <f>IF(A1666="","",IF(SUMPRODUCT((Ввод!$F$12:$F$31&lt;&gt;"")*(Ввод!$F$12:$F$31&lt;=A1666)*(Ввод!$G$12:$G$31&gt;=A1666))&gt;0,1,0))</f>
        <v/>
      </c>
      <c r="G1666" t="str">
        <f t="shared" si="51"/>
        <v/>
      </c>
    </row>
    <row r="1667" spans="1:7" x14ac:dyDescent="0.3">
      <c r="A1667" s="21" t="str">
        <f>IF(A1666="","",IF(A1666+1&gt;Ввод!$B$4,"",A1666+1))</f>
        <v/>
      </c>
      <c r="B1667" s="23" t="str">
        <f>IF(A1667="","",IFERROR(INDEX(Ввод!$B$12:$B$71,MATCH(A1667,Ввод!$D$12:$D$71,1)),""))</f>
        <v/>
      </c>
      <c r="C1667" t="str">
        <f t="shared" si="52"/>
        <v/>
      </c>
      <c r="D1667" t="str">
        <f>IF(A1667="","",SUMIFS(Акты!$D$5:$D$16,Акты!$E$5:$E$16,"&lt;="&amp;A1667)-SUMIFS(Оплаты!$B$6:$B$505,Оплаты!$A$6:$A$505,"&lt;"&amp;A1667,Оплаты!$D$6:$D$505,"&lt;&gt;"))</f>
        <v/>
      </c>
      <c r="E1667" t="str">
        <f>IF(A1667="","",IF(SUMPRODUCT((Ввод!$F$12:$F$31&lt;&gt;"")*(Ввод!$F$12:$F$31&lt;=A1667)*(Ввод!$G$12:$G$31&gt;=A1667))&gt;0,1,0))</f>
        <v/>
      </c>
      <c r="G1667" t="str">
        <f t="shared" ref="G1667:G1730" si="53">IF(A1667="","",IF(OR(B1667&lt;&gt;B1666,C1667&lt;&gt;C1666,E1667&lt;&gt;E1666),G1666+1,G1666))</f>
        <v/>
      </c>
    </row>
    <row r="1668" spans="1:7" x14ac:dyDescent="0.3">
      <c r="A1668" s="21" t="str">
        <f>IF(A1667="","",IF(A1667+1&gt;Ввод!$B$4,"",A1667+1))</f>
        <v/>
      </c>
      <c r="B1668" s="23" t="str">
        <f>IF(A1668="","",IFERROR(INDEX(Ввод!$B$12:$B$71,MATCH(A1668,Ввод!$D$12:$D$71,1)),""))</f>
        <v/>
      </c>
      <c r="C1668" t="str">
        <f t="shared" si="52"/>
        <v/>
      </c>
      <c r="D1668" t="str">
        <f>IF(A1668="","",SUMIFS(Акты!$D$5:$D$16,Акты!$E$5:$E$16,"&lt;="&amp;A1668)-SUMIFS(Оплаты!$B$6:$B$505,Оплаты!$A$6:$A$505,"&lt;"&amp;A1668,Оплаты!$D$6:$D$505,"&lt;&gt;"))</f>
        <v/>
      </c>
      <c r="E1668" t="str">
        <f>IF(A1668="","",IF(SUMPRODUCT((Ввод!$F$12:$F$31&lt;&gt;"")*(Ввод!$F$12:$F$31&lt;=A1668)*(Ввод!$G$12:$G$31&gt;=A1668))&gt;0,1,0))</f>
        <v/>
      </c>
      <c r="G1668" t="str">
        <f t="shared" si="53"/>
        <v/>
      </c>
    </row>
    <row r="1669" spans="1:7" x14ac:dyDescent="0.3">
      <c r="A1669" s="21" t="str">
        <f>IF(A1668="","",IF(A1668+1&gt;Ввод!$B$4,"",A1668+1))</f>
        <v/>
      </c>
      <c r="B1669" s="23" t="str">
        <f>IF(A1669="","",IFERROR(INDEX(Ввод!$B$12:$B$71,MATCH(A1669,Ввод!$D$12:$D$71,1)),""))</f>
        <v/>
      </c>
      <c r="C1669" t="str">
        <f t="shared" si="52"/>
        <v/>
      </c>
      <c r="D1669" t="str">
        <f>IF(A1669="","",SUMIFS(Акты!$D$5:$D$16,Акты!$E$5:$E$16,"&lt;="&amp;A1669)-SUMIFS(Оплаты!$B$6:$B$505,Оплаты!$A$6:$A$505,"&lt;"&amp;A1669,Оплаты!$D$6:$D$505,"&lt;&gt;"))</f>
        <v/>
      </c>
      <c r="E1669" t="str">
        <f>IF(A1669="","",IF(SUMPRODUCT((Ввод!$F$12:$F$31&lt;&gt;"")*(Ввод!$F$12:$F$31&lt;=A1669)*(Ввод!$G$12:$G$31&gt;=A1669))&gt;0,1,0))</f>
        <v/>
      </c>
      <c r="G1669" t="str">
        <f t="shared" si="53"/>
        <v/>
      </c>
    </row>
    <row r="1670" spans="1:7" x14ac:dyDescent="0.3">
      <c r="A1670" s="21" t="str">
        <f>IF(A1669="","",IF(A1669+1&gt;Ввод!$B$4,"",A1669+1))</f>
        <v/>
      </c>
      <c r="B1670" s="23" t="str">
        <f>IF(A1670="","",IFERROR(INDEX(Ввод!$B$12:$B$71,MATCH(A1670,Ввод!$D$12:$D$71,1)),""))</f>
        <v/>
      </c>
      <c r="C1670" t="str">
        <f t="shared" si="52"/>
        <v/>
      </c>
      <c r="D1670" t="str">
        <f>IF(A1670="","",SUMIFS(Акты!$D$5:$D$16,Акты!$E$5:$E$16,"&lt;="&amp;A1670)-SUMIFS(Оплаты!$B$6:$B$505,Оплаты!$A$6:$A$505,"&lt;"&amp;A1670,Оплаты!$D$6:$D$505,"&lt;&gt;"))</f>
        <v/>
      </c>
      <c r="E1670" t="str">
        <f>IF(A1670="","",IF(SUMPRODUCT((Ввод!$F$12:$F$31&lt;&gt;"")*(Ввод!$F$12:$F$31&lt;=A1670)*(Ввод!$G$12:$G$31&gt;=A1670))&gt;0,1,0))</f>
        <v/>
      </c>
      <c r="G1670" t="str">
        <f t="shared" si="53"/>
        <v/>
      </c>
    </row>
    <row r="1671" spans="1:7" x14ac:dyDescent="0.3">
      <c r="A1671" s="21" t="str">
        <f>IF(A1670="","",IF(A1670+1&gt;Ввод!$B$4,"",A1670+1))</f>
        <v/>
      </c>
      <c r="B1671" s="23" t="str">
        <f>IF(A1671="","",IFERROR(INDEX(Ввод!$B$12:$B$71,MATCH(A1671,Ввод!$D$12:$D$71,1)),""))</f>
        <v/>
      </c>
      <c r="C1671" t="str">
        <f t="shared" si="52"/>
        <v/>
      </c>
      <c r="D1671" t="str">
        <f>IF(A1671="","",SUMIFS(Акты!$D$5:$D$16,Акты!$E$5:$E$16,"&lt;="&amp;A1671)-SUMIFS(Оплаты!$B$6:$B$505,Оплаты!$A$6:$A$505,"&lt;"&amp;A1671,Оплаты!$D$6:$D$505,"&lt;&gt;"))</f>
        <v/>
      </c>
      <c r="E1671" t="str">
        <f>IF(A1671="","",IF(SUMPRODUCT((Ввод!$F$12:$F$31&lt;&gt;"")*(Ввод!$F$12:$F$31&lt;=A1671)*(Ввод!$G$12:$G$31&gt;=A1671))&gt;0,1,0))</f>
        <v/>
      </c>
      <c r="G1671" t="str">
        <f t="shared" si="53"/>
        <v/>
      </c>
    </row>
    <row r="1672" spans="1:7" x14ac:dyDescent="0.3">
      <c r="A1672" s="21" t="str">
        <f>IF(A1671="","",IF(A1671+1&gt;Ввод!$B$4,"",A1671+1))</f>
        <v/>
      </c>
      <c r="B1672" s="23" t="str">
        <f>IF(A1672="","",IFERROR(INDEX(Ввод!$B$12:$B$71,MATCH(A1672,Ввод!$D$12:$D$71,1)),""))</f>
        <v/>
      </c>
      <c r="C1672" t="str">
        <f t="shared" si="52"/>
        <v/>
      </c>
      <c r="D1672" t="str">
        <f>IF(A1672="","",SUMIFS(Акты!$D$5:$D$16,Акты!$E$5:$E$16,"&lt;="&amp;A1672)-SUMIFS(Оплаты!$B$6:$B$505,Оплаты!$A$6:$A$505,"&lt;"&amp;A1672,Оплаты!$D$6:$D$505,"&lt;&gt;"))</f>
        <v/>
      </c>
      <c r="E1672" t="str">
        <f>IF(A1672="","",IF(SUMPRODUCT((Ввод!$F$12:$F$31&lt;&gt;"")*(Ввод!$F$12:$F$31&lt;=A1672)*(Ввод!$G$12:$G$31&gt;=A1672))&gt;0,1,0))</f>
        <v/>
      </c>
      <c r="G1672" t="str">
        <f t="shared" si="53"/>
        <v/>
      </c>
    </row>
    <row r="1673" spans="1:7" x14ac:dyDescent="0.3">
      <c r="A1673" s="21" t="str">
        <f>IF(A1672="","",IF(A1672+1&gt;Ввод!$B$4,"",A1672+1))</f>
        <v/>
      </c>
      <c r="B1673" s="23" t="str">
        <f>IF(A1673="","",IFERROR(INDEX(Ввод!$B$12:$B$71,MATCH(A1673,Ввод!$D$12:$D$71,1)),""))</f>
        <v/>
      </c>
      <c r="C1673" t="str">
        <f t="shared" si="52"/>
        <v/>
      </c>
      <c r="D1673" t="str">
        <f>IF(A1673="","",SUMIFS(Акты!$D$5:$D$16,Акты!$E$5:$E$16,"&lt;="&amp;A1673)-SUMIFS(Оплаты!$B$6:$B$505,Оплаты!$A$6:$A$505,"&lt;"&amp;A1673,Оплаты!$D$6:$D$505,"&lt;&gt;"))</f>
        <v/>
      </c>
      <c r="E1673" t="str">
        <f>IF(A1673="","",IF(SUMPRODUCT((Ввод!$F$12:$F$31&lt;&gt;"")*(Ввод!$F$12:$F$31&lt;=A1673)*(Ввод!$G$12:$G$31&gt;=A1673))&gt;0,1,0))</f>
        <v/>
      </c>
      <c r="G1673" t="str">
        <f t="shared" si="53"/>
        <v/>
      </c>
    </row>
    <row r="1674" spans="1:7" x14ac:dyDescent="0.3">
      <c r="A1674" s="21" t="str">
        <f>IF(A1673="","",IF(A1673+1&gt;Ввод!$B$4,"",A1673+1))</f>
        <v/>
      </c>
      <c r="B1674" s="23" t="str">
        <f>IF(A1674="","",IFERROR(INDEX(Ввод!$B$12:$B$71,MATCH(A1674,Ввод!$D$12:$D$71,1)),""))</f>
        <v/>
      </c>
      <c r="C1674" t="str">
        <f t="shared" si="52"/>
        <v/>
      </c>
      <c r="D1674" t="str">
        <f>IF(A1674="","",SUMIFS(Акты!$D$5:$D$16,Акты!$E$5:$E$16,"&lt;="&amp;A1674)-SUMIFS(Оплаты!$B$6:$B$505,Оплаты!$A$6:$A$505,"&lt;"&amp;A1674,Оплаты!$D$6:$D$505,"&lt;&gt;"))</f>
        <v/>
      </c>
      <c r="E1674" t="str">
        <f>IF(A1674="","",IF(SUMPRODUCT((Ввод!$F$12:$F$31&lt;&gt;"")*(Ввод!$F$12:$F$31&lt;=A1674)*(Ввод!$G$12:$G$31&gt;=A1674))&gt;0,1,0))</f>
        <v/>
      </c>
      <c r="G1674" t="str">
        <f t="shared" si="53"/>
        <v/>
      </c>
    </row>
    <row r="1675" spans="1:7" x14ac:dyDescent="0.3">
      <c r="A1675" s="21" t="str">
        <f>IF(A1674="","",IF(A1674+1&gt;Ввод!$B$4,"",A1674+1))</f>
        <v/>
      </c>
      <c r="B1675" s="23" t="str">
        <f>IF(A1675="","",IFERROR(INDEX(Ввод!$B$12:$B$71,MATCH(A1675,Ввод!$D$12:$D$71,1)),""))</f>
        <v/>
      </c>
      <c r="C1675" t="str">
        <f t="shared" si="52"/>
        <v/>
      </c>
      <c r="D1675" t="str">
        <f>IF(A1675="","",SUMIFS(Акты!$D$5:$D$16,Акты!$E$5:$E$16,"&lt;="&amp;A1675)-SUMIFS(Оплаты!$B$6:$B$505,Оплаты!$A$6:$A$505,"&lt;"&amp;A1675,Оплаты!$D$6:$D$505,"&lt;&gt;"))</f>
        <v/>
      </c>
      <c r="E1675" t="str">
        <f>IF(A1675="","",IF(SUMPRODUCT((Ввод!$F$12:$F$31&lt;&gt;"")*(Ввод!$F$12:$F$31&lt;=A1675)*(Ввод!$G$12:$G$31&gt;=A1675))&gt;0,1,0))</f>
        <v/>
      </c>
      <c r="G1675" t="str">
        <f t="shared" si="53"/>
        <v/>
      </c>
    </row>
    <row r="1676" spans="1:7" x14ac:dyDescent="0.3">
      <c r="A1676" s="21" t="str">
        <f>IF(A1675="","",IF(A1675+1&gt;Ввод!$B$4,"",A1675+1))</f>
        <v/>
      </c>
      <c r="B1676" s="23" t="str">
        <f>IF(A1676="","",IFERROR(INDEX(Ввод!$B$12:$B$71,MATCH(A1676,Ввод!$D$12:$D$71,1)),""))</f>
        <v/>
      </c>
      <c r="C1676" t="str">
        <f t="shared" si="52"/>
        <v/>
      </c>
      <c r="D1676" t="str">
        <f>IF(A1676="","",SUMIFS(Акты!$D$5:$D$16,Акты!$E$5:$E$16,"&lt;="&amp;A1676)-SUMIFS(Оплаты!$B$6:$B$505,Оплаты!$A$6:$A$505,"&lt;"&amp;A1676,Оплаты!$D$6:$D$505,"&lt;&gt;"))</f>
        <v/>
      </c>
      <c r="E1676" t="str">
        <f>IF(A1676="","",IF(SUMPRODUCT((Ввод!$F$12:$F$31&lt;&gt;"")*(Ввод!$F$12:$F$31&lt;=A1676)*(Ввод!$G$12:$G$31&gt;=A1676))&gt;0,1,0))</f>
        <v/>
      </c>
      <c r="G1676" t="str">
        <f t="shared" si="53"/>
        <v/>
      </c>
    </row>
    <row r="1677" spans="1:7" x14ac:dyDescent="0.3">
      <c r="A1677" s="21" t="str">
        <f>IF(A1676="","",IF(A1676+1&gt;Ввод!$B$4,"",A1676+1))</f>
        <v/>
      </c>
      <c r="B1677" s="23" t="str">
        <f>IF(A1677="","",IFERROR(INDEX(Ввод!$B$12:$B$71,MATCH(A1677,Ввод!$D$12:$D$71,1)),""))</f>
        <v/>
      </c>
      <c r="C1677" t="str">
        <f t="shared" si="52"/>
        <v/>
      </c>
      <c r="D1677" t="str">
        <f>IF(A1677="","",SUMIFS(Акты!$D$5:$D$16,Акты!$E$5:$E$16,"&lt;="&amp;A1677)-SUMIFS(Оплаты!$B$6:$B$505,Оплаты!$A$6:$A$505,"&lt;"&amp;A1677,Оплаты!$D$6:$D$505,"&lt;&gt;"))</f>
        <v/>
      </c>
      <c r="E1677" t="str">
        <f>IF(A1677="","",IF(SUMPRODUCT((Ввод!$F$12:$F$31&lt;&gt;"")*(Ввод!$F$12:$F$31&lt;=A1677)*(Ввод!$G$12:$G$31&gt;=A1677))&gt;0,1,0))</f>
        <v/>
      </c>
      <c r="G1677" t="str">
        <f t="shared" si="53"/>
        <v/>
      </c>
    </row>
    <row r="1678" spans="1:7" x14ac:dyDescent="0.3">
      <c r="A1678" s="21" t="str">
        <f>IF(A1677="","",IF(A1677+1&gt;Ввод!$B$4,"",A1677+1))</f>
        <v/>
      </c>
      <c r="B1678" s="23" t="str">
        <f>IF(A1678="","",IFERROR(INDEX(Ввод!$B$12:$B$71,MATCH(A1678,Ввод!$D$12:$D$71,1)),""))</f>
        <v/>
      </c>
      <c r="C1678" t="str">
        <f t="shared" si="52"/>
        <v/>
      </c>
      <c r="D1678" t="str">
        <f>IF(A1678="","",SUMIFS(Акты!$D$5:$D$16,Акты!$E$5:$E$16,"&lt;="&amp;A1678)-SUMIFS(Оплаты!$B$6:$B$505,Оплаты!$A$6:$A$505,"&lt;"&amp;A1678,Оплаты!$D$6:$D$505,"&lt;&gt;"))</f>
        <v/>
      </c>
      <c r="E1678" t="str">
        <f>IF(A1678="","",IF(SUMPRODUCT((Ввод!$F$12:$F$31&lt;&gt;"")*(Ввод!$F$12:$F$31&lt;=A1678)*(Ввод!$G$12:$G$31&gt;=A1678))&gt;0,1,0))</f>
        <v/>
      </c>
      <c r="G1678" t="str">
        <f t="shared" si="53"/>
        <v/>
      </c>
    </row>
    <row r="1679" spans="1:7" x14ac:dyDescent="0.3">
      <c r="A1679" s="21" t="str">
        <f>IF(A1678="","",IF(A1678+1&gt;Ввод!$B$4,"",A1678+1))</f>
        <v/>
      </c>
      <c r="B1679" s="23" t="str">
        <f>IF(A1679="","",IFERROR(INDEX(Ввод!$B$12:$B$71,MATCH(A1679,Ввод!$D$12:$D$71,1)),""))</f>
        <v/>
      </c>
      <c r="C1679" t="str">
        <f t="shared" si="52"/>
        <v/>
      </c>
      <c r="D1679" t="str">
        <f>IF(A1679="","",SUMIFS(Акты!$D$5:$D$16,Акты!$E$5:$E$16,"&lt;="&amp;A1679)-SUMIFS(Оплаты!$B$6:$B$505,Оплаты!$A$6:$A$505,"&lt;"&amp;A1679,Оплаты!$D$6:$D$505,"&lt;&gt;"))</f>
        <v/>
      </c>
      <c r="E1679" t="str">
        <f>IF(A1679="","",IF(SUMPRODUCT((Ввод!$F$12:$F$31&lt;&gt;"")*(Ввод!$F$12:$F$31&lt;=A1679)*(Ввод!$G$12:$G$31&gt;=A1679))&gt;0,1,0))</f>
        <v/>
      </c>
      <c r="G1679" t="str">
        <f t="shared" si="53"/>
        <v/>
      </c>
    </row>
    <row r="1680" spans="1:7" x14ac:dyDescent="0.3">
      <c r="A1680" s="21" t="str">
        <f>IF(A1679="","",IF(A1679+1&gt;Ввод!$B$4,"",A1679+1))</f>
        <v/>
      </c>
      <c r="B1680" s="23" t="str">
        <f>IF(A1680="","",IFERROR(INDEX(Ввод!$B$12:$B$71,MATCH(A1680,Ввод!$D$12:$D$71,1)),""))</f>
        <v/>
      </c>
      <c r="C1680" t="str">
        <f t="shared" si="52"/>
        <v/>
      </c>
      <c r="D1680" t="str">
        <f>IF(A1680="","",SUMIFS(Акты!$D$5:$D$16,Акты!$E$5:$E$16,"&lt;="&amp;A1680)-SUMIFS(Оплаты!$B$6:$B$505,Оплаты!$A$6:$A$505,"&lt;"&amp;A1680,Оплаты!$D$6:$D$505,"&lt;&gt;"))</f>
        <v/>
      </c>
      <c r="E1680" t="str">
        <f>IF(A1680="","",IF(SUMPRODUCT((Ввод!$F$12:$F$31&lt;&gt;"")*(Ввод!$F$12:$F$31&lt;=A1680)*(Ввод!$G$12:$G$31&gt;=A1680))&gt;0,1,0))</f>
        <v/>
      </c>
      <c r="G1680" t="str">
        <f t="shared" si="53"/>
        <v/>
      </c>
    </row>
    <row r="1681" spans="1:7" x14ac:dyDescent="0.3">
      <c r="A1681" s="21" t="str">
        <f>IF(A1680="","",IF(A1680+1&gt;Ввод!$B$4,"",A1680+1))</f>
        <v/>
      </c>
      <c r="B1681" s="23" t="str">
        <f>IF(A1681="","",IFERROR(INDEX(Ввод!$B$12:$B$71,MATCH(A1681,Ввод!$D$12:$D$71,1)),""))</f>
        <v/>
      </c>
      <c r="C1681" t="str">
        <f t="shared" si="52"/>
        <v/>
      </c>
      <c r="D1681" t="str">
        <f>IF(A1681="","",SUMIFS(Акты!$D$5:$D$16,Акты!$E$5:$E$16,"&lt;="&amp;A1681)-SUMIFS(Оплаты!$B$6:$B$505,Оплаты!$A$6:$A$505,"&lt;"&amp;A1681,Оплаты!$D$6:$D$505,"&lt;&gt;"))</f>
        <v/>
      </c>
      <c r="E1681" t="str">
        <f>IF(A1681="","",IF(SUMPRODUCT((Ввод!$F$12:$F$31&lt;&gt;"")*(Ввод!$F$12:$F$31&lt;=A1681)*(Ввод!$G$12:$G$31&gt;=A1681))&gt;0,1,0))</f>
        <v/>
      </c>
      <c r="G1681" t="str">
        <f t="shared" si="53"/>
        <v/>
      </c>
    </row>
    <row r="1682" spans="1:7" x14ac:dyDescent="0.3">
      <c r="A1682" s="21" t="str">
        <f>IF(A1681="","",IF(A1681+1&gt;Ввод!$B$4,"",A1681+1))</f>
        <v/>
      </c>
      <c r="B1682" s="23" t="str">
        <f>IF(A1682="","",IFERROR(INDEX(Ввод!$B$12:$B$71,MATCH(A1682,Ввод!$D$12:$D$71,1)),""))</f>
        <v/>
      </c>
      <c r="C1682" t="str">
        <f t="shared" si="52"/>
        <v/>
      </c>
      <c r="D1682" t="str">
        <f>IF(A1682="","",SUMIFS(Акты!$D$5:$D$16,Акты!$E$5:$E$16,"&lt;="&amp;A1682)-SUMIFS(Оплаты!$B$6:$B$505,Оплаты!$A$6:$A$505,"&lt;"&amp;A1682,Оплаты!$D$6:$D$505,"&lt;&gt;"))</f>
        <v/>
      </c>
      <c r="E1682" t="str">
        <f>IF(A1682="","",IF(SUMPRODUCT((Ввод!$F$12:$F$31&lt;&gt;"")*(Ввод!$F$12:$F$31&lt;=A1682)*(Ввод!$G$12:$G$31&gt;=A1682))&gt;0,1,0))</f>
        <v/>
      </c>
      <c r="G1682" t="str">
        <f t="shared" si="53"/>
        <v/>
      </c>
    </row>
    <row r="1683" spans="1:7" x14ac:dyDescent="0.3">
      <c r="A1683" s="21" t="str">
        <f>IF(A1682="","",IF(A1682+1&gt;Ввод!$B$4,"",A1682+1))</f>
        <v/>
      </c>
      <c r="B1683" s="23" t="str">
        <f>IF(A1683="","",IFERROR(INDEX(Ввод!$B$12:$B$71,MATCH(A1683,Ввод!$D$12:$D$71,1)),""))</f>
        <v/>
      </c>
      <c r="C1683" t="str">
        <f t="shared" si="52"/>
        <v/>
      </c>
      <c r="D1683" t="str">
        <f>IF(A1683="","",SUMIFS(Акты!$D$5:$D$16,Акты!$E$5:$E$16,"&lt;="&amp;A1683)-SUMIFS(Оплаты!$B$6:$B$505,Оплаты!$A$6:$A$505,"&lt;"&amp;A1683,Оплаты!$D$6:$D$505,"&lt;&gt;"))</f>
        <v/>
      </c>
      <c r="E1683" t="str">
        <f>IF(A1683="","",IF(SUMPRODUCT((Ввод!$F$12:$F$31&lt;&gt;"")*(Ввод!$F$12:$F$31&lt;=A1683)*(Ввод!$G$12:$G$31&gt;=A1683))&gt;0,1,0))</f>
        <v/>
      </c>
      <c r="G1683" t="str">
        <f t="shared" si="53"/>
        <v/>
      </c>
    </row>
    <row r="1684" spans="1:7" x14ac:dyDescent="0.3">
      <c r="A1684" s="21" t="str">
        <f>IF(A1683="","",IF(A1683+1&gt;Ввод!$B$4,"",A1683+1))</f>
        <v/>
      </c>
      <c r="B1684" s="23" t="str">
        <f>IF(A1684="","",IFERROR(INDEX(Ввод!$B$12:$B$71,MATCH(A1684,Ввод!$D$12:$D$71,1)),""))</f>
        <v/>
      </c>
      <c r="C1684" t="str">
        <f t="shared" si="52"/>
        <v/>
      </c>
      <c r="D1684" t="str">
        <f>IF(A1684="","",SUMIFS(Акты!$D$5:$D$16,Акты!$E$5:$E$16,"&lt;="&amp;A1684)-SUMIFS(Оплаты!$B$6:$B$505,Оплаты!$A$6:$A$505,"&lt;"&amp;A1684,Оплаты!$D$6:$D$505,"&lt;&gt;"))</f>
        <v/>
      </c>
      <c r="E1684" t="str">
        <f>IF(A1684="","",IF(SUMPRODUCT((Ввод!$F$12:$F$31&lt;&gt;"")*(Ввод!$F$12:$F$31&lt;=A1684)*(Ввод!$G$12:$G$31&gt;=A1684))&gt;0,1,0))</f>
        <v/>
      </c>
      <c r="G1684" t="str">
        <f t="shared" si="53"/>
        <v/>
      </c>
    </row>
    <row r="1685" spans="1:7" x14ac:dyDescent="0.3">
      <c r="A1685" s="21" t="str">
        <f>IF(A1684="","",IF(A1684+1&gt;Ввод!$B$4,"",A1684+1))</f>
        <v/>
      </c>
      <c r="B1685" s="23" t="str">
        <f>IF(A1685="","",IFERROR(INDEX(Ввод!$B$12:$B$71,MATCH(A1685,Ввод!$D$12:$D$71,1)),""))</f>
        <v/>
      </c>
      <c r="C1685" t="str">
        <f t="shared" si="52"/>
        <v/>
      </c>
      <c r="D1685" t="str">
        <f>IF(A1685="","",SUMIFS(Акты!$D$5:$D$16,Акты!$E$5:$E$16,"&lt;="&amp;A1685)-SUMIFS(Оплаты!$B$6:$B$505,Оплаты!$A$6:$A$505,"&lt;"&amp;A1685,Оплаты!$D$6:$D$505,"&lt;&gt;"))</f>
        <v/>
      </c>
      <c r="E1685" t="str">
        <f>IF(A1685="","",IF(SUMPRODUCT((Ввод!$F$12:$F$31&lt;&gt;"")*(Ввод!$F$12:$F$31&lt;=A1685)*(Ввод!$G$12:$G$31&gt;=A1685))&gt;0,1,0))</f>
        <v/>
      </c>
      <c r="G1685" t="str">
        <f t="shared" si="53"/>
        <v/>
      </c>
    </row>
    <row r="1686" spans="1:7" x14ac:dyDescent="0.3">
      <c r="A1686" s="21" t="str">
        <f>IF(A1685="","",IF(A1685+1&gt;Ввод!$B$4,"",A1685+1))</f>
        <v/>
      </c>
      <c r="B1686" s="23" t="str">
        <f>IF(A1686="","",IFERROR(INDEX(Ввод!$B$12:$B$71,MATCH(A1686,Ввод!$D$12:$D$71,1)),""))</f>
        <v/>
      </c>
      <c r="C1686" t="str">
        <f t="shared" si="52"/>
        <v/>
      </c>
      <c r="D1686" t="str">
        <f>IF(A1686="","",SUMIFS(Акты!$D$5:$D$16,Акты!$E$5:$E$16,"&lt;="&amp;A1686)-SUMIFS(Оплаты!$B$6:$B$505,Оплаты!$A$6:$A$505,"&lt;"&amp;A1686,Оплаты!$D$6:$D$505,"&lt;&gt;"))</f>
        <v/>
      </c>
      <c r="E1686" t="str">
        <f>IF(A1686="","",IF(SUMPRODUCT((Ввод!$F$12:$F$31&lt;&gt;"")*(Ввод!$F$12:$F$31&lt;=A1686)*(Ввод!$G$12:$G$31&gt;=A1686))&gt;0,1,0))</f>
        <v/>
      </c>
      <c r="G1686" t="str">
        <f t="shared" si="53"/>
        <v/>
      </c>
    </row>
    <row r="1687" spans="1:7" x14ac:dyDescent="0.3">
      <c r="A1687" s="21" t="str">
        <f>IF(A1686="","",IF(A1686+1&gt;Ввод!$B$4,"",A1686+1))</f>
        <v/>
      </c>
      <c r="B1687" s="23" t="str">
        <f>IF(A1687="","",IFERROR(INDEX(Ввод!$B$12:$B$71,MATCH(A1687,Ввод!$D$12:$D$71,1)),""))</f>
        <v/>
      </c>
      <c r="C1687" t="str">
        <f t="shared" si="52"/>
        <v/>
      </c>
      <c r="D1687" t="str">
        <f>IF(A1687="","",SUMIFS(Акты!$D$5:$D$16,Акты!$E$5:$E$16,"&lt;="&amp;A1687)-SUMIFS(Оплаты!$B$6:$B$505,Оплаты!$A$6:$A$505,"&lt;"&amp;A1687,Оплаты!$D$6:$D$505,"&lt;&gt;"))</f>
        <v/>
      </c>
      <c r="E1687" t="str">
        <f>IF(A1687="","",IF(SUMPRODUCT((Ввод!$F$12:$F$31&lt;&gt;"")*(Ввод!$F$12:$F$31&lt;=A1687)*(Ввод!$G$12:$G$31&gt;=A1687))&gt;0,1,0))</f>
        <v/>
      </c>
      <c r="G1687" t="str">
        <f t="shared" si="53"/>
        <v/>
      </c>
    </row>
    <row r="1688" spans="1:7" x14ac:dyDescent="0.3">
      <c r="A1688" s="21" t="str">
        <f>IF(A1687="","",IF(A1687+1&gt;Ввод!$B$4,"",A1687+1))</f>
        <v/>
      </c>
      <c r="B1688" s="23" t="str">
        <f>IF(A1688="","",IFERROR(INDEX(Ввод!$B$12:$B$71,MATCH(A1688,Ввод!$D$12:$D$71,1)),""))</f>
        <v/>
      </c>
      <c r="C1688" t="str">
        <f t="shared" si="52"/>
        <v/>
      </c>
      <c r="D1688" t="str">
        <f>IF(A1688="","",SUMIFS(Акты!$D$5:$D$16,Акты!$E$5:$E$16,"&lt;="&amp;A1688)-SUMIFS(Оплаты!$B$6:$B$505,Оплаты!$A$6:$A$505,"&lt;"&amp;A1688,Оплаты!$D$6:$D$505,"&lt;&gt;"))</f>
        <v/>
      </c>
      <c r="E1688" t="str">
        <f>IF(A1688="","",IF(SUMPRODUCT((Ввод!$F$12:$F$31&lt;&gt;"")*(Ввод!$F$12:$F$31&lt;=A1688)*(Ввод!$G$12:$G$31&gt;=A1688))&gt;0,1,0))</f>
        <v/>
      </c>
      <c r="G1688" t="str">
        <f t="shared" si="53"/>
        <v/>
      </c>
    </row>
    <row r="1689" spans="1:7" x14ac:dyDescent="0.3">
      <c r="A1689" s="21" t="str">
        <f>IF(A1688="","",IF(A1688+1&gt;Ввод!$B$4,"",A1688+1))</f>
        <v/>
      </c>
      <c r="B1689" s="23" t="str">
        <f>IF(A1689="","",IFERROR(INDEX(Ввод!$B$12:$B$71,MATCH(A1689,Ввод!$D$12:$D$71,1)),""))</f>
        <v/>
      </c>
      <c r="C1689" t="str">
        <f t="shared" si="52"/>
        <v/>
      </c>
      <c r="D1689" t="str">
        <f>IF(A1689="","",SUMIFS(Акты!$D$5:$D$16,Акты!$E$5:$E$16,"&lt;="&amp;A1689)-SUMIFS(Оплаты!$B$6:$B$505,Оплаты!$A$6:$A$505,"&lt;"&amp;A1689,Оплаты!$D$6:$D$505,"&lt;&gt;"))</f>
        <v/>
      </c>
      <c r="E1689" t="str">
        <f>IF(A1689="","",IF(SUMPRODUCT((Ввод!$F$12:$F$31&lt;&gt;"")*(Ввод!$F$12:$F$31&lt;=A1689)*(Ввод!$G$12:$G$31&gt;=A1689))&gt;0,1,0))</f>
        <v/>
      </c>
      <c r="G1689" t="str">
        <f t="shared" si="53"/>
        <v/>
      </c>
    </row>
    <row r="1690" spans="1:7" x14ac:dyDescent="0.3">
      <c r="A1690" s="21" t="str">
        <f>IF(A1689="","",IF(A1689+1&gt;Ввод!$B$4,"",A1689+1))</f>
        <v/>
      </c>
      <c r="B1690" s="23" t="str">
        <f>IF(A1690="","",IFERROR(INDEX(Ввод!$B$12:$B$71,MATCH(A1690,Ввод!$D$12:$D$71,1)),""))</f>
        <v/>
      </c>
      <c r="C1690" t="str">
        <f t="shared" si="52"/>
        <v/>
      </c>
      <c r="D1690" t="str">
        <f>IF(A1690="","",SUMIFS(Акты!$D$5:$D$16,Акты!$E$5:$E$16,"&lt;="&amp;A1690)-SUMIFS(Оплаты!$B$6:$B$505,Оплаты!$A$6:$A$505,"&lt;"&amp;A1690,Оплаты!$D$6:$D$505,"&lt;&gt;"))</f>
        <v/>
      </c>
      <c r="E1690" t="str">
        <f>IF(A1690="","",IF(SUMPRODUCT((Ввод!$F$12:$F$31&lt;&gt;"")*(Ввод!$F$12:$F$31&lt;=A1690)*(Ввод!$G$12:$G$31&gt;=A1690))&gt;0,1,0))</f>
        <v/>
      </c>
      <c r="G1690" t="str">
        <f t="shared" si="53"/>
        <v/>
      </c>
    </row>
    <row r="1691" spans="1:7" x14ac:dyDescent="0.3">
      <c r="A1691" s="21" t="str">
        <f>IF(A1690="","",IF(A1690+1&gt;Ввод!$B$4,"",A1690+1))</f>
        <v/>
      </c>
      <c r="B1691" s="23" t="str">
        <f>IF(A1691="","",IFERROR(INDEX(Ввод!$B$12:$B$71,MATCH(A1691,Ввод!$D$12:$D$71,1)),""))</f>
        <v/>
      </c>
      <c r="C1691" t="str">
        <f t="shared" si="52"/>
        <v/>
      </c>
      <c r="D1691" t="str">
        <f>IF(A1691="","",SUMIFS(Акты!$D$5:$D$16,Акты!$E$5:$E$16,"&lt;="&amp;A1691)-SUMIFS(Оплаты!$B$6:$B$505,Оплаты!$A$6:$A$505,"&lt;"&amp;A1691,Оплаты!$D$6:$D$505,"&lt;&gt;"))</f>
        <v/>
      </c>
      <c r="E1691" t="str">
        <f>IF(A1691="","",IF(SUMPRODUCT((Ввод!$F$12:$F$31&lt;&gt;"")*(Ввод!$F$12:$F$31&lt;=A1691)*(Ввод!$G$12:$G$31&gt;=A1691))&gt;0,1,0))</f>
        <v/>
      </c>
      <c r="G1691" t="str">
        <f t="shared" si="53"/>
        <v/>
      </c>
    </row>
    <row r="1692" spans="1:7" x14ac:dyDescent="0.3">
      <c r="A1692" s="21" t="str">
        <f>IF(A1691="","",IF(A1691+1&gt;Ввод!$B$4,"",A1691+1))</f>
        <v/>
      </c>
      <c r="B1692" s="23" t="str">
        <f>IF(A1692="","",IFERROR(INDEX(Ввод!$B$12:$B$71,MATCH(A1692,Ввод!$D$12:$D$71,1)),""))</f>
        <v/>
      </c>
      <c r="C1692" t="str">
        <f t="shared" si="52"/>
        <v/>
      </c>
      <c r="D1692" t="str">
        <f>IF(A1692="","",SUMIFS(Акты!$D$5:$D$16,Акты!$E$5:$E$16,"&lt;="&amp;A1692)-SUMIFS(Оплаты!$B$6:$B$505,Оплаты!$A$6:$A$505,"&lt;"&amp;A1692,Оплаты!$D$6:$D$505,"&lt;&gt;"))</f>
        <v/>
      </c>
      <c r="E1692" t="str">
        <f>IF(A1692="","",IF(SUMPRODUCT((Ввод!$F$12:$F$31&lt;&gt;"")*(Ввод!$F$12:$F$31&lt;=A1692)*(Ввод!$G$12:$G$31&gt;=A1692))&gt;0,1,0))</f>
        <v/>
      </c>
      <c r="G1692" t="str">
        <f t="shared" si="53"/>
        <v/>
      </c>
    </row>
    <row r="1693" spans="1:7" x14ac:dyDescent="0.3">
      <c r="A1693" s="21" t="str">
        <f>IF(A1692="","",IF(A1692+1&gt;Ввод!$B$4,"",A1692+1))</f>
        <v/>
      </c>
      <c r="B1693" s="23" t="str">
        <f>IF(A1693="","",IFERROR(INDEX(Ввод!$B$12:$B$71,MATCH(A1693,Ввод!$D$12:$D$71,1)),""))</f>
        <v/>
      </c>
      <c r="C1693" t="str">
        <f t="shared" si="52"/>
        <v/>
      </c>
      <c r="D1693" t="str">
        <f>IF(A1693="","",SUMIFS(Акты!$D$5:$D$16,Акты!$E$5:$E$16,"&lt;="&amp;A1693)-SUMIFS(Оплаты!$B$6:$B$505,Оплаты!$A$6:$A$505,"&lt;"&amp;A1693,Оплаты!$D$6:$D$505,"&lt;&gt;"))</f>
        <v/>
      </c>
      <c r="E1693" t="str">
        <f>IF(A1693="","",IF(SUMPRODUCT((Ввод!$F$12:$F$31&lt;&gt;"")*(Ввод!$F$12:$F$31&lt;=A1693)*(Ввод!$G$12:$G$31&gt;=A1693))&gt;0,1,0))</f>
        <v/>
      </c>
      <c r="G1693" t="str">
        <f t="shared" si="53"/>
        <v/>
      </c>
    </row>
    <row r="1694" spans="1:7" x14ac:dyDescent="0.3">
      <c r="A1694" s="21" t="str">
        <f>IF(A1693="","",IF(A1693+1&gt;Ввод!$B$4,"",A1693+1))</f>
        <v/>
      </c>
      <c r="B1694" s="23" t="str">
        <f>IF(A1694="","",IFERROR(INDEX(Ввод!$B$12:$B$71,MATCH(A1694,Ввод!$D$12:$D$71,1)),""))</f>
        <v/>
      </c>
      <c r="C1694" t="str">
        <f t="shared" si="52"/>
        <v/>
      </c>
      <c r="D1694" t="str">
        <f>IF(A1694="","",SUMIFS(Акты!$D$5:$D$16,Акты!$E$5:$E$16,"&lt;="&amp;A1694)-SUMIFS(Оплаты!$B$6:$B$505,Оплаты!$A$6:$A$505,"&lt;"&amp;A1694,Оплаты!$D$6:$D$505,"&lt;&gt;"))</f>
        <v/>
      </c>
      <c r="E1694" t="str">
        <f>IF(A1694="","",IF(SUMPRODUCT((Ввод!$F$12:$F$31&lt;&gt;"")*(Ввод!$F$12:$F$31&lt;=A1694)*(Ввод!$G$12:$G$31&gt;=A1694))&gt;0,1,0))</f>
        <v/>
      </c>
      <c r="G1694" t="str">
        <f t="shared" si="53"/>
        <v/>
      </c>
    </row>
    <row r="1695" spans="1:7" x14ac:dyDescent="0.3">
      <c r="A1695" s="21" t="str">
        <f>IF(A1694="","",IF(A1694+1&gt;Ввод!$B$4,"",A1694+1))</f>
        <v/>
      </c>
      <c r="B1695" s="23" t="str">
        <f>IF(A1695="","",IFERROR(INDEX(Ввод!$B$12:$B$71,MATCH(A1695,Ввод!$D$12:$D$71,1)),""))</f>
        <v/>
      </c>
      <c r="C1695" t="str">
        <f t="shared" si="52"/>
        <v/>
      </c>
      <c r="D1695" t="str">
        <f>IF(A1695="","",SUMIFS(Акты!$D$5:$D$16,Акты!$E$5:$E$16,"&lt;="&amp;A1695)-SUMIFS(Оплаты!$B$6:$B$505,Оплаты!$A$6:$A$505,"&lt;"&amp;A1695,Оплаты!$D$6:$D$505,"&lt;&gt;"))</f>
        <v/>
      </c>
      <c r="E1695" t="str">
        <f>IF(A1695="","",IF(SUMPRODUCT((Ввод!$F$12:$F$31&lt;&gt;"")*(Ввод!$F$12:$F$31&lt;=A1695)*(Ввод!$G$12:$G$31&gt;=A1695))&gt;0,1,0))</f>
        <v/>
      </c>
      <c r="G1695" t="str">
        <f t="shared" si="53"/>
        <v/>
      </c>
    </row>
    <row r="1696" spans="1:7" x14ac:dyDescent="0.3">
      <c r="A1696" s="21" t="str">
        <f>IF(A1695="","",IF(A1695+1&gt;Ввод!$B$4,"",A1695+1))</f>
        <v/>
      </c>
      <c r="B1696" s="23" t="str">
        <f>IF(A1696="","",IFERROR(INDEX(Ввод!$B$12:$B$71,MATCH(A1696,Ввод!$D$12:$D$71,1)),""))</f>
        <v/>
      </c>
      <c r="C1696" t="str">
        <f t="shared" si="52"/>
        <v/>
      </c>
      <c r="D1696" t="str">
        <f>IF(A1696="","",SUMIFS(Акты!$D$5:$D$16,Акты!$E$5:$E$16,"&lt;="&amp;A1696)-SUMIFS(Оплаты!$B$6:$B$505,Оплаты!$A$6:$A$505,"&lt;"&amp;A1696,Оплаты!$D$6:$D$505,"&lt;&gt;"))</f>
        <v/>
      </c>
      <c r="E1696" t="str">
        <f>IF(A1696="","",IF(SUMPRODUCT((Ввод!$F$12:$F$31&lt;&gt;"")*(Ввод!$F$12:$F$31&lt;=A1696)*(Ввод!$G$12:$G$31&gt;=A1696))&gt;0,1,0))</f>
        <v/>
      </c>
      <c r="G1696" t="str">
        <f t="shared" si="53"/>
        <v/>
      </c>
    </row>
    <row r="1697" spans="1:7" x14ac:dyDescent="0.3">
      <c r="A1697" s="21" t="str">
        <f>IF(A1696="","",IF(A1696+1&gt;Ввод!$B$4,"",A1696+1))</f>
        <v/>
      </c>
      <c r="B1697" s="23" t="str">
        <f>IF(A1697="","",IFERROR(INDEX(Ввод!$B$12:$B$71,MATCH(A1697,Ввод!$D$12:$D$71,1)),""))</f>
        <v/>
      </c>
      <c r="C1697" t="str">
        <f t="shared" si="52"/>
        <v/>
      </c>
      <c r="D1697" t="str">
        <f>IF(A1697="","",SUMIFS(Акты!$D$5:$D$16,Акты!$E$5:$E$16,"&lt;="&amp;A1697)-SUMIFS(Оплаты!$B$6:$B$505,Оплаты!$A$6:$A$505,"&lt;"&amp;A1697,Оплаты!$D$6:$D$505,"&lt;&gt;"))</f>
        <v/>
      </c>
      <c r="E1697" t="str">
        <f>IF(A1697="","",IF(SUMPRODUCT((Ввод!$F$12:$F$31&lt;&gt;"")*(Ввод!$F$12:$F$31&lt;=A1697)*(Ввод!$G$12:$G$31&gt;=A1697))&gt;0,1,0))</f>
        <v/>
      </c>
      <c r="G1697" t="str">
        <f t="shared" si="53"/>
        <v/>
      </c>
    </row>
    <row r="1698" spans="1:7" x14ac:dyDescent="0.3">
      <c r="A1698" s="21" t="str">
        <f>IF(A1697="","",IF(A1697+1&gt;Ввод!$B$4,"",A1697+1))</f>
        <v/>
      </c>
      <c r="B1698" s="23" t="str">
        <f>IF(A1698="","",IFERROR(INDEX(Ввод!$B$12:$B$71,MATCH(A1698,Ввод!$D$12:$D$71,1)),""))</f>
        <v/>
      </c>
      <c r="C1698" t="str">
        <f t="shared" si="52"/>
        <v/>
      </c>
      <c r="D1698" t="str">
        <f>IF(A1698="","",SUMIFS(Акты!$D$5:$D$16,Акты!$E$5:$E$16,"&lt;="&amp;A1698)-SUMIFS(Оплаты!$B$6:$B$505,Оплаты!$A$6:$A$505,"&lt;"&amp;A1698,Оплаты!$D$6:$D$505,"&lt;&gt;"))</f>
        <v/>
      </c>
      <c r="E1698" t="str">
        <f>IF(A1698="","",IF(SUMPRODUCT((Ввод!$F$12:$F$31&lt;&gt;"")*(Ввод!$F$12:$F$31&lt;=A1698)*(Ввод!$G$12:$G$31&gt;=A1698))&gt;0,1,0))</f>
        <v/>
      </c>
      <c r="G1698" t="str">
        <f t="shared" si="53"/>
        <v/>
      </c>
    </row>
    <row r="1699" spans="1:7" x14ac:dyDescent="0.3">
      <c r="A1699" s="21" t="str">
        <f>IF(A1698="","",IF(A1698+1&gt;Ввод!$B$4,"",A1698+1))</f>
        <v/>
      </c>
      <c r="B1699" s="23" t="str">
        <f>IF(A1699="","",IFERROR(INDEX(Ввод!$B$12:$B$71,MATCH(A1699,Ввод!$D$12:$D$71,1)),""))</f>
        <v/>
      </c>
      <c r="C1699" t="str">
        <f t="shared" si="52"/>
        <v/>
      </c>
      <c r="D1699" t="str">
        <f>IF(A1699="","",SUMIFS(Акты!$D$5:$D$16,Акты!$E$5:$E$16,"&lt;="&amp;A1699)-SUMIFS(Оплаты!$B$6:$B$505,Оплаты!$A$6:$A$505,"&lt;"&amp;A1699,Оплаты!$D$6:$D$505,"&lt;&gt;"))</f>
        <v/>
      </c>
      <c r="E1699" t="str">
        <f>IF(A1699="","",IF(SUMPRODUCT((Ввод!$F$12:$F$31&lt;&gt;"")*(Ввод!$F$12:$F$31&lt;=A1699)*(Ввод!$G$12:$G$31&gt;=A1699))&gt;0,1,0))</f>
        <v/>
      </c>
      <c r="G1699" t="str">
        <f t="shared" si="53"/>
        <v/>
      </c>
    </row>
    <row r="1700" spans="1:7" x14ac:dyDescent="0.3">
      <c r="A1700" s="21" t="str">
        <f>IF(A1699="","",IF(A1699+1&gt;Ввод!$B$4,"",A1699+1))</f>
        <v/>
      </c>
      <c r="B1700" s="23" t="str">
        <f>IF(A1700="","",IFERROR(INDEX(Ввод!$B$12:$B$71,MATCH(A1700,Ввод!$D$12:$D$71,1)),""))</f>
        <v/>
      </c>
      <c r="C1700" t="str">
        <f t="shared" si="52"/>
        <v/>
      </c>
      <c r="D1700" t="str">
        <f>IF(A1700="","",SUMIFS(Акты!$D$5:$D$16,Акты!$E$5:$E$16,"&lt;="&amp;A1700)-SUMIFS(Оплаты!$B$6:$B$505,Оплаты!$A$6:$A$505,"&lt;"&amp;A1700,Оплаты!$D$6:$D$505,"&lt;&gt;"))</f>
        <v/>
      </c>
      <c r="E1700" t="str">
        <f>IF(A1700="","",IF(SUMPRODUCT((Ввод!$F$12:$F$31&lt;&gt;"")*(Ввод!$F$12:$F$31&lt;=A1700)*(Ввод!$G$12:$G$31&gt;=A1700))&gt;0,1,0))</f>
        <v/>
      </c>
      <c r="G1700" t="str">
        <f t="shared" si="53"/>
        <v/>
      </c>
    </row>
    <row r="1701" spans="1:7" x14ac:dyDescent="0.3">
      <c r="A1701" s="21" t="str">
        <f>IF(A1700="","",IF(A1700+1&gt;Ввод!$B$4,"",A1700+1))</f>
        <v/>
      </c>
      <c r="B1701" s="23" t="str">
        <f>IF(A1701="","",IFERROR(INDEX(Ввод!$B$12:$B$71,MATCH(A1701,Ввод!$D$12:$D$71,1)),""))</f>
        <v/>
      </c>
      <c r="C1701" t="str">
        <f t="shared" si="52"/>
        <v/>
      </c>
      <c r="D1701" t="str">
        <f>IF(A1701="","",SUMIFS(Акты!$D$5:$D$16,Акты!$E$5:$E$16,"&lt;="&amp;A1701)-SUMIFS(Оплаты!$B$6:$B$505,Оплаты!$A$6:$A$505,"&lt;"&amp;A1701,Оплаты!$D$6:$D$505,"&lt;&gt;"))</f>
        <v/>
      </c>
      <c r="E1701" t="str">
        <f>IF(A1701="","",IF(SUMPRODUCT((Ввод!$F$12:$F$31&lt;&gt;"")*(Ввод!$F$12:$F$31&lt;=A1701)*(Ввод!$G$12:$G$31&gt;=A1701))&gt;0,1,0))</f>
        <v/>
      </c>
      <c r="G1701" t="str">
        <f t="shared" si="53"/>
        <v/>
      </c>
    </row>
    <row r="1702" spans="1:7" x14ac:dyDescent="0.3">
      <c r="A1702" s="21" t="str">
        <f>IF(A1701="","",IF(A1701+1&gt;Ввод!$B$4,"",A1701+1))</f>
        <v/>
      </c>
      <c r="B1702" s="23" t="str">
        <f>IF(A1702="","",IFERROR(INDEX(Ввод!$B$12:$B$71,MATCH(A1702,Ввод!$D$12:$D$71,1)),""))</f>
        <v/>
      </c>
      <c r="C1702" t="str">
        <f t="shared" si="52"/>
        <v/>
      </c>
      <c r="D1702" t="str">
        <f>IF(A1702="","",SUMIFS(Акты!$D$5:$D$16,Акты!$E$5:$E$16,"&lt;="&amp;A1702)-SUMIFS(Оплаты!$B$6:$B$505,Оплаты!$A$6:$A$505,"&lt;"&amp;A1702,Оплаты!$D$6:$D$505,"&lt;&gt;"))</f>
        <v/>
      </c>
      <c r="E1702" t="str">
        <f>IF(A1702="","",IF(SUMPRODUCT((Ввод!$F$12:$F$31&lt;&gt;"")*(Ввод!$F$12:$F$31&lt;=A1702)*(Ввод!$G$12:$G$31&gt;=A1702))&gt;0,1,0))</f>
        <v/>
      </c>
      <c r="G1702" t="str">
        <f t="shared" si="53"/>
        <v/>
      </c>
    </row>
    <row r="1703" spans="1:7" x14ac:dyDescent="0.3">
      <c r="A1703" s="21" t="str">
        <f>IF(A1702="","",IF(A1702+1&gt;Ввод!$B$4,"",A1702+1))</f>
        <v/>
      </c>
      <c r="B1703" s="23" t="str">
        <f>IF(A1703="","",IFERROR(INDEX(Ввод!$B$12:$B$71,MATCH(A1703,Ввод!$D$12:$D$71,1)),""))</f>
        <v/>
      </c>
      <c r="C1703" t="str">
        <f t="shared" si="52"/>
        <v/>
      </c>
      <c r="D1703" t="str">
        <f>IF(A1703="","",SUMIFS(Акты!$D$5:$D$16,Акты!$E$5:$E$16,"&lt;="&amp;A1703)-SUMIFS(Оплаты!$B$6:$B$505,Оплаты!$A$6:$A$505,"&lt;"&amp;A1703,Оплаты!$D$6:$D$505,"&lt;&gt;"))</f>
        <v/>
      </c>
      <c r="E1703" t="str">
        <f>IF(A1703="","",IF(SUMPRODUCT((Ввод!$F$12:$F$31&lt;&gt;"")*(Ввод!$F$12:$F$31&lt;=A1703)*(Ввод!$G$12:$G$31&gt;=A1703))&gt;0,1,0))</f>
        <v/>
      </c>
      <c r="G1703" t="str">
        <f t="shared" si="53"/>
        <v/>
      </c>
    </row>
    <row r="1704" spans="1:7" x14ac:dyDescent="0.3">
      <c r="A1704" s="21" t="str">
        <f>IF(A1703="","",IF(A1703+1&gt;Ввод!$B$4,"",A1703+1))</f>
        <v/>
      </c>
      <c r="B1704" s="23" t="str">
        <f>IF(A1704="","",IFERROR(INDEX(Ввод!$B$12:$B$71,MATCH(A1704,Ввод!$D$12:$D$71,1)),""))</f>
        <v/>
      </c>
      <c r="C1704" t="str">
        <f t="shared" si="52"/>
        <v/>
      </c>
      <c r="D1704" t="str">
        <f>IF(A1704="","",SUMIFS(Акты!$D$5:$D$16,Акты!$E$5:$E$16,"&lt;="&amp;A1704)-SUMIFS(Оплаты!$B$6:$B$505,Оплаты!$A$6:$A$505,"&lt;"&amp;A1704,Оплаты!$D$6:$D$505,"&lt;&gt;"))</f>
        <v/>
      </c>
      <c r="E1704" t="str">
        <f>IF(A1704="","",IF(SUMPRODUCT((Ввод!$F$12:$F$31&lt;&gt;"")*(Ввод!$F$12:$F$31&lt;=A1704)*(Ввод!$G$12:$G$31&gt;=A1704))&gt;0,1,0))</f>
        <v/>
      </c>
      <c r="G1704" t="str">
        <f t="shared" si="53"/>
        <v/>
      </c>
    </row>
    <row r="1705" spans="1:7" x14ac:dyDescent="0.3">
      <c r="A1705" s="21" t="str">
        <f>IF(A1704="","",IF(A1704+1&gt;Ввод!$B$4,"",A1704+1))</f>
        <v/>
      </c>
      <c r="B1705" s="23" t="str">
        <f>IF(A1705="","",IFERROR(INDEX(Ввод!$B$12:$B$71,MATCH(A1705,Ввод!$D$12:$D$71,1)),""))</f>
        <v/>
      </c>
      <c r="C1705" t="str">
        <f t="shared" si="52"/>
        <v/>
      </c>
      <c r="D1705" t="str">
        <f>IF(A1705="","",SUMIFS(Акты!$D$5:$D$16,Акты!$E$5:$E$16,"&lt;="&amp;A1705)-SUMIFS(Оплаты!$B$6:$B$505,Оплаты!$A$6:$A$505,"&lt;"&amp;A1705,Оплаты!$D$6:$D$505,"&lt;&gt;"))</f>
        <v/>
      </c>
      <c r="E1705" t="str">
        <f>IF(A1705="","",IF(SUMPRODUCT((Ввод!$F$12:$F$31&lt;&gt;"")*(Ввод!$F$12:$F$31&lt;=A1705)*(Ввод!$G$12:$G$31&gt;=A1705))&gt;0,1,0))</f>
        <v/>
      </c>
      <c r="G1705" t="str">
        <f t="shared" si="53"/>
        <v/>
      </c>
    </row>
    <row r="1706" spans="1:7" x14ac:dyDescent="0.3">
      <c r="A1706" s="21" t="str">
        <f>IF(A1705="","",IF(A1705+1&gt;Ввод!$B$4,"",A1705+1))</f>
        <v/>
      </c>
      <c r="B1706" s="23" t="str">
        <f>IF(A1706="","",IFERROR(INDEX(Ввод!$B$12:$B$71,MATCH(A1706,Ввод!$D$12:$D$71,1)),""))</f>
        <v/>
      </c>
      <c r="C1706" t="str">
        <f t="shared" si="52"/>
        <v/>
      </c>
      <c r="D1706" t="str">
        <f>IF(A1706="","",SUMIFS(Акты!$D$5:$D$16,Акты!$E$5:$E$16,"&lt;="&amp;A1706)-SUMIFS(Оплаты!$B$6:$B$505,Оплаты!$A$6:$A$505,"&lt;"&amp;A1706,Оплаты!$D$6:$D$505,"&lt;&gt;"))</f>
        <v/>
      </c>
      <c r="E1706" t="str">
        <f>IF(A1706="","",IF(SUMPRODUCT((Ввод!$F$12:$F$31&lt;&gt;"")*(Ввод!$F$12:$F$31&lt;=A1706)*(Ввод!$G$12:$G$31&gt;=A1706))&gt;0,1,0))</f>
        <v/>
      </c>
      <c r="G1706" t="str">
        <f t="shared" si="53"/>
        <v/>
      </c>
    </row>
    <row r="1707" spans="1:7" x14ac:dyDescent="0.3">
      <c r="A1707" s="21" t="str">
        <f>IF(A1706="","",IF(A1706+1&gt;Ввод!$B$4,"",A1706+1))</f>
        <v/>
      </c>
      <c r="B1707" s="23" t="str">
        <f>IF(A1707="","",IFERROR(INDEX(Ввод!$B$12:$B$71,MATCH(A1707,Ввод!$D$12:$D$71,1)),""))</f>
        <v/>
      </c>
      <c r="C1707" t="str">
        <f t="shared" si="52"/>
        <v/>
      </c>
      <c r="D1707" t="str">
        <f>IF(A1707="","",SUMIFS(Акты!$D$5:$D$16,Акты!$E$5:$E$16,"&lt;="&amp;A1707)-SUMIFS(Оплаты!$B$6:$B$505,Оплаты!$A$6:$A$505,"&lt;"&amp;A1707,Оплаты!$D$6:$D$505,"&lt;&gt;"))</f>
        <v/>
      </c>
      <c r="E1707" t="str">
        <f>IF(A1707="","",IF(SUMPRODUCT((Ввод!$F$12:$F$31&lt;&gt;"")*(Ввод!$F$12:$F$31&lt;=A1707)*(Ввод!$G$12:$G$31&gt;=A1707))&gt;0,1,0))</f>
        <v/>
      </c>
      <c r="G1707" t="str">
        <f t="shared" si="53"/>
        <v/>
      </c>
    </row>
    <row r="1708" spans="1:7" x14ac:dyDescent="0.3">
      <c r="A1708" s="21" t="str">
        <f>IF(A1707="","",IF(A1707+1&gt;Ввод!$B$4,"",A1707+1))</f>
        <v/>
      </c>
      <c r="B1708" s="23" t="str">
        <f>IF(A1708="","",IFERROR(INDEX(Ввод!$B$12:$B$71,MATCH(A1708,Ввод!$D$12:$D$71,1)),""))</f>
        <v/>
      </c>
      <c r="C1708" t="str">
        <f t="shared" si="52"/>
        <v/>
      </c>
      <c r="D1708" t="str">
        <f>IF(A1708="","",SUMIFS(Акты!$D$5:$D$16,Акты!$E$5:$E$16,"&lt;="&amp;A1708)-SUMIFS(Оплаты!$B$6:$B$505,Оплаты!$A$6:$A$505,"&lt;"&amp;A1708,Оплаты!$D$6:$D$505,"&lt;&gt;"))</f>
        <v/>
      </c>
      <c r="E1708" t="str">
        <f>IF(A1708="","",IF(SUMPRODUCT((Ввод!$F$12:$F$31&lt;&gt;"")*(Ввод!$F$12:$F$31&lt;=A1708)*(Ввод!$G$12:$G$31&gt;=A1708))&gt;0,1,0))</f>
        <v/>
      </c>
      <c r="G1708" t="str">
        <f t="shared" si="53"/>
        <v/>
      </c>
    </row>
    <row r="1709" spans="1:7" x14ac:dyDescent="0.3">
      <c r="A1709" s="21" t="str">
        <f>IF(A1708="","",IF(A1708+1&gt;Ввод!$B$4,"",A1708+1))</f>
        <v/>
      </c>
      <c r="B1709" s="23" t="str">
        <f>IF(A1709="","",IFERROR(INDEX(Ввод!$B$12:$B$71,MATCH(A1709,Ввод!$D$12:$D$71,1)),""))</f>
        <v/>
      </c>
      <c r="C1709" t="str">
        <f t="shared" si="52"/>
        <v/>
      </c>
      <c r="D1709" t="str">
        <f>IF(A1709="","",SUMIFS(Акты!$D$5:$D$16,Акты!$E$5:$E$16,"&lt;="&amp;A1709)-SUMIFS(Оплаты!$B$6:$B$505,Оплаты!$A$6:$A$505,"&lt;"&amp;A1709,Оплаты!$D$6:$D$505,"&lt;&gt;"))</f>
        <v/>
      </c>
      <c r="E1709" t="str">
        <f>IF(A1709="","",IF(SUMPRODUCT((Ввод!$F$12:$F$31&lt;&gt;"")*(Ввод!$F$12:$F$31&lt;=A1709)*(Ввод!$G$12:$G$31&gt;=A1709))&gt;0,1,0))</f>
        <v/>
      </c>
      <c r="G1709" t="str">
        <f t="shared" si="53"/>
        <v/>
      </c>
    </row>
    <row r="1710" spans="1:7" x14ac:dyDescent="0.3">
      <c r="A1710" s="21" t="str">
        <f>IF(A1709="","",IF(A1709+1&gt;Ввод!$B$4,"",A1709+1))</f>
        <v/>
      </c>
      <c r="B1710" s="23" t="str">
        <f>IF(A1710="","",IFERROR(INDEX(Ввод!$B$12:$B$71,MATCH(A1710,Ввод!$D$12:$D$71,1)),""))</f>
        <v/>
      </c>
      <c r="C1710" t="str">
        <f t="shared" si="52"/>
        <v/>
      </c>
      <c r="D1710" t="str">
        <f>IF(A1710="","",SUMIFS(Акты!$D$5:$D$16,Акты!$E$5:$E$16,"&lt;="&amp;A1710)-SUMIFS(Оплаты!$B$6:$B$505,Оплаты!$A$6:$A$505,"&lt;"&amp;A1710,Оплаты!$D$6:$D$505,"&lt;&gt;"))</f>
        <v/>
      </c>
      <c r="E1710" t="str">
        <f>IF(A1710="","",IF(SUMPRODUCT((Ввод!$F$12:$F$31&lt;&gt;"")*(Ввод!$F$12:$F$31&lt;=A1710)*(Ввод!$G$12:$G$31&gt;=A1710))&gt;0,1,0))</f>
        <v/>
      </c>
      <c r="G1710" t="str">
        <f t="shared" si="53"/>
        <v/>
      </c>
    </row>
    <row r="1711" spans="1:7" x14ac:dyDescent="0.3">
      <c r="A1711" s="21" t="str">
        <f>IF(A1710="","",IF(A1710+1&gt;Ввод!$B$4,"",A1710+1))</f>
        <v/>
      </c>
      <c r="B1711" s="23" t="str">
        <f>IF(A1711="","",IFERROR(INDEX(Ввод!$B$12:$B$71,MATCH(A1711,Ввод!$D$12:$D$71,1)),""))</f>
        <v/>
      </c>
      <c r="C1711" t="str">
        <f t="shared" si="52"/>
        <v/>
      </c>
      <c r="D1711" t="str">
        <f>IF(A1711="","",SUMIFS(Акты!$D$5:$D$16,Акты!$E$5:$E$16,"&lt;="&amp;A1711)-SUMIFS(Оплаты!$B$6:$B$505,Оплаты!$A$6:$A$505,"&lt;"&amp;A1711,Оплаты!$D$6:$D$505,"&lt;&gt;"))</f>
        <v/>
      </c>
      <c r="E1711" t="str">
        <f>IF(A1711="","",IF(SUMPRODUCT((Ввод!$F$12:$F$31&lt;&gt;"")*(Ввод!$F$12:$F$31&lt;=A1711)*(Ввод!$G$12:$G$31&gt;=A1711))&gt;0,1,0))</f>
        <v/>
      </c>
      <c r="G1711" t="str">
        <f t="shared" si="53"/>
        <v/>
      </c>
    </row>
    <row r="1712" spans="1:7" x14ac:dyDescent="0.3">
      <c r="A1712" s="21" t="str">
        <f>IF(A1711="","",IF(A1711+1&gt;Ввод!$B$4,"",A1711+1))</f>
        <v/>
      </c>
      <c r="B1712" s="23" t="str">
        <f>IF(A1712="","",IFERROR(INDEX(Ввод!$B$12:$B$71,MATCH(A1712,Ввод!$D$12:$D$71,1)),""))</f>
        <v/>
      </c>
      <c r="C1712" t="str">
        <f t="shared" si="52"/>
        <v/>
      </c>
      <c r="D1712" t="str">
        <f>IF(A1712="","",SUMIFS(Акты!$D$5:$D$16,Акты!$E$5:$E$16,"&lt;="&amp;A1712)-SUMIFS(Оплаты!$B$6:$B$505,Оплаты!$A$6:$A$505,"&lt;"&amp;A1712,Оплаты!$D$6:$D$505,"&lt;&gt;"))</f>
        <v/>
      </c>
      <c r="E1712" t="str">
        <f>IF(A1712="","",IF(SUMPRODUCT((Ввод!$F$12:$F$31&lt;&gt;"")*(Ввод!$F$12:$F$31&lt;=A1712)*(Ввод!$G$12:$G$31&gt;=A1712))&gt;0,1,0))</f>
        <v/>
      </c>
      <c r="G1712" t="str">
        <f t="shared" si="53"/>
        <v/>
      </c>
    </row>
    <row r="1713" spans="1:7" x14ac:dyDescent="0.3">
      <c r="A1713" s="21" t="str">
        <f>IF(A1712="","",IF(A1712+1&gt;Ввод!$B$4,"",A1712+1))</f>
        <v/>
      </c>
      <c r="B1713" s="23" t="str">
        <f>IF(A1713="","",IFERROR(INDEX(Ввод!$B$12:$B$71,MATCH(A1713,Ввод!$D$12:$D$71,1)),""))</f>
        <v/>
      </c>
      <c r="C1713" t="str">
        <f t="shared" si="52"/>
        <v/>
      </c>
      <c r="D1713" t="str">
        <f>IF(A1713="","",SUMIFS(Акты!$D$5:$D$16,Акты!$E$5:$E$16,"&lt;="&amp;A1713)-SUMIFS(Оплаты!$B$6:$B$505,Оплаты!$A$6:$A$505,"&lt;"&amp;A1713,Оплаты!$D$6:$D$505,"&lt;&gt;"))</f>
        <v/>
      </c>
      <c r="E1713" t="str">
        <f>IF(A1713="","",IF(SUMPRODUCT((Ввод!$F$12:$F$31&lt;&gt;"")*(Ввод!$F$12:$F$31&lt;=A1713)*(Ввод!$G$12:$G$31&gt;=A1713))&gt;0,1,0))</f>
        <v/>
      </c>
      <c r="G1713" t="str">
        <f t="shared" si="53"/>
        <v/>
      </c>
    </row>
    <row r="1714" spans="1:7" x14ac:dyDescent="0.3">
      <c r="A1714" s="21" t="str">
        <f>IF(A1713="","",IF(A1713+1&gt;Ввод!$B$4,"",A1713+1))</f>
        <v/>
      </c>
      <c r="B1714" s="23" t="str">
        <f>IF(A1714="","",IFERROR(INDEX(Ввод!$B$12:$B$71,MATCH(A1714,Ввод!$D$12:$D$71,1)),""))</f>
        <v/>
      </c>
      <c r="C1714" t="str">
        <f t="shared" si="52"/>
        <v/>
      </c>
      <c r="D1714" t="str">
        <f>IF(A1714="","",SUMIFS(Акты!$D$5:$D$16,Акты!$E$5:$E$16,"&lt;="&amp;A1714)-SUMIFS(Оплаты!$B$6:$B$505,Оплаты!$A$6:$A$505,"&lt;"&amp;A1714,Оплаты!$D$6:$D$505,"&lt;&gt;"))</f>
        <v/>
      </c>
      <c r="E1714" t="str">
        <f>IF(A1714="","",IF(SUMPRODUCT((Ввод!$F$12:$F$31&lt;&gt;"")*(Ввод!$F$12:$F$31&lt;=A1714)*(Ввод!$G$12:$G$31&gt;=A1714))&gt;0,1,0))</f>
        <v/>
      </c>
      <c r="G1714" t="str">
        <f t="shared" si="53"/>
        <v/>
      </c>
    </row>
    <row r="1715" spans="1:7" x14ac:dyDescent="0.3">
      <c r="A1715" s="21" t="str">
        <f>IF(A1714="","",IF(A1714+1&gt;Ввод!$B$4,"",A1714+1))</f>
        <v/>
      </c>
      <c r="B1715" s="23" t="str">
        <f>IF(A1715="","",IFERROR(INDEX(Ввод!$B$12:$B$71,MATCH(A1715,Ввод!$D$12:$D$71,1)),""))</f>
        <v/>
      </c>
      <c r="C1715" t="str">
        <f t="shared" si="52"/>
        <v/>
      </c>
      <c r="D1715" t="str">
        <f>IF(A1715="","",SUMIFS(Акты!$D$5:$D$16,Акты!$E$5:$E$16,"&lt;="&amp;A1715)-SUMIFS(Оплаты!$B$6:$B$505,Оплаты!$A$6:$A$505,"&lt;"&amp;A1715,Оплаты!$D$6:$D$505,"&lt;&gt;"))</f>
        <v/>
      </c>
      <c r="E1715" t="str">
        <f>IF(A1715="","",IF(SUMPRODUCT((Ввод!$F$12:$F$31&lt;&gt;"")*(Ввод!$F$12:$F$31&lt;=A1715)*(Ввод!$G$12:$G$31&gt;=A1715))&gt;0,1,0))</f>
        <v/>
      </c>
      <c r="G1715" t="str">
        <f t="shared" si="53"/>
        <v/>
      </c>
    </row>
    <row r="1716" spans="1:7" x14ac:dyDescent="0.3">
      <c r="A1716" s="21" t="str">
        <f>IF(A1715="","",IF(A1715+1&gt;Ввод!$B$4,"",A1715+1))</f>
        <v/>
      </c>
      <c r="B1716" s="23" t="str">
        <f>IF(A1716="","",IFERROR(INDEX(Ввод!$B$12:$B$71,MATCH(A1716,Ввод!$D$12:$D$71,1)),""))</f>
        <v/>
      </c>
      <c r="C1716" t="str">
        <f t="shared" si="52"/>
        <v/>
      </c>
      <c r="D1716" t="str">
        <f>IF(A1716="","",SUMIFS(Акты!$D$5:$D$16,Акты!$E$5:$E$16,"&lt;="&amp;A1716)-SUMIFS(Оплаты!$B$6:$B$505,Оплаты!$A$6:$A$505,"&lt;"&amp;A1716,Оплаты!$D$6:$D$505,"&lt;&gt;"))</f>
        <v/>
      </c>
      <c r="E1716" t="str">
        <f>IF(A1716="","",IF(SUMPRODUCT((Ввод!$F$12:$F$31&lt;&gt;"")*(Ввод!$F$12:$F$31&lt;=A1716)*(Ввод!$G$12:$G$31&gt;=A1716))&gt;0,1,0))</f>
        <v/>
      </c>
      <c r="G1716" t="str">
        <f t="shared" si="53"/>
        <v/>
      </c>
    </row>
    <row r="1717" spans="1:7" x14ac:dyDescent="0.3">
      <c r="A1717" s="21" t="str">
        <f>IF(A1716="","",IF(A1716+1&gt;Ввод!$B$4,"",A1716+1))</f>
        <v/>
      </c>
      <c r="B1717" s="23" t="str">
        <f>IF(A1717="","",IFERROR(INDEX(Ввод!$B$12:$B$71,MATCH(A1717,Ввод!$D$12:$D$71,1)),""))</f>
        <v/>
      </c>
      <c r="C1717" t="str">
        <f t="shared" si="52"/>
        <v/>
      </c>
      <c r="D1717" t="str">
        <f>IF(A1717="","",SUMIFS(Акты!$D$5:$D$16,Акты!$E$5:$E$16,"&lt;="&amp;A1717)-SUMIFS(Оплаты!$B$6:$B$505,Оплаты!$A$6:$A$505,"&lt;"&amp;A1717,Оплаты!$D$6:$D$505,"&lt;&gt;"))</f>
        <v/>
      </c>
      <c r="E1717" t="str">
        <f>IF(A1717="","",IF(SUMPRODUCT((Ввод!$F$12:$F$31&lt;&gt;"")*(Ввод!$F$12:$F$31&lt;=A1717)*(Ввод!$G$12:$G$31&gt;=A1717))&gt;0,1,0))</f>
        <v/>
      </c>
      <c r="G1717" t="str">
        <f t="shared" si="53"/>
        <v/>
      </c>
    </row>
    <row r="1718" spans="1:7" x14ac:dyDescent="0.3">
      <c r="A1718" s="21" t="str">
        <f>IF(A1717="","",IF(A1717+1&gt;Ввод!$B$4,"",A1717+1))</f>
        <v/>
      </c>
      <c r="B1718" s="23" t="str">
        <f>IF(A1718="","",IFERROR(INDEX(Ввод!$B$12:$B$71,MATCH(A1718,Ввод!$D$12:$D$71,1)),""))</f>
        <v/>
      </c>
      <c r="C1718" t="str">
        <f t="shared" si="52"/>
        <v/>
      </c>
      <c r="D1718" t="str">
        <f>IF(A1718="","",SUMIFS(Акты!$D$5:$D$16,Акты!$E$5:$E$16,"&lt;="&amp;A1718)-SUMIFS(Оплаты!$B$6:$B$505,Оплаты!$A$6:$A$505,"&lt;"&amp;A1718,Оплаты!$D$6:$D$505,"&lt;&gt;"))</f>
        <v/>
      </c>
      <c r="E1718" t="str">
        <f>IF(A1718="","",IF(SUMPRODUCT((Ввод!$F$12:$F$31&lt;&gt;"")*(Ввод!$F$12:$F$31&lt;=A1718)*(Ввод!$G$12:$G$31&gt;=A1718))&gt;0,1,0))</f>
        <v/>
      </c>
      <c r="G1718" t="str">
        <f t="shared" si="53"/>
        <v/>
      </c>
    </row>
    <row r="1719" spans="1:7" x14ac:dyDescent="0.3">
      <c r="A1719" s="21" t="str">
        <f>IF(A1718="","",IF(A1718+1&gt;Ввод!$B$4,"",A1718+1))</f>
        <v/>
      </c>
      <c r="B1719" s="23" t="str">
        <f>IF(A1719="","",IFERROR(INDEX(Ввод!$B$12:$B$71,MATCH(A1719,Ввод!$D$12:$D$71,1)),""))</f>
        <v/>
      </c>
      <c r="C1719" t="str">
        <f t="shared" si="52"/>
        <v/>
      </c>
      <c r="D1719" t="str">
        <f>IF(A1719="","",SUMIFS(Акты!$D$5:$D$16,Акты!$E$5:$E$16,"&lt;="&amp;A1719)-SUMIFS(Оплаты!$B$6:$B$505,Оплаты!$A$6:$A$505,"&lt;"&amp;A1719,Оплаты!$D$6:$D$505,"&lt;&gt;"))</f>
        <v/>
      </c>
      <c r="E1719" t="str">
        <f>IF(A1719="","",IF(SUMPRODUCT((Ввод!$F$12:$F$31&lt;&gt;"")*(Ввод!$F$12:$F$31&lt;=A1719)*(Ввод!$G$12:$G$31&gt;=A1719))&gt;0,1,0))</f>
        <v/>
      </c>
      <c r="G1719" t="str">
        <f t="shared" si="53"/>
        <v/>
      </c>
    </row>
    <row r="1720" spans="1:7" x14ac:dyDescent="0.3">
      <c r="A1720" s="21" t="str">
        <f>IF(A1719="","",IF(A1719+1&gt;Ввод!$B$4,"",A1719+1))</f>
        <v/>
      </c>
      <c r="B1720" s="23" t="str">
        <f>IF(A1720="","",IFERROR(INDEX(Ввод!$B$12:$B$71,MATCH(A1720,Ввод!$D$12:$D$71,1)),""))</f>
        <v/>
      </c>
      <c r="C1720" t="str">
        <f t="shared" si="52"/>
        <v/>
      </c>
      <c r="D1720" t="str">
        <f>IF(A1720="","",SUMIFS(Акты!$D$5:$D$16,Акты!$E$5:$E$16,"&lt;="&amp;A1720)-SUMIFS(Оплаты!$B$6:$B$505,Оплаты!$A$6:$A$505,"&lt;"&amp;A1720,Оплаты!$D$6:$D$505,"&lt;&gt;"))</f>
        <v/>
      </c>
      <c r="E1720" t="str">
        <f>IF(A1720="","",IF(SUMPRODUCT((Ввод!$F$12:$F$31&lt;&gt;"")*(Ввод!$F$12:$F$31&lt;=A1720)*(Ввод!$G$12:$G$31&gt;=A1720))&gt;0,1,0))</f>
        <v/>
      </c>
      <c r="G1720" t="str">
        <f t="shared" si="53"/>
        <v/>
      </c>
    </row>
    <row r="1721" spans="1:7" x14ac:dyDescent="0.3">
      <c r="A1721" s="21" t="str">
        <f>IF(A1720="","",IF(A1720+1&gt;Ввод!$B$4,"",A1720+1))</f>
        <v/>
      </c>
      <c r="B1721" s="23" t="str">
        <f>IF(A1721="","",IFERROR(INDEX(Ввод!$B$12:$B$71,MATCH(A1721,Ввод!$D$12:$D$71,1)),""))</f>
        <v/>
      </c>
      <c r="C1721" t="str">
        <f t="shared" si="52"/>
        <v/>
      </c>
      <c r="D1721" t="str">
        <f>IF(A1721="","",SUMIFS(Акты!$D$5:$D$16,Акты!$E$5:$E$16,"&lt;="&amp;A1721)-SUMIFS(Оплаты!$B$6:$B$505,Оплаты!$A$6:$A$505,"&lt;"&amp;A1721,Оплаты!$D$6:$D$505,"&lt;&gt;"))</f>
        <v/>
      </c>
      <c r="E1721" t="str">
        <f>IF(A1721="","",IF(SUMPRODUCT((Ввод!$F$12:$F$31&lt;&gt;"")*(Ввод!$F$12:$F$31&lt;=A1721)*(Ввод!$G$12:$G$31&gt;=A1721))&gt;0,1,0))</f>
        <v/>
      </c>
      <c r="G1721" t="str">
        <f t="shared" si="53"/>
        <v/>
      </c>
    </row>
    <row r="1722" spans="1:7" x14ac:dyDescent="0.3">
      <c r="A1722" s="21" t="str">
        <f>IF(A1721="","",IF(A1721+1&gt;Ввод!$B$4,"",A1721+1))</f>
        <v/>
      </c>
      <c r="B1722" s="23" t="str">
        <f>IF(A1722="","",IFERROR(INDEX(Ввод!$B$12:$B$71,MATCH(A1722,Ввод!$D$12:$D$71,1)),""))</f>
        <v/>
      </c>
      <c r="C1722" t="str">
        <f t="shared" si="52"/>
        <v/>
      </c>
      <c r="D1722" t="str">
        <f>IF(A1722="","",SUMIFS(Акты!$D$5:$D$16,Акты!$E$5:$E$16,"&lt;="&amp;A1722)-SUMIFS(Оплаты!$B$6:$B$505,Оплаты!$A$6:$A$505,"&lt;"&amp;A1722,Оплаты!$D$6:$D$505,"&lt;&gt;"))</f>
        <v/>
      </c>
      <c r="E1722" t="str">
        <f>IF(A1722="","",IF(SUMPRODUCT((Ввод!$F$12:$F$31&lt;&gt;"")*(Ввод!$F$12:$F$31&lt;=A1722)*(Ввод!$G$12:$G$31&gt;=A1722))&gt;0,1,0))</f>
        <v/>
      </c>
      <c r="G1722" t="str">
        <f t="shared" si="53"/>
        <v/>
      </c>
    </row>
    <row r="1723" spans="1:7" x14ac:dyDescent="0.3">
      <c r="A1723" s="21" t="str">
        <f>IF(A1722="","",IF(A1722+1&gt;Ввод!$B$4,"",A1722+1))</f>
        <v/>
      </c>
      <c r="B1723" s="23" t="str">
        <f>IF(A1723="","",IFERROR(INDEX(Ввод!$B$12:$B$71,MATCH(A1723,Ввод!$D$12:$D$71,1)),""))</f>
        <v/>
      </c>
      <c r="C1723" t="str">
        <f t="shared" si="52"/>
        <v/>
      </c>
      <c r="D1723" t="str">
        <f>IF(A1723="","",SUMIFS(Акты!$D$5:$D$16,Акты!$E$5:$E$16,"&lt;="&amp;A1723)-SUMIFS(Оплаты!$B$6:$B$505,Оплаты!$A$6:$A$505,"&lt;"&amp;A1723,Оплаты!$D$6:$D$505,"&lt;&gt;"))</f>
        <v/>
      </c>
      <c r="E1723" t="str">
        <f>IF(A1723="","",IF(SUMPRODUCT((Ввод!$F$12:$F$31&lt;&gt;"")*(Ввод!$F$12:$F$31&lt;=A1723)*(Ввод!$G$12:$G$31&gt;=A1723))&gt;0,1,0))</f>
        <v/>
      </c>
      <c r="G1723" t="str">
        <f t="shared" si="53"/>
        <v/>
      </c>
    </row>
    <row r="1724" spans="1:7" x14ac:dyDescent="0.3">
      <c r="A1724" s="21" t="str">
        <f>IF(A1723="","",IF(A1723+1&gt;Ввод!$B$4,"",A1723+1))</f>
        <v/>
      </c>
      <c r="B1724" s="23" t="str">
        <f>IF(A1724="","",IFERROR(INDEX(Ввод!$B$12:$B$71,MATCH(A1724,Ввод!$D$12:$D$71,1)),""))</f>
        <v/>
      </c>
      <c r="C1724" t="str">
        <f t="shared" si="52"/>
        <v/>
      </c>
      <c r="D1724" t="str">
        <f>IF(A1724="","",SUMIFS(Акты!$D$5:$D$16,Акты!$E$5:$E$16,"&lt;="&amp;A1724)-SUMIFS(Оплаты!$B$6:$B$505,Оплаты!$A$6:$A$505,"&lt;"&amp;A1724,Оплаты!$D$6:$D$505,"&lt;&gt;"))</f>
        <v/>
      </c>
      <c r="E1724" t="str">
        <f>IF(A1724="","",IF(SUMPRODUCT((Ввод!$F$12:$F$31&lt;&gt;"")*(Ввод!$F$12:$F$31&lt;=A1724)*(Ввод!$G$12:$G$31&gt;=A1724))&gt;0,1,0))</f>
        <v/>
      </c>
      <c r="G1724" t="str">
        <f t="shared" si="53"/>
        <v/>
      </c>
    </row>
    <row r="1725" spans="1:7" x14ac:dyDescent="0.3">
      <c r="A1725" s="21" t="str">
        <f>IF(A1724="","",IF(A1724+1&gt;Ввод!$B$4,"",A1724+1))</f>
        <v/>
      </c>
      <c r="B1725" s="23" t="str">
        <f>IF(A1725="","",IFERROR(INDEX(Ввод!$B$12:$B$71,MATCH(A1725,Ввод!$D$12:$D$71,1)),""))</f>
        <v/>
      </c>
      <c r="C1725" t="str">
        <f t="shared" si="52"/>
        <v/>
      </c>
      <c r="D1725" t="str">
        <f>IF(A1725="","",SUMIFS(Акты!$D$5:$D$16,Акты!$E$5:$E$16,"&lt;="&amp;A1725)-SUMIFS(Оплаты!$B$6:$B$505,Оплаты!$A$6:$A$505,"&lt;"&amp;A1725,Оплаты!$D$6:$D$505,"&lt;&gt;"))</f>
        <v/>
      </c>
      <c r="E1725" t="str">
        <f>IF(A1725="","",IF(SUMPRODUCT((Ввод!$F$12:$F$31&lt;&gt;"")*(Ввод!$F$12:$F$31&lt;=A1725)*(Ввод!$G$12:$G$31&gt;=A1725))&gt;0,1,0))</f>
        <v/>
      </c>
      <c r="G1725" t="str">
        <f t="shared" si="53"/>
        <v/>
      </c>
    </row>
    <row r="1726" spans="1:7" x14ac:dyDescent="0.3">
      <c r="A1726" s="21" t="str">
        <f>IF(A1725="","",IF(A1725+1&gt;Ввод!$B$4,"",A1725+1))</f>
        <v/>
      </c>
      <c r="B1726" s="23" t="str">
        <f>IF(A1726="","",IFERROR(INDEX(Ввод!$B$12:$B$71,MATCH(A1726,Ввод!$D$12:$D$71,1)),""))</f>
        <v/>
      </c>
      <c r="C1726" t="str">
        <f t="shared" si="52"/>
        <v/>
      </c>
      <c r="D1726" t="str">
        <f>IF(A1726="","",SUMIFS(Акты!$D$5:$D$16,Акты!$E$5:$E$16,"&lt;="&amp;A1726)-SUMIFS(Оплаты!$B$6:$B$505,Оплаты!$A$6:$A$505,"&lt;"&amp;A1726,Оплаты!$D$6:$D$505,"&lt;&gt;"))</f>
        <v/>
      </c>
      <c r="E1726" t="str">
        <f>IF(A1726="","",IF(SUMPRODUCT((Ввод!$F$12:$F$31&lt;&gt;"")*(Ввод!$F$12:$F$31&lt;=A1726)*(Ввод!$G$12:$G$31&gt;=A1726))&gt;0,1,0))</f>
        <v/>
      </c>
      <c r="G1726" t="str">
        <f t="shared" si="53"/>
        <v/>
      </c>
    </row>
    <row r="1727" spans="1:7" x14ac:dyDescent="0.3">
      <c r="A1727" s="21" t="str">
        <f>IF(A1726="","",IF(A1726+1&gt;Ввод!$B$4,"",A1726+1))</f>
        <v/>
      </c>
      <c r="B1727" s="23" t="str">
        <f>IF(A1727="","",IFERROR(INDEX(Ввод!$B$12:$B$71,MATCH(A1727,Ввод!$D$12:$D$71,1)),""))</f>
        <v/>
      </c>
      <c r="C1727" t="str">
        <f t="shared" si="52"/>
        <v/>
      </c>
      <c r="D1727" t="str">
        <f>IF(A1727="","",SUMIFS(Акты!$D$5:$D$16,Акты!$E$5:$E$16,"&lt;="&amp;A1727)-SUMIFS(Оплаты!$B$6:$B$505,Оплаты!$A$6:$A$505,"&lt;"&amp;A1727,Оплаты!$D$6:$D$505,"&lt;&gt;"))</f>
        <v/>
      </c>
      <c r="E1727" t="str">
        <f>IF(A1727="","",IF(SUMPRODUCT((Ввод!$F$12:$F$31&lt;&gt;"")*(Ввод!$F$12:$F$31&lt;=A1727)*(Ввод!$G$12:$G$31&gt;=A1727))&gt;0,1,0))</f>
        <v/>
      </c>
      <c r="G1727" t="str">
        <f t="shared" si="53"/>
        <v/>
      </c>
    </row>
    <row r="1728" spans="1:7" x14ac:dyDescent="0.3">
      <c r="A1728" s="21" t="str">
        <f>IF(A1727="","",IF(A1727+1&gt;Ввод!$B$4,"",A1727+1))</f>
        <v/>
      </c>
      <c r="B1728" s="23" t="str">
        <f>IF(A1728="","",IFERROR(INDEX(Ввод!$B$12:$B$71,MATCH(A1728,Ввод!$D$12:$D$71,1)),""))</f>
        <v/>
      </c>
      <c r="C1728" t="str">
        <f t="shared" si="52"/>
        <v/>
      </c>
      <c r="D1728" t="str">
        <f>IF(A1728="","",SUMIFS(Акты!$D$5:$D$16,Акты!$E$5:$E$16,"&lt;="&amp;A1728)-SUMIFS(Оплаты!$B$6:$B$505,Оплаты!$A$6:$A$505,"&lt;"&amp;A1728,Оплаты!$D$6:$D$505,"&lt;&gt;"))</f>
        <v/>
      </c>
      <c r="E1728" t="str">
        <f>IF(A1728="","",IF(SUMPRODUCT((Ввод!$F$12:$F$31&lt;&gt;"")*(Ввод!$F$12:$F$31&lt;=A1728)*(Ввод!$G$12:$G$31&gt;=A1728))&gt;0,1,0))</f>
        <v/>
      </c>
      <c r="G1728" t="str">
        <f t="shared" si="53"/>
        <v/>
      </c>
    </row>
    <row r="1729" spans="1:7" x14ac:dyDescent="0.3">
      <c r="A1729" s="21" t="str">
        <f>IF(A1728="","",IF(A1728+1&gt;Ввод!$B$4,"",A1728+1))</f>
        <v/>
      </c>
      <c r="B1729" s="23" t="str">
        <f>IF(A1729="","",IFERROR(INDEX(Ввод!$B$12:$B$71,MATCH(A1729,Ввод!$D$12:$D$71,1)),""))</f>
        <v/>
      </c>
      <c r="C1729" t="str">
        <f t="shared" si="52"/>
        <v/>
      </c>
      <c r="D1729" t="str">
        <f>IF(A1729="","",SUMIFS(Акты!$D$5:$D$16,Акты!$E$5:$E$16,"&lt;="&amp;A1729)-SUMIFS(Оплаты!$B$6:$B$505,Оплаты!$A$6:$A$505,"&lt;"&amp;A1729,Оплаты!$D$6:$D$505,"&lt;&gt;"))</f>
        <v/>
      </c>
      <c r="E1729" t="str">
        <f>IF(A1729="","",IF(SUMPRODUCT((Ввод!$F$12:$F$31&lt;&gt;"")*(Ввод!$F$12:$F$31&lt;=A1729)*(Ввод!$G$12:$G$31&gt;=A1729))&gt;0,1,0))</f>
        <v/>
      </c>
      <c r="G1729" t="str">
        <f t="shared" si="53"/>
        <v/>
      </c>
    </row>
    <row r="1730" spans="1:7" x14ac:dyDescent="0.3">
      <c r="A1730" s="21" t="str">
        <f>IF(A1729="","",IF(A1729+1&gt;Ввод!$B$4,"",A1729+1))</f>
        <v/>
      </c>
      <c r="B1730" s="23" t="str">
        <f>IF(A1730="","",IFERROR(INDEX(Ввод!$B$12:$B$71,MATCH(A1730,Ввод!$D$12:$D$71,1)),""))</f>
        <v/>
      </c>
      <c r="C1730" t="str">
        <f t="shared" ref="C1730:C1793" si="54">IF(A1730="","",DATE(YEAR(A1730),12,31)-DATE(YEAR(A1730),1,1)+1)</f>
        <v/>
      </c>
      <c r="D1730" t="str">
        <f>IF(A1730="","",SUMIFS(Акты!$D$5:$D$16,Акты!$E$5:$E$16,"&lt;="&amp;A1730)-SUMIFS(Оплаты!$B$6:$B$505,Оплаты!$A$6:$A$505,"&lt;"&amp;A1730,Оплаты!$D$6:$D$505,"&lt;&gt;"))</f>
        <v/>
      </c>
      <c r="E1730" t="str">
        <f>IF(A1730="","",IF(SUMPRODUCT((Ввод!$F$12:$F$31&lt;&gt;"")*(Ввод!$F$12:$F$31&lt;=A1730)*(Ввод!$G$12:$G$31&gt;=A1730))&gt;0,1,0))</f>
        <v/>
      </c>
      <c r="G1730" t="str">
        <f t="shared" si="53"/>
        <v/>
      </c>
    </row>
    <row r="1731" spans="1:7" x14ac:dyDescent="0.3">
      <c r="A1731" s="21" t="str">
        <f>IF(A1730="","",IF(A1730+1&gt;Ввод!$B$4,"",A1730+1))</f>
        <v/>
      </c>
      <c r="B1731" s="23" t="str">
        <f>IF(A1731="","",IFERROR(INDEX(Ввод!$B$12:$B$71,MATCH(A1731,Ввод!$D$12:$D$71,1)),""))</f>
        <v/>
      </c>
      <c r="C1731" t="str">
        <f t="shared" si="54"/>
        <v/>
      </c>
      <c r="D1731" t="str">
        <f>IF(A1731="","",SUMIFS(Акты!$D$5:$D$16,Акты!$E$5:$E$16,"&lt;="&amp;A1731)-SUMIFS(Оплаты!$B$6:$B$505,Оплаты!$A$6:$A$505,"&lt;"&amp;A1731,Оплаты!$D$6:$D$505,"&lt;&gt;"))</f>
        <v/>
      </c>
      <c r="E1731" t="str">
        <f>IF(A1731="","",IF(SUMPRODUCT((Ввод!$F$12:$F$31&lt;&gt;"")*(Ввод!$F$12:$F$31&lt;=A1731)*(Ввод!$G$12:$G$31&gt;=A1731))&gt;0,1,0))</f>
        <v/>
      </c>
      <c r="G1731" t="str">
        <f t="shared" ref="G1731:G1794" si="55">IF(A1731="","",IF(OR(B1731&lt;&gt;B1730,C1731&lt;&gt;C1730,E1731&lt;&gt;E1730),G1730+1,G1730))</f>
        <v/>
      </c>
    </row>
    <row r="1732" spans="1:7" x14ac:dyDescent="0.3">
      <c r="A1732" s="21" t="str">
        <f>IF(A1731="","",IF(A1731+1&gt;Ввод!$B$4,"",A1731+1))</f>
        <v/>
      </c>
      <c r="B1732" s="23" t="str">
        <f>IF(A1732="","",IFERROR(INDEX(Ввод!$B$12:$B$71,MATCH(A1732,Ввод!$D$12:$D$71,1)),""))</f>
        <v/>
      </c>
      <c r="C1732" t="str">
        <f t="shared" si="54"/>
        <v/>
      </c>
      <c r="D1732" t="str">
        <f>IF(A1732="","",SUMIFS(Акты!$D$5:$D$16,Акты!$E$5:$E$16,"&lt;="&amp;A1732)-SUMIFS(Оплаты!$B$6:$B$505,Оплаты!$A$6:$A$505,"&lt;"&amp;A1732,Оплаты!$D$6:$D$505,"&lt;&gt;"))</f>
        <v/>
      </c>
      <c r="E1732" t="str">
        <f>IF(A1732="","",IF(SUMPRODUCT((Ввод!$F$12:$F$31&lt;&gt;"")*(Ввод!$F$12:$F$31&lt;=A1732)*(Ввод!$G$12:$G$31&gt;=A1732))&gt;0,1,0))</f>
        <v/>
      </c>
      <c r="G1732" t="str">
        <f t="shared" si="55"/>
        <v/>
      </c>
    </row>
    <row r="1733" spans="1:7" x14ac:dyDescent="0.3">
      <c r="A1733" s="21" t="str">
        <f>IF(A1732="","",IF(A1732+1&gt;Ввод!$B$4,"",A1732+1))</f>
        <v/>
      </c>
      <c r="B1733" s="23" t="str">
        <f>IF(A1733="","",IFERROR(INDEX(Ввод!$B$12:$B$71,MATCH(A1733,Ввод!$D$12:$D$71,1)),""))</f>
        <v/>
      </c>
      <c r="C1733" t="str">
        <f t="shared" si="54"/>
        <v/>
      </c>
      <c r="D1733" t="str">
        <f>IF(A1733="","",SUMIFS(Акты!$D$5:$D$16,Акты!$E$5:$E$16,"&lt;="&amp;A1733)-SUMIFS(Оплаты!$B$6:$B$505,Оплаты!$A$6:$A$505,"&lt;"&amp;A1733,Оплаты!$D$6:$D$505,"&lt;&gt;"))</f>
        <v/>
      </c>
      <c r="E1733" t="str">
        <f>IF(A1733="","",IF(SUMPRODUCT((Ввод!$F$12:$F$31&lt;&gt;"")*(Ввод!$F$12:$F$31&lt;=A1733)*(Ввод!$G$12:$G$31&gt;=A1733))&gt;0,1,0))</f>
        <v/>
      </c>
      <c r="G1733" t="str">
        <f t="shared" si="55"/>
        <v/>
      </c>
    </row>
    <row r="1734" spans="1:7" x14ac:dyDescent="0.3">
      <c r="A1734" s="21" t="str">
        <f>IF(A1733="","",IF(A1733+1&gt;Ввод!$B$4,"",A1733+1))</f>
        <v/>
      </c>
      <c r="B1734" s="23" t="str">
        <f>IF(A1734="","",IFERROR(INDEX(Ввод!$B$12:$B$71,MATCH(A1734,Ввод!$D$12:$D$71,1)),""))</f>
        <v/>
      </c>
      <c r="C1734" t="str">
        <f t="shared" si="54"/>
        <v/>
      </c>
      <c r="D1734" t="str">
        <f>IF(A1734="","",SUMIFS(Акты!$D$5:$D$16,Акты!$E$5:$E$16,"&lt;="&amp;A1734)-SUMIFS(Оплаты!$B$6:$B$505,Оплаты!$A$6:$A$505,"&lt;"&amp;A1734,Оплаты!$D$6:$D$505,"&lt;&gt;"))</f>
        <v/>
      </c>
      <c r="E1734" t="str">
        <f>IF(A1734="","",IF(SUMPRODUCT((Ввод!$F$12:$F$31&lt;&gt;"")*(Ввод!$F$12:$F$31&lt;=A1734)*(Ввод!$G$12:$G$31&gt;=A1734))&gt;0,1,0))</f>
        <v/>
      </c>
      <c r="G1734" t="str">
        <f t="shared" si="55"/>
        <v/>
      </c>
    </row>
    <row r="1735" spans="1:7" x14ac:dyDescent="0.3">
      <c r="A1735" s="21" t="str">
        <f>IF(A1734="","",IF(A1734+1&gt;Ввод!$B$4,"",A1734+1))</f>
        <v/>
      </c>
      <c r="B1735" s="23" t="str">
        <f>IF(A1735="","",IFERROR(INDEX(Ввод!$B$12:$B$71,MATCH(A1735,Ввод!$D$12:$D$71,1)),""))</f>
        <v/>
      </c>
      <c r="C1735" t="str">
        <f t="shared" si="54"/>
        <v/>
      </c>
      <c r="D1735" t="str">
        <f>IF(A1735="","",SUMIFS(Акты!$D$5:$D$16,Акты!$E$5:$E$16,"&lt;="&amp;A1735)-SUMIFS(Оплаты!$B$6:$B$505,Оплаты!$A$6:$A$505,"&lt;"&amp;A1735,Оплаты!$D$6:$D$505,"&lt;&gt;"))</f>
        <v/>
      </c>
      <c r="E1735" t="str">
        <f>IF(A1735="","",IF(SUMPRODUCT((Ввод!$F$12:$F$31&lt;&gt;"")*(Ввод!$F$12:$F$31&lt;=A1735)*(Ввод!$G$12:$G$31&gt;=A1735))&gt;0,1,0))</f>
        <v/>
      </c>
      <c r="G1735" t="str">
        <f t="shared" si="55"/>
        <v/>
      </c>
    </row>
    <row r="1736" spans="1:7" x14ac:dyDescent="0.3">
      <c r="A1736" s="21" t="str">
        <f>IF(A1735="","",IF(A1735+1&gt;Ввод!$B$4,"",A1735+1))</f>
        <v/>
      </c>
      <c r="B1736" s="23" t="str">
        <f>IF(A1736="","",IFERROR(INDEX(Ввод!$B$12:$B$71,MATCH(A1736,Ввод!$D$12:$D$71,1)),""))</f>
        <v/>
      </c>
      <c r="C1736" t="str">
        <f t="shared" si="54"/>
        <v/>
      </c>
      <c r="D1736" t="str">
        <f>IF(A1736="","",SUMIFS(Акты!$D$5:$D$16,Акты!$E$5:$E$16,"&lt;="&amp;A1736)-SUMIFS(Оплаты!$B$6:$B$505,Оплаты!$A$6:$A$505,"&lt;"&amp;A1736,Оплаты!$D$6:$D$505,"&lt;&gt;"))</f>
        <v/>
      </c>
      <c r="E1736" t="str">
        <f>IF(A1736="","",IF(SUMPRODUCT((Ввод!$F$12:$F$31&lt;&gt;"")*(Ввод!$F$12:$F$31&lt;=A1736)*(Ввод!$G$12:$G$31&gt;=A1736))&gt;0,1,0))</f>
        <v/>
      </c>
      <c r="G1736" t="str">
        <f t="shared" si="55"/>
        <v/>
      </c>
    </row>
    <row r="1737" spans="1:7" x14ac:dyDescent="0.3">
      <c r="A1737" s="21" t="str">
        <f>IF(A1736="","",IF(A1736+1&gt;Ввод!$B$4,"",A1736+1))</f>
        <v/>
      </c>
      <c r="B1737" s="23" t="str">
        <f>IF(A1737="","",IFERROR(INDEX(Ввод!$B$12:$B$71,MATCH(A1737,Ввод!$D$12:$D$71,1)),""))</f>
        <v/>
      </c>
      <c r="C1737" t="str">
        <f t="shared" si="54"/>
        <v/>
      </c>
      <c r="D1737" t="str">
        <f>IF(A1737="","",SUMIFS(Акты!$D$5:$D$16,Акты!$E$5:$E$16,"&lt;="&amp;A1737)-SUMIFS(Оплаты!$B$6:$B$505,Оплаты!$A$6:$A$505,"&lt;"&amp;A1737,Оплаты!$D$6:$D$505,"&lt;&gt;"))</f>
        <v/>
      </c>
      <c r="E1737" t="str">
        <f>IF(A1737="","",IF(SUMPRODUCT((Ввод!$F$12:$F$31&lt;&gt;"")*(Ввод!$F$12:$F$31&lt;=A1737)*(Ввод!$G$12:$G$31&gt;=A1737))&gt;0,1,0))</f>
        <v/>
      </c>
      <c r="G1737" t="str">
        <f t="shared" si="55"/>
        <v/>
      </c>
    </row>
    <row r="1738" spans="1:7" x14ac:dyDescent="0.3">
      <c r="A1738" s="21" t="str">
        <f>IF(A1737="","",IF(A1737+1&gt;Ввод!$B$4,"",A1737+1))</f>
        <v/>
      </c>
      <c r="B1738" s="23" t="str">
        <f>IF(A1738="","",IFERROR(INDEX(Ввод!$B$12:$B$71,MATCH(A1738,Ввод!$D$12:$D$71,1)),""))</f>
        <v/>
      </c>
      <c r="C1738" t="str">
        <f t="shared" si="54"/>
        <v/>
      </c>
      <c r="D1738" t="str">
        <f>IF(A1738="","",SUMIFS(Акты!$D$5:$D$16,Акты!$E$5:$E$16,"&lt;="&amp;A1738)-SUMIFS(Оплаты!$B$6:$B$505,Оплаты!$A$6:$A$505,"&lt;"&amp;A1738,Оплаты!$D$6:$D$505,"&lt;&gt;"))</f>
        <v/>
      </c>
      <c r="E1738" t="str">
        <f>IF(A1738="","",IF(SUMPRODUCT((Ввод!$F$12:$F$31&lt;&gt;"")*(Ввод!$F$12:$F$31&lt;=A1738)*(Ввод!$G$12:$G$31&gt;=A1738))&gt;0,1,0))</f>
        <v/>
      </c>
      <c r="G1738" t="str">
        <f t="shared" si="55"/>
        <v/>
      </c>
    </row>
    <row r="1739" spans="1:7" x14ac:dyDescent="0.3">
      <c r="A1739" s="21" t="str">
        <f>IF(A1738="","",IF(A1738+1&gt;Ввод!$B$4,"",A1738+1))</f>
        <v/>
      </c>
      <c r="B1739" s="23" t="str">
        <f>IF(A1739="","",IFERROR(INDEX(Ввод!$B$12:$B$71,MATCH(A1739,Ввод!$D$12:$D$71,1)),""))</f>
        <v/>
      </c>
      <c r="C1739" t="str">
        <f t="shared" si="54"/>
        <v/>
      </c>
      <c r="D1739" t="str">
        <f>IF(A1739="","",SUMIFS(Акты!$D$5:$D$16,Акты!$E$5:$E$16,"&lt;="&amp;A1739)-SUMIFS(Оплаты!$B$6:$B$505,Оплаты!$A$6:$A$505,"&lt;"&amp;A1739,Оплаты!$D$6:$D$505,"&lt;&gt;"))</f>
        <v/>
      </c>
      <c r="E1739" t="str">
        <f>IF(A1739="","",IF(SUMPRODUCT((Ввод!$F$12:$F$31&lt;&gt;"")*(Ввод!$F$12:$F$31&lt;=A1739)*(Ввод!$G$12:$G$31&gt;=A1739))&gt;0,1,0))</f>
        <v/>
      </c>
      <c r="G1739" t="str">
        <f t="shared" si="55"/>
        <v/>
      </c>
    </row>
    <row r="1740" spans="1:7" x14ac:dyDescent="0.3">
      <c r="A1740" s="21" t="str">
        <f>IF(A1739="","",IF(A1739+1&gt;Ввод!$B$4,"",A1739+1))</f>
        <v/>
      </c>
      <c r="B1740" s="23" t="str">
        <f>IF(A1740="","",IFERROR(INDEX(Ввод!$B$12:$B$71,MATCH(A1740,Ввод!$D$12:$D$71,1)),""))</f>
        <v/>
      </c>
      <c r="C1740" t="str">
        <f t="shared" si="54"/>
        <v/>
      </c>
      <c r="D1740" t="str">
        <f>IF(A1740="","",SUMIFS(Акты!$D$5:$D$16,Акты!$E$5:$E$16,"&lt;="&amp;A1740)-SUMIFS(Оплаты!$B$6:$B$505,Оплаты!$A$6:$A$505,"&lt;"&amp;A1740,Оплаты!$D$6:$D$505,"&lt;&gt;"))</f>
        <v/>
      </c>
      <c r="E1740" t="str">
        <f>IF(A1740="","",IF(SUMPRODUCT((Ввод!$F$12:$F$31&lt;&gt;"")*(Ввод!$F$12:$F$31&lt;=A1740)*(Ввод!$G$12:$G$31&gt;=A1740))&gt;0,1,0))</f>
        <v/>
      </c>
      <c r="G1740" t="str">
        <f t="shared" si="55"/>
        <v/>
      </c>
    </row>
    <row r="1741" spans="1:7" x14ac:dyDescent="0.3">
      <c r="A1741" s="21" t="str">
        <f>IF(A1740="","",IF(A1740+1&gt;Ввод!$B$4,"",A1740+1))</f>
        <v/>
      </c>
      <c r="B1741" s="23" t="str">
        <f>IF(A1741="","",IFERROR(INDEX(Ввод!$B$12:$B$71,MATCH(A1741,Ввод!$D$12:$D$71,1)),""))</f>
        <v/>
      </c>
      <c r="C1741" t="str">
        <f t="shared" si="54"/>
        <v/>
      </c>
      <c r="D1741" t="str">
        <f>IF(A1741="","",SUMIFS(Акты!$D$5:$D$16,Акты!$E$5:$E$16,"&lt;="&amp;A1741)-SUMIFS(Оплаты!$B$6:$B$505,Оплаты!$A$6:$A$505,"&lt;"&amp;A1741,Оплаты!$D$6:$D$505,"&lt;&gt;"))</f>
        <v/>
      </c>
      <c r="E1741" t="str">
        <f>IF(A1741="","",IF(SUMPRODUCT((Ввод!$F$12:$F$31&lt;&gt;"")*(Ввод!$F$12:$F$31&lt;=A1741)*(Ввод!$G$12:$G$31&gt;=A1741))&gt;0,1,0))</f>
        <v/>
      </c>
      <c r="G1741" t="str">
        <f t="shared" si="55"/>
        <v/>
      </c>
    </row>
    <row r="1742" spans="1:7" x14ac:dyDescent="0.3">
      <c r="A1742" s="21" t="str">
        <f>IF(A1741="","",IF(A1741+1&gt;Ввод!$B$4,"",A1741+1))</f>
        <v/>
      </c>
      <c r="B1742" s="23" t="str">
        <f>IF(A1742="","",IFERROR(INDEX(Ввод!$B$12:$B$71,MATCH(A1742,Ввод!$D$12:$D$71,1)),""))</f>
        <v/>
      </c>
      <c r="C1742" t="str">
        <f t="shared" si="54"/>
        <v/>
      </c>
      <c r="D1742" t="str">
        <f>IF(A1742="","",SUMIFS(Акты!$D$5:$D$16,Акты!$E$5:$E$16,"&lt;="&amp;A1742)-SUMIFS(Оплаты!$B$6:$B$505,Оплаты!$A$6:$A$505,"&lt;"&amp;A1742,Оплаты!$D$6:$D$505,"&lt;&gt;"))</f>
        <v/>
      </c>
      <c r="E1742" t="str">
        <f>IF(A1742="","",IF(SUMPRODUCT((Ввод!$F$12:$F$31&lt;&gt;"")*(Ввод!$F$12:$F$31&lt;=A1742)*(Ввод!$G$12:$G$31&gt;=A1742))&gt;0,1,0))</f>
        <v/>
      </c>
      <c r="G1742" t="str">
        <f t="shared" si="55"/>
        <v/>
      </c>
    </row>
    <row r="1743" spans="1:7" x14ac:dyDescent="0.3">
      <c r="A1743" s="21" t="str">
        <f>IF(A1742="","",IF(A1742+1&gt;Ввод!$B$4,"",A1742+1))</f>
        <v/>
      </c>
      <c r="B1743" s="23" t="str">
        <f>IF(A1743="","",IFERROR(INDEX(Ввод!$B$12:$B$71,MATCH(A1743,Ввод!$D$12:$D$71,1)),""))</f>
        <v/>
      </c>
      <c r="C1743" t="str">
        <f t="shared" si="54"/>
        <v/>
      </c>
      <c r="D1743" t="str">
        <f>IF(A1743="","",SUMIFS(Акты!$D$5:$D$16,Акты!$E$5:$E$16,"&lt;="&amp;A1743)-SUMIFS(Оплаты!$B$6:$B$505,Оплаты!$A$6:$A$505,"&lt;"&amp;A1743,Оплаты!$D$6:$D$505,"&lt;&gt;"))</f>
        <v/>
      </c>
      <c r="E1743" t="str">
        <f>IF(A1743="","",IF(SUMPRODUCT((Ввод!$F$12:$F$31&lt;&gt;"")*(Ввод!$F$12:$F$31&lt;=A1743)*(Ввод!$G$12:$G$31&gt;=A1743))&gt;0,1,0))</f>
        <v/>
      </c>
      <c r="G1743" t="str">
        <f t="shared" si="55"/>
        <v/>
      </c>
    </row>
    <row r="1744" spans="1:7" x14ac:dyDescent="0.3">
      <c r="A1744" s="21" t="str">
        <f>IF(A1743="","",IF(A1743+1&gt;Ввод!$B$4,"",A1743+1))</f>
        <v/>
      </c>
      <c r="B1744" s="23" t="str">
        <f>IF(A1744="","",IFERROR(INDEX(Ввод!$B$12:$B$71,MATCH(A1744,Ввод!$D$12:$D$71,1)),""))</f>
        <v/>
      </c>
      <c r="C1744" t="str">
        <f t="shared" si="54"/>
        <v/>
      </c>
      <c r="D1744" t="str">
        <f>IF(A1744="","",SUMIFS(Акты!$D$5:$D$16,Акты!$E$5:$E$16,"&lt;="&amp;A1744)-SUMIFS(Оплаты!$B$6:$B$505,Оплаты!$A$6:$A$505,"&lt;"&amp;A1744,Оплаты!$D$6:$D$505,"&lt;&gt;"))</f>
        <v/>
      </c>
      <c r="E1744" t="str">
        <f>IF(A1744="","",IF(SUMPRODUCT((Ввод!$F$12:$F$31&lt;&gt;"")*(Ввод!$F$12:$F$31&lt;=A1744)*(Ввод!$G$12:$G$31&gt;=A1744))&gt;0,1,0))</f>
        <v/>
      </c>
      <c r="G1744" t="str">
        <f t="shared" si="55"/>
        <v/>
      </c>
    </row>
    <row r="1745" spans="1:7" x14ac:dyDescent="0.3">
      <c r="A1745" s="21" t="str">
        <f>IF(A1744="","",IF(A1744+1&gt;Ввод!$B$4,"",A1744+1))</f>
        <v/>
      </c>
      <c r="B1745" s="23" t="str">
        <f>IF(A1745="","",IFERROR(INDEX(Ввод!$B$12:$B$71,MATCH(A1745,Ввод!$D$12:$D$71,1)),""))</f>
        <v/>
      </c>
      <c r="C1745" t="str">
        <f t="shared" si="54"/>
        <v/>
      </c>
      <c r="D1745" t="str">
        <f>IF(A1745="","",SUMIFS(Акты!$D$5:$D$16,Акты!$E$5:$E$16,"&lt;="&amp;A1745)-SUMIFS(Оплаты!$B$6:$B$505,Оплаты!$A$6:$A$505,"&lt;"&amp;A1745,Оплаты!$D$6:$D$505,"&lt;&gt;"))</f>
        <v/>
      </c>
      <c r="E1745" t="str">
        <f>IF(A1745="","",IF(SUMPRODUCT((Ввод!$F$12:$F$31&lt;&gt;"")*(Ввод!$F$12:$F$31&lt;=A1745)*(Ввод!$G$12:$G$31&gt;=A1745))&gt;0,1,0))</f>
        <v/>
      </c>
      <c r="G1745" t="str">
        <f t="shared" si="55"/>
        <v/>
      </c>
    </row>
    <row r="1746" spans="1:7" x14ac:dyDescent="0.3">
      <c r="A1746" s="21" t="str">
        <f>IF(A1745="","",IF(A1745+1&gt;Ввод!$B$4,"",A1745+1))</f>
        <v/>
      </c>
      <c r="B1746" s="23" t="str">
        <f>IF(A1746="","",IFERROR(INDEX(Ввод!$B$12:$B$71,MATCH(A1746,Ввод!$D$12:$D$71,1)),""))</f>
        <v/>
      </c>
      <c r="C1746" t="str">
        <f t="shared" si="54"/>
        <v/>
      </c>
      <c r="D1746" t="str">
        <f>IF(A1746="","",SUMIFS(Акты!$D$5:$D$16,Акты!$E$5:$E$16,"&lt;="&amp;A1746)-SUMIFS(Оплаты!$B$6:$B$505,Оплаты!$A$6:$A$505,"&lt;"&amp;A1746,Оплаты!$D$6:$D$505,"&lt;&gt;"))</f>
        <v/>
      </c>
      <c r="E1746" t="str">
        <f>IF(A1746="","",IF(SUMPRODUCT((Ввод!$F$12:$F$31&lt;&gt;"")*(Ввод!$F$12:$F$31&lt;=A1746)*(Ввод!$G$12:$G$31&gt;=A1746))&gt;0,1,0))</f>
        <v/>
      </c>
      <c r="G1746" t="str">
        <f t="shared" si="55"/>
        <v/>
      </c>
    </row>
    <row r="1747" spans="1:7" x14ac:dyDescent="0.3">
      <c r="A1747" s="21" t="str">
        <f>IF(A1746="","",IF(A1746+1&gt;Ввод!$B$4,"",A1746+1))</f>
        <v/>
      </c>
      <c r="B1747" s="23" t="str">
        <f>IF(A1747="","",IFERROR(INDEX(Ввод!$B$12:$B$71,MATCH(A1747,Ввод!$D$12:$D$71,1)),""))</f>
        <v/>
      </c>
      <c r="C1747" t="str">
        <f t="shared" si="54"/>
        <v/>
      </c>
      <c r="D1747" t="str">
        <f>IF(A1747="","",SUMIFS(Акты!$D$5:$D$16,Акты!$E$5:$E$16,"&lt;="&amp;A1747)-SUMIFS(Оплаты!$B$6:$B$505,Оплаты!$A$6:$A$505,"&lt;"&amp;A1747,Оплаты!$D$6:$D$505,"&lt;&gt;"))</f>
        <v/>
      </c>
      <c r="E1747" t="str">
        <f>IF(A1747="","",IF(SUMPRODUCT((Ввод!$F$12:$F$31&lt;&gt;"")*(Ввод!$F$12:$F$31&lt;=A1747)*(Ввод!$G$12:$G$31&gt;=A1747))&gt;0,1,0))</f>
        <v/>
      </c>
      <c r="G1747" t="str">
        <f t="shared" si="55"/>
        <v/>
      </c>
    </row>
    <row r="1748" spans="1:7" x14ac:dyDescent="0.3">
      <c r="A1748" s="21" t="str">
        <f>IF(A1747="","",IF(A1747+1&gt;Ввод!$B$4,"",A1747+1))</f>
        <v/>
      </c>
      <c r="B1748" s="23" t="str">
        <f>IF(A1748="","",IFERROR(INDEX(Ввод!$B$12:$B$71,MATCH(A1748,Ввод!$D$12:$D$71,1)),""))</f>
        <v/>
      </c>
      <c r="C1748" t="str">
        <f t="shared" si="54"/>
        <v/>
      </c>
      <c r="D1748" t="str">
        <f>IF(A1748="","",SUMIFS(Акты!$D$5:$D$16,Акты!$E$5:$E$16,"&lt;="&amp;A1748)-SUMIFS(Оплаты!$B$6:$B$505,Оплаты!$A$6:$A$505,"&lt;"&amp;A1748,Оплаты!$D$6:$D$505,"&lt;&gt;"))</f>
        <v/>
      </c>
      <c r="E1748" t="str">
        <f>IF(A1748="","",IF(SUMPRODUCT((Ввод!$F$12:$F$31&lt;&gt;"")*(Ввод!$F$12:$F$31&lt;=A1748)*(Ввод!$G$12:$G$31&gt;=A1748))&gt;0,1,0))</f>
        <v/>
      </c>
      <c r="G1748" t="str">
        <f t="shared" si="55"/>
        <v/>
      </c>
    </row>
    <row r="1749" spans="1:7" x14ac:dyDescent="0.3">
      <c r="A1749" s="21" t="str">
        <f>IF(A1748="","",IF(A1748+1&gt;Ввод!$B$4,"",A1748+1))</f>
        <v/>
      </c>
      <c r="B1749" s="23" t="str">
        <f>IF(A1749="","",IFERROR(INDEX(Ввод!$B$12:$B$71,MATCH(A1749,Ввод!$D$12:$D$71,1)),""))</f>
        <v/>
      </c>
      <c r="C1749" t="str">
        <f t="shared" si="54"/>
        <v/>
      </c>
      <c r="D1749" t="str">
        <f>IF(A1749="","",SUMIFS(Акты!$D$5:$D$16,Акты!$E$5:$E$16,"&lt;="&amp;A1749)-SUMIFS(Оплаты!$B$6:$B$505,Оплаты!$A$6:$A$505,"&lt;"&amp;A1749,Оплаты!$D$6:$D$505,"&lt;&gt;"))</f>
        <v/>
      </c>
      <c r="E1749" t="str">
        <f>IF(A1749="","",IF(SUMPRODUCT((Ввод!$F$12:$F$31&lt;&gt;"")*(Ввод!$F$12:$F$31&lt;=A1749)*(Ввод!$G$12:$G$31&gt;=A1749))&gt;0,1,0))</f>
        <v/>
      </c>
      <c r="G1749" t="str">
        <f t="shared" si="55"/>
        <v/>
      </c>
    </row>
    <row r="1750" spans="1:7" x14ac:dyDescent="0.3">
      <c r="A1750" s="21" t="str">
        <f>IF(A1749="","",IF(A1749+1&gt;Ввод!$B$4,"",A1749+1))</f>
        <v/>
      </c>
      <c r="B1750" s="23" t="str">
        <f>IF(A1750="","",IFERROR(INDEX(Ввод!$B$12:$B$71,MATCH(A1750,Ввод!$D$12:$D$71,1)),""))</f>
        <v/>
      </c>
      <c r="C1750" t="str">
        <f t="shared" si="54"/>
        <v/>
      </c>
      <c r="D1750" t="str">
        <f>IF(A1750="","",SUMIFS(Акты!$D$5:$D$16,Акты!$E$5:$E$16,"&lt;="&amp;A1750)-SUMIFS(Оплаты!$B$6:$B$505,Оплаты!$A$6:$A$505,"&lt;"&amp;A1750,Оплаты!$D$6:$D$505,"&lt;&gt;"))</f>
        <v/>
      </c>
      <c r="E1750" t="str">
        <f>IF(A1750="","",IF(SUMPRODUCT((Ввод!$F$12:$F$31&lt;&gt;"")*(Ввод!$F$12:$F$31&lt;=A1750)*(Ввод!$G$12:$G$31&gt;=A1750))&gt;0,1,0))</f>
        <v/>
      </c>
      <c r="G1750" t="str">
        <f t="shared" si="55"/>
        <v/>
      </c>
    </row>
    <row r="1751" spans="1:7" x14ac:dyDescent="0.3">
      <c r="A1751" s="21" t="str">
        <f>IF(A1750="","",IF(A1750+1&gt;Ввод!$B$4,"",A1750+1))</f>
        <v/>
      </c>
      <c r="B1751" s="23" t="str">
        <f>IF(A1751="","",IFERROR(INDEX(Ввод!$B$12:$B$71,MATCH(A1751,Ввод!$D$12:$D$71,1)),""))</f>
        <v/>
      </c>
      <c r="C1751" t="str">
        <f t="shared" si="54"/>
        <v/>
      </c>
      <c r="D1751" t="str">
        <f>IF(A1751="","",SUMIFS(Акты!$D$5:$D$16,Акты!$E$5:$E$16,"&lt;="&amp;A1751)-SUMIFS(Оплаты!$B$6:$B$505,Оплаты!$A$6:$A$505,"&lt;"&amp;A1751,Оплаты!$D$6:$D$505,"&lt;&gt;"))</f>
        <v/>
      </c>
      <c r="E1751" t="str">
        <f>IF(A1751="","",IF(SUMPRODUCT((Ввод!$F$12:$F$31&lt;&gt;"")*(Ввод!$F$12:$F$31&lt;=A1751)*(Ввод!$G$12:$G$31&gt;=A1751))&gt;0,1,0))</f>
        <v/>
      </c>
      <c r="G1751" t="str">
        <f t="shared" si="55"/>
        <v/>
      </c>
    </row>
    <row r="1752" spans="1:7" x14ac:dyDescent="0.3">
      <c r="A1752" s="21" t="str">
        <f>IF(A1751="","",IF(A1751+1&gt;Ввод!$B$4,"",A1751+1))</f>
        <v/>
      </c>
      <c r="B1752" s="23" t="str">
        <f>IF(A1752="","",IFERROR(INDEX(Ввод!$B$12:$B$71,MATCH(A1752,Ввод!$D$12:$D$71,1)),""))</f>
        <v/>
      </c>
      <c r="C1752" t="str">
        <f t="shared" si="54"/>
        <v/>
      </c>
      <c r="D1752" t="str">
        <f>IF(A1752="","",SUMIFS(Акты!$D$5:$D$16,Акты!$E$5:$E$16,"&lt;="&amp;A1752)-SUMIFS(Оплаты!$B$6:$B$505,Оплаты!$A$6:$A$505,"&lt;"&amp;A1752,Оплаты!$D$6:$D$505,"&lt;&gt;"))</f>
        <v/>
      </c>
      <c r="E1752" t="str">
        <f>IF(A1752="","",IF(SUMPRODUCT((Ввод!$F$12:$F$31&lt;&gt;"")*(Ввод!$F$12:$F$31&lt;=A1752)*(Ввод!$G$12:$G$31&gt;=A1752))&gt;0,1,0))</f>
        <v/>
      </c>
      <c r="G1752" t="str">
        <f t="shared" si="55"/>
        <v/>
      </c>
    </row>
    <row r="1753" spans="1:7" x14ac:dyDescent="0.3">
      <c r="A1753" s="21" t="str">
        <f>IF(A1752="","",IF(A1752+1&gt;Ввод!$B$4,"",A1752+1))</f>
        <v/>
      </c>
      <c r="B1753" s="23" t="str">
        <f>IF(A1753="","",IFERROR(INDEX(Ввод!$B$12:$B$71,MATCH(A1753,Ввод!$D$12:$D$71,1)),""))</f>
        <v/>
      </c>
      <c r="C1753" t="str">
        <f t="shared" si="54"/>
        <v/>
      </c>
      <c r="D1753" t="str">
        <f>IF(A1753="","",SUMIFS(Акты!$D$5:$D$16,Акты!$E$5:$E$16,"&lt;="&amp;A1753)-SUMIFS(Оплаты!$B$6:$B$505,Оплаты!$A$6:$A$505,"&lt;"&amp;A1753,Оплаты!$D$6:$D$505,"&lt;&gt;"))</f>
        <v/>
      </c>
      <c r="E1753" t="str">
        <f>IF(A1753="","",IF(SUMPRODUCT((Ввод!$F$12:$F$31&lt;&gt;"")*(Ввод!$F$12:$F$31&lt;=A1753)*(Ввод!$G$12:$G$31&gt;=A1753))&gt;0,1,0))</f>
        <v/>
      </c>
      <c r="G1753" t="str">
        <f t="shared" si="55"/>
        <v/>
      </c>
    </row>
    <row r="1754" spans="1:7" x14ac:dyDescent="0.3">
      <c r="A1754" s="21" t="str">
        <f>IF(A1753="","",IF(A1753+1&gt;Ввод!$B$4,"",A1753+1))</f>
        <v/>
      </c>
      <c r="B1754" s="23" t="str">
        <f>IF(A1754="","",IFERROR(INDEX(Ввод!$B$12:$B$71,MATCH(A1754,Ввод!$D$12:$D$71,1)),""))</f>
        <v/>
      </c>
      <c r="C1754" t="str">
        <f t="shared" si="54"/>
        <v/>
      </c>
      <c r="D1754" t="str">
        <f>IF(A1754="","",SUMIFS(Акты!$D$5:$D$16,Акты!$E$5:$E$16,"&lt;="&amp;A1754)-SUMIFS(Оплаты!$B$6:$B$505,Оплаты!$A$6:$A$505,"&lt;"&amp;A1754,Оплаты!$D$6:$D$505,"&lt;&gt;"))</f>
        <v/>
      </c>
      <c r="E1754" t="str">
        <f>IF(A1754="","",IF(SUMPRODUCT((Ввод!$F$12:$F$31&lt;&gt;"")*(Ввод!$F$12:$F$31&lt;=A1754)*(Ввод!$G$12:$G$31&gt;=A1754))&gt;0,1,0))</f>
        <v/>
      </c>
      <c r="G1754" t="str">
        <f t="shared" si="55"/>
        <v/>
      </c>
    </row>
    <row r="1755" spans="1:7" x14ac:dyDescent="0.3">
      <c r="A1755" s="21" t="str">
        <f>IF(A1754="","",IF(A1754+1&gt;Ввод!$B$4,"",A1754+1))</f>
        <v/>
      </c>
      <c r="B1755" s="23" t="str">
        <f>IF(A1755="","",IFERROR(INDEX(Ввод!$B$12:$B$71,MATCH(A1755,Ввод!$D$12:$D$71,1)),""))</f>
        <v/>
      </c>
      <c r="C1755" t="str">
        <f t="shared" si="54"/>
        <v/>
      </c>
      <c r="D1755" t="str">
        <f>IF(A1755="","",SUMIFS(Акты!$D$5:$D$16,Акты!$E$5:$E$16,"&lt;="&amp;A1755)-SUMIFS(Оплаты!$B$6:$B$505,Оплаты!$A$6:$A$505,"&lt;"&amp;A1755,Оплаты!$D$6:$D$505,"&lt;&gt;"))</f>
        <v/>
      </c>
      <c r="E1755" t="str">
        <f>IF(A1755="","",IF(SUMPRODUCT((Ввод!$F$12:$F$31&lt;&gt;"")*(Ввод!$F$12:$F$31&lt;=A1755)*(Ввод!$G$12:$G$31&gt;=A1755))&gt;0,1,0))</f>
        <v/>
      </c>
      <c r="G1755" t="str">
        <f t="shared" si="55"/>
        <v/>
      </c>
    </row>
    <row r="1756" spans="1:7" x14ac:dyDescent="0.3">
      <c r="A1756" s="21" t="str">
        <f>IF(A1755="","",IF(A1755+1&gt;Ввод!$B$4,"",A1755+1))</f>
        <v/>
      </c>
      <c r="B1756" s="23" t="str">
        <f>IF(A1756="","",IFERROR(INDEX(Ввод!$B$12:$B$71,MATCH(A1756,Ввод!$D$12:$D$71,1)),""))</f>
        <v/>
      </c>
      <c r="C1756" t="str">
        <f t="shared" si="54"/>
        <v/>
      </c>
      <c r="D1756" t="str">
        <f>IF(A1756="","",SUMIFS(Акты!$D$5:$D$16,Акты!$E$5:$E$16,"&lt;="&amp;A1756)-SUMIFS(Оплаты!$B$6:$B$505,Оплаты!$A$6:$A$505,"&lt;"&amp;A1756,Оплаты!$D$6:$D$505,"&lt;&gt;"))</f>
        <v/>
      </c>
      <c r="E1756" t="str">
        <f>IF(A1756="","",IF(SUMPRODUCT((Ввод!$F$12:$F$31&lt;&gt;"")*(Ввод!$F$12:$F$31&lt;=A1756)*(Ввод!$G$12:$G$31&gt;=A1756))&gt;0,1,0))</f>
        <v/>
      </c>
      <c r="G1756" t="str">
        <f t="shared" si="55"/>
        <v/>
      </c>
    </row>
    <row r="1757" spans="1:7" x14ac:dyDescent="0.3">
      <c r="A1757" s="21" t="str">
        <f>IF(A1756="","",IF(A1756+1&gt;Ввод!$B$4,"",A1756+1))</f>
        <v/>
      </c>
      <c r="B1757" s="23" t="str">
        <f>IF(A1757="","",IFERROR(INDEX(Ввод!$B$12:$B$71,MATCH(A1757,Ввод!$D$12:$D$71,1)),""))</f>
        <v/>
      </c>
      <c r="C1757" t="str">
        <f t="shared" si="54"/>
        <v/>
      </c>
      <c r="D1757" t="str">
        <f>IF(A1757="","",SUMIFS(Акты!$D$5:$D$16,Акты!$E$5:$E$16,"&lt;="&amp;A1757)-SUMIFS(Оплаты!$B$6:$B$505,Оплаты!$A$6:$A$505,"&lt;"&amp;A1757,Оплаты!$D$6:$D$505,"&lt;&gt;"))</f>
        <v/>
      </c>
      <c r="E1757" t="str">
        <f>IF(A1757="","",IF(SUMPRODUCT((Ввод!$F$12:$F$31&lt;&gt;"")*(Ввод!$F$12:$F$31&lt;=A1757)*(Ввод!$G$12:$G$31&gt;=A1757))&gt;0,1,0))</f>
        <v/>
      </c>
      <c r="G1757" t="str">
        <f t="shared" si="55"/>
        <v/>
      </c>
    </row>
    <row r="1758" spans="1:7" x14ac:dyDescent="0.3">
      <c r="A1758" s="21" t="str">
        <f>IF(A1757="","",IF(A1757+1&gt;Ввод!$B$4,"",A1757+1))</f>
        <v/>
      </c>
      <c r="B1758" s="23" t="str">
        <f>IF(A1758="","",IFERROR(INDEX(Ввод!$B$12:$B$71,MATCH(A1758,Ввод!$D$12:$D$71,1)),""))</f>
        <v/>
      </c>
      <c r="C1758" t="str">
        <f t="shared" si="54"/>
        <v/>
      </c>
      <c r="D1758" t="str">
        <f>IF(A1758="","",SUMIFS(Акты!$D$5:$D$16,Акты!$E$5:$E$16,"&lt;="&amp;A1758)-SUMIFS(Оплаты!$B$6:$B$505,Оплаты!$A$6:$A$505,"&lt;"&amp;A1758,Оплаты!$D$6:$D$505,"&lt;&gt;"))</f>
        <v/>
      </c>
      <c r="E1758" t="str">
        <f>IF(A1758="","",IF(SUMPRODUCT((Ввод!$F$12:$F$31&lt;&gt;"")*(Ввод!$F$12:$F$31&lt;=A1758)*(Ввод!$G$12:$G$31&gt;=A1758))&gt;0,1,0))</f>
        <v/>
      </c>
      <c r="G1758" t="str">
        <f t="shared" si="55"/>
        <v/>
      </c>
    </row>
    <row r="1759" spans="1:7" x14ac:dyDescent="0.3">
      <c r="A1759" s="21" t="str">
        <f>IF(A1758="","",IF(A1758+1&gt;Ввод!$B$4,"",A1758+1))</f>
        <v/>
      </c>
      <c r="B1759" s="23" t="str">
        <f>IF(A1759="","",IFERROR(INDEX(Ввод!$B$12:$B$71,MATCH(A1759,Ввод!$D$12:$D$71,1)),""))</f>
        <v/>
      </c>
      <c r="C1759" t="str">
        <f t="shared" si="54"/>
        <v/>
      </c>
      <c r="D1759" t="str">
        <f>IF(A1759="","",SUMIFS(Акты!$D$5:$D$16,Акты!$E$5:$E$16,"&lt;="&amp;A1759)-SUMIFS(Оплаты!$B$6:$B$505,Оплаты!$A$6:$A$505,"&lt;"&amp;A1759,Оплаты!$D$6:$D$505,"&lt;&gt;"))</f>
        <v/>
      </c>
      <c r="E1759" t="str">
        <f>IF(A1759="","",IF(SUMPRODUCT((Ввод!$F$12:$F$31&lt;&gt;"")*(Ввод!$F$12:$F$31&lt;=A1759)*(Ввод!$G$12:$G$31&gt;=A1759))&gt;0,1,0))</f>
        <v/>
      </c>
      <c r="G1759" t="str">
        <f t="shared" si="55"/>
        <v/>
      </c>
    </row>
    <row r="1760" spans="1:7" x14ac:dyDescent="0.3">
      <c r="A1760" s="21" t="str">
        <f>IF(A1759="","",IF(A1759+1&gt;Ввод!$B$4,"",A1759+1))</f>
        <v/>
      </c>
      <c r="B1760" s="23" t="str">
        <f>IF(A1760="","",IFERROR(INDEX(Ввод!$B$12:$B$71,MATCH(A1760,Ввод!$D$12:$D$71,1)),""))</f>
        <v/>
      </c>
      <c r="C1760" t="str">
        <f t="shared" si="54"/>
        <v/>
      </c>
      <c r="D1760" t="str">
        <f>IF(A1760="","",SUMIFS(Акты!$D$5:$D$16,Акты!$E$5:$E$16,"&lt;="&amp;A1760)-SUMIFS(Оплаты!$B$6:$B$505,Оплаты!$A$6:$A$505,"&lt;"&amp;A1760,Оплаты!$D$6:$D$505,"&lt;&gt;"))</f>
        <v/>
      </c>
      <c r="E1760" t="str">
        <f>IF(A1760="","",IF(SUMPRODUCT((Ввод!$F$12:$F$31&lt;&gt;"")*(Ввод!$F$12:$F$31&lt;=A1760)*(Ввод!$G$12:$G$31&gt;=A1760))&gt;0,1,0))</f>
        <v/>
      </c>
      <c r="G1760" t="str">
        <f t="shared" si="55"/>
        <v/>
      </c>
    </row>
    <row r="1761" spans="1:7" x14ac:dyDescent="0.3">
      <c r="A1761" s="21" t="str">
        <f>IF(A1760="","",IF(A1760+1&gt;Ввод!$B$4,"",A1760+1))</f>
        <v/>
      </c>
      <c r="B1761" s="23" t="str">
        <f>IF(A1761="","",IFERROR(INDEX(Ввод!$B$12:$B$71,MATCH(A1761,Ввод!$D$12:$D$71,1)),""))</f>
        <v/>
      </c>
      <c r="C1761" t="str">
        <f t="shared" si="54"/>
        <v/>
      </c>
      <c r="D1761" t="str">
        <f>IF(A1761="","",SUMIFS(Акты!$D$5:$D$16,Акты!$E$5:$E$16,"&lt;="&amp;A1761)-SUMIFS(Оплаты!$B$6:$B$505,Оплаты!$A$6:$A$505,"&lt;"&amp;A1761,Оплаты!$D$6:$D$505,"&lt;&gt;"))</f>
        <v/>
      </c>
      <c r="E1761" t="str">
        <f>IF(A1761="","",IF(SUMPRODUCT((Ввод!$F$12:$F$31&lt;&gt;"")*(Ввод!$F$12:$F$31&lt;=A1761)*(Ввод!$G$12:$G$31&gt;=A1761))&gt;0,1,0))</f>
        <v/>
      </c>
      <c r="G1761" t="str">
        <f t="shared" si="55"/>
        <v/>
      </c>
    </row>
    <row r="1762" spans="1:7" x14ac:dyDescent="0.3">
      <c r="A1762" s="21" t="str">
        <f>IF(A1761="","",IF(A1761+1&gt;Ввод!$B$4,"",A1761+1))</f>
        <v/>
      </c>
      <c r="B1762" s="23" t="str">
        <f>IF(A1762="","",IFERROR(INDEX(Ввод!$B$12:$B$71,MATCH(A1762,Ввод!$D$12:$D$71,1)),""))</f>
        <v/>
      </c>
      <c r="C1762" t="str">
        <f t="shared" si="54"/>
        <v/>
      </c>
      <c r="D1762" t="str">
        <f>IF(A1762="","",SUMIFS(Акты!$D$5:$D$16,Акты!$E$5:$E$16,"&lt;="&amp;A1762)-SUMIFS(Оплаты!$B$6:$B$505,Оплаты!$A$6:$A$505,"&lt;"&amp;A1762,Оплаты!$D$6:$D$505,"&lt;&gt;"))</f>
        <v/>
      </c>
      <c r="E1762" t="str">
        <f>IF(A1762="","",IF(SUMPRODUCT((Ввод!$F$12:$F$31&lt;&gt;"")*(Ввод!$F$12:$F$31&lt;=A1762)*(Ввод!$G$12:$G$31&gt;=A1762))&gt;0,1,0))</f>
        <v/>
      </c>
      <c r="G1762" t="str">
        <f t="shared" si="55"/>
        <v/>
      </c>
    </row>
    <row r="1763" spans="1:7" x14ac:dyDescent="0.3">
      <c r="A1763" s="21" t="str">
        <f>IF(A1762="","",IF(A1762+1&gt;Ввод!$B$4,"",A1762+1))</f>
        <v/>
      </c>
      <c r="B1763" s="23" t="str">
        <f>IF(A1763="","",IFERROR(INDEX(Ввод!$B$12:$B$71,MATCH(A1763,Ввод!$D$12:$D$71,1)),""))</f>
        <v/>
      </c>
      <c r="C1763" t="str">
        <f t="shared" si="54"/>
        <v/>
      </c>
      <c r="D1763" t="str">
        <f>IF(A1763="","",SUMIFS(Акты!$D$5:$D$16,Акты!$E$5:$E$16,"&lt;="&amp;A1763)-SUMIFS(Оплаты!$B$6:$B$505,Оплаты!$A$6:$A$505,"&lt;"&amp;A1763,Оплаты!$D$6:$D$505,"&lt;&gt;"))</f>
        <v/>
      </c>
      <c r="E1763" t="str">
        <f>IF(A1763="","",IF(SUMPRODUCT((Ввод!$F$12:$F$31&lt;&gt;"")*(Ввод!$F$12:$F$31&lt;=A1763)*(Ввод!$G$12:$G$31&gt;=A1763))&gt;0,1,0))</f>
        <v/>
      </c>
      <c r="G1763" t="str">
        <f t="shared" si="55"/>
        <v/>
      </c>
    </row>
    <row r="1764" spans="1:7" x14ac:dyDescent="0.3">
      <c r="A1764" s="21" t="str">
        <f>IF(A1763="","",IF(A1763+1&gt;Ввод!$B$4,"",A1763+1))</f>
        <v/>
      </c>
      <c r="B1764" s="23" t="str">
        <f>IF(A1764="","",IFERROR(INDEX(Ввод!$B$12:$B$71,MATCH(A1764,Ввод!$D$12:$D$71,1)),""))</f>
        <v/>
      </c>
      <c r="C1764" t="str">
        <f t="shared" si="54"/>
        <v/>
      </c>
      <c r="D1764" t="str">
        <f>IF(A1764="","",SUMIFS(Акты!$D$5:$D$16,Акты!$E$5:$E$16,"&lt;="&amp;A1764)-SUMIFS(Оплаты!$B$6:$B$505,Оплаты!$A$6:$A$505,"&lt;"&amp;A1764,Оплаты!$D$6:$D$505,"&lt;&gt;"))</f>
        <v/>
      </c>
      <c r="E1764" t="str">
        <f>IF(A1764="","",IF(SUMPRODUCT((Ввод!$F$12:$F$31&lt;&gt;"")*(Ввод!$F$12:$F$31&lt;=A1764)*(Ввод!$G$12:$G$31&gt;=A1764))&gt;0,1,0))</f>
        <v/>
      </c>
      <c r="G1764" t="str">
        <f t="shared" si="55"/>
        <v/>
      </c>
    </row>
    <row r="1765" spans="1:7" x14ac:dyDescent="0.3">
      <c r="A1765" s="21" t="str">
        <f>IF(A1764="","",IF(A1764+1&gt;Ввод!$B$4,"",A1764+1))</f>
        <v/>
      </c>
      <c r="B1765" s="23" t="str">
        <f>IF(A1765="","",IFERROR(INDEX(Ввод!$B$12:$B$71,MATCH(A1765,Ввод!$D$12:$D$71,1)),""))</f>
        <v/>
      </c>
      <c r="C1765" t="str">
        <f t="shared" si="54"/>
        <v/>
      </c>
      <c r="D1765" t="str">
        <f>IF(A1765="","",SUMIFS(Акты!$D$5:$D$16,Акты!$E$5:$E$16,"&lt;="&amp;A1765)-SUMIFS(Оплаты!$B$6:$B$505,Оплаты!$A$6:$A$505,"&lt;"&amp;A1765,Оплаты!$D$6:$D$505,"&lt;&gt;"))</f>
        <v/>
      </c>
      <c r="E1765" t="str">
        <f>IF(A1765="","",IF(SUMPRODUCT((Ввод!$F$12:$F$31&lt;&gt;"")*(Ввод!$F$12:$F$31&lt;=A1765)*(Ввод!$G$12:$G$31&gt;=A1765))&gt;0,1,0))</f>
        <v/>
      </c>
      <c r="G1765" t="str">
        <f t="shared" si="55"/>
        <v/>
      </c>
    </row>
    <row r="1766" spans="1:7" x14ac:dyDescent="0.3">
      <c r="A1766" s="21" t="str">
        <f>IF(A1765="","",IF(A1765+1&gt;Ввод!$B$4,"",A1765+1))</f>
        <v/>
      </c>
      <c r="B1766" s="23" t="str">
        <f>IF(A1766="","",IFERROR(INDEX(Ввод!$B$12:$B$71,MATCH(A1766,Ввод!$D$12:$D$71,1)),""))</f>
        <v/>
      </c>
      <c r="C1766" t="str">
        <f t="shared" si="54"/>
        <v/>
      </c>
      <c r="D1766" t="str">
        <f>IF(A1766="","",SUMIFS(Акты!$D$5:$D$16,Акты!$E$5:$E$16,"&lt;="&amp;A1766)-SUMIFS(Оплаты!$B$6:$B$505,Оплаты!$A$6:$A$505,"&lt;"&amp;A1766,Оплаты!$D$6:$D$505,"&lt;&gt;"))</f>
        <v/>
      </c>
      <c r="E1766" t="str">
        <f>IF(A1766="","",IF(SUMPRODUCT((Ввод!$F$12:$F$31&lt;&gt;"")*(Ввод!$F$12:$F$31&lt;=A1766)*(Ввод!$G$12:$G$31&gt;=A1766))&gt;0,1,0))</f>
        <v/>
      </c>
      <c r="G1766" t="str">
        <f t="shared" si="55"/>
        <v/>
      </c>
    </row>
    <row r="1767" spans="1:7" x14ac:dyDescent="0.3">
      <c r="A1767" s="21" t="str">
        <f>IF(A1766="","",IF(A1766+1&gt;Ввод!$B$4,"",A1766+1))</f>
        <v/>
      </c>
      <c r="B1767" s="23" t="str">
        <f>IF(A1767="","",IFERROR(INDEX(Ввод!$B$12:$B$71,MATCH(A1767,Ввод!$D$12:$D$71,1)),""))</f>
        <v/>
      </c>
      <c r="C1767" t="str">
        <f t="shared" si="54"/>
        <v/>
      </c>
      <c r="D1767" t="str">
        <f>IF(A1767="","",SUMIFS(Акты!$D$5:$D$16,Акты!$E$5:$E$16,"&lt;="&amp;A1767)-SUMIFS(Оплаты!$B$6:$B$505,Оплаты!$A$6:$A$505,"&lt;"&amp;A1767,Оплаты!$D$6:$D$505,"&lt;&gt;"))</f>
        <v/>
      </c>
      <c r="E1767" t="str">
        <f>IF(A1767="","",IF(SUMPRODUCT((Ввод!$F$12:$F$31&lt;&gt;"")*(Ввод!$F$12:$F$31&lt;=A1767)*(Ввод!$G$12:$G$31&gt;=A1767))&gt;0,1,0))</f>
        <v/>
      </c>
      <c r="G1767" t="str">
        <f t="shared" si="55"/>
        <v/>
      </c>
    </row>
    <row r="1768" spans="1:7" x14ac:dyDescent="0.3">
      <c r="A1768" s="21" t="str">
        <f>IF(A1767="","",IF(A1767+1&gt;Ввод!$B$4,"",A1767+1))</f>
        <v/>
      </c>
      <c r="B1768" s="23" t="str">
        <f>IF(A1768="","",IFERROR(INDEX(Ввод!$B$12:$B$71,MATCH(A1768,Ввод!$D$12:$D$71,1)),""))</f>
        <v/>
      </c>
      <c r="C1768" t="str">
        <f t="shared" si="54"/>
        <v/>
      </c>
      <c r="D1768" t="str">
        <f>IF(A1768="","",SUMIFS(Акты!$D$5:$D$16,Акты!$E$5:$E$16,"&lt;="&amp;A1768)-SUMIFS(Оплаты!$B$6:$B$505,Оплаты!$A$6:$A$505,"&lt;"&amp;A1768,Оплаты!$D$6:$D$505,"&lt;&gt;"))</f>
        <v/>
      </c>
      <c r="E1768" t="str">
        <f>IF(A1768="","",IF(SUMPRODUCT((Ввод!$F$12:$F$31&lt;&gt;"")*(Ввод!$F$12:$F$31&lt;=A1768)*(Ввод!$G$12:$G$31&gt;=A1768))&gt;0,1,0))</f>
        <v/>
      </c>
      <c r="G1768" t="str">
        <f t="shared" si="55"/>
        <v/>
      </c>
    </row>
    <row r="1769" spans="1:7" x14ac:dyDescent="0.3">
      <c r="A1769" s="21" t="str">
        <f>IF(A1768="","",IF(A1768+1&gt;Ввод!$B$4,"",A1768+1))</f>
        <v/>
      </c>
      <c r="B1769" s="23" t="str">
        <f>IF(A1769="","",IFERROR(INDEX(Ввод!$B$12:$B$71,MATCH(A1769,Ввод!$D$12:$D$71,1)),""))</f>
        <v/>
      </c>
      <c r="C1769" t="str">
        <f t="shared" si="54"/>
        <v/>
      </c>
      <c r="D1769" t="str">
        <f>IF(A1769="","",SUMIFS(Акты!$D$5:$D$16,Акты!$E$5:$E$16,"&lt;="&amp;A1769)-SUMIFS(Оплаты!$B$6:$B$505,Оплаты!$A$6:$A$505,"&lt;"&amp;A1769,Оплаты!$D$6:$D$505,"&lt;&gt;"))</f>
        <v/>
      </c>
      <c r="E1769" t="str">
        <f>IF(A1769="","",IF(SUMPRODUCT((Ввод!$F$12:$F$31&lt;&gt;"")*(Ввод!$F$12:$F$31&lt;=A1769)*(Ввод!$G$12:$G$31&gt;=A1769))&gt;0,1,0))</f>
        <v/>
      </c>
      <c r="G1769" t="str">
        <f t="shared" si="55"/>
        <v/>
      </c>
    </row>
    <row r="1770" spans="1:7" x14ac:dyDescent="0.3">
      <c r="A1770" s="21" t="str">
        <f>IF(A1769="","",IF(A1769+1&gt;Ввод!$B$4,"",A1769+1))</f>
        <v/>
      </c>
      <c r="B1770" s="23" t="str">
        <f>IF(A1770="","",IFERROR(INDEX(Ввод!$B$12:$B$71,MATCH(A1770,Ввод!$D$12:$D$71,1)),""))</f>
        <v/>
      </c>
      <c r="C1770" t="str">
        <f t="shared" si="54"/>
        <v/>
      </c>
      <c r="D1770" t="str">
        <f>IF(A1770="","",SUMIFS(Акты!$D$5:$D$16,Акты!$E$5:$E$16,"&lt;="&amp;A1770)-SUMIFS(Оплаты!$B$6:$B$505,Оплаты!$A$6:$A$505,"&lt;"&amp;A1770,Оплаты!$D$6:$D$505,"&lt;&gt;"))</f>
        <v/>
      </c>
      <c r="E1770" t="str">
        <f>IF(A1770="","",IF(SUMPRODUCT((Ввод!$F$12:$F$31&lt;&gt;"")*(Ввод!$F$12:$F$31&lt;=A1770)*(Ввод!$G$12:$G$31&gt;=A1770))&gt;0,1,0))</f>
        <v/>
      </c>
      <c r="G1770" t="str">
        <f t="shared" si="55"/>
        <v/>
      </c>
    </row>
    <row r="1771" spans="1:7" x14ac:dyDescent="0.3">
      <c r="A1771" s="21" t="str">
        <f>IF(A1770="","",IF(A1770+1&gt;Ввод!$B$4,"",A1770+1))</f>
        <v/>
      </c>
      <c r="B1771" s="23" t="str">
        <f>IF(A1771="","",IFERROR(INDEX(Ввод!$B$12:$B$71,MATCH(A1771,Ввод!$D$12:$D$71,1)),""))</f>
        <v/>
      </c>
      <c r="C1771" t="str">
        <f t="shared" si="54"/>
        <v/>
      </c>
      <c r="D1771" t="str">
        <f>IF(A1771="","",SUMIFS(Акты!$D$5:$D$16,Акты!$E$5:$E$16,"&lt;="&amp;A1771)-SUMIFS(Оплаты!$B$6:$B$505,Оплаты!$A$6:$A$505,"&lt;"&amp;A1771,Оплаты!$D$6:$D$505,"&lt;&gt;"))</f>
        <v/>
      </c>
      <c r="E1771" t="str">
        <f>IF(A1771="","",IF(SUMPRODUCT((Ввод!$F$12:$F$31&lt;&gt;"")*(Ввод!$F$12:$F$31&lt;=A1771)*(Ввод!$G$12:$G$31&gt;=A1771))&gt;0,1,0))</f>
        <v/>
      </c>
      <c r="G1771" t="str">
        <f t="shared" si="55"/>
        <v/>
      </c>
    </row>
    <row r="1772" spans="1:7" x14ac:dyDescent="0.3">
      <c r="A1772" s="21" t="str">
        <f>IF(A1771="","",IF(A1771+1&gt;Ввод!$B$4,"",A1771+1))</f>
        <v/>
      </c>
      <c r="B1772" s="23" t="str">
        <f>IF(A1772="","",IFERROR(INDEX(Ввод!$B$12:$B$71,MATCH(A1772,Ввод!$D$12:$D$71,1)),""))</f>
        <v/>
      </c>
      <c r="C1772" t="str">
        <f t="shared" si="54"/>
        <v/>
      </c>
      <c r="D1772" t="str">
        <f>IF(A1772="","",SUMIFS(Акты!$D$5:$D$16,Акты!$E$5:$E$16,"&lt;="&amp;A1772)-SUMIFS(Оплаты!$B$6:$B$505,Оплаты!$A$6:$A$505,"&lt;"&amp;A1772,Оплаты!$D$6:$D$505,"&lt;&gt;"))</f>
        <v/>
      </c>
      <c r="E1772" t="str">
        <f>IF(A1772="","",IF(SUMPRODUCT((Ввод!$F$12:$F$31&lt;&gt;"")*(Ввод!$F$12:$F$31&lt;=A1772)*(Ввод!$G$12:$G$31&gt;=A1772))&gt;0,1,0))</f>
        <v/>
      </c>
      <c r="G1772" t="str">
        <f t="shared" si="55"/>
        <v/>
      </c>
    </row>
    <row r="1773" spans="1:7" x14ac:dyDescent="0.3">
      <c r="A1773" s="21" t="str">
        <f>IF(A1772="","",IF(A1772+1&gt;Ввод!$B$4,"",A1772+1))</f>
        <v/>
      </c>
      <c r="B1773" s="23" t="str">
        <f>IF(A1773="","",IFERROR(INDEX(Ввод!$B$12:$B$71,MATCH(A1773,Ввод!$D$12:$D$71,1)),""))</f>
        <v/>
      </c>
      <c r="C1773" t="str">
        <f t="shared" si="54"/>
        <v/>
      </c>
      <c r="D1773" t="str">
        <f>IF(A1773="","",SUMIFS(Акты!$D$5:$D$16,Акты!$E$5:$E$16,"&lt;="&amp;A1773)-SUMIFS(Оплаты!$B$6:$B$505,Оплаты!$A$6:$A$505,"&lt;"&amp;A1773,Оплаты!$D$6:$D$505,"&lt;&gt;"))</f>
        <v/>
      </c>
      <c r="E1773" t="str">
        <f>IF(A1773="","",IF(SUMPRODUCT((Ввод!$F$12:$F$31&lt;&gt;"")*(Ввод!$F$12:$F$31&lt;=A1773)*(Ввод!$G$12:$G$31&gt;=A1773))&gt;0,1,0))</f>
        <v/>
      </c>
      <c r="G1773" t="str">
        <f t="shared" si="55"/>
        <v/>
      </c>
    </row>
    <row r="1774" spans="1:7" x14ac:dyDescent="0.3">
      <c r="A1774" s="21" t="str">
        <f>IF(A1773="","",IF(A1773+1&gt;Ввод!$B$4,"",A1773+1))</f>
        <v/>
      </c>
      <c r="B1774" s="23" t="str">
        <f>IF(A1774="","",IFERROR(INDEX(Ввод!$B$12:$B$71,MATCH(A1774,Ввод!$D$12:$D$71,1)),""))</f>
        <v/>
      </c>
      <c r="C1774" t="str">
        <f t="shared" si="54"/>
        <v/>
      </c>
      <c r="D1774" t="str">
        <f>IF(A1774="","",SUMIFS(Акты!$D$5:$D$16,Акты!$E$5:$E$16,"&lt;="&amp;A1774)-SUMIFS(Оплаты!$B$6:$B$505,Оплаты!$A$6:$A$505,"&lt;"&amp;A1774,Оплаты!$D$6:$D$505,"&lt;&gt;"))</f>
        <v/>
      </c>
      <c r="E1774" t="str">
        <f>IF(A1774="","",IF(SUMPRODUCT((Ввод!$F$12:$F$31&lt;&gt;"")*(Ввод!$F$12:$F$31&lt;=A1774)*(Ввод!$G$12:$G$31&gt;=A1774))&gt;0,1,0))</f>
        <v/>
      </c>
      <c r="G1774" t="str">
        <f t="shared" si="55"/>
        <v/>
      </c>
    </row>
    <row r="1775" spans="1:7" x14ac:dyDescent="0.3">
      <c r="A1775" s="21" t="str">
        <f>IF(A1774="","",IF(A1774+1&gt;Ввод!$B$4,"",A1774+1))</f>
        <v/>
      </c>
      <c r="B1775" s="23" t="str">
        <f>IF(A1775="","",IFERROR(INDEX(Ввод!$B$12:$B$71,MATCH(A1775,Ввод!$D$12:$D$71,1)),""))</f>
        <v/>
      </c>
      <c r="C1775" t="str">
        <f t="shared" si="54"/>
        <v/>
      </c>
      <c r="D1775" t="str">
        <f>IF(A1775="","",SUMIFS(Акты!$D$5:$D$16,Акты!$E$5:$E$16,"&lt;="&amp;A1775)-SUMIFS(Оплаты!$B$6:$B$505,Оплаты!$A$6:$A$505,"&lt;"&amp;A1775,Оплаты!$D$6:$D$505,"&lt;&gt;"))</f>
        <v/>
      </c>
      <c r="E1775" t="str">
        <f>IF(A1775="","",IF(SUMPRODUCT((Ввод!$F$12:$F$31&lt;&gt;"")*(Ввод!$F$12:$F$31&lt;=A1775)*(Ввод!$G$12:$G$31&gt;=A1775))&gt;0,1,0))</f>
        <v/>
      </c>
      <c r="G1775" t="str">
        <f t="shared" si="55"/>
        <v/>
      </c>
    </row>
    <row r="1776" spans="1:7" x14ac:dyDescent="0.3">
      <c r="A1776" s="21" t="str">
        <f>IF(A1775="","",IF(A1775+1&gt;Ввод!$B$4,"",A1775+1))</f>
        <v/>
      </c>
      <c r="B1776" s="23" t="str">
        <f>IF(A1776="","",IFERROR(INDEX(Ввод!$B$12:$B$71,MATCH(A1776,Ввод!$D$12:$D$71,1)),""))</f>
        <v/>
      </c>
      <c r="C1776" t="str">
        <f t="shared" si="54"/>
        <v/>
      </c>
      <c r="D1776" t="str">
        <f>IF(A1776="","",SUMIFS(Акты!$D$5:$D$16,Акты!$E$5:$E$16,"&lt;="&amp;A1776)-SUMIFS(Оплаты!$B$6:$B$505,Оплаты!$A$6:$A$505,"&lt;"&amp;A1776,Оплаты!$D$6:$D$505,"&lt;&gt;"))</f>
        <v/>
      </c>
      <c r="E1776" t="str">
        <f>IF(A1776="","",IF(SUMPRODUCT((Ввод!$F$12:$F$31&lt;&gt;"")*(Ввод!$F$12:$F$31&lt;=A1776)*(Ввод!$G$12:$G$31&gt;=A1776))&gt;0,1,0))</f>
        <v/>
      </c>
      <c r="G1776" t="str">
        <f t="shared" si="55"/>
        <v/>
      </c>
    </row>
    <row r="1777" spans="1:7" x14ac:dyDescent="0.3">
      <c r="A1777" s="21" t="str">
        <f>IF(A1776="","",IF(A1776+1&gt;Ввод!$B$4,"",A1776+1))</f>
        <v/>
      </c>
      <c r="B1777" s="23" t="str">
        <f>IF(A1777="","",IFERROR(INDEX(Ввод!$B$12:$B$71,MATCH(A1777,Ввод!$D$12:$D$71,1)),""))</f>
        <v/>
      </c>
      <c r="C1777" t="str">
        <f t="shared" si="54"/>
        <v/>
      </c>
      <c r="D1777" t="str">
        <f>IF(A1777="","",SUMIFS(Акты!$D$5:$D$16,Акты!$E$5:$E$16,"&lt;="&amp;A1777)-SUMIFS(Оплаты!$B$6:$B$505,Оплаты!$A$6:$A$505,"&lt;"&amp;A1777,Оплаты!$D$6:$D$505,"&lt;&gt;"))</f>
        <v/>
      </c>
      <c r="E1777" t="str">
        <f>IF(A1777="","",IF(SUMPRODUCT((Ввод!$F$12:$F$31&lt;&gt;"")*(Ввод!$F$12:$F$31&lt;=A1777)*(Ввод!$G$12:$G$31&gt;=A1777))&gt;0,1,0))</f>
        <v/>
      </c>
      <c r="G1777" t="str">
        <f t="shared" si="55"/>
        <v/>
      </c>
    </row>
    <row r="1778" spans="1:7" x14ac:dyDescent="0.3">
      <c r="A1778" s="21" t="str">
        <f>IF(A1777="","",IF(A1777+1&gt;Ввод!$B$4,"",A1777+1))</f>
        <v/>
      </c>
      <c r="B1778" s="23" t="str">
        <f>IF(A1778="","",IFERROR(INDEX(Ввод!$B$12:$B$71,MATCH(A1778,Ввод!$D$12:$D$71,1)),""))</f>
        <v/>
      </c>
      <c r="C1778" t="str">
        <f t="shared" si="54"/>
        <v/>
      </c>
      <c r="D1778" t="str">
        <f>IF(A1778="","",SUMIFS(Акты!$D$5:$D$16,Акты!$E$5:$E$16,"&lt;="&amp;A1778)-SUMIFS(Оплаты!$B$6:$B$505,Оплаты!$A$6:$A$505,"&lt;"&amp;A1778,Оплаты!$D$6:$D$505,"&lt;&gt;"))</f>
        <v/>
      </c>
      <c r="E1778" t="str">
        <f>IF(A1778="","",IF(SUMPRODUCT((Ввод!$F$12:$F$31&lt;&gt;"")*(Ввод!$F$12:$F$31&lt;=A1778)*(Ввод!$G$12:$G$31&gt;=A1778))&gt;0,1,0))</f>
        <v/>
      </c>
      <c r="G1778" t="str">
        <f t="shared" si="55"/>
        <v/>
      </c>
    </row>
    <row r="1779" spans="1:7" x14ac:dyDescent="0.3">
      <c r="A1779" s="21" t="str">
        <f>IF(A1778="","",IF(A1778+1&gt;Ввод!$B$4,"",A1778+1))</f>
        <v/>
      </c>
      <c r="B1779" s="23" t="str">
        <f>IF(A1779="","",IFERROR(INDEX(Ввод!$B$12:$B$71,MATCH(A1779,Ввод!$D$12:$D$71,1)),""))</f>
        <v/>
      </c>
      <c r="C1779" t="str">
        <f t="shared" si="54"/>
        <v/>
      </c>
      <c r="D1779" t="str">
        <f>IF(A1779="","",SUMIFS(Акты!$D$5:$D$16,Акты!$E$5:$E$16,"&lt;="&amp;A1779)-SUMIFS(Оплаты!$B$6:$B$505,Оплаты!$A$6:$A$505,"&lt;"&amp;A1779,Оплаты!$D$6:$D$505,"&lt;&gt;"))</f>
        <v/>
      </c>
      <c r="E1779" t="str">
        <f>IF(A1779="","",IF(SUMPRODUCT((Ввод!$F$12:$F$31&lt;&gt;"")*(Ввод!$F$12:$F$31&lt;=A1779)*(Ввод!$G$12:$G$31&gt;=A1779))&gt;0,1,0))</f>
        <v/>
      </c>
      <c r="G1779" t="str">
        <f t="shared" si="55"/>
        <v/>
      </c>
    </row>
    <row r="1780" spans="1:7" x14ac:dyDescent="0.3">
      <c r="A1780" s="21" t="str">
        <f>IF(A1779="","",IF(A1779+1&gt;Ввод!$B$4,"",A1779+1))</f>
        <v/>
      </c>
      <c r="B1780" s="23" t="str">
        <f>IF(A1780="","",IFERROR(INDEX(Ввод!$B$12:$B$71,MATCH(A1780,Ввод!$D$12:$D$71,1)),""))</f>
        <v/>
      </c>
      <c r="C1780" t="str">
        <f t="shared" si="54"/>
        <v/>
      </c>
      <c r="D1780" t="str">
        <f>IF(A1780="","",SUMIFS(Акты!$D$5:$D$16,Акты!$E$5:$E$16,"&lt;="&amp;A1780)-SUMIFS(Оплаты!$B$6:$B$505,Оплаты!$A$6:$A$505,"&lt;"&amp;A1780,Оплаты!$D$6:$D$505,"&lt;&gt;"))</f>
        <v/>
      </c>
      <c r="E1780" t="str">
        <f>IF(A1780="","",IF(SUMPRODUCT((Ввод!$F$12:$F$31&lt;&gt;"")*(Ввод!$F$12:$F$31&lt;=A1780)*(Ввод!$G$12:$G$31&gt;=A1780))&gt;0,1,0))</f>
        <v/>
      </c>
      <c r="G1780" t="str">
        <f t="shared" si="55"/>
        <v/>
      </c>
    </row>
    <row r="1781" spans="1:7" x14ac:dyDescent="0.3">
      <c r="A1781" s="21" t="str">
        <f>IF(A1780="","",IF(A1780+1&gt;Ввод!$B$4,"",A1780+1))</f>
        <v/>
      </c>
      <c r="B1781" s="23" t="str">
        <f>IF(A1781="","",IFERROR(INDEX(Ввод!$B$12:$B$71,MATCH(A1781,Ввод!$D$12:$D$71,1)),""))</f>
        <v/>
      </c>
      <c r="C1781" t="str">
        <f t="shared" si="54"/>
        <v/>
      </c>
      <c r="D1781" t="str">
        <f>IF(A1781="","",SUMIFS(Акты!$D$5:$D$16,Акты!$E$5:$E$16,"&lt;="&amp;A1781)-SUMIFS(Оплаты!$B$6:$B$505,Оплаты!$A$6:$A$505,"&lt;"&amp;A1781,Оплаты!$D$6:$D$505,"&lt;&gt;"))</f>
        <v/>
      </c>
      <c r="E1781" t="str">
        <f>IF(A1781="","",IF(SUMPRODUCT((Ввод!$F$12:$F$31&lt;&gt;"")*(Ввод!$F$12:$F$31&lt;=A1781)*(Ввод!$G$12:$G$31&gt;=A1781))&gt;0,1,0))</f>
        <v/>
      </c>
      <c r="G1781" t="str">
        <f t="shared" si="55"/>
        <v/>
      </c>
    </row>
    <row r="1782" spans="1:7" x14ac:dyDescent="0.3">
      <c r="A1782" s="21" t="str">
        <f>IF(A1781="","",IF(A1781+1&gt;Ввод!$B$4,"",A1781+1))</f>
        <v/>
      </c>
      <c r="B1782" s="23" t="str">
        <f>IF(A1782="","",IFERROR(INDEX(Ввод!$B$12:$B$71,MATCH(A1782,Ввод!$D$12:$D$71,1)),""))</f>
        <v/>
      </c>
      <c r="C1782" t="str">
        <f t="shared" si="54"/>
        <v/>
      </c>
      <c r="D1782" t="str">
        <f>IF(A1782="","",SUMIFS(Акты!$D$5:$D$16,Акты!$E$5:$E$16,"&lt;="&amp;A1782)-SUMIFS(Оплаты!$B$6:$B$505,Оплаты!$A$6:$A$505,"&lt;"&amp;A1782,Оплаты!$D$6:$D$505,"&lt;&gt;"))</f>
        <v/>
      </c>
      <c r="E1782" t="str">
        <f>IF(A1782="","",IF(SUMPRODUCT((Ввод!$F$12:$F$31&lt;&gt;"")*(Ввод!$F$12:$F$31&lt;=A1782)*(Ввод!$G$12:$G$31&gt;=A1782))&gt;0,1,0))</f>
        <v/>
      </c>
      <c r="G1782" t="str">
        <f t="shared" si="55"/>
        <v/>
      </c>
    </row>
    <row r="1783" spans="1:7" x14ac:dyDescent="0.3">
      <c r="A1783" s="21" t="str">
        <f>IF(A1782="","",IF(A1782+1&gt;Ввод!$B$4,"",A1782+1))</f>
        <v/>
      </c>
      <c r="B1783" s="23" t="str">
        <f>IF(A1783="","",IFERROR(INDEX(Ввод!$B$12:$B$71,MATCH(A1783,Ввод!$D$12:$D$71,1)),""))</f>
        <v/>
      </c>
      <c r="C1783" t="str">
        <f t="shared" si="54"/>
        <v/>
      </c>
      <c r="D1783" t="str">
        <f>IF(A1783="","",SUMIFS(Акты!$D$5:$D$16,Акты!$E$5:$E$16,"&lt;="&amp;A1783)-SUMIFS(Оплаты!$B$6:$B$505,Оплаты!$A$6:$A$505,"&lt;"&amp;A1783,Оплаты!$D$6:$D$505,"&lt;&gt;"))</f>
        <v/>
      </c>
      <c r="E1783" t="str">
        <f>IF(A1783="","",IF(SUMPRODUCT((Ввод!$F$12:$F$31&lt;&gt;"")*(Ввод!$F$12:$F$31&lt;=A1783)*(Ввод!$G$12:$G$31&gt;=A1783))&gt;0,1,0))</f>
        <v/>
      </c>
      <c r="G1783" t="str">
        <f t="shared" si="55"/>
        <v/>
      </c>
    </row>
    <row r="1784" spans="1:7" x14ac:dyDescent="0.3">
      <c r="A1784" s="21" t="str">
        <f>IF(A1783="","",IF(A1783+1&gt;Ввод!$B$4,"",A1783+1))</f>
        <v/>
      </c>
      <c r="B1784" s="23" t="str">
        <f>IF(A1784="","",IFERROR(INDEX(Ввод!$B$12:$B$71,MATCH(A1784,Ввод!$D$12:$D$71,1)),""))</f>
        <v/>
      </c>
      <c r="C1784" t="str">
        <f t="shared" si="54"/>
        <v/>
      </c>
      <c r="D1784" t="str">
        <f>IF(A1784="","",SUMIFS(Акты!$D$5:$D$16,Акты!$E$5:$E$16,"&lt;="&amp;A1784)-SUMIFS(Оплаты!$B$6:$B$505,Оплаты!$A$6:$A$505,"&lt;"&amp;A1784,Оплаты!$D$6:$D$505,"&lt;&gt;"))</f>
        <v/>
      </c>
      <c r="E1784" t="str">
        <f>IF(A1784="","",IF(SUMPRODUCT((Ввод!$F$12:$F$31&lt;&gt;"")*(Ввод!$F$12:$F$31&lt;=A1784)*(Ввод!$G$12:$G$31&gt;=A1784))&gt;0,1,0))</f>
        <v/>
      </c>
      <c r="G1784" t="str">
        <f t="shared" si="55"/>
        <v/>
      </c>
    </row>
    <row r="1785" spans="1:7" x14ac:dyDescent="0.3">
      <c r="A1785" s="21" t="str">
        <f>IF(A1784="","",IF(A1784+1&gt;Ввод!$B$4,"",A1784+1))</f>
        <v/>
      </c>
      <c r="B1785" s="23" t="str">
        <f>IF(A1785="","",IFERROR(INDEX(Ввод!$B$12:$B$71,MATCH(A1785,Ввод!$D$12:$D$71,1)),""))</f>
        <v/>
      </c>
      <c r="C1785" t="str">
        <f t="shared" si="54"/>
        <v/>
      </c>
      <c r="D1785" t="str">
        <f>IF(A1785="","",SUMIFS(Акты!$D$5:$D$16,Акты!$E$5:$E$16,"&lt;="&amp;A1785)-SUMIFS(Оплаты!$B$6:$B$505,Оплаты!$A$6:$A$505,"&lt;"&amp;A1785,Оплаты!$D$6:$D$505,"&lt;&gt;"))</f>
        <v/>
      </c>
      <c r="E1785" t="str">
        <f>IF(A1785="","",IF(SUMPRODUCT((Ввод!$F$12:$F$31&lt;&gt;"")*(Ввод!$F$12:$F$31&lt;=A1785)*(Ввод!$G$12:$G$31&gt;=A1785))&gt;0,1,0))</f>
        <v/>
      </c>
      <c r="G1785" t="str">
        <f t="shared" si="55"/>
        <v/>
      </c>
    </row>
    <row r="1786" spans="1:7" x14ac:dyDescent="0.3">
      <c r="A1786" s="21" t="str">
        <f>IF(A1785="","",IF(A1785+1&gt;Ввод!$B$4,"",A1785+1))</f>
        <v/>
      </c>
      <c r="B1786" s="23" t="str">
        <f>IF(A1786="","",IFERROR(INDEX(Ввод!$B$12:$B$71,MATCH(A1786,Ввод!$D$12:$D$71,1)),""))</f>
        <v/>
      </c>
      <c r="C1786" t="str">
        <f t="shared" si="54"/>
        <v/>
      </c>
      <c r="D1786" t="str">
        <f>IF(A1786="","",SUMIFS(Акты!$D$5:$D$16,Акты!$E$5:$E$16,"&lt;="&amp;A1786)-SUMIFS(Оплаты!$B$6:$B$505,Оплаты!$A$6:$A$505,"&lt;"&amp;A1786,Оплаты!$D$6:$D$505,"&lt;&gt;"))</f>
        <v/>
      </c>
      <c r="E1786" t="str">
        <f>IF(A1786="","",IF(SUMPRODUCT((Ввод!$F$12:$F$31&lt;&gt;"")*(Ввод!$F$12:$F$31&lt;=A1786)*(Ввод!$G$12:$G$31&gt;=A1786))&gt;0,1,0))</f>
        <v/>
      </c>
      <c r="G1786" t="str">
        <f t="shared" si="55"/>
        <v/>
      </c>
    </row>
    <row r="1787" spans="1:7" x14ac:dyDescent="0.3">
      <c r="A1787" s="21" t="str">
        <f>IF(A1786="","",IF(A1786+1&gt;Ввод!$B$4,"",A1786+1))</f>
        <v/>
      </c>
      <c r="B1787" s="23" t="str">
        <f>IF(A1787="","",IFERROR(INDEX(Ввод!$B$12:$B$71,MATCH(A1787,Ввод!$D$12:$D$71,1)),""))</f>
        <v/>
      </c>
      <c r="C1787" t="str">
        <f t="shared" si="54"/>
        <v/>
      </c>
      <c r="D1787" t="str">
        <f>IF(A1787="","",SUMIFS(Акты!$D$5:$D$16,Акты!$E$5:$E$16,"&lt;="&amp;A1787)-SUMIFS(Оплаты!$B$6:$B$505,Оплаты!$A$6:$A$505,"&lt;"&amp;A1787,Оплаты!$D$6:$D$505,"&lt;&gt;"))</f>
        <v/>
      </c>
      <c r="E1787" t="str">
        <f>IF(A1787="","",IF(SUMPRODUCT((Ввод!$F$12:$F$31&lt;&gt;"")*(Ввод!$F$12:$F$31&lt;=A1787)*(Ввод!$G$12:$G$31&gt;=A1787))&gt;0,1,0))</f>
        <v/>
      </c>
      <c r="G1787" t="str">
        <f t="shared" si="55"/>
        <v/>
      </c>
    </row>
    <row r="1788" spans="1:7" x14ac:dyDescent="0.3">
      <c r="A1788" s="21" t="str">
        <f>IF(A1787="","",IF(A1787+1&gt;Ввод!$B$4,"",A1787+1))</f>
        <v/>
      </c>
      <c r="B1788" s="23" t="str">
        <f>IF(A1788="","",IFERROR(INDEX(Ввод!$B$12:$B$71,MATCH(A1788,Ввод!$D$12:$D$71,1)),""))</f>
        <v/>
      </c>
      <c r="C1788" t="str">
        <f t="shared" si="54"/>
        <v/>
      </c>
      <c r="D1788" t="str">
        <f>IF(A1788="","",SUMIFS(Акты!$D$5:$D$16,Акты!$E$5:$E$16,"&lt;="&amp;A1788)-SUMIFS(Оплаты!$B$6:$B$505,Оплаты!$A$6:$A$505,"&lt;"&amp;A1788,Оплаты!$D$6:$D$505,"&lt;&gt;"))</f>
        <v/>
      </c>
      <c r="E1788" t="str">
        <f>IF(A1788="","",IF(SUMPRODUCT((Ввод!$F$12:$F$31&lt;&gt;"")*(Ввод!$F$12:$F$31&lt;=A1788)*(Ввод!$G$12:$G$31&gt;=A1788))&gt;0,1,0))</f>
        <v/>
      </c>
      <c r="G1788" t="str">
        <f t="shared" si="55"/>
        <v/>
      </c>
    </row>
    <row r="1789" spans="1:7" x14ac:dyDescent="0.3">
      <c r="A1789" s="21" t="str">
        <f>IF(A1788="","",IF(A1788+1&gt;Ввод!$B$4,"",A1788+1))</f>
        <v/>
      </c>
      <c r="B1789" s="23" t="str">
        <f>IF(A1789="","",IFERROR(INDEX(Ввод!$B$12:$B$71,MATCH(A1789,Ввод!$D$12:$D$71,1)),""))</f>
        <v/>
      </c>
      <c r="C1789" t="str">
        <f t="shared" si="54"/>
        <v/>
      </c>
      <c r="D1789" t="str">
        <f>IF(A1789="","",SUMIFS(Акты!$D$5:$D$16,Акты!$E$5:$E$16,"&lt;="&amp;A1789)-SUMIFS(Оплаты!$B$6:$B$505,Оплаты!$A$6:$A$505,"&lt;"&amp;A1789,Оплаты!$D$6:$D$505,"&lt;&gt;"))</f>
        <v/>
      </c>
      <c r="E1789" t="str">
        <f>IF(A1789="","",IF(SUMPRODUCT((Ввод!$F$12:$F$31&lt;&gt;"")*(Ввод!$F$12:$F$31&lt;=A1789)*(Ввод!$G$12:$G$31&gt;=A1789))&gt;0,1,0))</f>
        <v/>
      </c>
      <c r="G1789" t="str">
        <f t="shared" si="55"/>
        <v/>
      </c>
    </row>
    <row r="1790" spans="1:7" x14ac:dyDescent="0.3">
      <c r="A1790" s="21" t="str">
        <f>IF(A1789="","",IF(A1789+1&gt;Ввод!$B$4,"",A1789+1))</f>
        <v/>
      </c>
      <c r="B1790" s="23" t="str">
        <f>IF(A1790="","",IFERROR(INDEX(Ввод!$B$12:$B$71,MATCH(A1790,Ввод!$D$12:$D$71,1)),""))</f>
        <v/>
      </c>
      <c r="C1790" t="str">
        <f t="shared" si="54"/>
        <v/>
      </c>
      <c r="D1790" t="str">
        <f>IF(A1790="","",SUMIFS(Акты!$D$5:$D$16,Акты!$E$5:$E$16,"&lt;="&amp;A1790)-SUMIFS(Оплаты!$B$6:$B$505,Оплаты!$A$6:$A$505,"&lt;"&amp;A1790,Оплаты!$D$6:$D$505,"&lt;&gt;"))</f>
        <v/>
      </c>
      <c r="E1790" t="str">
        <f>IF(A1790="","",IF(SUMPRODUCT((Ввод!$F$12:$F$31&lt;&gt;"")*(Ввод!$F$12:$F$31&lt;=A1790)*(Ввод!$G$12:$G$31&gt;=A1790))&gt;0,1,0))</f>
        <v/>
      </c>
      <c r="G1790" t="str">
        <f t="shared" si="55"/>
        <v/>
      </c>
    </row>
    <row r="1791" spans="1:7" x14ac:dyDescent="0.3">
      <c r="A1791" s="21" t="str">
        <f>IF(A1790="","",IF(A1790+1&gt;Ввод!$B$4,"",A1790+1))</f>
        <v/>
      </c>
      <c r="B1791" s="23" t="str">
        <f>IF(A1791="","",IFERROR(INDEX(Ввод!$B$12:$B$71,MATCH(A1791,Ввод!$D$12:$D$71,1)),""))</f>
        <v/>
      </c>
      <c r="C1791" t="str">
        <f t="shared" si="54"/>
        <v/>
      </c>
      <c r="D1791" t="str">
        <f>IF(A1791="","",SUMIFS(Акты!$D$5:$D$16,Акты!$E$5:$E$16,"&lt;="&amp;A1791)-SUMIFS(Оплаты!$B$6:$B$505,Оплаты!$A$6:$A$505,"&lt;"&amp;A1791,Оплаты!$D$6:$D$505,"&lt;&gt;"))</f>
        <v/>
      </c>
      <c r="E1791" t="str">
        <f>IF(A1791="","",IF(SUMPRODUCT((Ввод!$F$12:$F$31&lt;&gt;"")*(Ввод!$F$12:$F$31&lt;=A1791)*(Ввод!$G$12:$G$31&gt;=A1791))&gt;0,1,0))</f>
        <v/>
      </c>
      <c r="G1791" t="str">
        <f t="shared" si="55"/>
        <v/>
      </c>
    </row>
    <row r="1792" spans="1:7" x14ac:dyDescent="0.3">
      <c r="A1792" s="21" t="str">
        <f>IF(A1791="","",IF(A1791+1&gt;Ввод!$B$4,"",A1791+1))</f>
        <v/>
      </c>
      <c r="B1792" s="23" t="str">
        <f>IF(A1792="","",IFERROR(INDEX(Ввод!$B$12:$B$71,MATCH(A1792,Ввод!$D$12:$D$71,1)),""))</f>
        <v/>
      </c>
      <c r="C1792" t="str">
        <f t="shared" si="54"/>
        <v/>
      </c>
      <c r="D1792" t="str">
        <f>IF(A1792="","",SUMIFS(Акты!$D$5:$D$16,Акты!$E$5:$E$16,"&lt;="&amp;A1792)-SUMIFS(Оплаты!$B$6:$B$505,Оплаты!$A$6:$A$505,"&lt;"&amp;A1792,Оплаты!$D$6:$D$505,"&lt;&gt;"))</f>
        <v/>
      </c>
      <c r="E1792" t="str">
        <f>IF(A1792="","",IF(SUMPRODUCT((Ввод!$F$12:$F$31&lt;&gt;"")*(Ввод!$F$12:$F$31&lt;=A1792)*(Ввод!$G$12:$G$31&gt;=A1792))&gt;0,1,0))</f>
        <v/>
      </c>
      <c r="G1792" t="str">
        <f t="shared" si="55"/>
        <v/>
      </c>
    </row>
    <row r="1793" spans="1:7" x14ac:dyDescent="0.3">
      <c r="A1793" s="21" t="str">
        <f>IF(A1792="","",IF(A1792+1&gt;Ввод!$B$4,"",A1792+1))</f>
        <v/>
      </c>
      <c r="B1793" s="23" t="str">
        <f>IF(A1793="","",IFERROR(INDEX(Ввод!$B$12:$B$71,MATCH(A1793,Ввод!$D$12:$D$71,1)),""))</f>
        <v/>
      </c>
      <c r="C1793" t="str">
        <f t="shared" si="54"/>
        <v/>
      </c>
      <c r="D1793" t="str">
        <f>IF(A1793="","",SUMIFS(Акты!$D$5:$D$16,Акты!$E$5:$E$16,"&lt;="&amp;A1793)-SUMIFS(Оплаты!$B$6:$B$505,Оплаты!$A$6:$A$505,"&lt;"&amp;A1793,Оплаты!$D$6:$D$505,"&lt;&gt;"))</f>
        <v/>
      </c>
      <c r="E1793" t="str">
        <f>IF(A1793="","",IF(SUMPRODUCT((Ввод!$F$12:$F$31&lt;&gt;"")*(Ввод!$F$12:$F$31&lt;=A1793)*(Ввод!$G$12:$G$31&gt;=A1793))&gt;0,1,0))</f>
        <v/>
      </c>
      <c r="G1793" t="str">
        <f t="shared" si="55"/>
        <v/>
      </c>
    </row>
    <row r="1794" spans="1:7" x14ac:dyDescent="0.3">
      <c r="A1794" s="21" t="str">
        <f>IF(A1793="","",IF(A1793+1&gt;Ввод!$B$4,"",A1793+1))</f>
        <v/>
      </c>
      <c r="B1794" s="23" t="str">
        <f>IF(A1794="","",IFERROR(INDEX(Ввод!$B$12:$B$71,MATCH(A1794,Ввод!$D$12:$D$71,1)),""))</f>
        <v/>
      </c>
      <c r="C1794" t="str">
        <f t="shared" ref="C1794:C1857" si="56">IF(A1794="","",DATE(YEAR(A1794),12,31)-DATE(YEAR(A1794),1,1)+1)</f>
        <v/>
      </c>
      <c r="D1794" t="str">
        <f>IF(A1794="","",SUMIFS(Акты!$D$5:$D$16,Акты!$E$5:$E$16,"&lt;="&amp;A1794)-SUMIFS(Оплаты!$B$6:$B$505,Оплаты!$A$6:$A$505,"&lt;"&amp;A1794,Оплаты!$D$6:$D$505,"&lt;&gt;"))</f>
        <v/>
      </c>
      <c r="E1794" t="str">
        <f>IF(A1794="","",IF(SUMPRODUCT((Ввод!$F$12:$F$31&lt;&gt;"")*(Ввод!$F$12:$F$31&lt;=A1794)*(Ввод!$G$12:$G$31&gt;=A1794))&gt;0,1,0))</f>
        <v/>
      </c>
      <c r="G1794" t="str">
        <f t="shared" si="55"/>
        <v/>
      </c>
    </row>
    <row r="1795" spans="1:7" x14ac:dyDescent="0.3">
      <c r="A1795" s="21" t="str">
        <f>IF(A1794="","",IF(A1794+1&gt;Ввод!$B$4,"",A1794+1))</f>
        <v/>
      </c>
      <c r="B1795" s="23" t="str">
        <f>IF(A1795="","",IFERROR(INDEX(Ввод!$B$12:$B$71,MATCH(A1795,Ввод!$D$12:$D$71,1)),""))</f>
        <v/>
      </c>
      <c r="C1795" t="str">
        <f t="shared" si="56"/>
        <v/>
      </c>
      <c r="D1795" t="str">
        <f>IF(A1795="","",SUMIFS(Акты!$D$5:$D$16,Акты!$E$5:$E$16,"&lt;="&amp;A1795)-SUMIFS(Оплаты!$B$6:$B$505,Оплаты!$A$6:$A$505,"&lt;"&amp;A1795,Оплаты!$D$6:$D$505,"&lt;&gt;"))</f>
        <v/>
      </c>
      <c r="E1795" t="str">
        <f>IF(A1795="","",IF(SUMPRODUCT((Ввод!$F$12:$F$31&lt;&gt;"")*(Ввод!$F$12:$F$31&lt;=A1795)*(Ввод!$G$12:$G$31&gt;=A1795))&gt;0,1,0))</f>
        <v/>
      </c>
      <c r="G1795" t="str">
        <f t="shared" ref="G1795:G1858" si="57">IF(A1795="","",IF(OR(B1795&lt;&gt;B1794,C1795&lt;&gt;C1794,E1795&lt;&gt;E1794),G1794+1,G1794))</f>
        <v/>
      </c>
    </row>
    <row r="1796" spans="1:7" x14ac:dyDescent="0.3">
      <c r="A1796" s="21" t="str">
        <f>IF(A1795="","",IF(A1795+1&gt;Ввод!$B$4,"",A1795+1))</f>
        <v/>
      </c>
      <c r="B1796" s="23" t="str">
        <f>IF(A1796="","",IFERROR(INDEX(Ввод!$B$12:$B$71,MATCH(A1796,Ввод!$D$12:$D$71,1)),""))</f>
        <v/>
      </c>
      <c r="C1796" t="str">
        <f t="shared" si="56"/>
        <v/>
      </c>
      <c r="D1796" t="str">
        <f>IF(A1796="","",SUMIFS(Акты!$D$5:$D$16,Акты!$E$5:$E$16,"&lt;="&amp;A1796)-SUMIFS(Оплаты!$B$6:$B$505,Оплаты!$A$6:$A$505,"&lt;"&amp;A1796,Оплаты!$D$6:$D$505,"&lt;&gt;"))</f>
        <v/>
      </c>
      <c r="E1796" t="str">
        <f>IF(A1796="","",IF(SUMPRODUCT((Ввод!$F$12:$F$31&lt;&gt;"")*(Ввод!$F$12:$F$31&lt;=A1796)*(Ввод!$G$12:$G$31&gt;=A1796))&gt;0,1,0))</f>
        <v/>
      </c>
      <c r="G1796" t="str">
        <f t="shared" si="57"/>
        <v/>
      </c>
    </row>
    <row r="1797" spans="1:7" x14ac:dyDescent="0.3">
      <c r="A1797" s="21" t="str">
        <f>IF(A1796="","",IF(A1796+1&gt;Ввод!$B$4,"",A1796+1))</f>
        <v/>
      </c>
      <c r="B1797" s="23" t="str">
        <f>IF(A1797="","",IFERROR(INDEX(Ввод!$B$12:$B$71,MATCH(A1797,Ввод!$D$12:$D$71,1)),""))</f>
        <v/>
      </c>
      <c r="C1797" t="str">
        <f t="shared" si="56"/>
        <v/>
      </c>
      <c r="D1797" t="str">
        <f>IF(A1797="","",SUMIFS(Акты!$D$5:$D$16,Акты!$E$5:$E$16,"&lt;="&amp;A1797)-SUMIFS(Оплаты!$B$6:$B$505,Оплаты!$A$6:$A$505,"&lt;"&amp;A1797,Оплаты!$D$6:$D$505,"&lt;&gt;"))</f>
        <v/>
      </c>
      <c r="E1797" t="str">
        <f>IF(A1797="","",IF(SUMPRODUCT((Ввод!$F$12:$F$31&lt;&gt;"")*(Ввод!$F$12:$F$31&lt;=A1797)*(Ввод!$G$12:$G$31&gt;=A1797))&gt;0,1,0))</f>
        <v/>
      </c>
      <c r="G1797" t="str">
        <f t="shared" si="57"/>
        <v/>
      </c>
    </row>
    <row r="1798" spans="1:7" x14ac:dyDescent="0.3">
      <c r="A1798" s="21" t="str">
        <f>IF(A1797="","",IF(A1797+1&gt;Ввод!$B$4,"",A1797+1))</f>
        <v/>
      </c>
      <c r="B1798" s="23" t="str">
        <f>IF(A1798="","",IFERROR(INDEX(Ввод!$B$12:$B$71,MATCH(A1798,Ввод!$D$12:$D$71,1)),""))</f>
        <v/>
      </c>
      <c r="C1798" t="str">
        <f t="shared" si="56"/>
        <v/>
      </c>
      <c r="D1798" t="str">
        <f>IF(A1798="","",SUMIFS(Акты!$D$5:$D$16,Акты!$E$5:$E$16,"&lt;="&amp;A1798)-SUMIFS(Оплаты!$B$6:$B$505,Оплаты!$A$6:$A$505,"&lt;"&amp;A1798,Оплаты!$D$6:$D$505,"&lt;&gt;"))</f>
        <v/>
      </c>
      <c r="E1798" t="str">
        <f>IF(A1798="","",IF(SUMPRODUCT((Ввод!$F$12:$F$31&lt;&gt;"")*(Ввод!$F$12:$F$31&lt;=A1798)*(Ввод!$G$12:$G$31&gt;=A1798))&gt;0,1,0))</f>
        <v/>
      </c>
      <c r="G1798" t="str">
        <f t="shared" si="57"/>
        <v/>
      </c>
    </row>
    <row r="1799" spans="1:7" x14ac:dyDescent="0.3">
      <c r="A1799" s="21" t="str">
        <f>IF(A1798="","",IF(A1798+1&gt;Ввод!$B$4,"",A1798+1))</f>
        <v/>
      </c>
      <c r="B1799" s="23" t="str">
        <f>IF(A1799="","",IFERROR(INDEX(Ввод!$B$12:$B$71,MATCH(A1799,Ввод!$D$12:$D$71,1)),""))</f>
        <v/>
      </c>
      <c r="C1799" t="str">
        <f t="shared" si="56"/>
        <v/>
      </c>
      <c r="D1799" t="str">
        <f>IF(A1799="","",SUMIFS(Акты!$D$5:$D$16,Акты!$E$5:$E$16,"&lt;="&amp;A1799)-SUMIFS(Оплаты!$B$6:$B$505,Оплаты!$A$6:$A$505,"&lt;"&amp;A1799,Оплаты!$D$6:$D$505,"&lt;&gt;"))</f>
        <v/>
      </c>
      <c r="E1799" t="str">
        <f>IF(A1799="","",IF(SUMPRODUCT((Ввод!$F$12:$F$31&lt;&gt;"")*(Ввод!$F$12:$F$31&lt;=A1799)*(Ввод!$G$12:$G$31&gt;=A1799))&gt;0,1,0))</f>
        <v/>
      </c>
      <c r="G1799" t="str">
        <f t="shared" si="57"/>
        <v/>
      </c>
    </row>
    <row r="1800" spans="1:7" x14ac:dyDescent="0.3">
      <c r="A1800" s="21" t="str">
        <f>IF(A1799="","",IF(A1799+1&gt;Ввод!$B$4,"",A1799+1))</f>
        <v/>
      </c>
      <c r="B1800" s="23" t="str">
        <f>IF(A1800="","",IFERROR(INDEX(Ввод!$B$12:$B$71,MATCH(A1800,Ввод!$D$12:$D$71,1)),""))</f>
        <v/>
      </c>
      <c r="C1800" t="str">
        <f t="shared" si="56"/>
        <v/>
      </c>
      <c r="D1800" t="str">
        <f>IF(A1800="","",SUMIFS(Акты!$D$5:$D$16,Акты!$E$5:$E$16,"&lt;="&amp;A1800)-SUMIFS(Оплаты!$B$6:$B$505,Оплаты!$A$6:$A$505,"&lt;"&amp;A1800,Оплаты!$D$6:$D$505,"&lt;&gt;"))</f>
        <v/>
      </c>
      <c r="E1800" t="str">
        <f>IF(A1800="","",IF(SUMPRODUCT((Ввод!$F$12:$F$31&lt;&gt;"")*(Ввод!$F$12:$F$31&lt;=A1800)*(Ввод!$G$12:$G$31&gt;=A1800))&gt;0,1,0))</f>
        <v/>
      </c>
      <c r="G1800" t="str">
        <f t="shared" si="57"/>
        <v/>
      </c>
    </row>
    <row r="1801" spans="1:7" x14ac:dyDescent="0.3">
      <c r="A1801" s="21" t="str">
        <f>IF(A1800="","",IF(A1800+1&gt;Ввод!$B$4,"",A1800+1))</f>
        <v/>
      </c>
      <c r="B1801" s="23" t="str">
        <f>IF(A1801="","",IFERROR(INDEX(Ввод!$B$12:$B$71,MATCH(A1801,Ввод!$D$12:$D$71,1)),""))</f>
        <v/>
      </c>
      <c r="C1801" t="str">
        <f t="shared" si="56"/>
        <v/>
      </c>
      <c r="D1801" t="str">
        <f>IF(A1801="","",SUMIFS(Акты!$D$5:$D$16,Акты!$E$5:$E$16,"&lt;="&amp;A1801)-SUMIFS(Оплаты!$B$6:$B$505,Оплаты!$A$6:$A$505,"&lt;"&amp;A1801,Оплаты!$D$6:$D$505,"&lt;&gt;"))</f>
        <v/>
      </c>
      <c r="E1801" t="str">
        <f>IF(A1801="","",IF(SUMPRODUCT((Ввод!$F$12:$F$31&lt;&gt;"")*(Ввод!$F$12:$F$31&lt;=A1801)*(Ввод!$G$12:$G$31&gt;=A1801))&gt;0,1,0))</f>
        <v/>
      </c>
      <c r="G1801" t="str">
        <f t="shared" si="57"/>
        <v/>
      </c>
    </row>
    <row r="1802" spans="1:7" x14ac:dyDescent="0.3">
      <c r="A1802" s="21" t="str">
        <f>IF(A1801="","",IF(A1801+1&gt;Ввод!$B$4,"",A1801+1))</f>
        <v/>
      </c>
      <c r="B1802" s="23" t="str">
        <f>IF(A1802="","",IFERROR(INDEX(Ввод!$B$12:$B$71,MATCH(A1802,Ввод!$D$12:$D$71,1)),""))</f>
        <v/>
      </c>
      <c r="C1802" t="str">
        <f t="shared" si="56"/>
        <v/>
      </c>
      <c r="D1802" t="str">
        <f>IF(A1802="","",SUMIFS(Акты!$D$5:$D$16,Акты!$E$5:$E$16,"&lt;="&amp;A1802)-SUMIFS(Оплаты!$B$6:$B$505,Оплаты!$A$6:$A$505,"&lt;"&amp;A1802,Оплаты!$D$6:$D$505,"&lt;&gt;"))</f>
        <v/>
      </c>
      <c r="E1802" t="str">
        <f>IF(A1802="","",IF(SUMPRODUCT((Ввод!$F$12:$F$31&lt;&gt;"")*(Ввод!$F$12:$F$31&lt;=A1802)*(Ввод!$G$12:$G$31&gt;=A1802))&gt;0,1,0))</f>
        <v/>
      </c>
      <c r="G1802" t="str">
        <f t="shared" si="57"/>
        <v/>
      </c>
    </row>
    <row r="1803" spans="1:7" x14ac:dyDescent="0.3">
      <c r="A1803" s="21" t="str">
        <f>IF(A1802="","",IF(A1802+1&gt;Ввод!$B$4,"",A1802+1))</f>
        <v/>
      </c>
      <c r="B1803" s="23" t="str">
        <f>IF(A1803="","",IFERROR(INDEX(Ввод!$B$12:$B$71,MATCH(A1803,Ввод!$D$12:$D$71,1)),""))</f>
        <v/>
      </c>
      <c r="C1803" t="str">
        <f t="shared" si="56"/>
        <v/>
      </c>
      <c r="D1803" t="str">
        <f>IF(A1803="","",SUMIFS(Акты!$D$5:$D$16,Акты!$E$5:$E$16,"&lt;="&amp;A1803)-SUMIFS(Оплаты!$B$6:$B$505,Оплаты!$A$6:$A$505,"&lt;"&amp;A1803,Оплаты!$D$6:$D$505,"&lt;&gt;"))</f>
        <v/>
      </c>
      <c r="E1803" t="str">
        <f>IF(A1803="","",IF(SUMPRODUCT((Ввод!$F$12:$F$31&lt;&gt;"")*(Ввод!$F$12:$F$31&lt;=A1803)*(Ввод!$G$12:$G$31&gt;=A1803))&gt;0,1,0))</f>
        <v/>
      </c>
      <c r="G1803" t="str">
        <f t="shared" si="57"/>
        <v/>
      </c>
    </row>
    <row r="1804" spans="1:7" x14ac:dyDescent="0.3">
      <c r="A1804" s="21" t="str">
        <f>IF(A1803="","",IF(A1803+1&gt;Ввод!$B$4,"",A1803+1))</f>
        <v/>
      </c>
      <c r="B1804" s="23" t="str">
        <f>IF(A1804="","",IFERROR(INDEX(Ввод!$B$12:$B$71,MATCH(A1804,Ввод!$D$12:$D$71,1)),""))</f>
        <v/>
      </c>
      <c r="C1804" t="str">
        <f t="shared" si="56"/>
        <v/>
      </c>
      <c r="D1804" t="str">
        <f>IF(A1804="","",SUMIFS(Акты!$D$5:$D$16,Акты!$E$5:$E$16,"&lt;="&amp;A1804)-SUMIFS(Оплаты!$B$6:$B$505,Оплаты!$A$6:$A$505,"&lt;"&amp;A1804,Оплаты!$D$6:$D$505,"&lt;&gt;"))</f>
        <v/>
      </c>
      <c r="E1804" t="str">
        <f>IF(A1804="","",IF(SUMPRODUCT((Ввод!$F$12:$F$31&lt;&gt;"")*(Ввод!$F$12:$F$31&lt;=A1804)*(Ввод!$G$12:$G$31&gt;=A1804))&gt;0,1,0))</f>
        <v/>
      </c>
      <c r="G1804" t="str">
        <f t="shared" si="57"/>
        <v/>
      </c>
    </row>
    <row r="1805" spans="1:7" x14ac:dyDescent="0.3">
      <c r="A1805" s="21" t="str">
        <f>IF(A1804="","",IF(A1804+1&gt;Ввод!$B$4,"",A1804+1))</f>
        <v/>
      </c>
      <c r="B1805" s="23" t="str">
        <f>IF(A1805="","",IFERROR(INDEX(Ввод!$B$12:$B$71,MATCH(A1805,Ввод!$D$12:$D$71,1)),""))</f>
        <v/>
      </c>
      <c r="C1805" t="str">
        <f t="shared" si="56"/>
        <v/>
      </c>
      <c r="D1805" t="str">
        <f>IF(A1805="","",SUMIFS(Акты!$D$5:$D$16,Акты!$E$5:$E$16,"&lt;="&amp;A1805)-SUMIFS(Оплаты!$B$6:$B$505,Оплаты!$A$6:$A$505,"&lt;"&amp;A1805,Оплаты!$D$6:$D$505,"&lt;&gt;"))</f>
        <v/>
      </c>
      <c r="E1805" t="str">
        <f>IF(A1805="","",IF(SUMPRODUCT((Ввод!$F$12:$F$31&lt;&gt;"")*(Ввод!$F$12:$F$31&lt;=A1805)*(Ввод!$G$12:$G$31&gt;=A1805))&gt;0,1,0))</f>
        <v/>
      </c>
      <c r="G1805" t="str">
        <f t="shared" si="57"/>
        <v/>
      </c>
    </row>
    <row r="1806" spans="1:7" x14ac:dyDescent="0.3">
      <c r="A1806" s="21" t="str">
        <f>IF(A1805="","",IF(A1805+1&gt;Ввод!$B$4,"",A1805+1))</f>
        <v/>
      </c>
      <c r="B1806" s="23" t="str">
        <f>IF(A1806="","",IFERROR(INDEX(Ввод!$B$12:$B$71,MATCH(A1806,Ввод!$D$12:$D$71,1)),""))</f>
        <v/>
      </c>
      <c r="C1806" t="str">
        <f t="shared" si="56"/>
        <v/>
      </c>
      <c r="D1806" t="str">
        <f>IF(A1806="","",SUMIFS(Акты!$D$5:$D$16,Акты!$E$5:$E$16,"&lt;="&amp;A1806)-SUMIFS(Оплаты!$B$6:$B$505,Оплаты!$A$6:$A$505,"&lt;"&amp;A1806,Оплаты!$D$6:$D$505,"&lt;&gt;"))</f>
        <v/>
      </c>
      <c r="E1806" t="str">
        <f>IF(A1806="","",IF(SUMPRODUCT((Ввод!$F$12:$F$31&lt;&gt;"")*(Ввод!$F$12:$F$31&lt;=A1806)*(Ввод!$G$12:$G$31&gt;=A1806))&gt;0,1,0))</f>
        <v/>
      </c>
      <c r="G1806" t="str">
        <f t="shared" si="57"/>
        <v/>
      </c>
    </row>
    <row r="1807" spans="1:7" x14ac:dyDescent="0.3">
      <c r="A1807" s="21" t="str">
        <f>IF(A1806="","",IF(A1806+1&gt;Ввод!$B$4,"",A1806+1))</f>
        <v/>
      </c>
      <c r="B1807" s="23" t="str">
        <f>IF(A1807="","",IFERROR(INDEX(Ввод!$B$12:$B$71,MATCH(A1807,Ввод!$D$12:$D$71,1)),""))</f>
        <v/>
      </c>
      <c r="C1807" t="str">
        <f t="shared" si="56"/>
        <v/>
      </c>
      <c r="D1807" t="str">
        <f>IF(A1807="","",SUMIFS(Акты!$D$5:$D$16,Акты!$E$5:$E$16,"&lt;="&amp;A1807)-SUMIFS(Оплаты!$B$6:$B$505,Оплаты!$A$6:$A$505,"&lt;"&amp;A1807,Оплаты!$D$6:$D$505,"&lt;&gt;"))</f>
        <v/>
      </c>
      <c r="E1807" t="str">
        <f>IF(A1807="","",IF(SUMPRODUCT((Ввод!$F$12:$F$31&lt;&gt;"")*(Ввод!$F$12:$F$31&lt;=A1807)*(Ввод!$G$12:$G$31&gt;=A1807))&gt;0,1,0))</f>
        <v/>
      </c>
      <c r="G1807" t="str">
        <f t="shared" si="57"/>
        <v/>
      </c>
    </row>
    <row r="1808" spans="1:7" x14ac:dyDescent="0.3">
      <c r="A1808" s="21" t="str">
        <f>IF(A1807="","",IF(A1807+1&gt;Ввод!$B$4,"",A1807+1))</f>
        <v/>
      </c>
      <c r="B1808" s="23" t="str">
        <f>IF(A1808="","",IFERROR(INDEX(Ввод!$B$12:$B$71,MATCH(A1808,Ввод!$D$12:$D$71,1)),""))</f>
        <v/>
      </c>
      <c r="C1808" t="str">
        <f t="shared" si="56"/>
        <v/>
      </c>
      <c r="D1808" t="str">
        <f>IF(A1808="","",SUMIFS(Акты!$D$5:$D$16,Акты!$E$5:$E$16,"&lt;="&amp;A1808)-SUMIFS(Оплаты!$B$6:$B$505,Оплаты!$A$6:$A$505,"&lt;"&amp;A1808,Оплаты!$D$6:$D$505,"&lt;&gt;"))</f>
        <v/>
      </c>
      <c r="E1808" t="str">
        <f>IF(A1808="","",IF(SUMPRODUCT((Ввод!$F$12:$F$31&lt;&gt;"")*(Ввод!$F$12:$F$31&lt;=A1808)*(Ввод!$G$12:$G$31&gt;=A1808))&gt;0,1,0))</f>
        <v/>
      </c>
      <c r="G1808" t="str">
        <f t="shared" si="57"/>
        <v/>
      </c>
    </row>
    <row r="1809" spans="1:7" x14ac:dyDescent="0.3">
      <c r="A1809" s="21" t="str">
        <f>IF(A1808="","",IF(A1808+1&gt;Ввод!$B$4,"",A1808+1))</f>
        <v/>
      </c>
      <c r="B1809" s="23" t="str">
        <f>IF(A1809="","",IFERROR(INDEX(Ввод!$B$12:$B$71,MATCH(A1809,Ввод!$D$12:$D$71,1)),""))</f>
        <v/>
      </c>
      <c r="C1809" t="str">
        <f t="shared" si="56"/>
        <v/>
      </c>
      <c r="D1809" t="str">
        <f>IF(A1809="","",SUMIFS(Акты!$D$5:$D$16,Акты!$E$5:$E$16,"&lt;="&amp;A1809)-SUMIFS(Оплаты!$B$6:$B$505,Оплаты!$A$6:$A$505,"&lt;"&amp;A1809,Оплаты!$D$6:$D$505,"&lt;&gt;"))</f>
        <v/>
      </c>
      <c r="E1809" t="str">
        <f>IF(A1809="","",IF(SUMPRODUCT((Ввод!$F$12:$F$31&lt;&gt;"")*(Ввод!$F$12:$F$31&lt;=A1809)*(Ввод!$G$12:$G$31&gt;=A1809))&gt;0,1,0))</f>
        <v/>
      </c>
      <c r="G1809" t="str">
        <f t="shared" si="57"/>
        <v/>
      </c>
    </row>
    <row r="1810" spans="1:7" x14ac:dyDescent="0.3">
      <c r="A1810" s="21" t="str">
        <f>IF(A1809="","",IF(A1809+1&gt;Ввод!$B$4,"",A1809+1))</f>
        <v/>
      </c>
      <c r="B1810" s="23" t="str">
        <f>IF(A1810="","",IFERROR(INDEX(Ввод!$B$12:$B$71,MATCH(A1810,Ввод!$D$12:$D$71,1)),""))</f>
        <v/>
      </c>
      <c r="C1810" t="str">
        <f t="shared" si="56"/>
        <v/>
      </c>
      <c r="D1810" t="str">
        <f>IF(A1810="","",SUMIFS(Акты!$D$5:$D$16,Акты!$E$5:$E$16,"&lt;="&amp;A1810)-SUMIFS(Оплаты!$B$6:$B$505,Оплаты!$A$6:$A$505,"&lt;"&amp;A1810,Оплаты!$D$6:$D$505,"&lt;&gt;"))</f>
        <v/>
      </c>
      <c r="E1810" t="str">
        <f>IF(A1810="","",IF(SUMPRODUCT((Ввод!$F$12:$F$31&lt;&gt;"")*(Ввод!$F$12:$F$31&lt;=A1810)*(Ввод!$G$12:$G$31&gt;=A1810))&gt;0,1,0))</f>
        <v/>
      </c>
      <c r="G1810" t="str">
        <f t="shared" si="57"/>
        <v/>
      </c>
    </row>
    <row r="1811" spans="1:7" x14ac:dyDescent="0.3">
      <c r="A1811" s="21" t="str">
        <f>IF(A1810="","",IF(A1810+1&gt;Ввод!$B$4,"",A1810+1))</f>
        <v/>
      </c>
      <c r="B1811" s="23" t="str">
        <f>IF(A1811="","",IFERROR(INDEX(Ввод!$B$12:$B$71,MATCH(A1811,Ввод!$D$12:$D$71,1)),""))</f>
        <v/>
      </c>
      <c r="C1811" t="str">
        <f t="shared" si="56"/>
        <v/>
      </c>
      <c r="D1811" t="str">
        <f>IF(A1811="","",SUMIFS(Акты!$D$5:$D$16,Акты!$E$5:$E$16,"&lt;="&amp;A1811)-SUMIFS(Оплаты!$B$6:$B$505,Оплаты!$A$6:$A$505,"&lt;"&amp;A1811,Оплаты!$D$6:$D$505,"&lt;&gt;"))</f>
        <v/>
      </c>
      <c r="E1811" t="str">
        <f>IF(A1811="","",IF(SUMPRODUCT((Ввод!$F$12:$F$31&lt;&gt;"")*(Ввод!$F$12:$F$31&lt;=A1811)*(Ввод!$G$12:$G$31&gt;=A1811))&gt;0,1,0))</f>
        <v/>
      </c>
      <c r="G1811" t="str">
        <f t="shared" si="57"/>
        <v/>
      </c>
    </row>
    <row r="1812" spans="1:7" x14ac:dyDescent="0.3">
      <c r="A1812" s="21" t="str">
        <f>IF(A1811="","",IF(A1811+1&gt;Ввод!$B$4,"",A1811+1))</f>
        <v/>
      </c>
      <c r="B1812" s="23" t="str">
        <f>IF(A1812="","",IFERROR(INDEX(Ввод!$B$12:$B$71,MATCH(A1812,Ввод!$D$12:$D$71,1)),""))</f>
        <v/>
      </c>
      <c r="C1812" t="str">
        <f t="shared" si="56"/>
        <v/>
      </c>
      <c r="D1812" t="str">
        <f>IF(A1812="","",SUMIFS(Акты!$D$5:$D$16,Акты!$E$5:$E$16,"&lt;="&amp;A1812)-SUMIFS(Оплаты!$B$6:$B$505,Оплаты!$A$6:$A$505,"&lt;"&amp;A1812,Оплаты!$D$6:$D$505,"&lt;&gt;"))</f>
        <v/>
      </c>
      <c r="E1812" t="str">
        <f>IF(A1812="","",IF(SUMPRODUCT((Ввод!$F$12:$F$31&lt;&gt;"")*(Ввод!$F$12:$F$31&lt;=A1812)*(Ввод!$G$12:$G$31&gt;=A1812))&gt;0,1,0))</f>
        <v/>
      </c>
      <c r="G1812" t="str">
        <f t="shared" si="57"/>
        <v/>
      </c>
    </row>
    <row r="1813" spans="1:7" x14ac:dyDescent="0.3">
      <c r="A1813" s="21" t="str">
        <f>IF(A1812="","",IF(A1812+1&gt;Ввод!$B$4,"",A1812+1))</f>
        <v/>
      </c>
      <c r="B1813" s="23" t="str">
        <f>IF(A1813="","",IFERROR(INDEX(Ввод!$B$12:$B$71,MATCH(A1813,Ввод!$D$12:$D$71,1)),""))</f>
        <v/>
      </c>
      <c r="C1813" t="str">
        <f t="shared" si="56"/>
        <v/>
      </c>
      <c r="D1813" t="str">
        <f>IF(A1813="","",SUMIFS(Акты!$D$5:$D$16,Акты!$E$5:$E$16,"&lt;="&amp;A1813)-SUMIFS(Оплаты!$B$6:$B$505,Оплаты!$A$6:$A$505,"&lt;"&amp;A1813,Оплаты!$D$6:$D$505,"&lt;&gt;"))</f>
        <v/>
      </c>
      <c r="E1813" t="str">
        <f>IF(A1813="","",IF(SUMPRODUCT((Ввод!$F$12:$F$31&lt;&gt;"")*(Ввод!$F$12:$F$31&lt;=A1813)*(Ввод!$G$12:$G$31&gt;=A1813))&gt;0,1,0))</f>
        <v/>
      </c>
      <c r="G1813" t="str">
        <f t="shared" si="57"/>
        <v/>
      </c>
    </row>
    <row r="1814" spans="1:7" x14ac:dyDescent="0.3">
      <c r="A1814" s="21" t="str">
        <f>IF(A1813="","",IF(A1813+1&gt;Ввод!$B$4,"",A1813+1))</f>
        <v/>
      </c>
      <c r="B1814" s="23" t="str">
        <f>IF(A1814="","",IFERROR(INDEX(Ввод!$B$12:$B$71,MATCH(A1814,Ввод!$D$12:$D$71,1)),""))</f>
        <v/>
      </c>
      <c r="C1814" t="str">
        <f t="shared" si="56"/>
        <v/>
      </c>
      <c r="D1814" t="str">
        <f>IF(A1814="","",SUMIFS(Акты!$D$5:$D$16,Акты!$E$5:$E$16,"&lt;="&amp;A1814)-SUMIFS(Оплаты!$B$6:$B$505,Оплаты!$A$6:$A$505,"&lt;"&amp;A1814,Оплаты!$D$6:$D$505,"&lt;&gt;"))</f>
        <v/>
      </c>
      <c r="E1814" t="str">
        <f>IF(A1814="","",IF(SUMPRODUCT((Ввод!$F$12:$F$31&lt;&gt;"")*(Ввод!$F$12:$F$31&lt;=A1814)*(Ввод!$G$12:$G$31&gt;=A1814))&gt;0,1,0))</f>
        <v/>
      </c>
      <c r="G1814" t="str">
        <f t="shared" si="57"/>
        <v/>
      </c>
    </row>
    <row r="1815" spans="1:7" x14ac:dyDescent="0.3">
      <c r="A1815" s="21" t="str">
        <f>IF(A1814="","",IF(A1814+1&gt;Ввод!$B$4,"",A1814+1))</f>
        <v/>
      </c>
      <c r="B1815" s="23" t="str">
        <f>IF(A1815="","",IFERROR(INDEX(Ввод!$B$12:$B$71,MATCH(A1815,Ввод!$D$12:$D$71,1)),""))</f>
        <v/>
      </c>
      <c r="C1815" t="str">
        <f t="shared" si="56"/>
        <v/>
      </c>
      <c r="D1815" t="str">
        <f>IF(A1815="","",SUMIFS(Акты!$D$5:$D$16,Акты!$E$5:$E$16,"&lt;="&amp;A1815)-SUMIFS(Оплаты!$B$6:$B$505,Оплаты!$A$6:$A$505,"&lt;"&amp;A1815,Оплаты!$D$6:$D$505,"&lt;&gt;"))</f>
        <v/>
      </c>
      <c r="E1815" t="str">
        <f>IF(A1815="","",IF(SUMPRODUCT((Ввод!$F$12:$F$31&lt;&gt;"")*(Ввод!$F$12:$F$31&lt;=A1815)*(Ввод!$G$12:$G$31&gt;=A1815))&gt;0,1,0))</f>
        <v/>
      </c>
      <c r="G1815" t="str">
        <f t="shared" si="57"/>
        <v/>
      </c>
    </row>
    <row r="1816" spans="1:7" x14ac:dyDescent="0.3">
      <c r="A1816" s="21" t="str">
        <f>IF(A1815="","",IF(A1815+1&gt;Ввод!$B$4,"",A1815+1))</f>
        <v/>
      </c>
      <c r="B1816" s="23" t="str">
        <f>IF(A1816="","",IFERROR(INDEX(Ввод!$B$12:$B$71,MATCH(A1816,Ввод!$D$12:$D$71,1)),""))</f>
        <v/>
      </c>
      <c r="C1816" t="str">
        <f t="shared" si="56"/>
        <v/>
      </c>
      <c r="D1816" t="str">
        <f>IF(A1816="","",SUMIFS(Акты!$D$5:$D$16,Акты!$E$5:$E$16,"&lt;="&amp;A1816)-SUMIFS(Оплаты!$B$6:$B$505,Оплаты!$A$6:$A$505,"&lt;"&amp;A1816,Оплаты!$D$6:$D$505,"&lt;&gt;"))</f>
        <v/>
      </c>
      <c r="E1816" t="str">
        <f>IF(A1816="","",IF(SUMPRODUCT((Ввод!$F$12:$F$31&lt;&gt;"")*(Ввод!$F$12:$F$31&lt;=A1816)*(Ввод!$G$12:$G$31&gt;=A1816))&gt;0,1,0))</f>
        <v/>
      </c>
      <c r="G1816" t="str">
        <f t="shared" si="57"/>
        <v/>
      </c>
    </row>
    <row r="1817" spans="1:7" x14ac:dyDescent="0.3">
      <c r="A1817" s="21" t="str">
        <f>IF(A1816="","",IF(A1816+1&gt;Ввод!$B$4,"",A1816+1))</f>
        <v/>
      </c>
      <c r="B1817" s="23" t="str">
        <f>IF(A1817="","",IFERROR(INDEX(Ввод!$B$12:$B$71,MATCH(A1817,Ввод!$D$12:$D$71,1)),""))</f>
        <v/>
      </c>
      <c r="C1817" t="str">
        <f t="shared" si="56"/>
        <v/>
      </c>
      <c r="D1817" t="str">
        <f>IF(A1817="","",SUMIFS(Акты!$D$5:$D$16,Акты!$E$5:$E$16,"&lt;="&amp;A1817)-SUMIFS(Оплаты!$B$6:$B$505,Оплаты!$A$6:$A$505,"&lt;"&amp;A1817,Оплаты!$D$6:$D$505,"&lt;&gt;"))</f>
        <v/>
      </c>
      <c r="E1817" t="str">
        <f>IF(A1817="","",IF(SUMPRODUCT((Ввод!$F$12:$F$31&lt;&gt;"")*(Ввод!$F$12:$F$31&lt;=A1817)*(Ввод!$G$12:$G$31&gt;=A1817))&gt;0,1,0))</f>
        <v/>
      </c>
      <c r="G1817" t="str">
        <f t="shared" si="57"/>
        <v/>
      </c>
    </row>
    <row r="1818" spans="1:7" x14ac:dyDescent="0.3">
      <c r="A1818" s="21" t="str">
        <f>IF(A1817="","",IF(A1817+1&gt;Ввод!$B$4,"",A1817+1))</f>
        <v/>
      </c>
      <c r="B1818" s="23" t="str">
        <f>IF(A1818="","",IFERROR(INDEX(Ввод!$B$12:$B$71,MATCH(A1818,Ввод!$D$12:$D$71,1)),""))</f>
        <v/>
      </c>
      <c r="C1818" t="str">
        <f t="shared" si="56"/>
        <v/>
      </c>
      <c r="D1818" t="str">
        <f>IF(A1818="","",SUMIFS(Акты!$D$5:$D$16,Акты!$E$5:$E$16,"&lt;="&amp;A1818)-SUMIFS(Оплаты!$B$6:$B$505,Оплаты!$A$6:$A$505,"&lt;"&amp;A1818,Оплаты!$D$6:$D$505,"&lt;&gt;"))</f>
        <v/>
      </c>
      <c r="E1818" t="str">
        <f>IF(A1818="","",IF(SUMPRODUCT((Ввод!$F$12:$F$31&lt;&gt;"")*(Ввод!$F$12:$F$31&lt;=A1818)*(Ввод!$G$12:$G$31&gt;=A1818))&gt;0,1,0))</f>
        <v/>
      </c>
      <c r="G1818" t="str">
        <f t="shared" si="57"/>
        <v/>
      </c>
    </row>
    <row r="1819" spans="1:7" x14ac:dyDescent="0.3">
      <c r="A1819" s="21" t="str">
        <f>IF(A1818="","",IF(A1818+1&gt;Ввод!$B$4,"",A1818+1))</f>
        <v/>
      </c>
      <c r="B1819" s="23" t="str">
        <f>IF(A1819="","",IFERROR(INDEX(Ввод!$B$12:$B$71,MATCH(A1819,Ввод!$D$12:$D$71,1)),""))</f>
        <v/>
      </c>
      <c r="C1819" t="str">
        <f t="shared" si="56"/>
        <v/>
      </c>
      <c r="D1819" t="str">
        <f>IF(A1819="","",SUMIFS(Акты!$D$5:$D$16,Акты!$E$5:$E$16,"&lt;="&amp;A1819)-SUMIFS(Оплаты!$B$6:$B$505,Оплаты!$A$6:$A$505,"&lt;"&amp;A1819,Оплаты!$D$6:$D$505,"&lt;&gt;"))</f>
        <v/>
      </c>
      <c r="E1819" t="str">
        <f>IF(A1819="","",IF(SUMPRODUCT((Ввод!$F$12:$F$31&lt;&gt;"")*(Ввод!$F$12:$F$31&lt;=A1819)*(Ввод!$G$12:$G$31&gt;=A1819))&gt;0,1,0))</f>
        <v/>
      </c>
      <c r="G1819" t="str">
        <f t="shared" si="57"/>
        <v/>
      </c>
    </row>
    <row r="1820" spans="1:7" x14ac:dyDescent="0.3">
      <c r="A1820" s="21" t="str">
        <f>IF(A1819="","",IF(A1819+1&gt;Ввод!$B$4,"",A1819+1))</f>
        <v/>
      </c>
      <c r="B1820" s="23" t="str">
        <f>IF(A1820="","",IFERROR(INDEX(Ввод!$B$12:$B$71,MATCH(A1820,Ввод!$D$12:$D$71,1)),""))</f>
        <v/>
      </c>
      <c r="C1820" t="str">
        <f t="shared" si="56"/>
        <v/>
      </c>
      <c r="D1820" t="str">
        <f>IF(A1820="","",SUMIFS(Акты!$D$5:$D$16,Акты!$E$5:$E$16,"&lt;="&amp;A1820)-SUMIFS(Оплаты!$B$6:$B$505,Оплаты!$A$6:$A$505,"&lt;"&amp;A1820,Оплаты!$D$6:$D$505,"&lt;&gt;"))</f>
        <v/>
      </c>
      <c r="E1820" t="str">
        <f>IF(A1820="","",IF(SUMPRODUCT((Ввод!$F$12:$F$31&lt;&gt;"")*(Ввод!$F$12:$F$31&lt;=A1820)*(Ввод!$G$12:$G$31&gt;=A1820))&gt;0,1,0))</f>
        <v/>
      </c>
      <c r="G1820" t="str">
        <f t="shared" si="57"/>
        <v/>
      </c>
    </row>
    <row r="1821" spans="1:7" x14ac:dyDescent="0.3">
      <c r="A1821" s="21" t="str">
        <f>IF(A1820="","",IF(A1820+1&gt;Ввод!$B$4,"",A1820+1))</f>
        <v/>
      </c>
      <c r="B1821" s="23" t="str">
        <f>IF(A1821="","",IFERROR(INDEX(Ввод!$B$12:$B$71,MATCH(A1821,Ввод!$D$12:$D$71,1)),""))</f>
        <v/>
      </c>
      <c r="C1821" t="str">
        <f t="shared" si="56"/>
        <v/>
      </c>
      <c r="D1821" t="str">
        <f>IF(A1821="","",SUMIFS(Акты!$D$5:$D$16,Акты!$E$5:$E$16,"&lt;="&amp;A1821)-SUMIFS(Оплаты!$B$6:$B$505,Оплаты!$A$6:$A$505,"&lt;"&amp;A1821,Оплаты!$D$6:$D$505,"&lt;&gt;"))</f>
        <v/>
      </c>
      <c r="E1821" t="str">
        <f>IF(A1821="","",IF(SUMPRODUCT((Ввод!$F$12:$F$31&lt;&gt;"")*(Ввод!$F$12:$F$31&lt;=A1821)*(Ввод!$G$12:$G$31&gt;=A1821))&gt;0,1,0))</f>
        <v/>
      </c>
      <c r="G1821" t="str">
        <f t="shared" si="57"/>
        <v/>
      </c>
    </row>
    <row r="1822" spans="1:7" x14ac:dyDescent="0.3">
      <c r="A1822" s="21" t="str">
        <f>IF(A1821="","",IF(A1821+1&gt;Ввод!$B$4,"",A1821+1))</f>
        <v/>
      </c>
      <c r="B1822" s="23" t="str">
        <f>IF(A1822="","",IFERROR(INDEX(Ввод!$B$12:$B$71,MATCH(A1822,Ввод!$D$12:$D$71,1)),""))</f>
        <v/>
      </c>
      <c r="C1822" t="str">
        <f t="shared" si="56"/>
        <v/>
      </c>
      <c r="D1822" t="str">
        <f>IF(A1822="","",SUMIFS(Акты!$D$5:$D$16,Акты!$E$5:$E$16,"&lt;="&amp;A1822)-SUMIFS(Оплаты!$B$6:$B$505,Оплаты!$A$6:$A$505,"&lt;"&amp;A1822,Оплаты!$D$6:$D$505,"&lt;&gt;"))</f>
        <v/>
      </c>
      <c r="E1822" t="str">
        <f>IF(A1822="","",IF(SUMPRODUCT((Ввод!$F$12:$F$31&lt;&gt;"")*(Ввод!$F$12:$F$31&lt;=A1822)*(Ввод!$G$12:$G$31&gt;=A1822))&gt;0,1,0))</f>
        <v/>
      </c>
      <c r="G1822" t="str">
        <f t="shared" si="57"/>
        <v/>
      </c>
    </row>
    <row r="1823" spans="1:7" x14ac:dyDescent="0.3">
      <c r="A1823" s="21" t="str">
        <f>IF(A1822="","",IF(A1822+1&gt;Ввод!$B$4,"",A1822+1))</f>
        <v/>
      </c>
      <c r="B1823" s="23" t="str">
        <f>IF(A1823="","",IFERROR(INDEX(Ввод!$B$12:$B$71,MATCH(A1823,Ввод!$D$12:$D$71,1)),""))</f>
        <v/>
      </c>
      <c r="C1823" t="str">
        <f t="shared" si="56"/>
        <v/>
      </c>
      <c r="D1823" t="str">
        <f>IF(A1823="","",SUMIFS(Акты!$D$5:$D$16,Акты!$E$5:$E$16,"&lt;="&amp;A1823)-SUMIFS(Оплаты!$B$6:$B$505,Оплаты!$A$6:$A$505,"&lt;"&amp;A1823,Оплаты!$D$6:$D$505,"&lt;&gt;"))</f>
        <v/>
      </c>
      <c r="E1823" t="str">
        <f>IF(A1823="","",IF(SUMPRODUCT((Ввод!$F$12:$F$31&lt;&gt;"")*(Ввод!$F$12:$F$31&lt;=A1823)*(Ввод!$G$12:$G$31&gt;=A1823))&gt;0,1,0))</f>
        <v/>
      </c>
      <c r="G1823" t="str">
        <f t="shared" si="57"/>
        <v/>
      </c>
    </row>
    <row r="1824" spans="1:7" x14ac:dyDescent="0.3">
      <c r="A1824" s="21" t="str">
        <f>IF(A1823="","",IF(A1823+1&gt;Ввод!$B$4,"",A1823+1))</f>
        <v/>
      </c>
      <c r="B1824" s="23" t="str">
        <f>IF(A1824="","",IFERROR(INDEX(Ввод!$B$12:$B$71,MATCH(A1824,Ввод!$D$12:$D$71,1)),""))</f>
        <v/>
      </c>
      <c r="C1824" t="str">
        <f t="shared" si="56"/>
        <v/>
      </c>
      <c r="D1824" t="str">
        <f>IF(A1824="","",SUMIFS(Акты!$D$5:$D$16,Акты!$E$5:$E$16,"&lt;="&amp;A1824)-SUMIFS(Оплаты!$B$6:$B$505,Оплаты!$A$6:$A$505,"&lt;"&amp;A1824,Оплаты!$D$6:$D$505,"&lt;&gt;"))</f>
        <v/>
      </c>
      <c r="E1824" t="str">
        <f>IF(A1824="","",IF(SUMPRODUCT((Ввод!$F$12:$F$31&lt;&gt;"")*(Ввод!$F$12:$F$31&lt;=A1824)*(Ввод!$G$12:$G$31&gt;=A1824))&gt;0,1,0))</f>
        <v/>
      </c>
      <c r="G1824" t="str">
        <f t="shared" si="57"/>
        <v/>
      </c>
    </row>
    <row r="1825" spans="1:7" x14ac:dyDescent="0.3">
      <c r="A1825" s="21" t="str">
        <f>IF(A1824="","",IF(A1824+1&gt;Ввод!$B$4,"",A1824+1))</f>
        <v/>
      </c>
      <c r="B1825" s="23" t="str">
        <f>IF(A1825="","",IFERROR(INDEX(Ввод!$B$12:$B$71,MATCH(A1825,Ввод!$D$12:$D$71,1)),""))</f>
        <v/>
      </c>
      <c r="C1825" t="str">
        <f t="shared" si="56"/>
        <v/>
      </c>
      <c r="D1825" t="str">
        <f>IF(A1825="","",SUMIFS(Акты!$D$5:$D$16,Акты!$E$5:$E$16,"&lt;="&amp;A1825)-SUMIFS(Оплаты!$B$6:$B$505,Оплаты!$A$6:$A$505,"&lt;"&amp;A1825,Оплаты!$D$6:$D$505,"&lt;&gt;"))</f>
        <v/>
      </c>
      <c r="E1825" t="str">
        <f>IF(A1825="","",IF(SUMPRODUCT((Ввод!$F$12:$F$31&lt;&gt;"")*(Ввод!$F$12:$F$31&lt;=A1825)*(Ввод!$G$12:$G$31&gt;=A1825))&gt;0,1,0))</f>
        <v/>
      </c>
      <c r="G1825" t="str">
        <f t="shared" si="57"/>
        <v/>
      </c>
    </row>
    <row r="1826" spans="1:7" x14ac:dyDescent="0.3">
      <c r="A1826" s="21" t="str">
        <f>IF(A1825="","",IF(A1825+1&gt;Ввод!$B$4,"",A1825+1))</f>
        <v/>
      </c>
      <c r="B1826" s="23" t="str">
        <f>IF(A1826="","",IFERROR(INDEX(Ввод!$B$12:$B$71,MATCH(A1826,Ввод!$D$12:$D$71,1)),""))</f>
        <v/>
      </c>
      <c r="C1826" t="str">
        <f t="shared" si="56"/>
        <v/>
      </c>
      <c r="D1826" t="str">
        <f>IF(A1826="","",SUMIFS(Акты!$D$5:$D$16,Акты!$E$5:$E$16,"&lt;="&amp;A1826)-SUMIFS(Оплаты!$B$6:$B$505,Оплаты!$A$6:$A$505,"&lt;"&amp;A1826,Оплаты!$D$6:$D$505,"&lt;&gt;"))</f>
        <v/>
      </c>
      <c r="E1826" t="str">
        <f>IF(A1826="","",IF(SUMPRODUCT((Ввод!$F$12:$F$31&lt;&gt;"")*(Ввод!$F$12:$F$31&lt;=A1826)*(Ввод!$G$12:$G$31&gt;=A1826))&gt;0,1,0))</f>
        <v/>
      </c>
      <c r="G1826" t="str">
        <f t="shared" si="57"/>
        <v/>
      </c>
    </row>
    <row r="1827" spans="1:7" x14ac:dyDescent="0.3">
      <c r="A1827" s="21" t="str">
        <f>IF(A1826="","",IF(A1826+1&gt;Ввод!$B$4,"",A1826+1))</f>
        <v/>
      </c>
      <c r="B1827" s="23" t="str">
        <f>IF(A1827="","",IFERROR(INDEX(Ввод!$B$12:$B$71,MATCH(A1827,Ввод!$D$12:$D$71,1)),""))</f>
        <v/>
      </c>
      <c r="C1827" t="str">
        <f t="shared" si="56"/>
        <v/>
      </c>
      <c r="D1827" t="str">
        <f>IF(A1827="","",SUMIFS(Акты!$D$5:$D$16,Акты!$E$5:$E$16,"&lt;="&amp;A1827)-SUMIFS(Оплаты!$B$6:$B$505,Оплаты!$A$6:$A$505,"&lt;"&amp;A1827,Оплаты!$D$6:$D$505,"&lt;&gt;"))</f>
        <v/>
      </c>
      <c r="E1827" t="str">
        <f>IF(A1827="","",IF(SUMPRODUCT((Ввод!$F$12:$F$31&lt;&gt;"")*(Ввод!$F$12:$F$31&lt;=A1827)*(Ввод!$G$12:$G$31&gt;=A1827))&gt;0,1,0))</f>
        <v/>
      </c>
      <c r="G1827" t="str">
        <f t="shared" si="57"/>
        <v/>
      </c>
    </row>
    <row r="1828" spans="1:7" x14ac:dyDescent="0.3">
      <c r="A1828" s="21" t="str">
        <f>IF(A1827="","",IF(A1827+1&gt;Ввод!$B$4,"",A1827+1))</f>
        <v/>
      </c>
      <c r="B1828" s="23" t="str">
        <f>IF(A1828="","",IFERROR(INDEX(Ввод!$B$12:$B$71,MATCH(A1828,Ввод!$D$12:$D$71,1)),""))</f>
        <v/>
      </c>
      <c r="C1828" t="str">
        <f t="shared" si="56"/>
        <v/>
      </c>
      <c r="D1828" t="str">
        <f>IF(A1828="","",SUMIFS(Акты!$D$5:$D$16,Акты!$E$5:$E$16,"&lt;="&amp;A1828)-SUMIFS(Оплаты!$B$6:$B$505,Оплаты!$A$6:$A$505,"&lt;"&amp;A1828,Оплаты!$D$6:$D$505,"&lt;&gt;"))</f>
        <v/>
      </c>
      <c r="E1828" t="str">
        <f>IF(A1828="","",IF(SUMPRODUCT((Ввод!$F$12:$F$31&lt;&gt;"")*(Ввод!$F$12:$F$31&lt;=A1828)*(Ввод!$G$12:$G$31&gt;=A1828))&gt;0,1,0))</f>
        <v/>
      </c>
      <c r="G1828" t="str">
        <f t="shared" si="57"/>
        <v/>
      </c>
    </row>
    <row r="1829" spans="1:7" x14ac:dyDescent="0.3">
      <c r="A1829" s="21" t="str">
        <f>IF(A1828="","",IF(A1828+1&gt;Ввод!$B$4,"",A1828+1))</f>
        <v/>
      </c>
      <c r="B1829" s="23" t="str">
        <f>IF(A1829="","",IFERROR(INDEX(Ввод!$B$12:$B$71,MATCH(A1829,Ввод!$D$12:$D$71,1)),""))</f>
        <v/>
      </c>
      <c r="C1829" t="str">
        <f t="shared" si="56"/>
        <v/>
      </c>
      <c r="D1829" t="str">
        <f>IF(A1829="","",SUMIFS(Акты!$D$5:$D$16,Акты!$E$5:$E$16,"&lt;="&amp;A1829)-SUMIFS(Оплаты!$B$6:$B$505,Оплаты!$A$6:$A$505,"&lt;"&amp;A1829,Оплаты!$D$6:$D$505,"&lt;&gt;"))</f>
        <v/>
      </c>
      <c r="E1829" t="str">
        <f>IF(A1829="","",IF(SUMPRODUCT((Ввод!$F$12:$F$31&lt;&gt;"")*(Ввод!$F$12:$F$31&lt;=A1829)*(Ввод!$G$12:$G$31&gt;=A1829))&gt;0,1,0))</f>
        <v/>
      </c>
      <c r="G1829" t="str">
        <f t="shared" si="57"/>
        <v/>
      </c>
    </row>
    <row r="1830" spans="1:7" x14ac:dyDescent="0.3">
      <c r="A1830" s="21" t="str">
        <f>IF(A1829="","",IF(A1829+1&gt;Ввод!$B$4,"",A1829+1))</f>
        <v/>
      </c>
      <c r="B1830" s="23" t="str">
        <f>IF(A1830="","",IFERROR(INDEX(Ввод!$B$12:$B$71,MATCH(A1830,Ввод!$D$12:$D$71,1)),""))</f>
        <v/>
      </c>
      <c r="C1830" t="str">
        <f t="shared" si="56"/>
        <v/>
      </c>
      <c r="D1830" t="str">
        <f>IF(A1830="","",SUMIFS(Акты!$D$5:$D$16,Акты!$E$5:$E$16,"&lt;="&amp;A1830)-SUMIFS(Оплаты!$B$6:$B$505,Оплаты!$A$6:$A$505,"&lt;"&amp;A1830,Оплаты!$D$6:$D$505,"&lt;&gt;"))</f>
        <v/>
      </c>
      <c r="E1830" t="str">
        <f>IF(A1830="","",IF(SUMPRODUCT((Ввод!$F$12:$F$31&lt;&gt;"")*(Ввод!$F$12:$F$31&lt;=A1830)*(Ввод!$G$12:$G$31&gt;=A1830))&gt;0,1,0))</f>
        <v/>
      </c>
      <c r="G1830" t="str">
        <f t="shared" si="57"/>
        <v/>
      </c>
    </row>
    <row r="1831" spans="1:7" x14ac:dyDescent="0.3">
      <c r="A1831" s="21" t="str">
        <f>IF(A1830="","",IF(A1830+1&gt;Ввод!$B$4,"",A1830+1))</f>
        <v/>
      </c>
      <c r="B1831" s="23" t="str">
        <f>IF(A1831="","",IFERROR(INDEX(Ввод!$B$12:$B$71,MATCH(A1831,Ввод!$D$12:$D$71,1)),""))</f>
        <v/>
      </c>
      <c r="C1831" t="str">
        <f t="shared" si="56"/>
        <v/>
      </c>
      <c r="D1831" t="str">
        <f>IF(A1831="","",SUMIFS(Акты!$D$5:$D$16,Акты!$E$5:$E$16,"&lt;="&amp;A1831)-SUMIFS(Оплаты!$B$6:$B$505,Оплаты!$A$6:$A$505,"&lt;"&amp;A1831,Оплаты!$D$6:$D$505,"&lt;&gt;"))</f>
        <v/>
      </c>
      <c r="E1831" t="str">
        <f>IF(A1831="","",IF(SUMPRODUCT((Ввод!$F$12:$F$31&lt;&gt;"")*(Ввод!$F$12:$F$31&lt;=A1831)*(Ввод!$G$12:$G$31&gt;=A1831))&gt;0,1,0))</f>
        <v/>
      </c>
      <c r="G1831" t="str">
        <f t="shared" si="57"/>
        <v/>
      </c>
    </row>
    <row r="1832" spans="1:7" x14ac:dyDescent="0.3">
      <c r="A1832" s="21" t="str">
        <f>IF(A1831="","",IF(A1831+1&gt;Ввод!$B$4,"",A1831+1))</f>
        <v/>
      </c>
      <c r="B1832" s="23" t="str">
        <f>IF(A1832="","",IFERROR(INDEX(Ввод!$B$12:$B$71,MATCH(A1832,Ввод!$D$12:$D$71,1)),""))</f>
        <v/>
      </c>
      <c r="C1832" t="str">
        <f t="shared" si="56"/>
        <v/>
      </c>
      <c r="D1832" t="str">
        <f>IF(A1832="","",SUMIFS(Акты!$D$5:$D$16,Акты!$E$5:$E$16,"&lt;="&amp;A1832)-SUMIFS(Оплаты!$B$6:$B$505,Оплаты!$A$6:$A$505,"&lt;"&amp;A1832,Оплаты!$D$6:$D$505,"&lt;&gt;"))</f>
        <v/>
      </c>
      <c r="E1832" t="str">
        <f>IF(A1832="","",IF(SUMPRODUCT((Ввод!$F$12:$F$31&lt;&gt;"")*(Ввод!$F$12:$F$31&lt;=A1832)*(Ввод!$G$12:$G$31&gt;=A1832))&gt;0,1,0))</f>
        <v/>
      </c>
      <c r="G1832" t="str">
        <f t="shared" si="57"/>
        <v/>
      </c>
    </row>
    <row r="1833" spans="1:7" x14ac:dyDescent="0.3">
      <c r="A1833" s="21" t="str">
        <f>IF(A1832="","",IF(A1832+1&gt;Ввод!$B$4,"",A1832+1))</f>
        <v/>
      </c>
      <c r="B1833" s="23" t="str">
        <f>IF(A1833="","",IFERROR(INDEX(Ввод!$B$12:$B$71,MATCH(A1833,Ввод!$D$12:$D$71,1)),""))</f>
        <v/>
      </c>
      <c r="C1833" t="str">
        <f t="shared" si="56"/>
        <v/>
      </c>
      <c r="D1833" t="str">
        <f>IF(A1833="","",SUMIFS(Акты!$D$5:$D$16,Акты!$E$5:$E$16,"&lt;="&amp;A1833)-SUMIFS(Оплаты!$B$6:$B$505,Оплаты!$A$6:$A$505,"&lt;"&amp;A1833,Оплаты!$D$6:$D$505,"&lt;&gt;"))</f>
        <v/>
      </c>
      <c r="E1833" t="str">
        <f>IF(A1833="","",IF(SUMPRODUCT((Ввод!$F$12:$F$31&lt;&gt;"")*(Ввод!$F$12:$F$31&lt;=A1833)*(Ввод!$G$12:$G$31&gt;=A1833))&gt;0,1,0))</f>
        <v/>
      </c>
      <c r="G1833" t="str">
        <f t="shared" si="57"/>
        <v/>
      </c>
    </row>
    <row r="1834" spans="1:7" x14ac:dyDescent="0.3">
      <c r="A1834" s="21" t="str">
        <f>IF(A1833="","",IF(A1833+1&gt;Ввод!$B$4,"",A1833+1))</f>
        <v/>
      </c>
      <c r="B1834" s="23" t="str">
        <f>IF(A1834="","",IFERROR(INDEX(Ввод!$B$12:$B$71,MATCH(A1834,Ввод!$D$12:$D$71,1)),""))</f>
        <v/>
      </c>
      <c r="C1834" t="str">
        <f t="shared" si="56"/>
        <v/>
      </c>
      <c r="D1834" t="str">
        <f>IF(A1834="","",SUMIFS(Акты!$D$5:$D$16,Акты!$E$5:$E$16,"&lt;="&amp;A1834)-SUMIFS(Оплаты!$B$6:$B$505,Оплаты!$A$6:$A$505,"&lt;"&amp;A1834,Оплаты!$D$6:$D$505,"&lt;&gt;"))</f>
        <v/>
      </c>
      <c r="E1834" t="str">
        <f>IF(A1834="","",IF(SUMPRODUCT((Ввод!$F$12:$F$31&lt;&gt;"")*(Ввод!$F$12:$F$31&lt;=A1834)*(Ввод!$G$12:$G$31&gt;=A1834))&gt;0,1,0))</f>
        <v/>
      </c>
      <c r="G1834" t="str">
        <f t="shared" si="57"/>
        <v/>
      </c>
    </row>
    <row r="1835" spans="1:7" x14ac:dyDescent="0.3">
      <c r="A1835" s="21" t="str">
        <f>IF(A1834="","",IF(A1834+1&gt;Ввод!$B$4,"",A1834+1))</f>
        <v/>
      </c>
      <c r="B1835" s="23" t="str">
        <f>IF(A1835="","",IFERROR(INDEX(Ввод!$B$12:$B$71,MATCH(A1835,Ввод!$D$12:$D$71,1)),""))</f>
        <v/>
      </c>
      <c r="C1835" t="str">
        <f t="shared" si="56"/>
        <v/>
      </c>
      <c r="D1835" t="str">
        <f>IF(A1835="","",SUMIFS(Акты!$D$5:$D$16,Акты!$E$5:$E$16,"&lt;="&amp;A1835)-SUMIFS(Оплаты!$B$6:$B$505,Оплаты!$A$6:$A$505,"&lt;"&amp;A1835,Оплаты!$D$6:$D$505,"&lt;&gt;"))</f>
        <v/>
      </c>
      <c r="E1835" t="str">
        <f>IF(A1835="","",IF(SUMPRODUCT((Ввод!$F$12:$F$31&lt;&gt;"")*(Ввод!$F$12:$F$31&lt;=A1835)*(Ввод!$G$12:$G$31&gt;=A1835))&gt;0,1,0))</f>
        <v/>
      </c>
      <c r="G1835" t="str">
        <f t="shared" si="57"/>
        <v/>
      </c>
    </row>
    <row r="1836" spans="1:7" x14ac:dyDescent="0.3">
      <c r="A1836" s="21" t="str">
        <f>IF(A1835="","",IF(A1835+1&gt;Ввод!$B$4,"",A1835+1))</f>
        <v/>
      </c>
      <c r="B1836" s="23" t="str">
        <f>IF(A1836="","",IFERROR(INDEX(Ввод!$B$12:$B$71,MATCH(A1836,Ввод!$D$12:$D$71,1)),""))</f>
        <v/>
      </c>
      <c r="C1836" t="str">
        <f t="shared" si="56"/>
        <v/>
      </c>
      <c r="D1836" t="str">
        <f>IF(A1836="","",SUMIFS(Акты!$D$5:$D$16,Акты!$E$5:$E$16,"&lt;="&amp;A1836)-SUMIFS(Оплаты!$B$6:$B$505,Оплаты!$A$6:$A$505,"&lt;"&amp;A1836,Оплаты!$D$6:$D$505,"&lt;&gt;"))</f>
        <v/>
      </c>
      <c r="E1836" t="str">
        <f>IF(A1836="","",IF(SUMPRODUCT((Ввод!$F$12:$F$31&lt;&gt;"")*(Ввод!$F$12:$F$31&lt;=A1836)*(Ввод!$G$12:$G$31&gt;=A1836))&gt;0,1,0))</f>
        <v/>
      </c>
      <c r="G1836" t="str">
        <f t="shared" si="57"/>
        <v/>
      </c>
    </row>
    <row r="1837" spans="1:7" x14ac:dyDescent="0.3">
      <c r="A1837" s="21" t="str">
        <f>IF(A1836="","",IF(A1836+1&gt;Ввод!$B$4,"",A1836+1))</f>
        <v/>
      </c>
      <c r="B1837" s="23" t="str">
        <f>IF(A1837="","",IFERROR(INDEX(Ввод!$B$12:$B$71,MATCH(A1837,Ввод!$D$12:$D$71,1)),""))</f>
        <v/>
      </c>
      <c r="C1837" t="str">
        <f t="shared" si="56"/>
        <v/>
      </c>
      <c r="D1837" t="str">
        <f>IF(A1837="","",SUMIFS(Акты!$D$5:$D$16,Акты!$E$5:$E$16,"&lt;="&amp;A1837)-SUMIFS(Оплаты!$B$6:$B$505,Оплаты!$A$6:$A$505,"&lt;"&amp;A1837,Оплаты!$D$6:$D$505,"&lt;&gt;"))</f>
        <v/>
      </c>
      <c r="E1837" t="str">
        <f>IF(A1837="","",IF(SUMPRODUCT((Ввод!$F$12:$F$31&lt;&gt;"")*(Ввод!$F$12:$F$31&lt;=A1837)*(Ввод!$G$12:$G$31&gt;=A1837))&gt;0,1,0))</f>
        <v/>
      </c>
      <c r="G1837" t="str">
        <f t="shared" si="57"/>
        <v/>
      </c>
    </row>
    <row r="1838" spans="1:7" x14ac:dyDescent="0.3">
      <c r="A1838" s="21" t="str">
        <f>IF(A1837="","",IF(A1837+1&gt;Ввод!$B$4,"",A1837+1))</f>
        <v/>
      </c>
      <c r="B1838" s="23" t="str">
        <f>IF(A1838="","",IFERROR(INDEX(Ввод!$B$12:$B$71,MATCH(A1838,Ввод!$D$12:$D$71,1)),""))</f>
        <v/>
      </c>
      <c r="C1838" t="str">
        <f t="shared" si="56"/>
        <v/>
      </c>
      <c r="D1838" t="str">
        <f>IF(A1838="","",SUMIFS(Акты!$D$5:$D$16,Акты!$E$5:$E$16,"&lt;="&amp;A1838)-SUMIFS(Оплаты!$B$6:$B$505,Оплаты!$A$6:$A$505,"&lt;"&amp;A1838,Оплаты!$D$6:$D$505,"&lt;&gt;"))</f>
        <v/>
      </c>
      <c r="E1838" t="str">
        <f>IF(A1838="","",IF(SUMPRODUCT((Ввод!$F$12:$F$31&lt;&gt;"")*(Ввод!$F$12:$F$31&lt;=A1838)*(Ввод!$G$12:$G$31&gt;=A1838))&gt;0,1,0))</f>
        <v/>
      </c>
      <c r="G1838" t="str">
        <f t="shared" si="57"/>
        <v/>
      </c>
    </row>
    <row r="1839" spans="1:7" x14ac:dyDescent="0.3">
      <c r="A1839" s="21" t="str">
        <f>IF(A1838="","",IF(A1838+1&gt;Ввод!$B$4,"",A1838+1))</f>
        <v/>
      </c>
      <c r="B1839" s="23" t="str">
        <f>IF(A1839="","",IFERROR(INDEX(Ввод!$B$12:$B$71,MATCH(A1839,Ввод!$D$12:$D$71,1)),""))</f>
        <v/>
      </c>
      <c r="C1839" t="str">
        <f t="shared" si="56"/>
        <v/>
      </c>
      <c r="D1839" t="str">
        <f>IF(A1839="","",SUMIFS(Акты!$D$5:$D$16,Акты!$E$5:$E$16,"&lt;="&amp;A1839)-SUMIFS(Оплаты!$B$6:$B$505,Оплаты!$A$6:$A$505,"&lt;"&amp;A1839,Оплаты!$D$6:$D$505,"&lt;&gt;"))</f>
        <v/>
      </c>
      <c r="E1839" t="str">
        <f>IF(A1839="","",IF(SUMPRODUCT((Ввод!$F$12:$F$31&lt;&gt;"")*(Ввод!$F$12:$F$31&lt;=A1839)*(Ввод!$G$12:$G$31&gt;=A1839))&gt;0,1,0))</f>
        <v/>
      </c>
      <c r="G1839" t="str">
        <f t="shared" si="57"/>
        <v/>
      </c>
    </row>
    <row r="1840" spans="1:7" x14ac:dyDescent="0.3">
      <c r="A1840" s="21" t="str">
        <f>IF(A1839="","",IF(A1839+1&gt;Ввод!$B$4,"",A1839+1))</f>
        <v/>
      </c>
      <c r="B1840" s="23" t="str">
        <f>IF(A1840="","",IFERROR(INDEX(Ввод!$B$12:$B$71,MATCH(A1840,Ввод!$D$12:$D$71,1)),""))</f>
        <v/>
      </c>
      <c r="C1840" t="str">
        <f t="shared" si="56"/>
        <v/>
      </c>
      <c r="D1840" t="str">
        <f>IF(A1840="","",SUMIFS(Акты!$D$5:$D$16,Акты!$E$5:$E$16,"&lt;="&amp;A1840)-SUMIFS(Оплаты!$B$6:$B$505,Оплаты!$A$6:$A$505,"&lt;"&amp;A1840,Оплаты!$D$6:$D$505,"&lt;&gt;"))</f>
        <v/>
      </c>
      <c r="E1840" t="str">
        <f>IF(A1840="","",IF(SUMPRODUCT((Ввод!$F$12:$F$31&lt;&gt;"")*(Ввод!$F$12:$F$31&lt;=A1840)*(Ввод!$G$12:$G$31&gt;=A1840))&gt;0,1,0))</f>
        <v/>
      </c>
      <c r="G1840" t="str">
        <f t="shared" si="57"/>
        <v/>
      </c>
    </row>
    <row r="1841" spans="1:7" x14ac:dyDescent="0.3">
      <c r="A1841" s="21" t="str">
        <f>IF(A1840="","",IF(A1840+1&gt;Ввод!$B$4,"",A1840+1))</f>
        <v/>
      </c>
      <c r="B1841" s="23" t="str">
        <f>IF(A1841="","",IFERROR(INDEX(Ввод!$B$12:$B$71,MATCH(A1841,Ввод!$D$12:$D$71,1)),""))</f>
        <v/>
      </c>
      <c r="C1841" t="str">
        <f t="shared" si="56"/>
        <v/>
      </c>
      <c r="D1841" t="str">
        <f>IF(A1841="","",SUMIFS(Акты!$D$5:$D$16,Акты!$E$5:$E$16,"&lt;="&amp;A1841)-SUMIFS(Оплаты!$B$6:$B$505,Оплаты!$A$6:$A$505,"&lt;"&amp;A1841,Оплаты!$D$6:$D$505,"&lt;&gt;"))</f>
        <v/>
      </c>
      <c r="E1841" t="str">
        <f>IF(A1841="","",IF(SUMPRODUCT((Ввод!$F$12:$F$31&lt;&gt;"")*(Ввод!$F$12:$F$31&lt;=A1841)*(Ввод!$G$12:$G$31&gt;=A1841))&gt;0,1,0))</f>
        <v/>
      </c>
      <c r="G1841" t="str">
        <f t="shared" si="57"/>
        <v/>
      </c>
    </row>
    <row r="1842" spans="1:7" x14ac:dyDescent="0.3">
      <c r="A1842" s="21" t="str">
        <f>IF(A1841="","",IF(A1841+1&gt;Ввод!$B$4,"",A1841+1))</f>
        <v/>
      </c>
      <c r="B1842" s="23" t="str">
        <f>IF(A1842="","",IFERROR(INDEX(Ввод!$B$12:$B$71,MATCH(A1842,Ввод!$D$12:$D$71,1)),""))</f>
        <v/>
      </c>
      <c r="C1842" t="str">
        <f t="shared" si="56"/>
        <v/>
      </c>
      <c r="D1842" t="str">
        <f>IF(A1842="","",SUMIFS(Акты!$D$5:$D$16,Акты!$E$5:$E$16,"&lt;="&amp;A1842)-SUMIFS(Оплаты!$B$6:$B$505,Оплаты!$A$6:$A$505,"&lt;"&amp;A1842,Оплаты!$D$6:$D$505,"&lt;&gt;"))</f>
        <v/>
      </c>
      <c r="E1842" t="str">
        <f>IF(A1842="","",IF(SUMPRODUCT((Ввод!$F$12:$F$31&lt;&gt;"")*(Ввод!$F$12:$F$31&lt;=A1842)*(Ввод!$G$12:$G$31&gt;=A1842))&gt;0,1,0))</f>
        <v/>
      </c>
      <c r="G1842" t="str">
        <f t="shared" si="57"/>
        <v/>
      </c>
    </row>
    <row r="1843" spans="1:7" x14ac:dyDescent="0.3">
      <c r="A1843" s="21" t="str">
        <f>IF(A1842="","",IF(A1842+1&gt;Ввод!$B$4,"",A1842+1))</f>
        <v/>
      </c>
      <c r="B1843" s="23" t="str">
        <f>IF(A1843="","",IFERROR(INDEX(Ввод!$B$12:$B$71,MATCH(A1843,Ввод!$D$12:$D$71,1)),""))</f>
        <v/>
      </c>
      <c r="C1843" t="str">
        <f t="shared" si="56"/>
        <v/>
      </c>
      <c r="D1843" t="str">
        <f>IF(A1843="","",SUMIFS(Акты!$D$5:$D$16,Акты!$E$5:$E$16,"&lt;="&amp;A1843)-SUMIFS(Оплаты!$B$6:$B$505,Оплаты!$A$6:$A$505,"&lt;"&amp;A1843,Оплаты!$D$6:$D$505,"&lt;&gt;"))</f>
        <v/>
      </c>
      <c r="E1843" t="str">
        <f>IF(A1843="","",IF(SUMPRODUCT((Ввод!$F$12:$F$31&lt;&gt;"")*(Ввод!$F$12:$F$31&lt;=A1843)*(Ввод!$G$12:$G$31&gt;=A1843))&gt;0,1,0))</f>
        <v/>
      </c>
      <c r="G1843" t="str">
        <f t="shared" si="57"/>
        <v/>
      </c>
    </row>
    <row r="1844" spans="1:7" x14ac:dyDescent="0.3">
      <c r="A1844" s="21" t="str">
        <f>IF(A1843="","",IF(A1843+1&gt;Ввод!$B$4,"",A1843+1))</f>
        <v/>
      </c>
      <c r="B1844" s="23" t="str">
        <f>IF(A1844="","",IFERROR(INDEX(Ввод!$B$12:$B$71,MATCH(A1844,Ввод!$D$12:$D$71,1)),""))</f>
        <v/>
      </c>
      <c r="C1844" t="str">
        <f t="shared" si="56"/>
        <v/>
      </c>
      <c r="D1844" t="str">
        <f>IF(A1844="","",SUMIFS(Акты!$D$5:$D$16,Акты!$E$5:$E$16,"&lt;="&amp;A1844)-SUMIFS(Оплаты!$B$6:$B$505,Оплаты!$A$6:$A$505,"&lt;"&amp;A1844,Оплаты!$D$6:$D$505,"&lt;&gt;"))</f>
        <v/>
      </c>
      <c r="E1844" t="str">
        <f>IF(A1844="","",IF(SUMPRODUCT((Ввод!$F$12:$F$31&lt;&gt;"")*(Ввод!$F$12:$F$31&lt;=A1844)*(Ввод!$G$12:$G$31&gt;=A1844))&gt;0,1,0))</f>
        <v/>
      </c>
      <c r="G1844" t="str">
        <f t="shared" si="57"/>
        <v/>
      </c>
    </row>
    <row r="1845" spans="1:7" x14ac:dyDescent="0.3">
      <c r="A1845" s="21" t="str">
        <f>IF(A1844="","",IF(A1844+1&gt;Ввод!$B$4,"",A1844+1))</f>
        <v/>
      </c>
      <c r="B1845" s="23" t="str">
        <f>IF(A1845="","",IFERROR(INDEX(Ввод!$B$12:$B$71,MATCH(A1845,Ввод!$D$12:$D$71,1)),""))</f>
        <v/>
      </c>
      <c r="C1845" t="str">
        <f t="shared" si="56"/>
        <v/>
      </c>
      <c r="D1845" t="str">
        <f>IF(A1845="","",SUMIFS(Акты!$D$5:$D$16,Акты!$E$5:$E$16,"&lt;="&amp;A1845)-SUMIFS(Оплаты!$B$6:$B$505,Оплаты!$A$6:$A$505,"&lt;"&amp;A1845,Оплаты!$D$6:$D$505,"&lt;&gt;"))</f>
        <v/>
      </c>
      <c r="E1845" t="str">
        <f>IF(A1845="","",IF(SUMPRODUCT((Ввод!$F$12:$F$31&lt;&gt;"")*(Ввод!$F$12:$F$31&lt;=A1845)*(Ввод!$G$12:$G$31&gt;=A1845))&gt;0,1,0))</f>
        <v/>
      </c>
      <c r="G1845" t="str">
        <f t="shared" si="57"/>
        <v/>
      </c>
    </row>
    <row r="1846" spans="1:7" x14ac:dyDescent="0.3">
      <c r="A1846" s="21" t="str">
        <f>IF(A1845="","",IF(A1845+1&gt;Ввод!$B$4,"",A1845+1))</f>
        <v/>
      </c>
      <c r="B1846" s="23" t="str">
        <f>IF(A1846="","",IFERROR(INDEX(Ввод!$B$12:$B$71,MATCH(A1846,Ввод!$D$12:$D$71,1)),""))</f>
        <v/>
      </c>
      <c r="C1846" t="str">
        <f t="shared" si="56"/>
        <v/>
      </c>
      <c r="D1846" t="str">
        <f>IF(A1846="","",SUMIFS(Акты!$D$5:$D$16,Акты!$E$5:$E$16,"&lt;="&amp;A1846)-SUMIFS(Оплаты!$B$6:$B$505,Оплаты!$A$6:$A$505,"&lt;"&amp;A1846,Оплаты!$D$6:$D$505,"&lt;&gt;"))</f>
        <v/>
      </c>
      <c r="E1846" t="str">
        <f>IF(A1846="","",IF(SUMPRODUCT((Ввод!$F$12:$F$31&lt;&gt;"")*(Ввод!$F$12:$F$31&lt;=A1846)*(Ввод!$G$12:$G$31&gt;=A1846))&gt;0,1,0))</f>
        <v/>
      </c>
      <c r="G1846" t="str">
        <f t="shared" si="57"/>
        <v/>
      </c>
    </row>
    <row r="1847" spans="1:7" x14ac:dyDescent="0.3">
      <c r="A1847" s="21" t="str">
        <f>IF(A1846="","",IF(A1846+1&gt;Ввод!$B$4,"",A1846+1))</f>
        <v/>
      </c>
      <c r="B1847" s="23" t="str">
        <f>IF(A1847="","",IFERROR(INDEX(Ввод!$B$12:$B$71,MATCH(A1847,Ввод!$D$12:$D$71,1)),""))</f>
        <v/>
      </c>
      <c r="C1847" t="str">
        <f t="shared" si="56"/>
        <v/>
      </c>
      <c r="D1847" t="str">
        <f>IF(A1847="","",SUMIFS(Акты!$D$5:$D$16,Акты!$E$5:$E$16,"&lt;="&amp;A1847)-SUMIFS(Оплаты!$B$6:$B$505,Оплаты!$A$6:$A$505,"&lt;"&amp;A1847,Оплаты!$D$6:$D$505,"&lt;&gt;"))</f>
        <v/>
      </c>
      <c r="E1847" t="str">
        <f>IF(A1847="","",IF(SUMPRODUCT((Ввод!$F$12:$F$31&lt;&gt;"")*(Ввод!$F$12:$F$31&lt;=A1847)*(Ввод!$G$12:$G$31&gt;=A1847))&gt;0,1,0))</f>
        <v/>
      </c>
      <c r="G1847" t="str">
        <f t="shared" si="57"/>
        <v/>
      </c>
    </row>
    <row r="1848" spans="1:7" x14ac:dyDescent="0.3">
      <c r="A1848" s="21" t="str">
        <f>IF(A1847="","",IF(A1847+1&gt;Ввод!$B$4,"",A1847+1))</f>
        <v/>
      </c>
      <c r="B1848" s="23" t="str">
        <f>IF(A1848="","",IFERROR(INDEX(Ввод!$B$12:$B$71,MATCH(A1848,Ввод!$D$12:$D$71,1)),""))</f>
        <v/>
      </c>
      <c r="C1848" t="str">
        <f t="shared" si="56"/>
        <v/>
      </c>
      <c r="D1848" t="str">
        <f>IF(A1848="","",SUMIFS(Акты!$D$5:$D$16,Акты!$E$5:$E$16,"&lt;="&amp;A1848)-SUMIFS(Оплаты!$B$6:$B$505,Оплаты!$A$6:$A$505,"&lt;"&amp;A1848,Оплаты!$D$6:$D$505,"&lt;&gt;"))</f>
        <v/>
      </c>
      <c r="E1848" t="str">
        <f>IF(A1848="","",IF(SUMPRODUCT((Ввод!$F$12:$F$31&lt;&gt;"")*(Ввод!$F$12:$F$31&lt;=A1848)*(Ввод!$G$12:$G$31&gt;=A1848))&gt;0,1,0))</f>
        <v/>
      </c>
      <c r="G1848" t="str">
        <f t="shared" si="57"/>
        <v/>
      </c>
    </row>
    <row r="1849" spans="1:7" x14ac:dyDescent="0.3">
      <c r="A1849" s="21" t="str">
        <f>IF(A1848="","",IF(A1848+1&gt;Ввод!$B$4,"",A1848+1))</f>
        <v/>
      </c>
      <c r="B1849" s="23" t="str">
        <f>IF(A1849="","",IFERROR(INDEX(Ввод!$B$12:$B$71,MATCH(A1849,Ввод!$D$12:$D$71,1)),""))</f>
        <v/>
      </c>
      <c r="C1849" t="str">
        <f t="shared" si="56"/>
        <v/>
      </c>
      <c r="D1849" t="str">
        <f>IF(A1849="","",SUMIFS(Акты!$D$5:$D$16,Акты!$E$5:$E$16,"&lt;="&amp;A1849)-SUMIFS(Оплаты!$B$6:$B$505,Оплаты!$A$6:$A$505,"&lt;"&amp;A1849,Оплаты!$D$6:$D$505,"&lt;&gt;"))</f>
        <v/>
      </c>
      <c r="E1849" t="str">
        <f>IF(A1849="","",IF(SUMPRODUCT((Ввод!$F$12:$F$31&lt;&gt;"")*(Ввод!$F$12:$F$31&lt;=A1849)*(Ввод!$G$12:$G$31&gt;=A1849))&gt;0,1,0))</f>
        <v/>
      </c>
      <c r="G1849" t="str">
        <f t="shared" si="57"/>
        <v/>
      </c>
    </row>
    <row r="1850" spans="1:7" x14ac:dyDescent="0.3">
      <c r="A1850" s="21" t="str">
        <f>IF(A1849="","",IF(A1849+1&gt;Ввод!$B$4,"",A1849+1))</f>
        <v/>
      </c>
      <c r="B1850" s="23" t="str">
        <f>IF(A1850="","",IFERROR(INDEX(Ввод!$B$12:$B$71,MATCH(A1850,Ввод!$D$12:$D$71,1)),""))</f>
        <v/>
      </c>
      <c r="C1850" t="str">
        <f t="shared" si="56"/>
        <v/>
      </c>
      <c r="D1850" t="str">
        <f>IF(A1850="","",SUMIFS(Акты!$D$5:$D$16,Акты!$E$5:$E$16,"&lt;="&amp;A1850)-SUMIFS(Оплаты!$B$6:$B$505,Оплаты!$A$6:$A$505,"&lt;"&amp;A1850,Оплаты!$D$6:$D$505,"&lt;&gt;"))</f>
        <v/>
      </c>
      <c r="E1850" t="str">
        <f>IF(A1850="","",IF(SUMPRODUCT((Ввод!$F$12:$F$31&lt;&gt;"")*(Ввод!$F$12:$F$31&lt;=A1850)*(Ввод!$G$12:$G$31&gt;=A1850))&gt;0,1,0))</f>
        <v/>
      </c>
      <c r="G1850" t="str">
        <f t="shared" si="57"/>
        <v/>
      </c>
    </row>
    <row r="1851" spans="1:7" x14ac:dyDescent="0.3">
      <c r="A1851" s="21" t="str">
        <f>IF(A1850="","",IF(A1850+1&gt;Ввод!$B$4,"",A1850+1))</f>
        <v/>
      </c>
      <c r="B1851" s="23" t="str">
        <f>IF(A1851="","",IFERROR(INDEX(Ввод!$B$12:$B$71,MATCH(A1851,Ввод!$D$12:$D$71,1)),""))</f>
        <v/>
      </c>
      <c r="C1851" t="str">
        <f t="shared" si="56"/>
        <v/>
      </c>
      <c r="D1851" t="str">
        <f>IF(A1851="","",SUMIFS(Акты!$D$5:$D$16,Акты!$E$5:$E$16,"&lt;="&amp;A1851)-SUMIFS(Оплаты!$B$6:$B$505,Оплаты!$A$6:$A$505,"&lt;"&amp;A1851,Оплаты!$D$6:$D$505,"&lt;&gt;"))</f>
        <v/>
      </c>
      <c r="E1851" t="str">
        <f>IF(A1851="","",IF(SUMPRODUCT((Ввод!$F$12:$F$31&lt;&gt;"")*(Ввод!$F$12:$F$31&lt;=A1851)*(Ввод!$G$12:$G$31&gt;=A1851))&gt;0,1,0))</f>
        <v/>
      </c>
      <c r="G1851" t="str">
        <f t="shared" si="57"/>
        <v/>
      </c>
    </row>
    <row r="1852" spans="1:7" x14ac:dyDescent="0.3">
      <c r="A1852" s="21" t="str">
        <f>IF(A1851="","",IF(A1851+1&gt;Ввод!$B$4,"",A1851+1))</f>
        <v/>
      </c>
      <c r="B1852" s="23" t="str">
        <f>IF(A1852="","",IFERROR(INDEX(Ввод!$B$12:$B$71,MATCH(A1852,Ввод!$D$12:$D$71,1)),""))</f>
        <v/>
      </c>
      <c r="C1852" t="str">
        <f t="shared" si="56"/>
        <v/>
      </c>
      <c r="D1852" t="str">
        <f>IF(A1852="","",SUMIFS(Акты!$D$5:$D$16,Акты!$E$5:$E$16,"&lt;="&amp;A1852)-SUMIFS(Оплаты!$B$6:$B$505,Оплаты!$A$6:$A$505,"&lt;"&amp;A1852,Оплаты!$D$6:$D$505,"&lt;&gt;"))</f>
        <v/>
      </c>
      <c r="E1852" t="str">
        <f>IF(A1852="","",IF(SUMPRODUCT((Ввод!$F$12:$F$31&lt;&gt;"")*(Ввод!$F$12:$F$31&lt;=A1852)*(Ввод!$G$12:$G$31&gt;=A1852))&gt;0,1,0))</f>
        <v/>
      </c>
      <c r="G1852" t="str">
        <f t="shared" si="57"/>
        <v/>
      </c>
    </row>
    <row r="1853" spans="1:7" x14ac:dyDescent="0.3">
      <c r="A1853" s="21" t="str">
        <f>IF(A1852="","",IF(A1852+1&gt;Ввод!$B$4,"",A1852+1))</f>
        <v/>
      </c>
      <c r="B1853" s="23" t="str">
        <f>IF(A1853="","",IFERROR(INDEX(Ввод!$B$12:$B$71,MATCH(A1853,Ввод!$D$12:$D$71,1)),""))</f>
        <v/>
      </c>
      <c r="C1853" t="str">
        <f t="shared" si="56"/>
        <v/>
      </c>
      <c r="D1853" t="str">
        <f>IF(A1853="","",SUMIFS(Акты!$D$5:$D$16,Акты!$E$5:$E$16,"&lt;="&amp;A1853)-SUMIFS(Оплаты!$B$6:$B$505,Оплаты!$A$6:$A$505,"&lt;"&amp;A1853,Оплаты!$D$6:$D$505,"&lt;&gt;"))</f>
        <v/>
      </c>
      <c r="E1853" t="str">
        <f>IF(A1853="","",IF(SUMPRODUCT((Ввод!$F$12:$F$31&lt;&gt;"")*(Ввод!$F$12:$F$31&lt;=A1853)*(Ввод!$G$12:$G$31&gt;=A1853))&gt;0,1,0))</f>
        <v/>
      </c>
      <c r="G1853" t="str">
        <f t="shared" si="57"/>
        <v/>
      </c>
    </row>
    <row r="1854" spans="1:7" x14ac:dyDescent="0.3">
      <c r="A1854" s="21" t="str">
        <f>IF(A1853="","",IF(A1853+1&gt;Ввод!$B$4,"",A1853+1))</f>
        <v/>
      </c>
      <c r="B1854" s="23" t="str">
        <f>IF(A1854="","",IFERROR(INDEX(Ввод!$B$12:$B$71,MATCH(A1854,Ввод!$D$12:$D$71,1)),""))</f>
        <v/>
      </c>
      <c r="C1854" t="str">
        <f t="shared" si="56"/>
        <v/>
      </c>
      <c r="D1854" t="str">
        <f>IF(A1854="","",SUMIFS(Акты!$D$5:$D$16,Акты!$E$5:$E$16,"&lt;="&amp;A1854)-SUMIFS(Оплаты!$B$6:$B$505,Оплаты!$A$6:$A$505,"&lt;"&amp;A1854,Оплаты!$D$6:$D$505,"&lt;&gt;"))</f>
        <v/>
      </c>
      <c r="E1854" t="str">
        <f>IF(A1854="","",IF(SUMPRODUCT((Ввод!$F$12:$F$31&lt;&gt;"")*(Ввод!$F$12:$F$31&lt;=A1854)*(Ввод!$G$12:$G$31&gt;=A1854))&gt;0,1,0))</f>
        <v/>
      </c>
      <c r="G1854" t="str">
        <f t="shared" si="57"/>
        <v/>
      </c>
    </row>
    <row r="1855" spans="1:7" x14ac:dyDescent="0.3">
      <c r="A1855" s="21" t="str">
        <f>IF(A1854="","",IF(A1854+1&gt;Ввод!$B$4,"",A1854+1))</f>
        <v/>
      </c>
      <c r="B1855" s="23" t="str">
        <f>IF(A1855="","",IFERROR(INDEX(Ввод!$B$12:$B$71,MATCH(A1855,Ввод!$D$12:$D$71,1)),""))</f>
        <v/>
      </c>
      <c r="C1855" t="str">
        <f t="shared" si="56"/>
        <v/>
      </c>
      <c r="D1855" t="str">
        <f>IF(A1855="","",SUMIFS(Акты!$D$5:$D$16,Акты!$E$5:$E$16,"&lt;="&amp;A1855)-SUMIFS(Оплаты!$B$6:$B$505,Оплаты!$A$6:$A$505,"&lt;"&amp;A1855,Оплаты!$D$6:$D$505,"&lt;&gt;"))</f>
        <v/>
      </c>
      <c r="E1855" t="str">
        <f>IF(A1855="","",IF(SUMPRODUCT((Ввод!$F$12:$F$31&lt;&gt;"")*(Ввод!$F$12:$F$31&lt;=A1855)*(Ввод!$G$12:$G$31&gt;=A1855))&gt;0,1,0))</f>
        <v/>
      </c>
      <c r="G1855" t="str">
        <f t="shared" si="57"/>
        <v/>
      </c>
    </row>
    <row r="1856" spans="1:7" x14ac:dyDescent="0.3">
      <c r="A1856" s="21" t="str">
        <f>IF(A1855="","",IF(A1855+1&gt;Ввод!$B$4,"",A1855+1))</f>
        <v/>
      </c>
      <c r="B1856" s="23" t="str">
        <f>IF(A1856="","",IFERROR(INDEX(Ввод!$B$12:$B$71,MATCH(A1856,Ввод!$D$12:$D$71,1)),""))</f>
        <v/>
      </c>
      <c r="C1856" t="str">
        <f t="shared" si="56"/>
        <v/>
      </c>
      <c r="D1856" t="str">
        <f>IF(A1856="","",SUMIFS(Акты!$D$5:$D$16,Акты!$E$5:$E$16,"&lt;="&amp;A1856)-SUMIFS(Оплаты!$B$6:$B$505,Оплаты!$A$6:$A$505,"&lt;"&amp;A1856,Оплаты!$D$6:$D$505,"&lt;&gt;"))</f>
        <v/>
      </c>
      <c r="E1856" t="str">
        <f>IF(A1856="","",IF(SUMPRODUCT((Ввод!$F$12:$F$31&lt;&gt;"")*(Ввод!$F$12:$F$31&lt;=A1856)*(Ввод!$G$12:$G$31&gt;=A1856))&gt;0,1,0))</f>
        <v/>
      </c>
      <c r="G1856" t="str">
        <f t="shared" si="57"/>
        <v/>
      </c>
    </row>
    <row r="1857" spans="1:7" x14ac:dyDescent="0.3">
      <c r="A1857" s="21" t="str">
        <f>IF(A1856="","",IF(A1856+1&gt;Ввод!$B$4,"",A1856+1))</f>
        <v/>
      </c>
      <c r="B1857" s="23" t="str">
        <f>IF(A1857="","",IFERROR(INDEX(Ввод!$B$12:$B$71,MATCH(A1857,Ввод!$D$12:$D$71,1)),""))</f>
        <v/>
      </c>
      <c r="C1857" t="str">
        <f t="shared" si="56"/>
        <v/>
      </c>
      <c r="D1857" t="str">
        <f>IF(A1857="","",SUMIFS(Акты!$D$5:$D$16,Акты!$E$5:$E$16,"&lt;="&amp;A1857)-SUMIFS(Оплаты!$B$6:$B$505,Оплаты!$A$6:$A$505,"&lt;"&amp;A1857,Оплаты!$D$6:$D$505,"&lt;&gt;"))</f>
        <v/>
      </c>
      <c r="E1857" t="str">
        <f>IF(A1857="","",IF(SUMPRODUCT((Ввод!$F$12:$F$31&lt;&gt;"")*(Ввод!$F$12:$F$31&lt;=A1857)*(Ввод!$G$12:$G$31&gt;=A1857))&gt;0,1,0))</f>
        <v/>
      </c>
      <c r="G1857" t="str">
        <f t="shared" si="57"/>
        <v/>
      </c>
    </row>
    <row r="1858" spans="1:7" x14ac:dyDescent="0.3">
      <c r="A1858" s="21" t="str">
        <f>IF(A1857="","",IF(A1857+1&gt;Ввод!$B$4,"",A1857+1))</f>
        <v/>
      </c>
      <c r="B1858" s="23" t="str">
        <f>IF(A1858="","",IFERROR(INDEX(Ввод!$B$12:$B$71,MATCH(A1858,Ввод!$D$12:$D$71,1)),""))</f>
        <v/>
      </c>
      <c r="C1858" t="str">
        <f t="shared" ref="C1858:C1921" si="58">IF(A1858="","",DATE(YEAR(A1858),12,31)-DATE(YEAR(A1858),1,1)+1)</f>
        <v/>
      </c>
      <c r="D1858" t="str">
        <f>IF(A1858="","",SUMIFS(Акты!$D$5:$D$16,Акты!$E$5:$E$16,"&lt;="&amp;A1858)-SUMIFS(Оплаты!$B$6:$B$505,Оплаты!$A$6:$A$505,"&lt;"&amp;A1858,Оплаты!$D$6:$D$505,"&lt;&gt;"))</f>
        <v/>
      </c>
      <c r="E1858" t="str">
        <f>IF(A1858="","",IF(SUMPRODUCT((Ввод!$F$12:$F$31&lt;&gt;"")*(Ввод!$F$12:$F$31&lt;=A1858)*(Ввод!$G$12:$G$31&gt;=A1858))&gt;0,1,0))</f>
        <v/>
      </c>
      <c r="G1858" t="str">
        <f t="shared" si="57"/>
        <v/>
      </c>
    </row>
    <row r="1859" spans="1:7" x14ac:dyDescent="0.3">
      <c r="A1859" s="21" t="str">
        <f>IF(A1858="","",IF(A1858+1&gt;Ввод!$B$4,"",A1858+1))</f>
        <v/>
      </c>
      <c r="B1859" s="23" t="str">
        <f>IF(A1859="","",IFERROR(INDEX(Ввод!$B$12:$B$71,MATCH(A1859,Ввод!$D$12:$D$71,1)),""))</f>
        <v/>
      </c>
      <c r="C1859" t="str">
        <f t="shared" si="58"/>
        <v/>
      </c>
      <c r="D1859" t="str">
        <f>IF(A1859="","",SUMIFS(Акты!$D$5:$D$16,Акты!$E$5:$E$16,"&lt;="&amp;A1859)-SUMIFS(Оплаты!$B$6:$B$505,Оплаты!$A$6:$A$505,"&lt;"&amp;A1859,Оплаты!$D$6:$D$505,"&lt;&gt;"))</f>
        <v/>
      </c>
      <c r="E1859" t="str">
        <f>IF(A1859="","",IF(SUMPRODUCT((Ввод!$F$12:$F$31&lt;&gt;"")*(Ввод!$F$12:$F$31&lt;=A1859)*(Ввод!$G$12:$G$31&gt;=A1859))&gt;0,1,0))</f>
        <v/>
      </c>
      <c r="G1859" t="str">
        <f t="shared" ref="G1859:G1922" si="59">IF(A1859="","",IF(OR(B1859&lt;&gt;B1858,C1859&lt;&gt;C1858,E1859&lt;&gt;E1858),G1858+1,G1858))</f>
        <v/>
      </c>
    </row>
    <row r="1860" spans="1:7" x14ac:dyDescent="0.3">
      <c r="A1860" s="21" t="str">
        <f>IF(A1859="","",IF(A1859+1&gt;Ввод!$B$4,"",A1859+1))</f>
        <v/>
      </c>
      <c r="B1860" s="23" t="str">
        <f>IF(A1860="","",IFERROR(INDEX(Ввод!$B$12:$B$71,MATCH(A1860,Ввод!$D$12:$D$71,1)),""))</f>
        <v/>
      </c>
      <c r="C1860" t="str">
        <f t="shared" si="58"/>
        <v/>
      </c>
      <c r="D1860" t="str">
        <f>IF(A1860="","",SUMIFS(Акты!$D$5:$D$16,Акты!$E$5:$E$16,"&lt;="&amp;A1860)-SUMIFS(Оплаты!$B$6:$B$505,Оплаты!$A$6:$A$505,"&lt;"&amp;A1860,Оплаты!$D$6:$D$505,"&lt;&gt;"))</f>
        <v/>
      </c>
      <c r="E1860" t="str">
        <f>IF(A1860="","",IF(SUMPRODUCT((Ввод!$F$12:$F$31&lt;&gt;"")*(Ввод!$F$12:$F$31&lt;=A1860)*(Ввод!$G$12:$G$31&gt;=A1860))&gt;0,1,0))</f>
        <v/>
      </c>
      <c r="G1860" t="str">
        <f t="shared" si="59"/>
        <v/>
      </c>
    </row>
    <row r="1861" spans="1:7" x14ac:dyDescent="0.3">
      <c r="A1861" s="21" t="str">
        <f>IF(A1860="","",IF(A1860+1&gt;Ввод!$B$4,"",A1860+1))</f>
        <v/>
      </c>
      <c r="B1861" s="23" t="str">
        <f>IF(A1861="","",IFERROR(INDEX(Ввод!$B$12:$B$71,MATCH(A1861,Ввод!$D$12:$D$71,1)),""))</f>
        <v/>
      </c>
      <c r="C1861" t="str">
        <f t="shared" si="58"/>
        <v/>
      </c>
      <c r="D1861" t="str">
        <f>IF(A1861="","",SUMIFS(Акты!$D$5:$D$16,Акты!$E$5:$E$16,"&lt;="&amp;A1861)-SUMIFS(Оплаты!$B$6:$B$505,Оплаты!$A$6:$A$505,"&lt;"&amp;A1861,Оплаты!$D$6:$D$505,"&lt;&gt;"))</f>
        <v/>
      </c>
      <c r="E1861" t="str">
        <f>IF(A1861="","",IF(SUMPRODUCT((Ввод!$F$12:$F$31&lt;&gt;"")*(Ввод!$F$12:$F$31&lt;=A1861)*(Ввод!$G$12:$G$31&gt;=A1861))&gt;0,1,0))</f>
        <v/>
      </c>
      <c r="G1861" t="str">
        <f t="shared" si="59"/>
        <v/>
      </c>
    </row>
    <row r="1862" spans="1:7" x14ac:dyDescent="0.3">
      <c r="A1862" s="21" t="str">
        <f>IF(A1861="","",IF(A1861+1&gt;Ввод!$B$4,"",A1861+1))</f>
        <v/>
      </c>
      <c r="B1862" s="23" t="str">
        <f>IF(A1862="","",IFERROR(INDEX(Ввод!$B$12:$B$71,MATCH(A1862,Ввод!$D$12:$D$71,1)),""))</f>
        <v/>
      </c>
      <c r="C1862" t="str">
        <f t="shared" si="58"/>
        <v/>
      </c>
      <c r="D1862" t="str">
        <f>IF(A1862="","",SUMIFS(Акты!$D$5:$D$16,Акты!$E$5:$E$16,"&lt;="&amp;A1862)-SUMIFS(Оплаты!$B$6:$B$505,Оплаты!$A$6:$A$505,"&lt;"&amp;A1862,Оплаты!$D$6:$D$505,"&lt;&gt;"))</f>
        <v/>
      </c>
      <c r="E1862" t="str">
        <f>IF(A1862="","",IF(SUMPRODUCT((Ввод!$F$12:$F$31&lt;&gt;"")*(Ввод!$F$12:$F$31&lt;=A1862)*(Ввод!$G$12:$G$31&gt;=A1862))&gt;0,1,0))</f>
        <v/>
      </c>
      <c r="G1862" t="str">
        <f t="shared" si="59"/>
        <v/>
      </c>
    </row>
    <row r="1863" spans="1:7" x14ac:dyDescent="0.3">
      <c r="A1863" s="21" t="str">
        <f>IF(A1862="","",IF(A1862+1&gt;Ввод!$B$4,"",A1862+1))</f>
        <v/>
      </c>
      <c r="B1863" s="23" t="str">
        <f>IF(A1863="","",IFERROR(INDEX(Ввод!$B$12:$B$71,MATCH(A1863,Ввод!$D$12:$D$71,1)),""))</f>
        <v/>
      </c>
      <c r="C1863" t="str">
        <f t="shared" si="58"/>
        <v/>
      </c>
      <c r="D1863" t="str">
        <f>IF(A1863="","",SUMIFS(Акты!$D$5:$D$16,Акты!$E$5:$E$16,"&lt;="&amp;A1863)-SUMIFS(Оплаты!$B$6:$B$505,Оплаты!$A$6:$A$505,"&lt;"&amp;A1863,Оплаты!$D$6:$D$505,"&lt;&gt;"))</f>
        <v/>
      </c>
      <c r="E1863" t="str">
        <f>IF(A1863="","",IF(SUMPRODUCT((Ввод!$F$12:$F$31&lt;&gt;"")*(Ввод!$F$12:$F$31&lt;=A1863)*(Ввод!$G$12:$G$31&gt;=A1863))&gt;0,1,0))</f>
        <v/>
      </c>
      <c r="G1863" t="str">
        <f t="shared" si="59"/>
        <v/>
      </c>
    </row>
    <row r="1864" spans="1:7" x14ac:dyDescent="0.3">
      <c r="A1864" s="21" t="str">
        <f>IF(A1863="","",IF(A1863+1&gt;Ввод!$B$4,"",A1863+1))</f>
        <v/>
      </c>
      <c r="B1864" s="23" t="str">
        <f>IF(A1864="","",IFERROR(INDEX(Ввод!$B$12:$B$71,MATCH(A1864,Ввод!$D$12:$D$71,1)),""))</f>
        <v/>
      </c>
      <c r="C1864" t="str">
        <f t="shared" si="58"/>
        <v/>
      </c>
      <c r="D1864" t="str">
        <f>IF(A1864="","",SUMIFS(Акты!$D$5:$D$16,Акты!$E$5:$E$16,"&lt;="&amp;A1864)-SUMIFS(Оплаты!$B$6:$B$505,Оплаты!$A$6:$A$505,"&lt;"&amp;A1864,Оплаты!$D$6:$D$505,"&lt;&gt;"))</f>
        <v/>
      </c>
      <c r="E1864" t="str">
        <f>IF(A1864="","",IF(SUMPRODUCT((Ввод!$F$12:$F$31&lt;&gt;"")*(Ввод!$F$12:$F$31&lt;=A1864)*(Ввод!$G$12:$G$31&gt;=A1864))&gt;0,1,0))</f>
        <v/>
      </c>
      <c r="G1864" t="str">
        <f t="shared" si="59"/>
        <v/>
      </c>
    </row>
    <row r="1865" spans="1:7" x14ac:dyDescent="0.3">
      <c r="A1865" s="21" t="str">
        <f>IF(A1864="","",IF(A1864+1&gt;Ввод!$B$4,"",A1864+1))</f>
        <v/>
      </c>
      <c r="B1865" s="23" t="str">
        <f>IF(A1865="","",IFERROR(INDEX(Ввод!$B$12:$B$71,MATCH(A1865,Ввод!$D$12:$D$71,1)),""))</f>
        <v/>
      </c>
      <c r="C1865" t="str">
        <f t="shared" si="58"/>
        <v/>
      </c>
      <c r="D1865" t="str">
        <f>IF(A1865="","",SUMIFS(Акты!$D$5:$D$16,Акты!$E$5:$E$16,"&lt;="&amp;A1865)-SUMIFS(Оплаты!$B$6:$B$505,Оплаты!$A$6:$A$505,"&lt;"&amp;A1865,Оплаты!$D$6:$D$505,"&lt;&gt;"))</f>
        <v/>
      </c>
      <c r="E1865" t="str">
        <f>IF(A1865="","",IF(SUMPRODUCT((Ввод!$F$12:$F$31&lt;&gt;"")*(Ввод!$F$12:$F$31&lt;=A1865)*(Ввод!$G$12:$G$31&gt;=A1865))&gt;0,1,0))</f>
        <v/>
      </c>
      <c r="G1865" t="str">
        <f t="shared" si="59"/>
        <v/>
      </c>
    </row>
    <row r="1866" spans="1:7" x14ac:dyDescent="0.3">
      <c r="A1866" s="21" t="str">
        <f>IF(A1865="","",IF(A1865+1&gt;Ввод!$B$4,"",A1865+1))</f>
        <v/>
      </c>
      <c r="B1866" s="23" t="str">
        <f>IF(A1866="","",IFERROR(INDEX(Ввод!$B$12:$B$71,MATCH(A1866,Ввод!$D$12:$D$71,1)),""))</f>
        <v/>
      </c>
      <c r="C1866" t="str">
        <f t="shared" si="58"/>
        <v/>
      </c>
      <c r="D1866" t="str">
        <f>IF(A1866="","",SUMIFS(Акты!$D$5:$D$16,Акты!$E$5:$E$16,"&lt;="&amp;A1866)-SUMIFS(Оплаты!$B$6:$B$505,Оплаты!$A$6:$A$505,"&lt;"&amp;A1866,Оплаты!$D$6:$D$505,"&lt;&gt;"))</f>
        <v/>
      </c>
      <c r="E1866" t="str">
        <f>IF(A1866="","",IF(SUMPRODUCT((Ввод!$F$12:$F$31&lt;&gt;"")*(Ввод!$F$12:$F$31&lt;=A1866)*(Ввод!$G$12:$G$31&gt;=A1866))&gt;0,1,0))</f>
        <v/>
      </c>
      <c r="G1866" t="str">
        <f t="shared" si="59"/>
        <v/>
      </c>
    </row>
    <row r="1867" spans="1:7" x14ac:dyDescent="0.3">
      <c r="A1867" s="21" t="str">
        <f>IF(A1866="","",IF(A1866+1&gt;Ввод!$B$4,"",A1866+1))</f>
        <v/>
      </c>
      <c r="B1867" s="23" t="str">
        <f>IF(A1867="","",IFERROR(INDEX(Ввод!$B$12:$B$71,MATCH(A1867,Ввод!$D$12:$D$71,1)),""))</f>
        <v/>
      </c>
      <c r="C1867" t="str">
        <f t="shared" si="58"/>
        <v/>
      </c>
      <c r="D1867" t="str">
        <f>IF(A1867="","",SUMIFS(Акты!$D$5:$D$16,Акты!$E$5:$E$16,"&lt;="&amp;A1867)-SUMIFS(Оплаты!$B$6:$B$505,Оплаты!$A$6:$A$505,"&lt;"&amp;A1867,Оплаты!$D$6:$D$505,"&lt;&gt;"))</f>
        <v/>
      </c>
      <c r="E1867" t="str">
        <f>IF(A1867="","",IF(SUMPRODUCT((Ввод!$F$12:$F$31&lt;&gt;"")*(Ввод!$F$12:$F$31&lt;=A1867)*(Ввод!$G$12:$G$31&gt;=A1867))&gt;0,1,0))</f>
        <v/>
      </c>
      <c r="G1867" t="str">
        <f t="shared" si="59"/>
        <v/>
      </c>
    </row>
    <row r="1868" spans="1:7" x14ac:dyDescent="0.3">
      <c r="A1868" s="21" t="str">
        <f>IF(A1867="","",IF(A1867+1&gt;Ввод!$B$4,"",A1867+1))</f>
        <v/>
      </c>
      <c r="B1868" s="23" t="str">
        <f>IF(A1868="","",IFERROR(INDEX(Ввод!$B$12:$B$71,MATCH(A1868,Ввод!$D$12:$D$71,1)),""))</f>
        <v/>
      </c>
      <c r="C1868" t="str">
        <f t="shared" si="58"/>
        <v/>
      </c>
      <c r="D1868" t="str">
        <f>IF(A1868="","",SUMIFS(Акты!$D$5:$D$16,Акты!$E$5:$E$16,"&lt;="&amp;A1868)-SUMIFS(Оплаты!$B$6:$B$505,Оплаты!$A$6:$A$505,"&lt;"&amp;A1868,Оплаты!$D$6:$D$505,"&lt;&gt;"))</f>
        <v/>
      </c>
      <c r="E1868" t="str">
        <f>IF(A1868="","",IF(SUMPRODUCT((Ввод!$F$12:$F$31&lt;&gt;"")*(Ввод!$F$12:$F$31&lt;=A1868)*(Ввод!$G$12:$G$31&gt;=A1868))&gt;0,1,0))</f>
        <v/>
      </c>
      <c r="G1868" t="str">
        <f t="shared" si="59"/>
        <v/>
      </c>
    </row>
    <row r="1869" spans="1:7" x14ac:dyDescent="0.3">
      <c r="A1869" s="21" t="str">
        <f>IF(A1868="","",IF(A1868+1&gt;Ввод!$B$4,"",A1868+1))</f>
        <v/>
      </c>
      <c r="B1869" s="23" t="str">
        <f>IF(A1869="","",IFERROR(INDEX(Ввод!$B$12:$B$71,MATCH(A1869,Ввод!$D$12:$D$71,1)),""))</f>
        <v/>
      </c>
      <c r="C1869" t="str">
        <f t="shared" si="58"/>
        <v/>
      </c>
      <c r="D1869" t="str">
        <f>IF(A1869="","",SUMIFS(Акты!$D$5:$D$16,Акты!$E$5:$E$16,"&lt;="&amp;A1869)-SUMIFS(Оплаты!$B$6:$B$505,Оплаты!$A$6:$A$505,"&lt;"&amp;A1869,Оплаты!$D$6:$D$505,"&lt;&gt;"))</f>
        <v/>
      </c>
      <c r="E1869" t="str">
        <f>IF(A1869="","",IF(SUMPRODUCT((Ввод!$F$12:$F$31&lt;&gt;"")*(Ввод!$F$12:$F$31&lt;=A1869)*(Ввод!$G$12:$G$31&gt;=A1869))&gt;0,1,0))</f>
        <v/>
      </c>
      <c r="G1869" t="str">
        <f t="shared" si="59"/>
        <v/>
      </c>
    </row>
    <row r="1870" spans="1:7" x14ac:dyDescent="0.3">
      <c r="A1870" s="21" t="str">
        <f>IF(A1869="","",IF(A1869+1&gt;Ввод!$B$4,"",A1869+1))</f>
        <v/>
      </c>
      <c r="B1870" s="23" t="str">
        <f>IF(A1870="","",IFERROR(INDEX(Ввод!$B$12:$B$71,MATCH(A1870,Ввод!$D$12:$D$71,1)),""))</f>
        <v/>
      </c>
      <c r="C1870" t="str">
        <f t="shared" si="58"/>
        <v/>
      </c>
      <c r="D1870" t="str">
        <f>IF(A1870="","",SUMIFS(Акты!$D$5:$D$16,Акты!$E$5:$E$16,"&lt;="&amp;A1870)-SUMIFS(Оплаты!$B$6:$B$505,Оплаты!$A$6:$A$505,"&lt;"&amp;A1870,Оплаты!$D$6:$D$505,"&lt;&gt;"))</f>
        <v/>
      </c>
      <c r="E1870" t="str">
        <f>IF(A1870="","",IF(SUMPRODUCT((Ввод!$F$12:$F$31&lt;&gt;"")*(Ввод!$F$12:$F$31&lt;=A1870)*(Ввод!$G$12:$G$31&gt;=A1870))&gt;0,1,0))</f>
        <v/>
      </c>
      <c r="G1870" t="str">
        <f t="shared" si="59"/>
        <v/>
      </c>
    </row>
    <row r="1871" spans="1:7" x14ac:dyDescent="0.3">
      <c r="A1871" s="21" t="str">
        <f>IF(A1870="","",IF(A1870+1&gt;Ввод!$B$4,"",A1870+1))</f>
        <v/>
      </c>
      <c r="B1871" s="23" t="str">
        <f>IF(A1871="","",IFERROR(INDEX(Ввод!$B$12:$B$71,MATCH(A1871,Ввод!$D$12:$D$71,1)),""))</f>
        <v/>
      </c>
      <c r="C1871" t="str">
        <f t="shared" si="58"/>
        <v/>
      </c>
      <c r="D1871" t="str">
        <f>IF(A1871="","",SUMIFS(Акты!$D$5:$D$16,Акты!$E$5:$E$16,"&lt;="&amp;A1871)-SUMIFS(Оплаты!$B$6:$B$505,Оплаты!$A$6:$A$505,"&lt;"&amp;A1871,Оплаты!$D$6:$D$505,"&lt;&gt;"))</f>
        <v/>
      </c>
      <c r="E1871" t="str">
        <f>IF(A1871="","",IF(SUMPRODUCT((Ввод!$F$12:$F$31&lt;&gt;"")*(Ввод!$F$12:$F$31&lt;=A1871)*(Ввод!$G$12:$G$31&gt;=A1871))&gt;0,1,0))</f>
        <v/>
      </c>
      <c r="G1871" t="str">
        <f t="shared" si="59"/>
        <v/>
      </c>
    </row>
    <row r="1872" spans="1:7" x14ac:dyDescent="0.3">
      <c r="A1872" s="21" t="str">
        <f>IF(A1871="","",IF(A1871+1&gt;Ввод!$B$4,"",A1871+1))</f>
        <v/>
      </c>
      <c r="B1872" s="23" t="str">
        <f>IF(A1872="","",IFERROR(INDEX(Ввод!$B$12:$B$71,MATCH(A1872,Ввод!$D$12:$D$71,1)),""))</f>
        <v/>
      </c>
      <c r="C1872" t="str">
        <f t="shared" si="58"/>
        <v/>
      </c>
      <c r="D1872" t="str">
        <f>IF(A1872="","",SUMIFS(Акты!$D$5:$D$16,Акты!$E$5:$E$16,"&lt;="&amp;A1872)-SUMIFS(Оплаты!$B$6:$B$505,Оплаты!$A$6:$A$505,"&lt;"&amp;A1872,Оплаты!$D$6:$D$505,"&lt;&gt;"))</f>
        <v/>
      </c>
      <c r="E1872" t="str">
        <f>IF(A1872="","",IF(SUMPRODUCT((Ввод!$F$12:$F$31&lt;&gt;"")*(Ввод!$F$12:$F$31&lt;=A1872)*(Ввод!$G$12:$G$31&gt;=A1872))&gt;0,1,0))</f>
        <v/>
      </c>
      <c r="G1872" t="str">
        <f t="shared" si="59"/>
        <v/>
      </c>
    </row>
    <row r="1873" spans="1:7" x14ac:dyDescent="0.3">
      <c r="A1873" s="21" t="str">
        <f>IF(A1872="","",IF(A1872+1&gt;Ввод!$B$4,"",A1872+1))</f>
        <v/>
      </c>
      <c r="B1873" s="23" t="str">
        <f>IF(A1873="","",IFERROR(INDEX(Ввод!$B$12:$B$71,MATCH(A1873,Ввод!$D$12:$D$71,1)),""))</f>
        <v/>
      </c>
      <c r="C1873" t="str">
        <f t="shared" si="58"/>
        <v/>
      </c>
      <c r="D1873" t="str">
        <f>IF(A1873="","",SUMIFS(Акты!$D$5:$D$16,Акты!$E$5:$E$16,"&lt;="&amp;A1873)-SUMIFS(Оплаты!$B$6:$B$505,Оплаты!$A$6:$A$505,"&lt;"&amp;A1873,Оплаты!$D$6:$D$505,"&lt;&gt;"))</f>
        <v/>
      </c>
      <c r="E1873" t="str">
        <f>IF(A1873="","",IF(SUMPRODUCT((Ввод!$F$12:$F$31&lt;&gt;"")*(Ввод!$F$12:$F$31&lt;=A1873)*(Ввод!$G$12:$G$31&gt;=A1873))&gt;0,1,0))</f>
        <v/>
      </c>
      <c r="G1873" t="str">
        <f t="shared" si="59"/>
        <v/>
      </c>
    </row>
    <row r="1874" spans="1:7" x14ac:dyDescent="0.3">
      <c r="A1874" s="21" t="str">
        <f>IF(A1873="","",IF(A1873+1&gt;Ввод!$B$4,"",A1873+1))</f>
        <v/>
      </c>
      <c r="B1874" s="23" t="str">
        <f>IF(A1874="","",IFERROR(INDEX(Ввод!$B$12:$B$71,MATCH(A1874,Ввод!$D$12:$D$71,1)),""))</f>
        <v/>
      </c>
      <c r="C1874" t="str">
        <f t="shared" si="58"/>
        <v/>
      </c>
      <c r="D1874" t="str">
        <f>IF(A1874="","",SUMIFS(Акты!$D$5:$D$16,Акты!$E$5:$E$16,"&lt;="&amp;A1874)-SUMIFS(Оплаты!$B$6:$B$505,Оплаты!$A$6:$A$505,"&lt;"&amp;A1874,Оплаты!$D$6:$D$505,"&lt;&gt;"))</f>
        <v/>
      </c>
      <c r="E1874" t="str">
        <f>IF(A1874="","",IF(SUMPRODUCT((Ввод!$F$12:$F$31&lt;&gt;"")*(Ввод!$F$12:$F$31&lt;=A1874)*(Ввод!$G$12:$G$31&gt;=A1874))&gt;0,1,0))</f>
        <v/>
      </c>
      <c r="G1874" t="str">
        <f t="shared" si="59"/>
        <v/>
      </c>
    </row>
    <row r="1875" spans="1:7" x14ac:dyDescent="0.3">
      <c r="A1875" s="21" t="str">
        <f>IF(A1874="","",IF(A1874+1&gt;Ввод!$B$4,"",A1874+1))</f>
        <v/>
      </c>
      <c r="B1875" s="23" t="str">
        <f>IF(A1875="","",IFERROR(INDEX(Ввод!$B$12:$B$71,MATCH(A1875,Ввод!$D$12:$D$71,1)),""))</f>
        <v/>
      </c>
      <c r="C1875" t="str">
        <f t="shared" si="58"/>
        <v/>
      </c>
      <c r="D1875" t="str">
        <f>IF(A1875="","",SUMIFS(Акты!$D$5:$D$16,Акты!$E$5:$E$16,"&lt;="&amp;A1875)-SUMIFS(Оплаты!$B$6:$B$505,Оплаты!$A$6:$A$505,"&lt;"&amp;A1875,Оплаты!$D$6:$D$505,"&lt;&gt;"))</f>
        <v/>
      </c>
      <c r="E1875" t="str">
        <f>IF(A1875="","",IF(SUMPRODUCT((Ввод!$F$12:$F$31&lt;&gt;"")*(Ввод!$F$12:$F$31&lt;=A1875)*(Ввод!$G$12:$G$31&gt;=A1875))&gt;0,1,0))</f>
        <v/>
      </c>
      <c r="G1875" t="str">
        <f t="shared" si="59"/>
        <v/>
      </c>
    </row>
    <row r="1876" spans="1:7" x14ac:dyDescent="0.3">
      <c r="A1876" s="21" t="str">
        <f>IF(A1875="","",IF(A1875+1&gt;Ввод!$B$4,"",A1875+1))</f>
        <v/>
      </c>
      <c r="B1876" s="23" t="str">
        <f>IF(A1876="","",IFERROR(INDEX(Ввод!$B$12:$B$71,MATCH(A1876,Ввод!$D$12:$D$71,1)),""))</f>
        <v/>
      </c>
      <c r="C1876" t="str">
        <f t="shared" si="58"/>
        <v/>
      </c>
      <c r="D1876" t="str">
        <f>IF(A1876="","",SUMIFS(Акты!$D$5:$D$16,Акты!$E$5:$E$16,"&lt;="&amp;A1876)-SUMIFS(Оплаты!$B$6:$B$505,Оплаты!$A$6:$A$505,"&lt;"&amp;A1876,Оплаты!$D$6:$D$505,"&lt;&gt;"))</f>
        <v/>
      </c>
      <c r="E1876" t="str">
        <f>IF(A1876="","",IF(SUMPRODUCT((Ввод!$F$12:$F$31&lt;&gt;"")*(Ввод!$F$12:$F$31&lt;=A1876)*(Ввод!$G$12:$G$31&gt;=A1876))&gt;0,1,0))</f>
        <v/>
      </c>
      <c r="G1876" t="str">
        <f t="shared" si="59"/>
        <v/>
      </c>
    </row>
    <row r="1877" spans="1:7" x14ac:dyDescent="0.3">
      <c r="A1877" s="21" t="str">
        <f>IF(A1876="","",IF(A1876+1&gt;Ввод!$B$4,"",A1876+1))</f>
        <v/>
      </c>
      <c r="B1877" s="23" t="str">
        <f>IF(A1877="","",IFERROR(INDEX(Ввод!$B$12:$B$71,MATCH(A1877,Ввод!$D$12:$D$71,1)),""))</f>
        <v/>
      </c>
      <c r="C1877" t="str">
        <f t="shared" si="58"/>
        <v/>
      </c>
      <c r="D1877" t="str">
        <f>IF(A1877="","",SUMIFS(Акты!$D$5:$D$16,Акты!$E$5:$E$16,"&lt;="&amp;A1877)-SUMIFS(Оплаты!$B$6:$B$505,Оплаты!$A$6:$A$505,"&lt;"&amp;A1877,Оплаты!$D$6:$D$505,"&lt;&gt;"))</f>
        <v/>
      </c>
      <c r="E1877" t="str">
        <f>IF(A1877="","",IF(SUMPRODUCT((Ввод!$F$12:$F$31&lt;&gt;"")*(Ввод!$F$12:$F$31&lt;=A1877)*(Ввод!$G$12:$G$31&gt;=A1877))&gt;0,1,0))</f>
        <v/>
      </c>
      <c r="G1877" t="str">
        <f t="shared" si="59"/>
        <v/>
      </c>
    </row>
    <row r="1878" spans="1:7" x14ac:dyDescent="0.3">
      <c r="A1878" s="21" t="str">
        <f>IF(A1877="","",IF(A1877+1&gt;Ввод!$B$4,"",A1877+1))</f>
        <v/>
      </c>
      <c r="B1878" s="23" t="str">
        <f>IF(A1878="","",IFERROR(INDEX(Ввод!$B$12:$B$71,MATCH(A1878,Ввод!$D$12:$D$71,1)),""))</f>
        <v/>
      </c>
      <c r="C1878" t="str">
        <f t="shared" si="58"/>
        <v/>
      </c>
      <c r="D1878" t="str">
        <f>IF(A1878="","",SUMIFS(Акты!$D$5:$D$16,Акты!$E$5:$E$16,"&lt;="&amp;A1878)-SUMIFS(Оплаты!$B$6:$B$505,Оплаты!$A$6:$A$505,"&lt;"&amp;A1878,Оплаты!$D$6:$D$505,"&lt;&gt;"))</f>
        <v/>
      </c>
      <c r="E1878" t="str">
        <f>IF(A1878="","",IF(SUMPRODUCT((Ввод!$F$12:$F$31&lt;&gt;"")*(Ввод!$F$12:$F$31&lt;=A1878)*(Ввод!$G$12:$G$31&gt;=A1878))&gt;0,1,0))</f>
        <v/>
      </c>
      <c r="G1878" t="str">
        <f t="shared" si="59"/>
        <v/>
      </c>
    </row>
    <row r="1879" spans="1:7" x14ac:dyDescent="0.3">
      <c r="A1879" s="21" t="str">
        <f>IF(A1878="","",IF(A1878+1&gt;Ввод!$B$4,"",A1878+1))</f>
        <v/>
      </c>
      <c r="B1879" s="23" t="str">
        <f>IF(A1879="","",IFERROR(INDEX(Ввод!$B$12:$B$71,MATCH(A1879,Ввод!$D$12:$D$71,1)),""))</f>
        <v/>
      </c>
      <c r="C1879" t="str">
        <f t="shared" si="58"/>
        <v/>
      </c>
      <c r="D1879" t="str">
        <f>IF(A1879="","",SUMIFS(Акты!$D$5:$D$16,Акты!$E$5:$E$16,"&lt;="&amp;A1879)-SUMIFS(Оплаты!$B$6:$B$505,Оплаты!$A$6:$A$505,"&lt;"&amp;A1879,Оплаты!$D$6:$D$505,"&lt;&gt;"))</f>
        <v/>
      </c>
      <c r="E1879" t="str">
        <f>IF(A1879="","",IF(SUMPRODUCT((Ввод!$F$12:$F$31&lt;&gt;"")*(Ввод!$F$12:$F$31&lt;=A1879)*(Ввод!$G$12:$G$31&gt;=A1879))&gt;0,1,0))</f>
        <v/>
      </c>
      <c r="G1879" t="str">
        <f t="shared" si="59"/>
        <v/>
      </c>
    </row>
    <row r="1880" spans="1:7" x14ac:dyDescent="0.3">
      <c r="A1880" s="21" t="str">
        <f>IF(A1879="","",IF(A1879+1&gt;Ввод!$B$4,"",A1879+1))</f>
        <v/>
      </c>
      <c r="B1880" s="23" t="str">
        <f>IF(A1880="","",IFERROR(INDEX(Ввод!$B$12:$B$71,MATCH(A1880,Ввод!$D$12:$D$71,1)),""))</f>
        <v/>
      </c>
      <c r="C1880" t="str">
        <f t="shared" si="58"/>
        <v/>
      </c>
      <c r="D1880" t="str">
        <f>IF(A1880="","",SUMIFS(Акты!$D$5:$D$16,Акты!$E$5:$E$16,"&lt;="&amp;A1880)-SUMIFS(Оплаты!$B$6:$B$505,Оплаты!$A$6:$A$505,"&lt;"&amp;A1880,Оплаты!$D$6:$D$505,"&lt;&gt;"))</f>
        <v/>
      </c>
      <c r="E1880" t="str">
        <f>IF(A1880="","",IF(SUMPRODUCT((Ввод!$F$12:$F$31&lt;&gt;"")*(Ввод!$F$12:$F$31&lt;=A1880)*(Ввод!$G$12:$G$31&gt;=A1880))&gt;0,1,0))</f>
        <v/>
      </c>
      <c r="G1880" t="str">
        <f t="shared" si="59"/>
        <v/>
      </c>
    </row>
    <row r="1881" spans="1:7" x14ac:dyDescent="0.3">
      <c r="A1881" s="21" t="str">
        <f>IF(A1880="","",IF(A1880+1&gt;Ввод!$B$4,"",A1880+1))</f>
        <v/>
      </c>
      <c r="B1881" s="23" t="str">
        <f>IF(A1881="","",IFERROR(INDEX(Ввод!$B$12:$B$71,MATCH(A1881,Ввод!$D$12:$D$71,1)),""))</f>
        <v/>
      </c>
      <c r="C1881" t="str">
        <f t="shared" si="58"/>
        <v/>
      </c>
      <c r="D1881" t="str">
        <f>IF(A1881="","",SUMIFS(Акты!$D$5:$D$16,Акты!$E$5:$E$16,"&lt;="&amp;A1881)-SUMIFS(Оплаты!$B$6:$B$505,Оплаты!$A$6:$A$505,"&lt;"&amp;A1881,Оплаты!$D$6:$D$505,"&lt;&gt;"))</f>
        <v/>
      </c>
      <c r="E1881" t="str">
        <f>IF(A1881="","",IF(SUMPRODUCT((Ввод!$F$12:$F$31&lt;&gt;"")*(Ввод!$F$12:$F$31&lt;=A1881)*(Ввод!$G$12:$G$31&gt;=A1881))&gt;0,1,0))</f>
        <v/>
      </c>
      <c r="G1881" t="str">
        <f t="shared" si="59"/>
        <v/>
      </c>
    </row>
    <row r="1882" spans="1:7" x14ac:dyDescent="0.3">
      <c r="A1882" s="21" t="str">
        <f>IF(A1881="","",IF(A1881+1&gt;Ввод!$B$4,"",A1881+1))</f>
        <v/>
      </c>
      <c r="B1882" s="23" t="str">
        <f>IF(A1882="","",IFERROR(INDEX(Ввод!$B$12:$B$71,MATCH(A1882,Ввод!$D$12:$D$71,1)),""))</f>
        <v/>
      </c>
      <c r="C1882" t="str">
        <f t="shared" si="58"/>
        <v/>
      </c>
      <c r="D1882" t="str">
        <f>IF(A1882="","",SUMIFS(Акты!$D$5:$D$16,Акты!$E$5:$E$16,"&lt;="&amp;A1882)-SUMIFS(Оплаты!$B$6:$B$505,Оплаты!$A$6:$A$505,"&lt;"&amp;A1882,Оплаты!$D$6:$D$505,"&lt;&gt;"))</f>
        <v/>
      </c>
      <c r="E1882" t="str">
        <f>IF(A1882="","",IF(SUMPRODUCT((Ввод!$F$12:$F$31&lt;&gt;"")*(Ввод!$F$12:$F$31&lt;=A1882)*(Ввод!$G$12:$G$31&gt;=A1882))&gt;0,1,0))</f>
        <v/>
      </c>
      <c r="G1882" t="str">
        <f t="shared" si="59"/>
        <v/>
      </c>
    </row>
    <row r="1883" spans="1:7" x14ac:dyDescent="0.3">
      <c r="A1883" s="21" t="str">
        <f>IF(A1882="","",IF(A1882+1&gt;Ввод!$B$4,"",A1882+1))</f>
        <v/>
      </c>
      <c r="B1883" s="23" t="str">
        <f>IF(A1883="","",IFERROR(INDEX(Ввод!$B$12:$B$71,MATCH(A1883,Ввод!$D$12:$D$71,1)),""))</f>
        <v/>
      </c>
      <c r="C1883" t="str">
        <f t="shared" si="58"/>
        <v/>
      </c>
      <c r="D1883" t="str">
        <f>IF(A1883="","",SUMIFS(Акты!$D$5:$D$16,Акты!$E$5:$E$16,"&lt;="&amp;A1883)-SUMIFS(Оплаты!$B$6:$B$505,Оплаты!$A$6:$A$505,"&lt;"&amp;A1883,Оплаты!$D$6:$D$505,"&lt;&gt;"))</f>
        <v/>
      </c>
      <c r="E1883" t="str">
        <f>IF(A1883="","",IF(SUMPRODUCT((Ввод!$F$12:$F$31&lt;&gt;"")*(Ввод!$F$12:$F$31&lt;=A1883)*(Ввод!$G$12:$G$31&gt;=A1883))&gt;0,1,0))</f>
        <v/>
      </c>
      <c r="G1883" t="str">
        <f t="shared" si="59"/>
        <v/>
      </c>
    </row>
    <row r="1884" spans="1:7" x14ac:dyDescent="0.3">
      <c r="A1884" s="21" t="str">
        <f>IF(A1883="","",IF(A1883+1&gt;Ввод!$B$4,"",A1883+1))</f>
        <v/>
      </c>
      <c r="B1884" s="23" t="str">
        <f>IF(A1884="","",IFERROR(INDEX(Ввод!$B$12:$B$71,MATCH(A1884,Ввод!$D$12:$D$71,1)),""))</f>
        <v/>
      </c>
      <c r="C1884" t="str">
        <f t="shared" si="58"/>
        <v/>
      </c>
      <c r="D1884" t="str">
        <f>IF(A1884="","",SUMIFS(Акты!$D$5:$D$16,Акты!$E$5:$E$16,"&lt;="&amp;A1884)-SUMIFS(Оплаты!$B$6:$B$505,Оплаты!$A$6:$A$505,"&lt;"&amp;A1884,Оплаты!$D$6:$D$505,"&lt;&gt;"))</f>
        <v/>
      </c>
      <c r="E1884" t="str">
        <f>IF(A1884="","",IF(SUMPRODUCT((Ввод!$F$12:$F$31&lt;&gt;"")*(Ввод!$F$12:$F$31&lt;=A1884)*(Ввод!$G$12:$G$31&gt;=A1884))&gt;0,1,0))</f>
        <v/>
      </c>
      <c r="G1884" t="str">
        <f t="shared" si="59"/>
        <v/>
      </c>
    </row>
    <row r="1885" spans="1:7" x14ac:dyDescent="0.3">
      <c r="A1885" s="21" t="str">
        <f>IF(A1884="","",IF(A1884+1&gt;Ввод!$B$4,"",A1884+1))</f>
        <v/>
      </c>
      <c r="B1885" s="23" t="str">
        <f>IF(A1885="","",IFERROR(INDEX(Ввод!$B$12:$B$71,MATCH(A1885,Ввод!$D$12:$D$71,1)),""))</f>
        <v/>
      </c>
      <c r="C1885" t="str">
        <f t="shared" si="58"/>
        <v/>
      </c>
      <c r="D1885" t="str">
        <f>IF(A1885="","",SUMIFS(Акты!$D$5:$D$16,Акты!$E$5:$E$16,"&lt;="&amp;A1885)-SUMIFS(Оплаты!$B$6:$B$505,Оплаты!$A$6:$A$505,"&lt;"&amp;A1885,Оплаты!$D$6:$D$505,"&lt;&gt;"))</f>
        <v/>
      </c>
      <c r="E1885" t="str">
        <f>IF(A1885="","",IF(SUMPRODUCT((Ввод!$F$12:$F$31&lt;&gt;"")*(Ввод!$F$12:$F$31&lt;=A1885)*(Ввод!$G$12:$G$31&gt;=A1885))&gt;0,1,0))</f>
        <v/>
      </c>
      <c r="G1885" t="str">
        <f t="shared" si="59"/>
        <v/>
      </c>
    </row>
    <row r="1886" spans="1:7" x14ac:dyDescent="0.3">
      <c r="A1886" s="21" t="str">
        <f>IF(A1885="","",IF(A1885+1&gt;Ввод!$B$4,"",A1885+1))</f>
        <v/>
      </c>
      <c r="B1886" s="23" t="str">
        <f>IF(A1886="","",IFERROR(INDEX(Ввод!$B$12:$B$71,MATCH(A1886,Ввод!$D$12:$D$71,1)),""))</f>
        <v/>
      </c>
      <c r="C1886" t="str">
        <f t="shared" si="58"/>
        <v/>
      </c>
      <c r="D1886" t="str">
        <f>IF(A1886="","",SUMIFS(Акты!$D$5:$D$16,Акты!$E$5:$E$16,"&lt;="&amp;A1886)-SUMIFS(Оплаты!$B$6:$B$505,Оплаты!$A$6:$A$505,"&lt;"&amp;A1886,Оплаты!$D$6:$D$505,"&lt;&gt;"))</f>
        <v/>
      </c>
      <c r="E1886" t="str">
        <f>IF(A1886="","",IF(SUMPRODUCT((Ввод!$F$12:$F$31&lt;&gt;"")*(Ввод!$F$12:$F$31&lt;=A1886)*(Ввод!$G$12:$G$31&gt;=A1886))&gt;0,1,0))</f>
        <v/>
      </c>
      <c r="G1886" t="str">
        <f t="shared" si="59"/>
        <v/>
      </c>
    </row>
    <row r="1887" spans="1:7" x14ac:dyDescent="0.3">
      <c r="A1887" s="21" t="str">
        <f>IF(A1886="","",IF(A1886+1&gt;Ввод!$B$4,"",A1886+1))</f>
        <v/>
      </c>
      <c r="B1887" s="23" t="str">
        <f>IF(A1887="","",IFERROR(INDEX(Ввод!$B$12:$B$71,MATCH(A1887,Ввод!$D$12:$D$71,1)),""))</f>
        <v/>
      </c>
      <c r="C1887" t="str">
        <f t="shared" si="58"/>
        <v/>
      </c>
      <c r="D1887" t="str">
        <f>IF(A1887="","",SUMIFS(Акты!$D$5:$D$16,Акты!$E$5:$E$16,"&lt;="&amp;A1887)-SUMIFS(Оплаты!$B$6:$B$505,Оплаты!$A$6:$A$505,"&lt;"&amp;A1887,Оплаты!$D$6:$D$505,"&lt;&gt;"))</f>
        <v/>
      </c>
      <c r="E1887" t="str">
        <f>IF(A1887="","",IF(SUMPRODUCT((Ввод!$F$12:$F$31&lt;&gt;"")*(Ввод!$F$12:$F$31&lt;=A1887)*(Ввод!$G$12:$G$31&gt;=A1887))&gt;0,1,0))</f>
        <v/>
      </c>
      <c r="G1887" t="str">
        <f t="shared" si="59"/>
        <v/>
      </c>
    </row>
    <row r="1888" spans="1:7" x14ac:dyDescent="0.3">
      <c r="A1888" s="21" t="str">
        <f>IF(A1887="","",IF(A1887+1&gt;Ввод!$B$4,"",A1887+1))</f>
        <v/>
      </c>
      <c r="B1888" s="23" t="str">
        <f>IF(A1888="","",IFERROR(INDEX(Ввод!$B$12:$B$71,MATCH(A1888,Ввод!$D$12:$D$71,1)),""))</f>
        <v/>
      </c>
      <c r="C1888" t="str">
        <f t="shared" si="58"/>
        <v/>
      </c>
      <c r="D1888" t="str">
        <f>IF(A1888="","",SUMIFS(Акты!$D$5:$D$16,Акты!$E$5:$E$16,"&lt;="&amp;A1888)-SUMIFS(Оплаты!$B$6:$B$505,Оплаты!$A$6:$A$505,"&lt;"&amp;A1888,Оплаты!$D$6:$D$505,"&lt;&gt;"))</f>
        <v/>
      </c>
      <c r="E1888" t="str">
        <f>IF(A1888="","",IF(SUMPRODUCT((Ввод!$F$12:$F$31&lt;&gt;"")*(Ввод!$F$12:$F$31&lt;=A1888)*(Ввод!$G$12:$G$31&gt;=A1888))&gt;0,1,0))</f>
        <v/>
      </c>
      <c r="G1888" t="str">
        <f t="shared" si="59"/>
        <v/>
      </c>
    </row>
    <row r="1889" spans="1:7" x14ac:dyDescent="0.3">
      <c r="A1889" s="21" t="str">
        <f>IF(A1888="","",IF(A1888+1&gt;Ввод!$B$4,"",A1888+1))</f>
        <v/>
      </c>
      <c r="B1889" s="23" t="str">
        <f>IF(A1889="","",IFERROR(INDEX(Ввод!$B$12:$B$71,MATCH(A1889,Ввод!$D$12:$D$71,1)),""))</f>
        <v/>
      </c>
      <c r="C1889" t="str">
        <f t="shared" si="58"/>
        <v/>
      </c>
      <c r="D1889" t="str">
        <f>IF(A1889="","",SUMIFS(Акты!$D$5:$D$16,Акты!$E$5:$E$16,"&lt;="&amp;A1889)-SUMIFS(Оплаты!$B$6:$B$505,Оплаты!$A$6:$A$505,"&lt;"&amp;A1889,Оплаты!$D$6:$D$505,"&lt;&gt;"))</f>
        <v/>
      </c>
      <c r="E1889" t="str">
        <f>IF(A1889="","",IF(SUMPRODUCT((Ввод!$F$12:$F$31&lt;&gt;"")*(Ввод!$F$12:$F$31&lt;=A1889)*(Ввод!$G$12:$G$31&gt;=A1889))&gt;0,1,0))</f>
        <v/>
      </c>
      <c r="G1889" t="str">
        <f t="shared" si="59"/>
        <v/>
      </c>
    </row>
    <row r="1890" spans="1:7" x14ac:dyDescent="0.3">
      <c r="A1890" s="21" t="str">
        <f>IF(A1889="","",IF(A1889+1&gt;Ввод!$B$4,"",A1889+1))</f>
        <v/>
      </c>
      <c r="B1890" s="23" t="str">
        <f>IF(A1890="","",IFERROR(INDEX(Ввод!$B$12:$B$71,MATCH(A1890,Ввод!$D$12:$D$71,1)),""))</f>
        <v/>
      </c>
      <c r="C1890" t="str">
        <f t="shared" si="58"/>
        <v/>
      </c>
      <c r="D1890" t="str">
        <f>IF(A1890="","",SUMIFS(Акты!$D$5:$D$16,Акты!$E$5:$E$16,"&lt;="&amp;A1890)-SUMIFS(Оплаты!$B$6:$B$505,Оплаты!$A$6:$A$505,"&lt;"&amp;A1890,Оплаты!$D$6:$D$505,"&lt;&gt;"))</f>
        <v/>
      </c>
      <c r="E1890" t="str">
        <f>IF(A1890="","",IF(SUMPRODUCT((Ввод!$F$12:$F$31&lt;&gt;"")*(Ввод!$F$12:$F$31&lt;=A1890)*(Ввод!$G$12:$G$31&gt;=A1890))&gt;0,1,0))</f>
        <v/>
      </c>
      <c r="G1890" t="str">
        <f t="shared" si="59"/>
        <v/>
      </c>
    </row>
    <row r="1891" spans="1:7" x14ac:dyDescent="0.3">
      <c r="A1891" s="21" t="str">
        <f>IF(A1890="","",IF(A1890+1&gt;Ввод!$B$4,"",A1890+1))</f>
        <v/>
      </c>
      <c r="B1891" s="23" t="str">
        <f>IF(A1891="","",IFERROR(INDEX(Ввод!$B$12:$B$71,MATCH(A1891,Ввод!$D$12:$D$71,1)),""))</f>
        <v/>
      </c>
      <c r="C1891" t="str">
        <f t="shared" si="58"/>
        <v/>
      </c>
      <c r="D1891" t="str">
        <f>IF(A1891="","",SUMIFS(Акты!$D$5:$D$16,Акты!$E$5:$E$16,"&lt;="&amp;A1891)-SUMIFS(Оплаты!$B$6:$B$505,Оплаты!$A$6:$A$505,"&lt;"&amp;A1891,Оплаты!$D$6:$D$505,"&lt;&gt;"))</f>
        <v/>
      </c>
      <c r="E1891" t="str">
        <f>IF(A1891="","",IF(SUMPRODUCT((Ввод!$F$12:$F$31&lt;&gt;"")*(Ввод!$F$12:$F$31&lt;=A1891)*(Ввод!$G$12:$G$31&gt;=A1891))&gt;0,1,0))</f>
        <v/>
      </c>
      <c r="G1891" t="str">
        <f t="shared" si="59"/>
        <v/>
      </c>
    </row>
    <row r="1892" spans="1:7" x14ac:dyDescent="0.3">
      <c r="A1892" s="21" t="str">
        <f>IF(A1891="","",IF(A1891+1&gt;Ввод!$B$4,"",A1891+1))</f>
        <v/>
      </c>
      <c r="B1892" s="23" t="str">
        <f>IF(A1892="","",IFERROR(INDEX(Ввод!$B$12:$B$71,MATCH(A1892,Ввод!$D$12:$D$71,1)),""))</f>
        <v/>
      </c>
      <c r="C1892" t="str">
        <f t="shared" si="58"/>
        <v/>
      </c>
      <c r="D1892" t="str">
        <f>IF(A1892="","",SUMIFS(Акты!$D$5:$D$16,Акты!$E$5:$E$16,"&lt;="&amp;A1892)-SUMIFS(Оплаты!$B$6:$B$505,Оплаты!$A$6:$A$505,"&lt;"&amp;A1892,Оплаты!$D$6:$D$505,"&lt;&gt;"))</f>
        <v/>
      </c>
      <c r="E1892" t="str">
        <f>IF(A1892="","",IF(SUMPRODUCT((Ввод!$F$12:$F$31&lt;&gt;"")*(Ввод!$F$12:$F$31&lt;=A1892)*(Ввод!$G$12:$G$31&gt;=A1892))&gt;0,1,0))</f>
        <v/>
      </c>
      <c r="G1892" t="str">
        <f t="shared" si="59"/>
        <v/>
      </c>
    </row>
    <row r="1893" spans="1:7" x14ac:dyDescent="0.3">
      <c r="A1893" s="21" t="str">
        <f>IF(A1892="","",IF(A1892+1&gt;Ввод!$B$4,"",A1892+1))</f>
        <v/>
      </c>
      <c r="B1893" s="23" t="str">
        <f>IF(A1893="","",IFERROR(INDEX(Ввод!$B$12:$B$71,MATCH(A1893,Ввод!$D$12:$D$71,1)),""))</f>
        <v/>
      </c>
      <c r="C1893" t="str">
        <f t="shared" si="58"/>
        <v/>
      </c>
      <c r="D1893" t="str">
        <f>IF(A1893="","",SUMIFS(Акты!$D$5:$D$16,Акты!$E$5:$E$16,"&lt;="&amp;A1893)-SUMIFS(Оплаты!$B$6:$B$505,Оплаты!$A$6:$A$505,"&lt;"&amp;A1893,Оплаты!$D$6:$D$505,"&lt;&gt;"))</f>
        <v/>
      </c>
      <c r="E1893" t="str">
        <f>IF(A1893="","",IF(SUMPRODUCT((Ввод!$F$12:$F$31&lt;&gt;"")*(Ввод!$F$12:$F$31&lt;=A1893)*(Ввод!$G$12:$G$31&gt;=A1893))&gt;0,1,0))</f>
        <v/>
      </c>
      <c r="G1893" t="str">
        <f t="shared" si="59"/>
        <v/>
      </c>
    </row>
    <row r="1894" spans="1:7" x14ac:dyDescent="0.3">
      <c r="A1894" s="21" t="str">
        <f>IF(A1893="","",IF(A1893+1&gt;Ввод!$B$4,"",A1893+1))</f>
        <v/>
      </c>
      <c r="B1894" s="23" t="str">
        <f>IF(A1894="","",IFERROR(INDEX(Ввод!$B$12:$B$71,MATCH(A1894,Ввод!$D$12:$D$71,1)),""))</f>
        <v/>
      </c>
      <c r="C1894" t="str">
        <f t="shared" si="58"/>
        <v/>
      </c>
      <c r="D1894" t="str">
        <f>IF(A1894="","",SUMIFS(Акты!$D$5:$D$16,Акты!$E$5:$E$16,"&lt;="&amp;A1894)-SUMIFS(Оплаты!$B$6:$B$505,Оплаты!$A$6:$A$505,"&lt;"&amp;A1894,Оплаты!$D$6:$D$505,"&lt;&gt;"))</f>
        <v/>
      </c>
      <c r="E1894" t="str">
        <f>IF(A1894="","",IF(SUMPRODUCT((Ввод!$F$12:$F$31&lt;&gt;"")*(Ввод!$F$12:$F$31&lt;=A1894)*(Ввод!$G$12:$G$31&gt;=A1894))&gt;0,1,0))</f>
        <v/>
      </c>
      <c r="G1894" t="str">
        <f t="shared" si="59"/>
        <v/>
      </c>
    </row>
    <row r="1895" spans="1:7" x14ac:dyDescent="0.3">
      <c r="A1895" s="21" t="str">
        <f>IF(A1894="","",IF(A1894+1&gt;Ввод!$B$4,"",A1894+1))</f>
        <v/>
      </c>
      <c r="B1895" s="23" t="str">
        <f>IF(A1895="","",IFERROR(INDEX(Ввод!$B$12:$B$71,MATCH(A1895,Ввод!$D$12:$D$71,1)),""))</f>
        <v/>
      </c>
      <c r="C1895" t="str">
        <f t="shared" si="58"/>
        <v/>
      </c>
      <c r="D1895" t="str">
        <f>IF(A1895="","",SUMIFS(Акты!$D$5:$D$16,Акты!$E$5:$E$16,"&lt;="&amp;A1895)-SUMIFS(Оплаты!$B$6:$B$505,Оплаты!$A$6:$A$505,"&lt;"&amp;A1895,Оплаты!$D$6:$D$505,"&lt;&gt;"))</f>
        <v/>
      </c>
      <c r="E1895" t="str">
        <f>IF(A1895="","",IF(SUMPRODUCT((Ввод!$F$12:$F$31&lt;&gt;"")*(Ввод!$F$12:$F$31&lt;=A1895)*(Ввод!$G$12:$G$31&gt;=A1895))&gt;0,1,0))</f>
        <v/>
      </c>
      <c r="G1895" t="str">
        <f t="shared" si="59"/>
        <v/>
      </c>
    </row>
    <row r="1896" spans="1:7" x14ac:dyDescent="0.3">
      <c r="A1896" s="21" t="str">
        <f>IF(A1895="","",IF(A1895+1&gt;Ввод!$B$4,"",A1895+1))</f>
        <v/>
      </c>
      <c r="B1896" s="23" t="str">
        <f>IF(A1896="","",IFERROR(INDEX(Ввод!$B$12:$B$71,MATCH(A1896,Ввод!$D$12:$D$71,1)),""))</f>
        <v/>
      </c>
      <c r="C1896" t="str">
        <f t="shared" si="58"/>
        <v/>
      </c>
      <c r="D1896" t="str">
        <f>IF(A1896="","",SUMIFS(Акты!$D$5:$D$16,Акты!$E$5:$E$16,"&lt;="&amp;A1896)-SUMIFS(Оплаты!$B$6:$B$505,Оплаты!$A$6:$A$505,"&lt;"&amp;A1896,Оплаты!$D$6:$D$505,"&lt;&gt;"))</f>
        <v/>
      </c>
      <c r="E1896" t="str">
        <f>IF(A1896="","",IF(SUMPRODUCT((Ввод!$F$12:$F$31&lt;&gt;"")*(Ввод!$F$12:$F$31&lt;=A1896)*(Ввод!$G$12:$G$31&gt;=A1896))&gt;0,1,0))</f>
        <v/>
      </c>
      <c r="G1896" t="str">
        <f t="shared" si="59"/>
        <v/>
      </c>
    </row>
    <row r="1897" spans="1:7" x14ac:dyDescent="0.3">
      <c r="A1897" s="21" t="str">
        <f>IF(A1896="","",IF(A1896+1&gt;Ввод!$B$4,"",A1896+1))</f>
        <v/>
      </c>
      <c r="B1897" s="23" t="str">
        <f>IF(A1897="","",IFERROR(INDEX(Ввод!$B$12:$B$71,MATCH(A1897,Ввод!$D$12:$D$71,1)),""))</f>
        <v/>
      </c>
      <c r="C1897" t="str">
        <f t="shared" si="58"/>
        <v/>
      </c>
      <c r="D1897" t="str">
        <f>IF(A1897="","",SUMIFS(Акты!$D$5:$D$16,Акты!$E$5:$E$16,"&lt;="&amp;A1897)-SUMIFS(Оплаты!$B$6:$B$505,Оплаты!$A$6:$A$505,"&lt;"&amp;A1897,Оплаты!$D$6:$D$505,"&lt;&gt;"))</f>
        <v/>
      </c>
      <c r="E1897" t="str">
        <f>IF(A1897="","",IF(SUMPRODUCT((Ввод!$F$12:$F$31&lt;&gt;"")*(Ввод!$F$12:$F$31&lt;=A1897)*(Ввод!$G$12:$G$31&gt;=A1897))&gt;0,1,0))</f>
        <v/>
      </c>
      <c r="G1897" t="str">
        <f t="shared" si="59"/>
        <v/>
      </c>
    </row>
    <row r="1898" spans="1:7" x14ac:dyDescent="0.3">
      <c r="A1898" s="21" t="str">
        <f>IF(A1897="","",IF(A1897+1&gt;Ввод!$B$4,"",A1897+1))</f>
        <v/>
      </c>
      <c r="B1898" s="23" t="str">
        <f>IF(A1898="","",IFERROR(INDEX(Ввод!$B$12:$B$71,MATCH(A1898,Ввод!$D$12:$D$71,1)),""))</f>
        <v/>
      </c>
      <c r="C1898" t="str">
        <f t="shared" si="58"/>
        <v/>
      </c>
      <c r="D1898" t="str">
        <f>IF(A1898="","",SUMIFS(Акты!$D$5:$D$16,Акты!$E$5:$E$16,"&lt;="&amp;A1898)-SUMIFS(Оплаты!$B$6:$B$505,Оплаты!$A$6:$A$505,"&lt;"&amp;A1898,Оплаты!$D$6:$D$505,"&lt;&gt;"))</f>
        <v/>
      </c>
      <c r="E1898" t="str">
        <f>IF(A1898="","",IF(SUMPRODUCT((Ввод!$F$12:$F$31&lt;&gt;"")*(Ввод!$F$12:$F$31&lt;=A1898)*(Ввод!$G$12:$G$31&gt;=A1898))&gt;0,1,0))</f>
        <v/>
      </c>
      <c r="G1898" t="str">
        <f t="shared" si="59"/>
        <v/>
      </c>
    </row>
    <row r="1899" spans="1:7" x14ac:dyDescent="0.3">
      <c r="A1899" s="21" t="str">
        <f>IF(A1898="","",IF(A1898+1&gt;Ввод!$B$4,"",A1898+1))</f>
        <v/>
      </c>
      <c r="B1899" s="23" t="str">
        <f>IF(A1899="","",IFERROR(INDEX(Ввод!$B$12:$B$71,MATCH(A1899,Ввод!$D$12:$D$71,1)),""))</f>
        <v/>
      </c>
      <c r="C1899" t="str">
        <f t="shared" si="58"/>
        <v/>
      </c>
      <c r="D1899" t="str">
        <f>IF(A1899="","",SUMIFS(Акты!$D$5:$D$16,Акты!$E$5:$E$16,"&lt;="&amp;A1899)-SUMIFS(Оплаты!$B$6:$B$505,Оплаты!$A$6:$A$505,"&lt;"&amp;A1899,Оплаты!$D$6:$D$505,"&lt;&gt;"))</f>
        <v/>
      </c>
      <c r="E1899" t="str">
        <f>IF(A1899="","",IF(SUMPRODUCT((Ввод!$F$12:$F$31&lt;&gt;"")*(Ввод!$F$12:$F$31&lt;=A1899)*(Ввод!$G$12:$G$31&gt;=A1899))&gt;0,1,0))</f>
        <v/>
      </c>
      <c r="G1899" t="str">
        <f t="shared" si="59"/>
        <v/>
      </c>
    </row>
    <row r="1900" spans="1:7" x14ac:dyDescent="0.3">
      <c r="A1900" s="21" t="str">
        <f>IF(A1899="","",IF(A1899+1&gt;Ввод!$B$4,"",A1899+1))</f>
        <v/>
      </c>
      <c r="B1900" s="23" t="str">
        <f>IF(A1900="","",IFERROR(INDEX(Ввод!$B$12:$B$71,MATCH(A1900,Ввод!$D$12:$D$71,1)),""))</f>
        <v/>
      </c>
      <c r="C1900" t="str">
        <f t="shared" si="58"/>
        <v/>
      </c>
      <c r="D1900" t="str">
        <f>IF(A1900="","",SUMIFS(Акты!$D$5:$D$16,Акты!$E$5:$E$16,"&lt;="&amp;A1900)-SUMIFS(Оплаты!$B$6:$B$505,Оплаты!$A$6:$A$505,"&lt;"&amp;A1900,Оплаты!$D$6:$D$505,"&lt;&gt;"))</f>
        <v/>
      </c>
      <c r="E1900" t="str">
        <f>IF(A1900="","",IF(SUMPRODUCT((Ввод!$F$12:$F$31&lt;&gt;"")*(Ввод!$F$12:$F$31&lt;=A1900)*(Ввод!$G$12:$G$31&gt;=A1900))&gt;0,1,0))</f>
        <v/>
      </c>
      <c r="G1900" t="str">
        <f t="shared" si="59"/>
        <v/>
      </c>
    </row>
    <row r="1901" spans="1:7" x14ac:dyDescent="0.3">
      <c r="A1901" s="21" t="str">
        <f>IF(A1900="","",IF(A1900+1&gt;Ввод!$B$4,"",A1900+1))</f>
        <v/>
      </c>
      <c r="B1901" s="23" t="str">
        <f>IF(A1901="","",IFERROR(INDEX(Ввод!$B$12:$B$71,MATCH(A1901,Ввод!$D$12:$D$71,1)),""))</f>
        <v/>
      </c>
      <c r="C1901" t="str">
        <f t="shared" si="58"/>
        <v/>
      </c>
      <c r="D1901" t="str">
        <f>IF(A1901="","",SUMIFS(Акты!$D$5:$D$16,Акты!$E$5:$E$16,"&lt;="&amp;A1901)-SUMIFS(Оплаты!$B$6:$B$505,Оплаты!$A$6:$A$505,"&lt;"&amp;A1901,Оплаты!$D$6:$D$505,"&lt;&gt;"))</f>
        <v/>
      </c>
      <c r="E1901" t="str">
        <f>IF(A1901="","",IF(SUMPRODUCT((Ввод!$F$12:$F$31&lt;&gt;"")*(Ввод!$F$12:$F$31&lt;=A1901)*(Ввод!$G$12:$G$31&gt;=A1901))&gt;0,1,0))</f>
        <v/>
      </c>
      <c r="G1901" t="str">
        <f t="shared" si="59"/>
        <v/>
      </c>
    </row>
    <row r="1902" spans="1:7" x14ac:dyDescent="0.3">
      <c r="A1902" s="21" t="str">
        <f>IF(A1901="","",IF(A1901+1&gt;Ввод!$B$4,"",A1901+1))</f>
        <v/>
      </c>
      <c r="B1902" s="23" t="str">
        <f>IF(A1902="","",IFERROR(INDEX(Ввод!$B$12:$B$71,MATCH(A1902,Ввод!$D$12:$D$71,1)),""))</f>
        <v/>
      </c>
      <c r="C1902" t="str">
        <f t="shared" si="58"/>
        <v/>
      </c>
      <c r="D1902" t="str">
        <f>IF(A1902="","",SUMIFS(Акты!$D$5:$D$16,Акты!$E$5:$E$16,"&lt;="&amp;A1902)-SUMIFS(Оплаты!$B$6:$B$505,Оплаты!$A$6:$A$505,"&lt;"&amp;A1902,Оплаты!$D$6:$D$505,"&lt;&gt;"))</f>
        <v/>
      </c>
      <c r="E1902" t="str">
        <f>IF(A1902="","",IF(SUMPRODUCT((Ввод!$F$12:$F$31&lt;&gt;"")*(Ввод!$F$12:$F$31&lt;=A1902)*(Ввод!$G$12:$G$31&gt;=A1902))&gt;0,1,0))</f>
        <v/>
      </c>
      <c r="G1902" t="str">
        <f t="shared" si="59"/>
        <v/>
      </c>
    </row>
    <row r="1903" spans="1:7" x14ac:dyDescent="0.3">
      <c r="A1903" s="21" t="str">
        <f>IF(A1902="","",IF(A1902+1&gt;Ввод!$B$4,"",A1902+1))</f>
        <v/>
      </c>
      <c r="B1903" s="23" t="str">
        <f>IF(A1903="","",IFERROR(INDEX(Ввод!$B$12:$B$71,MATCH(A1903,Ввод!$D$12:$D$71,1)),""))</f>
        <v/>
      </c>
      <c r="C1903" t="str">
        <f t="shared" si="58"/>
        <v/>
      </c>
      <c r="D1903" t="str">
        <f>IF(A1903="","",SUMIFS(Акты!$D$5:$D$16,Акты!$E$5:$E$16,"&lt;="&amp;A1903)-SUMIFS(Оплаты!$B$6:$B$505,Оплаты!$A$6:$A$505,"&lt;"&amp;A1903,Оплаты!$D$6:$D$505,"&lt;&gt;"))</f>
        <v/>
      </c>
      <c r="E1903" t="str">
        <f>IF(A1903="","",IF(SUMPRODUCT((Ввод!$F$12:$F$31&lt;&gt;"")*(Ввод!$F$12:$F$31&lt;=A1903)*(Ввод!$G$12:$G$31&gt;=A1903))&gt;0,1,0))</f>
        <v/>
      </c>
      <c r="G1903" t="str">
        <f t="shared" si="59"/>
        <v/>
      </c>
    </row>
    <row r="1904" spans="1:7" x14ac:dyDescent="0.3">
      <c r="A1904" s="21" t="str">
        <f>IF(A1903="","",IF(A1903+1&gt;Ввод!$B$4,"",A1903+1))</f>
        <v/>
      </c>
      <c r="B1904" s="23" t="str">
        <f>IF(A1904="","",IFERROR(INDEX(Ввод!$B$12:$B$71,MATCH(A1904,Ввод!$D$12:$D$71,1)),""))</f>
        <v/>
      </c>
      <c r="C1904" t="str">
        <f t="shared" si="58"/>
        <v/>
      </c>
      <c r="D1904" t="str">
        <f>IF(A1904="","",SUMIFS(Акты!$D$5:$D$16,Акты!$E$5:$E$16,"&lt;="&amp;A1904)-SUMIFS(Оплаты!$B$6:$B$505,Оплаты!$A$6:$A$505,"&lt;"&amp;A1904,Оплаты!$D$6:$D$505,"&lt;&gt;"))</f>
        <v/>
      </c>
      <c r="E1904" t="str">
        <f>IF(A1904="","",IF(SUMPRODUCT((Ввод!$F$12:$F$31&lt;&gt;"")*(Ввод!$F$12:$F$31&lt;=A1904)*(Ввод!$G$12:$G$31&gt;=A1904))&gt;0,1,0))</f>
        <v/>
      </c>
      <c r="G1904" t="str">
        <f t="shared" si="59"/>
        <v/>
      </c>
    </row>
    <row r="1905" spans="1:7" x14ac:dyDescent="0.3">
      <c r="A1905" s="21" t="str">
        <f>IF(A1904="","",IF(A1904+1&gt;Ввод!$B$4,"",A1904+1))</f>
        <v/>
      </c>
      <c r="B1905" s="23" t="str">
        <f>IF(A1905="","",IFERROR(INDEX(Ввод!$B$12:$B$71,MATCH(A1905,Ввод!$D$12:$D$71,1)),""))</f>
        <v/>
      </c>
      <c r="C1905" t="str">
        <f t="shared" si="58"/>
        <v/>
      </c>
      <c r="D1905" t="str">
        <f>IF(A1905="","",SUMIFS(Акты!$D$5:$D$16,Акты!$E$5:$E$16,"&lt;="&amp;A1905)-SUMIFS(Оплаты!$B$6:$B$505,Оплаты!$A$6:$A$505,"&lt;"&amp;A1905,Оплаты!$D$6:$D$505,"&lt;&gt;"))</f>
        <v/>
      </c>
      <c r="E1905" t="str">
        <f>IF(A1905="","",IF(SUMPRODUCT((Ввод!$F$12:$F$31&lt;&gt;"")*(Ввод!$F$12:$F$31&lt;=A1905)*(Ввод!$G$12:$G$31&gt;=A1905))&gt;0,1,0))</f>
        <v/>
      </c>
      <c r="G1905" t="str">
        <f t="shared" si="59"/>
        <v/>
      </c>
    </row>
    <row r="1906" spans="1:7" x14ac:dyDescent="0.3">
      <c r="A1906" s="21" t="str">
        <f>IF(A1905="","",IF(A1905+1&gt;Ввод!$B$4,"",A1905+1))</f>
        <v/>
      </c>
      <c r="B1906" s="23" t="str">
        <f>IF(A1906="","",IFERROR(INDEX(Ввод!$B$12:$B$71,MATCH(A1906,Ввод!$D$12:$D$71,1)),""))</f>
        <v/>
      </c>
      <c r="C1906" t="str">
        <f t="shared" si="58"/>
        <v/>
      </c>
      <c r="D1906" t="str">
        <f>IF(A1906="","",SUMIFS(Акты!$D$5:$D$16,Акты!$E$5:$E$16,"&lt;="&amp;A1906)-SUMIFS(Оплаты!$B$6:$B$505,Оплаты!$A$6:$A$505,"&lt;"&amp;A1906,Оплаты!$D$6:$D$505,"&lt;&gt;"))</f>
        <v/>
      </c>
      <c r="E1906" t="str">
        <f>IF(A1906="","",IF(SUMPRODUCT((Ввод!$F$12:$F$31&lt;&gt;"")*(Ввод!$F$12:$F$31&lt;=A1906)*(Ввод!$G$12:$G$31&gt;=A1906))&gt;0,1,0))</f>
        <v/>
      </c>
      <c r="G1906" t="str">
        <f t="shared" si="59"/>
        <v/>
      </c>
    </row>
    <row r="1907" spans="1:7" x14ac:dyDescent="0.3">
      <c r="A1907" s="21" t="str">
        <f>IF(A1906="","",IF(A1906+1&gt;Ввод!$B$4,"",A1906+1))</f>
        <v/>
      </c>
      <c r="B1907" s="23" t="str">
        <f>IF(A1907="","",IFERROR(INDEX(Ввод!$B$12:$B$71,MATCH(A1907,Ввод!$D$12:$D$71,1)),""))</f>
        <v/>
      </c>
      <c r="C1907" t="str">
        <f t="shared" si="58"/>
        <v/>
      </c>
      <c r="D1907" t="str">
        <f>IF(A1907="","",SUMIFS(Акты!$D$5:$D$16,Акты!$E$5:$E$16,"&lt;="&amp;A1907)-SUMIFS(Оплаты!$B$6:$B$505,Оплаты!$A$6:$A$505,"&lt;"&amp;A1907,Оплаты!$D$6:$D$505,"&lt;&gt;"))</f>
        <v/>
      </c>
      <c r="E1907" t="str">
        <f>IF(A1907="","",IF(SUMPRODUCT((Ввод!$F$12:$F$31&lt;&gt;"")*(Ввод!$F$12:$F$31&lt;=A1907)*(Ввод!$G$12:$G$31&gt;=A1907))&gt;0,1,0))</f>
        <v/>
      </c>
      <c r="G1907" t="str">
        <f t="shared" si="59"/>
        <v/>
      </c>
    </row>
    <row r="1908" spans="1:7" x14ac:dyDescent="0.3">
      <c r="A1908" s="21" t="str">
        <f>IF(A1907="","",IF(A1907+1&gt;Ввод!$B$4,"",A1907+1))</f>
        <v/>
      </c>
      <c r="B1908" s="23" t="str">
        <f>IF(A1908="","",IFERROR(INDEX(Ввод!$B$12:$B$71,MATCH(A1908,Ввод!$D$12:$D$71,1)),""))</f>
        <v/>
      </c>
      <c r="C1908" t="str">
        <f t="shared" si="58"/>
        <v/>
      </c>
      <c r="D1908" t="str">
        <f>IF(A1908="","",SUMIFS(Акты!$D$5:$D$16,Акты!$E$5:$E$16,"&lt;="&amp;A1908)-SUMIFS(Оплаты!$B$6:$B$505,Оплаты!$A$6:$A$505,"&lt;"&amp;A1908,Оплаты!$D$6:$D$505,"&lt;&gt;"))</f>
        <v/>
      </c>
      <c r="E1908" t="str">
        <f>IF(A1908="","",IF(SUMPRODUCT((Ввод!$F$12:$F$31&lt;&gt;"")*(Ввод!$F$12:$F$31&lt;=A1908)*(Ввод!$G$12:$G$31&gt;=A1908))&gt;0,1,0))</f>
        <v/>
      </c>
      <c r="G1908" t="str">
        <f t="shared" si="59"/>
        <v/>
      </c>
    </row>
    <row r="1909" spans="1:7" x14ac:dyDescent="0.3">
      <c r="A1909" s="21" t="str">
        <f>IF(A1908="","",IF(A1908+1&gt;Ввод!$B$4,"",A1908+1))</f>
        <v/>
      </c>
      <c r="B1909" s="23" t="str">
        <f>IF(A1909="","",IFERROR(INDEX(Ввод!$B$12:$B$71,MATCH(A1909,Ввод!$D$12:$D$71,1)),""))</f>
        <v/>
      </c>
      <c r="C1909" t="str">
        <f t="shared" si="58"/>
        <v/>
      </c>
      <c r="D1909" t="str">
        <f>IF(A1909="","",SUMIFS(Акты!$D$5:$D$16,Акты!$E$5:$E$16,"&lt;="&amp;A1909)-SUMIFS(Оплаты!$B$6:$B$505,Оплаты!$A$6:$A$505,"&lt;"&amp;A1909,Оплаты!$D$6:$D$505,"&lt;&gt;"))</f>
        <v/>
      </c>
      <c r="E1909" t="str">
        <f>IF(A1909="","",IF(SUMPRODUCT((Ввод!$F$12:$F$31&lt;&gt;"")*(Ввод!$F$12:$F$31&lt;=A1909)*(Ввод!$G$12:$G$31&gt;=A1909))&gt;0,1,0))</f>
        <v/>
      </c>
      <c r="G1909" t="str">
        <f t="shared" si="59"/>
        <v/>
      </c>
    </row>
    <row r="1910" spans="1:7" x14ac:dyDescent="0.3">
      <c r="A1910" s="21" t="str">
        <f>IF(A1909="","",IF(A1909+1&gt;Ввод!$B$4,"",A1909+1))</f>
        <v/>
      </c>
      <c r="B1910" s="23" t="str">
        <f>IF(A1910="","",IFERROR(INDEX(Ввод!$B$12:$B$71,MATCH(A1910,Ввод!$D$12:$D$71,1)),""))</f>
        <v/>
      </c>
      <c r="C1910" t="str">
        <f t="shared" si="58"/>
        <v/>
      </c>
      <c r="D1910" t="str">
        <f>IF(A1910="","",SUMIFS(Акты!$D$5:$D$16,Акты!$E$5:$E$16,"&lt;="&amp;A1910)-SUMIFS(Оплаты!$B$6:$B$505,Оплаты!$A$6:$A$505,"&lt;"&amp;A1910,Оплаты!$D$6:$D$505,"&lt;&gt;"))</f>
        <v/>
      </c>
      <c r="E1910" t="str">
        <f>IF(A1910="","",IF(SUMPRODUCT((Ввод!$F$12:$F$31&lt;&gt;"")*(Ввод!$F$12:$F$31&lt;=A1910)*(Ввод!$G$12:$G$31&gt;=A1910))&gt;0,1,0))</f>
        <v/>
      </c>
      <c r="G1910" t="str">
        <f t="shared" si="59"/>
        <v/>
      </c>
    </row>
    <row r="1911" spans="1:7" x14ac:dyDescent="0.3">
      <c r="A1911" s="21" t="str">
        <f>IF(A1910="","",IF(A1910+1&gt;Ввод!$B$4,"",A1910+1))</f>
        <v/>
      </c>
      <c r="B1911" s="23" t="str">
        <f>IF(A1911="","",IFERROR(INDEX(Ввод!$B$12:$B$71,MATCH(A1911,Ввод!$D$12:$D$71,1)),""))</f>
        <v/>
      </c>
      <c r="C1911" t="str">
        <f t="shared" si="58"/>
        <v/>
      </c>
      <c r="D1911" t="str">
        <f>IF(A1911="","",SUMIFS(Акты!$D$5:$D$16,Акты!$E$5:$E$16,"&lt;="&amp;A1911)-SUMIFS(Оплаты!$B$6:$B$505,Оплаты!$A$6:$A$505,"&lt;"&amp;A1911,Оплаты!$D$6:$D$505,"&lt;&gt;"))</f>
        <v/>
      </c>
      <c r="E1911" t="str">
        <f>IF(A1911="","",IF(SUMPRODUCT((Ввод!$F$12:$F$31&lt;&gt;"")*(Ввод!$F$12:$F$31&lt;=A1911)*(Ввод!$G$12:$G$31&gt;=A1911))&gt;0,1,0))</f>
        <v/>
      </c>
      <c r="G1911" t="str">
        <f t="shared" si="59"/>
        <v/>
      </c>
    </row>
    <row r="1912" spans="1:7" x14ac:dyDescent="0.3">
      <c r="A1912" s="21" t="str">
        <f>IF(A1911="","",IF(A1911+1&gt;Ввод!$B$4,"",A1911+1))</f>
        <v/>
      </c>
      <c r="B1912" s="23" t="str">
        <f>IF(A1912="","",IFERROR(INDEX(Ввод!$B$12:$B$71,MATCH(A1912,Ввод!$D$12:$D$71,1)),""))</f>
        <v/>
      </c>
      <c r="C1912" t="str">
        <f t="shared" si="58"/>
        <v/>
      </c>
      <c r="D1912" t="str">
        <f>IF(A1912="","",SUMIFS(Акты!$D$5:$D$16,Акты!$E$5:$E$16,"&lt;="&amp;A1912)-SUMIFS(Оплаты!$B$6:$B$505,Оплаты!$A$6:$A$505,"&lt;"&amp;A1912,Оплаты!$D$6:$D$505,"&lt;&gt;"))</f>
        <v/>
      </c>
      <c r="E1912" t="str">
        <f>IF(A1912="","",IF(SUMPRODUCT((Ввод!$F$12:$F$31&lt;&gt;"")*(Ввод!$F$12:$F$31&lt;=A1912)*(Ввод!$G$12:$G$31&gt;=A1912))&gt;0,1,0))</f>
        <v/>
      </c>
      <c r="G1912" t="str">
        <f t="shared" si="59"/>
        <v/>
      </c>
    </row>
    <row r="1913" spans="1:7" x14ac:dyDescent="0.3">
      <c r="A1913" s="21" t="str">
        <f>IF(A1912="","",IF(A1912+1&gt;Ввод!$B$4,"",A1912+1))</f>
        <v/>
      </c>
      <c r="B1913" s="23" t="str">
        <f>IF(A1913="","",IFERROR(INDEX(Ввод!$B$12:$B$71,MATCH(A1913,Ввод!$D$12:$D$71,1)),""))</f>
        <v/>
      </c>
      <c r="C1913" t="str">
        <f t="shared" si="58"/>
        <v/>
      </c>
      <c r="D1913" t="str">
        <f>IF(A1913="","",SUMIFS(Акты!$D$5:$D$16,Акты!$E$5:$E$16,"&lt;="&amp;A1913)-SUMIFS(Оплаты!$B$6:$B$505,Оплаты!$A$6:$A$505,"&lt;"&amp;A1913,Оплаты!$D$6:$D$505,"&lt;&gt;"))</f>
        <v/>
      </c>
      <c r="E1913" t="str">
        <f>IF(A1913="","",IF(SUMPRODUCT((Ввод!$F$12:$F$31&lt;&gt;"")*(Ввод!$F$12:$F$31&lt;=A1913)*(Ввод!$G$12:$G$31&gt;=A1913))&gt;0,1,0))</f>
        <v/>
      </c>
      <c r="G1913" t="str">
        <f t="shared" si="59"/>
        <v/>
      </c>
    </row>
    <row r="1914" spans="1:7" x14ac:dyDescent="0.3">
      <c r="A1914" s="21" t="str">
        <f>IF(A1913="","",IF(A1913+1&gt;Ввод!$B$4,"",A1913+1))</f>
        <v/>
      </c>
      <c r="B1914" s="23" t="str">
        <f>IF(A1914="","",IFERROR(INDEX(Ввод!$B$12:$B$71,MATCH(A1914,Ввод!$D$12:$D$71,1)),""))</f>
        <v/>
      </c>
      <c r="C1914" t="str">
        <f t="shared" si="58"/>
        <v/>
      </c>
      <c r="D1914" t="str">
        <f>IF(A1914="","",SUMIFS(Акты!$D$5:$D$16,Акты!$E$5:$E$16,"&lt;="&amp;A1914)-SUMIFS(Оплаты!$B$6:$B$505,Оплаты!$A$6:$A$505,"&lt;"&amp;A1914,Оплаты!$D$6:$D$505,"&lt;&gt;"))</f>
        <v/>
      </c>
      <c r="E1914" t="str">
        <f>IF(A1914="","",IF(SUMPRODUCT((Ввод!$F$12:$F$31&lt;&gt;"")*(Ввод!$F$12:$F$31&lt;=A1914)*(Ввод!$G$12:$G$31&gt;=A1914))&gt;0,1,0))</f>
        <v/>
      </c>
      <c r="G1914" t="str">
        <f t="shared" si="59"/>
        <v/>
      </c>
    </row>
    <row r="1915" spans="1:7" x14ac:dyDescent="0.3">
      <c r="A1915" s="21" t="str">
        <f>IF(A1914="","",IF(A1914+1&gt;Ввод!$B$4,"",A1914+1))</f>
        <v/>
      </c>
      <c r="B1915" s="23" t="str">
        <f>IF(A1915="","",IFERROR(INDEX(Ввод!$B$12:$B$71,MATCH(A1915,Ввод!$D$12:$D$71,1)),""))</f>
        <v/>
      </c>
      <c r="C1915" t="str">
        <f t="shared" si="58"/>
        <v/>
      </c>
      <c r="D1915" t="str">
        <f>IF(A1915="","",SUMIFS(Акты!$D$5:$D$16,Акты!$E$5:$E$16,"&lt;="&amp;A1915)-SUMIFS(Оплаты!$B$6:$B$505,Оплаты!$A$6:$A$505,"&lt;"&amp;A1915,Оплаты!$D$6:$D$505,"&lt;&gt;"))</f>
        <v/>
      </c>
      <c r="E1915" t="str">
        <f>IF(A1915="","",IF(SUMPRODUCT((Ввод!$F$12:$F$31&lt;&gt;"")*(Ввод!$F$12:$F$31&lt;=A1915)*(Ввод!$G$12:$G$31&gt;=A1915))&gt;0,1,0))</f>
        <v/>
      </c>
      <c r="G1915" t="str">
        <f t="shared" si="59"/>
        <v/>
      </c>
    </row>
    <row r="1916" spans="1:7" x14ac:dyDescent="0.3">
      <c r="A1916" s="21" t="str">
        <f>IF(A1915="","",IF(A1915+1&gt;Ввод!$B$4,"",A1915+1))</f>
        <v/>
      </c>
      <c r="B1916" s="23" t="str">
        <f>IF(A1916="","",IFERROR(INDEX(Ввод!$B$12:$B$71,MATCH(A1916,Ввод!$D$12:$D$71,1)),""))</f>
        <v/>
      </c>
      <c r="C1916" t="str">
        <f t="shared" si="58"/>
        <v/>
      </c>
      <c r="D1916" t="str">
        <f>IF(A1916="","",SUMIFS(Акты!$D$5:$D$16,Акты!$E$5:$E$16,"&lt;="&amp;A1916)-SUMIFS(Оплаты!$B$6:$B$505,Оплаты!$A$6:$A$505,"&lt;"&amp;A1916,Оплаты!$D$6:$D$505,"&lt;&gt;"))</f>
        <v/>
      </c>
      <c r="E1916" t="str">
        <f>IF(A1916="","",IF(SUMPRODUCT((Ввод!$F$12:$F$31&lt;&gt;"")*(Ввод!$F$12:$F$31&lt;=A1916)*(Ввод!$G$12:$G$31&gt;=A1916))&gt;0,1,0))</f>
        <v/>
      </c>
      <c r="G1916" t="str">
        <f t="shared" si="59"/>
        <v/>
      </c>
    </row>
    <row r="1917" spans="1:7" x14ac:dyDescent="0.3">
      <c r="A1917" s="21" t="str">
        <f>IF(A1916="","",IF(A1916+1&gt;Ввод!$B$4,"",A1916+1))</f>
        <v/>
      </c>
      <c r="B1917" s="23" t="str">
        <f>IF(A1917="","",IFERROR(INDEX(Ввод!$B$12:$B$71,MATCH(A1917,Ввод!$D$12:$D$71,1)),""))</f>
        <v/>
      </c>
      <c r="C1917" t="str">
        <f t="shared" si="58"/>
        <v/>
      </c>
      <c r="D1917" t="str">
        <f>IF(A1917="","",SUMIFS(Акты!$D$5:$D$16,Акты!$E$5:$E$16,"&lt;="&amp;A1917)-SUMIFS(Оплаты!$B$6:$B$505,Оплаты!$A$6:$A$505,"&lt;"&amp;A1917,Оплаты!$D$6:$D$505,"&lt;&gt;"))</f>
        <v/>
      </c>
      <c r="E1917" t="str">
        <f>IF(A1917="","",IF(SUMPRODUCT((Ввод!$F$12:$F$31&lt;&gt;"")*(Ввод!$F$12:$F$31&lt;=A1917)*(Ввод!$G$12:$G$31&gt;=A1917))&gt;0,1,0))</f>
        <v/>
      </c>
      <c r="G1917" t="str">
        <f t="shared" si="59"/>
        <v/>
      </c>
    </row>
    <row r="1918" spans="1:7" x14ac:dyDescent="0.3">
      <c r="A1918" s="21" t="str">
        <f>IF(A1917="","",IF(A1917+1&gt;Ввод!$B$4,"",A1917+1))</f>
        <v/>
      </c>
      <c r="B1918" s="23" t="str">
        <f>IF(A1918="","",IFERROR(INDEX(Ввод!$B$12:$B$71,MATCH(A1918,Ввод!$D$12:$D$71,1)),""))</f>
        <v/>
      </c>
      <c r="C1918" t="str">
        <f t="shared" si="58"/>
        <v/>
      </c>
      <c r="D1918" t="str">
        <f>IF(A1918="","",SUMIFS(Акты!$D$5:$D$16,Акты!$E$5:$E$16,"&lt;="&amp;A1918)-SUMIFS(Оплаты!$B$6:$B$505,Оплаты!$A$6:$A$505,"&lt;"&amp;A1918,Оплаты!$D$6:$D$505,"&lt;&gt;"))</f>
        <v/>
      </c>
      <c r="E1918" t="str">
        <f>IF(A1918="","",IF(SUMPRODUCT((Ввод!$F$12:$F$31&lt;&gt;"")*(Ввод!$F$12:$F$31&lt;=A1918)*(Ввод!$G$12:$G$31&gt;=A1918))&gt;0,1,0))</f>
        <v/>
      </c>
      <c r="G1918" t="str">
        <f t="shared" si="59"/>
        <v/>
      </c>
    </row>
    <row r="1919" spans="1:7" x14ac:dyDescent="0.3">
      <c r="A1919" s="21" t="str">
        <f>IF(A1918="","",IF(A1918+1&gt;Ввод!$B$4,"",A1918+1))</f>
        <v/>
      </c>
      <c r="B1919" s="23" t="str">
        <f>IF(A1919="","",IFERROR(INDEX(Ввод!$B$12:$B$71,MATCH(A1919,Ввод!$D$12:$D$71,1)),""))</f>
        <v/>
      </c>
      <c r="C1919" t="str">
        <f t="shared" si="58"/>
        <v/>
      </c>
      <c r="D1919" t="str">
        <f>IF(A1919="","",SUMIFS(Акты!$D$5:$D$16,Акты!$E$5:$E$16,"&lt;="&amp;A1919)-SUMIFS(Оплаты!$B$6:$B$505,Оплаты!$A$6:$A$505,"&lt;"&amp;A1919,Оплаты!$D$6:$D$505,"&lt;&gt;"))</f>
        <v/>
      </c>
      <c r="E1919" t="str">
        <f>IF(A1919="","",IF(SUMPRODUCT((Ввод!$F$12:$F$31&lt;&gt;"")*(Ввод!$F$12:$F$31&lt;=A1919)*(Ввод!$G$12:$G$31&gt;=A1919))&gt;0,1,0))</f>
        <v/>
      </c>
      <c r="G1919" t="str">
        <f t="shared" si="59"/>
        <v/>
      </c>
    </row>
    <row r="1920" spans="1:7" x14ac:dyDescent="0.3">
      <c r="A1920" s="21" t="str">
        <f>IF(A1919="","",IF(A1919+1&gt;Ввод!$B$4,"",A1919+1))</f>
        <v/>
      </c>
      <c r="B1920" s="23" t="str">
        <f>IF(A1920="","",IFERROR(INDEX(Ввод!$B$12:$B$71,MATCH(A1920,Ввод!$D$12:$D$71,1)),""))</f>
        <v/>
      </c>
      <c r="C1920" t="str">
        <f t="shared" si="58"/>
        <v/>
      </c>
      <c r="D1920" t="str">
        <f>IF(A1920="","",SUMIFS(Акты!$D$5:$D$16,Акты!$E$5:$E$16,"&lt;="&amp;A1920)-SUMIFS(Оплаты!$B$6:$B$505,Оплаты!$A$6:$A$505,"&lt;"&amp;A1920,Оплаты!$D$6:$D$505,"&lt;&gt;"))</f>
        <v/>
      </c>
      <c r="E1920" t="str">
        <f>IF(A1920="","",IF(SUMPRODUCT((Ввод!$F$12:$F$31&lt;&gt;"")*(Ввод!$F$12:$F$31&lt;=A1920)*(Ввод!$G$12:$G$31&gt;=A1920))&gt;0,1,0))</f>
        <v/>
      </c>
      <c r="G1920" t="str">
        <f t="shared" si="59"/>
        <v/>
      </c>
    </row>
    <row r="1921" spans="1:7" x14ac:dyDescent="0.3">
      <c r="A1921" s="21" t="str">
        <f>IF(A1920="","",IF(A1920+1&gt;Ввод!$B$4,"",A1920+1))</f>
        <v/>
      </c>
      <c r="B1921" s="23" t="str">
        <f>IF(A1921="","",IFERROR(INDEX(Ввод!$B$12:$B$71,MATCH(A1921,Ввод!$D$12:$D$71,1)),""))</f>
        <v/>
      </c>
      <c r="C1921" t="str">
        <f t="shared" si="58"/>
        <v/>
      </c>
      <c r="D1921" t="str">
        <f>IF(A1921="","",SUMIFS(Акты!$D$5:$D$16,Акты!$E$5:$E$16,"&lt;="&amp;A1921)-SUMIFS(Оплаты!$B$6:$B$505,Оплаты!$A$6:$A$505,"&lt;"&amp;A1921,Оплаты!$D$6:$D$505,"&lt;&gt;"))</f>
        <v/>
      </c>
      <c r="E1921" t="str">
        <f>IF(A1921="","",IF(SUMPRODUCT((Ввод!$F$12:$F$31&lt;&gt;"")*(Ввод!$F$12:$F$31&lt;=A1921)*(Ввод!$G$12:$G$31&gt;=A1921))&gt;0,1,0))</f>
        <v/>
      </c>
      <c r="G1921" t="str">
        <f t="shared" si="59"/>
        <v/>
      </c>
    </row>
    <row r="1922" spans="1:7" x14ac:dyDescent="0.3">
      <c r="A1922" s="21" t="str">
        <f>IF(A1921="","",IF(A1921+1&gt;Ввод!$B$4,"",A1921+1))</f>
        <v/>
      </c>
      <c r="B1922" s="23" t="str">
        <f>IF(A1922="","",IFERROR(INDEX(Ввод!$B$12:$B$71,MATCH(A1922,Ввод!$D$12:$D$71,1)),""))</f>
        <v/>
      </c>
      <c r="C1922" t="str">
        <f t="shared" ref="C1922:C1985" si="60">IF(A1922="","",DATE(YEAR(A1922),12,31)-DATE(YEAR(A1922),1,1)+1)</f>
        <v/>
      </c>
      <c r="D1922" t="str">
        <f>IF(A1922="","",SUMIFS(Акты!$D$5:$D$16,Акты!$E$5:$E$16,"&lt;="&amp;A1922)-SUMIFS(Оплаты!$B$6:$B$505,Оплаты!$A$6:$A$505,"&lt;"&amp;A1922,Оплаты!$D$6:$D$505,"&lt;&gt;"))</f>
        <v/>
      </c>
      <c r="E1922" t="str">
        <f>IF(A1922="","",IF(SUMPRODUCT((Ввод!$F$12:$F$31&lt;&gt;"")*(Ввод!$F$12:$F$31&lt;=A1922)*(Ввод!$G$12:$G$31&gt;=A1922))&gt;0,1,0))</f>
        <v/>
      </c>
      <c r="G1922" t="str">
        <f t="shared" si="59"/>
        <v/>
      </c>
    </row>
    <row r="1923" spans="1:7" x14ac:dyDescent="0.3">
      <c r="A1923" s="21" t="str">
        <f>IF(A1922="","",IF(A1922+1&gt;Ввод!$B$4,"",A1922+1))</f>
        <v/>
      </c>
      <c r="B1923" s="23" t="str">
        <f>IF(A1923="","",IFERROR(INDEX(Ввод!$B$12:$B$71,MATCH(A1923,Ввод!$D$12:$D$71,1)),""))</f>
        <v/>
      </c>
      <c r="C1923" t="str">
        <f t="shared" si="60"/>
        <v/>
      </c>
      <c r="D1923" t="str">
        <f>IF(A1923="","",SUMIFS(Акты!$D$5:$D$16,Акты!$E$5:$E$16,"&lt;="&amp;A1923)-SUMIFS(Оплаты!$B$6:$B$505,Оплаты!$A$6:$A$505,"&lt;"&amp;A1923,Оплаты!$D$6:$D$505,"&lt;&gt;"))</f>
        <v/>
      </c>
      <c r="E1923" t="str">
        <f>IF(A1923="","",IF(SUMPRODUCT((Ввод!$F$12:$F$31&lt;&gt;"")*(Ввод!$F$12:$F$31&lt;=A1923)*(Ввод!$G$12:$G$31&gt;=A1923))&gt;0,1,0))</f>
        <v/>
      </c>
      <c r="G1923" t="str">
        <f t="shared" ref="G1923:G1986" si="61">IF(A1923="","",IF(OR(B1923&lt;&gt;B1922,C1923&lt;&gt;C1922,E1923&lt;&gt;E1922),G1922+1,G1922))</f>
        <v/>
      </c>
    </row>
    <row r="1924" spans="1:7" x14ac:dyDescent="0.3">
      <c r="A1924" s="21" t="str">
        <f>IF(A1923="","",IF(A1923+1&gt;Ввод!$B$4,"",A1923+1))</f>
        <v/>
      </c>
      <c r="B1924" s="23" t="str">
        <f>IF(A1924="","",IFERROR(INDEX(Ввод!$B$12:$B$71,MATCH(A1924,Ввод!$D$12:$D$71,1)),""))</f>
        <v/>
      </c>
      <c r="C1924" t="str">
        <f t="shared" si="60"/>
        <v/>
      </c>
      <c r="D1924" t="str">
        <f>IF(A1924="","",SUMIFS(Акты!$D$5:$D$16,Акты!$E$5:$E$16,"&lt;="&amp;A1924)-SUMIFS(Оплаты!$B$6:$B$505,Оплаты!$A$6:$A$505,"&lt;"&amp;A1924,Оплаты!$D$6:$D$505,"&lt;&gt;"))</f>
        <v/>
      </c>
      <c r="E1924" t="str">
        <f>IF(A1924="","",IF(SUMPRODUCT((Ввод!$F$12:$F$31&lt;&gt;"")*(Ввод!$F$12:$F$31&lt;=A1924)*(Ввод!$G$12:$G$31&gt;=A1924))&gt;0,1,0))</f>
        <v/>
      </c>
      <c r="G1924" t="str">
        <f t="shared" si="61"/>
        <v/>
      </c>
    </row>
    <row r="1925" spans="1:7" x14ac:dyDescent="0.3">
      <c r="A1925" s="21" t="str">
        <f>IF(A1924="","",IF(A1924+1&gt;Ввод!$B$4,"",A1924+1))</f>
        <v/>
      </c>
      <c r="B1925" s="23" t="str">
        <f>IF(A1925="","",IFERROR(INDEX(Ввод!$B$12:$B$71,MATCH(A1925,Ввод!$D$12:$D$71,1)),""))</f>
        <v/>
      </c>
      <c r="C1925" t="str">
        <f t="shared" si="60"/>
        <v/>
      </c>
      <c r="D1925" t="str">
        <f>IF(A1925="","",SUMIFS(Акты!$D$5:$D$16,Акты!$E$5:$E$16,"&lt;="&amp;A1925)-SUMIFS(Оплаты!$B$6:$B$505,Оплаты!$A$6:$A$505,"&lt;"&amp;A1925,Оплаты!$D$6:$D$505,"&lt;&gt;"))</f>
        <v/>
      </c>
      <c r="E1925" t="str">
        <f>IF(A1925="","",IF(SUMPRODUCT((Ввод!$F$12:$F$31&lt;&gt;"")*(Ввод!$F$12:$F$31&lt;=A1925)*(Ввод!$G$12:$G$31&gt;=A1925))&gt;0,1,0))</f>
        <v/>
      </c>
      <c r="G1925" t="str">
        <f t="shared" si="61"/>
        <v/>
      </c>
    </row>
    <row r="1926" spans="1:7" x14ac:dyDescent="0.3">
      <c r="A1926" s="21" t="str">
        <f>IF(A1925="","",IF(A1925+1&gt;Ввод!$B$4,"",A1925+1))</f>
        <v/>
      </c>
      <c r="B1926" s="23" t="str">
        <f>IF(A1926="","",IFERROR(INDEX(Ввод!$B$12:$B$71,MATCH(A1926,Ввод!$D$12:$D$71,1)),""))</f>
        <v/>
      </c>
      <c r="C1926" t="str">
        <f t="shared" si="60"/>
        <v/>
      </c>
      <c r="D1926" t="str">
        <f>IF(A1926="","",SUMIFS(Акты!$D$5:$D$16,Акты!$E$5:$E$16,"&lt;="&amp;A1926)-SUMIFS(Оплаты!$B$6:$B$505,Оплаты!$A$6:$A$505,"&lt;"&amp;A1926,Оплаты!$D$6:$D$505,"&lt;&gt;"))</f>
        <v/>
      </c>
      <c r="E1926" t="str">
        <f>IF(A1926="","",IF(SUMPRODUCT((Ввод!$F$12:$F$31&lt;&gt;"")*(Ввод!$F$12:$F$31&lt;=A1926)*(Ввод!$G$12:$G$31&gt;=A1926))&gt;0,1,0))</f>
        <v/>
      </c>
      <c r="G1926" t="str">
        <f t="shared" si="61"/>
        <v/>
      </c>
    </row>
    <row r="1927" spans="1:7" x14ac:dyDescent="0.3">
      <c r="A1927" s="21" t="str">
        <f>IF(A1926="","",IF(A1926+1&gt;Ввод!$B$4,"",A1926+1))</f>
        <v/>
      </c>
      <c r="B1927" s="23" t="str">
        <f>IF(A1927="","",IFERROR(INDEX(Ввод!$B$12:$B$71,MATCH(A1927,Ввод!$D$12:$D$71,1)),""))</f>
        <v/>
      </c>
      <c r="C1927" t="str">
        <f t="shared" si="60"/>
        <v/>
      </c>
      <c r="D1927" t="str">
        <f>IF(A1927="","",SUMIFS(Акты!$D$5:$D$16,Акты!$E$5:$E$16,"&lt;="&amp;A1927)-SUMIFS(Оплаты!$B$6:$B$505,Оплаты!$A$6:$A$505,"&lt;"&amp;A1927,Оплаты!$D$6:$D$505,"&lt;&gt;"))</f>
        <v/>
      </c>
      <c r="E1927" t="str">
        <f>IF(A1927="","",IF(SUMPRODUCT((Ввод!$F$12:$F$31&lt;&gt;"")*(Ввод!$F$12:$F$31&lt;=A1927)*(Ввод!$G$12:$G$31&gt;=A1927))&gt;0,1,0))</f>
        <v/>
      </c>
      <c r="G1927" t="str">
        <f t="shared" si="61"/>
        <v/>
      </c>
    </row>
    <row r="1928" spans="1:7" x14ac:dyDescent="0.3">
      <c r="A1928" s="21" t="str">
        <f>IF(A1927="","",IF(A1927+1&gt;Ввод!$B$4,"",A1927+1))</f>
        <v/>
      </c>
      <c r="B1928" s="23" t="str">
        <f>IF(A1928="","",IFERROR(INDEX(Ввод!$B$12:$B$71,MATCH(A1928,Ввод!$D$12:$D$71,1)),""))</f>
        <v/>
      </c>
      <c r="C1928" t="str">
        <f t="shared" si="60"/>
        <v/>
      </c>
      <c r="D1928" t="str">
        <f>IF(A1928="","",SUMIFS(Акты!$D$5:$D$16,Акты!$E$5:$E$16,"&lt;="&amp;A1928)-SUMIFS(Оплаты!$B$6:$B$505,Оплаты!$A$6:$A$505,"&lt;"&amp;A1928,Оплаты!$D$6:$D$505,"&lt;&gt;"))</f>
        <v/>
      </c>
      <c r="E1928" t="str">
        <f>IF(A1928="","",IF(SUMPRODUCT((Ввод!$F$12:$F$31&lt;&gt;"")*(Ввод!$F$12:$F$31&lt;=A1928)*(Ввод!$G$12:$G$31&gt;=A1928))&gt;0,1,0))</f>
        <v/>
      </c>
      <c r="G1928" t="str">
        <f t="shared" si="61"/>
        <v/>
      </c>
    </row>
    <row r="1929" spans="1:7" x14ac:dyDescent="0.3">
      <c r="A1929" s="21" t="str">
        <f>IF(A1928="","",IF(A1928+1&gt;Ввод!$B$4,"",A1928+1))</f>
        <v/>
      </c>
      <c r="B1929" s="23" t="str">
        <f>IF(A1929="","",IFERROR(INDEX(Ввод!$B$12:$B$71,MATCH(A1929,Ввод!$D$12:$D$71,1)),""))</f>
        <v/>
      </c>
      <c r="C1929" t="str">
        <f t="shared" si="60"/>
        <v/>
      </c>
      <c r="D1929" t="str">
        <f>IF(A1929="","",SUMIFS(Акты!$D$5:$D$16,Акты!$E$5:$E$16,"&lt;="&amp;A1929)-SUMIFS(Оплаты!$B$6:$B$505,Оплаты!$A$6:$A$505,"&lt;"&amp;A1929,Оплаты!$D$6:$D$505,"&lt;&gt;"))</f>
        <v/>
      </c>
      <c r="E1929" t="str">
        <f>IF(A1929="","",IF(SUMPRODUCT((Ввод!$F$12:$F$31&lt;&gt;"")*(Ввод!$F$12:$F$31&lt;=A1929)*(Ввод!$G$12:$G$31&gt;=A1929))&gt;0,1,0))</f>
        <v/>
      </c>
      <c r="G1929" t="str">
        <f t="shared" si="61"/>
        <v/>
      </c>
    </row>
    <row r="1930" spans="1:7" x14ac:dyDescent="0.3">
      <c r="A1930" s="21" t="str">
        <f>IF(A1929="","",IF(A1929+1&gt;Ввод!$B$4,"",A1929+1))</f>
        <v/>
      </c>
      <c r="B1930" s="23" t="str">
        <f>IF(A1930="","",IFERROR(INDEX(Ввод!$B$12:$B$71,MATCH(A1930,Ввод!$D$12:$D$71,1)),""))</f>
        <v/>
      </c>
      <c r="C1930" t="str">
        <f t="shared" si="60"/>
        <v/>
      </c>
      <c r="D1930" t="str">
        <f>IF(A1930="","",SUMIFS(Акты!$D$5:$D$16,Акты!$E$5:$E$16,"&lt;="&amp;A1930)-SUMIFS(Оплаты!$B$6:$B$505,Оплаты!$A$6:$A$505,"&lt;"&amp;A1930,Оплаты!$D$6:$D$505,"&lt;&gt;"))</f>
        <v/>
      </c>
      <c r="E1930" t="str">
        <f>IF(A1930="","",IF(SUMPRODUCT((Ввод!$F$12:$F$31&lt;&gt;"")*(Ввод!$F$12:$F$31&lt;=A1930)*(Ввод!$G$12:$G$31&gt;=A1930))&gt;0,1,0))</f>
        <v/>
      </c>
      <c r="G1930" t="str">
        <f t="shared" si="61"/>
        <v/>
      </c>
    </row>
    <row r="1931" spans="1:7" x14ac:dyDescent="0.3">
      <c r="A1931" s="21" t="str">
        <f>IF(A1930="","",IF(A1930+1&gt;Ввод!$B$4,"",A1930+1))</f>
        <v/>
      </c>
      <c r="B1931" s="23" t="str">
        <f>IF(A1931="","",IFERROR(INDEX(Ввод!$B$12:$B$71,MATCH(A1931,Ввод!$D$12:$D$71,1)),""))</f>
        <v/>
      </c>
      <c r="C1931" t="str">
        <f t="shared" si="60"/>
        <v/>
      </c>
      <c r="D1931" t="str">
        <f>IF(A1931="","",SUMIFS(Акты!$D$5:$D$16,Акты!$E$5:$E$16,"&lt;="&amp;A1931)-SUMIFS(Оплаты!$B$6:$B$505,Оплаты!$A$6:$A$505,"&lt;"&amp;A1931,Оплаты!$D$6:$D$505,"&lt;&gt;"))</f>
        <v/>
      </c>
      <c r="E1931" t="str">
        <f>IF(A1931="","",IF(SUMPRODUCT((Ввод!$F$12:$F$31&lt;&gt;"")*(Ввод!$F$12:$F$31&lt;=A1931)*(Ввод!$G$12:$G$31&gt;=A1931))&gt;0,1,0))</f>
        <v/>
      </c>
      <c r="G1931" t="str">
        <f t="shared" si="61"/>
        <v/>
      </c>
    </row>
    <row r="1932" spans="1:7" x14ac:dyDescent="0.3">
      <c r="A1932" s="21" t="str">
        <f>IF(A1931="","",IF(A1931+1&gt;Ввод!$B$4,"",A1931+1))</f>
        <v/>
      </c>
      <c r="B1932" s="23" t="str">
        <f>IF(A1932="","",IFERROR(INDEX(Ввод!$B$12:$B$71,MATCH(A1932,Ввод!$D$12:$D$71,1)),""))</f>
        <v/>
      </c>
      <c r="C1932" t="str">
        <f t="shared" si="60"/>
        <v/>
      </c>
      <c r="D1932" t="str">
        <f>IF(A1932="","",SUMIFS(Акты!$D$5:$D$16,Акты!$E$5:$E$16,"&lt;="&amp;A1932)-SUMIFS(Оплаты!$B$6:$B$505,Оплаты!$A$6:$A$505,"&lt;"&amp;A1932,Оплаты!$D$6:$D$505,"&lt;&gt;"))</f>
        <v/>
      </c>
      <c r="E1932" t="str">
        <f>IF(A1932="","",IF(SUMPRODUCT((Ввод!$F$12:$F$31&lt;&gt;"")*(Ввод!$F$12:$F$31&lt;=A1932)*(Ввод!$G$12:$G$31&gt;=A1932))&gt;0,1,0))</f>
        <v/>
      </c>
      <c r="G1932" t="str">
        <f t="shared" si="61"/>
        <v/>
      </c>
    </row>
    <row r="1933" spans="1:7" x14ac:dyDescent="0.3">
      <c r="A1933" s="21" t="str">
        <f>IF(A1932="","",IF(A1932+1&gt;Ввод!$B$4,"",A1932+1))</f>
        <v/>
      </c>
      <c r="B1933" s="23" t="str">
        <f>IF(A1933="","",IFERROR(INDEX(Ввод!$B$12:$B$71,MATCH(A1933,Ввод!$D$12:$D$71,1)),""))</f>
        <v/>
      </c>
      <c r="C1933" t="str">
        <f t="shared" si="60"/>
        <v/>
      </c>
      <c r="D1933" t="str">
        <f>IF(A1933="","",SUMIFS(Акты!$D$5:$D$16,Акты!$E$5:$E$16,"&lt;="&amp;A1933)-SUMIFS(Оплаты!$B$6:$B$505,Оплаты!$A$6:$A$505,"&lt;"&amp;A1933,Оплаты!$D$6:$D$505,"&lt;&gt;"))</f>
        <v/>
      </c>
      <c r="E1933" t="str">
        <f>IF(A1933="","",IF(SUMPRODUCT((Ввод!$F$12:$F$31&lt;&gt;"")*(Ввод!$F$12:$F$31&lt;=A1933)*(Ввод!$G$12:$G$31&gt;=A1933))&gt;0,1,0))</f>
        <v/>
      </c>
      <c r="G1933" t="str">
        <f t="shared" si="61"/>
        <v/>
      </c>
    </row>
    <row r="1934" spans="1:7" x14ac:dyDescent="0.3">
      <c r="A1934" s="21" t="str">
        <f>IF(A1933="","",IF(A1933+1&gt;Ввод!$B$4,"",A1933+1))</f>
        <v/>
      </c>
      <c r="B1934" s="23" t="str">
        <f>IF(A1934="","",IFERROR(INDEX(Ввод!$B$12:$B$71,MATCH(A1934,Ввод!$D$12:$D$71,1)),""))</f>
        <v/>
      </c>
      <c r="C1934" t="str">
        <f t="shared" si="60"/>
        <v/>
      </c>
      <c r="D1934" t="str">
        <f>IF(A1934="","",SUMIFS(Акты!$D$5:$D$16,Акты!$E$5:$E$16,"&lt;="&amp;A1934)-SUMIFS(Оплаты!$B$6:$B$505,Оплаты!$A$6:$A$505,"&lt;"&amp;A1934,Оплаты!$D$6:$D$505,"&lt;&gt;"))</f>
        <v/>
      </c>
      <c r="E1934" t="str">
        <f>IF(A1934="","",IF(SUMPRODUCT((Ввод!$F$12:$F$31&lt;&gt;"")*(Ввод!$F$12:$F$31&lt;=A1934)*(Ввод!$G$12:$G$31&gt;=A1934))&gt;0,1,0))</f>
        <v/>
      </c>
      <c r="G1934" t="str">
        <f t="shared" si="61"/>
        <v/>
      </c>
    </row>
    <row r="1935" spans="1:7" x14ac:dyDescent="0.3">
      <c r="A1935" s="21" t="str">
        <f>IF(A1934="","",IF(A1934+1&gt;Ввод!$B$4,"",A1934+1))</f>
        <v/>
      </c>
      <c r="B1935" s="23" t="str">
        <f>IF(A1935="","",IFERROR(INDEX(Ввод!$B$12:$B$71,MATCH(A1935,Ввод!$D$12:$D$71,1)),""))</f>
        <v/>
      </c>
      <c r="C1935" t="str">
        <f t="shared" si="60"/>
        <v/>
      </c>
      <c r="D1935" t="str">
        <f>IF(A1935="","",SUMIFS(Акты!$D$5:$D$16,Акты!$E$5:$E$16,"&lt;="&amp;A1935)-SUMIFS(Оплаты!$B$6:$B$505,Оплаты!$A$6:$A$505,"&lt;"&amp;A1935,Оплаты!$D$6:$D$505,"&lt;&gt;"))</f>
        <v/>
      </c>
      <c r="E1935" t="str">
        <f>IF(A1935="","",IF(SUMPRODUCT((Ввод!$F$12:$F$31&lt;&gt;"")*(Ввод!$F$12:$F$31&lt;=A1935)*(Ввод!$G$12:$G$31&gt;=A1935))&gt;0,1,0))</f>
        <v/>
      </c>
      <c r="G1935" t="str">
        <f t="shared" si="61"/>
        <v/>
      </c>
    </row>
    <row r="1936" spans="1:7" x14ac:dyDescent="0.3">
      <c r="A1936" s="21" t="str">
        <f>IF(A1935="","",IF(A1935+1&gt;Ввод!$B$4,"",A1935+1))</f>
        <v/>
      </c>
      <c r="B1936" s="23" t="str">
        <f>IF(A1936="","",IFERROR(INDEX(Ввод!$B$12:$B$71,MATCH(A1936,Ввод!$D$12:$D$71,1)),""))</f>
        <v/>
      </c>
      <c r="C1936" t="str">
        <f t="shared" si="60"/>
        <v/>
      </c>
      <c r="D1936" t="str">
        <f>IF(A1936="","",SUMIFS(Акты!$D$5:$D$16,Акты!$E$5:$E$16,"&lt;="&amp;A1936)-SUMIFS(Оплаты!$B$6:$B$505,Оплаты!$A$6:$A$505,"&lt;"&amp;A1936,Оплаты!$D$6:$D$505,"&lt;&gt;"))</f>
        <v/>
      </c>
      <c r="E1936" t="str">
        <f>IF(A1936="","",IF(SUMPRODUCT((Ввод!$F$12:$F$31&lt;&gt;"")*(Ввод!$F$12:$F$31&lt;=A1936)*(Ввод!$G$12:$G$31&gt;=A1936))&gt;0,1,0))</f>
        <v/>
      </c>
      <c r="G1936" t="str">
        <f t="shared" si="61"/>
        <v/>
      </c>
    </row>
    <row r="1937" spans="1:7" x14ac:dyDescent="0.3">
      <c r="A1937" s="21" t="str">
        <f>IF(A1936="","",IF(A1936+1&gt;Ввод!$B$4,"",A1936+1))</f>
        <v/>
      </c>
      <c r="B1937" s="23" t="str">
        <f>IF(A1937="","",IFERROR(INDEX(Ввод!$B$12:$B$71,MATCH(A1937,Ввод!$D$12:$D$71,1)),""))</f>
        <v/>
      </c>
      <c r="C1937" t="str">
        <f t="shared" si="60"/>
        <v/>
      </c>
      <c r="D1937" t="str">
        <f>IF(A1937="","",SUMIFS(Акты!$D$5:$D$16,Акты!$E$5:$E$16,"&lt;="&amp;A1937)-SUMIFS(Оплаты!$B$6:$B$505,Оплаты!$A$6:$A$505,"&lt;"&amp;A1937,Оплаты!$D$6:$D$505,"&lt;&gt;"))</f>
        <v/>
      </c>
      <c r="E1937" t="str">
        <f>IF(A1937="","",IF(SUMPRODUCT((Ввод!$F$12:$F$31&lt;&gt;"")*(Ввод!$F$12:$F$31&lt;=A1937)*(Ввод!$G$12:$G$31&gt;=A1937))&gt;0,1,0))</f>
        <v/>
      </c>
      <c r="G1937" t="str">
        <f t="shared" si="61"/>
        <v/>
      </c>
    </row>
    <row r="1938" spans="1:7" x14ac:dyDescent="0.3">
      <c r="A1938" s="21" t="str">
        <f>IF(A1937="","",IF(A1937+1&gt;Ввод!$B$4,"",A1937+1))</f>
        <v/>
      </c>
      <c r="B1938" s="23" t="str">
        <f>IF(A1938="","",IFERROR(INDEX(Ввод!$B$12:$B$71,MATCH(A1938,Ввод!$D$12:$D$71,1)),""))</f>
        <v/>
      </c>
      <c r="C1938" t="str">
        <f t="shared" si="60"/>
        <v/>
      </c>
      <c r="D1938" t="str">
        <f>IF(A1938="","",SUMIFS(Акты!$D$5:$D$16,Акты!$E$5:$E$16,"&lt;="&amp;A1938)-SUMIFS(Оплаты!$B$6:$B$505,Оплаты!$A$6:$A$505,"&lt;"&amp;A1938,Оплаты!$D$6:$D$505,"&lt;&gt;"))</f>
        <v/>
      </c>
      <c r="E1938" t="str">
        <f>IF(A1938="","",IF(SUMPRODUCT((Ввод!$F$12:$F$31&lt;&gt;"")*(Ввод!$F$12:$F$31&lt;=A1938)*(Ввод!$G$12:$G$31&gt;=A1938))&gt;0,1,0))</f>
        <v/>
      </c>
      <c r="G1938" t="str">
        <f t="shared" si="61"/>
        <v/>
      </c>
    </row>
    <row r="1939" spans="1:7" x14ac:dyDescent="0.3">
      <c r="A1939" s="21" t="str">
        <f>IF(A1938="","",IF(A1938+1&gt;Ввод!$B$4,"",A1938+1))</f>
        <v/>
      </c>
      <c r="B1939" s="23" t="str">
        <f>IF(A1939="","",IFERROR(INDEX(Ввод!$B$12:$B$71,MATCH(A1939,Ввод!$D$12:$D$71,1)),""))</f>
        <v/>
      </c>
      <c r="C1939" t="str">
        <f t="shared" si="60"/>
        <v/>
      </c>
      <c r="D1939" t="str">
        <f>IF(A1939="","",SUMIFS(Акты!$D$5:$D$16,Акты!$E$5:$E$16,"&lt;="&amp;A1939)-SUMIFS(Оплаты!$B$6:$B$505,Оплаты!$A$6:$A$505,"&lt;"&amp;A1939,Оплаты!$D$6:$D$505,"&lt;&gt;"))</f>
        <v/>
      </c>
      <c r="E1939" t="str">
        <f>IF(A1939="","",IF(SUMPRODUCT((Ввод!$F$12:$F$31&lt;&gt;"")*(Ввод!$F$12:$F$31&lt;=A1939)*(Ввод!$G$12:$G$31&gt;=A1939))&gt;0,1,0))</f>
        <v/>
      </c>
      <c r="G1939" t="str">
        <f t="shared" si="61"/>
        <v/>
      </c>
    </row>
    <row r="1940" spans="1:7" x14ac:dyDescent="0.3">
      <c r="A1940" s="21" t="str">
        <f>IF(A1939="","",IF(A1939+1&gt;Ввод!$B$4,"",A1939+1))</f>
        <v/>
      </c>
      <c r="B1940" s="23" t="str">
        <f>IF(A1940="","",IFERROR(INDEX(Ввод!$B$12:$B$71,MATCH(A1940,Ввод!$D$12:$D$71,1)),""))</f>
        <v/>
      </c>
      <c r="C1940" t="str">
        <f t="shared" si="60"/>
        <v/>
      </c>
      <c r="D1940" t="str">
        <f>IF(A1940="","",SUMIFS(Акты!$D$5:$D$16,Акты!$E$5:$E$16,"&lt;="&amp;A1940)-SUMIFS(Оплаты!$B$6:$B$505,Оплаты!$A$6:$A$505,"&lt;"&amp;A1940,Оплаты!$D$6:$D$505,"&lt;&gt;"))</f>
        <v/>
      </c>
      <c r="E1940" t="str">
        <f>IF(A1940="","",IF(SUMPRODUCT((Ввод!$F$12:$F$31&lt;&gt;"")*(Ввод!$F$12:$F$31&lt;=A1940)*(Ввод!$G$12:$G$31&gt;=A1940))&gt;0,1,0))</f>
        <v/>
      </c>
      <c r="G1940" t="str">
        <f t="shared" si="61"/>
        <v/>
      </c>
    </row>
    <row r="1941" spans="1:7" x14ac:dyDescent="0.3">
      <c r="A1941" s="21" t="str">
        <f>IF(A1940="","",IF(A1940+1&gt;Ввод!$B$4,"",A1940+1))</f>
        <v/>
      </c>
      <c r="B1941" s="23" t="str">
        <f>IF(A1941="","",IFERROR(INDEX(Ввод!$B$12:$B$71,MATCH(A1941,Ввод!$D$12:$D$71,1)),""))</f>
        <v/>
      </c>
      <c r="C1941" t="str">
        <f t="shared" si="60"/>
        <v/>
      </c>
      <c r="D1941" t="str">
        <f>IF(A1941="","",SUMIFS(Акты!$D$5:$D$16,Акты!$E$5:$E$16,"&lt;="&amp;A1941)-SUMIFS(Оплаты!$B$6:$B$505,Оплаты!$A$6:$A$505,"&lt;"&amp;A1941,Оплаты!$D$6:$D$505,"&lt;&gt;"))</f>
        <v/>
      </c>
      <c r="E1941" t="str">
        <f>IF(A1941="","",IF(SUMPRODUCT((Ввод!$F$12:$F$31&lt;&gt;"")*(Ввод!$F$12:$F$31&lt;=A1941)*(Ввод!$G$12:$G$31&gt;=A1941))&gt;0,1,0))</f>
        <v/>
      </c>
      <c r="G1941" t="str">
        <f t="shared" si="61"/>
        <v/>
      </c>
    </row>
    <row r="1942" spans="1:7" x14ac:dyDescent="0.3">
      <c r="A1942" s="21" t="str">
        <f>IF(A1941="","",IF(A1941+1&gt;Ввод!$B$4,"",A1941+1))</f>
        <v/>
      </c>
      <c r="B1942" s="23" t="str">
        <f>IF(A1942="","",IFERROR(INDEX(Ввод!$B$12:$B$71,MATCH(A1942,Ввод!$D$12:$D$71,1)),""))</f>
        <v/>
      </c>
      <c r="C1942" t="str">
        <f t="shared" si="60"/>
        <v/>
      </c>
      <c r="D1942" t="str">
        <f>IF(A1942="","",SUMIFS(Акты!$D$5:$D$16,Акты!$E$5:$E$16,"&lt;="&amp;A1942)-SUMIFS(Оплаты!$B$6:$B$505,Оплаты!$A$6:$A$505,"&lt;"&amp;A1942,Оплаты!$D$6:$D$505,"&lt;&gt;"))</f>
        <v/>
      </c>
      <c r="E1942" t="str">
        <f>IF(A1942="","",IF(SUMPRODUCT((Ввод!$F$12:$F$31&lt;&gt;"")*(Ввод!$F$12:$F$31&lt;=A1942)*(Ввод!$G$12:$G$31&gt;=A1942))&gt;0,1,0))</f>
        <v/>
      </c>
      <c r="G1942" t="str">
        <f t="shared" si="61"/>
        <v/>
      </c>
    </row>
    <row r="1943" spans="1:7" x14ac:dyDescent="0.3">
      <c r="A1943" s="21" t="str">
        <f>IF(A1942="","",IF(A1942+1&gt;Ввод!$B$4,"",A1942+1))</f>
        <v/>
      </c>
      <c r="B1943" s="23" t="str">
        <f>IF(A1943="","",IFERROR(INDEX(Ввод!$B$12:$B$71,MATCH(A1943,Ввод!$D$12:$D$71,1)),""))</f>
        <v/>
      </c>
      <c r="C1943" t="str">
        <f t="shared" si="60"/>
        <v/>
      </c>
      <c r="D1943" t="str">
        <f>IF(A1943="","",SUMIFS(Акты!$D$5:$D$16,Акты!$E$5:$E$16,"&lt;="&amp;A1943)-SUMIFS(Оплаты!$B$6:$B$505,Оплаты!$A$6:$A$505,"&lt;"&amp;A1943,Оплаты!$D$6:$D$505,"&lt;&gt;"))</f>
        <v/>
      </c>
      <c r="E1943" t="str">
        <f>IF(A1943="","",IF(SUMPRODUCT((Ввод!$F$12:$F$31&lt;&gt;"")*(Ввод!$F$12:$F$31&lt;=A1943)*(Ввод!$G$12:$G$31&gt;=A1943))&gt;0,1,0))</f>
        <v/>
      </c>
      <c r="G1943" t="str">
        <f t="shared" si="61"/>
        <v/>
      </c>
    </row>
    <row r="1944" spans="1:7" x14ac:dyDescent="0.3">
      <c r="A1944" s="21" t="str">
        <f>IF(A1943="","",IF(A1943+1&gt;Ввод!$B$4,"",A1943+1))</f>
        <v/>
      </c>
      <c r="B1944" s="23" t="str">
        <f>IF(A1944="","",IFERROR(INDEX(Ввод!$B$12:$B$71,MATCH(A1944,Ввод!$D$12:$D$71,1)),""))</f>
        <v/>
      </c>
      <c r="C1944" t="str">
        <f t="shared" si="60"/>
        <v/>
      </c>
      <c r="D1944" t="str">
        <f>IF(A1944="","",SUMIFS(Акты!$D$5:$D$16,Акты!$E$5:$E$16,"&lt;="&amp;A1944)-SUMIFS(Оплаты!$B$6:$B$505,Оплаты!$A$6:$A$505,"&lt;"&amp;A1944,Оплаты!$D$6:$D$505,"&lt;&gt;"))</f>
        <v/>
      </c>
      <c r="E1944" t="str">
        <f>IF(A1944="","",IF(SUMPRODUCT((Ввод!$F$12:$F$31&lt;&gt;"")*(Ввод!$F$12:$F$31&lt;=A1944)*(Ввод!$G$12:$G$31&gt;=A1944))&gt;0,1,0))</f>
        <v/>
      </c>
      <c r="G1944" t="str">
        <f t="shared" si="61"/>
        <v/>
      </c>
    </row>
    <row r="1945" spans="1:7" x14ac:dyDescent="0.3">
      <c r="A1945" s="21" t="str">
        <f>IF(A1944="","",IF(A1944+1&gt;Ввод!$B$4,"",A1944+1))</f>
        <v/>
      </c>
      <c r="B1945" s="23" t="str">
        <f>IF(A1945="","",IFERROR(INDEX(Ввод!$B$12:$B$71,MATCH(A1945,Ввод!$D$12:$D$71,1)),""))</f>
        <v/>
      </c>
      <c r="C1945" t="str">
        <f t="shared" si="60"/>
        <v/>
      </c>
      <c r="D1945" t="str">
        <f>IF(A1945="","",SUMIFS(Акты!$D$5:$D$16,Акты!$E$5:$E$16,"&lt;="&amp;A1945)-SUMIFS(Оплаты!$B$6:$B$505,Оплаты!$A$6:$A$505,"&lt;"&amp;A1945,Оплаты!$D$6:$D$505,"&lt;&gt;"))</f>
        <v/>
      </c>
      <c r="E1945" t="str">
        <f>IF(A1945="","",IF(SUMPRODUCT((Ввод!$F$12:$F$31&lt;&gt;"")*(Ввод!$F$12:$F$31&lt;=A1945)*(Ввод!$G$12:$G$31&gt;=A1945))&gt;0,1,0))</f>
        <v/>
      </c>
      <c r="G1945" t="str">
        <f t="shared" si="61"/>
        <v/>
      </c>
    </row>
    <row r="1946" spans="1:7" x14ac:dyDescent="0.3">
      <c r="A1946" s="21" t="str">
        <f>IF(A1945="","",IF(A1945+1&gt;Ввод!$B$4,"",A1945+1))</f>
        <v/>
      </c>
      <c r="B1946" s="23" t="str">
        <f>IF(A1946="","",IFERROR(INDEX(Ввод!$B$12:$B$71,MATCH(A1946,Ввод!$D$12:$D$71,1)),""))</f>
        <v/>
      </c>
      <c r="C1946" t="str">
        <f t="shared" si="60"/>
        <v/>
      </c>
      <c r="D1946" t="str">
        <f>IF(A1946="","",SUMIFS(Акты!$D$5:$D$16,Акты!$E$5:$E$16,"&lt;="&amp;A1946)-SUMIFS(Оплаты!$B$6:$B$505,Оплаты!$A$6:$A$505,"&lt;"&amp;A1946,Оплаты!$D$6:$D$505,"&lt;&gt;"))</f>
        <v/>
      </c>
      <c r="E1946" t="str">
        <f>IF(A1946="","",IF(SUMPRODUCT((Ввод!$F$12:$F$31&lt;&gt;"")*(Ввод!$F$12:$F$31&lt;=A1946)*(Ввод!$G$12:$G$31&gt;=A1946))&gt;0,1,0))</f>
        <v/>
      </c>
      <c r="G1946" t="str">
        <f t="shared" si="61"/>
        <v/>
      </c>
    </row>
    <row r="1947" spans="1:7" x14ac:dyDescent="0.3">
      <c r="A1947" s="21" t="str">
        <f>IF(A1946="","",IF(A1946+1&gt;Ввод!$B$4,"",A1946+1))</f>
        <v/>
      </c>
      <c r="B1947" s="23" t="str">
        <f>IF(A1947="","",IFERROR(INDEX(Ввод!$B$12:$B$71,MATCH(A1947,Ввод!$D$12:$D$71,1)),""))</f>
        <v/>
      </c>
      <c r="C1947" t="str">
        <f t="shared" si="60"/>
        <v/>
      </c>
      <c r="D1947" t="str">
        <f>IF(A1947="","",SUMIFS(Акты!$D$5:$D$16,Акты!$E$5:$E$16,"&lt;="&amp;A1947)-SUMIFS(Оплаты!$B$6:$B$505,Оплаты!$A$6:$A$505,"&lt;"&amp;A1947,Оплаты!$D$6:$D$505,"&lt;&gt;"))</f>
        <v/>
      </c>
      <c r="E1947" t="str">
        <f>IF(A1947="","",IF(SUMPRODUCT((Ввод!$F$12:$F$31&lt;&gt;"")*(Ввод!$F$12:$F$31&lt;=A1947)*(Ввод!$G$12:$G$31&gt;=A1947))&gt;0,1,0))</f>
        <v/>
      </c>
      <c r="G1947" t="str">
        <f t="shared" si="61"/>
        <v/>
      </c>
    </row>
    <row r="1948" spans="1:7" x14ac:dyDescent="0.3">
      <c r="A1948" s="21" t="str">
        <f>IF(A1947="","",IF(A1947+1&gt;Ввод!$B$4,"",A1947+1))</f>
        <v/>
      </c>
      <c r="B1948" s="23" t="str">
        <f>IF(A1948="","",IFERROR(INDEX(Ввод!$B$12:$B$71,MATCH(A1948,Ввод!$D$12:$D$71,1)),""))</f>
        <v/>
      </c>
      <c r="C1948" t="str">
        <f t="shared" si="60"/>
        <v/>
      </c>
      <c r="D1948" t="str">
        <f>IF(A1948="","",SUMIFS(Акты!$D$5:$D$16,Акты!$E$5:$E$16,"&lt;="&amp;A1948)-SUMIFS(Оплаты!$B$6:$B$505,Оплаты!$A$6:$A$505,"&lt;"&amp;A1948,Оплаты!$D$6:$D$505,"&lt;&gt;"))</f>
        <v/>
      </c>
      <c r="E1948" t="str">
        <f>IF(A1948="","",IF(SUMPRODUCT((Ввод!$F$12:$F$31&lt;&gt;"")*(Ввод!$F$12:$F$31&lt;=A1948)*(Ввод!$G$12:$G$31&gt;=A1948))&gt;0,1,0))</f>
        <v/>
      </c>
      <c r="G1948" t="str">
        <f t="shared" si="61"/>
        <v/>
      </c>
    </row>
    <row r="1949" spans="1:7" x14ac:dyDescent="0.3">
      <c r="A1949" s="21" t="str">
        <f>IF(A1948="","",IF(A1948+1&gt;Ввод!$B$4,"",A1948+1))</f>
        <v/>
      </c>
      <c r="B1949" s="23" t="str">
        <f>IF(A1949="","",IFERROR(INDEX(Ввод!$B$12:$B$71,MATCH(A1949,Ввод!$D$12:$D$71,1)),""))</f>
        <v/>
      </c>
      <c r="C1949" t="str">
        <f t="shared" si="60"/>
        <v/>
      </c>
      <c r="D1949" t="str">
        <f>IF(A1949="","",SUMIFS(Акты!$D$5:$D$16,Акты!$E$5:$E$16,"&lt;="&amp;A1949)-SUMIFS(Оплаты!$B$6:$B$505,Оплаты!$A$6:$A$505,"&lt;"&amp;A1949,Оплаты!$D$6:$D$505,"&lt;&gt;"))</f>
        <v/>
      </c>
      <c r="E1949" t="str">
        <f>IF(A1949="","",IF(SUMPRODUCT((Ввод!$F$12:$F$31&lt;&gt;"")*(Ввод!$F$12:$F$31&lt;=A1949)*(Ввод!$G$12:$G$31&gt;=A1949))&gt;0,1,0))</f>
        <v/>
      </c>
      <c r="G1949" t="str">
        <f t="shared" si="61"/>
        <v/>
      </c>
    </row>
    <row r="1950" spans="1:7" x14ac:dyDescent="0.3">
      <c r="A1950" s="21" t="str">
        <f>IF(A1949="","",IF(A1949+1&gt;Ввод!$B$4,"",A1949+1))</f>
        <v/>
      </c>
      <c r="B1950" s="23" t="str">
        <f>IF(A1950="","",IFERROR(INDEX(Ввод!$B$12:$B$71,MATCH(A1950,Ввод!$D$12:$D$71,1)),""))</f>
        <v/>
      </c>
      <c r="C1950" t="str">
        <f t="shared" si="60"/>
        <v/>
      </c>
      <c r="D1950" t="str">
        <f>IF(A1950="","",SUMIFS(Акты!$D$5:$D$16,Акты!$E$5:$E$16,"&lt;="&amp;A1950)-SUMIFS(Оплаты!$B$6:$B$505,Оплаты!$A$6:$A$505,"&lt;"&amp;A1950,Оплаты!$D$6:$D$505,"&lt;&gt;"))</f>
        <v/>
      </c>
      <c r="E1950" t="str">
        <f>IF(A1950="","",IF(SUMPRODUCT((Ввод!$F$12:$F$31&lt;&gt;"")*(Ввод!$F$12:$F$31&lt;=A1950)*(Ввод!$G$12:$G$31&gt;=A1950))&gt;0,1,0))</f>
        <v/>
      </c>
      <c r="G1950" t="str">
        <f t="shared" si="61"/>
        <v/>
      </c>
    </row>
    <row r="1951" spans="1:7" x14ac:dyDescent="0.3">
      <c r="A1951" s="21" t="str">
        <f>IF(A1950="","",IF(A1950+1&gt;Ввод!$B$4,"",A1950+1))</f>
        <v/>
      </c>
      <c r="B1951" s="23" t="str">
        <f>IF(A1951="","",IFERROR(INDEX(Ввод!$B$12:$B$71,MATCH(A1951,Ввод!$D$12:$D$71,1)),""))</f>
        <v/>
      </c>
      <c r="C1951" t="str">
        <f t="shared" si="60"/>
        <v/>
      </c>
      <c r="D1951" t="str">
        <f>IF(A1951="","",SUMIFS(Акты!$D$5:$D$16,Акты!$E$5:$E$16,"&lt;="&amp;A1951)-SUMIFS(Оплаты!$B$6:$B$505,Оплаты!$A$6:$A$505,"&lt;"&amp;A1951,Оплаты!$D$6:$D$505,"&lt;&gt;"))</f>
        <v/>
      </c>
      <c r="E1951" t="str">
        <f>IF(A1951="","",IF(SUMPRODUCT((Ввод!$F$12:$F$31&lt;&gt;"")*(Ввод!$F$12:$F$31&lt;=A1951)*(Ввод!$G$12:$G$31&gt;=A1951))&gt;0,1,0))</f>
        <v/>
      </c>
      <c r="G1951" t="str">
        <f t="shared" si="61"/>
        <v/>
      </c>
    </row>
    <row r="1952" spans="1:7" x14ac:dyDescent="0.3">
      <c r="A1952" s="21" t="str">
        <f>IF(A1951="","",IF(A1951+1&gt;Ввод!$B$4,"",A1951+1))</f>
        <v/>
      </c>
      <c r="B1952" s="23" t="str">
        <f>IF(A1952="","",IFERROR(INDEX(Ввод!$B$12:$B$71,MATCH(A1952,Ввод!$D$12:$D$71,1)),""))</f>
        <v/>
      </c>
      <c r="C1952" t="str">
        <f t="shared" si="60"/>
        <v/>
      </c>
      <c r="D1952" t="str">
        <f>IF(A1952="","",SUMIFS(Акты!$D$5:$D$16,Акты!$E$5:$E$16,"&lt;="&amp;A1952)-SUMIFS(Оплаты!$B$6:$B$505,Оплаты!$A$6:$A$505,"&lt;"&amp;A1952,Оплаты!$D$6:$D$505,"&lt;&gt;"))</f>
        <v/>
      </c>
      <c r="E1952" t="str">
        <f>IF(A1952="","",IF(SUMPRODUCT((Ввод!$F$12:$F$31&lt;&gt;"")*(Ввод!$F$12:$F$31&lt;=A1952)*(Ввод!$G$12:$G$31&gt;=A1952))&gt;0,1,0))</f>
        <v/>
      </c>
      <c r="G1952" t="str">
        <f t="shared" si="61"/>
        <v/>
      </c>
    </row>
    <row r="1953" spans="1:7" x14ac:dyDescent="0.3">
      <c r="A1953" s="21" t="str">
        <f>IF(A1952="","",IF(A1952+1&gt;Ввод!$B$4,"",A1952+1))</f>
        <v/>
      </c>
      <c r="B1953" s="23" t="str">
        <f>IF(A1953="","",IFERROR(INDEX(Ввод!$B$12:$B$71,MATCH(A1953,Ввод!$D$12:$D$71,1)),""))</f>
        <v/>
      </c>
      <c r="C1953" t="str">
        <f t="shared" si="60"/>
        <v/>
      </c>
      <c r="D1953" t="str">
        <f>IF(A1953="","",SUMIFS(Акты!$D$5:$D$16,Акты!$E$5:$E$16,"&lt;="&amp;A1953)-SUMIFS(Оплаты!$B$6:$B$505,Оплаты!$A$6:$A$505,"&lt;"&amp;A1953,Оплаты!$D$6:$D$505,"&lt;&gt;"))</f>
        <v/>
      </c>
      <c r="E1953" t="str">
        <f>IF(A1953="","",IF(SUMPRODUCT((Ввод!$F$12:$F$31&lt;&gt;"")*(Ввод!$F$12:$F$31&lt;=A1953)*(Ввод!$G$12:$G$31&gt;=A1953))&gt;0,1,0))</f>
        <v/>
      </c>
      <c r="G1953" t="str">
        <f t="shared" si="61"/>
        <v/>
      </c>
    </row>
    <row r="1954" spans="1:7" x14ac:dyDescent="0.3">
      <c r="A1954" s="21" t="str">
        <f>IF(A1953="","",IF(A1953+1&gt;Ввод!$B$4,"",A1953+1))</f>
        <v/>
      </c>
      <c r="B1954" s="23" t="str">
        <f>IF(A1954="","",IFERROR(INDEX(Ввод!$B$12:$B$71,MATCH(A1954,Ввод!$D$12:$D$71,1)),""))</f>
        <v/>
      </c>
      <c r="C1954" t="str">
        <f t="shared" si="60"/>
        <v/>
      </c>
      <c r="D1954" t="str">
        <f>IF(A1954="","",SUMIFS(Акты!$D$5:$D$16,Акты!$E$5:$E$16,"&lt;="&amp;A1954)-SUMIFS(Оплаты!$B$6:$B$505,Оплаты!$A$6:$A$505,"&lt;"&amp;A1954,Оплаты!$D$6:$D$505,"&lt;&gt;"))</f>
        <v/>
      </c>
      <c r="E1954" t="str">
        <f>IF(A1954="","",IF(SUMPRODUCT((Ввод!$F$12:$F$31&lt;&gt;"")*(Ввод!$F$12:$F$31&lt;=A1954)*(Ввод!$G$12:$G$31&gt;=A1954))&gt;0,1,0))</f>
        <v/>
      </c>
      <c r="G1954" t="str">
        <f t="shared" si="61"/>
        <v/>
      </c>
    </row>
    <row r="1955" spans="1:7" x14ac:dyDescent="0.3">
      <c r="A1955" s="21" t="str">
        <f>IF(A1954="","",IF(A1954+1&gt;Ввод!$B$4,"",A1954+1))</f>
        <v/>
      </c>
      <c r="B1955" s="23" t="str">
        <f>IF(A1955="","",IFERROR(INDEX(Ввод!$B$12:$B$71,MATCH(A1955,Ввод!$D$12:$D$71,1)),""))</f>
        <v/>
      </c>
      <c r="C1955" t="str">
        <f t="shared" si="60"/>
        <v/>
      </c>
      <c r="D1955" t="str">
        <f>IF(A1955="","",SUMIFS(Акты!$D$5:$D$16,Акты!$E$5:$E$16,"&lt;="&amp;A1955)-SUMIFS(Оплаты!$B$6:$B$505,Оплаты!$A$6:$A$505,"&lt;"&amp;A1955,Оплаты!$D$6:$D$505,"&lt;&gt;"))</f>
        <v/>
      </c>
      <c r="E1955" t="str">
        <f>IF(A1955="","",IF(SUMPRODUCT((Ввод!$F$12:$F$31&lt;&gt;"")*(Ввод!$F$12:$F$31&lt;=A1955)*(Ввод!$G$12:$G$31&gt;=A1955))&gt;0,1,0))</f>
        <v/>
      </c>
      <c r="G1955" t="str">
        <f t="shared" si="61"/>
        <v/>
      </c>
    </row>
    <row r="1956" spans="1:7" x14ac:dyDescent="0.3">
      <c r="A1956" s="21" t="str">
        <f>IF(A1955="","",IF(A1955+1&gt;Ввод!$B$4,"",A1955+1))</f>
        <v/>
      </c>
      <c r="B1956" s="23" t="str">
        <f>IF(A1956="","",IFERROR(INDEX(Ввод!$B$12:$B$71,MATCH(A1956,Ввод!$D$12:$D$71,1)),""))</f>
        <v/>
      </c>
      <c r="C1956" t="str">
        <f t="shared" si="60"/>
        <v/>
      </c>
      <c r="D1956" t="str">
        <f>IF(A1956="","",SUMIFS(Акты!$D$5:$D$16,Акты!$E$5:$E$16,"&lt;="&amp;A1956)-SUMIFS(Оплаты!$B$6:$B$505,Оплаты!$A$6:$A$505,"&lt;"&amp;A1956,Оплаты!$D$6:$D$505,"&lt;&gt;"))</f>
        <v/>
      </c>
      <c r="E1956" t="str">
        <f>IF(A1956="","",IF(SUMPRODUCT((Ввод!$F$12:$F$31&lt;&gt;"")*(Ввод!$F$12:$F$31&lt;=A1956)*(Ввод!$G$12:$G$31&gt;=A1956))&gt;0,1,0))</f>
        <v/>
      </c>
      <c r="G1956" t="str">
        <f t="shared" si="61"/>
        <v/>
      </c>
    </row>
    <row r="1957" spans="1:7" x14ac:dyDescent="0.3">
      <c r="A1957" s="21" t="str">
        <f>IF(A1956="","",IF(A1956+1&gt;Ввод!$B$4,"",A1956+1))</f>
        <v/>
      </c>
      <c r="B1957" s="23" t="str">
        <f>IF(A1957="","",IFERROR(INDEX(Ввод!$B$12:$B$71,MATCH(A1957,Ввод!$D$12:$D$71,1)),""))</f>
        <v/>
      </c>
      <c r="C1957" t="str">
        <f t="shared" si="60"/>
        <v/>
      </c>
      <c r="D1957" t="str">
        <f>IF(A1957="","",SUMIFS(Акты!$D$5:$D$16,Акты!$E$5:$E$16,"&lt;="&amp;A1957)-SUMIFS(Оплаты!$B$6:$B$505,Оплаты!$A$6:$A$505,"&lt;"&amp;A1957,Оплаты!$D$6:$D$505,"&lt;&gt;"))</f>
        <v/>
      </c>
      <c r="E1957" t="str">
        <f>IF(A1957="","",IF(SUMPRODUCT((Ввод!$F$12:$F$31&lt;&gt;"")*(Ввод!$F$12:$F$31&lt;=A1957)*(Ввод!$G$12:$G$31&gt;=A1957))&gt;0,1,0))</f>
        <v/>
      </c>
      <c r="G1957" t="str">
        <f t="shared" si="61"/>
        <v/>
      </c>
    </row>
    <row r="1958" spans="1:7" x14ac:dyDescent="0.3">
      <c r="A1958" s="21" t="str">
        <f>IF(A1957="","",IF(A1957+1&gt;Ввод!$B$4,"",A1957+1))</f>
        <v/>
      </c>
      <c r="B1958" s="23" t="str">
        <f>IF(A1958="","",IFERROR(INDEX(Ввод!$B$12:$B$71,MATCH(A1958,Ввод!$D$12:$D$71,1)),""))</f>
        <v/>
      </c>
      <c r="C1958" t="str">
        <f t="shared" si="60"/>
        <v/>
      </c>
      <c r="D1958" t="str">
        <f>IF(A1958="","",SUMIFS(Акты!$D$5:$D$16,Акты!$E$5:$E$16,"&lt;="&amp;A1958)-SUMIFS(Оплаты!$B$6:$B$505,Оплаты!$A$6:$A$505,"&lt;"&amp;A1958,Оплаты!$D$6:$D$505,"&lt;&gt;"))</f>
        <v/>
      </c>
      <c r="E1958" t="str">
        <f>IF(A1958="","",IF(SUMPRODUCT((Ввод!$F$12:$F$31&lt;&gt;"")*(Ввод!$F$12:$F$31&lt;=A1958)*(Ввод!$G$12:$G$31&gt;=A1958))&gt;0,1,0))</f>
        <v/>
      </c>
      <c r="G1958" t="str">
        <f t="shared" si="61"/>
        <v/>
      </c>
    </row>
    <row r="1959" spans="1:7" x14ac:dyDescent="0.3">
      <c r="A1959" s="21" t="str">
        <f>IF(A1958="","",IF(A1958+1&gt;Ввод!$B$4,"",A1958+1))</f>
        <v/>
      </c>
      <c r="B1959" s="23" t="str">
        <f>IF(A1959="","",IFERROR(INDEX(Ввод!$B$12:$B$71,MATCH(A1959,Ввод!$D$12:$D$71,1)),""))</f>
        <v/>
      </c>
      <c r="C1959" t="str">
        <f t="shared" si="60"/>
        <v/>
      </c>
      <c r="D1959" t="str">
        <f>IF(A1959="","",SUMIFS(Акты!$D$5:$D$16,Акты!$E$5:$E$16,"&lt;="&amp;A1959)-SUMIFS(Оплаты!$B$6:$B$505,Оплаты!$A$6:$A$505,"&lt;"&amp;A1959,Оплаты!$D$6:$D$505,"&lt;&gt;"))</f>
        <v/>
      </c>
      <c r="E1959" t="str">
        <f>IF(A1959="","",IF(SUMPRODUCT((Ввод!$F$12:$F$31&lt;&gt;"")*(Ввод!$F$12:$F$31&lt;=A1959)*(Ввод!$G$12:$G$31&gt;=A1959))&gt;0,1,0))</f>
        <v/>
      </c>
      <c r="G1959" t="str">
        <f t="shared" si="61"/>
        <v/>
      </c>
    </row>
    <row r="1960" spans="1:7" x14ac:dyDescent="0.3">
      <c r="A1960" s="21" t="str">
        <f>IF(A1959="","",IF(A1959+1&gt;Ввод!$B$4,"",A1959+1))</f>
        <v/>
      </c>
      <c r="B1960" s="23" t="str">
        <f>IF(A1960="","",IFERROR(INDEX(Ввод!$B$12:$B$71,MATCH(A1960,Ввод!$D$12:$D$71,1)),""))</f>
        <v/>
      </c>
      <c r="C1960" t="str">
        <f t="shared" si="60"/>
        <v/>
      </c>
      <c r="D1960" t="str">
        <f>IF(A1960="","",SUMIFS(Акты!$D$5:$D$16,Акты!$E$5:$E$16,"&lt;="&amp;A1960)-SUMIFS(Оплаты!$B$6:$B$505,Оплаты!$A$6:$A$505,"&lt;"&amp;A1960,Оплаты!$D$6:$D$505,"&lt;&gt;"))</f>
        <v/>
      </c>
      <c r="E1960" t="str">
        <f>IF(A1960="","",IF(SUMPRODUCT((Ввод!$F$12:$F$31&lt;&gt;"")*(Ввод!$F$12:$F$31&lt;=A1960)*(Ввод!$G$12:$G$31&gt;=A1960))&gt;0,1,0))</f>
        <v/>
      </c>
      <c r="G1960" t="str">
        <f t="shared" si="61"/>
        <v/>
      </c>
    </row>
    <row r="1961" spans="1:7" x14ac:dyDescent="0.3">
      <c r="A1961" s="21" t="str">
        <f>IF(A1960="","",IF(A1960+1&gt;Ввод!$B$4,"",A1960+1))</f>
        <v/>
      </c>
      <c r="B1961" s="23" t="str">
        <f>IF(A1961="","",IFERROR(INDEX(Ввод!$B$12:$B$71,MATCH(A1961,Ввод!$D$12:$D$71,1)),""))</f>
        <v/>
      </c>
      <c r="C1961" t="str">
        <f t="shared" si="60"/>
        <v/>
      </c>
      <c r="D1961" t="str">
        <f>IF(A1961="","",SUMIFS(Акты!$D$5:$D$16,Акты!$E$5:$E$16,"&lt;="&amp;A1961)-SUMIFS(Оплаты!$B$6:$B$505,Оплаты!$A$6:$A$505,"&lt;"&amp;A1961,Оплаты!$D$6:$D$505,"&lt;&gt;"))</f>
        <v/>
      </c>
      <c r="E1961" t="str">
        <f>IF(A1961="","",IF(SUMPRODUCT((Ввод!$F$12:$F$31&lt;&gt;"")*(Ввод!$F$12:$F$31&lt;=A1961)*(Ввод!$G$12:$G$31&gt;=A1961))&gt;0,1,0))</f>
        <v/>
      </c>
      <c r="G1961" t="str">
        <f t="shared" si="61"/>
        <v/>
      </c>
    </row>
    <row r="1962" spans="1:7" x14ac:dyDescent="0.3">
      <c r="A1962" s="21" t="str">
        <f>IF(A1961="","",IF(A1961+1&gt;Ввод!$B$4,"",A1961+1))</f>
        <v/>
      </c>
      <c r="B1962" s="23" t="str">
        <f>IF(A1962="","",IFERROR(INDEX(Ввод!$B$12:$B$71,MATCH(A1962,Ввод!$D$12:$D$71,1)),""))</f>
        <v/>
      </c>
      <c r="C1962" t="str">
        <f t="shared" si="60"/>
        <v/>
      </c>
      <c r="D1962" t="str">
        <f>IF(A1962="","",SUMIFS(Акты!$D$5:$D$16,Акты!$E$5:$E$16,"&lt;="&amp;A1962)-SUMIFS(Оплаты!$B$6:$B$505,Оплаты!$A$6:$A$505,"&lt;"&amp;A1962,Оплаты!$D$6:$D$505,"&lt;&gt;"))</f>
        <v/>
      </c>
      <c r="E1962" t="str">
        <f>IF(A1962="","",IF(SUMPRODUCT((Ввод!$F$12:$F$31&lt;&gt;"")*(Ввод!$F$12:$F$31&lt;=A1962)*(Ввод!$G$12:$G$31&gt;=A1962))&gt;0,1,0))</f>
        <v/>
      </c>
      <c r="G1962" t="str">
        <f t="shared" si="61"/>
        <v/>
      </c>
    </row>
    <row r="1963" spans="1:7" x14ac:dyDescent="0.3">
      <c r="A1963" s="21" t="str">
        <f>IF(A1962="","",IF(A1962+1&gt;Ввод!$B$4,"",A1962+1))</f>
        <v/>
      </c>
      <c r="B1963" s="23" t="str">
        <f>IF(A1963="","",IFERROR(INDEX(Ввод!$B$12:$B$71,MATCH(A1963,Ввод!$D$12:$D$71,1)),""))</f>
        <v/>
      </c>
      <c r="C1963" t="str">
        <f t="shared" si="60"/>
        <v/>
      </c>
      <c r="D1963" t="str">
        <f>IF(A1963="","",SUMIFS(Акты!$D$5:$D$16,Акты!$E$5:$E$16,"&lt;="&amp;A1963)-SUMIFS(Оплаты!$B$6:$B$505,Оплаты!$A$6:$A$505,"&lt;"&amp;A1963,Оплаты!$D$6:$D$505,"&lt;&gt;"))</f>
        <v/>
      </c>
      <c r="E1963" t="str">
        <f>IF(A1963="","",IF(SUMPRODUCT((Ввод!$F$12:$F$31&lt;&gt;"")*(Ввод!$F$12:$F$31&lt;=A1963)*(Ввод!$G$12:$G$31&gt;=A1963))&gt;0,1,0))</f>
        <v/>
      </c>
      <c r="G1963" t="str">
        <f t="shared" si="61"/>
        <v/>
      </c>
    </row>
    <row r="1964" spans="1:7" x14ac:dyDescent="0.3">
      <c r="A1964" s="21" t="str">
        <f>IF(A1963="","",IF(A1963+1&gt;Ввод!$B$4,"",A1963+1))</f>
        <v/>
      </c>
      <c r="B1964" s="23" t="str">
        <f>IF(A1964="","",IFERROR(INDEX(Ввод!$B$12:$B$71,MATCH(A1964,Ввод!$D$12:$D$71,1)),""))</f>
        <v/>
      </c>
      <c r="C1964" t="str">
        <f t="shared" si="60"/>
        <v/>
      </c>
      <c r="D1964" t="str">
        <f>IF(A1964="","",SUMIFS(Акты!$D$5:$D$16,Акты!$E$5:$E$16,"&lt;="&amp;A1964)-SUMIFS(Оплаты!$B$6:$B$505,Оплаты!$A$6:$A$505,"&lt;"&amp;A1964,Оплаты!$D$6:$D$505,"&lt;&gt;"))</f>
        <v/>
      </c>
      <c r="E1964" t="str">
        <f>IF(A1964="","",IF(SUMPRODUCT((Ввод!$F$12:$F$31&lt;&gt;"")*(Ввод!$F$12:$F$31&lt;=A1964)*(Ввод!$G$12:$G$31&gt;=A1964))&gt;0,1,0))</f>
        <v/>
      </c>
      <c r="G1964" t="str">
        <f t="shared" si="61"/>
        <v/>
      </c>
    </row>
    <row r="1965" spans="1:7" x14ac:dyDescent="0.3">
      <c r="A1965" s="21" t="str">
        <f>IF(A1964="","",IF(A1964+1&gt;Ввод!$B$4,"",A1964+1))</f>
        <v/>
      </c>
      <c r="B1965" s="23" t="str">
        <f>IF(A1965="","",IFERROR(INDEX(Ввод!$B$12:$B$71,MATCH(A1965,Ввод!$D$12:$D$71,1)),""))</f>
        <v/>
      </c>
      <c r="C1965" t="str">
        <f t="shared" si="60"/>
        <v/>
      </c>
      <c r="D1965" t="str">
        <f>IF(A1965="","",SUMIFS(Акты!$D$5:$D$16,Акты!$E$5:$E$16,"&lt;="&amp;A1965)-SUMIFS(Оплаты!$B$6:$B$505,Оплаты!$A$6:$A$505,"&lt;"&amp;A1965,Оплаты!$D$6:$D$505,"&lt;&gt;"))</f>
        <v/>
      </c>
      <c r="E1965" t="str">
        <f>IF(A1965="","",IF(SUMPRODUCT((Ввод!$F$12:$F$31&lt;&gt;"")*(Ввод!$F$12:$F$31&lt;=A1965)*(Ввод!$G$12:$G$31&gt;=A1965))&gt;0,1,0))</f>
        <v/>
      </c>
      <c r="G1965" t="str">
        <f t="shared" si="61"/>
        <v/>
      </c>
    </row>
    <row r="1966" spans="1:7" x14ac:dyDescent="0.3">
      <c r="A1966" s="21" t="str">
        <f>IF(A1965="","",IF(A1965+1&gt;Ввод!$B$4,"",A1965+1))</f>
        <v/>
      </c>
      <c r="B1966" s="23" t="str">
        <f>IF(A1966="","",IFERROR(INDEX(Ввод!$B$12:$B$71,MATCH(A1966,Ввод!$D$12:$D$71,1)),""))</f>
        <v/>
      </c>
      <c r="C1966" t="str">
        <f t="shared" si="60"/>
        <v/>
      </c>
      <c r="D1966" t="str">
        <f>IF(A1966="","",SUMIFS(Акты!$D$5:$D$16,Акты!$E$5:$E$16,"&lt;="&amp;A1966)-SUMIFS(Оплаты!$B$6:$B$505,Оплаты!$A$6:$A$505,"&lt;"&amp;A1966,Оплаты!$D$6:$D$505,"&lt;&gt;"))</f>
        <v/>
      </c>
      <c r="E1966" t="str">
        <f>IF(A1966="","",IF(SUMPRODUCT((Ввод!$F$12:$F$31&lt;&gt;"")*(Ввод!$F$12:$F$31&lt;=A1966)*(Ввод!$G$12:$G$31&gt;=A1966))&gt;0,1,0))</f>
        <v/>
      </c>
      <c r="G1966" t="str">
        <f t="shared" si="61"/>
        <v/>
      </c>
    </row>
    <row r="1967" spans="1:7" x14ac:dyDescent="0.3">
      <c r="A1967" s="21" t="str">
        <f>IF(A1966="","",IF(A1966+1&gt;Ввод!$B$4,"",A1966+1))</f>
        <v/>
      </c>
      <c r="B1967" s="23" t="str">
        <f>IF(A1967="","",IFERROR(INDEX(Ввод!$B$12:$B$71,MATCH(A1967,Ввод!$D$12:$D$71,1)),""))</f>
        <v/>
      </c>
      <c r="C1967" t="str">
        <f t="shared" si="60"/>
        <v/>
      </c>
      <c r="D1967" t="str">
        <f>IF(A1967="","",SUMIFS(Акты!$D$5:$D$16,Акты!$E$5:$E$16,"&lt;="&amp;A1967)-SUMIFS(Оплаты!$B$6:$B$505,Оплаты!$A$6:$A$505,"&lt;"&amp;A1967,Оплаты!$D$6:$D$505,"&lt;&gt;"))</f>
        <v/>
      </c>
      <c r="E1967" t="str">
        <f>IF(A1967="","",IF(SUMPRODUCT((Ввод!$F$12:$F$31&lt;&gt;"")*(Ввод!$F$12:$F$31&lt;=A1967)*(Ввод!$G$12:$G$31&gt;=A1967))&gt;0,1,0))</f>
        <v/>
      </c>
      <c r="G1967" t="str">
        <f t="shared" si="61"/>
        <v/>
      </c>
    </row>
    <row r="1968" spans="1:7" x14ac:dyDescent="0.3">
      <c r="A1968" s="21" t="str">
        <f>IF(A1967="","",IF(A1967+1&gt;Ввод!$B$4,"",A1967+1))</f>
        <v/>
      </c>
      <c r="B1968" s="23" t="str">
        <f>IF(A1968="","",IFERROR(INDEX(Ввод!$B$12:$B$71,MATCH(A1968,Ввод!$D$12:$D$71,1)),""))</f>
        <v/>
      </c>
      <c r="C1968" t="str">
        <f t="shared" si="60"/>
        <v/>
      </c>
      <c r="D1968" t="str">
        <f>IF(A1968="","",SUMIFS(Акты!$D$5:$D$16,Акты!$E$5:$E$16,"&lt;="&amp;A1968)-SUMIFS(Оплаты!$B$6:$B$505,Оплаты!$A$6:$A$505,"&lt;"&amp;A1968,Оплаты!$D$6:$D$505,"&lt;&gt;"))</f>
        <v/>
      </c>
      <c r="E1968" t="str">
        <f>IF(A1968="","",IF(SUMPRODUCT((Ввод!$F$12:$F$31&lt;&gt;"")*(Ввод!$F$12:$F$31&lt;=A1968)*(Ввод!$G$12:$G$31&gt;=A1968))&gt;0,1,0))</f>
        <v/>
      </c>
      <c r="G1968" t="str">
        <f t="shared" si="61"/>
        <v/>
      </c>
    </row>
    <row r="1969" spans="1:7" x14ac:dyDescent="0.3">
      <c r="A1969" s="21" t="str">
        <f>IF(A1968="","",IF(A1968+1&gt;Ввод!$B$4,"",A1968+1))</f>
        <v/>
      </c>
      <c r="B1969" s="23" t="str">
        <f>IF(A1969="","",IFERROR(INDEX(Ввод!$B$12:$B$71,MATCH(A1969,Ввод!$D$12:$D$71,1)),""))</f>
        <v/>
      </c>
      <c r="C1969" t="str">
        <f t="shared" si="60"/>
        <v/>
      </c>
      <c r="D1969" t="str">
        <f>IF(A1969="","",SUMIFS(Акты!$D$5:$D$16,Акты!$E$5:$E$16,"&lt;="&amp;A1969)-SUMIFS(Оплаты!$B$6:$B$505,Оплаты!$A$6:$A$505,"&lt;"&amp;A1969,Оплаты!$D$6:$D$505,"&lt;&gt;"))</f>
        <v/>
      </c>
      <c r="E1969" t="str">
        <f>IF(A1969="","",IF(SUMPRODUCT((Ввод!$F$12:$F$31&lt;&gt;"")*(Ввод!$F$12:$F$31&lt;=A1969)*(Ввод!$G$12:$G$31&gt;=A1969))&gt;0,1,0))</f>
        <v/>
      </c>
      <c r="G1969" t="str">
        <f t="shared" si="61"/>
        <v/>
      </c>
    </row>
    <row r="1970" spans="1:7" x14ac:dyDescent="0.3">
      <c r="A1970" s="21" t="str">
        <f>IF(A1969="","",IF(A1969+1&gt;Ввод!$B$4,"",A1969+1))</f>
        <v/>
      </c>
      <c r="B1970" s="23" t="str">
        <f>IF(A1970="","",IFERROR(INDEX(Ввод!$B$12:$B$71,MATCH(A1970,Ввод!$D$12:$D$71,1)),""))</f>
        <v/>
      </c>
      <c r="C1970" t="str">
        <f t="shared" si="60"/>
        <v/>
      </c>
      <c r="D1970" t="str">
        <f>IF(A1970="","",SUMIFS(Акты!$D$5:$D$16,Акты!$E$5:$E$16,"&lt;="&amp;A1970)-SUMIFS(Оплаты!$B$6:$B$505,Оплаты!$A$6:$A$505,"&lt;"&amp;A1970,Оплаты!$D$6:$D$505,"&lt;&gt;"))</f>
        <v/>
      </c>
      <c r="E1970" t="str">
        <f>IF(A1970="","",IF(SUMPRODUCT((Ввод!$F$12:$F$31&lt;&gt;"")*(Ввод!$F$12:$F$31&lt;=A1970)*(Ввод!$G$12:$G$31&gt;=A1970))&gt;0,1,0))</f>
        <v/>
      </c>
      <c r="G1970" t="str">
        <f t="shared" si="61"/>
        <v/>
      </c>
    </row>
    <row r="1971" spans="1:7" x14ac:dyDescent="0.3">
      <c r="A1971" s="21" t="str">
        <f>IF(A1970="","",IF(A1970+1&gt;Ввод!$B$4,"",A1970+1))</f>
        <v/>
      </c>
      <c r="B1971" s="23" t="str">
        <f>IF(A1971="","",IFERROR(INDEX(Ввод!$B$12:$B$71,MATCH(A1971,Ввод!$D$12:$D$71,1)),""))</f>
        <v/>
      </c>
      <c r="C1971" t="str">
        <f t="shared" si="60"/>
        <v/>
      </c>
      <c r="D1971" t="str">
        <f>IF(A1971="","",SUMIFS(Акты!$D$5:$D$16,Акты!$E$5:$E$16,"&lt;="&amp;A1971)-SUMIFS(Оплаты!$B$6:$B$505,Оплаты!$A$6:$A$505,"&lt;"&amp;A1971,Оплаты!$D$6:$D$505,"&lt;&gt;"))</f>
        <v/>
      </c>
      <c r="E1971" t="str">
        <f>IF(A1971="","",IF(SUMPRODUCT((Ввод!$F$12:$F$31&lt;&gt;"")*(Ввод!$F$12:$F$31&lt;=A1971)*(Ввод!$G$12:$G$31&gt;=A1971))&gt;0,1,0))</f>
        <v/>
      </c>
      <c r="G1971" t="str">
        <f t="shared" si="61"/>
        <v/>
      </c>
    </row>
    <row r="1972" spans="1:7" x14ac:dyDescent="0.3">
      <c r="A1972" s="21" t="str">
        <f>IF(A1971="","",IF(A1971+1&gt;Ввод!$B$4,"",A1971+1))</f>
        <v/>
      </c>
      <c r="B1972" s="23" t="str">
        <f>IF(A1972="","",IFERROR(INDEX(Ввод!$B$12:$B$71,MATCH(A1972,Ввод!$D$12:$D$71,1)),""))</f>
        <v/>
      </c>
      <c r="C1972" t="str">
        <f t="shared" si="60"/>
        <v/>
      </c>
      <c r="D1972" t="str">
        <f>IF(A1972="","",SUMIFS(Акты!$D$5:$D$16,Акты!$E$5:$E$16,"&lt;="&amp;A1972)-SUMIFS(Оплаты!$B$6:$B$505,Оплаты!$A$6:$A$505,"&lt;"&amp;A1972,Оплаты!$D$6:$D$505,"&lt;&gt;"))</f>
        <v/>
      </c>
      <c r="E1972" t="str">
        <f>IF(A1972="","",IF(SUMPRODUCT((Ввод!$F$12:$F$31&lt;&gt;"")*(Ввод!$F$12:$F$31&lt;=A1972)*(Ввод!$G$12:$G$31&gt;=A1972))&gt;0,1,0))</f>
        <v/>
      </c>
      <c r="G1972" t="str">
        <f t="shared" si="61"/>
        <v/>
      </c>
    </row>
    <row r="1973" spans="1:7" x14ac:dyDescent="0.3">
      <c r="A1973" s="21" t="str">
        <f>IF(A1972="","",IF(A1972+1&gt;Ввод!$B$4,"",A1972+1))</f>
        <v/>
      </c>
      <c r="B1973" s="23" t="str">
        <f>IF(A1973="","",IFERROR(INDEX(Ввод!$B$12:$B$71,MATCH(A1973,Ввод!$D$12:$D$71,1)),""))</f>
        <v/>
      </c>
      <c r="C1973" t="str">
        <f t="shared" si="60"/>
        <v/>
      </c>
      <c r="D1973" t="str">
        <f>IF(A1973="","",SUMIFS(Акты!$D$5:$D$16,Акты!$E$5:$E$16,"&lt;="&amp;A1973)-SUMIFS(Оплаты!$B$6:$B$505,Оплаты!$A$6:$A$505,"&lt;"&amp;A1973,Оплаты!$D$6:$D$505,"&lt;&gt;"))</f>
        <v/>
      </c>
      <c r="E1973" t="str">
        <f>IF(A1973="","",IF(SUMPRODUCT((Ввод!$F$12:$F$31&lt;&gt;"")*(Ввод!$F$12:$F$31&lt;=A1973)*(Ввод!$G$12:$G$31&gt;=A1973))&gt;0,1,0))</f>
        <v/>
      </c>
      <c r="G1973" t="str">
        <f t="shared" si="61"/>
        <v/>
      </c>
    </row>
    <row r="1974" spans="1:7" x14ac:dyDescent="0.3">
      <c r="A1974" s="21" t="str">
        <f>IF(A1973="","",IF(A1973+1&gt;Ввод!$B$4,"",A1973+1))</f>
        <v/>
      </c>
      <c r="B1974" s="23" t="str">
        <f>IF(A1974="","",IFERROR(INDEX(Ввод!$B$12:$B$71,MATCH(A1974,Ввод!$D$12:$D$71,1)),""))</f>
        <v/>
      </c>
      <c r="C1974" t="str">
        <f t="shared" si="60"/>
        <v/>
      </c>
      <c r="D1974" t="str">
        <f>IF(A1974="","",SUMIFS(Акты!$D$5:$D$16,Акты!$E$5:$E$16,"&lt;="&amp;A1974)-SUMIFS(Оплаты!$B$6:$B$505,Оплаты!$A$6:$A$505,"&lt;"&amp;A1974,Оплаты!$D$6:$D$505,"&lt;&gt;"))</f>
        <v/>
      </c>
      <c r="E1974" t="str">
        <f>IF(A1974="","",IF(SUMPRODUCT((Ввод!$F$12:$F$31&lt;&gt;"")*(Ввод!$F$12:$F$31&lt;=A1974)*(Ввод!$G$12:$G$31&gt;=A1974))&gt;0,1,0))</f>
        <v/>
      </c>
      <c r="G1974" t="str">
        <f t="shared" si="61"/>
        <v/>
      </c>
    </row>
    <row r="1975" spans="1:7" x14ac:dyDescent="0.3">
      <c r="A1975" s="21" t="str">
        <f>IF(A1974="","",IF(A1974+1&gt;Ввод!$B$4,"",A1974+1))</f>
        <v/>
      </c>
      <c r="B1975" s="23" t="str">
        <f>IF(A1975="","",IFERROR(INDEX(Ввод!$B$12:$B$71,MATCH(A1975,Ввод!$D$12:$D$71,1)),""))</f>
        <v/>
      </c>
      <c r="C1975" t="str">
        <f t="shared" si="60"/>
        <v/>
      </c>
      <c r="D1975" t="str">
        <f>IF(A1975="","",SUMIFS(Акты!$D$5:$D$16,Акты!$E$5:$E$16,"&lt;="&amp;A1975)-SUMIFS(Оплаты!$B$6:$B$505,Оплаты!$A$6:$A$505,"&lt;"&amp;A1975,Оплаты!$D$6:$D$505,"&lt;&gt;"))</f>
        <v/>
      </c>
      <c r="E1975" t="str">
        <f>IF(A1975="","",IF(SUMPRODUCT((Ввод!$F$12:$F$31&lt;&gt;"")*(Ввод!$F$12:$F$31&lt;=A1975)*(Ввод!$G$12:$G$31&gt;=A1975))&gt;0,1,0))</f>
        <v/>
      </c>
      <c r="G1975" t="str">
        <f t="shared" si="61"/>
        <v/>
      </c>
    </row>
    <row r="1976" spans="1:7" x14ac:dyDescent="0.3">
      <c r="A1976" s="21" t="str">
        <f>IF(A1975="","",IF(A1975+1&gt;Ввод!$B$4,"",A1975+1))</f>
        <v/>
      </c>
      <c r="B1976" s="23" t="str">
        <f>IF(A1976="","",IFERROR(INDEX(Ввод!$B$12:$B$71,MATCH(A1976,Ввод!$D$12:$D$71,1)),""))</f>
        <v/>
      </c>
      <c r="C1976" t="str">
        <f t="shared" si="60"/>
        <v/>
      </c>
      <c r="D1976" t="str">
        <f>IF(A1976="","",SUMIFS(Акты!$D$5:$D$16,Акты!$E$5:$E$16,"&lt;="&amp;A1976)-SUMIFS(Оплаты!$B$6:$B$505,Оплаты!$A$6:$A$505,"&lt;"&amp;A1976,Оплаты!$D$6:$D$505,"&lt;&gt;"))</f>
        <v/>
      </c>
      <c r="E1976" t="str">
        <f>IF(A1976="","",IF(SUMPRODUCT((Ввод!$F$12:$F$31&lt;&gt;"")*(Ввод!$F$12:$F$31&lt;=A1976)*(Ввод!$G$12:$G$31&gt;=A1976))&gt;0,1,0))</f>
        <v/>
      </c>
      <c r="G1976" t="str">
        <f t="shared" si="61"/>
        <v/>
      </c>
    </row>
    <row r="1977" spans="1:7" x14ac:dyDescent="0.3">
      <c r="A1977" s="21" t="str">
        <f>IF(A1976="","",IF(A1976+1&gt;Ввод!$B$4,"",A1976+1))</f>
        <v/>
      </c>
      <c r="B1977" s="23" t="str">
        <f>IF(A1977="","",IFERROR(INDEX(Ввод!$B$12:$B$71,MATCH(A1977,Ввод!$D$12:$D$71,1)),""))</f>
        <v/>
      </c>
      <c r="C1977" t="str">
        <f t="shared" si="60"/>
        <v/>
      </c>
      <c r="D1977" t="str">
        <f>IF(A1977="","",SUMIFS(Акты!$D$5:$D$16,Акты!$E$5:$E$16,"&lt;="&amp;A1977)-SUMIFS(Оплаты!$B$6:$B$505,Оплаты!$A$6:$A$505,"&lt;"&amp;A1977,Оплаты!$D$6:$D$505,"&lt;&gt;"))</f>
        <v/>
      </c>
      <c r="E1977" t="str">
        <f>IF(A1977="","",IF(SUMPRODUCT((Ввод!$F$12:$F$31&lt;&gt;"")*(Ввод!$F$12:$F$31&lt;=A1977)*(Ввод!$G$12:$G$31&gt;=A1977))&gt;0,1,0))</f>
        <v/>
      </c>
      <c r="G1977" t="str">
        <f t="shared" si="61"/>
        <v/>
      </c>
    </row>
    <row r="1978" spans="1:7" x14ac:dyDescent="0.3">
      <c r="A1978" s="21" t="str">
        <f>IF(A1977="","",IF(A1977+1&gt;Ввод!$B$4,"",A1977+1))</f>
        <v/>
      </c>
      <c r="B1978" s="23" t="str">
        <f>IF(A1978="","",IFERROR(INDEX(Ввод!$B$12:$B$71,MATCH(A1978,Ввод!$D$12:$D$71,1)),""))</f>
        <v/>
      </c>
      <c r="C1978" t="str">
        <f t="shared" si="60"/>
        <v/>
      </c>
      <c r="D1978" t="str">
        <f>IF(A1978="","",SUMIFS(Акты!$D$5:$D$16,Акты!$E$5:$E$16,"&lt;="&amp;A1978)-SUMIFS(Оплаты!$B$6:$B$505,Оплаты!$A$6:$A$505,"&lt;"&amp;A1978,Оплаты!$D$6:$D$505,"&lt;&gt;"))</f>
        <v/>
      </c>
      <c r="E1978" t="str">
        <f>IF(A1978="","",IF(SUMPRODUCT((Ввод!$F$12:$F$31&lt;&gt;"")*(Ввод!$F$12:$F$31&lt;=A1978)*(Ввод!$G$12:$G$31&gt;=A1978))&gt;0,1,0))</f>
        <v/>
      </c>
      <c r="G1978" t="str">
        <f t="shared" si="61"/>
        <v/>
      </c>
    </row>
    <row r="1979" spans="1:7" x14ac:dyDescent="0.3">
      <c r="A1979" s="21" t="str">
        <f>IF(A1978="","",IF(A1978+1&gt;Ввод!$B$4,"",A1978+1))</f>
        <v/>
      </c>
      <c r="B1979" s="23" t="str">
        <f>IF(A1979="","",IFERROR(INDEX(Ввод!$B$12:$B$71,MATCH(A1979,Ввод!$D$12:$D$71,1)),""))</f>
        <v/>
      </c>
      <c r="C1979" t="str">
        <f t="shared" si="60"/>
        <v/>
      </c>
      <c r="D1979" t="str">
        <f>IF(A1979="","",SUMIFS(Акты!$D$5:$D$16,Акты!$E$5:$E$16,"&lt;="&amp;A1979)-SUMIFS(Оплаты!$B$6:$B$505,Оплаты!$A$6:$A$505,"&lt;"&amp;A1979,Оплаты!$D$6:$D$505,"&lt;&gt;"))</f>
        <v/>
      </c>
      <c r="E1979" t="str">
        <f>IF(A1979="","",IF(SUMPRODUCT((Ввод!$F$12:$F$31&lt;&gt;"")*(Ввод!$F$12:$F$31&lt;=A1979)*(Ввод!$G$12:$G$31&gt;=A1979))&gt;0,1,0))</f>
        <v/>
      </c>
      <c r="G1979" t="str">
        <f t="shared" si="61"/>
        <v/>
      </c>
    </row>
    <row r="1980" spans="1:7" x14ac:dyDescent="0.3">
      <c r="A1980" s="21" t="str">
        <f>IF(A1979="","",IF(A1979+1&gt;Ввод!$B$4,"",A1979+1))</f>
        <v/>
      </c>
      <c r="B1980" s="23" t="str">
        <f>IF(A1980="","",IFERROR(INDEX(Ввод!$B$12:$B$71,MATCH(A1980,Ввод!$D$12:$D$71,1)),""))</f>
        <v/>
      </c>
      <c r="C1980" t="str">
        <f t="shared" si="60"/>
        <v/>
      </c>
      <c r="D1980" t="str">
        <f>IF(A1980="","",SUMIFS(Акты!$D$5:$D$16,Акты!$E$5:$E$16,"&lt;="&amp;A1980)-SUMIFS(Оплаты!$B$6:$B$505,Оплаты!$A$6:$A$505,"&lt;"&amp;A1980,Оплаты!$D$6:$D$505,"&lt;&gt;"))</f>
        <v/>
      </c>
      <c r="E1980" t="str">
        <f>IF(A1980="","",IF(SUMPRODUCT((Ввод!$F$12:$F$31&lt;&gt;"")*(Ввод!$F$12:$F$31&lt;=A1980)*(Ввод!$G$12:$G$31&gt;=A1980))&gt;0,1,0))</f>
        <v/>
      </c>
      <c r="G1980" t="str">
        <f t="shared" si="61"/>
        <v/>
      </c>
    </row>
    <row r="1981" spans="1:7" x14ac:dyDescent="0.3">
      <c r="A1981" s="21" t="str">
        <f>IF(A1980="","",IF(A1980+1&gt;Ввод!$B$4,"",A1980+1))</f>
        <v/>
      </c>
      <c r="B1981" s="23" t="str">
        <f>IF(A1981="","",IFERROR(INDEX(Ввод!$B$12:$B$71,MATCH(A1981,Ввод!$D$12:$D$71,1)),""))</f>
        <v/>
      </c>
      <c r="C1981" t="str">
        <f t="shared" si="60"/>
        <v/>
      </c>
      <c r="D1981" t="str">
        <f>IF(A1981="","",SUMIFS(Акты!$D$5:$D$16,Акты!$E$5:$E$16,"&lt;="&amp;A1981)-SUMIFS(Оплаты!$B$6:$B$505,Оплаты!$A$6:$A$505,"&lt;"&amp;A1981,Оплаты!$D$6:$D$505,"&lt;&gt;"))</f>
        <v/>
      </c>
      <c r="E1981" t="str">
        <f>IF(A1981="","",IF(SUMPRODUCT((Ввод!$F$12:$F$31&lt;&gt;"")*(Ввод!$F$12:$F$31&lt;=A1981)*(Ввод!$G$12:$G$31&gt;=A1981))&gt;0,1,0))</f>
        <v/>
      </c>
      <c r="G1981" t="str">
        <f t="shared" si="61"/>
        <v/>
      </c>
    </row>
    <row r="1982" spans="1:7" x14ac:dyDescent="0.3">
      <c r="A1982" s="21" t="str">
        <f>IF(A1981="","",IF(A1981+1&gt;Ввод!$B$4,"",A1981+1))</f>
        <v/>
      </c>
      <c r="B1982" s="23" t="str">
        <f>IF(A1982="","",IFERROR(INDEX(Ввод!$B$12:$B$71,MATCH(A1982,Ввод!$D$12:$D$71,1)),""))</f>
        <v/>
      </c>
      <c r="C1982" t="str">
        <f t="shared" si="60"/>
        <v/>
      </c>
      <c r="D1982" t="str">
        <f>IF(A1982="","",SUMIFS(Акты!$D$5:$D$16,Акты!$E$5:$E$16,"&lt;="&amp;A1982)-SUMIFS(Оплаты!$B$6:$B$505,Оплаты!$A$6:$A$505,"&lt;"&amp;A1982,Оплаты!$D$6:$D$505,"&lt;&gt;"))</f>
        <v/>
      </c>
      <c r="E1982" t="str">
        <f>IF(A1982="","",IF(SUMPRODUCT((Ввод!$F$12:$F$31&lt;&gt;"")*(Ввод!$F$12:$F$31&lt;=A1982)*(Ввод!$G$12:$G$31&gt;=A1982))&gt;0,1,0))</f>
        <v/>
      </c>
      <c r="G1982" t="str">
        <f t="shared" si="61"/>
        <v/>
      </c>
    </row>
    <row r="1983" spans="1:7" x14ac:dyDescent="0.3">
      <c r="A1983" s="21" t="str">
        <f>IF(A1982="","",IF(A1982+1&gt;Ввод!$B$4,"",A1982+1))</f>
        <v/>
      </c>
      <c r="B1983" s="23" t="str">
        <f>IF(A1983="","",IFERROR(INDEX(Ввод!$B$12:$B$71,MATCH(A1983,Ввод!$D$12:$D$71,1)),""))</f>
        <v/>
      </c>
      <c r="C1983" t="str">
        <f t="shared" si="60"/>
        <v/>
      </c>
      <c r="D1983" t="str">
        <f>IF(A1983="","",SUMIFS(Акты!$D$5:$D$16,Акты!$E$5:$E$16,"&lt;="&amp;A1983)-SUMIFS(Оплаты!$B$6:$B$505,Оплаты!$A$6:$A$505,"&lt;"&amp;A1983,Оплаты!$D$6:$D$505,"&lt;&gt;"))</f>
        <v/>
      </c>
      <c r="E1983" t="str">
        <f>IF(A1983="","",IF(SUMPRODUCT((Ввод!$F$12:$F$31&lt;&gt;"")*(Ввод!$F$12:$F$31&lt;=A1983)*(Ввод!$G$12:$G$31&gt;=A1983))&gt;0,1,0))</f>
        <v/>
      </c>
      <c r="G1983" t="str">
        <f t="shared" si="61"/>
        <v/>
      </c>
    </row>
    <row r="1984" spans="1:7" x14ac:dyDescent="0.3">
      <c r="A1984" s="21" t="str">
        <f>IF(A1983="","",IF(A1983+1&gt;Ввод!$B$4,"",A1983+1))</f>
        <v/>
      </c>
      <c r="B1984" s="23" t="str">
        <f>IF(A1984="","",IFERROR(INDEX(Ввод!$B$12:$B$71,MATCH(A1984,Ввод!$D$12:$D$71,1)),""))</f>
        <v/>
      </c>
      <c r="C1984" t="str">
        <f t="shared" si="60"/>
        <v/>
      </c>
      <c r="D1984" t="str">
        <f>IF(A1984="","",SUMIFS(Акты!$D$5:$D$16,Акты!$E$5:$E$16,"&lt;="&amp;A1984)-SUMIFS(Оплаты!$B$6:$B$505,Оплаты!$A$6:$A$505,"&lt;"&amp;A1984,Оплаты!$D$6:$D$505,"&lt;&gt;"))</f>
        <v/>
      </c>
      <c r="E1984" t="str">
        <f>IF(A1984="","",IF(SUMPRODUCT((Ввод!$F$12:$F$31&lt;&gt;"")*(Ввод!$F$12:$F$31&lt;=A1984)*(Ввод!$G$12:$G$31&gt;=A1984))&gt;0,1,0))</f>
        <v/>
      </c>
      <c r="G1984" t="str">
        <f t="shared" si="61"/>
        <v/>
      </c>
    </row>
    <row r="1985" spans="1:7" x14ac:dyDescent="0.3">
      <c r="A1985" s="21" t="str">
        <f>IF(A1984="","",IF(A1984+1&gt;Ввод!$B$4,"",A1984+1))</f>
        <v/>
      </c>
      <c r="B1985" s="23" t="str">
        <f>IF(A1985="","",IFERROR(INDEX(Ввод!$B$12:$B$71,MATCH(A1985,Ввод!$D$12:$D$71,1)),""))</f>
        <v/>
      </c>
      <c r="C1985" t="str">
        <f t="shared" si="60"/>
        <v/>
      </c>
      <c r="D1985" t="str">
        <f>IF(A1985="","",SUMIFS(Акты!$D$5:$D$16,Акты!$E$5:$E$16,"&lt;="&amp;A1985)-SUMIFS(Оплаты!$B$6:$B$505,Оплаты!$A$6:$A$505,"&lt;"&amp;A1985,Оплаты!$D$6:$D$505,"&lt;&gt;"))</f>
        <v/>
      </c>
      <c r="E1985" t="str">
        <f>IF(A1985="","",IF(SUMPRODUCT((Ввод!$F$12:$F$31&lt;&gt;"")*(Ввод!$F$12:$F$31&lt;=A1985)*(Ввод!$G$12:$G$31&gt;=A1985))&gt;0,1,0))</f>
        <v/>
      </c>
      <c r="G1985" t="str">
        <f t="shared" si="61"/>
        <v/>
      </c>
    </row>
    <row r="1986" spans="1:7" x14ac:dyDescent="0.3">
      <c r="A1986" s="21" t="str">
        <f>IF(A1985="","",IF(A1985+1&gt;Ввод!$B$4,"",A1985+1))</f>
        <v/>
      </c>
      <c r="B1986" s="23" t="str">
        <f>IF(A1986="","",IFERROR(INDEX(Ввод!$B$12:$B$71,MATCH(A1986,Ввод!$D$12:$D$71,1)),""))</f>
        <v/>
      </c>
      <c r="C1986" t="str">
        <f t="shared" ref="C1986:C2049" si="62">IF(A1986="","",DATE(YEAR(A1986),12,31)-DATE(YEAR(A1986),1,1)+1)</f>
        <v/>
      </c>
      <c r="D1986" t="str">
        <f>IF(A1986="","",SUMIFS(Акты!$D$5:$D$16,Акты!$E$5:$E$16,"&lt;="&amp;A1986)-SUMIFS(Оплаты!$B$6:$B$505,Оплаты!$A$6:$A$505,"&lt;"&amp;A1986,Оплаты!$D$6:$D$505,"&lt;&gt;"))</f>
        <v/>
      </c>
      <c r="E1986" t="str">
        <f>IF(A1986="","",IF(SUMPRODUCT((Ввод!$F$12:$F$31&lt;&gt;"")*(Ввод!$F$12:$F$31&lt;=A1986)*(Ввод!$G$12:$G$31&gt;=A1986))&gt;0,1,0))</f>
        <v/>
      </c>
      <c r="G1986" t="str">
        <f t="shared" si="61"/>
        <v/>
      </c>
    </row>
    <row r="1987" spans="1:7" x14ac:dyDescent="0.3">
      <c r="A1987" s="21" t="str">
        <f>IF(A1986="","",IF(A1986+1&gt;Ввод!$B$4,"",A1986+1))</f>
        <v/>
      </c>
      <c r="B1987" s="23" t="str">
        <f>IF(A1987="","",IFERROR(INDEX(Ввод!$B$12:$B$71,MATCH(A1987,Ввод!$D$12:$D$71,1)),""))</f>
        <v/>
      </c>
      <c r="C1987" t="str">
        <f t="shared" si="62"/>
        <v/>
      </c>
      <c r="D1987" t="str">
        <f>IF(A1987="","",SUMIFS(Акты!$D$5:$D$16,Акты!$E$5:$E$16,"&lt;="&amp;A1987)-SUMIFS(Оплаты!$B$6:$B$505,Оплаты!$A$6:$A$505,"&lt;"&amp;A1987,Оплаты!$D$6:$D$505,"&lt;&gt;"))</f>
        <v/>
      </c>
      <c r="E1987" t="str">
        <f>IF(A1987="","",IF(SUMPRODUCT((Ввод!$F$12:$F$31&lt;&gt;"")*(Ввод!$F$12:$F$31&lt;=A1987)*(Ввод!$G$12:$G$31&gt;=A1987))&gt;0,1,0))</f>
        <v/>
      </c>
      <c r="G1987" t="str">
        <f t="shared" ref="G1987:G2050" si="63">IF(A1987="","",IF(OR(B1987&lt;&gt;B1986,C1987&lt;&gt;C1986,E1987&lt;&gt;E1986),G1986+1,G1986))</f>
        <v/>
      </c>
    </row>
    <row r="1988" spans="1:7" x14ac:dyDescent="0.3">
      <c r="A1988" s="21" t="str">
        <f>IF(A1987="","",IF(A1987+1&gt;Ввод!$B$4,"",A1987+1))</f>
        <v/>
      </c>
      <c r="B1988" s="23" t="str">
        <f>IF(A1988="","",IFERROR(INDEX(Ввод!$B$12:$B$71,MATCH(A1988,Ввод!$D$12:$D$71,1)),""))</f>
        <v/>
      </c>
      <c r="C1988" t="str">
        <f t="shared" si="62"/>
        <v/>
      </c>
      <c r="D1988" t="str">
        <f>IF(A1988="","",SUMIFS(Акты!$D$5:$D$16,Акты!$E$5:$E$16,"&lt;="&amp;A1988)-SUMIFS(Оплаты!$B$6:$B$505,Оплаты!$A$6:$A$505,"&lt;"&amp;A1988,Оплаты!$D$6:$D$505,"&lt;&gt;"))</f>
        <v/>
      </c>
      <c r="E1988" t="str">
        <f>IF(A1988="","",IF(SUMPRODUCT((Ввод!$F$12:$F$31&lt;&gt;"")*(Ввод!$F$12:$F$31&lt;=A1988)*(Ввод!$G$12:$G$31&gt;=A1988))&gt;0,1,0))</f>
        <v/>
      </c>
      <c r="G1988" t="str">
        <f t="shared" si="63"/>
        <v/>
      </c>
    </row>
    <row r="1989" spans="1:7" x14ac:dyDescent="0.3">
      <c r="A1989" s="21" t="str">
        <f>IF(A1988="","",IF(A1988+1&gt;Ввод!$B$4,"",A1988+1))</f>
        <v/>
      </c>
      <c r="B1989" s="23" t="str">
        <f>IF(A1989="","",IFERROR(INDEX(Ввод!$B$12:$B$71,MATCH(A1989,Ввод!$D$12:$D$71,1)),""))</f>
        <v/>
      </c>
      <c r="C1989" t="str">
        <f t="shared" si="62"/>
        <v/>
      </c>
      <c r="D1989" t="str">
        <f>IF(A1989="","",SUMIFS(Акты!$D$5:$D$16,Акты!$E$5:$E$16,"&lt;="&amp;A1989)-SUMIFS(Оплаты!$B$6:$B$505,Оплаты!$A$6:$A$505,"&lt;"&amp;A1989,Оплаты!$D$6:$D$505,"&lt;&gt;"))</f>
        <v/>
      </c>
      <c r="E1989" t="str">
        <f>IF(A1989="","",IF(SUMPRODUCT((Ввод!$F$12:$F$31&lt;&gt;"")*(Ввод!$F$12:$F$31&lt;=A1989)*(Ввод!$G$12:$G$31&gt;=A1989))&gt;0,1,0))</f>
        <v/>
      </c>
      <c r="G1989" t="str">
        <f t="shared" si="63"/>
        <v/>
      </c>
    </row>
    <row r="1990" spans="1:7" x14ac:dyDescent="0.3">
      <c r="A1990" s="21" t="str">
        <f>IF(A1989="","",IF(A1989+1&gt;Ввод!$B$4,"",A1989+1))</f>
        <v/>
      </c>
      <c r="B1990" s="23" t="str">
        <f>IF(A1990="","",IFERROR(INDEX(Ввод!$B$12:$B$71,MATCH(A1990,Ввод!$D$12:$D$71,1)),""))</f>
        <v/>
      </c>
      <c r="C1990" t="str">
        <f t="shared" si="62"/>
        <v/>
      </c>
      <c r="D1990" t="str">
        <f>IF(A1990="","",SUMIFS(Акты!$D$5:$D$16,Акты!$E$5:$E$16,"&lt;="&amp;A1990)-SUMIFS(Оплаты!$B$6:$B$505,Оплаты!$A$6:$A$505,"&lt;"&amp;A1990,Оплаты!$D$6:$D$505,"&lt;&gt;"))</f>
        <v/>
      </c>
      <c r="E1990" t="str">
        <f>IF(A1990="","",IF(SUMPRODUCT((Ввод!$F$12:$F$31&lt;&gt;"")*(Ввод!$F$12:$F$31&lt;=A1990)*(Ввод!$G$12:$G$31&gt;=A1990))&gt;0,1,0))</f>
        <v/>
      </c>
      <c r="G1990" t="str">
        <f t="shared" si="63"/>
        <v/>
      </c>
    </row>
    <row r="1991" spans="1:7" x14ac:dyDescent="0.3">
      <c r="A1991" s="21" t="str">
        <f>IF(A1990="","",IF(A1990+1&gt;Ввод!$B$4,"",A1990+1))</f>
        <v/>
      </c>
      <c r="B1991" s="23" t="str">
        <f>IF(A1991="","",IFERROR(INDEX(Ввод!$B$12:$B$71,MATCH(A1991,Ввод!$D$12:$D$71,1)),""))</f>
        <v/>
      </c>
      <c r="C1991" t="str">
        <f t="shared" si="62"/>
        <v/>
      </c>
      <c r="D1991" t="str">
        <f>IF(A1991="","",SUMIFS(Акты!$D$5:$D$16,Акты!$E$5:$E$16,"&lt;="&amp;A1991)-SUMIFS(Оплаты!$B$6:$B$505,Оплаты!$A$6:$A$505,"&lt;"&amp;A1991,Оплаты!$D$6:$D$505,"&lt;&gt;"))</f>
        <v/>
      </c>
      <c r="E1991" t="str">
        <f>IF(A1991="","",IF(SUMPRODUCT((Ввод!$F$12:$F$31&lt;&gt;"")*(Ввод!$F$12:$F$31&lt;=A1991)*(Ввод!$G$12:$G$31&gt;=A1991))&gt;0,1,0))</f>
        <v/>
      </c>
      <c r="G1991" t="str">
        <f t="shared" si="63"/>
        <v/>
      </c>
    </row>
    <row r="1992" spans="1:7" x14ac:dyDescent="0.3">
      <c r="A1992" s="21" t="str">
        <f>IF(A1991="","",IF(A1991+1&gt;Ввод!$B$4,"",A1991+1))</f>
        <v/>
      </c>
      <c r="B1992" s="23" t="str">
        <f>IF(A1992="","",IFERROR(INDEX(Ввод!$B$12:$B$71,MATCH(A1992,Ввод!$D$12:$D$71,1)),""))</f>
        <v/>
      </c>
      <c r="C1992" t="str">
        <f t="shared" si="62"/>
        <v/>
      </c>
      <c r="D1992" t="str">
        <f>IF(A1992="","",SUMIFS(Акты!$D$5:$D$16,Акты!$E$5:$E$16,"&lt;="&amp;A1992)-SUMIFS(Оплаты!$B$6:$B$505,Оплаты!$A$6:$A$505,"&lt;"&amp;A1992,Оплаты!$D$6:$D$505,"&lt;&gt;"))</f>
        <v/>
      </c>
      <c r="E1992" t="str">
        <f>IF(A1992="","",IF(SUMPRODUCT((Ввод!$F$12:$F$31&lt;&gt;"")*(Ввод!$F$12:$F$31&lt;=A1992)*(Ввод!$G$12:$G$31&gt;=A1992))&gt;0,1,0))</f>
        <v/>
      </c>
      <c r="G1992" t="str">
        <f t="shared" si="63"/>
        <v/>
      </c>
    </row>
    <row r="1993" spans="1:7" x14ac:dyDescent="0.3">
      <c r="A1993" s="21" t="str">
        <f>IF(A1992="","",IF(A1992+1&gt;Ввод!$B$4,"",A1992+1))</f>
        <v/>
      </c>
      <c r="B1993" s="23" t="str">
        <f>IF(A1993="","",IFERROR(INDEX(Ввод!$B$12:$B$71,MATCH(A1993,Ввод!$D$12:$D$71,1)),""))</f>
        <v/>
      </c>
      <c r="C1993" t="str">
        <f t="shared" si="62"/>
        <v/>
      </c>
      <c r="D1993" t="str">
        <f>IF(A1993="","",SUMIFS(Акты!$D$5:$D$16,Акты!$E$5:$E$16,"&lt;="&amp;A1993)-SUMIFS(Оплаты!$B$6:$B$505,Оплаты!$A$6:$A$505,"&lt;"&amp;A1993,Оплаты!$D$6:$D$505,"&lt;&gt;"))</f>
        <v/>
      </c>
      <c r="E1993" t="str">
        <f>IF(A1993="","",IF(SUMPRODUCT((Ввод!$F$12:$F$31&lt;&gt;"")*(Ввод!$F$12:$F$31&lt;=A1993)*(Ввод!$G$12:$G$31&gt;=A1993))&gt;0,1,0))</f>
        <v/>
      </c>
      <c r="G1993" t="str">
        <f t="shared" si="63"/>
        <v/>
      </c>
    </row>
    <row r="1994" spans="1:7" x14ac:dyDescent="0.3">
      <c r="A1994" s="21" t="str">
        <f>IF(A1993="","",IF(A1993+1&gt;Ввод!$B$4,"",A1993+1))</f>
        <v/>
      </c>
      <c r="B1994" s="23" t="str">
        <f>IF(A1994="","",IFERROR(INDEX(Ввод!$B$12:$B$71,MATCH(A1994,Ввод!$D$12:$D$71,1)),""))</f>
        <v/>
      </c>
      <c r="C1994" t="str">
        <f t="shared" si="62"/>
        <v/>
      </c>
      <c r="D1994" t="str">
        <f>IF(A1994="","",SUMIFS(Акты!$D$5:$D$16,Акты!$E$5:$E$16,"&lt;="&amp;A1994)-SUMIFS(Оплаты!$B$6:$B$505,Оплаты!$A$6:$A$505,"&lt;"&amp;A1994,Оплаты!$D$6:$D$505,"&lt;&gt;"))</f>
        <v/>
      </c>
      <c r="E1994" t="str">
        <f>IF(A1994="","",IF(SUMPRODUCT((Ввод!$F$12:$F$31&lt;&gt;"")*(Ввод!$F$12:$F$31&lt;=A1994)*(Ввод!$G$12:$G$31&gt;=A1994))&gt;0,1,0))</f>
        <v/>
      </c>
      <c r="G1994" t="str">
        <f t="shared" si="63"/>
        <v/>
      </c>
    </row>
    <row r="1995" spans="1:7" x14ac:dyDescent="0.3">
      <c r="A1995" s="21" t="str">
        <f>IF(A1994="","",IF(A1994+1&gt;Ввод!$B$4,"",A1994+1))</f>
        <v/>
      </c>
      <c r="B1995" s="23" t="str">
        <f>IF(A1995="","",IFERROR(INDEX(Ввод!$B$12:$B$71,MATCH(A1995,Ввод!$D$12:$D$71,1)),""))</f>
        <v/>
      </c>
      <c r="C1995" t="str">
        <f t="shared" si="62"/>
        <v/>
      </c>
      <c r="D1995" t="str">
        <f>IF(A1995="","",SUMIFS(Акты!$D$5:$D$16,Акты!$E$5:$E$16,"&lt;="&amp;A1995)-SUMIFS(Оплаты!$B$6:$B$505,Оплаты!$A$6:$A$505,"&lt;"&amp;A1995,Оплаты!$D$6:$D$505,"&lt;&gt;"))</f>
        <v/>
      </c>
      <c r="E1995" t="str">
        <f>IF(A1995="","",IF(SUMPRODUCT((Ввод!$F$12:$F$31&lt;&gt;"")*(Ввод!$F$12:$F$31&lt;=A1995)*(Ввод!$G$12:$G$31&gt;=A1995))&gt;0,1,0))</f>
        <v/>
      </c>
      <c r="G1995" t="str">
        <f t="shared" si="63"/>
        <v/>
      </c>
    </row>
    <row r="1996" spans="1:7" x14ac:dyDescent="0.3">
      <c r="A1996" s="21" t="str">
        <f>IF(A1995="","",IF(A1995+1&gt;Ввод!$B$4,"",A1995+1))</f>
        <v/>
      </c>
      <c r="B1996" s="23" t="str">
        <f>IF(A1996="","",IFERROR(INDEX(Ввод!$B$12:$B$71,MATCH(A1996,Ввод!$D$12:$D$71,1)),""))</f>
        <v/>
      </c>
      <c r="C1996" t="str">
        <f t="shared" si="62"/>
        <v/>
      </c>
      <c r="D1996" t="str">
        <f>IF(A1996="","",SUMIFS(Акты!$D$5:$D$16,Акты!$E$5:$E$16,"&lt;="&amp;A1996)-SUMIFS(Оплаты!$B$6:$B$505,Оплаты!$A$6:$A$505,"&lt;"&amp;A1996,Оплаты!$D$6:$D$505,"&lt;&gt;"))</f>
        <v/>
      </c>
      <c r="E1996" t="str">
        <f>IF(A1996="","",IF(SUMPRODUCT((Ввод!$F$12:$F$31&lt;&gt;"")*(Ввод!$F$12:$F$31&lt;=A1996)*(Ввод!$G$12:$G$31&gt;=A1996))&gt;0,1,0))</f>
        <v/>
      </c>
      <c r="G1996" t="str">
        <f t="shared" si="63"/>
        <v/>
      </c>
    </row>
    <row r="1997" spans="1:7" x14ac:dyDescent="0.3">
      <c r="A1997" s="21" t="str">
        <f>IF(A1996="","",IF(A1996+1&gt;Ввод!$B$4,"",A1996+1))</f>
        <v/>
      </c>
      <c r="B1997" s="23" t="str">
        <f>IF(A1997="","",IFERROR(INDEX(Ввод!$B$12:$B$71,MATCH(A1997,Ввод!$D$12:$D$71,1)),""))</f>
        <v/>
      </c>
      <c r="C1997" t="str">
        <f t="shared" si="62"/>
        <v/>
      </c>
      <c r="D1997" t="str">
        <f>IF(A1997="","",SUMIFS(Акты!$D$5:$D$16,Акты!$E$5:$E$16,"&lt;="&amp;A1997)-SUMIFS(Оплаты!$B$6:$B$505,Оплаты!$A$6:$A$505,"&lt;"&amp;A1997,Оплаты!$D$6:$D$505,"&lt;&gt;"))</f>
        <v/>
      </c>
      <c r="E1997" t="str">
        <f>IF(A1997="","",IF(SUMPRODUCT((Ввод!$F$12:$F$31&lt;&gt;"")*(Ввод!$F$12:$F$31&lt;=A1997)*(Ввод!$G$12:$G$31&gt;=A1997))&gt;0,1,0))</f>
        <v/>
      </c>
      <c r="G1997" t="str">
        <f t="shared" si="63"/>
        <v/>
      </c>
    </row>
    <row r="1998" spans="1:7" x14ac:dyDescent="0.3">
      <c r="A1998" s="21" t="str">
        <f>IF(A1997="","",IF(A1997+1&gt;Ввод!$B$4,"",A1997+1))</f>
        <v/>
      </c>
      <c r="B1998" s="23" t="str">
        <f>IF(A1998="","",IFERROR(INDEX(Ввод!$B$12:$B$71,MATCH(A1998,Ввод!$D$12:$D$71,1)),""))</f>
        <v/>
      </c>
      <c r="C1998" t="str">
        <f t="shared" si="62"/>
        <v/>
      </c>
      <c r="D1998" t="str">
        <f>IF(A1998="","",SUMIFS(Акты!$D$5:$D$16,Акты!$E$5:$E$16,"&lt;="&amp;A1998)-SUMIFS(Оплаты!$B$6:$B$505,Оплаты!$A$6:$A$505,"&lt;"&amp;A1998,Оплаты!$D$6:$D$505,"&lt;&gt;"))</f>
        <v/>
      </c>
      <c r="E1998" t="str">
        <f>IF(A1998="","",IF(SUMPRODUCT((Ввод!$F$12:$F$31&lt;&gt;"")*(Ввод!$F$12:$F$31&lt;=A1998)*(Ввод!$G$12:$G$31&gt;=A1998))&gt;0,1,0))</f>
        <v/>
      </c>
      <c r="G1998" t="str">
        <f t="shared" si="63"/>
        <v/>
      </c>
    </row>
    <row r="1999" spans="1:7" x14ac:dyDescent="0.3">
      <c r="A1999" s="21" t="str">
        <f>IF(A1998="","",IF(A1998+1&gt;Ввод!$B$4,"",A1998+1))</f>
        <v/>
      </c>
      <c r="B1999" s="23" t="str">
        <f>IF(A1999="","",IFERROR(INDEX(Ввод!$B$12:$B$71,MATCH(A1999,Ввод!$D$12:$D$71,1)),""))</f>
        <v/>
      </c>
      <c r="C1999" t="str">
        <f t="shared" si="62"/>
        <v/>
      </c>
      <c r="D1999" t="str">
        <f>IF(A1999="","",SUMIFS(Акты!$D$5:$D$16,Акты!$E$5:$E$16,"&lt;="&amp;A1999)-SUMIFS(Оплаты!$B$6:$B$505,Оплаты!$A$6:$A$505,"&lt;"&amp;A1999,Оплаты!$D$6:$D$505,"&lt;&gt;"))</f>
        <v/>
      </c>
      <c r="E1999" t="str">
        <f>IF(A1999="","",IF(SUMPRODUCT((Ввод!$F$12:$F$31&lt;&gt;"")*(Ввод!$F$12:$F$31&lt;=A1999)*(Ввод!$G$12:$G$31&gt;=A1999))&gt;0,1,0))</f>
        <v/>
      </c>
      <c r="G1999" t="str">
        <f t="shared" si="63"/>
        <v/>
      </c>
    </row>
    <row r="2000" spans="1:7" x14ac:dyDescent="0.3">
      <c r="A2000" s="21" t="str">
        <f>IF(A1999="","",IF(A1999+1&gt;Ввод!$B$4,"",A1999+1))</f>
        <v/>
      </c>
      <c r="B2000" s="23" t="str">
        <f>IF(A2000="","",IFERROR(INDEX(Ввод!$B$12:$B$71,MATCH(A2000,Ввод!$D$12:$D$71,1)),""))</f>
        <v/>
      </c>
      <c r="C2000" t="str">
        <f t="shared" si="62"/>
        <v/>
      </c>
      <c r="D2000" t="str">
        <f>IF(A2000="","",SUMIFS(Акты!$D$5:$D$16,Акты!$E$5:$E$16,"&lt;="&amp;A2000)-SUMIFS(Оплаты!$B$6:$B$505,Оплаты!$A$6:$A$505,"&lt;"&amp;A2000,Оплаты!$D$6:$D$505,"&lt;&gt;"))</f>
        <v/>
      </c>
      <c r="E2000" t="str">
        <f>IF(A2000="","",IF(SUMPRODUCT((Ввод!$F$12:$F$31&lt;&gt;"")*(Ввод!$F$12:$F$31&lt;=A2000)*(Ввод!$G$12:$G$31&gt;=A2000))&gt;0,1,0))</f>
        <v/>
      </c>
      <c r="G2000" t="str">
        <f t="shared" si="63"/>
        <v/>
      </c>
    </row>
    <row r="2001" spans="1:7" x14ac:dyDescent="0.3">
      <c r="A2001" s="21" t="str">
        <f>IF(A2000="","",IF(A2000+1&gt;Ввод!$B$4,"",A2000+1))</f>
        <v/>
      </c>
      <c r="B2001" s="23" t="str">
        <f>IF(A2001="","",IFERROR(INDEX(Ввод!$B$12:$B$71,MATCH(A2001,Ввод!$D$12:$D$71,1)),""))</f>
        <v/>
      </c>
      <c r="C2001" t="str">
        <f t="shared" si="62"/>
        <v/>
      </c>
      <c r="D2001" t="str">
        <f>IF(A2001="","",SUMIFS(Акты!$D$5:$D$16,Акты!$E$5:$E$16,"&lt;="&amp;A2001)-SUMIFS(Оплаты!$B$6:$B$505,Оплаты!$A$6:$A$505,"&lt;"&amp;A2001,Оплаты!$D$6:$D$505,"&lt;&gt;"))</f>
        <v/>
      </c>
      <c r="E2001" t="str">
        <f>IF(A2001="","",IF(SUMPRODUCT((Ввод!$F$12:$F$31&lt;&gt;"")*(Ввод!$F$12:$F$31&lt;=A2001)*(Ввод!$G$12:$G$31&gt;=A2001))&gt;0,1,0))</f>
        <v/>
      </c>
      <c r="G2001" t="str">
        <f t="shared" si="63"/>
        <v/>
      </c>
    </row>
    <row r="2002" spans="1:7" x14ac:dyDescent="0.3">
      <c r="A2002" s="21" t="str">
        <f>IF(A2001="","",IF(A2001+1&gt;Ввод!$B$4,"",A2001+1))</f>
        <v/>
      </c>
      <c r="B2002" s="23" t="str">
        <f>IF(A2002="","",IFERROR(INDEX(Ввод!$B$12:$B$71,MATCH(A2002,Ввод!$D$12:$D$71,1)),""))</f>
        <v/>
      </c>
      <c r="C2002" t="str">
        <f t="shared" si="62"/>
        <v/>
      </c>
      <c r="D2002" t="str">
        <f>IF(A2002="","",SUMIFS(Акты!$D$5:$D$16,Акты!$E$5:$E$16,"&lt;="&amp;A2002)-SUMIFS(Оплаты!$B$6:$B$505,Оплаты!$A$6:$A$505,"&lt;"&amp;A2002,Оплаты!$D$6:$D$505,"&lt;&gt;"))</f>
        <v/>
      </c>
      <c r="E2002" t="str">
        <f>IF(A2002="","",IF(SUMPRODUCT((Ввод!$F$12:$F$31&lt;&gt;"")*(Ввод!$F$12:$F$31&lt;=A2002)*(Ввод!$G$12:$G$31&gt;=A2002))&gt;0,1,0))</f>
        <v/>
      </c>
      <c r="G2002" t="str">
        <f t="shared" si="63"/>
        <v/>
      </c>
    </row>
    <row r="2003" spans="1:7" x14ac:dyDescent="0.3">
      <c r="A2003" s="21" t="str">
        <f>IF(A2002="","",IF(A2002+1&gt;Ввод!$B$4,"",A2002+1))</f>
        <v/>
      </c>
      <c r="B2003" s="23" t="str">
        <f>IF(A2003="","",IFERROR(INDEX(Ввод!$B$12:$B$71,MATCH(A2003,Ввод!$D$12:$D$71,1)),""))</f>
        <v/>
      </c>
      <c r="C2003" t="str">
        <f t="shared" si="62"/>
        <v/>
      </c>
      <c r="D2003" t="str">
        <f>IF(A2003="","",SUMIFS(Акты!$D$5:$D$16,Акты!$E$5:$E$16,"&lt;="&amp;A2003)-SUMIFS(Оплаты!$B$6:$B$505,Оплаты!$A$6:$A$505,"&lt;"&amp;A2003,Оплаты!$D$6:$D$505,"&lt;&gt;"))</f>
        <v/>
      </c>
      <c r="E2003" t="str">
        <f>IF(A2003="","",IF(SUMPRODUCT((Ввод!$F$12:$F$31&lt;&gt;"")*(Ввод!$F$12:$F$31&lt;=A2003)*(Ввод!$G$12:$G$31&gt;=A2003))&gt;0,1,0))</f>
        <v/>
      </c>
      <c r="G2003" t="str">
        <f t="shared" si="63"/>
        <v/>
      </c>
    </row>
    <row r="2004" spans="1:7" x14ac:dyDescent="0.3">
      <c r="A2004" s="21" t="str">
        <f>IF(A2003="","",IF(A2003+1&gt;Ввод!$B$4,"",A2003+1))</f>
        <v/>
      </c>
      <c r="B2004" s="23" t="str">
        <f>IF(A2004="","",IFERROR(INDEX(Ввод!$B$12:$B$71,MATCH(A2004,Ввод!$D$12:$D$71,1)),""))</f>
        <v/>
      </c>
      <c r="C2004" t="str">
        <f t="shared" si="62"/>
        <v/>
      </c>
      <c r="D2004" t="str">
        <f>IF(A2004="","",SUMIFS(Акты!$D$5:$D$16,Акты!$E$5:$E$16,"&lt;="&amp;A2004)-SUMIFS(Оплаты!$B$6:$B$505,Оплаты!$A$6:$A$505,"&lt;"&amp;A2004,Оплаты!$D$6:$D$505,"&lt;&gt;"))</f>
        <v/>
      </c>
      <c r="E2004" t="str">
        <f>IF(A2004="","",IF(SUMPRODUCT((Ввод!$F$12:$F$31&lt;&gt;"")*(Ввод!$F$12:$F$31&lt;=A2004)*(Ввод!$G$12:$G$31&gt;=A2004))&gt;0,1,0))</f>
        <v/>
      </c>
      <c r="G2004" t="str">
        <f t="shared" si="63"/>
        <v/>
      </c>
    </row>
    <row r="2005" spans="1:7" x14ac:dyDescent="0.3">
      <c r="A2005" s="21" t="str">
        <f>IF(A2004="","",IF(A2004+1&gt;Ввод!$B$4,"",A2004+1))</f>
        <v/>
      </c>
      <c r="B2005" s="23" t="str">
        <f>IF(A2005="","",IFERROR(INDEX(Ввод!$B$12:$B$71,MATCH(A2005,Ввод!$D$12:$D$71,1)),""))</f>
        <v/>
      </c>
      <c r="C2005" t="str">
        <f t="shared" si="62"/>
        <v/>
      </c>
      <c r="D2005" t="str">
        <f>IF(A2005="","",SUMIFS(Акты!$D$5:$D$16,Акты!$E$5:$E$16,"&lt;="&amp;A2005)-SUMIFS(Оплаты!$B$6:$B$505,Оплаты!$A$6:$A$505,"&lt;"&amp;A2005,Оплаты!$D$6:$D$505,"&lt;&gt;"))</f>
        <v/>
      </c>
      <c r="E2005" t="str">
        <f>IF(A2005="","",IF(SUMPRODUCT((Ввод!$F$12:$F$31&lt;&gt;"")*(Ввод!$F$12:$F$31&lt;=A2005)*(Ввод!$G$12:$G$31&gt;=A2005))&gt;0,1,0))</f>
        <v/>
      </c>
      <c r="G2005" t="str">
        <f t="shared" si="63"/>
        <v/>
      </c>
    </row>
    <row r="2006" spans="1:7" x14ac:dyDescent="0.3">
      <c r="A2006" s="21" t="str">
        <f>IF(A2005="","",IF(A2005+1&gt;Ввод!$B$4,"",A2005+1))</f>
        <v/>
      </c>
      <c r="B2006" s="23" t="str">
        <f>IF(A2006="","",IFERROR(INDEX(Ввод!$B$12:$B$71,MATCH(A2006,Ввод!$D$12:$D$71,1)),""))</f>
        <v/>
      </c>
      <c r="C2006" t="str">
        <f t="shared" si="62"/>
        <v/>
      </c>
      <c r="D2006" t="str">
        <f>IF(A2006="","",SUMIFS(Акты!$D$5:$D$16,Акты!$E$5:$E$16,"&lt;="&amp;A2006)-SUMIFS(Оплаты!$B$6:$B$505,Оплаты!$A$6:$A$505,"&lt;"&amp;A2006,Оплаты!$D$6:$D$505,"&lt;&gt;"))</f>
        <v/>
      </c>
      <c r="E2006" t="str">
        <f>IF(A2006="","",IF(SUMPRODUCT((Ввод!$F$12:$F$31&lt;&gt;"")*(Ввод!$F$12:$F$31&lt;=A2006)*(Ввод!$G$12:$G$31&gt;=A2006))&gt;0,1,0))</f>
        <v/>
      </c>
      <c r="G2006" t="str">
        <f t="shared" si="63"/>
        <v/>
      </c>
    </row>
    <row r="2007" spans="1:7" x14ac:dyDescent="0.3">
      <c r="A2007" s="21" t="str">
        <f>IF(A2006="","",IF(A2006+1&gt;Ввод!$B$4,"",A2006+1))</f>
        <v/>
      </c>
      <c r="B2007" s="23" t="str">
        <f>IF(A2007="","",IFERROR(INDEX(Ввод!$B$12:$B$71,MATCH(A2007,Ввод!$D$12:$D$71,1)),""))</f>
        <v/>
      </c>
      <c r="C2007" t="str">
        <f t="shared" si="62"/>
        <v/>
      </c>
      <c r="D2007" t="str">
        <f>IF(A2007="","",SUMIFS(Акты!$D$5:$D$16,Акты!$E$5:$E$16,"&lt;="&amp;A2007)-SUMIFS(Оплаты!$B$6:$B$505,Оплаты!$A$6:$A$505,"&lt;"&amp;A2007,Оплаты!$D$6:$D$505,"&lt;&gt;"))</f>
        <v/>
      </c>
      <c r="E2007" t="str">
        <f>IF(A2007="","",IF(SUMPRODUCT((Ввод!$F$12:$F$31&lt;&gt;"")*(Ввод!$F$12:$F$31&lt;=A2007)*(Ввод!$G$12:$G$31&gt;=A2007))&gt;0,1,0))</f>
        <v/>
      </c>
      <c r="G2007" t="str">
        <f t="shared" si="63"/>
        <v/>
      </c>
    </row>
    <row r="2008" spans="1:7" x14ac:dyDescent="0.3">
      <c r="A2008" s="21" t="str">
        <f>IF(A2007="","",IF(A2007+1&gt;Ввод!$B$4,"",A2007+1))</f>
        <v/>
      </c>
      <c r="B2008" s="23" t="str">
        <f>IF(A2008="","",IFERROR(INDEX(Ввод!$B$12:$B$71,MATCH(A2008,Ввод!$D$12:$D$71,1)),""))</f>
        <v/>
      </c>
      <c r="C2008" t="str">
        <f t="shared" si="62"/>
        <v/>
      </c>
      <c r="D2008" t="str">
        <f>IF(A2008="","",SUMIFS(Акты!$D$5:$D$16,Акты!$E$5:$E$16,"&lt;="&amp;A2008)-SUMIFS(Оплаты!$B$6:$B$505,Оплаты!$A$6:$A$505,"&lt;"&amp;A2008,Оплаты!$D$6:$D$505,"&lt;&gt;"))</f>
        <v/>
      </c>
      <c r="E2008" t="str">
        <f>IF(A2008="","",IF(SUMPRODUCT((Ввод!$F$12:$F$31&lt;&gt;"")*(Ввод!$F$12:$F$31&lt;=A2008)*(Ввод!$G$12:$G$31&gt;=A2008))&gt;0,1,0))</f>
        <v/>
      </c>
      <c r="G2008" t="str">
        <f t="shared" si="63"/>
        <v/>
      </c>
    </row>
    <row r="2009" spans="1:7" x14ac:dyDescent="0.3">
      <c r="A2009" s="21" t="str">
        <f>IF(A2008="","",IF(A2008+1&gt;Ввод!$B$4,"",A2008+1))</f>
        <v/>
      </c>
      <c r="B2009" s="23" t="str">
        <f>IF(A2009="","",IFERROR(INDEX(Ввод!$B$12:$B$71,MATCH(A2009,Ввод!$D$12:$D$71,1)),""))</f>
        <v/>
      </c>
      <c r="C2009" t="str">
        <f t="shared" si="62"/>
        <v/>
      </c>
      <c r="D2009" t="str">
        <f>IF(A2009="","",SUMIFS(Акты!$D$5:$D$16,Акты!$E$5:$E$16,"&lt;="&amp;A2009)-SUMIFS(Оплаты!$B$6:$B$505,Оплаты!$A$6:$A$505,"&lt;"&amp;A2009,Оплаты!$D$6:$D$505,"&lt;&gt;"))</f>
        <v/>
      </c>
      <c r="E2009" t="str">
        <f>IF(A2009="","",IF(SUMPRODUCT((Ввод!$F$12:$F$31&lt;&gt;"")*(Ввод!$F$12:$F$31&lt;=A2009)*(Ввод!$G$12:$G$31&gt;=A2009))&gt;0,1,0))</f>
        <v/>
      </c>
      <c r="G2009" t="str">
        <f t="shared" si="63"/>
        <v/>
      </c>
    </row>
    <row r="2010" spans="1:7" x14ac:dyDescent="0.3">
      <c r="A2010" s="21" t="str">
        <f>IF(A2009="","",IF(A2009+1&gt;Ввод!$B$4,"",A2009+1))</f>
        <v/>
      </c>
      <c r="B2010" s="23" t="str">
        <f>IF(A2010="","",IFERROR(INDEX(Ввод!$B$12:$B$71,MATCH(A2010,Ввод!$D$12:$D$71,1)),""))</f>
        <v/>
      </c>
      <c r="C2010" t="str">
        <f t="shared" si="62"/>
        <v/>
      </c>
      <c r="D2010" t="str">
        <f>IF(A2010="","",SUMIFS(Акты!$D$5:$D$16,Акты!$E$5:$E$16,"&lt;="&amp;A2010)-SUMIFS(Оплаты!$B$6:$B$505,Оплаты!$A$6:$A$505,"&lt;"&amp;A2010,Оплаты!$D$6:$D$505,"&lt;&gt;"))</f>
        <v/>
      </c>
      <c r="E2010" t="str">
        <f>IF(A2010="","",IF(SUMPRODUCT((Ввод!$F$12:$F$31&lt;&gt;"")*(Ввод!$F$12:$F$31&lt;=A2010)*(Ввод!$G$12:$G$31&gt;=A2010))&gt;0,1,0))</f>
        <v/>
      </c>
      <c r="G2010" t="str">
        <f t="shared" si="63"/>
        <v/>
      </c>
    </row>
    <row r="2011" spans="1:7" x14ac:dyDescent="0.3">
      <c r="A2011" s="21" t="str">
        <f>IF(A2010="","",IF(A2010+1&gt;Ввод!$B$4,"",A2010+1))</f>
        <v/>
      </c>
      <c r="B2011" s="23" t="str">
        <f>IF(A2011="","",IFERROR(INDEX(Ввод!$B$12:$B$71,MATCH(A2011,Ввод!$D$12:$D$71,1)),""))</f>
        <v/>
      </c>
      <c r="C2011" t="str">
        <f t="shared" si="62"/>
        <v/>
      </c>
      <c r="D2011" t="str">
        <f>IF(A2011="","",SUMIFS(Акты!$D$5:$D$16,Акты!$E$5:$E$16,"&lt;="&amp;A2011)-SUMIFS(Оплаты!$B$6:$B$505,Оплаты!$A$6:$A$505,"&lt;"&amp;A2011,Оплаты!$D$6:$D$505,"&lt;&gt;"))</f>
        <v/>
      </c>
      <c r="E2011" t="str">
        <f>IF(A2011="","",IF(SUMPRODUCT((Ввод!$F$12:$F$31&lt;&gt;"")*(Ввод!$F$12:$F$31&lt;=A2011)*(Ввод!$G$12:$G$31&gt;=A2011))&gt;0,1,0))</f>
        <v/>
      </c>
      <c r="G2011" t="str">
        <f t="shared" si="63"/>
        <v/>
      </c>
    </row>
    <row r="2012" spans="1:7" x14ac:dyDescent="0.3">
      <c r="A2012" s="21" t="str">
        <f>IF(A2011="","",IF(A2011+1&gt;Ввод!$B$4,"",A2011+1))</f>
        <v/>
      </c>
      <c r="B2012" s="23" t="str">
        <f>IF(A2012="","",IFERROR(INDEX(Ввод!$B$12:$B$71,MATCH(A2012,Ввод!$D$12:$D$71,1)),""))</f>
        <v/>
      </c>
      <c r="C2012" t="str">
        <f t="shared" si="62"/>
        <v/>
      </c>
      <c r="D2012" t="str">
        <f>IF(A2012="","",SUMIFS(Акты!$D$5:$D$16,Акты!$E$5:$E$16,"&lt;="&amp;A2012)-SUMIFS(Оплаты!$B$6:$B$505,Оплаты!$A$6:$A$505,"&lt;"&amp;A2012,Оплаты!$D$6:$D$505,"&lt;&gt;"))</f>
        <v/>
      </c>
      <c r="E2012" t="str">
        <f>IF(A2012="","",IF(SUMPRODUCT((Ввод!$F$12:$F$31&lt;&gt;"")*(Ввод!$F$12:$F$31&lt;=A2012)*(Ввод!$G$12:$G$31&gt;=A2012))&gt;0,1,0))</f>
        <v/>
      </c>
      <c r="G2012" t="str">
        <f t="shared" si="63"/>
        <v/>
      </c>
    </row>
    <row r="2013" spans="1:7" x14ac:dyDescent="0.3">
      <c r="A2013" s="21" t="str">
        <f>IF(A2012="","",IF(A2012+1&gt;Ввод!$B$4,"",A2012+1))</f>
        <v/>
      </c>
      <c r="B2013" s="23" t="str">
        <f>IF(A2013="","",IFERROR(INDEX(Ввод!$B$12:$B$71,MATCH(A2013,Ввод!$D$12:$D$71,1)),""))</f>
        <v/>
      </c>
      <c r="C2013" t="str">
        <f t="shared" si="62"/>
        <v/>
      </c>
      <c r="D2013" t="str">
        <f>IF(A2013="","",SUMIFS(Акты!$D$5:$D$16,Акты!$E$5:$E$16,"&lt;="&amp;A2013)-SUMIFS(Оплаты!$B$6:$B$505,Оплаты!$A$6:$A$505,"&lt;"&amp;A2013,Оплаты!$D$6:$D$505,"&lt;&gt;"))</f>
        <v/>
      </c>
      <c r="E2013" t="str">
        <f>IF(A2013="","",IF(SUMPRODUCT((Ввод!$F$12:$F$31&lt;&gt;"")*(Ввод!$F$12:$F$31&lt;=A2013)*(Ввод!$G$12:$G$31&gt;=A2013))&gt;0,1,0))</f>
        <v/>
      </c>
      <c r="G2013" t="str">
        <f t="shared" si="63"/>
        <v/>
      </c>
    </row>
    <row r="2014" spans="1:7" x14ac:dyDescent="0.3">
      <c r="A2014" s="21" t="str">
        <f>IF(A2013="","",IF(A2013+1&gt;Ввод!$B$4,"",A2013+1))</f>
        <v/>
      </c>
      <c r="B2014" s="23" t="str">
        <f>IF(A2014="","",IFERROR(INDEX(Ввод!$B$12:$B$71,MATCH(A2014,Ввод!$D$12:$D$71,1)),""))</f>
        <v/>
      </c>
      <c r="C2014" t="str">
        <f t="shared" si="62"/>
        <v/>
      </c>
      <c r="D2014" t="str">
        <f>IF(A2014="","",SUMIFS(Акты!$D$5:$D$16,Акты!$E$5:$E$16,"&lt;="&amp;A2014)-SUMIFS(Оплаты!$B$6:$B$505,Оплаты!$A$6:$A$505,"&lt;"&amp;A2014,Оплаты!$D$6:$D$505,"&lt;&gt;"))</f>
        <v/>
      </c>
      <c r="E2014" t="str">
        <f>IF(A2014="","",IF(SUMPRODUCT((Ввод!$F$12:$F$31&lt;&gt;"")*(Ввод!$F$12:$F$31&lt;=A2014)*(Ввод!$G$12:$G$31&gt;=A2014))&gt;0,1,0))</f>
        <v/>
      </c>
      <c r="G2014" t="str">
        <f t="shared" si="63"/>
        <v/>
      </c>
    </row>
    <row r="2015" spans="1:7" x14ac:dyDescent="0.3">
      <c r="A2015" s="21" t="str">
        <f>IF(A2014="","",IF(A2014+1&gt;Ввод!$B$4,"",A2014+1))</f>
        <v/>
      </c>
      <c r="B2015" s="23" t="str">
        <f>IF(A2015="","",IFERROR(INDEX(Ввод!$B$12:$B$71,MATCH(A2015,Ввод!$D$12:$D$71,1)),""))</f>
        <v/>
      </c>
      <c r="C2015" t="str">
        <f t="shared" si="62"/>
        <v/>
      </c>
      <c r="D2015" t="str">
        <f>IF(A2015="","",SUMIFS(Акты!$D$5:$D$16,Акты!$E$5:$E$16,"&lt;="&amp;A2015)-SUMIFS(Оплаты!$B$6:$B$505,Оплаты!$A$6:$A$505,"&lt;"&amp;A2015,Оплаты!$D$6:$D$505,"&lt;&gt;"))</f>
        <v/>
      </c>
      <c r="E2015" t="str">
        <f>IF(A2015="","",IF(SUMPRODUCT((Ввод!$F$12:$F$31&lt;&gt;"")*(Ввод!$F$12:$F$31&lt;=A2015)*(Ввод!$G$12:$G$31&gt;=A2015))&gt;0,1,0))</f>
        <v/>
      </c>
      <c r="G2015" t="str">
        <f t="shared" si="63"/>
        <v/>
      </c>
    </row>
    <row r="2016" spans="1:7" x14ac:dyDescent="0.3">
      <c r="A2016" s="21" t="str">
        <f>IF(A2015="","",IF(A2015+1&gt;Ввод!$B$4,"",A2015+1))</f>
        <v/>
      </c>
      <c r="B2016" s="23" t="str">
        <f>IF(A2016="","",IFERROR(INDEX(Ввод!$B$12:$B$71,MATCH(A2016,Ввод!$D$12:$D$71,1)),""))</f>
        <v/>
      </c>
      <c r="C2016" t="str">
        <f t="shared" si="62"/>
        <v/>
      </c>
      <c r="D2016" t="str">
        <f>IF(A2016="","",SUMIFS(Акты!$D$5:$D$16,Акты!$E$5:$E$16,"&lt;="&amp;A2016)-SUMIFS(Оплаты!$B$6:$B$505,Оплаты!$A$6:$A$505,"&lt;"&amp;A2016,Оплаты!$D$6:$D$505,"&lt;&gt;"))</f>
        <v/>
      </c>
      <c r="E2016" t="str">
        <f>IF(A2016="","",IF(SUMPRODUCT((Ввод!$F$12:$F$31&lt;&gt;"")*(Ввод!$F$12:$F$31&lt;=A2016)*(Ввод!$G$12:$G$31&gt;=A2016))&gt;0,1,0))</f>
        <v/>
      </c>
      <c r="G2016" t="str">
        <f t="shared" si="63"/>
        <v/>
      </c>
    </row>
    <row r="2017" spans="1:7" x14ac:dyDescent="0.3">
      <c r="A2017" s="21" t="str">
        <f>IF(A2016="","",IF(A2016+1&gt;Ввод!$B$4,"",A2016+1))</f>
        <v/>
      </c>
      <c r="B2017" s="23" t="str">
        <f>IF(A2017="","",IFERROR(INDEX(Ввод!$B$12:$B$71,MATCH(A2017,Ввод!$D$12:$D$71,1)),""))</f>
        <v/>
      </c>
      <c r="C2017" t="str">
        <f t="shared" si="62"/>
        <v/>
      </c>
      <c r="D2017" t="str">
        <f>IF(A2017="","",SUMIFS(Акты!$D$5:$D$16,Акты!$E$5:$E$16,"&lt;="&amp;A2017)-SUMIFS(Оплаты!$B$6:$B$505,Оплаты!$A$6:$A$505,"&lt;"&amp;A2017,Оплаты!$D$6:$D$505,"&lt;&gt;"))</f>
        <v/>
      </c>
      <c r="E2017" t="str">
        <f>IF(A2017="","",IF(SUMPRODUCT((Ввод!$F$12:$F$31&lt;&gt;"")*(Ввод!$F$12:$F$31&lt;=A2017)*(Ввод!$G$12:$G$31&gt;=A2017))&gt;0,1,0))</f>
        <v/>
      </c>
      <c r="G2017" t="str">
        <f t="shared" si="63"/>
        <v/>
      </c>
    </row>
    <row r="2018" spans="1:7" x14ac:dyDescent="0.3">
      <c r="A2018" s="21" t="str">
        <f>IF(A2017="","",IF(A2017+1&gt;Ввод!$B$4,"",A2017+1))</f>
        <v/>
      </c>
      <c r="B2018" s="23" t="str">
        <f>IF(A2018="","",IFERROR(INDEX(Ввод!$B$12:$B$71,MATCH(A2018,Ввод!$D$12:$D$71,1)),""))</f>
        <v/>
      </c>
      <c r="C2018" t="str">
        <f t="shared" si="62"/>
        <v/>
      </c>
      <c r="D2018" t="str">
        <f>IF(A2018="","",SUMIFS(Акты!$D$5:$D$16,Акты!$E$5:$E$16,"&lt;="&amp;A2018)-SUMIFS(Оплаты!$B$6:$B$505,Оплаты!$A$6:$A$505,"&lt;"&amp;A2018,Оплаты!$D$6:$D$505,"&lt;&gt;"))</f>
        <v/>
      </c>
      <c r="E2018" t="str">
        <f>IF(A2018="","",IF(SUMPRODUCT((Ввод!$F$12:$F$31&lt;&gt;"")*(Ввод!$F$12:$F$31&lt;=A2018)*(Ввод!$G$12:$G$31&gt;=A2018))&gt;0,1,0))</f>
        <v/>
      </c>
      <c r="G2018" t="str">
        <f t="shared" si="63"/>
        <v/>
      </c>
    </row>
    <row r="2019" spans="1:7" x14ac:dyDescent="0.3">
      <c r="A2019" s="21" t="str">
        <f>IF(A2018="","",IF(A2018+1&gt;Ввод!$B$4,"",A2018+1))</f>
        <v/>
      </c>
      <c r="B2019" s="23" t="str">
        <f>IF(A2019="","",IFERROR(INDEX(Ввод!$B$12:$B$71,MATCH(A2019,Ввод!$D$12:$D$71,1)),""))</f>
        <v/>
      </c>
      <c r="C2019" t="str">
        <f t="shared" si="62"/>
        <v/>
      </c>
      <c r="D2019" t="str">
        <f>IF(A2019="","",SUMIFS(Акты!$D$5:$D$16,Акты!$E$5:$E$16,"&lt;="&amp;A2019)-SUMIFS(Оплаты!$B$6:$B$505,Оплаты!$A$6:$A$505,"&lt;"&amp;A2019,Оплаты!$D$6:$D$505,"&lt;&gt;"))</f>
        <v/>
      </c>
      <c r="E2019" t="str">
        <f>IF(A2019="","",IF(SUMPRODUCT((Ввод!$F$12:$F$31&lt;&gt;"")*(Ввод!$F$12:$F$31&lt;=A2019)*(Ввод!$G$12:$G$31&gt;=A2019))&gt;0,1,0))</f>
        <v/>
      </c>
      <c r="G2019" t="str">
        <f t="shared" si="63"/>
        <v/>
      </c>
    </row>
    <row r="2020" spans="1:7" x14ac:dyDescent="0.3">
      <c r="A2020" s="21" t="str">
        <f>IF(A2019="","",IF(A2019+1&gt;Ввод!$B$4,"",A2019+1))</f>
        <v/>
      </c>
      <c r="B2020" s="23" t="str">
        <f>IF(A2020="","",IFERROR(INDEX(Ввод!$B$12:$B$71,MATCH(A2020,Ввод!$D$12:$D$71,1)),""))</f>
        <v/>
      </c>
      <c r="C2020" t="str">
        <f t="shared" si="62"/>
        <v/>
      </c>
      <c r="D2020" t="str">
        <f>IF(A2020="","",SUMIFS(Акты!$D$5:$D$16,Акты!$E$5:$E$16,"&lt;="&amp;A2020)-SUMIFS(Оплаты!$B$6:$B$505,Оплаты!$A$6:$A$505,"&lt;"&amp;A2020,Оплаты!$D$6:$D$505,"&lt;&gt;"))</f>
        <v/>
      </c>
      <c r="E2020" t="str">
        <f>IF(A2020="","",IF(SUMPRODUCT((Ввод!$F$12:$F$31&lt;&gt;"")*(Ввод!$F$12:$F$31&lt;=A2020)*(Ввод!$G$12:$G$31&gt;=A2020))&gt;0,1,0))</f>
        <v/>
      </c>
      <c r="G2020" t="str">
        <f t="shared" si="63"/>
        <v/>
      </c>
    </row>
    <row r="2021" spans="1:7" x14ac:dyDescent="0.3">
      <c r="A2021" s="21" t="str">
        <f>IF(A2020="","",IF(A2020+1&gt;Ввод!$B$4,"",A2020+1))</f>
        <v/>
      </c>
      <c r="B2021" s="23" t="str">
        <f>IF(A2021="","",IFERROR(INDEX(Ввод!$B$12:$B$71,MATCH(A2021,Ввод!$D$12:$D$71,1)),""))</f>
        <v/>
      </c>
      <c r="C2021" t="str">
        <f t="shared" si="62"/>
        <v/>
      </c>
      <c r="D2021" t="str">
        <f>IF(A2021="","",SUMIFS(Акты!$D$5:$D$16,Акты!$E$5:$E$16,"&lt;="&amp;A2021)-SUMIFS(Оплаты!$B$6:$B$505,Оплаты!$A$6:$A$505,"&lt;"&amp;A2021,Оплаты!$D$6:$D$505,"&lt;&gt;"))</f>
        <v/>
      </c>
      <c r="E2021" t="str">
        <f>IF(A2021="","",IF(SUMPRODUCT((Ввод!$F$12:$F$31&lt;&gt;"")*(Ввод!$F$12:$F$31&lt;=A2021)*(Ввод!$G$12:$G$31&gt;=A2021))&gt;0,1,0))</f>
        <v/>
      </c>
      <c r="G2021" t="str">
        <f t="shared" si="63"/>
        <v/>
      </c>
    </row>
    <row r="2022" spans="1:7" x14ac:dyDescent="0.3">
      <c r="A2022" s="21" t="str">
        <f>IF(A2021="","",IF(A2021+1&gt;Ввод!$B$4,"",A2021+1))</f>
        <v/>
      </c>
      <c r="B2022" s="23" t="str">
        <f>IF(A2022="","",IFERROR(INDEX(Ввод!$B$12:$B$71,MATCH(A2022,Ввод!$D$12:$D$71,1)),""))</f>
        <v/>
      </c>
      <c r="C2022" t="str">
        <f t="shared" si="62"/>
        <v/>
      </c>
      <c r="D2022" t="str">
        <f>IF(A2022="","",SUMIFS(Акты!$D$5:$D$16,Акты!$E$5:$E$16,"&lt;="&amp;A2022)-SUMIFS(Оплаты!$B$6:$B$505,Оплаты!$A$6:$A$505,"&lt;"&amp;A2022,Оплаты!$D$6:$D$505,"&lt;&gt;"))</f>
        <v/>
      </c>
      <c r="E2022" t="str">
        <f>IF(A2022="","",IF(SUMPRODUCT((Ввод!$F$12:$F$31&lt;&gt;"")*(Ввод!$F$12:$F$31&lt;=A2022)*(Ввод!$G$12:$G$31&gt;=A2022))&gt;0,1,0))</f>
        <v/>
      </c>
      <c r="G2022" t="str">
        <f t="shared" si="63"/>
        <v/>
      </c>
    </row>
    <row r="2023" spans="1:7" x14ac:dyDescent="0.3">
      <c r="A2023" s="21" t="str">
        <f>IF(A2022="","",IF(A2022+1&gt;Ввод!$B$4,"",A2022+1))</f>
        <v/>
      </c>
      <c r="B2023" s="23" t="str">
        <f>IF(A2023="","",IFERROR(INDEX(Ввод!$B$12:$B$71,MATCH(A2023,Ввод!$D$12:$D$71,1)),""))</f>
        <v/>
      </c>
      <c r="C2023" t="str">
        <f t="shared" si="62"/>
        <v/>
      </c>
      <c r="D2023" t="str">
        <f>IF(A2023="","",SUMIFS(Акты!$D$5:$D$16,Акты!$E$5:$E$16,"&lt;="&amp;A2023)-SUMIFS(Оплаты!$B$6:$B$505,Оплаты!$A$6:$A$505,"&lt;"&amp;A2023,Оплаты!$D$6:$D$505,"&lt;&gt;"))</f>
        <v/>
      </c>
      <c r="E2023" t="str">
        <f>IF(A2023="","",IF(SUMPRODUCT((Ввод!$F$12:$F$31&lt;&gt;"")*(Ввод!$F$12:$F$31&lt;=A2023)*(Ввод!$G$12:$G$31&gt;=A2023))&gt;0,1,0))</f>
        <v/>
      </c>
      <c r="G2023" t="str">
        <f t="shared" si="63"/>
        <v/>
      </c>
    </row>
    <row r="2024" spans="1:7" x14ac:dyDescent="0.3">
      <c r="A2024" s="21" t="str">
        <f>IF(A2023="","",IF(A2023+1&gt;Ввод!$B$4,"",A2023+1))</f>
        <v/>
      </c>
      <c r="B2024" s="23" t="str">
        <f>IF(A2024="","",IFERROR(INDEX(Ввод!$B$12:$B$71,MATCH(A2024,Ввод!$D$12:$D$71,1)),""))</f>
        <v/>
      </c>
      <c r="C2024" t="str">
        <f t="shared" si="62"/>
        <v/>
      </c>
      <c r="D2024" t="str">
        <f>IF(A2024="","",SUMIFS(Акты!$D$5:$D$16,Акты!$E$5:$E$16,"&lt;="&amp;A2024)-SUMIFS(Оплаты!$B$6:$B$505,Оплаты!$A$6:$A$505,"&lt;"&amp;A2024,Оплаты!$D$6:$D$505,"&lt;&gt;"))</f>
        <v/>
      </c>
      <c r="E2024" t="str">
        <f>IF(A2024="","",IF(SUMPRODUCT((Ввод!$F$12:$F$31&lt;&gt;"")*(Ввод!$F$12:$F$31&lt;=A2024)*(Ввод!$G$12:$G$31&gt;=A2024))&gt;0,1,0))</f>
        <v/>
      </c>
      <c r="G2024" t="str">
        <f t="shared" si="63"/>
        <v/>
      </c>
    </row>
    <row r="2025" spans="1:7" x14ac:dyDescent="0.3">
      <c r="A2025" s="21" t="str">
        <f>IF(A2024="","",IF(A2024+1&gt;Ввод!$B$4,"",A2024+1))</f>
        <v/>
      </c>
      <c r="B2025" s="23" t="str">
        <f>IF(A2025="","",IFERROR(INDEX(Ввод!$B$12:$B$71,MATCH(A2025,Ввод!$D$12:$D$71,1)),""))</f>
        <v/>
      </c>
      <c r="C2025" t="str">
        <f t="shared" si="62"/>
        <v/>
      </c>
      <c r="D2025" t="str">
        <f>IF(A2025="","",SUMIFS(Акты!$D$5:$D$16,Акты!$E$5:$E$16,"&lt;="&amp;A2025)-SUMIFS(Оплаты!$B$6:$B$505,Оплаты!$A$6:$A$505,"&lt;"&amp;A2025,Оплаты!$D$6:$D$505,"&lt;&gt;"))</f>
        <v/>
      </c>
      <c r="E2025" t="str">
        <f>IF(A2025="","",IF(SUMPRODUCT((Ввод!$F$12:$F$31&lt;&gt;"")*(Ввод!$F$12:$F$31&lt;=A2025)*(Ввод!$G$12:$G$31&gt;=A2025))&gt;0,1,0))</f>
        <v/>
      </c>
      <c r="G2025" t="str">
        <f t="shared" si="63"/>
        <v/>
      </c>
    </row>
    <row r="2026" spans="1:7" x14ac:dyDescent="0.3">
      <c r="A2026" s="21" t="str">
        <f>IF(A2025="","",IF(A2025+1&gt;Ввод!$B$4,"",A2025+1))</f>
        <v/>
      </c>
      <c r="B2026" s="23" t="str">
        <f>IF(A2026="","",IFERROR(INDEX(Ввод!$B$12:$B$71,MATCH(A2026,Ввод!$D$12:$D$71,1)),""))</f>
        <v/>
      </c>
      <c r="C2026" t="str">
        <f t="shared" si="62"/>
        <v/>
      </c>
      <c r="D2026" t="str">
        <f>IF(A2026="","",SUMIFS(Акты!$D$5:$D$16,Акты!$E$5:$E$16,"&lt;="&amp;A2026)-SUMIFS(Оплаты!$B$6:$B$505,Оплаты!$A$6:$A$505,"&lt;"&amp;A2026,Оплаты!$D$6:$D$505,"&lt;&gt;"))</f>
        <v/>
      </c>
      <c r="E2026" t="str">
        <f>IF(A2026="","",IF(SUMPRODUCT((Ввод!$F$12:$F$31&lt;&gt;"")*(Ввод!$F$12:$F$31&lt;=A2026)*(Ввод!$G$12:$G$31&gt;=A2026))&gt;0,1,0))</f>
        <v/>
      </c>
      <c r="G2026" t="str">
        <f t="shared" si="63"/>
        <v/>
      </c>
    </row>
    <row r="2027" spans="1:7" x14ac:dyDescent="0.3">
      <c r="A2027" s="21" t="str">
        <f>IF(A2026="","",IF(A2026+1&gt;Ввод!$B$4,"",A2026+1))</f>
        <v/>
      </c>
      <c r="B2027" s="23" t="str">
        <f>IF(A2027="","",IFERROR(INDEX(Ввод!$B$12:$B$71,MATCH(A2027,Ввод!$D$12:$D$71,1)),""))</f>
        <v/>
      </c>
      <c r="C2027" t="str">
        <f t="shared" si="62"/>
        <v/>
      </c>
      <c r="D2027" t="str">
        <f>IF(A2027="","",SUMIFS(Акты!$D$5:$D$16,Акты!$E$5:$E$16,"&lt;="&amp;A2027)-SUMIFS(Оплаты!$B$6:$B$505,Оплаты!$A$6:$A$505,"&lt;"&amp;A2027,Оплаты!$D$6:$D$505,"&lt;&gt;"))</f>
        <v/>
      </c>
      <c r="E2027" t="str">
        <f>IF(A2027="","",IF(SUMPRODUCT((Ввод!$F$12:$F$31&lt;&gt;"")*(Ввод!$F$12:$F$31&lt;=A2027)*(Ввод!$G$12:$G$31&gt;=A2027))&gt;0,1,0))</f>
        <v/>
      </c>
      <c r="G2027" t="str">
        <f t="shared" si="63"/>
        <v/>
      </c>
    </row>
    <row r="2028" spans="1:7" x14ac:dyDescent="0.3">
      <c r="A2028" s="21" t="str">
        <f>IF(A2027="","",IF(A2027+1&gt;Ввод!$B$4,"",A2027+1))</f>
        <v/>
      </c>
      <c r="B2028" s="23" t="str">
        <f>IF(A2028="","",IFERROR(INDEX(Ввод!$B$12:$B$71,MATCH(A2028,Ввод!$D$12:$D$71,1)),""))</f>
        <v/>
      </c>
      <c r="C2028" t="str">
        <f t="shared" si="62"/>
        <v/>
      </c>
      <c r="D2028" t="str">
        <f>IF(A2028="","",SUMIFS(Акты!$D$5:$D$16,Акты!$E$5:$E$16,"&lt;="&amp;A2028)-SUMIFS(Оплаты!$B$6:$B$505,Оплаты!$A$6:$A$505,"&lt;"&amp;A2028,Оплаты!$D$6:$D$505,"&lt;&gt;"))</f>
        <v/>
      </c>
      <c r="E2028" t="str">
        <f>IF(A2028="","",IF(SUMPRODUCT((Ввод!$F$12:$F$31&lt;&gt;"")*(Ввод!$F$12:$F$31&lt;=A2028)*(Ввод!$G$12:$G$31&gt;=A2028))&gt;0,1,0))</f>
        <v/>
      </c>
      <c r="G2028" t="str">
        <f t="shared" si="63"/>
        <v/>
      </c>
    </row>
    <row r="2029" spans="1:7" x14ac:dyDescent="0.3">
      <c r="A2029" s="21" t="str">
        <f>IF(A2028="","",IF(A2028+1&gt;Ввод!$B$4,"",A2028+1))</f>
        <v/>
      </c>
      <c r="B2029" s="23" t="str">
        <f>IF(A2029="","",IFERROR(INDEX(Ввод!$B$12:$B$71,MATCH(A2029,Ввод!$D$12:$D$71,1)),""))</f>
        <v/>
      </c>
      <c r="C2029" t="str">
        <f t="shared" si="62"/>
        <v/>
      </c>
      <c r="D2029" t="str">
        <f>IF(A2029="","",SUMIFS(Акты!$D$5:$D$16,Акты!$E$5:$E$16,"&lt;="&amp;A2029)-SUMIFS(Оплаты!$B$6:$B$505,Оплаты!$A$6:$A$505,"&lt;"&amp;A2029,Оплаты!$D$6:$D$505,"&lt;&gt;"))</f>
        <v/>
      </c>
      <c r="E2029" t="str">
        <f>IF(A2029="","",IF(SUMPRODUCT((Ввод!$F$12:$F$31&lt;&gt;"")*(Ввод!$F$12:$F$31&lt;=A2029)*(Ввод!$G$12:$G$31&gt;=A2029))&gt;0,1,0))</f>
        <v/>
      </c>
      <c r="G2029" t="str">
        <f t="shared" si="63"/>
        <v/>
      </c>
    </row>
    <row r="2030" spans="1:7" x14ac:dyDescent="0.3">
      <c r="A2030" s="21" t="str">
        <f>IF(A2029="","",IF(A2029+1&gt;Ввод!$B$4,"",A2029+1))</f>
        <v/>
      </c>
      <c r="B2030" s="23" t="str">
        <f>IF(A2030="","",IFERROR(INDEX(Ввод!$B$12:$B$71,MATCH(A2030,Ввод!$D$12:$D$71,1)),""))</f>
        <v/>
      </c>
      <c r="C2030" t="str">
        <f t="shared" si="62"/>
        <v/>
      </c>
      <c r="D2030" t="str">
        <f>IF(A2030="","",SUMIFS(Акты!$D$5:$D$16,Акты!$E$5:$E$16,"&lt;="&amp;A2030)-SUMIFS(Оплаты!$B$6:$B$505,Оплаты!$A$6:$A$505,"&lt;"&amp;A2030,Оплаты!$D$6:$D$505,"&lt;&gt;"))</f>
        <v/>
      </c>
      <c r="E2030" t="str">
        <f>IF(A2030="","",IF(SUMPRODUCT((Ввод!$F$12:$F$31&lt;&gt;"")*(Ввод!$F$12:$F$31&lt;=A2030)*(Ввод!$G$12:$G$31&gt;=A2030))&gt;0,1,0))</f>
        <v/>
      </c>
      <c r="G2030" t="str">
        <f t="shared" si="63"/>
        <v/>
      </c>
    </row>
    <row r="2031" spans="1:7" x14ac:dyDescent="0.3">
      <c r="A2031" s="21" t="str">
        <f>IF(A2030="","",IF(A2030+1&gt;Ввод!$B$4,"",A2030+1))</f>
        <v/>
      </c>
      <c r="B2031" s="23" t="str">
        <f>IF(A2031="","",IFERROR(INDEX(Ввод!$B$12:$B$71,MATCH(A2031,Ввод!$D$12:$D$71,1)),""))</f>
        <v/>
      </c>
      <c r="C2031" t="str">
        <f t="shared" si="62"/>
        <v/>
      </c>
      <c r="D2031" t="str">
        <f>IF(A2031="","",SUMIFS(Акты!$D$5:$D$16,Акты!$E$5:$E$16,"&lt;="&amp;A2031)-SUMIFS(Оплаты!$B$6:$B$505,Оплаты!$A$6:$A$505,"&lt;"&amp;A2031,Оплаты!$D$6:$D$505,"&lt;&gt;"))</f>
        <v/>
      </c>
      <c r="E2031" t="str">
        <f>IF(A2031="","",IF(SUMPRODUCT((Ввод!$F$12:$F$31&lt;&gt;"")*(Ввод!$F$12:$F$31&lt;=A2031)*(Ввод!$G$12:$G$31&gt;=A2031))&gt;0,1,0))</f>
        <v/>
      </c>
      <c r="G2031" t="str">
        <f t="shared" si="63"/>
        <v/>
      </c>
    </row>
    <row r="2032" spans="1:7" x14ac:dyDescent="0.3">
      <c r="A2032" s="21" t="str">
        <f>IF(A2031="","",IF(A2031+1&gt;Ввод!$B$4,"",A2031+1))</f>
        <v/>
      </c>
      <c r="B2032" s="23" t="str">
        <f>IF(A2032="","",IFERROR(INDEX(Ввод!$B$12:$B$71,MATCH(A2032,Ввод!$D$12:$D$71,1)),""))</f>
        <v/>
      </c>
      <c r="C2032" t="str">
        <f t="shared" si="62"/>
        <v/>
      </c>
      <c r="D2032" t="str">
        <f>IF(A2032="","",SUMIFS(Акты!$D$5:$D$16,Акты!$E$5:$E$16,"&lt;="&amp;A2032)-SUMIFS(Оплаты!$B$6:$B$505,Оплаты!$A$6:$A$505,"&lt;"&amp;A2032,Оплаты!$D$6:$D$505,"&lt;&gt;"))</f>
        <v/>
      </c>
      <c r="E2032" t="str">
        <f>IF(A2032="","",IF(SUMPRODUCT((Ввод!$F$12:$F$31&lt;&gt;"")*(Ввод!$F$12:$F$31&lt;=A2032)*(Ввод!$G$12:$G$31&gt;=A2032))&gt;0,1,0))</f>
        <v/>
      </c>
      <c r="G2032" t="str">
        <f t="shared" si="63"/>
        <v/>
      </c>
    </row>
    <row r="2033" spans="1:7" x14ac:dyDescent="0.3">
      <c r="A2033" s="21" t="str">
        <f>IF(A2032="","",IF(A2032+1&gt;Ввод!$B$4,"",A2032+1))</f>
        <v/>
      </c>
      <c r="B2033" s="23" t="str">
        <f>IF(A2033="","",IFERROR(INDEX(Ввод!$B$12:$B$71,MATCH(A2033,Ввод!$D$12:$D$71,1)),""))</f>
        <v/>
      </c>
      <c r="C2033" t="str">
        <f t="shared" si="62"/>
        <v/>
      </c>
      <c r="D2033" t="str">
        <f>IF(A2033="","",SUMIFS(Акты!$D$5:$D$16,Акты!$E$5:$E$16,"&lt;="&amp;A2033)-SUMIFS(Оплаты!$B$6:$B$505,Оплаты!$A$6:$A$505,"&lt;"&amp;A2033,Оплаты!$D$6:$D$505,"&lt;&gt;"))</f>
        <v/>
      </c>
      <c r="E2033" t="str">
        <f>IF(A2033="","",IF(SUMPRODUCT((Ввод!$F$12:$F$31&lt;&gt;"")*(Ввод!$F$12:$F$31&lt;=A2033)*(Ввод!$G$12:$G$31&gt;=A2033))&gt;0,1,0))</f>
        <v/>
      </c>
      <c r="G2033" t="str">
        <f t="shared" si="63"/>
        <v/>
      </c>
    </row>
    <row r="2034" spans="1:7" x14ac:dyDescent="0.3">
      <c r="A2034" s="21" t="str">
        <f>IF(A2033="","",IF(A2033+1&gt;Ввод!$B$4,"",A2033+1))</f>
        <v/>
      </c>
      <c r="B2034" s="23" t="str">
        <f>IF(A2034="","",IFERROR(INDEX(Ввод!$B$12:$B$71,MATCH(A2034,Ввод!$D$12:$D$71,1)),""))</f>
        <v/>
      </c>
      <c r="C2034" t="str">
        <f t="shared" si="62"/>
        <v/>
      </c>
      <c r="D2034" t="str">
        <f>IF(A2034="","",SUMIFS(Акты!$D$5:$D$16,Акты!$E$5:$E$16,"&lt;="&amp;A2034)-SUMIFS(Оплаты!$B$6:$B$505,Оплаты!$A$6:$A$505,"&lt;"&amp;A2034,Оплаты!$D$6:$D$505,"&lt;&gt;"))</f>
        <v/>
      </c>
      <c r="E2034" t="str">
        <f>IF(A2034="","",IF(SUMPRODUCT((Ввод!$F$12:$F$31&lt;&gt;"")*(Ввод!$F$12:$F$31&lt;=A2034)*(Ввод!$G$12:$G$31&gt;=A2034))&gt;0,1,0))</f>
        <v/>
      </c>
      <c r="G2034" t="str">
        <f t="shared" si="63"/>
        <v/>
      </c>
    </row>
    <row r="2035" spans="1:7" x14ac:dyDescent="0.3">
      <c r="A2035" s="21" t="str">
        <f>IF(A2034="","",IF(A2034+1&gt;Ввод!$B$4,"",A2034+1))</f>
        <v/>
      </c>
      <c r="B2035" s="23" t="str">
        <f>IF(A2035="","",IFERROR(INDEX(Ввод!$B$12:$B$71,MATCH(A2035,Ввод!$D$12:$D$71,1)),""))</f>
        <v/>
      </c>
      <c r="C2035" t="str">
        <f t="shared" si="62"/>
        <v/>
      </c>
      <c r="D2035" t="str">
        <f>IF(A2035="","",SUMIFS(Акты!$D$5:$D$16,Акты!$E$5:$E$16,"&lt;="&amp;A2035)-SUMIFS(Оплаты!$B$6:$B$505,Оплаты!$A$6:$A$505,"&lt;"&amp;A2035,Оплаты!$D$6:$D$505,"&lt;&gt;"))</f>
        <v/>
      </c>
      <c r="E2035" t="str">
        <f>IF(A2035="","",IF(SUMPRODUCT((Ввод!$F$12:$F$31&lt;&gt;"")*(Ввод!$F$12:$F$31&lt;=A2035)*(Ввод!$G$12:$G$31&gt;=A2035))&gt;0,1,0))</f>
        <v/>
      </c>
      <c r="G2035" t="str">
        <f t="shared" si="63"/>
        <v/>
      </c>
    </row>
    <row r="2036" spans="1:7" x14ac:dyDescent="0.3">
      <c r="A2036" s="21" t="str">
        <f>IF(A2035="","",IF(A2035+1&gt;Ввод!$B$4,"",A2035+1))</f>
        <v/>
      </c>
      <c r="B2036" s="23" t="str">
        <f>IF(A2036="","",IFERROR(INDEX(Ввод!$B$12:$B$71,MATCH(A2036,Ввод!$D$12:$D$71,1)),""))</f>
        <v/>
      </c>
      <c r="C2036" t="str">
        <f t="shared" si="62"/>
        <v/>
      </c>
      <c r="D2036" t="str">
        <f>IF(A2036="","",SUMIFS(Акты!$D$5:$D$16,Акты!$E$5:$E$16,"&lt;="&amp;A2036)-SUMIFS(Оплаты!$B$6:$B$505,Оплаты!$A$6:$A$505,"&lt;"&amp;A2036,Оплаты!$D$6:$D$505,"&lt;&gt;"))</f>
        <v/>
      </c>
      <c r="E2036" t="str">
        <f>IF(A2036="","",IF(SUMPRODUCT((Ввод!$F$12:$F$31&lt;&gt;"")*(Ввод!$F$12:$F$31&lt;=A2036)*(Ввод!$G$12:$G$31&gt;=A2036))&gt;0,1,0))</f>
        <v/>
      </c>
      <c r="G2036" t="str">
        <f t="shared" si="63"/>
        <v/>
      </c>
    </row>
    <row r="2037" spans="1:7" x14ac:dyDescent="0.3">
      <c r="A2037" s="21" t="str">
        <f>IF(A2036="","",IF(A2036+1&gt;Ввод!$B$4,"",A2036+1))</f>
        <v/>
      </c>
      <c r="B2037" s="23" t="str">
        <f>IF(A2037="","",IFERROR(INDEX(Ввод!$B$12:$B$71,MATCH(A2037,Ввод!$D$12:$D$71,1)),""))</f>
        <v/>
      </c>
      <c r="C2037" t="str">
        <f t="shared" si="62"/>
        <v/>
      </c>
      <c r="D2037" t="str">
        <f>IF(A2037="","",SUMIFS(Акты!$D$5:$D$16,Акты!$E$5:$E$16,"&lt;="&amp;A2037)-SUMIFS(Оплаты!$B$6:$B$505,Оплаты!$A$6:$A$505,"&lt;"&amp;A2037,Оплаты!$D$6:$D$505,"&lt;&gt;"))</f>
        <v/>
      </c>
      <c r="E2037" t="str">
        <f>IF(A2037="","",IF(SUMPRODUCT((Ввод!$F$12:$F$31&lt;&gt;"")*(Ввод!$F$12:$F$31&lt;=A2037)*(Ввод!$G$12:$G$31&gt;=A2037))&gt;0,1,0))</f>
        <v/>
      </c>
      <c r="G2037" t="str">
        <f t="shared" si="63"/>
        <v/>
      </c>
    </row>
    <row r="2038" spans="1:7" x14ac:dyDescent="0.3">
      <c r="A2038" s="21" t="str">
        <f>IF(A2037="","",IF(A2037+1&gt;Ввод!$B$4,"",A2037+1))</f>
        <v/>
      </c>
      <c r="B2038" s="23" t="str">
        <f>IF(A2038="","",IFERROR(INDEX(Ввод!$B$12:$B$71,MATCH(A2038,Ввод!$D$12:$D$71,1)),""))</f>
        <v/>
      </c>
      <c r="C2038" t="str">
        <f t="shared" si="62"/>
        <v/>
      </c>
      <c r="D2038" t="str">
        <f>IF(A2038="","",SUMIFS(Акты!$D$5:$D$16,Акты!$E$5:$E$16,"&lt;="&amp;A2038)-SUMIFS(Оплаты!$B$6:$B$505,Оплаты!$A$6:$A$505,"&lt;"&amp;A2038,Оплаты!$D$6:$D$505,"&lt;&gt;"))</f>
        <v/>
      </c>
      <c r="E2038" t="str">
        <f>IF(A2038="","",IF(SUMPRODUCT((Ввод!$F$12:$F$31&lt;&gt;"")*(Ввод!$F$12:$F$31&lt;=A2038)*(Ввод!$G$12:$G$31&gt;=A2038))&gt;0,1,0))</f>
        <v/>
      </c>
      <c r="G2038" t="str">
        <f t="shared" si="63"/>
        <v/>
      </c>
    </row>
    <row r="2039" spans="1:7" x14ac:dyDescent="0.3">
      <c r="A2039" s="21" t="str">
        <f>IF(A2038="","",IF(A2038+1&gt;Ввод!$B$4,"",A2038+1))</f>
        <v/>
      </c>
      <c r="B2039" s="23" t="str">
        <f>IF(A2039="","",IFERROR(INDEX(Ввод!$B$12:$B$71,MATCH(A2039,Ввод!$D$12:$D$71,1)),""))</f>
        <v/>
      </c>
      <c r="C2039" t="str">
        <f t="shared" si="62"/>
        <v/>
      </c>
      <c r="D2039" t="str">
        <f>IF(A2039="","",SUMIFS(Акты!$D$5:$D$16,Акты!$E$5:$E$16,"&lt;="&amp;A2039)-SUMIFS(Оплаты!$B$6:$B$505,Оплаты!$A$6:$A$505,"&lt;"&amp;A2039,Оплаты!$D$6:$D$505,"&lt;&gt;"))</f>
        <v/>
      </c>
      <c r="E2039" t="str">
        <f>IF(A2039="","",IF(SUMPRODUCT((Ввод!$F$12:$F$31&lt;&gt;"")*(Ввод!$F$12:$F$31&lt;=A2039)*(Ввод!$G$12:$G$31&gt;=A2039))&gt;0,1,0))</f>
        <v/>
      </c>
      <c r="G2039" t="str">
        <f t="shared" si="63"/>
        <v/>
      </c>
    </row>
    <row r="2040" spans="1:7" x14ac:dyDescent="0.3">
      <c r="A2040" s="21" t="str">
        <f>IF(A2039="","",IF(A2039+1&gt;Ввод!$B$4,"",A2039+1))</f>
        <v/>
      </c>
      <c r="B2040" s="23" t="str">
        <f>IF(A2040="","",IFERROR(INDEX(Ввод!$B$12:$B$71,MATCH(A2040,Ввод!$D$12:$D$71,1)),""))</f>
        <v/>
      </c>
      <c r="C2040" t="str">
        <f t="shared" si="62"/>
        <v/>
      </c>
      <c r="D2040" t="str">
        <f>IF(A2040="","",SUMIFS(Акты!$D$5:$D$16,Акты!$E$5:$E$16,"&lt;="&amp;A2040)-SUMIFS(Оплаты!$B$6:$B$505,Оплаты!$A$6:$A$505,"&lt;"&amp;A2040,Оплаты!$D$6:$D$505,"&lt;&gt;"))</f>
        <v/>
      </c>
      <c r="E2040" t="str">
        <f>IF(A2040="","",IF(SUMPRODUCT((Ввод!$F$12:$F$31&lt;&gt;"")*(Ввод!$F$12:$F$31&lt;=A2040)*(Ввод!$G$12:$G$31&gt;=A2040))&gt;0,1,0))</f>
        <v/>
      </c>
      <c r="G2040" t="str">
        <f t="shared" si="63"/>
        <v/>
      </c>
    </row>
    <row r="2041" spans="1:7" x14ac:dyDescent="0.3">
      <c r="A2041" s="21" t="str">
        <f>IF(A2040="","",IF(A2040+1&gt;Ввод!$B$4,"",A2040+1))</f>
        <v/>
      </c>
      <c r="B2041" s="23" t="str">
        <f>IF(A2041="","",IFERROR(INDEX(Ввод!$B$12:$B$71,MATCH(A2041,Ввод!$D$12:$D$71,1)),""))</f>
        <v/>
      </c>
      <c r="C2041" t="str">
        <f t="shared" si="62"/>
        <v/>
      </c>
      <c r="D2041" t="str">
        <f>IF(A2041="","",SUMIFS(Акты!$D$5:$D$16,Акты!$E$5:$E$16,"&lt;="&amp;A2041)-SUMIFS(Оплаты!$B$6:$B$505,Оплаты!$A$6:$A$505,"&lt;"&amp;A2041,Оплаты!$D$6:$D$505,"&lt;&gt;"))</f>
        <v/>
      </c>
      <c r="E2041" t="str">
        <f>IF(A2041="","",IF(SUMPRODUCT((Ввод!$F$12:$F$31&lt;&gt;"")*(Ввод!$F$12:$F$31&lt;=A2041)*(Ввод!$G$12:$G$31&gt;=A2041))&gt;0,1,0))</f>
        <v/>
      </c>
      <c r="G2041" t="str">
        <f t="shared" si="63"/>
        <v/>
      </c>
    </row>
    <row r="2042" spans="1:7" x14ac:dyDescent="0.3">
      <c r="A2042" s="21" t="str">
        <f>IF(A2041="","",IF(A2041+1&gt;Ввод!$B$4,"",A2041+1))</f>
        <v/>
      </c>
      <c r="B2042" s="23" t="str">
        <f>IF(A2042="","",IFERROR(INDEX(Ввод!$B$12:$B$71,MATCH(A2042,Ввод!$D$12:$D$71,1)),""))</f>
        <v/>
      </c>
      <c r="C2042" t="str">
        <f t="shared" si="62"/>
        <v/>
      </c>
      <c r="D2042" t="str">
        <f>IF(A2042="","",SUMIFS(Акты!$D$5:$D$16,Акты!$E$5:$E$16,"&lt;="&amp;A2042)-SUMIFS(Оплаты!$B$6:$B$505,Оплаты!$A$6:$A$505,"&lt;"&amp;A2042,Оплаты!$D$6:$D$505,"&lt;&gt;"))</f>
        <v/>
      </c>
      <c r="E2042" t="str">
        <f>IF(A2042="","",IF(SUMPRODUCT((Ввод!$F$12:$F$31&lt;&gt;"")*(Ввод!$F$12:$F$31&lt;=A2042)*(Ввод!$G$12:$G$31&gt;=A2042))&gt;0,1,0))</f>
        <v/>
      </c>
      <c r="G2042" t="str">
        <f t="shared" si="63"/>
        <v/>
      </c>
    </row>
    <row r="2043" spans="1:7" x14ac:dyDescent="0.3">
      <c r="A2043" s="21" t="str">
        <f>IF(A2042="","",IF(A2042+1&gt;Ввод!$B$4,"",A2042+1))</f>
        <v/>
      </c>
      <c r="B2043" s="23" t="str">
        <f>IF(A2043="","",IFERROR(INDEX(Ввод!$B$12:$B$71,MATCH(A2043,Ввод!$D$12:$D$71,1)),""))</f>
        <v/>
      </c>
      <c r="C2043" t="str">
        <f t="shared" si="62"/>
        <v/>
      </c>
      <c r="D2043" t="str">
        <f>IF(A2043="","",SUMIFS(Акты!$D$5:$D$16,Акты!$E$5:$E$16,"&lt;="&amp;A2043)-SUMIFS(Оплаты!$B$6:$B$505,Оплаты!$A$6:$A$505,"&lt;"&amp;A2043,Оплаты!$D$6:$D$505,"&lt;&gt;"))</f>
        <v/>
      </c>
      <c r="E2043" t="str">
        <f>IF(A2043="","",IF(SUMPRODUCT((Ввод!$F$12:$F$31&lt;&gt;"")*(Ввод!$F$12:$F$31&lt;=A2043)*(Ввод!$G$12:$G$31&gt;=A2043))&gt;0,1,0))</f>
        <v/>
      </c>
      <c r="G2043" t="str">
        <f t="shared" si="63"/>
        <v/>
      </c>
    </row>
    <row r="2044" spans="1:7" x14ac:dyDescent="0.3">
      <c r="A2044" s="21" t="str">
        <f>IF(A2043="","",IF(A2043+1&gt;Ввод!$B$4,"",A2043+1))</f>
        <v/>
      </c>
      <c r="B2044" s="23" t="str">
        <f>IF(A2044="","",IFERROR(INDEX(Ввод!$B$12:$B$71,MATCH(A2044,Ввод!$D$12:$D$71,1)),""))</f>
        <v/>
      </c>
      <c r="C2044" t="str">
        <f t="shared" si="62"/>
        <v/>
      </c>
      <c r="D2044" t="str">
        <f>IF(A2044="","",SUMIFS(Акты!$D$5:$D$16,Акты!$E$5:$E$16,"&lt;="&amp;A2044)-SUMIFS(Оплаты!$B$6:$B$505,Оплаты!$A$6:$A$505,"&lt;"&amp;A2044,Оплаты!$D$6:$D$505,"&lt;&gt;"))</f>
        <v/>
      </c>
      <c r="E2044" t="str">
        <f>IF(A2044="","",IF(SUMPRODUCT((Ввод!$F$12:$F$31&lt;&gt;"")*(Ввод!$F$12:$F$31&lt;=A2044)*(Ввод!$G$12:$G$31&gt;=A2044))&gt;0,1,0))</f>
        <v/>
      </c>
      <c r="G2044" t="str">
        <f t="shared" si="63"/>
        <v/>
      </c>
    </row>
    <row r="2045" spans="1:7" x14ac:dyDescent="0.3">
      <c r="A2045" s="21" t="str">
        <f>IF(A2044="","",IF(A2044+1&gt;Ввод!$B$4,"",A2044+1))</f>
        <v/>
      </c>
      <c r="B2045" s="23" t="str">
        <f>IF(A2045="","",IFERROR(INDEX(Ввод!$B$12:$B$71,MATCH(A2045,Ввод!$D$12:$D$71,1)),""))</f>
        <v/>
      </c>
      <c r="C2045" t="str">
        <f t="shared" si="62"/>
        <v/>
      </c>
      <c r="D2045" t="str">
        <f>IF(A2045="","",SUMIFS(Акты!$D$5:$D$16,Акты!$E$5:$E$16,"&lt;="&amp;A2045)-SUMIFS(Оплаты!$B$6:$B$505,Оплаты!$A$6:$A$505,"&lt;"&amp;A2045,Оплаты!$D$6:$D$505,"&lt;&gt;"))</f>
        <v/>
      </c>
      <c r="E2045" t="str">
        <f>IF(A2045="","",IF(SUMPRODUCT((Ввод!$F$12:$F$31&lt;&gt;"")*(Ввод!$F$12:$F$31&lt;=A2045)*(Ввод!$G$12:$G$31&gt;=A2045))&gt;0,1,0))</f>
        <v/>
      </c>
      <c r="G2045" t="str">
        <f t="shared" si="63"/>
        <v/>
      </c>
    </row>
    <row r="2046" spans="1:7" x14ac:dyDescent="0.3">
      <c r="A2046" s="21" t="str">
        <f>IF(A2045="","",IF(A2045+1&gt;Ввод!$B$4,"",A2045+1))</f>
        <v/>
      </c>
      <c r="B2046" s="23" t="str">
        <f>IF(A2046="","",IFERROR(INDEX(Ввод!$B$12:$B$71,MATCH(A2046,Ввод!$D$12:$D$71,1)),""))</f>
        <v/>
      </c>
      <c r="C2046" t="str">
        <f t="shared" si="62"/>
        <v/>
      </c>
      <c r="D2046" t="str">
        <f>IF(A2046="","",SUMIFS(Акты!$D$5:$D$16,Акты!$E$5:$E$16,"&lt;="&amp;A2046)-SUMIFS(Оплаты!$B$6:$B$505,Оплаты!$A$6:$A$505,"&lt;"&amp;A2046,Оплаты!$D$6:$D$505,"&lt;&gt;"))</f>
        <v/>
      </c>
      <c r="E2046" t="str">
        <f>IF(A2046="","",IF(SUMPRODUCT((Ввод!$F$12:$F$31&lt;&gt;"")*(Ввод!$F$12:$F$31&lt;=A2046)*(Ввод!$G$12:$G$31&gt;=A2046))&gt;0,1,0))</f>
        <v/>
      </c>
      <c r="G2046" t="str">
        <f t="shared" si="63"/>
        <v/>
      </c>
    </row>
    <row r="2047" spans="1:7" x14ac:dyDescent="0.3">
      <c r="A2047" s="21" t="str">
        <f>IF(A2046="","",IF(A2046+1&gt;Ввод!$B$4,"",A2046+1))</f>
        <v/>
      </c>
      <c r="B2047" s="23" t="str">
        <f>IF(A2047="","",IFERROR(INDEX(Ввод!$B$12:$B$71,MATCH(A2047,Ввод!$D$12:$D$71,1)),""))</f>
        <v/>
      </c>
      <c r="C2047" t="str">
        <f t="shared" si="62"/>
        <v/>
      </c>
      <c r="D2047" t="str">
        <f>IF(A2047="","",SUMIFS(Акты!$D$5:$D$16,Акты!$E$5:$E$16,"&lt;="&amp;A2047)-SUMIFS(Оплаты!$B$6:$B$505,Оплаты!$A$6:$A$505,"&lt;"&amp;A2047,Оплаты!$D$6:$D$505,"&lt;&gt;"))</f>
        <v/>
      </c>
      <c r="E2047" t="str">
        <f>IF(A2047="","",IF(SUMPRODUCT((Ввод!$F$12:$F$31&lt;&gt;"")*(Ввод!$F$12:$F$31&lt;=A2047)*(Ввод!$G$12:$G$31&gt;=A2047))&gt;0,1,0))</f>
        <v/>
      </c>
      <c r="G2047" t="str">
        <f t="shared" si="63"/>
        <v/>
      </c>
    </row>
    <row r="2048" spans="1:7" x14ac:dyDescent="0.3">
      <c r="A2048" s="21" t="str">
        <f>IF(A2047="","",IF(A2047+1&gt;Ввод!$B$4,"",A2047+1))</f>
        <v/>
      </c>
      <c r="B2048" s="23" t="str">
        <f>IF(A2048="","",IFERROR(INDEX(Ввод!$B$12:$B$71,MATCH(A2048,Ввод!$D$12:$D$71,1)),""))</f>
        <v/>
      </c>
      <c r="C2048" t="str">
        <f t="shared" si="62"/>
        <v/>
      </c>
      <c r="D2048" t="str">
        <f>IF(A2048="","",SUMIFS(Акты!$D$5:$D$16,Акты!$E$5:$E$16,"&lt;="&amp;A2048)-SUMIFS(Оплаты!$B$6:$B$505,Оплаты!$A$6:$A$505,"&lt;"&amp;A2048,Оплаты!$D$6:$D$505,"&lt;&gt;"))</f>
        <v/>
      </c>
      <c r="E2048" t="str">
        <f>IF(A2048="","",IF(SUMPRODUCT((Ввод!$F$12:$F$31&lt;&gt;"")*(Ввод!$F$12:$F$31&lt;=A2048)*(Ввод!$G$12:$G$31&gt;=A2048))&gt;0,1,0))</f>
        <v/>
      </c>
      <c r="G2048" t="str">
        <f t="shared" si="63"/>
        <v/>
      </c>
    </row>
    <row r="2049" spans="1:7" x14ac:dyDescent="0.3">
      <c r="A2049" s="21" t="str">
        <f>IF(A2048="","",IF(A2048+1&gt;Ввод!$B$4,"",A2048+1))</f>
        <v/>
      </c>
      <c r="B2049" s="23" t="str">
        <f>IF(A2049="","",IFERROR(INDEX(Ввод!$B$12:$B$71,MATCH(A2049,Ввод!$D$12:$D$71,1)),""))</f>
        <v/>
      </c>
      <c r="C2049" t="str">
        <f t="shared" si="62"/>
        <v/>
      </c>
      <c r="D2049" t="str">
        <f>IF(A2049="","",SUMIFS(Акты!$D$5:$D$16,Акты!$E$5:$E$16,"&lt;="&amp;A2049)-SUMIFS(Оплаты!$B$6:$B$505,Оплаты!$A$6:$A$505,"&lt;"&amp;A2049,Оплаты!$D$6:$D$505,"&lt;&gt;"))</f>
        <v/>
      </c>
      <c r="E2049" t="str">
        <f>IF(A2049="","",IF(SUMPRODUCT((Ввод!$F$12:$F$31&lt;&gt;"")*(Ввод!$F$12:$F$31&lt;=A2049)*(Ввод!$G$12:$G$31&gt;=A2049))&gt;0,1,0))</f>
        <v/>
      </c>
      <c r="G2049" t="str">
        <f t="shared" si="63"/>
        <v/>
      </c>
    </row>
    <row r="2050" spans="1:7" x14ac:dyDescent="0.3">
      <c r="A2050" s="21" t="str">
        <f>IF(A2049="","",IF(A2049+1&gt;Ввод!$B$4,"",A2049+1))</f>
        <v/>
      </c>
      <c r="B2050" s="23" t="str">
        <f>IF(A2050="","",IFERROR(INDEX(Ввод!$B$12:$B$71,MATCH(A2050,Ввод!$D$12:$D$71,1)),""))</f>
        <v/>
      </c>
      <c r="C2050" t="str">
        <f t="shared" ref="C2050:C2113" si="64">IF(A2050="","",DATE(YEAR(A2050),12,31)-DATE(YEAR(A2050),1,1)+1)</f>
        <v/>
      </c>
      <c r="D2050" t="str">
        <f>IF(A2050="","",SUMIFS(Акты!$D$5:$D$16,Акты!$E$5:$E$16,"&lt;="&amp;A2050)-SUMIFS(Оплаты!$B$6:$B$505,Оплаты!$A$6:$A$505,"&lt;"&amp;A2050,Оплаты!$D$6:$D$505,"&lt;&gt;"))</f>
        <v/>
      </c>
      <c r="E2050" t="str">
        <f>IF(A2050="","",IF(SUMPRODUCT((Ввод!$F$12:$F$31&lt;&gt;"")*(Ввод!$F$12:$F$31&lt;=A2050)*(Ввод!$G$12:$G$31&gt;=A2050))&gt;0,1,0))</f>
        <v/>
      </c>
      <c r="G2050" t="str">
        <f t="shared" si="63"/>
        <v/>
      </c>
    </row>
    <row r="2051" spans="1:7" x14ac:dyDescent="0.3">
      <c r="A2051" s="21" t="str">
        <f>IF(A2050="","",IF(A2050+1&gt;Ввод!$B$4,"",A2050+1))</f>
        <v/>
      </c>
      <c r="B2051" s="23" t="str">
        <f>IF(A2051="","",IFERROR(INDEX(Ввод!$B$12:$B$71,MATCH(A2051,Ввод!$D$12:$D$71,1)),""))</f>
        <v/>
      </c>
      <c r="C2051" t="str">
        <f t="shared" si="64"/>
        <v/>
      </c>
      <c r="D2051" t="str">
        <f>IF(A2051="","",SUMIFS(Акты!$D$5:$D$16,Акты!$E$5:$E$16,"&lt;="&amp;A2051)-SUMIFS(Оплаты!$B$6:$B$505,Оплаты!$A$6:$A$505,"&lt;"&amp;A2051,Оплаты!$D$6:$D$505,"&lt;&gt;"))</f>
        <v/>
      </c>
      <c r="E2051" t="str">
        <f>IF(A2051="","",IF(SUMPRODUCT((Ввод!$F$12:$F$31&lt;&gt;"")*(Ввод!$F$12:$F$31&lt;=A2051)*(Ввод!$G$12:$G$31&gt;=A2051))&gt;0,1,0))</f>
        <v/>
      </c>
      <c r="G2051" t="str">
        <f t="shared" ref="G2051:G2114" si="65">IF(A2051="","",IF(OR(B2051&lt;&gt;B2050,C2051&lt;&gt;C2050,E2051&lt;&gt;E2050),G2050+1,G2050))</f>
        <v/>
      </c>
    </row>
    <row r="2052" spans="1:7" x14ac:dyDescent="0.3">
      <c r="A2052" s="21" t="str">
        <f>IF(A2051="","",IF(A2051+1&gt;Ввод!$B$4,"",A2051+1))</f>
        <v/>
      </c>
      <c r="B2052" s="23" t="str">
        <f>IF(A2052="","",IFERROR(INDEX(Ввод!$B$12:$B$71,MATCH(A2052,Ввод!$D$12:$D$71,1)),""))</f>
        <v/>
      </c>
      <c r="C2052" t="str">
        <f t="shared" si="64"/>
        <v/>
      </c>
      <c r="D2052" t="str">
        <f>IF(A2052="","",SUMIFS(Акты!$D$5:$D$16,Акты!$E$5:$E$16,"&lt;="&amp;A2052)-SUMIFS(Оплаты!$B$6:$B$505,Оплаты!$A$6:$A$505,"&lt;"&amp;A2052,Оплаты!$D$6:$D$505,"&lt;&gt;"))</f>
        <v/>
      </c>
      <c r="E2052" t="str">
        <f>IF(A2052="","",IF(SUMPRODUCT((Ввод!$F$12:$F$31&lt;&gt;"")*(Ввод!$F$12:$F$31&lt;=A2052)*(Ввод!$G$12:$G$31&gt;=A2052))&gt;0,1,0))</f>
        <v/>
      </c>
      <c r="G2052" t="str">
        <f t="shared" si="65"/>
        <v/>
      </c>
    </row>
    <row r="2053" spans="1:7" x14ac:dyDescent="0.3">
      <c r="A2053" s="21" t="str">
        <f>IF(A2052="","",IF(A2052+1&gt;Ввод!$B$4,"",A2052+1))</f>
        <v/>
      </c>
      <c r="B2053" s="23" t="str">
        <f>IF(A2053="","",IFERROR(INDEX(Ввод!$B$12:$B$71,MATCH(A2053,Ввод!$D$12:$D$71,1)),""))</f>
        <v/>
      </c>
      <c r="C2053" t="str">
        <f t="shared" si="64"/>
        <v/>
      </c>
      <c r="D2053" t="str">
        <f>IF(A2053="","",SUMIFS(Акты!$D$5:$D$16,Акты!$E$5:$E$16,"&lt;="&amp;A2053)-SUMIFS(Оплаты!$B$6:$B$505,Оплаты!$A$6:$A$505,"&lt;"&amp;A2053,Оплаты!$D$6:$D$505,"&lt;&gt;"))</f>
        <v/>
      </c>
      <c r="E2053" t="str">
        <f>IF(A2053="","",IF(SUMPRODUCT((Ввод!$F$12:$F$31&lt;&gt;"")*(Ввод!$F$12:$F$31&lt;=A2053)*(Ввод!$G$12:$G$31&gt;=A2053))&gt;0,1,0))</f>
        <v/>
      </c>
      <c r="G2053" t="str">
        <f t="shared" si="65"/>
        <v/>
      </c>
    </row>
    <row r="2054" spans="1:7" x14ac:dyDescent="0.3">
      <c r="A2054" s="21" t="str">
        <f>IF(A2053="","",IF(A2053+1&gt;Ввод!$B$4,"",A2053+1))</f>
        <v/>
      </c>
      <c r="B2054" s="23" t="str">
        <f>IF(A2054="","",IFERROR(INDEX(Ввод!$B$12:$B$71,MATCH(A2054,Ввод!$D$12:$D$71,1)),""))</f>
        <v/>
      </c>
      <c r="C2054" t="str">
        <f t="shared" si="64"/>
        <v/>
      </c>
      <c r="D2054" t="str">
        <f>IF(A2054="","",SUMIFS(Акты!$D$5:$D$16,Акты!$E$5:$E$16,"&lt;="&amp;A2054)-SUMIFS(Оплаты!$B$6:$B$505,Оплаты!$A$6:$A$505,"&lt;"&amp;A2054,Оплаты!$D$6:$D$505,"&lt;&gt;"))</f>
        <v/>
      </c>
      <c r="E2054" t="str">
        <f>IF(A2054="","",IF(SUMPRODUCT((Ввод!$F$12:$F$31&lt;&gt;"")*(Ввод!$F$12:$F$31&lt;=A2054)*(Ввод!$G$12:$G$31&gt;=A2054))&gt;0,1,0))</f>
        <v/>
      </c>
      <c r="G2054" t="str">
        <f t="shared" si="65"/>
        <v/>
      </c>
    </row>
    <row r="2055" spans="1:7" x14ac:dyDescent="0.3">
      <c r="A2055" s="21" t="str">
        <f>IF(A2054="","",IF(A2054+1&gt;Ввод!$B$4,"",A2054+1))</f>
        <v/>
      </c>
      <c r="B2055" s="23" t="str">
        <f>IF(A2055="","",IFERROR(INDEX(Ввод!$B$12:$B$71,MATCH(A2055,Ввод!$D$12:$D$71,1)),""))</f>
        <v/>
      </c>
      <c r="C2055" t="str">
        <f t="shared" si="64"/>
        <v/>
      </c>
      <c r="D2055" t="str">
        <f>IF(A2055="","",SUMIFS(Акты!$D$5:$D$16,Акты!$E$5:$E$16,"&lt;="&amp;A2055)-SUMIFS(Оплаты!$B$6:$B$505,Оплаты!$A$6:$A$505,"&lt;"&amp;A2055,Оплаты!$D$6:$D$505,"&lt;&gt;"))</f>
        <v/>
      </c>
      <c r="E2055" t="str">
        <f>IF(A2055="","",IF(SUMPRODUCT((Ввод!$F$12:$F$31&lt;&gt;"")*(Ввод!$F$12:$F$31&lt;=A2055)*(Ввод!$G$12:$G$31&gt;=A2055))&gt;0,1,0))</f>
        <v/>
      </c>
      <c r="G2055" t="str">
        <f t="shared" si="65"/>
        <v/>
      </c>
    </row>
    <row r="2056" spans="1:7" x14ac:dyDescent="0.3">
      <c r="A2056" s="21" t="str">
        <f>IF(A2055="","",IF(A2055+1&gt;Ввод!$B$4,"",A2055+1))</f>
        <v/>
      </c>
      <c r="B2056" s="23" t="str">
        <f>IF(A2056="","",IFERROR(INDEX(Ввод!$B$12:$B$71,MATCH(A2056,Ввод!$D$12:$D$71,1)),""))</f>
        <v/>
      </c>
      <c r="C2056" t="str">
        <f t="shared" si="64"/>
        <v/>
      </c>
      <c r="D2056" t="str">
        <f>IF(A2056="","",SUMIFS(Акты!$D$5:$D$16,Акты!$E$5:$E$16,"&lt;="&amp;A2056)-SUMIFS(Оплаты!$B$6:$B$505,Оплаты!$A$6:$A$505,"&lt;"&amp;A2056,Оплаты!$D$6:$D$505,"&lt;&gt;"))</f>
        <v/>
      </c>
      <c r="E2056" t="str">
        <f>IF(A2056="","",IF(SUMPRODUCT((Ввод!$F$12:$F$31&lt;&gt;"")*(Ввод!$F$12:$F$31&lt;=A2056)*(Ввод!$G$12:$G$31&gt;=A2056))&gt;0,1,0))</f>
        <v/>
      </c>
      <c r="G2056" t="str">
        <f t="shared" si="65"/>
        <v/>
      </c>
    </row>
    <row r="2057" spans="1:7" x14ac:dyDescent="0.3">
      <c r="A2057" s="21" t="str">
        <f>IF(A2056="","",IF(A2056+1&gt;Ввод!$B$4,"",A2056+1))</f>
        <v/>
      </c>
      <c r="B2057" s="23" t="str">
        <f>IF(A2057="","",IFERROR(INDEX(Ввод!$B$12:$B$71,MATCH(A2057,Ввод!$D$12:$D$71,1)),""))</f>
        <v/>
      </c>
      <c r="C2057" t="str">
        <f t="shared" si="64"/>
        <v/>
      </c>
      <c r="D2057" t="str">
        <f>IF(A2057="","",SUMIFS(Акты!$D$5:$D$16,Акты!$E$5:$E$16,"&lt;="&amp;A2057)-SUMIFS(Оплаты!$B$6:$B$505,Оплаты!$A$6:$A$505,"&lt;"&amp;A2057,Оплаты!$D$6:$D$505,"&lt;&gt;"))</f>
        <v/>
      </c>
      <c r="E2057" t="str">
        <f>IF(A2057="","",IF(SUMPRODUCT((Ввод!$F$12:$F$31&lt;&gt;"")*(Ввод!$F$12:$F$31&lt;=A2057)*(Ввод!$G$12:$G$31&gt;=A2057))&gt;0,1,0))</f>
        <v/>
      </c>
      <c r="G2057" t="str">
        <f t="shared" si="65"/>
        <v/>
      </c>
    </row>
    <row r="2058" spans="1:7" x14ac:dyDescent="0.3">
      <c r="A2058" s="21" t="str">
        <f>IF(A2057="","",IF(A2057+1&gt;Ввод!$B$4,"",A2057+1))</f>
        <v/>
      </c>
      <c r="B2058" s="23" t="str">
        <f>IF(A2058="","",IFERROR(INDEX(Ввод!$B$12:$B$71,MATCH(A2058,Ввод!$D$12:$D$71,1)),""))</f>
        <v/>
      </c>
      <c r="C2058" t="str">
        <f t="shared" si="64"/>
        <v/>
      </c>
      <c r="D2058" t="str">
        <f>IF(A2058="","",SUMIFS(Акты!$D$5:$D$16,Акты!$E$5:$E$16,"&lt;="&amp;A2058)-SUMIFS(Оплаты!$B$6:$B$505,Оплаты!$A$6:$A$505,"&lt;"&amp;A2058,Оплаты!$D$6:$D$505,"&lt;&gt;"))</f>
        <v/>
      </c>
      <c r="E2058" t="str">
        <f>IF(A2058="","",IF(SUMPRODUCT((Ввод!$F$12:$F$31&lt;&gt;"")*(Ввод!$F$12:$F$31&lt;=A2058)*(Ввод!$G$12:$G$31&gt;=A2058))&gt;0,1,0))</f>
        <v/>
      </c>
      <c r="G2058" t="str">
        <f t="shared" si="65"/>
        <v/>
      </c>
    </row>
    <row r="2059" spans="1:7" x14ac:dyDescent="0.3">
      <c r="A2059" s="21" t="str">
        <f>IF(A2058="","",IF(A2058+1&gt;Ввод!$B$4,"",A2058+1))</f>
        <v/>
      </c>
      <c r="B2059" s="23" t="str">
        <f>IF(A2059="","",IFERROR(INDEX(Ввод!$B$12:$B$71,MATCH(A2059,Ввод!$D$12:$D$71,1)),""))</f>
        <v/>
      </c>
      <c r="C2059" t="str">
        <f t="shared" si="64"/>
        <v/>
      </c>
      <c r="D2059" t="str">
        <f>IF(A2059="","",SUMIFS(Акты!$D$5:$D$16,Акты!$E$5:$E$16,"&lt;="&amp;A2059)-SUMIFS(Оплаты!$B$6:$B$505,Оплаты!$A$6:$A$505,"&lt;"&amp;A2059,Оплаты!$D$6:$D$505,"&lt;&gt;"))</f>
        <v/>
      </c>
      <c r="E2059" t="str">
        <f>IF(A2059="","",IF(SUMPRODUCT((Ввод!$F$12:$F$31&lt;&gt;"")*(Ввод!$F$12:$F$31&lt;=A2059)*(Ввод!$G$12:$G$31&gt;=A2059))&gt;0,1,0))</f>
        <v/>
      </c>
      <c r="G2059" t="str">
        <f t="shared" si="65"/>
        <v/>
      </c>
    </row>
    <row r="2060" spans="1:7" x14ac:dyDescent="0.3">
      <c r="A2060" s="21" t="str">
        <f>IF(A2059="","",IF(A2059+1&gt;Ввод!$B$4,"",A2059+1))</f>
        <v/>
      </c>
      <c r="B2060" s="23" t="str">
        <f>IF(A2060="","",IFERROR(INDEX(Ввод!$B$12:$B$71,MATCH(A2060,Ввод!$D$12:$D$71,1)),""))</f>
        <v/>
      </c>
      <c r="C2060" t="str">
        <f t="shared" si="64"/>
        <v/>
      </c>
      <c r="D2060" t="str">
        <f>IF(A2060="","",SUMIFS(Акты!$D$5:$D$16,Акты!$E$5:$E$16,"&lt;="&amp;A2060)-SUMIFS(Оплаты!$B$6:$B$505,Оплаты!$A$6:$A$505,"&lt;"&amp;A2060,Оплаты!$D$6:$D$505,"&lt;&gt;"))</f>
        <v/>
      </c>
      <c r="E2060" t="str">
        <f>IF(A2060="","",IF(SUMPRODUCT((Ввод!$F$12:$F$31&lt;&gt;"")*(Ввод!$F$12:$F$31&lt;=A2060)*(Ввод!$G$12:$G$31&gt;=A2060))&gt;0,1,0))</f>
        <v/>
      </c>
      <c r="G2060" t="str">
        <f t="shared" si="65"/>
        <v/>
      </c>
    </row>
    <row r="2061" spans="1:7" x14ac:dyDescent="0.3">
      <c r="A2061" s="21" t="str">
        <f>IF(A2060="","",IF(A2060+1&gt;Ввод!$B$4,"",A2060+1))</f>
        <v/>
      </c>
      <c r="B2061" s="23" t="str">
        <f>IF(A2061="","",IFERROR(INDEX(Ввод!$B$12:$B$71,MATCH(A2061,Ввод!$D$12:$D$71,1)),""))</f>
        <v/>
      </c>
      <c r="C2061" t="str">
        <f t="shared" si="64"/>
        <v/>
      </c>
      <c r="D2061" t="str">
        <f>IF(A2061="","",SUMIFS(Акты!$D$5:$D$16,Акты!$E$5:$E$16,"&lt;="&amp;A2061)-SUMIFS(Оплаты!$B$6:$B$505,Оплаты!$A$6:$A$505,"&lt;"&amp;A2061,Оплаты!$D$6:$D$505,"&lt;&gt;"))</f>
        <v/>
      </c>
      <c r="E2061" t="str">
        <f>IF(A2061="","",IF(SUMPRODUCT((Ввод!$F$12:$F$31&lt;&gt;"")*(Ввод!$F$12:$F$31&lt;=A2061)*(Ввод!$G$12:$G$31&gt;=A2061))&gt;0,1,0))</f>
        <v/>
      </c>
      <c r="G2061" t="str">
        <f t="shared" si="65"/>
        <v/>
      </c>
    </row>
    <row r="2062" spans="1:7" x14ac:dyDescent="0.3">
      <c r="A2062" s="21" t="str">
        <f>IF(A2061="","",IF(A2061+1&gt;Ввод!$B$4,"",A2061+1))</f>
        <v/>
      </c>
      <c r="B2062" s="23" t="str">
        <f>IF(A2062="","",IFERROR(INDEX(Ввод!$B$12:$B$71,MATCH(A2062,Ввод!$D$12:$D$71,1)),""))</f>
        <v/>
      </c>
      <c r="C2062" t="str">
        <f t="shared" si="64"/>
        <v/>
      </c>
      <c r="D2062" t="str">
        <f>IF(A2062="","",SUMIFS(Акты!$D$5:$D$16,Акты!$E$5:$E$16,"&lt;="&amp;A2062)-SUMIFS(Оплаты!$B$6:$B$505,Оплаты!$A$6:$A$505,"&lt;"&amp;A2062,Оплаты!$D$6:$D$505,"&lt;&gt;"))</f>
        <v/>
      </c>
      <c r="E2062" t="str">
        <f>IF(A2062="","",IF(SUMPRODUCT((Ввод!$F$12:$F$31&lt;&gt;"")*(Ввод!$F$12:$F$31&lt;=A2062)*(Ввод!$G$12:$G$31&gt;=A2062))&gt;0,1,0))</f>
        <v/>
      </c>
      <c r="G2062" t="str">
        <f t="shared" si="65"/>
        <v/>
      </c>
    </row>
    <row r="2063" spans="1:7" x14ac:dyDescent="0.3">
      <c r="A2063" s="21" t="str">
        <f>IF(A2062="","",IF(A2062+1&gt;Ввод!$B$4,"",A2062+1))</f>
        <v/>
      </c>
      <c r="B2063" s="23" t="str">
        <f>IF(A2063="","",IFERROR(INDEX(Ввод!$B$12:$B$71,MATCH(A2063,Ввод!$D$12:$D$71,1)),""))</f>
        <v/>
      </c>
      <c r="C2063" t="str">
        <f t="shared" si="64"/>
        <v/>
      </c>
      <c r="D2063" t="str">
        <f>IF(A2063="","",SUMIFS(Акты!$D$5:$D$16,Акты!$E$5:$E$16,"&lt;="&amp;A2063)-SUMIFS(Оплаты!$B$6:$B$505,Оплаты!$A$6:$A$505,"&lt;"&amp;A2063,Оплаты!$D$6:$D$505,"&lt;&gt;"))</f>
        <v/>
      </c>
      <c r="E2063" t="str">
        <f>IF(A2063="","",IF(SUMPRODUCT((Ввод!$F$12:$F$31&lt;&gt;"")*(Ввод!$F$12:$F$31&lt;=A2063)*(Ввод!$G$12:$G$31&gt;=A2063))&gt;0,1,0))</f>
        <v/>
      </c>
      <c r="G2063" t="str">
        <f t="shared" si="65"/>
        <v/>
      </c>
    </row>
    <row r="2064" spans="1:7" x14ac:dyDescent="0.3">
      <c r="A2064" s="21" t="str">
        <f>IF(A2063="","",IF(A2063+1&gt;Ввод!$B$4,"",A2063+1))</f>
        <v/>
      </c>
      <c r="B2064" s="23" t="str">
        <f>IF(A2064="","",IFERROR(INDEX(Ввод!$B$12:$B$71,MATCH(A2064,Ввод!$D$12:$D$71,1)),""))</f>
        <v/>
      </c>
      <c r="C2064" t="str">
        <f t="shared" si="64"/>
        <v/>
      </c>
      <c r="D2064" t="str">
        <f>IF(A2064="","",SUMIFS(Акты!$D$5:$D$16,Акты!$E$5:$E$16,"&lt;="&amp;A2064)-SUMIFS(Оплаты!$B$6:$B$505,Оплаты!$A$6:$A$505,"&lt;"&amp;A2064,Оплаты!$D$6:$D$505,"&lt;&gt;"))</f>
        <v/>
      </c>
      <c r="E2064" t="str">
        <f>IF(A2064="","",IF(SUMPRODUCT((Ввод!$F$12:$F$31&lt;&gt;"")*(Ввод!$F$12:$F$31&lt;=A2064)*(Ввод!$G$12:$G$31&gt;=A2064))&gt;0,1,0))</f>
        <v/>
      </c>
      <c r="G2064" t="str">
        <f t="shared" si="65"/>
        <v/>
      </c>
    </row>
    <row r="2065" spans="1:7" x14ac:dyDescent="0.3">
      <c r="A2065" s="21" t="str">
        <f>IF(A2064="","",IF(A2064+1&gt;Ввод!$B$4,"",A2064+1))</f>
        <v/>
      </c>
      <c r="B2065" s="23" t="str">
        <f>IF(A2065="","",IFERROR(INDEX(Ввод!$B$12:$B$71,MATCH(A2065,Ввод!$D$12:$D$71,1)),""))</f>
        <v/>
      </c>
      <c r="C2065" t="str">
        <f t="shared" si="64"/>
        <v/>
      </c>
      <c r="D2065" t="str">
        <f>IF(A2065="","",SUMIFS(Акты!$D$5:$D$16,Акты!$E$5:$E$16,"&lt;="&amp;A2065)-SUMIFS(Оплаты!$B$6:$B$505,Оплаты!$A$6:$A$505,"&lt;"&amp;A2065,Оплаты!$D$6:$D$505,"&lt;&gt;"))</f>
        <v/>
      </c>
      <c r="E2065" t="str">
        <f>IF(A2065="","",IF(SUMPRODUCT((Ввод!$F$12:$F$31&lt;&gt;"")*(Ввод!$F$12:$F$31&lt;=A2065)*(Ввод!$G$12:$G$31&gt;=A2065))&gt;0,1,0))</f>
        <v/>
      </c>
      <c r="G2065" t="str">
        <f t="shared" si="65"/>
        <v/>
      </c>
    </row>
    <row r="2066" spans="1:7" x14ac:dyDescent="0.3">
      <c r="A2066" s="21" t="str">
        <f>IF(A2065="","",IF(A2065+1&gt;Ввод!$B$4,"",A2065+1))</f>
        <v/>
      </c>
      <c r="B2066" s="23" t="str">
        <f>IF(A2066="","",IFERROR(INDEX(Ввод!$B$12:$B$71,MATCH(A2066,Ввод!$D$12:$D$71,1)),""))</f>
        <v/>
      </c>
      <c r="C2066" t="str">
        <f t="shared" si="64"/>
        <v/>
      </c>
      <c r="D2066" t="str">
        <f>IF(A2066="","",SUMIFS(Акты!$D$5:$D$16,Акты!$E$5:$E$16,"&lt;="&amp;A2066)-SUMIFS(Оплаты!$B$6:$B$505,Оплаты!$A$6:$A$505,"&lt;"&amp;A2066,Оплаты!$D$6:$D$505,"&lt;&gt;"))</f>
        <v/>
      </c>
      <c r="E2066" t="str">
        <f>IF(A2066="","",IF(SUMPRODUCT((Ввод!$F$12:$F$31&lt;&gt;"")*(Ввод!$F$12:$F$31&lt;=A2066)*(Ввод!$G$12:$G$31&gt;=A2066))&gt;0,1,0))</f>
        <v/>
      </c>
      <c r="G2066" t="str">
        <f t="shared" si="65"/>
        <v/>
      </c>
    </row>
    <row r="2067" spans="1:7" x14ac:dyDescent="0.3">
      <c r="A2067" s="21" t="str">
        <f>IF(A2066="","",IF(A2066+1&gt;Ввод!$B$4,"",A2066+1))</f>
        <v/>
      </c>
      <c r="B2067" s="23" t="str">
        <f>IF(A2067="","",IFERROR(INDEX(Ввод!$B$12:$B$71,MATCH(A2067,Ввод!$D$12:$D$71,1)),""))</f>
        <v/>
      </c>
      <c r="C2067" t="str">
        <f t="shared" si="64"/>
        <v/>
      </c>
      <c r="D2067" t="str">
        <f>IF(A2067="","",SUMIFS(Акты!$D$5:$D$16,Акты!$E$5:$E$16,"&lt;="&amp;A2067)-SUMIFS(Оплаты!$B$6:$B$505,Оплаты!$A$6:$A$505,"&lt;"&amp;A2067,Оплаты!$D$6:$D$505,"&lt;&gt;"))</f>
        <v/>
      </c>
      <c r="E2067" t="str">
        <f>IF(A2067="","",IF(SUMPRODUCT((Ввод!$F$12:$F$31&lt;&gt;"")*(Ввод!$F$12:$F$31&lt;=A2067)*(Ввод!$G$12:$G$31&gt;=A2067))&gt;0,1,0))</f>
        <v/>
      </c>
      <c r="G2067" t="str">
        <f t="shared" si="65"/>
        <v/>
      </c>
    </row>
    <row r="2068" spans="1:7" x14ac:dyDescent="0.3">
      <c r="A2068" s="21" t="str">
        <f>IF(A2067="","",IF(A2067+1&gt;Ввод!$B$4,"",A2067+1))</f>
        <v/>
      </c>
      <c r="B2068" s="23" t="str">
        <f>IF(A2068="","",IFERROR(INDEX(Ввод!$B$12:$B$71,MATCH(A2068,Ввод!$D$12:$D$71,1)),""))</f>
        <v/>
      </c>
      <c r="C2068" t="str">
        <f t="shared" si="64"/>
        <v/>
      </c>
      <c r="D2068" t="str">
        <f>IF(A2068="","",SUMIFS(Акты!$D$5:$D$16,Акты!$E$5:$E$16,"&lt;="&amp;A2068)-SUMIFS(Оплаты!$B$6:$B$505,Оплаты!$A$6:$A$505,"&lt;"&amp;A2068,Оплаты!$D$6:$D$505,"&lt;&gt;"))</f>
        <v/>
      </c>
      <c r="E2068" t="str">
        <f>IF(A2068="","",IF(SUMPRODUCT((Ввод!$F$12:$F$31&lt;&gt;"")*(Ввод!$F$12:$F$31&lt;=A2068)*(Ввод!$G$12:$G$31&gt;=A2068))&gt;0,1,0))</f>
        <v/>
      </c>
      <c r="G2068" t="str">
        <f t="shared" si="65"/>
        <v/>
      </c>
    </row>
    <row r="2069" spans="1:7" x14ac:dyDescent="0.3">
      <c r="A2069" s="21" t="str">
        <f>IF(A2068="","",IF(A2068+1&gt;Ввод!$B$4,"",A2068+1))</f>
        <v/>
      </c>
      <c r="B2069" s="23" t="str">
        <f>IF(A2069="","",IFERROR(INDEX(Ввод!$B$12:$B$71,MATCH(A2069,Ввод!$D$12:$D$71,1)),""))</f>
        <v/>
      </c>
      <c r="C2069" t="str">
        <f t="shared" si="64"/>
        <v/>
      </c>
      <c r="D2069" t="str">
        <f>IF(A2069="","",SUMIFS(Акты!$D$5:$D$16,Акты!$E$5:$E$16,"&lt;="&amp;A2069)-SUMIFS(Оплаты!$B$6:$B$505,Оплаты!$A$6:$A$505,"&lt;"&amp;A2069,Оплаты!$D$6:$D$505,"&lt;&gt;"))</f>
        <v/>
      </c>
      <c r="E2069" t="str">
        <f>IF(A2069="","",IF(SUMPRODUCT((Ввод!$F$12:$F$31&lt;&gt;"")*(Ввод!$F$12:$F$31&lt;=A2069)*(Ввод!$G$12:$G$31&gt;=A2069))&gt;0,1,0))</f>
        <v/>
      </c>
      <c r="G2069" t="str">
        <f t="shared" si="65"/>
        <v/>
      </c>
    </row>
    <row r="2070" spans="1:7" x14ac:dyDescent="0.3">
      <c r="A2070" s="21" t="str">
        <f>IF(A2069="","",IF(A2069+1&gt;Ввод!$B$4,"",A2069+1))</f>
        <v/>
      </c>
      <c r="B2070" s="23" t="str">
        <f>IF(A2070="","",IFERROR(INDEX(Ввод!$B$12:$B$71,MATCH(A2070,Ввод!$D$12:$D$71,1)),""))</f>
        <v/>
      </c>
      <c r="C2070" t="str">
        <f t="shared" si="64"/>
        <v/>
      </c>
      <c r="D2070" t="str">
        <f>IF(A2070="","",SUMIFS(Акты!$D$5:$D$16,Акты!$E$5:$E$16,"&lt;="&amp;A2070)-SUMIFS(Оплаты!$B$6:$B$505,Оплаты!$A$6:$A$505,"&lt;"&amp;A2070,Оплаты!$D$6:$D$505,"&lt;&gt;"))</f>
        <v/>
      </c>
      <c r="E2070" t="str">
        <f>IF(A2070="","",IF(SUMPRODUCT((Ввод!$F$12:$F$31&lt;&gt;"")*(Ввод!$F$12:$F$31&lt;=A2070)*(Ввод!$G$12:$G$31&gt;=A2070))&gt;0,1,0))</f>
        <v/>
      </c>
      <c r="G2070" t="str">
        <f t="shared" si="65"/>
        <v/>
      </c>
    </row>
    <row r="2071" spans="1:7" x14ac:dyDescent="0.3">
      <c r="A2071" s="21" t="str">
        <f>IF(A2070="","",IF(A2070+1&gt;Ввод!$B$4,"",A2070+1))</f>
        <v/>
      </c>
      <c r="B2071" s="23" t="str">
        <f>IF(A2071="","",IFERROR(INDEX(Ввод!$B$12:$B$71,MATCH(A2071,Ввод!$D$12:$D$71,1)),""))</f>
        <v/>
      </c>
      <c r="C2071" t="str">
        <f t="shared" si="64"/>
        <v/>
      </c>
      <c r="D2071" t="str">
        <f>IF(A2071="","",SUMIFS(Акты!$D$5:$D$16,Акты!$E$5:$E$16,"&lt;="&amp;A2071)-SUMIFS(Оплаты!$B$6:$B$505,Оплаты!$A$6:$A$505,"&lt;"&amp;A2071,Оплаты!$D$6:$D$505,"&lt;&gt;"))</f>
        <v/>
      </c>
      <c r="E2071" t="str">
        <f>IF(A2071="","",IF(SUMPRODUCT((Ввод!$F$12:$F$31&lt;&gt;"")*(Ввод!$F$12:$F$31&lt;=A2071)*(Ввод!$G$12:$G$31&gt;=A2071))&gt;0,1,0))</f>
        <v/>
      </c>
      <c r="G2071" t="str">
        <f t="shared" si="65"/>
        <v/>
      </c>
    </row>
    <row r="2072" spans="1:7" x14ac:dyDescent="0.3">
      <c r="A2072" s="21" t="str">
        <f>IF(A2071="","",IF(A2071+1&gt;Ввод!$B$4,"",A2071+1))</f>
        <v/>
      </c>
      <c r="B2072" s="23" t="str">
        <f>IF(A2072="","",IFERROR(INDEX(Ввод!$B$12:$B$71,MATCH(A2072,Ввод!$D$12:$D$71,1)),""))</f>
        <v/>
      </c>
      <c r="C2072" t="str">
        <f t="shared" si="64"/>
        <v/>
      </c>
      <c r="D2072" t="str">
        <f>IF(A2072="","",SUMIFS(Акты!$D$5:$D$16,Акты!$E$5:$E$16,"&lt;="&amp;A2072)-SUMIFS(Оплаты!$B$6:$B$505,Оплаты!$A$6:$A$505,"&lt;"&amp;A2072,Оплаты!$D$6:$D$505,"&lt;&gt;"))</f>
        <v/>
      </c>
      <c r="E2072" t="str">
        <f>IF(A2072="","",IF(SUMPRODUCT((Ввод!$F$12:$F$31&lt;&gt;"")*(Ввод!$F$12:$F$31&lt;=A2072)*(Ввод!$G$12:$G$31&gt;=A2072))&gt;0,1,0))</f>
        <v/>
      </c>
      <c r="G2072" t="str">
        <f t="shared" si="65"/>
        <v/>
      </c>
    </row>
    <row r="2073" spans="1:7" x14ac:dyDescent="0.3">
      <c r="A2073" s="21" t="str">
        <f>IF(A2072="","",IF(A2072+1&gt;Ввод!$B$4,"",A2072+1))</f>
        <v/>
      </c>
      <c r="B2073" s="23" t="str">
        <f>IF(A2073="","",IFERROR(INDEX(Ввод!$B$12:$B$71,MATCH(A2073,Ввод!$D$12:$D$71,1)),""))</f>
        <v/>
      </c>
      <c r="C2073" t="str">
        <f t="shared" si="64"/>
        <v/>
      </c>
      <c r="D2073" t="str">
        <f>IF(A2073="","",SUMIFS(Акты!$D$5:$D$16,Акты!$E$5:$E$16,"&lt;="&amp;A2073)-SUMIFS(Оплаты!$B$6:$B$505,Оплаты!$A$6:$A$505,"&lt;"&amp;A2073,Оплаты!$D$6:$D$505,"&lt;&gt;"))</f>
        <v/>
      </c>
      <c r="E2073" t="str">
        <f>IF(A2073="","",IF(SUMPRODUCT((Ввод!$F$12:$F$31&lt;&gt;"")*(Ввод!$F$12:$F$31&lt;=A2073)*(Ввод!$G$12:$G$31&gt;=A2073))&gt;0,1,0))</f>
        <v/>
      </c>
      <c r="G2073" t="str">
        <f t="shared" si="65"/>
        <v/>
      </c>
    </row>
    <row r="2074" spans="1:7" x14ac:dyDescent="0.3">
      <c r="A2074" s="21" t="str">
        <f>IF(A2073="","",IF(A2073+1&gt;Ввод!$B$4,"",A2073+1))</f>
        <v/>
      </c>
      <c r="B2074" s="23" t="str">
        <f>IF(A2074="","",IFERROR(INDEX(Ввод!$B$12:$B$71,MATCH(A2074,Ввод!$D$12:$D$71,1)),""))</f>
        <v/>
      </c>
      <c r="C2074" t="str">
        <f t="shared" si="64"/>
        <v/>
      </c>
      <c r="D2074" t="str">
        <f>IF(A2074="","",SUMIFS(Акты!$D$5:$D$16,Акты!$E$5:$E$16,"&lt;="&amp;A2074)-SUMIFS(Оплаты!$B$6:$B$505,Оплаты!$A$6:$A$505,"&lt;"&amp;A2074,Оплаты!$D$6:$D$505,"&lt;&gt;"))</f>
        <v/>
      </c>
      <c r="E2074" t="str">
        <f>IF(A2074="","",IF(SUMPRODUCT((Ввод!$F$12:$F$31&lt;&gt;"")*(Ввод!$F$12:$F$31&lt;=A2074)*(Ввод!$G$12:$G$31&gt;=A2074))&gt;0,1,0))</f>
        <v/>
      </c>
      <c r="G2074" t="str">
        <f t="shared" si="65"/>
        <v/>
      </c>
    </row>
    <row r="2075" spans="1:7" x14ac:dyDescent="0.3">
      <c r="A2075" s="21" t="str">
        <f>IF(A2074="","",IF(A2074+1&gt;Ввод!$B$4,"",A2074+1))</f>
        <v/>
      </c>
      <c r="B2075" s="23" t="str">
        <f>IF(A2075="","",IFERROR(INDEX(Ввод!$B$12:$B$71,MATCH(A2075,Ввод!$D$12:$D$71,1)),""))</f>
        <v/>
      </c>
      <c r="C2075" t="str">
        <f t="shared" si="64"/>
        <v/>
      </c>
      <c r="D2075" t="str">
        <f>IF(A2075="","",SUMIFS(Акты!$D$5:$D$16,Акты!$E$5:$E$16,"&lt;="&amp;A2075)-SUMIFS(Оплаты!$B$6:$B$505,Оплаты!$A$6:$A$505,"&lt;"&amp;A2075,Оплаты!$D$6:$D$505,"&lt;&gt;"))</f>
        <v/>
      </c>
      <c r="E2075" t="str">
        <f>IF(A2075="","",IF(SUMPRODUCT((Ввод!$F$12:$F$31&lt;&gt;"")*(Ввод!$F$12:$F$31&lt;=A2075)*(Ввод!$G$12:$G$31&gt;=A2075))&gt;0,1,0))</f>
        <v/>
      </c>
      <c r="G2075" t="str">
        <f t="shared" si="65"/>
        <v/>
      </c>
    </row>
    <row r="2076" spans="1:7" x14ac:dyDescent="0.3">
      <c r="A2076" s="21" t="str">
        <f>IF(A2075="","",IF(A2075+1&gt;Ввод!$B$4,"",A2075+1))</f>
        <v/>
      </c>
      <c r="B2076" s="23" t="str">
        <f>IF(A2076="","",IFERROR(INDEX(Ввод!$B$12:$B$71,MATCH(A2076,Ввод!$D$12:$D$71,1)),""))</f>
        <v/>
      </c>
      <c r="C2076" t="str">
        <f t="shared" si="64"/>
        <v/>
      </c>
      <c r="D2076" t="str">
        <f>IF(A2076="","",SUMIFS(Акты!$D$5:$D$16,Акты!$E$5:$E$16,"&lt;="&amp;A2076)-SUMIFS(Оплаты!$B$6:$B$505,Оплаты!$A$6:$A$505,"&lt;"&amp;A2076,Оплаты!$D$6:$D$505,"&lt;&gt;"))</f>
        <v/>
      </c>
      <c r="E2076" t="str">
        <f>IF(A2076="","",IF(SUMPRODUCT((Ввод!$F$12:$F$31&lt;&gt;"")*(Ввод!$F$12:$F$31&lt;=A2076)*(Ввод!$G$12:$G$31&gt;=A2076))&gt;0,1,0))</f>
        <v/>
      </c>
      <c r="G2076" t="str">
        <f t="shared" si="65"/>
        <v/>
      </c>
    </row>
    <row r="2077" spans="1:7" x14ac:dyDescent="0.3">
      <c r="A2077" s="21" t="str">
        <f>IF(A2076="","",IF(A2076+1&gt;Ввод!$B$4,"",A2076+1))</f>
        <v/>
      </c>
      <c r="B2077" s="23" t="str">
        <f>IF(A2077="","",IFERROR(INDEX(Ввод!$B$12:$B$71,MATCH(A2077,Ввод!$D$12:$D$71,1)),""))</f>
        <v/>
      </c>
      <c r="C2077" t="str">
        <f t="shared" si="64"/>
        <v/>
      </c>
      <c r="D2077" t="str">
        <f>IF(A2077="","",SUMIFS(Акты!$D$5:$D$16,Акты!$E$5:$E$16,"&lt;="&amp;A2077)-SUMIFS(Оплаты!$B$6:$B$505,Оплаты!$A$6:$A$505,"&lt;"&amp;A2077,Оплаты!$D$6:$D$505,"&lt;&gt;"))</f>
        <v/>
      </c>
      <c r="E2077" t="str">
        <f>IF(A2077="","",IF(SUMPRODUCT((Ввод!$F$12:$F$31&lt;&gt;"")*(Ввод!$F$12:$F$31&lt;=A2077)*(Ввод!$G$12:$G$31&gt;=A2077))&gt;0,1,0))</f>
        <v/>
      </c>
      <c r="G2077" t="str">
        <f t="shared" si="65"/>
        <v/>
      </c>
    </row>
    <row r="2078" spans="1:7" x14ac:dyDescent="0.3">
      <c r="A2078" s="21" t="str">
        <f>IF(A2077="","",IF(A2077+1&gt;Ввод!$B$4,"",A2077+1))</f>
        <v/>
      </c>
      <c r="B2078" s="23" t="str">
        <f>IF(A2078="","",IFERROR(INDEX(Ввод!$B$12:$B$71,MATCH(A2078,Ввод!$D$12:$D$71,1)),""))</f>
        <v/>
      </c>
      <c r="C2078" t="str">
        <f t="shared" si="64"/>
        <v/>
      </c>
      <c r="D2078" t="str">
        <f>IF(A2078="","",SUMIFS(Акты!$D$5:$D$16,Акты!$E$5:$E$16,"&lt;="&amp;A2078)-SUMIFS(Оплаты!$B$6:$B$505,Оплаты!$A$6:$A$505,"&lt;"&amp;A2078,Оплаты!$D$6:$D$505,"&lt;&gt;"))</f>
        <v/>
      </c>
      <c r="E2078" t="str">
        <f>IF(A2078="","",IF(SUMPRODUCT((Ввод!$F$12:$F$31&lt;&gt;"")*(Ввод!$F$12:$F$31&lt;=A2078)*(Ввод!$G$12:$G$31&gt;=A2078))&gt;0,1,0))</f>
        <v/>
      </c>
      <c r="G2078" t="str">
        <f t="shared" si="65"/>
        <v/>
      </c>
    </row>
    <row r="2079" spans="1:7" x14ac:dyDescent="0.3">
      <c r="A2079" s="21" t="str">
        <f>IF(A2078="","",IF(A2078+1&gt;Ввод!$B$4,"",A2078+1))</f>
        <v/>
      </c>
      <c r="B2079" s="23" t="str">
        <f>IF(A2079="","",IFERROR(INDEX(Ввод!$B$12:$B$71,MATCH(A2079,Ввод!$D$12:$D$71,1)),""))</f>
        <v/>
      </c>
      <c r="C2079" t="str">
        <f t="shared" si="64"/>
        <v/>
      </c>
      <c r="D2079" t="str">
        <f>IF(A2079="","",SUMIFS(Акты!$D$5:$D$16,Акты!$E$5:$E$16,"&lt;="&amp;A2079)-SUMIFS(Оплаты!$B$6:$B$505,Оплаты!$A$6:$A$505,"&lt;"&amp;A2079,Оплаты!$D$6:$D$505,"&lt;&gt;"))</f>
        <v/>
      </c>
      <c r="E2079" t="str">
        <f>IF(A2079="","",IF(SUMPRODUCT((Ввод!$F$12:$F$31&lt;&gt;"")*(Ввод!$F$12:$F$31&lt;=A2079)*(Ввод!$G$12:$G$31&gt;=A2079))&gt;0,1,0))</f>
        <v/>
      </c>
      <c r="G2079" t="str">
        <f t="shared" si="65"/>
        <v/>
      </c>
    </row>
    <row r="2080" spans="1:7" x14ac:dyDescent="0.3">
      <c r="A2080" s="21" t="str">
        <f>IF(A2079="","",IF(A2079+1&gt;Ввод!$B$4,"",A2079+1))</f>
        <v/>
      </c>
      <c r="B2080" s="23" t="str">
        <f>IF(A2080="","",IFERROR(INDEX(Ввод!$B$12:$B$71,MATCH(A2080,Ввод!$D$12:$D$71,1)),""))</f>
        <v/>
      </c>
      <c r="C2080" t="str">
        <f t="shared" si="64"/>
        <v/>
      </c>
      <c r="D2080" t="str">
        <f>IF(A2080="","",SUMIFS(Акты!$D$5:$D$16,Акты!$E$5:$E$16,"&lt;="&amp;A2080)-SUMIFS(Оплаты!$B$6:$B$505,Оплаты!$A$6:$A$505,"&lt;"&amp;A2080,Оплаты!$D$6:$D$505,"&lt;&gt;"))</f>
        <v/>
      </c>
      <c r="E2080" t="str">
        <f>IF(A2080="","",IF(SUMPRODUCT((Ввод!$F$12:$F$31&lt;&gt;"")*(Ввод!$F$12:$F$31&lt;=A2080)*(Ввод!$G$12:$G$31&gt;=A2080))&gt;0,1,0))</f>
        <v/>
      </c>
      <c r="G2080" t="str">
        <f t="shared" si="65"/>
        <v/>
      </c>
    </row>
    <row r="2081" spans="1:7" x14ac:dyDescent="0.3">
      <c r="A2081" s="21" t="str">
        <f>IF(A2080="","",IF(A2080+1&gt;Ввод!$B$4,"",A2080+1))</f>
        <v/>
      </c>
      <c r="B2081" s="23" t="str">
        <f>IF(A2081="","",IFERROR(INDEX(Ввод!$B$12:$B$71,MATCH(A2081,Ввод!$D$12:$D$71,1)),""))</f>
        <v/>
      </c>
      <c r="C2081" t="str">
        <f t="shared" si="64"/>
        <v/>
      </c>
      <c r="D2081" t="str">
        <f>IF(A2081="","",SUMIFS(Акты!$D$5:$D$16,Акты!$E$5:$E$16,"&lt;="&amp;A2081)-SUMIFS(Оплаты!$B$6:$B$505,Оплаты!$A$6:$A$505,"&lt;"&amp;A2081,Оплаты!$D$6:$D$505,"&lt;&gt;"))</f>
        <v/>
      </c>
      <c r="E2081" t="str">
        <f>IF(A2081="","",IF(SUMPRODUCT((Ввод!$F$12:$F$31&lt;&gt;"")*(Ввод!$F$12:$F$31&lt;=A2081)*(Ввод!$G$12:$G$31&gt;=A2081))&gt;0,1,0))</f>
        <v/>
      </c>
      <c r="G2081" t="str">
        <f t="shared" si="65"/>
        <v/>
      </c>
    </row>
    <row r="2082" spans="1:7" x14ac:dyDescent="0.3">
      <c r="A2082" s="21" t="str">
        <f>IF(A2081="","",IF(A2081+1&gt;Ввод!$B$4,"",A2081+1))</f>
        <v/>
      </c>
      <c r="B2082" s="23" t="str">
        <f>IF(A2082="","",IFERROR(INDEX(Ввод!$B$12:$B$71,MATCH(A2082,Ввод!$D$12:$D$71,1)),""))</f>
        <v/>
      </c>
      <c r="C2082" t="str">
        <f t="shared" si="64"/>
        <v/>
      </c>
      <c r="D2082" t="str">
        <f>IF(A2082="","",SUMIFS(Акты!$D$5:$D$16,Акты!$E$5:$E$16,"&lt;="&amp;A2082)-SUMIFS(Оплаты!$B$6:$B$505,Оплаты!$A$6:$A$505,"&lt;"&amp;A2082,Оплаты!$D$6:$D$505,"&lt;&gt;"))</f>
        <v/>
      </c>
      <c r="E2082" t="str">
        <f>IF(A2082="","",IF(SUMPRODUCT((Ввод!$F$12:$F$31&lt;&gt;"")*(Ввод!$F$12:$F$31&lt;=A2082)*(Ввод!$G$12:$G$31&gt;=A2082))&gt;0,1,0))</f>
        <v/>
      </c>
      <c r="G2082" t="str">
        <f t="shared" si="65"/>
        <v/>
      </c>
    </row>
    <row r="2083" spans="1:7" x14ac:dyDescent="0.3">
      <c r="A2083" s="21" t="str">
        <f>IF(A2082="","",IF(A2082+1&gt;Ввод!$B$4,"",A2082+1))</f>
        <v/>
      </c>
      <c r="B2083" s="23" t="str">
        <f>IF(A2083="","",IFERROR(INDEX(Ввод!$B$12:$B$71,MATCH(A2083,Ввод!$D$12:$D$71,1)),""))</f>
        <v/>
      </c>
      <c r="C2083" t="str">
        <f t="shared" si="64"/>
        <v/>
      </c>
      <c r="D2083" t="str">
        <f>IF(A2083="","",SUMIFS(Акты!$D$5:$D$16,Акты!$E$5:$E$16,"&lt;="&amp;A2083)-SUMIFS(Оплаты!$B$6:$B$505,Оплаты!$A$6:$A$505,"&lt;"&amp;A2083,Оплаты!$D$6:$D$505,"&lt;&gt;"))</f>
        <v/>
      </c>
      <c r="E2083" t="str">
        <f>IF(A2083="","",IF(SUMPRODUCT((Ввод!$F$12:$F$31&lt;&gt;"")*(Ввод!$F$12:$F$31&lt;=A2083)*(Ввод!$G$12:$G$31&gt;=A2083))&gt;0,1,0))</f>
        <v/>
      </c>
      <c r="G2083" t="str">
        <f t="shared" si="65"/>
        <v/>
      </c>
    </row>
    <row r="2084" spans="1:7" x14ac:dyDescent="0.3">
      <c r="A2084" s="21" t="str">
        <f>IF(A2083="","",IF(A2083+1&gt;Ввод!$B$4,"",A2083+1))</f>
        <v/>
      </c>
      <c r="B2084" s="23" t="str">
        <f>IF(A2084="","",IFERROR(INDEX(Ввод!$B$12:$B$71,MATCH(A2084,Ввод!$D$12:$D$71,1)),""))</f>
        <v/>
      </c>
      <c r="C2084" t="str">
        <f t="shared" si="64"/>
        <v/>
      </c>
      <c r="D2084" t="str">
        <f>IF(A2084="","",SUMIFS(Акты!$D$5:$D$16,Акты!$E$5:$E$16,"&lt;="&amp;A2084)-SUMIFS(Оплаты!$B$6:$B$505,Оплаты!$A$6:$A$505,"&lt;"&amp;A2084,Оплаты!$D$6:$D$505,"&lt;&gt;"))</f>
        <v/>
      </c>
      <c r="E2084" t="str">
        <f>IF(A2084="","",IF(SUMPRODUCT((Ввод!$F$12:$F$31&lt;&gt;"")*(Ввод!$F$12:$F$31&lt;=A2084)*(Ввод!$G$12:$G$31&gt;=A2084))&gt;0,1,0))</f>
        <v/>
      </c>
      <c r="G2084" t="str">
        <f t="shared" si="65"/>
        <v/>
      </c>
    </row>
    <row r="2085" spans="1:7" x14ac:dyDescent="0.3">
      <c r="A2085" s="21" t="str">
        <f>IF(A2084="","",IF(A2084+1&gt;Ввод!$B$4,"",A2084+1))</f>
        <v/>
      </c>
      <c r="B2085" s="23" t="str">
        <f>IF(A2085="","",IFERROR(INDEX(Ввод!$B$12:$B$71,MATCH(A2085,Ввод!$D$12:$D$71,1)),""))</f>
        <v/>
      </c>
      <c r="C2085" t="str">
        <f t="shared" si="64"/>
        <v/>
      </c>
      <c r="D2085" t="str">
        <f>IF(A2085="","",SUMIFS(Акты!$D$5:$D$16,Акты!$E$5:$E$16,"&lt;="&amp;A2085)-SUMIFS(Оплаты!$B$6:$B$505,Оплаты!$A$6:$A$505,"&lt;"&amp;A2085,Оплаты!$D$6:$D$505,"&lt;&gt;"))</f>
        <v/>
      </c>
      <c r="E2085" t="str">
        <f>IF(A2085="","",IF(SUMPRODUCT((Ввод!$F$12:$F$31&lt;&gt;"")*(Ввод!$F$12:$F$31&lt;=A2085)*(Ввод!$G$12:$G$31&gt;=A2085))&gt;0,1,0))</f>
        <v/>
      </c>
      <c r="G2085" t="str">
        <f t="shared" si="65"/>
        <v/>
      </c>
    </row>
    <row r="2086" spans="1:7" x14ac:dyDescent="0.3">
      <c r="A2086" s="21" t="str">
        <f>IF(A2085="","",IF(A2085+1&gt;Ввод!$B$4,"",A2085+1))</f>
        <v/>
      </c>
      <c r="B2086" s="23" t="str">
        <f>IF(A2086="","",IFERROR(INDEX(Ввод!$B$12:$B$71,MATCH(A2086,Ввод!$D$12:$D$71,1)),""))</f>
        <v/>
      </c>
      <c r="C2086" t="str">
        <f t="shared" si="64"/>
        <v/>
      </c>
      <c r="D2086" t="str">
        <f>IF(A2086="","",SUMIFS(Акты!$D$5:$D$16,Акты!$E$5:$E$16,"&lt;="&amp;A2086)-SUMIFS(Оплаты!$B$6:$B$505,Оплаты!$A$6:$A$505,"&lt;"&amp;A2086,Оплаты!$D$6:$D$505,"&lt;&gt;"))</f>
        <v/>
      </c>
      <c r="E2086" t="str">
        <f>IF(A2086="","",IF(SUMPRODUCT((Ввод!$F$12:$F$31&lt;&gt;"")*(Ввод!$F$12:$F$31&lt;=A2086)*(Ввод!$G$12:$G$31&gt;=A2086))&gt;0,1,0))</f>
        <v/>
      </c>
      <c r="G2086" t="str">
        <f t="shared" si="65"/>
        <v/>
      </c>
    </row>
    <row r="2087" spans="1:7" x14ac:dyDescent="0.3">
      <c r="A2087" s="21" t="str">
        <f>IF(A2086="","",IF(A2086+1&gt;Ввод!$B$4,"",A2086+1))</f>
        <v/>
      </c>
      <c r="B2087" s="23" t="str">
        <f>IF(A2087="","",IFERROR(INDEX(Ввод!$B$12:$B$71,MATCH(A2087,Ввод!$D$12:$D$71,1)),""))</f>
        <v/>
      </c>
      <c r="C2087" t="str">
        <f t="shared" si="64"/>
        <v/>
      </c>
      <c r="D2087" t="str">
        <f>IF(A2087="","",SUMIFS(Акты!$D$5:$D$16,Акты!$E$5:$E$16,"&lt;="&amp;A2087)-SUMIFS(Оплаты!$B$6:$B$505,Оплаты!$A$6:$A$505,"&lt;"&amp;A2087,Оплаты!$D$6:$D$505,"&lt;&gt;"))</f>
        <v/>
      </c>
      <c r="E2087" t="str">
        <f>IF(A2087="","",IF(SUMPRODUCT((Ввод!$F$12:$F$31&lt;&gt;"")*(Ввод!$F$12:$F$31&lt;=A2087)*(Ввод!$G$12:$G$31&gt;=A2087))&gt;0,1,0))</f>
        <v/>
      </c>
      <c r="G2087" t="str">
        <f t="shared" si="65"/>
        <v/>
      </c>
    </row>
    <row r="2088" spans="1:7" x14ac:dyDescent="0.3">
      <c r="A2088" s="21" t="str">
        <f>IF(A2087="","",IF(A2087+1&gt;Ввод!$B$4,"",A2087+1))</f>
        <v/>
      </c>
      <c r="B2088" s="23" t="str">
        <f>IF(A2088="","",IFERROR(INDEX(Ввод!$B$12:$B$71,MATCH(A2088,Ввод!$D$12:$D$71,1)),""))</f>
        <v/>
      </c>
      <c r="C2088" t="str">
        <f t="shared" si="64"/>
        <v/>
      </c>
      <c r="D2088" t="str">
        <f>IF(A2088="","",SUMIFS(Акты!$D$5:$D$16,Акты!$E$5:$E$16,"&lt;="&amp;A2088)-SUMIFS(Оплаты!$B$6:$B$505,Оплаты!$A$6:$A$505,"&lt;"&amp;A2088,Оплаты!$D$6:$D$505,"&lt;&gt;"))</f>
        <v/>
      </c>
      <c r="E2088" t="str">
        <f>IF(A2088="","",IF(SUMPRODUCT((Ввод!$F$12:$F$31&lt;&gt;"")*(Ввод!$F$12:$F$31&lt;=A2088)*(Ввод!$G$12:$G$31&gt;=A2088))&gt;0,1,0))</f>
        <v/>
      </c>
      <c r="G2088" t="str">
        <f t="shared" si="65"/>
        <v/>
      </c>
    </row>
    <row r="2089" spans="1:7" x14ac:dyDescent="0.3">
      <c r="A2089" s="21" t="str">
        <f>IF(A2088="","",IF(A2088+1&gt;Ввод!$B$4,"",A2088+1))</f>
        <v/>
      </c>
      <c r="B2089" s="23" t="str">
        <f>IF(A2089="","",IFERROR(INDEX(Ввод!$B$12:$B$71,MATCH(A2089,Ввод!$D$12:$D$71,1)),""))</f>
        <v/>
      </c>
      <c r="C2089" t="str">
        <f t="shared" si="64"/>
        <v/>
      </c>
      <c r="D2089" t="str">
        <f>IF(A2089="","",SUMIFS(Акты!$D$5:$D$16,Акты!$E$5:$E$16,"&lt;="&amp;A2089)-SUMIFS(Оплаты!$B$6:$B$505,Оплаты!$A$6:$A$505,"&lt;"&amp;A2089,Оплаты!$D$6:$D$505,"&lt;&gt;"))</f>
        <v/>
      </c>
      <c r="E2089" t="str">
        <f>IF(A2089="","",IF(SUMPRODUCT((Ввод!$F$12:$F$31&lt;&gt;"")*(Ввод!$F$12:$F$31&lt;=A2089)*(Ввод!$G$12:$G$31&gt;=A2089))&gt;0,1,0))</f>
        <v/>
      </c>
      <c r="G2089" t="str">
        <f t="shared" si="65"/>
        <v/>
      </c>
    </row>
    <row r="2090" spans="1:7" x14ac:dyDescent="0.3">
      <c r="A2090" s="21" t="str">
        <f>IF(A2089="","",IF(A2089+1&gt;Ввод!$B$4,"",A2089+1))</f>
        <v/>
      </c>
      <c r="B2090" s="23" t="str">
        <f>IF(A2090="","",IFERROR(INDEX(Ввод!$B$12:$B$71,MATCH(A2090,Ввод!$D$12:$D$71,1)),""))</f>
        <v/>
      </c>
      <c r="C2090" t="str">
        <f t="shared" si="64"/>
        <v/>
      </c>
      <c r="D2090" t="str">
        <f>IF(A2090="","",SUMIFS(Акты!$D$5:$D$16,Акты!$E$5:$E$16,"&lt;="&amp;A2090)-SUMIFS(Оплаты!$B$6:$B$505,Оплаты!$A$6:$A$505,"&lt;"&amp;A2090,Оплаты!$D$6:$D$505,"&lt;&gt;"))</f>
        <v/>
      </c>
      <c r="E2090" t="str">
        <f>IF(A2090="","",IF(SUMPRODUCT((Ввод!$F$12:$F$31&lt;&gt;"")*(Ввод!$F$12:$F$31&lt;=A2090)*(Ввод!$G$12:$G$31&gt;=A2090))&gt;0,1,0))</f>
        <v/>
      </c>
      <c r="G2090" t="str">
        <f t="shared" si="65"/>
        <v/>
      </c>
    </row>
    <row r="2091" spans="1:7" x14ac:dyDescent="0.3">
      <c r="A2091" s="21" t="str">
        <f>IF(A2090="","",IF(A2090+1&gt;Ввод!$B$4,"",A2090+1))</f>
        <v/>
      </c>
      <c r="B2091" s="23" t="str">
        <f>IF(A2091="","",IFERROR(INDEX(Ввод!$B$12:$B$71,MATCH(A2091,Ввод!$D$12:$D$71,1)),""))</f>
        <v/>
      </c>
      <c r="C2091" t="str">
        <f t="shared" si="64"/>
        <v/>
      </c>
      <c r="D2091" t="str">
        <f>IF(A2091="","",SUMIFS(Акты!$D$5:$D$16,Акты!$E$5:$E$16,"&lt;="&amp;A2091)-SUMIFS(Оплаты!$B$6:$B$505,Оплаты!$A$6:$A$505,"&lt;"&amp;A2091,Оплаты!$D$6:$D$505,"&lt;&gt;"))</f>
        <v/>
      </c>
      <c r="E2091" t="str">
        <f>IF(A2091="","",IF(SUMPRODUCT((Ввод!$F$12:$F$31&lt;&gt;"")*(Ввод!$F$12:$F$31&lt;=A2091)*(Ввод!$G$12:$G$31&gt;=A2091))&gt;0,1,0))</f>
        <v/>
      </c>
      <c r="G2091" t="str">
        <f t="shared" si="65"/>
        <v/>
      </c>
    </row>
    <row r="2092" spans="1:7" x14ac:dyDescent="0.3">
      <c r="A2092" s="21" t="str">
        <f>IF(A2091="","",IF(A2091+1&gt;Ввод!$B$4,"",A2091+1))</f>
        <v/>
      </c>
      <c r="B2092" s="23" t="str">
        <f>IF(A2092="","",IFERROR(INDEX(Ввод!$B$12:$B$71,MATCH(A2092,Ввод!$D$12:$D$71,1)),""))</f>
        <v/>
      </c>
      <c r="C2092" t="str">
        <f t="shared" si="64"/>
        <v/>
      </c>
      <c r="D2092" t="str">
        <f>IF(A2092="","",SUMIFS(Акты!$D$5:$D$16,Акты!$E$5:$E$16,"&lt;="&amp;A2092)-SUMIFS(Оплаты!$B$6:$B$505,Оплаты!$A$6:$A$505,"&lt;"&amp;A2092,Оплаты!$D$6:$D$505,"&lt;&gt;"))</f>
        <v/>
      </c>
      <c r="E2092" t="str">
        <f>IF(A2092="","",IF(SUMPRODUCT((Ввод!$F$12:$F$31&lt;&gt;"")*(Ввод!$F$12:$F$31&lt;=A2092)*(Ввод!$G$12:$G$31&gt;=A2092))&gt;0,1,0))</f>
        <v/>
      </c>
      <c r="G2092" t="str">
        <f t="shared" si="65"/>
        <v/>
      </c>
    </row>
    <row r="2093" spans="1:7" x14ac:dyDescent="0.3">
      <c r="A2093" s="21" t="str">
        <f>IF(A2092="","",IF(A2092+1&gt;Ввод!$B$4,"",A2092+1))</f>
        <v/>
      </c>
      <c r="B2093" s="23" t="str">
        <f>IF(A2093="","",IFERROR(INDEX(Ввод!$B$12:$B$71,MATCH(A2093,Ввод!$D$12:$D$71,1)),""))</f>
        <v/>
      </c>
      <c r="C2093" t="str">
        <f t="shared" si="64"/>
        <v/>
      </c>
      <c r="D2093" t="str">
        <f>IF(A2093="","",SUMIFS(Акты!$D$5:$D$16,Акты!$E$5:$E$16,"&lt;="&amp;A2093)-SUMIFS(Оплаты!$B$6:$B$505,Оплаты!$A$6:$A$505,"&lt;"&amp;A2093,Оплаты!$D$6:$D$505,"&lt;&gt;"))</f>
        <v/>
      </c>
      <c r="E2093" t="str">
        <f>IF(A2093="","",IF(SUMPRODUCT((Ввод!$F$12:$F$31&lt;&gt;"")*(Ввод!$F$12:$F$31&lt;=A2093)*(Ввод!$G$12:$G$31&gt;=A2093))&gt;0,1,0))</f>
        <v/>
      </c>
      <c r="G2093" t="str">
        <f t="shared" si="65"/>
        <v/>
      </c>
    </row>
    <row r="2094" spans="1:7" x14ac:dyDescent="0.3">
      <c r="A2094" s="21" t="str">
        <f>IF(A2093="","",IF(A2093+1&gt;Ввод!$B$4,"",A2093+1))</f>
        <v/>
      </c>
      <c r="B2094" s="23" t="str">
        <f>IF(A2094="","",IFERROR(INDEX(Ввод!$B$12:$B$71,MATCH(A2094,Ввод!$D$12:$D$71,1)),""))</f>
        <v/>
      </c>
      <c r="C2094" t="str">
        <f t="shared" si="64"/>
        <v/>
      </c>
      <c r="D2094" t="str">
        <f>IF(A2094="","",SUMIFS(Акты!$D$5:$D$16,Акты!$E$5:$E$16,"&lt;="&amp;A2094)-SUMIFS(Оплаты!$B$6:$B$505,Оплаты!$A$6:$A$505,"&lt;"&amp;A2094,Оплаты!$D$6:$D$505,"&lt;&gt;"))</f>
        <v/>
      </c>
      <c r="E2094" t="str">
        <f>IF(A2094="","",IF(SUMPRODUCT((Ввод!$F$12:$F$31&lt;&gt;"")*(Ввод!$F$12:$F$31&lt;=A2094)*(Ввод!$G$12:$G$31&gt;=A2094))&gt;0,1,0))</f>
        <v/>
      </c>
      <c r="G2094" t="str">
        <f t="shared" si="65"/>
        <v/>
      </c>
    </row>
    <row r="2095" spans="1:7" x14ac:dyDescent="0.3">
      <c r="A2095" s="21" t="str">
        <f>IF(A2094="","",IF(A2094+1&gt;Ввод!$B$4,"",A2094+1))</f>
        <v/>
      </c>
      <c r="B2095" s="23" t="str">
        <f>IF(A2095="","",IFERROR(INDEX(Ввод!$B$12:$B$71,MATCH(A2095,Ввод!$D$12:$D$71,1)),""))</f>
        <v/>
      </c>
      <c r="C2095" t="str">
        <f t="shared" si="64"/>
        <v/>
      </c>
      <c r="D2095" t="str">
        <f>IF(A2095="","",SUMIFS(Акты!$D$5:$D$16,Акты!$E$5:$E$16,"&lt;="&amp;A2095)-SUMIFS(Оплаты!$B$6:$B$505,Оплаты!$A$6:$A$505,"&lt;"&amp;A2095,Оплаты!$D$6:$D$505,"&lt;&gt;"))</f>
        <v/>
      </c>
      <c r="E2095" t="str">
        <f>IF(A2095="","",IF(SUMPRODUCT((Ввод!$F$12:$F$31&lt;&gt;"")*(Ввод!$F$12:$F$31&lt;=A2095)*(Ввод!$G$12:$G$31&gt;=A2095))&gt;0,1,0))</f>
        <v/>
      </c>
      <c r="G2095" t="str">
        <f t="shared" si="65"/>
        <v/>
      </c>
    </row>
    <row r="2096" spans="1:7" x14ac:dyDescent="0.3">
      <c r="A2096" s="21" t="str">
        <f>IF(A2095="","",IF(A2095+1&gt;Ввод!$B$4,"",A2095+1))</f>
        <v/>
      </c>
      <c r="B2096" s="23" t="str">
        <f>IF(A2096="","",IFERROR(INDEX(Ввод!$B$12:$B$71,MATCH(A2096,Ввод!$D$12:$D$71,1)),""))</f>
        <v/>
      </c>
      <c r="C2096" t="str">
        <f t="shared" si="64"/>
        <v/>
      </c>
      <c r="D2096" t="str">
        <f>IF(A2096="","",SUMIFS(Акты!$D$5:$D$16,Акты!$E$5:$E$16,"&lt;="&amp;A2096)-SUMIFS(Оплаты!$B$6:$B$505,Оплаты!$A$6:$A$505,"&lt;"&amp;A2096,Оплаты!$D$6:$D$505,"&lt;&gt;"))</f>
        <v/>
      </c>
      <c r="E2096" t="str">
        <f>IF(A2096="","",IF(SUMPRODUCT((Ввод!$F$12:$F$31&lt;&gt;"")*(Ввод!$F$12:$F$31&lt;=A2096)*(Ввод!$G$12:$G$31&gt;=A2096))&gt;0,1,0))</f>
        <v/>
      </c>
      <c r="G2096" t="str">
        <f t="shared" si="65"/>
        <v/>
      </c>
    </row>
    <row r="2097" spans="1:7" x14ac:dyDescent="0.3">
      <c r="A2097" s="21" t="str">
        <f>IF(A2096="","",IF(A2096+1&gt;Ввод!$B$4,"",A2096+1))</f>
        <v/>
      </c>
      <c r="B2097" s="23" t="str">
        <f>IF(A2097="","",IFERROR(INDEX(Ввод!$B$12:$B$71,MATCH(A2097,Ввод!$D$12:$D$71,1)),""))</f>
        <v/>
      </c>
      <c r="C2097" t="str">
        <f t="shared" si="64"/>
        <v/>
      </c>
      <c r="D2097" t="str">
        <f>IF(A2097="","",SUMIFS(Акты!$D$5:$D$16,Акты!$E$5:$E$16,"&lt;="&amp;A2097)-SUMIFS(Оплаты!$B$6:$B$505,Оплаты!$A$6:$A$505,"&lt;"&amp;A2097,Оплаты!$D$6:$D$505,"&lt;&gt;"))</f>
        <v/>
      </c>
      <c r="E2097" t="str">
        <f>IF(A2097="","",IF(SUMPRODUCT((Ввод!$F$12:$F$31&lt;&gt;"")*(Ввод!$F$12:$F$31&lt;=A2097)*(Ввод!$G$12:$G$31&gt;=A2097))&gt;0,1,0))</f>
        <v/>
      </c>
      <c r="G2097" t="str">
        <f t="shared" si="65"/>
        <v/>
      </c>
    </row>
    <row r="2098" spans="1:7" x14ac:dyDescent="0.3">
      <c r="A2098" s="21" t="str">
        <f>IF(A2097="","",IF(A2097+1&gt;Ввод!$B$4,"",A2097+1))</f>
        <v/>
      </c>
      <c r="B2098" s="23" t="str">
        <f>IF(A2098="","",IFERROR(INDEX(Ввод!$B$12:$B$71,MATCH(A2098,Ввод!$D$12:$D$71,1)),""))</f>
        <v/>
      </c>
      <c r="C2098" t="str">
        <f t="shared" si="64"/>
        <v/>
      </c>
      <c r="D2098" t="str">
        <f>IF(A2098="","",SUMIFS(Акты!$D$5:$D$16,Акты!$E$5:$E$16,"&lt;="&amp;A2098)-SUMIFS(Оплаты!$B$6:$B$505,Оплаты!$A$6:$A$505,"&lt;"&amp;A2098,Оплаты!$D$6:$D$505,"&lt;&gt;"))</f>
        <v/>
      </c>
      <c r="E2098" t="str">
        <f>IF(A2098="","",IF(SUMPRODUCT((Ввод!$F$12:$F$31&lt;&gt;"")*(Ввод!$F$12:$F$31&lt;=A2098)*(Ввод!$G$12:$G$31&gt;=A2098))&gt;0,1,0))</f>
        <v/>
      </c>
      <c r="G2098" t="str">
        <f t="shared" si="65"/>
        <v/>
      </c>
    </row>
    <row r="2099" spans="1:7" x14ac:dyDescent="0.3">
      <c r="A2099" s="21" t="str">
        <f>IF(A2098="","",IF(A2098+1&gt;Ввод!$B$4,"",A2098+1))</f>
        <v/>
      </c>
      <c r="B2099" s="23" t="str">
        <f>IF(A2099="","",IFERROR(INDEX(Ввод!$B$12:$B$71,MATCH(A2099,Ввод!$D$12:$D$71,1)),""))</f>
        <v/>
      </c>
      <c r="C2099" t="str">
        <f t="shared" si="64"/>
        <v/>
      </c>
      <c r="D2099" t="str">
        <f>IF(A2099="","",SUMIFS(Акты!$D$5:$D$16,Акты!$E$5:$E$16,"&lt;="&amp;A2099)-SUMIFS(Оплаты!$B$6:$B$505,Оплаты!$A$6:$A$505,"&lt;"&amp;A2099,Оплаты!$D$6:$D$505,"&lt;&gt;"))</f>
        <v/>
      </c>
      <c r="E2099" t="str">
        <f>IF(A2099="","",IF(SUMPRODUCT((Ввод!$F$12:$F$31&lt;&gt;"")*(Ввод!$F$12:$F$31&lt;=A2099)*(Ввод!$G$12:$G$31&gt;=A2099))&gt;0,1,0))</f>
        <v/>
      </c>
      <c r="G2099" t="str">
        <f t="shared" si="65"/>
        <v/>
      </c>
    </row>
    <row r="2100" spans="1:7" x14ac:dyDescent="0.3">
      <c r="A2100" s="21" t="str">
        <f>IF(A2099="","",IF(A2099+1&gt;Ввод!$B$4,"",A2099+1))</f>
        <v/>
      </c>
      <c r="B2100" s="23" t="str">
        <f>IF(A2100="","",IFERROR(INDEX(Ввод!$B$12:$B$71,MATCH(A2100,Ввод!$D$12:$D$71,1)),""))</f>
        <v/>
      </c>
      <c r="C2100" t="str">
        <f t="shared" si="64"/>
        <v/>
      </c>
      <c r="D2100" t="str">
        <f>IF(A2100="","",SUMIFS(Акты!$D$5:$D$16,Акты!$E$5:$E$16,"&lt;="&amp;A2100)-SUMIFS(Оплаты!$B$6:$B$505,Оплаты!$A$6:$A$505,"&lt;"&amp;A2100,Оплаты!$D$6:$D$505,"&lt;&gt;"))</f>
        <v/>
      </c>
      <c r="E2100" t="str">
        <f>IF(A2100="","",IF(SUMPRODUCT((Ввод!$F$12:$F$31&lt;&gt;"")*(Ввод!$F$12:$F$31&lt;=A2100)*(Ввод!$G$12:$G$31&gt;=A2100))&gt;0,1,0))</f>
        <v/>
      </c>
      <c r="G2100" t="str">
        <f t="shared" si="65"/>
        <v/>
      </c>
    </row>
    <row r="2101" spans="1:7" x14ac:dyDescent="0.3">
      <c r="A2101" s="21" t="str">
        <f>IF(A2100="","",IF(A2100+1&gt;Ввод!$B$4,"",A2100+1))</f>
        <v/>
      </c>
      <c r="B2101" s="23" t="str">
        <f>IF(A2101="","",IFERROR(INDEX(Ввод!$B$12:$B$71,MATCH(A2101,Ввод!$D$12:$D$71,1)),""))</f>
        <v/>
      </c>
      <c r="C2101" t="str">
        <f t="shared" si="64"/>
        <v/>
      </c>
      <c r="D2101" t="str">
        <f>IF(A2101="","",SUMIFS(Акты!$D$5:$D$16,Акты!$E$5:$E$16,"&lt;="&amp;A2101)-SUMIFS(Оплаты!$B$6:$B$505,Оплаты!$A$6:$A$505,"&lt;"&amp;A2101,Оплаты!$D$6:$D$505,"&lt;&gt;"))</f>
        <v/>
      </c>
      <c r="E2101" t="str">
        <f>IF(A2101="","",IF(SUMPRODUCT((Ввод!$F$12:$F$31&lt;&gt;"")*(Ввод!$F$12:$F$31&lt;=A2101)*(Ввод!$G$12:$G$31&gt;=A2101))&gt;0,1,0))</f>
        <v/>
      </c>
      <c r="G2101" t="str">
        <f t="shared" si="65"/>
        <v/>
      </c>
    </row>
    <row r="2102" spans="1:7" x14ac:dyDescent="0.3">
      <c r="A2102" s="21" t="str">
        <f>IF(A2101="","",IF(A2101+1&gt;Ввод!$B$4,"",A2101+1))</f>
        <v/>
      </c>
      <c r="B2102" s="23" t="str">
        <f>IF(A2102="","",IFERROR(INDEX(Ввод!$B$12:$B$71,MATCH(A2102,Ввод!$D$12:$D$71,1)),""))</f>
        <v/>
      </c>
      <c r="C2102" t="str">
        <f t="shared" si="64"/>
        <v/>
      </c>
      <c r="D2102" t="str">
        <f>IF(A2102="","",SUMIFS(Акты!$D$5:$D$16,Акты!$E$5:$E$16,"&lt;="&amp;A2102)-SUMIFS(Оплаты!$B$6:$B$505,Оплаты!$A$6:$A$505,"&lt;"&amp;A2102,Оплаты!$D$6:$D$505,"&lt;&gt;"))</f>
        <v/>
      </c>
      <c r="E2102" t="str">
        <f>IF(A2102="","",IF(SUMPRODUCT((Ввод!$F$12:$F$31&lt;&gt;"")*(Ввод!$F$12:$F$31&lt;=A2102)*(Ввод!$G$12:$G$31&gt;=A2102))&gt;0,1,0))</f>
        <v/>
      </c>
      <c r="G2102" t="str">
        <f t="shared" si="65"/>
        <v/>
      </c>
    </row>
    <row r="2103" spans="1:7" x14ac:dyDescent="0.3">
      <c r="A2103" s="21" t="str">
        <f>IF(A2102="","",IF(A2102+1&gt;Ввод!$B$4,"",A2102+1))</f>
        <v/>
      </c>
      <c r="B2103" s="23" t="str">
        <f>IF(A2103="","",IFERROR(INDEX(Ввод!$B$12:$B$71,MATCH(A2103,Ввод!$D$12:$D$71,1)),""))</f>
        <v/>
      </c>
      <c r="C2103" t="str">
        <f t="shared" si="64"/>
        <v/>
      </c>
      <c r="D2103" t="str">
        <f>IF(A2103="","",SUMIFS(Акты!$D$5:$D$16,Акты!$E$5:$E$16,"&lt;="&amp;A2103)-SUMIFS(Оплаты!$B$6:$B$505,Оплаты!$A$6:$A$505,"&lt;"&amp;A2103,Оплаты!$D$6:$D$505,"&lt;&gt;"))</f>
        <v/>
      </c>
      <c r="E2103" t="str">
        <f>IF(A2103="","",IF(SUMPRODUCT((Ввод!$F$12:$F$31&lt;&gt;"")*(Ввод!$F$12:$F$31&lt;=A2103)*(Ввод!$G$12:$G$31&gt;=A2103))&gt;0,1,0))</f>
        <v/>
      </c>
      <c r="G2103" t="str">
        <f t="shared" si="65"/>
        <v/>
      </c>
    </row>
    <row r="2104" spans="1:7" x14ac:dyDescent="0.3">
      <c r="A2104" s="21" t="str">
        <f>IF(A2103="","",IF(A2103+1&gt;Ввод!$B$4,"",A2103+1))</f>
        <v/>
      </c>
      <c r="B2104" s="23" t="str">
        <f>IF(A2104="","",IFERROR(INDEX(Ввод!$B$12:$B$71,MATCH(A2104,Ввод!$D$12:$D$71,1)),""))</f>
        <v/>
      </c>
      <c r="C2104" t="str">
        <f t="shared" si="64"/>
        <v/>
      </c>
      <c r="D2104" t="str">
        <f>IF(A2104="","",SUMIFS(Акты!$D$5:$D$16,Акты!$E$5:$E$16,"&lt;="&amp;A2104)-SUMIFS(Оплаты!$B$6:$B$505,Оплаты!$A$6:$A$505,"&lt;"&amp;A2104,Оплаты!$D$6:$D$505,"&lt;&gt;"))</f>
        <v/>
      </c>
      <c r="E2104" t="str">
        <f>IF(A2104="","",IF(SUMPRODUCT((Ввод!$F$12:$F$31&lt;&gt;"")*(Ввод!$F$12:$F$31&lt;=A2104)*(Ввод!$G$12:$G$31&gt;=A2104))&gt;0,1,0))</f>
        <v/>
      </c>
      <c r="G2104" t="str">
        <f t="shared" si="65"/>
        <v/>
      </c>
    </row>
    <row r="2105" spans="1:7" x14ac:dyDescent="0.3">
      <c r="A2105" s="21" t="str">
        <f>IF(A2104="","",IF(A2104+1&gt;Ввод!$B$4,"",A2104+1))</f>
        <v/>
      </c>
      <c r="B2105" s="23" t="str">
        <f>IF(A2105="","",IFERROR(INDEX(Ввод!$B$12:$B$71,MATCH(A2105,Ввод!$D$12:$D$71,1)),""))</f>
        <v/>
      </c>
      <c r="C2105" t="str">
        <f t="shared" si="64"/>
        <v/>
      </c>
      <c r="D2105" t="str">
        <f>IF(A2105="","",SUMIFS(Акты!$D$5:$D$16,Акты!$E$5:$E$16,"&lt;="&amp;A2105)-SUMIFS(Оплаты!$B$6:$B$505,Оплаты!$A$6:$A$505,"&lt;"&amp;A2105,Оплаты!$D$6:$D$505,"&lt;&gt;"))</f>
        <v/>
      </c>
      <c r="E2105" t="str">
        <f>IF(A2105="","",IF(SUMPRODUCT((Ввод!$F$12:$F$31&lt;&gt;"")*(Ввод!$F$12:$F$31&lt;=A2105)*(Ввод!$G$12:$G$31&gt;=A2105))&gt;0,1,0))</f>
        <v/>
      </c>
      <c r="G2105" t="str">
        <f t="shared" si="65"/>
        <v/>
      </c>
    </row>
    <row r="2106" spans="1:7" x14ac:dyDescent="0.3">
      <c r="A2106" s="21" t="str">
        <f>IF(A2105="","",IF(A2105+1&gt;Ввод!$B$4,"",A2105+1))</f>
        <v/>
      </c>
      <c r="B2106" s="23" t="str">
        <f>IF(A2106="","",IFERROR(INDEX(Ввод!$B$12:$B$71,MATCH(A2106,Ввод!$D$12:$D$71,1)),""))</f>
        <v/>
      </c>
      <c r="C2106" t="str">
        <f t="shared" si="64"/>
        <v/>
      </c>
      <c r="D2106" t="str">
        <f>IF(A2106="","",SUMIFS(Акты!$D$5:$D$16,Акты!$E$5:$E$16,"&lt;="&amp;A2106)-SUMIFS(Оплаты!$B$6:$B$505,Оплаты!$A$6:$A$505,"&lt;"&amp;A2106,Оплаты!$D$6:$D$505,"&lt;&gt;"))</f>
        <v/>
      </c>
      <c r="E2106" t="str">
        <f>IF(A2106="","",IF(SUMPRODUCT((Ввод!$F$12:$F$31&lt;&gt;"")*(Ввод!$F$12:$F$31&lt;=A2106)*(Ввод!$G$12:$G$31&gt;=A2106))&gt;0,1,0))</f>
        <v/>
      </c>
      <c r="G2106" t="str">
        <f t="shared" si="65"/>
        <v/>
      </c>
    </row>
    <row r="2107" spans="1:7" x14ac:dyDescent="0.3">
      <c r="A2107" s="21" t="str">
        <f>IF(A2106="","",IF(A2106+1&gt;Ввод!$B$4,"",A2106+1))</f>
        <v/>
      </c>
      <c r="B2107" s="23" t="str">
        <f>IF(A2107="","",IFERROR(INDEX(Ввод!$B$12:$B$71,MATCH(A2107,Ввод!$D$12:$D$71,1)),""))</f>
        <v/>
      </c>
      <c r="C2107" t="str">
        <f t="shared" si="64"/>
        <v/>
      </c>
      <c r="D2107" t="str">
        <f>IF(A2107="","",SUMIFS(Акты!$D$5:$D$16,Акты!$E$5:$E$16,"&lt;="&amp;A2107)-SUMIFS(Оплаты!$B$6:$B$505,Оплаты!$A$6:$A$505,"&lt;"&amp;A2107,Оплаты!$D$6:$D$505,"&lt;&gt;"))</f>
        <v/>
      </c>
      <c r="E2107" t="str">
        <f>IF(A2107="","",IF(SUMPRODUCT((Ввод!$F$12:$F$31&lt;&gt;"")*(Ввод!$F$12:$F$31&lt;=A2107)*(Ввод!$G$12:$G$31&gt;=A2107))&gt;0,1,0))</f>
        <v/>
      </c>
      <c r="G2107" t="str">
        <f t="shared" si="65"/>
        <v/>
      </c>
    </row>
    <row r="2108" spans="1:7" x14ac:dyDescent="0.3">
      <c r="A2108" s="21" t="str">
        <f>IF(A2107="","",IF(A2107+1&gt;Ввод!$B$4,"",A2107+1))</f>
        <v/>
      </c>
      <c r="B2108" s="23" t="str">
        <f>IF(A2108="","",IFERROR(INDEX(Ввод!$B$12:$B$71,MATCH(A2108,Ввод!$D$12:$D$71,1)),""))</f>
        <v/>
      </c>
      <c r="C2108" t="str">
        <f t="shared" si="64"/>
        <v/>
      </c>
      <c r="D2108" t="str">
        <f>IF(A2108="","",SUMIFS(Акты!$D$5:$D$16,Акты!$E$5:$E$16,"&lt;="&amp;A2108)-SUMIFS(Оплаты!$B$6:$B$505,Оплаты!$A$6:$A$505,"&lt;"&amp;A2108,Оплаты!$D$6:$D$505,"&lt;&gt;"))</f>
        <v/>
      </c>
      <c r="E2108" t="str">
        <f>IF(A2108="","",IF(SUMPRODUCT((Ввод!$F$12:$F$31&lt;&gt;"")*(Ввод!$F$12:$F$31&lt;=A2108)*(Ввод!$G$12:$G$31&gt;=A2108))&gt;0,1,0))</f>
        <v/>
      </c>
      <c r="G2108" t="str">
        <f t="shared" si="65"/>
        <v/>
      </c>
    </row>
    <row r="2109" spans="1:7" x14ac:dyDescent="0.3">
      <c r="A2109" s="21" t="str">
        <f>IF(A2108="","",IF(A2108+1&gt;Ввод!$B$4,"",A2108+1))</f>
        <v/>
      </c>
      <c r="B2109" s="23" t="str">
        <f>IF(A2109="","",IFERROR(INDEX(Ввод!$B$12:$B$71,MATCH(A2109,Ввод!$D$12:$D$71,1)),""))</f>
        <v/>
      </c>
      <c r="C2109" t="str">
        <f t="shared" si="64"/>
        <v/>
      </c>
      <c r="D2109" t="str">
        <f>IF(A2109="","",SUMIFS(Акты!$D$5:$D$16,Акты!$E$5:$E$16,"&lt;="&amp;A2109)-SUMIFS(Оплаты!$B$6:$B$505,Оплаты!$A$6:$A$505,"&lt;"&amp;A2109,Оплаты!$D$6:$D$505,"&lt;&gt;"))</f>
        <v/>
      </c>
      <c r="E2109" t="str">
        <f>IF(A2109="","",IF(SUMPRODUCT((Ввод!$F$12:$F$31&lt;&gt;"")*(Ввод!$F$12:$F$31&lt;=A2109)*(Ввод!$G$12:$G$31&gt;=A2109))&gt;0,1,0))</f>
        <v/>
      </c>
      <c r="G2109" t="str">
        <f t="shared" si="65"/>
        <v/>
      </c>
    </row>
    <row r="2110" spans="1:7" x14ac:dyDescent="0.3">
      <c r="A2110" s="21" t="str">
        <f>IF(A2109="","",IF(A2109+1&gt;Ввод!$B$4,"",A2109+1))</f>
        <v/>
      </c>
      <c r="B2110" s="23" t="str">
        <f>IF(A2110="","",IFERROR(INDEX(Ввод!$B$12:$B$71,MATCH(A2110,Ввод!$D$12:$D$71,1)),""))</f>
        <v/>
      </c>
      <c r="C2110" t="str">
        <f t="shared" si="64"/>
        <v/>
      </c>
      <c r="D2110" t="str">
        <f>IF(A2110="","",SUMIFS(Акты!$D$5:$D$16,Акты!$E$5:$E$16,"&lt;="&amp;A2110)-SUMIFS(Оплаты!$B$6:$B$505,Оплаты!$A$6:$A$505,"&lt;"&amp;A2110,Оплаты!$D$6:$D$505,"&lt;&gt;"))</f>
        <v/>
      </c>
      <c r="E2110" t="str">
        <f>IF(A2110="","",IF(SUMPRODUCT((Ввод!$F$12:$F$31&lt;&gt;"")*(Ввод!$F$12:$F$31&lt;=A2110)*(Ввод!$G$12:$G$31&gt;=A2110))&gt;0,1,0))</f>
        <v/>
      </c>
      <c r="G2110" t="str">
        <f t="shared" si="65"/>
        <v/>
      </c>
    </row>
    <row r="2111" spans="1:7" x14ac:dyDescent="0.3">
      <c r="A2111" s="21" t="str">
        <f>IF(A2110="","",IF(A2110+1&gt;Ввод!$B$4,"",A2110+1))</f>
        <v/>
      </c>
      <c r="B2111" s="23" t="str">
        <f>IF(A2111="","",IFERROR(INDEX(Ввод!$B$12:$B$71,MATCH(A2111,Ввод!$D$12:$D$71,1)),""))</f>
        <v/>
      </c>
      <c r="C2111" t="str">
        <f t="shared" si="64"/>
        <v/>
      </c>
      <c r="D2111" t="str">
        <f>IF(A2111="","",SUMIFS(Акты!$D$5:$D$16,Акты!$E$5:$E$16,"&lt;="&amp;A2111)-SUMIFS(Оплаты!$B$6:$B$505,Оплаты!$A$6:$A$505,"&lt;"&amp;A2111,Оплаты!$D$6:$D$505,"&lt;&gt;"))</f>
        <v/>
      </c>
      <c r="E2111" t="str">
        <f>IF(A2111="","",IF(SUMPRODUCT((Ввод!$F$12:$F$31&lt;&gt;"")*(Ввод!$F$12:$F$31&lt;=A2111)*(Ввод!$G$12:$G$31&gt;=A2111))&gt;0,1,0))</f>
        <v/>
      </c>
      <c r="G2111" t="str">
        <f t="shared" si="65"/>
        <v/>
      </c>
    </row>
    <row r="2112" spans="1:7" x14ac:dyDescent="0.3">
      <c r="A2112" s="21" t="str">
        <f>IF(A2111="","",IF(A2111+1&gt;Ввод!$B$4,"",A2111+1))</f>
        <v/>
      </c>
      <c r="B2112" s="23" t="str">
        <f>IF(A2112="","",IFERROR(INDEX(Ввод!$B$12:$B$71,MATCH(A2112,Ввод!$D$12:$D$71,1)),""))</f>
        <v/>
      </c>
      <c r="C2112" t="str">
        <f t="shared" si="64"/>
        <v/>
      </c>
      <c r="D2112" t="str">
        <f>IF(A2112="","",SUMIFS(Акты!$D$5:$D$16,Акты!$E$5:$E$16,"&lt;="&amp;A2112)-SUMIFS(Оплаты!$B$6:$B$505,Оплаты!$A$6:$A$505,"&lt;"&amp;A2112,Оплаты!$D$6:$D$505,"&lt;&gt;"))</f>
        <v/>
      </c>
      <c r="E2112" t="str">
        <f>IF(A2112="","",IF(SUMPRODUCT((Ввод!$F$12:$F$31&lt;&gt;"")*(Ввод!$F$12:$F$31&lt;=A2112)*(Ввод!$G$12:$G$31&gt;=A2112))&gt;0,1,0))</f>
        <v/>
      </c>
      <c r="G2112" t="str">
        <f t="shared" si="65"/>
        <v/>
      </c>
    </row>
    <row r="2113" spans="1:7" x14ac:dyDescent="0.3">
      <c r="A2113" s="21" t="str">
        <f>IF(A2112="","",IF(A2112+1&gt;Ввод!$B$4,"",A2112+1))</f>
        <v/>
      </c>
      <c r="B2113" s="23" t="str">
        <f>IF(A2113="","",IFERROR(INDEX(Ввод!$B$12:$B$71,MATCH(A2113,Ввод!$D$12:$D$71,1)),""))</f>
        <v/>
      </c>
      <c r="C2113" t="str">
        <f t="shared" si="64"/>
        <v/>
      </c>
      <c r="D2113" t="str">
        <f>IF(A2113="","",SUMIFS(Акты!$D$5:$D$16,Акты!$E$5:$E$16,"&lt;="&amp;A2113)-SUMIFS(Оплаты!$B$6:$B$505,Оплаты!$A$6:$A$505,"&lt;"&amp;A2113,Оплаты!$D$6:$D$505,"&lt;&gt;"))</f>
        <v/>
      </c>
      <c r="E2113" t="str">
        <f>IF(A2113="","",IF(SUMPRODUCT((Ввод!$F$12:$F$31&lt;&gt;"")*(Ввод!$F$12:$F$31&lt;=A2113)*(Ввод!$G$12:$G$31&gt;=A2113))&gt;0,1,0))</f>
        <v/>
      </c>
      <c r="G2113" t="str">
        <f t="shared" si="65"/>
        <v/>
      </c>
    </row>
    <row r="2114" spans="1:7" x14ac:dyDescent="0.3">
      <c r="A2114" s="21" t="str">
        <f>IF(A2113="","",IF(A2113+1&gt;Ввод!$B$4,"",A2113+1))</f>
        <v/>
      </c>
      <c r="B2114" s="23" t="str">
        <f>IF(A2114="","",IFERROR(INDEX(Ввод!$B$12:$B$71,MATCH(A2114,Ввод!$D$12:$D$71,1)),""))</f>
        <v/>
      </c>
      <c r="C2114" t="str">
        <f t="shared" ref="C2114:C2177" si="66">IF(A2114="","",DATE(YEAR(A2114),12,31)-DATE(YEAR(A2114),1,1)+1)</f>
        <v/>
      </c>
      <c r="D2114" t="str">
        <f>IF(A2114="","",SUMIFS(Акты!$D$5:$D$16,Акты!$E$5:$E$16,"&lt;="&amp;A2114)-SUMIFS(Оплаты!$B$6:$B$505,Оплаты!$A$6:$A$505,"&lt;"&amp;A2114,Оплаты!$D$6:$D$505,"&lt;&gt;"))</f>
        <v/>
      </c>
      <c r="E2114" t="str">
        <f>IF(A2114="","",IF(SUMPRODUCT((Ввод!$F$12:$F$31&lt;&gt;"")*(Ввод!$F$12:$F$31&lt;=A2114)*(Ввод!$G$12:$G$31&gt;=A2114))&gt;0,1,0))</f>
        <v/>
      </c>
      <c r="G2114" t="str">
        <f t="shared" si="65"/>
        <v/>
      </c>
    </row>
    <row r="2115" spans="1:7" x14ac:dyDescent="0.3">
      <c r="A2115" s="21" t="str">
        <f>IF(A2114="","",IF(A2114+1&gt;Ввод!$B$4,"",A2114+1))</f>
        <v/>
      </c>
      <c r="B2115" s="23" t="str">
        <f>IF(A2115="","",IFERROR(INDEX(Ввод!$B$12:$B$71,MATCH(A2115,Ввод!$D$12:$D$71,1)),""))</f>
        <v/>
      </c>
      <c r="C2115" t="str">
        <f t="shared" si="66"/>
        <v/>
      </c>
      <c r="D2115" t="str">
        <f>IF(A2115="","",SUMIFS(Акты!$D$5:$D$16,Акты!$E$5:$E$16,"&lt;="&amp;A2115)-SUMIFS(Оплаты!$B$6:$B$505,Оплаты!$A$6:$A$505,"&lt;"&amp;A2115,Оплаты!$D$6:$D$505,"&lt;&gt;"))</f>
        <v/>
      </c>
      <c r="E2115" t="str">
        <f>IF(A2115="","",IF(SUMPRODUCT((Ввод!$F$12:$F$31&lt;&gt;"")*(Ввод!$F$12:$F$31&lt;=A2115)*(Ввод!$G$12:$G$31&gt;=A2115))&gt;0,1,0))</f>
        <v/>
      </c>
      <c r="G2115" t="str">
        <f t="shared" ref="G2115:G2178" si="67">IF(A2115="","",IF(OR(B2115&lt;&gt;B2114,C2115&lt;&gt;C2114,E2115&lt;&gt;E2114),G2114+1,G2114))</f>
        <v/>
      </c>
    </row>
    <row r="2116" spans="1:7" x14ac:dyDescent="0.3">
      <c r="A2116" s="21" t="str">
        <f>IF(A2115="","",IF(A2115+1&gt;Ввод!$B$4,"",A2115+1))</f>
        <v/>
      </c>
      <c r="B2116" s="23" t="str">
        <f>IF(A2116="","",IFERROR(INDEX(Ввод!$B$12:$B$71,MATCH(A2116,Ввод!$D$12:$D$71,1)),""))</f>
        <v/>
      </c>
      <c r="C2116" t="str">
        <f t="shared" si="66"/>
        <v/>
      </c>
      <c r="D2116" t="str">
        <f>IF(A2116="","",SUMIFS(Акты!$D$5:$D$16,Акты!$E$5:$E$16,"&lt;="&amp;A2116)-SUMIFS(Оплаты!$B$6:$B$505,Оплаты!$A$6:$A$505,"&lt;"&amp;A2116,Оплаты!$D$6:$D$505,"&lt;&gt;"))</f>
        <v/>
      </c>
      <c r="E2116" t="str">
        <f>IF(A2116="","",IF(SUMPRODUCT((Ввод!$F$12:$F$31&lt;&gt;"")*(Ввод!$F$12:$F$31&lt;=A2116)*(Ввод!$G$12:$G$31&gt;=A2116))&gt;0,1,0))</f>
        <v/>
      </c>
      <c r="G2116" t="str">
        <f t="shared" si="67"/>
        <v/>
      </c>
    </row>
    <row r="2117" spans="1:7" x14ac:dyDescent="0.3">
      <c r="A2117" s="21" t="str">
        <f>IF(A2116="","",IF(A2116+1&gt;Ввод!$B$4,"",A2116+1))</f>
        <v/>
      </c>
      <c r="B2117" s="23" t="str">
        <f>IF(A2117="","",IFERROR(INDEX(Ввод!$B$12:$B$71,MATCH(A2117,Ввод!$D$12:$D$71,1)),""))</f>
        <v/>
      </c>
      <c r="C2117" t="str">
        <f t="shared" si="66"/>
        <v/>
      </c>
      <c r="D2117" t="str">
        <f>IF(A2117="","",SUMIFS(Акты!$D$5:$D$16,Акты!$E$5:$E$16,"&lt;="&amp;A2117)-SUMIFS(Оплаты!$B$6:$B$505,Оплаты!$A$6:$A$505,"&lt;"&amp;A2117,Оплаты!$D$6:$D$505,"&lt;&gt;"))</f>
        <v/>
      </c>
      <c r="E2117" t="str">
        <f>IF(A2117="","",IF(SUMPRODUCT((Ввод!$F$12:$F$31&lt;&gt;"")*(Ввод!$F$12:$F$31&lt;=A2117)*(Ввод!$G$12:$G$31&gt;=A2117))&gt;0,1,0))</f>
        <v/>
      </c>
      <c r="G2117" t="str">
        <f t="shared" si="67"/>
        <v/>
      </c>
    </row>
    <row r="2118" spans="1:7" x14ac:dyDescent="0.3">
      <c r="A2118" s="21" t="str">
        <f>IF(A2117="","",IF(A2117+1&gt;Ввод!$B$4,"",A2117+1))</f>
        <v/>
      </c>
      <c r="B2118" s="23" t="str">
        <f>IF(A2118="","",IFERROR(INDEX(Ввод!$B$12:$B$71,MATCH(A2118,Ввод!$D$12:$D$71,1)),""))</f>
        <v/>
      </c>
      <c r="C2118" t="str">
        <f t="shared" si="66"/>
        <v/>
      </c>
      <c r="D2118" t="str">
        <f>IF(A2118="","",SUMIFS(Акты!$D$5:$D$16,Акты!$E$5:$E$16,"&lt;="&amp;A2118)-SUMIFS(Оплаты!$B$6:$B$505,Оплаты!$A$6:$A$505,"&lt;"&amp;A2118,Оплаты!$D$6:$D$505,"&lt;&gt;"))</f>
        <v/>
      </c>
      <c r="E2118" t="str">
        <f>IF(A2118="","",IF(SUMPRODUCT((Ввод!$F$12:$F$31&lt;&gt;"")*(Ввод!$F$12:$F$31&lt;=A2118)*(Ввод!$G$12:$G$31&gt;=A2118))&gt;0,1,0))</f>
        <v/>
      </c>
      <c r="G2118" t="str">
        <f t="shared" si="67"/>
        <v/>
      </c>
    </row>
    <row r="2119" spans="1:7" x14ac:dyDescent="0.3">
      <c r="A2119" s="21" t="str">
        <f>IF(A2118="","",IF(A2118+1&gt;Ввод!$B$4,"",A2118+1))</f>
        <v/>
      </c>
      <c r="B2119" s="23" t="str">
        <f>IF(A2119="","",IFERROR(INDEX(Ввод!$B$12:$B$71,MATCH(A2119,Ввод!$D$12:$D$71,1)),""))</f>
        <v/>
      </c>
      <c r="C2119" t="str">
        <f t="shared" si="66"/>
        <v/>
      </c>
      <c r="D2119" t="str">
        <f>IF(A2119="","",SUMIFS(Акты!$D$5:$D$16,Акты!$E$5:$E$16,"&lt;="&amp;A2119)-SUMIFS(Оплаты!$B$6:$B$505,Оплаты!$A$6:$A$505,"&lt;"&amp;A2119,Оплаты!$D$6:$D$505,"&lt;&gt;"))</f>
        <v/>
      </c>
      <c r="E2119" t="str">
        <f>IF(A2119="","",IF(SUMPRODUCT((Ввод!$F$12:$F$31&lt;&gt;"")*(Ввод!$F$12:$F$31&lt;=A2119)*(Ввод!$G$12:$G$31&gt;=A2119))&gt;0,1,0))</f>
        <v/>
      </c>
      <c r="G2119" t="str">
        <f t="shared" si="67"/>
        <v/>
      </c>
    </row>
    <row r="2120" spans="1:7" x14ac:dyDescent="0.3">
      <c r="A2120" s="21" t="str">
        <f>IF(A2119="","",IF(A2119+1&gt;Ввод!$B$4,"",A2119+1))</f>
        <v/>
      </c>
      <c r="B2120" s="23" t="str">
        <f>IF(A2120="","",IFERROR(INDEX(Ввод!$B$12:$B$71,MATCH(A2120,Ввод!$D$12:$D$71,1)),""))</f>
        <v/>
      </c>
      <c r="C2120" t="str">
        <f t="shared" si="66"/>
        <v/>
      </c>
      <c r="D2120" t="str">
        <f>IF(A2120="","",SUMIFS(Акты!$D$5:$D$16,Акты!$E$5:$E$16,"&lt;="&amp;A2120)-SUMIFS(Оплаты!$B$6:$B$505,Оплаты!$A$6:$A$505,"&lt;"&amp;A2120,Оплаты!$D$6:$D$505,"&lt;&gt;"))</f>
        <v/>
      </c>
      <c r="E2120" t="str">
        <f>IF(A2120="","",IF(SUMPRODUCT((Ввод!$F$12:$F$31&lt;&gt;"")*(Ввод!$F$12:$F$31&lt;=A2120)*(Ввод!$G$12:$G$31&gt;=A2120))&gt;0,1,0))</f>
        <v/>
      </c>
      <c r="G2120" t="str">
        <f t="shared" si="67"/>
        <v/>
      </c>
    </row>
    <row r="2121" spans="1:7" x14ac:dyDescent="0.3">
      <c r="A2121" s="21" t="str">
        <f>IF(A2120="","",IF(A2120+1&gt;Ввод!$B$4,"",A2120+1))</f>
        <v/>
      </c>
      <c r="B2121" s="23" t="str">
        <f>IF(A2121="","",IFERROR(INDEX(Ввод!$B$12:$B$71,MATCH(A2121,Ввод!$D$12:$D$71,1)),""))</f>
        <v/>
      </c>
      <c r="C2121" t="str">
        <f t="shared" si="66"/>
        <v/>
      </c>
      <c r="D2121" t="str">
        <f>IF(A2121="","",SUMIFS(Акты!$D$5:$D$16,Акты!$E$5:$E$16,"&lt;="&amp;A2121)-SUMIFS(Оплаты!$B$6:$B$505,Оплаты!$A$6:$A$505,"&lt;"&amp;A2121,Оплаты!$D$6:$D$505,"&lt;&gt;"))</f>
        <v/>
      </c>
      <c r="E2121" t="str">
        <f>IF(A2121="","",IF(SUMPRODUCT((Ввод!$F$12:$F$31&lt;&gt;"")*(Ввод!$F$12:$F$31&lt;=A2121)*(Ввод!$G$12:$G$31&gt;=A2121))&gt;0,1,0))</f>
        <v/>
      </c>
      <c r="G2121" t="str">
        <f t="shared" si="67"/>
        <v/>
      </c>
    </row>
    <row r="2122" spans="1:7" x14ac:dyDescent="0.3">
      <c r="A2122" s="21" t="str">
        <f>IF(A2121="","",IF(A2121+1&gt;Ввод!$B$4,"",A2121+1))</f>
        <v/>
      </c>
      <c r="B2122" s="23" t="str">
        <f>IF(A2122="","",IFERROR(INDEX(Ввод!$B$12:$B$71,MATCH(A2122,Ввод!$D$12:$D$71,1)),""))</f>
        <v/>
      </c>
      <c r="C2122" t="str">
        <f t="shared" si="66"/>
        <v/>
      </c>
      <c r="D2122" t="str">
        <f>IF(A2122="","",SUMIFS(Акты!$D$5:$D$16,Акты!$E$5:$E$16,"&lt;="&amp;A2122)-SUMIFS(Оплаты!$B$6:$B$505,Оплаты!$A$6:$A$505,"&lt;"&amp;A2122,Оплаты!$D$6:$D$505,"&lt;&gt;"))</f>
        <v/>
      </c>
      <c r="E2122" t="str">
        <f>IF(A2122="","",IF(SUMPRODUCT((Ввод!$F$12:$F$31&lt;&gt;"")*(Ввод!$F$12:$F$31&lt;=A2122)*(Ввод!$G$12:$G$31&gt;=A2122))&gt;0,1,0))</f>
        <v/>
      </c>
      <c r="G2122" t="str">
        <f t="shared" si="67"/>
        <v/>
      </c>
    </row>
    <row r="2123" spans="1:7" x14ac:dyDescent="0.3">
      <c r="A2123" s="21" t="str">
        <f>IF(A2122="","",IF(A2122+1&gt;Ввод!$B$4,"",A2122+1))</f>
        <v/>
      </c>
      <c r="B2123" s="23" t="str">
        <f>IF(A2123="","",IFERROR(INDEX(Ввод!$B$12:$B$71,MATCH(A2123,Ввод!$D$12:$D$71,1)),""))</f>
        <v/>
      </c>
      <c r="C2123" t="str">
        <f t="shared" si="66"/>
        <v/>
      </c>
      <c r="D2123" t="str">
        <f>IF(A2123="","",SUMIFS(Акты!$D$5:$D$16,Акты!$E$5:$E$16,"&lt;="&amp;A2123)-SUMIFS(Оплаты!$B$6:$B$505,Оплаты!$A$6:$A$505,"&lt;"&amp;A2123,Оплаты!$D$6:$D$505,"&lt;&gt;"))</f>
        <v/>
      </c>
      <c r="E2123" t="str">
        <f>IF(A2123="","",IF(SUMPRODUCT((Ввод!$F$12:$F$31&lt;&gt;"")*(Ввод!$F$12:$F$31&lt;=A2123)*(Ввод!$G$12:$G$31&gt;=A2123))&gt;0,1,0))</f>
        <v/>
      </c>
      <c r="G2123" t="str">
        <f t="shared" si="67"/>
        <v/>
      </c>
    </row>
    <row r="2124" spans="1:7" x14ac:dyDescent="0.3">
      <c r="A2124" s="21" t="str">
        <f>IF(A2123="","",IF(A2123+1&gt;Ввод!$B$4,"",A2123+1))</f>
        <v/>
      </c>
      <c r="B2124" s="23" t="str">
        <f>IF(A2124="","",IFERROR(INDEX(Ввод!$B$12:$B$71,MATCH(A2124,Ввод!$D$12:$D$71,1)),""))</f>
        <v/>
      </c>
      <c r="C2124" t="str">
        <f t="shared" si="66"/>
        <v/>
      </c>
      <c r="D2124" t="str">
        <f>IF(A2124="","",SUMIFS(Акты!$D$5:$D$16,Акты!$E$5:$E$16,"&lt;="&amp;A2124)-SUMIFS(Оплаты!$B$6:$B$505,Оплаты!$A$6:$A$505,"&lt;"&amp;A2124,Оплаты!$D$6:$D$505,"&lt;&gt;"))</f>
        <v/>
      </c>
      <c r="E2124" t="str">
        <f>IF(A2124="","",IF(SUMPRODUCT((Ввод!$F$12:$F$31&lt;&gt;"")*(Ввод!$F$12:$F$31&lt;=A2124)*(Ввод!$G$12:$G$31&gt;=A2124))&gt;0,1,0))</f>
        <v/>
      </c>
      <c r="G2124" t="str">
        <f t="shared" si="67"/>
        <v/>
      </c>
    </row>
    <row r="2125" spans="1:7" x14ac:dyDescent="0.3">
      <c r="A2125" s="21" t="str">
        <f>IF(A2124="","",IF(A2124+1&gt;Ввод!$B$4,"",A2124+1))</f>
        <v/>
      </c>
      <c r="B2125" s="23" t="str">
        <f>IF(A2125="","",IFERROR(INDEX(Ввод!$B$12:$B$71,MATCH(A2125,Ввод!$D$12:$D$71,1)),""))</f>
        <v/>
      </c>
      <c r="C2125" t="str">
        <f t="shared" si="66"/>
        <v/>
      </c>
      <c r="D2125" t="str">
        <f>IF(A2125="","",SUMIFS(Акты!$D$5:$D$16,Акты!$E$5:$E$16,"&lt;="&amp;A2125)-SUMIFS(Оплаты!$B$6:$B$505,Оплаты!$A$6:$A$505,"&lt;"&amp;A2125,Оплаты!$D$6:$D$505,"&lt;&gt;"))</f>
        <v/>
      </c>
      <c r="E2125" t="str">
        <f>IF(A2125="","",IF(SUMPRODUCT((Ввод!$F$12:$F$31&lt;&gt;"")*(Ввод!$F$12:$F$31&lt;=A2125)*(Ввод!$G$12:$G$31&gt;=A2125))&gt;0,1,0))</f>
        <v/>
      </c>
      <c r="G2125" t="str">
        <f t="shared" si="67"/>
        <v/>
      </c>
    </row>
    <row r="2126" spans="1:7" x14ac:dyDescent="0.3">
      <c r="A2126" s="21" t="str">
        <f>IF(A2125="","",IF(A2125+1&gt;Ввод!$B$4,"",A2125+1))</f>
        <v/>
      </c>
      <c r="B2126" s="23" t="str">
        <f>IF(A2126="","",IFERROR(INDEX(Ввод!$B$12:$B$71,MATCH(A2126,Ввод!$D$12:$D$71,1)),""))</f>
        <v/>
      </c>
      <c r="C2126" t="str">
        <f t="shared" si="66"/>
        <v/>
      </c>
      <c r="D2126" t="str">
        <f>IF(A2126="","",SUMIFS(Акты!$D$5:$D$16,Акты!$E$5:$E$16,"&lt;="&amp;A2126)-SUMIFS(Оплаты!$B$6:$B$505,Оплаты!$A$6:$A$505,"&lt;"&amp;A2126,Оплаты!$D$6:$D$505,"&lt;&gt;"))</f>
        <v/>
      </c>
      <c r="E2126" t="str">
        <f>IF(A2126="","",IF(SUMPRODUCT((Ввод!$F$12:$F$31&lt;&gt;"")*(Ввод!$F$12:$F$31&lt;=A2126)*(Ввод!$G$12:$G$31&gt;=A2126))&gt;0,1,0))</f>
        <v/>
      </c>
      <c r="G2126" t="str">
        <f t="shared" si="67"/>
        <v/>
      </c>
    </row>
    <row r="2127" spans="1:7" x14ac:dyDescent="0.3">
      <c r="A2127" s="21" t="str">
        <f>IF(A2126="","",IF(A2126+1&gt;Ввод!$B$4,"",A2126+1))</f>
        <v/>
      </c>
      <c r="B2127" s="23" t="str">
        <f>IF(A2127="","",IFERROR(INDEX(Ввод!$B$12:$B$71,MATCH(A2127,Ввод!$D$12:$D$71,1)),""))</f>
        <v/>
      </c>
      <c r="C2127" t="str">
        <f t="shared" si="66"/>
        <v/>
      </c>
      <c r="D2127" t="str">
        <f>IF(A2127="","",SUMIFS(Акты!$D$5:$D$16,Акты!$E$5:$E$16,"&lt;="&amp;A2127)-SUMIFS(Оплаты!$B$6:$B$505,Оплаты!$A$6:$A$505,"&lt;"&amp;A2127,Оплаты!$D$6:$D$505,"&lt;&gt;"))</f>
        <v/>
      </c>
      <c r="E2127" t="str">
        <f>IF(A2127="","",IF(SUMPRODUCT((Ввод!$F$12:$F$31&lt;&gt;"")*(Ввод!$F$12:$F$31&lt;=A2127)*(Ввод!$G$12:$G$31&gt;=A2127))&gt;0,1,0))</f>
        <v/>
      </c>
      <c r="G2127" t="str">
        <f t="shared" si="67"/>
        <v/>
      </c>
    </row>
    <row r="2128" spans="1:7" x14ac:dyDescent="0.3">
      <c r="A2128" s="21" t="str">
        <f>IF(A2127="","",IF(A2127+1&gt;Ввод!$B$4,"",A2127+1))</f>
        <v/>
      </c>
      <c r="B2128" s="23" t="str">
        <f>IF(A2128="","",IFERROR(INDEX(Ввод!$B$12:$B$71,MATCH(A2128,Ввод!$D$12:$D$71,1)),""))</f>
        <v/>
      </c>
      <c r="C2128" t="str">
        <f t="shared" si="66"/>
        <v/>
      </c>
      <c r="D2128" t="str">
        <f>IF(A2128="","",SUMIFS(Акты!$D$5:$D$16,Акты!$E$5:$E$16,"&lt;="&amp;A2128)-SUMIFS(Оплаты!$B$6:$B$505,Оплаты!$A$6:$A$505,"&lt;"&amp;A2128,Оплаты!$D$6:$D$505,"&lt;&gt;"))</f>
        <v/>
      </c>
      <c r="E2128" t="str">
        <f>IF(A2128="","",IF(SUMPRODUCT((Ввод!$F$12:$F$31&lt;&gt;"")*(Ввод!$F$12:$F$31&lt;=A2128)*(Ввод!$G$12:$G$31&gt;=A2128))&gt;0,1,0))</f>
        <v/>
      </c>
      <c r="G2128" t="str">
        <f t="shared" si="67"/>
        <v/>
      </c>
    </row>
    <row r="2129" spans="1:7" x14ac:dyDescent="0.3">
      <c r="A2129" s="21" t="str">
        <f>IF(A2128="","",IF(A2128+1&gt;Ввод!$B$4,"",A2128+1))</f>
        <v/>
      </c>
      <c r="B2129" s="23" t="str">
        <f>IF(A2129="","",IFERROR(INDEX(Ввод!$B$12:$B$71,MATCH(A2129,Ввод!$D$12:$D$71,1)),""))</f>
        <v/>
      </c>
      <c r="C2129" t="str">
        <f t="shared" si="66"/>
        <v/>
      </c>
      <c r="D2129" t="str">
        <f>IF(A2129="","",SUMIFS(Акты!$D$5:$D$16,Акты!$E$5:$E$16,"&lt;="&amp;A2129)-SUMIFS(Оплаты!$B$6:$B$505,Оплаты!$A$6:$A$505,"&lt;"&amp;A2129,Оплаты!$D$6:$D$505,"&lt;&gt;"))</f>
        <v/>
      </c>
      <c r="E2129" t="str">
        <f>IF(A2129="","",IF(SUMPRODUCT((Ввод!$F$12:$F$31&lt;&gt;"")*(Ввод!$F$12:$F$31&lt;=A2129)*(Ввод!$G$12:$G$31&gt;=A2129))&gt;0,1,0))</f>
        <v/>
      </c>
      <c r="G2129" t="str">
        <f t="shared" si="67"/>
        <v/>
      </c>
    </row>
    <row r="2130" spans="1:7" x14ac:dyDescent="0.3">
      <c r="A2130" s="21" t="str">
        <f>IF(A2129="","",IF(A2129+1&gt;Ввод!$B$4,"",A2129+1))</f>
        <v/>
      </c>
      <c r="B2130" s="23" t="str">
        <f>IF(A2130="","",IFERROR(INDEX(Ввод!$B$12:$B$71,MATCH(A2130,Ввод!$D$12:$D$71,1)),""))</f>
        <v/>
      </c>
      <c r="C2130" t="str">
        <f t="shared" si="66"/>
        <v/>
      </c>
      <c r="D2130" t="str">
        <f>IF(A2130="","",SUMIFS(Акты!$D$5:$D$16,Акты!$E$5:$E$16,"&lt;="&amp;A2130)-SUMIFS(Оплаты!$B$6:$B$505,Оплаты!$A$6:$A$505,"&lt;"&amp;A2130,Оплаты!$D$6:$D$505,"&lt;&gt;"))</f>
        <v/>
      </c>
      <c r="E2130" t="str">
        <f>IF(A2130="","",IF(SUMPRODUCT((Ввод!$F$12:$F$31&lt;&gt;"")*(Ввод!$F$12:$F$31&lt;=A2130)*(Ввод!$G$12:$G$31&gt;=A2130))&gt;0,1,0))</f>
        <v/>
      </c>
      <c r="G2130" t="str">
        <f t="shared" si="67"/>
        <v/>
      </c>
    </row>
    <row r="2131" spans="1:7" x14ac:dyDescent="0.3">
      <c r="A2131" s="21" t="str">
        <f>IF(A2130="","",IF(A2130+1&gt;Ввод!$B$4,"",A2130+1))</f>
        <v/>
      </c>
      <c r="B2131" s="23" t="str">
        <f>IF(A2131="","",IFERROR(INDEX(Ввод!$B$12:$B$71,MATCH(A2131,Ввод!$D$12:$D$71,1)),""))</f>
        <v/>
      </c>
      <c r="C2131" t="str">
        <f t="shared" si="66"/>
        <v/>
      </c>
      <c r="D2131" t="str">
        <f>IF(A2131="","",SUMIFS(Акты!$D$5:$D$16,Акты!$E$5:$E$16,"&lt;="&amp;A2131)-SUMIFS(Оплаты!$B$6:$B$505,Оплаты!$A$6:$A$505,"&lt;"&amp;A2131,Оплаты!$D$6:$D$505,"&lt;&gt;"))</f>
        <v/>
      </c>
      <c r="E2131" t="str">
        <f>IF(A2131="","",IF(SUMPRODUCT((Ввод!$F$12:$F$31&lt;&gt;"")*(Ввод!$F$12:$F$31&lt;=A2131)*(Ввод!$G$12:$G$31&gt;=A2131))&gt;0,1,0))</f>
        <v/>
      </c>
      <c r="G2131" t="str">
        <f t="shared" si="67"/>
        <v/>
      </c>
    </row>
    <row r="2132" spans="1:7" x14ac:dyDescent="0.3">
      <c r="A2132" s="21" t="str">
        <f>IF(A2131="","",IF(A2131+1&gt;Ввод!$B$4,"",A2131+1))</f>
        <v/>
      </c>
      <c r="B2132" s="23" t="str">
        <f>IF(A2132="","",IFERROR(INDEX(Ввод!$B$12:$B$71,MATCH(A2132,Ввод!$D$12:$D$71,1)),""))</f>
        <v/>
      </c>
      <c r="C2132" t="str">
        <f t="shared" si="66"/>
        <v/>
      </c>
      <c r="D2132" t="str">
        <f>IF(A2132="","",SUMIFS(Акты!$D$5:$D$16,Акты!$E$5:$E$16,"&lt;="&amp;A2132)-SUMIFS(Оплаты!$B$6:$B$505,Оплаты!$A$6:$A$505,"&lt;"&amp;A2132,Оплаты!$D$6:$D$505,"&lt;&gt;"))</f>
        <v/>
      </c>
      <c r="E2132" t="str">
        <f>IF(A2132="","",IF(SUMPRODUCT((Ввод!$F$12:$F$31&lt;&gt;"")*(Ввод!$F$12:$F$31&lt;=A2132)*(Ввод!$G$12:$G$31&gt;=A2132))&gt;0,1,0))</f>
        <v/>
      </c>
      <c r="G2132" t="str">
        <f t="shared" si="67"/>
        <v/>
      </c>
    </row>
    <row r="2133" spans="1:7" x14ac:dyDescent="0.3">
      <c r="A2133" s="21" t="str">
        <f>IF(A2132="","",IF(A2132+1&gt;Ввод!$B$4,"",A2132+1))</f>
        <v/>
      </c>
      <c r="B2133" s="23" t="str">
        <f>IF(A2133="","",IFERROR(INDEX(Ввод!$B$12:$B$71,MATCH(A2133,Ввод!$D$12:$D$71,1)),""))</f>
        <v/>
      </c>
      <c r="C2133" t="str">
        <f t="shared" si="66"/>
        <v/>
      </c>
      <c r="D2133" t="str">
        <f>IF(A2133="","",SUMIFS(Акты!$D$5:$D$16,Акты!$E$5:$E$16,"&lt;="&amp;A2133)-SUMIFS(Оплаты!$B$6:$B$505,Оплаты!$A$6:$A$505,"&lt;"&amp;A2133,Оплаты!$D$6:$D$505,"&lt;&gt;"))</f>
        <v/>
      </c>
      <c r="E2133" t="str">
        <f>IF(A2133="","",IF(SUMPRODUCT((Ввод!$F$12:$F$31&lt;&gt;"")*(Ввод!$F$12:$F$31&lt;=A2133)*(Ввод!$G$12:$G$31&gt;=A2133))&gt;0,1,0))</f>
        <v/>
      </c>
      <c r="G2133" t="str">
        <f t="shared" si="67"/>
        <v/>
      </c>
    </row>
    <row r="2134" spans="1:7" x14ac:dyDescent="0.3">
      <c r="A2134" s="21" t="str">
        <f>IF(A2133="","",IF(A2133+1&gt;Ввод!$B$4,"",A2133+1))</f>
        <v/>
      </c>
      <c r="B2134" s="23" t="str">
        <f>IF(A2134="","",IFERROR(INDEX(Ввод!$B$12:$B$71,MATCH(A2134,Ввод!$D$12:$D$71,1)),""))</f>
        <v/>
      </c>
      <c r="C2134" t="str">
        <f t="shared" si="66"/>
        <v/>
      </c>
      <c r="D2134" t="str">
        <f>IF(A2134="","",SUMIFS(Акты!$D$5:$D$16,Акты!$E$5:$E$16,"&lt;="&amp;A2134)-SUMIFS(Оплаты!$B$6:$B$505,Оплаты!$A$6:$A$505,"&lt;"&amp;A2134,Оплаты!$D$6:$D$505,"&lt;&gt;"))</f>
        <v/>
      </c>
      <c r="E2134" t="str">
        <f>IF(A2134="","",IF(SUMPRODUCT((Ввод!$F$12:$F$31&lt;&gt;"")*(Ввод!$F$12:$F$31&lt;=A2134)*(Ввод!$G$12:$G$31&gt;=A2134))&gt;0,1,0))</f>
        <v/>
      </c>
      <c r="G2134" t="str">
        <f t="shared" si="67"/>
        <v/>
      </c>
    </row>
    <row r="2135" spans="1:7" x14ac:dyDescent="0.3">
      <c r="A2135" s="21" t="str">
        <f>IF(A2134="","",IF(A2134+1&gt;Ввод!$B$4,"",A2134+1))</f>
        <v/>
      </c>
      <c r="B2135" s="23" t="str">
        <f>IF(A2135="","",IFERROR(INDEX(Ввод!$B$12:$B$71,MATCH(A2135,Ввод!$D$12:$D$71,1)),""))</f>
        <v/>
      </c>
      <c r="C2135" t="str">
        <f t="shared" si="66"/>
        <v/>
      </c>
      <c r="D2135" t="str">
        <f>IF(A2135="","",SUMIFS(Акты!$D$5:$D$16,Акты!$E$5:$E$16,"&lt;="&amp;A2135)-SUMIFS(Оплаты!$B$6:$B$505,Оплаты!$A$6:$A$505,"&lt;"&amp;A2135,Оплаты!$D$6:$D$505,"&lt;&gt;"))</f>
        <v/>
      </c>
      <c r="E2135" t="str">
        <f>IF(A2135="","",IF(SUMPRODUCT((Ввод!$F$12:$F$31&lt;&gt;"")*(Ввод!$F$12:$F$31&lt;=A2135)*(Ввод!$G$12:$G$31&gt;=A2135))&gt;0,1,0))</f>
        <v/>
      </c>
      <c r="G2135" t="str">
        <f t="shared" si="67"/>
        <v/>
      </c>
    </row>
    <row r="2136" spans="1:7" x14ac:dyDescent="0.3">
      <c r="A2136" s="21" t="str">
        <f>IF(A2135="","",IF(A2135+1&gt;Ввод!$B$4,"",A2135+1))</f>
        <v/>
      </c>
      <c r="B2136" s="23" t="str">
        <f>IF(A2136="","",IFERROR(INDEX(Ввод!$B$12:$B$71,MATCH(A2136,Ввод!$D$12:$D$71,1)),""))</f>
        <v/>
      </c>
      <c r="C2136" t="str">
        <f t="shared" si="66"/>
        <v/>
      </c>
      <c r="D2136" t="str">
        <f>IF(A2136="","",SUMIFS(Акты!$D$5:$D$16,Акты!$E$5:$E$16,"&lt;="&amp;A2136)-SUMIFS(Оплаты!$B$6:$B$505,Оплаты!$A$6:$A$505,"&lt;"&amp;A2136,Оплаты!$D$6:$D$505,"&lt;&gt;"))</f>
        <v/>
      </c>
      <c r="E2136" t="str">
        <f>IF(A2136="","",IF(SUMPRODUCT((Ввод!$F$12:$F$31&lt;&gt;"")*(Ввод!$F$12:$F$31&lt;=A2136)*(Ввод!$G$12:$G$31&gt;=A2136))&gt;0,1,0))</f>
        <v/>
      </c>
      <c r="G2136" t="str">
        <f t="shared" si="67"/>
        <v/>
      </c>
    </row>
    <row r="2137" spans="1:7" x14ac:dyDescent="0.3">
      <c r="A2137" s="21" t="str">
        <f>IF(A2136="","",IF(A2136+1&gt;Ввод!$B$4,"",A2136+1))</f>
        <v/>
      </c>
      <c r="B2137" s="23" t="str">
        <f>IF(A2137="","",IFERROR(INDEX(Ввод!$B$12:$B$71,MATCH(A2137,Ввод!$D$12:$D$71,1)),""))</f>
        <v/>
      </c>
      <c r="C2137" t="str">
        <f t="shared" si="66"/>
        <v/>
      </c>
      <c r="D2137" t="str">
        <f>IF(A2137="","",SUMIFS(Акты!$D$5:$D$16,Акты!$E$5:$E$16,"&lt;="&amp;A2137)-SUMIFS(Оплаты!$B$6:$B$505,Оплаты!$A$6:$A$505,"&lt;"&amp;A2137,Оплаты!$D$6:$D$505,"&lt;&gt;"))</f>
        <v/>
      </c>
      <c r="E2137" t="str">
        <f>IF(A2137="","",IF(SUMPRODUCT((Ввод!$F$12:$F$31&lt;&gt;"")*(Ввод!$F$12:$F$31&lt;=A2137)*(Ввод!$G$12:$G$31&gt;=A2137))&gt;0,1,0))</f>
        <v/>
      </c>
      <c r="G2137" t="str">
        <f t="shared" si="67"/>
        <v/>
      </c>
    </row>
    <row r="2138" spans="1:7" x14ac:dyDescent="0.3">
      <c r="A2138" s="21" t="str">
        <f>IF(A2137="","",IF(A2137+1&gt;Ввод!$B$4,"",A2137+1))</f>
        <v/>
      </c>
      <c r="B2138" s="23" t="str">
        <f>IF(A2138="","",IFERROR(INDEX(Ввод!$B$12:$B$71,MATCH(A2138,Ввод!$D$12:$D$71,1)),""))</f>
        <v/>
      </c>
      <c r="C2138" t="str">
        <f t="shared" si="66"/>
        <v/>
      </c>
      <c r="D2138" t="str">
        <f>IF(A2138="","",SUMIFS(Акты!$D$5:$D$16,Акты!$E$5:$E$16,"&lt;="&amp;A2138)-SUMIFS(Оплаты!$B$6:$B$505,Оплаты!$A$6:$A$505,"&lt;"&amp;A2138,Оплаты!$D$6:$D$505,"&lt;&gt;"))</f>
        <v/>
      </c>
      <c r="E2138" t="str">
        <f>IF(A2138="","",IF(SUMPRODUCT((Ввод!$F$12:$F$31&lt;&gt;"")*(Ввод!$F$12:$F$31&lt;=A2138)*(Ввод!$G$12:$G$31&gt;=A2138))&gt;0,1,0))</f>
        <v/>
      </c>
      <c r="G2138" t="str">
        <f t="shared" si="67"/>
        <v/>
      </c>
    </row>
    <row r="2139" spans="1:7" x14ac:dyDescent="0.3">
      <c r="A2139" s="21" t="str">
        <f>IF(A2138="","",IF(A2138+1&gt;Ввод!$B$4,"",A2138+1))</f>
        <v/>
      </c>
      <c r="B2139" s="23" t="str">
        <f>IF(A2139="","",IFERROR(INDEX(Ввод!$B$12:$B$71,MATCH(A2139,Ввод!$D$12:$D$71,1)),""))</f>
        <v/>
      </c>
      <c r="C2139" t="str">
        <f t="shared" si="66"/>
        <v/>
      </c>
      <c r="D2139" t="str">
        <f>IF(A2139="","",SUMIFS(Акты!$D$5:$D$16,Акты!$E$5:$E$16,"&lt;="&amp;A2139)-SUMIFS(Оплаты!$B$6:$B$505,Оплаты!$A$6:$A$505,"&lt;"&amp;A2139,Оплаты!$D$6:$D$505,"&lt;&gt;"))</f>
        <v/>
      </c>
      <c r="E2139" t="str">
        <f>IF(A2139="","",IF(SUMPRODUCT((Ввод!$F$12:$F$31&lt;&gt;"")*(Ввод!$F$12:$F$31&lt;=A2139)*(Ввод!$G$12:$G$31&gt;=A2139))&gt;0,1,0))</f>
        <v/>
      </c>
      <c r="G2139" t="str">
        <f t="shared" si="67"/>
        <v/>
      </c>
    </row>
    <row r="2140" spans="1:7" x14ac:dyDescent="0.3">
      <c r="A2140" s="21" t="str">
        <f>IF(A2139="","",IF(A2139+1&gt;Ввод!$B$4,"",A2139+1))</f>
        <v/>
      </c>
      <c r="B2140" s="23" t="str">
        <f>IF(A2140="","",IFERROR(INDEX(Ввод!$B$12:$B$71,MATCH(A2140,Ввод!$D$12:$D$71,1)),""))</f>
        <v/>
      </c>
      <c r="C2140" t="str">
        <f t="shared" si="66"/>
        <v/>
      </c>
      <c r="D2140" t="str">
        <f>IF(A2140="","",SUMIFS(Акты!$D$5:$D$16,Акты!$E$5:$E$16,"&lt;="&amp;A2140)-SUMIFS(Оплаты!$B$6:$B$505,Оплаты!$A$6:$A$505,"&lt;"&amp;A2140,Оплаты!$D$6:$D$505,"&lt;&gt;"))</f>
        <v/>
      </c>
      <c r="E2140" t="str">
        <f>IF(A2140="","",IF(SUMPRODUCT((Ввод!$F$12:$F$31&lt;&gt;"")*(Ввод!$F$12:$F$31&lt;=A2140)*(Ввод!$G$12:$G$31&gt;=A2140))&gt;0,1,0))</f>
        <v/>
      </c>
      <c r="G2140" t="str">
        <f t="shared" si="67"/>
        <v/>
      </c>
    </row>
    <row r="2141" spans="1:7" x14ac:dyDescent="0.3">
      <c r="A2141" s="21" t="str">
        <f>IF(A2140="","",IF(A2140+1&gt;Ввод!$B$4,"",A2140+1))</f>
        <v/>
      </c>
      <c r="B2141" s="23" t="str">
        <f>IF(A2141="","",IFERROR(INDEX(Ввод!$B$12:$B$71,MATCH(A2141,Ввод!$D$12:$D$71,1)),""))</f>
        <v/>
      </c>
      <c r="C2141" t="str">
        <f t="shared" si="66"/>
        <v/>
      </c>
      <c r="D2141" t="str">
        <f>IF(A2141="","",SUMIFS(Акты!$D$5:$D$16,Акты!$E$5:$E$16,"&lt;="&amp;A2141)-SUMIFS(Оплаты!$B$6:$B$505,Оплаты!$A$6:$A$505,"&lt;"&amp;A2141,Оплаты!$D$6:$D$505,"&lt;&gt;"))</f>
        <v/>
      </c>
      <c r="E2141" t="str">
        <f>IF(A2141="","",IF(SUMPRODUCT((Ввод!$F$12:$F$31&lt;&gt;"")*(Ввод!$F$12:$F$31&lt;=A2141)*(Ввод!$G$12:$G$31&gt;=A2141))&gt;0,1,0))</f>
        <v/>
      </c>
      <c r="G2141" t="str">
        <f t="shared" si="67"/>
        <v/>
      </c>
    </row>
    <row r="2142" spans="1:7" x14ac:dyDescent="0.3">
      <c r="A2142" s="21" t="str">
        <f>IF(A2141="","",IF(A2141+1&gt;Ввод!$B$4,"",A2141+1))</f>
        <v/>
      </c>
      <c r="B2142" s="23" t="str">
        <f>IF(A2142="","",IFERROR(INDEX(Ввод!$B$12:$B$71,MATCH(A2142,Ввод!$D$12:$D$71,1)),""))</f>
        <v/>
      </c>
      <c r="C2142" t="str">
        <f t="shared" si="66"/>
        <v/>
      </c>
      <c r="D2142" t="str">
        <f>IF(A2142="","",SUMIFS(Акты!$D$5:$D$16,Акты!$E$5:$E$16,"&lt;="&amp;A2142)-SUMIFS(Оплаты!$B$6:$B$505,Оплаты!$A$6:$A$505,"&lt;"&amp;A2142,Оплаты!$D$6:$D$505,"&lt;&gt;"))</f>
        <v/>
      </c>
      <c r="E2142" t="str">
        <f>IF(A2142="","",IF(SUMPRODUCT((Ввод!$F$12:$F$31&lt;&gt;"")*(Ввод!$F$12:$F$31&lt;=A2142)*(Ввод!$G$12:$G$31&gt;=A2142))&gt;0,1,0))</f>
        <v/>
      </c>
      <c r="G2142" t="str">
        <f t="shared" si="67"/>
        <v/>
      </c>
    </row>
    <row r="2143" spans="1:7" x14ac:dyDescent="0.3">
      <c r="A2143" s="21" t="str">
        <f>IF(A2142="","",IF(A2142+1&gt;Ввод!$B$4,"",A2142+1))</f>
        <v/>
      </c>
      <c r="B2143" s="23" t="str">
        <f>IF(A2143="","",IFERROR(INDEX(Ввод!$B$12:$B$71,MATCH(A2143,Ввод!$D$12:$D$71,1)),""))</f>
        <v/>
      </c>
      <c r="C2143" t="str">
        <f t="shared" si="66"/>
        <v/>
      </c>
      <c r="D2143" t="str">
        <f>IF(A2143="","",SUMIFS(Акты!$D$5:$D$16,Акты!$E$5:$E$16,"&lt;="&amp;A2143)-SUMIFS(Оплаты!$B$6:$B$505,Оплаты!$A$6:$A$505,"&lt;"&amp;A2143,Оплаты!$D$6:$D$505,"&lt;&gt;"))</f>
        <v/>
      </c>
      <c r="E2143" t="str">
        <f>IF(A2143="","",IF(SUMPRODUCT((Ввод!$F$12:$F$31&lt;&gt;"")*(Ввод!$F$12:$F$31&lt;=A2143)*(Ввод!$G$12:$G$31&gt;=A2143))&gt;0,1,0))</f>
        <v/>
      </c>
      <c r="G2143" t="str">
        <f t="shared" si="67"/>
        <v/>
      </c>
    </row>
    <row r="2144" spans="1:7" x14ac:dyDescent="0.3">
      <c r="A2144" s="21" t="str">
        <f>IF(A2143="","",IF(A2143+1&gt;Ввод!$B$4,"",A2143+1))</f>
        <v/>
      </c>
      <c r="B2144" s="23" t="str">
        <f>IF(A2144="","",IFERROR(INDEX(Ввод!$B$12:$B$71,MATCH(A2144,Ввод!$D$12:$D$71,1)),""))</f>
        <v/>
      </c>
      <c r="C2144" t="str">
        <f t="shared" si="66"/>
        <v/>
      </c>
      <c r="D2144" t="str">
        <f>IF(A2144="","",SUMIFS(Акты!$D$5:$D$16,Акты!$E$5:$E$16,"&lt;="&amp;A2144)-SUMIFS(Оплаты!$B$6:$B$505,Оплаты!$A$6:$A$505,"&lt;"&amp;A2144,Оплаты!$D$6:$D$505,"&lt;&gt;"))</f>
        <v/>
      </c>
      <c r="E2144" t="str">
        <f>IF(A2144="","",IF(SUMPRODUCT((Ввод!$F$12:$F$31&lt;&gt;"")*(Ввод!$F$12:$F$31&lt;=A2144)*(Ввод!$G$12:$G$31&gt;=A2144))&gt;0,1,0))</f>
        <v/>
      </c>
      <c r="G2144" t="str">
        <f t="shared" si="67"/>
        <v/>
      </c>
    </row>
    <row r="2145" spans="1:7" x14ac:dyDescent="0.3">
      <c r="A2145" s="21" t="str">
        <f>IF(A2144="","",IF(A2144+1&gt;Ввод!$B$4,"",A2144+1))</f>
        <v/>
      </c>
      <c r="B2145" s="23" t="str">
        <f>IF(A2145="","",IFERROR(INDEX(Ввод!$B$12:$B$71,MATCH(A2145,Ввод!$D$12:$D$71,1)),""))</f>
        <v/>
      </c>
      <c r="C2145" t="str">
        <f t="shared" si="66"/>
        <v/>
      </c>
      <c r="D2145" t="str">
        <f>IF(A2145="","",SUMIFS(Акты!$D$5:$D$16,Акты!$E$5:$E$16,"&lt;="&amp;A2145)-SUMIFS(Оплаты!$B$6:$B$505,Оплаты!$A$6:$A$505,"&lt;"&amp;A2145,Оплаты!$D$6:$D$505,"&lt;&gt;"))</f>
        <v/>
      </c>
      <c r="E2145" t="str">
        <f>IF(A2145="","",IF(SUMPRODUCT((Ввод!$F$12:$F$31&lt;&gt;"")*(Ввод!$F$12:$F$31&lt;=A2145)*(Ввод!$G$12:$G$31&gt;=A2145))&gt;0,1,0))</f>
        <v/>
      </c>
      <c r="G2145" t="str">
        <f t="shared" si="67"/>
        <v/>
      </c>
    </row>
    <row r="2146" spans="1:7" x14ac:dyDescent="0.3">
      <c r="A2146" s="21" t="str">
        <f>IF(A2145="","",IF(A2145+1&gt;Ввод!$B$4,"",A2145+1))</f>
        <v/>
      </c>
      <c r="B2146" s="23" t="str">
        <f>IF(A2146="","",IFERROR(INDEX(Ввод!$B$12:$B$71,MATCH(A2146,Ввод!$D$12:$D$71,1)),""))</f>
        <v/>
      </c>
      <c r="C2146" t="str">
        <f t="shared" si="66"/>
        <v/>
      </c>
      <c r="D2146" t="str">
        <f>IF(A2146="","",SUMIFS(Акты!$D$5:$D$16,Акты!$E$5:$E$16,"&lt;="&amp;A2146)-SUMIFS(Оплаты!$B$6:$B$505,Оплаты!$A$6:$A$505,"&lt;"&amp;A2146,Оплаты!$D$6:$D$505,"&lt;&gt;"))</f>
        <v/>
      </c>
      <c r="E2146" t="str">
        <f>IF(A2146="","",IF(SUMPRODUCT((Ввод!$F$12:$F$31&lt;&gt;"")*(Ввод!$F$12:$F$31&lt;=A2146)*(Ввод!$G$12:$G$31&gt;=A2146))&gt;0,1,0))</f>
        <v/>
      </c>
      <c r="G2146" t="str">
        <f t="shared" si="67"/>
        <v/>
      </c>
    </row>
    <row r="2147" spans="1:7" x14ac:dyDescent="0.3">
      <c r="A2147" s="21" t="str">
        <f>IF(A2146="","",IF(A2146+1&gt;Ввод!$B$4,"",A2146+1))</f>
        <v/>
      </c>
      <c r="B2147" s="23" t="str">
        <f>IF(A2147="","",IFERROR(INDEX(Ввод!$B$12:$B$71,MATCH(A2147,Ввод!$D$12:$D$71,1)),""))</f>
        <v/>
      </c>
      <c r="C2147" t="str">
        <f t="shared" si="66"/>
        <v/>
      </c>
      <c r="D2147" t="str">
        <f>IF(A2147="","",SUMIFS(Акты!$D$5:$D$16,Акты!$E$5:$E$16,"&lt;="&amp;A2147)-SUMIFS(Оплаты!$B$6:$B$505,Оплаты!$A$6:$A$505,"&lt;"&amp;A2147,Оплаты!$D$6:$D$505,"&lt;&gt;"))</f>
        <v/>
      </c>
      <c r="E2147" t="str">
        <f>IF(A2147="","",IF(SUMPRODUCT((Ввод!$F$12:$F$31&lt;&gt;"")*(Ввод!$F$12:$F$31&lt;=A2147)*(Ввод!$G$12:$G$31&gt;=A2147))&gt;0,1,0))</f>
        <v/>
      </c>
      <c r="G2147" t="str">
        <f t="shared" si="67"/>
        <v/>
      </c>
    </row>
    <row r="2148" spans="1:7" x14ac:dyDescent="0.3">
      <c r="A2148" s="21" t="str">
        <f>IF(A2147="","",IF(A2147+1&gt;Ввод!$B$4,"",A2147+1))</f>
        <v/>
      </c>
      <c r="B2148" s="23" t="str">
        <f>IF(A2148="","",IFERROR(INDEX(Ввод!$B$12:$B$71,MATCH(A2148,Ввод!$D$12:$D$71,1)),""))</f>
        <v/>
      </c>
      <c r="C2148" t="str">
        <f t="shared" si="66"/>
        <v/>
      </c>
      <c r="D2148" t="str">
        <f>IF(A2148="","",SUMIFS(Акты!$D$5:$D$16,Акты!$E$5:$E$16,"&lt;="&amp;A2148)-SUMIFS(Оплаты!$B$6:$B$505,Оплаты!$A$6:$A$505,"&lt;"&amp;A2148,Оплаты!$D$6:$D$505,"&lt;&gt;"))</f>
        <v/>
      </c>
      <c r="E2148" t="str">
        <f>IF(A2148="","",IF(SUMPRODUCT((Ввод!$F$12:$F$31&lt;&gt;"")*(Ввод!$F$12:$F$31&lt;=A2148)*(Ввод!$G$12:$G$31&gt;=A2148))&gt;0,1,0))</f>
        <v/>
      </c>
      <c r="G2148" t="str">
        <f t="shared" si="67"/>
        <v/>
      </c>
    </row>
    <row r="2149" spans="1:7" x14ac:dyDescent="0.3">
      <c r="A2149" s="21" t="str">
        <f>IF(A2148="","",IF(A2148+1&gt;Ввод!$B$4,"",A2148+1))</f>
        <v/>
      </c>
      <c r="B2149" s="23" t="str">
        <f>IF(A2149="","",IFERROR(INDEX(Ввод!$B$12:$B$71,MATCH(A2149,Ввод!$D$12:$D$71,1)),""))</f>
        <v/>
      </c>
      <c r="C2149" t="str">
        <f t="shared" si="66"/>
        <v/>
      </c>
      <c r="D2149" t="str">
        <f>IF(A2149="","",SUMIFS(Акты!$D$5:$D$16,Акты!$E$5:$E$16,"&lt;="&amp;A2149)-SUMIFS(Оплаты!$B$6:$B$505,Оплаты!$A$6:$A$505,"&lt;"&amp;A2149,Оплаты!$D$6:$D$505,"&lt;&gt;"))</f>
        <v/>
      </c>
      <c r="E2149" t="str">
        <f>IF(A2149="","",IF(SUMPRODUCT((Ввод!$F$12:$F$31&lt;&gt;"")*(Ввод!$F$12:$F$31&lt;=A2149)*(Ввод!$G$12:$G$31&gt;=A2149))&gt;0,1,0))</f>
        <v/>
      </c>
      <c r="G2149" t="str">
        <f t="shared" si="67"/>
        <v/>
      </c>
    </row>
    <row r="2150" spans="1:7" x14ac:dyDescent="0.3">
      <c r="A2150" s="21" t="str">
        <f>IF(A2149="","",IF(A2149+1&gt;Ввод!$B$4,"",A2149+1))</f>
        <v/>
      </c>
      <c r="B2150" s="23" t="str">
        <f>IF(A2150="","",IFERROR(INDEX(Ввод!$B$12:$B$71,MATCH(A2150,Ввод!$D$12:$D$71,1)),""))</f>
        <v/>
      </c>
      <c r="C2150" t="str">
        <f t="shared" si="66"/>
        <v/>
      </c>
      <c r="D2150" t="str">
        <f>IF(A2150="","",SUMIFS(Акты!$D$5:$D$16,Акты!$E$5:$E$16,"&lt;="&amp;A2150)-SUMIFS(Оплаты!$B$6:$B$505,Оплаты!$A$6:$A$505,"&lt;"&amp;A2150,Оплаты!$D$6:$D$505,"&lt;&gt;"))</f>
        <v/>
      </c>
      <c r="E2150" t="str">
        <f>IF(A2150="","",IF(SUMPRODUCT((Ввод!$F$12:$F$31&lt;&gt;"")*(Ввод!$F$12:$F$31&lt;=A2150)*(Ввод!$G$12:$G$31&gt;=A2150))&gt;0,1,0))</f>
        <v/>
      </c>
      <c r="G2150" t="str">
        <f t="shared" si="67"/>
        <v/>
      </c>
    </row>
    <row r="2151" spans="1:7" x14ac:dyDescent="0.3">
      <c r="A2151" s="21" t="str">
        <f>IF(A2150="","",IF(A2150+1&gt;Ввод!$B$4,"",A2150+1))</f>
        <v/>
      </c>
      <c r="B2151" s="23" t="str">
        <f>IF(A2151="","",IFERROR(INDEX(Ввод!$B$12:$B$71,MATCH(A2151,Ввод!$D$12:$D$71,1)),""))</f>
        <v/>
      </c>
      <c r="C2151" t="str">
        <f t="shared" si="66"/>
        <v/>
      </c>
      <c r="D2151" t="str">
        <f>IF(A2151="","",SUMIFS(Акты!$D$5:$D$16,Акты!$E$5:$E$16,"&lt;="&amp;A2151)-SUMIFS(Оплаты!$B$6:$B$505,Оплаты!$A$6:$A$505,"&lt;"&amp;A2151,Оплаты!$D$6:$D$505,"&lt;&gt;"))</f>
        <v/>
      </c>
      <c r="E2151" t="str">
        <f>IF(A2151="","",IF(SUMPRODUCT((Ввод!$F$12:$F$31&lt;&gt;"")*(Ввод!$F$12:$F$31&lt;=A2151)*(Ввод!$G$12:$G$31&gt;=A2151))&gt;0,1,0))</f>
        <v/>
      </c>
      <c r="G2151" t="str">
        <f t="shared" si="67"/>
        <v/>
      </c>
    </row>
    <row r="2152" spans="1:7" x14ac:dyDescent="0.3">
      <c r="A2152" s="21" t="str">
        <f>IF(A2151="","",IF(A2151+1&gt;Ввод!$B$4,"",A2151+1))</f>
        <v/>
      </c>
      <c r="B2152" s="23" t="str">
        <f>IF(A2152="","",IFERROR(INDEX(Ввод!$B$12:$B$71,MATCH(A2152,Ввод!$D$12:$D$71,1)),""))</f>
        <v/>
      </c>
      <c r="C2152" t="str">
        <f t="shared" si="66"/>
        <v/>
      </c>
      <c r="D2152" t="str">
        <f>IF(A2152="","",SUMIFS(Акты!$D$5:$D$16,Акты!$E$5:$E$16,"&lt;="&amp;A2152)-SUMIFS(Оплаты!$B$6:$B$505,Оплаты!$A$6:$A$505,"&lt;"&amp;A2152,Оплаты!$D$6:$D$505,"&lt;&gt;"))</f>
        <v/>
      </c>
      <c r="E2152" t="str">
        <f>IF(A2152="","",IF(SUMPRODUCT((Ввод!$F$12:$F$31&lt;&gt;"")*(Ввод!$F$12:$F$31&lt;=A2152)*(Ввод!$G$12:$G$31&gt;=A2152))&gt;0,1,0))</f>
        <v/>
      </c>
      <c r="G2152" t="str">
        <f t="shared" si="67"/>
        <v/>
      </c>
    </row>
    <row r="2153" spans="1:7" x14ac:dyDescent="0.3">
      <c r="A2153" s="21" t="str">
        <f>IF(A2152="","",IF(A2152+1&gt;Ввод!$B$4,"",A2152+1))</f>
        <v/>
      </c>
      <c r="B2153" s="23" t="str">
        <f>IF(A2153="","",IFERROR(INDEX(Ввод!$B$12:$B$71,MATCH(A2153,Ввод!$D$12:$D$71,1)),""))</f>
        <v/>
      </c>
      <c r="C2153" t="str">
        <f t="shared" si="66"/>
        <v/>
      </c>
      <c r="D2153" t="str">
        <f>IF(A2153="","",SUMIFS(Акты!$D$5:$D$16,Акты!$E$5:$E$16,"&lt;="&amp;A2153)-SUMIFS(Оплаты!$B$6:$B$505,Оплаты!$A$6:$A$505,"&lt;"&amp;A2153,Оплаты!$D$6:$D$505,"&lt;&gt;"))</f>
        <v/>
      </c>
      <c r="E2153" t="str">
        <f>IF(A2153="","",IF(SUMPRODUCT((Ввод!$F$12:$F$31&lt;&gt;"")*(Ввод!$F$12:$F$31&lt;=A2153)*(Ввод!$G$12:$G$31&gt;=A2153))&gt;0,1,0))</f>
        <v/>
      </c>
      <c r="G2153" t="str">
        <f t="shared" si="67"/>
        <v/>
      </c>
    </row>
    <row r="2154" spans="1:7" x14ac:dyDescent="0.3">
      <c r="A2154" s="21" t="str">
        <f>IF(A2153="","",IF(A2153+1&gt;Ввод!$B$4,"",A2153+1))</f>
        <v/>
      </c>
      <c r="B2154" s="23" t="str">
        <f>IF(A2154="","",IFERROR(INDEX(Ввод!$B$12:$B$71,MATCH(A2154,Ввод!$D$12:$D$71,1)),""))</f>
        <v/>
      </c>
      <c r="C2154" t="str">
        <f t="shared" si="66"/>
        <v/>
      </c>
      <c r="D2154" t="str">
        <f>IF(A2154="","",SUMIFS(Акты!$D$5:$D$16,Акты!$E$5:$E$16,"&lt;="&amp;A2154)-SUMIFS(Оплаты!$B$6:$B$505,Оплаты!$A$6:$A$505,"&lt;"&amp;A2154,Оплаты!$D$6:$D$505,"&lt;&gt;"))</f>
        <v/>
      </c>
      <c r="E2154" t="str">
        <f>IF(A2154="","",IF(SUMPRODUCT((Ввод!$F$12:$F$31&lt;&gt;"")*(Ввод!$F$12:$F$31&lt;=A2154)*(Ввод!$G$12:$G$31&gt;=A2154))&gt;0,1,0))</f>
        <v/>
      </c>
      <c r="G2154" t="str">
        <f t="shared" si="67"/>
        <v/>
      </c>
    </row>
    <row r="2155" spans="1:7" x14ac:dyDescent="0.3">
      <c r="A2155" s="21" t="str">
        <f>IF(A2154="","",IF(A2154+1&gt;Ввод!$B$4,"",A2154+1))</f>
        <v/>
      </c>
      <c r="B2155" s="23" t="str">
        <f>IF(A2155="","",IFERROR(INDEX(Ввод!$B$12:$B$71,MATCH(A2155,Ввод!$D$12:$D$71,1)),""))</f>
        <v/>
      </c>
      <c r="C2155" t="str">
        <f t="shared" si="66"/>
        <v/>
      </c>
      <c r="D2155" t="str">
        <f>IF(A2155="","",SUMIFS(Акты!$D$5:$D$16,Акты!$E$5:$E$16,"&lt;="&amp;A2155)-SUMIFS(Оплаты!$B$6:$B$505,Оплаты!$A$6:$A$505,"&lt;"&amp;A2155,Оплаты!$D$6:$D$505,"&lt;&gt;"))</f>
        <v/>
      </c>
      <c r="E2155" t="str">
        <f>IF(A2155="","",IF(SUMPRODUCT((Ввод!$F$12:$F$31&lt;&gt;"")*(Ввод!$F$12:$F$31&lt;=A2155)*(Ввод!$G$12:$G$31&gt;=A2155))&gt;0,1,0))</f>
        <v/>
      </c>
      <c r="G2155" t="str">
        <f t="shared" si="67"/>
        <v/>
      </c>
    </row>
    <row r="2156" spans="1:7" x14ac:dyDescent="0.3">
      <c r="A2156" s="21" t="str">
        <f>IF(A2155="","",IF(A2155+1&gt;Ввод!$B$4,"",A2155+1))</f>
        <v/>
      </c>
      <c r="B2156" s="23" t="str">
        <f>IF(A2156="","",IFERROR(INDEX(Ввод!$B$12:$B$71,MATCH(A2156,Ввод!$D$12:$D$71,1)),""))</f>
        <v/>
      </c>
      <c r="C2156" t="str">
        <f t="shared" si="66"/>
        <v/>
      </c>
      <c r="D2156" t="str">
        <f>IF(A2156="","",SUMIFS(Акты!$D$5:$D$16,Акты!$E$5:$E$16,"&lt;="&amp;A2156)-SUMIFS(Оплаты!$B$6:$B$505,Оплаты!$A$6:$A$505,"&lt;"&amp;A2156,Оплаты!$D$6:$D$505,"&lt;&gt;"))</f>
        <v/>
      </c>
      <c r="E2156" t="str">
        <f>IF(A2156="","",IF(SUMPRODUCT((Ввод!$F$12:$F$31&lt;&gt;"")*(Ввод!$F$12:$F$31&lt;=A2156)*(Ввод!$G$12:$G$31&gt;=A2156))&gt;0,1,0))</f>
        <v/>
      </c>
      <c r="G2156" t="str">
        <f t="shared" si="67"/>
        <v/>
      </c>
    </row>
    <row r="2157" spans="1:7" x14ac:dyDescent="0.3">
      <c r="A2157" s="21" t="str">
        <f>IF(A2156="","",IF(A2156+1&gt;Ввод!$B$4,"",A2156+1))</f>
        <v/>
      </c>
      <c r="B2157" s="23" t="str">
        <f>IF(A2157="","",IFERROR(INDEX(Ввод!$B$12:$B$71,MATCH(A2157,Ввод!$D$12:$D$71,1)),""))</f>
        <v/>
      </c>
      <c r="C2157" t="str">
        <f t="shared" si="66"/>
        <v/>
      </c>
      <c r="D2157" t="str">
        <f>IF(A2157="","",SUMIFS(Акты!$D$5:$D$16,Акты!$E$5:$E$16,"&lt;="&amp;A2157)-SUMIFS(Оплаты!$B$6:$B$505,Оплаты!$A$6:$A$505,"&lt;"&amp;A2157,Оплаты!$D$6:$D$505,"&lt;&gt;"))</f>
        <v/>
      </c>
      <c r="E2157" t="str">
        <f>IF(A2157="","",IF(SUMPRODUCT((Ввод!$F$12:$F$31&lt;&gt;"")*(Ввод!$F$12:$F$31&lt;=A2157)*(Ввод!$G$12:$G$31&gt;=A2157))&gt;0,1,0))</f>
        <v/>
      </c>
      <c r="G2157" t="str">
        <f t="shared" si="67"/>
        <v/>
      </c>
    </row>
    <row r="2158" spans="1:7" x14ac:dyDescent="0.3">
      <c r="A2158" s="21" t="str">
        <f>IF(A2157="","",IF(A2157+1&gt;Ввод!$B$4,"",A2157+1))</f>
        <v/>
      </c>
      <c r="B2158" s="23" t="str">
        <f>IF(A2158="","",IFERROR(INDEX(Ввод!$B$12:$B$71,MATCH(A2158,Ввод!$D$12:$D$71,1)),""))</f>
        <v/>
      </c>
      <c r="C2158" t="str">
        <f t="shared" si="66"/>
        <v/>
      </c>
      <c r="D2158" t="str">
        <f>IF(A2158="","",SUMIFS(Акты!$D$5:$D$16,Акты!$E$5:$E$16,"&lt;="&amp;A2158)-SUMIFS(Оплаты!$B$6:$B$505,Оплаты!$A$6:$A$505,"&lt;"&amp;A2158,Оплаты!$D$6:$D$505,"&lt;&gt;"))</f>
        <v/>
      </c>
      <c r="E2158" t="str">
        <f>IF(A2158="","",IF(SUMPRODUCT((Ввод!$F$12:$F$31&lt;&gt;"")*(Ввод!$F$12:$F$31&lt;=A2158)*(Ввод!$G$12:$G$31&gt;=A2158))&gt;0,1,0))</f>
        <v/>
      </c>
      <c r="G2158" t="str">
        <f t="shared" si="67"/>
        <v/>
      </c>
    </row>
    <row r="2159" spans="1:7" x14ac:dyDescent="0.3">
      <c r="A2159" s="21" t="str">
        <f>IF(A2158="","",IF(A2158+1&gt;Ввод!$B$4,"",A2158+1))</f>
        <v/>
      </c>
      <c r="B2159" s="23" t="str">
        <f>IF(A2159="","",IFERROR(INDEX(Ввод!$B$12:$B$71,MATCH(A2159,Ввод!$D$12:$D$71,1)),""))</f>
        <v/>
      </c>
      <c r="C2159" t="str">
        <f t="shared" si="66"/>
        <v/>
      </c>
      <c r="D2159" t="str">
        <f>IF(A2159="","",SUMIFS(Акты!$D$5:$D$16,Акты!$E$5:$E$16,"&lt;="&amp;A2159)-SUMIFS(Оплаты!$B$6:$B$505,Оплаты!$A$6:$A$505,"&lt;"&amp;A2159,Оплаты!$D$6:$D$505,"&lt;&gt;"))</f>
        <v/>
      </c>
      <c r="E2159" t="str">
        <f>IF(A2159="","",IF(SUMPRODUCT((Ввод!$F$12:$F$31&lt;&gt;"")*(Ввод!$F$12:$F$31&lt;=A2159)*(Ввод!$G$12:$G$31&gt;=A2159))&gt;0,1,0))</f>
        <v/>
      </c>
      <c r="G2159" t="str">
        <f t="shared" si="67"/>
        <v/>
      </c>
    </row>
    <row r="2160" spans="1:7" x14ac:dyDescent="0.3">
      <c r="A2160" s="21" t="str">
        <f>IF(A2159="","",IF(A2159+1&gt;Ввод!$B$4,"",A2159+1))</f>
        <v/>
      </c>
      <c r="B2160" s="23" t="str">
        <f>IF(A2160="","",IFERROR(INDEX(Ввод!$B$12:$B$71,MATCH(A2160,Ввод!$D$12:$D$71,1)),""))</f>
        <v/>
      </c>
      <c r="C2160" t="str">
        <f t="shared" si="66"/>
        <v/>
      </c>
      <c r="D2160" t="str">
        <f>IF(A2160="","",SUMIFS(Акты!$D$5:$D$16,Акты!$E$5:$E$16,"&lt;="&amp;A2160)-SUMIFS(Оплаты!$B$6:$B$505,Оплаты!$A$6:$A$505,"&lt;"&amp;A2160,Оплаты!$D$6:$D$505,"&lt;&gt;"))</f>
        <v/>
      </c>
      <c r="E2160" t="str">
        <f>IF(A2160="","",IF(SUMPRODUCT((Ввод!$F$12:$F$31&lt;&gt;"")*(Ввод!$F$12:$F$31&lt;=A2160)*(Ввод!$G$12:$G$31&gt;=A2160))&gt;0,1,0))</f>
        <v/>
      </c>
      <c r="G2160" t="str">
        <f t="shared" si="67"/>
        <v/>
      </c>
    </row>
    <row r="2161" spans="1:7" x14ac:dyDescent="0.3">
      <c r="A2161" s="21" t="str">
        <f>IF(A2160="","",IF(A2160+1&gt;Ввод!$B$4,"",A2160+1))</f>
        <v/>
      </c>
      <c r="B2161" s="23" t="str">
        <f>IF(A2161="","",IFERROR(INDEX(Ввод!$B$12:$B$71,MATCH(A2161,Ввод!$D$12:$D$71,1)),""))</f>
        <v/>
      </c>
      <c r="C2161" t="str">
        <f t="shared" si="66"/>
        <v/>
      </c>
      <c r="D2161" t="str">
        <f>IF(A2161="","",SUMIFS(Акты!$D$5:$D$16,Акты!$E$5:$E$16,"&lt;="&amp;A2161)-SUMIFS(Оплаты!$B$6:$B$505,Оплаты!$A$6:$A$505,"&lt;"&amp;A2161,Оплаты!$D$6:$D$505,"&lt;&gt;"))</f>
        <v/>
      </c>
      <c r="E2161" t="str">
        <f>IF(A2161="","",IF(SUMPRODUCT((Ввод!$F$12:$F$31&lt;&gt;"")*(Ввод!$F$12:$F$31&lt;=A2161)*(Ввод!$G$12:$G$31&gt;=A2161))&gt;0,1,0))</f>
        <v/>
      </c>
      <c r="G2161" t="str">
        <f t="shared" si="67"/>
        <v/>
      </c>
    </row>
    <row r="2162" spans="1:7" x14ac:dyDescent="0.3">
      <c r="A2162" s="21" t="str">
        <f>IF(A2161="","",IF(A2161+1&gt;Ввод!$B$4,"",A2161+1))</f>
        <v/>
      </c>
      <c r="B2162" s="23" t="str">
        <f>IF(A2162="","",IFERROR(INDEX(Ввод!$B$12:$B$71,MATCH(A2162,Ввод!$D$12:$D$71,1)),""))</f>
        <v/>
      </c>
      <c r="C2162" t="str">
        <f t="shared" si="66"/>
        <v/>
      </c>
      <c r="D2162" t="str">
        <f>IF(A2162="","",SUMIFS(Акты!$D$5:$D$16,Акты!$E$5:$E$16,"&lt;="&amp;A2162)-SUMIFS(Оплаты!$B$6:$B$505,Оплаты!$A$6:$A$505,"&lt;"&amp;A2162,Оплаты!$D$6:$D$505,"&lt;&gt;"))</f>
        <v/>
      </c>
      <c r="E2162" t="str">
        <f>IF(A2162="","",IF(SUMPRODUCT((Ввод!$F$12:$F$31&lt;&gt;"")*(Ввод!$F$12:$F$31&lt;=A2162)*(Ввод!$G$12:$G$31&gt;=A2162))&gt;0,1,0))</f>
        <v/>
      </c>
      <c r="G2162" t="str">
        <f t="shared" si="67"/>
        <v/>
      </c>
    </row>
    <row r="2163" spans="1:7" x14ac:dyDescent="0.3">
      <c r="A2163" s="21" t="str">
        <f>IF(A2162="","",IF(A2162+1&gt;Ввод!$B$4,"",A2162+1))</f>
        <v/>
      </c>
      <c r="B2163" s="23" t="str">
        <f>IF(A2163="","",IFERROR(INDEX(Ввод!$B$12:$B$71,MATCH(A2163,Ввод!$D$12:$D$71,1)),""))</f>
        <v/>
      </c>
      <c r="C2163" t="str">
        <f t="shared" si="66"/>
        <v/>
      </c>
      <c r="D2163" t="str">
        <f>IF(A2163="","",SUMIFS(Акты!$D$5:$D$16,Акты!$E$5:$E$16,"&lt;="&amp;A2163)-SUMIFS(Оплаты!$B$6:$B$505,Оплаты!$A$6:$A$505,"&lt;"&amp;A2163,Оплаты!$D$6:$D$505,"&lt;&gt;"))</f>
        <v/>
      </c>
      <c r="E2163" t="str">
        <f>IF(A2163="","",IF(SUMPRODUCT((Ввод!$F$12:$F$31&lt;&gt;"")*(Ввод!$F$12:$F$31&lt;=A2163)*(Ввод!$G$12:$G$31&gt;=A2163))&gt;0,1,0))</f>
        <v/>
      </c>
      <c r="G2163" t="str">
        <f t="shared" si="67"/>
        <v/>
      </c>
    </row>
    <row r="2164" spans="1:7" x14ac:dyDescent="0.3">
      <c r="A2164" s="21" t="str">
        <f>IF(A2163="","",IF(A2163+1&gt;Ввод!$B$4,"",A2163+1))</f>
        <v/>
      </c>
      <c r="B2164" s="23" t="str">
        <f>IF(A2164="","",IFERROR(INDEX(Ввод!$B$12:$B$71,MATCH(A2164,Ввод!$D$12:$D$71,1)),""))</f>
        <v/>
      </c>
      <c r="C2164" t="str">
        <f t="shared" si="66"/>
        <v/>
      </c>
      <c r="D2164" t="str">
        <f>IF(A2164="","",SUMIFS(Акты!$D$5:$D$16,Акты!$E$5:$E$16,"&lt;="&amp;A2164)-SUMIFS(Оплаты!$B$6:$B$505,Оплаты!$A$6:$A$505,"&lt;"&amp;A2164,Оплаты!$D$6:$D$505,"&lt;&gt;"))</f>
        <v/>
      </c>
      <c r="E2164" t="str">
        <f>IF(A2164="","",IF(SUMPRODUCT((Ввод!$F$12:$F$31&lt;&gt;"")*(Ввод!$F$12:$F$31&lt;=A2164)*(Ввод!$G$12:$G$31&gt;=A2164))&gt;0,1,0))</f>
        <v/>
      </c>
      <c r="G2164" t="str">
        <f t="shared" si="67"/>
        <v/>
      </c>
    </row>
    <row r="2165" spans="1:7" x14ac:dyDescent="0.3">
      <c r="A2165" s="21" t="str">
        <f>IF(A2164="","",IF(A2164+1&gt;Ввод!$B$4,"",A2164+1))</f>
        <v/>
      </c>
      <c r="B2165" s="23" t="str">
        <f>IF(A2165="","",IFERROR(INDEX(Ввод!$B$12:$B$71,MATCH(A2165,Ввод!$D$12:$D$71,1)),""))</f>
        <v/>
      </c>
      <c r="C2165" t="str">
        <f t="shared" si="66"/>
        <v/>
      </c>
      <c r="D2165" t="str">
        <f>IF(A2165="","",SUMIFS(Акты!$D$5:$D$16,Акты!$E$5:$E$16,"&lt;="&amp;A2165)-SUMIFS(Оплаты!$B$6:$B$505,Оплаты!$A$6:$A$505,"&lt;"&amp;A2165,Оплаты!$D$6:$D$505,"&lt;&gt;"))</f>
        <v/>
      </c>
      <c r="E2165" t="str">
        <f>IF(A2165="","",IF(SUMPRODUCT((Ввод!$F$12:$F$31&lt;&gt;"")*(Ввод!$F$12:$F$31&lt;=A2165)*(Ввод!$G$12:$G$31&gt;=A2165))&gt;0,1,0))</f>
        <v/>
      </c>
      <c r="G2165" t="str">
        <f t="shared" si="67"/>
        <v/>
      </c>
    </row>
    <row r="2166" spans="1:7" x14ac:dyDescent="0.3">
      <c r="A2166" s="21" t="str">
        <f>IF(A2165="","",IF(A2165+1&gt;Ввод!$B$4,"",A2165+1))</f>
        <v/>
      </c>
      <c r="B2166" s="23" t="str">
        <f>IF(A2166="","",IFERROR(INDEX(Ввод!$B$12:$B$71,MATCH(A2166,Ввод!$D$12:$D$71,1)),""))</f>
        <v/>
      </c>
      <c r="C2166" t="str">
        <f t="shared" si="66"/>
        <v/>
      </c>
      <c r="D2166" t="str">
        <f>IF(A2166="","",SUMIFS(Акты!$D$5:$D$16,Акты!$E$5:$E$16,"&lt;="&amp;A2166)-SUMIFS(Оплаты!$B$6:$B$505,Оплаты!$A$6:$A$505,"&lt;"&amp;A2166,Оплаты!$D$6:$D$505,"&lt;&gt;"))</f>
        <v/>
      </c>
      <c r="E2166" t="str">
        <f>IF(A2166="","",IF(SUMPRODUCT((Ввод!$F$12:$F$31&lt;&gt;"")*(Ввод!$F$12:$F$31&lt;=A2166)*(Ввод!$G$12:$G$31&gt;=A2166))&gt;0,1,0))</f>
        <v/>
      </c>
      <c r="G2166" t="str">
        <f t="shared" si="67"/>
        <v/>
      </c>
    </row>
    <row r="2167" spans="1:7" x14ac:dyDescent="0.3">
      <c r="A2167" s="21" t="str">
        <f>IF(A2166="","",IF(A2166+1&gt;Ввод!$B$4,"",A2166+1))</f>
        <v/>
      </c>
      <c r="B2167" s="23" t="str">
        <f>IF(A2167="","",IFERROR(INDEX(Ввод!$B$12:$B$71,MATCH(A2167,Ввод!$D$12:$D$71,1)),""))</f>
        <v/>
      </c>
      <c r="C2167" t="str">
        <f t="shared" si="66"/>
        <v/>
      </c>
      <c r="D2167" t="str">
        <f>IF(A2167="","",SUMIFS(Акты!$D$5:$D$16,Акты!$E$5:$E$16,"&lt;="&amp;A2167)-SUMIFS(Оплаты!$B$6:$B$505,Оплаты!$A$6:$A$505,"&lt;"&amp;A2167,Оплаты!$D$6:$D$505,"&lt;&gt;"))</f>
        <v/>
      </c>
      <c r="E2167" t="str">
        <f>IF(A2167="","",IF(SUMPRODUCT((Ввод!$F$12:$F$31&lt;&gt;"")*(Ввод!$F$12:$F$31&lt;=A2167)*(Ввод!$G$12:$G$31&gt;=A2167))&gt;0,1,0))</f>
        <v/>
      </c>
      <c r="G2167" t="str">
        <f t="shared" si="67"/>
        <v/>
      </c>
    </row>
    <row r="2168" spans="1:7" x14ac:dyDescent="0.3">
      <c r="A2168" s="21" t="str">
        <f>IF(A2167="","",IF(A2167+1&gt;Ввод!$B$4,"",A2167+1))</f>
        <v/>
      </c>
      <c r="B2168" s="23" t="str">
        <f>IF(A2168="","",IFERROR(INDEX(Ввод!$B$12:$B$71,MATCH(A2168,Ввод!$D$12:$D$71,1)),""))</f>
        <v/>
      </c>
      <c r="C2168" t="str">
        <f t="shared" si="66"/>
        <v/>
      </c>
      <c r="D2168" t="str">
        <f>IF(A2168="","",SUMIFS(Акты!$D$5:$D$16,Акты!$E$5:$E$16,"&lt;="&amp;A2168)-SUMIFS(Оплаты!$B$6:$B$505,Оплаты!$A$6:$A$505,"&lt;"&amp;A2168,Оплаты!$D$6:$D$505,"&lt;&gt;"))</f>
        <v/>
      </c>
      <c r="E2168" t="str">
        <f>IF(A2168="","",IF(SUMPRODUCT((Ввод!$F$12:$F$31&lt;&gt;"")*(Ввод!$F$12:$F$31&lt;=A2168)*(Ввод!$G$12:$G$31&gt;=A2168))&gt;0,1,0))</f>
        <v/>
      </c>
      <c r="G2168" t="str">
        <f t="shared" si="67"/>
        <v/>
      </c>
    </row>
    <row r="2169" spans="1:7" x14ac:dyDescent="0.3">
      <c r="A2169" s="21" t="str">
        <f>IF(A2168="","",IF(A2168+1&gt;Ввод!$B$4,"",A2168+1))</f>
        <v/>
      </c>
      <c r="B2169" s="23" t="str">
        <f>IF(A2169="","",IFERROR(INDEX(Ввод!$B$12:$B$71,MATCH(A2169,Ввод!$D$12:$D$71,1)),""))</f>
        <v/>
      </c>
      <c r="C2169" t="str">
        <f t="shared" si="66"/>
        <v/>
      </c>
      <c r="D2169" t="str">
        <f>IF(A2169="","",SUMIFS(Акты!$D$5:$D$16,Акты!$E$5:$E$16,"&lt;="&amp;A2169)-SUMIFS(Оплаты!$B$6:$B$505,Оплаты!$A$6:$A$505,"&lt;"&amp;A2169,Оплаты!$D$6:$D$505,"&lt;&gt;"))</f>
        <v/>
      </c>
      <c r="E2169" t="str">
        <f>IF(A2169="","",IF(SUMPRODUCT((Ввод!$F$12:$F$31&lt;&gt;"")*(Ввод!$F$12:$F$31&lt;=A2169)*(Ввод!$G$12:$G$31&gt;=A2169))&gt;0,1,0))</f>
        <v/>
      </c>
      <c r="G2169" t="str">
        <f t="shared" si="67"/>
        <v/>
      </c>
    </row>
    <row r="2170" spans="1:7" x14ac:dyDescent="0.3">
      <c r="A2170" s="21" t="str">
        <f>IF(A2169="","",IF(A2169+1&gt;Ввод!$B$4,"",A2169+1))</f>
        <v/>
      </c>
      <c r="B2170" s="23" t="str">
        <f>IF(A2170="","",IFERROR(INDEX(Ввод!$B$12:$B$71,MATCH(A2170,Ввод!$D$12:$D$71,1)),""))</f>
        <v/>
      </c>
      <c r="C2170" t="str">
        <f t="shared" si="66"/>
        <v/>
      </c>
      <c r="D2170" t="str">
        <f>IF(A2170="","",SUMIFS(Акты!$D$5:$D$16,Акты!$E$5:$E$16,"&lt;="&amp;A2170)-SUMIFS(Оплаты!$B$6:$B$505,Оплаты!$A$6:$A$505,"&lt;"&amp;A2170,Оплаты!$D$6:$D$505,"&lt;&gt;"))</f>
        <v/>
      </c>
      <c r="E2170" t="str">
        <f>IF(A2170="","",IF(SUMPRODUCT((Ввод!$F$12:$F$31&lt;&gt;"")*(Ввод!$F$12:$F$31&lt;=A2170)*(Ввод!$G$12:$G$31&gt;=A2170))&gt;0,1,0))</f>
        <v/>
      </c>
      <c r="G2170" t="str">
        <f t="shared" si="67"/>
        <v/>
      </c>
    </row>
    <row r="2171" spans="1:7" x14ac:dyDescent="0.3">
      <c r="A2171" s="21" t="str">
        <f>IF(A2170="","",IF(A2170+1&gt;Ввод!$B$4,"",A2170+1))</f>
        <v/>
      </c>
      <c r="B2171" s="23" t="str">
        <f>IF(A2171="","",IFERROR(INDEX(Ввод!$B$12:$B$71,MATCH(A2171,Ввод!$D$12:$D$71,1)),""))</f>
        <v/>
      </c>
      <c r="C2171" t="str">
        <f t="shared" si="66"/>
        <v/>
      </c>
      <c r="D2171" t="str">
        <f>IF(A2171="","",SUMIFS(Акты!$D$5:$D$16,Акты!$E$5:$E$16,"&lt;="&amp;A2171)-SUMIFS(Оплаты!$B$6:$B$505,Оплаты!$A$6:$A$505,"&lt;"&amp;A2171,Оплаты!$D$6:$D$505,"&lt;&gt;"))</f>
        <v/>
      </c>
      <c r="E2171" t="str">
        <f>IF(A2171="","",IF(SUMPRODUCT((Ввод!$F$12:$F$31&lt;&gt;"")*(Ввод!$F$12:$F$31&lt;=A2171)*(Ввод!$G$12:$G$31&gt;=A2171))&gt;0,1,0))</f>
        <v/>
      </c>
      <c r="G2171" t="str">
        <f t="shared" si="67"/>
        <v/>
      </c>
    </row>
    <row r="2172" spans="1:7" x14ac:dyDescent="0.3">
      <c r="A2172" s="21" t="str">
        <f>IF(A2171="","",IF(A2171+1&gt;Ввод!$B$4,"",A2171+1))</f>
        <v/>
      </c>
      <c r="B2172" s="23" t="str">
        <f>IF(A2172="","",IFERROR(INDEX(Ввод!$B$12:$B$71,MATCH(A2172,Ввод!$D$12:$D$71,1)),""))</f>
        <v/>
      </c>
      <c r="C2172" t="str">
        <f t="shared" si="66"/>
        <v/>
      </c>
      <c r="D2172" t="str">
        <f>IF(A2172="","",SUMIFS(Акты!$D$5:$D$16,Акты!$E$5:$E$16,"&lt;="&amp;A2172)-SUMIFS(Оплаты!$B$6:$B$505,Оплаты!$A$6:$A$505,"&lt;"&amp;A2172,Оплаты!$D$6:$D$505,"&lt;&gt;"))</f>
        <v/>
      </c>
      <c r="E2172" t="str">
        <f>IF(A2172="","",IF(SUMPRODUCT((Ввод!$F$12:$F$31&lt;&gt;"")*(Ввод!$F$12:$F$31&lt;=A2172)*(Ввод!$G$12:$G$31&gt;=A2172))&gt;0,1,0))</f>
        <v/>
      </c>
      <c r="G2172" t="str">
        <f t="shared" si="67"/>
        <v/>
      </c>
    </row>
    <row r="2173" spans="1:7" x14ac:dyDescent="0.3">
      <c r="A2173" s="21" t="str">
        <f>IF(A2172="","",IF(A2172+1&gt;Ввод!$B$4,"",A2172+1))</f>
        <v/>
      </c>
      <c r="B2173" s="23" t="str">
        <f>IF(A2173="","",IFERROR(INDEX(Ввод!$B$12:$B$71,MATCH(A2173,Ввод!$D$12:$D$71,1)),""))</f>
        <v/>
      </c>
      <c r="C2173" t="str">
        <f t="shared" si="66"/>
        <v/>
      </c>
      <c r="D2173" t="str">
        <f>IF(A2173="","",SUMIFS(Акты!$D$5:$D$16,Акты!$E$5:$E$16,"&lt;="&amp;A2173)-SUMIFS(Оплаты!$B$6:$B$505,Оплаты!$A$6:$A$505,"&lt;"&amp;A2173,Оплаты!$D$6:$D$505,"&lt;&gt;"))</f>
        <v/>
      </c>
      <c r="E2173" t="str">
        <f>IF(A2173="","",IF(SUMPRODUCT((Ввод!$F$12:$F$31&lt;&gt;"")*(Ввод!$F$12:$F$31&lt;=A2173)*(Ввод!$G$12:$G$31&gt;=A2173))&gt;0,1,0))</f>
        <v/>
      </c>
      <c r="G2173" t="str">
        <f t="shared" si="67"/>
        <v/>
      </c>
    </row>
    <row r="2174" spans="1:7" x14ac:dyDescent="0.3">
      <c r="A2174" s="21" t="str">
        <f>IF(A2173="","",IF(A2173+1&gt;Ввод!$B$4,"",A2173+1))</f>
        <v/>
      </c>
      <c r="B2174" s="23" t="str">
        <f>IF(A2174="","",IFERROR(INDEX(Ввод!$B$12:$B$71,MATCH(A2174,Ввод!$D$12:$D$71,1)),""))</f>
        <v/>
      </c>
      <c r="C2174" t="str">
        <f t="shared" si="66"/>
        <v/>
      </c>
      <c r="D2174" t="str">
        <f>IF(A2174="","",SUMIFS(Акты!$D$5:$D$16,Акты!$E$5:$E$16,"&lt;="&amp;A2174)-SUMIFS(Оплаты!$B$6:$B$505,Оплаты!$A$6:$A$505,"&lt;"&amp;A2174,Оплаты!$D$6:$D$505,"&lt;&gt;"))</f>
        <v/>
      </c>
      <c r="E2174" t="str">
        <f>IF(A2174="","",IF(SUMPRODUCT((Ввод!$F$12:$F$31&lt;&gt;"")*(Ввод!$F$12:$F$31&lt;=A2174)*(Ввод!$G$12:$G$31&gt;=A2174))&gt;0,1,0))</f>
        <v/>
      </c>
      <c r="G2174" t="str">
        <f t="shared" si="67"/>
        <v/>
      </c>
    </row>
    <row r="2175" spans="1:7" x14ac:dyDescent="0.3">
      <c r="A2175" s="21" t="str">
        <f>IF(A2174="","",IF(A2174+1&gt;Ввод!$B$4,"",A2174+1))</f>
        <v/>
      </c>
      <c r="B2175" s="23" t="str">
        <f>IF(A2175="","",IFERROR(INDEX(Ввод!$B$12:$B$71,MATCH(A2175,Ввод!$D$12:$D$71,1)),""))</f>
        <v/>
      </c>
      <c r="C2175" t="str">
        <f t="shared" si="66"/>
        <v/>
      </c>
      <c r="D2175" t="str">
        <f>IF(A2175="","",SUMIFS(Акты!$D$5:$D$16,Акты!$E$5:$E$16,"&lt;="&amp;A2175)-SUMIFS(Оплаты!$B$6:$B$505,Оплаты!$A$6:$A$505,"&lt;"&amp;A2175,Оплаты!$D$6:$D$505,"&lt;&gt;"))</f>
        <v/>
      </c>
      <c r="E2175" t="str">
        <f>IF(A2175="","",IF(SUMPRODUCT((Ввод!$F$12:$F$31&lt;&gt;"")*(Ввод!$F$12:$F$31&lt;=A2175)*(Ввод!$G$12:$G$31&gt;=A2175))&gt;0,1,0))</f>
        <v/>
      </c>
      <c r="G2175" t="str">
        <f t="shared" si="67"/>
        <v/>
      </c>
    </row>
    <row r="2176" spans="1:7" x14ac:dyDescent="0.3">
      <c r="A2176" s="21" t="str">
        <f>IF(A2175="","",IF(A2175+1&gt;Ввод!$B$4,"",A2175+1))</f>
        <v/>
      </c>
      <c r="B2176" s="23" t="str">
        <f>IF(A2176="","",IFERROR(INDEX(Ввод!$B$12:$B$71,MATCH(A2176,Ввод!$D$12:$D$71,1)),""))</f>
        <v/>
      </c>
      <c r="C2176" t="str">
        <f t="shared" si="66"/>
        <v/>
      </c>
      <c r="D2176" t="str">
        <f>IF(A2176="","",SUMIFS(Акты!$D$5:$D$16,Акты!$E$5:$E$16,"&lt;="&amp;A2176)-SUMIFS(Оплаты!$B$6:$B$505,Оплаты!$A$6:$A$505,"&lt;"&amp;A2176,Оплаты!$D$6:$D$505,"&lt;&gt;"))</f>
        <v/>
      </c>
      <c r="E2176" t="str">
        <f>IF(A2176="","",IF(SUMPRODUCT((Ввод!$F$12:$F$31&lt;&gt;"")*(Ввод!$F$12:$F$31&lt;=A2176)*(Ввод!$G$12:$G$31&gt;=A2176))&gt;0,1,0))</f>
        <v/>
      </c>
      <c r="G2176" t="str">
        <f t="shared" si="67"/>
        <v/>
      </c>
    </row>
    <row r="2177" spans="1:7" x14ac:dyDescent="0.3">
      <c r="A2177" s="21" t="str">
        <f>IF(A2176="","",IF(A2176+1&gt;Ввод!$B$4,"",A2176+1))</f>
        <v/>
      </c>
      <c r="B2177" s="23" t="str">
        <f>IF(A2177="","",IFERROR(INDEX(Ввод!$B$12:$B$71,MATCH(A2177,Ввод!$D$12:$D$71,1)),""))</f>
        <v/>
      </c>
      <c r="C2177" t="str">
        <f t="shared" si="66"/>
        <v/>
      </c>
      <c r="D2177" t="str">
        <f>IF(A2177="","",SUMIFS(Акты!$D$5:$D$16,Акты!$E$5:$E$16,"&lt;="&amp;A2177)-SUMIFS(Оплаты!$B$6:$B$505,Оплаты!$A$6:$A$505,"&lt;"&amp;A2177,Оплаты!$D$6:$D$505,"&lt;&gt;"))</f>
        <v/>
      </c>
      <c r="E2177" t="str">
        <f>IF(A2177="","",IF(SUMPRODUCT((Ввод!$F$12:$F$31&lt;&gt;"")*(Ввод!$F$12:$F$31&lt;=A2177)*(Ввод!$G$12:$G$31&gt;=A2177))&gt;0,1,0))</f>
        <v/>
      </c>
      <c r="G2177" t="str">
        <f t="shared" si="67"/>
        <v/>
      </c>
    </row>
    <row r="2178" spans="1:7" x14ac:dyDescent="0.3">
      <c r="A2178" s="21" t="str">
        <f>IF(A2177="","",IF(A2177+1&gt;Ввод!$B$4,"",A2177+1))</f>
        <v/>
      </c>
      <c r="B2178" s="23" t="str">
        <f>IF(A2178="","",IFERROR(INDEX(Ввод!$B$12:$B$71,MATCH(A2178,Ввод!$D$12:$D$71,1)),""))</f>
        <v/>
      </c>
      <c r="C2178" t="str">
        <f t="shared" ref="C2178:C2241" si="68">IF(A2178="","",DATE(YEAR(A2178),12,31)-DATE(YEAR(A2178),1,1)+1)</f>
        <v/>
      </c>
      <c r="D2178" t="str">
        <f>IF(A2178="","",SUMIFS(Акты!$D$5:$D$16,Акты!$E$5:$E$16,"&lt;="&amp;A2178)-SUMIFS(Оплаты!$B$6:$B$505,Оплаты!$A$6:$A$505,"&lt;"&amp;A2178,Оплаты!$D$6:$D$505,"&lt;&gt;"))</f>
        <v/>
      </c>
      <c r="E2178" t="str">
        <f>IF(A2178="","",IF(SUMPRODUCT((Ввод!$F$12:$F$31&lt;&gt;"")*(Ввод!$F$12:$F$31&lt;=A2178)*(Ввод!$G$12:$G$31&gt;=A2178))&gt;0,1,0))</f>
        <v/>
      </c>
      <c r="G2178" t="str">
        <f t="shared" si="67"/>
        <v/>
      </c>
    </row>
    <row r="2179" spans="1:7" x14ac:dyDescent="0.3">
      <c r="A2179" s="21" t="str">
        <f>IF(A2178="","",IF(A2178+1&gt;Ввод!$B$4,"",A2178+1))</f>
        <v/>
      </c>
      <c r="B2179" s="23" t="str">
        <f>IF(A2179="","",IFERROR(INDEX(Ввод!$B$12:$B$71,MATCH(A2179,Ввод!$D$12:$D$71,1)),""))</f>
        <v/>
      </c>
      <c r="C2179" t="str">
        <f t="shared" si="68"/>
        <v/>
      </c>
      <c r="D2179" t="str">
        <f>IF(A2179="","",SUMIFS(Акты!$D$5:$D$16,Акты!$E$5:$E$16,"&lt;="&amp;A2179)-SUMIFS(Оплаты!$B$6:$B$505,Оплаты!$A$6:$A$505,"&lt;"&amp;A2179,Оплаты!$D$6:$D$505,"&lt;&gt;"))</f>
        <v/>
      </c>
      <c r="E2179" t="str">
        <f>IF(A2179="","",IF(SUMPRODUCT((Ввод!$F$12:$F$31&lt;&gt;"")*(Ввод!$F$12:$F$31&lt;=A2179)*(Ввод!$G$12:$G$31&gt;=A2179))&gt;0,1,0))</f>
        <v/>
      </c>
      <c r="G2179" t="str">
        <f t="shared" ref="G2179:G2242" si="69">IF(A2179="","",IF(OR(B2179&lt;&gt;B2178,C2179&lt;&gt;C2178,E2179&lt;&gt;E2178),G2178+1,G2178))</f>
        <v/>
      </c>
    </row>
    <row r="2180" spans="1:7" x14ac:dyDescent="0.3">
      <c r="A2180" s="21" t="str">
        <f>IF(A2179="","",IF(A2179+1&gt;Ввод!$B$4,"",A2179+1))</f>
        <v/>
      </c>
      <c r="B2180" s="23" t="str">
        <f>IF(A2180="","",IFERROR(INDEX(Ввод!$B$12:$B$71,MATCH(A2180,Ввод!$D$12:$D$71,1)),""))</f>
        <v/>
      </c>
      <c r="C2180" t="str">
        <f t="shared" si="68"/>
        <v/>
      </c>
      <c r="D2180" t="str">
        <f>IF(A2180="","",SUMIFS(Акты!$D$5:$D$16,Акты!$E$5:$E$16,"&lt;="&amp;A2180)-SUMIFS(Оплаты!$B$6:$B$505,Оплаты!$A$6:$A$505,"&lt;"&amp;A2180,Оплаты!$D$6:$D$505,"&lt;&gt;"))</f>
        <v/>
      </c>
      <c r="E2180" t="str">
        <f>IF(A2180="","",IF(SUMPRODUCT((Ввод!$F$12:$F$31&lt;&gt;"")*(Ввод!$F$12:$F$31&lt;=A2180)*(Ввод!$G$12:$G$31&gt;=A2180))&gt;0,1,0))</f>
        <v/>
      </c>
      <c r="G2180" t="str">
        <f t="shared" si="69"/>
        <v/>
      </c>
    </row>
    <row r="2181" spans="1:7" x14ac:dyDescent="0.3">
      <c r="A2181" s="21" t="str">
        <f>IF(A2180="","",IF(A2180+1&gt;Ввод!$B$4,"",A2180+1))</f>
        <v/>
      </c>
      <c r="B2181" s="23" t="str">
        <f>IF(A2181="","",IFERROR(INDEX(Ввод!$B$12:$B$71,MATCH(A2181,Ввод!$D$12:$D$71,1)),""))</f>
        <v/>
      </c>
      <c r="C2181" t="str">
        <f t="shared" si="68"/>
        <v/>
      </c>
      <c r="D2181" t="str">
        <f>IF(A2181="","",SUMIFS(Акты!$D$5:$D$16,Акты!$E$5:$E$16,"&lt;="&amp;A2181)-SUMIFS(Оплаты!$B$6:$B$505,Оплаты!$A$6:$A$505,"&lt;"&amp;A2181,Оплаты!$D$6:$D$505,"&lt;&gt;"))</f>
        <v/>
      </c>
      <c r="E2181" t="str">
        <f>IF(A2181="","",IF(SUMPRODUCT((Ввод!$F$12:$F$31&lt;&gt;"")*(Ввод!$F$12:$F$31&lt;=A2181)*(Ввод!$G$12:$G$31&gt;=A2181))&gt;0,1,0))</f>
        <v/>
      </c>
      <c r="G2181" t="str">
        <f t="shared" si="69"/>
        <v/>
      </c>
    </row>
    <row r="2182" spans="1:7" x14ac:dyDescent="0.3">
      <c r="A2182" s="21" t="str">
        <f>IF(A2181="","",IF(A2181+1&gt;Ввод!$B$4,"",A2181+1))</f>
        <v/>
      </c>
      <c r="B2182" s="23" t="str">
        <f>IF(A2182="","",IFERROR(INDEX(Ввод!$B$12:$B$71,MATCH(A2182,Ввод!$D$12:$D$71,1)),""))</f>
        <v/>
      </c>
      <c r="C2182" t="str">
        <f t="shared" si="68"/>
        <v/>
      </c>
      <c r="D2182" t="str">
        <f>IF(A2182="","",SUMIFS(Акты!$D$5:$D$16,Акты!$E$5:$E$16,"&lt;="&amp;A2182)-SUMIFS(Оплаты!$B$6:$B$505,Оплаты!$A$6:$A$505,"&lt;"&amp;A2182,Оплаты!$D$6:$D$505,"&lt;&gt;"))</f>
        <v/>
      </c>
      <c r="E2182" t="str">
        <f>IF(A2182="","",IF(SUMPRODUCT((Ввод!$F$12:$F$31&lt;&gt;"")*(Ввод!$F$12:$F$31&lt;=A2182)*(Ввод!$G$12:$G$31&gt;=A2182))&gt;0,1,0))</f>
        <v/>
      </c>
      <c r="G2182" t="str">
        <f t="shared" si="69"/>
        <v/>
      </c>
    </row>
    <row r="2183" spans="1:7" x14ac:dyDescent="0.3">
      <c r="A2183" s="21" t="str">
        <f>IF(A2182="","",IF(A2182+1&gt;Ввод!$B$4,"",A2182+1))</f>
        <v/>
      </c>
      <c r="B2183" s="23" t="str">
        <f>IF(A2183="","",IFERROR(INDEX(Ввод!$B$12:$B$71,MATCH(A2183,Ввод!$D$12:$D$71,1)),""))</f>
        <v/>
      </c>
      <c r="C2183" t="str">
        <f t="shared" si="68"/>
        <v/>
      </c>
      <c r="D2183" t="str">
        <f>IF(A2183="","",SUMIFS(Акты!$D$5:$D$16,Акты!$E$5:$E$16,"&lt;="&amp;A2183)-SUMIFS(Оплаты!$B$6:$B$505,Оплаты!$A$6:$A$505,"&lt;"&amp;A2183,Оплаты!$D$6:$D$505,"&lt;&gt;"))</f>
        <v/>
      </c>
      <c r="E2183" t="str">
        <f>IF(A2183="","",IF(SUMPRODUCT((Ввод!$F$12:$F$31&lt;&gt;"")*(Ввод!$F$12:$F$31&lt;=A2183)*(Ввод!$G$12:$G$31&gt;=A2183))&gt;0,1,0))</f>
        <v/>
      </c>
      <c r="G2183" t="str">
        <f t="shared" si="69"/>
        <v/>
      </c>
    </row>
    <row r="2184" spans="1:7" x14ac:dyDescent="0.3">
      <c r="A2184" s="21" t="str">
        <f>IF(A2183="","",IF(A2183+1&gt;Ввод!$B$4,"",A2183+1))</f>
        <v/>
      </c>
      <c r="B2184" s="23" t="str">
        <f>IF(A2184="","",IFERROR(INDEX(Ввод!$B$12:$B$71,MATCH(A2184,Ввод!$D$12:$D$71,1)),""))</f>
        <v/>
      </c>
      <c r="C2184" t="str">
        <f t="shared" si="68"/>
        <v/>
      </c>
      <c r="D2184" t="str">
        <f>IF(A2184="","",SUMIFS(Акты!$D$5:$D$16,Акты!$E$5:$E$16,"&lt;="&amp;A2184)-SUMIFS(Оплаты!$B$6:$B$505,Оплаты!$A$6:$A$505,"&lt;"&amp;A2184,Оплаты!$D$6:$D$505,"&lt;&gt;"))</f>
        <v/>
      </c>
      <c r="E2184" t="str">
        <f>IF(A2184="","",IF(SUMPRODUCT((Ввод!$F$12:$F$31&lt;&gt;"")*(Ввод!$F$12:$F$31&lt;=A2184)*(Ввод!$G$12:$G$31&gt;=A2184))&gt;0,1,0))</f>
        <v/>
      </c>
      <c r="G2184" t="str">
        <f t="shared" si="69"/>
        <v/>
      </c>
    </row>
    <row r="2185" spans="1:7" x14ac:dyDescent="0.3">
      <c r="A2185" s="21" t="str">
        <f>IF(A2184="","",IF(A2184+1&gt;Ввод!$B$4,"",A2184+1))</f>
        <v/>
      </c>
      <c r="B2185" s="23" t="str">
        <f>IF(A2185="","",IFERROR(INDEX(Ввод!$B$12:$B$71,MATCH(A2185,Ввод!$D$12:$D$71,1)),""))</f>
        <v/>
      </c>
      <c r="C2185" t="str">
        <f t="shared" si="68"/>
        <v/>
      </c>
      <c r="D2185" t="str">
        <f>IF(A2185="","",SUMIFS(Акты!$D$5:$D$16,Акты!$E$5:$E$16,"&lt;="&amp;A2185)-SUMIFS(Оплаты!$B$6:$B$505,Оплаты!$A$6:$A$505,"&lt;"&amp;A2185,Оплаты!$D$6:$D$505,"&lt;&gt;"))</f>
        <v/>
      </c>
      <c r="E2185" t="str">
        <f>IF(A2185="","",IF(SUMPRODUCT((Ввод!$F$12:$F$31&lt;&gt;"")*(Ввод!$F$12:$F$31&lt;=A2185)*(Ввод!$G$12:$G$31&gt;=A2185))&gt;0,1,0))</f>
        <v/>
      </c>
      <c r="G2185" t="str">
        <f t="shared" si="69"/>
        <v/>
      </c>
    </row>
    <row r="2186" spans="1:7" x14ac:dyDescent="0.3">
      <c r="A2186" s="21" t="str">
        <f>IF(A2185="","",IF(A2185+1&gt;Ввод!$B$4,"",A2185+1))</f>
        <v/>
      </c>
      <c r="B2186" s="23" t="str">
        <f>IF(A2186="","",IFERROR(INDEX(Ввод!$B$12:$B$71,MATCH(A2186,Ввод!$D$12:$D$71,1)),""))</f>
        <v/>
      </c>
      <c r="C2186" t="str">
        <f t="shared" si="68"/>
        <v/>
      </c>
      <c r="D2186" t="str">
        <f>IF(A2186="","",SUMIFS(Акты!$D$5:$D$16,Акты!$E$5:$E$16,"&lt;="&amp;A2186)-SUMIFS(Оплаты!$B$6:$B$505,Оплаты!$A$6:$A$505,"&lt;"&amp;A2186,Оплаты!$D$6:$D$505,"&lt;&gt;"))</f>
        <v/>
      </c>
      <c r="E2186" t="str">
        <f>IF(A2186="","",IF(SUMPRODUCT((Ввод!$F$12:$F$31&lt;&gt;"")*(Ввод!$F$12:$F$31&lt;=A2186)*(Ввод!$G$12:$G$31&gt;=A2186))&gt;0,1,0))</f>
        <v/>
      </c>
      <c r="G2186" t="str">
        <f t="shared" si="69"/>
        <v/>
      </c>
    </row>
    <row r="2187" spans="1:7" x14ac:dyDescent="0.3">
      <c r="A2187" s="21" t="str">
        <f>IF(A2186="","",IF(A2186+1&gt;Ввод!$B$4,"",A2186+1))</f>
        <v/>
      </c>
      <c r="B2187" s="23" t="str">
        <f>IF(A2187="","",IFERROR(INDEX(Ввод!$B$12:$B$71,MATCH(A2187,Ввод!$D$12:$D$71,1)),""))</f>
        <v/>
      </c>
      <c r="C2187" t="str">
        <f t="shared" si="68"/>
        <v/>
      </c>
      <c r="D2187" t="str">
        <f>IF(A2187="","",SUMIFS(Акты!$D$5:$D$16,Акты!$E$5:$E$16,"&lt;="&amp;A2187)-SUMIFS(Оплаты!$B$6:$B$505,Оплаты!$A$6:$A$505,"&lt;"&amp;A2187,Оплаты!$D$6:$D$505,"&lt;&gt;"))</f>
        <v/>
      </c>
      <c r="E2187" t="str">
        <f>IF(A2187="","",IF(SUMPRODUCT((Ввод!$F$12:$F$31&lt;&gt;"")*(Ввод!$F$12:$F$31&lt;=A2187)*(Ввод!$G$12:$G$31&gt;=A2187))&gt;0,1,0))</f>
        <v/>
      </c>
      <c r="G2187" t="str">
        <f t="shared" si="69"/>
        <v/>
      </c>
    </row>
    <row r="2188" spans="1:7" x14ac:dyDescent="0.3">
      <c r="A2188" s="21" t="str">
        <f>IF(A2187="","",IF(A2187+1&gt;Ввод!$B$4,"",A2187+1))</f>
        <v/>
      </c>
      <c r="B2188" s="23" t="str">
        <f>IF(A2188="","",IFERROR(INDEX(Ввод!$B$12:$B$71,MATCH(A2188,Ввод!$D$12:$D$71,1)),""))</f>
        <v/>
      </c>
      <c r="C2188" t="str">
        <f t="shared" si="68"/>
        <v/>
      </c>
      <c r="D2188" t="str">
        <f>IF(A2188="","",SUMIFS(Акты!$D$5:$D$16,Акты!$E$5:$E$16,"&lt;="&amp;A2188)-SUMIFS(Оплаты!$B$6:$B$505,Оплаты!$A$6:$A$505,"&lt;"&amp;A2188,Оплаты!$D$6:$D$505,"&lt;&gt;"))</f>
        <v/>
      </c>
      <c r="E2188" t="str">
        <f>IF(A2188="","",IF(SUMPRODUCT((Ввод!$F$12:$F$31&lt;&gt;"")*(Ввод!$F$12:$F$31&lt;=A2188)*(Ввод!$G$12:$G$31&gt;=A2188))&gt;0,1,0))</f>
        <v/>
      </c>
      <c r="G2188" t="str">
        <f t="shared" si="69"/>
        <v/>
      </c>
    </row>
    <row r="2189" spans="1:7" x14ac:dyDescent="0.3">
      <c r="A2189" s="21" t="str">
        <f>IF(A2188="","",IF(A2188+1&gt;Ввод!$B$4,"",A2188+1))</f>
        <v/>
      </c>
      <c r="B2189" s="23" t="str">
        <f>IF(A2189="","",IFERROR(INDEX(Ввод!$B$12:$B$71,MATCH(A2189,Ввод!$D$12:$D$71,1)),""))</f>
        <v/>
      </c>
      <c r="C2189" t="str">
        <f t="shared" si="68"/>
        <v/>
      </c>
      <c r="D2189" t="str">
        <f>IF(A2189="","",SUMIFS(Акты!$D$5:$D$16,Акты!$E$5:$E$16,"&lt;="&amp;A2189)-SUMIFS(Оплаты!$B$6:$B$505,Оплаты!$A$6:$A$505,"&lt;"&amp;A2189,Оплаты!$D$6:$D$505,"&lt;&gt;"))</f>
        <v/>
      </c>
      <c r="E2189" t="str">
        <f>IF(A2189="","",IF(SUMPRODUCT((Ввод!$F$12:$F$31&lt;&gt;"")*(Ввод!$F$12:$F$31&lt;=A2189)*(Ввод!$G$12:$G$31&gt;=A2189))&gt;0,1,0))</f>
        <v/>
      </c>
      <c r="G2189" t="str">
        <f t="shared" si="69"/>
        <v/>
      </c>
    </row>
    <row r="2190" spans="1:7" x14ac:dyDescent="0.3">
      <c r="A2190" s="21" t="str">
        <f>IF(A2189="","",IF(A2189+1&gt;Ввод!$B$4,"",A2189+1))</f>
        <v/>
      </c>
      <c r="B2190" s="23" t="str">
        <f>IF(A2190="","",IFERROR(INDEX(Ввод!$B$12:$B$71,MATCH(A2190,Ввод!$D$12:$D$71,1)),""))</f>
        <v/>
      </c>
      <c r="C2190" t="str">
        <f t="shared" si="68"/>
        <v/>
      </c>
      <c r="D2190" t="str">
        <f>IF(A2190="","",SUMIFS(Акты!$D$5:$D$16,Акты!$E$5:$E$16,"&lt;="&amp;A2190)-SUMIFS(Оплаты!$B$6:$B$505,Оплаты!$A$6:$A$505,"&lt;"&amp;A2190,Оплаты!$D$6:$D$505,"&lt;&gt;"))</f>
        <v/>
      </c>
      <c r="E2190" t="str">
        <f>IF(A2190="","",IF(SUMPRODUCT((Ввод!$F$12:$F$31&lt;&gt;"")*(Ввод!$F$12:$F$31&lt;=A2190)*(Ввод!$G$12:$G$31&gt;=A2190))&gt;0,1,0))</f>
        <v/>
      </c>
      <c r="G2190" t="str">
        <f t="shared" si="69"/>
        <v/>
      </c>
    </row>
    <row r="2191" spans="1:7" x14ac:dyDescent="0.3">
      <c r="A2191" s="21" t="str">
        <f>IF(A2190="","",IF(A2190+1&gt;Ввод!$B$4,"",A2190+1))</f>
        <v/>
      </c>
      <c r="B2191" s="23" t="str">
        <f>IF(A2191="","",IFERROR(INDEX(Ввод!$B$12:$B$71,MATCH(A2191,Ввод!$D$12:$D$71,1)),""))</f>
        <v/>
      </c>
      <c r="C2191" t="str">
        <f t="shared" si="68"/>
        <v/>
      </c>
      <c r="D2191" t="str">
        <f>IF(A2191="","",SUMIFS(Акты!$D$5:$D$16,Акты!$E$5:$E$16,"&lt;="&amp;A2191)-SUMIFS(Оплаты!$B$6:$B$505,Оплаты!$A$6:$A$505,"&lt;"&amp;A2191,Оплаты!$D$6:$D$505,"&lt;&gt;"))</f>
        <v/>
      </c>
      <c r="E2191" t="str">
        <f>IF(A2191="","",IF(SUMPRODUCT((Ввод!$F$12:$F$31&lt;&gt;"")*(Ввод!$F$12:$F$31&lt;=A2191)*(Ввод!$G$12:$G$31&gt;=A2191))&gt;0,1,0))</f>
        <v/>
      </c>
      <c r="G2191" t="str">
        <f t="shared" si="69"/>
        <v/>
      </c>
    </row>
    <row r="2192" spans="1:7" x14ac:dyDescent="0.3">
      <c r="A2192" s="21" t="str">
        <f>IF(A2191="","",IF(A2191+1&gt;Ввод!$B$4,"",A2191+1))</f>
        <v/>
      </c>
      <c r="B2192" s="23" t="str">
        <f>IF(A2192="","",IFERROR(INDEX(Ввод!$B$12:$B$71,MATCH(A2192,Ввод!$D$12:$D$71,1)),""))</f>
        <v/>
      </c>
      <c r="C2192" t="str">
        <f t="shared" si="68"/>
        <v/>
      </c>
      <c r="D2192" t="str">
        <f>IF(A2192="","",SUMIFS(Акты!$D$5:$D$16,Акты!$E$5:$E$16,"&lt;="&amp;A2192)-SUMIFS(Оплаты!$B$6:$B$505,Оплаты!$A$6:$A$505,"&lt;"&amp;A2192,Оплаты!$D$6:$D$505,"&lt;&gt;"))</f>
        <v/>
      </c>
      <c r="E2192" t="str">
        <f>IF(A2192="","",IF(SUMPRODUCT((Ввод!$F$12:$F$31&lt;&gt;"")*(Ввод!$F$12:$F$31&lt;=A2192)*(Ввод!$G$12:$G$31&gt;=A2192))&gt;0,1,0))</f>
        <v/>
      </c>
      <c r="G2192" t="str">
        <f t="shared" si="69"/>
        <v/>
      </c>
    </row>
    <row r="2193" spans="1:7" x14ac:dyDescent="0.3">
      <c r="A2193" s="21" t="str">
        <f>IF(A2192="","",IF(A2192+1&gt;Ввод!$B$4,"",A2192+1))</f>
        <v/>
      </c>
      <c r="B2193" s="23" t="str">
        <f>IF(A2193="","",IFERROR(INDEX(Ввод!$B$12:$B$71,MATCH(A2193,Ввод!$D$12:$D$71,1)),""))</f>
        <v/>
      </c>
      <c r="C2193" t="str">
        <f t="shared" si="68"/>
        <v/>
      </c>
      <c r="D2193" t="str">
        <f>IF(A2193="","",SUMIFS(Акты!$D$5:$D$16,Акты!$E$5:$E$16,"&lt;="&amp;A2193)-SUMIFS(Оплаты!$B$6:$B$505,Оплаты!$A$6:$A$505,"&lt;"&amp;A2193,Оплаты!$D$6:$D$505,"&lt;&gt;"))</f>
        <v/>
      </c>
      <c r="E2193" t="str">
        <f>IF(A2193="","",IF(SUMPRODUCT((Ввод!$F$12:$F$31&lt;&gt;"")*(Ввод!$F$12:$F$31&lt;=A2193)*(Ввод!$G$12:$G$31&gt;=A2193))&gt;0,1,0))</f>
        <v/>
      </c>
      <c r="G2193" t="str">
        <f t="shared" si="69"/>
        <v/>
      </c>
    </row>
    <row r="2194" spans="1:7" x14ac:dyDescent="0.3">
      <c r="A2194" s="21" t="str">
        <f>IF(A2193="","",IF(A2193+1&gt;Ввод!$B$4,"",A2193+1))</f>
        <v/>
      </c>
      <c r="B2194" s="23" t="str">
        <f>IF(A2194="","",IFERROR(INDEX(Ввод!$B$12:$B$71,MATCH(A2194,Ввод!$D$12:$D$71,1)),""))</f>
        <v/>
      </c>
      <c r="C2194" t="str">
        <f t="shared" si="68"/>
        <v/>
      </c>
      <c r="D2194" t="str">
        <f>IF(A2194="","",SUMIFS(Акты!$D$5:$D$16,Акты!$E$5:$E$16,"&lt;="&amp;A2194)-SUMIFS(Оплаты!$B$6:$B$505,Оплаты!$A$6:$A$505,"&lt;"&amp;A2194,Оплаты!$D$6:$D$505,"&lt;&gt;"))</f>
        <v/>
      </c>
      <c r="E2194" t="str">
        <f>IF(A2194="","",IF(SUMPRODUCT((Ввод!$F$12:$F$31&lt;&gt;"")*(Ввод!$F$12:$F$31&lt;=A2194)*(Ввод!$G$12:$G$31&gt;=A2194))&gt;0,1,0))</f>
        <v/>
      </c>
      <c r="G2194" t="str">
        <f t="shared" si="69"/>
        <v/>
      </c>
    </row>
    <row r="2195" spans="1:7" x14ac:dyDescent="0.3">
      <c r="A2195" s="21" t="str">
        <f>IF(A2194="","",IF(A2194+1&gt;Ввод!$B$4,"",A2194+1))</f>
        <v/>
      </c>
      <c r="B2195" s="23" t="str">
        <f>IF(A2195="","",IFERROR(INDEX(Ввод!$B$12:$B$71,MATCH(A2195,Ввод!$D$12:$D$71,1)),""))</f>
        <v/>
      </c>
      <c r="C2195" t="str">
        <f t="shared" si="68"/>
        <v/>
      </c>
      <c r="D2195" t="str">
        <f>IF(A2195="","",SUMIFS(Акты!$D$5:$D$16,Акты!$E$5:$E$16,"&lt;="&amp;A2195)-SUMIFS(Оплаты!$B$6:$B$505,Оплаты!$A$6:$A$505,"&lt;"&amp;A2195,Оплаты!$D$6:$D$505,"&lt;&gt;"))</f>
        <v/>
      </c>
      <c r="E2195" t="str">
        <f>IF(A2195="","",IF(SUMPRODUCT((Ввод!$F$12:$F$31&lt;&gt;"")*(Ввод!$F$12:$F$31&lt;=A2195)*(Ввод!$G$12:$G$31&gt;=A2195))&gt;0,1,0))</f>
        <v/>
      </c>
      <c r="G2195" t="str">
        <f t="shared" si="69"/>
        <v/>
      </c>
    </row>
    <row r="2196" spans="1:7" x14ac:dyDescent="0.3">
      <c r="A2196" s="21" t="str">
        <f>IF(A2195="","",IF(A2195+1&gt;Ввод!$B$4,"",A2195+1))</f>
        <v/>
      </c>
      <c r="B2196" s="23" t="str">
        <f>IF(A2196="","",IFERROR(INDEX(Ввод!$B$12:$B$71,MATCH(A2196,Ввод!$D$12:$D$71,1)),""))</f>
        <v/>
      </c>
      <c r="C2196" t="str">
        <f t="shared" si="68"/>
        <v/>
      </c>
      <c r="D2196" t="str">
        <f>IF(A2196="","",SUMIFS(Акты!$D$5:$D$16,Акты!$E$5:$E$16,"&lt;="&amp;A2196)-SUMIFS(Оплаты!$B$6:$B$505,Оплаты!$A$6:$A$505,"&lt;"&amp;A2196,Оплаты!$D$6:$D$505,"&lt;&gt;"))</f>
        <v/>
      </c>
      <c r="E2196" t="str">
        <f>IF(A2196="","",IF(SUMPRODUCT((Ввод!$F$12:$F$31&lt;&gt;"")*(Ввод!$F$12:$F$31&lt;=A2196)*(Ввод!$G$12:$G$31&gt;=A2196))&gt;0,1,0))</f>
        <v/>
      </c>
      <c r="G2196" t="str">
        <f t="shared" si="69"/>
        <v/>
      </c>
    </row>
    <row r="2197" spans="1:7" x14ac:dyDescent="0.3">
      <c r="A2197" s="21" t="str">
        <f>IF(A2196="","",IF(A2196+1&gt;Ввод!$B$4,"",A2196+1))</f>
        <v/>
      </c>
      <c r="B2197" s="23" t="str">
        <f>IF(A2197="","",IFERROR(INDEX(Ввод!$B$12:$B$71,MATCH(A2197,Ввод!$D$12:$D$71,1)),""))</f>
        <v/>
      </c>
      <c r="C2197" t="str">
        <f t="shared" si="68"/>
        <v/>
      </c>
      <c r="D2197" t="str">
        <f>IF(A2197="","",SUMIFS(Акты!$D$5:$D$16,Акты!$E$5:$E$16,"&lt;="&amp;A2197)-SUMIFS(Оплаты!$B$6:$B$505,Оплаты!$A$6:$A$505,"&lt;"&amp;A2197,Оплаты!$D$6:$D$505,"&lt;&gt;"))</f>
        <v/>
      </c>
      <c r="E2197" t="str">
        <f>IF(A2197="","",IF(SUMPRODUCT((Ввод!$F$12:$F$31&lt;&gt;"")*(Ввод!$F$12:$F$31&lt;=A2197)*(Ввод!$G$12:$G$31&gt;=A2197))&gt;0,1,0))</f>
        <v/>
      </c>
      <c r="G2197" t="str">
        <f t="shared" si="69"/>
        <v/>
      </c>
    </row>
    <row r="2198" spans="1:7" x14ac:dyDescent="0.3">
      <c r="A2198" s="21" t="str">
        <f>IF(A2197="","",IF(A2197+1&gt;Ввод!$B$4,"",A2197+1))</f>
        <v/>
      </c>
      <c r="B2198" s="23" t="str">
        <f>IF(A2198="","",IFERROR(INDEX(Ввод!$B$12:$B$71,MATCH(A2198,Ввод!$D$12:$D$71,1)),""))</f>
        <v/>
      </c>
      <c r="C2198" t="str">
        <f t="shared" si="68"/>
        <v/>
      </c>
      <c r="D2198" t="str">
        <f>IF(A2198="","",SUMIFS(Акты!$D$5:$D$16,Акты!$E$5:$E$16,"&lt;="&amp;A2198)-SUMIFS(Оплаты!$B$6:$B$505,Оплаты!$A$6:$A$505,"&lt;"&amp;A2198,Оплаты!$D$6:$D$505,"&lt;&gt;"))</f>
        <v/>
      </c>
      <c r="E2198" t="str">
        <f>IF(A2198="","",IF(SUMPRODUCT((Ввод!$F$12:$F$31&lt;&gt;"")*(Ввод!$F$12:$F$31&lt;=A2198)*(Ввод!$G$12:$G$31&gt;=A2198))&gt;0,1,0))</f>
        <v/>
      </c>
      <c r="G2198" t="str">
        <f t="shared" si="69"/>
        <v/>
      </c>
    </row>
    <row r="2199" spans="1:7" x14ac:dyDescent="0.3">
      <c r="A2199" s="21" t="str">
        <f>IF(A2198="","",IF(A2198+1&gt;Ввод!$B$4,"",A2198+1))</f>
        <v/>
      </c>
      <c r="B2199" s="23" t="str">
        <f>IF(A2199="","",IFERROR(INDEX(Ввод!$B$12:$B$71,MATCH(A2199,Ввод!$D$12:$D$71,1)),""))</f>
        <v/>
      </c>
      <c r="C2199" t="str">
        <f t="shared" si="68"/>
        <v/>
      </c>
      <c r="D2199" t="str">
        <f>IF(A2199="","",SUMIFS(Акты!$D$5:$D$16,Акты!$E$5:$E$16,"&lt;="&amp;A2199)-SUMIFS(Оплаты!$B$6:$B$505,Оплаты!$A$6:$A$505,"&lt;"&amp;A2199,Оплаты!$D$6:$D$505,"&lt;&gt;"))</f>
        <v/>
      </c>
      <c r="E2199" t="str">
        <f>IF(A2199="","",IF(SUMPRODUCT((Ввод!$F$12:$F$31&lt;&gt;"")*(Ввод!$F$12:$F$31&lt;=A2199)*(Ввод!$G$12:$G$31&gt;=A2199))&gt;0,1,0))</f>
        <v/>
      </c>
      <c r="G2199" t="str">
        <f t="shared" si="69"/>
        <v/>
      </c>
    </row>
    <row r="2200" spans="1:7" x14ac:dyDescent="0.3">
      <c r="A2200" s="21" t="str">
        <f>IF(A2199="","",IF(A2199+1&gt;Ввод!$B$4,"",A2199+1))</f>
        <v/>
      </c>
      <c r="B2200" s="23" t="str">
        <f>IF(A2200="","",IFERROR(INDEX(Ввод!$B$12:$B$71,MATCH(A2200,Ввод!$D$12:$D$71,1)),""))</f>
        <v/>
      </c>
      <c r="C2200" t="str">
        <f t="shared" si="68"/>
        <v/>
      </c>
      <c r="D2200" t="str">
        <f>IF(A2200="","",SUMIFS(Акты!$D$5:$D$16,Акты!$E$5:$E$16,"&lt;="&amp;A2200)-SUMIFS(Оплаты!$B$6:$B$505,Оплаты!$A$6:$A$505,"&lt;"&amp;A2200,Оплаты!$D$6:$D$505,"&lt;&gt;"))</f>
        <v/>
      </c>
      <c r="E2200" t="str">
        <f>IF(A2200="","",IF(SUMPRODUCT((Ввод!$F$12:$F$31&lt;&gt;"")*(Ввод!$F$12:$F$31&lt;=A2200)*(Ввод!$G$12:$G$31&gt;=A2200))&gt;0,1,0))</f>
        <v/>
      </c>
      <c r="G2200" t="str">
        <f t="shared" si="69"/>
        <v/>
      </c>
    </row>
    <row r="2201" spans="1:7" x14ac:dyDescent="0.3">
      <c r="A2201" s="21" t="str">
        <f>IF(A2200="","",IF(A2200+1&gt;Ввод!$B$4,"",A2200+1))</f>
        <v/>
      </c>
      <c r="B2201" s="23" t="str">
        <f>IF(A2201="","",IFERROR(INDEX(Ввод!$B$12:$B$71,MATCH(A2201,Ввод!$D$12:$D$71,1)),""))</f>
        <v/>
      </c>
      <c r="C2201" t="str">
        <f t="shared" si="68"/>
        <v/>
      </c>
      <c r="D2201" t="str">
        <f>IF(A2201="","",SUMIFS(Акты!$D$5:$D$16,Акты!$E$5:$E$16,"&lt;="&amp;A2201)-SUMIFS(Оплаты!$B$6:$B$505,Оплаты!$A$6:$A$505,"&lt;"&amp;A2201,Оплаты!$D$6:$D$505,"&lt;&gt;"))</f>
        <v/>
      </c>
      <c r="E2201" t="str">
        <f>IF(A2201="","",IF(SUMPRODUCT((Ввод!$F$12:$F$31&lt;&gt;"")*(Ввод!$F$12:$F$31&lt;=A2201)*(Ввод!$G$12:$G$31&gt;=A2201))&gt;0,1,0))</f>
        <v/>
      </c>
      <c r="G2201" t="str">
        <f t="shared" si="69"/>
        <v/>
      </c>
    </row>
    <row r="2202" spans="1:7" x14ac:dyDescent="0.3">
      <c r="A2202" s="21" t="str">
        <f>IF(A2201="","",IF(A2201+1&gt;Ввод!$B$4,"",A2201+1))</f>
        <v/>
      </c>
      <c r="B2202" s="23" t="str">
        <f>IF(A2202="","",IFERROR(INDEX(Ввод!$B$12:$B$71,MATCH(A2202,Ввод!$D$12:$D$71,1)),""))</f>
        <v/>
      </c>
      <c r="C2202" t="str">
        <f t="shared" si="68"/>
        <v/>
      </c>
      <c r="D2202" t="str">
        <f>IF(A2202="","",SUMIFS(Акты!$D$5:$D$16,Акты!$E$5:$E$16,"&lt;="&amp;A2202)-SUMIFS(Оплаты!$B$6:$B$505,Оплаты!$A$6:$A$505,"&lt;"&amp;A2202,Оплаты!$D$6:$D$505,"&lt;&gt;"))</f>
        <v/>
      </c>
      <c r="E2202" t="str">
        <f>IF(A2202="","",IF(SUMPRODUCT((Ввод!$F$12:$F$31&lt;&gt;"")*(Ввод!$F$12:$F$31&lt;=A2202)*(Ввод!$G$12:$G$31&gt;=A2202))&gt;0,1,0))</f>
        <v/>
      </c>
      <c r="G2202" t="str">
        <f t="shared" si="69"/>
        <v/>
      </c>
    </row>
    <row r="2203" spans="1:7" x14ac:dyDescent="0.3">
      <c r="A2203" s="21" t="str">
        <f>IF(A2202="","",IF(A2202+1&gt;Ввод!$B$4,"",A2202+1))</f>
        <v/>
      </c>
      <c r="B2203" s="23" t="str">
        <f>IF(A2203="","",IFERROR(INDEX(Ввод!$B$12:$B$71,MATCH(A2203,Ввод!$D$12:$D$71,1)),""))</f>
        <v/>
      </c>
      <c r="C2203" t="str">
        <f t="shared" si="68"/>
        <v/>
      </c>
      <c r="D2203" t="str">
        <f>IF(A2203="","",SUMIFS(Акты!$D$5:$D$16,Акты!$E$5:$E$16,"&lt;="&amp;A2203)-SUMIFS(Оплаты!$B$6:$B$505,Оплаты!$A$6:$A$505,"&lt;"&amp;A2203,Оплаты!$D$6:$D$505,"&lt;&gt;"))</f>
        <v/>
      </c>
      <c r="E2203" t="str">
        <f>IF(A2203="","",IF(SUMPRODUCT((Ввод!$F$12:$F$31&lt;&gt;"")*(Ввод!$F$12:$F$31&lt;=A2203)*(Ввод!$G$12:$G$31&gt;=A2203))&gt;0,1,0))</f>
        <v/>
      </c>
      <c r="G2203" t="str">
        <f t="shared" si="69"/>
        <v/>
      </c>
    </row>
    <row r="2204" spans="1:7" x14ac:dyDescent="0.3">
      <c r="A2204" s="21" t="str">
        <f>IF(A2203="","",IF(A2203+1&gt;Ввод!$B$4,"",A2203+1))</f>
        <v/>
      </c>
      <c r="B2204" s="23" t="str">
        <f>IF(A2204="","",IFERROR(INDEX(Ввод!$B$12:$B$71,MATCH(A2204,Ввод!$D$12:$D$71,1)),""))</f>
        <v/>
      </c>
      <c r="C2204" t="str">
        <f t="shared" si="68"/>
        <v/>
      </c>
      <c r="D2204" t="str">
        <f>IF(A2204="","",SUMIFS(Акты!$D$5:$D$16,Акты!$E$5:$E$16,"&lt;="&amp;A2204)-SUMIFS(Оплаты!$B$6:$B$505,Оплаты!$A$6:$A$505,"&lt;"&amp;A2204,Оплаты!$D$6:$D$505,"&lt;&gt;"))</f>
        <v/>
      </c>
      <c r="E2204" t="str">
        <f>IF(A2204="","",IF(SUMPRODUCT((Ввод!$F$12:$F$31&lt;&gt;"")*(Ввод!$F$12:$F$31&lt;=A2204)*(Ввод!$G$12:$G$31&gt;=A2204))&gt;0,1,0))</f>
        <v/>
      </c>
      <c r="G2204" t="str">
        <f t="shared" si="69"/>
        <v/>
      </c>
    </row>
    <row r="2205" spans="1:7" x14ac:dyDescent="0.3">
      <c r="A2205" s="21" t="str">
        <f>IF(A2204="","",IF(A2204+1&gt;Ввод!$B$4,"",A2204+1))</f>
        <v/>
      </c>
      <c r="B2205" s="23" t="str">
        <f>IF(A2205="","",IFERROR(INDEX(Ввод!$B$12:$B$71,MATCH(A2205,Ввод!$D$12:$D$71,1)),""))</f>
        <v/>
      </c>
      <c r="C2205" t="str">
        <f t="shared" si="68"/>
        <v/>
      </c>
      <c r="D2205" t="str">
        <f>IF(A2205="","",SUMIFS(Акты!$D$5:$D$16,Акты!$E$5:$E$16,"&lt;="&amp;A2205)-SUMIFS(Оплаты!$B$6:$B$505,Оплаты!$A$6:$A$505,"&lt;"&amp;A2205,Оплаты!$D$6:$D$505,"&lt;&gt;"))</f>
        <v/>
      </c>
      <c r="E2205" t="str">
        <f>IF(A2205="","",IF(SUMPRODUCT((Ввод!$F$12:$F$31&lt;&gt;"")*(Ввод!$F$12:$F$31&lt;=A2205)*(Ввод!$G$12:$G$31&gt;=A2205))&gt;0,1,0))</f>
        <v/>
      </c>
      <c r="G2205" t="str">
        <f t="shared" si="69"/>
        <v/>
      </c>
    </row>
    <row r="2206" spans="1:7" x14ac:dyDescent="0.3">
      <c r="A2206" s="21" t="str">
        <f>IF(A2205="","",IF(A2205+1&gt;Ввод!$B$4,"",A2205+1))</f>
        <v/>
      </c>
      <c r="B2206" s="23" t="str">
        <f>IF(A2206="","",IFERROR(INDEX(Ввод!$B$12:$B$71,MATCH(A2206,Ввод!$D$12:$D$71,1)),""))</f>
        <v/>
      </c>
      <c r="C2206" t="str">
        <f t="shared" si="68"/>
        <v/>
      </c>
      <c r="D2206" t="str">
        <f>IF(A2206="","",SUMIFS(Акты!$D$5:$D$16,Акты!$E$5:$E$16,"&lt;="&amp;A2206)-SUMIFS(Оплаты!$B$6:$B$505,Оплаты!$A$6:$A$505,"&lt;"&amp;A2206,Оплаты!$D$6:$D$505,"&lt;&gt;"))</f>
        <v/>
      </c>
      <c r="E2206" t="str">
        <f>IF(A2206="","",IF(SUMPRODUCT((Ввод!$F$12:$F$31&lt;&gt;"")*(Ввод!$F$12:$F$31&lt;=A2206)*(Ввод!$G$12:$G$31&gt;=A2206))&gt;0,1,0))</f>
        <v/>
      </c>
      <c r="G2206" t="str">
        <f t="shared" si="69"/>
        <v/>
      </c>
    </row>
    <row r="2207" spans="1:7" x14ac:dyDescent="0.3">
      <c r="A2207" s="21" t="str">
        <f>IF(A2206="","",IF(A2206+1&gt;Ввод!$B$4,"",A2206+1))</f>
        <v/>
      </c>
      <c r="B2207" s="23" t="str">
        <f>IF(A2207="","",IFERROR(INDEX(Ввод!$B$12:$B$71,MATCH(A2207,Ввод!$D$12:$D$71,1)),""))</f>
        <v/>
      </c>
      <c r="C2207" t="str">
        <f t="shared" si="68"/>
        <v/>
      </c>
      <c r="D2207" t="str">
        <f>IF(A2207="","",SUMIFS(Акты!$D$5:$D$16,Акты!$E$5:$E$16,"&lt;="&amp;A2207)-SUMIFS(Оплаты!$B$6:$B$505,Оплаты!$A$6:$A$505,"&lt;"&amp;A2207,Оплаты!$D$6:$D$505,"&lt;&gt;"))</f>
        <v/>
      </c>
      <c r="E2207" t="str">
        <f>IF(A2207="","",IF(SUMPRODUCT((Ввод!$F$12:$F$31&lt;&gt;"")*(Ввод!$F$12:$F$31&lt;=A2207)*(Ввод!$G$12:$G$31&gt;=A2207))&gt;0,1,0))</f>
        <v/>
      </c>
      <c r="G2207" t="str">
        <f t="shared" si="69"/>
        <v/>
      </c>
    </row>
    <row r="2208" spans="1:7" x14ac:dyDescent="0.3">
      <c r="A2208" s="21" t="str">
        <f>IF(A2207="","",IF(A2207+1&gt;Ввод!$B$4,"",A2207+1))</f>
        <v/>
      </c>
      <c r="B2208" s="23" t="str">
        <f>IF(A2208="","",IFERROR(INDEX(Ввод!$B$12:$B$71,MATCH(A2208,Ввод!$D$12:$D$71,1)),""))</f>
        <v/>
      </c>
      <c r="C2208" t="str">
        <f t="shared" si="68"/>
        <v/>
      </c>
      <c r="D2208" t="str">
        <f>IF(A2208="","",SUMIFS(Акты!$D$5:$D$16,Акты!$E$5:$E$16,"&lt;="&amp;A2208)-SUMIFS(Оплаты!$B$6:$B$505,Оплаты!$A$6:$A$505,"&lt;"&amp;A2208,Оплаты!$D$6:$D$505,"&lt;&gt;"))</f>
        <v/>
      </c>
      <c r="E2208" t="str">
        <f>IF(A2208="","",IF(SUMPRODUCT((Ввод!$F$12:$F$31&lt;&gt;"")*(Ввод!$F$12:$F$31&lt;=A2208)*(Ввод!$G$12:$G$31&gt;=A2208))&gt;0,1,0))</f>
        <v/>
      </c>
      <c r="G2208" t="str">
        <f t="shared" si="69"/>
        <v/>
      </c>
    </row>
    <row r="2209" spans="1:7" x14ac:dyDescent="0.3">
      <c r="A2209" s="21" t="str">
        <f>IF(A2208="","",IF(A2208+1&gt;Ввод!$B$4,"",A2208+1))</f>
        <v/>
      </c>
      <c r="B2209" s="23" t="str">
        <f>IF(A2209="","",IFERROR(INDEX(Ввод!$B$12:$B$71,MATCH(A2209,Ввод!$D$12:$D$71,1)),""))</f>
        <v/>
      </c>
      <c r="C2209" t="str">
        <f t="shared" si="68"/>
        <v/>
      </c>
      <c r="D2209" t="str">
        <f>IF(A2209="","",SUMIFS(Акты!$D$5:$D$16,Акты!$E$5:$E$16,"&lt;="&amp;A2209)-SUMIFS(Оплаты!$B$6:$B$505,Оплаты!$A$6:$A$505,"&lt;"&amp;A2209,Оплаты!$D$6:$D$505,"&lt;&gt;"))</f>
        <v/>
      </c>
      <c r="E2209" t="str">
        <f>IF(A2209="","",IF(SUMPRODUCT((Ввод!$F$12:$F$31&lt;&gt;"")*(Ввод!$F$12:$F$31&lt;=A2209)*(Ввод!$G$12:$G$31&gt;=A2209))&gt;0,1,0))</f>
        <v/>
      </c>
      <c r="G2209" t="str">
        <f t="shared" si="69"/>
        <v/>
      </c>
    </row>
    <row r="2210" spans="1:7" x14ac:dyDescent="0.3">
      <c r="A2210" s="21" t="str">
        <f>IF(A2209="","",IF(A2209+1&gt;Ввод!$B$4,"",A2209+1))</f>
        <v/>
      </c>
      <c r="B2210" s="23" t="str">
        <f>IF(A2210="","",IFERROR(INDEX(Ввод!$B$12:$B$71,MATCH(A2210,Ввод!$D$12:$D$71,1)),""))</f>
        <v/>
      </c>
      <c r="C2210" t="str">
        <f t="shared" si="68"/>
        <v/>
      </c>
      <c r="D2210" t="str">
        <f>IF(A2210="","",SUMIFS(Акты!$D$5:$D$16,Акты!$E$5:$E$16,"&lt;="&amp;A2210)-SUMIFS(Оплаты!$B$6:$B$505,Оплаты!$A$6:$A$505,"&lt;"&amp;A2210,Оплаты!$D$6:$D$505,"&lt;&gt;"))</f>
        <v/>
      </c>
      <c r="E2210" t="str">
        <f>IF(A2210="","",IF(SUMPRODUCT((Ввод!$F$12:$F$31&lt;&gt;"")*(Ввод!$F$12:$F$31&lt;=A2210)*(Ввод!$G$12:$G$31&gt;=A2210))&gt;0,1,0))</f>
        <v/>
      </c>
      <c r="G2210" t="str">
        <f t="shared" si="69"/>
        <v/>
      </c>
    </row>
    <row r="2211" spans="1:7" x14ac:dyDescent="0.3">
      <c r="A2211" s="21" t="str">
        <f>IF(A2210="","",IF(A2210+1&gt;Ввод!$B$4,"",A2210+1))</f>
        <v/>
      </c>
      <c r="B2211" s="23" t="str">
        <f>IF(A2211="","",IFERROR(INDEX(Ввод!$B$12:$B$71,MATCH(A2211,Ввод!$D$12:$D$71,1)),""))</f>
        <v/>
      </c>
      <c r="C2211" t="str">
        <f t="shared" si="68"/>
        <v/>
      </c>
      <c r="D2211" t="str">
        <f>IF(A2211="","",SUMIFS(Акты!$D$5:$D$16,Акты!$E$5:$E$16,"&lt;="&amp;A2211)-SUMIFS(Оплаты!$B$6:$B$505,Оплаты!$A$6:$A$505,"&lt;"&amp;A2211,Оплаты!$D$6:$D$505,"&lt;&gt;"))</f>
        <v/>
      </c>
      <c r="E2211" t="str">
        <f>IF(A2211="","",IF(SUMPRODUCT((Ввод!$F$12:$F$31&lt;&gt;"")*(Ввод!$F$12:$F$31&lt;=A2211)*(Ввод!$G$12:$G$31&gt;=A2211))&gt;0,1,0))</f>
        <v/>
      </c>
      <c r="G2211" t="str">
        <f t="shared" si="69"/>
        <v/>
      </c>
    </row>
    <row r="2212" spans="1:7" x14ac:dyDescent="0.3">
      <c r="A2212" s="21" t="str">
        <f>IF(A2211="","",IF(A2211+1&gt;Ввод!$B$4,"",A2211+1))</f>
        <v/>
      </c>
      <c r="B2212" s="23" t="str">
        <f>IF(A2212="","",IFERROR(INDEX(Ввод!$B$12:$B$71,MATCH(A2212,Ввод!$D$12:$D$71,1)),""))</f>
        <v/>
      </c>
      <c r="C2212" t="str">
        <f t="shared" si="68"/>
        <v/>
      </c>
      <c r="D2212" t="str">
        <f>IF(A2212="","",SUMIFS(Акты!$D$5:$D$16,Акты!$E$5:$E$16,"&lt;="&amp;A2212)-SUMIFS(Оплаты!$B$6:$B$505,Оплаты!$A$6:$A$505,"&lt;"&amp;A2212,Оплаты!$D$6:$D$505,"&lt;&gt;"))</f>
        <v/>
      </c>
      <c r="E2212" t="str">
        <f>IF(A2212="","",IF(SUMPRODUCT((Ввод!$F$12:$F$31&lt;&gt;"")*(Ввод!$F$12:$F$31&lt;=A2212)*(Ввод!$G$12:$G$31&gt;=A2212))&gt;0,1,0))</f>
        <v/>
      </c>
      <c r="G2212" t="str">
        <f t="shared" si="69"/>
        <v/>
      </c>
    </row>
    <row r="2213" spans="1:7" x14ac:dyDescent="0.3">
      <c r="A2213" s="21" t="str">
        <f>IF(A2212="","",IF(A2212+1&gt;Ввод!$B$4,"",A2212+1))</f>
        <v/>
      </c>
      <c r="B2213" s="23" t="str">
        <f>IF(A2213="","",IFERROR(INDEX(Ввод!$B$12:$B$71,MATCH(A2213,Ввод!$D$12:$D$71,1)),""))</f>
        <v/>
      </c>
      <c r="C2213" t="str">
        <f t="shared" si="68"/>
        <v/>
      </c>
      <c r="D2213" t="str">
        <f>IF(A2213="","",SUMIFS(Акты!$D$5:$D$16,Акты!$E$5:$E$16,"&lt;="&amp;A2213)-SUMIFS(Оплаты!$B$6:$B$505,Оплаты!$A$6:$A$505,"&lt;"&amp;A2213,Оплаты!$D$6:$D$505,"&lt;&gt;"))</f>
        <v/>
      </c>
      <c r="E2213" t="str">
        <f>IF(A2213="","",IF(SUMPRODUCT((Ввод!$F$12:$F$31&lt;&gt;"")*(Ввод!$F$12:$F$31&lt;=A2213)*(Ввод!$G$12:$G$31&gt;=A2213))&gt;0,1,0))</f>
        <v/>
      </c>
      <c r="G2213" t="str">
        <f t="shared" si="69"/>
        <v/>
      </c>
    </row>
    <row r="2214" spans="1:7" x14ac:dyDescent="0.3">
      <c r="A2214" s="21" t="str">
        <f>IF(A2213="","",IF(A2213+1&gt;Ввод!$B$4,"",A2213+1))</f>
        <v/>
      </c>
      <c r="B2214" s="23" t="str">
        <f>IF(A2214="","",IFERROR(INDEX(Ввод!$B$12:$B$71,MATCH(A2214,Ввод!$D$12:$D$71,1)),""))</f>
        <v/>
      </c>
      <c r="C2214" t="str">
        <f t="shared" si="68"/>
        <v/>
      </c>
      <c r="D2214" t="str">
        <f>IF(A2214="","",SUMIFS(Акты!$D$5:$D$16,Акты!$E$5:$E$16,"&lt;="&amp;A2214)-SUMIFS(Оплаты!$B$6:$B$505,Оплаты!$A$6:$A$505,"&lt;"&amp;A2214,Оплаты!$D$6:$D$505,"&lt;&gt;"))</f>
        <v/>
      </c>
      <c r="E2214" t="str">
        <f>IF(A2214="","",IF(SUMPRODUCT((Ввод!$F$12:$F$31&lt;&gt;"")*(Ввод!$F$12:$F$31&lt;=A2214)*(Ввод!$G$12:$G$31&gt;=A2214))&gt;0,1,0))</f>
        <v/>
      </c>
      <c r="G2214" t="str">
        <f t="shared" si="69"/>
        <v/>
      </c>
    </row>
    <row r="2215" spans="1:7" x14ac:dyDescent="0.3">
      <c r="A2215" s="21" t="str">
        <f>IF(A2214="","",IF(A2214+1&gt;Ввод!$B$4,"",A2214+1))</f>
        <v/>
      </c>
      <c r="B2215" s="23" t="str">
        <f>IF(A2215="","",IFERROR(INDEX(Ввод!$B$12:$B$71,MATCH(A2215,Ввод!$D$12:$D$71,1)),""))</f>
        <v/>
      </c>
      <c r="C2215" t="str">
        <f t="shared" si="68"/>
        <v/>
      </c>
      <c r="D2215" t="str">
        <f>IF(A2215="","",SUMIFS(Акты!$D$5:$D$16,Акты!$E$5:$E$16,"&lt;="&amp;A2215)-SUMIFS(Оплаты!$B$6:$B$505,Оплаты!$A$6:$A$505,"&lt;"&amp;A2215,Оплаты!$D$6:$D$505,"&lt;&gt;"))</f>
        <v/>
      </c>
      <c r="E2215" t="str">
        <f>IF(A2215="","",IF(SUMPRODUCT((Ввод!$F$12:$F$31&lt;&gt;"")*(Ввод!$F$12:$F$31&lt;=A2215)*(Ввод!$G$12:$G$31&gt;=A2215))&gt;0,1,0))</f>
        <v/>
      </c>
      <c r="G2215" t="str">
        <f t="shared" si="69"/>
        <v/>
      </c>
    </row>
    <row r="2216" spans="1:7" x14ac:dyDescent="0.3">
      <c r="A2216" s="21" t="str">
        <f>IF(A2215="","",IF(A2215+1&gt;Ввод!$B$4,"",A2215+1))</f>
        <v/>
      </c>
      <c r="B2216" s="23" t="str">
        <f>IF(A2216="","",IFERROR(INDEX(Ввод!$B$12:$B$71,MATCH(A2216,Ввод!$D$12:$D$71,1)),""))</f>
        <v/>
      </c>
      <c r="C2216" t="str">
        <f t="shared" si="68"/>
        <v/>
      </c>
      <c r="D2216" t="str">
        <f>IF(A2216="","",SUMIFS(Акты!$D$5:$D$16,Акты!$E$5:$E$16,"&lt;="&amp;A2216)-SUMIFS(Оплаты!$B$6:$B$505,Оплаты!$A$6:$A$505,"&lt;"&amp;A2216,Оплаты!$D$6:$D$505,"&lt;&gt;"))</f>
        <v/>
      </c>
      <c r="E2216" t="str">
        <f>IF(A2216="","",IF(SUMPRODUCT((Ввод!$F$12:$F$31&lt;&gt;"")*(Ввод!$F$12:$F$31&lt;=A2216)*(Ввод!$G$12:$G$31&gt;=A2216))&gt;0,1,0))</f>
        <v/>
      </c>
      <c r="G2216" t="str">
        <f t="shared" si="69"/>
        <v/>
      </c>
    </row>
    <row r="2217" spans="1:7" x14ac:dyDescent="0.3">
      <c r="A2217" s="21" t="str">
        <f>IF(A2216="","",IF(A2216+1&gt;Ввод!$B$4,"",A2216+1))</f>
        <v/>
      </c>
      <c r="B2217" s="23" t="str">
        <f>IF(A2217="","",IFERROR(INDEX(Ввод!$B$12:$B$71,MATCH(A2217,Ввод!$D$12:$D$71,1)),""))</f>
        <v/>
      </c>
      <c r="C2217" t="str">
        <f t="shared" si="68"/>
        <v/>
      </c>
      <c r="D2217" t="str">
        <f>IF(A2217="","",SUMIFS(Акты!$D$5:$D$16,Акты!$E$5:$E$16,"&lt;="&amp;A2217)-SUMIFS(Оплаты!$B$6:$B$505,Оплаты!$A$6:$A$505,"&lt;"&amp;A2217,Оплаты!$D$6:$D$505,"&lt;&gt;"))</f>
        <v/>
      </c>
      <c r="E2217" t="str">
        <f>IF(A2217="","",IF(SUMPRODUCT((Ввод!$F$12:$F$31&lt;&gt;"")*(Ввод!$F$12:$F$31&lt;=A2217)*(Ввод!$G$12:$G$31&gt;=A2217))&gt;0,1,0))</f>
        <v/>
      </c>
      <c r="G2217" t="str">
        <f t="shared" si="69"/>
        <v/>
      </c>
    </row>
    <row r="2218" spans="1:7" x14ac:dyDescent="0.3">
      <c r="A2218" s="21" t="str">
        <f>IF(A2217="","",IF(A2217+1&gt;Ввод!$B$4,"",A2217+1))</f>
        <v/>
      </c>
      <c r="B2218" s="23" t="str">
        <f>IF(A2218="","",IFERROR(INDEX(Ввод!$B$12:$B$71,MATCH(A2218,Ввод!$D$12:$D$71,1)),""))</f>
        <v/>
      </c>
      <c r="C2218" t="str">
        <f t="shared" si="68"/>
        <v/>
      </c>
      <c r="D2218" t="str">
        <f>IF(A2218="","",SUMIFS(Акты!$D$5:$D$16,Акты!$E$5:$E$16,"&lt;="&amp;A2218)-SUMIFS(Оплаты!$B$6:$B$505,Оплаты!$A$6:$A$505,"&lt;"&amp;A2218,Оплаты!$D$6:$D$505,"&lt;&gt;"))</f>
        <v/>
      </c>
      <c r="E2218" t="str">
        <f>IF(A2218="","",IF(SUMPRODUCT((Ввод!$F$12:$F$31&lt;&gt;"")*(Ввод!$F$12:$F$31&lt;=A2218)*(Ввод!$G$12:$G$31&gt;=A2218))&gt;0,1,0))</f>
        <v/>
      </c>
      <c r="G2218" t="str">
        <f t="shared" si="69"/>
        <v/>
      </c>
    </row>
    <row r="2219" spans="1:7" x14ac:dyDescent="0.3">
      <c r="A2219" s="21" t="str">
        <f>IF(A2218="","",IF(A2218+1&gt;Ввод!$B$4,"",A2218+1))</f>
        <v/>
      </c>
      <c r="B2219" s="23" t="str">
        <f>IF(A2219="","",IFERROR(INDEX(Ввод!$B$12:$B$71,MATCH(A2219,Ввод!$D$12:$D$71,1)),""))</f>
        <v/>
      </c>
      <c r="C2219" t="str">
        <f t="shared" si="68"/>
        <v/>
      </c>
      <c r="D2219" t="str">
        <f>IF(A2219="","",SUMIFS(Акты!$D$5:$D$16,Акты!$E$5:$E$16,"&lt;="&amp;A2219)-SUMIFS(Оплаты!$B$6:$B$505,Оплаты!$A$6:$A$505,"&lt;"&amp;A2219,Оплаты!$D$6:$D$505,"&lt;&gt;"))</f>
        <v/>
      </c>
      <c r="E2219" t="str">
        <f>IF(A2219="","",IF(SUMPRODUCT((Ввод!$F$12:$F$31&lt;&gt;"")*(Ввод!$F$12:$F$31&lt;=A2219)*(Ввод!$G$12:$G$31&gt;=A2219))&gt;0,1,0))</f>
        <v/>
      </c>
      <c r="G2219" t="str">
        <f t="shared" si="69"/>
        <v/>
      </c>
    </row>
    <row r="2220" spans="1:7" x14ac:dyDescent="0.3">
      <c r="A2220" s="21" t="str">
        <f>IF(A2219="","",IF(A2219+1&gt;Ввод!$B$4,"",A2219+1))</f>
        <v/>
      </c>
      <c r="B2220" s="23" t="str">
        <f>IF(A2220="","",IFERROR(INDEX(Ввод!$B$12:$B$71,MATCH(A2220,Ввод!$D$12:$D$71,1)),""))</f>
        <v/>
      </c>
      <c r="C2220" t="str">
        <f t="shared" si="68"/>
        <v/>
      </c>
      <c r="D2220" t="str">
        <f>IF(A2220="","",SUMIFS(Акты!$D$5:$D$16,Акты!$E$5:$E$16,"&lt;="&amp;A2220)-SUMIFS(Оплаты!$B$6:$B$505,Оплаты!$A$6:$A$505,"&lt;"&amp;A2220,Оплаты!$D$6:$D$505,"&lt;&gt;"))</f>
        <v/>
      </c>
      <c r="E2220" t="str">
        <f>IF(A2220="","",IF(SUMPRODUCT((Ввод!$F$12:$F$31&lt;&gt;"")*(Ввод!$F$12:$F$31&lt;=A2220)*(Ввод!$G$12:$G$31&gt;=A2220))&gt;0,1,0))</f>
        <v/>
      </c>
      <c r="G2220" t="str">
        <f t="shared" si="69"/>
        <v/>
      </c>
    </row>
    <row r="2221" spans="1:7" x14ac:dyDescent="0.3">
      <c r="A2221" s="21" t="str">
        <f>IF(A2220="","",IF(A2220+1&gt;Ввод!$B$4,"",A2220+1))</f>
        <v/>
      </c>
      <c r="B2221" s="23" t="str">
        <f>IF(A2221="","",IFERROR(INDEX(Ввод!$B$12:$B$71,MATCH(A2221,Ввод!$D$12:$D$71,1)),""))</f>
        <v/>
      </c>
      <c r="C2221" t="str">
        <f t="shared" si="68"/>
        <v/>
      </c>
      <c r="D2221" t="str">
        <f>IF(A2221="","",SUMIFS(Акты!$D$5:$D$16,Акты!$E$5:$E$16,"&lt;="&amp;A2221)-SUMIFS(Оплаты!$B$6:$B$505,Оплаты!$A$6:$A$505,"&lt;"&amp;A2221,Оплаты!$D$6:$D$505,"&lt;&gt;"))</f>
        <v/>
      </c>
      <c r="E2221" t="str">
        <f>IF(A2221="","",IF(SUMPRODUCT((Ввод!$F$12:$F$31&lt;&gt;"")*(Ввод!$F$12:$F$31&lt;=A2221)*(Ввод!$G$12:$G$31&gt;=A2221))&gt;0,1,0))</f>
        <v/>
      </c>
      <c r="G2221" t="str">
        <f t="shared" si="69"/>
        <v/>
      </c>
    </row>
    <row r="2222" spans="1:7" x14ac:dyDescent="0.3">
      <c r="A2222" s="21" t="str">
        <f>IF(A2221="","",IF(A2221+1&gt;Ввод!$B$4,"",A2221+1))</f>
        <v/>
      </c>
      <c r="B2222" s="23" t="str">
        <f>IF(A2222="","",IFERROR(INDEX(Ввод!$B$12:$B$71,MATCH(A2222,Ввод!$D$12:$D$71,1)),""))</f>
        <v/>
      </c>
      <c r="C2222" t="str">
        <f t="shared" si="68"/>
        <v/>
      </c>
      <c r="D2222" t="str">
        <f>IF(A2222="","",SUMIFS(Акты!$D$5:$D$16,Акты!$E$5:$E$16,"&lt;="&amp;A2222)-SUMIFS(Оплаты!$B$6:$B$505,Оплаты!$A$6:$A$505,"&lt;"&amp;A2222,Оплаты!$D$6:$D$505,"&lt;&gt;"))</f>
        <v/>
      </c>
      <c r="E2222" t="str">
        <f>IF(A2222="","",IF(SUMPRODUCT((Ввод!$F$12:$F$31&lt;&gt;"")*(Ввод!$F$12:$F$31&lt;=A2222)*(Ввод!$G$12:$G$31&gt;=A2222))&gt;0,1,0))</f>
        <v/>
      </c>
      <c r="G2222" t="str">
        <f t="shared" si="69"/>
        <v/>
      </c>
    </row>
    <row r="2223" spans="1:7" x14ac:dyDescent="0.3">
      <c r="A2223" s="21" t="str">
        <f>IF(A2222="","",IF(A2222+1&gt;Ввод!$B$4,"",A2222+1))</f>
        <v/>
      </c>
      <c r="B2223" s="23" t="str">
        <f>IF(A2223="","",IFERROR(INDEX(Ввод!$B$12:$B$71,MATCH(A2223,Ввод!$D$12:$D$71,1)),""))</f>
        <v/>
      </c>
      <c r="C2223" t="str">
        <f t="shared" si="68"/>
        <v/>
      </c>
      <c r="D2223" t="str">
        <f>IF(A2223="","",SUMIFS(Акты!$D$5:$D$16,Акты!$E$5:$E$16,"&lt;="&amp;A2223)-SUMIFS(Оплаты!$B$6:$B$505,Оплаты!$A$6:$A$505,"&lt;"&amp;A2223,Оплаты!$D$6:$D$505,"&lt;&gt;"))</f>
        <v/>
      </c>
      <c r="E2223" t="str">
        <f>IF(A2223="","",IF(SUMPRODUCT((Ввод!$F$12:$F$31&lt;&gt;"")*(Ввод!$F$12:$F$31&lt;=A2223)*(Ввод!$G$12:$G$31&gt;=A2223))&gt;0,1,0))</f>
        <v/>
      </c>
      <c r="G2223" t="str">
        <f t="shared" si="69"/>
        <v/>
      </c>
    </row>
    <row r="2224" spans="1:7" x14ac:dyDescent="0.3">
      <c r="A2224" s="21" t="str">
        <f>IF(A2223="","",IF(A2223+1&gt;Ввод!$B$4,"",A2223+1))</f>
        <v/>
      </c>
      <c r="B2224" s="23" t="str">
        <f>IF(A2224="","",IFERROR(INDEX(Ввод!$B$12:$B$71,MATCH(A2224,Ввод!$D$12:$D$71,1)),""))</f>
        <v/>
      </c>
      <c r="C2224" t="str">
        <f t="shared" si="68"/>
        <v/>
      </c>
      <c r="D2224" t="str">
        <f>IF(A2224="","",SUMIFS(Акты!$D$5:$D$16,Акты!$E$5:$E$16,"&lt;="&amp;A2224)-SUMIFS(Оплаты!$B$6:$B$505,Оплаты!$A$6:$A$505,"&lt;"&amp;A2224,Оплаты!$D$6:$D$505,"&lt;&gt;"))</f>
        <v/>
      </c>
      <c r="E2224" t="str">
        <f>IF(A2224="","",IF(SUMPRODUCT((Ввод!$F$12:$F$31&lt;&gt;"")*(Ввод!$F$12:$F$31&lt;=A2224)*(Ввод!$G$12:$G$31&gt;=A2224))&gt;0,1,0))</f>
        <v/>
      </c>
      <c r="G2224" t="str">
        <f t="shared" si="69"/>
        <v/>
      </c>
    </row>
    <row r="2225" spans="1:7" x14ac:dyDescent="0.3">
      <c r="A2225" s="21" t="str">
        <f>IF(A2224="","",IF(A2224+1&gt;Ввод!$B$4,"",A2224+1))</f>
        <v/>
      </c>
      <c r="B2225" s="23" t="str">
        <f>IF(A2225="","",IFERROR(INDEX(Ввод!$B$12:$B$71,MATCH(A2225,Ввод!$D$12:$D$71,1)),""))</f>
        <v/>
      </c>
      <c r="C2225" t="str">
        <f t="shared" si="68"/>
        <v/>
      </c>
      <c r="D2225" t="str">
        <f>IF(A2225="","",SUMIFS(Акты!$D$5:$D$16,Акты!$E$5:$E$16,"&lt;="&amp;A2225)-SUMIFS(Оплаты!$B$6:$B$505,Оплаты!$A$6:$A$505,"&lt;"&amp;A2225,Оплаты!$D$6:$D$505,"&lt;&gt;"))</f>
        <v/>
      </c>
      <c r="E2225" t="str">
        <f>IF(A2225="","",IF(SUMPRODUCT((Ввод!$F$12:$F$31&lt;&gt;"")*(Ввод!$F$12:$F$31&lt;=A2225)*(Ввод!$G$12:$G$31&gt;=A2225))&gt;0,1,0))</f>
        <v/>
      </c>
      <c r="G2225" t="str">
        <f t="shared" si="69"/>
        <v/>
      </c>
    </row>
    <row r="2226" spans="1:7" x14ac:dyDescent="0.3">
      <c r="A2226" s="21" t="str">
        <f>IF(A2225="","",IF(A2225+1&gt;Ввод!$B$4,"",A2225+1))</f>
        <v/>
      </c>
      <c r="B2226" s="23" t="str">
        <f>IF(A2226="","",IFERROR(INDEX(Ввод!$B$12:$B$71,MATCH(A2226,Ввод!$D$12:$D$71,1)),""))</f>
        <v/>
      </c>
      <c r="C2226" t="str">
        <f t="shared" si="68"/>
        <v/>
      </c>
      <c r="D2226" t="str">
        <f>IF(A2226="","",SUMIFS(Акты!$D$5:$D$16,Акты!$E$5:$E$16,"&lt;="&amp;A2226)-SUMIFS(Оплаты!$B$6:$B$505,Оплаты!$A$6:$A$505,"&lt;"&amp;A2226,Оплаты!$D$6:$D$505,"&lt;&gt;"))</f>
        <v/>
      </c>
      <c r="E2226" t="str">
        <f>IF(A2226="","",IF(SUMPRODUCT((Ввод!$F$12:$F$31&lt;&gt;"")*(Ввод!$F$12:$F$31&lt;=A2226)*(Ввод!$G$12:$G$31&gt;=A2226))&gt;0,1,0))</f>
        <v/>
      </c>
      <c r="G2226" t="str">
        <f t="shared" si="69"/>
        <v/>
      </c>
    </row>
    <row r="2227" spans="1:7" x14ac:dyDescent="0.3">
      <c r="A2227" s="21" t="str">
        <f>IF(A2226="","",IF(A2226+1&gt;Ввод!$B$4,"",A2226+1))</f>
        <v/>
      </c>
      <c r="B2227" s="23" t="str">
        <f>IF(A2227="","",IFERROR(INDEX(Ввод!$B$12:$B$71,MATCH(A2227,Ввод!$D$12:$D$71,1)),""))</f>
        <v/>
      </c>
      <c r="C2227" t="str">
        <f t="shared" si="68"/>
        <v/>
      </c>
      <c r="D2227" t="str">
        <f>IF(A2227="","",SUMIFS(Акты!$D$5:$D$16,Акты!$E$5:$E$16,"&lt;="&amp;A2227)-SUMIFS(Оплаты!$B$6:$B$505,Оплаты!$A$6:$A$505,"&lt;"&amp;A2227,Оплаты!$D$6:$D$505,"&lt;&gt;"))</f>
        <v/>
      </c>
      <c r="E2227" t="str">
        <f>IF(A2227="","",IF(SUMPRODUCT((Ввод!$F$12:$F$31&lt;&gt;"")*(Ввод!$F$12:$F$31&lt;=A2227)*(Ввод!$G$12:$G$31&gt;=A2227))&gt;0,1,0))</f>
        <v/>
      </c>
      <c r="G2227" t="str">
        <f t="shared" si="69"/>
        <v/>
      </c>
    </row>
    <row r="2228" spans="1:7" x14ac:dyDescent="0.3">
      <c r="A2228" s="21" t="str">
        <f>IF(A2227="","",IF(A2227+1&gt;Ввод!$B$4,"",A2227+1))</f>
        <v/>
      </c>
      <c r="B2228" s="23" t="str">
        <f>IF(A2228="","",IFERROR(INDEX(Ввод!$B$12:$B$71,MATCH(A2228,Ввод!$D$12:$D$71,1)),""))</f>
        <v/>
      </c>
      <c r="C2228" t="str">
        <f t="shared" si="68"/>
        <v/>
      </c>
      <c r="D2228" t="str">
        <f>IF(A2228="","",SUMIFS(Акты!$D$5:$D$16,Акты!$E$5:$E$16,"&lt;="&amp;A2228)-SUMIFS(Оплаты!$B$6:$B$505,Оплаты!$A$6:$A$505,"&lt;"&amp;A2228,Оплаты!$D$6:$D$505,"&lt;&gt;"))</f>
        <v/>
      </c>
      <c r="E2228" t="str">
        <f>IF(A2228="","",IF(SUMPRODUCT((Ввод!$F$12:$F$31&lt;&gt;"")*(Ввод!$F$12:$F$31&lt;=A2228)*(Ввод!$G$12:$G$31&gt;=A2228))&gt;0,1,0))</f>
        <v/>
      </c>
      <c r="G2228" t="str">
        <f t="shared" si="69"/>
        <v/>
      </c>
    </row>
    <row r="2229" spans="1:7" x14ac:dyDescent="0.3">
      <c r="A2229" s="21" t="str">
        <f>IF(A2228="","",IF(A2228+1&gt;Ввод!$B$4,"",A2228+1))</f>
        <v/>
      </c>
      <c r="B2229" s="23" t="str">
        <f>IF(A2229="","",IFERROR(INDEX(Ввод!$B$12:$B$71,MATCH(A2229,Ввод!$D$12:$D$71,1)),""))</f>
        <v/>
      </c>
      <c r="C2229" t="str">
        <f t="shared" si="68"/>
        <v/>
      </c>
      <c r="D2229" t="str">
        <f>IF(A2229="","",SUMIFS(Акты!$D$5:$D$16,Акты!$E$5:$E$16,"&lt;="&amp;A2229)-SUMIFS(Оплаты!$B$6:$B$505,Оплаты!$A$6:$A$505,"&lt;"&amp;A2229,Оплаты!$D$6:$D$505,"&lt;&gt;"))</f>
        <v/>
      </c>
      <c r="E2229" t="str">
        <f>IF(A2229="","",IF(SUMPRODUCT((Ввод!$F$12:$F$31&lt;&gt;"")*(Ввод!$F$12:$F$31&lt;=A2229)*(Ввод!$G$12:$G$31&gt;=A2229))&gt;0,1,0))</f>
        <v/>
      </c>
      <c r="G2229" t="str">
        <f t="shared" si="69"/>
        <v/>
      </c>
    </row>
    <row r="2230" spans="1:7" x14ac:dyDescent="0.3">
      <c r="A2230" s="21" t="str">
        <f>IF(A2229="","",IF(A2229+1&gt;Ввод!$B$4,"",A2229+1))</f>
        <v/>
      </c>
      <c r="B2230" s="23" t="str">
        <f>IF(A2230="","",IFERROR(INDEX(Ввод!$B$12:$B$71,MATCH(A2230,Ввод!$D$12:$D$71,1)),""))</f>
        <v/>
      </c>
      <c r="C2230" t="str">
        <f t="shared" si="68"/>
        <v/>
      </c>
      <c r="D2230" t="str">
        <f>IF(A2230="","",SUMIFS(Акты!$D$5:$D$16,Акты!$E$5:$E$16,"&lt;="&amp;A2230)-SUMIFS(Оплаты!$B$6:$B$505,Оплаты!$A$6:$A$505,"&lt;"&amp;A2230,Оплаты!$D$6:$D$505,"&lt;&gt;"))</f>
        <v/>
      </c>
      <c r="E2230" t="str">
        <f>IF(A2230="","",IF(SUMPRODUCT((Ввод!$F$12:$F$31&lt;&gt;"")*(Ввод!$F$12:$F$31&lt;=A2230)*(Ввод!$G$12:$G$31&gt;=A2230))&gt;0,1,0))</f>
        <v/>
      </c>
      <c r="G2230" t="str">
        <f t="shared" si="69"/>
        <v/>
      </c>
    </row>
    <row r="2231" spans="1:7" x14ac:dyDescent="0.3">
      <c r="A2231" s="21" t="str">
        <f>IF(A2230="","",IF(A2230+1&gt;Ввод!$B$4,"",A2230+1))</f>
        <v/>
      </c>
      <c r="B2231" s="23" t="str">
        <f>IF(A2231="","",IFERROR(INDEX(Ввод!$B$12:$B$71,MATCH(A2231,Ввод!$D$12:$D$71,1)),""))</f>
        <v/>
      </c>
      <c r="C2231" t="str">
        <f t="shared" si="68"/>
        <v/>
      </c>
      <c r="D2231" t="str">
        <f>IF(A2231="","",SUMIFS(Акты!$D$5:$D$16,Акты!$E$5:$E$16,"&lt;="&amp;A2231)-SUMIFS(Оплаты!$B$6:$B$505,Оплаты!$A$6:$A$505,"&lt;"&amp;A2231,Оплаты!$D$6:$D$505,"&lt;&gt;"))</f>
        <v/>
      </c>
      <c r="E2231" t="str">
        <f>IF(A2231="","",IF(SUMPRODUCT((Ввод!$F$12:$F$31&lt;&gt;"")*(Ввод!$F$12:$F$31&lt;=A2231)*(Ввод!$G$12:$G$31&gt;=A2231))&gt;0,1,0))</f>
        <v/>
      </c>
      <c r="G2231" t="str">
        <f t="shared" si="69"/>
        <v/>
      </c>
    </row>
    <row r="2232" spans="1:7" x14ac:dyDescent="0.3">
      <c r="A2232" s="21" t="str">
        <f>IF(A2231="","",IF(A2231+1&gt;Ввод!$B$4,"",A2231+1))</f>
        <v/>
      </c>
      <c r="B2232" s="23" t="str">
        <f>IF(A2232="","",IFERROR(INDEX(Ввод!$B$12:$B$71,MATCH(A2232,Ввод!$D$12:$D$71,1)),""))</f>
        <v/>
      </c>
      <c r="C2232" t="str">
        <f t="shared" si="68"/>
        <v/>
      </c>
      <c r="D2232" t="str">
        <f>IF(A2232="","",SUMIFS(Акты!$D$5:$D$16,Акты!$E$5:$E$16,"&lt;="&amp;A2232)-SUMIFS(Оплаты!$B$6:$B$505,Оплаты!$A$6:$A$505,"&lt;"&amp;A2232,Оплаты!$D$6:$D$505,"&lt;&gt;"))</f>
        <v/>
      </c>
      <c r="E2232" t="str">
        <f>IF(A2232="","",IF(SUMPRODUCT((Ввод!$F$12:$F$31&lt;&gt;"")*(Ввод!$F$12:$F$31&lt;=A2232)*(Ввод!$G$12:$G$31&gt;=A2232))&gt;0,1,0))</f>
        <v/>
      </c>
      <c r="G2232" t="str">
        <f t="shared" si="69"/>
        <v/>
      </c>
    </row>
    <row r="2233" spans="1:7" x14ac:dyDescent="0.3">
      <c r="A2233" s="21" t="str">
        <f>IF(A2232="","",IF(A2232+1&gt;Ввод!$B$4,"",A2232+1))</f>
        <v/>
      </c>
      <c r="B2233" s="23" t="str">
        <f>IF(A2233="","",IFERROR(INDEX(Ввод!$B$12:$B$71,MATCH(A2233,Ввод!$D$12:$D$71,1)),""))</f>
        <v/>
      </c>
      <c r="C2233" t="str">
        <f t="shared" si="68"/>
        <v/>
      </c>
      <c r="D2233" t="str">
        <f>IF(A2233="","",SUMIFS(Акты!$D$5:$D$16,Акты!$E$5:$E$16,"&lt;="&amp;A2233)-SUMIFS(Оплаты!$B$6:$B$505,Оплаты!$A$6:$A$505,"&lt;"&amp;A2233,Оплаты!$D$6:$D$505,"&lt;&gt;"))</f>
        <v/>
      </c>
      <c r="E2233" t="str">
        <f>IF(A2233="","",IF(SUMPRODUCT((Ввод!$F$12:$F$31&lt;&gt;"")*(Ввод!$F$12:$F$31&lt;=A2233)*(Ввод!$G$12:$G$31&gt;=A2233))&gt;0,1,0))</f>
        <v/>
      </c>
      <c r="G2233" t="str">
        <f t="shared" si="69"/>
        <v/>
      </c>
    </row>
    <row r="2234" spans="1:7" x14ac:dyDescent="0.3">
      <c r="A2234" s="21" t="str">
        <f>IF(A2233="","",IF(A2233+1&gt;Ввод!$B$4,"",A2233+1))</f>
        <v/>
      </c>
      <c r="B2234" s="23" t="str">
        <f>IF(A2234="","",IFERROR(INDEX(Ввод!$B$12:$B$71,MATCH(A2234,Ввод!$D$12:$D$71,1)),""))</f>
        <v/>
      </c>
      <c r="C2234" t="str">
        <f t="shared" si="68"/>
        <v/>
      </c>
      <c r="D2234" t="str">
        <f>IF(A2234="","",SUMIFS(Акты!$D$5:$D$16,Акты!$E$5:$E$16,"&lt;="&amp;A2234)-SUMIFS(Оплаты!$B$6:$B$505,Оплаты!$A$6:$A$505,"&lt;"&amp;A2234,Оплаты!$D$6:$D$505,"&lt;&gt;"))</f>
        <v/>
      </c>
      <c r="E2234" t="str">
        <f>IF(A2234="","",IF(SUMPRODUCT((Ввод!$F$12:$F$31&lt;&gt;"")*(Ввод!$F$12:$F$31&lt;=A2234)*(Ввод!$G$12:$G$31&gt;=A2234))&gt;0,1,0))</f>
        <v/>
      </c>
      <c r="G2234" t="str">
        <f t="shared" si="69"/>
        <v/>
      </c>
    </row>
    <row r="2235" spans="1:7" x14ac:dyDescent="0.3">
      <c r="A2235" s="21" t="str">
        <f>IF(A2234="","",IF(A2234+1&gt;Ввод!$B$4,"",A2234+1))</f>
        <v/>
      </c>
      <c r="B2235" s="23" t="str">
        <f>IF(A2235="","",IFERROR(INDEX(Ввод!$B$12:$B$71,MATCH(A2235,Ввод!$D$12:$D$71,1)),""))</f>
        <v/>
      </c>
      <c r="C2235" t="str">
        <f t="shared" si="68"/>
        <v/>
      </c>
      <c r="D2235" t="str">
        <f>IF(A2235="","",SUMIFS(Акты!$D$5:$D$16,Акты!$E$5:$E$16,"&lt;="&amp;A2235)-SUMIFS(Оплаты!$B$6:$B$505,Оплаты!$A$6:$A$505,"&lt;"&amp;A2235,Оплаты!$D$6:$D$505,"&lt;&gt;"))</f>
        <v/>
      </c>
      <c r="E2235" t="str">
        <f>IF(A2235="","",IF(SUMPRODUCT((Ввод!$F$12:$F$31&lt;&gt;"")*(Ввод!$F$12:$F$31&lt;=A2235)*(Ввод!$G$12:$G$31&gt;=A2235))&gt;0,1,0))</f>
        <v/>
      </c>
      <c r="G2235" t="str">
        <f t="shared" si="69"/>
        <v/>
      </c>
    </row>
    <row r="2236" spans="1:7" x14ac:dyDescent="0.3">
      <c r="A2236" s="21" t="str">
        <f>IF(A2235="","",IF(A2235+1&gt;Ввод!$B$4,"",A2235+1))</f>
        <v/>
      </c>
      <c r="B2236" s="23" t="str">
        <f>IF(A2236="","",IFERROR(INDEX(Ввод!$B$12:$B$71,MATCH(A2236,Ввод!$D$12:$D$71,1)),""))</f>
        <v/>
      </c>
      <c r="C2236" t="str">
        <f t="shared" si="68"/>
        <v/>
      </c>
      <c r="D2236" t="str">
        <f>IF(A2236="","",SUMIFS(Акты!$D$5:$D$16,Акты!$E$5:$E$16,"&lt;="&amp;A2236)-SUMIFS(Оплаты!$B$6:$B$505,Оплаты!$A$6:$A$505,"&lt;"&amp;A2236,Оплаты!$D$6:$D$505,"&lt;&gt;"))</f>
        <v/>
      </c>
      <c r="E2236" t="str">
        <f>IF(A2236="","",IF(SUMPRODUCT((Ввод!$F$12:$F$31&lt;&gt;"")*(Ввод!$F$12:$F$31&lt;=A2236)*(Ввод!$G$12:$G$31&gt;=A2236))&gt;0,1,0))</f>
        <v/>
      </c>
      <c r="G2236" t="str">
        <f t="shared" si="69"/>
        <v/>
      </c>
    </row>
    <row r="2237" spans="1:7" x14ac:dyDescent="0.3">
      <c r="A2237" s="21" t="str">
        <f>IF(A2236="","",IF(A2236+1&gt;Ввод!$B$4,"",A2236+1))</f>
        <v/>
      </c>
      <c r="B2237" s="23" t="str">
        <f>IF(A2237="","",IFERROR(INDEX(Ввод!$B$12:$B$71,MATCH(A2237,Ввод!$D$12:$D$71,1)),""))</f>
        <v/>
      </c>
      <c r="C2237" t="str">
        <f t="shared" si="68"/>
        <v/>
      </c>
      <c r="D2237" t="str">
        <f>IF(A2237="","",SUMIFS(Акты!$D$5:$D$16,Акты!$E$5:$E$16,"&lt;="&amp;A2237)-SUMIFS(Оплаты!$B$6:$B$505,Оплаты!$A$6:$A$505,"&lt;"&amp;A2237,Оплаты!$D$6:$D$505,"&lt;&gt;"))</f>
        <v/>
      </c>
      <c r="E2237" t="str">
        <f>IF(A2237="","",IF(SUMPRODUCT((Ввод!$F$12:$F$31&lt;&gt;"")*(Ввод!$F$12:$F$31&lt;=A2237)*(Ввод!$G$12:$G$31&gt;=A2237))&gt;0,1,0))</f>
        <v/>
      </c>
      <c r="G2237" t="str">
        <f t="shared" si="69"/>
        <v/>
      </c>
    </row>
    <row r="2238" spans="1:7" x14ac:dyDescent="0.3">
      <c r="A2238" s="21" t="str">
        <f>IF(A2237="","",IF(A2237+1&gt;Ввод!$B$4,"",A2237+1))</f>
        <v/>
      </c>
      <c r="B2238" s="23" t="str">
        <f>IF(A2238="","",IFERROR(INDEX(Ввод!$B$12:$B$71,MATCH(A2238,Ввод!$D$12:$D$71,1)),""))</f>
        <v/>
      </c>
      <c r="C2238" t="str">
        <f t="shared" si="68"/>
        <v/>
      </c>
      <c r="D2238" t="str">
        <f>IF(A2238="","",SUMIFS(Акты!$D$5:$D$16,Акты!$E$5:$E$16,"&lt;="&amp;A2238)-SUMIFS(Оплаты!$B$6:$B$505,Оплаты!$A$6:$A$505,"&lt;"&amp;A2238,Оплаты!$D$6:$D$505,"&lt;&gt;"))</f>
        <v/>
      </c>
      <c r="E2238" t="str">
        <f>IF(A2238="","",IF(SUMPRODUCT((Ввод!$F$12:$F$31&lt;&gt;"")*(Ввод!$F$12:$F$31&lt;=A2238)*(Ввод!$G$12:$G$31&gt;=A2238))&gt;0,1,0))</f>
        <v/>
      </c>
      <c r="G2238" t="str">
        <f t="shared" si="69"/>
        <v/>
      </c>
    </row>
    <row r="2239" spans="1:7" x14ac:dyDescent="0.3">
      <c r="A2239" s="21" t="str">
        <f>IF(A2238="","",IF(A2238+1&gt;Ввод!$B$4,"",A2238+1))</f>
        <v/>
      </c>
      <c r="B2239" s="23" t="str">
        <f>IF(A2239="","",IFERROR(INDEX(Ввод!$B$12:$B$71,MATCH(A2239,Ввод!$D$12:$D$71,1)),""))</f>
        <v/>
      </c>
      <c r="C2239" t="str">
        <f t="shared" si="68"/>
        <v/>
      </c>
      <c r="D2239" t="str">
        <f>IF(A2239="","",SUMIFS(Акты!$D$5:$D$16,Акты!$E$5:$E$16,"&lt;="&amp;A2239)-SUMIFS(Оплаты!$B$6:$B$505,Оплаты!$A$6:$A$505,"&lt;"&amp;A2239,Оплаты!$D$6:$D$505,"&lt;&gt;"))</f>
        <v/>
      </c>
      <c r="E2239" t="str">
        <f>IF(A2239="","",IF(SUMPRODUCT((Ввод!$F$12:$F$31&lt;&gt;"")*(Ввод!$F$12:$F$31&lt;=A2239)*(Ввод!$G$12:$G$31&gt;=A2239))&gt;0,1,0))</f>
        <v/>
      </c>
      <c r="G2239" t="str">
        <f t="shared" si="69"/>
        <v/>
      </c>
    </row>
    <row r="2240" spans="1:7" x14ac:dyDescent="0.3">
      <c r="A2240" s="21" t="str">
        <f>IF(A2239="","",IF(A2239+1&gt;Ввод!$B$4,"",A2239+1))</f>
        <v/>
      </c>
      <c r="B2240" s="23" t="str">
        <f>IF(A2240="","",IFERROR(INDEX(Ввод!$B$12:$B$71,MATCH(A2240,Ввод!$D$12:$D$71,1)),""))</f>
        <v/>
      </c>
      <c r="C2240" t="str">
        <f t="shared" si="68"/>
        <v/>
      </c>
      <c r="D2240" t="str">
        <f>IF(A2240="","",SUMIFS(Акты!$D$5:$D$16,Акты!$E$5:$E$16,"&lt;="&amp;A2240)-SUMIFS(Оплаты!$B$6:$B$505,Оплаты!$A$6:$A$505,"&lt;"&amp;A2240,Оплаты!$D$6:$D$505,"&lt;&gt;"))</f>
        <v/>
      </c>
      <c r="E2240" t="str">
        <f>IF(A2240="","",IF(SUMPRODUCT((Ввод!$F$12:$F$31&lt;&gt;"")*(Ввод!$F$12:$F$31&lt;=A2240)*(Ввод!$G$12:$G$31&gt;=A2240))&gt;0,1,0))</f>
        <v/>
      </c>
      <c r="G2240" t="str">
        <f t="shared" si="69"/>
        <v/>
      </c>
    </row>
    <row r="2241" spans="1:7" x14ac:dyDescent="0.3">
      <c r="A2241" s="21" t="str">
        <f>IF(A2240="","",IF(A2240+1&gt;Ввод!$B$4,"",A2240+1))</f>
        <v/>
      </c>
      <c r="B2241" s="23" t="str">
        <f>IF(A2241="","",IFERROR(INDEX(Ввод!$B$12:$B$71,MATCH(A2241,Ввод!$D$12:$D$71,1)),""))</f>
        <v/>
      </c>
      <c r="C2241" t="str">
        <f t="shared" si="68"/>
        <v/>
      </c>
      <c r="D2241" t="str">
        <f>IF(A2241="","",SUMIFS(Акты!$D$5:$D$16,Акты!$E$5:$E$16,"&lt;="&amp;A2241)-SUMIFS(Оплаты!$B$6:$B$505,Оплаты!$A$6:$A$505,"&lt;"&amp;A2241,Оплаты!$D$6:$D$505,"&lt;&gt;"))</f>
        <v/>
      </c>
      <c r="E2241" t="str">
        <f>IF(A2241="","",IF(SUMPRODUCT((Ввод!$F$12:$F$31&lt;&gt;"")*(Ввод!$F$12:$F$31&lt;=A2241)*(Ввод!$G$12:$G$31&gt;=A2241))&gt;0,1,0))</f>
        <v/>
      </c>
      <c r="G2241" t="str">
        <f t="shared" si="69"/>
        <v/>
      </c>
    </row>
    <row r="2242" spans="1:7" x14ac:dyDescent="0.3">
      <c r="A2242" s="21" t="str">
        <f>IF(A2241="","",IF(A2241+1&gt;Ввод!$B$4,"",A2241+1))</f>
        <v/>
      </c>
      <c r="B2242" s="23" t="str">
        <f>IF(A2242="","",IFERROR(INDEX(Ввод!$B$12:$B$71,MATCH(A2242,Ввод!$D$12:$D$71,1)),""))</f>
        <v/>
      </c>
      <c r="C2242" t="str">
        <f t="shared" ref="C2242:C2305" si="70">IF(A2242="","",DATE(YEAR(A2242),12,31)-DATE(YEAR(A2242),1,1)+1)</f>
        <v/>
      </c>
      <c r="D2242" t="str">
        <f>IF(A2242="","",SUMIFS(Акты!$D$5:$D$16,Акты!$E$5:$E$16,"&lt;="&amp;A2242)-SUMIFS(Оплаты!$B$6:$B$505,Оплаты!$A$6:$A$505,"&lt;"&amp;A2242,Оплаты!$D$6:$D$505,"&lt;&gt;"))</f>
        <v/>
      </c>
      <c r="E2242" t="str">
        <f>IF(A2242="","",IF(SUMPRODUCT((Ввод!$F$12:$F$31&lt;&gt;"")*(Ввод!$F$12:$F$31&lt;=A2242)*(Ввод!$G$12:$G$31&gt;=A2242))&gt;0,1,0))</f>
        <v/>
      </c>
      <c r="G2242" t="str">
        <f t="shared" si="69"/>
        <v/>
      </c>
    </row>
    <row r="2243" spans="1:7" x14ac:dyDescent="0.3">
      <c r="A2243" s="21" t="str">
        <f>IF(A2242="","",IF(A2242+1&gt;Ввод!$B$4,"",A2242+1))</f>
        <v/>
      </c>
      <c r="B2243" s="23" t="str">
        <f>IF(A2243="","",IFERROR(INDEX(Ввод!$B$12:$B$71,MATCH(A2243,Ввод!$D$12:$D$71,1)),""))</f>
        <v/>
      </c>
      <c r="C2243" t="str">
        <f t="shared" si="70"/>
        <v/>
      </c>
      <c r="D2243" t="str">
        <f>IF(A2243="","",SUMIFS(Акты!$D$5:$D$16,Акты!$E$5:$E$16,"&lt;="&amp;A2243)-SUMIFS(Оплаты!$B$6:$B$505,Оплаты!$A$6:$A$505,"&lt;"&amp;A2243,Оплаты!$D$6:$D$505,"&lt;&gt;"))</f>
        <v/>
      </c>
      <c r="E2243" t="str">
        <f>IF(A2243="","",IF(SUMPRODUCT((Ввод!$F$12:$F$31&lt;&gt;"")*(Ввод!$F$12:$F$31&lt;=A2243)*(Ввод!$G$12:$G$31&gt;=A2243))&gt;0,1,0))</f>
        <v/>
      </c>
      <c r="G2243" t="str">
        <f t="shared" ref="G2243:G2306" si="71">IF(A2243="","",IF(OR(B2243&lt;&gt;B2242,C2243&lt;&gt;C2242,E2243&lt;&gt;E2242),G2242+1,G2242))</f>
        <v/>
      </c>
    </row>
    <row r="2244" spans="1:7" x14ac:dyDescent="0.3">
      <c r="A2244" s="21" t="str">
        <f>IF(A2243="","",IF(A2243+1&gt;Ввод!$B$4,"",A2243+1))</f>
        <v/>
      </c>
      <c r="B2244" s="23" t="str">
        <f>IF(A2244="","",IFERROR(INDEX(Ввод!$B$12:$B$71,MATCH(A2244,Ввод!$D$12:$D$71,1)),""))</f>
        <v/>
      </c>
      <c r="C2244" t="str">
        <f t="shared" si="70"/>
        <v/>
      </c>
      <c r="D2244" t="str">
        <f>IF(A2244="","",SUMIFS(Акты!$D$5:$D$16,Акты!$E$5:$E$16,"&lt;="&amp;A2244)-SUMIFS(Оплаты!$B$6:$B$505,Оплаты!$A$6:$A$505,"&lt;"&amp;A2244,Оплаты!$D$6:$D$505,"&lt;&gt;"))</f>
        <v/>
      </c>
      <c r="E2244" t="str">
        <f>IF(A2244="","",IF(SUMPRODUCT((Ввод!$F$12:$F$31&lt;&gt;"")*(Ввод!$F$12:$F$31&lt;=A2244)*(Ввод!$G$12:$G$31&gt;=A2244))&gt;0,1,0))</f>
        <v/>
      </c>
      <c r="G2244" t="str">
        <f t="shared" si="71"/>
        <v/>
      </c>
    </row>
    <row r="2245" spans="1:7" x14ac:dyDescent="0.3">
      <c r="A2245" s="21" t="str">
        <f>IF(A2244="","",IF(A2244+1&gt;Ввод!$B$4,"",A2244+1))</f>
        <v/>
      </c>
      <c r="B2245" s="23" t="str">
        <f>IF(A2245="","",IFERROR(INDEX(Ввод!$B$12:$B$71,MATCH(A2245,Ввод!$D$12:$D$71,1)),""))</f>
        <v/>
      </c>
      <c r="C2245" t="str">
        <f t="shared" si="70"/>
        <v/>
      </c>
      <c r="D2245" t="str">
        <f>IF(A2245="","",SUMIFS(Акты!$D$5:$D$16,Акты!$E$5:$E$16,"&lt;="&amp;A2245)-SUMIFS(Оплаты!$B$6:$B$505,Оплаты!$A$6:$A$505,"&lt;"&amp;A2245,Оплаты!$D$6:$D$505,"&lt;&gt;"))</f>
        <v/>
      </c>
      <c r="E2245" t="str">
        <f>IF(A2245="","",IF(SUMPRODUCT((Ввод!$F$12:$F$31&lt;&gt;"")*(Ввод!$F$12:$F$31&lt;=A2245)*(Ввод!$G$12:$G$31&gt;=A2245))&gt;0,1,0))</f>
        <v/>
      </c>
      <c r="G2245" t="str">
        <f t="shared" si="71"/>
        <v/>
      </c>
    </row>
    <row r="2246" spans="1:7" x14ac:dyDescent="0.3">
      <c r="A2246" s="21" t="str">
        <f>IF(A2245="","",IF(A2245+1&gt;Ввод!$B$4,"",A2245+1))</f>
        <v/>
      </c>
      <c r="B2246" s="23" t="str">
        <f>IF(A2246="","",IFERROR(INDEX(Ввод!$B$12:$B$71,MATCH(A2246,Ввод!$D$12:$D$71,1)),""))</f>
        <v/>
      </c>
      <c r="C2246" t="str">
        <f t="shared" si="70"/>
        <v/>
      </c>
      <c r="D2246" t="str">
        <f>IF(A2246="","",SUMIFS(Акты!$D$5:$D$16,Акты!$E$5:$E$16,"&lt;="&amp;A2246)-SUMIFS(Оплаты!$B$6:$B$505,Оплаты!$A$6:$A$505,"&lt;"&amp;A2246,Оплаты!$D$6:$D$505,"&lt;&gt;"))</f>
        <v/>
      </c>
      <c r="E2246" t="str">
        <f>IF(A2246="","",IF(SUMPRODUCT((Ввод!$F$12:$F$31&lt;&gt;"")*(Ввод!$F$12:$F$31&lt;=A2246)*(Ввод!$G$12:$G$31&gt;=A2246))&gt;0,1,0))</f>
        <v/>
      </c>
      <c r="G2246" t="str">
        <f t="shared" si="71"/>
        <v/>
      </c>
    </row>
    <row r="2247" spans="1:7" x14ac:dyDescent="0.3">
      <c r="A2247" s="21" t="str">
        <f>IF(A2246="","",IF(A2246+1&gt;Ввод!$B$4,"",A2246+1))</f>
        <v/>
      </c>
      <c r="B2247" s="23" t="str">
        <f>IF(A2247="","",IFERROR(INDEX(Ввод!$B$12:$B$71,MATCH(A2247,Ввод!$D$12:$D$71,1)),""))</f>
        <v/>
      </c>
      <c r="C2247" t="str">
        <f t="shared" si="70"/>
        <v/>
      </c>
      <c r="D2247" t="str">
        <f>IF(A2247="","",SUMIFS(Акты!$D$5:$D$16,Акты!$E$5:$E$16,"&lt;="&amp;A2247)-SUMIFS(Оплаты!$B$6:$B$505,Оплаты!$A$6:$A$505,"&lt;"&amp;A2247,Оплаты!$D$6:$D$505,"&lt;&gt;"))</f>
        <v/>
      </c>
      <c r="E2247" t="str">
        <f>IF(A2247="","",IF(SUMPRODUCT((Ввод!$F$12:$F$31&lt;&gt;"")*(Ввод!$F$12:$F$31&lt;=A2247)*(Ввод!$G$12:$G$31&gt;=A2247))&gt;0,1,0))</f>
        <v/>
      </c>
      <c r="G2247" t="str">
        <f t="shared" si="71"/>
        <v/>
      </c>
    </row>
    <row r="2248" spans="1:7" x14ac:dyDescent="0.3">
      <c r="A2248" s="21" t="str">
        <f>IF(A2247="","",IF(A2247+1&gt;Ввод!$B$4,"",A2247+1))</f>
        <v/>
      </c>
      <c r="B2248" s="23" t="str">
        <f>IF(A2248="","",IFERROR(INDEX(Ввод!$B$12:$B$71,MATCH(A2248,Ввод!$D$12:$D$71,1)),""))</f>
        <v/>
      </c>
      <c r="C2248" t="str">
        <f t="shared" si="70"/>
        <v/>
      </c>
      <c r="D2248" t="str">
        <f>IF(A2248="","",SUMIFS(Акты!$D$5:$D$16,Акты!$E$5:$E$16,"&lt;="&amp;A2248)-SUMIFS(Оплаты!$B$6:$B$505,Оплаты!$A$6:$A$505,"&lt;"&amp;A2248,Оплаты!$D$6:$D$505,"&lt;&gt;"))</f>
        <v/>
      </c>
      <c r="E2248" t="str">
        <f>IF(A2248="","",IF(SUMPRODUCT((Ввод!$F$12:$F$31&lt;&gt;"")*(Ввод!$F$12:$F$31&lt;=A2248)*(Ввод!$G$12:$G$31&gt;=A2248))&gt;0,1,0))</f>
        <v/>
      </c>
      <c r="G2248" t="str">
        <f t="shared" si="71"/>
        <v/>
      </c>
    </row>
    <row r="2249" spans="1:7" x14ac:dyDescent="0.3">
      <c r="A2249" s="21" t="str">
        <f>IF(A2248="","",IF(A2248+1&gt;Ввод!$B$4,"",A2248+1))</f>
        <v/>
      </c>
      <c r="B2249" s="23" t="str">
        <f>IF(A2249="","",IFERROR(INDEX(Ввод!$B$12:$B$71,MATCH(A2249,Ввод!$D$12:$D$71,1)),""))</f>
        <v/>
      </c>
      <c r="C2249" t="str">
        <f t="shared" si="70"/>
        <v/>
      </c>
      <c r="D2249" t="str">
        <f>IF(A2249="","",SUMIFS(Акты!$D$5:$D$16,Акты!$E$5:$E$16,"&lt;="&amp;A2249)-SUMIFS(Оплаты!$B$6:$B$505,Оплаты!$A$6:$A$505,"&lt;"&amp;A2249,Оплаты!$D$6:$D$505,"&lt;&gt;"))</f>
        <v/>
      </c>
      <c r="E2249" t="str">
        <f>IF(A2249="","",IF(SUMPRODUCT((Ввод!$F$12:$F$31&lt;&gt;"")*(Ввод!$F$12:$F$31&lt;=A2249)*(Ввод!$G$12:$G$31&gt;=A2249))&gt;0,1,0))</f>
        <v/>
      </c>
      <c r="G2249" t="str">
        <f t="shared" si="71"/>
        <v/>
      </c>
    </row>
    <row r="2250" spans="1:7" x14ac:dyDescent="0.3">
      <c r="A2250" s="21" t="str">
        <f>IF(A2249="","",IF(A2249+1&gt;Ввод!$B$4,"",A2249+1))</f>
        <v/>
      </c>
      <c r="B2250" s="23" t="str">
        <f>IF(A2250="","",IFERROR(INDEX(Ввод!$B$12:$B$71,MATCH(A2250,Ввод!$D$12:$D$71,1)),""))</f>
        <v/>
      </c>
      <c r="C2250" t="str">
        <f t="shared" si="70"/>
        <v/>
      </c>
      <c r="D2250" t="str">
        <f>IF(A2250="","",SUMIFS(Акты!$D$5:$D$16,Акты!$E$5:$E$16,"&lt;="&amp;A2250)-SUMIFS(Оплаты!$B$6:$B$505,Оплаты!$A$6:$A$505,"&lt;"&amp;A2250,Оплаты!$D$6:$D$505,"&lt;&gt;"))</f>
        <v/>
      </c>
      <c r="E2250" t="str">
        <f>IF(A2250="","",IF(SUMPRODUCT((Ввод!$F$12:$F$31&lt;&gt;"")*(Ввод!$F$12:$F$31&lt;=A2250)*(Ввод!$G$12:$G$31&gt;=A2250))&gt;0,1,0))</f>
        <v/>
      </c>
      <c r="G2250" t="str">
        <f t="shared" si="71"/>
        <v/>
      </c>
    </row>
    <row r="2251" spans="1:7" x14ac:dyDescent="0.3">
      <c r="A2251" s="21" t="str">
        <f>IF(A2250="","",IF(A2250+1&gt;Ввод!$B$4,"",A2250+1))</f>
        <v/>
      </c>
      <c r="B2251" s="23" t="str">
        <f>IF(A2251="","",IFERROR(INDEX(Ввод!$B$12:$B$71,MATCH(A2251,Ввод!$D$12:$D$71,1)),""))</f>
        <v/>
      </c>
      <c r="C2251" t="str">
        <f t="shared" si="70"/>
        <v/>
      </c>
      <c r="D2251" t="str">
        <f>IF(A2251="","",SUMIFS(Акты!$D$5:$D$16,Акты!$E$5:$E$16,"&lt;="&amp;A2251)-SUMIFS(Оплаты!$B$6:$B$505,Оплаты!$A$6:$A$505,"&lt;"&amp;A2251,Оплаты!$D$6:$D$505,"&lt;&gt;"))</f>
        <v/>
      </c>
      <c r="E2251" t="str">
        <f>IF(A2251="","",IF(SUMPRODUCT((Ввод!$F$12:$F$31&lt;&gt;"")*(Ввод!$F$12:$F$31&lt;=A2251)*(Ввод!$G$12:$G$31&gt;=A2251))&gt;0,1,0))</f>
        <v/>
      </c>
      <c r="G2251" t="str">
        <f t="shared" si="71"/>
        <v/>
      </c>
    </row>
    <row r="2252" spans="1:7" x14ac:dyDescent="0.3">
      <c r="A2252" s="21" t="str">
        <f>IF(A2251="","",IF(A2251+1&gt;Ввод!$B$4,"",A2251+1))</f>
        <v/>
      </c>
      <c r="B2252" s="23" t="str">
        <f>IF(A2252="","",IFERROR(INDEX(Ввод!$B$12:$B$71,MATCH(A2252,Ввод!$D$12:$D$71,1)),""))</f>
        <v/>
      </c>
      <c r="C2252" t="str">
        <f t="shared" si="70"/>
        <v/>
      </c>
      <c r="D2252" t="str">
        <f>IF(A2252="","",SUMIFS(Акты!$D$5:$D$16,Акты!$E$5:$E$16,"&lt;="&amp;A2252)-SUMIFS(Оплаты!$B$6:$B$505,Оплаты!$A$6:$A$505,"&lt;"&amp;A2252,Оплаты!$D$6:$D$505,"&lt;&gt;"))</f>
        <v/>
      </c>
      <c r="E2252" t="str">
        <f>IF(A2252="","",IF(SUMPRODUCT((Ввод!$F$12:$F$31&lt;&gt;"")*(Ввод!$F$12:$F$31&lt;=A2252)*(Ввод!$G$12:$G$31&gt;=A2252))&gt;0,1,0))</f>
        <v/>
      </c>
      <c r="G2252" t="str">
        <f t="shared" si="71"/>
        <v/>
      </c>
    </row>
    <row r="2253" spans="1:7" x14ac:dyDescent="0.3">
      <c r="A2253" s="21" t="str">
        <f>IF(A2252="","",IF(A2252+1&gt;Ввод!$B$4,"",A2252+1))</f>
        <v/>
      </c>
      <c r="B2253" s="23" t="str">
        <f>IF(A2253="","",IFERROR(INDEX(Ввод!$B$12:$B$71,MATCH(A2253,Ввод!$D$12:$D$71,1)),""))</f>
        <v/>
      </c>
      <c r="C2253" t="str">
        <f t="shared" si="70"/>
        <v/>
      </c>
      <c r="D2253" t="str">
        <f>IF(A2253="","",SUMIFS(Акты!$D$5:$D$16,Акты!$E$5:$E$16,"&lt;="&amp;A2253)-SUMIFS(Оплаты!$B$6:$B$505,Оплаты!$A$6:$A$505,"&lt;"&amp;A2253,Оплаты!$D$6:$D$505,"&lt;&gt;"))</f>
        <v/>
      </c>
      <c r="E2253" t="str">
        <f>IF(A2253="","",IF(SUMPRODUCT((Ввод!$F$12:$F$31&lt;&gt;"")*(Ввод!$F$12:$F$31&lt;=A2253)*(Ввод!$G$12:$G$31&gt;=A2253))&gt;0,1,0))</f>
        <v/>
      </c>
      <c r="G2253" t="str">
        <f t="shared" si="71"/>
        <v/>
      </c>
    </row>
    <row r="2254" spans="1:7" x14ac:dyDescent="0.3">
      <c r="A2254" s="21" t="str">
        <f>IF(A2253="","",IF(A2253+1&gt;Ввод!$B$4,"",A2253+1))</f>
        <v/>
      </c>
      <c r="B2254" s="23" t="str">
        <f>IF(A2254="","",IFERROR(INDEX(Ввод!$B$12:$B$71,MATCH(A2254,Ввод!$D$12:$D$71,1)),""))</f>
        <v/>
      </c>
      <c r="C2254" t="str">
        <f t="shared" si="70"/>
        <v/>
      </c>
      <c r="D2254" t="str">
        <f>IF(A2254="","",SUMIFS(Акты!$D$5:$D$16,Акты!$E$5:$E$16,"&lt;="&amp;A2254)-SUMIFS(Оплаты!$B$6:$B$505,Оплаты!$A$6:$A$505,"&lt;"&amp;A2254,Оплаты!$D$6:$D$505,"&lt;&gt;"))</f>
        <v/>
      </c>
      <c r="E2254" t="str">
        <f>IF(A2254="","",IF(SUMPRODUCT((Ввод!$F$12:$F$31&lt;&gt;"")*(Ввод!$F$12:$F$31&lt;=A2254)*(Ввод!$G$12:$G$31&gt;=A2254))&gt;0,1,0))</f>
        <v/>
      </c>
      <c r="G2254" t="str">
        <f t="shared" si="71"/>
        <v/>
      </c>
    </row>
    <row r="2255" spans="1:7" x14ac:dyDescent="0.3">
      <c r="A2255" s="21" t="str">
        <f>IF(A2254="","",IF(A2254+1&gt;Ввод!$B$4,"",A2254+1))</f>
        <v/>
      </c>
      <c r="B2255" s="23" t="str">
        <f>IF(A2255="","",IFERROR(INDEX(Ввод!$B$12:$B$71,MATCH(A2255,Ввод!$D$12:$D$71,1)),""))</f>
        <v/>
      </c>
      <c r="C2255" t="str">
        <f t="shared" si="70"/>
        <v/>
      </c>
      <c r="D2255" t="str">
        <f>IF(A2255="","",SUMIFS(Акты!$D$5:$D$16,Акты!$E$5:$E$16,"&lt;="&amp;A2255)-SUMIFS(Оплаты!$B$6:$B$505,Оплаты!$A$6:$A$505,"&lt;"&amp;A2255,Оплаты!$D$6:$D$505,"&lt;&gt;"))</f>
        <v/>
      </c>
      <c r="E2255" t="str">
        <f>IF(A2255="","",IF(SUMPRODUCT((Ввод!$F$12:$F$31&lt;&gt;"")*(Ввод!$F$12:$F$31&lt;=A2255)*(Ввод!$G$12:$G$31&gt;=A2255))&gt;0,1,0))</f>
        <v/>
      </c>
      <c r="G2255" t="str">
        <f t="shared" si="71"/>
        <v/>
      </c>
    </row>
    <row r="2256" spans="1:7" x14ac:dyDescent="0.3">
      <c r="A2256" s="21" t="str">
        <f>IF(A2255="","",IF(A2255+1&gt;Ввод!$B$4,"",A2255+1))</f>
        <v/>
      </c>
      <c r="B2256" s="23" t="str">
        <f>IF(A2256="","",IFERROR(INDEX(Ввод!$B$12:$B$71,MATCH(A2256,Ввод!$D$12:$D$71,1)),""))</f>
        <v/>
      </c>
      <c r="C2256" t="str">
        <f t="shared" si="70"/>
        <v/>
      </c>
      <c r="D2256" t="str">
        <f>IF(A2256="","",SUMIFS(Акты!$D$5:$D$16,Акты!$E$5:$E$16,"&lt;="&amp;A2256)-SUMIFS(Оплаты!$B$6:$B$505,Оплаты!$A$6:$A$505,"&lt;"&amp;A2256,Оплаты!$D$6:$D$505,"&lt;&gt;"))</f>
        <v/>
      </c>
      <c r="E2256" t="str">
        <f>IF(A2256="","",IF(SUMPRODUCT((Ввод!$F$12:$F$31&lt;&gt;"")*(Ввод!$F$12:$F$31&lt;=A2256)*(Ввод!$G$12:$G$31&gt;=A2256))&gt;0,1,0))</f>
        <v/>
      </c>
      <c r="G2256" t="str">
        <f t="shared" si="71"/>
        <v/>
      </c>
    </row>
    <row r="2257" spans="1:7" x14ac:dyDescent="0.3">
      <c r="A2257" s="21" t="str">
        <f>IF(A2256="","",IF(A2256+1&gt;Ввод!$B$4,"",A2256+1))</f>
        <v/>
      </c>
      <c r="B2257" s="23" t="str">
        <f>IF(A2257="","",IFERROR(INDEX(Ввод!$B$12:$B$71,MATCH(A2257,Ввод!$D$12:$D$71,1)),""))</f>
        <v/>
      </c>
      <c r="C2257" t="str">
        <f t="shared" si="70"/>
        <v/>
      </c>
      <c r="D2257" t="str">
        <f>IF(A2257="","",SUMIFS(Акты!$D$5:$D$16,Акты!$E$5:$E$16,"&lt;="&amp;A2257)-SUMIFS(Оплаты!$B$6:$B$505,Оплаты!$A$6:$A$505,"&lt;"&amp;A2257,Оплаты!$D$6:$D$505,"&lt;&gt;"))</f>
        <v/>
      </c>
      <c r="E2257" t="str">
        <f>IF(A2257="","",IF(SUMPRODUCT((Ввод!$F$12:$F$31&lt;&gt;"")*(Ввод!$F$12:$F$31&lt;=A2257)*(Ввод!$G$12:$G$31&gt;=A2257))&gt;0,1,0))</f>
        <v/>
      </c>
      <c r="G2257" t="str">
        <f t="shared" si="71"/>
        <v/>
      </c>
    </row>
    <row r="2258" spans="1:7" x14ac:dyDescent="0.3">
      <c r="A2258" s="21" t="str">
        <f>IF(A2257="","",IF(A2257+1&gt;Ввод!$B$4,"",A2257+1))</f>
        <v/>
      </c>
      <c r="B2258" s="23" t="str">
        <f>IF(A2258="","",IFERROR(INDEX(Ввод!$B$12:$B$71,MATCH(A2258,Ввод!$D$12:$D$71,1)),""))</f>
        <v/>
      </c>
      <c r="C2258" t="str">
        <f t="shared" si="70"/>
        <v/>
      </c>
      <c r="D2258" t="str">
        <f>IF(A2258="","",SUMIFS(Акты!$D$5:$D$16,Акты!$E$5:$E$16,"&lt;="&amp;A2258)-SUMIFS(Оплаты!$B$6:$B$505,Оплаты!$A$6:$A$505,"&lt;"&amp;A2258,Оплаты!$D$6:$D$505,"&lt;&gt;"))</f>
        <v/>
      </c>
      <c r="E2258" t="str">
        <f>IF(A2258="","",IF(SUMPRODUCT((Ввод!$F$12:$F$31&lt;&gt;"")*(Ввод!$F$12:$F$31&lt;=A2258)*(Ввод!$G$12:$G$31&gt;=A2258))&gt;0,1,0))</f>
        <v/>
      </c>
      <c r="G2258" t="str">
        <f t="shared" si="71"/>
        <v/>
      </c>
    </row>
    <row r="2259" spans="1:7" x14ac:dyDescent="0.3">
      <c r="A2259" s="21" t="str">
        <f>IF(A2258="","",IF(A2258+1&gt;Ввод!$B$4,"",A2258+1))</f>
        <v/>
      </c>
      <c r="B2259" s="23" t="str">
        <f>IF(A2259="","",IFERROR(INDEX(Ввод!$B$12:$B$71,MATCH(A2259,Ввод!$D$12:$D$71,1)),""))</f>
        <v/>
      </c>
      <c r="C2259" t="str">
        <f t="shared" si="70"/>
        <v/>
      </c>
      <c r="D2259" t="str">
        <f>IF(A2259="","",SUMIFS(Акты!$D$5:$D$16,Акты!$E$5:$E$16,"&lt;="&amp;A2259)-SUMIFS(Оплаты!$B$6:$B$505,Оплаты!$A$6:$A$505,"&lt;"&amp;A2259,Оплаты!$D$6:$D$505,"&lt;&gt;"))</f>
        <v/>
      </c>
      <c r="E2259" t="str">
        <f>IF(A2259="","",IF(SUMPRODUCT((Ввод!$F$12:$F$31&lt;&gt;"")*(Ввод!$F$12:$F$31&lt;=A2259)*(Ввод!$G$12:$G$31&gt;=A2259))&gt;0,1,0))</f>
        <v/>
      </c>
      <c r="G2259" t="str">
        <f t="shared" si="71"/>
        <v/>
      </c>
    </row>
    <row r="2260" spans="1:7" x14ac:dyDescent="0.3">
      <c r="A2260" s="21" t="str">
        <f>IF(A2259="","",IF(A2259+1&gt;Ввод!$B$4,"",A2259+1))</f>
        <v/>
      </c>
      <c r="B2260" s="23" t="str">
        <f>IF(A2260="","",IFERROR(INDEX(Ввод!$B$12:$B$71,MATCH(A2260,Ввод!$D$12:$D$71,1)),""))</f>
        <v/>
      </c>
      <c r="C2260" t="str">
        <f t="shared" si="70"/>
        <v/>
      </c>
      <c r="D2260" t="str">
        <f>IF(A2260="","",SUMIFS(Акты!$D$5:$D$16,Акты!$E$5:$E$16,"&lt;="&amp;A2260)-SUMIFS(Оплаты!$B$6:$B$505,Оплаты!$A$6:$A$505,"&lt;"&amp;A2260,Оплаты!$D$6:$D$505,"&lt;&gt;"))</f>
        <v/>
      </c>
      <c r="E2260" t="str">
        <f>IF(A2260="","",IF(SUMPRODUCT((Ввод!$F$12:$F$31&lt;&gt;"")*(Ввод!$F$12:$F$31&lt;=A2260)*(Ввод!$G$12:$G$31&gt;=A2260))&gt;0,1,0))</f>
        <v/>
      </c>
      <c r="G2260" t="str">
        <f t="shared" si="71"/>
        <v/>
      </c>
    </row>
    <row r="2261" spans="1:7" x14ac:dyDescent="0.3">
      <c r="A2261" s="21" t="str">
        <f>IF(A2260="","",IF(A2260+1&gt;Ввод!$B$4,"",A2260+1))</f>
        <v/>
      </c>
      <c r="B2261" s="23" t="str">
        <f>IF(A2261="","",IFERROR(INDEX(Ввод!$B$12:$B$71,MATCH(A2261,Ввод!$D$12:$D$71,1)),""))</f>
        <v/>
      </c>
      <c r="C2261" t="str">
        <f t="shared" si="70"/>
        <v/>
      </c>
      <c r="D2261" t="str">
        <f>IF(A2261="","",SUMIFS(Акты!$D$5:$D$16,Акты!$E$5:$E$16,"&lt;="&amp;A2261)-SUMIFS(Оплаты!$B$6:$B$505,Оплаты!$A$6:$A$505,"&lt;"&amp;A2261,Оплаты!$D$6:$D$505,"&lt;&gt;"))</f>
        <v/>
      </c>
      <c r="E2261" t="str">
        <f>IF(A2261="","",IF(SUMPRODUCT((Ввод!$F$12:$F$31&lt;&gt;"")*(Ввод!$F$12:$F$31&lt;=A2261)*(Ввод!$G$12:$G$31&gt;=A2261))&gt;0,1,0))</f>
        <v/>
      </c>
      <c r="G2261" t="str">
        <f t="shared" si="71"/>
        <v/>
      </c>
    </row>
    <row r="2262" spans="1:7" x14ac:dyDescent="0.3">
      <c r="A2262" s="21" t="str">
        <f>IF(A2261="","",IF(A2261+1&gt;Ввод!$B$4,"",A2261+1))</f>
        <v/>
      </c>
      <c r="B2262" s="23" t="str">
        <f>IF(A2262="","",IFERROR(INDEX(Ввод!$B$12:$B$71,MATCH(A2262,Ввод!$D$12:$D$71,1)),""))</f>
        <v/>
      </c>
      <c r="C2262" t="str">
        <f t="shared" si="70"/>
        <v/>
      </c>
      <c r="D2262" t="str">
        <f>IF(A2262="","",SUMIFS(Акты!$D$5:$D$16,Акты!$E$5:$E$16,"&lt;="&amp;A2262)-SUMIFS(Оплаты!$B$6:$B$505,Оплаты!$A$6:$A$505,"&lt;"&amp;A2262,Оплаты!$D$6:$D$505,"&lt;&gt;"))</f>
        <v/>
      </c>
      <c r="E2262" t="str">
        <f>IF(A2262="","",IF(SUMPRODUCT((Ввод!$F$12:$F$31&lt;&gt;"")*(Ввод!$F$12:$F$31&lt;=A2262)*(Ввод!$G$12:$G$31&gt;=A2262))&gt;0,1,0))</f>
        <v/>
      </c>
      <c r="G2262" t="str">
        <f t="shared" si="71"/>
        <v/>
      </c>
    </row>
    <row r="2263" spans="1:7" x14ac:dyDescent="0.3">
      <c r="A2263" s="21" t="str">
        <f>IF(A2262="","",IF(A2262+1&gt;Ввод!$B$4,"",A2262+1))</f>
        <v/>
      </c>
      <c r="B2263" s="23" t="str">
        <f>IF(A2263="","",IFERROR(INDEX(Ввод!$B$12:$B$71,MATCH(A2263,Ввод!$D$12:$D$71,1)),""))</f>
        <v/>
      </c>
      <c r="C2263" t="str">
        <f t="shared" si="70"/>
        <v/>
      </c>
      <c r="D2263" t="str">
        <f>IF(A2263="","",SUMIFS(Акты!$D$5:$D$16,Акты!$E$5:$E$16,"&lt;="&amp;A2263)-SUMIFS(Оплаты!$B$6:$B$505,Оплаты!$A$6:$A$505,"&lt;"&amp;A2263,Оплаты!$D$6:$D$505,"&lt;&gt;"))</f>
        <v/>
      </c>
      <c r="E2263" t="str">
        <f>IF(A2263="","",IF(SUMPRODUCT((Ввод!$F$12:$F$31&lt;&gt;"")*(Ввод!$F$12:$F$31&lt;=A2263)*(Ввод!$G$12:$G$31&gt;=A2263))&gt;0,1,0))</f>
        <v/>
      </c>
      <c r="G2263" t="str">
        <f t="shared" si="71"/>
        <v/>
      </c>
    </row>
    <row r="2264" spans="1:7" x14ac:dyDescent="0.3">
      <c r="A2264" s="21" t="str">
        <f>IF(A2263="","",IF(A2263+1&gt;Ввод!$B$4,"",A2263+1))</f>
        <v/>
      </c>
      <c r="B2264" s="23" t="str">
        <f>IF(A2264="","",IFERROR(INDEX(Ввод!$B$12:$B$71,MATCH(A2264,Ввод!$D$12:$D$71,1)),""))</f>
        <v/>
      </c>
      <c r="C2264" t="str">
        <f t="shared" si="70"/>
        <v/>
      </c>
      <c r="D2264" t="str">
        <f>IF(A2264="","",SUMIFS(Акты!$D$5:$D$16,Акты!$E$5:$E$16,"&lt;="&amp;A2264)-SUMIFS(Оплаты!$B$6:$B$505,Оплаты!$A$6:$A$505,"&lt;"&amp;A2264,Оплаты!$D$6:$D$505,"&lt;&gt;"))</f>
        <v/>
      </c>
      <c r="E2264" t="str">
        <f>IF(A2264="","",IF(SUMPRODUCT((Ввод!$F$12:$F$31&lt;&gt;"")*(Ввод!$F$12:$F$31&lt;=A2264)*(Ввод!$G$12:$G$31&gt;=A2264))&gt;0,1,0))</f>
        <v/>
      </c>
      <c r="G2264" t="str">
        <f t="shared" si="71"/>
        <v/>
      </c>
    </row>
    <row r="2265" spans="1:7" x14ac:dyDescent="0.3">
      <c r="A2265" s="21" t="str">
        <f>IF(A2264="","",IF(A2264+1&gt;Ввод!$B$4,"",A2264+1))</f>
        <v/>
      </c>
      <c r="B2265" s="23" t="str">
        <f>IF(A2265="","",IFERROR(INDEX(Ввод!$B$12:$B$71,MATCH(A2265,Ввод!$D$12:$D$71,1)),""))</f>
        <v/>
      </c>
      <c r="C2265" t="str">
        <f t="shared" si="70"/>
        <v/>
      </c>
      <c r="D2265" t="str">
        <f>IF(A2265="","",SUMIFS(Акты!$D$5:$D$16,Акты!$E$5:$E$16,"&lt;="&amp;A2265)-SUMIFS(Оплаты!$B$6:$B$505,Оплаты!$A$6:$A$505,"&lt;"&amp;A2265,Оплаты!$D$6:$D$505,"&lt;&gt;"))</f>
        <v/>
      </c>
      <c r="E2265" t="str">
        <f>IF(A2265="","",IF(SUMPRODUCT((Ввод!$F$12:$F$31&lt;&gt;"")*(Ввод!$F$12:$F$31&lt;=A2265)*(Ввод!$G$12:$G$31&gt;=A2265))&gt;0,1,0))</f>
        <v/>
      </c>
      <c r="G2265" t="str">
        <f t="shared" si="71"/>
        <v/>
      </c>
    </row>
    <row r="2266" spans="1:7" x14ac:dyDescent="0.3">
      <c r="A2266" s="21" t="str">
        <f>IF(A2265="","",IF(A2265+1&gt;Ввод!$B$4,"",A2265+1))</f>
        <v/>
      </c>
      <c r="B2266" s="23" t="str">
        <f>IF(A2266="","",IFERROR(INDEX(Ввод!$B$12:$B$71,MATCH(A2266,Ввод!$D$12:$D$71,1)),""))</f>
        <v/>
      </c>
      <c r="C2266" t="str">
        <f t="shared" si="70"/>
        <v/>
      </c>
      <c r="D2266" t="str">
        <f>IF(A2266="","",SUMIFS(Акты!$D$5:$D$16,Акты!$E$5:$E$16,"&lt;="&amp;A2266)-SUMIFS(Оплаты!$B$6:$B$505,Оплаты!$A$6:$A$505,"&lt;"&amp;A2266,Оплаты!$D$6:$D$505,"&lt;&gt;"))</f>
        <v/>
      </c>
      <c r="E2266" t="str">
        <f>IF(A2266="","",IF(SUMPRODUCT((Ввод!$F$12:$F$31&lt;&gt;"")*(Ввод!$F$12:$F$31&lt;=A2266)*(Ввод!$G$12:$G$31&gt;=A2266))&gt;0,1,0))</f>
        <v/>
      </c>
      <c r="G2266" t="str">
        <f t="shared" si="71"/>
        <v/>
      </c>
    </row>
    <row r="2267" spans="1:7" x14ac:dyDescent="0.3">
      <c r="A2267" s="21" t="str">
        <f>IF(A2266="","",IF(A2266+1&gt;Ввод!$B$4,"",A2266+1))</f>
        <v/>
      </c>
      <c r="B2267" s="23" t="str">
        <f>IF(A2267="","",IFERROR(INDEX(Ввод!$B$12:$B$71,MATCH(A2267,Ввод!$D$12:$D$71,1)),""))</f>
        <v/>
      </c>
      <c r="C2267" t="str">
        <f t="shared" si="70"/>
        <v/>
      </c>
      <c r="D2267" t="str">
        <f>IF(A2267="","",SUMIFS(Акты!$D$5:$D$16,Акты!$E$5:$E$16,"&lt;="&amp;A2267)-SUMIFS(Оплаты!$B$6:$B$505,Оплаты!$A$6:$A$505,"&lt;"&amp;A2267,Оплаты!$D$6:$D$505,"&lt;&gt;"))</f>
        <v/>
      </c>
      <c r="E2267" t="str">
        <f>IF(A2267="","",IF(SUMPRODUCT((Ввод!$F$12:$F$31&lt;&gt;"")*(Ввод!$F$12:$F$31&lt;=A2267)*(Ввод!$G$12:$G$31&gt;=A2267))&gt;0,1,0))</f>
        <v/>
      </c>
      <c r="G2267" t="str">
        <f t="shared" si="71"/>
        <v/>
      </c>
    </row>
    <row r="2268" spans="1:7" x14ac:dyDescent="0.3">
      <c r="A2268" s="21" t="str">
        <f>IF(A2267="","",IF(A2267+1&gt;Ввод!$B$4,"",A2267+1))</f>
        <v/>
      </c>
      <c r="B2268" s="23" t="str">
        <f>IF(A2268="","",IFERROR(INDEX(Ввод!$B$12:$B$71,MATCH(A2268,Ввод!$D$12:$D$71,1)),""))</f>
        <v/>
      </c>
      <c r="C2268" t="str">
        <f t="shared" si="70"/>
        <v/>
      </c>
      <c r="D2268" t="str">
        <f>IF(A2268="","",SUMIFS(Акты!$D$5:$D$16,Акты!$E$5:$E$16,"&lt;="&amp;A2268)-SUMIFS(Оплаты!$B$6:$B$505,Оплаты!$A$6:$A$505,"&lt;"&amp;A2268,Оплаты!$D$6:$D$505,"&lt;&gt;"))</f>
        <v/>
      </c>
      <c r="E2268" t="str">
        <f>IF(A2268="","",IF(SUMPRODUCT((Ввод!$F$12:$F$31&lt;&gt;"")*(Ввод!$F$12:$F$31&lt;=A2268)*(Ввод!$G$12:$G$31&gt;=A2268))&gt;0,1,0))</f>
        <v/>
      </c>
      <c r="G2268" t="str">
        <f t="shared" si="71"/>
        <v/>
      </c>
    </row>
    <row r="2269" spans="1:7" x14ac:dyDescent="0.3">
      <c r="A2269" s="21" t="str">
        <f>IF(A2268="","",IF(A2268+1&gt;Ввод!$B$4,"",A2268+1))</f>
        <v/>
      </c>
      <c r="B2269" s="23" t="str">
        <f>IF(A2269="","",IFERROR(INDEX(Ввод!$B$12:$B$71,MATCH(A2269,Ввод!$D$12:$D$71,1)),""))</f>
        <v/>
      </c>
      <c r="C2269" t="str">
        <f t="shared" si="70"/>
        <v/>
      </c>
      <c r="D2269" t="str">
        <f>IF(A2269="","",SUMIFS(Акты!$D$5:$D$16,Акты!$E$5:$E$16,"&lt;="&amp;A2269)-SUMIFS(Оплаты!$B$6:$B$505,Оплаты!$A$6:$A$505,"&lt;"&amp;A2269,Оплаты!$D$6:$D$505,"&lt;&gt;"))</f>
        <v/>
      </c>
      <c r="E2269" t="str">
        <f>IF(A2269="","",IF(SUMPRODUCT((Ввод!$F$12:$F$31&lt;&gt;"")*(Ввод!$F$12:$F$31&lt;=A2269)*(Ввод!$G$12:$G$31&gt;=A2269))&gt;0,1,0))</f>
        <v/>
      </c>
      <c r="G2269" t="str">
        <f t="shared" si="71"/>
        <v/>
      </c>
    </row>
    <row r="2270" spans="1:7" x14ac:dyDescent="0.3">
      <c r="A2270" s="21" t="str">
        <f>IF(A2269="","",IF(A2269+1&gt;Ввод!$B$4,"",A2269+1))</f>
        <v/>
      </c>
      <c r="B2270" s="23" t="str">
        <f>IF(A2270="","",IFERROR(INDEX(Ввод!$B$12:$B$71,MATCH(A2270,Ввод!$D$12:$D$71,1)),""))</f>
        <v/>
      </c>
      <c r="C2270" t="str">
        <f t="shared" si="70"/>
        <v/>
      </c>
      <c r="D2270" t="str">
        <f>IF(A2270="","",SUMIFS(Акты!$D$5:$D$16,Акты!$E$5:$E$16,"&lt;="&amp;A2270)-SUMIFS(Оплаты!$B$6:$B$505,Оплаты!$A$6:$A$505,"&lt;"&amp;A2270,Оплаты!$D$6:$D$505,"&lt;&gt;"))</f>
        <v/>
      </c>
      <c r="E2270" t="str">
        <f>IF(A2270="","",IF(SUMPRODUCT((Ввод!$F$12:$F$31&lt;&gt;"")*(Ввод!$F$12:$F$31&lt;=A2270)*(Ввод!$G$12:$G$31&gt;=A2270))&gt;0,1,0))</f>
        <v/>
      </c>
      <c r="G2270" t="str">
        <f t="shared" si="71"/>
        <v/>
      </c>
    </row>
    <row r="2271" spans="1:7" x14ac:dyDescent="0.3">
      <c r="A2271" s="21" t="str">
        <f>IF(A2270="","",IF(A2270+1&gt;Ввод!$B$4,"",A2270+1))</f>
        <v/>
      </c>
      <c r="B2271" s="23" t="str">
        <f>IF(A2271="","",IFERROR(INDEX(Ввод!$B$12:$B$71,MATCH(A2271,Ввод!$D$12:$D$71,1)),""))</f>
        <v/>
      </c>
      <c r="C2271" t="str">
        <f t="shared" si="70"/>
        <v/>
      </c>
      <c r="D2271" t="str">
        <f>IF(A2271="","",SUMIFS(Акты!$D$5:$D$16,Акты!$E$5:$E$16,"&lt;="&amp;A2271)-SUMIFS(Оплаты!$B$6:$B$505,Оплаты!$A$6:$A$505,"&lt;"&amp;A2271,Оплаты!$D$6:$D$505,"&lt;&gt;"))</f>
        <v/>
      </c>
      <c r="E2271" t="str">
        <f>IF(A2271="","",IF(SUMPRODUCT((Ввод!$F$12:$F$31&lt;&gt;"")*(Ввод!$F$12:$F$31&lt;=A2271)*(Ввод!$G$12:$G$31&gt;=A2271))&gt;0,1,0))</f>
        <v/>
      </c>
      <c r="G2271" t="str">
        <f t="shared" si="71"/>
        <v/>
      </c>
    </row>
    <row r="2272" spans="1:7" x14ac:dyDescent="0.3">
      <c r="A2272" s="21" t="str">
        <f>IF(A2271="","",IF(A2271+1&gt;Ввод!$B$4,"",A2271+1))</f>
        <v/>
      </c>
      <c r="B2272" s="23" t="str">
        <f>IF(A2272="","",IFERROR(INDEX(Ввод!$B$12:$B$71,MATCH(A2272,Ввод!$D$12:$D$71,1)),""))</f>
        <v/>
      </c>
      <c r="C2272" t="str">
        <f t="shared" si="70"/>
        <v/>
      </c>
      <c r="D2272" t="str">
        <f>IF(A2272="","",SUMIFS(Акты!$D$5:$D$16,Акты!$E$5:$E$16,"&lt;="&amp;A2272)-SUMIFS(Оплаты!$B$6:$B$505,Оплаты!$A$6:$A$505,"&lt;"&amp;A2272,Оплаты!$D$6:$D$505,"&lt;&gt;"))</f>
        <v/>
      </c>
      <c r="E2272" t="str">
        <f>IF(A2272="","",IF(SUMPRODUCT((Ввод!$F$12:$F$31&lt;&gt;"")*(Ввод!$F$12:$F$31&lt;=A2272)*(Ввод!$G$12:$G$31&gt;=A2272))&gt;0,1,0))</f>
        <v/>
      </c>
      <c r="G2272" t="str">
        <f t="shared" si="71"/>
        <v/>
      </c>
    </row>
    <row r="2273" spans="1:7" x14ac:dyDescent="0.3">
      <c r="A2273" s="21" t="str">
        <f>IF(A2272="","",IF(A2272+1&gt;Ввод!$B$4,"",A2272+1))</f>
        <v/>
      </c>
      <c r="B2273" s="23" t="str">
        <f>IF(A2273="","",IFERROR(INDEX(Ввод!$B$12:$B$71,MATCH(A2273,Ввод!$D$12:$D$71,1)),""))</f>
        <v/>
      </c>
      <c r="C2273" t="str">
        <f t="shared" si="70"/>
        <v/>
      </c>
      <c r="D2273" t="str">
        <f>IF(A2273="","",SUMIFS(Акты!$D$5:$D$16,Акты!$E$5:$E$16,"&lt;="&amp;A2273)-SUMIFS(Оплаты!$B$6:$B$505,Оплаты!$A$6:$A$505,"&lt;"&amp;A2273,Оплаты!$D$6:$D$505,"&lt;&gt;"))</f>
        <v/>
      </c>
      <c r="E2273" t="str">
        <f>IF(A2273="","",IF(SUMPRODUCT((Ввод!$F$12:$F$31&lt;&gt;"")*(Ввод!$F$12:$F$31&lt;=A2273)*(Ввод!$G$12:$G$31&gt;=A2273))&gt;0,1,0))</f>
        <v/>
      </c>
      <c r="G2273" t="str">
        <f t="shared" si="71"/>
        <v/>
      </c>
    </row>
    <row r="2274" spans="1:7" x14ac:dyDescent="0.3">
      <c r="A2274" s="21" t="str">
        <f>IF(A2273="","",IF(A2273+1&gt;Ввод!$B$4,"",A2273+1))</f>
        <v/>
      </c>
      <c r="B2274" s="23" t="str">
        <f>IF(A2274="","",IFERROR(INDEX(Ввод!$B$12:$B$71,MATCH(A2274,Ввод!$D$12:$D$71,1)),""))</f>
        <v/>
      </c>
      <c r="C2274" t="str">
        <f t="shared" si="70"/>
        <v/>
      </c>
      <c r="D2274" t="str">
        <f>IF(A2274="","",SUMIFS(Акты!$D$5:$D$16,Акты!$E$5:$E$16,"&lt;="&amp;A2274)-SUMIFS(Оплаты!$B$6:$B$505,Оплаты!$A$6:$A$505,"&lt;"&amp;A2274,Оплаты!$D$6:$D$505,"&lt;&gt;"))</f>
        <v/>
      </c>
      <c r="E2274" t="str">
        <f>IF(A2274="","",IF(SUMPRODUCT((Ввод!$F$12:$F$31&lt;&gt;"")*(Ввод!$F$12:$F$31&lt;=A2274)*(Ввод!$G$12:$G$31&gt;=A2274))&gt;0,1,0))</f>
        <v/>
      </c>
      <c r="G2274" t="str">
        <f t="shared" si="71"/>
        <v/>
      </c>
    </row>
    <row r="2275" spans="1:7" x14ac:dyDescent="0.3">
      <c r="A2275" s="21" t="str">
        <f>IF(A2274="","",IF(A2274+1&gt;Ввод!$B$4,"",A2274+1))</f>
        <v/>
      </c>
      <c r="B2275" s="23" t="str">
        <f>IF(A2275="","",IFERROR(INDEX(Ввод!$B$12:$B$71,MATCH(A2275,Ввод!$D$12:$D$71,1)),""))</f>
        <v/>
      </c>
      <c r="C2275" t="str">
        <f t="shared" si="70"/>
        <v/>
      </c>
      <c r="D2275" t="str">
        <f>IF(A2275="","",SUMIFS(Акты!$D$5:$D$16,Акты!$E$5:$E$16,"&lt;="&amp;A2275)-SUMIFS(Оплаты!$B$6:$B$505,Оплаты!$A$6:$A$505,"&lt;"&amp;A2275,Оплаты!$D$6:$D$505,"&lt;&gt;"))</f>
        <v/>
      </c>
      <c r="E2275" t="str">
        <f>IF(A2275="","",IF(SUMPRODUCT((Ввод!$F$12:$F$31&lt;&gt;"")*(Ввод!$F$12:$F$31&lt;=A2275)*(Ввод!$G$12:$G$31&gt;=A2275))&gt;0,1,0))</f>
        <v/>
      </c>
      <c r="G2275" t="str">
        <f t="shared" si="71"/>
        <v/>
      </c>
    </row>
    <row r="2276" spans="1:7" x14ac:dyDescent="0.3">
      <c r="A2276" s="21" t="str">
        <f>IF(A2275="","",IF(A2275+1&gt;Ввод!$B$4,"",A2275+1))</f>
        <v/>
      </c>
      <c r="B2276" s="23" t="str">
        <f>IF(A2276="","",IFERROR(INDEX(Ввод!$B$12:$B$71,MATCH(A2276,Ввод!$D$12:$D$71,1)),""))</f>
        <v/>
      </c>
      <c r="C2276" t="str">
        <f t="shared" si="70"/>
        <v/>
      </c>
      <c r="D2276" t="str">
        <f>IF(A2276="","",SUMIFS(Акты!$D$5:$D$16,Акты!$E$5:$E$16,"&lt;="&amp;A2276)-SUMIFS(Оплаты!$B$6:$B$505,Оплаты!$A$6:$A$505,"&lt;"&amp;A2276,Оплаты!$D$6:$D$505,"&lt;&gt;"))</f>
        <v/>
      </c>
      <c r="E2276" t="str">
        <f>IF(A2276="","",IF(SUMPRODUCT((Ввод!$F$12:$F$31&lt;&gt;"")*(Ввод!$F$12:$F$31&lt;=A2276)*(Ввод!$G$12:$G$31&gt;=A2276))&gt;0,1,0))</f>
        <v/>
      </c>
      <c r="G2276" t="str">
        <f t="shared" si="71"/>
        <v/>
      </c>
    </row>
    <row r="2277" spans="1:7" x14ac:dyDescent="0.3">
      <c r="A2277" s="21" t="str">
        <f>IF(A2276="","",IF(A2276+1&gt;Ввод!$B$4,"",A2276+1))</f>
        <v/>
      </c>
      <c r="B2277" s="23" t="str">
        <f>IF(A2277="","",IFERROR(INDEX(Ввод!$B$12:$B$71,MATCH(A2277,Ввод!$D$12:$D$71,1)),""))</f>
        <v/>
      </c>
      <c r="C2277" t="str">
        <f t="shared" si="70"/>
        <v/>
      </c>
      <c r="D2277" t="str">
        <f>IF(A2277="","",SUMIFS(Акты!$D$5:$D$16,Акты!$E$5:$E$16,"&lt;="&amp;A2277)-SUMIFS(Оплаты!$B$6:$B$505,Оплаты!$A$6:$A$505,"&lt;"&amp;A2277,Оплаты!$D$6:$D$505,"&lt;&gt;"))</f>
        <v/>
      </c>
      <c r="E2277" t="str">
        <f>IF(A2277="","",IF(SUMPRODUCT((Ввод!$F$12:$F$31&lt;&gt;"")*(Ввод!$F$12:$F$31&lt;=A2277)*(Ввод!$G$12:$G$31&gt;=A2277))&gt;0,1,0))</f>
        <v/>
      </c>
      <c r="G2277" t="str">
        <f t="shared" si="71"/>
        <v/>
      </c>
    </row>
    <row r="2278" spans="1:7" x14ac:dyDescent="0.3">
      <c r="A2278" s="21" t="str">
        <f>IF(A2277="","",IF(A2277+1&gt;Ввод!$B$4,"",A2277+1))</f>
        <v/>
      </c>
      <c r="B2278" s="23" t="str">
        <f>IF(A2278="","",IFERROR(INDEX(Ввод!$B$12:$B$71,MATCH(A2278,Ввод!$D$12:$D$71,1)),""))</f>
        <v/>
      </c>
      <c r="C2278" t="str">
        <f t="shared" si="70"/>
        <v/>
      </c>
      <c r="D2278" t="str">
        <f>IF(A2278="","",SUMIFS(Акты!$D$5:$D$16,Акты!$E$5:$E$16,"&lt;="&amp;A2278)-SUMIFS(Оплаты!$B$6:$B$505,Оплаты!$A$6:$A$505,"&lt;"&amp;A2278,Оплаты!$D$6:$D$505,"&lt;&gt;"))</f>
        <v/>
      </c>
      <c r="E2278" t="str">
        <f>IF(A2278="","",IF(SUMPRODUCT((Ввод!$F$12:$F$31&lt;&gt;"")*(Ввод!$F$12:$F$31&lt;=A2278)*(Ввод!$G$12:$G$31&gt;=A2278))&gt;0,1,0))</f>
        <v/>
      </c>
      <c r="G2278" t="str">
        <f t="shared" si="71"/>
        <v/>
      </c>
    </row>
    <row r="2279" spans="1:7" x14ac:dyDescent="0.3">
      <c r="A2279" s="21" t="str">
        <f>IF(A2278="","",IF(A2278+1&gt;Ввод!$B$4,"",A2278+1))</f>
        <v/>
      </c>
      <c r="B2279" s="23" t="str">
        <f>IF(A2279="","",IFERROR(INDEX(Ввод!$B$12:$B$71,MATCH(A2279,Ввод!$D$12:$D$71,1)),""))</f>
        <v/>
      </c>
      <c r="C2279" t="str">
        <f t="shared" si="70"/>
        <v/>
      </c>
      <c r="D2279" t="str">
        <f>IF(A2279="","",SUMIFS(Акты!$D$5:$D$16,Акты!$E$5:$E$16,"&lt;="&amp;A2279)-SUMIFS(Оплаты!$B$6:$B$505,Оплаты!$A$6:$A$505,"&lt;"&amp;A2279,Оплаты!$D$6:$D$505,"&lt;&gt;"))</f>
        <v/>
      </c>
      <c r="E2279" t="str">
        <f>IF(A2279="","",IF(SUMPRODUCT((Ввод!$F$12:$F$31&lt;&gt;"")*(Ввод!$F$12:$F$31&lt;=A2279)*(Ввод!$G$12:$G$31&gt;=A2279))&gt;0,1,0))</f>
        <v/>
      </c>
      <c r="G2279" t="str">
        <f t="shared" si="71"/>
        <v/>
      </c>
    </row>
    <row r="2280" spans="1:7" x14ac:dyDescent="0.3">
      <c r="A2280" s="21" t="str">
        <f>IF(A2279="","",IF(A2279+1&gt;Ввод!$B$4,"",A2279+1))</f>
        <v/>
      </c>
      <c r="B2280" s="23" t="str">
        <f>IF(A2280="","",IFERROR(INDEX(Ввод!$B$12:$B$71,MATCH(A2280,Ввод!$D$12:$D$71,1)),""))</f>
        <v/>
      </c>
      <c r="C2280" t="str">
        <f t="shared" si="70"/>
        <v/>
      </c>
      <c r="D2280" t="str">
        <f>IF(A2280="","",SUMIFS(Акты!$D$5:$D$16,Акты!$E$5:$E$16,"&lt;="&amp;A2280)-SUMIFS(Оплаты!$B$6:$B$505,Оплаты!$A$6:$A$505,"&lt;"&amp;A2280,Оплаты!$D$6:$D$505,"&lt;&gt;"))</f>
        <v/>
      </c>
      <c r="E2280" t="str">
        <f>IF(A2280="","",IF(SUMPRODUCT((Ввод!$F$12:$F$31&lt;&gt;"")*(Ввод!$F$12:$F$31&lt;=A2280)*(Ввод!$G$12:$G$31&gt;=A2280))&gt;0,1,0))</f>
        <v/>
      </c>
      <c r="G2280" t="str">
        <f t="shared" si="71"/>
        <v/>
      </c>
    </row>
    <row r="2281" spans="1:7" x14ac:dyDescent="0.3">
      <c r="A2281" s="21" t="str">
        <f>IF(A2280="","",IF(A2280+1&gt;Ввод!$B$4,"",A2280+1))</f>
        <v/>
      </c>
      <c r="B2281" s="23" t="str">
        <f>IF(A2281="","",IFERROR(INDEX(Ввод!$B$12:$B$71,MATCH(A2281,Ввод!$D$12:$D$71,1)),""))</f>
        <v/>
      </c>
      <c r="C2281" t="str">
        <f t="shared" si="70"/>
        <v/>
      </c>
      <c r="D2281" t="str">
        <f>IF(A2281="","",SUMIFS(Акты!$D$5:$D$16,Акты!$E$5:$E$16,"&lt;="&amp;A2281)-SUMIFS(Оплаты!$B$6:$B$505,Оплаты!$A$6:$A$505,"&lt;"&amp;A2281,Оплаты!$D$6:$D$505,"&lt;&gt;"))</f>
        <v/>
      </c>
      <c r="E2281" t="str">
        <f>IF(A2281="","",IF(SUMPRODUCT((Ввод!$F$12:$F$31&lt;&gt;"")*(Ввод!$F$12:$F$31&lt;=A2281)*(Ввод!$G$12:$G$31&gt;=A2281))&gt;0,1,0))</f>
        <v/>
      </c>
      <c r="G2281" t="str">
        <f t="shared" si="71"/>
        <v/>
      </c>
    </row>
    <row r="2282" spans="1:7" x14ac:dyDescent="0.3">
      <c r="A2282" s="21" t="str">
        <f>IF(A2281="","",IF(A2281+1&gt;Ввод!$B$4,"",A2281+1))</f>
        <v/>
      </c>
      <c r="B2282" s="23" t="str">
        <f>IF(A2282="","",IFERROR(INDEX(Ввод!$B$12:$B$71,MATCH(A2282,Ввод!$D$12:$D$71,1)),""))</f>
        <v/>
      </c>
      <c r="C2282" t="str">
        <f t="shared" si="70"/>
        <v/>
      </c>
      <c r="D2282" t="str">
        <f>IF(A2282="","",SUMIFS(Акты!$D$5:$D$16,Акты!$E$5:$E$16,"&lt;="&amp;A2282)-SUMIFS(Оплаты!$B$6:$B$505,Оплаты!$A$6:$A$505,"&lt;"&amp;A2282,Оплаты!$D$6:$D$505,"&lt;&gt;"))</f>
        <v/>
      </c>
      <c r="E2282" t="str">
        <f>IF(A2282="","",IF(SUMPRODUCT((Ввод!$F$12:$F$31&lt;&gt;"")*(Ввод!$F$12:$F$31&lt;=A2282)*(Ввод!$G$12:$G$31&gt;=A2282))&gt;0,1,0))</f>
        <v/>
      </c>
      <c r="G2282" t="str">
        <f t="shared" si="71"/>
        <v/>
      </c>
    </row>
    <row r="2283" spans="1:7" x14ac:dyDescent="0.3">
      <c r="A2283" s="21" t="str">
        <f>IF(A2282="","",IF(A2282+1&gt;Ввод!$B$4,"",A2282+1))</f>
        <v/>
      </c>
      <c r="B2283" s="23" t="str">
        <f>IF(A2283="","",IFERROR(INDEX(Ввод!$B$12:$B$71,MATCH(A2283,Ввод!$D$12:$D$71,1)),""))</f>
        <v/>
      </c>
      <c r="C2283" t="str">
        <f t="shared" si="70"/>
        <v/>
      </c>
      <c r="D2283" t="str">
        <f>IF(A2283="","",SUMIFS(Акты!$D$5:$D$16,Акты!$E$5:$E$16,"&lt;="&amp;A2283)-SUMIFS(Оплаты!$B$6:$B$505,Оплаты!$A$6:$A$505,"&lt;"&amp;A2283,Оплаты!$D$6:$D$505,"&lt;&gt;"))</f>
        <v/>
      </c>
      <c r="E2283" t="str">
        <f>IF(A2283="","",IF(SUMPRODUCT((Ввод!$F$12:$F$31&lt;&gt;"")*(Ввод!$F$12:$F$31&lt;=A2283)*(Ввод!$G$12:$G$31&gt;=A2283))&gt;0,1,0))</f>
        <v/>
      </c>
      <c r="G2283" t="str">
        <f t="shared" si="71"/>
        <v/>
      </c>
    </row>
    <row r="2284" spans="1:7" x14ac:dyDescent="0.3">
      <c r="A2284" s="21" t="str">
        <f>IF(A2283="","",IF(A2283+1&gt;Ввод!$B$4,"",A2283+1))</f>
        <v/>
      </c>
      <c r="B2284" s="23" t="str">
        <f>IF(A2284="","",IFERROR(INDEX(Ввод!$B$12:$B$71,MATCH(A2284,Ввод!$D$12:$D$71,1)),""))</f>
        <v/>
      </c>
      <c r="C2284" t="str">
        <f t="shared" si="70"/>
        <v/>
      </c>
      <c r="D2284" t="str">
        <f>IF(A2284="","",SUMIFS(Акты!$D$5:$D$16,Акты!$E$5:$E$16,"&lt;="&amp;A2284)-SUMIFS(Оплаты!$B$6:$B$505,Оплаты!$A$6:$A$505,"&lt;"&amp;A2284,Оплаты!$D$6:$D$505,"&lt;&gt;"))</f>
        <v/>
      </c>
      <c r="E2284" t="str">
        <f>IF(A2284="","",IF(SUMPRODUCT((Ввод!$F$12:$F$31&lt;&gt;"")*(Ввод!$F$12:$F$31&lt;=A2284)*(Ввод!$G$12:$G$31&gt;=A2284))&gt;0,1,0))</f>
        <v/>
      </c>
      <c r="G2284" t="str">
        <f t="shared" si="71"/>
        <v/>
      </c>
    </row>
    <row r="2285" spans="1:7" x14ac:dyDescent="0.3">
      <c r="A2285" s="21" t="str">
        <f>IF(A2284="","",IF(A2284+1&gt;Ввод!$B$4,"",A2284+1))</f>
        <v/>
      </c>
      <c r="B2285" s="23" t="str">
        <f>IF(A2285="","",IFERROR(INDEX(Ввод!$B$12:$B$71,MATCH(A2285,Ввод!$D$12:$D$71,1)),""))</f>
        <v/>
      </c>
      <c r="C2285" t="str">
        <f t="shared" si="70"/>
        <v/>
      </c>
      <c r="D2285" t="str">
        <f>IF(A2285="","",SUMIFS(Акты!$D$5:$D$16,Акты!$E$5:$E$16,"&lt;="&amp;A2285)-SUMIFS(Оплаты!$B$6:$B$505,Оплаты!$A$6:$A$505,"&lt;"&amp;A2285,Оплаты!$D$6:$D$505,"&lt;&gt;"))</f>
        <v/>
      </c>
      <c r="E2285" t="str">
        <f>IF(A2285="","",IF(SUMPRODUCT((Ввод!$F$12:$F$31&lt;&gt;"")*(Ввод!$F$12:$F$31&lt;=A2285)*(Ввод!$G$12:$G$31&gt;=A2285))&gt;0,1,0))</f>
        <v/>
      </c>
      <c r="G2285" t="str">
        <f t="shared" si="71"/>
        <v/>
      </c>
    </row>
    <row r="2286" spans="1:7" x14ac:dyDescent="0.3">
      <c r="A2286" s="21" t="str">
        <f>IF(A2285="","",IF(A2285+1&gt;Ввод!$B$4,"",A2285+1))</f>
        <v/>
      </c>
      <c r="B2286" s="23" t="str">
        <f>IF(A2286="","",IFERROR(INDEX(Ввод!$B$12:$B$71,MATCH(A2286,Ввод!$D$12:$D$71,1)),""))</f>
        <v/>
      </c>
      <c r="C2286" t="str">
        <f t="shared" si="70"/>
        <v/>
      </c>
      <c r="D2286" t="str">
        <f>IF(A2286="","",SUMIFS(Акты!$D$5:$D$16,Акты!$E$5:$E$16,"&lt;="&amp;A2286)-SUMIFS(Оплаты!$B$6:$B$505,Оплаты!$A$6:$A$505,"&lt;"&amp;A2286,Оплаты!$D$6:$D$505,"&lt;&gt;"))</f>
        <v/>
      </c>
      <c r="E2286" t="str">
        <f>IF(A2286="","",IF(SUMPRODUCT((Ввод!$F$12:$F$31&lt;&gt;"")*(Ввод!$F$12:$F$31&lt;=A2286)*(Ввод!$G$12:$G$31&gt;=A2286))&gt;0,1,0))</f>
        <v/>
      </c>
      <c r="G2286" t="str">
        <f t="shared" si="71"/>
        <v/>
      </c>
    </row>
    <row r="2287" spans="1:7" x14ac:dyDescent="0.3">
      <c r="A2287" s="21" t="str">
        <f>IF(A2286="","",IF(A2286+1&gt;Ввод!$B$4,"",A2286+1))</f>
        <v/>
      </c>
      <c r="B2287" s="23" t="str">
        <f>IF(A2287="","",IFERROR(INDEX(Ввод!$B$12:$B$71,MATCH(A2287,Ввод!$D$12:$D$71,1)),""))</f>
        <v/>
      </c>
      <c r="C2287" t="str">
        <f t="shared" si="70"/>
        <v/>
      </c>
      <c r="D2287" t="str">
        <f>IF(A2287="","",SUMIFS(Акты!$D$5:$D$16,Акты!$E$5:$E$16,"&lt;="&amp;A2287)-SUMIFS(Оплаты!$B$6:$B$505,Оплаты!$A$6:$A$505,"&lt;"&amp;A2287,Оплаты!$D$6:$D$505,"&lt;&gt;"))</f>
        <v/>
      </c>
      <c r="E2287" t="str">
        <f>IF(A2287="","",IF(SUMPRODUCT((Ввод!$F$12:$F$31&lt;&gt;"")*(Ввод!$F$12:$F$31&lt;=A2287)*(Ввод!$G$12:$G$31&gt;=A2287))&gt;0,1,0))</f>
        <v/>
      </c>
      <c r="G2287" t="str">
        <f t="shared" si="71"/>
        <v/>
      </c>
    </row>
    <row r="2288" spans="1:7" x14ac:dyDescent="0.3">
      <c r="A2288" s="21" t="str">
        <f>IF(A2287="","",IF(A2287+1&gt;Ввод!$B$4,"",A2287+1))</f>
        <v/>
      </c>
      <c r="B2288" s="23" t="str">
        <f>IF(A2288="","",IFERROR(INDEX(Ввод!$B$12:$B$71,MATCH(A2288,Ввод!$D$12:$D$71,1)),""))</f>
        <v/>
      </c>
      <c r="C2288" t="str">
        <f t="shared" si="70"/>
        <v/>
      </c>
      <c r="D2288" t="str">
        <f>IF(A2288="","",SUMIFS(Акты!$D$5:$D$16,Акты!$E$5:$E$16,"&lt;="&amp;A2288)-SUMIFS(Оплаты!$B$6:$B$505,Оплаты!$A$6:$A$505,"&lt;"&amp;A2288,Оплаты!$D$6:$D$505,"&lt;&gt;"))</f>
        <v/>
      </c>
      <c r="E2288" t="str">
        <f>IF(A2288="","",IF(SUMPRODUCT((Ввод!$F$12:$F$31&lt;&gt;"")*(Ввод!$F$12:$F$31&lt;=A2288)*(Ввод!$G$12:$G$31&gt;=A2288))&gt;0,1,0))</f>
        <v/>
      </c>
      <c r="G2288" t="str">
        <f t="shared" si="71"/>
        <v/>
      </c>
    </row>
    <row r="2289" spans="1:7" x14ac:dyDescent="0.3">
      <c r="A2289" s="21" t="str">
        <f>IF(A2288="","",IF(A2288+1&gt;Ввод!$B$4,"",A2288+1))</f>
        <v/>
      </c>
      <c r="B2289" s="23" t="str">
        <f>IF(A2289="","",IFERROR(INDEX(Ввод!$B$12:$B$71,MATCH(A2289,Ввод!$D$12:$D$71,1)),""))</f>
        <v/>
      </c>
      <c r="C2289" t="str">
        <f t="shared" si="70"/>
        <v/>
      </c>
      <c r="D2289" t="str">
        <f>IF(A2289="","",SUMIFS(Акты!$D$5:$D$16,Акты!$E$5:$E$16,"&lt;="&amp;A2289)-SUMIFS(Оплаты!$B$6:$B$505,Оплаты!$A$6:$A$505,"&lt;"&amp;A2289,Оплаты!$D$6:$D$505,"&lt;&gt;"))</f>
        <v/>
      </c>
      <c r="E2289" t="str">
        <f>IF(A2289="","",IF(SUMPRODUCT((Ввод!$F$12:$F$31&lt;&gt;"")*(Ввод!$F$12:$F$31&lt;=A2289)*(Ввод!$G$12:$G$31&gt;=A2289))&gt;0,1,0))</f>
        <v/>
      </c>
      <c r="G2289" t="str">
        <f t="shared" si="71"/>
        <v/>
      </c>
    </row>
    <row r="2290" spans="1:7" x14ac:dyDescent="0.3">
      <c r="A2290" s="21" t="str">
        <f>IF(A2289="","",IF(A2289+1&gt;Ввод!$B$4,"",A2289+1))</f>
        <v/>
      </c>
      <c r="B2290" s="23" t="str">
        <f>IF(A2290="","",IFERROR(INDEX(Ввод!$B$12:$B$71,MATCH(A2290,Ввод!$D$12:$D$71,1)),""))</f>
        <v/>
      </c>
      <c r="C2290" t="str">
        <f t="shared" si="70"/>
        <v/>
      </c>
      <c r="D2290" t="str">
        <f>IF(A2290="","",SUMIFS(Акты!$D$5:$D$16,Акты!$E$5:$E$16,"&lt;="&amp;A2290)-SUMIFS(Оплаты!$B$6:$B$505,Оплаты!$A$6:$A$505,"&lt;"&amp;A2290,Оплаты!$D$6:$D$505,"&lt;&gt;"))</f>
        <v/>
      </c>
      <c r="E2290" t="str">
        <f>IF(A2290="","",IF(SUMPRODUCT((Ввод!$F$12:$F$31&lt;&gt;"")*(Ввод!$F$12:$F$31&lt;=A2290)*(Ввод!$G$12:$G$31&gt;=A2290))&gt;0,1,0))</f>
        <v/>
      </c>
      <c r="G2290" t="str">
        <f t="shared" si="71"/>
        <v/>
      </c>
    </row>
    <row r="2291" spans="1:7" x14ac:dyDescent="0.3">
      <c r="A2291" s="21" t="str">
        <f>IF(A2290="","",IF(A2290+1&gt;Ввод!$B$4,"",A2290+1))</f>
        <v/>
      </c>
      <c r="B2291" s="23" t="str">
        <f>IF(A2291="","",IFERROR(INDEX(Ввод!$B$12:$B$71,MATCH(A2291,Ввод!$D$12:$D$71,1)),""))</f>
        <v/>
      </c>
      <c r="C2291" t="str">
        <f t="shared" si="70"/>
        <v/>
      </c>
      <c r="D2291" t="str">
        <f>IF(A2291="","",SUMIFS(Акты!$D$5:$D$16,Акты!$E$5:$E$16,"&lt;="&amp;A2291)-SUMIFS(Оплаты!$B$6:$B$505,Оплаты!$A$6:$A$505,"&lt;"&amp;A2291,Оплаты!$D$6:$D$505,"&lt;&gt;"))</f>
        <v/>
      </c>
      <c r="E2291" t="str">
        <f>IF(A2291="","",IF(SUMPRODUCT((Ввод!$F$12:$F$31&lt;&gt;"")*(Ввод!$F$12:$F$31&lt;=A2291)*(Ввод!$G$12:$G$31&gt;=A2291))&gt;0,1,0))</f>
        <v/>
      </c>
      <c r="G2291" t="str">
        <f t="shared" si="71"/>
        <v/>
      </c>
    </row>
    <row r="2292" spans="1:7" x14ac:dyDescent="0.3">
      <c r="A2292" s="21" t="str">
        <f>IF(A2291="","",IF(A2291+1&gt;Ввод!$B$4,"",A2291+1))</f>
        <v/>
      </c>
      <c r="B2292" s="23" t="str">
        <f>IF(A2292="","",IFERROR(INDEX(Ввод!$B$12:$B$71,MATCH(A2292,Ввод!$D$12:$D$71,1)),""))</f>
        <v/>
      </c>
      <c r="C2292" t="str">
        <f t="shared" si="70"/>
        <v/>
      </c>
      <c r="D2292" t="str">
        <f>IF(A2292="","",SUMIFS(Акты!$D$5:$D$16,Акты!$E$5:$E$16,"&lt;="&amp;A2292)-SUMIFS(Оплаты!$B$6:$B$505,Оплаты!$A$6:$A$505,"&lt;"&amp;A2292,Оплаты!$D$6:$D$505,"&lt;&gt;"))</f>
        <v/>
      </c>
      <c r="E2292" t="str">
        <f>IF(A2292="","",IF(SUMPRODUCT((Ввод!$F$12:$F$31&lt;&gt;"")*(Ввод!$F$12:$F$31&lt;=A2292)*(Ввод!$G$12:$G$31&gt;=A2292))&gt;0,1,0))</f>
        <v/>
      </c>
      <c r="G2292" t="str">
        <f t="shared" si="71"/>
        <v/>
      </c>
    </row>
    <row r="2293" spans="1:7" x14ac:dyDescent="0.3">
      <c r="A2293" s="21" t="str">
        <f>IF(A2292="","",IF(A2292+1&gt;Ввод!$B$4,"",A2292+1))</f>
        <v/>
      </c>
      <c r="B2293" s="23" t="str">
        <f>IF(A2293="","",IFERROR(INDEX(Ввод!$B$12:$B$71,MATCH(A2293,Ввод!$D$12:$D$71,1)),""))</f>
        <v/>
      </c>
      <c r="C2293" t="str">
        <f t="shared" si="70"/>
        <v/>
      </c>
      <c r="D2293" t="str">
        <f>IF(A2293="","",SUMIFS(Акты!$D$5:$D$16,Акты!$E$5:$E$16,"&lt;="&amp;A2293)-SUMIFS(Оплаты!$B$6:$B$505,Оплаты!$A$6:$A$505,"&lt;"&amp;A2293,Оплаты!$D$6:$D$505,"&lt;&gt;"))</f>
        <v/>
      </c>
      <c r="E2293" t="str">
        <f>IF(A2293="","",IF(SUMPRODUCT((Ввод!$F$12:$F$31&lt;&gt;"")*(Ввод!$F$12:$F$31&lt;=A2293)*(Ввод!$G$12:$G$31&gt;=A2293))&gt;0,1,0))</f>
        <v/>
      </c>
      <c r="G2293" t="str">
        <f t="shared" si="71"/>
        <v/>
      </c>
    </row>
    <row r="2294" spans="1:7" x14ac:dyDescent="0.3">
      <c r="A2294" s="21" t="str">
        <f>IF(A2293="","",IF(A2293+1&gt;Ввод!$B$4,"",A2293+1))</f>
        <v/>
      </c>
      <c r="B2294" s="23" t="str">
        <f>IF(A2294="","",IFERROR(INDEX(Ввод!$B$12:$B$71,MATCH(A2294,Ввод!$D$12:$D$71,1)),""))</f>
        <v/>
      </c>
      <c r="C2294" t="str">
        <f t="shared" si="70"/>
        <v/>
      </c>
      <c r="D2294" t="str">
        <f>IF(A2294="","",SUMIFS(Акты!$D$5:$D$16,Акты!$E$5:$E$16,"&lt;="&amp;A2294)-SUMIFS(Оплаты!$B$6:$B$505,Оплаты!$A$6:$A$505,"&lt;"&amp;A2294,Оплаты!$D$6:$D$505,"&lt;&gt;"))</f>
        <v/>
      </c>
      <c r="E2294" t="str">
        <f>IF(A2294="","",IF(SUMPRODUCT((Ввод!$F$12:$F$31&lt;&gt;"")*(Ввод!$F$12:$F$31&lt;=A2294)*(Ввод!$G$12:$G$31&gt;=A2294))&gt;0,1,0))</f>
        <v/>
      </c>
      <c r="G2294" t="str">
        <f t="shared" si="71"/>
        <v/>
      </c>
    </row>
    <row r="2295" spans="1:7" x14ac:dyDescent="0.3">
      <c r="A2295" s="21" t="str">
        <f>IF(A2294="","",IF(A2294+1&gt;Ввод!$B$4,"",A2294+1))</f>
        <v/>
      </c>
      <c r="B2295" s="23" t="str">
        <f>IF(A2295="","",IFERROR(INDEX(Ввод!$B$12:$B$71,MATCH(A2295,Ввод!$D$12:$D$71,1)),""))</f>
        <v/>
      </c>
      <c r="C2295" t="str">
        <f t="shared" si="70"/>
        <v/>
      </c>
      <c r="D2295" t="str">
        <f>IF(A2295="","",SUMIFS(Акты!$D$5:$D$16,Акты!$E$5:$E$16,"&lt;="&amp;A2295)-SUMIFS(Оплаты!$B$6:$B$505,Оплаты!$A$6:$A$505,"&lt;"&amp;A2295,Оплаты!$D$6:$D$505,"&lt;&gt;"))</f>
        <v/>
      </c>
      <c r="E2295" t="str">
        <f>IF(A2295="","",IF(SUMPRODUCT((Ввод!$F$12:$F$31&lt;&gt;"")*(Ввод!$F$12:$F$31&lt;=A2295)*(Ввод!$G$12:$G$31&gt;=A2295))&gt;0,1,0))</f>
        <v/>
      </c>
      <c r="G2295" t="str">
        <f t="shared" si="71"/>
        <v/>
      </c>
    </row>
    <row r="2296" spans="1:7" x14ac:dyDescent="0.3">
      <c r="A2296" s="21" t="str">
        <f>IF(A2295="","",IF(A2295+1&gt;Ввод!$B$4,"",A2295+1))</f>
        <v/>
      </c>
      <c r="B2296" s="23" t="str">
        <f>IF(A2296="","",IFERROR(INDEX(Ввод!$B$12:$B$71,MATCH(A2296,Ввод!$D$12:$D$71,1)),""))</f>
        <v/>
      </c>
      <c r="C2296" t="str">
        <f t="shared" si="70"/>
        <v/>
      </c>
      <c r="D2296" t="str">
        <f>IF(A2296="","",SUMIFS(Акты!$D$5:$D$16,Акты!$E$5:$E$16,"&lt;="&amp;A2296)-SUMIFS(Оплаты!$B$6:$B$505,Оплаты!$A$6:$A$505,"&lt;"&amp;A2296,Оплаты!$D$6:$D$505,"&lt;&gt;"))</f>
        <v/>
      </c>
      <c r="E2296" t="str">
        <f>IF(A2296="","",IF(SUMPRODUCT((Ввод!$F$12:$F$31&lt;&gt;"")*(Ввод!$F$12:$F$31&lt;=A2296)*(Ввод!$G$12:$G$31&gt;=A2296))&gt;0,1,0))</f>
        <v/>
      </c>
      <c r="G2296" t="str">
        <f t="shared" si="71"/>
        <v/>
      </c>
    </row>
    <row r="2297" spans="1:7" x14ac:dyDescent="0.3">
      <c r="A2297" s="21" t="str">
        <f>IF(A2296="","",IF(A2296+1&gt;Ввод!$B$4,"",A2296+1))</f>
        <v/>
      </c>
      <c r="B2297" s="23" t="str">
        <f>IF(A2297="","",IFERROR(INDEX(Ввод!$B$12:$B$71,MATCH(A2297,Ввод!$D$12:$D$71,1)),""))</f>
        <v/>
      </c>
      <c r="C2297" t="str">
        <f t="shared" si="70"/>
        <v/>
      </c>
      <c r="D2297" t="str">
        <f>IF(A2297="","",SUMIFS(Акты!$D$5:$D$16,Акты!$E$5:$E$16,"&lt;="&amp;A2297)-SUMIFS(Оплаты!$B$6:$B$505,Оплаты!$A$6:$A$505,"&lt;"&amp;A2297,Оплаты!$D$6:$D$505,"&lt;&gt;"))</f>
        <v/>
      </c>
      <c r="E2297" t="str">
        <f>IF(A2297="","",IF(SUMPRODUCT((Ввод!$F$12:$F$31&lt;&gt;"")*(Ввод!$F$12:$F$31&lt;=A2297)*(Ввод!$G$12:$G$31&gt;=A2297))&gt;0,1,0))</f>
        <v/>
      </c>
      <c r="G2297" t="str">
        <f t="shared" si="71"/>
        <v/>
      </c>
    </row>
    <row r="2298" spans="1:7" x14ac:dyDescent="0.3">
      <c r="A2298" s="21" t="str">
        <f>IF(A2297="","",IF(A2297+1&gt;Ввод!$B$4,"",A2297+1))</f>
        <v/>
      </c>
      <c r="B2298" s="23" t="str">
        <f>IF(A2298="","",IFERROR(INDEX(Ввод!$B$12:$B$71,MATCH(A2298,Ввод!$D$12:$D$71,1)),""))</f>
        <v/>
      </c>
      <c r="C2298" t="str">
        <f t="shared" si="70"/>
        <v/>
      </c>
      <c r="D2298" t="str">
        <f>IF(A2298="","",SUMIFS(Акты!$D$5:$D$16,Акты!$E$5:$E$16,"&lt;="&amp;A2298)-SUMIFS(Оплаты!$B$6:$B$505,Оплаты!$A$6:$A$505,"&lt;"&amp;A2298,Оплаты!$D$6:$D$505,"&lt;&gt;"))</f>
        <v/>
      </c>
      <c r="E2298" t="str">
        <f>IF(A2298="","",IF(SUMPRODUCT((Ввод!$F$12:$F$31&lt;&gt;"")*(Ввод!$F$12:$F$31&lt;=A2298)*(Ввод!$G$12:$G$31&gt;=A2298))&gt;0,1,0))</f>
        <v/>
      </c>
      <c r="G2298" t="str">
        <f t="shared" si="71"/>
        <v/>
      </c>
    </row>
    <row r="2299" spans="1:7" x14ac:dyDescent="0.3">
      <c r="A2299" s="21" t="str">
        <f>IF(A2298="","",IF(A2298+1&gt;Ввод!$B$4,"",A2298+1))</f>
        <v/>
      </c>
      <c r="B2299" s="23" t="str">
        <f>IF(A2299="","",IFERROR(INDEX(Ввод!$B$12:$B$71,MATCH(A2299,Ввод!$D$12:$D$71,1)),""))</f>
        <v/>
      </c>
      <c r="C2299" t="str">
        <f t="shared" si="70"/>
        <v/>
      </c>
      <c r="D2299" t="str">
        <f>IF(A2299="","",SUMIFS(Акты!$D$5:$D$16,Акты!$E$5:$E$16,"&lt;="&amp;A2299)-SUMIFS(Оплаты!$B$6:$B$505,Оплаты!$A$6:$A$505,"&lt;"&amp;A2299,Оплаты!$D$6:$D$505,"&lt;&gt;"))</f>
        <v/>
      </c>
      <c r="E2299" t="str">
        <f>IF(A2299="","",IF(SUMPRODUCT((Ввод!$F$12:$F$31&lt;&gt;"")*(Ввод!$F$12:$F$31&lt;=A2299)*(Ввод!$G$12:$G$31&gt;=A2299))&gt;0,1,0))</f>
        <v/>
      </c>
      <c r="G2299" t="str">
        <f t="shared" si="71"/>
        <v/>
      </c>
    </row>
    <row r="2300" spans="1:7" x14ac:dyDescent="0.3">
      <c r="A2300" s="21" t="str">
        <f>IF(A2299="","",IF(A2299+1&gt;Ввод!$B$4,"",A2299+1))</f>
        <v/>
      </c>
      <c r="B2300" s="23" t="str">
        <f>IF(A2300="","",IFERROR(INDEX(Ввод!$B$12:$B$71,MATCH(A2300,Ввод!$D$12:$D$71,1)),""))</f>
        <v/>
      </c>
      <c r="C2300" t="str">
        <f t="shared" si="70"/>
        <v/>
      </c>
      <c r="D2300" t="str">
        <f>IF(A2300="","",SUMIFS(Акты!$D$5:$D$16,Акты!$E$5:$E$16,"&lt;="&amp;A2300)-SUMIFS(Оплаты!$B$6:$B$505,Оплаты!$A$6:$A$505,"&lt;"&amp;A2300,Оплаты!$D$6:$D$505,"&lt;&gt;"))</f>
        <v/>
      </c>
      <c r="E2300" t="str">
        <f>IF(A2300="","",IF(SUMPRODUCT((Ввод!$F$12:$F$31&lt;&gt;"")*(Ввод!$F$12:$F$31&lt;=A2300)*(Ввод!$G$12:$G$31&gt;=A2300))&gt;0,1,0))</f>
        <v/>
      </c>
      <c r="G2300" t="str">
        <f t="shared" si="71"/>
        <v/>
      </c>
    </row>
    <row r="2301" spans="1:7" x14ac:dyDescent="0.3">
      <c r="A2301" s="21" t="str">
        <f>IF(A2300="","",IF(A2300+1&gt;Ввод!$B$4,"",A2300+1))</f>
        <v/>
      </c>
      <c r="B2301" s="23" t="str">
        <f>IF(A2301="","",IFERROR(INDEX(Ввод!$B$12:$B$71,MATCH(A2301,Ввод!$D$12:$D$71,1)),""))</f>
        <v/>
      </c>
      <c r="C2301" t="str">
        <f t="shared" si="70"/>
        <v/>
      </c>
      <c r="D2301" t="str">
        <f>IF(A2301="","",SUMIFS(Акты!$D$5:$D$16,Акты!$E$5:$E$16,"&lt;="&amp;A2301)-SUMIFS(Оплаты!$B$6:$B$505,Оплаты!$A$6:$A$505,"&lt;"&amp;A2301,Оплаты!$D$6:$D$505,"&lt;&gt;"))</f>
        <v/>
      </c>
      <c r="E2301" t="str">
        <f>IF(A2301="","",IF(SUMPRODUCT((Ввод!$F$12:$F$31&lt;&gt;"")*(Ввод!$F$12:$F$31&lt;=A2301)*(Ввод!$G$12:$G$31&gt;=A2301))&gt;0,1,0))</f>
        <v/>
      </c>
      <c r="G2301" t="str">
        <f t="shared" si="71"/>
        <v/>
      </c>
    </row>
    <row r="2302" spans="1:7" x14ac:dyDescent="0.3">
      <c r="A2302" s="21" t="str">
        <f>IF(A2301="","",IF(A2301+1&gt;Ввод!$B$4,"",A2301+1))</f>
        <v/>
      </c>
      <c r="B2302" s="23" t="str">
        <f>IF(A2302="","",IFERROR(INDEX(Ввод!$B$12:$B$71,MATCH(A2302,Ввод!$D$12:$D$71,1)),""))</f>
        <v/>
      </c>
      <c r="C2302" t="str">
        <f t="shared" si="70"/>
        <v/>
      </c>
      <c r="D2302" t="str">
        <f>IF(A2302="","",SUMIFS(Акты!$D$5:$D$16,Акты!$E$5:$E$16,"&lt;="&amp;A2302)-SUMIFS(Оплаты!$B$6:$B$505,Оплаты!$A$6:$A$505,"&lt;"&amp;A2302,Оплаты!$D$6:$D$505,"&lt;&gt;"))</f>
        <v/>
      </c>
      <c r="E2302" t="str">
        <f>IF(A2302="","",IF(SUMPRODUCT((Ввод!$F$12:$F$31&lt;&gt;"")*(Ввод!$F$12:$F$31&lt;=A2302)*(Ввод!$G$12:$G$31&gt;=A2302))&gt;0,1,0))</f>
        <v/>
      </c>
      <c r="G2302" t="str">
        <f t="shared" si="71"/>
        <v/>
      </c>
    </row>
    <row r="2303" spans="1:7" x14ac:dyDescent="0.3">
      <c r="A2303" s="21" t="str">
        <f>IF(A2302="","",IF(A2302+1&gt;Ввод!$B$4,"",A2302+1))</f>
        <v/>
      </c>
      <c r="B2303" s="23" t="str">
        <f>IF(A2303="","",IFERROR(INDEX(Ввод!$B$12:$B$71,MATCH(A2303,Ввод!$D$12:$D$71,1)),""))</f>
        <v/>
      </c>
      <c r="C2303" t="str">
        <f t="shared" si="70"/>
        <v/>
      </c>
      <c r="D2303" t="str">
        <f>IF(A2303="","",SUMIFS(Акты!$D$5:$D$16,Акты!$E$5:$E$16,"&lt;="&amp;A2303)-SUMIFS(Оплаты!$B$6:$B$505,Оплаты!$A$6:$A$505,"&lt;"&amp;A2303,Оплаты!$D$6:$D$505,"&lt;&gt;"))</f>
        <v/>
      </c>
      <c r="E2303" t="str">
        <f>IF(A2303="","",IF(SUMPRODUCT((Ввод!$F$12:$F$31&lt;&gt;"")*(Ввод!$F$12:$F$31&lt;=A2303)*(Ввод!$G$12:$G$31&gt;=A2303))&gt;0,1,0))</f>
        <v/>
      </c>
      <c r="G2303" t="str">
        <f t="shared" si="71"/>
        <v/>
      </c>
    </row>
    <row r="2304" spans="1:7" x14ac:dyDescent="0.3">
      <c r="A2304" s="21" t="str">
        <f>IF(A2303="","",IF(A2303+1&gt;Ввод!$B$4,"",A2303+1))</f>
        <v/>
      </c>
      <c r="B2304" s="23" t="str">
        <f>IF(A2304="","",IFERROR(INDEX(Ввод!$B$12:$B$71,MATCH(A2304,Ввод!$D$12:$D$71,1)),""))</f>
        <v/>
      </c>
      <c r="C2304" t="str">
        <f t="shared" si="70"/>
        <v/>
      </c>
      <c r="D2304" t="str">
        <f>IF(A2304="","",SUMIFS(Акты!$D$5:$D$16,Акты!$E$5:$E$16,"&lt;="&amp;A2304)-SUMIFS(Оплаты!$B$6:$B$505,Оплаты!$A$6:$A$505,"&lt;"&amp;A2304,Оплаты!$D$6:$D$505,"&lt;&gt;"))</f>
        <v/>
      </c>
      <c r="E2304" t="str">
        <f>IF(A2304="","",IF(SUMPRODUCT((Ввод!$F$12:$F$31&lt;&gt;"")*(Ввод!$F$12:$F$31&lt;=A2304)*(Ввод!$G$12:$G$31&gt;=A2304))&gt;0,1,0))</f>
        <v/>
      </c>
      <c r="G2304" t="str">
        <f t="shared" si="71"/>
        <v/>
      </c>
    </row>
    <row r="2305" spans="1:7" x14ac:dyDescent="0.3">
      <c r="A2305" s="21" t="str">
        <f>IF(A2304="","",IF(A2304+1&gt;Ввод!$B$4,"",A2304+1))</f>
        <v/>
      </c>
      <c r="B2305" s="23" t="str">
        <f>IF(A2305="","",IFERROR(INDEX(Ввод!$B$12:$B$71,MATCH(A2305,Ввод!$D$12:$D$71,1)),""))</f>
        <v/>
      </c>
      <c r="C2305" t="str">
        <f t="shared" si="70"/>
        <v/>
      </c>
      <c r="D2305" t="str">
        <f>IF(A2305="","",SUMIFS(Акты!$D$5:$D$16,Акты!$E$5:$E$16,"&lt;="&amp;A2305)-SUMIFS(Оплаты!$B$6:$B$505,Оплаты!$A$6:$A$505,"&lt;"&amp;A2305,Оплаты!$D$6:$D$505,"&lt;&gt;"))</f>
        <v/>
      </c>
      <c r="E2305" t="str">
        <f>IF(A2305="","",IF(SUMPRODUCT((Ввод!$F$12:$F$31&lt;&gt;"")*(Ввод!$F$12:$F$31&lt;=A2305)*(Ввод!$G$12:$G$31&gt;=A2305))&gt;0,1,0))</f>
        <v/>
      </c>
      <c r="G2305" t="str">
        <f t="shared" si="71"/>
        <v/>
      </c>
    </row>
    <row r="2306" spans="1:7" x14ac:dyDescent="0.3">
      <c r="A2306" s="21" t="str">
        <f>IF(A2305="","",IF(A2305+1&gt;Ввод!$B$4,"",A2305+1))</f>
        <v/>
      </c>
      <c r="B2306" s="23" t="str">
        <f>IF(A2306="","",IFERROR(INDEX(Ввод!$B$12:$B$71,MATCH(A2306,Ввод!$D$12:$D$71,1)),""))</f>
        <v/>
      </c>
      <c r="C2306" t="str">
        <f t="shared" ref="C2306:C2369" si="72">IF(A2306="","",DATE(YEAR(A2306),12,31)-DATE(YEAR(A2306),1,1)+1)</f>
        <v/>
      </c>
      <c r="D2306" t="str">
        <f>IF(A2306="","",SUMIFS(Акты!$D$5:$D$16,Акты!$E$5:$E$16,"&lt;="&amp;A2306)-SUMIFS(Оплаты!$B$6:$B$505,Оплаты!$A$6:$A$505,"&lt;"&amp;A2306,Оплаты!$D$6:$D$505,"&lt;&gt;"))</f>
        <v/>
      </c>
      <c r="E2306" t="str">
        <f>IF(A2306="","",IF(SUMPRODUCT((Ввод!$F$12:$F$31&lt;&gt;"")*(Ввод!$F$12:$F$31&lt;=A2306)*(Ввод!$G$12:$G$31&gt;=A2306))&gt;0,1,0))</f>
        <v/>
      </c>
      <c r="G2306" t="str">
        <f t="shared" si="71"/>
        <v/>
      </c>
    </row>
    <row r="2307" spans="1:7" x14ac:dyDescent="0.3">
      <c r="A2307" s="21" t="str">
        <f>IF(A2306="","",IF(A2306+1&gt;Ввод!$B$4,"",A2306+1))</f>
        <v/>
      </c>
      <c r="B2307" s="23" t="str">
        <f>IF(A2307="","",IFERROR(INDEX(Ввод!$B$12:$B$71,MATCH(A2307,Ввод!$D$12:$D$71,1)),""))</f>
        <v/>
      </c>
      <c r="C2307" t="str">
        <f t="shared" si="72"/>
        <v/>
      </c>
      <c r="D2307" t="str">
        <f>IF(A2307="","",SUMIFS(Акты!$D$5:$D$16,Акты!$E$5:$E$16,"&lt;="&amp;A2307)-SUMIFS(Оплаты!$B$6:$B$505,Оплаты!$A$6:$A$505,"&lt;"&amp;A2307,Оплаты!$D$6:$D$505,"&lt;&gt;"))</f>
        <v/>
      </c>
      <c r="E2307" t="str">
        <f>IF(A2307="","",IF(SUMPRODUCT((Ввод!$F$12:$F$31&lt;&gt;"")*(Ввод!$F$12:$F$31&lt;=A2307)*(Ввод!$G$12:$G$31&gt;=A2307))&gt;0,1,0))</f>
        <v/>
      </c>
      <c r="G2307" t="str">
        <f t="shared" ref="G2307:G2370" si="73">IF(A2307="","",IF(OR(B2307&lt;&gt;B2306,C2307&lt;&gt;C2306,E2307&lt;&gt;E2306),G2306+1,G2306))</f>
        <v/>
      </c>
    </row>
    <row r="2308" spans="1:7" x14ac:dyDescent="0.3">
      <c r="A2308" s="21" t="str">
        <f>IF(A2307="","",IF(A2307+1&gt;Ввод!$B$4,"",A2307+1))</f>
        <v/>
      </c>
      <c r="B2308" s="23" t="str">
        <f>IF(A2308="","",IFERROR(INDEX(Ввод!$B$12:$B$71,MATCH(A2308,Ввод!$D$12:$D$71,1)),""))</f>
        <v/>
      </c>
      <c r="C2308" t="str">
        <f t="shared" si="72"/>
        <v/>
      </c>
      <c r="D2308" t="str">
        <f>IF(A2308="","",SUMIFS(Акты!$D$5:$D$16,Акты!$E$5:$E$16,"&lt;="&amp;A2308)-SUMIFS(Оплаты!$B$6:$B$505,Оплаты!$A$6:$A$505,"&lt;"&amp;A2308,Оплаты!$D$6:$D$505,"&lt;&gt;"))</f>
        <v/>
      </c>
      <c r="E2308" t="str">
        <f>IF(A2308="","",IF(SUMPRODUCT((Ввод!$F$12:$F$31&lt;&gt;"")*(Ввод!$F$12:$F$31&lt;=A2308)*(Ввод!$G$12:$G$31&gt;=A2308))&gt;0,1,0))</f>
        <v/>
      </c>
      <c r="G2308" t="str">
        <f t="shared" si="73"/>
        <v/>
      </c>
    </row>
    <row r="2309" spans="1:7" x14ac:dyDescent="0.3">
      <c r="A2309" s="21" t="str">
        <f>IF(A2308="","",IF(A2308+1&gt;Ввод!$B$4,"",A2308+1))</f>
        <v/>
      </c>
      <c r="B2309" s="23" t="str">
        <f>IF(A2309="","",IFERROR(INDEX(Ввод!$B$12:$B$71,MATCH(A2309,Ввод!$D$12:$D$71,1)),""))</f>
        <v/>
      </c>
      <c r="C2309" t="str">
        <f t="shared" si="72"/>
        <v/>
      </c>
      <c r="D2309" t="str">
        <f>IF(A2309="","",SUMIFS(Акты!$D$5:$D$16,Акты!$E$5:$E$16,"&lt;="&amp;A2309)-SUMIFS(Оплаты!$B$6:$B$505,Оплаты!$A$6:$A$505,"&lt;"&amp;A2309,Оплаты!$D$6:$D$505,"&lt;&gt;"))</f>
        <v/>
      </c>
      <c r="E2309" t="str">
        <f>IF(A2309="","",IF(SUMPRODUCT((Ввод!$F$12:$F$31&lt;&gt;"")*(Ввод!$F$12:$F$31&lt;=A2309)*(Ввод!$G$12:$G$31&gt;=A2309))&gt;0,1,0))</f>
        <v/>
      </c>
      <c r="G2309" t="str">
        <f t="shared" si="73"/>
        <v/>
      </c>
    </row>
    <row r="2310" spans="1:7" x14ac:dyDescent="0.3">
      <c r="A2310" s="21" t="str">
        <f>IF(A2309="","",IF(A2309+1&gt;Ввод!$B$4,"",A2309+1))</f>
        <v/>
      </c>
      <c r="B2310" s="23" t="str">
        <f>IF(A2310="","",IFERROR(INDEX(Ввод!$B$12:$B$71,MATCH(A2310,Ввод!$D$12:$D$71,1)),""))</f>
        <v/>
      </c>
      <c r="C2310" t="str">
        <f t="shared" si="72"/>
        <v/>
      </c>
      <c r="D2310" t="str">
        <f>IF(A2310="","",SUMIFS(Акты!$D$5:$D$16,Акты!$E$5:$E$16,"&lt;="&amp;A2310)-SUMIFS(Оплаты!$B$6:$B$505,Оплаты!$A$6:$A$505,"&lt;"&amp;A2310,Оплаты!$D$6:$D$505,"&lt;&gt;"))</f>
        <v/>
      </c>
      <c r="E2310" t="str">
        <f>IF(A2310="","",IF(SUMPRODUCT((Ввод!$F$12:$F$31&lt;&gt;"")*(Ввод!$F$12:$F$31&lt;=A2310)*(Ввод!$G$12:$G$31&gt;=A2310))&gt;0,1,0))</f>
        <v/>
      </c>
      <c r="G2310" t="str">
        <f t="shared" si="73"/>
        <v/>
      </c>
    </row>
    <row r="2311" spans="1:7" x14ac:dyDescent="0.3">
      <c r="A2311" s="21" t="str">
        <f>IF(A2310="","",IF(A2310+1&gt;Ввод!$B$4,"",A2310+1))</f>
        <v/>
      </c>
      <c r="B2311" s="23" t="str">
        <f>IF(A2311="","",IFERROR(INDEX(Ввод!$B$12:$B$71,MATCH(A2311,Ввод!$D$12:$D$71,1)),""))</f>
        <v/>
      </c>
      <c r="C2311" t="str">
        <f t="shared" si="72"/>
        <v/>
      </c>
      <c r="D2311" t="str">
        <f>IF(A2311="","",SUMIFS(Акты!$D$5:$D$16,Акты!$E$5:$E$16,"&lt;="&amp;A2311)-SUMIFS(Оплаты!$B$6:$B$505,Оплаты!$A$6:$A$505,"&lt;"&amp;A2311,Оплаты!$D$6:$D$505,"&lt;&gt;"))</f>
        <v/>
      </c>
      <c r="E2311" t="str">
        <f>IF(A2311="","",IF(SUMPRODUCT((Ввод!$F$12:$F$31&lt;&gt;"")*(Ввод!$F$12:$F$31&lt;=A2311)*(Ввод!$G$12:$G$31&gt;=A2311))&gt;0,1,0))</f>
        <v/>
      </c>
      <c r="G2311" t="str">
        <f t="shared" si="73"/>
        <v/>
      </c>
    </row>
    <row r="2312" spans="1:7" x14ac:dyDescent="0.3">
      <c r="A2312" s="21" t="str">
        <f>IF(A2311="","",IF(A2311+1&gt;Ввод!$B$4,"",A2311+1))</f>
        <v/>
      </c>
      <c r="B2312" s="23" t="str">
        <f>IF(A2312="","",IFERROR(INDEX(Ввод!$B$12:$B$71,MATCH(A2312,Ввод!$D$12:$D$71,1)),""))</f>
        <v/>
      </c>
      <c r="C2312" t="str">
        <f t="shared" si="72"/>
        <v/>
      </c>
      <c r="D2312" t="str">
        <f>IF(A2312="","",SUMIFS(Акты!$D$5:$D$16,Акты!$E$5:$E$16,"&lt;="&amp;A2312)-SUMIFS(Оплаты!$B$6:$B$505,Оплаты!$A$6:$A$505,"&lt;"&amp;A2312,Оплаты!$D$6:$D$505,"&lt;&gt;"))</f>
        <v/>
      </c>
      <c r="E2312" t="str">
        <f>IF(A2312="","",IF(SUMPRODUCT((Ввод!$F$12:$F$31&lt;&gt;"")*(Ввод!$F$12:$F$31&lt;=A2312)*(Ввод!$G$12:$G$31&gt;=A2312))&gt;0,1,0))</f>
        <v/>
      </c>
      <c r="G2312" t="str">
        <f t="shared" si="73"/>
        <v/>
      </c>
    </row>
    <row r="2313" spans="1:7" x14ac:dyDescent="0.3">
      <c r="A2313" s="21" t="str">
        <f>IF(A2312="","",IF(A2312+1&gt;Ввод!$B$4,"",A2312+1))</f>
        <v/>
      </c>
      <c r="B2313" s="23" t="str">
        <f>IF(A2313="","",IFERROR(INDEX(Ввод!$B$12:$B$71,MATCH(A2313,Ввод!$D$12:$D$71,1)),""))</f>
        <v/>
      </c>
      <c r="C2313" t="str">
        <f t="shared" si="72"/>
        <v/>
      </c>
      <c r="D2313" t="str">
        <f>IF(A2313="","",SUMIFS(Акты!$D$5:$D$16,Акты!$E$5:$E$16,"&lt;="&amp;A2313)-SUMIFS(Оплаты!$B$6:$B$505,Оплаты!$A$6:$A$505,"&lt;"&amp;A2313,Оплаты!$D$6:$D$505,"&lt;&gt;"))</f>
        <v/>
      </c>
      <c r="E2313" t="str">
        <f>IF(A2313="","",IF(SUMPRODUCT((Ввод!$F$12:$F$31&lt;&gt;"")*(Ввод!$F$12:$F$31&lt;=A2313)*(Ввод!$G$12:$G$31&gt;=A2313))&gt;0,1,0))</f>
        <v/>
      </c>
      <c r="G2313" t="str">
        <f t="shared" si="73"/>
        <v/>
      </c>
    </row>
    <row r="2314" spans="1:7" x14ac:dyDescent="0.3">
      <c r="A2314" s="21" t="str">
        <f>IF(A2313="","",IF(A2313+1&gt;Ввод!$B$4,"",A2313+1))</f>
        <v/>
      </c>
      <c r="B2314" s="23" t="str">
        <f>IF(A2314="","",IFERROR(INDEX(Ввод!$B$12:$B$71,MATCH(A2314,Ввод!$D$12:$D$71,1)),""))</f>
        <v/>
      </c>
      <c r="C2314" t="str">
        <f t="shared" si="72"/>
        <v/>
      </c>
      <c r="D2314" t="str">
        <f>IF(A2314="","",SUMIFS(Акты!$D$5:$D$16,Акты!$E$5:$E$16,"&lt;="&amp;A2314)-SUMIFS(Оплаты!$B$6:$B$505,Оплаты!$A$6:$A$505,"&lt;"&amp;A2314,Оплаты!$D$6:$D$505,"&lt;&gt;"))</f>
        <v/>
      </c>
      <c r="E2314" t="str">
        <f>IF(A2314="","",IF(SUMPRODUCT((Ввод!$F$12:$F$31&lt;&gt;"")*(Ввод!$F$12:$F$31&lt;=A2314)*(Ввод!$G$12:$G$31&gt;=A2314))&gt;0,1,0))</f>
        <v/>
      </c>
      <c r="G2314" t="str">
        <f t="shared" si="73"/>
        <v/>
      </c>
    </row>
    <row r="2315" spans="1:7" x14ac:dyDescent="0.3">
      <c r="A2315" s="21" t="str">
        <f>IF(A2314="","",IF(A2314+1&gt;Ввод!$B$4,"",A2314+1))</f>
        <v/>
      </c>
      <c r="B2315" s="23" t="str">
        <f>IF(A2315="","",IFERROR(INDEX(Ввод!$B$12:$B$71,MATCH(A2315,Ввод!$D$12:$D$71,1)),""))</f>
        <v/>
      </c>
      <c r="C2315" t="str">
        <f t="shared" si="72"/>
        <v/>
      </c>
      <c r="D2315" t="str">
        <f>IF(A2315="","",SUMIFS(Акты!$D$5:$D$16,Акты!$E$5:$E$16,"&lt;="&amp;A2315)-SUMIFS(Оплаты!$B$6:$B$505,Оплаты!$A$6:$A$505,"&lt;"&amp;A2315,Оплаты!$D$6:$D$505,"&lt;&gt;"))</f>
        <v/>
      </c>
      <c r="E2315" t="str">
        <f>IF(A2315="","",IF(SUMPRODUCT((Ввод!$F$12:$F$31&lt;&gt;"")*(Ввод!$F$12:$F$31&lt;=A2315)*(Ввод!$G$12:$G$31&gt;=A2315))&gt;0,1,0))</f>
        <v/>
      </c>
      <c r="G2315" t="str">
        <f t="shared" si="73"/>
        <v/>
      </c>
    </row>
    <row r="2316" spans="1:7" x14ac:dyDescent="0.3">
      <c r="A2316" s="21" t="str">
        <f>IF(A2315="","",IF(A2315+1&gt;Ввод!$B$4,"",A2315+1))</f>
        <v/>
      </c>
      <c r="B2316" s="23" t="str">
        <f>IF(A2316="","",IFERROR(INDEX(Ввод!$B$12:$B$71,MATCH(A2316,Ввод!$D$12:$D$71,1)),""))</f>
        <v/>
      </c>
      <c r="C2316" t="str">
        <f t="shared" si="72"/>
        <v/>
      </c>
      <c r="D2316" t="str">
        <f>IF(A2316="","",SUMIFS(Акты!$D$5:$D$16,Акты!$E$5:$E$16,"&lt;="&amp;A2316)-SUMIFS(Оплаты!$B$6:$B$505,Оплаты!$A$6:$A$505,"&lt;"&amp;A2316,Оплаты!$D$6:$D$505,"&lt;&gt;"))</f>
        <v/>
      </c>
      <c r="E2316" t="str">
        <f>IF(A2316="","",IF(SUMPRODUCT((Ввод!$F$12:$F$31&lt;&gt;"")*(Ввод!$F$12:$F$31&lt;=A2316)*(Ввод!$G$12:$G$31&gt;=A2316))&gt;0,1,0))</f>
        <v/>
      </c>
      <c r="G2316" t="str">
        <f t="shared" si="73"/>
        <v/>
      </c>
    </row>
    <row r="2317" spans="1:7" x14ac:dyDescent="0.3">
      <c r="A2317" s="21" t="str">
        <f>IF(A2316="","",IF(A2316+1&gt;Ввод!$B$4,"",A2316+1))</f>
        <v/>
      </c>
      <c r="B2317" s="23" t="str">
        <f>IF(A2317="","",IFERROR(INDEX(Ввод!$B$12:$B$71,MATCH(A2317,Ввод!$D$12:$D$71,1)),""))</f>
        <v/>
      </c>
      <c r="C2317" t="str">
        <f t="shared" si="72"/>
        <v/>
      </c>
      <c r="D2317" t="str">
        <f>IF(A2317="","",SUMIFS(Акты!$D$5:$D$16,Акты!$E$5:$E$16,"&lt;="&amp;A2317)-SUMIFS(Оплаты!$B$6:$B$505,Оплаты!$A$6:$A$505,"&lt;"&amp;A2317,Оплаты!$D$6:$D$505,"&lt;&gt;"))</f>
        <v/>
      </c>
      <c r="E2317" t="str">
        <f>IF(A2317="","",IF(SUMPRODUCT((Ввод!$F$12:$F$31&lt;&gt;"")*(Ввод!$F$12:$F$31&lt;=A2317)*(Ввод!$G$12:$G$31&gt;=A2317))&gt;0,1,0))</f>
        <v/>
      </c>
      <c r="G2317" t="str">
        <f t="shared" si="73"/>
        <v/>
      </c>
    </row>
    <row r="2318" spans="1:7" x14ac:dyDescent="0.3">
      <c r="A2318" s="21" t="str">
        <f>IF(A2317="","",IF(A2317+1&gt;Ввод!$B$4,"",A2317+1))</f>
        <v/>
      </c>
      <c r="B2318" s="23" t="str">
        <f>IF(A2318="","",IFERROR(INDEX(Ввод!$B$12:$B$71,MATCH(A2318,Ввод!$D$12:$D$71,1)),""))</f>
        <v/>
      </c>
      <c r="C2318" t="str">
        <f t="shared" si="72"/>
        <v/>
      </c>
      <c r="D2318" t="str">
        <f>IF(A2318="","",SUMIFS(Акты!$D$5:$D$16,Акты!$E$5:$E$16,"&lt;="&amp;A2318)-SUMIFS(Оплаты!$B$6:$B$505,Оплаты!$A$6:$A$505,"&lt;"&amp;A2318,Оплаты!$D$6:$D$505,"&lt;&gt;"))</f>
        <v/>
      </c>
      <c r="E2318" t="str">
        <f>IF(A2318="","",IF(SUMPRODUCT((Ввод!$F$12:$F$31&lt;&gt;"")*(Ввод!$F$12:$F$31&lt;=A2318)*(Ввод!$G$12:$G$31&gt;=A2318))&gt;0,1,0))</f>
        <v/>
      </c>
      <c r="G2318" t="str">
        <f t="shared" si="73"/>
        <v/>
      </c>
    </row>
    <row r="2319" spans="1:7" x14ac:dyDescent="0.3">
      <c r="A2319" s="21" t="str">
        <f>IF(A2318="","",IF(A2318+1&gt;Ввод!$B$4,"",A2318+1))</f>
        <v/>
      </c>
      <c r="B2319" s="23" t="str">
        <f>IF(A2319="","",IFERROR(INDEX(Ввод!$B$12:$B$71,MATCH(A2319,Ввод!$D$12:$D$71,1)),""))</f>
        <v/>
      </c>
      <c r="C2319" t="str">
        <f t="shared" si="72"/>
        <v/>
      </c>
      <c r="D2319" t="str">
        <f>IF(A2319="","",SUMIFS(Акты!$D$5:$D$16,Акты!$E$5:$E$16,"&lt;="&amp;A2319)-SUMIFS(Оплаты!$B$6:$B$505,Оплаты!$A$6:$A$505,"&lt;"&amp;A2319,Оплаты!$D$6:$D$505,"&lt;&gt;"))</f>
        <v/>
      </c>
      <c r="E2319" t="str">
        <f>IF(A2319="","",IF(SUMPRODUCT((Ввод!$F$12:$F$31&lt;&gt;"")*(Ввод!$F$12:$F$31&lt;=A2319)*(Ввод!$G$12:$G$31&gt;=A2319))&gt;0,1,0))</f>
        <v/>
      </c>
      <c r="G2319" t="str">
        <f t="shared" si="73"/>
        <v/>
      </c>
    </row>
    <row r="2320" spans="1:7" x14ac:dyDescent="0.3">
      <c r="A2320" s="21" t="str">
        <f>IF(A2319="","",IF(A2319+1&gt;Ввод!$B$4,"",A2319+1))</f>
        <v/>
      </c>
      <c r="B2320" s="23" t="str">
        <f>IF(A2320="","",IFERROR(INDEX(Ввод!$B$12:$B$71,MATCH(A2320,Ввод!$D$12:$D$71,1)),""))</f>
        <v/>
      </c>
      <c r="C2320" t="str">
        <f t="shared" si="72"/>
        <v/>
      </c>
      <c r="D2320" t="str">
        <f>IF(A2320="","",SUMIFS(Акты!$D$5:$D$16,Акты!$E$5:$E$16,"&lt;="&amp;A2320)-SUMIFS(Оплаты!$B$6:$B$505,Оплаты!$A$6:$A$505,"&lt;"&amp;A2320,Оплаты!$D$6:$D$505,"&lt;&gt;"))</f>
        <v/>
      </c>
      <c r="E2320" t="str">
        <f>IF(A2320="","",IF(SUMPRODUCT((Ввод!$F$12:$F$31&lt;&gt;"")*(Ввод!$F$12:$F$31&lt;=A2320)*(Ввод!$G$12:$G$31&gt;=A2320))&gt;0,1,0))</f>
        <v/>
      </c>
      <c r="G2320" t="str">
        <f t="shared" si="73"/>
        <v/>
      </c>
    </row>
    <row r="2321" spans="1:7" x14ac:dyDescent="0.3">
      <c r="A2321" s="21" t="str">
        <f>IF(A2320="","",IF(A2320+1&gt;Ввод!$B$4,"",A2320+1))</f>
        <v/>
      </c>
      <c r="B2321" s="23" t="str">
        <f>IF(A2321="","",IFERROR(INDEX(Ввод!$B$12:$B$71,MATCH(A2321,Ввод!$D$12:$D$71,1)),""))</f>
        <v/>
      </c>
      <c r="C2321" t="str">
        <f t="shared" si="72"/>
        <v/>
      </c>
      <c r="D2321" t="str">
        <f>IF(A2321="","",SUMIFS(Акты!$D$5:$D$16,Акты!$E$5:$E$16,"&lt;="&amp;A2321)-SUMIFS(Оплаты!$B$6:$B$505,Оплаты!$A$6:$A$505,"&lt;"&amp;A2321,Оплаты!$D$6:$D$505,"&lt;&gt;"))</f>
        <v/>
      </c>
      <c r="E2321" t="str">
        <f>IF(A2321="","",IF(SUMPRODUCT((Ввод!$F$12:$F$31&lt;&gt;"")*(Ввод!$F$12:$F$31&lt;=A2321)*(Ввод!$G$12:$G$31&gt;=A2321))&gt;0,1,0))</f>
        <v/>
      </c>
      <c r="G2321" t="str">
        <f t="shared" si="73"/>
        <v/>
      </c>
    </row>
    <row r="2322" spans="1:7" x14ac:dyDescent="0.3">
      <c r="A2322" s="21" t="str">
        <f>IF(A2321="","",IF(A2321+1&gt;Ввод!$B$4,"",A2321+1))</f>
        <v/>
      </c>
      <c r="B2322" s="23" t="str">
        <f>IF(A2322="","",IFERROR(INDEX(Ввод!$B$12:$B$71,MATCH(A2322,Ввод!$D$12:$D$71,1)),""))</f>
        <v/>
      </c>
      <c r="C2322" t="str">
        <f t="shared" si="72"/>
        <v/>
      </c>
      <c r="D2322" t="str">
        <f>IF(A2322="","",SUMIFS(Акты!$D$5:$D$16,Акты!$E$5:$E$16,"&lt;="&amp;A2322)-SUMIFS(Оплаты!$B$6:$B$505,Оплаты!$A$6:$A$505,"&lt;"&amp;A2322,Оплаты!$D$6:$D$505,"&lt;&gt;"))</f>
        <v/>
      </c>
      <c r="E2322" t="str">
        <f>IF(A2322="","",IF(SUMPRODUCT((Ввод!$F$12:$F$31&lt;&gt;"")*(Ввод!$F$12:$F$31&lt;=A2322)*(Ввод!$G$12:$G$31&gt;=A2322))&gt;0,1,0))</f>
        <v/>
      </c>
      <c r="G2322" t="str">
        <f t="shared" si="73"/>
        <v/>
      </c>
    </row>
    <row r="2323" spans="1:7" x14ac:dyDescent="0.3">
      <c r="A2323" s="21" t="str">
        <f>IF(A2322="","",IF(A2322+1&gt;Ввод!$B$4,"",A2322+1))</f>
        <v/>
      </c>
      <c r="B2323" s="23" t="str">
        <f>IF(A2323="","",IFERROR(INDEX(Ввод!$B$12:$B$71,MATCH(A2323,Ввод!$D$12:$D$71,1)),""))</f>
        <v/>
      </c>
      <c r="C2323" t="str">
        <f t="shared" si="72"/>
        <v/>
      </c>
      <c r="D2323" t="str">
        <f>IF(A2323="","",SUMIFS(Акты!$D$5:$D$16,Акты!$E$5:$E$16,"&lt;="&amp;A2323)-SUMIFS(Оплаты!$B$6:$B$505,Оплаты!$A$6:$A$505,"&lt;"&amp;A2323,Оплаты!$D$6:$D$505,"&lt;&gt;"))</f>
        <v/>
      </c>
      <c r="E2323" t="str">
        <f>IF(A2323="","",IF(SUMPRODUCT((Ввод!$F$12:$F$31&lt;&gt;"")*(Ввод!$F$12:$F$31&lt;=A2323)*(Ввод!$G$12:$G$31&gt;=A2323))&gt;0,1,0))</f>
        <v/>
      </c>
      <c r="G2323" t="str">
        <f t="shared" si="73"/>
        <v/>
      </c>
    </row>
    <row r="2324" spans="1:7" x14ac:dyDescent="0.3">
      <c r="A2324" s="21" t="str">
        <f>IF(A2323="","",IF(A2323+1&gt;Ввод!$B$4,"",A2323+1))</f>
        <v/>
      </c>
      <c r="B2324" s="23" t="str">
        <f>IF(A2324="","",IFERROR(INDEX(Ввод!$B$12:$B$71,MATCH(A2324,Ввод!$D$12:$D$71,1)),""))</f>
        <v/>
      </c>
      <c r="C2324" t="str">
        <f t="shared" si="72"/>
        <v/>
      </c>
      <c r="D2324" t="str">
        <f>IF(A2324="","",SUMIFS(Акты!$D$5:$D$16,Акты!$E$5:$E$16,"&lt;="&amp;A2324)-SUMIFS(Оплаты!$B$6:$B$505,Оплаты!$A$6:$A$505,"&lt;"&amp;A2324,Оплаты!$D$6:$D$505,"&lt;&gt;"))</f>
        <v/>
      </c>
      <c r="E2324" t="str">
        <f>IF(A2324="","",IF(SUMPRODUCT((Ввод!$F$12:$F$31&lt;&gt;"")*(Ввод!$F$12:$F$31&lt;=A2324)*(Ввод!$G$12:$G$31&gt;=A2324))&gt;0,1,0))</f>
        <v/>
      </c>
      <c r="G2324" t="str">
        <f t="shared" si="73"/>
        <v/>
      </c>
    </row>
    <row r="2325" spans="1:7" x14ac:dyDescent="0.3">
      <c r="A2325" s="21" t="str">
        <f>IF(A2324="","",IF(A2324+1&gt;Ввод!$B$4,"",A2324+1))</f>
        <v/>
      </c>
      <c r="B2325" s="23" t="str">
        <f>IF(A2325="","",IFERROR(INDEX(Ввод!$B$12:$B$71,MATCH(A2325,Ввод!$D$12:$D$71,1)),""))</f>
        <v/>
      </c>
      <c r="C2325" t="str">
        <f t="shared" si="72"/>
        <v/>
      </c>
      <c r="D2325" t="str">
        <f>IF(A2325="","",SUMIFS(Акты!$D$5:$D$16,Акты!$E$5:$E$16,"&lt;="&amp;A2325)-SUMIFS(Оплаты!$B$6:$B$505,Оплаты!$A$6:$A$505,"&lt;"&amp;A2325,Оплаты!$D$6:$D$505,"&lt;&gt;"))</f>
        <v/>
      </c>
      <c r="E2325" t="str">
        <f>IF(A2325="","",IF(SUMPRODUCT((Ввод!$F$12:$F$31&lt;&gt;"")*(Ввод!$F$12:$F$31&lt;=A2325)*(Ввод!$G$12:$G$31&gt;=A2325))&gt;0,1,0))</f>
        <v/>
      </c>
      <c r="G2325" t="str">
        <f t="shared" si="73"/>
        <v/>
      </c>
    </row>
    <row r="2326" spans="1:7" x14ac:dyDescent="0.3">
      <c r="A2326" s="21" t="str">
        <f>IF(A2325="","",IF(A2325+1&gt;Ввод!$B$4,"",A2325+1))</f>
        <v/>
      </c>
      <c r="B2326" s="23" t="str">
        <f>IF(A2326="","",IFERROR(INDEX(Ввод!$B$12:$B$71,MATCH(A2326,Ввод!$D$12:$D$71,1)),""))</f>
        <v/>
      </c>
      <c r="C2326" t="str">
        <f t="shared" si="72"/>
        <v/>
      </c>
      <c r="D2326" t="str">
        <f>IF(A2326="","",SUMIFS(Акты!$D$5:$D$16,Акты!$E$5:$E$16,"&lt;="&amp;A2326)-SUMIFS(Оплаты!$B$6:$B$505,Оплаты!$A$6:$A$505,"&lt;"&amp;A2326,Оплаты!$D$6:$D$505,"&lt;&gt;"))</f>
        <v/>
      </c>
      <c r="E2326" t="str">
        <f>IF(A2326="","",IF(SUMPRODUCT((Ввод!$F$12:$F$31&lt;&gt;"")*(Ввод!$F$12:$F$31&lt;=A2326)*(Ввод!$G$12:$G$31&gt;=A2326))&gt;0,1,0))</f>
        <v/>
      </c>
      <c r="G2326" t="str">
        <f t="shared" si="73"/>
        <v/>
      </c>
    </row>
    <row r="2327" spans="1:7" x14ac:dyDescent="0.3">
      <c r="A2327" s="21" t="str">
        <f>IF(A2326="","",IF(A2326+1&gt;Ввод!$B$4,"",A2326+1))</f>
        <v/>
      </c>
      <c r="B2327" s="23" t="str">
        <f>IF(A2327="","",IFERROR(INDEX(Ввод!$B$12:$B$71,MATCH(A2327,Ввод!$D$12:$D$71,1)),""))</f>
        <v/>
      </c>
      <c r="C2327" t="str">
        <f t="shared" si="72"/>
        <v/>
      </c>
      <c r="D2327" t="str">
        <f>IF(A2327="","",SUMIFS(Акты!$D$5:$D$16,Акты!$E$5:$E$16,"&lt;="&amp;A2327)-SUMIFS(Оплаты!$B$6:$B$505,Оплаты!$A$6:$A$505,"&lt;"&amp;A2327,Оплаты!$D$6:$D$505,"&lt;&gt;"))</f>
        <v/>
      </c>
      <c r="E2327" t="str">
        <f>IF(A2327="","",IF(SUMPRODUCT((Ввод!$F$12:$F$31&lt;&gt;"")*(Ввод!$F$12:$F$31&lt;=A2327)*(Ввод!$G$12:$G$31&gt;=A2327))&gt;0,1,0))</f>
        <v/>
      </c>
      <c r="G2327" t="str">
        <f t="shared" si="73"/>
        <v/>
      </c>
    </row>
    <row r="2328" spans="1:7" x14ac:dyDescent="0.3">
      <c r="A2328" s="21" t="str">
        <f>IF(A2327="","",IF(A2327+1&gt;Ввод!$B$4,"",A2327+1))</f>
        <v/>
      </c>
      <c r="B2328" s="23" t="str">
        <f>IF(A2328="","",IFERROR(INDEX(Ввод!$B$12:$B$71,MATCH(A2328,Ввод!$D$12:$D$71,1)),""))</f>
        <v/>
      </c>
      <c r="C2328" t="str">
        <f t="shared" si="72"/>
        <v/>
      </c>
      <c r="D2328" t="str">
        <f>IF(A2328="","",SUMIFS(Акты!$D$5:$D$16,Акты!$E$5:$E$16,"&lt;="&amp;A2328)-SUMIFS(Оплаты!$B$6:$B$505,Оплаты!$A$6:$A$505,"&lt;"&amp;A2328,Оплаты!$D$6:$D$505,"&lt;&gt;"))</f>
        <v/>
      </c>
      <c r="E2328" t="str">
        <f>IF(A2328="","",IF(SUMPRODUCT((Ввод!$F$12:$F$31&lt;&gt;"")*(Ввод!$F$12:$F$31&lt;=A2328)*(Ввод!$G$12:$G$31&gt;=A2328))&gt;0,1,0))</f>
        <v/>
      </c>
      <c r="G2328" t="str">
        <f t="shared" si="73"/>
        <v/>
      </c>
    </row>
    <row r="2329" spans="1:7" x14ac:dyDescent="0.3">
      <c r="A2329" s="21" t="str">
        <f>IF(A2328="","",IF(A2328+1&gt;Ввод!$B$4,"",A2328+1))</f>
        <v/>
      </c>
      <c r="B2329" s="23" t="str">
        <f>IF(A2329="","",IFERROR(INDEX(Ввод!$B$12:$B$71,MATCH(A2329,Ввод!$D$12:$D$71,1)),""))</f>
        <v/>
      </c>
      <c r="C2329" t="str">
        <f t="shared" si="72"/>
        <v/>
      </c>
      <c r="D2329" t="str">
        <f>IF(A2329="","",SUMIFS(Акты!$D$5:$D$16,Акты!$E$5:$E$16,"&lt;="&amp;A2329)-SUMIFS(Оплаты!$B$6:$B$505,Оплаты!$A$6:$A$505,"&lt;"&amp;A2329,Оплаты!$D$6:$D$505,"&lt;&gt;"))</f>
        <v/>
      </c>
      <c r="E2329" t="str">
        <f>IF(A2329="","",IF(SUMPRODUCT((Ввод!$F$12:$F$31&lt;&gt;"")*(Ввод!$F$12:$F$31&lt;=A2329)*(Ввод!$G$12:$G$31&gt;=A2329))&gt;0,1,0))</f>
        <v/>
      </c>
      <c r="G2329" t="str">
        <f t="shared" si="73"/>
        <v/>
      </c>
    </row>
    <row r="2330" spans="1:7" x14ac:dyDescent="0.3">
      <c r="A2330" s="21" t="str">
        <f>IF(A2329="","",IF(A2329+1&gt;Ввод!$B$4,"",A2329+1))</f>
        <v/>
      </c>
      <c r="B2330" s="23" t="str">
        <f>IF(A2330="","",IFERROR(INDEX(Ввод!$B$12:$B$71,MATCH(A2330,Ввод!$D$12:$D$71,1)),""))</f>
        <v/>
      </c>
      <c r="C2330" t="str">
        <f t="shared" si="72"/>
        <v/>
      </c>
      <c r="D2330" t="str">
        <f>IF(A2330="","",SUMIFS(Акты!$D$5:$D$16,Акты!$E$5:$E$16,"&lt;="&amp;A2330)-SUMIFS(Оплаты!$B$6:$B$505,Оплаты!$A$6:$A$505,"&lt;"&amp;A2330,Оплаты!$D$6:$D$505,"&lt;&gt;"))</f>
        <v/>
      </c>
      <c r="E2330" t="str">
        <f>IF(A2330="","",IF(SUMPRODUCT((Ввод!$F$12:$F$31&lt;&gt;"")*(Ввод!$F$12:$F$31&lt;=A2330)*(Ввод!$G$12:$G$31&gt;=A2330))&gt;0,1,0))</f>
        <v/>
      </c>
      <c r="G2330" t="str">
        <f t="shared" si="73"/>
        <v/>
      </c>
    </row>
    <row r="2331" spans="1:7" x14ac:dyDescent="0.3">
      <c r="A2331" s="21" t="str">
        <f>IF(A2330="","",IF(A2330+1&gt;Ввод!$B$4,"",A2330+1))</f>
        <v/>
      </c>
      <c r="B2331" s="23" t="str">
        <f>IF(A2331="","",IFERROR(INDEX(Ввод!$B$12:$B$71,MATCH(A2331,Ввод!$D$12:$D$71,1)),""))</f>
        <v/>
      </c>
      <c r="C2331" t="str">
        <f t="shared" si="72"/>
        <v/>
      </c>
      <c r="D2331" t="str">
        <f>IF(A2331="","",SUMIFS(Акты!$D$5:$D$16,Акты!$E$5:$E$16,"&lt;="&amp;A2331)-SUMIFS(Оплаты!$B$6:$B$505,Оплаты!$A$6:$A$505,"&lt;"&amp;A2331,Оплаты!$D$6:$D$505,"&lt;&gt;"))</f>
        <v/>
      </c>
      <c r="E2331" t="str">
        <f>IF(A2331="","",IF(SUMPRODUCT((Ввод!$F$12:$F$31&lt;&gt;"")*(Ввод!$F$12:$F$31&lt;=A2331)*(Ввод!$G$12:$G$31&gt;=A2331))&gt;0,1,0))</f>
        <v/>
      </c>
      <c r="G2331" t="str">
        <f t="shared" si="73"/>
        <v/>
      </c>
    </row>
    <row r="2332" spans="1:7" x14ac:dyDescent="0.3">
      <c r="A2332" s="21" t="str">
        <f>IF(A2331="","",IF(A2331+1&gt;Ввод!$B$4,"",A2331+1))</f>
        <v/>
      </c>
      <c r="B2332" s="23" t="str">
        <f>IF(A2332="","",IFERROR(INDEX(Ввод!$B$12:$B$71,MATCH(A2332,Ввод!$D$12:$D$71,1)),""))</f>
        <v/>
      </c>
      <c r="C2332" t="str">
        <f t="shared" si="72"/>
        <v/>
      </c>
      <c r="D2332" t="str">
        <f>IF(A2332="","",SUMIFS(Акты!$D$5:$D$16,Акты!$E$5:$E$16,"&lt;="&amp;A2332)-SUMIFS(Оплаты!$B$6:$B$505,Оплаты!$A$6:$A$505,"&lt;"&amp;A2332,Оплаты!$D$6:$D$505,"&lt;&gt;"))</f>
        <v/>
      </c>
      <c r="E2332" t="str">
        <f>IF(A2332="","",IF(SUMPRODUCT((Ввод!$F$12:$F$31&lt;&gt;"")*(Ввод!$F$12:$F$31&lt;=A2332)*(Ввод!$G$12:$G$31&gt;=A2332))&gt;0,1,0))</f>
        <v/>
      </c>
      <c r="G2332" t="str">
        <f t="shared" si="73"/>
        <v/>
      </c>
    </row>
    <row r="2333" spans="1:7" x14ac:dyDescent="0.3">
      <c r="A2333" s="21" t="str">
        <f>IF(A2332="","",IF(A2332+1&gt;Ввод!$B$4,"",A2332+1))</f>
        <v/>
      </c>
      <c r="B2333" s="23" t="str">
        <f>IF(A2333="","",IFERROR(INDEX(Ввод!$B$12:$B$71,MATCH(A2333,Ввод!$D$12:$D$71,1)),""))</f>
        <v/>
      </c>
      <c r="C2333" t="str">
        <f t="shared" si="72"/>
        <v/>
      </c>
      <c r="D2333" t="str">
        <f>IF(A2333="","",SUMIFS(Акты!$D$5:$D$16,Акты!$E$5:$E$16,"&lt;="&amp;A2333)-SUMIFS(Оплаты!$B$6:$B$505,Оплаты!$A$6:$A$505,"&lt;"&amp;A2333,Оплаты!$D$6:$D$505,"&lt;&gt;"))</f>
        <v/>
      </c>
      <c r="E2333" t="str">
        <f>IF(A2333="","",IF(SUMPRODUCT((Ввод!$F$12:$F$31&lt;&gt;"")*(Ввод!$F$12:$F$31&lt;=A2333)*(Ввод!$G$12:$G$31&gt;=A2333))&gt;0,1,0))</f>
        <v/>
      </c>
      <c r="G2333" t="str">
        <f t="shared" si="73"/>
        <v/>
      </c>
    </row>
    <row r="2334" spans="1:7" x14ac:dyDescent="0.3">
      <c r="A2334" s="21" t="str">
        <f>IF(A2333="","",IF(A2333+1&gt;Ввод!$B$4,"",A2333+1))</f>
        <v/>
      </c>
      <c r="B2334" s="23" t="str">
        <f>IF(A2334="","",IFERROR(INDEX(Ввод!$B$12:$B$71,MATCH(A2334,Ввод!$D$12:$D$71,1)),""))</f>
        <v/>
      </c>
      <c r="C2334" t="str">
        <f t="shared" si="72"/>
        <v/>
      </c>
      <c r="D2334" t="str">
        <f>IF(A2334="","",SUMIFS(Акты!$D$5:$D$16,Акты!$E$5:$E$16,"&lt;="&amp;A2334)-SUMIFS(Оплаты!$B$6:$B$505,Оплаты!$A$6:$A$505,"&lt;"&amp;A2334,Оплаты!$D$6:$D$505,"&lt;&gt;"))</f>
        <v/>
      </c>
      <c r="E2334" t="str">
        <f>IF(A2334="","",IF(SUMPRODUCT((Ввод!$F$12:$F$31&lt;&gt;"")*(Ввод!$F$12:$F$31&lt;=A2334)*(Ввод!$G$12:$G$31&gt;=A2334))&gt;0,1,0))</f>
        <v/>
      </c>
      <c r="G2334" t="str">
        <f t="shared" si="73"/>
        <v/>
      </c>
    </row>
    <row r="2335" spans="1:7" x14ac:dyDescent="0.3">
      <c r="A2335" s="21" t="str">
        <f>IF(A2334="","",IF(A2334+1&gt;Ввод!$B$4,"",A2334+1))</f>
        <v/>
      </c>
      <c r="B2335" s="23" t="str">
        <f>IF(A2335="","",IFERROR(INDEX(Ввод!$B$12:$B$71,MATCH(A2335,Ввод!$D$12:$D$71,1)),""))</f>
        <v/>
      </c>
      <c r="C2335" t="str">
        <f t="shared" si="72"/>
        <v/>
      </c>
      <c r="D2335" t="str">
        <f>IF(A2335="","",SUMIFS(Акты!$D$5:$D$16,Акты!$E$5:$E$16,"&lt;="&amp;A2335)-SUMIFS(Оплаты!$B$6:$B$505,Оплаты!$A$6:$A$505,"&lt;"&amp;A2335,Оплаты!$D$6:$D$505,"&lt;&gt;"))</f>
        <v/>
      </c>
      <c r="E2335" t="str">
        <f>IF(A2335="","",IF(SUMPRODUCT((Ввод!$F$12:$F$31&lt;&gt;"")*(Ввод!$F$12:$F$31&lt;=A2335)*(Ввод!$G$12:$G$31&gt;=A2335))&gt;0,1,0))</f>
        <v/>
      </c>
      <c r="G2335" t="str">
        <f t="shared" si="73"/>
        <v/>
      </c>
    </row>
    <row r="2336" spans="1:7" x14ac:dyDescent="0.3">
      <c r="A2336" s="21" t="str">
        <f>IF(A2335="","",IF(A2335+1&gt;Ввод!$B$4,"",A2335+1))</f>
        <v/>
      </c>
      <c r="B2336" s="23" t="str">
        <f>IF(A2336="","",IFERROR(INDEX(Ввод!$B$12:$B$71,MATCH(A2336,Ввод!$D$12:$D$71,1)),""))</f>
        <v/>
      </c>
      <c r="C2336" t="str">
        <f t="shared" si="72"/>
        <v/>
      </c>
      <c r="D2336" t="str">
        <f>IF(A2336="","",SUMIFS(Акты!$D$5:$D$16,Акты!$E$5:$E$16,"&lt;="&amp;A2336)-SUMIFS(Оплаты!$B$6:$B$505,Оплаты!$A$6:$A$505,"&lt;"&amp;A2336,Оплаты!$D$6:$D$505,"&lt;&gt;"))</f>
        <v/>
      </c>
      <c r="E2336" t="str">
        <f>IF(A2336="","",IF(SUMPRODUCT((Ввод!$F$12:$F$31&lt;&gt;"")*(Ввод!$F$12:$F$31&lt;=A2336)*(Ввод!$G$12:$G$31&gt;=A2336))&gt;0,1,0))</f>
        <v/>
      </c>
      <c r="G2336" t="str">
        <f t="shared" si="73"/>
        <v/>
      </c>
    </row>
    <row r="2337" spans="1:7" x14ac:dyDescent="0.3">
      <c r="A2337" s="21" t="str">
        <f>IF(A2336="","",IF(A2336+1&gt;Ввод!$B$4,"",A2336+1))</f>
        <v/>
      </c>
      <c r="B2337" s="23" t="str">
        <f>IF(A2337="","",IFERROR(INDEX(Ввод!$B$12:$B$71,MATCH(A2337,Ввод!$D$12:$D$71,1)),""))</f>
        <v/>
      </c>
      <c r="C2337" t="str">
        <f t="shared" si="72"/>
        <v/>
      </c>
      <c r="D2337" t="str">
        <f>IF(A2337="","",SUMIFS(Акты!$D$5:$D$16,Акты!$E$5:$E$16,"&lt;="&amp;A2337)-SUMIFS(Оплаты!$B$6:$B$505,Оплаты!$A$6:$A$505,"&lt;"&amp;A2337,Оплаты!$D$6:$D$505,"&lt;&gt;"))</f>
        <v/>
      </c>
      <c r="E2337" t="str">
        <f>IF(A2337="","",IF(SUMPRODUCT((Ввод!$F$12:$F$31&lt;&gt;"")*(Ввод!$F$12:$F$31&lt;=A2337)*(Ввод!$G$12:$G$31&gt;=A2337))&gt;0,1,0))</f>
        <v/>
      </c>
      <c r="G2337" t="str">
        <f t="shared" si="73"/>
        <v/>
      </c>
    </row>
    <row r="2338" spans="1:7" x14ac:dyDescent="0.3">
      <c r="A2338" s="21" t="str">
        <f>IF(A2337="","",IF(A2337+1&gt;Ввод!$B$4,"",A2337+1))</f>
        <v/>
      </c>
      <c r="B2338" s="23" t="str">
        <f>IF(A2338="","",IFERROR(INDEX(Ввод!$B$12:$B$71,MATCH(A2338,Ввод!$D$12:$D$71,1)),""))</f>
        <v/>
      </c>
      <c r="C2338" t="str">
        <f t="shared" si="72"/>
        <v/>
      </c>
      <c r="D2338" t="str">
        <f>IF(A2338="","",SUMIFS(Акты!$D$5:$D$16,Акты!$E$5:$E$16,"&lt;="&amp;A2338)-SUMIFS(Оплаты!$B$6:$B$505,Оплаты!$A$6:$A$505,"&lt;"&amp;A2338,Оплаты!$D$6:$D$505,"&lt;&gt;"))</f>
        <v/>
      </c>
      <c r="E2338" t="str">
        <f>IF(A2338="","",IF(SUMPRODUCT((Ввод!$F$12:$F$31&lt;&gt;"")*(Ввод!$F$12:$F$31&lt;=A2338)*(Ввод!$G$12:$G$31&gt;=A2338))&gt;0,1,0))</f>
        <v/>
      </c>
      <c r="G2338" t="str">
        <f t="shared" si="73"/>
        <v/>
      </c>
    </row>
    <row r="2339" spans="1:7" x14ac:dyDescent="0.3">
      <c r="A2339" s="21" t="str">
        <f>IF(A2338="","",IF(A2338+1&gt;Ввод!$B$4,"",A2338+1))</f>
        <v/>
      </c>
      <c r="B2339" s="23" t="str">
        <f>IF(A2339="","",IFERROR(INDEX(Ввод!$B$12:$B$71,MATCH(A2339,Ввод!$D$12:$D$71,1)),""))</f>
        <v/>
      </c>
      <c r="C2339" t="str">
        <f t="shared" si="72"/>
        <v/>
      </c>
      <c r="D2339" t="str">
        <f>IF(A2339="","",SUMIFS(Акты!$D$5:$D$16,Акты!$E$5:$E$16,"&lt;="&amp;A2339)-SUMIFS(Оплаты!$B$6:$B$505,Оплаты!$A$6:$A$505,"&lt;"&amp;A2339,Оплаты!$D$6:$D$505,"&lt;&gt;"))</f>
        <v/>
      </c>
      <c r="E2339" t="str">
        <f>IF(A2339="","",IF(SUMPRODUCT((Ввод!$F$12:$F$31&lt;&gt;"")*(Ввод!$F$12:$F$31&lt;=A2339)*(Ввод!$G$12:$G$31&gt;=A2339))&gt;0,1,0))</f>
        <v/>
      </c>
      <c r="G2339" t="str">
        <f t="shared" si="73"/>
        <v/>
      </c>
    </row>
    <row r="2340" spans="1:7" x14ac:dyDescent="0.3">
      <c r="A2340" s="21" t="str">
        <f>IF(A2339="","",IF(A2339+1&gt;Ввод!$B$4,"",A2339+1))</f>
        <v/>
      </c>
      <c r="B2340" s="23" t="str">
        <f>IF(A2340="","",IFERROR(INDEX(Ввод!$B$12:$B$71,MATCH(A2340,Ввод!$D$12:$D$71,1)),""))</f>
        <v/>
      </c>
      <c r="C2340" t="str">
        <f t="shared" si="72"/>
        <v/>
      </c>
      <c r="D2340" t="str">
        <f>IF(A2340="","",SUMIFS(Акты!$D$5:$D$16,Акты!$E$5:$E$16,"&lt;="&amp;A2340)-SUMIFS(Оплаты!$B$6:$B$505,Оплаты!$A$6:$A$505,"&lt;"&amp;A2340,Оплаты!$D$6:$D$505,"&lt;&gt;"))</f>
        <v/>
      </c>
      <c r="E2340" t="str">
        <f>IF(A2340="","",IF(SUMPRODUCT((Ввод!$F$12:$F$31&lt;&gt;"")*(Ввод!$F$12:$F$31&lt;=A2340)*(Ввод!$G$12:$G$31&gt;=A2340))&gt;0,1,0))</f>
        <v/>
      </c>
      <c r="G2340" t="str">
        <f t="shared" si="73"/>
        <v/>
      </c>
    </row>
    <row r="2341" spans="1:7" x14ac:dyDescent="0.3">
      <c r="A2341" s="21" t="str">
        <f>IF(A2340="","",IF(A2340+1&gt;Ввод!$B$4,"",A2340+1))</f>
        <v/>
      </c>
      <c r="B2341" s="23" t="str">
        <f>IF(A2341="","",IFERROR(INDEX(Ввод!$B$12:$B$71,MATCH(A2341,Ввод!$D$12:$D$71,1)),""))</f>
        <v/>
      </c>
      <c r="C2341" t="str">
        <f t="shared" si="72"/>
        <v/>
      </c>
      <c r="D2341" t="str">
        <f>IF(A2341="","",SUMIFS(Акты!$D$5:$D$16,Акты!$E$5:$E$16,"&lt;="&amp;A2341)-SUMIFS(Оплаты!$B$6:$B$505,Оплаты!$A$6:$A$505,"&lt;"&amp;A2341,Оплаты!$D$6:$D$505,"&lt;&gt;"))</f>
        <v/>
      </c>
      <c r="E2341" t="str">
        <f>IF(A2341="","",IF(SUMPRODUCT((Ввод!$F$12:$F$31&lt;&gt;"")*(Ввод!$F$12:$F$31&lt;=A2341)*(Ввод!$G$12:$G$31&gt;=A2341))&gt;0,1,0))</f>
        <v/>
      </c>
      <c r="G2341" t="str">
        <f t="shared" si="73"/>
        <v/>
      </c>
    </row>
    <row r="2342" spans="1:7" x14ac:dyDescent="0.3">
      <c r="A2342" s="21" t="str">
        <f>IF(A2341="","",IF(A2341+1&gt;Ввод!$B$4,"",A2341+1))</f>
        <v/>
      </c>
      <c r="B2342" s="23" t="str">
        <f>IF(A2342="","",IFERROR(INDEX(Ввод!$B$12:$B$71,MATCH(A2342,Ввод!$D$12:$D$71,1)),""))</f>
        <v/>
      </c>
      <c r="C2342" t="str">
        <f t="shared" si="72"/>
        <v/>
      </c>
      <c r="D2342" t="str">
        <f>IF(A2342="","",SUMIFS(Акты!$D$5:$D$16,Акты!$E$5:$E$16,"&lt;="&amp;A2342)-SUMIFS(Оплаты!$B$6:$B$505,Оплаты!$A$6:$A$505,"&lt;"&amp;A2342,Оплаты!$D$6:$D$505,"&lt;&gt;"))</f>
        <v/>
      </c>
      <c r="E2342" t="str">
        <f>IF(A2342="","",IF(SUMPRODUCT((Ввод!$F$12:$F$31&lt;&gt;"")*(Ввод!$F$12:$F$31&lt;=A2342)*(Ввод!$G$12:$G$31&gt;=A2342))&gt;0,1,0))</f>
        <v/>
      </c>
      <c r="G2342" t="str">
        <f t="shared" si="73"/>
        <v/>
      </c>
    </row>
    <row r="2343" spans="1:7" x14ac:dyDescent="0.3">
      <c r="A2343" s="21" t="str">
        <f>IF(A2342="","",IF(A2342+1&gt;Ввод!$B$4,"",A2342+1))</f>
        <v/>
      </c>
      <c r="B2343" s="23" t="str">
        <f>IF(A2343="","",IFERROR(INDEX(Ввод!$B$12:$B$71,MATCH(A2343,Ввод!$D$12:$D$71,1)),""))</f>
        <v/>
      </c>
      <c r="C2343" t="str">
        <f t="shared" si="72"/>
        <v/>
      </c>
      <c r="D2343" t="str">
        <f>IF(A2343="","",SUMIFS(Акты!$D$5:$D$16,Акты!$E$5:$E$16,"&lt;="&amp;A2343)-SUMIFS(Оплаты!$B$6:$B$505,Оплаты!$A$6:$A$505,"&lt;"&amp;A2343,Оплаты!$D$6:$D$505,"&lt;&gt;"))</f>
        <v/>
      </c>
      <c r="E2343" t="str">
        <f>IF(A2343="","",IF(SUMPRODUCT((Ввод!$F$12:$F$31&lt;&gt;"")*(Ввод!$F$12:$F$31&lt;=A2343)*(Ввод!$G$12:$G$31&gt;=A2343))&gt;0,1,0))</f>
        <v/>
      </c>
      <c r="G2343" t="str">
        <f t="shared" si="73"/>
        <v/>
      </c>
    </row>
    <row r="2344" spans="1:7" x14ac:dyDescent="0.3">
      <c r="A2344" s="21" t="str">
        <f>IF(A2343="","",IF(A2343+1&gt;Ввод!$B$4,"",A2343+1))</f>
        <v/>
      </c>
      <c r="B2344" s="23" t="str">
        <f>IF(A2344="","",IFERROR(INDEX(Ввод!$B$12:$B$71,MATCH(A2344,Ввод!$D$12:$D$71,1)),""))</f>
        <v/>
      </c>
      <c r="C2344" t="str">
        <f t="shared" si="72"/>
        <v/>
      </c>
      <c r="D2344" t="str">
        <f>IF(A2344="","",SUMIFS(Акты!$D$5:$D$16,Акты!$E$5:$E$16,"&lt;="&amp;A2344)-SUMIFS(Оплаты!$B$6:$B$505,Оплаты!$A$6:$A$505,"&lt;"&amp;A2344,Оплаты!$D$6:$D$505,"&lt;&gt;"))</f>
        <v/>
      </c>
      <c r="E2344" t="str">
        <f>IF(A2344="","",IF(SUMPRODUCT((Ввод!$F$12:$F$31&lt;&gt;"")*(Ввод!$F$12:$F$31&lt;=A2344)*(Ввод!$G$12:$G$31&gt;=A2344))&gt;0,1,0))</f>
        <v/>
      </c>
      <c r="G2344" t="str">
        <f t="shared" si="73"/>
        <v/>
      </c>
    </row>
    <row r="2345" spans="1:7" x14ac:dyDescent="0.3">
      <c r="A2345" s="21" t="str">
        <f>IF(A2344="","",IF(A2344+1&gt;Ввод!$B$4,"",A2344+1))</f>
        <v/>
      </c>
      <c r="B2345" s="23" t="str">
        <f>IF(A2345="","",IFERROR(INDEX(Ввод!$B$12:$B$71,MATCH(A2345,Ввод!$D$12:$D$71,1)),""))</f>
        <v/>
      </c>
      <c r="C2345" t="str">
        <f t="shared" si="72"/>
        <v/>
      </c>
      <c r="D2345" t="str">
        <f>IF(A2345="","",SUMIFS(Акты!$D$5:$D$16,Акты!$E$5:$E$16,"&lt;="&amp;A2345)-SUMIFS(Оплаты!$B$6:$B$505,Оплаты!$A$6:$A$505,"&lt;"&amp;A2345,Оплаты!$D$6:$D$505,"&lt;&gt;"))</f>
        <v/>
      </c>
      <c r="E2345" t="str">
        <f>IF(A2345="","",IF(SUMPRODUCT((Ввод!$F$12:$F$31&lt;&gt;"")*(Ввод!$F$12:$F$31&lt;=A2345)*(Ввод!$G$12:$G$31&gt;=A2345))&gt;0,1,0))</f>
        <v/>
      </c>
      <c r="G2345" t="str">
        <f t="shared" si="73"/>
        <v/>
      </c>
    </row>
    <row r="2346" spans="1:7" x14ac:dyDescent="0.3">
      <c r="A2346" s="21" t="str">
        <f>IF(A2345="","",IF(A2345+1&gt;Ввод!$B$4,"",A2345+1))</f>
        <v/>
      </c>
      <c r="B2346" s="23" t="str">
        <f>IF(A2346="","",IFERROR(INDEX(Ввод!$B$12:$B$71,MATCH(A2346,Ввод!$D$12:$D$71,1)),""))</f>
        <v/>
      </c>
      <c r="C2346" t="str">
        <f t="shared" si="72"/>
        <v/>
      </c>
      <c r="D2346" t="str">
        <f>IF(A2346="","",SUMIFS(Акты!$D$5:$D$16,Акты!$E$5:$E$16,"&lt;="&amp;A2346)-SUMIFS(Оплаты!$B$6:$B$505,Оплаты!$A$6:$A$505,"&lt;"&amp;A2346,Оплаты!$D$6:$D$505,"&lt;&gt;"))</f>
        <v/>
      </c>
      <c r="E2346" t="str">
        <f>IF(A2346="","",IF(SUMPRODUCT((Ввод!$F$12:$F$31&lt;&gt;"")*(Ввод!$F$12:$F$31&lt;=A2346)*(Ввод!$G$12:$G$31&gt;=A2346))&gt;0,1,0))</f>
        <v/>
      </c>
      <c r="G2346" t="str">
        <f t="shared" si="73"/>
        <v/>
      </c>
    </row>
    <row r="2347" spans="1:7" x14ac:dyDescent="0.3">
      <c r="A2347" s="21" t="str">
        <f>IF(A2346="","",IF(A2346+1&gt;Ввод!$B$4,"",A2346+1))</f>
        <v/>
      </c>
      <c r="B2347" s="23" t="str">
        <f>IF(A2347="","",IFERROR(INDEX(Ввод!$B$12:$B$71,MATCH(A2347,Ввод!$D$12:$D$71,1)),""))</f>
        <v/>
      </c>
      <c r="C2347" t="str">
        <f t="shared" si="72"/>
        <v/>
      </c>
      <c r="D2347" t="str">
        <f>IF(A2347="","",SUMIFS(Акты!$D$5:$D$16,Акты!$E$5:$E$16,"&lt;="&amp;A2347)-SUMIFS(Оплаты!$B$6:$B$505,Оплаты!$A$6:$A$505,"&lt;"&amp;A2347,Оплаты!$D$6:$D$505,"&lt;&gt;"))</f>
        <v/>
      </c>
      <c r="E2347" t="str">
        <f>IF(A2347="","",IF(SUMPRODUCT((Ввод!$F$12:$F$31&lt;&gt;"")*(Ввод!$F$12:$F$31&lt;=A2347)*(Ввод!$G$12:$G$31&gt;=A2347))&gt;0,1,0))</f>
        <v/>
      </c>
      <c r="G2347" t="str">
        <f t="shared" si="73"/>
        <v/>
      </c>
    </row>
    <row r="2348" spans="1:7" x14ac:dyDescent="0.3">
      <c r="A2348" s="21" t="str">
        <f>IF(A2347="","",IF(A2347+1&gt;Ввод!$B$4,"",A2347+1))</f>
        <v/>
      </c>
      <c r="B2348" s="23" t="str">
        <f>IF(A2348="","",IFERROR(INDEX(Ввод!$B$12:$B$71,MATCH(A2348,Ввод!$D$12:$D$71,1)),""))</f>
        <v/>
      </c>
      <c r="C2348" t="str">
        <f t="shared" si="72"/>
        <v/>
      </c>
      <c r="D2348" t="str">
        <f>IF(A2348="","",SUMIFS(Акты!$D$5:$D$16,Акты!$E$5:$E$16,"&lt;="&amp;A2348)-SUMIFS(Оплаты!$B$6:$B$505,Оплаты!$A$6:$A$505,"&lt;"&amp;A2348,Оплаты!$D$6:$D$505,"&lt;&gt;"))</f>
        <v/>
      </c>
      <c r="E2348" t="str">
        <f>IF(A2348="","",IF(SUMPRODUCT((Ввод!$F$12:$F$31&lt;&gt;"")*(Ввод!$F$12:$F$31&lt;=A2348)*(Ввод!$G$12:$G$31&gt;=A2348))&gt;0,1,0))</f>
        <v/>
      </c>
      <c r="G2348" t="str">
        <f t="shared" si="73"/>
        <v/>
      </c>
    </row>
    <row r="2349" spans="1:7" x14ac:dyDescent="0.3">
      <c r="A2349" s="21" t="str">
        <f>IF(A2348="","",IF(A2348+1&gt;Ввод!$B$4,"",A2348+1))</f>
        <v/>
      </c>
      <c r="B2349" s="23" t="str">
        <f>IF(A2349="","",IFERROR(INDEX(Ввод!$B$12:$B$71,MATCH(A2349,Ввод!$D$12:$D$71,1)),""))</f>
        <v/>
      </c>
      <c r="C2349" t="str">
        <f t="shared" si="72"/>
        <v/>
      </c>
      <c r="D2349" t="str">
        <f>IF(A2349="","",SUMIFS(Акты!$D$5:$D$16,Акты!$E$5:$E$16,"&lt;="&amp;A2349)-SUMIFS(Оплаты!$B$6:$B$505,Оплаты!$A$6:$A$505,"&lt;"&amp;A2349,Оплаты!$D$6:$D$505,"&lt;&gt;"))</f>
        <v/>
      </c>
      <c r="E2349" t="str">
        <f>IF(A2349="","",IF(SUMPRODUCT((Ввод!$F$12:$F$31&lt;&gt;"")*(Ввод!$F$12:$F$31&lt;=A2349)*(Ввод!$G$12:$G$31&gt;=A2349))&gt;0,1,0))</f>
        <v/>
      </c>
      <c r="G2349" t="str">
        <f t="shared" si="73"/>
        <v/>
      </c>
    </row>
    <row r="2350" spans="1:7" x14ac:dyDescent="0.3">
      <c r="A2350" s="21" t="str">
        <f>IF(A2349="","",IF(A2349+1&gt;Ввод!$B$4,"",A2349+1))</f>
        <v/>
      </c>
      <c r="B2350" s="23" t="str">
        <f>IF(A2350="","",IFERROR(INDEX(Ввод!$B$12:$B$71,MATCH(A2350,Ввод!$D$12:$D$71,1)),""))</f>
        <v/>
      </c>
      <c r="C2350" t="str">
        <f t="shared" si="72"/>
        <v/>
      </c>
      <c r="D2350" t="str">
        <f>IF(A2350="","",SUMIFS(Акты!$D$5:$D$16,Акты!$E$5:$E$16,"&lt;="&amp;A2350)-SUMIFS(Оплаты!$B$6:$B$505,Оплаты!$A$6:$A$505,"&lt;"&amp;A2350,Оплаты!$D$6:$D$505,"&lt;&gt;"))</f>
        <v/>
      </c>
      <c r="E2350" t="str">
        <f>IF(A2350="","",IF(SUMPRODUCT((Ввод!$F$12:$F$31&lt;&gt;"")*(Ввод!$F$12:$F$31&lt;=A2350)*(Ввод!$G$12:$G$31&gt;=A2350))&gt;0,1,0))</f>
        <v/>
      </c>
      <c r="G2350" t="str">
        <f t="shared" si="73"/>
        <v/>
      </c>
    </row>
    <row r="2351" spans="1:7" x14ac:dyDescent="0.3">
      <c r="A2351" s="21" t="str">
        <f>IF(A2350="","",IF(A2350+1&gt;Ввод!$B$4,"",A2350+1))</f>
        <v/>
      </c>
      <c r="B2351" s="23" t="str">
        <f>IF(A2351="","",IFERROR(INDEX(Ввод!$B$12:$B$71,MATCH(A2351,Ввод!$D$12:$D$71,1)),""))</f>
        <v/>
      </c>
      <c r="C2351" t="str">
        <f t="shared" si="72"/>
        <v/>
      </c>
      <c r="D2351" t="str">
        <f>IF(A2351="","",SUMIFS(Акты!$D$5:$D$16,Акты!$E$5:$E$16,"&lt;="&amp;A2351)-SUMIFS(Оплаты!$B$6:$B$505,Оплаты!$A$6:$A$505,"&lt;"&amp;A2351,Оплаты!$D$6:$D$505,"&lt;&gt;"))</f>
        <v/>
      </c>
      <c r="E2351" t="str">
        <f>IF(A2351="","",IF(SUMPRODUCT((Ввод!$F$12:$F$31&lt;&gt;"")*(Ввод!$F$12:$F$31&lt;=A2351)*(Ввод!$G$12:$G$31&gt;=A2351))&gt;0,1,0))</f>
        <v/>
      </c>
      <c r="G2351" t="str">
        <f t="shared" si="73"/>
        <v/>
      </c>
    </row>
    <row r="2352" spans="1:7" x14ac:dyDescent="0.3">
      <c r="A2352" s="21" t="str">
        <f>IF(A2351="","",IF(A2351+1&gt;Ввод!$B$4,"",A2351+1))</f>
        <v/>
      </c>
      <c r="B2352" s="23" t="str">
        <f>IF(A2352="","",IFERROR(INDEX(Ввод!$B$12:$B$71,MATCH(A2352,Ввод!$D$12:$D$71,1)),""))</f>
        <v/>
      </c>
      <c r="C2352" t="str">
        <f t="shared" si="72"/>
        <v/>
      </c>
      <c r="D2352" t="str">
        <f>IF(A2352="","",SUMIFS(Акты!$D$5:$D$16,Акты!$E$5:$E$16,"&lt;="&amp;A2352)-SUMIFS(Оплаты!$B$6:$B$505,Оплаты!$A$6:$A$505,"&lt;"&amp;A2352,Оплаты!$D$6:$D$505,"&lt;&gt;"))</f>
        <v/>
      </c>
      <c r="E2352" t="str">
        <f>IF(A2352="","",IF(SUMPRODUCT((Ввод!$F$12:$F$31&lt;&gt;"")*(Ввод!$F$12:$F$31&lt;=A2352)*(Ввод!$G$12:$G$31&gt;=A2352))&gt;0,1,0))</f>
        <v/>
      </c>
      <c r="G2352" t="str">
        <f t="shared" si="73"/>
        <v/>
      </c>
    </row>
    <row r="2353" spans="1:7" x14ac:dyDescent="0.3">
      <c r="A2353" s="21" t="str">
        <f>IF(A2352="","",IF(A2352+1&gt;Ввод!$B$4,"",A2352+1))</f>
        <v/>
      </c>
      <c r="B2353" s="23" t="str">
        <f>IF(A2353="","",IFERROR(INDEX(Ввод!$B$12:$B$71,MATCH(A2353,Ввод!$D$12:$D$71,1)),""))</f>
        <v/>
      </c>
      <c r="C2353" t="str">
        <f t="shared" si="72"/>
        <v/>
      </c>
      <c r="D2353" t="str">
        <f>IF(A2353="","",SUMIFS(Акты!$D$5:$D$16,Акты!$E$5:$E$16,"&lt;="&amp;A2353)-SUMIFS(Оплаты!$B$6:$B$505,Оплаты!$A$6:$A$505,"&lt;"&amp;A2353,Оплаты!$D$6:$D$505,"&lt;&gt;"))</f>
        <v/>
      </c>
      <c r="E2353" t="str">
        <f>IF(A2353="","",IF(SUMPRODUCT((Ввод!$F$12:$F$31&lt;&gt;"")*(Ввод!$F$12:$F$31&lt;=A2353)*(Ввод!$G$12:$G$31&gt;=A2353))&gt;0,1,0))</f>
        <v/>
      </c>
      <c r="G2353" t="str">
        <f t="shared" si="73"/>
        <v/>
      </c>
    </row>
    <row r="2354" spans="1:7" x14ac:dyDescent="0.3">
      <c r="A2354" s="21" t="str">
        <f>IF(A2353="","",IF(A2353+1&gt;Ввод!$B$4,"",A2353+1))</f>
        <v/>
      </c>
      <c r="B2354" s="23" t="str">
        <f>IF(A2354="","",IFERROR(INDEX(Ввод!$B$12:$B$71,MATCH(A2354,Ввод!$D$12:$D$71,1)),""))</f>
        <v/>
      </c>
      <c r="C2354" t="str">
        <f t="shared" si="72"/>
        <v/>
      </c>
      <c r="D2354" t="str">
        <f>IF(A2354="","",SUMIFS(Акты!$D$5:$D$16,Акты!$E$5:$E$16,"&lt;="&amp;A2354)-SUMIFS(Оплаты!$B$6:$B$505,Оплаты!$A$6:$A$505,"&lt;"&amp;A2354,Оплаты!$D$6:$D$505,"&lt;&gt;"))</f>
        <v/>
      </c>
      <c r="E2354" t="str">
        <f>IF(A2354="","",IF(SUMPRODUCT((Ввод!$F$12:$F$31&lt;&gt;"")*(Ввод!$F$12:$F$31&lt;=A2354)*(Ввод!$G$12:$G$31&gt;=A2354))&gt;0,1,0))</f>
        <v/>
      </c>
      <c r="G2354" t="str">
        <f t="shared" si="73"/>
        <v/>
      </c>
    </row>
    <row r="2355" spans="1:7" x14ac:dyDescent="0.3">
      <c r="A2355" s="21" t="str">
        <f>IF(A2354="","",IF(A2354+1&gt;Ввод!$B$4,"",A2354+1))</f>
        <v/>
      </c>
      <c r="B2355" s="23" t="str">
        <f>IF(A2355="","",IFERROR(INDEX(Ввод!$B$12:$B$71,MATCH(A2355,Ввод!$D$12:$D$71,1)),""))</f>
        <v/>
      </c>
      <c r="C2355" t="str">
        <f t="shared" si="72"/>
        <v/>
      </c>
      <c r="D2355" t="str">
        <f>IF(A2355="","",SUMIFS(Акты!$D$5:$D$16,Акты!$E$5:$E$16,"&lt;="&amp;A2355)-SUMIFS(Оплаты!$B$6:$B$505,Оплаты!$A$6:$A$505,"&lt;"&amp;A2355,Оплаты!$D$6:$D$505,"&lt;&gt;"))</f>
        <v/>
      </c>
      <c r="E2355" t="str">
        <f>IF(A2355="","",IF(SUMPRODUCT((Ввод!$F$12:$F$31&lt;&gt;"")*(Ввод!$F$12:$F$31&lt;=A2355)*(Ввод!$G$12:$G$31&gt;=A2355))&gt;0,1,0))</f>
        <v/>
      </c>
      <c r="G2355" t="str">
        <f t="shared" si="73"/>
        <v/>
      </c>
    </row>
    <row r="2356" spans="1:7" x14ac:dyDescent="0.3">
      <c r="A2356" s="21" t="str">
        <f>IF(A2355="","",IF(A2355+1&gt;Ввод!$B$4,"",A2355+1))</f>
        <v/>
      </c>
      <c r="B2356" s="23" t="str">
        <f>IF(A2356="","",IFERROR(INDEX(Ввод!$B$12:$B$71,MATCH(A2356,Ввод!$D$12:$D$71,1)),""))</f>
        <v/>
      </c>
      <c r="C2356" t="str">
        <f t="shared" si="72"/>
        <v/>
      </c>
      <c r="D2356" t="str">
        <f>IF(A2356="","",SUMIFS(Акты!$D$5:$D$16,Акты!$E$5:$E$16,"&lt;="&amp;A2356)-SUMIFS(Оплаты!$B$6:$B$505,Оплаты!$A$6:$A$505,"&lt;"&amp;A2356,Оплаты!$D$6:$D$505,"&lt;&gt;"))</f>
        <v/>
      </c>
      <c r="E2356" t="str">
        <f>IF(A2356="","",IF(SUMPRODUCT((Ввод!$F$12:$F$31&lt;&gt;"")*(Ввод!$F$12:$F$31&lt;=A2356)*(Ввод!$G$12:$G$31&gt;=A2356))&gt;0,1,0))</f>
        <v/>
      </c>
      <c r="G2356" t="str">
        <f t="shared" si="73"/>
        <v/>
      </c>
    </row>
    <row r="2357" spans="1:7" x14ac:dyDescent="0.3">
      <c r="A2357" s="21" t="str">
        <f>IF(A2356="","",IF(A2356+1&gt;Ввод!$B$4,"",A2356+1))</f>
        <v/>
      </c>
      <c r="B2357" s="23" t="str">
        <f>IF(A2357="","",IFERROR(INDEX(Ввод!$B$12:$B$71,MATCH(A2357,Ввод!$D$12:$D$71,1)),""))</f>
        <v/>
      </c>
      <c r="C2357" t="str">
        <f t="shared" si="72"/>
        <v/>
      </c>
      <c r="D2357" t="str">
        <f>IF(A2357="","",SUMIFS(Акты!$D$5:$D$16,Акты!$E$5:$E$16,"&lt;="&amp;A2357)-SUMIFS(Оплаты!$B$6:$B$505,Оплаты!$A$6:$A$505,"&lt;"&amp;A2357,Оплаты!$D$6:$D$505,"&lt;&gt;"))</f>
        <v/>
      </c>
      <c r="E2357" t="str">
        <f>IF(A2357="","",IF(SUMPRODUCT((Ввод!$F$12:$F$31&lt;&gt;"")*(Ввод!$F$12:$F$31&lt;=A2357)*(Ввод!$G$12:$G$31&gt;=A2357))&gt;0,1,0))</f>
        <v/>
      </c>
      <c r="G2357" t="str">
        <f t="shared" si="73"/>
        <v/>
      </c>
    </row>
    <row r="2358" spans="1:7" x14ac:dyDescent="0.3">
      <c r="A2358" s="21" t="str">
        <f>IF(A2357="","",IF(A2357+1&gt;Ввод!$B$4,"",A2357+1))</f>
        <v/>
      </c>
      <c r="B2358" s="23" t="str">
        <f>IF(A2358="","",IFERROR(INDEX(Ввод!$B$12:$B$71,MATCH(A2358,Ввод!$D$12:$D$71,1)),""))</f>
        <v/>
      </c>
      <c r="C2358" t="str">
        <f t="shared" si="72"/>
        <v/>
      </c>
      <c r="D2358" t="str">
        <f>IF(A2358="","",SUMIFS(Акты!$D$5:$D$16,Акты!$E$5:$E$16,"&lt;="&amp;A2358)-SUMIFS(Оплаты!$B$6:$B$505,Оплаты!$A$6:$A$505,"&lt;"&amp;A2358,Оплаты!$D$6:$D$505,"&lt;&gt;"))</f>
        <v/>
      </c>
      <c r="E2358" t="str">
        <f>IF(A2358="","",IF(SUMPRODUCT((Ввод!$F$12:$F$31&lt;&gt;"")*(Ввод!$F$12:$F$31&lt;=A2358)*(Ввод!$G$12:$G$31&gt;=A2358))&gt;0,1,0))</f>
        <v/>
      </c>
      <c r="G2358" t="str">
        <f t="shared" si="73"/>
        <v/>
      </c>
    </row>
    <row r="2359" spans="1:7" x14ac:dyDescent="0.3">
      <c r="A2359" s="21" t="str">
        <f>IF(A2358="","",IF(A2358+1&gt;Ввод!$B$4,"",A2358+1))</f>
        <v/>
      </c>
      <c r="B2359" s="23" t="str">
        <f>IF(A2359="","",IFERROR(INDEX(Ввод!$B$12:$B$71,MATCH(A2359,Ввод!$D$12:$D$71,1)),""))</f>
        <v/>
      </c>
      <c r="C2359" t="str">
        <f t="shared" si="72"/>
        <v/>
      </c>
      <c r="D2359" t="str">
        <f>IF(A2359="","",SUMIFS(Акты!$D$5:$D$16,Акты!$E$5:$E$16,"&lt;="&amp;A2359)-SUMIFS(Оплаты!$B$6:$B$505,Оплаты!$A$6:$A$505,"&lt;"&amp;A2359,Оплаты!$D$6:$D$505,"&lt;&gt;"))</f>
        <v/>
      </c>
      <c r="E2359" t="str">
        <f>IF(A2359="","",IF(SUMPRODUCT((Ввод!$F$12:$F$31&lt;&gt;"")*(Ввод!$F$12:$F$31&lt;=A2359)*(Ввод!$G$12:$G$31&gt;=A2359))&gt;0,1,0))</f>
        <v/>
      </c>
      <c r="G2359" t="str">
        <f t="shared" si="73"/>
        <v/>
      </c>
    </row>
    <row r="2360" spans="1:7" x14ac:dyDescent="0.3">
      <c r="A2360" s="21" t="str">
        <f>IF(A2359="","",IF(A2359+1&gt;Ввод!$B$4,"",A2359+1))</f>
        <v/>
      </c>
      <c r="B2360" s="23" t="str">
        <f>IF(A2360="","",IFERROR(INDEX(Ввод!$B$12:$B$71,MATCH(A2360,Ввод!$D$12:$D$71,1)),""))</f>
        <v/>
      </c>
      <c r="C2360" t="str">
        <f t="shared" si="72"/>
        <v/>
      </c>
      <c r="D2360" t="str">
        <f>IF(A2360="","",SUMIFS(Акты!$D$5:$D$16,Акты!$E$5:$E$16,"&lt;="&amp;A2360)-SUMIFS(Оплаты!$B$6:$B$505,Оплаты!$A$6:$A$505,"&lt;"&amp;A2360,Оплаты!$D$6:$D$505,"&lt;&gt;"))</f>
        <v/>
      </c>
      <c r="E2360" t="str">
        <f>IF(A2360="","",IF(SUMPRODUCT((Ввод!$F$12:$F$31&lt;&gt;"")*(Ввод!$F$12:$F$31&lt;=A2360)*(Ввод!$G$12:$G$31&gt;=A2360))&gt;0,1,0))</f>
        <v/>
      </c>
      <c r="G2360" t="str">
        <f t="shared" si="73"/>
        <v/>
      </c>
    </row>
    <row r="2361" spans="1:7" x14ac:dyDescent="0.3">
      <c r="A2361" s="21" t="str">
        <f>IF(A2360="","",IF(A2360+1&gt;Ввод!$B$4,"",A2360+1))</f>
        <v/>
      </c>
      <c r="B2361" s="23" t="str">
        <f>IF(A2361="","",IFERROR(INDEX(Ввод!$B$12:$B$71,MATCH(A2361,Ввод!$D$12:$D$71,1)),""))</f>
        <v/>
      </c>
      <c r="C2361" t="str">
        <f t="shared" si="72"/>
        <v/>
      </c>
      <c r="D2361" t="str">
        <f>IF(A2361="","",SUMIFS(Акты!$D$5:$D$16,Акты!$E$5:$E$16,"&lt;="&amp;A2361)-SUMIFS(Оплаты!$B$6:$B$505,Оплаты!$A$6:$A$505,"&lt;"&amp;A2361,Оплаты!$D$6:$D$505,"&lt;&gt;"))</f>
        <v/>
      </c>
      <c r="E2361" t="str">
        <f>IF(A2361="","",IF(SUMPRODUCT((Ввод!$F$12:$F$31&lt;&gt;"")*(Ввод!$F$12:$F$31&lt;=A2361)*(Ввод!$G$12:$G$31&gt;=A2361))&gt;0,1,0))</f>
        <v/>
      </c>
      <c r="G2361" t="str">
        <f t="shared" si="73"/>
        <v/>
      </c>
    </row>
    <row r="2362" spans="1:7" x14ac:dyDescent="0.3">
      <c r="A2362" s="21" t="str">
        <f>IF(A2361="","",IF(A2361+1&gt;Ввод!$B$4,"",A2361+1))</f>
        <v/>
      </c>
      <c r="B2362" s="23" t="str">
        <f>IF(A2362="","",IFERROR(INDEX(Ввод!$B$12:$B$71,MATCH(A2362,Ввод!$D$12:$D$71,1)),""))</f>
        <v/>
      </c>
      <c r="C2362" t="str">
        <f t="shared" si="72"/>
        <v/>
      </c>
      <c r="D2362" t="str">
        <f>IF(A2362="","",SUMIFS(Акты!$D$5:$D$16,Акты!$E$5:$E$16,"&lt;="&amp;A2362)-SUMIFS(Оплаты!$B$6:$B$505,Оплаты!$A$6:$A$505,"&lt;"&amp;A2362,Оплаты!$D$6:$D$505,"&lt;&gt;"))</f>
        <v/>
      </c>
      <c r="E2362" t="str">
        <f>IF(A2362="","",IF(SUMPRODUCT((Ввод!$F$12:$F$31&lt;&gt;"")*(Ввод!$F$12:$F$31&lt;=A2362)*(Ввод!$G$12:$G$31&gt;=A2362))&gt;0,1,0))</f>
        <v/>
      </c>
      <c r="G2362" t="str">
        <f t="shared" si="73"/>
        <v/>
      </c>
    </row>
    <row r="2363" spans="1:7" x14ac:dyDescent="0.3">
      <c r="A2363" s="21" t="str">
        <f>IF(A2362="","",IF(A2362+1&gt;Ввод!$B$4,"",A2362+1))</f>
        <v/>
      </c>
      <c r="B2363" s="23" t="str">
        <f>IF(A2363="","",IFERROR(INDEX(Ввод!$B$12:$B$71,MATCH(A2363,Ввод!$D$12:$D$71,1)),""))</f>
        <v/>
      </c>
      <c r="C2363" t="str">
        <f t="shared" si="72"/>
        <v/>
      </c>
      <c r="D2363" t="str">
        <f>IF(A2363="","",SUMIFS(Акты!$D$5:$D$16,Акты!$E$5:$E$16,"&lt;="&amp;A2363)-SUMIFS(Оплаты!$B$6:$B$505,Оплаты!$A$6:$A$505,"&lt;"&amp;A2363,Оплаты!$D$6:$D$505,"&lt;&gt;"))</f>
        <v/>
      </c>
      <c r="E2363" t="str">
        <f>IF(A2363="","",IF(SUMPRODUCT((Ввод!$F$12:$F$31&lt;&gt;"")*(Ввод!$F$12:$F$31&lt;=A2363)*(Ввод!$G$12:$G$31&gt;=A2363))&gt;0,1,0))</f>
        <v/>
      </c>
      <c r="G2363" t="str">
        <f t="shared" si="73"/>
        <v/>
      </c>
    </row>
    <row r="2364" spans="1:7" x14ac:dyDescent="0.3">
      <c r="A2364" s="21" t="str">
        <f>IF(A2363="","",IF(A2363+1&gt;Ввод!$B$4,"",A2363+1))</f>
        <v/>
      </c>
      <c r="B2364" s="23" t="str">
        <f>IF(A2364="","",IFERROR(INDEX(Ввод!$B$12:$B$71,MATCH(A2364,Ввод!$D$12:$D$71,1)),""))</f>
        <v/>
      </c>
      <c r="C2364" t="str">
        <f t="shared" si="72"/>
        <v/>
      </c>
      <c r="D2364" t="str">
        <f>IF(A2364="","",SUMIFS(Акты!$D$5:$D$16,Акты!$E$5:$E$16,"&lt;="&amp;A2364)-SUMIFS(Оплаты!$B$6:$B$505,Оплаты!$A$6:$A$505,"&lt;"&amp;A2364,Оплаты!$D$6:$D$505,"&lt;&gt;"))</f>
        <v/>
      </c>
      <c r="E2364" t="str">
        <f>IF(A2364="","",IF(SUMPRODUCT((Ввод!$F$12:$F$31&lt;&gt;"")*(Ввод!$F$12:$F$31&lt;=A2364)*(Ввод!$G$12:$G$31&gt;=A2364))&gt;0,1,0))</f>
        <v/>
      </c>
      <c r="G2364" t="str">
        <f t="shared" si="73"/>
        <v/>
      </c>
    </row>
    <row r="2365" spans="1:7" x14ac:dyDescent="0.3">
      <c r="A2365" s="21" t="str">
        <f>IF(A2364="","",IF(A2364+1&gt;Ввод!$B$4,"",A2364+1))</f>
        <v/>
      </c>
      <c r="B2365" s="23" t="str">
        <f>IF(A2365="","",IFERROR(INDEX(Ввод!$B$12:$B$71,MATCH(A2365,Ввод!$D$12:$D$71,1)),""))</f>
        <v/>
      </c>
      <c r="C2365" t="str">
        <f t="shared" si="72"/>
        <v/>
      </c>
      <c r="D2365" t="str">
        <f>IF(A2365="","",SUMIFS(Акты!$D$5:$D$16,Акты!$E$5:$E$16,"&lt;="&amp;A2365)-SUMIFS(Оплаты!$B$6:$B$505,Оплаты!$A$6:$A$505,"&lt;"&amp;A2365,Оплаты!$D$6:$D$505,"&lt;&gt;"))</f>
        <v/>
      </c>
      <c r="E2365" t="str">
        <f>IF(A2365="","",IF(SUMPRODUCT((Ввод!$F$12:$F$31&lt;&gt;"")*(Ввод!$F$12:$F$31&lt;=A2365)*(Ввод!$G$12:$G$31&gt;=A2365))&gt;0,1,0))</f>
        <v/>
      </c>
      <c r="G2365" t="str">
        <f t="shared" si="73"/>
        <v/>
      </c>
    </row>
    <row r="2366" spans="1:7" x14ac:dyDescent="0.3">
      <c r="A2366" s="21" t="str">
        <f>IF(A2365="","",IF(A2365+1&gt;Ввод!$B$4,"",A2365+1))</f>
        <v/>
      </c>
      <c r="B2366" s="23" t="str">
        <f>IF(A2366="","",IFERROR(INDEX(Ввод!$B$12:$B$71,MATCH(A2366,Ввод!$D$12:$D$71,1)),""))</f>
        <v/>
      </c>
      <c r="C2366" t="str">
        <f t="shared" si="72"/>
        <v/>
      </c>
      <c r="D2366" t="str">
        <f>IF(A2366="","",SUMIFS(Акты!$D$5:$D$16,Акты!$E$5:$E$16,"&lt;="&amp;A2366)-SUMIFS(Оплаты!$B$6:$B$505,Оплаты!$A$6:$A$505,"&lt;"&amp;A2366,Оплаты!$D$6:$D$505,"&lt;&gt;"))</f>
        <v/>
      </c>
      <c r="E2366" t="str">
        <f>IF(A2366="","",IF(SUMPRODUCT((Ввод!$F$12:$F$31&lt;&gt;"")*(Ввод!$F$12:$F$31&lt;=A2366)*(Ввод!$G$12:$G$31&gt;=A2366))&gt;0,1,0))</f>
        <v/>
      </c>
      <c r="G2366" t="str">
        <f t="shared" si="73"/>
        <v/>
      </c>
    </row>
    <row r="2367" spans="1:7" x14ac:dyDescent="0.3">
      <c r="A2367" s="21" t="str">
        <f>IF(A2366="","",IF(A2366+1&gt;Ввод!$B$4,"",A2366+1))</f>
        <v/>
      </c>
      <c r="B2367" s="23" t="str">
        <f>IF(A2367="","",IFERROR(INDEX(Ввод!$B$12:$B$71,MATCH(A2367,Ввод!$D$12:$D$71,1)),""))</f>
        <v/>
      </c>
      <c r="C2367" t="str">
        <f t="shared" si="72"/>
        <v/>
      </c>
      <c r="D2367" t="str">
        <f>IF(A2367="","",SUMIFS(Акты!$D$5:$D$16,Акты!$E$5:$E$16,"&lt;="&amp;A2367)-SUMIFS(Оплаты!$B$6:$B$505,Оплаты!$A$6:$A$505,"&lt;"&amp;A2367,Оплаты!$D$6:$D$505,"&lt;&gt;"))</f>
        <v/>
      </c>
      <c r="E2367" t="str">
        <f>IF(A2367="","",IF(SUMPRODUCT((Ввод!$F$12:$F$31&lt;&gt;"")*(Ввод!$F$12:$F$31&lt;=A2367)*(Ввод!$G$12:$G$31&gt;=A2367))&gt;0,1,0))</f>
        <v/>
      </c>
      <c r="G2367" t="str">
        <f t="shared" si="73"/>
        <v/>
      </c>
    </row>
    <row r="2368" spans="1:7" x14ac:dyDescent="0.3">
      <c r="A2368" s="21" t="str">
        <f>IF(A2367="","",IF(A2367+1&gt;Ввод!$B$4,"",A2367+1))</f>
        <v/>
      </c>
      <c r="B2368" s="23" t="str">
        <f>IF(A2368="","",IFERROR(INDEX(Ввод!$B$12:$B$71,MATCH(A2368,Ввод!$D$12:$D$71,1)),""))</f>
        <v/>
      </c>
      <c r="C2368" t="str">
        <f t="shared" si="72"/>
        <v/>
      </c>
      <c r="D2368" t="str">
        <f>IF(A2368="","",SUMIFS(Акты!$D$5:$D$16,Акты!$E$5:$E$16,"&lt;="&amp;A2368)-SUMIFS(Оплаты!$B$6:$B$505,Оплаты!$A$6:$A$505,"&lt;"&amp;A2368,Оплаты!$D$6:$D$505,"&lt;&gt;"))</f>
        <v/>
      </c>
      <c r="E2368" t="str">
        <f>IF(A2368="","",IF(SUMPRODUCT((Ввод!$F$12:$F$31&lt;&gt;"")*(Ввод!$F$12:$F$31&lt;=A2368)*(Ввод!$G$12:$G$31&gt;=A2368))&gt;0,1,0))</f>
        <v/>
      </c>
      <c r="G2368" t="str">
        <f t="shared" si="73"/>
        <v/>
      </c>
    </row>
    <row r="2369" spans="1:7" x14ac:dyDescent="0.3">
      <c r="A2369" s="21" t="str">
        <f>IF(A2368="","",IF(A2368+1&gt;Ввод!$B$4,"",A2368+1))</f>
        <v/>
      </c>
      <c r="B2369" s="23" t="str">
        <f>IF(A2369="","",IFERROR(INDEX(Ввод!$B$12:$B$71,MATCH(A2369,Ввод!$D$12:$D$71,1)),""))</f>
        <v/>
      </c>
      <c r="C2369" t="str">
        <f t="shared" si="72"/>
        <v/>
      </c>
      <c r="D2369" t="str">
        <f>IF(A2369="","",SUMIFS(Акты!$D$5:$D$16,Акты!$E$5:$E$16,"&lt;="&amp;A2369)-SUMIFS(Оплаты!$B$6:$B$505,Оплаты!$A$6:$A$505,"&lt;"&amp;A2369,Оплаты!$D$6:$D$505,"&lt;&gt;"))</f>
        <v/>
      </c>
      <c r="E2369" t="str">
        <f>IF(A2369="","",IF(SUMPRODUCT((Ввод!$F$12:$F$31&lt;&gt;"")*(Ввод!$F$12:$F$31&lt;=A2369)*(Ввод!$G$12:$G$31&gt;=A2369))&gt;0,1,0))</f>
        <v/>
      </c>
      <c r="G2369" t="str">
        <f t="shared" si="73"/>
        <v/>
      </c>
    </row>
    <row r="2370" spans="1:7" x14ac:dyDescent="0.3">
      <c r="A2370" s="21" t="str">
        <f>IF(A2369="","",IF(A2369+1&gt;Ввод!$B$4,"",A2369+1))</f>
        <v/>
      </c>
      <c r="B2370" s="23" t="str">
        <f>IF(A2370="","",IFERROR(INDEX(Ввод!$B$12:$B$71,MATCH(A2370,Ввод!$D$12:$D$71,1)),""))</f>
        <v/>
      </c>
      <c r="C2370" t="str">
        <f t="shared" ref="C2370:C2433" si="74">IF(A2370="","",DATE(YEAR(A2370),12,31)-DATE(YEAR(A2370),1,1)+1)</f>
        <v/>
      </c>
      <c r="D2370" t="str">
        <f>IF(A2370="","",SUMIFS(Акты!$D$5:$D$16,Акты!$E$5:$E$16,"&lt;="&amp;A2370)-SUMIFS(Оплаты!$B$6:$B$505,Оплаты!$A$6:$A$505,"&lt;"&amp;A2370,Оплаты!$D$6:$D$505,"&lt;&gt;"))</f>
        <v/>
      </c>
      <c r="E2370" t="str">
        <f>IF(A2370="","",IF(SUMPRODUCT((Ввод!$F$12:$F$31&lt;&gt;"")*(Ввод!$F$12:$F$31&lt;=A2370)*(Ввод!$G$12:$G$31&gt;=A2370))&gt;0,1,0))</f>
        <v/>
      </c>
      <c r="G2370" t="str">
        <f t="shared" si="73"/>
        <v/>
      </c>
    </row>
    <row r="2371" spans="1:7" x14ac:dyDescent="0.3">
      <c r="A2371" s="21" t="str">
        <f>IF(A2370="","",IF(A2370+1&gt;Ввод!$B$4,"",A2370+1))</f>
        <v/>
      </c>
      <c r="B2371" s="23" t="str">
        <f>IF(A2371="","",IFERROR(INDEX(Ввод!$B$12:$B$71,MATCH(A2371,Ввод!$D$12:$D$71,1)),""))</f>
        <v/>
      </c>
      <c r="C2371" t="str">
        <f t="shared" si="74"/>
        <v/>
      </c>
      <c r="D2371" t="str">
        <f>IF(A2371="","",SUMIFS(Акты!$D$5:$D$16,Акты!$E$5:$E$16,"&lt;="&amp;A2371)-SUMIFS(Оплаты!$B$6:$B$505,Оплаты!$A$6:$A$505,"&lt;"&amp;A2371,Оплаты!$D$6:$D$505,"&lt;&gt;"))</f>
        <v/>
      </c>
      <c r="E2371" t="str">
        <f>IF(A2371="","",IF(SUMPRODUCT((Ввод!$F$12:$F$31&lt;&gt;"")*(Ввод!$F$12:$F$31&lt;=A2371)*(Ввод!$G$12:$G$31&gt;=A2371))&gt;0,1,0))</f>
        <v/>
      </c>
      <c r="G2371" t="str">
        <f t="shared" ref="G2371:G2434" si="75">IF(A2371="","",IF(OR(B2371&lt;&gt;B2370,C2371&lt;&gt;C2370,E2371&lt;&gt;E2370),G2370+1,G2370))</f>
        <v/>
      </c>
    </row>
    <row r="2372" spans="1:7" x14ac:dyDescent="0.3">
      <c r="A2372" s="21" t="str">
        <f>IF(A2371="","",IF(A2371+1&gt;Ввод!$B$4,"",A2371+1))</f>
        <v/>
      </c>
      <c r="B2372" s="23" t="str">
        <f>IF(A2372="","",IFERROR(INDEX(Ввод!$B$12:$B$71,MATCH(A2372,Ввод!$D$12:$D$71,1)),""))</f>
        <v/>
      </c>
      <c r="C2372" t="str">
        <f t="shared" si="74"/>
        <v/>
      </c>
      <c r="D2372" t="str">
        <f>IF(A2372="","",SUMIFS(Акты!$D$5:$D$16,Акты!$E$5:$E$16,"&lt;="&amp;A2372)-SUMIFS(Оплаты!$B$6:$B$505,Оплаты!$A$6:$A$505,"&lt;"&amp;A2372,Оплаты!$D$6:$D$505,"&lt;&gt;"))</f>
        <v/>
      </c>
      <c r="E2372" t="str">
        <f>IF(A2372="","",IF(SUMPRODUCT((Ввод!$F$12:$F$31&lt;&gt;"")*(Ввод!$F$12:$F$31&lt;=A2372)*(Ввод!$G$12:$G$31&gt;=A2372))&gt;0,1,0))</f>
        <v/>
      </c>
      <c r="G2372" t="str">
        <f t="shared" si="75"/>
        <v/>
      </c>
    </row>
    <row r="2373" spans="1:7" x14ac:dyDescent="0.3">
      <c r="A2373" s="21" t="str">
        <f>IF(A2372="","",IF(A2372+1&gt;Ввод!$B$4,"",A2372+1))</f>
        <v/>
      </c>
      <c r="B2373" s="23" t="str">
        <f>IF(A2373="","",IFERROR(INDEX(Ввод!$B$12:$B$71,MATCH(A2373,Ввод!$D$12:$D$71,1)),""))</f>
        <v/>
      </c>
      <c r="C2373" t="str">
        <f t="shared" si="74"/>
        <v/>
      </c>
      <c r="D2373" t="str">
        <f>IF(A2373="","",SUMIFS(Акты!$D$5:$D$16,Акты!$E$5:$E$16,"&lt;="&amp;A2373)-SUMIFS(Оплаты!$B$6:$B$505,Оплаты!$A$6:$A$505,"&lt;"&amp;A2373,Оплаты!$D$6:$D$505,"&lt;&gt;"))</f>
        <v/>
      </c>
      <c r="E2373" t="str">
        <f>IF(A2373="","",IF(SUMPRODUCT((Ввод!$F$12:$F$31&lt;&gt;"")*(Ввод!$F$12:$F$31&lt;=A2373)*(Ввод!$G$12:$G$31&gt;=A2373))&gt;0,1,0))</f>
        <v/>
      </c>
      <c r="G2373" t="str">
        <f t="shared" si="75"/>
        <v/>
      </c>
    </row>
    <row r="2374" spans="1:7" x14ac:dyDescent="0.3">
      <c r="A2374" s="21" t="str">
        <f>IF(A2373="","",IF(A2373+1&gt;Ввод!$B$4,"",A2373+1))</f>
        <v/>
      </c>
      <c r="B2374" s="23" t="str">
        <f>IF(A2374="","",IFERROR(INDEX(Ввод!$B$12:$B$71,MATCH(A2374,Ввод!$D$12:$D$71,1)),""))</f>
        <v/>
      </c>
      <c r="C2374" t="str">
        <f t="shared" si="74"/>
        <v/>
      </c>
      <c r="D2374" t="str">
        <f>IF(A2374="","",SUMIFS(Акты!$D$5:$D$16,Акты!$E$5:$E$16,"&lt;="&amp;A2374)-SUMIFS(Оплаты!$B$6:$B$505,Оплаты!$A$6:$A$505,"&lt;"&amp;A2374,Оплаты!$D$6:$D$505,"&lt;&gt;"))</f>
        <v/>
      </c>
      <c r="E2374" t="str">
        <f>IF(A2374="","",IF(SUMPRODUCT((Ввод!$F$12:$F$31&lt;&gt;"")*(Ввод!$F$12:$F$31&lt;=A2374)*(Ввод!$G$12:$G$31&gt;=A2374))&gt;0,1,0))</f>
        <v/>
      </c>
      <c r="G2374" t="str">
        <f t="shared" si="75"/>
        <v/>
      </c>
    </row>
    <row r="2375" spans="1:7" x14ac:dyDescent="0.3">
      <c r="A2375" s="21" t="str">
        <f>IF(A2374="","",IF(A2374+1&gt;Ввод!$B$4,"",A2374+1))</f>
        <v/>
      </c>
      <c r="B2375" s="23" t="str">
        <f>IF(A2375="","",IFERROR(INDEX(Ввод!$B$12:$B$71,MATCH(A2375,Ввод!$D$12:$D$71,1)),""))</f>
        <v/>
      </c>
      <c r="C2375" t="str">
        <f t="shared" si="74"/>
        <v/>
      </c>
      <c r="D2375" t="str">
        <f>IF(A2375="","",SUMIFS(Акты!$D$5:$D$16,Акты!$E$5:$E$16,"&lt;="&amp;A2375)-SUMIFS(Оплаты!$B$6:$B$505,Оплаты!$A$6:$A$505,"&lt;"&amp;A2375,Оплаты!$D$6:$D$505,"&lt;&gt;"))</f>
        <v/>
      </c>
      <c r="E2375" t="str">
        <f>IF(A2375="","",IF(SUMPRODUCT((Ввод!$F$12:$F$31&lt;&gt;"")*(Ввод!$F$12:$F$31&lt;=A2375)*(Ввод!$G$12:$G$31&gt;=A2375))&gt;0,1,0))</f>
        <v/>
      </c>
      <c r="G2375" t="str">
        <f t="shared" si="75"/>
        <v/>
      </c>
    </row>
    <row r="2376" spans="1:7" x14ac:dyDescent="0.3">
      <c r="A2376" s="21" t="str">
        <f>IF(A2375="","",IF(A2375+1&gt;Ввод!$B$4,"",A2375+1))</f>
        <v/>
      </c>
      <c r="B2376" s="23" t="str">
        <f>IF(A2376="","",IFERROR(INDEX(Ввод!$B$12:$B$71,MATCH(A2376,Ввод!$D$12:$D$71,1)),""))</f>
        <v/>
      </c>
      <c r="C2376" t="str">
        <f t="shared" si="74"/>
        <v/>
      </c>
      <c r="D2376" t="str">
        <f>IF(A2376="","",SUMIFS(Акты!$D$5:$D$16,Акты!$E$5:$E$16,"&lt;="&amp;A2376)-SUMIFS(Оплаты!$B$6:$B$505,Оплаты!$A$6:$A$505,"&lt;"&amp;A2376,Оплаты!$D$6:$D$505,"&lt;&gt;"))</f>
        <v/>
      </c>
      <c r="E2376" t="str">
        <f>IF(A2376="","",IF(SUMPRODUCT((Ввод!$F$12:$F$31&lt;&gt;"")*(Ввод!$F$12:$F$31&lt;=A2376)*(Ввод!$G$12:$G$31&gt;=A2376))&gt;0,1,0))</f>
        <v/>
      </c>
      <c r="G2376" t="str">
        <f t="shared" si="75"/>
        <v/>
      </c>
    </row>
    <row r="2377" spans="1:7" x14ac:dyDescent="0.3">
      <c r="A2377" s="21" t="str">
        <f>IF(A2376="","",IF(A2376+1&gt;Ввод!$B$4,"",A2376+1))</f>
        <v/>
      </c>
      <c r="B2377" s="23" t="str">
        <f>IF(A2377="","",IFERROR(INDEX(Ввод!$B$12:$B$71,MATCH(A2377,Ввод!$D$12:$D$71,1)),""))</f>
        <v/>
      </c>
      <c r="C2377" t="str">
        <f t="shared" si="74"/>
        <v/>
      </c>
      <c r="D2377" t="str">
        <f>IF(A2377="","",SUMIFS(Акты!$D$5:$D$16,Акты!$E$5:$E$16,"&lt;="&amp;A2377)-SUMIFS(Оплаты!$B$6:$B$505,Оплаты!$A$6:$A$505,"&lt;"&amp;A2377,Оплаты!$D$6:$D$505,"&lt;&gt;"))</f>
        <v/>
      </c>
      <c r="E2377" t="str">
        <f>IF(A2377="","",IF(SUMPRODUCT((Ввод!$F$12:$F$31&lt;&gt;"")*(Ввод!$F$12:$F$31&lt;=A2377)*(Ввод!$G$12:$G$31&gt;=A2377))&gt;0,1,0))</f>
        <v/>
      </c>
      <c r="G2377" t="str">
        <f t="shared" si="75"/>
        <v/>
      </c>
    </row>
    <row r="2378" spans="1:7" x14ac:dyDescent="0.3">
      <c r="A2378" s="21" t="str">
        <f>IF(A2377="","",IF(A2377+1&gt;Ввод!$B$4,"",A2377+1))</f>
        <v/>
      </c>
      <c r="B2378" s="23" t="str">
        <f>IF(A2378="","",IFERROR(INDEX(Ввод!$B$12:$B$71,MATCH(A2378,Ввод!$D$12:$D$71,1)),""))</f>
        <v/>
      </c>
      <c r="C2378" t="str">
        <f t="shared" si="74"/>
        <v/>
      </c>
      <c r="D2378" t="str">
        <f>IF(A2378="","",SUMIFS(Акты!$D$5:$D$16,Акты!$E$5:$E$16,"&lt;="&amp;A2378)-SUMIFS(Оплаты!$B$6:$B$505,Оплаты!$A$6:$A$505,"&lt;"&amp;A2378,Оплаты!$D$6:$D$505,"&lt;&gt;"))</f>
        <v/>
      </c>
      <c r="E2378" t="str">
        <f>IF(A2378="","",IF(SUMPRODUCT((Ввод!$F$12:$F$31&lt;&gt;"")*(Ввод!$F$12:$F$31&lt;=A2378)*(Ввод!$G$12:$G$31&gt;=A2378))&gt;0,1,0))</f>
        <v/>
      </c>
      <c r="G2378" t="str">
        <f t="shared" si="75"/>
        <v/>
      </c>
    </row>
    <row r="2379" spans="1:7" x14ac:dyDescent="0.3">
      <c r="A2379" s="21" t="str">
        <f>IF(A2378="","",IF(A2378+1&gt;Ввод!$B$4,"",A2378+1))</f>
        <v/>
      </c>
      <c r="B2379" s="23" t="str">
        <f>IF(A2379="","",IFERROR(INDEX(Ввод!$B$12:$B$71,MATCH(A2379,Ввод!$D$12:$D$71,1)),""))</f>
        <v/>
      </c>
      <c r="C2379" t="str">
        <f t="shared" si="74"/>
        <v/>
      </c>
      <c r="D2379" t="str">
        <f>IF(A2379="","",SUMIFS(Акты!$D$5:$D$16,Акты!$E$5:$E$16,"&lt;="&amp;A2379)-SUMIFS(Оплаты!$B$6:$B$505,Оплаты!$A$6:$A$505,"&lt;"&amp;A2379,Оплаты!$D$6:$D$505,"&lt;&gt;"))</f>
        <v/>
      </c>
      <c r="E2379" t="str">
        <f>IF(A2379="","",IF(SUMPRODUCT((Ввод!$F$12:$F$31&lt;&gt;"")*(Ввод!$F$12:$F$31&lt;=A2379)*(Ввод!$G$12:$G$31&gt;=A2379))&gt;0,1,0))</f>
        <v/>
      </c>
      <c r="G2379" t="str">
        <f t="shared" si="75"/>
        <v/>
      </c>
    </row>
    <row r="2380" spans="1:7" x14ac:dyDescent="0.3">
      <c r="A2380" s="21" t="str">
        <f>IF(A2379="","",IF(A2379+1&gt;Ввод!$B$4,"",A2379+1))</f>
        <v/>
      </c>
      <c r="B2380" s="23" t="str">
        <f>IF(A2380="","",IFERROR(INDEX(Ввод!$B$12:$B$71,MATCH(A2380,Ввод!$D$12:$D$71,1)),""))</f>
        <v/>
      </c>
      <c r="C2380" t="str">
        <f t="shared" si="74"/>
        <v/>
      </c>
      <c r="D2380" t="str">
        <f>IF(A2380="","",SUMIFS(Акты!$D$5:$D$16,Акты!$E$5:$E$16,"&lt;="&amp;A2380)-SUMIFS(Оплаты!$B$6:$B$505,Оплаты!$A$6:$A$505,"&lt;"&amp;A2380,Оплаты!$D$6:$D$505,"&lt;&gt;"))</f>
        <v/>
      </c>
      <c r="E2380" t="str">
        <f>IF(A2380="","",IF(SUMPRODUCT((Ввод!$F$12:$F$31&lt;&gt;"")*(Ввод!$F$12:$F$31&lt;=A2380)*(Ввод!$G$12:$G$31&gt;=A2380))&gt;0,1,0))</f>
        <v/>
      </c>
      <c r="G2380" t="str">
        <f t="shared" si="75"/>
        <v/>
      </c>
    </row>
    <row r="2381" spans="1:7" x14ac:dyDescent="0.3">
      <c r="A2381" s="21" t="str">
        <f>IF(A2380="","",IF(A2380+1&gt;Ввод!$B$4,"",A2380+1))</f>
        <v/>
      </c>
      <c r="B2381" s="23" t="str">
        <f>IF(A2381="","",IFERROR(INDEX(Ввод!$B$12:$B$71,MATCH(A2381,Ввод!$D$12:$D$71,1)),""))</f>
        <v/>
      </c>
      <c r="C2381" t="str">
        <f t="shared" si="74"/>
        <v/>
      </c>
      <c r="D2381" t="str">
        <f>IF(A2381="","",SUMIFS(Акты!$D$5:$D$16,Акты!$E$5:$E$16,"&lt;="&amp;A2381)-SUMIFS(Оплаты!$B$6:$B$505,Оплаты!$A$6:$A$505,"&lt;"&amp;A2381,Оплаты!$D$6:$D$505,"&lt;&gt;"))</f>
        <v/>
      </c>
      <c r="E2381" t="str">
        <f>IF(A2381="","",IF(SUMPRODUCT((Ввод!$F$12:$F$31&lt;&gt;"")*(Ввод!$F$12:$F$31&lt;=A2381)*(Ввод!$G$12:$G$31&gt;=A2381))&gt;0,1,0))</f>
        <v/>
      </c>
      <c r="G2381" t="str">
        <f t="shared" si="75"/>
        <v/>
      </c>
    </row>
    <row r="2382" spans="1:7" x14ac:dyDescent="0.3">
      <c r="A2382" s="21" t="str">
        <f>IF(A2381="","",IF(A2381+1&gt;Ввод!$B$4,"",A2381+1))</f>
        <v/>
      </c>
      <c r="B2382" s="23" t="str">
        <f>IF(A2382="","",IFERROR(INDEX(Ввод!$B$12:$B$71,MATCH(A2382,Ввод!$D$12:$D$71,1)),""))</f>
        <v/>
      </c>
      <c r="C2382" t="str">
        <f t="shared" si="74"/>
        <v/>
      </c>
      <c r="D2382" t="str">
        <f>IF(A2382="","",SUMIFS(Акты!$D$5:$D$16,Акты!$E$5:$E$16,"&lt;="&amp;A2382)-SUMIFS(Оплаты!$B$6:$B$505,Оплаты!$A$6:$A$505,"&lt;"&amp;A2382,Оплаты!$D$6:$D$505,"&lt;&gt;"))</f>
        <v/>
      </c>
      <c r="E2382" t="str">
        <f>IF(A2382="","",IF(SUMPRODUCT((Ввод!$F$12:$F$31&lt;&gt;"")*(Ввод!$F$12:$F$31&lt;=A2382)*(Ввод!$G$12:$G$31&gt;=A2382))&gt;0,1,0))</f>
        <v/>
      </c>
      <c r="G2382" t="str">
        <f t="shared" si="75"/>
        <v/>
      </c>
    </row>
    <row r="2383" spans="1:7" x14ac:dyDescent="0.3">
      <c r="A2383" s="21" t="str">
        <f>IF(A2382="","",IF(A2382+1&gt;Ввод!$B$4,"",A2382+1))</f>
        <v/>
      </c>
      <c r="B2383" s="23" t="str">
        <f>IF(A2383="","",IFERROR(INDEX(Ввод!$B$12:$B$71,MATCH(A2383,Ввод!$D$12:$D$71,1)),""))</f>
        <v/>
      </c>
      <c r="C2383" t="str">
        <f t="shared" si="74"/>
        <v/>
      </c>
      <c r="D2383" t="str">
        <f>IF(A2383="","",SUMIFS(Акты!$D$5:$D$16,Акты!$E$5:$E$16,"&lt;="&amp;A2383)-SUMIFS(Оплаты!$B$6:$B$505,Оплаты!$A$6:$A$505,"&lt;"&amp;A2383,Оплаты!$D$6:$D$505,"&lt;&gt;"))</f>
        <v/>
      </c>
      <c r="E2383" t="str">
        <f>IF(A2383="","",IF(SUMPRODUCT((Ввод!$F$12:$F$31&lt;&gt;"")*(Ввод!$F$12:$F$31&lt;=A2383)*(Ввод!$G$12:$G$31&gt;=A2383))&gt;0,1,0))</f>
        <v/>
      </c>
      <c r="G2383" t="str">
        <f t="shared" si="75"/>
        <v/>
      </c>
    </row>
    <row r="2384" spans="1:7" x14ac:dyDescent="0.3">
      <c r="A2384" s="21" t="str">
        <f>IF(A2383="","",IF(A2383+1&gt;Ввод!$B$4,"",A2383+1))</f>
        <v/>
      </c>
      <c r="B2384" s="23" t="str">
        <f>IF(A2384="","",IFERROR(INDEX(Ввод!$B$12:$B$71,MATCH(A2384,Ввод!$D$12:$D$71,1)),""))</f>
        <v/>
      </c>
      <c r="C2384" t="str">
        <f t="shared" si="74"/>
        <v/>
      </c>
      <c r="D2384" t="str">
        <f>IF(A2384="","",SUMIFS(Акты!$D$5:$D$16,Акты!$E$5:$E$16,"&lt;="&amp;A2384)-SUMIFS(Оплаты!$B$6:$B$505,Оплаты!$A$6:$A$505,"&lt;"&amp;A2384,Оплаты!$D$6:$D$505,"&lt;&gt;"))</f>
        <v/>
      </c>
      <c r="E2384" t="str">
        <f>IF(A2384="","",IF(SUMPRODUCT((Ввод!$F$12:$F$31&lt;&gt;"")*(Ввод!$F$12:$F$31&lt;=A2384)*(Ввод!$G$12:$G$31&gt;=A2384))&gt;0,1,0))</f>
        <v/>
      </c>
      <c r="G2384" t="str">
        <f t="shared" si="75"/>
        <v/>
      </c>
    </row>
    <row r="2385" spans="1:7" x14ac:dyDescent="0.3">
      <c r="A2385" s="21" t="str">
        <f>IF(A2384="","",IF(A2384+1&gt;Ввод!$B$4,"",A2384+1))</f>
        <v/>
      </c>
      <c r="B2385" s="23" t="str">
        <f>IF(A2385="","",IFERROR(INDEX(Ввод!$B$12:$B$71,MATCH(A2385,Ввод!$D$12:$D$71,1)),""))</f>
        <v/>
      </c>
      <c r="C2385" t="str">
        <f t="shared" si="74"/>
        <v/>
      </c>
      <c r="D2385" t="str">
        <f>IF(A2385="","",SUMIFS(Акты!$D$5:$D$16,Акты!$E$5:$E$16,"&lt;="&amp;A2385)-SUMIFS(Оплаты!$B$6:$B$505,Оплаты!$A$6:$A$505,"&lt;"&amp;A2385,Оплаты!$D$6:$D$505,"&lt;&gt;"))</f>
        <v/>
      </c>
      <c r="E2385" t="str">
        <f>IF(A2385="","",IF(SUMPRODUCT((Ввод!$F$12:$F$31&lt;&gt;"")*(Ввод!$F$12:$F$31&lt;=A2385)*(Ввод!$G$12:$G$31&gt;=A2385))&gt;0,1,0))</f>
        <v/>
      </c>
      <c r="G2385" t="str">
        <f t="shared" si="75"/>
        <v/>
      </c>
    </row>
    <row r="2386" spans="1:7" x14ac:dyDescent="0.3">
      <c r="A2386" s="21" t="str">
        <f>IF(A2385="","",IF(A2385+1&gt;Ввод!$B$4,"",A2385+1))</f>
        <v/>
      </c>
      <c r="B2386" s="23" t="str">
        <f>IF(A2386="","",IFERROR(INDEX(Ввод!$B$12:$B$71,MATCH(A2386,Ввод!$D$12:$D$71,1)),""))</f>
        <v/>
      </c>
      <c r="C2386" t="str">
        <f t="shared" si="74"/>
        <v/>
      </c>
      <c r="D2386" t="str">
        <f>IF(A2386="","",SUMIFS(Акты!$D$5:$D$16,Акты!$E$5:$E$16,"&lt;="&amp;A2386)-SUMIFS(Оплаты!$B$6:$B$505,Оплаты!$A$6:$A$505,"&lt;"&amp;A2386,Оплаты!$D$6:$D$505,"&lt;&gt;"))</f>
        <v/>
      </c>
      <c r="E2386" t="str">
        <f>IF(A2386="","",IF(SUMPRODUCT((Ввод!$F$12:$F$31&lt;&gt;"")*(Ввод!$F$12:$F$31&lt;=A2386)*(Ввод!$G$12:$G$31&gt;=A2386))&gt;0,1,0))</f>
        <v/>
      </c>
      <c r="G2386" t="str">
        <f t="shared" si="75"/>
        <v/>
      </c>
    </row>
    <row r="2387" spans="1:7" x14ac:dyDescent="0.3">
      <c r="A2387" s="21" t="str">
        <f>IF(A2386="","",IF(A2386+1&gt;Ввод!$B$4,"",A2386+1))</f>
        <v/>
      </c>
      <c r="B2387" s="23" t="str">
        <f>IF(A2387="","",IFERROR(INDEX(Ввод!$B$12:$B$71,MATCH(A2387,Ввод!$D$12:$D$71,1)),""))</f>
        <v/>
      </c>
      <c r="C2387" t="str">
        <f t="shared" si="74"/>
        <v/>
      </c>
      <c r="D2387" t="str">
        <f>IF(A2387="","",SUMIFS(Акты!$D$5:$D$16,Акты!$E$5:$E$16,"&lt;="&amp;A2387)-SUMIFS(Оплаты!$B$6:$B$505,Оплаты!$A$6:$A$505,"&lt;"&amp;A2387,Оплаты!$D$6:$D$505,"&lt;&gt;"))</f>
        <v/>
      </c>
      <c r="E2387" t="str">
        <f>IF(A2387="","",IF(SUMPRODUCT((Ввод!$F$12:$F$31&lt;&gt;"")*(Ввод!$F$12:$F$31&lt;=A2387)*(Ввод!$G$12:$G$31&gt;=A2387))&gt;0,1,0))</f>
        <v/>
      </c>
      <c r="G2387" t="str">
        <f t="shared" si="75"/>
        <v/>
      </c>
    </row>
    <row r="2388" spans="1:7" x14ac:dyDescent="0.3">
      <c r="A2388" s="21" t="str">
        <f>IF(A2387="","",IF(A2387+1&gt;Ввод!$B$4,"",A2387+1))</f>
        <v/>
      </c>
      <c r="B2388" s="23" t="str">
        <f>IF(A2388="","",IFERROR(INDEX(Ввод!$B$12:$B$71,MATCH(A2388,Ввод!$D$12:$D$71,1)),""))</f>
        <v/>
      </c>
      <c r="C2388" t="str">
        <f t="shared" si="74"/>
        <v/>
      </c>
      <c r="D2388" t="str">
        <f>IF(A2388="","",SUMIFS(Акты!$D$5:$D$16,Акты!$E$5:$E$16,"&lt;="&amp;A2388)-SUMIFS(Оплаты!$B$6:$B$505,Оплаты!$A$6:$A$505,"&lt;"&amp;A2388,Оплаты!$D$6:$D$505,"&lt;&gt;"))</f>
        <v/>
      </c>
      <c r="E2388" t="str">
        <f>IF(A2388="","",IF(SUMPRODUCT((Ввод!$F$12:$F$31&lt;&gt;"")*(Ввод!$F$12:$F$31&lt;=A2388)*(Ввод!$G$12:$G$31&gt;=A2388))&gt;0,1,0))</f>
        <v/>
      </c>
      <c r="G2388" t="str">
        <f t="shared" si="75"/>
        <v/>
      </c>
    </row>
    <row r="2389" spans="1:7" x14ac:dyDescent="0.3">
      <c r="A2389" s="21" t="str">
        <f>IF(A2388="","",IF(A2388+1&gt;Ввод!$B$4,"",A2388+1))</f>
        <v/>
      </c>
      <c r="B2389" s="23" t="str">
        <f>IF(A2389="","",IFERROR(INDEX(Ввод!$B$12:$B$71,MATCH(A2389,Ввод!$D$12:$D$71,1)),""))</f>
        <v/>
      </c>
      <c r="C2389" t="str">
        <f t="shared" si="74"/>
        <v/>
      </c>
      <c r="D2389" t="str">
        <f>IF(A2389="","",SUMIFS(Акты!$D$5:$D$16,Акты!$E$5:$E$16,"&lt;="&amp;A2389)-SUMIFS(Оплаты!$B$6:$B$505,Оплаты!$A$6:$A$505,"&lt;"&amp;A2389,Оплаты!$D$6:$D$505,"&lt;&gt;"))</f>
        <v/>
      </c>
      <c r="E2389" t="str">
        <f>IF(A2389="","",IF(SUMPRODUCT((Ввод!$F$12:$F$31&lt;&gt;"")*(Ввод!$F$12:$F$31&lt;=A2389)*(Ввод!$G$12:$G$31&gt;=A2389))&gt;0,1,0))</f>
        <v/>
      </c>
      <c r="G2389" t="str">
        <f t="shared" si="75"/>
        <v/>
      </c>
    </row>
    <row r="2390" spans="1:7" x14ac:dyDescent="0.3">
      <c r="A2390" s="21" t="str">
        <f>IF(A2389="","",IF(A2389+1&gt;Ввод!$B$4,"",A2389+1))</f>
        <v/>
      </c>
      <c r="B2390" s="23" t="str">
        <f>IF(A2390="","",IFERROR(INDEX(Ввод!$B$12:$B$71,MATCH(A2390,Ввод!$D$12:$D$71,1)),""))</f>
        <v/>
      </c>
      <c r="C2390" t="str">
        <f t="shared" si="74"/>
        <v/>
      </c>
      <c r="D2390" t="str">
        <f>IF(A2390="","",SUMIFS(Акты!$D$5:$D$16,Акты!$E$5:$E$16,"&lt;="&amp;A2390)-SUMIFS(Оплаты!$B$6:$B$505,Оплаты!$A$6:$A$505,"&lt;"&amp;A2390,Оплаты!$D$6:$D$505,"&lt;&gt;"))</f>
        <v/>
      </c>
      <c r="E2390" t="str">
        <f>IF(A2390="","",IF(SUMPRODUCT((Ввод!$F$12:$F$31&lt;&gt;"")*(Ввод!$F$12:$F$31&lt;=A2390)*(Ввод!$G$12:$G$31&gt;=A2390))&gt;0,1,0))</f>
        <v/>
      </c>
      <c r="G2390" t="str">
        <f t="shared" si="75"/>
        <v/>
      </c>
    </row>
    <row r="2391" spans="1:7" x14ac:dyDescent="0.3">
      <c r="A2391" s="21" t="str">
        <f>IF(A2390="","",IF(A2390+1&gt;Ввод!$B$4,"",A2390+1))</f>
        <v/>
      </c>
      <c r="B2391" s="23" t="str">
        <f>IF(A2391="","",IFERROR(INDEX(Ввод!$B$12:$B$71,MATCH(A2391,Ввод!$D$12:$D$71,1)),""))</f>
        <v/>
      </c>
      <c r="C2391" t="str">
        <f t="shared" si="74"/>
        <v/>
      </c>
      <c r="D2391" t="str">
        <f>IF(A2391="","",SUMIFS(Акты!$D$5:$D$16,Акты!$E$5:$E$16,"&lt;="&amp;A2391)-SUMIFS(Оплаты!$B$6:$B$505,Оплаты!$A$6:$A$505,"&lt;"&amp;A2391,Оплаты!$D$6:$D$505,"&lt;&gt;"))</f>
        <v/>
      </c>
      <c r="E2391" t="str">
        <f>IF(A2391="","",IF(SUMPRODUCT((Ввод!$F$12:$F$31&lt;&gt;"")*(Ввод!$F$12:$F$31&lt;=A2391)*(Ввод!$G$12:$G$31&gt;=A2391))&gt;0,1,0))</f>
        <v/>
      </c>
      <c r="G2391" t="str">
        <f t="shared" si="75"/>
        <v/>
      </c>
    </row>
    <row r="2392" spans="1:7" x14ac:dyDescent="0.3">
      <c r="A2392" s="21" t="str">
        <f>IF(A2391="","",IF(A2391+1&gt;Ввод!$B$4,"",A2391+1))</f>
        <v/>
      </c>
      <c r="B2392" s="23" t="str">
        <f>IF(A2392="","",IFERROR(INDEX(Ввод!$B$12:$B$71,MATCH(A2392,Ввод!$D$12:$D$71,1)),""))</f>
        <v/>
      </c>
      <c r="C2392" t="str">
        <f t="shared" si="74"/>
        <v/>
      </c>
      <c r="D2392" t="str">
        <f>IF(A2392="","",SUMIFS(Акты!$D$5:$D$16,Акты!$E$5:$E$16,"&lt;="&amp;A2392)-SUMIFS(Оплаты!$B$6:$B$505,Оплаты!$A$6:$A$505,"&lt;"&amp;A2392,Оплаты!$D$6:$D$505,"&lt;&gt;"))</f>
        <v/>
      </c>
      <c r="E2392" t="str">
        <f>IF(A2392="","",IF(SUMPRODUCT((Ввод!$F$12:$F$31&lt;&gt;"")*(Ввод!$F$12:$F$31&lt;=A2392)*(Ввод!$G$12:$G$31&gt;=A2392))&gt;0,1,0))</f>
        <v/>
      </c>
      <c r="G2392" t="str">
        <f t="shared" si="75"/>
        <v/>
      </c>
    </row>
    <row r="2393" spans="1:7" x14ac:dyDescent="0.3">
      <c r="A2393" s="21" t="str">
        <f>IF(A2392="","",IF(A2392+1&gt;Ввод!$B$4,"",A2392+1))</f>
        <v/>
      </c>
      <c r="B2393" s="23" t="str">
        <f>IF(A2393="","",IFERROR(INDEX(Ввод!$B$12:$B$71,MATCH(A2393,Ввод!$D$12:$D$71,1)),""))</f>
        <v/>
      </c>
      <c r="C2393" t="str">
        <f t="shared" si="74"/>
        <v/>
      </c>
      <c r="D2393" t="str">
        <f>IF(A2393="","",SUMIFS(Акты!$D$5:$D$16,Акты!$E$5:$E$16,"&lt;="&amp;A2393)-SUMIFS(Оплаты!$B$6:$B$505,Оплаты!$A$6:$A$505,"&lt;"&amp;A2393,Оплаты!$D$6:$D$505,"&lt;&gt;"))</f>
        <v/>
      </c>
      <c r="E2393" t="str">
        <f>IF(A2393="","",IF(SUMPRODUCT((Ввод!$F$12:$F$31&lt;&gt;"")*(Ввод!$F$12:$F$31&lt;=A2393)*(Ввод!$G$12:$G$31&gt;=A2393))&gt;0,1,0))</f>
        <v/>
      </c>
      <c r="G2393" t="str">
        <f t="shared" si="75"/>
        <v/>
      </c>
    </row>
    <row r="2394" spans="1:7" x14ac:dyDescent="0.3">
      <c r="A2394" s="21" t="str">
        <f>IF(A2393="","",IF(A2393+1&gt;Ввод!$B$4,"",A2393+1))</f>
        <v/>
      </c>
      <c r="B2394" s="23" t="str">
        <f>IF(A2394="","",IFERROR(INDEX(Ввод!$B$12:$B$71,MATCH(A2394,Ввод!$D$12:$D$71,1)),""))</f>
        <v/>
      </c>
      <c r="C2394" t="str">
        <f t="shared" si="74"/>
        <v/>
      </c>
      <c r="D2394" t="str">
        <f>IF(A2394="","",SUMIFS(Акты!$D$5:$D$16,Акты!$E$5:$E$16,"&lt;="&amp;A2394)-SUMIFS(Оплаты!$B$6:$B$505,Оплаты!$A$6:$A$505,"&lt;"&amp;A2394,Оплаты!$D$6:$D$505,"&lt;&gt;"))</f>
        <v/>
      </c>
      <c r="E2394" t="str">
        <f>IF(A2394="","",IF(SUMPRODUCT((Ввод!$F$12:$F$31&lt;&gt;"")*(Ввод!$F$12:$F$31&lt;=A2394)*(Ввод!$G$12:$G$31&gt;=A2394))&gt;0,1,0))</f>
        <v/>
      </c>
      <c r="G2394" t="str">
        <f t="shared" si="75"/>
        <v/>
      </c>
    </row>
    <row r="2395" spans="1:7" x14ac:dyDescent="0.3">
      <c r="A2395" s="21" t="str">
        <f>IF(A2394="","",IF(A2394+1&gt;Ввод!$B$4,"",A2394+1))</f>
        <v/>
      </c>
      <c r="B2395" s="23" t="str">
        <f>IF(A2395="","",IFERROR(INDEX(Ввод!$B$12:$B$71,MATCH(A2395,Ввод!$D$12:$D$71,1)),""))</f>
        <v/>
      </c>
      <c r="C2395" t="str">
        <f t="shared" si="74"/>
        <v/>
      </c>
      <c r="D2395" t="str">
        <f>IF(A2395="","",SUMIFS(Акты!$D$5:$D$16,Акты!$E$5:$E$16,"&lt;="&amp;A2395)-SUMIFS(Оплаты!$B$6:$B$505,Оплаты!$A$6:$A$505,"&lt;"&amp;A2395,Оплаты!$D$6:$D$505,"&lt;&gt;"))</f>
        <v/>
      </c>
      <c r="E2395" t="str">
        <f>IF(A2395="","",IF(SUMPRODUCT((Ввод!$F$12:$F$31&lt;&gt;"")*(Ввод!$F$12:$F$31&lt;=A2395)*(Ввод!$G$12:$G$31&gt;=A2395))&gt;0,1,0))</f>
        <v/>
      </c>
      <c r="G2395" t="str">
        <f t="shared" si="75"/>
        <v/>
      </c>
    </row>
    <row r="2396" spans="1:7" x14ac:dyDescent="0.3">
      <c r="A2396" s="21" t="str">
        <f>IF(A2395="","",IF(A2395+1&gt;Ввод!$B$4,"",A2395+1))</f>
        <v/>
      </c>
      <c r="B2396" s="23" t="str">
        <f>IF(A2396="","",IFERROR(INDEX(Ввод!$B$12:$B$71,MATCH(A2396,Ввод!$D$12:$D$71,1)),""))</f>
        <v/>
      </c>
      <c r="C2396" t="str">
        <f t="shared" si="74"/>
        <v/>
      </c>
      <c r="D2396" t="str">
        <f>IF(A2396="","",SUMIFS(Акты!$D$5:$D$16,Акты!$E$5:$E$16,"&lt;="&amp;A2396)-SUMIFS(Оплаты!$B$6:$B$505,Оплаты!$A$6:$A$505,"&lt;"&amp;A2396,Оплаты!$D$6:$D$505,"&lt;&gt;"))</f>
        <v/>
      </c>
      <c r="E2396" t="str">
        <f>IF(A2396="","",IF(SUMPRODUCT((Ввод!$F$12:$F$31&lt;&gt;"")*(Ввод!$F$12:$F$31&lt;=A2396)*(Ввод!$G$12:$G$31&gt;=A2396))&gt;0,1,0))</f>
        <v/>
      </c>
      <c r="G2396" t="str">
        <f t="shared" si="75"/>
        <v/>
      </c>
    </row>
    <row r="2397" spans="1:7" x14ac:dyDescent="0.3">
      <c r="A2397" s="21" t="str">
        <f>IF(A2396="","",IF(A2396+1&gt;Ввод!$B$4,"",A2396+1))</f>
        <v/>
      </c>
      <c r="B2397" s="23" t="str">
        <f>IF(A2397="","",IFERROR(INDEX(Ввод!$B$12:$B$71,MATCH(A2397,Ввод!$D$12:$D$71,1)),""))</f>
        <v/>
      </c>
      <c r="C2397" t="str">
        <f t="shared" si="74"/>
        <v/>
      </c>
      <c r="D2397" t="str">
        <f>IF(A2397="","",SUMIFS(Акты!$D$5:$D$16,Акты!$E$5:$E$16,"&lt;="&amp;A2397)-SUMIFS(Оплаты!$B$6:$B$505,Оплаты!$A$6:$A$505,"&lt;"&amp;A2397,Оплаты!$D$6:$D$505,"&lt;&gt;"))</f>
        <v/>
      </c>
      <c r="E2397" t="str">
        <f>IF(A2397="","",IF(SUMPRODUCT((Ввод!$F$12:$F$31&lt;&gt;"")*(Ввод!$F$12:$F$31&lt;=A2397)*(Ввод!$G$12:$G$31&gt;=A2397))&gt;0,1,0))</f>
        <v/>
      </c>
      <c r="G2397" t="str">
        <f t="shared" si="75"/>
        <v/>
      </c>
    </row>
    <row r="2398" spans="1:7" x14ac:dyDescent="0.3">
      <c r="A2398" s="21" t="str">
        <f>IF(A2397="","",IF(A2397+1&gt;Ввод!$B$4,"",A2397+1))</f>
        <v/>
      </c>
      <c r="B2398" s="23" t="str">
        <f>IF(A2398="","",IFERROR(INDEX(Ввод!$B$12:$B$71,MATCH(A2398,Ввод!$D$12:$D$71,1)),""))</f>
        <v/>
      </c>
      <c r="C2398" t="str">
        <f t="shared" si="74"/>
        <v/>
      </c>
      <c r="D2398" t="str">
        <f>IF(A2398="","",SUMIFS(Акты!$D$5:$D$16,Акты!$E$5:$E$16,"&lt;="&amp;A2398)-SUMIFS(Оплаты!$B$6:$B$505,Оплаты!$A$6:$A$505,"&lt;"&amp;A2398,Оплаты!$D$6:$D$505,"&lt;&gt;"))</f>
        <v/>
      </c>
      <c r="E2398" t="str">
        <f>IF(A2398="","",IF(SUMPRODUCT((Ввод!$F$12:$F$31&lt;&gt;"")*(Ввод!$F$12:$F$31&lt;=A2398)*(Ввод!$G$12:$G$31&gt;=A2398))&gt;0,1,0))</f>
        <v/>
      </c>
      <c r="G2398" t="str">
        <f t="shared" si="75"/>
        <v/>
      </c>
    </row>
    <row r="2399" spans="1:7" x14ac:dyDescent="0.3">
      <c r="A2399" s="21" t="str">
        <f>IF(A2398="","",IF(A2398+1&gt;Ввод!$B$4,"",A2398+1))</f>
        <v/>
      </c>
      <c r="B2399" s="23" t="str">
        <f>IF(A2399="","",IFERROR(INDEX(Ввод!$B$12:$B$71,MATCH(A2399,Ввод!$D$12:$D$71,1)),""))</f>
        <v/>
      </c>
      <c r="C2399" t="str">
        <f t="shared" si="74"/>
        <v/>
      </c>
      <c r="D2399" t="str">
        <f>IF(A2399="","",SUMIFS(Акты!$D$5:$D$16,Акты!$E$5:$E$16,"&lt;="&amp;A2399)-SUMIFS(Оплаты!$B$6:$B$505,Оплаты!$A$6:$A$505,"&lt;"&amp;A2399,Оплаты!$D$6:$D$505,"&lt;&gt;"))</f>
        <v/>
      </c>
      <c r="E2399" t="str">
        <f>IF(A2399="","",IF(SUMPRODUCT((Ввод!$F$12:$F$31&lt;&gt;"")*(Ввод!$F$12:$F$31&lt;=A2399)*(Ввод!$G$12:$G$31&gt;=A2399))&gt;0,1,0))</f>
        <v/>
      </c>
      <c r="G2399" t="str">
        <f t="shared" si="75"/>
        <v/>
      </c>
    </row>
    <row r="2400" spans="1:7" x14ac:dyDescent="0.3">
      <c r="A2400" s="21" t="str">
        <f>IF(A2399="","",IF(A2399+1&gt;Ввод!$B$4,"",A2399+1))</f>
        <v/>
      </c>
      <c r="B2400" s="23" t="str">
        <f>IF(A2400="","",IFERROR(INDEX(Ввод!$B$12:$B$71,MATCH(A2400,Ввод!$D$12:$D$71,1)),""))</f>
        <v/>
      </c>
      <c r="C2400" t="str">
        <f t="shared" si="74"/>
        <v/>
      </c>
      <c r="D2400" t="str">
        <f>IF(A2400="","",SUMIFS(Акты!$D$5:$D$16,Акты!$E$5:$E$16,"&lt;="&amp;A2400)-SUMIFS(Оплаты!$B$6:$B$505,Оплаты!$A$6:$A$505,"&lt;"&amp;A2400,Оплаты!$D$6:$D$505,"&lt;&gt;"))</f>
        <v/>
      </c>
      <c r="E2400" t="str">
        <f>IF(A2400="","",IF(SUMPRODUCT((Ввод!$F$12:$F$31&lt;&gt;"")*(Ввод!$F$12:$F$31&lt;=A2400)*(Ввод!$G$12:$G$31&gt;=A2400))&gt;0,1,0))</f>
        <v/>
      </c>
      <c r="G2400" t="str">
        <f t="shared" si="75"/>
        <v/>
      </c>
    </row>
    <row r="2401" spans="1:7" x14ac:dyDescent="0.3">
      <c r="A2401" s="21" t="str">
        <f>IF(A2400="","",IF(A2400+1&gt;Ввод!$B$4,"",A2400+1))</f>
        <v/>
      </c>
      <c r="B2401" s="23" t="str">
        <f>IF(A2401="","",IFERROR(INDEX(Ввод!$B$12:$B$71,MATCH(A2401,Ввод!$D$12:$D$71,1)),""))</f>
        <v/>
      </c>
      <c r="C2401" t="str">
        <f t="shared" si="74"/>
        <v/>
      </c>
      <c r="D2401" t="str">
        <f>IF(A2401="","",SUMIFS(Акты!$D$5:$D$16,Акты!$E$5:$E$16,"&lt;="&amp;A2401)-SUMIFS(Оплаты!$B$6:$B$505,Оплаты!$A$6:$A$505,"&lt;"&amp;A2401,Оплаты!$D$6:$D$505,"&lt;&gt;"))</f>
        <v/>
      </c>
      <c r="E2401" t="str">
        <f>IF(A2401="","",IF(SUMPRODUCT((Ввод!$F$12:$F$31&lt;&gt;"")*(Ввод!$F$12:$F$31&lt;=A2401)*(Ввод!$G$12:$G$31&gt;=A2401))&gt;0,1,0))</f>
        <v/>
      </c>
      <c r="G2401" t="str">
        <f t="shared" si="75"/>
        <v/>
      </c>
    </row>
    <row r="2402" spans="1:7" x14ac:dyDescent="0.3">
      <c r="A2402" s="21" t="str">
        <f>IF(A2401="","",IF(A2401+1&gt;Ввод!$B$4,"",A2401+1))</f>
        <v/>
      </c>
      <c r="B2402" s="23" t="str">
        <f>IF(A2402="","",IFERROR(INDEX(Ввод!$B$12:$B$71,MATCH(A2402,Ввод!$D$12:$D$71,1)),""))</f>
        <v/>
      </c>
      <c r="C2402" t="str">
        <f t="shared" si="74"/>
        <v/>
      </c>
      <c r="D2402" t="str">
        <f>IF(A2402="","",SUMIFS(Акты!$D$5:$D$16,Акты!$E$5:$E$16,"&lt;="&amp;A2402)-SUMIFS(Оплаты!$B$6:$B$505,Оплаты!$A$6:$A$505,"&lt;"&amp;A2402,Оплаты!$D$6:$D$505,"&lt;&gt;"))</f>
        <v/>
      </c>
      <c r="E2402" t="str">
        <f>IF(A2402="","",IF(SUMPRODUCT((Ввод!$F$12:$F$31&lt;&gt;"")*(Ввод!$F$12:$F$31&lt;=A2402)*(Ввод!$G$12:$G$31&gt;=A2402))&gt;0,1,0))</f>
        <v/>
      </c>
      <c r="G2402" t="str">
        <f t="shared" si="75"/>
        <v/>
      </c>
    </row>
    <row r="2403" spans="1:7" x14ac:dyDescent="0.3">
      <c r="A2403" s="21" t="str">
        <f>IF(A2402="","",IF(A2402+1&gt;Ввод!$B$4,"",A2402+1))</f>
        <v/>
      </c>
      <c r="B2403" s="23" t="str">
        <f>IF(A2403="","",IFERROR(INDEX(Ввод!$B$12:$B$71,MATCH(A2403,Ввод!$D$12:$D$71,1)),""))</f>
        <v/>
      </c>
      <c r="C2403" t="str">
        <f t="shared" si="74"/>
        <v/>
      </c>
      <c r="D2403" t="str">
        <f>IF(A2403="","",SUMIFS(Акты!$D$5:$D$16,Акты!$E$5:$E$16,"&lt;="&amp;A2403)-SUMIFS(Оплаты!$B$6:$B$505,Оплаты!$A$6:$A$505,"&lt;"&amp;A2403,Оплаты!$D$6:$D$505,"&lt;&gt;"))</f>
        <v/>
      </c>
      <c r="E2403" t="str">
        <f>IF(A2403="","",IF(SUMPRODUCT((Ввод!$F$12:$F$31&lt;&gt;"")*(Ввод!$F$12:$F$31&lt;=A2403)*(Ввод!$G$12:$G$31&gt;=A2403))&gt;0,1,0))</f>
        <v/>
      </c>
      <c r="G2403" t="str">
        <f t="shared" si="75"/>
        <v/>
      </c>
    </row>
    <row r="2404" spans="1:7" x14ac:dyDescent="0.3">
      <c r="A2404" s="21" t="str">
        <f>IF(A2403="","",IF(A2403+1&gt;Ввод!$B$4,"",A2403+1))</f>
        <v/>
      </c>
      <c r="B2404" s="23" t="str">
        <f>IF(A2404="","",IFERROR(INDEX(Ввод!$B$12:$B$71,MATCH(A2404,Ввод!$D$12:$D$71,1)),""))</f>
        <v/>
      </c>
      <c r="C2404" t="str">
        <f t="shared" si="74"/>
        <v/>
      </c>
      <c r="D2404" t="str">
        <f>IF(A2404="","",SUMIFS(Акты!$D$5:$D$16,Акты!$E$5:$E$16,"&lt;="&amp;A2404)-SUMIFS(Оплаты!$B$6:$B$505,Оплаты!$A$6:$A$505,"&lt;"&amp;A2404,Оплаты!$D$6:$D$505,"&lt;&gt;"))</f>
        <v/>
      </c>
      <c r="E2404" t="str">
        <f>IF(A2404="","",IF(SUMPRODUCT((Ввод!$F$12:$F$31&lt;&gt;"")*(Ввод!$F$12:$F$31&lt;=A2404)*(Ввод!$G$12:$G$31&gt;=A2404))&gt;0,1,0))</f>
        <v/>
      </c>
      <c r="G2404" t="str">
        <f t="shared" si="75"/>
        <v/>
      </c>
    </row>
    <row r="2405" spans="1:7" x14ac:dyDescent="0.3">
      <c r="A2405" s="21" t="str">
        <f>IF(A2404="","",IF(A2404+1&gt;Ввод!$B$4,"",A2404+1))</f>
        <v/>
      </c>
      <c r="B2405" s="23" t="str">
        <f>IF(A2405="","",IFERROR(INDEX(Ввод!$B$12:$B$71,MATCH(A2405,Ввод!$D$12:$D$71,1)),""))</f>
        <v/>
      </c>
      <c r="C2405" t="str">
        <f t="shared" si="74"/>
        <v/>
      </c>
      <c r="D2405" t="str">
        <f>IF(A2405="","",SUMIFS(Акты!$D$5:$D$16,Акты!$E$5:$E$16,"&lt;="&amp;A2405)-SUMIFS(Оплаты!$B$6:$B$505,Оплаты!$A$6:$A$505,"&lt;"&amp;A2405,Оплаты!$D$6:$D$505,"&lt;&gt;"))</f>
        <v/>
      </c>
      <c r="E2405" t="str">
        <f>IF(A2405="","",IF(SUMPRODUCT((Ввод!$F$12:$F$31&lt;&gt;"")*(Ввод!$F$12:$F$31&lt;=A2405)*(Ввод!$G$12:$G$31&gt;=A2405))&gt;0,1,0))</f>
        <v/>
      </c>
      <c r="G2405" t="str">
        <f t="shared" si="75"/>
        <v/>
      </c>
    </row>
    <row r="2406" spans="1:7" x14ac:dyDescent="0.3">
      <c r="A2406" s="21" t="str">
        <f>IF(A2405="","",IF(A2405+1&gt;Ввод!$B$4,"",A2405+1))</f>
        <v/>
      </c>
      <c r="B2406" s="23" t="str">
        <f>IF(A2406="","",IFERROR(INDEX(Ввод!$B$12:$B$71,MATCH(A2406,Ввод!$D$12:$D$71,1)),""))</f>
        <v/>
      </c>
      <c r="C2406" t="str">
        <f t="shared" si="74"/>
        <v/>
      </c>
      <c r="D2406" t="str">
        <f>IF(A2406="","",SUMIFS(Акты!$D$5:$D$16,Акты!$E$5:$E$16,"&lt;="&amp;A2406)-SUMIFS(Оплаты!$B$6:$B$505,Оплаты!$A$6:$A$505,"&lt;"&amp;A2406,Оплаты!$D$6:$D$505,"&lt;&gt;"))</f>
        <v/>
      </c>
      <c r="E2406" t="str">
        <f>IF(A2406="","",IF(SUMPRODUCT((Ввод!$F$12:$F$31&lt;&gt;"")*(Ввод!$F$12:$F$31&lt;=A2406)*(Ввод!$G$12:$G$31&gt;=A2406))&gt;0,1,0))</f>
        <v/>
      </c>
      <c r="G2406" t="str">
        <f t="shared" si="75"/>
        <v/>
      </c>
    </row>
    <row r="2407" spans="1:7" x14ac:dyDescent="0.3">
      <c r="A2407" s="21" t="str">
        <f>IF(A2406="","",IF(A2406+1&gt;Ввод!$B$4,"",A2406+1))</f>
        <v/>
      </c>
      <c r="B2407" s="23" t="str">
        <f>IF(A2407="","",IFERROR(INDEX(Ввод!$B$12:$B$71,MATCH(A2407,Ввод!$D$12:$D$71,1)),""))</f>
        <v/>
      </c>
      <c r="C2407" t="str">
        <f t="shared" si="74"/>
        <v/>
      </c>
      <c r="D2407" t="str">
        <f>IF(A2407="","",SUMIFS(Акты!$D$5:$D$16,Акты!$E$5:$E$16,"&lt;="&amp;A2407)-SUMIFS(Оплаты!$B$6:$B$505,Оплаты!$A$6:$A$505,"&lt;"&amp;A2407,Оплаты!$D$6:$D$505,"&lt;&gt;"))</f>
        <v/>
      </c>
      <c r="E2407" t="str">
        <f>IF(A2407="","",IF(SUMPRODUCT((Ввод!$F$12:$F$31&lt;&gt;"")*(Ввод!$F$12:$F$31&lt;=A2407)*(Ввод!$G$12:$G$31&gt;=A2407))&gt;0,1,0))</f>
        <v/>
      </c>
      <c r="G2407" t="str">
        <f t="shared" si="75"/>
        <v/>
      </c>
    </row>
    <row r="2408" spans="1:7" x14ac:dyDescent="0.3">
      <c r="A2408" s="21" t="str">
        <f>IF(A2407="","",IF(A2407+1&gt;Ввод!$B$4,"",A2407+1))</f>
        <v/>
      </c>
      <c r="B2408" s="23" t="str">
        <f>IF(A2408="","",IFERROR(INDEX(Ввод!$B$12:$B$71,MATCH(A2408,Ввод!$D$12:$D$71,1)),""))</f>
        <v/>
      </c>
      <c r="C2408" t="str">
        <f t="shared" si="74"/>
        <v/>
      </c>
      <c r="D2408" t="str">
        <f>IF(A2408="","",SUMIFS(Акты!$D$5:$D$16,Акты!$E$5:$E$16,"&lt;="&amp;A2408)-SUMIFS(Оплаты!$B$6:$B$505,Оплаты!$A$6:$A$505,"&lt;"&amp;A2408,Оплаты!$D$6:$D$505,"&lt;&gt;"))</f>
        <v/>
      </c>
      <c r="E2408" t="str">
        <f>IF(A2408="","",IF(SUMPRODUCT((Ввод!$F$12:$F$31&lt;&gt;"")*(Ввод!$F$12:$F$31&lt;=A2408)*(Ввод!$G$12:$G$31&gt;=A2408))&gt;0,1,0))</f>
        <v/>
      </c>
      <c r="G2408" t="str">
        <f t="shared" si="75"/>
        <v/>
      </c>
    </row>
    <row r="2409" spans="1:7" x14ac:dyDescent="0.3">
      <c r="A2409" s="21" t="str">
        <f>IF(A2408="","",IF(A2408+1&gt;Ввод!$B$4,"",A2408+1))</f>
        <v/>
      </c>
      <c r="B2409" s="23" t="str">
        <f>IF(A2409="","",IFERROR(INDEX(Ввод!$B$12:$B$71,MATCH(A2409,Ввод!$D$12:$D$71,1)),""))</f>
        <v/>
      </c>
      <c r="C2409" t="str">
        <f t="shared" si="74"/>
        <v/>
      </c>
      <c r="D2409" t="str">
        <f>IF(A2409="","",SUMIFS(Акты!$D$5:$D$16,Акты!$E$5:$E$16,"&lt;="&amp;A2409)-SUMIFS(Оплаты!$B$6:$B$505,Оплаты!$A$6:$A$505,"&lt;"&amp;A2409,Оплаты!$D$6:$D$505,"&lt;&gt;"))</f>
        <v/>
      </c>
      <c r="E2409" t="str">
        <f>IF(A2409="","",IF(SUMPRODUCT((Ввод!$F$12:$F$31&lt;&gt;"")*(Ввод!$F$12:$F$31&lt;=A2409)*(Ввод!$G$12:$G$31&gt;=A2409))&gt;0,1,0))</f>
        <v/>
      </c>
      <c r="G2409" t="str">
        <f t="shared" si="75"/>
        <v/>
      </c>
    </row>
    <row r="2410" spans="1:7" x14ac:dyDescent="0.3">
      <c r="A2410" s="21" t="str">
        <f>IF(A2409="","",IF(A2409+1&gt;Ввод!$B$4,"",A2409+1))</f>
        <v/>
      </c>
      <c r="B2410" s="23" t="str">
        <f>IF(A2410="","",IFERROR(INDEX(Ввод!$B$12:$B$71,MATCH(A2410,Ввод!$D$12:$D$71,1)),""))</f>
        <v/>
      </c>
      <c r="C2410" t="str">
        <f t="shared" si="74"/>
        <v/>
      </c>
      <c r="D2410" t="str">
        <f>IF(A2410="","",SUMIFS(Акты!$D$5:$D$16,Акты!$E$5:$E$16,"&lt;="&amp;A2410)-SUMIFS(Оплаты!$B$6:$B$505,Оплаты!$A$6:$A$505,"&lt;"&amp;A2410,Оплаты!$D$6:$D$505,"&lt;&gt;"))</f>
        <v/>
      </c>
      <c r="E2410" t="str">
        <f>IF(A2410="","",IF(SUMPRODUCT((Ввод!$F$12:$F$31&lt;&gt;"")*(Ввод!$F$12:$F$31&lt;=A2410)*(Ввод!$G$12:$G$31&gt;=A2410))&gt;0,1,0))</f>
        <v/>
      </c>
      <c r="G2410" t="str">
        <f t="shared" si="75"/>
        <v/>
      </c>
    </row>
    <row r="2411" spans="1:7" x14ac:dyDescent="0.3">
      <c r="A2411" s="21" t="str">
        <f>IF(A2410="","",IF(A2410+1&gt;Ввод!$B$4,"",A2410+1))</f>
        <v/>
      </c>
      <c r="B2411" s="23" t="str">
        <f>IF(A2411="","",IFERROR(INDEX(Ввод!$B$12:$B$71,MATCH(A2411,Ввод!$D$12:$D$71,1)),""))</f>
        <v/>
      </c>
      <c r="C2411" t="str">
        <f t="shared" si="74"/>
        <v/>
      </c>
      <c r="D2411" t="str">
        <f>IF(A2411="","",SUMIFS(Акты!$D$5:$D$16,Акты!$E$5:$E$16,"&lt;="&amp;A2411)-SUMIFS(Оплаты!$B$6:$B$505,Оплаты!$A$6:$A$505,"&lt;"&amp;A2411,Оплаты!$D$6:$D$505,"&lt;&gt;"))</f>
        <v/>
      </c>
      <c r="E2411" t="str">
        <f>IF(A2411="","",IF(SUMPRODUCT((Ввод!$F$12:$F$31&lt;&gt;"")*(Ввод!$F$12:$F$31&lt;=A2411)*(Ввод!$G$12:$G$31&gt;=A2411))&gt;0,1,0))</f>
        <v/>
      </c>
      <c r="G2411" t="str">
        <f t="shared" si="75"/>
        <v/>
      </c>
    </row>
    <row r="2412" spans="1:7" x14ac:dyDescent="0.3">
      <c r="A2412" s="21" t="str">
        <f>IF(A2411="","",IF(A2411+1&gt;Ввод!$B$4,"",A2411+1))</f>
        <v/>
      </c>
      <c r="B2412" s="23" t="str">
        <f>IF(A2412="","",IFERROR(INDEX(Ввод!$B$12:$B$71,MATCH(A2412,Ввод!$D$12:$D$71,1)),""))</f>
        <v/>
      </c>
      <c r="C2412" t="str">
        <f t="shared" si="74"/>
        <v/>
      </c>
      <c r="D2412" t="str">
        <f>IF(A2412="","",SUMIFS(Акты!$D$5:$D$16,Акты!$E$5:$E$16,"&lt;="&amp;A2412)-SUMIFS(Оплаты!$B$6:$B$505,Оплаты!$A$6:$A$505,"&lt;"&amp;A2412,Оплаты!$D$6:$D$505,"&lt;&gt;"))</f>
        <v/>
      </c>
      <c r="E2412" t="str">
        <f>IF(A2412="","",IF(SUMPRODUCT((Ввод!$F$12:$F$31&lt;&gt;"")*(Ввод!$F$12:$F$31&lt;=A2412)*(Ввод!$G$12:$G$31&gt;=A2412))&gt;0,1,0))</f>
        <v/>
      </c>
      <c r="G2412" t="str">
        <f t="shared" si="75"/>
        <v/>
      </c>
    </row>
    <row r="2413" spans="1:7" x14ac:dyDescent="0.3">
      <c r="A2413" s="21" t="str">
        <f>IF(A2412="","",IF(A2412+1&gt;Ввод!$B$4,"",A2412+1))</f>
        <v/>
      </c>
      <c r="B2413" s="23" t="str">
        <f>IF(A2413="","",IFERROR(INDEX(Ввод!$B$12:$B$71,MATCH(A2413,Ввод!$D$12:$D$71,1)),""))</f>
        <v/>
      </c>
      <c r="C2413" t="str">
        <f t="shared" si="74"/>
        <v/>
      </c>
      <c r="D2413" t="str">
        <f>IF(A2413="","",SUMIFS(Акты!$D$5:$D$16,Акты!$E$5:$E$16,"&lt;="&amp;A2413)-SUMIFS(Оплаты!$B$6:$B$505,Оплаты!$A$6:$A$505,"&lt;"&amp;A2413,Оплаты!$D$6:$D$505,"&lt;&gt;"))</f>
        <v/>
      </c>
      <c r="E2413" t="str">
        <f>IF(A2413="","",IF(SUMPRODUCT((Ввод!$F$12:$F$31&lt;&gt;"")*(Ввод!$F$12:$F$31&lt;=A2413)*(Ввод!$G$12:$G$31&gt;=A2413))&gt;0,1,0))</f>
        <v/>
      </c>
      <c r="G2413" t="str">
        <f t="shared" si="75"/>
        <v/>
      </c>
    </row>
    <row r="2414" spans="1:7" x14ac:dyDescent="0.3">
      <c r="A2414" s="21" t="str">
        <f>IF(A2413="","",IF(A2413+1&gt;Ввод!$B$4,"",A2413+1))</f>
        <v/>
      </c>
      <c r="B2414" s="23" t="str">
        <f>IF(A2414="","",IFERROR(INDEX(Ввод!$B$12:$B$71,MATCH(A2414,Ввод!$D$12:$D$71,1)),""))</f>
        <v/>
      </c>
      <c r="C2414" t="str">
        <f t="shared" si="74"/>
        <v/>
      </c>
      <c r="D2414" t="str">
        <f>IF(A2414="","",SUMIFS(Акты!$D$5:$D$16,Акты!$E$5:$E$16,"&lt;="&amp;A2414)-SUMIFS(Оплаты!$B$6:$B$505,Оплаты!$A$6:$A$505,"&lt;"&amp;A2414,Оплаты!$D$6:$D$505,"&lt;&gt;"))</f>
        <v/>
      </c>
      <c r="E2414" t="str">
        <f>IF(A2414="","",IF(SUMPRODUCT((Ввод!$F$12:$F$31&lt;&gt;"")*(Ввод!$F$12:$F$31&lt;=A2414)*(Ввод!$G$12:$G$31&gt;=A2414))&gt;0,1,0))</f>
        <v/>
      </c>
      <c r="G2414" t="str">
        <f t="shared" si="75"/>
        <v/>
      </c>
    </row>
    <row r="2415" spans="1:7" x14ac:dyDescent="0.3">
      <c r="A2415" s="21" t="str">
        <f>IF(A2414="","",IF(A2414+1&gt;Ввод!$B$4,"",A2414+1))</f>
        <v/>
      </c>
      <c r="B2415" s="23" t="str">
        <f>IF(A2415="","",IFERROR(INDEX(Ввод!$B$12:$B$71,MATCH(A2415,Ввод!$D$12:$D$71,1)),""))</f>
        <v/>
      </c>
      <c r="C2415" t="str">
        <f t="shared" si="74"/>
        <v/>
      </c>
      <c r="D2415" t="str">
        <f>IF(A2415="","",SUMIFS(Акты!$D$5:$D$16,Акты!$E$5:$E$16,"&lt;="&amp;A2415)-SUMIFS(Оплаты!$B$6:$B$505,Оплаты!$A$6:$A$505,"&lt;"&amp;A2415,Оплаты!$D$6:$D$505,"&lt;&gt;"))</f>
        <v/>
      </c>
      <c r="E2415" t="str">
        <f>IF(A2415="","",IF(SUMPRODUCT((Ввод!$F$12:$F$31&lt;&gt;"")*(Ввод!$F$12:$F$31&lt;=A2415)*(Ввод!$G$12:$G$31&gt;=A2415))&gt;0,1,0))</f>
        <v/>
      </c>
      <c r="G2415" t="str">
        <f t="shared" si="75"/>
        <v/>
      </c>
    </row>
    <row r="2416" spans="1:7" x14ac:dyDescent="0.3">
      <c r="A2416" s="21" t="str">
        <f>IF(A2415="","",IF(A2415+1&gt;Ввод!$B$4,"",A2415+1))</f>
        <v/>
      </c>
      <c r="B2416" s="23" t="str">
        <f>IF(A2416="","",IFERROR(INDEX(Ввод!$B$12:$B$71,MATCH(A2416,Ввод!$D$12:$D$71,1)),""))</f>
        <v/>
      </c>
      <c r="C2416" t="str">
        <f t="shared" si="74"/>
        <v/>
      </c>
      <c r="D2416" t="str">
        <f>IF(A2416="","",SUMIFS(Акты!$D$5:$D$16,Акты!$E$5:$E$16,"&lt;="&amp;A2416)-SUMIFS(Оплаты!$B$6:$B$505,Оплаты!$A$6:$A$505,"&lt;"&amp;A2416,Оплаты!$D$6:$D$505,"&lt;&gt;"))</f>
        <v/>
      </c>
      <c r="E2416" t="str">
        <f>IF(A2416="","",IF(SUMPRODUCT((Ввод!$F$12:$F$31&lt;&gt;"")*(Ввод!$F$12:$F$31&lt;=A2416)*(Ввод!$G$12:$G$31&gt;=A2416))&gt;0,1,0))</f>
        <v/>
      </c>
      <c r="G2416" t="str">
        <f t="shared" si="75"/>
        <v/>
      </c>
    </row>
    <row r="2417" spans="1:7" x14ac:dyDescent="0.3">
      <c r="A2417" s="21" t="str">
        <f>IF(A2416="","",IF(A2416+1&gt;Ввод!$B$4,"",A2416+1))</f>
        <v/>
      </c>
      <c r="B2417" s="23" t="str">
        <f>IF(A2417="","",IFERROR(INDEX(Ввод!$B$12:$B$71,MATCH(A2417,Ввод!$D$12:$D$71,1)),""))</f>
        <v/>
      </c>
      <c r="C2417" t="str">
        <f t="shared" si="74"/>
        <v/>
      </c>
      <c r="D2417" t="str">
        <f>IF(A2417="","",SUMIFS(Акты!$D$5:$D$16,Акты!$E$5:$E$16,"&lt;="&amp;A2417)-SUMIFS(Оплаты!$B$6:$B$505,Оплаты!$A$6:$A$505,"&lt;"&amp;A2417,Оплаты!$D$6:$D$505,"&lt;&gt;"))</f>
        <v/>
      </c>
      <c r="E2417" t="str">
        <f>IF(A2417="","",IF(SUMPRODUCT((Ввод!$F$12:$F$31&lt;&gt;"")*(Ввод!$F$12:$F$31&lt;=A2417)*(Ввод!$G$12:$G$31&gt;=A2417))&gt;0,1,0))</f>
        <v/>
      </c>
      <c r="G2417" t="str">
        <f t="shared" si="75"/>
        <v/>
      </c>
    </row>
    <row r="2418" spans="1:7" x14ac:dyDescent="0.3">
      <c r="A2418" s="21" t="str">
        <f>IF(A2417="","",IF(A2417+1&gt;Ввод!$B$4,"",A2417+1))</f>
        <v/>
      </c>
      <c r="B2418" s="23" t="str">
        <f>IF(A2418="","",IFERROR(INDEX(Ввод!$B$12:$B$71,MATCH(A2418,Ввод!$D$12:$D$71,1)),""))</f>
        <v/>
      </c>
      <c r="C2418" t="str">
        <f t="shared" si="74"/>
        <v/>
      </c>
      <c r="D2418" t="str">
        <f>IF(A2418="","",SUMIFS(Акты!$D$5:$D$16,Акты!$E$5:$E$16,"&lt;="&amp;A2418)-SUMIFS(Оплаты!$B$6:$B$505,Оплаты!$A$6:$A$505,"&lt;"&amp;A2418,Оплаты!$D$6:$D$505,"&lt;&gt;"))</f>
        <v/>
      </c>
      <c r="E2418" t="str">
        <f>IF(A2418="","",IF(SUMPRODUCT((Ввод!$F$12:$F$31&lt;&gt;"")*(Ввод!$F$12:$F$31&lt;=A2418)*(Ввод!$G$12:$G$31&gt;=A2418))&gt;0,1,0))</f>
        <v/>
      </c>
      <c r="G2418" t="str">
        <f t="shared" si="75"/>
        <v/>
      </c>
    </row>
    <row r="2419" spans="1:7" x14ac:dyDescent="0.3">
      <c r="A2419" s="21" t="str">
        <f>IF(A2418="","",IF(A2418+1&gt;Ввод!$B$4,"",A2418+1))</f>
        <v/>
      </c>
      <c r="B2419" s="23" t="str">
        <f>IF(A2419="","",IFERROR(INDEX(Ввод!$B$12:$B$71,MATCH(A2419,Ввод!$D$12:$D$71,1)),""))</f>
        <v/>
      </c>
      <c r="C2419" t="str">
        <f t="shared" si="74"/>
        <v/>
      </c>
      <c r="D2419" t="str">
        <f>IF(A2419="","",SUMIFS(Акты!$D$5:$D$16,Акты!$E$5:$E$16,"&lt;="&amp;A2419)-SUMIFS(Оплаты!$B$6:$B$505,Оплаты!$A$6:$A$505,"&lt;"&amp;A2419,Оплаты!$D$6:$D$505,"&lt;&gt;"))</f>
        <v/>
      </c>
      <c r="E2419" t="str">
        <f>IF(A2419="","",IF(SUMPRODUCT((Ввод!$F$12:$F$31&lt;&gt;"")*(Ввод!$F$12:$F$31&lt;=A2419)*(Ввод!$G$12:$G$31&gt;=A2419))&gt;0,1,0))</f>
        <v/>
      </c>
      <c r="G2419" t="str">
        <f t="shared" si="75"/>
        <v/>
      </c>
    </row>
    <row r="2420" spans="1:7" x14ac:dyDescent="0.3">
      <c r="A2420" s="21" t="str">
        <f>IF(A2419="","",IF(A2419+1&gt;Ввод!$B$4,"",A2419+1))</f>
        <v/>
      </c>
      <c r="B2420" s="23" t="str">
        <f>IF(A2420="","",IFERROR(INDEX(Ввод!$B$12:$B$71,MATCH(A2420,Ввод!$D$12:$D$71,1)),""))</f>
        <v/>
      </c>
      <c r="C2420" t="str">
        <f t="shared" si="74"/>
        <v/>
      </c>
      <c r="D2420" t="str">
        <f>IF(A2420="","",SUMIFS(Акты!$D$5:$D$16,Акты!$E$5:$E$16,"&lt;="&amp;A2420)-SUMIFS(Оплаты!$B$6:$B$505,Оплаты!$A$6:$A$505,"&lt;"&amp;A2420,Оплаты!$D$6:$D$505,"&lt;&gt;"))</f>
        <v/>
      </c>
      <c r="E2420" t="str">
        <f>IF(A2420="","",IF(SUMPRODUCT((Ввод!$F$12:$F$31&lt;&gt;"")*(Ввод!$F$12:$F$31&lt;=A2420)*(Ввод!$G$12:$G$31&gt;=A2420))&gt;0,1,0))</f>
        <v/>
      </c>
      <c r="G2420" t="str">
        <f t="shared" si="75"/>
        <v/>
      </c>
    </row>
    <row r="2421" spans="1:7" x14ac:dyDescent="0.3">
      <c r="A2421" s="21" t="str">
        <f>IF(A2420="","",IF(A2420+1&gt;Ввод!$B$4,"",A2420+1))</f>
        <v/>
      </c>
      <c r="B2421" s="23" t="str">
        <f>IF(A2421="","",IFERROR(INDEX(Ввод!$B$12:$B$71,MATCH(A2421,Ввод!$D$12:$D$71,1)),""))</f>
        <v/>
      </c>
      <c r="C2421" t="str">
        <f t="shared" si="74"/>
        <v/>
      </c>
      <c r="D2421" t="str">
        <f>IF(A2421="","",SUMIFS(Акты!$D$5:$D$16,Акты!$E$5:$E$16,"&lt;="&amp;A2421)-SUMIFS(Оплаты!$B$6:$B$505,Оплаты!$A$6:$A$505,"&lt;"&amp;A2421,Оплаты!$D$6:$D$505,"&lt;&gt;"))</f>
        <v/>
      </c>
      <c r="E2421" t="str">
        <f>IF(A2421="","",IF(SUMPRODUCT((Ввод!$F$12:$F$31&lt;&gt;"")*(Ввод!$F$12:$F$31&lt;=A2421)*(Ввод!$G$12:$G$31&gt;=A2421))&gt;0,1,0))</f>
        <v/>
      </c>
      <c r="G2421" t="str">
        <f t="shared" si="75"/>
        <v/>
      </c>
    </row>
    <row r="2422" spans="1:7" x14ac:dyDescent="0.3">
      <c r="A2422" s="21" t="str">
        <f>IF(A2421="","",IF(A2421+1&gt;Ввод!$B$4,"",A2421+1))</f>
        <v/>
      </c>
      <c r="B2422" s="23" t="str">
        <f>IF(A2422="","",IFERROR(INDEX(Ввод!$B$12:$B$71,MATCH(A2422,Ввод!$D$12:$D$71,1)),""))</f>
        <v/>
      </c>
      <c r="C2422" t="str">
        <f t="shared" si="74"/>
        <v/>
      </c>
      <c r="D2422" t="str">
        <f>IF(A2422="","",SUMIFS(Акты!$D$5:$D$16,Акты!$E$5:$E$16,"&lt;="&amp;A2422)-SUMIFS(Оплаты!$B$6:$B$505,Оплаты!$A$6:$A$505,"&lt;"&amp;A2422,Оплаты!$D$6:$D$505,"&lt;&gt;"))</f>
        <v/>
      </c>
      <c r="E2422" t="str">
        <f>IF(A2422="","",IF(SUMPRODUCT((Ввод!$F$12:$F$31&lt;&gt;"")*(Ввод!$F$12:$F$31&lt;=A2422)*(Ввод!$G$12:$G$31&gt;=A2422))&gt;0,1,0))</f>
        <v/>
      </c>
      <c r="G2422" t="str">
        <f t="shared" si="75"/>
        <v/>
      </c>
    </row>
    <row r="2423" spans="1:7" x14ac:dyDescent="0.3">
      <c r="A2423" s="21" t="str">
        <f>IF(A2422="","",IF(A2422+1&gt;Ввод!$B$4,"",A2422+1))</f>
        <v/>
      </c>
      <c r="B2423" s="23" t="str">
        <f>IF(A2423="","",IFERROR(INDEX(Ввод!$B$12:$B$71,MATCH(A2423,Ввод!$D$12:$D$71,1)),""))</f>
        <v/>
      </c>
      <c r="C2423" t="str">
        <f t="shared" si="74"/>
        <v/>
      </c>
      <c r="D2423" t="str">
        <f>IF(A2423="","",SUMIFS(Акты!$D$5:$D$16,Акты!$E$5:$E$16,"&lt;="&amp;A2423)-SUMIFS(Оплаты!$B$6:$B$505,Оплаты!$A$6:$A$505,"&lt;"&amp;A2423,Оплаты!$D$6:$D$505,"&lt;&gt;"))</f>
        <v/>
      </c>
      <c r="E2423" t="str">
        <f>IF(A2423="","",IF(SUMPRODUCT((Ввод!$F$12:$F$31&lt;&gt;"")*(Ввод!$F$12:$F$31&lt;=A2423)*(Ввод!$G$12:$G$31&gt;=A2423))&gt;0,1,0))</f>
        <v/>
      </c>
      <c r="G2423" t="str">
        <f t="shared" si="75"/>
        <v/>
      </c>
    </row>
    <row r="2424" spans="1:7" x14ac:dyDescent="0.3">
      <c r="A2424" s="21" t="str">
        <f>IF(A2423="","",IF(A2423+1&gt;Ввод!$B$4,"",A2423+1))</f>
        <v/>
      </c>
      <c r="B2424" s="23" t="str">
        <f>IF(A2424="","",IFERROR(INDEX(Ввод!$B$12:$B$71,MATCH(A2424,Ввод!$D$12:$D$71,1)),""))</f>
        <v/>
      </c>
      <c r="C2424" t="str">
        <f t="shared" si="74"/>
        <v/>
      </c>
      <c r="D2424" t="str">
        <f>IF(A2424="","",SUMIFS(Акты!$D$5:$D$16,Акты!$E$5:$E$16,"&lt;="&amp;A2424)-SUMIFS(Оплаты!$B$6:$B$505,Оплаты!$A$6:$A$505,"&lt;"&amp;A2424,Оплаты!$D$6:$D$505,"&lt;&gt;"))</f>
        <v/>
      </c>
      <c r="E2424" t="str">
        <f>IF(A2424="","",IF(SUMPRODUCT((Ввод!$F$12:$F$31&lt;&gt;"")*(Ввод!$F$12:$F$31&lt;=A2424)*(Ввод!$G$12:$G$31&gt;=A2424))&gt;0,1,0))</f>
        <v/>
      </c>
      <c r="G2424" t="str">
        <f t="shared" si="75"/>
        <v/>
      </c>
    </row>
    <row r="2425" spans="1:7" x14ac:dyDescent="0.3">
      <c r="A2425" s="21" t="str">
        <f>IF(A2424="","",IF(A2424+1&gt;Ввод!$B$4,"",A2424+1))</f>
        <v/>
      </c>
      <c r="B2425" s="23" t="str">
        <f>IF(A2425="","",IFERROR(INDEX(Ввод!$B$12:$B$71,MATCH(A2425,Ввод!$D$12:$D$71,1)),""))</f>
        <v/>
      </c>
      <c r="C2425" t="str">
        <f t="shared" si="74"/>
        <v/>
      </c>
      <c r="D2425" t="str">
        <f>IF(A2425="","",SUMIFS(Акты!$D$5:$D$16,Акты!$E$5:$E$16,"&lt;="&amp;A2425)-SUMIFS(Оплаты!$B$6:$B$505,Оплаты!$A$6:$A$505,"&lt;"&amp;A2425,Оплаты!$D$6:$D$505,"&lt;&gt;"))</f>
        <v/>
      </c>
      <c r="E2425" t="str">
        <f>IF(A2425="","",IF(SUMPRODUCT((Ввод!$F$12:$F$31&lt;&gt;"")*(Ввод!$F$12:$F$31&lt;=A2425)*(Ввод!$G$12:$G$31&gt;=A2425))&gt;0,1,0))</f>
        <v/>
      </c>
      <c r="G2425" t="str">
        <f t="shared" si="75"/>
        <v/>
      </c>
    </row>
    <row r="2426" spans="1:7" x14ac:dyDescent="0.3">
      <c r="A2426" s="21" t="str">
        <f>IF(A2425="","",IF(A2425+1&gt;Ввод!$B$4,"",A2425+1))</f>
        <v/>
      </c>
      <c r="B2426" s="23" t="str">
        <f>IF(A2426="","",IFERROR(INDEX(Ввод!$B$12:$B$71,MATCH(A2426,Ввод!$D$12:$D$71,1)),""))</f>
        <v/>
      </c>
      <c r="C2426" t="str">
        <f t="shared" si="74"/>
        <v/>
      </c>
      <c r="D2426" t="str">
        <f>IF(A2426="","",SUMIFS(Акты!$D$5:$D$16,Акты!$E$5:$E$16,"&lt;="&amp;A2426)-SUMIFS(Оплаты!$B$6:$B$505,Оплаты!$A$6:$A$505,"&lt;"&amp;A2426,Оплаты!$D$6:$D$505,"&lt;&gt;"))</f>
        <v/>
      </c>
      <c r="E2426" t="str">
        <f>IF(A2426="","",IF(SUMPRODUCT((Ввод!$F$12:$F$31&lt;&gt;"")*(Ввод!$F$12:$F$31&lt;=A2426)*(Ввод!$G$12:$G$31&gt;=A2426))&gt;0,1,0))</f>
        <v/>
      </c>
      <c r="G2426" t="str">
        <f t="shared" si="75"/>
        <v/>
      </c>
    </row>
    <row r="2427" spans="1:7" x14ac:dyDescent="0.3">
      <c r="A2427" s="21" t="str">
        <f>IF(A2426="","",IF(A2426+1&gt;Ввод!$B$4,"",A2426+1))</f>
        <v/>
      </c>
      <c r="B2427" s="23" t="str">
        <f>IF(A2427="","",IFERROR(INDEX(Ввод!$B$12:$B$71,MATCH(A2427,Ввод!$D$12:$D$71,1)),""))</f>
        <v/>
      </c>
      <c r="C2427" t="str">
        <f t="shared" si="74"/>
        <v/>
      </c>
      <c r="D2427" t="str">
        <f>IF(A2427="","",SUMIFS(Акты!$D$5:$D$16,Акты!$E$5:$E$16,"&lt;="&amp;A2427)-SUMIFS(Оплаты!$B$6:$B$505,Оплаты!$A$6:$A$505,"&lt;"&amp;A2427,Оплаты!$D$6:$D$505,"&lt;&gt;"))</f>
        <v/>
      </c>
      <c r="E2427" t="str">
        <f>IF(A2427="","",IF(SUMPRODUCT((Ввод!$F$12:$F$31&lt;&gt;"")*(Ввод!$F$12:$F$31&lt;=A2427)*(Ввод!$G$12:$G$31&gt;=A2427))&gt;0,1,0))</f>
        <v/>
      </c>
      <c r="G2427" t="str">
        <f t="shared" si="75"/>
        <v/>
      </c>
    </row>
    <row r="2428" spans="1:7" x14ac:dyDescent="0.3">
      <c r="A2428" s="21" t="str">
        <f>IF(A2427="","",IF(A2427+1&gt;Ввод!$B$4,"",A2427+1))</f>
        <v/>
      </c>
      <c r="B2428" s="23" t="str">
        <f>IF(A2428="","",IFERROR(INDEX(Ввод!$B$12:$B$71,MATCH(A2428,Ввод!$D$12:$D$71,1)),""))</f>
        <v/>
      </c>
      <c r="C2428" t="str">
        <f t="shared" si="74"/>
        <v/>
      </c>
      <c r="D2428" t="str">
        <f>IF(A2428="","",SUMIFS(Акты!$D$5:$D$16,Акты!$E$5:$E$16,"&lt;="&amp;A2428)-SUMIFS(Оплаты!$B$6:$B$505,Оплаты!$A$6:$A$505,"&lt;"&amp;A2428,Оплаты!$D$6:$D$505,"&lt;&gt;"))</f>
        <v/>
      </c>
      <c r="E2428" t="str">
        <f>IF(A2428="","",IF(SUMPRODUCT((Ввод!$F$12:$F$31&lt;&gt;"")*(Ввод!$F$12:$F$31&lt;=A2428)*(Ввод!$G$12:$G$31&gt;=A2428))&gt;0,1,0))</f>
        <v/>
      </c>
      <c r="G2428" t="str">
        <f t="shared" si="75"/>
        <v/>
      </c>
    </row>
    <row r="2429" spans="1:7" x14ac:dyDescent="0.3">
      <c r="A2429" s="21" t="str">
        <f>IF(A2428="","",IF(A2428+1&gt;Ввод!$B$4,"",A2428+1))</f>
        <v/>
      </c>
      <c r="B2429" s="23" t="str">
        <f>IF(A2429="","",IFERROR(INDEX(Ввод!$B$12:$B$71,MATCH(A2429,Ввод!$D$12:$D$71,1)),""))</f>
        <v/>
      </c>
      <c r="C2429" t="str">
        <f t="shared" si="74"/>
        <v/>
      </c>
      <c r="D2429" t="str">
        <f>IF(A2429="","",SUMIFS(Акты!$D$5:$D$16,Акты!$E$5:$E$16,"&lt;="&amp;A2429)-SUMIFS(Оплаты!$B$6:$B$505,Оплаты!$A$6:$A$505,"&lt;"&amp;A2429,Оплаты!$D$6:$D$505,"&lt;&gt;"))</f>
        <v/>
      </c>
      <c r="E2429" t="str">
        <f>IF(A2429="","",IF(SUMPRODUCT((Ввод!$F$12:$F$31&lt;&gt;"")*(Ввод!$F$12:$F$31&lt;=A2429)*(Ввод!$G$12:$G$31&gt;=A2429))&gt;0,1,0))</f>
        <v/>
      </c>
      <c r="G2429" t="str">
        <f t="shared" si="75"/>
        <v/>
      </c>
    </row>
    <row r="2430" spans="1:7" x14ac:dyDescent="0.3">
      <c r="A2430" s="21" t="str">
        <f>IF(A2429="","",IF(A2429+1&gt;Ввод!$B$4,"",A2429+1))</f>
        <v/>
      </c>
      <c r="B2430" s="23" t="str">
        <f>IF(A2430="","",IFERROR(INDEX(Ввод!$B$12:$B$71,MATCH(A2430,Ввод!$D$12:$D$71,1)),""))</f>
        <v/>
      </c>
      <c r="C2430" t="str">
        <f t="shared" si="74"/>
        <v/>
      </c>
      <c r="D2430" t="str">
        <f>IF(A2430="","",SUMIFS(Акты!$D$5:$D$16,Акты!$E$5:$E$16,"&lt;="&amp;A2430)-SUMIFS(Оплаты!$B$6:$B$505,Оплаты!$A$6:$A$505,"&lt;"&amp;A2430,Оплаты!$D$6:$D$505,"&lt;&gt;"))</f>
        <v/>
      </c>
      <c r="E2430" t="str">
        <f>IF(A2430="","",IF(SUMPRODUCT((Ввод!$F$12:$F$31&lt;&gt;"")*(Ввод!$F$12:$F$31&lt;=A2430)*(Ввод!$G$12:$G$31&gt;=A2430))&gt;0,1,0))</f>
        <v/>
      </c>
      <c r="G2430" t="str">
        <f t="shared" si="75"/>
        <v/>
      </c>
    </row>
    <row r="2431" spans="1:7" x14ac:dyDescent="0.3">
      <c r="A2431" s="21" t="str">
        <f>IF(A2430="","",IF(A2430+1&gt;Ввод!$B$4,"",A2430+1))</f>
        <v/>
      </c>
      <c r="B2431" s="23" t="str">
        <f>IF(A2431="","",IFERROR(INDEX(Ввод!$B$12:$B$71,MATCH(A2431,Ввод!$D$12:$D$71,1)),""))</f>
        <v/>
      </c>
      <c r="C2431" t="str">
        <f t="shared" si="74"/>
        <v/>
      </c>
      <c r="D2431" t="str">
        <f>IF(A2431="","",SUMIFS(Акты!$D$5:$D$16,Акты!$E$5:$E$16,"&lt;="&amp;A2431)-SUMIFS(Оплаты!$B$6:$B$505,Оплаты!$A$6:$A$505,"&lt;"&amp;A2431,Оплаты!$D$6:$D$505,"&lt;&gt;"))</f>
        <v/>
      </c>
      <c r="E2431" t="str">
        <f>IF(A2431="","",IF(SUMPRODUCT((Ввод!$F$12:$F$31&lt;&gt;"")*(Ввод!$F$12:$F$31&lt;=A2431)*(Ввод!$G$12:$G$31&gt;=A2431))&gt;0,1,0))</f>
        <v/>
      </c>
      <c r="G2431" t="str">
        <f t="shared" si="75"/>
        <v/>
      </c>
    </row>
    <row r="2432" spans="1:7" x14ac:dyDescent="0.3">
      <c r="A2432" s="21" t="str">
        <f>IF(A2431="","",IF(A2431+1&gt;Ввод!$B$4,"",A2431+1))</f>
        <v/>
      </c>
      <c r="B2432" s="23" t="str">
        <f>IF(A2432="","",IFERROR(INDEX(Ввод!$B$12:$B$71,MATCH(A2432,Ввод!$D$12:$D$71,1)),""))</f>
        <v/>
      </c>
      <c r="C2432" t="str">
        <f t="shared" si="74"/>
        <v/>
      </c>
      <c r="D2432" t="str">
        <f>IF(A2432="","",SUMIFS(Акты!$D$5:$D$16,Акты!$E$5:$E$16,"&lt;="&amp;A2432)-SUMIFS(Оплаты!$B$6:$B$505,Оплаты!$A$6:$A$505,"&lt;"&amp;A2432,Оплаты!$D$6:$D$505,"&lt;&gt;"))</f>
        <v/>
      </c>
      <c r="E2432" t="str">
        <f>IF(A2432="","",IF(SUMPRODUCT((Ввод!$F$12:$F$31&lt;&gt;"")*(Ввод!$F$12:$F$31&lt;=A2432)*(Ввод!$G$12:$G$31&gt;=A2432))&gt;0,1,0))</f>
        <v/>
      </c>
      <c r="G2432" t="str">
        <f t="shared" si="75"/>
        <v/>
      </c>
    </row>
    <row r="2433" spans="1:7" x14ac:dyDescent="0.3">
      <c r="A2433" s="21" t="str">
        <f>IF(A2432="","",IF(A2432+1&gt;Ввод!$B$4,"",A2432+1))</f>
        <v/>
      </c>
      <c r="B2433" s="23" t="str">
        <f>IF(A2433="","",IFERROR(INDEX(Ввод!$B$12:$B$71,MATCH(A2433,Ввод!$D$12:$D$71,1)),""))</f>
        <v/>
      </c>
      <c r="C2433" t="str">
        <f t="shared" si="74"/>
        <v/>
      </c>
      <c r="D2433" t="str">
        <f>IF(A2433="","",SUMIFS(Акты!$D$5:$D$16,Акты!$E$5:$E$16,"&lt;="&amp;A2433)-SUMIFS(Оплаты!$B$6:$B$505,Оплаты!$A$6:$A$505,"&lt;"&amp;A2433,Оплаты!$D$6:$D$505,"&lt;&gt;"))</f>
        <v/>
      </c>
      <c r="E2433" t="str">
        <f>IF(A2433="","",IF(SUMPRODUCT((Ввод!$F$12:$F$31&lt;&gt;"")*(Ввод!$F$12:$F$31&lt;=A2433)*(Ввод!$G$12:$G$31&gt;=A2433))&gt;0,1,0))</f>
        <v/>
      </c>
      <c r="G2433" t="str">
        <f t="shared" si="75"/>
        <v/>
      </c>
    </row>
    <row r="2434" spans="1:7" x14ac:dyDescent="0.3">
      <c r="A2434" s="21" t="str">
        <f>IF(A2433="","",IF(A2433+1&gt;Ввод!$B$4,"",A2433+1))</f>
        <v/>
      </c>
      <c r="B2434" s="23" t="str">
        <f>IF(A2434="","",IFERROR(INDEX(Ввод!$B$12:$B$71,MATCH(A2434,Ввод!$D$12:$D$71,1)),""))</f>
        <v/>
      </c>
      <c r="C2434" t="str">
        <f t="shared" ref="C2434:C2497" si="76">IF(A2434="","",DATE(YEAR(A2434),12,31)-DATE(YEAR(A2434),1,1)+1)</f>
        <v/>
      </c>
      <c r="D2434" t="str">
        <f>IF(A2434="","",SUMIFS(Акты!$D$5:$D$16,Акты!$E$5:$E$16,"&lt;="&amp;A2434)-SUMIFS(Оплаты!$B$6:$B$505,Оплаты!$A$6:$A$505,"&lt;"&amp;A2434,Оплаты!$D$6:$D$505,"&lt;&gt;"))</f>
        <v/>
      </c>
      <c r="E2434" t="str">
        <f>IF(A2434="","",IF(SUMPRODUCT((Ввод!$F$12:$F$31&lt;&gt;"")*(Ввод!$F$12:$F$31&lt;=A2434)*(Ввод!$G$12:$G$31&gt;=A2434))&gt;0,1,0))</f>
        <v/>
      </c>
      <c r="G2434" t="str">
        <f t="shared" si="75"/>
        <v/>
      </c>
    </row>
    <row r="2435" spans="1:7" x14ac:dyDescent="0.3">
      <c r="A2435" s="21" t="str">
        <f>IF(A2434="","",IF(A2434+1&gt;Ввод!$B$4,"",A2434+1))</f>
        <v/>
      </c>
      <c r="B2435" s="23" t="str">
        <f>IF(A2435="","",IFERROR(INDEX(Ввод!$B$12:$B$71,MATCH(A2435,Ввод!$D$12:$D$71,1)),""))</f>
        <v/>
      </c>
      <c r="C2435" t="str">
        <f t="shared" si="76"/>
        <v/>
      </c>
      <c r="D2435" t="str">
        <f>IF(A2435="","",SUMIFS(Акты!$D$5:$D$16,Акты!$E$5:$E$16,"&lt;="&amp;A2435)-SUMIFS(Оплаты!$B$6:$B$505,Оплаты!$A$6:$A$505,"&lt;"&amp;A2435,Оплаты!$D$6:$D$505,"&lt;&gt;"))</f>
        <v/>
      </c>
      <c r="E2435" t="str">
        <f>IF(A2435="","",IF(SUMPRODUCT((Ввод!$F$12:$F$31&lt;&gt;"")*(Ввод!$F$12:$F$31&lt;=A2435)*(Ввод!$G$12:$G$31&gt;=A2435))&gt;0,1,0))</f>
        <v/>
      </c>
      <c r="G2435" t="str">
        <f t="shared" ref="G2435:G2498" si="77">IF(A2435="","",IF(OR(B2435&lt;&gt;B2434,C2435&lt;&gt;C2434,E2435&lt;&gt;E2434),G2434+1,G2434))</f>
        <v/>
      </c>
    </row>
    <row r="2436" spans="1:7" x14ac:dyDescent="0.3">
      <c r="A2436" s="21" t="str">
        <f>IF(A2435="","",IF(A2435+1&gt;Ввод!$B$4,"",A2435+1))</f>
        <v/>
      </c>
      <c r="B2436" s="23" t="str">
        <f>IF(A2436="","",IFERROR(INDEX(Ввод!$B$12:$B$71,MATCH(A2436,Ввод!$D$12:$D$71,1)),""))</f>
        <v/>
      </c>
      <c r="C2436" t="str">
        <f t="shared" si="76"/>
        <v/>
      </c>
      <c r="D2436" t="str">
        <f>IF(A2436="","",SUMIFS(Акты!$D$5:$D$16,Акты!$E$5:$E$16,"&lt;="&amp;A2436)-SUMIFS(Оплаты!$B$6:$B$505,Оплаты!$A$6:$A$505,"&lt;"&amp;A2436,Оплаты!$D$6:$D$505,"&lt;&gt;"))</f>
        <v/>
      </c>
      <c r="E2436" t="str">
        <f>IF(A2436="","",IF(SUMPRODUCT((Ввод!$F$12:$F$31&lt;&gt;"")*(Ввод!$F$12:$F$31&lt;=A2436)*(Ввод!$G$12:$G$31&gt;=A2436))&gt;0,1,0))</f>
        <v/>
      </c>
      <c r="G2436" t="str">
        <f t="shared" si="77"/>
        <v/>
      </c>
    </row>
    <row r="2437" spans="1:7" x14ac:dyDescent="0.3">
      <c r="A2437" s="21" t="str">
        <f>IF(A2436="","",IF(A2436+1&gt;Ввод!$B$4,"",A2436+1))</f>
        <v/>
      </c>
      <c r="B2437" s="23" t="str">
        <f>IF(A2437="","",IFERROR(INDEX(Ввод!$B$12:$B$71,MATCH(A2437,Ввод!$D$12:$D$71,1)),""))</f>
        <v/>
      </c>
      <c r="C2437" t="str">
        <f t="shared" si="76"/>
        <v/>
      </c>
      <c r="D2437" t="str">
        <f>IF(A2437="","",SUMIFS(Акты!$D$5:$D$16,Акты!$E$5:$E$16,"&lt;="&amp;A2437)-SUMIFS(Оплаты!$B$6:$B$505,Оплаты!$A$6:$A$505,"&lt;"&amp;A2437,Оплаты!$D$6:$D$505,"&lt;&gt;"))</f>
        <v/>
      </c>
      <c r="E2437" t="str">
        <f>IF(A2437="","",IF(SUMPRODUCT((Ввод!$F$12:$F$31&lt;&gt;"")*(Ввод!$F$12:$F$31&lt;=A2437)*(Ввод!$G$12:$G$31&gt;=A2437))&gt;0,1,0))</f>
        <v/>
      </c>
      <c r="G2437" t="str">
        <f t="shared" si="77"/>
        <v/>
      </c>
    </row>
    <row r="2438" spans="1:7" x14ac:dyDescent="0.3">
      <c r="A2438" s="21" t="str">
        <f>IF(A2437="","",IF(A2437+1&gt;Ввод!$B$4,"",A2437+1))</f>
        <v/>
      </c>
      <c r="B2438" s="23" t="str">
        <f>IF(A2438="","",IFERROR(INDEX(Ввод!$B$12:$B$71,MATCH(A2438,Ввод!$D$12:$D$71,1)),""))</f>
        <v/>
      </c>
      <c r="C2438" t="str">
        <f t="shared" si="76"/>
        <v/>
      </c>
      <c r="D2438" t="str">
        <f>IF(A2438="","",SUMIFS(Акты!$D$5:$D$16,Акты!$E$5:$E$16,"&lt;="&amp;A2438)-SUMIFS(Оплаты!$B$6:$B$505,Оплаты!$A$6:$A$505,"&lt;"&amp;A2438,Оплаты!$D$6:$D$505,"&lt;&gt;"))</f>
        <v/>
      </c>
      <c r="E2438" t="str">
        <f>IF(A2438="","",IF(SUMPRODUCT((Ввод!$F$12:$F$31&lt;&gt;"")*(Ввод!$F$12:$F$31&lt;=A2438)*(Ввод!$G$12:$G$31&gt;=A2438))&gt;0,1,0))</f>
        <v/>
      </c>
      <c r="G2438" t="str">
        <f t="shared" si="77"/>
        <v/>
      </c>
    </row>
    <row r="2439" spans="1:7" x14ac:dyDescent="0.3">
      <c r="A2439" s="21" t="str">
        <f>IF(A2438="","",IF(A2438+1&gt;Ввод!$B$4,"",A2438+1))</f>
        <v/>
      </c>
      <c r="B2439" s="23" t="str">
        <f>IF(A2439="","",IFERROR(INDEX(Ввод!$B$12:$B$71,MATCH(A2439,Ввод!$D$12:$D$71,1)),""))</f>
        <v/>
      </c>
      <c r="C2439" t="str">
        <f t="shared" si="76"/>
        <v/>
      </c>
      <c r="D2439" t="str">
        <f>IF(A2439="","",SUMIFS(Акты!$D$5:$D$16,Акты!$E$5:$E$16,"&lt;="&amp;A2439)-SUMIFS(Оплаты!$B$6:$B$505,Оплаты!$A$6:$A$505,"&lt;"&amp;A2439,Оплаты!$D$6:$D$505,"&lt;&gt;"))</f>
        <v/>
      </c>
      <c r="E2439" t="str">
        <f>IF(A2439="","",IF(SUMPRODUCT((Ввод!$F$12:$F$31&lt;&gt;"")*(Ввод!$F$12:$F$31&lt;=A2439)*(Ввод!$G$12:$G$31&gt;=A2439))&gt;0,1,0))</f>
        <v/>
      </c>
      <c r="G2439" t="str">
        <f t="shared" si="77"/>
        <v/>
      </c>
    </row>
    <row r="2440" spans="1:7" x14ac:dyDescent="0.3">
      <c r="A2440" s="21" t="str">
        <f>IF(A2439="","",IF(A2439+1&gt;Ввод!$B$4,"",A2439+1))</f>
        <v/>
      </c>
      <c r="B2440" s="23" t="str">
        <f>IF(A2440="","",IFERROR(INDEX(Ввод!$B$12:$B$71,MATCH(A2440,Ввод!$D$12:$D$71,1)),""))</f>
        <v/>
      </c>
      <c r="C2440" t="str">
        <f t="shared" si="76"/>
        <v/>
      </c>
      <c r="D2440" t="str">
        <f>IF(A2440="","",SUMIFS(Акты!$D$5:$D$16,Акты!$E$5:$E$16,"&lt;="&amp;A2440)-SUMIFS(Оплаты!$B$6:$B$505,Оплаты!$A$6:$A$505,"&lt;"&amp;A2440,Оплаты!$D$6:$D$505,"&lt;&gt;"))</f>
        <v/>
      </c>
      <c r="E2440" t="str">
        <f>IF(A2440="","",IF(SUMPRODUCT((Ввод!$F$12:$F$31&lt;&gt;"")*(Ввод!$F$12:$F$31&lt;=A2440)*(Ввод!$G$12:$G$31&gt;=A2440))&gt;0,1,0))</f>
        <v/>
      </c>
      <c r="G2440" t="str">
        <f t="shared" si="77"/>
        <v/>
      </c>
    </row>
    <row r="2441" spans="1:7" x14ac:dyDescent="0.3">
      <c r="A2441" s="21" t="str">
        <f>IF(A2440="","",IF(A2440+1&gt;Ввод!$B$4,"",A2440+1))</f>
        <v/>
      </c>
      <c r="B2441" s="23" t="str">
        <f>IF(A2441="","",IFERROR(INDEX(Ввод!$B$12:$B$71,MATCH(A2441,Ввод!$D$12:$D$71,1)),""))</f>
        <v/>
      </c>
      <c r="C2441" t="str">
        <f t="shared" si="76"/>
        <v/>
      </c>
      <c r="D2441" t="str">
        <f>IF(A2441="","",SUMIFS(Акты!$D$5:$D$16,Акты!$E$5:$E$16,"&lt;="&amp;A2441)-SUMIFS(Оплаты!$B$6:$B$505,Оплаты!$A$6:$A$505,"&lt;"&amp;A2441,Оплаты!$D$6:$D$505,"&lt;&gt;"))</f>
        <v/>
      </c>
      <c r="E2441" t="str">
        <f>IF(A2441="","",IF(SUMPRODUCT((Ввод!$F$12:$F$31&lt;&gt;"")*(Ввод!$F$12:$F$31&lt;=A2441)*(Ввод!$G$12:$G$31&gt;=A2441))&gt;0,1,0))</f>
        <v/>
      </c>
      <c r="G2441" t="str">
        <f t="shared" si="77"/>
        <v/>
      </c>
    </row>
    <row r="2442" spans="1:7" x14ac:dyDescent="0.3">
      <c r="A2442" s="21" t="str">
        <f>IF(A2441="","",IF(A2441+1&gt;Ввод!$B$4,"",A2441+1))</f>
        <v/>
      </c>
      <c r="B2442" s="23" t="str">
        <f>IF(A2442="","",IFERROR(INDEX(Ввод!$B$12:$B$71,MATCH(A2442,Ввод!$D$12:$D$71,1)),""))</f>
        <v/>
      </c>
      <c r="C2442" t="str">
        <f t="shared" si="76"/>
        <v/>
      </c>
      <c r="D2442" t="str">
        <f>IF(A2442="","",SUMIFS(Акты!$D$5:$D$16,Акты!$E$5:$E$16,"&lt;="&amp;A2442)-SUMIFS(Оплаты!$B$6:$B$505,Оплаты!$A$6:$A$505,"&lt;"&amp;A2442,Оплаты!$D$6:$D$505,"&lt;&gt;"))</f>
        <v/>
      </c>
      <c r="E2442" t="str">
        <f>IF(A2442="","",IF(SUMPRODUCT((Ввод!$F$12:$F$31&lt;&gt;"")*(Ввод!$F$12:$F$31&lt;=A2442)*(Ввод!$G$12:$G$31&gt;=A2442))&gt;0,1,0))</f>
        <v/>
      </c>
      <c r="G2442" t="str">
        <f t="shared" si="77"/>
        <v/>
      </c>
    </row>
    <row r="2443" spans="1:7" x14ac:dyDescent="0.3">
      <c r="A2443" s="21" t="str">
        <f>IF(A2442="","",IF(A2442+1&gt;Ввод!$B$4,"",A2442+1))</f>
        <v/>
      </c>
      <c r="B2443" s="23" t="str">
        <f>IF(A2443="","",IFERROR(INDEX(Ввод!$B$12:$B$71,MATCH(A2443,Ввод!$D$12:$D$71,1)),""))</f>
        <v/>
      </c>
      <c r="C2443" t="str">
        <f t="shared" si="76"/>
        <v/>
      </c>
      <c r="D2443" t="str">
        <f>IF(A2443="","",SUMIFS(Акты!$D$5:$D$16,Акты!$E$5:$E$16,"&lt;="&amp;A2443)-SUMIFS(Оплаты!$B$6:$B$505,Оплаты!$A$6:$A$505,"&lt;"&amp;A2443,Оплаты!$D$6:$D$505,"&lt;&gt;"))</f>
        <v/>
      </c>
      <c r="E2443" t="str">
        <f>IF(A2443="","",IF(SUMPRODUCT((Ввод!$F$12:$F$31&lt;&gt;"")*(Ввод!$F$12:$F$31&lt;=A2443)*(Ввод!$G$12:$G$31&gt;=A2443))&gt;0,1,0))</f>
        <v/>
      </c>
      <c r="G2443" t="str">
        <f t="shared" si="77"/>
        <v/>
      </c>
    </row>
    <row r="2444" spans="1:7" x14ac:dyDescent="0.3">
      <c r="A2444" s="21" t="str">
        <f>IF(A2443="","",IF(A2443+1&gt;Ввод!$B$4,"",A2443+1))</f>
        <v/>
      </c>
      <c r="B2444" s="23" t="str">
        <f>IF(A2444="","",IFERROR(INDEX(Ввод!$B$12:$B$71,MATCH(A2444,Ввод!$D$12:$D$71,1)),""))</f>
        <v/>
      </c>
      <c r="C2444" t="str">
        <f t="shared" si="76"/>
        <v/>
      </c>
      <c r="D2444" t="str">
        <f>IF(A2444="","",SUMIFS(Акты!$D$5:$D$16,Акты!$E$5:$E$16,"&lt;="&amp;A2444)-SUMIFS(Оплаты!$B$6:$B$505,Оплаты!$A$6:$A$505,"&lt;"&amp;A2444,Оплаты!$D$6:$D$505,"&lt;&gt;"))</f>
        <v/>
      </c>
      <c r="E2444" t="str">
        <f>IF(A2444="","",IF(SUMPRODUCT((Ввод!$F$12:$F$31&lt;&gt;"")*(Ввод!$F$12:$F$31&lt;=A2444)*(Ввод!$G$12:$G$31&gt;=A2444))&gt;0,1,0))</f>
        <v/>
      </c>
      <c r="G2444" t="str">
        <f t="shared" si="77"/>
        <v/>
      </c>
    </row>
    <row r="2445" spans="1:7" x14ac:dyDescent="0.3">
      <c r="A2445" s="21" t="str">
        <f>IF(A2444="","",IF(A2444+1&gt;Ввод!$B$4,"",A2444+1))</f>
        <v/>
      </c>
      <c r="B2445" s="23" t="str">
        <f>IF(A2445="","",IFERROR(INDEX(Ввод!$B$12:$B$71,MATCH(A2445,Ввод!$D$12:$D$71,1)),""))</f>
        <v/>
      </c>
      <c r="C2445" t="str">
        <f t="shared" si="76"/>
        <v/>
      </c>
      <c r="D2445" t="str">
        <f>IF(A2445="","",SUMIFS(Акты!$D$5:$D$16,Акты!$E$5:$E$16,"&lt;="&amp;A2445)-SUMIFS(Оплаты!$B$6:$B$505,Оплаты!$A$6:$A$505,"&lt;"&amp;A2445,Оплаты!$D$6:$D$505,"&lt;&gt;"))</f>
        <v/>
      </c>
      <c r="E2445" t="str">
        <f>IF(A2445="","",IF(SUMPRODUCT((Ввод!$F$12:$F$31&lt;&gt;"")*(Ввод!$F$12:$F$31&lt;=A2445)*(Ввод!$G$12:$G$31&gt;=A2445))&gt;0,1,0))</f>
        <v/>
      </c>
      <c r="G2445" t="str">
        <f t="shared" si="77"/>
        <v/>
      </c>
    </row>
    <row r="2446" spans="1:7" x14ac:dyDescent="0.3">
      <c r="A2446" s="21" t="str">
        <f>IF(A2445="","",IF(A2445+1&gt;Ввод!$B$4,"",A2445+1))</f>
        <v/>
      </c>
      <c r="B2446" s="23" t="str">
        <f>IF(A2446="","",IFERROR(INDEX(Ввод!$B$12:$B$71,MATCH(A2446,Ввод!$D$12:$D$71,1)),""))</f>
        <v/>
      </c>
      <c r="C2446" t="str">
        <f t="shared" si="76"/>
        <v/>
      </c>
      <c r="D2446" t="str">
        <f>IF(A2446="","",SUMIFS(Акты!$D$5:$D$16,Акты!$E$5:$E$16,"&lt;="&amp;A2446)-SUMIFS(Оплаты!$B$6:$B$505,Оплаты!$A$6:$A$505,"&lt;"&amp;A2446,Оплаты!$D$6:$D$505,"&lt;&gt;"))</f>
        <v/>
      </c>
      <c r="E2446" t="str">
        <f>IF(A2446="","",IF(SUMPRODUCT((Ввод!$F$12:$F$31&lt;&gt;"")*(Ввод!$F$12:$F$31&lt;=A2446)*(Ввод!$G$12:$G$31&gt;=A2446))&gt;0,1,0))</f>
        <v/>
      </c>
      <c r="G2446" t="str">
        <f t="shared" si="77"/>
        <v/>
      </c>
    </row>
    <row r="2447" spans="1:7" x14ac:dyDescent="0.3">
      <c r="A2447" s="21" t="str">
        <f>IF(A2446="","",IF(A2446+1&gt;Ввод!$B$4,"",A2446+1))</f>
        <v/>
      </c>
      <c r="B2447" s="23" t="str">
        <f>IF(A2447="","",IFERROR(INDEX(Ввод!$B$12:$B$71,MATCH(A2447,Ввод!$D$12:$D$71,1)),""))</f>
        <v/>
      </c>
      <c r="C2447" t="str">
        <f t="shared" si="76"/>
        <v/>
      </c>
      <c r="D2447" t="str">
        <f>IF(A2447="","",SUMIFS(Акты!$D$5:$D$16,Акты!$E$5:$E$16,"&lt;="&amp;A2447)-SUMIFS(Оплаты!$B$6:$B$505,Оплаты!$A$6:$A$505,"&lt;"&amp;A2447,Оплаты!$D$6:$D$505,"&lt;&gt;"))</f>
        <v/>
      </c>
      <c r="E2447" t="str">
        <f>IF(A2447="","",IF(SUMPRODUCT((Ввод!$F$12:$F$31&lt;&gt;"")*(Ввод!$F$12:$F$31&lt;=A2447)*(Ввод!$G$12:$G$31&gt;=A2447))&gt;0,1,0))</f>
        <v/>
      </c>
      <c r="G2447" t="str">
        <f t="shared" si="77"/>
        <v/>
      </c>
    </row>
    <row r="2448" spans="1:7" x14ac:dyDescent="0.3">
      <c r="A2448" s="21" t="str">
        <f>IF(A2447="","",IF(A2447+1&gt;Ввод!$B$4,"",A2447+1))</f>
        <v/>
      </c>
      <c r="B2448" s="23" t="str">
        <f>IF(A2448="","",IFERROR(INDEX(Ввод!$B$12:$B$71,MATCH(A2448,Ввод!$D$12:$D$71,1)),""))</f>
        <v/>
      </c>
      <c r="C2448" t="str">
        <f t="shared" si="76"/>
        <v/>
      </c>
      <c r="D2448" t="str">
        <f>IF(A2448="","",SUMIFS(Акты!$D$5:$D$16,Акты!$E$5:$E$16,"&lt;="&amp;A2448)-SUMIFS(Оплаты!$B$6:$B$505,Оплаты!$A$6:$A$505,"&lt;"&amp;A2448,Оплаты!$D$6:$D$505,"&lt;&gt;"))</f>
        <v/>
      </c>
      <c r="E2448" t="str">
        <f>IF(A2448="","",IF(SUMPRODUCT((Ввод!$F$12:$F$31&lt;&gt;"")*(Ввод!$F$12:$F$31&lt;=A2448)*(Ввод!$G$12:$G$31&gt;=A2448))&gt;0,1,0))</f>
        <v/>
      </c>
      <c r="G2448" t="str">
        <f t="shared" si="77"/>
        <v/>
      </c>
    </row>
    <row r="2449" spans="1:7" x14ac:dyDescent="0.3">
      <c r="A2449" s="21" t="str">
        <f>IF(A2448="","",IF(A2448+1&gt;Ввод!$B$4,"",A2448+1))</f>
        <v/>
      </c>
      <c r="B2449" s="23" t="str">
        <f>IF(A2449="","",IFERROR(INDEX(Ввод!$B$12:$B$71,MATCH(A2449,Ввод!$D$12:$D$71,1)),""))</f>
        <v/>
      </c>
      <c r="C2449" t="str">
        <f t="shared" si="76"/>
        <v/>
      </c>
      <c r="D2449" t="str">
        <f>IF(A2449="","",SUMIFS(Акты!$D$5:$D$16,Акты!$E$5:$E$16,"&lt;="&amp;A2449)-SUMIFS(Оплаты!$B$6:$B$505,Оплаты!$A$6:$A$505,"&lt;"&amp;A2449,Оплаты!$D$6:$D$505,"&lt;&gt;"))</f>
        <v/>
      </c>
      <c r="E2449" t="str">
        <f>IF(A2449="","",IF(SUMPRODUCT((Ввод!$F$12:$F$31&lt;&gt;"")*(Ввод!$F$12:$F$31&lt;=A2449)*(Ввод!$G$12:$G$31&gt;=A2449))&gt;0,1,0))</f>
        <v/>
      </c>
      <c r="G2449" t="str">
        <f t="shared" si="77"/>
        <v/>
      </c>
    </row>
    <row r="2450" spans="1:7" x14ac:dyDescent="0.3">
      <c r="A2450" s="21" t="str">
        <f>IF(A2449="","",IF(A2449+1&gt;Ввод!$B$4,"",A2449+1))</f>
        <v/>
      </c>
      <c r="B2450" s="23" t="str">
        <f>IF(A2450="","",IFERROR(INDEX(Ввод!$B$12:$B$71,MATCH(A2450,Ввод!$D$12:$D$71,1)),""))</f>
        <v/>
      </c>
      <c r="C2450" t="str">
        <f t="shared" si="76"/>
        <v/>
      </c>
      <c r="D2450" t="str">
        <f>IF(A2450="","",SUMIFS(Акты!$D$5:$D$16,Акты!$E$5:$E$16,"&lt;="&amp;A2450)-SUMIFS(Оплаты!$B$6:$B$505,Оплаты!$A$6:$A$505,"&lt;"&amp;A2450,Оплаты!$D$6:$D$505,"&lt;&gt;"))</f>
        <v/>
      </c>
      <c r="E2450" t="str">
        <f>IF(A2450="","",IF(SUMPRODUCT((Ввод!$F$12:$F$31&lt;&gt;"")*(Ввод!$F$12:$F$31&lt;=A2450)*(Ввод!$G$12:$G$31&gt;=A2450))&gt;0,1,0))</f>
        <v/>
      </c>
      <c r="G2450" t="str">
        <f t="shared" si="77"/>
        <v/>
      </c>
    </row>
    <row r="2451" spans="1:7" x14ac:dyDescent="0.3">
      <c r="A2451" s="21" t="str">
        <f>IF(A2450="","",IF(A2450+1&gt;Ввод!$B$4,"",A2450+1))</f>
        <v/>
      </c>
      <c r="B2451" s="23" t="str">
        <f>IF(A2451="","",IFERROR(INDEX(Ввод!$B$12:$B$71,MATCH(A2451,Ввод!$D$12:$D$71,1)),""))</f>
        <v/>
      </c>
      <c r="C2451" t="str">
        <f t="shared" si="76"/>
        <v/>
      </c>
      <c r="D2451" t="str">
        <f>IF(A2451="","",SUMIFS(Акты!$D$5:$D$16,Акты!$E$5:$E$16,"&lt;="&amp;A2451)-SUMIFS(Оплаты!$B$6:$B$505,Оплаты!$A$6:$A$505,"&lt;"&amp;A2451,Оплаты!$D$6:$D$505,"&lt;&gt;"))</f>
        <v/>
      </c>
      <c r="E2451" t="str">
        <f>IF(A2451="","",IF(SUMPRODUCT((Ввод!$F$12:$F$31&lt;&gt;"")*(Ввод!$F$12:$F$31&lt;=A2451)*(Ввод!$G$12:$G$31&gt;=A2451))&gt;0,1,0))</f>
        <v/>
      </c>
      <c r="G2451" t="str">
        <f t="shared" si="77"/>
        <v/>
      </c>
    </row>
    <row r="2452" spans="1:7" x14ac:dyDescent="0.3">
      <c r="A2452" s="21" t="str">
        <f>IF(A2451="","",IF(A2451+1&gt;Ввод!$B$4,"",A2451+1))</f>
        <v/>
      </c>
      <c r="B2452" s="23" t="str">
        <f>IF(A2452="","",IFERROR(INDEX(Ввод!$B$12:$B$71,MATCH(A2452,Ввод!$D$12:$D$71,1)),""))</f>
        <v/>
      </c>
      <c r="C2452" t="str">
        <f t="shared" si="76"/>
        <v/>
      </c>
      <c r="D2452" t="str">
        <f>IF(A2452="","",SUMIFS(Акты!$D$5:$D$16,Акты!$E$5:$E$16,"&lt;="&amp;A2452)-SUMIFS(Оплаты!$B$6:$B$505,Оплаты!$A$6:$A$505,"&lt;"&amp;A2452,Оплаты!$D$6:$D$505,"&lt;&gt;"))</f>
        <v/>
      </c>
      <c r="E2452" t="str">
        <f>IF(A2452="","",IF(SUMPRODUCT((Ввод!$F$12:$F$31&lt;&gt;"")*(Ввод!$F$12:$F$31&lt;=A2452)*(Ввод!$G$12:$G$31&gt;=A2452))&gt;0,1,0))</f>
        <v/>
      </c>
      <c r="G2452" t="str">
        <f t="shared" si="77"/>
        <v/>
      </c>
    </row>
    <row r="2453" spans="1:7" x14ac:dyDescent="0.3">
      <c r="A2453" s="21" t="str">
        <f>IF(A2452="","",IF(A2452+1&gt;Ввод!$B$4,"",A2452+1))</f>
        <v/>
      </c>
      <c r="B2453" s="23" t="str">
        <f>IF(A2453="","",IFERROR(INDEX(Ввод!$B$12:$B$71,MATCH(A2453,Ввод!$D$12:$D$71,1)),""))</f>
        <v/>
      </c>
      <c r="C2453" t="str">
        <f t="shared" si="76"/>
        <v/>
      </c>
      <c r="D2453" t="str">
        <f>IF(A2453="","",SUMIFS(Акты!$D$5:$D$16,Акты!$E$5:$E$16,"&lt;="&amp;A2453)-SUMIFS(Оплаты!$B$6:$B$505,Оплаты!$A$6:$A$505,"&lt;"&amp;A2453,Оплаты!$D$6:$D$505,"&lt;&gt;"))</f>
        <v/>
      </c>
      <c r="E2453" t="str">
        <f>IF(A2453="","",IF(SUMPRODUCT((Ввод!$F$12:$F$31&lt;&gt;"")*(Ввод!$F$12:$F$31&lt;=A2453)*(Ввод!$G$12:$G$31&gt;=A2453))&gt;0,1,0))</f>
        <v/>
      </c>
      <c r="G2453" t="str">
        <f t="shared" si="77"/>
        <v/>
      </c>
    </row>
    <row r="2454" spans="1:7" x14ac:dyDescent="0.3">
      <c r="A2454" s="21" t="str">
        <f>IF(A2453="","",IF(A2453+1&gt;Ввод!$B$4,"",A2453+1))</f>
        <v/>
      </c>
      <c r="B2454" s="23" t="str">
        <f>IF(A2454="","",IFERROR(INDEX(Ввод!$B$12:$B$71,MATCH(A2454,Ввод!$D$12:$D$71,1)),""))</f>
        <v/>
      </c>
      <c r="C2454" t="str">
        <f t="shared" si="76"/>
        <v/>
      </c>
      <c r="D2454" t="str">
        <f>IF(A2454="","",SUMIFS(Акты!$D$5:$D$16,Акты!$E$5:$E$16,"&lt;="&amp;A2454)-SUMIFS(Оплаты!$B$6:$B$505,Оплаты!$A$6:$A$505,"&lt;"&amp;A2454,Оплаты!$D$6:$D$505,"&lt;&gt;"))</f>
        <v/>
      </c>
      <c r="E2454" t="str">
        <f>IF(A2454="","",IF(SUMPRODUCT((Ввод!$F$12:$F$31&lt;&gt;"")*(Ввод!$F$12:$F$31&lt;=A2454)*(Ввод!$G$12:$G$31&gt;=A2454))&gt;0,1,0))</f>
        <v/>
      </c>
      <c r="G2454" t="str">
        <f t="shared" si="77"/>
        <v/>
      </c>
    </row>
    <row r="2455" spans="1:7" x14ac:dyDescent="0.3">
      <c r="A2455" s="21" t="str">
        <f>IF(A2454="","",IF(A2454+1&gt;Ввод!$B$4,"",A2454+1))</f>
        <v/>
      </c>
      <c r="B2455" s="23" t="str">
        <f>IF(A2455="","",IFERROR(INDEX(Ввод!$B$12:$B$71,MATCH(A2455,Ввод!$D$12:$D$71,1)),""))</f>
        <v/>
      </c>
      <c r="C2455" t="str">
        <f t="shared" si="76"/>
        <v/>
      </c>
      <c r="D2455" t="str">
        <f>IF(A2455="","",SUMIFS(Акты!$D$5:$D$16,Акты!$E$5:$E$16,"&lt;="&amp;A2455)-SUMIFS(Оплаты!$B$6:$B$505,Оплаты!$A$6:$A$505,"&lt;"&amp;A2455,Оплаты!$D$6:$D$505,"&lt;&gt;"))</f>
        <v/>
      </c>
      <c r="E2455" t="str">
        <f>IF(A2455="","",IF(SUMPRODUCT((Ввод!$F$12:$F$31&lt;&gt;"")*(Ввод!$F$12:$F$31&lt;=A2455)*(Ввод!$G$12:$G$31&gt;=A2455))&gt;0,1,0))</f>
        <v/>
      </c>
      <c r="G2455" t="str">
        <f t="shared" si="77"/>
        <v/>
      </c>
    </row>
    <row r="2456" spans="1:7" x14ac:dyDescent="0.3">
      <c r="A2456" s="21" t="str">
        <f>IF(A2455="","",IF(A2455+1&gt;Ввод!$B$4,"",A2455+1))</f>
        <v/>
      </c>
      <c r="B2456" s="23" t="str">
        <f>IF(A2456="","",IFERROR(INDEX(Ввод!$B$12:$B$71,MATCH(A2456,Ввод!$D$12:$D$71,1)),""))</f>
        <v/>
      </c>
      <c r="C2456" t="str">
        <f t="shared" si="76"/>
        <v/>
      </c>
      <c r="D2456" t="str">
        <f>IF(A2456="","",SUMIFS(Акты!$D$5:$D$16,Акты!$E$5:$E$16,"&lt;="&amp;A2456)-SUMIFS(Оплаты!$B$6:$B$505,Оплаты!$A$6:$A$505,"&lt;"&amp;A2456,Оплаты!$D$6:$D$505,"&lt;&gt;"))</f>
        <v/>
      </c>
      <c r="E2456" t="str">
        <f>IF(A2456="","",IF(SUMPRODUCT((Ввод!$F$12:$F$31&lt;&gt;"")*(Ввод!$F$12:$F$31&lt;=A2456)*(Ввод!$G$12:$G$31&gt;=A2456))&gt;0,1,0))</f>
        <v/>
      </c>
      <c r="G2456" t="str">
        <f t="shared" si="77"/>
        <v/>
      </c>
    </row>
    <row r="2457" spans="1:7" x14ac:dyDescent="0.3">
      <c r="A2457" s="21" t="str">
        <f>IF(A2456="","",IF(A2456+1&gt;Ввод!$B$4,"",A2456+1))</f>
        <v/>
      </c>
      <c r="B2457" s="23" t="str">
        <f>IF(A2457="","",IFERROR(INDEX(Ввод!$B$12:$B$71,MATCH(A2457,Ввод!$D$12:$D$71,1)),""))</f>
        <v/>
      </c>
      <c r="C2457" t="str">
        <f t="shared" si="76"/>
        <v/>
      </c>
      <c r="D2457" t="str">
        <f>IF(A2457="","",SUMIFS(Акты!$D$5:$D$16,Акты!$E$5:$E$16,"&lt;="&amp;A2457)-SUMIFS(Оплаты!$B$6:$B$505,Оплаты!$A$6:$A$505,"&lt;"&amp;A2457,Оплаты!$D$6:$D$505,"&lt;&gt;"))</f>
        <v/>
      </c>
      <c r="E2457" t="str">
        <f>IF(A2457="","",IF(SUMPRODUCT((Ввод!$F$12:$F$31&lt;&gt;"")*(Ввод!$F$12:$F$31&lt;=A2457)*(Ввод!$G$12:$G$31&gt;=A2457))&gt;0,1,0))</f>
        <v/>
      </c>
      <c r="G2457" t="str">
        <f t="shared" si="77"/>
        <v/>
      </c>
    </row>
    <row r="2458" spans="1:7" x14ac:dyDescent="0.3">
      <c r="A2458" s="21" t="str">
        <f>IF(A2457="","",IF(A2457+1&gt;Ввод!$B$4,"",A2457+1))</f>
        <v/>
      </c>
      <c r="B2458" s="23" t="str">
        <f>IF(A2458="","",IFERROR(INDEX(Ввод!$B$12:$B$71,MATCH(A2458,Ввод!$D$12:$D$71,1)),""))</f>
        <v/>
      </c>
      <c r="C2458" t="str">
        <f t="shared" si="76"/>
        <v/>
      </c>
      <c r="D2458" t="str">
        <f>IF(A2458="","",SUMIFS(Акты!$D$5:$D$16,Акты!$E$5:$E$16,"&lt;="&amp;A2458)-SUMIFS(Оплаты!$B$6:$B$505,Оплаты!$A$6:$A$505,"&lt;"&amp;A2458,Оплаты!$D$6:$D$505,"&lt;&gt;"))</f>
        <v/>
      </c>
      <c r="E2458" t="str">
        <f>IF(A2458="","",IF(SUMPRODUCT((Ввод!$F$12:$F$31&lt;&gt;"")*(Ввод!$F$12:$F$31&lt;=A2458)*(Ввод!$G$12:$G$31&gt;=A2458))&gt;0,1,0))</f>
        <v/>
      </c>
      <c r="G2458" t="str">
        <f t="shared" si="77"/>
        <v/>
      </c>
    </row>
    <row r="2459" spans="1:7" x14ac:dyDescent="0.3">
      <c r="A2459" s="21" t="str">
        <f>IF(A2458="","",IF(A2458+1&gt;Ввод!$B$4,"",A2458+1))</f>
        <v/>
      </c>
      <c r="B2459" s="23" t="str">
        <f>IF(A2459="","",IFERROR(INDEX(Ввод!$B$12:$B$71,MATCH(A2459,Ввод!$D$12:$D$71,1)),""))</f>
        <v/>
      </c>
      <c r="C2459" t="str">
        <f t="shared" si="76"/>
        <v/>
      </c>
      <c r="D2459" t="str">
        <f>IF(A2459="","",SUMIFS(Акты!$D$5:$D$16,Акты!$E$5:$E$16,"&lt;="&amp;A2459)-SUMIFS(Оплаты!$B$6:$B$505,Оплаты!$A$6:$A$505,"&lt;"&amp;A2459,Оплаты!$D$6:$D$505,"&lt;&gt;"))</f>
        <v/>
      </c>
      <c r="E2459" t="str">
        <f>IF(A2459="","",IF(SUMPRODUCT((Ввод!$F$12:$F$31&lt;&gt;"")*(Ввод!$F$12:$F$31&lt;=A2459)*(Ввод!$G$12:$G$31&gt;=A2459))&gt;0,1,0))</f>
        <v/>
      </c>
      <c r="G2459" t="str">
        <f t="shared" si="77"/>
        <v/>
      </c>
    </row>
    <row r="2460" spans="1:7" x14ac:dyDescent="0.3">
      <c r="A2460" s="21" t="str">
        <f>IF(A2459="","",IF(A2459+1&gt;Ввод!$B$4,"",A2459+1))</f>
        <v/>
      </c>
      <c r="B2460" s="23" t="str">
        <f>IF(A2460="","",IFERROR(INDEX(Ввод!$B$12:$B$71,MATCH(A2460,Ввод!$D$12:$D$71,1)),""))</f>
        <v/>
      </c>
      <c r="C2460" t="str">
        <f t="shared" si="76"/>
        <v/>
      </c>
      <c r="D2460" t="str">
        <f>IF(A2460="","",SUMIFS(Акты!$D$5:$D$16,Акты!$E$5:$E$16,"&lt;="&amp;A2460)-SUMIFS(Оплаты!$B$6:$B$505,Оплаты!$A$6:$A$505,"&lt;"&amp;A2460,Оплаты!$D$6:$D$505,"&lt;&gt;"))</f>
        <v/>
      </c>
      <c r="E2460" t="str">
        <f>IF(A2460="","",IF(SUMPRODUCT((Ввод!$F$12:$F$31&lt;&gt;"")*(Ввод!$F$12:$F$31&lt;=A2460)*(Ввод!$G$12:$G$31&gt;=A2460))&gt;0,1,0))</f>
        <v/>
      </c>
      <c r="G2460" t="str">
        <f t="shared" si="77"/>
        <v/>
      </c>
    </row>
    <row r="2461" spans="1:7" x14ac:dyDescent="0.3">
      <c r="A2461" s="21" t="str">
        <f>IF(A2460="","",IF(A2460+1&gt;Ввод!$B$4,"",A2460+1))</f>
        <v/>
      </c>
      <c r="B2461" s="23" t="str">
        <f>IF(A2461="","",IFERROR(INDEX(Ввод!$B$12:$B$71,MATCH(A2461,Ввод!$D$12:$D$71,1)),""))</f>
        <v/>
      </c>
      <c r="C2461" t="str">
        <f t="shared" si="76"/>
        <v/>
      </c>
      <c r="D2461" t="str">
        <f>IF(A2461="","",SUMIFS(Акты!$D$5:$D$16,Акты!$E$5:$E$16,"&lt;="&amp;A2461)-SUMIFS(Оплаты!$B$6:$B$505,Оплаты!$A$6:$A$505,"&lt;"&amp;A2461,Оплаты!$D$6:$D$505,"&lt;&gt;"))</f>
        <v/>
      </c>
      <c r="E2461" t="str">
        <f>IF(A2461="","",IF(SUMPRODUCT((Ввод!$F$12:$F$31&lt;&gt;"")*(Ввод!$F$12:$F$31&lt;=A2461)*(Ввод!$G$12:$G$31&gt;=A2461))&gt;0,1,0))</f>
        <v/>
      </c>
      <c r="G2461" t="str">
        <f t="shared" si="77"/>
        <v/>
      </c>
    </row>
    <row r="2462" spans="1:7" x14ac:dyDescent="0.3">
      <c r="A2462" s="21" t="str">
        <f>IF(A2461="","",IF(A2461+1&gt;Ввод!$B$4,"",A2461+1))</f>
        <v/>
      </c>
      <c r="B2462" s="23" t="str">
        <f>IF(A2462="","",IFERROR(INDEX(Ввод!$B$12:$B$71,MATCH(A2462,Ввод!$D$12:$D$71,1)),""))</f>
        <v/>
      </c>
      <c r="C2462" t="str">
        <f t="shared" si="76"/>
        <v/>
      </c>
      <c r="D2462" t="str">
        <f>IF(A2462="","",SUMIFS(Акты!$D$5:$D$16,Акты!$E$5:$E$16,"&lt;="&amp;A2462)-SUMIFS(Оплаты!$B$6:$B$505,Оплаты!$A$6:$A$505,"&lt;"&amp;A2462,Оплаты!$D$6:$D$505,"&lt;&gt;"))</f>
        <v/>
      </c>
      <c r="E2462" t="str">
        <f>IF(A2462="","",IF(SUMPRODUCT((Ввод!$F$12:$F$31&lt;&gt;"")*(Ввод!$F$12:$F$31&lt;=A2462)*(Ввод!$G$12:$G$31&gt;=A2462))&gt;0,1,0))</f>
        <v/>
      </c>
      <c r="G2462" t="str">
        <f t="shared" si="77"/>
        <v/>
      </c>
    </row>
    <row r="2463" spans="1:7" x14ac:dyDescent="0.3">
      <c r="A2463" s="21" t="str">
        <f>IF(A2462="","",IF(A2462+1&gt;Ввод!$B$4,"",A2462+1))</f>
        <v/>
      </c>
      <c r="B2463" s="23" t="str">
        <f>IF(A2463="","",IFERROR(INDEX(Ввод!$B$12:$B$71,MATCH(A2463,Ввод!$D$12:$D$71,1)),""))</f>
        <v/>
      </c>
      <c r="C2463" t="str">
        <f t="shared" si="76"/>
        <v/>
      </c>
      <c r="D2463" t="str">
        <f>IF(A2463="","",SUMIFS(Акты!$D$5:$D$16,Акты!$E$5:$E$16,"&lt;="&amp;A2463)-SUMIFS(Оплаты!$B$6:$B$505,Оплаты!$A$6:$A$505,"&lt;"&amp;A2463,Оплаты!$D$6:$D$505,"&lt;&gt;"))</f>
        <v/>
      </c>
      <c r="E2463" t="str">
        <f>IF(A2463="","",IF(SUMPRODUCT((Ввод!$F$12:$F$31&lt;&gt;"")*(Ввод!$F$12:$F$31&lt;=A2463)*(Ввод!$G$12:$G$31&gt;=A2463))&gt;0,1,0))</f>
        <v/>
      </c>
      <c r="G2463" t="str">
        <f t="shared" si="77"/>
        <v/>
      </c>
    </row>
    <row r="2464" spans="1:7" x14ac:dyDescent="0.3">
      <c r="A2464" s="21" t="str">
        <f>IF(A2463="","",IF(A2463+1&gt;Ввод!$B$4,"",A2463+1))</f>
        <v/>
      </c>
      <c r="B2464" s="23" t="str">
        <f>IF(A2464="","",IFERROR(INDEX(Ввод!$B$12:$B$71,MATCH(A2464,Ввод!$D$12:$D$71,1)),""))</f>
        <v/>
      </c>
      <c r="C2464" t="str">
        <f t="shared" si="76"/>
        <v/>
      </c>
      <c r="D2464" t="str">
        <f>IF(A2464="","",SUMIFS(Акты!$D$5:$D$16,Акты!$E$5:$E$16,"&lt;="&amp;A2464)-SUMIFS(Оплаты!$B$6:$B$505,Оплаты!$A$6:$A$505,"&lt;"&amp;A2464,Оплаты!$D$6:$D$505,"&lt;&gt;"))</f>
        <v/>
      </c>
      <c r="E2464" t="str">
        <f>IF(A2464="","",IF(SUMPRODUCT((Ввод!$F$12:$F$31&lt;&gt;"")*(Ввод!$F$12:$F$31&lt;=A2464)*(Ввод!$G$12:$G$31&gt;=A2464))&gt;0,1,0))</f>
        <v/>
      </c>
      <c r="G2464" t="str">
        <f t="shared" si="77"/>
        <v/>
      </c>
    </row>
    <row r="2465" spans="1:7" x14ac:dyDescent="0.3">
      <c r="A2465" s="21" t="str">
        <f>IF(A2464="","",IF(A2464+1&gt;Ввод!$B$4,"",A2464+1))</f>
        <v/>
      </c>
      <c r="B2465" s="23" t="str">
        <f>IF(A2465="","",IFERROR(INDEX(Ввод!$B$12:$B$71,MATCH(A2465,Ввод!$D$12:$D$71,1)),""))</f>
        <v/>
      </c>
      <c r="C2465" t="str">
        <f t="shared" si="76"/>
        <v/>
      </c>
      <c r="D2465" t="str">
        <f>IF(A2465="","",SUMIFS(Акты!$D$5:$D$16,Акты!$E$5:$E$16,"&lt;="&amp;A2465)-SUMIFS(Оплаты!$B$6:$B$505,Оплаты!$A$6:$A$505,"&lt;"&amp;A2465,Оплаты!$D$6:$D$505,"&lt;&gt;"))</f>
        <v/>
      </c>
      <c r="E2465" t="str">
        <f>IF(A2465="","",IF(SUMPRODUCT((Ввод!$F$12:$F$31&lt;&gt;"")*(Ввод!$F$12:$F$31&lt;=A2465)*(Ввод!$G$12:$G$31&gt;=A2465))&gt;0,1,0))</f>
        <v/>
      </c>
      <c r="G2465" t="str">
        <f t="shared" si="77"/>
        <v/>
      </c>
    </row>
    <row r="2466" spans="1:7" x14ac:dyDescent="0.3">
      <c r="A2466" s="21" t="str">
        <f>IF(A2465="","",IF(A2465+1&gt;Ввод!$B$4,"",A2465+1))</f>
        <v/>
      </c>
      <c r="B2466" s="23" t="str">
        <f>IF(A2466="","",IFERROR(INDEX(Ввод!$B$12:$B$71,MATCH(A2466,Ввод!$D$12:$D$71,1)),""))</f>
        <v/>
      </c>
      <c r="C2466" t="str">
        <f t="shared" si="76"/>
        <v/>
      </c>
      <c r="D2466" t="str">
        <f>IF(A2466="","",SUMIFS(Акты!$D$5:$D$16,Акты!$E$5:$E$16,"&lt;="&amp;A2466)-SUMIFS(Оплаты!$B$6:$B$505,Оплаты!$A$6:$A$505,"&lt;"&amp;A2466,Оплаты!$D$6:$D$505,"&lt;&gt;"))</f>
        <v/>
      </c>
      <c r="E2466" t="str">
        <f>IF(A2466="","",IF(SUMPRODUCT((Ввод!$F$12:$F$31&lt;&gt;"")*(Ввод!$F$12:$F$31&lt;=A2466)*(Ввод!$G$12:$G$31&gt;=A2466))&gt;0,1,0))</f>
        <v/>
      </c>
      <c r="G2466" t="str">
        <f t="shared" si="77"/>
        <v/>
      </c>
    </row>
    <row r="2467" spans="1:7" x14ac:dyDescent="0.3">
      <c r="A2467" s="21" t="str">
        <f>IF(A2466="","",IF(A2466+1&gt;Ввод!$B$4,"",A2466+1))</f>
        <v/>
      </c>
      <c r="B2467" s="23" t="str">
        <f>IF(A2467="","",IFERROR(INDEX(Ввод!$B$12:$B$71,MATCH(A2467,Ввод!$D$12:$D$71,1)),""))</f>
        <v/>
      </c>
      <c r="C2467" t="str">
        <f t="shared" si="76"/>
        <v/>
      </c>
      <c r="D2467" t="str">
        <f>IF(A2467="","",SUMIFS(Акты!$D$5:$D$16,Акты!$E$5:$E$16,"&lt;="&amp;A2467)-SUMIFS(Оплаты!$B$6:$B$505,Оплаты!$A$6:$A$505,"&lt;"&amp;A2467,Оплаты!$D$6:$D$505,"&lt;&gt;"))</f>
        <v/>
      </c>
      <c r="E2467" t="str">
        <f>IF(A2467="","",IF(SUMPRODUCT((Ввод!$F$12:$F$31&lt;&gt;"")*(Ввод!$F$12:$F$31&lt;=A2467)*(Ввод!$G$12:$G$31&gt;=A2467))&gt;0,1,0))</f>
        <v/>
      </c>
      <c r="G2467" t="str">
        <f t="shared" si="77"/>
        <v/>
      </c>
    </row>
    <row r="2468" spans="1:7" x14ac:dyDescent="0.3">
      <c r="A2468" s="21" t="str">
        <f>IF(A2467="","",IF(A2467+1&gt;Ввод!$B$4,"",A2467+1))</f>
        <v/>
      </c>
      <c r="B2468" s="23" t="str">
        <f>IF(A2468="","",IFERROR(INDEX(Ввод!$B$12:$B$71,MATCH(A2468,Ввод!$D$12:$D$71,1)),""))</f>
        <v/>
      </c>
      <c r="C2468" t="str">
        <f t="shared" si="76"/>
        <v/>
      </c>
      <c r="D2468" t="str">
        <f>IF(A2468="","",SUMIFS(Акты!$D$5:$D$16,Акты!$E$5:$E$16,"&lt;="&amp;A2468)-SUMIFS(Оплаты!$B$6:$B$505,Оплаты!$A$6:$A$505,"&lt;"&amp;A2468,Оплаты!$D$6:$D$505,"&lt;&gt;"))</f>
        <v/>
      </c>
      <c r="E2468" t="str">
        <f>IF(A2468="","",IF(SUMPRODUCT((Ввод!$F$12:$F$31&lt;&gt;"")*(Ввод!$F$12:$F$31&lt;=A2468)*(Ввод!$G$12:$G$31&gt;=A2468))&gt;0,1,0))</f>
        <v/>
      </c>
      <c r="G2468" t="str">
        <f t="shared" si="77"/>
        <v/>
      </c>
    </row>
    <row r="2469" spans="1:7" x14ac:dyDescent="0.3">
      <c r="A2469" s="21" t="str">
        <f>IF(A2468="","",IF(A2468+1&gt;Ввод!$B$4,"",A2468+1))</f>
        <v/>
      </c>
      <c r="B2469" s="23" t="str">
        <f>IF(A2469="","",IFERROR(INDEX(Ввод!$B$12:$B$71,MATCH(A2469,Ввод!$D$12:$D$71,1)),""))</f>
        <v/>
      </c>
      <c r="C2469" t="str">
        <f t="shared" si="76"/>
        <v/>
      </c>
      <c r="D2469" t="str">
        <f>IF(A2469="","",SUMIFS(Акты!$D$5:$D$16,Акты!$E$5:$E$16,"&lt;="&amp;A2469)-SUMIFS(Оплаты!$B$6:$B$505,Оплаты!$A$6:$A$505,"&lt;"&amp;A2469,Оплаты!$D$6:$D$505,"&lt;&gt;"))</f>
        <v/>
      </c>
      <c r="E2469" t="str">
        <f>IF(A2469="","",IF(SUMPRODUCT((Ввод!$F$12:$F$31&lt;&gt;"")*(Ввод!$F$12:$F$31&lt;=A2469)*(Ввод!$G$12:$G$31&gt;=A2469))&gt;0,1,0))</f>
        <v/>
      </c>
      <c r="G2469" t="str">
        <f t="shared" si="77"/>
        <v/>
      </c>
    </row>
    <row r="2470" spans="1:7" x14ac:dyDescent="0.3">
      <c r="A2470" s="21" t="str">
        <f>IF(A2469="","",IF(A2469+1&gt;Ввод!$B$4,"",A2469+1))</f>
        <v/>
      </c>
      <c r="B2470" s="23" t="str">
        <f>IF(A2470="","",IFERROR(INDEX(Ввод!$B$12:$B$71,MATCH(A2470,Ввод!$D$12:$D$71,1)),""))</f>
        <v/>
      </c>
      <c r="C2470" t="str">
        <f t="shared" si="76"/>
        <v/>
      </c>
      <c r="D2470" t="str">
        <f>IF(A2470="","",SUMIFS(Акты!$D$5:$D$16,Акты!$E$5:$E$16,"&lt;="&amp;A2470)-SUMIFS(Оплаты!$B$6:$B$505,Оплаты!$A$6:$A$505,"&lt;"&amp;A2470,Оплаты!$D$6:$D$505,"&lt;&gt;"))</f>
        <v/>
      </c>
      <c r="E2470" t="str">
        <f>IF(A2470="","",IF(SUMPRODUCT((Ввод!$F$12:$F$31&lt;&gt;"")*(Ввод!$F$12:$F$31&lt;=A2470)*(Ввод!$G$12:$G$31&gt;=A2470))&gt;0,1,0))</f>
        <v/>
      </c>
      <c r="G2470" t="str">
        <f t="shared" si="77"/>
        <v/>
      </c>
    </row>
    <row r="2471" spans="1:7" x14ac:dyDescent="0.3">
      <c r="A2471" s="21" t="str">
        <f>IF(A2470="","",IF(A2470+1&gt;Ввод!$B$4,"",A2470+1))</f>
        <v/>
      </c>
      <c r="B2471" s="23" t="str">
        <f>IF(A2471="","",IFERROR(INDEX(Ввод!$B$12:$B$71,MATCH(A2471,Ввод!$D$12:$D$71,1)),""))</f>
        <v/>
      </c>
      <c r="C2471" t="str">
        <f t="shared" si="76"/>
        <v/>
      </c>
      <c r="D2471" t="str">
        <f>IF(A2471="","",SUMIFS(Акты!$D$5:$D$16,Акты!$E$5:$E$16,"&lt;="&amp;A2471)-SUMIFS(Оплаты!$B$6:$B$505,Оплаты!$A$6:$A$505,"&lt;"&amp;A2471,Оплаты!$D$6:$D$505,"&lt;&gt;"))</f>
        <v/>
      </c>
      <c r="E2471" t="str">
        <f>IF(A2471="","",IF(SUMPRODUCT((Ввод!$F$12:$F$31&lt;&gt;"")*(Ввод!$F$12:$F$31&lt;=A2471)*(Ввод!$G$12:$G$31&gt;=A2471))&gt;0,1,0))</f>
        <v/>
      </c>
      <c r="G2471" t="str">
        <f t="shared" si="77"/>
        <v/>
      </c>
    </row>
    <row r="2472" spans="1:7" x14ac:dyDescent="0.3">
      <c r="A2472" s="21" t="str">
        <f>IF(A2471="","",IF(A2471+1&gt;Ввод!$B$4,"",A2471+1))</f>
        <v/>
      </c>
      <c r="B2472" s="23" t="str">
        <f>IF(A2472="","",IFERROR(INDEX(Ввод!$B$12:$B$71,MATCH(A2472,Ввод!$D$12:$D$71,1)),""))</f>
        <v/>
      </c>
      <c r="C2472" t="str">
        <f t="shared" si="76"/>
        <v/>
      </c>
      <c r="D2472" t="str">
        <f>IF(A2472="","",SUMIFS(Акты!$D$5:$D$16,Акты!$E$5:$E$16,"&lt;="&amp;A2472)-SUMIFS(Оплаты!$B$6:$B$505,Оплаты!$A$6:$A$505,"&lt;"&amp;A2472,Оплаты!$D$6:$D$505,"&lt;&gt;"))</f>
        <v/>
      </c>
      <c r="E2472" t="str">
        <f>IF(A2472="","",IF(SUMPRODUCT((Ввод!$F$12:$F$31&lt;&gt;"")*(Ввод!$F$12:$F$31&lt;=A2472)*(Ввод!$G$12:$G$31&gt;=A2472))&gt;0,1,0))</f>
        <v/>
      </c>
      <c r="G2472" t="str">
        <f t="shared" si="77"/>
        <v/>
      </c>
    </row>
    <row r="2473" spans="1:7" x14ac:dyDescent="0.3">
      <c r="A2473" s="21" t="str">
        <f>IF(A2472="","",IF(A2472+1&gt;Ввод!$B$4,"",A2472+1))</f>
        <v/>
      </c>
      <c r="B2473" s="23" t="str">
        <f>IF(A2473="","",IFERROR(INDEX(Ввод!$B$12:$B$71,MATCH(A2473,Ввод!$D$12:$D$71,1)),""))</f>
        <v/>
      </c>
      <c r="C2473" t="str">
        <f t="shared" si="76"/>
        <v/>
      </c>
      <c r="D2473" t="str">
        <f>IF(A2473="","",SUMIFS(Акты!$D$5:$D$16,Акты!$E$5:$E$16,"&lt;="&amp;A2473)-SUMIFS(Оплаты!$B$6:$B$505,Оплаты!$A$6:$A$505,"&lt;"&amp;A2473,Оплаты!$D$6:$D$505,"&lt;&gt;"))</f>
        <v/>
      </c>
      <c r="E2473" t="str">
        <f>IF(A2473="","",IF(SUMPRODUCT((Ввод!$F$12:$F$31&lt;&gt;"")*(Ввод!$F$12:$F$31&lt;=A2473)*(Ввод!$G$12:$G$31&gt;=A2473))&gt;0,1,0))</f>
        <v/>
      </c>
      <c r="G2473" t="str">
        <f t="shared" si="77"/>
        <v/>
      </c>
    </row>
    <row r="2474" spans="1:7" x14ac:dyDescent="0.3">
      <c r="A2474" s="21" t="str">
        <f>IF(A2473="","",IF(A2473+1&gt;Ввод!$B$4,"",A2473+1))</f>
        <v/>
      </c>
      <c r="B2474" s="23" t="str">
        <f>IF(A2474="","",IFERROR(INDEX(Ввод!$B$12:$B$71,MATCH(A2474,Ввод!$D$12:$D$71,1)),""))</f>
        <v/>
      </c>
      <c r="C2474" t="str">
        <f t="shared" si="76"/>
        <v/>
      </c>
      <c r="D2474" t="str">
        <f>IF(A2474="","",SUMIFS(Акты!$D$5:$D$16,Акты!$E$5:$E$16,"&lt;="&amp;A2474)-SUMIFS(Оплаты!$B$6:$B$505,Оплаты!$A$6:$A$505,"&lt;"&amp;A2474,Оплаты!$D$6:$D$505,"&lt;&gt;"))</f>
        <v/>
      </c>
      <c r="E2474" t="str">
        <f>IF(A2474="","",IF(SUMPRODUCT((Ввод!$F$12:$F$31&lt;&gt;"")*(Ввод!$F$12:$F$31&lt;=A2474)*(Ввод!$G$12:$G$31&gt;=A2474))&gt;0,1,0))</f>
        <v/>
      </c>
      <c r="G2474" t="str">
        <f t="shared" si="77"/>
        <v/>
      </c>
    </row>
    <row r="2475" spans="1:7" x14ac:dyDescent="0.3">
      <c r="A2475" s="21" t="str">
        <f>IF(A2474="","",IF(A2474+1&gt;Ввод!$B$4,"",A2474+1))</f>
        <v/>
      </c>
      <c r="B2475" s="23" t="str">
        <f>IF(A2475="","",IFERROR(INDEX(Ввод!$B$12:$B$71,MATCH(A2475,Ввод!$D$12:$D$71,1)),""))</f>
        <v/>
      </c>
      <c r="C2475" t="str">
        <f t="shared" si="76"/>
        <v/>
      </c>
      <c r="D2475" t="str">
        <f>IF(A2475="","",SUMIFS(Акты!$D$5:$D$16,Акты!$E$5:$E$16,"&lt;="&amp;A2475)-SUMIFS(Оплаты!$B$6:$B$505,Оплаты!$A$6:$A$505,"&lt;"&amp;A2475,Оплаты!$D$6:$D$505,"&lt;&gt;"))</f>
        <v/>
      </c>
      <c r="E2475" t="str">
        <f>IF(A2475="","",IF(SUMPRODUCT((Ввод!$F$12:$F$31&lt;&gt;"")*(Ввод!$F$12:$F$31&lt;=A2475)*(Ввод!$G$12:$G$31&gt;=A2475))&gt;0,1,0))</f>
        <v/>
      </c>
      <c r="G2475" t="str">
        <f t="shared" si="77"/>
        <v/>
      </c>
    </row>
    <row r="2476" spans="1:7" x14ac:dyDescent="0.3">
      <c r="A2476" s="21" t="str">
        <f>IF(A2475="","",IF(A2475+1&gt;Ввод!$B$4,"",A2475+1))</f>
        <v/>
      </c>
      <c r="B2476" s="23" t="str">
        <f>IF(A2476="","",IFERROR(INDEX(Ввод!$B$12:$B$71,MATCH(A2476,Ввод!$D$12:$D$71,1)),""))</f>
        <v/>
      </c>
      <c r="C2476" t="str">
        <f t="shared" si="76"/>
        <v/>
      </c>
      <c r="D2476" t="str">
        <f>IF(A2476="","",SUMIFS(Акты!$D$5:$D$16,Акты!$E$5:$E$16,"&lt;="&amp;A2476)-SUMIFS(Оплаты!$B$6:$B$505,Оплаты!$A$6:$A$505,"&lt;"&amp;A2476,Оплаты!$D$6:$D$505,"&lt;&gt;"))</f>
        <v/>
      </c>
      <c r="E2476" t="str">
        <f>IF(A2476="","",IF(SUMPRODUCT((Ввод!$F$12:$F$31&lt;&gt;"")*(Ввод!$F$12:$F$31&lt;=A2476)*(Ввод!$G$12:$G$31&gt;=A2476))&gt;0,1,0))</f>
        <v/>
      </c>
      <c r="G2476" t="str">
        <f t="shared" si="77"/>
        <v/>
      </c>
    </row>
    <row r="2477" spans="1:7" x14ac:dyDescent="0.3">
      <c r="A2477" s="21" t="str">
        <f>IF(A2476="","",IF(A2476+1&gt;Ввод!$B$4,"",A2476+1))</f>
        <v/>
      </c>
      <c r="B2477" s="23" t="str">
        <f>IF(A2477="","",IFERROR(INDEX(Ввод!$B$12:$B$71,MATCH(A2477,Ввод!$D$12:$D$71,1)),""))</f>
        <v/>
      </c>
      <c r="C2477" t="str">
        <f t="shared" si="76"/>
        <v/>
      </c>
      <c r="D2477" t="str">
        <f>IF(A2477="","",SUMIFS(Акты!$D$5:$D$16,Акты!$E$5:$E$16,"&lt;="&amp;A2477)-SUMIFS(Оплаты!$B$6:$B$505,Оплаты!$A$6:$A$505,"&lt;"&amp;A2477,Оплаты!$D$6:$D$505,"&lt;&gt;"))</f>
        <v/>
      </c>
      <c r="E2477" t="str">
        <f>IF(A2477="","",IF(SUMPRODUCT((Ввод!$F$12:$F$31&lt;&gt;"")*(Ввод!$F$12:$F$31&lt;=A2477)*(Ввод!$G$12:$G$31&gt;=A2477))&gt;0,1,0))</f>
        <v/>
      </c>
      <c r="G2477" t="str">
        <f t="shared" si="77"/>
        <v/>
      </c>
    </row>
    <row r="2478" spans="1:7" x14ac:dyDescent="0.3">
      <c r="A2478" s="21" t="str">
        <f>IF(A2477="","",IF(A2477+1&gt;Ввод!$B$4,"",A2477+1))</f>
        <v/>
      </c>
      <c r="B2478" s="23" t="str">
        <f>IF(A2478="","",IFERROR(INDEX(Ввод!$B$12:$B$71,MATCH(A2478,Ввод!$D$12:$D$71,1)),""))</f>
        <v/>
      </c>
      <c r="C2478" t="str">
        <f t="shared" si="76"/>
        <v/>
      </c>
      <c r="D2478" t="str">
        <f>IF(A2478="","",SUMIFS(Акты!$D$5:$D$16,Акты!$E$5:$E$16,"&lt;="&amp;A2478)-SUMIFS(Оплаты!$B$6:$B$505,Оплаты!$A$6:$A$505,"&lt;"&amp;A2478,Оплаты!$D$6:$D$505,"&lt;&gt;"))</f>
        <v/>
      </c>
      <c r="E2478" t="str">
        <f>IF(A2478="","",IF(SUMPRODUCT((Ввод!$F$12:$F$31&lt;&gt;"")*(Ввод!$F$12:$F$31&lt;=A2478)*(Ввод!$G$12:$G$31&gt;=A2478))&gt;0,1,0))</f>
        <v/>
      </c>
      <c r="G2478" t="str">
        <f t="shared" si="77"/>
        <v/>
      </c>
    </row>
    <row r="2479" spans="1:7" x14ac:dyDescent="0.3">
      <c r="A2479" s="21" t="str">
        <f>IF(A2478="","",IF(A2478+1&gt;Ввод!$B$4,"",A2478+1))</f>
        <v/>
      </c>
      <c r="B2479" s="23" t="str">
        <f>IF(A2479="","",IFERROR(INDEX(Ввод!$B$12:$B$71,MATCH(A2479,Ввод!$D$12:$D$71,1)),""))</f>
        <v/>
      </c>
      <c r="C2479" t="str">
        <f t="shared" si="76"/>
        <v/>
      </c>
      <c r="D2479" t="str">
        <f>IF(A2479="","",SUMIFS(Акты!$D$5:$D$16,Акты!$E$5:$E$16,"&lt;="&amp;A2479)-SUMIFS(Оплаты!$B$6:$B$505,Оплаты!$A$6:$A$505,"&lt;"&amp;A2479,Оплаты!$D$6:$D$505,"&lt;&gt;"))</f>
        <v/>
      </c>
      <c r="E2479" t="str">
        <f>IF(A2479="","",IF(SUMPRODUCT((Ввод!$F$12:$F$31&lt;&gt;"")*(Ввод!$F$12:$F$31&lt;=A2479)*(Ввод!$G$12:$G$31&gt;=A2479))&gt;0,1,0))</f>
        <v/>
      </c>
      <c r="G2479" t="str">
        <f t="shared" si="77"/>
        <v/>
      </c>
    </row>
    <row r="2480" spans="1:7" x14ac:dyDescent="0.3">
      <c r="A2480" s="21" t="str">
        <f>IF(A2479="","",IF(A2479+1&gt;Ввод!$B$4,"",A2479+1))</f>
        <v/>
      </c>
      <c r="B2480" s="23" t="str">
        <f>IF(A2480="","",IFERROR(INDEX(Ввод!$B$12:$B$71,MATCH(A2480,Ввод!$D$12:$D$71,1)),""))</f>
        <v/>
      </c>
      <c r="C2480" t="str">
        <f t="shared" si="76"/>
        <v/>
      </c>
      <c r="D2480" t="str">
        <f>IF(A2480="","",SUMIFS(Акты!$D$5:$D$16,Акты!$E$5:$E$16,"&lt;="&amp;A2480)-SUMIFS(Оплаты!$B$6:$B$505,Оплаты!$A$6:$A$505,"&lt;"&amp;A2480,Оплаты!$D$6:$D$505,"&lt;&gt;"))</f>
        <v/>
      </c>
      <c r="E2480" t="str">
        <f>IF(A2480="","",IF(SUMPRODUCT((Ввод!$F$12:$F$31&lt;&gt;"")*(Ввод!$F$12:$F$31&lt;=A2480)*(Ввод!$G$12:$G$31&gt;=A2480))&gt;0,1,0))</f>
        <v/>
      </c>
      <c r="G2480" t="str">
        <f t="shared" si="77"/>
        <v/>
      </c>
    </row>
    <row r="2481" spans="1:7" x14ac:dyDescent="0.3">
      <c r="A2481" s="21" t="str">
        <f>IF(A2480="","",IF(A2480+1&gt;Ввод!$B$4,"",A2480+1))</f>
        <v/>
      </c>
      <c r="B2481" s="23" t="str">
        <f>IF(A2481="","",IFERROR(INDEX(Ввод!$B$12:$B$71,MATCH(A2481,Ввод!$D$12:$D$71,1)),""))</f>
        <v/>
      </c>
      <c r="C2481" t="str">
        <f t="shared" si="76"/>
        <v/>
      </c>
      <c r="D2481" t="str">
        <f>IF(A2481="","",SUMIFS(Акты!$D$5:$D$16,Акты!$E$5:$E$16,"&lt;="&amp;A2481)-SUMIFS(Оплаты!$B$6:$B$505,Оплаты!$A$6:$A$505,"&lt;"&amp;A2481,Оплаты!$D$6:$D$505,"&lt;&gt;"))</f>
        <v/>
      </c>
      <c r="E2481" t="str">
        <f>IF(A2481="","",IF(SUMPRODUCT((Ввод!$F$12:$F$31&lt;&gt;"")*(Ввод!$F$12:$F$31&lt;=A2481)*(Ввод!$G$12:$G$31&gt;=A2481))&gt;0,1,0))</f>
        <v/>
      </c>
      <c r="G2481" t="str">
        <f t="shared" si="77"/>
        <v/>
      </c>
    </row>
    <row r="2482" spans="1:7" x14ac:dyDescent="0.3">
      <c r="A2482" s="21" t="str">
        <f>IF(A2481="","",IF(A2481+1&gt;Ввод!$B$4,"",A2481+1))</f>
        <v/>
      </c>
      <c r="B2482" s="23" t="str">
        <f>IF(A2482="","",IFERROR(INDEX(Ввод!$B$12:$B$71,MATCH(A2482,Ввод!$D$12:$D$71,1)),""))</f>
        <v/>
      </c>
      <c r="C2482" t="str">
        <f t="shared" si="76"/>
        <v/>
      </c>
      <c r="D2482" t="str">
        <f>IF(A2482="","",SUMIFS(Акты!$D$5:$D$16,Акты!$E$5:$E$16,"&lt;="&amp;A2482)-SUMIFS(Оплаты!$B$6:$B$505,Оплаты!$A$6:$A$505,"&lt;"&amp;A2482,Оплаты!$D$6:$D$505,"&lt;&gt;"))</f>
        <v/>
      </c>
      <c r="E2482" t="str">
        <f>IF(A2482="","",IF(SUMPRODUCT((Ввод!$F$12:$F$31&lt;&gt;"")*(Ввод!$F$12:$F$31&lt;=A2482)*(Ввод!$G$12:$G$31&gt;=A2482))&gt;0,1,0))</f>
        <v/>
      </c>
      <c r="G2482" t="str">
        <f t="shared" si="77"/>
        <v/>
      </c>
    </row>
    <row r="2483" spans="1:7" x14ac:dyDescent="0.3">
      <c r="A2483" s="21" t="str">
        <f>IF(A2482="","",IF(A2482+1&gt;Ввод!$B$4,"",A2482+1))</f>
        <v/>
      </c>
      <c r="B2483" s="23" t="str">
        <f>IF(A2483="","",IFERROR(INDEX(Ввод!$B$12:$B$71,MATCH(A2483,Ввод!$D$12:$D$71,1)),""))</f>
        <v/>
      </c>
      <c r="C2483" t="str">
        <f t="shared" si="76"/>
        <v/>
      </c>
      <c r="D2483" t="str">
        <f>IF(A2483="","",SUMIFS(Акты!$D$5:$D$16,Акты!$E$5:$E$16,"&lt;="&amp;A2483)-SUMIFS(Оплаты!$B$6:$B$505,Оплаты!$A$6:$A$505,"&lt;"&amp;A2483,Оплаты!$D$6:$D$505,"&lt;&gt;"))</f>
        <v/>
      </c>
      <c r="E2483" t="str">
        <f>IF(A2483="","",IF(SUMPRODUCT((Ввод!$F$12:$F$31&lt;&gt;"")*(Ввод!$F$12:$F$31&lt;=A2483)*(Ввод!$G$12:$G$31&gt;=A2483))&gt;0,1,0))</f>
        <v/>
      </c>
      <c r="G2483" t="str">
        <f t="shared" si="77"/>
        <v/>
      </c>
    </row>
    <row r="2484" spans="1:7" x14ac:dyDescent="0.3">
      <c r="A2484" s="21" t="str">
        <f>IF(A2483="","",IF(A2483+1&gt;Ввод!$B$4,"",A2483+1))</f>
        <v/>
      </c>
      <c r="B2484" s="23" t="str">
        <f>IF(A2484="","",IFERROR(INDEX(Ввод!$B$12:$B$71,MATCH(A2484,Ввод!$D$12:$D$71,1)),""))</f>
        <v/>
      </c>
      <c r="C2484" t="str">
        <f t="shared" si="76"/>
        <v/>
      </c>
      <c r="D2484" t="str">
        <f>IF(A2484="","",SUMIFS(Акты!$D$5:$D$16,Акты!$E$5:$E$16,"&lt;="&amp;A2484)-SUMIFS(Оплаты!$B$6:$B$505,Оплаты!$A$6:$A$505,"&lt;"&amp;A2484,Оплаты!$D$6:$D$505,"&lt;&gt;"))</f>
        <v/>
      </c>
      <c r="E2484" t="str">
        <f>IF(A2484="","",IF(SUMPRODUCT((Ввод!$F$12:$F$31&lt;&gt;"")*(Ввод!$F$12:$F$31&lt;=A2484)*(Ввод!$G$12:$G$31&gt;=A2484))&gt;0,1,0))</f>
        <v/>
      </c>
      <c r="G2484" t="str">
        <f t="shared" si="77"/>
        <v/>
      </c>
    </row>
    <row r="2485" spans="1:7" x14ac:dyDescent="0.3">
      <c r="A2485" s="21" t="str">
        <f>IF(A2484="","",IF(A2484+1&gt;Ввод!$B$4,"",A2484+1))</f>
        <v/>
      </c>
      <c r="B2485" s="23" t="str">
        <f>IF(A2485="","",IFERROR(INDEX(Ввод!$B$12:$B$71,MATCH(A2485,Ввод!$D$12:$D$71,1)),""))</f>
        <v/>
      </c>
      <c r="C2485" t="str">
        <f t="shared" si="76"/>
        <v/>
      </c>
      <c r="D2485" t="str">
        <f>IF(A2485="","",SUMIFS(Акты!$D$5:$D$16,Акты!$E$5:$E$16,"&lt;="&amp;A2485)-SUMIFS(Оплаты!$B$6:$B$505,Оплаты!$A$6:$A$505,"&lt;"&amp;A2485,Оплаты!$D$6:$D$505,"&lt;&gt;"))</f>
        <v/>
      </c>
      <c r="E2485" t="str">
        <f>IF(A2485="","",IF(SUMPRODUCT((Ввод!$F$12:$F$31&lt;&gt;"")*(Ввод!$F$12:$F$31&lt;=A2485)*(Ввод!$G$12:$G$31&gt;=A2485))&gt;0,1,0))</f>
        <v/>
      </c>
      <c r="G2485" t="str">
        <f t="shared" si="77"/>
        <v/>
      </c>
    </row>
    <row r="2486" spans="1:7" x14ac:dyDescent="0.3">
      <c r="A2486" s="21" t="str">
        <f>IF(A2485="","",IF(A2485+1&gt;Ввод!$B$4,"",A2485+1))</f>
        <v/>
      </c>
      <c r="B2486" s="23" t="str">
        <f>IF(A2486="","",IFERROR(INDEX(Ввод!$B$12:$B$71,MATCH(A2486,Ввод!$D$12:$D$71,1)),""))</f>
        <v/>
      </c>
      <c r="C2486" t="str">
        <f t="shared" si="76"/>
        <v/>
      </c>
      <c r="D2486" t="str">
        <f>IF(A2486="","",SUMIFS(Акты!$D$5:$D$16,Акты!$E$5:$E$16,"&lt;="&amp;A2486)-SUMIFS(Оплаты!$B$6:$B$505,Оплаты!$A$6:$A$505,"&lt;"&amp;A2486,Оплаты!$D$6:$D$505,"&lt;&gt;"))</f>
        <v/>
      </c>
      <c r="E2486" t="str">
        <f>IF(A2486="","",IF(SUMPRODUCT((Ввод!$F$12:$F$31&lt;&gt;"")*(Ввод!$F$12:$F$31&lt;=A2486)*(Ввод!$G$12:$G$31&gt;=A2486))&gt;0,1,0))</f>
        <v/>
      </c>
      <c r="G2486" t="str">
        <f t="shared" si="77"/>
        <v/>
      </c>
    </row>
    <row r="2487" spans="1:7" x14ac:dyDescent="0.3">
      <c r="A2487" s="21" t="str">
        <f>IF(A2486="","",IF(A2486+1&gt;Ввод!$B$4,"",A2486+1))</f>
        <v/>
      </c>
      <c r="B2487" s="23" t="str">
        <f>IF(A2487="","",IFERROR(INDEX(Ввод!$B$12:$B$71,MATCH(A2487,Ввод!$D$12:$D$71,1)),""))</f>
        <v/>
      </c>
      <c r="C2487" t="str">
        <f t="shared" si="76"/>
        <v/>
      </c>
      <c r="D2487" t="str">
        <f>IF(A2487="","",SUMIFS(Акты!$D$5:$D$16,Акты!$E$5:$E$16,"&lt;="&amp;A2487)-SUMIFS(Оплаты!$B$6:$B$505,Оплаты!$A$6:$A$505,"&lt;"&amp;A2487,Оплаты!$D$6:$D$505,"&lt;&gt;"))</f>
        <v/>
      </c>
      <c r="E2487" t="str">
        <f>IF(A2487="","",IF(SUMPRODUCT((Ввод!$F$12:$F$31&lt;&gt;"")*(Ввод!$F$12:$F$31&lt;=A2487)*(Ввод!$G$12:$G$31&gt;=A2487))&gt;0,1,0))</f>
        <v/>
      </c>
      <c r="G2487" t="str">
        <f t="shared" si="77"/>
        <v/>
      </c>
    </row>
    <row r="2488" spans="1:7" x14ac:dyDescent="0.3">
      <c r="A2488" s="21" t="str">
        <f>IF(A2487="","",IF(A2487+1&gt;Ввод!$B$4,"",A2487+1))</f>
        <v/>
      </c>
      <c r="B2488" s="23" t="str">
        <f>IF(A2488="","",IFERROR(INDEX(Ввод!$B$12:$B$71,MATCH(A2488,Ввод!$D$12:$D$71,1)),""))</f>
        <v/>
      </c>
      <c r="C2488" t="str">
        <f t="shared" si="76"/>
        <v/>
      </c>
      <c r="D2488" t="str">
        <f>IF(A2488="","",SUMIFS(Акты!$D$5:$D$16,Акты!$E$5:$E$16,"&lt;="&amp;A2488)-SUMIFS(Оплаты!$B$6:$B$505,Оплаты!$A$6:$A$505,"&lt;"&amp;A2488,Оплаты!$D$6:$D$505,"&lt;&gt;"))</f>
        <v/>
      </c>
      <c r="E2488" t="str">
        <f>IF(A2488="","",IF(SUMPRODUCT((Ввод!$F$12:$F$31&lt;&gt;"")*(Ввод!$F$12:$F$31&lt;=A2488)*(Ввод!$G$12:$G$31&gt;=A2488))&gt;0,1,0))</f>
        <v/>
      </c>
      <c r="G2488" t="str">
        <f t="shared" si="77"/>
        <v/>
      </c>
    </row>
    <row r="2489" spans="1:7" x14ac:dyDescent="0.3">
      <c r="A2489" s="21" t="str">
        <f>IF(A2488="","",IF(A2488+1&gt;Ввод!$B$4,"",A2488+1))</f>
        <v/>
      </c>
      <c r="B2489" s="23" t="str">
        <f>IF(A2489="","",IFERROR(INDEX(Ввод!$B$12:$B$71,MATCH(A2489,Ввод!$D$12:$D$71,1)),""))</f>
        <v/>
      </c>
      <c r="C2489" t="str">
        <f t="shared" si="76"/>
        <v/>
      </c>
      <c r="D2489" t="str">
        <f>IF(A2489="","",SUMIFS(Акты!$D$5:$D$16,Акты!$E$5:$E$16,"&lt;="&amp;A2489)-SUMIFS(Оплаты!$B$6:$B$505,Оплаты!$A$6:$A$505,"&lt;"&amp;A2489,Оплаты!$D$6:$D$505,"&lt;&gt;"))</f>
        <v/>
      </c>
      <c r="E2489" t="str">
        <f>IF(A2489="","",IF(SUMPRODUCT((Ввод!$F$12:$F$31&lt;&gt;"")*(Ввод!$F$12:$F$31&lt;=A2489)*(Ввод!$G$12:$G$31&gt;=A2489))&gt;0,1,0))</f>
        <v/>
      </c>
      <c r="G2489" t="str">
        <f t="shared" si="77"/>
        <v/>
      </c>
    </row>
    <row r="2490" spans="1:7" x14ac:dyDescent="0.3">
      <c r="A2490" s="21" t="str">
        <f>IF(A2489="","",IF(A2489+1&gt;Ввод!$B$4,"",A2489+1))</f>
        <v/>
      </c>
      <c r="B2490" s="23" t="str">
        <f>IF(A2490="","",IFERROR(INDEX(Ввод!$B$12:$B$71,MATCH(A2490,Ввод!$D$12:$D$71,1)),""))</f>
        <v/>
      </c>
      <c r="C2490" t="str">
        <f t="shared" si="76"/>
        <v/>
      </c>
      <c r="D2490" t="str">
        <f>IF(A2490="","",SUMIFS(Акты!$D$5:$D$16,Акты!$E$5:$E$16,"&lt;="&amp;A2490)-SUMIFS(Оплаты!$B$6:$B$505,Оплаты!$A$6:$A$505,"&lt;"&amp;A2490,Оплаты!$D$6:$D$505,"&lt;&gt;"))</f>
        <v/>
      </c>
      <c r="E2490" t="str">
        <f>IF(A2490="","",IF(SUMPRODUCT((Ввод!$F$12:$F$31&lt;&gt;"")*(Ввод!$F$12:$F$31&lt;=A2490)*(Ввод!$G$12:$G$31&gt;=A2490))&gt;0,1,0))</f>
        <v/>
      </c>
      <c r="G2490" t="str">
        <f t="shared" si="77"/>
        <v/>
      </c>
    </row>
    <row r="2491" spans="1:7" x14ac:dyDescent="0.3">
      <c r="A2491" s="21" t="str">
        <f>IF(A2490="","",IF(A2490+1&gt;Ввод!$B$4,"",A2490+1))</f>
        <v/>
      </c>
      <c r="B2491" s="23" t="str">
        <f>IF(A2491="","",IFERROR(INDEX(Ввод!$B$12:$B$71,MATCH(A2491,Ввод!$D$12:$D$71,1)),""))</f>
        <v/>
      </c>
      <c r="C2491" t="str">
        <f t="shared" si="76"/>
        <v/>
      </c>
      <c r="D2491" t="str">
        <f>IF(A2491="","",SUMIFS(Акты!$D$5:$D$16,Акты!$E$5:$E$16,"&lt;="&amp;A2491)-SUMIFS(Оплаты!$B$6:$B$505,Оплаты!$A$6:$A$505,"&lt;"&amp;A2491,Оплаты!$D$6:$D$505,"&lt;&gt;"))</f>
        <v/>
      </c>
      <c r="E2491" t="str">
        <f>IF(A2491="","",IF(SUMPRODUCT((Ввод!$F$12:$F$31&lt;&gt;"")*(Ввод!$F$12:$F$31&lt;=A2491)*(Ввод!$G$12:$G$31&gt;=A2491))&gt;0,1,0))</f>
        <v/>
      </c>
      <c r="G2491" t="str">
        <f t="shared" si="77"/>
        <v/>
      </c>
    </row>
    <row r="2492" spans="1:7" x14ac:dyDescent="0.3">
      <c r="A2492" s="21" t="str">
        <f>IF(A2491="","",IF(A2491+1&gt;Ввод!$B$4,"",A2491+1))</f>
        <v/>
      </c>
      <c r="B2492" s="23" t="str">
        <f>IF(A2492="","",IFERROR(INDEX(Ввод!$B$12:$B$71,MATCH(A2492,Ввод!$D$12:$D$71,1)),""))</f>
        <v/>
      </c>
      <c r="C2492" t="str">
        <f t="shared" si="76"/>
        <v/>
      </c>
      <c r="D2492" t="str">
        <f>IF(A2492="","",SUMIFS(Акты!$D$5:$D$16,Акты!$E$5:$E$16,"&lt;="&amp;A2492)-SUMIFS(Оплаты!$B$6:$B$505,Оплаты!$A$6:$A$505,"&lt;"&amp;A2492,Оплаты!$D$6:$D$505,"&lt;&gt;"))</f>
        <v/>
      </c>
      <c r="E2492" t="str">
        <f>IF(A2492="","",IF(SUMPRODUCT((Ввод!$F$12:$F$31&lt;&gt;"")*(Ввод!$F$12:$F$31&lt;=A2492)*(Ввод!$G$12:$G$31&gt;=A2492))&gt;0,1,0))</f>
        <v/>
      </c>
      <c r="G2492" t="str">
        <f t="shared" si="77"/>
        <v/>
      </c>
    </row>
    <row r="2493" spans="1:7" x14ac:dyDescent="0.3">
      <c r="A2493" s="21" t="str">
        <f>IF(A2492="","",IF(A2492+1&gt;Ввод!$B$4,"",A2492+1))</f>
        <v/>
      </c>
      <c r="B2493" s="23" t="str">
        <f>IF(A2493="","",IFERROR(INDEX(Ввод!$B$12:$B$71,MATCH(A2493,Ввод!$D$12:$D$71,1)),""))</f>
        <v/>
      </c>
      <c r="C2493" t="str">
        <f t="shared" si="76"/>
        <v/>
      </c>
      <c r="D2493" t="str">
        <f>IF(A2493="","",SUMIFS(Акты!$D$5:$D$16,Акты!$E$5:$E$16,"&lt;="&amp;A2493)-SUMIFS(Оплаты!$B$6:$B$505,Оплаты!$A$6:$A$505,"&lt;"&amp;A2493,Оплаты!$D$6:$D$505,"&lt;&gt;"))</f>
        <v/>
      </c>
      <c r="E2493" t="str">
        <f>IF(A2493="","",IF(SUMPRODUCT((Ввод!$F$12:$F$31&lt;&gt;"")*(Ввод!$F$12:$F$31&lt;=A2493)*(Ввод!$G$12:$G$31&gt;=A2493))&gt;0,1,0))</f>
        <v/>
      </c>
      <c r="G2493" t="str">
        <f t="shared" si="77"/>
        <v/>
      </c>
    </row>
    <row r="2494" spans="1:7" x14ac:dyDescent="0.3">
      <c r="A2494" s="21" t="str">
        <f>IF(A2493="","",IF(A2493+1&gt;Ввод!$B$4,"",A2493+1))</f>
        <v/>
      </c>
      <c r="B2494" s="23" t="str">
        <f>IF(A2494="","",IFERROR(INDEX(Ввод!$B$12:$B$71,MATCH(A2494,Ввод!$D$12:$D$71,1)),""))</f>
        <v/>
      </c>
      <c r="C2494" t="str">
        <f t="shared" si="76"/>
        <v/>
      </c>
      <c r="D2494" t="str">
        <f>IF(A2494="","",SUMIFS(Акты!$D$5:$D$16,Акты!$E$5:$E$16,"&lt;="&amp;A2494)-SUMIFS(Оплаты!$B$6:$B$505,Оплаты!$A$6:$A$505,"&lt;"&amp;A2494,Оплаты!$D$6:$D$505,"&lt;&gt;"))</f>
        <v/>
      </c>
      <c r="E2494" t="str">
        <f>IF(A2494="","",IF(SUMPRODUCT((Ввод!$F$12:$F$31&lt;&gt;"")*(Ввод!$F$12:$F$31&lt;=A2494)*(Ввод!$G$12:$G$31&gt;=A2494))&gt;0,1,0))</f>
        <v/>
      </c>
      <c r="G2494" t="str">
        <f t="shared" si="77"/>
        <v/>
      </c>
    </row>
    <row r="2495" spans="1:7" x14ac:dyDescent="0.3">
      <c r="A2495" s="21" t="str">
        <f>IF(A2494="","",IF(A2494+1&gt;Ввод!$B$4,"",A2494+1))</f>
        <v/>
      </c>
      <c r="B2495" s="23" t="str">
        <f>IF(A2495="","",IFERROR(INDEX(Ввод!$B$12:$B$71,MATCH(A2495,Ввод!$D$12:$D$71,1)),""))</f>
        <v/>
      </c>
      <c r="C2495" t="str">
        <f t="shared" si="76"/>
        <v/>
      </c>
      <c r="D2495" t="str">
        <f>IF(A2495="","",SUMIFS(Акты!$D$5:$D$16,Акты!$E$5:$E$16,"&lt;="&amp;A2495)-SUMIFS(Оплаты!$B$6:$B$505,Оплаты!$A$6:$A$505,"&lt;"&amp;A2495,Оплаты!$D$6:$D$505,"&lt;&gt;"))</f>
        <v/>
      </c>
      <c r="E2495" t="str">
        <f>IF(A2495="","",IF(SUMPRODUCT((Ввод!$F$12:$F$31&lt;&gt;"")*(Ввод!$F$12:$F$31&lt;=A2495)*(Ввод!$G$12:$G$31&gt;=A2495))&gt;0,1,0))</f>
        <v/>
      </c>
      <c r="G2495" t="str">
        <f t="shared" si="77"/>
        <v/>
      </c>
    </row>
    <row r="2496" spans="1:7" x14ac:dyDescent="0.3">
      <c r="A2496" s="21" t="str">
        <f>IF(A2495="","",IF(A2495+1&gt;Ввод!$B$4,"",A2495+1))</f>
        <v/>
      </c>
      <c r="B2496" s="23" t="str">
        <f>IF(A2496="","",IFERROR(INDEX(Ввод!$B$12:$B$71,MATCH(A2496,Ввод!$D$12:$D$71,1)),""))</f>
        <v/>
      </c>
      <c r="C2496" t="str">
        <f t="shared" si="76"/>
        <v/>
      </c>
      <c r="D2496" t="str">
        <f>IF(A2496="","",SUMIFS(Акты!$D$5:$D$16,Акты!$E$5:$E$16,"&lt;="&amp;A2496)-SUMIFS(Оплаты!$B$6:$B$505,Оплаты!$A$6:$A$505,"&lt;"&amp;A2496,Оплаты!$D$6:$D$505,"&lt;&gt;"))</f>
        <v/>
      </c>
      <c r="E2496" t="str">
        <f>IF(A2496="","",IF(SUMPRODUCT((Ввод!$F$12:$F$31&lt;&gt;"")*(Ввод!$F$12:$F$31&lt;=A2496)*(Ввод!$G$12:$G$31&gt;=A2496))&gt;0,1,0))</f>
        <v/>
      </c>
      <c r="G2496" t="str">
        <f t="shared" si="77"/>
        <v/>
      </c>
    </row>
    <row r="2497" spans="1:7" x14ac:dyDescent="0.3">
      <c r="A2497" s="21" t="str">
        <f>IF(A2496="","",IF(A2496+1&gt;Ввод!$B$4,"",A2496+1))</f>
        <v/>
      </c>
      <c r="B2497" s="23" t="str">
        <f>IF(A2497="","",IFERROR(INDEX(Ввод!$B$12:$B$71,MATCH(A2497,Ввод!$D$12:$D$71,1)),""))</f>
        <v/>
      </c>
      <c r="C2497" t="str">
        <f t="shared" si="76"/>
        <v/>
      </c>
      <c r="D2497" t="str">
        <f>IF(A2497="","",SUMIFS(Акты!$D$5:$D$16,Акты!$E$5:$E$16,"&lt;="&amp;A2497)-SUMIFS(Оплаты!$B$6:$B$505,Оплаты!$A$6:$A$505,"&lt;"&amp;A2497,Оплаты!$D$6:$D$505,"&lt;&gt;"))</f>
        <v/>
      </c>
      <c r="E2497" t="str">
        <f>IF(A2497="","",IF(SUMPRODUCT((Ввод!$F$12:$F$31&lt;&gt;"")*(Ввод!$F$12:$F$31&lt;=A2497)*(Ввод!$G$12:$G$31&gt;=A2497))&gt;0,1,0))</f>
        <v/>
      </c>
      <c r="G2497" t="str">
        <f t="shared" si="77"/>
        <v/>
      </c>
    </row>
    <row r="2498" spans="1:7" x14ac:dyDescent="0.3">
      <c r="A2498" s="21" t="str">
        <f>IF(A2497="","",IF(A2497+1&gt;Ввод!$B$4,"",A2497+1))</f>
        <v/>
      </c>
      <c r="B2498" s="23" t="str">
        <f>IF(A2498="","",IFERROR(INDEX(Ввод!$B$12:$B$71,MATCH(A2498,Ввод!$D$12:$D$71,1)),""))</f>
        <v/>
      </c>
      <c r="C2498" t="str">
        <f t="shared" ref="C2498:C2561" si="78">IF(A2498="","",DATE(YEAR(A2498),12,31)-DATE(YEAR(A2498),1,1)+1)</f>
        <v/>
      </c>
      <c r="D2498" t="str">
        <f>IF(A2498="","",SUMIFS(Акты!$D$5:$D$16,Акты!$E$5:$E$16,"&lt;="&amp;A2498)-SUMIFS(Оплаты!$B$6:$B$505,Оплаты!$A$6:$A$505,"&lt;"&amp;A2498,Оплаты!$D$6:$D$505,"&lt;&gt;"))</f>
        <v/>
      </c>
      <c r="E2498" t="str">
        <f>IF(A2498="","",IF(SUMPRODUCT((Ввод!$F$12:$F$31&lt;&gt;"")*(Ввод!$F$12:$F$31&lt;=A2498)*(Ввод!$G$12:$G$31&gt;=A2498))&gt;0,1,0))</f>
        <v/>
      </c>
      <c r="G2498" t="str">
        <f t="shared" si="77"/>
        <v/>
      </c>
    </row>
    <row r="2499" spans="1:7" x14ac:dyDescent="0.3">
      <c r="A2499" s="21" t="str">
        <f>IF(A2498="","",IF(A2498+1&gt;Ввод!$B$4,"",A2498+1))</f>
        <v/>
      </c>
      <c r="B2499" s="23" t="str">
        <f>IF(A2499="","",IFERROR(INDEX(Ввод!$B$12:$B$71,MATCH(A2499,Ввод!$D$12:$D$71,1)),""))</f>
        <v/>
      </c>
      <c r="C2499" t="str">
        <f t="shared" si="78"/>
        <v/>
      </c>
      <c r="D2499" t="str">
        <f>IF(A2499="","",SUMIFS(Акты!$D$5:$D$16,Акты!$E$5:$E$16,"&lt;="&amp;A2499)-SUMIFS(Оплаты!$B$6:$B$505,Оплаты!$A$6:$A$505,"&lt;"&amp;A2499,Оплаты!$D$6:$D$505,"&lt;&gt;"))</f>
        <v/>
      </c>
      <c r="E2499" t="str">
        <f>IF(A2499="","",IF(SUMPRODUCT((Ввод!$F$12:$F$31&lt;&gt;"")*(Ввод!$F$12:$F$31&lt;=A2499)*(Ввод!$G$12:$G$31&gt;=A2499))&gt;0,1,0))</f>
        <v/>
      </c>
      <c r="G2499" t="str">
        <f t="shared" ref="G2499:G2562" si="79">IF(A2499="","",IF(OR(B2499&lt;&gt;B2498,C2499&lt;&gt;C2498,E2499&lt;&gt;E2498),G2498+1,G2498))</f>
        <v/>
      </c>
    </row>
    <row r="2500" spans="1:7" x14ac:dyDescent="0.3">
      <c r="A2500" s="21" t="str">
        <f>IF(A2499="","",IF(A2499+1&gt;Ввод!$B$4,"",A2499+1))</f>
        <v/>
      </c>
      <c r="B2500" s="23" t="str">
        <f>IF(A2500="","",IFERROR(INDEX(Ввод!$B$12:$B$71,MATCH(A2500,Ввод!$D$12:$D$71,1)),""))</f>
        <v/>
      </c>
      <c r="C2500" t="str">
        <f t="shared" si="78"/>
        <v/>
      </c>
      <c r="D2500" t="str">
        <f>IF(A2500="","",SUMIFS(Акты!$D$5:$D$16,Акты!$E$5:$E$16,"&lt;="&amp;A2500)-SUMIFS(Оплаты!$B$6:$B$505,Оплаты!$A$6:$A$505,"&lt;"&amp;A2500,Оплаты!$D$6:$D$505,"&lt;&gt;"))</f>
        <v/>
      </c>
      <c r="E2500" t="str">
        <f>IF(A2500="","",IF(SUMPRODUCT((Ввод!$F$12:$F$31&lt;&gt;"")*(Ввод!$F$12:$F$31&lt;=A2500)*(Ввод!$G$12:$G$31&gt;=A2500))&gt;0,1,0))</f>
        <v/>
      </c>
      <c r="G2500" t="str">
        <f t="shared" si="79"/>
        <v/>
      </c>
    </row>
    <row r="2501" spans="1:7" x14ac:dyDescent="0.3">
      <c r="A2501" s="21" t="str">
        <f>IF(A2500="","",IF(A2500+1&gt;Ввод!$B$4,"",A2500+1))</f>
        <v/>
      </c>
      <c r="B2501" s="23" t="str">
        <f>IF(A2501="","",IFERROR(INDEX(Ввод!$B$12:$B$71,MATCH(A2501,Ввод!$D$12:$D$71,1)),""))</f>
        <v/>
      </c>
      <c r="C2501" t="str">
        <f t="shared" si="78"/>
        <v/>
      </c>
      <c r="D2501" t="str">
        <f>IF(A2501="","",SUMIFS(Акты!$D$5:$D$16,Акты!$E$5:$E$16,"&lt;="&amp;A2501)-SUMIFS(Оплаты!$B$6:$B$505,Оплаты!$A$6:$A$505,"&lt;"&amp;A2501,Оплаты!$D$6:$D$505,"&lt;&gt;"))</f>
        <v/>
      </c>
      <c r="E2501" t="str">
        <f>IF(A2501="","",IF(SUMPRODUCT((Ввод!$F$12:$F$31&lt;&gt;"")*(Ввод!$F$12:$F$31&lt;=A2501)*(Ввод!$G$12:$G$31&gt;=A2501))&gt;0,1,0))</f>
        <v/>
      </c>
      <c r="G2501" t="str">
        <f t="shared" si="79"/>
        <v/>
      </c>
    </row>
    <row r="2502" spans="1:7" x14ac:dyDescent="0.3">
      <c r="A2502" s="21" t="str">
        <f>IF(A2501="","",IF(A2501+1&gt;Ввод!$B$4,"",A2501+1))</f>
        <v/>
      </c>
      <c r="B2502" s="23" t="str">
        <f>IF(A2502="","",IFERROR(INDEX(Ввод!$B$12:$B$71,MATCH(A2502,Ввод!$D$12:$D$71,1)),""))</f>
        <v/>
      </c>
      <c r="C2502" t="str">
        <f t="shared" si="78"/>
        <v/>
      </c>
      <c r="D2502" t="str">
        <f>IF(A2502="","",SUMIFS(Акты!$D$5:$D$16,Акты!$E$5:$E$16,"&lt;="&amp;A2502)-SUMIFS(Оплаты!$B$6:$B$505,Оплаты!$A$6:$A$505,"&lt;"&amp;A2502,Оплаты!$D$6:$D$505,"&lt;&gt;"))</f>
        <v/>
      </c>
      <c r="E2502" t="str">
        <f>IF(A2502="","",IF(SUMPRODUCT((Ввод!$F$12:$F$31&lt;&gt;"")*(Ввод!$F$12:$F$31&lt;=A2502)*(Ввод!$G$12:$G$31&gt;=A2502))&gt;0,1,0))</f>
        <v/>
      </c>
      <c r="G2502" t="str">
        <f t="shared" si="79"/>
        <v/>
      </c>
    </row>
    <row r="2503" spans="1:7" x14ac:dyDescent="0.3">
      <c r="A2503" s="21" t="str">
        <f>IF(A2502="","",IF(A2502+1&gt;Ввод!$B$4,"",A2502+1))</f>
        <v/>
      </c>
      <c r="B2503" s="23" t="str">
        <f>IF(A2503="","",IFERROR(INDEX(Ввод!$B$12:$B$71,MATCH(A2503,Ввод!$D$12:$D$71,1)),""))</f>
        <v/>
      </c>
      <c r="C2503" t="str">
        <f t="shared" si="78"/>
        <v/>
      </c>
      <c r="D2503" t="str">
        <f>IF(A2503="","",SUMIFS(Акты!$D$5:$D$16,Акты!$E$5:$E$16,"&lt;="&amp;A2503)-SUMIFS(Оплаты!$B$6:$B$505,Оплаты!$A$6:$A$505,"&lt;"&amp;A2503,Оплаты!$D$6:$D$505,"&lt;&gt;"))</f>
        <v/>
      </c>
      <c r="E2503" t="str">
        <f>IF(A2503="","",IF(SUMPRODUCT((Ввод!$F$12:$F$31&lt;&gt;"")*(Ввод!$F$12:$F$31&lt;=A2503)*(Ввод!$G$12:$G$31&gt;=A2503))&gt;0,1,0))</f>
        <v/>
      </c>
      <c r="G2503" t="str">
        <f t="shared" si="79"/>
        <v/>
      </c>
    </row>
    <row r="2504" spans="1:7" x14ac:dyDescent="0.3">
      <c r="A2504" s="21" t="str">
        <f>IF(A2503="","",IF(A2503+1&gt;Ввод!$B$4,"",A2503+1))</f>
        <v/>
      </c>
      <c r="B2504" s="23" t="str">
        <f>IF(A2504="","",IFERROR(INDEX(Ввод!$B$12:$B$71,MATCH(A2504,Ввод!$D$12:$D$71,1)),""))</f>
        <v/>
      </c>
      <c r="C2504" t="str">
        <f t="shared" si="78"/>
        <v/>
      </c>
      <c r="D2504" t="str">
        <f>IF(A2504="","",SUMIFS(Акты!$D$5:$D$16,Акты!$E$5:$E$16,"&lt;="&amp;A2504)-SUMIFS(Оплаты!$B$6:$B$505,Оплаты!$A$6:$A$505,"&lt;"&amp;A2504,Оплаты!$D$6:$D$505,"&lt;&gt;"))</f>
        <v/>
      </c>
      <c r="E2504" t="str">
        <f>IF(A2504="","",IF(SUMPRODUCT((Ввод!$F$12:$F$31&lt;&gt;"")*(Ввод!$F$12:$F$31&lt;=A2504)*(Ввод!$G$12:$G$31&gt;=A2504))&gt;0,1,0))</f>
        <v/>
      </c>
      <c r="G2504" t="str">
        <f t="shared" si="79"/>
        <v/>
      </c>
    </row>
    <row r="2505" spans="1:7" x14ac:dyDescent="0.3">
      <c r="A2505" s="21" t="str">
        <f>IF(A2504="","",IF(A2504+1&gt;Ввод!$B$4,"",A2504+1))</f>
        <v/>
      </c>
      <c r="B2505" s="23" t="str">
        <f>IF(A2505="","",IFERROR(INDEX(Ввод!$B$12:$B$71,MATCH(A2505,Ввод!$D$12:$D$71,1)),""))</f>
        <v/>
      </c>
      <c r="C2505" t="str">
        <f t="shared" si="78"/>
        <v/>
      </c>
      <c r="D2505" t="str">
        <f>IF(A2505="","",SUMIFS(Акты!$D$5:$D$16,Акты!$E$5:$E$16,"&lt;="&amp;A2505)-SUMIFS(Оплаты!$B$6:$B$505,Оплаты!$A$6:$A$505,"&lt;"&amp;A2505,Оплаты!$D$6:$D$505,"&lt;&gt;"))</f>
        <v/>
      </c>
      <c r="E2505" t="str">
        <f>IF(A2505="","",IF(SUMPRODUCT((Ввод!$F$12:$F$31&lt;&gt;"")*(Ввод!$F$12:$F$31&lt;=A2505)*(Ввод!$G$12:$G$31&gt;=A2505))&gt;0,1,0))</f>
        <v/>
      </c>
      <c r="G2505" t="str">
        <f t="shared" si="79"/>
        <v/>
      </c>
    </row>
    <row r="2506" spans="1:7" x14ac:dyDescent="0.3">
      <c r="A2506" s="21" t="str">
        <f>IF(A2505="","",IF(A2505+1&gt;Ввод!$B$4,"",A2505+1))</f>
        <v/>
      </c>
      <c r="B2506" s="23" t="str">
        <f>IF(A2506="","",IFERROR(INDEX(Ввод!$B$12:$B$71,MATCH(A2506,Ввод!$D$12:$D$71,1)),""))</f>
        <v/>
      </c>
      <c r="C2506" t="str">
        <f t="shared" si="78"/>
        <v/>
      </c>
      <c r="D2506" t="str">
        <f>IF(A2506="","",SUMIFS(Акты!$D$5:$D$16,Акты!$E$5:$E$16,"&lt;="&amp;A2506)-SUMIFS(Оплаты!$B$6:$B$505,Оплаты!$A$6:$A$505,"&lt;"&amp;A2506,Оплаты!$D$6:$D$505,"&lt;&gt;"))</f>
        <v/>
      </c>
      <c r="E2506" t="str">
        <f>IF(A2506="","",IF(SUMPRODUCT((Ввод!$F$12:$F$31&lt;&gt;"")*(Ввод!$F$12:$F$31&lt;=A2506)*(Ввод!$G$12:$G$31&gt;=A2506))&gt;0,1,0))</f>
        <v/>
      </c>
      <c r="G2506" t="str">
        <f t="shared" si="79"/>
        <v/>
      </c>
    </row>
    <row r="2507" spans="1:7" x14ac:dyDescent="0.3">
      <c r="A2507" s="21" t="str">
        <f>IF(A2506="","",IF(A2506+1&gt;Ввод!$B$4,"",A2506+1))</f>
        <v/>
      </c>
      <c r="B2507" s="23" t="str">
        <f>IF(A2507="","",IFERROR(INDEX(Ввод!$B$12:$B$71,MATCH(A2507,Ввод!$D$12:$D$71,1)),""))</f>
        <v/>
      </c>
      <c r="C2507" t="str">
        <f t="shared" si="78"/>
        <v/>
      </c>
      <c r="D2507" t="str">
        <f>IF(A2507="","",SUMIFS(Акты!$D$5:$D$16,Акты!$E$5:$E$16,"&lt;="&amp;A2507)-SUMIFS(Оплаты!$B$6:$B$505,Оплаты!$A$6:$A$505,"&lt;"&amp;A2507,Оплаты!$D$6:$D$505,"&lt;&gt;"))</f>
        <v/>
      </c>
      <c r="E2507" t="str">
        <f>IF(A2507="","",IF(SUMPRODUCT((Ввод!$F$12:$F$31&lt;&gt;"")*(Ввод!$F$12:$F$31&lt;=A2507)*(Ввод!$G$12:$G$31&gt;=A2507))&gt;0,1,0))</f>
        <v/>
      </c>
      <c r="G2507" t="str">
        <f t="shared" si="79"/>
        <v/>
      </c>
    </row>
    <row r="2508" spans="1:7" x14ac:dyDescent="0.3">
      <c r="A2508" s="21" t="str">
        <f>IF(A2507="","",IF(A2507+1&gt;Ввод!$B$4,"",A2507+1))</f>
        <v/>
      </c>
      <c r="B2508" s="23" t="str">
        <f>IF(A2508="","",IFERROR(INDEX(Ввод!$B$12:$B$71,MATCH(A2508,Ввод!$D$12:$D$71,1)),""))</f>
        <v/>
      </c>
      <c r="C2508" t="str">
        <f t="shared" si="78"/>
        <v/>
      </c>
      <c r="D2508" t="str">
        <f>IF(A2508="","",SUMIFS(Акты!$D$5:$D$16,Акты!$E$5:$E$16,"&lt;="&amp;A2508)-SUMIFS(Оплаты!$B$6:$B$505,Оплаты!$A$6:$A$505,"&lt;"&amp;A2508,Оплаты!$D$6:$D$505,"&lt;&gt;"))</f>
        <v/>
      </c>
      <c r="E2508" t="str">
        <f>IF(A2508="","",IF(SUMPRODUCT((Ввод!$F$12:$F$31&lt;&gt;"")*(Ввод!$F$12:$F$31&lt;=A2508)*(Ввод!$G$12:$G$31&gt;=A2508))&gt;0,1,0))</f>
        <v/>
      </c>
      <c r="G2508" t="str">
        <f t="shared" si="79"/>
        <v/>
      </c>
    </row>
    <row r="2509" spans="1:7" x14ac:dyDescent="0.3">
      <c r="A2509" s="21" t="str">
        <f>IF(A2508="","",IF(A2508+1&gt;Ввод!$B$4,"",A2508+1))</f>
        <v/>
      </c>
      <c r="B2509" s="23" t="str">
        <f>IF(A2509="","",IFERROR(INDEX(Ввод!$B$12:$B$71,MATCH(A2509,Ввод!$D$12:$D$71,1)),""))</f>
        <v/>
      </c>
      <c r="C2509" t="str">
        <f t="shared" si="78"/>
        <v/>
      </c>
      <c r="D2509" t="str">
        <f>IF(A2509="","",SUMIFS(Акты!$D$5:$D$16,Акты!$E$5:$E$16,"&lt;="&amp;A2509)-SUMIFS(Оплаты!$B$6:$B$505,Оплаты!$A$6:$A$505,"&lt;"&amp;A2509,Оплаты!$D$6:$D$505,"&lt;&gt;"))</f>
        <v/>
      </c>
      <c r="E2509" t="str">
        <f>IF(A2509="","",IF(SUMPRODUCT((Ввод!$F$12:$F$31&lt;&gt;"")*(Ввод!$F$12:$F$31&lt;=A2509)*(Ввод!$G$12:$G$31&gt;=A2509))&gt;0,1,0))</f>
        <v/>
      </c>
      <c r="G2509" t="str">
        <f t="shared" si="79"/>
        <v/>
      </c>
    </row>
    <row r="2510" spans="1:7" x14ac:dyDescent="0.3">
      <c r="A2510" s="21" t="str">
        <f>IF(A2509="","",IF(A2509+1&gt;Ввод!$B$4,"",A2509+1))</f>
        <v/>
      </c>
      <c r="B2510" s="23" t="str">
        <f>IF(A2510="","",IFERROR(INDEX(Ввод!$B$12:$B$71,MATCH(A2510,Ввод!$D$12:$D$71,1)),""))</f>
        <v/>
      </c>
      <c r="C2510" t="str">
        <f t="shared" si="78"/>
        <v/>
      </c>
      <c r="D2510" t="str">
        <f>IF(A2510="","",SUMIFS(Акты!$D$5:$D$16,Акты!$E$5:$E$16,"&lt;="&amp;A2510)-SUMIFS(Оплаты!$B$6:$B$505,Оплаты!$A$6:$A$505,"&lt;"&amp;A2510,Оплаты!$D$6:$D$505,"&lt;&gt;"))</f>
        <v/>
      </c>
      <c r="E2510" t="str">
        <f>IF(A2510="","",IF(SUMPRODUCT((Ввод!$F$12:$F$31&lt;&gt;"")*(Ввод!$F$12:$F$31&lt;=A2510)*(Ввод!$G$12:$G$31&gt;=A2510))&gt;0,1,0))</f>
        <v/>
      </c>
      <c r="G2510" t="str">
        <f t="shared" si="79"/>
        <v/>
      </c>
    </row>
    <row r="2511" spans="1:7" x14ac:dyDescent="0.3">
      <c r="A2511" s="21" t="str">
        <f>IF(A2510="","",IF(A2510+1&gt;Ввод!$B$4,"",A2510+1))</f>
        <v/>
      </c>
      <c r="B2511" s="23" t="str">
        <f>IF(A2511="","",IFERROR(INDEX(Ввод!$B$12:$B$71,MATCH(A2511,Ввод!$D$12:$D$71,1)),""))</f>
        <v/>
      </c>
      <c r="C2511" t="str">
        <f t="shared" si="78"/>
        <v/>
      </c>
      <c r="D2511" t="str">
        <f>IF(A2511="","",SUMIFS(Акты!$D$5:$D$16,Акты!$E$5:$E$16,"&lt;="&amp;A2511)-SUMIFS(Оплаты!$B$6:$B$505,Оплаты!$A$6:$A$505,"&lt;"&amp;A2511,Оплаты!$D$6:$D$505,"&lt;&gt;"))</f>
        <v/>
      </c>
      <c r="E2511" t="str">
        <f>IF(A2511="","",IF(SUMPRODUCT((Ввод!$F$12:$F$31&lt;&gt;"")*(Ввод!$F$12:$F$31&lt;=A2511)*(Ввод!$G$12:$G$31&gt;=A2511))&gt;0,1,0))</f>
        <v/>
      </c>
      <c r="G2511" t="str">
        <f t="shared" si="79"/>
        <v/>
      </c>
    </row>
    <row r="2512" spans="1:7" x14ac:dyDescent="0.3">
      <c r="A2512" s="21" t="str">
        <f>IF(A2511="","",IF(A2511+1&gt;Ввод!$B$4,"",A2511+1))</f>
        <v/>
      </c>
      <c r="B2512" s="23" t="str">
        <f>IF(A2512="","",IFERROR(INDEX(Ввод!$B$12:$B$71,MATCH(A2512,Ввод!$D$12:$D$71,1)),""))</f>
        <v/>
      </c>
      <c r="C2512" t="str">
        <f t="shared" si="78"/>
        <v/>
      </c>
      <c r="D2512" t="str">
        <f>IF(A2512="","",SUMIFS(Акты!$D$5:$D$16,Акты!$E$5:$E$16,"&lt;="&amp;A2512)-SUMIFS(Оплаты!$B$6:$B$505,Оплаты!$A$6:$A$505,"&lt;"&amp;A2512,Оплаты!$D$6:$D$505,"&lt;&gt;"))</f>
        <v/>
      </c>
      <c r="E2512" t="str">
        <f>IF(A2512="","",IF(SUMPRODUCT((Ввод!$F$12:$F$31&lt;&gt;"")*(Ввод!$F$12:$F$31&lt;=A2512)*(Ввод!$G$12:$G$31&gt;=A2512))&gt;0,1,0))</f>
        <v/>
      </c>
      <c r="G2512" t="str">
        <f t="shared" si="79"/>
        <v/>
      </c>
    </row>
    <row r="2513" spans="1:7" x14ac:dyDescent="0.3">
      <c r="A2513" s="21" t="str">
        <f>IF(A2512="","",IF(A2512+1&gt;Ввод!$B$4,"",A2512+1))</f>
        <v/>
      </c>
      <c r="B2513" s="23" t="str">
        <f>IF(A2513="","",IFERROR(INDEX(Ввод!$B$12:$B$71,MATCH(A2513,Ввод!$D$12:$D$71,1)),""))</f>
        <v/>
      </c>
      <c r="C2513" t="str">
        <f t="shared" si="78"/>
        <v/>
      </c>
      <c r="D2513" t="str">
        <f>IF(A2513="","",SUMIFS(Акты!$D$5:$D$16,Акты!$E$5:$E$16,"&lt;="&amp;A2513)-SUMIFS(Оплаты!$B$6:$B$505,Оплаты!$A$6:$A$505,"&lt;"&amp;A2513,Оплаты!$D$6:$D$505,"&lt;&gt;"))</f>
        <v/>
      </c>
      <c r="E2513" t="str">
        <f>IF(A2513="","",IF(SUMPRODUCT((Ввод!$F$12:$F$31&lt;&gt;"")*(Ввод!$F$12:$F$31&lt;=A2513)*(Ввод!$G$12:$G$31&gt;=A2513))&gt;0,1,0))</f>
        <v/>
      </c>
      <c r="G2513" t="str">
        <f t="shared" si="79"/>
        <v/>
      </c>
    </row>
    <row r="2514" spans="1:7" x14ac:dyDescent="0.3">
      <c r="A2514" s="21" t="str">
        <f>IF(A2513="","",IF(A2513+1&gt;Ввод!$B$4,"",A2513+1))</f>
        <v/>
      </c>
      <c r="B2514" s="23" t="str">
        <f>IF(A2514="","",IFERROR(INDEX(Ввод!$B$12:$B$71,MATCH(A2514,Ввод!$D$12:$D$71,1)),""))</f>
        <v/>
      </c>
      <c r="C2514" t="str">
        <f t="shared" si="78"/>
        <v/>
      </c>
      <c r="D2514" t="str">
        <f>IF(A2514="","",SUMIFS(Акты!$D$5:$D$16,Акты!$E$5:$E$16,"&lt;="&amp;A2514)-SUMIFS(Оплаты!$B$6:$B$505,Оплаты!$A$6:$A$505,"&lt;"&amp;A2514,Оплаты!$D$6:$D$505,"&lt;&gt;"))</f>
        <v/>
      </c>
      <c r="E2514" t="str">
        <f>IF(A2514="","",IF(SUMPRODUCT((Ввод!$F$12:$F$31&lt;&gt;"")*(Ввод!$F$12:$F$31&lt;=A2514)*(Ввод!$G$12:$G$31&gt;=A2514))&gt;0,1,0))</f>
        <v/>
      </c>
      <c r="G2514" t="str">
        <f t="shared" si="79"/>
        <v/>
      </c>
    </row>
    <row r="2515" spans="1:7" x14ac:dyDescent="0.3">
      <c r="A2515" s="21" t="str">
        <f>IF(A2514="","",IF(A2514+1&gt;Ввод!$B$4,"",A2514+1))</f>
        <v/>
      </c>
      <c r="B2515" s="23" t="str">
        <f>IF(A2515="","",IFERROR(INDEX(Ввод!$B$12:$B$71,MATCH(A2515,Ввод!$D$12:$D$71,1)),""))</f>
        <v/>
      </c>
      <c r="C2515" t="str">
        <f t="shared" si="78"/>
        <v/>
      </c>
      <c r="D2515" t="str">
        <f>IF(A2515="","",SUMIFS(Акты!$D$5:$D$16,Акты!$E$5:$E$16,"&lt;="&amp;A2515)-SUMIFS(Оплаты!$B$6:$B$505,Оплаты!$A$6:$A$505,"&lt;"&amp;A2515,Оплаты!$D$6:$D$505,"&lt;&gt;"))</f>
        <v/>
      </c>
      <c r="E2515" t="str">
        <f>IF(A2515="","",IF(SUMPRODUCT((Ввод!$F$12:$F$31&lt;&gt;"")*(Ввод!$F$12:$F$31&lt;=A2515)*(Ввод!$G$12:$G$31&gt;=A2515))&gt;0,1,0))</f>
        <v/>
      </c>
      <c r="G2515" t="str">
        <f t="shared" si="79"/>
        <v/>
      </c>
    </row>
    <row r="2516" spans="1:7" x14ac:dyDescent="0.3">
      <c r="A2516" s="21" t="str">
        <f>IF(A2515="","",IF(A2515+1&gt;Ввод!$B$4,"",A2515+1))</f>
        <v/>
      </c>
      <c r="B2516" s="23" t="str">
        <f>IF(A2516="","",IFERROR(INDEX(Ввод!$B$12:$B$71,MATCH(A2516,Ввод!$D$12:$D$71,1)),""))</f>
        <v/>
      </c>
      <c r="C2516" t="str">
        <f t="shared" si="78"/>
        <v/>
      </c>
      <c r="D2516" t="str">
        <f>IF(A2516="","",SUMIFS(Акты!$D$5:$D$16,Акты!$E$5:$E$16,"&lt;="&amp;A2516)-SUMIFS(Оплаты!$B$6:$B$505,Оплаты!$A$6:$A$505,"&lt;"&amp;A2516,Оплаты!$D$6:$D$505,"&lt;&gt;"))</f>
        <v/>
      </c>
      <c r="E2516" t="str">
        <f>IF(A2516="","",IF(SUMPRODUCT((Ввод!$F$12:$F$31&lt;&gt;"")*(Ввод!$F$12:$F$31&lt;=A2516)*(Ввод!$G$12:$G$31&gt;=A2516))&gt;0,1,0))</f>
        <v/>
      </c>
      <c r="G2516" t="str">
        <f t="shared" si="79"/>
        <v/>
      </c>
    </row>
    <row r="2517" spans="1:7" x14ac:dyDescent="0.3">
      <c r="A2517" s="21" t="str">
        <f>IF(A2516="","",IF(A2516+1&gt;Ввод!$B$4,"",A2516+1))</f>
        <v/>
      </c>
      <c r="B2517" s="23" t="str">
        <f>IF(A2517="","",IFERROR(INDEX(Ввод!$B$12:$B$71,MATCH(A2517,Ввод!$D$12:$D$71,1)),""))</f>
        <v/>
      </c>
      <c r="C2517" t="str">
        <f t="shared" si="78"/>
        <v/>
      </c>
      <c r="D2517" t="str">
        <f>IF(A2517="","",SUMIFS(Акты!$D$5:$D$16,Акты!$E$5:$E$16,"&lt;="&amp;A2517)-SUMIFS(Оплаты!$B$6:$B$505,Оплаты!$A$6:$A$505,"&lt;"&amp;A2517,Оплаты!$D$6:$D$505,"&lt;&gt;"))</f>
        <v/>
      </c>
      <c r="E2517" t="str">
        <f>IF(A2517="","",IF(SUMPRODUCT((Ввод!$F$12:$F$31&lt;&gt;"")*(Ввод!$F$12:$F$31&lt;=A2517)*(Ввод!$G$12:$G$31&gt;=A2517))&gt;0,1,0))</f>
        <v/>
      </c>
      <c r="G2517" t="str">
        <f t="shared" si="79"/>
        <v/>
      </c>
    </row>
    <row r="2518" spans="1:7" x14ac:dyDescent="0.3">
      <c r="A2518" s="21" t="str">
        <f>IF(A2517="","",IF(A2517+1&gt;Ввод!$B$4,"",A2517+1))</f>
        <v/>
      </c>
      <c r="B2518" s="23" t="str">
        <f>IF(A2518="","",IFERROR(INDEX(Ввод!$B$12:$B$71,MATCH(A2518,Ввод!$D$12:$D$71,1)),""))</f>
        <v/>
      </c>
      <c r="C2518" t="str">
        <f t="shared" si="78"/>
        <v/>
      </c>
      <c r="D2518" t="str">
        <f>IF(A2518="","",SUMIFS(Акты!$D$5:$D$16,Акты!$E$5:$E$16,"&lt;="&amp;A2518)-SUMIFS(Оплаты!$B$6:$B$505,Оплаты!$A$6:$A$505,"&lt;"&amp;A2518,Оплаты!$D$6:$D$505,"&lt;&gt;"))</f>
        <v/>
      </c>
      <c r="E2518" t="str">
        <f>IF(A2518="","",IF(SUMPRODUCT((Ввод!$F$12:$F$31&lt;&gt;"")*(Ввод!$F$12:$F$31&lt;=A2518)*(Ввод!$G$12:$G$31&gt;=A2518))&gt;0,1,0))</f>
        <v/>
      </c>
      <c r="G2518" t="str">
        <f t="shared" si="79"/>
        <v/>
      </c>
    </row>
    <row r="2519" spans="1:7" x14ac:dyDescent="0.3">
      <c r="A2519" s="21" t="str">
        <f>IF(A2518="","",IF(A2518+1&gt;Ввод!$B$4,"",A2518+1))</f>
        <v/>
      </c>
      <c r="B2519" s="23" t="str">
        <f>IF(A2519="","",IFERROR(INDEX(Ввод!$B$12:$B$71,MATCH(A2519,Ввод!$D$12:$D$71,1)),""))</f>
        <v/>
      </c>
      <c r="C2519" t="str">
        <f t="shared" si="78"/>
        <v/>
      </c>
      <c r="D2519" t="str">
        <f>IF(A2519="","",SUMIFS(Акты!$D$5:$D$16,Акты!$E$5:$E$16,"&lt;="&amp;A2519)-SUMIFS(Оплаты!$B$6:$B$505,Оплаты!$A$6:$A$505,"&lt;"&amp;A2519,Оплаты!$D$6:$D$505,"&lt;&gt;"))</f>
        <v/>
      </c>
      <c r="E2519" t="str">
        <f>IF(A2519="","",IF(SUMPRODUCT((Ввод!$F$12:$F$31&lt;&gt;"")*(Ввод!$F$12:$F$31&lt;=A2519)*(Ввод!$G$12:$G$31&gt;=A2519))&gt;0,1,0))</f>
        <v/>
      </c>
      <c r="G2519" t="str">
        <f t="shared" si="79"/>
        <v/>
      </c>
    </row>
    <row r="2520" spans="1:7" x14ac:dyDescent="0.3">
      <c r="A2520" s="21" t="str">
        <f>IF(A2519="","",IF(A2519+1&gt;Ввод!$B$4,"",A2519+1))</f>
        <v/>
      </c>
      <c r="B2520" s="23" t="str">
        <f>IF(A2520="","",IFERROR(INDEX(Ввод!$B$12:$B$71,MATCH(A2520,Ввод!$D$12:$D$71,1)),""))</f>
        <v/>
      </c>
      <c r="C2520" t="str">
        <f t="shared" si="78"/>
        <v/>
      </c>
      <c r="D2520" t="str">
        <f>IF(A2520="","",SUMIFS(Акты!$D$5:$D$16,Акты!$E$5:$E$16,"&lt;="&amp;A2520)-SUMIFS(Оплаты!$B$6:$B$505,Оплаты!$A$6:$A$505,"&lt;"&amp;A2520,Оплаты!$D$6:$D$505,"&lt;&gt;"))</f>
        <v/>
      </c>
      <c r="E2520" t="str">
        <f>IF(A2520="","",IF(SUMPRODUCT((Ввод!$F$12:$F$31&lt;&gt;"")*(Ввод!$F$12:$F$31&lt;=A2520)*(Ввод!$G$12:$G$31&gt;=A2520))&gt;0,1,0))</f>
        <v/>
      </c>
      <c r="G2520" t="str">
        <f t="shared" si="79"/>
        <v/>
      </c>
    </row>
    <row r="2521" spans="1:7" x14ac:dyDescent="0.3">
      <c r="A2521" s="21" t="str">
        <f>IF(A2520="","",IF(A2520+1&gt;Ввод!$B$4,"",A2520+1))</f>
        <v/>
      </c>
      <c r="B2521" s="23" t="str">
        <f>IF(A2521="","",IFERROR(INDEX(Ввод!$B$12:$B$71,MATCH(A2521,Ввод!$D$12:$D$71,1)),""))</f>
        <v/>
      </c>
      <c r="C2521" t="str">
        <f t="shared" si="78"/>
        <v/>
      </c>
      <c r="D2521" t="str">
        <f>IF(A2521="","",SUMIFS(Акты!$D$5:$D$16,Акты!$E$5:$E$16,"&lt;="&amp;A2521)-SUMIFS(Оплаты!$B$6:$B$505,Оплаты!$A$6:$A$505,"&lt;"&amp;A2521,Оплаты!$D$6:$D$505,"&lt;&gt;"))</f>
        <v/>
      </c>
      <c r="E2521" t="str">
        <f>IF(A2521="","",IF(SUMPRODUCT((Ввод!$F$12:$F$31&lt;&gt;"")*(Ввод!$F$12:$F$31&lt;=A2521)*(Ввод!$G$12:$G$31&gt;=A2521))&gt;0,1,0))</f>
        <v/>
      </c>
      <c r="G2521" t="str">
        <f t="shared" si="79"/>
        <v/>
      </c>
    </row>
    <row r="2522" spans="1:7" x14ac:dyDescent="0.3">
      <c r="A2522" s="21" t="str">
        <f>IF(A2521="","",IF(A2521+1&gt;Ввод!$B$4,"",A2521+1))</f>
        <v/>
      </c>
      <c r="B2522" s="23" t="str">
        <f>IF(A2522="","",IFERROR(INDEX(Ввод!$B$12:$B$71,MATCH(A2522,Ввод!$D$12:$D$71,1)),""))</f>
        <v/>
      </c>
      <c r="C2522" t="str">
        <f t="shared" si="78"/>
        <v/>
      </c>
      <c r="D2522" t="str">
        <f>IF(A2522="","",SUMIFS(Акты!$D$5:$D$16,Акты!$E$5:$E$16,"&lt;="&amp;A2522)-SUMIFS(Оплаты!$B$6:$B$505,Оплаты!$A$6:$A$505,"&lt;"&amp;A2522,Оплаты!$D$6:$D$505,"&lt;&gt;"))</f>
        <v/>
      </c>
      <c r="E2522" t="str">
        <f>IF(A2522="","",IF(SUMPRODUCT((Ввод!$F$12:$F$31&lt;&gt;"")*(Ввод!$F$12:$F$31&lt;=A2522)*(Ввод!$G$12:$G$31&gt;=A2522))&gt;0,1,0))</f>
        <v/>
      </c>
      <c r="G2522" t="str">
        <f t="shared" si="79"/>
        <v/>
      </c>
    </row>
    <row r="2523" spans="1:7" x14ac:dyDescent="0.3">
      <c r="A2523" s="21" t="str">
        <f>IF(A2522="","",IF(A2522+1&gt;Ввод!$B$4,"",A2522+1))</f>
        <v/>
      </c>
      <c r="B2523" s="23" t="str">
        <f>IF(A2523="","",IFERROR(INDEX(Ввод!$B$12:$B$71,MATCH(A2523,Ввод!$D$12:$D$71,1)),""))</f>
        <v/>
      </c>
      <c r="C2523" t="str">
        <f t="shared" si="78"/>
        <v/>
      </c>
      <c r="D2523" t="str">
        <f>IF(A2523="","",SUMIFS(Акты!$D$5:$D$16,Акты!$E$5:$E$16,"&lt;="&amp;A2523)-SUMIFS(Оплаты!$B$6:$B$505,Оплаты!$A$6:$A$505,"&lt;"&amp;A2523,Оплаты!$D$6:$D$505,"&lt;&gt;"))</f>
        <v/>
      </c>
      <c r="E2523" t="str">
        <f>IF(A2523="","",IF(SUMPRODUCT((Ввод!$F$12:$F$31&lt;&gt;"")*(Ввод!$F$12:$F$31&lt;=A2523)*(Ввод!$G$12:$G$31&gt;=A2523))&gt;0,1,0))</f>
        <v/>
      </c>
      <c r="G2523" t="str">
        <f t="shared" si="79"/>
        <v/>
      </c>
    </row>
    <row r="2524" spans="1:7" x14ac:dyDescent="0.3">
      <c r="A2524" s="21" t="str">
        <f>IF(A2523="","",IF(A2523+1&gt;Ввод!$B$4,"",A2523+1))</f>
        <v/>
      </c>
      <c r="B2524" s="23" t="str">
        <f>IF(A2524="","",IFERROR(INDEX(Ввод!$B$12:$B$71,MATCH(A2524,Ввод!$D$12:$D$71,1)),""))</f>
        <v/>
      </c>
      <c r="C2524" t="str">
        <f t="shared" si="78"/>
        <v/>
      </c>
      <c r="D2524" t="str">
        <f>IF(A2524="","",SUMIFS(Акты!$D$5:$D$16,Акты!$E$5:$E$16,"&lt;="&amp;A2524)-SUMIFS(Оплаты!$B$6:$B$505,Оплаты!$A$6:$A$505,"&lt;"&amp;A2524,Оплаты!$D$6:$D$505,"&lt;&gt;"))</f>
        <v/>
      </c>
      <c r="E2524" t="str">
        <f>IF(A2524="","",IF(SUMPRODUCT((Ввод!$F$12:$F$31&lt;&gt;"")*(Ввод!$F$12:$F$31&lt;=A2524)*(Ввод!$G$12:$G$31&gt;=A2524))&gt;0,1,0))</f>
        <v/>
      </c>
      <c r="G2524" t="str">
        <f t="shared" si="79"/>
        <v/>
      </c>
    </row>
    <row r="2525" spans="1:7" x14ac:dyDescent="0.3">
      <c r="A2525" s="21" t="str">
        <f>IF(A2524="","",IF(A2524+1&gt;Ввод!$B$4,"",A2524+1))</f>
        <v/>
      </c>
      <c r="B2525" s="23" t="str">
        <f>IF(A2525="","",IFERROR(INDEX(Ввод!$B$12:$B$71,MATCH(A2525,Ввод!$D$12:$D$71,1)),""))</f>
        <v/>
      </c>
      <c r="C2525" t="str">
        <f t="shared" si="78"/>
        <v/>
      </c>
      <c r="D2525" t="str">
        <f>IF(A2525="","",SUMIFS(Акты!$D$5:$D$16,Акты!$E$5:$E$16,"&lt;="&amp;A2525)-SUMIFS(Оплаты!$B$6:$B$505,Оплаты!$A$6:$A$505,"&lt;"&amp;A2525,Оплаты!$D$6:$D$505,"&lt;&gt;"))</f>
        <v/>
      </c>
      <c r="E2525" t="str">
        <f>IF(A2525="","",IF(SUMPRODUCT((Ввод!$F$12:$F$31&lt;&gt;"")*(Ввод!$F$12:$F$31&lt;=A2525)*(Ввод!$G$12:$G$31&gt;=A2525))&gt;0,1,0))</f>
        <v/>
      </c>
      <c r="G2525" t="str">
        <f t="shared" si="79"/>
        <v/>
      </c>
    </row>
    <row r="2526" spans="1:7" x14ac:dyDescent="0.3">
      <c r="A2526" s="21" t="str">
        <f>IF(A2525="","",IF(A2525+1&gt;Ввод!$B$4,"",A2525+1))</f>
        <v/>
      </c>
      <c r="B2526" s="23" t="str">
        <f>IF(A2526="","",IFERROR(INDEX(Ввод!$B$12:$B$71,MATCH(A2526,Ввод!$D$12:$D$71,1)),""))</f>
        <v/>
      </c>
      <c r="C2526" t="str">
        <f t="shared" si="78"/>
        <v/>
      </c>
      <c r="D2526" t="str">
        <f>IF(A2526="","",SUMIFS(Акты!$D$5:$D$16,Акты!$E$5:$E$16,"&lt;="&amp;A2526)-SUMIFS(Оплаты!$B$6:$B$505,Оплаты!$A$6:$A$505,"&lt;"&amp;A2526,Оплаты!$D$6:$D$505,"&lt;&gt;"))</f>
        <v/>
      </c>
      <c r="E2526" t="str">
        <f>IF(A2526="","",IF(SUMPRODUCT((Ввод!$F$12:$F$31&lt;&gt;"")*(Ввод!$F$12:$F$31&lt;=A2526)*(Ввод!$G$12:$G$31&gt;=A2526))&gt;0,1,0))</f>
        <v/>
      </c>
      <c r="G2526" t="str">
        <f t="shared" si="79"/>
        <v/>
      </c>
    </row>
    <row r="2527" spans="1:7" x14ac:dyDescent="0.3">
      <c r="A2527" s="21" t="str">
        <f>IF(A2526="","",IF(A2526+1&gt;Ввод!$B$4,"",A2526+1))</f>
        <v/>
      </c>
      <c r="B2527" s="23" t="str">
        <f>IF(A2527="","",IFERROR(INDEX(Ввод!$B$12:$B$71,MATCH(A2527,Ввод!$D$12:$D$71,1)),""))</f>
        <v/>
      </c>
      <c r="C2527" t="str">
        <f t="shared" si="78"/>
        <v/>
      </c>
      <c r="D2527" t="str">
        <f>IF(A2527="","",SUMIFS(Акты!$D$5:$D$16,Акты!$E$5:$E$16,"&lt;="&amp;A2527)-SUMIFS(Оплаты!$B$6:$B$505,Оплаты!$A$6:$A$505,"&lt;"&amp;A2527,Оплаты!$D$6:$D$505,"&lt;&gt;"))</f>
        <v/>
      </c>
      <c r="E2527" t="str">
        <f>IF(A2527="","",IF(SUMPRODUCT((Ввод!$F$12:$F$31&lt;&gt;"")*(Ввод!$F$12:$F$31&lt;=A2527)*(Ввод!$G$12:$G$31&gt;=A2527))&gt;0,1,0))</f>
        <v/>
      </c>
      <c r="G2527" t="str">
        <f t="shared" si="79"/>
        <v/>
      </c>
    </row>
    <row r="2528" spans="1:7" x14ac:dyDescent="0.3">
      <c r="A2528" s="21" t="str">
        <f>IF(A2527="","",IF(A2527+1&gt;Ввод!$B$4,"",A2527+1))</f>
        <v/>
      </c>
      <c r="B2528" s="23" t="str">
        <f>IF(A2528="","",IFERROR(INDEX(Ввод!$B$12:$B$71,MATCH(A2528,Ввод!$D$12:$D$71,1)),""))</f>
        <v/>
      </c>
      <c r="C2528" t="str">
        <f t="shared" si="78"/>
        <v/>
      </c>
      <c r="D2528" t="str">
        <f>IF(A2528="","",SUMIFS(Акты!$D$5:$D$16,Акты!$E$5:$E$16,"&lt;="&amp;A2528)-SUMIFS(Оплаты!$B$6:$B$505,Оплаты!$A$6:$A$505,"&lt;"&amp;A2528,Оплаты!$D$6:$D$505,"&lt;&gt;"))</f>
        <v/>
      </c>
      <c r="E2528" t="str">
        <f>IF(A2528="","",IF(SUMPRODUCT((Ввод!$F$12:$F$31&lt;&gt;"")*(Ввод!$F$12:$F$31&lt;=A2528)*(Ввод!$G$12:$G$31&gt;=A2528))&gt;0,1,0))</f>
        <v/>
      </c>
      <c r="G2528" t="str">
        <f t="shared" si="79"/>
        <v/>
      </c>
    </row>
    <row r="2529" spans="1:7" x14ac:dyDescent="0.3">
      <c r="A2529" s="21" t="str">
        <f>IF(A2528="","",IF(A2528+1&gt;Ввод!$B$4,"",A2528+1))</f>
        <v/>
      </c>
      <c r="B2529" s="23" t="str">
        <f>IF(A2529="","",IFERROR(INDEX(Ввод!$B$12:$B$71,MATCH(A2529,Ввод!$D$12:$D$71,1)),""))</f>
        <v/>
      </c>
      <c r="C2529" t="str">
        <f t="shared" si="78"/>
        <v/>
      </c>
      <c r="D2529" t="str">
        <f>IF(A2529="","",SUMIFS(Акты!$D$5:$D$16,Акты!$E$5:$E$16,"&lt;="&amp;A2529)-SUMIFS(Оплаты!$B$6:$B$505,Оплаты!$A$6:$A$505,"&lt;"&amp;A2529,Оплаты!$D$6:$D$505,"&lt;&gt;"))</f>
        <v/>
      </c>
      <c r="E2529" t="str">
        <f>IF(A2529="","",IF(SUMPRODUCT((Ввод!$F$12:$F$31&lt;&gt;"")*(Ввод!$F$12:$F$31&lt;=A2529)*(Ввод!$G$12:$G$31&gt;=A2529))&gt;0,1,0))</f>
        <v/>
      </c>
      <c r="G2529" t="str">
        <f t="shared" si="79"/>
        <v/>
      </c>
    </row>
    <row r="2530" spans="1:7" x14ac:dyDescent="0.3">
      <c r="A2530" s="21" t="str">
        <f>IF(A2529="","",IF(A2529+1&gt;Ввод!$B$4,"",A2529+1))</f>
        <v/>
      </c>
      <c r="B2530" s="23" t="str">
        <f>IF(A2530="","",IFERROR(INDEX(Ввод!$B$12:$B$71,MATCH(A2530,Ввод!$D$12:$D$71,1)),""))</f>
        <v/>
      </c>
      <c r="C2530" t="str">
        <f t="shared" si="78"/>
        <v/>
      </c>
      <c r="D2530" t="str">
        <f>IF(A2530="","",SUMIFS(Акты!$D$5:$D$16,Акты!$E$5:$E$16,"&lt;="&amp;A2530)-SUMIFS(Оплаты!$B$6:$B$505,Оплаты!$A$6:$A$505,"&lt;"&amp;A2530,Оплаты!$D$6:$D$505,"&lt;&gt;"))</f>
        <v/>
      </c>
      <c r="E2530" t="str">
        <f>IF(A2530="","",IF(SUMPRODUCT((Ввод!$F$12:$F$31&lt;&gt;"")*(Ввод!$F$12:$F$31&lt;=A2530)*(Ввод!$G$12:$G$31&gt;=A2530))&gt;0,1,0))</f>
        <v/>
      </c>
      <c r="G2530" t="str">
        <f t="shared" si="79"/>
        <v/>
      </c>
    </row>
    <row r="2531" spans="1:7" x14ac:dyDescent="0.3">
      <c r="A2531" s="21" t="str">
        <f>IF(A2530="","",IF(A2530+1&gt;Ввод!$B$4,"",A2530+1))</f>
        <v/>
      </c>
      <c r="B2531" s="23" t="str">
        <f>IF(A2531="","",IFERROR(INDEX(Ввод!$B$12:$B$71,MATCH(A2531,Ввод!$D$12:$D$71,1)),""))</f>
        <v/>
      </c>
      <c r="C2531" t="str">
        <f t="shared" si="78"/>
        <v/>
      </c>
      <c r="D2531" t="str">
        <f>IF(A2531="","",SUMIFS(Акты!$D$5:$D$16,Акты!$E$5:$E$16,"&lt;="&amp;A2531)-SUMIFS(Оплаты!$B$6:$B$505,Оплаты!$A$6:$A$505,"&lt;"&amp;A2531,Оплаты!$D$6:$D$505,"&lt;&gt;"))</f>
        <v/>
      </c>
      <c r="E2531" t="str">
        <f>IF(A2531="","",IF(SUMPRODUCT((Ввод!$F$12:$F$31&lt;&gt;"")*(Ввод!$F$12:$F$31&lt;=A2531)*(Ввод!$G$12:$G$31&gt;=A2531))&gt;0,1,0))</f>
        <v/>
      </c>
      <c r="G2531" t="str">
        <f t="shared" si="79"/>
        <v/>
      </c>
    </row>
    <row r="2532" spans="1:7" x14ac:dyDescent="0.3">
      <c r="A2532" s="21" t="str">
        <f>IF(A2531="","",IF(A2531+1&gt;Ввод!$B$4,"",A2531+1))</f>
        <v/>
      </c>
      <c r="B2532" s="23" t="str">
        <f>IF(A2532="","",IFERROR(INDEX(Ввод!$B$12:$B$71,MATCH(A2532,Ввод!$D$12:$D$71,1)),""))</f>
        <v/>
      </c>
      <c r="C2532" t="str">
        <f t="shared" si="78"/>
        <v/>
      </c>
      <c r="D2532" t="str">
        <f>IF(A2532="","",SUMIFS(Акты!$D$5:$D$16,Акты!$E$5:$E$16,"&lt;="&amp;A2532)-SUMIFS(Оплаты!$B$6:$B$505,Оплаты!$A$6:$A$505,"&lt;"&amp;A2532,Оплаты!$D$6:$D$505,"&lt;&gt;"))</f>
        <v/>
      </c>
      <c r="E2532" t="str">
        <f>IF(A2532="","",IF(SUMPRODUCT((Ввод!$F$12:$F$31&lt;&gt;"")*(Ввод!$F$12:$F$31&lt;=A2532)*(Ввод!$G$12:$G$31&gt;=A2532))&gt;0,1,0))</f>
        <v/>
      </c>
      <c r="G2532" t="str">
        <f t="shared" si="79"/>
        <v/>
      </c>
    </row>
    <row r="2533" spans="1:7" x14ac:dyDescent="0.3">
      <c r="A2533" s="21" t="str">
        <f>IF(A2532="","",IF(A2532+1&gt;Ввод!$B$4,"",A2532+1))</f>
        <v/>
      </c>
      <c r="B2533" s="23" t="str">
        <f>IF(A2533="","",IFERROR(INDEX(Ввод!$B$12:$B$71,MATCH(A2533,Ввод!$D$12:$D$71,1)),""))</f>
        <v/>
      </c>
      <c r="C2533" t="str">
        <f t="shared" si="78"/>
        <v/>
      </c>
      <c r="D2533" t="str">
        <f>IF(A2533="","",SUMIFS(Акты!$D$5:$D$16,Акты!$E$5:$E$16,"&lt;="&amp;A2533)-SUMIFS(Оплаты!$B$6:$B$505,Оплаты!$A$6:$A$505,"&lt;"&amp;A2533,Оплаты!$D$6:$D$505,"&lt;&gt;"))</f>
        <v/>
      </c>
      <c r="E2533" t="str">
        <f>IF(A2533="","",IF(SUMPRODUCT((Ввод!$F$12:$F$31&lt;&gt;"")*(Ввод!$F$12:$F$31&lt;=A2533)*(Ввод!$G$12:$G$31&gt;=A2533))&gt;0,1,0))</f>
        <v/>
      </c>
      <c r="G2533" t="str">
        <f t="shared" si="79"/>
        <v/>
      </c>
    </row>
    <row r="2534" spans="1:7" x14ac:dyDescent="0.3">
      <c r="A2534" s="21" t="str">
        <f>IF(A2533="","",IF(A2533+1&gt;Ввод!$B$4,"",A2533+1))</f>
        <v/>
      </c>
      <c r="B2534" s="23" t="str">
        <f>IF(A2534="","",IFERROR(INDEX(Ввод!$B$12:$B$71,MATCH(A2534,Ввод!$D$12:$D$71,1)),""))</f>
        <v/>
      </c>
      <c r="C2534" t="str">
        <f t="shared" si="78"/>
        <v/>
      </c>
      <c r="D2534" t="str">
        <f>IF(A2534="","",SUMIFS(Акты!$D$5:$D$16,Акты!$E$5:$E$16,"&lt;="&amp;A2534)-SUMIFS(Оплаты!$B$6:$B$505,Оплаты!$A$6:$A$505,"&lt;"&amp;A2534,Оплаты!$D$6:$D$505,"&lt;&gt;"))</f>
        <v/>
      </c>
      <c r="E2534" t="str">
        <f>IF(A2534="","",IF(SUMPRODUCT((Ввод!$F$12:$F$31&lt;&gt;"")*(Ввод!$F$12:$F$31&lt;=A2534)*(Ввод!$G$12:$G$31&gt;=A2534))&gt;0,1,0))</f>
        <v/>
      </c>
      <c r="G2534" t="str">
        <f t="shared" si="79"/>
        <v/>
      </c>
    </row>
    <row r="2535" spans="1:7" x14ac:dyDescent="0.3">
      <c r="A2535" s="21" t="str">
        <f>IF(A2534="","",IF(A2534+1&gt;Ввод!$B$4,"",A2534+1))</f>
        <v/>
      </c>
      <c r="B2535" s="23" t="str">
        <f>IF(A2535="","",IFERROR(INDEX(Ввод!$B$12:$B$71,MATCH(A2535,Ввод!$D$12:$D$71,1)),""))</f>
        <v/>
      </c>
      <c r="C2535" t="str">
        <f t="shared" si="78"/>
        <v/>
      </c>
      <c r="D2535" t="str">
        <f>IF(A2535="","",SUMIFS(Акты!$D$5:$D$16,Акты!$E$5:$E$16,"&lt;="&amp;A2535)-SUMIFS(Оплаты!$B$6:$B$505,Оплаты!$A$6:$A$505,"&lt;"&amp;A2535,Оплаты!$D$6:$D$505,"&lt;&gt;"))</f>
        <v/>
      </c>
      <c r="E2535" t="str">
        <f>IF(A2535="","",IF(SUMPRODUCT((Ввод!$F$12:$F$31&lt;&gt;"")*(Ввод!$F$12:$F$31&lt;=A2535)*(Ввод!$G$12:$G$31&gt;=A2535))&gt;0,1,0))</f>
        <v/>
      </c>
      <c r="G2535" t="str">
        <f t="shared" si="79"/>
        <v/>
      </c>
    </row>
    <row r="2536" spans="1:7" x14ac:dyDescent="0.3">
      <c r="A2536" s="21" t="str">
        <f>IF(A2535="","",IF(A2535+1&gt;Ввод!$B$4,"",A2535+1))</f>
        <v/>
      </c>
      <c r="B2536" s="23" t="str">
        <f>IF(A2536="","",IFERROR(INDEX(Ввод!$B$12:$B$71,MATCH(A2536,Ввод!$D$12:$D$71,1)),""))</f>
        <v/>
      </c>
      <c r="C2536" t="str">
        <f t="shared" si="78"/>
        <v/>
      </c>
      <c r="D2536" t="str">
        <f>IF(A2536="","",SUMIFS(Акты!$D$5:$D$16,Акты!$E$5:$E$16,"&lt;="&amp;A2536)-SUMIFS(Оплаты!$B$6:$B$505,Оплаты!$A$6:$A$505,"&lt;"&amp;A2536,Оплаты!$D$6:$D$505,"&lt;&gt;"))</f>
        <v/>
      </c>
      <c r="E2536" t="str">
        <f>IF(A2536="","",IF(SUMPRODUCT((Ввод!$F$12:$F$31&lt;&gt;"")*(Ввод!$F$12:$F$31&lt;=A2536)*(Ввод!$G$12:$G$31&gt;=A2536))&gt;0,1,0))</f>
        <v/>
      </c>
      <c r="G2536" t="str">
        <f t="shared" si="79"/>
        <v/>
      </c>
    </row>
    <row r="2537" spans="1:7" x14ac:dyDescent="0.3">
      <c r="A2537" s="21" t="str">
        <f>IF(A2536="","",IF(A2536+1&gt;Ввод!$B$4,"",A2536+1))</f>
        <v/>
      </c>
      <c r="B2537" s="23" t="str">
        <f>IF(A2537="","",IFERROR(INDEX(Ввод!$B$12:$B$71,MATCH(A2537,Ввод!$D$12:$D$71,1)),""))</f>
        <v/>
      </c>
      <c r="C2537" t="str">
        <f t="shared" si="78"/>
        <v/>
      </c>
      <c r="D2537" t="str">
        <f>IF(A2537="","",SUMIFS(Акты!$D$5:$D$16,Акты!$E$5:$E$16,"&lt;="&amp;A2537)-SUMIFS(Оплаты!$B$6:$B$505,Оплаты!$A$6:$A$505,"&lt;"&amp;A2537,Оплаты!$D$6:$D$505,"&lt;&gt;"))</f>
        <v/>
      </c>
      <c r="E2537" t="str">
        <f>IF(A2537="","",IF(SUMPRODUCT((Ввод!$F$12:$F$31&lt;&gt;"")*(Ввод!$F$12:$F$31&lt;=A2537)*(Ввод!$G$12:$G$31&gt;=A2537))&gt;0,1,0))</f>
        <v/>
      </c>
      <c r="G2537" t="str">
        <f t="shared" si="79"/>
        <v/>
      </c>
    </row>
    <row r="2538" spans="1:7" x14ac:dyDescent="0.3">
      <c r="A2538" s="21" t="str">
        <f>IF(A2537="","",IF(A2537+1&gt;Ввод!$B$4,"",A2537+1))</f>
        <v/>
      </c>
      <c r="B2538" s="23" t="str">
        <f>IF(A2538="","",IFERROR(INDEX(Ввод!$B$12:$B$71,MATCH(A2538,Ввод!$D$12:$D$71,1)),""))</f>
        <v/>
      </c>
      <c r="C2538" t="str">
        <f t="shared" si="78"/>
        <v/>
      </c>
      <c r="D2538" t="str">
        <f>IF(A2538="","",SUMIFS(Акты!$D$5:$D$16,Акты!$E$5:$E$16,"&lt;="&amp;A2538)-SUMIFS(Оплаты!$B$6:$B$505,Оплаты!$A$6:$A$505,"&lt;"&amp;A2538,Оплаты!$D$6:$D$505,"&lt;&gt;"))</f>
        <v/>
      </c>
      <c r="E2538" t="str">
        <f>IF(A2538="","",IF(SUMPRODUCT((Ввод!$F$12:$F$31&lt;&gt;"")*(Ввод!$F$12:$F$31&lt;=A2538)*(Ввод!$G$12:$G$31&gt;=A2538))&gt;0,1,0))</f>
        <v/>
      </c>
      <c r="G2538" t="str">
        <f t="shared" si="79"/>
        <v/>
      </c>
    </row>
    <row r="2539" spans="1:7" x14ac:dyDescent="0.3">
      <c r="A2539" s="21" t="str">
        <f>IF(A2538="","",IF(A2538+1&gt;Ввод!$B$4,"",A2538+1))</f>
        <v/>
      </c>
      <c r="B2539" s="23" t="str">
        <f>IF(A2539="","",IFERROR(INDEX(Ввод!$B$12:$B$71,MATCH(A2539,Ввод!$D$12:$D$71,1)),""))</f>
        <v/>
      </c>
      <c r="C2539" t="str">
        <f t="shared" si="78"/>
        <v/>
      </c>
      <c r="D2539" t="str">
        <f>IF(A2539="","",SUMIFS(Акты!$D$5:$D$16,Акты!$E$5:$E$16,"&lt;="&amp;A2539)-SUMIFS(Оплаты!$B$6:$B$505,Оплаты!$A$6:$A$505,"&lt;"&amp;A2539,Оплаты!$D$6:$D$505,"&lt;&gt;"))</f>
        <v/>
      </c>
      <c r="E2539" t="str">
        <f>IF(A2539="","",IF(SUMPRODUCT((Ввод!$F$12:$F$31&lt;&gt;"")*(Ввод!$F$12:$F$31&lt;=A2539)*(Ввод!$G$12:$G$31&gt;=A2539))&gt;0,1,0))</f>
        <v/>
      </c>
      <c r="G2539" t="str">
        <f t="shared" si="79"/>
        <v/>
      </c>
    </row>
    <row r="2540" spans="1:7" x14ac:dyDescent="0.3">
      <c r="A2540" s="21" t="str">
        <f>IF(A2539="","",IF(A2539+1&gt;Ввод!$B$4,"",A2539+1))</f>
        <v/>
      </c>
      <c r="B2540" s="23" t="str">
        <f>IF(A2540="","",IFERROR(INDEX(Ввод!$B$12:$B$71,MATCH(A2540,Ввод!$D$12:$D$71,1)),""))</f>
        <v/>
      </c>
      <c r="C2540" t="str">
        <f t="shared" si="78"/>
        <v/>
      </c>
      <c r="D2540" t="str">
        <f>IF(A2540="","",SUMIFS(Акты!$D$5:$D$16,Акты!$E$5:$E$16,"&lt;="&amp;A2540)-SUMIFS(Оплаты!$B$6:$B$505,Оплаты!$A$6:$A$505,"&lt;"&amp;A2540,Оплаты!$D$6:$D$505,"&lt;&gt;"))</f>
        <v/>
      </c>
      <c r="E2540" t="str">
        <f>IF(A2540="","",IF(SUMPRODUCT((Ввод!$F$12:$F$31&lt;&gt;"")*(Ввод!$F$12:$F$31&lt;=A2540)*(Ввод!$G$12:$G$31&gt;=A2540))&gt;0,1,0))</f>
        <v/>
      </c>
      <c r="G2540" t="str">
        <f t="shared" si="79"/>
        <v/>
      </c>
    </row>
    <row r="2541" spans="1:7" x14ac:dyDescent="0.3">
      <c r="A2541" s="21" t="str">
        <f>IF(A2540="","",IF(A2540+1&gt;Ввод!$B$4,"",A2540+1))</f>
        <v/>
      </c>
      <c r="B2541" s="23" t="str">
        <f>IF(A2541="","",IFERROR(INDEX(Ввод!$B$12:$B$71,MATCH(A2541,Ввод!$D$12:$D$71,1)),""))</f>
        <v/>
      </c>
      <c r="C2541" t="str">
        <f t="shared" si="78"/>
        <v/>
      </c>
      <c r="D2541" t="str">
        <f>IF(A2541="","",SUMIFS(Акты!$D$5:$D$16,Акты!$E$5:$E$16,"&lt;="&amp;A2541)-SUMIFS(Оплаты!$B$6:$B$505,Оплаты!$A$6:$A$505,"&lt;"&amp;A2541,Оплаты!$D$6:$D$505,"&lt;&gt;"))</f>
        <v/>
      </c>
      <c r="E2541" t="str">
        <f>IF(A2541="","",IF(SUMPRODUCT((Ввод!$F$12:$F$31&lt;&gt;"")*(Ввод!$F$12:$F$31&lt;=A2541)*(Ввод!$G$12:$G$31&gt;=A2541))&gt;0,1,0))</f>
        <v/>
      </c>
      <c r="G2541" t="str">
        <f t="shared" si="79"/>
        <v/>
      </c>
    </row>
    <row r="2542" spans="1:7" x14ac:dyDescent="0.3">
      <c r="A2542" s="21" t="str">
        <f>IF(A2541="","",IF(A2541+1&gt;Ввод!$B$4,"",A2541+1))</f>
        <v/>
      </c>
      <c r="B2542" s="23" t="str">
        <f>IF(A2542="","",IFERROR(INDEX(Ввод!$B$12:$B$71,MATCH(A2542,Ввод!$D$12:$D$71,1)),""))</f>
        <v/>
      </c>
      <c r="C2542" t="str">
        <f t="shared" si="78"/>
        <v/>
      </c>
      <c r="D2542" t="str">
        <f>IF(A2542="","",SUMIFS(Акты!$D$5:$D$16,Акты!$E$5:$E$16,"&lt;="&amp;A2542)-SUMIFS(Оплаты!$B$6:$B$505,Оплаты!$A$6:$A$505,"&lt;"&amp;A2542,Оплаты!$D$6:$D$505,"&lt;&gt;"))</f>
        <v/>
      </c>
      <c r="E2542" t="str">
        <f>IF(A2542="","",IF(SUMPRODUCT((Ввод!$F$12:$F$31&lt;&gt;"")*(Ввод!$F$12:$F$31&lt;=A2542)*(Ввод!$G$12:$G$31&gt;=A2542))&gt;0,1,0))</f>
        <v/>
      </c>
      <c r="G2542" t="str">
        <f t="shared" si="79"/>
        <v/>
      </c>
    </row>
    <row r="2543" spans="1:7" x14ac:dyDescent="0.3">
      <c r="A2543" s="21" t="str">
        <f>IF(A2542="","",IF(A2542+1&gt;Ввод!$B$4,"",A2542+1))</f>
        <v/>
      </c>
      <c r="B2543" s="23" t="str">
        <f>IF(A2543="","",IFERROR(INDEX(Ввод!$B$12:$B$71,MATCH(A2543,Ввод!$D$12:$D$71,1)),""))</f>
        <v/>
      </c>
      <c r="C2543" t="str">
        <f t="shared" si="78"/>
        <v/>
      </c>
      <c r="D2543" t="str">
        <f>IF(A2543="","",SUMIFS(Акты!$D$5:$D$16,Акты!$E$5:$E$16,"&lt;="&amp;A2543)-SUMIFS(Оплаты!$B$6:$B$505,Оплаты!$A$6:$A$505,"&lt;"&amp;A2543,Оплаты!$D$6:$D$505,"&lt;&gt;"))</f>
        <v/>
      </c>
      <c r="E2543" t="str">
        <f>IF(A2543="","",IF(SUMPRODUCT((Ввод!$F$12:$F$31&lt;&gt;"")*(Ввод!$F$12:$F$31&lt;=A2543)*(Ввод!$G$12:$G$31&gt;=A2543))&gt;0,1,0))</f>
        <v/>
      </c>
      <c r="G2543" t="str">
        <f t="shared" si="79"/>
        <v/>
      </c>
    </row>
    <row r="2544" spans="1:7" x14ac:dyDescent="0.3">
      <c r="A2544" s="21" t="str">
        <f>IF(A2543="","",IF(A2543+1&gt;Ввод!$B$4,"",A2543+1))</f>
        <v/>
      </c>
      <c r="B2544" s="23" t="str">
        <f>IF(A2544="","",IFERROR(INDEX(Ввод!$B$12:$B$71,MATCH(A2544,Ввод!$D$12:$D$71,1)),""))</f>
        <v/>
      </c>
      <c r="C2544" t="str">
        <f t="shared" si="78"/>
        <v/>
      </c>
      <c r="D2544" t="str">
        <f>IF(A2544="","",SUMIFS(Акты!$D$5:$D$16,Акты!$E$5:$E$16,"&lt;="&amp;A2544)-SUMIFS(Оплаты!$B$6:$B$505,Оплаты!$A$6:$A$505,"&lt;"&amp;A2544,Оплаты!$D$6:$D$505,"&lt;&gt;"))</f>
        <v/>
      </c>
      <c r="E2544" t="str">
        <f>IF(A2544="","",IF(SUMPRODUCT((Ввод!$F$12:$F$31&lt;&gt;"")*(Ввод!$F$12:$F$31&lt;=A2544)*(Ввод!$G$12:$G$31&gt;=A2544))&gt;0,1,0))</f>
        <v/>
      </c>
      <c r="G2544" t="str">
        <f t="shared" si="79"/>
        <v/>
      </c>
    </row>
    <row r="2545" spans="1:7" x14ac:dyDescent="0.3">
      <c r="A2545" s="21" t="str">
        <f>IF(A2544="","",IF(A2544+1&gt;Ввод!$B$4,"",A2544+1))</f>
        <v/>
      </c>
      <c r="B2545" s="23" t="str">
        <f>IF(A2545="","",IFERROR(INDEX(Ввод!$B$12:$B$71,MATCH(A2545,Ввод!$D$12:$D$71,1)),""))</f>
        <v/>
      </c>
      <c r="C2545" t="str">
        <f t="shared" si="78"/>
        <v/>
      </c>
      <c r="D2545" t="str">
        <f>IF(A2545="","",SUMIFS(Акты!$D$5:$D$16,Акты!$E$5:$E$16,"&lt;="&amp;A2545)-SUMIFS(Оплаты!$B$6:$B$505,Оплаты!$A$6:$A$505,"&lt;"&amp;A2545,Оплаты!$D$6:$D$505,"&lt;&gt;"))</f>
        <v/>
      </c>
      <c r="E2545" t="str">
        <f>IF(A2545="","",IF(SUMPRODUCT((Ввод!$F$12:$F$31&lt;&gt;"")*(Ввод!$F$12:$F$31&lt;=A2545)*(Ввод!$G$12:$G$31&gt;=A2545))&gt;0,1,0))</f>
        <v/>
      </c>
      <c r="G2545" t="str">
        <f t="shared" si="79"/>
        <v/>
      </c>
    </row>
    <row r="2546" spans="1:7" x14ac:dyDescent="0.3">
      <c r="A2546" s="21" t="str">
        <f>IF(A2545="","",IF(A2545+1&gt;Ввод!$B$4,"",A2545+1))</f>
        <v/>
      </c>
      <c r="B2546" s="23" t="str">
        <f>IF(A2546="","",IFERROR(INDEX(Ввод!$B$12:$B$71,MATCH(A2546,Ввод!$D$12:$D$71,1)),""))</f>
        <v/>
      </c>
      <c r="C2546" t="str">
        <f t="shared" si="78"/>
        <v/>
      </c>
      <c r="D2546" t="str">
        <f>IF(A2546="","",SUMIFS(Акты!$D$5:$D$16,Акты!$E$5:$E$16,"&lt;="&amp;A2546)-SUMIFS(Оплаты!$B$6:$B$505,Оплаты!$A$6:$A$505,"&lt;"&amp;A2546,Оплаты!$D$6:$D$505,"&lt;&gt;"))</f>
        <v/>
      </c>
      <c r="E2546" t="str">
        <f>IF(A2546="","",IF(SUMPRODUCT((Ввод!$F$12:$F$31&lt;&gt;"")*(Ввод!$F$12:$F$31&lt;=A2546)*(Ввод!$G$12:$G$31&gt;=A2546))&gt;0,1,0))</f>
        <v/>
      </c>
      <c r="G2546" t="str">
        <f t="shared" si="79"/>
        <v/>
      </c>
    </row>
    <row r="2547" spans="1:7" x14ac:dyDescent="0.3">
      <c r="A2547" s="21" t="str">
        <f>IF(A2546="","",IF(A2546+1&gt;Ввод!$B$4,"",A2546+1))</f>
        <v/>
      </c>
      <c r="B2547" s="23" t="str">
        <f>IF(A2547="","",IFERROR(INDEX(Ввод!$B$12:$B$71,MATCH(A2547,Ввод!$D$12:$D$71,1)),""))</f>
        <v/>
      </c>
      <c r="C2547" t="str">
        <f t="shared" si="78"/>
        <v/>
      </c>
      <c r="D2547" t="str">
        <f>IF(A2547="","",SUMIFS(Акты!$D$5:$D$16,Акты!$E$5:$E$16,"&lt;="&amp;A2547)-SUMIFS(Оплаты!$B$6:$B$505,Оплаты!$A$6:$A$505,"&lt;"&amp;A2547,Оплаты!$D$6:$D$505,"&lt;&gt;"))</f>
        <v/>
      </c>
      <c r="E2547" t="str">
        <f>IF(A2547="","",IF(SUMPRODUCT((Ввод!$F$12:$F$31&lt;&gt;"")*(Ввод!$F$12:$F$31&lt;=A2547)*(Ввод!$G$12:$G$31&gt;=A2547))&gt;0,1,0))</f>
        <v/>
      </c>
      <c r="G2547" t="str">
        <f t="shared" si="79"/>
        <v/>
      </c>
    </row>
    <row r="2548" spans="1:7" x14ac:dyDescent="0.3">
      <c r="A2548" s="21" t="str">
        <f>IF(A2547="","",IF(A2547+1&gt;Ввод!$B$4,"",A2547+1))</f>
        <v/>
      </c>
      <c r="B2548" s="23" t="str">
        <f>IF(A2548="","",IFERROR(INDEX(Ввод!$B$12:$B$71,MATCH(A2548,Ввод!$D$12:$D$71,1)),""))</f>
        <v/>
      </c>
      <c r="C2548" t="str">
        <f t="shared" si="78"/>
        <v/>
      </c>
      <c r="D2548" t="str">
        <f>IF(A2548="","",SUMIFS(Акты!$D$5:$D$16,Акты!$E$5:$E$16,"&lt;="&amp;A2548)-SUMIFS(Оплаты!$B$6:$B$505,Оплаты!$A$6:$A$505,"&lt;"&amp;A2548,Оплаты!$D$6:$D$505,"&lt;&gt;"))</f>
        <v/>
      </c>
      <c r="E2548" t="str">
        <f>IF(A2548="","",IF(SUMPRODUCT((Ввод!$F$12:$F$31&lt;&gt;"")*(Ввод!$F$12:$F$31&lt;=A2548)*(Ввод!$G$12:$G$31&gt;=A2548))&gt;0,1,0))</f>
        <v/>
      </c>
      <c r="G2548" t="str">
        <f t="shared" si="79"/>
        <v/>
      </c>
    </row>
    <row r="2549" spans="1:7" x14ac:dyDescent="0.3">
      <c r="A2549" s="21" t="str">
        <f>IF(A2548="","",IF(A2548+1&gt;Ввод!$B$4,"",A2548+1))</f>
        <v/>
      </c>
      <c r="B2549" s="23" t="str">
        <f>IF(A2549="","",IFERROR(INDEX(Ввод!$B$12:$B$71,MATCH(A2549,Ввод!$D$12:$D$71,1)),""))</f>
        <v/>
      </c>
      <c r="C2549" t="str">
        <f t="shared" si="78"/>
        <v/>
      </c>
      <c r="D2549" t="str">
        <f>IF(A2549="","",SUMIFS(Акты!$D$5:$D$16,Акты!$E$5:$E$16,"&lt;="&amp;A2549)-SUMIFS(Оплаты!$B$6:$B$505,Оплаты!$A$6:$A$505,"&lt;"&amp;A2549,Оплаты!$D$6:$D$505,"&lt;&gt;"))</f>
        <v/>
      </c>
      <c r="E2549" t="str">
        <f>IF(A2549="","",IF(SUMPRODUCT((Ввод!$F$12:$F$31&lt;&gt;"")*(Ввод!$F$12:$F$31&lt;=A2549)*(Ввод!$G$12:$G$31&gt;=A2549))&gt;0,1,0))</f>
        <v/>
      </c>
      <c r="G2549" t="str">
        <f t="shared" si="79"/>
        <v/>
      </c>
    </row>
    <row r="2550" spans="1:7" x14ac:dyDescent="0.3">
      <c r="A2550" s="21" t="str">
        <f>IF(A2549="","",IF(A2549+1&gt;Ввод!$B$4,"",A2549+1))</f>
        <v/>
      </c>
      <c r="B2550" s="23" t="str">
        <f>IF(A2550="","",IFERROR(INDEX(Ввод!$B$12:$B$71,MATCH(A2550,Ввод!$D$12:$D$71,1)),""))</f>
        <v/>
      </c>
      <c r="C2550" t="str">
        <f t="shared" si="78"/>
        <v/>
      </c>
      <c r="D2550" t="str">
        <f>IF(A2550="","",SUMIFS(Акты!$D$5:$D$16,Акты!$E$5:$E$16,"&lt;="&amp;A2550)-SUMIFS(Оплаты!$B$6:$B$505,Оплаты!$A$6:$A$505,"&lt;"&amp;A2550,Оплаты!$D$6:$D$505,"&lt;&gt;"))</f>
        <v/>
      </c>
      <c r="E2550" t="str">
        <f>IF(A2550="","",IF(SUMPRODUCT((Ввод!$F$12:$F$31&lt;&gt;"")*(Ввод!$F$12:$F$31&lt;=A2550)*(Ввод!$G$12:$G$31&gt;=A2550))&gt;0,1,0))</f>
        <v/>
      </c>
      <c r="G2550" t="str">
        <f t="shared" si="79"/>
        <v/>
      </c>
    </row>
    <row r="2551" spans="1:7" x14ac:dyDescent="0.3">
      <c r="A2551" s="21" t="str">
        <f>IF(A2550="","",IF(A2550+1&gt;Ввод!$B$4,"",A2550+1))</f>
        <v/>
      </c>
      <c r="B2551" s="23" t="str">
        <f>IF(A2551="","",IFERROR(INDEX(Ввод!$B$12:$B$71,MATCH(A2551,Ввод!$D$12:$D$71,1)),""))</f>
        <v/>
      </c>
      <c r="C2551" t="str">
        <f t="shared" si="78"/>
        <v/>
      </c>
      <c r="D2551" t="str">
        <f>IF(A2551="","",SUMIFS(Акты!$D$5:$D$16,Акты!$E$5:$E$16,"&lt;="&amp;A2551)-SUMIFS(Оплаты!$B$6:$B$505,Оплаты!$A$6:$A$505,"&lt;"&amp;A2551,Оплаты!$D$6:$D$505,"&lt;&gt;"))</f>
        <v/>
      </c>
      <c r="E2551" t="str">
        <f>IF(A2551="","",IF(SUMPRODUCT((Ввод!$F$12:$F$31&lt;&gt;"")*(Ввод!$F$12:$F$31&lt;=A2551)*(Ввод!$G$12:$G$31&gt;=A2551))&gt;0,1,0))</f>
        <v/>
      </c>
      <c r="G2551" t="str">
        <f t="shared" si="79"/>
        <v/>
      </c>
    </row>
    <row r="2552" spans="1:7" x14ac:dyDescent="0.3">
      <c r="A2552" s="21" t="str">
        <f>IF(A2551="","",IF(A2551+1&gt;Ввод!$B$4,"",A2551+1))</f>
        <v/>
      </c>
      <c r="B2552" s="23" t="str">
        <f>IF(A2552="","",IFERROR(INDEX(Ввод!$B$12:$B$71,MATCH(A2552,Ввод!$D$12:$D$71,1)),""))</f>
        <v/>
      </c>
      <c r="C2552" t="str">
        <f t="shared" si="78"/>
        <v/>
      </c>
      <c r="D2552" t="str">
        <f>IF(A2552="","",SUMIFS(Акты!$D$5:$D$16,Акты!$E$5:$E$16,"&lt;="&amp;A2552)-SUMIFS(Оплаты!$B$6:$B$505,Оплаты!$A$6:$A$505,"&lt;"&amp;A2552,Оплаты!$D$6:$D$505,"&lt;&gt;"))</f>
        <v/>
      </c>
      <c r="E2552" t="str">
        <f>IF(A2552="","",IF(SUMPRODUCT((Ввод!$F$12:$F$31&lt;&gt;"")*(Ввод!$F$12:$F$31&lt;=A2552)*(Ввод!$G$12:$G$31&gt;=A2552))&gt;0,1,0))</f>
        <v/>
      </c>
      <c r="G2552" t="str">
        <f t="shared" si="79"/>
        <v/>
      </c>
    </row>
    <row r="2553" spans="1:7" x14ac:dyDescent="0.3">
      <c r="A2553" s="21" t="str">
        <f>IF(A2552="","",IF(A2552+1&gt;Ввод!$B$4,"",A2552+1))</f>
        <v/>
      </c>
      <c r="B2553" s="23" t="str">
        <f>IF(A2553="","",IFERROR(INDEX(Ввод!$B$12:$B$71,MATCH(A2553,Ввод!$D$12:$D$71,1)),""))</f>
        <v/>
      </c>
      <c r="C2553" t="str">
        <f t="shared" si="78"/>
        <v/>
      </c>
      <c r="D2553" t="str">
        <f>IF(A2553="","",SUMIFS(Акты!$D$5:$D$16,Акты!$E$5:$E$16,"&lt;="&amp;A2553)-SUMIFS(Оплаты!$B$6:$B$505,Оплаты!$A$6:$A$505,"&lt;"&amp;A2553,Оплаты!$D$6:$D$505,"&lt;&gt;"))</f>
        <v/>
      </c>
      <c r="E2553" t="str">
        <f>IF(A2553="","",IF(SUMPRODUCT((Ввод!$F$12:$F$31&lt;&gt;"")*(Ввод!$F$12:$F$31&lt;=A2553)*(Ввод!$G$12:$G$31&gt;=A2553))&gt;0,1,0))</f>
        <v/>
      </c>
      <c r="G2553" t="str">
        <f t="shared" si="79"/>
        <v/>
      </c>
    </row>
    <row r="2554" spans="1:7" x14ac:dyDescent="0.3">
      <c r="A2554" s="21" t="str">
        <f>IF(A2553="","",IF(A2553+1&gt;Ввод!$B$4,"",A2553+1))</f>
        <v/>
      </c>
      <c r="B2554" s="23" t="str">
        <f>IF(A2554="","",IFERROR(INDEX(Ввод!$B$12:$B$71,MATCH(A2554,Ввод!$D$12:$D$71,1)),""))</f>
        <v/>
      </c>
      <c r="C2554" t="str">
        <f t="shared" si="78"/>
        <v/>
      </c>
      <c r="D2554" t="str">
        <f>IF(A2554="","",SUMIFS(Акты!$D$5:$D$16,Акты!$E$5:$E$16,"&lt;="&amp;A2554)-SUMIFS(Оплаты!$B$6:$B$505,Оплаты!$A$6:$A$505,"&lt;"&amp;A2554,Оплаты!$D$6:$D$505,"&lt;&gt;"))</f>
        <v/>
      </c>
      <c r="E2554" t="str">
        <f>IF(A2554="","",IF(SUMPRODUCT((Ввод!$F$12:$F$31&lt;&gt;"")*(Ввод!$F$12:$F$31&lt;=A2554)*(Ввод!$G$12:$G$31&gt;=A2554))&gt;0,1,0))</f>
        <v/>
      </c>
      <c r="G2554" t="str">
        <f t="shared" si="79"/>
        <v/>
      </c>
    </row>
    <row r="2555" spans="1:7" x14ac:dyDescent="0.3">
      <c r="A2555" s="21" t="str">
        <f>IF(A2554="","",IF(A2554+1&gt;Ввод!$B$4,"",A2554+1))</f>
        <v/>
      </c>
      <c r="B2555" s="23" t="str">
        <f>IF(A2555="","",IFERROR(INDEX(Ввод!$B$12:$B$71,MATCH(A2555,Ввод!$D$12:$D$71,1)),""))</f>
        <v/>
      </c>
      <c r="C2555" t="str">
        <f t="shared" si="78"/>
        <v/>
      </c>
      <c r="D2555" t="str">
        <f>IF(A2555="","",SUMIFS(Акты!$D$5:$D$16,Акты!$E$5:$E$16,"&lt;="&amp;A2555)-SUMIFS(Оплаты!$B$6:$B$505,Оплаты!$A$6:$A$505,"&lt;"&amp;A2555,Оплаты!$D$6:$D$505,"&lt;&gt;"))</f>
        <v/>
      </c>
      <c r="E2555" t="str">
        <f>IF(A2555="","",IF(SUMPRODUCT((Ввод!$F$12:$F$31&lt;&gt;"")*(Ввод!$F$12:$F$31&lt;=A2555)*(Ввод!$G$12:$G$31&gt;=A2555))&gt;0,1,0))</f>
        <v/>
      </c>
      <c r="G2555" t="str">
        <f t="shared" si="79"/>
        <v/>
      </c>
    </row>
    <row r="2556" spans="1:7" x14ac:dyDescent="0.3">
      <c r="A2556" s="21" t="str">
        <f>IF(A2555="","",IF(A2555+1&gt;Ввод!$B$4,"",A2555+1))</f>
        <v/>
      </c>
      <c r="B2556" s="23" t="str">
        <f>IF(A2556="","",IFERROR(INDEX(Ввод!$B$12:$B$71,MATCH(A2556,Ввод!$D$12:$D$71,1)),""))</f>
        <v/>
      </c>
      <c r="C2556" t="str">
        <f t="shared" si="78"/>
        <v/>
      </c>
      <c r="D2556" t="str">
        <f>IF(A2556="","",SUMIFS(Акты!$D$5:$D$16,Акты!$E$5:$E$16,"&lt;="&amp;A2556)-SUMIFS(Оплаты!$B$6:$B$505,Оплаты!$A$6:$A$505,"&lt;"&amp;A2556,Оплаты!$D$6:$D$505,"&lt;&gt;"))</f>
        <v/>
      </c>
      <c r="E2556" t="str">
        <f>IF(A2556="","",IF(SUMPRODUCT((Ввод!$F$12:$F$31&lt;&gt;"")*(Ввод!$F$12:$F$31&lt;=A2556)*(Ввод!$G$12:$G$31&gt;=A2556))&gt;0,1,0))</f>
        <v/>
      </c>
      <c r="G2556" t="str">
        <f t="shared" si="79"/>
        <v/>
      </c>
    </row>
    <row r="2557" spans="1:7" x14ac:dyDescent="0.3">
      <c r="A2557" s="21" t="str">
        <f>IF(A2556="","",IF(A2556+1&gt;Ввод!$B$4,"",A2556+1))</f>
        <v/>
      </c>
      <c r="B2557" s="23" t="str">
        <f>IF(A2557="","",IFERROR(INDEX(Ввод!$B$12:$B$71,MATCH(A2557,Ввод!$D$12:$D$71,1)),""))</f>
        <v/>
      </c>
      <c r="C2557" t="str">
        <f t="shared" si="78"/>
        <v/>
      </c>
      <c r="D2557" t="str">
        <f>IF(A2557="","",SUMIFS(Акты!$D$5:$D$16,Акты!$E$5:$E$16,"&lt;="&amp;A2557)-SUMIFS(Оплаты!$B$6:$B$505,Оплаты!$A$6:$A$505,"&lt;"&amp;A2557,Оплаты!$D$6:$D$505,"&lt;&gt;"))</f>
        <v/>
      </c>
      <c r="E2557" t="str">
        <f>IF(A2557="","",IF(SUMPRODUCT((Ввод!$F$12:$F$31&lt;&gt;"")*(Ввод!$F$12:$F$31&lt;=A2557)*(Ввод!$G$12:$G$31&gt;=A2557))&gt;0,1,0))</f>
        <v/>
      </c>
      <c r="G2557" t="str">
        <f t="shared" si="79"/>
        <v/>
      </c>
    </row>
    <row r="2558" spans="1:7" x14ac:dyDescent="0.3">
      <c r="A2558" s="21" t="str">
        <f>IF(A2557="","",IF(A2557+1&gt;Ввод!$B$4,"",A2557+1))</f>
        <v/>
      </c>
      <c r="B2558" s="23" t="str">
        <f>IF(A2558="","",IFERROR(INDEX(Ввод!$B$12:$B$71,MATCH(A2558,Ввод!$D$12:$D$71,1)),""))</f>
        <v/>
      </c>
      <c r="C2558" t="str">
        <f t="shared" si="78"/>
        <v/>
      </c>
      <c r="D2558" t="str">
        <f>IF(A2558="","",SUMIFS(Акты!$D$5:$D$16,Акты!$E$5:$E$16,"&lt;="&amp;A2558)-SUMIFS(Оплаты!$B$6:$B$505,Оплаты!$A$6:$A$505,"&lt;"&amp;A2558,Оплаты!$D$6:$D$505,"&lt;&gt;"))</f>
        <v/>
      </c>
      <c r="E2558" t="str">
        <f>IF(A2558="","",IF(SUMPRODUCT((Ввод!$F$12:$F$31&lt;&gt;"")*(Ввод!$F$12:$F$31&lt;=A2558)*(Ввод!$G$12:$G$31&gt;=A2558))&gt;0,1,0))</f>
        <v/>
      </c>
      <c r="G2558" t="str">
        <f t="shared" si="79"/>
        <v/>
      </c>
    </row>
    <row r="2559" spans="1:7" x14ac:dyDescent="0.3">
      <c r="A2559" s="21" t="str">
        <f>IF(A2558="","",IF(A2558+1&gt;Ввод!$B$4,"",A2558+1))</f>
        <v/>
      </c>
      <c r="B2559" s="23" t="str">
        <f>IF(A2559="","",IFERROR(INDEX(Ввод!$B$12:$B$71,MATCH(A2559,Ввод!$D$12:$D$71,1)),""))</f>
        <v/>
      </c>
      <c r="C2559" t="str">
        <f t="shared" si="78"/>
        <v/>
      </c>
      <c r="D2559" t="str">
        <f>IF(A2559="","",SUMIFS(Акты!$D$5:$D$16,Акты!$E$5:$E$16,"&lt;="&amp;A2559)-SUMIFS(Оплаты!$B$6:$B$505,Оплаты!$A$6:$A$505,"&lt;"&amp;A2559,Оплаты!$D$6:$D$505,"&lt;&gt;"))</f>
        <v/>
      </c>
      <c r="E2559" t="str">
        <f>IF(A2559="","",IF(SUMPRODUCT((Ввод!$F$12:$F$31&lt;&gt;"")*(Ввод!$F$12:$F$31&lt;=A2559)*(Ввод!$G$12:$G$31&gt;=A2559))&gt;0,1,0))</f>
        <v/>
      </c>
      <c r="G2559" t="str">
        <f t="shared" si="79"/>
        <v/>
      </c>
    </row>
    <row r="2560" spans="1:7" x14ac:dyDescent="0.3">
      <c r="A2560" s="21" t="str">
        <f>IF(A2559="","",IF(A2559+1&gt;Ввод!$B$4,"",A2559+1))</f>
        <v/>
      </c>
      <c r="B2560" s="23" t="str">
        <f>IF(A2560="","",IFERROR(INDEX(Ввод!$B$12:$B$71,MATCH(A2560,Ввод!$D$12:$D$71,1)),""))</f>
        <v/>
      </c>
      <c r="C2560" t="str">
        <f t="shared" si="78"/>
        <v/>
      </c>
      <c r="D2560" t="str">
        <f>IF(A2560="","",SUMIFS(Акты!$D$5:$D$16,Акты!$E$5:$E$16,"&lt;="&amp;A2560)-SUMIFS(Оплаты!$B$6:$B$505,Оплаты!$A$6:$A$505,"&lt;"&amp;A2560,Оплаты!$D$6:$D$505,"&lt;&gt;"))</f>
        <v/>
      </c>
      <c r="E2560" t="str">
        <f>IF(A2560="","",IF(SUMPRODUCT((Ввод!$F$12:$F$31&lt;&gt;"")*(Ввод!$F$12:$F$31&lt;=A2560)*(Ввод!$G$12:$G$31&gt;=A2560))&gt;0,1,0))</f>
        <v/>
      </c>
      <c r="G2560" t="str">
        <f t="shared" si="79"/>
        <v/>
      </c>
    </row>
    <row r="2561" spans="1:7" x14ac:dyDescent="0.3">
      <c r="A2561" s="21" t="str">
        <f>IF(A2560="","",IF(A2560+1&gt;Ввод!$B$4,"",A2560+1))</f>
        <v/>
      </c>
      <c r="B2561" s="23" t="str">
        <f>IF(A2561="","",IFERROR(INDEX(Ввод!$B$12:$B$71,MATCH(A2561,Ввод!$D$12:$D$71,1)),""))</f>
        <v/>
      </c>
      <c r="C2561" t="str">
        <f t="shared" si="78"/>
        <v/>
      </c>
      <c r="D2561" t="str">
        <f>IF(A2561="","",SUMIFS(Акты!$D$5:$D$16,Акты!$E$5:$E$16,"&lt;="&amp;A2561)-SUMIFS(Оплаты!$B$6:$B$505,Оплаты!$A$6:$A$505,"&lt;"&amp;A2561,Оплаты!$D$6:$D$505,"&lt;&gt;"))</f>
        <v/>
      </c>
      <c r="E2561" t="str">
        <f>IF(A2561="","",IF(SUMPRODUCT((Ввод!$F$12:$F$31&lt;&gt;"")*(Ввод!$F$12:$F$31&lt;=A2561)*(Ввод!$G$12:$G$31&gt;=A2561))&gt;0,1,0))</f>
        <v/>
      </c>
      <c r="G2561" t="str">
        <f t="shared" si="79"/>
        <v/>
      </c>
    </row>
    <row r="2562" spans="1:7" x14ac:dyDescent="0.3">
      <c r="A2562" s="21" t="str">
        <f>IF(A2561="","",IF(A2561+1&gt;Ввод!$B$4,"",A2561+1))</f>
        <v/>
      </c>
      <c r="B2562" s="23" t="str">
        <f>IF(A2562="","",IFERROR(INDEX(Ввод!$B$12:$B$71,MATCH(A2562,Ввод!$D$12:$D$71,1)),""))</f>
        <v/>
      </c>
      <c r="C2562" t="str">
        <f t="shared" ref="C2562:C2625" si="80">IF(A2562="","",DATE(YEAR(A2562),12,31)-DATE(YEAR(A2562),1,1)+1)</f>
        <v/>
      </c>
      <c r="D2562" t="str">
        <f>IF(A2562="","",SUMIFS(Акты!$D$5:$D$16,Акты!$E$5:$E$16,"&lt;="&amp;A2562)-SUMIFS(Оплаты!$B$6:$B$505,Оплаты!$A$6:$A$505,"&lt;"&amp;A2562,Оплаты!$D$6:$D$505,"&lt;&gt;"))</f>
        <v/>
      </c>
      <c r="E2562" t="str">
        <f>IF(A2562="","",IF(SUMPRODUCT((Ввод!$F$12:$F$31&lt;&gt;"")*(Ввод!$F$12:$F$31&lt;=A2562)*(Ввод!$G$12:$G$31&gt;=A2562))&gt;0,1,0))</f>
        <v/>
      </c>
      <c r="G2562" t="str">
        <f t="shared" si="79"/>
        <v/>
      </c>
    </row>
    <row r="2563" spans="1:7" x14ac:dyDescent="0.3">
      <c r="A2563" s="21" t="str">
        <f>IF(A2562="","",IF(A2562+1&gt;Ввод!$B$4,"",A2562+1))</f>
        <v/>
      </c>
      <c r="B2563" s="23" t="str">
        <f>IF(A2563="","",IFERROR(INDEX(Ввод!$B$12:$B$71,MATCH(A2563,Ввод!$D$12:$D$71,1)),""))</f>
        <v/>
      </c>
      <c r="C2563" t="str">
        <f t="shared" si="80"/>
        <v/>
      </c>
      <c r="D2563" t="str">
        <f>IF(A2563="","",SUMIFS(Акты!$D$5:$D$16,Акты!$E$5:$E$16,"&lt;="&amp;A2563)-SUMIFS(Оплаты!$B$6:$B$505,Оплаты!$A$6:$A$505,"&lt;"&amp;A2563,Оплаты!$D$6:$D$505,"&lt;&gt;"))</f>
        <v/>
      </c>
      <c r="E2563" t="str">
        <f>IF(A2563="","",IF(SUMPRODUCT((Ввод!$F$12:$F$31&lt;&gt;"")*(Ввод!$F$12:$F$31&lt;=A2563)*(Ввод!$G$12:$G$31&gt;=A2563))&gt;0,1,0))</f>
        <v/>
      </c>
      <c r="G2563" t="str">
        <f t="shared" ref="G2563:G2626" si="81">IF(A2563="","",IF(OR(B2563&lt;&gt;B2562,C2563&lt;&gt;C2562,E2563&lt;&gt;E2562),G2562+1,G2562))</f>
        <v/>
      </c>
    </row>
    <row r="2564" spans="1:7" x14ac:dyDescent="0.3">
      <c r="A2564" s="21" t="str">
        <f>IF(A2563="","",IF(A2563+1&gt;Ввод!$B$4,"",A2563+1))</f>
        <v/>
      </c>
      <c r="B2564" s="23" t="str">
        <f>IF(A2564="","",IFERROR(INDEX(Ввод!$B$12:$B$71,MATCH(A2564,Ввод!$D$12:$D$71,1)),""))</f>
        <v/>
      </c>
      <c r="C2564" t="str">
        <f t="shared" si="80"/>
        <v/>
      </c>
      <c r="D2564" t="str">
        <f>IF(A2564="","",SUMIFS(Акты!$D$5:$D$16,Акты!$E$5:$E$16,"&lt;="&amp;A2564)-SUMIFS(Оплаты!$B$6:$B$505,Оплаты!$A$6:$A$505,"&lt;"&amp;A2564,Оплаты!$D$6:$D$505,"&lt;&gt;"))</f>
        <v/>
      </c>
      <c r="E2564" t="str">
        <f>IF(A2564="","",IF(SUMPRODUCT((Ввод!$F$12:$F$31&lt;&gt;"")*(Ввод!$F$12:$F$31&lt;=A2564)*(Ввод!$G$12:$G$31&gt;=A2564))&gt;0,1,0))</f>
        <v/>
      </c>
      <c r="G2564" t="str">
        <f t="shared" si="81"/>
        <v/>
      </c>
    </row>
    <row r="2565" spans="1:7" x14ac:dyDescent="0.3">
      <c r="A2565" s="21" t="str">
        <f>IF(A2564="","",IF(A2564+1&gt;Ввод!$B$4,"",A2564+1))</f>
        <v/>
      </c>
      <c r="B2565" s="23" t="str">
        <f>IF(A2565="","",IFERROR(INDEX(Ввод!$B$12:$B$71,MATCH(A2565,Ввод!$D$12:$D$71,1)),""))</f>
        <v/>
      </c>
      <c r="C2565" t="str">
        <f t="shared" si="80"/>
        <v/>
      </c>
      <c r="D2565" t="str">
        <f>IF(A2565="","",SUMIFS(Акты!$D$5:$D$16,Акты!$E$5:$E$16,"&lt;="&amp;A2565)-SUMIFS(Оплаты!$B$6:$B$505,Оплаты!$A$6:$A$505,"&lt;"&amp;A2565,Оплаты!$D$6:$D$505,"&lt;&gt;"))</f>
        <v/>
      </c>
      <c r="E2565" t="str">
        <f>IF(A2565="","",IF(SUMPRODUCT((Ввод!$F$12:$F$31&lt;&gt;"")*(Ввод!$F$12:$F$31&lt;=A2565)*(Ввод!$G$12:$G$31&gt;=A2565))&gt;0,1,0))</f>
        <v/>
      </c>
      <c r="G2565" t="str">
        <f t="shared" si="81"/>
        <v/>
      </c>
    </row>
    <row r="2566" spans="1:7" x14ac:dyDescent="0.3">
      <c r="A2566" s="21" t="str">
        <f>IF(A2565="","",IF(A2565+1&gt;Ввод!$B$4,"",A2565+1))</f>
        <v/>
      </c>
      <c r="B2566" s="23" t="str">
        <f>IF(A2566="","",IFERROR(INDEX(Ввод!$B$12:$B$71,MATCH(A2566,Ввод!$D$12:$D$71,1)),""))</f>
        <v/>
      </c>
      <c r="C2566" t="str">
        <f t="shared" si="80"/>
        <v/>
      </c>
      <c r="D2566" t="str">
        <f>IF(A2566="","",SUMIFS(Акты!$D$5:$D$16,Акты!$E$5:$E$16,"&lt;="&amp;A2566)-SUMIFS(Оплаты!$B$6:$B$505,Оплаты!$A$6:$A$505,"&lt;"&amp;A2566,Оплаты!$D$6:$D$505,"&lt;&gt;"))</f>
        <v/>
      </c>
      <c r="E2566" t="str">
        <f>IF(A2566="","",IF(SUMPRODUCT((Ввод!$F$12:$F$31&lt;&gt;"")*(Ввод!$F$12:$F$31&lt;=A2566)*(Ввод!$G$12:$G$31&gt;=A2566))&gt;0,1,0))</f>
        <v/>
      </c>
      <c r="G2566" t="str">
        <f t="shared" si="81"/>
        <v/>
      </c>
    </row>
    <row r="2567" spans="1:7" x14ac:dyDescent="0.3">
      <c r="A2567" s="21" t="str">
        <f>IF(A2566="","",IF(A2566+1&gt;Ввод!$B$4,"",A2566+1))</f>
        <v/>
      </c>
      <c r="B2567" s="23" t="str">
        <f>IF(A2567="","",IFERROR(INDEX(Ввод!$B$12:$B$71,MATCH(A2567,Ввод!$D$12:$D$71,1)),""))</f>
        <v/>
      </c>
      <c r="C2567" t="str">
        <f t="shared" si="80"/>
        <v/>
      </c>
      <c r="D2567" t="str">
        <f>IF(A2567="","",SUMIFS(Акты!$D$5:$D$16,Акты!$E$5:$E$16,"&lt;="&amp;A2567)-SUMIFS(Оплаты!$B$6:$B$505,Оплаты!$A$6:$A$505,"&lt;"&amp;A2567,Оплаты!$D$6:$D$505,"&lt;&gt;"))</f>
        <v/>
      </c>
      <c r="E2567" t="str">
        <f>IF(A2567="","",IF(SUMPRODUCT((Ввод!$F$12:$F$31&lt;&gt;"")*(Ввод!$F$12:$F$31&lt;=A2567)*(Ввод!$G$12:$G$31&gt;=A2567))&gt;0,1,0))</f>
        <v/>
      </c>
      <c r="G2567" t="str">
        <f t="shared" si="81"/>
        <v/>
      </c>
    </row>
    <row r="2568" spans="1:7" x14ac:dyDescent="0.3">
      <c r="A2568" s="21" t="str">
        <f>IF(A2567="","",IF(A2567+1&gt;Ввод!$B$4,"",A2567+1))</f>
        <v/>
      </c>
      <c r="B2568" s="23" t="str">
        <f>IF(A2568="","",IFERROR(INDEX(Ввод!$B$12:$B$71,MATCH(A2568,Ввод!$D$12:$D$71,1)),""))</f>
        <v/>
      </c>
      <c r="C2568" t="str">
        <f t="shared" si="80"/>
        <v/>
      </c>
      <c r="D2568" t="str">
        <f>IF(A2568="","",SUMIFS(Акты!$D$5:$D$16,Акты!$E$5:$E$16,"&lt;="&amp;A2568)-SUMIFS(Оплаты!$B$6:$B$505,Оплаты!$A$6:$A$505,"&lt;"&amp;A2568,Оплаты!$D$6:$D$505,"&lt;&gt;"))</f>
        <v/>
      </c>
      <c r="E2568" t="str">
        <f>IF(A2568="","",IF(SUMPRODUCT((Ввод!$F$12:$F$31&lt;&gt;"")*(Ввод!$F$12:$F$31&lt;=A2568)*(Ввод!$G$12:$G$31&gt;=A2568))&gt;0,1,0))</f>
        <v/>
      </c>
      <c r="G2568" t="str">
        <f t="shared" si="81"/>
        <v/>
      </c>
    </row>
    <row r="2569" spans="1:7" x14ac:dyDescent="0.3">
      <c r="A2569" s="21" t="str">
        <f>IF(A2568="","",IF(A2568+1&gt;Ввод!$B$4,"",A2568+1))</f>
        <v/>
      </c>
      <c r="B2569" s="23" t="str">
        <f>IF(A2569="","",IFERROR(INDEX(Ввод!$B$12:$B$71,MATCH(A2569,Ввод!$D$12:$D$71,1)),""))</f>
        <v/>
      </c>
      <c r="C2569" t="str">
        <f t="shared" si="80"/>
        <v/>
      </c>
      <c r="D2569" t="str">
        <f>IF(A2569="","",SUMIFS(Акты!$D$5:$D$16,Акты!$E$5:$E$16,"&lt;="&amp;A2569)-SUMIFS(Оплаты!$B$6:$B$505,Оплаты!$A$6:$A$505,"&lt;"&amp;A2569,Оплаты!$D$6:$D$505,"&lt;&gt;"))</f>
        <v/>
      </c>
      <c r="E2569" t="str">
        <f>IF(A2569="","",IF(SUMPRODUCT((Ввод!$F$12:$F$31&lt;&gt;"")*(Ввод!$F$12:$F$31&lt;=A2569)*(Ввод!$G$12:$G$31&gt;=A2569))&gt;0,1,0))</f>
        <v/>
      </c>
      <c r="G2569" t="str">
        <f t="shared" si="81"/>
        <v/>
      </c>
    </row>
    <row r="2570" spans="1:7" x14ac:dyDescent="0.3">
      <c r="A2570" s="21" t="str">
        <f>IF(A2569="","",IF(A2569+1&gt;Ввод!$B$4,"",A2569+1))</f>
        <v/>
      </c>
      <c r="B2570" s="23" t="str">
        <f>IF(A2570="","",IFERROR(INDEX(Ввод!$B$12:$B$71,MATCH(A2570,Ввод!$D$12:$D$71,1)),""))</f>
        <v/>
      </c>
      <c r="C2570" t="str">
        <f t="shared" si="80"/>
        <v/>
      </c>
      <c r="D2570" t="str">
        <f>IF(A2570="","",SUMIFS(Акты!$D$5:$D$16,Акты!$E$5:$E$16,"&lt;="&amp;A2570)-SUMIFS(Оплаты!$B$6:$B$505,Оплаты!$A$6:$A$505,"&lt;"&amp;A2570,Оплаты!$D$6:$D$505,"&lt;&gt;"))</f>
        <v/>
      </c>
      <c r="E2570" t="str">
        <f>IF(A2570="","",IF(SUMPRODUCT((Ввод!$F$12:$F$31&lt;&gt;"")*(Ввод!$F$12:$F$31&lt;=A2570)*(Ввод!$G$12:$G$31&gt;=A2570))&gt;0,1,0))</f>
        <v/>
      </c>
      <c r="G2570" t="str">
        <f t="shared" si="81"/>
        <v/>
      </c>
    </row>
    <row r="2571" spans="1:7" x14ac:dyDescent="0.3">
      <c r="A2571" s="21" t="str">
        <f>IF(A2570="","",IF(A2570+1&gt;Ввод!$B$4,"",A2570+1))</f>
        <v/>
      </c>
      <c r="B2571" s="23" t="str">
        <f>IF(A2571="","",IFERROR(INDEX(Ввод!$B$12:$B$71,MATCH(A2571,Ввод!$D$12:$D$71,1)),""))</f>
        <v/>
      </c>
      <c r="C2571" t="str">
        <f t="shared" si="80"/>
        <v/>
      </c>
      <c r="D2571" t="str">
        <f>IF(A2571="","",SUMIFS(Акты!$D$5:$D$16,Акты!$E$5:$E$16,"&lt;="&amp;A2571)-SUMIFS(Оплаты!$B$6:$B$505,Оплаты!$A$6:$A$505,"&lt;"&amp;A2571,Оплаты!$D$6:$D$505,"&lt;&gt;"))</f>
        <v/>
      </c>
      <c r="E2571" t="str">
        <f>IF(A2571="","",IF(SUMPRODUCT((Ввод!$F$12:$F$31&lt;&gt;"")*(Ввод!$F$12:$F$31&lt;=A2571)*(Ввод!$G$12:$G$31&gt;=A2571))&gt;0,1,0))</f>
        <v/>
      </c>
      <c r="G2571" t="str">
        <f t="shared" si="81"/>
        <v/>
      </c>
    </row>
    <row r="2572" spans="1:7" x14ac:dyDescent="0.3">
      <c r="A2572" s="21" t="str">
        <f>IF(A2571="","",IF(A2571+1&gt;Ввод!$B$4,"",A2571+1))</f>
        <v/>
      </c>
      <c r="B2572" s="23" t="str">
        <f>IF(A2572="","",IFERROR(INDEX(Ввод!$B$12:$B$71,MATCH(A2572,Ввод!$D$12:$D$71,1)),""))</f>
        <v/>
      </c>
      <c r="C2572" t="str">
        <f t="shared" si="80"/>
        <v/>
      </c>
      <c r="D2572" t="str">
        <f>IF(A2572="","",SUMIFS(Акты!$D$5:$D$16,Акты!$E$5:$E$16,"&lt;="&amp;A2572)-SUMIFS(Оплаты!$B$6:$B$505,Оплаты!$A$6:$A$505,"&lt;"&amp;A2572,Оплаты!$D$6:$D$505,"&lt;&gt;"))</f>
        <v/>
      </c>
      <c r="E2572" t="str">
        <f>IF(A2572="","",IF(SUMPRODUCT((Ввод!$F$12:$F$31&lt;&gt;"")*(Ввод!$F$12:$F$31&lt;=A2572)*(Ввод!$G$12:$G$31&gt;=A2572))&gt;0,1,0))</f>
        <v/>
      </c>
      <c r="G2572" t="str">
        <f t="shared" si="81"/>
        <v/>
      </c>
    </row>
    <row r="2573" spans="1:7" x14ac:dyDescent="0.3">
      <c r="A2573" s="21" t="str">
        <f>IF(A2572="","",IF(A2572+1&gt;Ввод!$B$4,"",A2572+1))</f>
        <v/>
      </c>
      <c r="B2573" s="23" t="str">
        <f>IF(A2573="","",IFERROR(INDEX(Ввод!$B$12:$B$71,MATCH(A2573,Ввод!$D$12:$D$71,1)),""))</f>
        <v/>
      </c>
      <c r="C2573" t="str">
        <f t="shared" si="80"/>
        <v/>
      </c>
      <c r="D2573" t="str">
        <f>IF(A2573="","",SUMIFS(Акты!$D$5:$D$16,Акты!$E$5:$E$16,"&lt;="&amp;A2573)-SUMIFS(Оплаты!$B$6:$B$505,Оплаты!$A$6:$A$505,"&lt;"&amp;A2573,Оплаты!$D$6:$D$505,"&lt;&gt;"))</f>
        <v/>
      </c>
      <c r="E2573" t="str">
        <f>IF(A2573="","",IF(SUMPRODUCT((Ввод!$F$12:$F$31&lt;&gt;"")*(Ввод!$F$12:$F$31&lt;=A2573)*(Ввод!$G$12:$G$31&gt;=A2573))&gt;0,1,0))</f>
        <v/>
      </c>
      <c r="G2573" t="str">
        <f t="shared" si="81"/>
        <v/>
      </c>
    </row>
    <row r="2574" spans="1:7" x14ac:dyDescent="0.3">
      <c r="A2574" s="21" t="str">
        <f>IF(A2573="","",IF(A2573+1&gt;Ввод!$B$4,"",A2573+1))</f>
        <v/>
      </c>
      <c r="B2574" s="23" t="str">
        <f>IF(A2574="","",IFERROR(INDEX(Ввод!$B$12:$B$71,MATCH(A2574,Ввод!$D$12:$D$71,1)),""))</f>
        <v/>
      </c>
      <c r="C2574" t="str">
        <f t="shared" si="80"/>
        <v/>
      </c>
      <c r="D2574" t="str">
        <f>IF(A2574="","",SUMIFS(Акты!$D$5:$D$16,Акты!$E$5:$E$16,"&lt;="&amp;A2574)-SUMIFS(Оплаты!$B$6:$B$505,Оплаты!$A$6:$A$505,"&lt;"&amp;A2574,Оплаты!$D$6:$D$505,"&lt;&gt;"))</f>
        <v/>
      </c>
      <c r="E2574" t="str">
        <f>IF(A2574="","",IF(SUMPRODUCT((Ввод!$F$12:$F$31&lt;&gt;"")*(Ввод!$F$12:$F$31&lt;=A2574)*(Ввод!$G$12:$G$31&gt;=A2574))&gt;0,1,0))</f>
        <v/>
      </c>
      <c r="G2574" t="str">
        <f t="shared" si="81"/>
        <v/>
      </c>
    </row>
    <row r="2575" spans="1:7" x14ac:dyDescent="0.3">
      <c r="A2575" s="21" t="str">
        <f>IF(A2574="","",IF(A2574+1&gt;Ввод!$B$4,"",A2574+1))</f>
        <v/>
      </c>
      <c r="B2575" s="23" t="str">
        <f>IF(A2575="","",IFERROR(INDEX(Ввод!$B$12:$B$71,MATCH(A2575,Ввод!$D$12:$D$71,1)),""))</f>
        <v/>
      </c>
      <c r="C2575" t="str">
        <f t="shared" si="80"/>
        <v/>
      </c>
      <c r="D2575" t="str">
        <f>IF(A2575="","",SUMIFS(Акты!$D$5:$D$16,Акты!$E$5:$E$16,"&lt;="&amp;A2575)-SUMIFS(Оплаты!$B$6:$B$505,Оплаты!$A$6:$A$505,"&lt;"&amp;A2575,Оплаты!$D$6:$D$505,"&lt;&gt;"))</f>
        <v/>
      </c>
      <c r="E2575" t="str">
        <f>IF(A2575="","",IF(SUMPRODUCT((Ввод!$F$12:$F$31&lt;&gt;"")*(Ввод!$F$12:$F$31&lt;=A2575)*(Ввод!$G$12:$G$31&gt;=A2575))&gt;0,1,0))</f>
        <v/>
      </c>
      <c r="G2575" t="str">
        <f t="shared" si="81"/>
        <v/>
      </c>
    </row>
    <row r="2576" spans="1:7" x14ac:dyDescent="0.3">
      <c r="A2576" s="21" t="str">
        <f>IF(A2575="","",IF(A2575+1&gt;Ввод!$B$4,"",A2575+1))</f>
        <v/>
      </c>
      <c r="B2576" s="23" t="str">
        <f>IF(A2576="","",IFERROR(INDEX(Ввод!$B$12:$B$71,MATCH(A2576,Ввод!$D$12:$D$71,1)),""))</f>
        <v/>
      </c>
      <c r="C2576" t="str">
        <f t="shared" si="80"/>
        <v/>
      </c>
      <c r="D2576" t="str">
        <f>IF(A2576="","",SUMIFS(Акты!$D$5:$D$16,Акты!$E$5:$E$16,"&lt;="&amp;A2576)-SUMIFS(Оплаты!$B$6:$B$505,Оплаты!$A$6:$A$505,"&lt;"&amp;A2576,Оплаты!$D$6:$D$505,"&lt;&gt;"))</f>
        <v/>
      </c>
      <c r="E2576" t="str">
        <f>IF(A2576="","",IF(SUMPRODUCT((Ввод!$F$12:$F$31&lt;&gt;"")*(Ввод!$F$12:$F$31&lt;=A2576)*(Ввод!$G$12:$G$31&gt;=A2576))&gt;0,1,0))</f>
        <v/>
      </c>
      <c r="G2576" t="str">
        <f t="shared" si="81"/>
        <v/>
      </c>
    </row>
    <row r="2577" spans="1:7" x14ac:dyDescent="0.3">
      <c r="A2577" s="21" t="str">
        <f>IF(A2576="","",IF(A2576+1&gt;Ввод!$B$4,"",A2576+1))</f>
        <v/>
      </c>
      <c r="B2577" s="23" t="str">
        <f>IF(A2577="","",IFERROR(INDEX(Ввод!$B$12:$B$71,MATCH(A2577,Ввод!$D$12:$D$71,1)),""))</f>
        <v/>
      </c>
      <c r="C2577" t="str">
        <f t="shared" si="80"/>
        <v/>
      </c>
      <c r="D2577" t="str">
        <f>IF(A2577="","",SUMIFS(Акты!$D$5:$D$16,Акты!$E$5:$E$16,"&lt;="&amp;A2577)-SUMIFS(Оплаты!$B$6:$B$505,Оплаты!$A$6:$A$505,"&lt;"&amp;A2577,Оплаты!$D$6:$D$505,"&lt;&gt;"))</f>
        <v/>
      </c>
      <c r="E2577" t="str">
        <f>IF(A2577="","",IF(SUMPRODUCT((Ввод!$F$12:$F$31&lt;&gt;"")*(Ввод!$F$12:$F$31&lt;=A2577)*(Ввод!$G$12:$G$31&gt;=A2577))&gt;0,1,0))</f>
        <v/>
      </c>
      <c r="G2577" t="str">
        <f t="shared" si="81"/>
        <v/>
      </c>
    </row>
    <row r="2578" spans="1:7" x14ac:dyDescent="0.3">
      <c r="A2578" s="21" t="str">
        <f>IF(A2577="","",IF(A2577+1&gt;Ввод!$B$4,"",A2577+1))</f>
        <v/>
      </c>
      <c r="B2578" s="23" t="str">
        <f>IF(A2578="","",IFERROR(INDEX(Ввод!$B$12:$B$71,MATCH(A2578,Ввод!$D$12:$D$71,1)),""))</f>
        <v/>
      </c>
      <c r="C2578" t="str">
        <f t="shared" si="80"/>
        <v/>
      </c>
      <c r="D2578" t="str">
        <f>IF(A2578="","",SUMIFS(Акты!$D$5:$D$16,Акты!$E$5:$E$16,"&lt;="&amp;A2578)-SUMIFS(Оплаты!$B$6:$B$505,Оплаты!$A$6:$A$505,"&lt;"&amp;A2578,Оплаты!$D$6:$D$505,"&lt;&gt;"))</f>
        <v/>
      </c>
      <c r="E2578" t="str">
        <f>IF(A2578="","",IF(SUMPRODUCT((Ввод!$F$12:$F$31&lt;&gt;"")*(Ввод!$F$12:$F$31&lt;=A2578)*(Ввод!$G$12:$G$31&gt;=A2578))&gt;0,1,0))</f>
        <v/>
      </c>
      <c r="G2578" t="str">
        <f t="shared" si="81"/>
        <v/>
      </c>
    </row>
    <row r="2579" spans="1:7" x14ac:dyDescent="0.3">
      <c r="A2579" s="21" t="str">
        <f>IF(A2578="","",IF(A2578+1&gt;Ввод!$B$4,"",A2578+1))</f>
        <v/>
      </c>
      <c r="B2579" s="23" t="str">
        <f>IF(A2579="","",IFERROR(INDEX(Ввод!$B$12:$B$71,MATCH(A2579,Ввод!$D$12:$D$71,1)),""))</f>
        <v/>
      </c>
      <c r="C2579" t="str">
        <f t="shared" si="80"/>
        <v/>
      </c>
      <c r="D2579" t="str">
        <f>IF(A2579="","",SUMIFS(Акты!$D$5:$D$16,Акты!$E$5:$E$16,"&lt;="&amp;A2579)-SUMIFS(Оплаты!$B$6:$B$505,Оплаты!$A$6:$A$505,"&lt;"&amp;A2579,Оплаты!$D$6:$D$505,"&lt;&gt;"))</f>
        <v/>
      </c>
      <c r="E2579" t="str">
        <f>IF(A2579="","",IF(SUMPRODUCT((Ввод!$F$12:$F$31&lt;&gt;"")*(Ввод!$F$12:$F$31&lt;=A2579)*(Ввод!$G$12:$G$31&gt;=A2579))&gt;0,1,0))</f>
        <v/>
      </c>
      <c r="G2579" t="str">
        <f t="shared" si="81"/>
        <v/>
      </c>
    </row>
    <row r="2580" spans="1:7" x14ac:dyDescent="0.3">
      <c r="A2580" s="21" t="str">
        <f>IF(A2579="","",IF(A2579+1&gt;Ввод!$B$4,"",A2579+1))</f>
        <v/>
      </c>
      <c r="B2580" s="23" t="str">
        <f>IF(A2580="","",IFERROR(INDEX(Ввод!$B$12:$B$71,MATCH(A2580,Ввод!$D$12:$D$71,1)),""))</f>
        <v/>
      </c>
      <c r="C2580" t="str">
        <f t="shared" si="80"/>
        <v/>
      </c>
      <c r="D2580" t="str">
        <f>IF(A2580="","",SUMIFS(Акты!$D$5:$D$16,Акты!$E$5:$E$16,"&lt;="&amp;A2580)-SUMIFS(Оплаты!$B$6:$B$505,Оплаты!$A$6:$A$505,"&lt;"&amp;A2580,Оплаты!$D$6:$D$505,"&lt;&gt;"))</f>
        <v/>
      </c>
      <c r="E2580" t="str">
        <f>IF(A2580="","",IF(SUMPRODUCT((Ввод!$F$12:$F$31&lt;&gt;"")*(Ввод!$F$12:$F$31&lt;=A2580)*(Ввод!$G$12:$G$31&gt;=A2580))&gt;0,1,0))</f>
        <v/>
      </c>
      <c r="G2580" t="str">
        <f t="shared" si="81"/>
        <v/>
      </c>
    </row>
    <row r="2581" spans="1:7" x14ac:dyDescent="0.3">
      <c r="A2581" s="21" t="str">
        <f>IF(A2580="","",IF(A2580+1&gt;Ввод!$B$4,"",A2580+1))</f>
        <v/>
      </c>
      <c r="B2581" s="23" t="str">
        <f>IF(A2581="","",IFERROR(INDEX(Ввод!$B$12:$B$71,MATCH(A2581,Ввод!$D$12:$D$71,1)),""))</f>
        <v/>
      </c>
      <c r="C2581" t="str">
        <f t="shared" si="80"/>
        <v/>
      </c>
      <c r="D2581" t="str">
        <f>IF(A2581="","",SUMIFS(Акты!$D$5:$D$16,Акты!$E$5:$E$16,"&lt;="&amp;A2581)-SUMIFS(Оплаты!$B$6:$B$505,Оплаты!$A$6:$A$505,"&lt;"&amp;A2581,Оплаты!$D$6:$D$505,"&lt;&gt;"))</f>
        <v/>
      </c>
      <c r="E2581" t="str">
        <f>IF(A2581="","",IF(SUMPRODUCT((Ввод!$F$12:$F$31&lt;&gt;"")*(Ввод!$F$12:$F$31&lt;=A2581)*(Ввод!$G$12:$G$31&gt;=A2581))&gt;0,1,0))</f>
        <v/>
      </c>
      <c r="G2581" t="str">
        <f t="shared" si="81"/>
        <v/>
      </c>
    </row>
    <row r="2582" spans="1:7" x14ac:dyDescent="0.3">
      <c r="A2582" s="21" t="str">
        <f>IF(A2581="","",IF(A2581+1&gt;Ввод!$B$4,"",A2581+1))</f>
        <v/>
      </c>
      <c r="B2582" s="23" t="str">
        <f>IF(A2582="","",IFERROR(INDEX(Ввод!$B$12:$B$71,MATCH(A2582,Ввод!$D$12:$D$71,1)),""))</f>
        <v/>
      </c>
      <c r="C2582" t="str">
        <f t="shared" si="80"/>
        <v/>
      </c>
      <c r="D2582" t="str">
        <f>IF(A2582="","",SUMIFS(Акты!$D$5:$D$16,Акты!$E$5:$E$16,"&lt;="&amp;A2582)-SUMIFS(Оплаты!$B$6:$B$505,Оплаты!$A$6:$A$505,"&lt;"&amp;A2582,Оплаты!$D$6:$D$505,"&lt;&gt;"))</f>
        <v/>
      </c>
      <c r="E2582" t="str">
        <f>IF(A2582="","",IF(SUMPRODUCT((Ввод!$F$12:$F$31&lt;&gt;"")*(Ввод!$F$12:$F$31&lt;=A2582)*(Ввод!$G$12:$G$31&gt;=A2582))&gt;0,1,0))</f>
        <v/>
      </c>
      <c r="G2582" t="str">
        <f t="shared" si="81"/>
        <v/>
      </c>
    </row>
    <row r="2583" spans="1:7" x14ac:dyDescent="0.3">
      <c r="A2583" s="21" t="str">
        <f>IF(A2582="","",IF(A2582+1&gt;Ввод!$B$4,"",A2582+1))</f>
        <v/>
      </c>
      <c r="B2583" s="23" t="str">
        <f>IF(A2583="","",IFERROR(INDEX(Ввод!$B$12:$B$71,MATCH(A2583,Ввод!$D$12:$D$71,1)),""))</f>
        <v/>
      </c>
      <c r="C2583" t="str">
        <f t="shared" si="80"/>
        <v/>
      </c>
      <c r="D2583" t="str">
        <f>IF(A2583="","",SUMIFS(Акты!$D$5:$D$16,Акты!$E$5:$E$16,"&lt;="&amp;A2583)-SUMIFS(Оплаты!$B$6:$B$505,Оплаты!$A$6:$A$505,"&lt;"&amp;A2583,Оплаты!$D$6:$D$505,"&lt;&gt;"))</f>
        <v/>
      </c>
      <c r="E2583" t="str">
        <f>IF(A2583="","",IF(SUMPRODUCT((Ввод!$F$12:$F$31&lt;&gt;"")*(Ввод!$F$12:$F$31&lt;=A2583)*(Ввод!$G$12:$G$31&gt;=A2583))&gt;0,1,0))</f>
        <v/>
      </c>
      <c r="G2583" t="str">
        <f t="shared" si="81"/>
        <v/>
      </c>
    </row>
    <row r="2584" spans="1:7" x14ac:dyDescent="0.3">
      <c r="A2584" s="21" t="str">
        <f>IF(A2583="","",IF(A2583+1&gt;Ввод!$B$4,"",A2583+1))</f>
        <v/>
      </c>
      <c r="B2584" s="23" t="str">
        <f>IF(A2584="","",IFERROR(INDEX(Ввод!$B$12:$B$71,MATCH(A2584,Ввод!$D$12:$D$71,1)),""))</f>
        <v/>
      </c>
      <c r="C2584" t="str">
        <f t="shared" si="80"/>
        <v/>
      </c>
      <c r="D2584" t="str">
        <f>IF(A2584="","",SUMIFS(Акты!$D$5:$D$16,Акты!$E$5:$E$16,"&lt;="&amp;A2584)-SUMIFS(Оплаты!$B$6:$B$505,Оплаты!$A$6:$A$505,"&lt;"&amp;A2584,Оплаты!$D$6:$D$505,"&lt;&gt;"))</f>
        <v/>
      </c>
      <c r="E2584" t="str">
        <f>IF(A2584="","",IF(SUMPRODUCT((Ввод!$F$12:$F$31&lt;&gt;"")*(Ввод!$F$12:$F$31&lt;=A2584)*(Ввод!$G$12:$G$31&gt;=A2584))&gt;0,1,0))</f>
        <v/>
      </c>
      <c r="G2584" t="str">
        <f t="shared" si="81"/>
        <v/>
      </c>
    </row>
    <row r="2585" spans="1:7" x14ac:dyDescent="0.3">
      <c r="A2585" s="21" t="str">
        <f>IF(A2584="","",IF(A2584+1&gt;Ввод!$B$4,"",A2584+1))</f>
        <v/>
      </c>
      <c r="B2585" s="23" t="str">
        <f>IF(A2585="","",IFERROR(INDEX(Ввод!$B$12:$B$71,MATCH(A2585,Ввод!$D$12:$D$71,1)),""))</f>
        <v/>
      </c>
      <c r="C2585" t="str">
        <f t="shared" si="80"/>
        <v/>
      </c>
      <c r="D2585" t="str">
        <f>IF(A2585="","",SUMIFS(Акты!$D$5:$D$16,Акты!$E$5:$E$16,"&lt;="&amp;A2585)-SUMIFS(Оплаты!$B$6:$B$505,Оплаты!$A$6:$A$505,"&lt;"&amp;A2585,Оплаты!$D$6:$D$505,"&lt;&gt;"))</f>
        <v/>
      </c>
      <c r="E2585" t="str">
        <f>IF(A2585="","",IF(SUMPRODUCT((Ввод!$F$12:$F$31&lt;&gt;"")*(Ввод!$F$12:$F$31&lt;=A2585)*(Ввод!$G$12:$G$31&gt;=A2585))&gt;0,1,0))</f>
        <v/>
      </c>
      <c r="G2585" t="str">
        <f t="shared" si="81"/>
        <v/>
      </c>
    </row>
    <row r="2586" spans="1:7" x14ac:dyDescent="0.3">
      <c r="A2586" s="21" t="str">
        <f>IF(A2585="","",IF(A2585+1&gt;Ввод!$B$4,"",A2585+1))</f>
        <v/>
      </c>
      <c r="B2586" s="23" t="str">
        <f>IF(A2586="","",IFERROR(INDEX(Ввод!$B$12:$B$71,MATCH(A2586,Ввод!$D$12:$D$71,1)),""))</f>
        <v/>
      </c>
      <c r="C2586" t="str">
        <f t="shared" si="80"/>
        <v/>
      </c>
      <c r="D2586" t="str">
        <f>IF(A2586="","",SUMIFS(Акты!$D$5:$D$16,Акты!$E$5:$E$16,"&lt;="&amp;A2586)-SUMIFS(Оплаты!$B$6:$B$505,Оплаты!$A$6:$A$505,"&lt;"&amp;A2586,Оплаты!$D$6:$D$505,"&lt;&gt;"))</f>
        <v/>
      </c>
      <c r="E2586" t="str">
        <f>IF(A2586="","",IF(SUMPRODUCT((Ввод!$F$12:$F$31&lt;&gt;"")*(Ввод!$F$12:$F$31&lt;=A2586)*(Ввод!$G$12:$G$31&gt;=A2586))&gt;0,1,0))</f>
        <v/>
      </c>
      <c r="G2586" t="str">
        <f t="shared" si="81"/>
        <v/>
      </c>
    </row>
    <row r="2587" spans="1:7" x14ac:dyDescent="0.3">
      <c r="A2587" s="21" t="str">
        <f>IF(A2586="","",IF(A2586+1&gt;Ввод!$B$4,"",A2586+1))</f>
        <v/>
      </c>
      <c r="B2587" s="23" t="str">
        <f>IF(A2587="","",IFERROR(INDEX(Ввод!$B$12:$B$71,MATCH(A2587,Ввод!$D$12:$D$71,1)),""))</f>
        <v/>
      </c>
      <c r="C2587" t="str">
        <f t="shared" si="80"/>
        <v/>
      </c>
      <c r="D2587" t="str">
        <f>IF(A2587="","",SUMIFS(Акты!$D$5:$D$16,Акты!$E$5:$E$16,"&lt;="&amp;A2587)-SUMIFS(Оплаты!$B$6:$B$505,Оплаты!$A$6:$A$505,"&lt;"&amp;A2587,Оплаты!$D$6:$D$505,"&lt;&gt;"))</f>
        <v/>
      </c>
      <c r="E2587" t="str">
        <f>IF(A2587="","",IF(SUMPRODUCT((Ввод!$F$12:$F$31&lt;&gt;"")*(Ввод!$F$12:$F$31&lt;=A2587)*(Ввод!$G$12:$G$31&gt;=A2587))&gt;0,1,0))</f>
        <v/>
      </c>
      <c r="G2587" t="str">
        <f t="shared" si="81"/>
        <v/>
      </c>
    </row>
    <row r="2588" spans="1:7" x14ac:dyDescent="0.3">
      <c r="A2588" s="21" t="str">
        <f>IF(A2587="","",IF(A2587+1&gt;Ввод!$B$4,"",A2587+1))</f>
        <v/>
      </c>
      <c r="B2588" s="23" t="str">
        <f>IF(A2588="","",IFERROR(INDEX(Ввод!$B$12:$B$71,MATCH(A2588,Ввод!$D$12:$D$71,1)),""))</f>
        <v/>
      </c>
      <c r="C2588" t="str">
        <f t="shared" si="80"/>
        <v/>
      </c>
      <c r="D2588" t="str">
        <f>IF(A2588="","",SUMIFS(Акты!$D$5:$D$16,Акты!$E$5:$E$16,"&lt;="&amp;A2588)-SUMIFS(Оплаты!$B$6:$B$505,Оплаты!$A$6:$A$505,"&lt;"&amp;A2588,Оплаты!$D$6:$D$505,"&lt;&gt;"))</f>
        <v/>
      </c>
      <c r="E2588" t="str">
        <f>IF(A2588="","",IF(SUMPRODUCT((Ввод!$F$12:$F$31&lt;&gt;"")*(Ввод!$F$12:$F$31&lt;=A2588)*(Ввод!$G$12:$G$31&gt;=A2588))&gt;0,1,0))</f>
        <v/>
      </c>
      <c r="G2588" t="str">
        <f t="shared" si="81"/>
        <v/>
      </c>
    </row>
    <row r="2589" spans="1:7" x14ac:dyDescent="0.3">
      <c r="A2589" s="21" t="str">
        <f>IF(A2588="","",IF(A2588+1&gt;Ввод!$B$4,"",A2588+1))</f>
        <v/>
      </c>
      <c r="B2589" s="23" t="str">
        <f>IF(A2589="","",IFERROR(INDEX(Ввод!$B$12:$B$71,MATCH(A2589,Ввод!$D$12:$D$71,1)),""))</f>
        <v/>
      </c>
      <c r="C2589" t="str">
        <f t="shared" si="80"/>
        <v/>
      </c>
      <c r="D2589" t="str">
        <f>IF(A2589="","",SUMIFS(Акты!$D$5:$D$16,Акты!$E$5:$E$16,"&lt;="&amp;A2589)-SUMIFS(Оплаты!$B$6:$B$505,Оплаты!$A$6:$A$505,"&lt;"&amp;A2589,Оплаты!$D$6:$D$505,"&lt;&gt;"))</f>
        <v/>
      </c>
      <c r="E2589" t="str">
        <f>IF(A2589="","",IF(SUMPRODUCT((Ввод!$F$12:$F$31&lt;&gt;"")*(Ввод!$F$12:$F$31&lt;=A2589)*(Ввод!$G$12:$G$31&gt;=A2589))&gt;0,1,0))</f>
        <v/>
      </c>
      <c r="G2589" t="str">
        <f t="shared" si="81"/>
        <v/>
      </c>
    </row>
    <row r="2590" spans="1:7" x14ac:dyDescent="0.3">
      <c r="A2590" s="21" t="str">
        <f>IF(A2589="","",IF(A2589+1&gt;Ввод!$B$4,"",A2589+1))</f>
        <v/>
      </c>
      <c r="B2590" s="23" t="str">
        <f>IF(A2590="","",IFERROR(INDEX(Ввод!$B$12:$B$71,MATCH(A2590,Ввод!$D$12:$D$71,1)),""))</f>
        <v/>
      </c>
      <c r="C2590" t="str">
        <f t="shared" si="80"/>
        <v/>
      </c>
      <c r="D2590" t="str">
        <f>IF(A2590="","",SUMIFS(Акты!$D$5:$D$16,Акты!$E$5:$E$16,"&lt;="&amp;A2590)-SUMIFS(Оплаты!$B$6:$B$505,Оплаты!$A$6:$A$505,"&lt;"&amp;A2590,Оплаты!$D$6:$D$505,"&lt;&gt;"))</f>
        <v/>
      </c>
      <c r="E2590" t="str">
        <f>IF(A2590="","",IF(SUMPRODUCT((Ввод!$F$12:$F$31&lt;&gt;"")*(Ввод!$F$12:$F$31&lt;=A2590)*(Ввод!$G$12:$G$31&gt;=A2590))&gt;0,1,0))</f>
        <v/>
      </c>
      <c r="G2590" t="str">
        <f t="shared" si="81"/>
        <v/>
      </c>
    </row>
    <row r="2591" spans="1:7" x14ac:dyDescent="0.3">
      <c r="A2591" s="21" t="str">
        <f>IF(A2590="","",IF(A2590+1&gt;Ввод!$B$4,"",A2590+1))</f>
        <v/>
      </c>
      <c r="B2591" s="23" t="str">
        <f>IF(A2591="","",IFERROR(INDEX(Ввод!$B$12:$B$71,MATCH(A2591,Ввод!$D$12:$D$71,1)),""))</f>
        <v/>
      </c>
      <c r="C2591" t="str">
        <f t="shared" si="80"/>
        <v/>
      </c>
      <c r="D2591" t="str">
        <f>IF(A2591="","",SUMIFS(Акты!$D$5:$D$16,Акты!$E$5:$E$16,"&lt;="&amp;A2591)-SUMIFS(Оплаты!$B$6:$B$505,Оплаты!$A$6:$A$505,"&lt;"&amp;A2591,Оплаты!$D$6:$D$505,"&lt;&gt;"))</f>
        <v/>
      </c>
      <c r="E2591" t="str">
        <f>IF(A2591="","",IF(SUMPRODUCT((Ввод!$F$12:$F$31&lt;&gt;"")*(Ввод!$F$12:$F$31&lt;=A2591)*(Ввод!$G$12:$G$31&gt;=A2591))&gt;0,1,0))</f>
        <v/>
      </c>
      <c r="G2591" t="str">
        <f t="shared" si="81"/>
        <v/>
      </c>
    </row>
    <row r="2592" spans="1:7" x14ac:dyDescent="0.3">
      <c r="A2592" s="21" t="str">
        <f>IF(A2591="","",IF(A2591+1&gt;Ввод!$B$4,"",A2591+1))</f>
        <v/>
      </c>
      <c r="B2592" s="23" t="str">
        <f>IF(A2592="","",IFERROR(INDEX(Ввод!$B$12:$B$71,MATCH(A2592,Ввод!$D$12:$D$71,1)),""))</f>
        <v/>
      </c>
      <c r="C2592" t="str">
        <f t="shared" si="80"/>
        <v/>
      </c>
      <c r="D2592" t="str">
        <f>IF(A2592="","",SUMIFS(Акты!$D$5:$D$16,Акты!$E$5:$E$16,"&lt;="&amp;A2592)-SUMIFS(Оплаты!$B$6:$B$505,Оплаты!$A$6:$A$505,"&lt;"&amp;A2592,Оплаты!$D$6:$D$505,"&lt;&gt;"))</f>
        <v/>
      </c>
      <c r="E2592" t="str">
        <f>IF(A2592="","",IF(SUMPRODUCT((Ввод!$F$12:$F$31&lt;&gt;"")*(Ввод!$F$12:$F$31&lt;=A2592)*(Ввод!$G$12:$G$31&gt;=A2592))&gt;0,1,0))</f>
        <v/>
      </c>
      <c r="G2592" t="str">
        <f t="shared" si="81"/>
        <v/>
      </c>
    </row>
    <row r="2593" spans="1:7" x14ac:dyDescent="0.3">
      <c r="A2593" s="21" t="str">
        <f>IF(A2592="","",IF(A2592+1&gt;Ввод!$B$4,"",A2592+1))</f>
        <v/>
      </c>
      <c r="B2593" s="23" t="str">
        <f>IF(A2593="","",IFERROR(INDEX(Ввод!$B$12:$B$71,MATCH(A2593,Ввод!$D$12:$D$71,1)),""))</f>
        <v/>
      </c>
      <c r="C2593" t="str">
        <f t="shared" si="80"/>
        <v/>
      </c>
      <c r="D2593" t="str">
        <f>IF(A2593="","",SUMIFS(Акты!$D$5:$D$16,Акты!$E$5:$E$16,"&lt;="&amp;A2593)-SUMIFS(Оплаты!$B$6:$B$505,Оплаты!$A$6:$A$505,"&lt;"&amp;A2593,Оплаты!$D$6:$D$505,"&lt;&gt;"))</f>
        <v/>
      </c>
      <c r="E2593" t="str">
        <f>IF(A2593="","",IF(SUMPRODUCT((Ввод!$F$12:$F$31&lt;&gt;"")*(Ввод!$F$12:$F$31&lt;=A2593)*(Ввод!$G$12:$G$31&gt;=A2593))&gt;0,1,0))</f>
        <v/>
      </c>
      <c r="G2593" t="str">
        <f t="shared" si="81"/>
        <v/>
      </c>
    </row>
    <row r="2594" spans="1:7" x14ac:dyDescent="0.3">
      <c r="A2594" s="21" t="str">
        <f>IF(A2593="","",IF(A2593+1&gt;Ввод!$B$4,"",A2593+1))</f>
        <v/>
      </c>
      <c r="B2594" s="23" t="str">
        <f>IF(A2594="","",IFERROR(INDEX(Ввод!$B$12:$B$71,MATCH(A2594,Ввод!$D$12:$D$71,1)),""))</f>
        <v/>
      </c>
      <c r="C2594" t="str">
        <f t="shared" si="80"/>
        <v/>
      </c>
      <c r="D2594" t="str">
        <f>IF(A2594="","",SUMIFS(Акты!$D$5:$D$16,Акты!$E$5:$E$16,"&lt;="&amp;A2594)-SUMIFS(Оплаты!$B$6:$B$505,Оплаты!$A$6:$A$505,"&lt;"&amp;A2594,Оплаты!$D$6:$D$505,"&lt;&gt;"))</f>
        <v/>
      </c>
      <c r="E2594" t="str">
        <f>IF(A2594="","",IF(SUMPRODUCT((Ввод!$F$12:$F$31&lt;&gt;"")*(Ввод!$F$12:$F$31&lt;=A2594)*(Ввод!$G$12:$G$31&gt;=A2594))&gt;0,1,0))</f>
        <v/>
      </c>
      <c r="G2594" t="str">
        <f t="shared" si="81"/>
        <v/>
      </c>
    </row>
    <row r="2595" spans="1:7" x14ac:dyDescent="0.3">
      <c r="A2595" s="21" t="str">
        <f>IF(A2594="","",IF(A2594+1&gt;Ввод!$B$4,"",A2594+1))</f>
        <v/>
      </c>
      <c r="B2595" s="23" t="str">
        <f>IF(A2595="","",IFERROR(INDEX(Ввод!$B$12:$B$71,MATCH(A2595,Ввод!$D$12:$D$71,1)),""))</f>
        <v/>
      </c>
      <c r="C2595" t="str">
        <f t="shared" si="80"/>
        <v/>
      </c>
      <c r="D2595" t="str">
        <f>IF(A2595="","",SUMIFS(Акты!$D$5:$D$16,Акты!$E$5:$E$16,"&lt;="&amp;A2595)-SUMIFS(Оплаты!$B$6:$B$505,Оплаты!$A$6:$A$505,"&lt;"&amp;A2595,Оплаты!$D$6:$D$505,"&lt;&gt;"))</f>
        <v/>
      </c>
      <c r="E2595" t="str">
        <f>IF(A2595="","",IF(SUMPRODUCT((Ввод!$F$12:$F$31&lt;&gt;"")*(Ввод!$F$12:$F$31&lt;=A2595)*(Ввод!$G$12:$G$31&gt;=A2595))&gt;0,1,0))</f>
        <v/>
      </c>
      <c r="G2595" t="str">
        <f t="shared" si="81"/>
        <v/>
      </c>
    </row>
    <row r="2596" spans="1:7" x14ac:dyDescent="0.3">
      <c r="A2596" s="21" t="str">
        <f>IF(A2595="","",IF(A2595+1&gt;Ввод!$B$4,"",A2595+1))</f>
        <v/>
      </c>
      <c r="B2596" s="23" t="str">
        <f>IF(A2596="","",IFERROR(INDEX(Ввод!$B$12:$B$71,MATCH(A2596,Ввод!$D$12:$D$71,1)),""))</f>
        <v/>
      </c>
      <c r="C2596" t="str">
        <f t="shared" si="80"/>
        <v/>
      </c>
      <c r="D2596" t="str">
        <f>IF(A2596="","",SUMIFS(Акты!$D$5:$D$16,Акты!$E$5:$E$16,"&lt;="&amp;A2596)-SUMIFS(Оплаты!$B$6:$B$505,Оплаты!$A$6:$A$505,"&lt;"&amp;A2596,Оплаты!$D$6:$D$505,"&lt;&gt;"))</f>
        <v/>
      </c>
      <c r="E2596" t="str">
        <f>IF(A2596="","",IF(SUMPRODUCT((Ввод!$F$12:$F$31&lt;&gt;"")*(Ввод!$F$12:$F$31&lt;=A2596)*(Ввод!$G$12:$G$31&gt;=A2596))&gt;0,1,0))</f>
        <v/>
      </c>
      <c r="G2596" t="str">
        <f t="shared" si="81"/>
        <v/>
      </c>
    </row>
    <row r="2597" spans="1:7" x14ac:dyDescent="0.3">
      <c r="A2597" s="21" t="str">
        <f>IF(A2596="","",IF(A2596+1&gt;Ввод!$B$4,"",A2596+1))</f>
        <v/>
      </c>
      <c r="B2597" s="23" t="str">
        <f>IF(A2597="","",IFERROR(INDEX(Ввод!$B$12:$B$71,MATCH(A2597,Ввод!$D$12:$D$71,1)),""))</f>
        <v/>
      </c>
      <c r="C2597" t="str">
        <f t="shared" si="80"/>
        <v/>
      </c>
      <c r="D2597" t="str">
        <f>IF(A2597="","",SUMIFS(Акты!$D$5:$D$16,Акты!$E$5:$E$16,"&lt;="&amp;A2597)-SUMIFS(Оплаты!$B$6:$B$505,Оплаты!$A$6:$A$505,"&lt;"&amp;A2597,Оплаты!$D$6:$D$505,"&lt;&gt;"))</f>
        <v/>
      </c>
      <c r="E2597" t="str">
        <f>IF(A2597="","",IF(SUMPRODUCT((Ввод!$F$12:$F$31&lt;&gt;"")*(Ввод!$F$12:$F$31&lt;=A2597)*(Ввод!$G$12:$G$31&gt;=A2597))&gt;0,1,0))</f>
        <v/>
      </c>
      <c r="G2597" t="str">
        <f t="shared" si="81"/>
        <v/>
      </c>
    </row>
    <row r="2598" spans="1:7" x14ac:dyDescent="0.3">
      <c r="A2598" s="21" t="str">
        <f>IF(A2597="","",IF(A2597+1&gt;Ввод!$B$4,"",A2597+1))</f>
        <v/>
      </c>
      <c r="B2598" s="23" t="str">
        <f>IF(A2598="","",IFERROR(INDEX(Ввод!$B$12:$B$71,MATCH(A2598,Ввод!$D$12:$D$71,1)),""))</f>
        <v/>
      </c>
      <c r="C2598" t="str">
        <f t="shared" si="80"/>
        <v/>
      </c>
      <c r="D2598" t="str">
        <f>IF(A2598="","",SUMIFS(Акты!$D$5:$D$16,Акты!$E$5:$E$16,"&lt;="&amp;A2598)-SUMIFS(Оплаты!$B$6:$B$505,Оплаты!$A$6:$A$505,"&lt;"&amp;A2598,Оплаты!$D$6:$D$505,"&lt;&gt;"))</f>
        <v/>
      </c>
      <c r="E2598" t="str">
        <f>IF(A2598="","",IF(SUMPRODUCT((Ввод!$F$12:$F$31&lt;&gt;"")*(Ввод!$F$12:$F$31&lt;=A2598)*(Ввод!$G$12:$G$31&gt;=A2598))&gt;0,1,0))</f>
        <v/>
      </c>
      <c r="G2598" t="str">
        <f t="shared" si="81"/>
        <v/>
      </c>
    </row>
    <row r="2599" spans="1:7" x14ac:dyDescent="0.3">
      <c r="A2599" s="21" t="str">
        <f>IF(A2598="","",IF(A2598+1&gt;Ввод!$B$4,"",A2598+1))</f>
        <v/>
      </c>
      <c r="B2599" s="23" t="str">
        <f>IF(A2599="","",IFERROR(INDEX(Ввод!$B$12:$B$71,MATCH(A2599,Ввод!$D$12:$D$71,1)),""))</f>
        <v/>
      </c>
      <c r="C2599" t="str">
        <f t="shared" si="80"/>
        <v/>
      </c>
      <c r="D2599" t="str">
        <f>IF(A2599="","",SUMIFS(Акты!$D$5:$D$16,Акты!$E$5:$E$16,"&lt;="&amp;A2599)-SUMIFS(Оплаты!$B$6:$B$505,Оплаты!$A$6:$A$505,"&lt;"&amp;A2599,Оплаты!$D$6:$D$505,"&lt;&gt;"))</f>
        <v/>
      </c>
      <c r="E2599" t="str">
        <f>IF(A2599="","",IF(SUMPRODUCT((Ввод!$F$12:$F$31&lt;&gt;"")*(Ввод!$F$12:$F$31&lt;=A2599)*(Ввод!$G$12:$G$31&gt;=A2599))&gt;0,1,0))</f>
        <v/>
      </c>
      <c r="G2599" t="str">
        <f t="shared" si="81"/>
        <v/>
      </c>
    </row>
    <row r="2600" spans="1:7" x14ac:dyDescent="0.3">
      <c r="A2600" s="21" t="str">
        <f>IF(A2599="","",IF(A2599+1&gt;Ввод!$B$4,"",A2599+1))</f>
        <v/>
      </c>
      <c r="B2600" s="23" t="str">
        <f>IF(A2600="","",IFERROR(INDEX(Ввод!$B$12:$B$71,MATCH(A2600,Ввод!$D$12:$D$71,1)),""))</f>
        <v/>
      </c>
      <c r="C2600" t="str">
        <f t="shared" si="80"/>
        <v/>
      </c>
      <c r="D2600" t="str">
        <f>IF(A2600="","",SUMIFS(Акты!$D$5:$D$16,Акты!$E$5:$E$16,"&lt;="&amp;A2600)-SUMIFS(Оплаты!$B$6:$B$505,Оплаты!$A$6:$A$505,"&lt;"&amp;A2600,Оплаты!$D$6:$D$505,"&lt;&gt;"))</f>
        <v/>
      </c>
      <c r="E2600" t="str">
        <f>IF(A2600="","",IF(SUMPRODUCT((Ввод!$F$12:$F$31&lt;&gt;"")*(Ввод!$F$12:$F$31&lt;=A2600)*(Ввод!$G$12:$G$31&gt;=A2600))&gt;0,1,0))</f>
        <v/>
      </c>
      <c r="G2600" t="str">
        <f t="shared" si="81"/>
        <v/>
      </c>
    </row>
    <row r="2601" spans="1:7" x14ac:dyDescent="0.3">
      <c r="A2601" s="21" t="str">
        <f>IF(A2600="","",IF(A2600+1&gt;Ввод!$B$4,"",A2600+1))</f>
        <v/>
      </c>
      <c r="B2601" s="23" t="str">
        <f>IF(A2601="","",IFERROR(INDEX(Ввод!$B$12:$B$71,MATCH(A2601,Ввод!$D$12:$D$71,1)),""))</f>
        <v/>
      </c>
      <c r="C2601" t="str">
        <f t="shared" si="80"/>
        <v/>
      </c>
      <c r="D2601" t="str">
        <f>IF(A2601="","",SUMIFS(Акты!$D$5:$D$16,Акты!$E$5:$E$16,"&lt;="&amp;A2601)-SUMIFS(Оплаты!$B$6:$B$505,Оплаты!$A$6:$A$505,"&lt;"&amp;A2601,Оплаты!$D$6:$D$505,"&lt;&gt;"))</f>
        <v/>
      </c>
      <c r="E2601" t="str">
        <f>IF(A2601="","",IF(SUMPRODUCT((Ввод!$F$12:$F$31&lt;&gt;"")*(Ввод!$F$12:$F$31&lt;=A2601)*(Ввод!$G$12:$G$31&gt;=A2601))&gt;0,1,0))</f>
        <v/>
      </c>
      <c r="G2601" t="str">
        <f t="shared" si="81"/>
        <v/>
      </c>
    </row>
    <row r="2602" spans="1:7" x14ac:dyDescent="0.3">
      <c r="A2602" s="21" t="str">
        <f>IF(A2601="","",IF(A2601+1&gt;Ввод!$B$4,"",A2601+1))</f>
        <v/>
      </c>
      <c r="B2602" s="23" t="str">
        <f>IF(A2602="","",IFERROR(INDEX(Ввод!$B$12:$B$71,MATCH(A2602,Ввод!$D$12:$D$71,1)),""))</f>
        <v/>
      </c>
      <c r="C2602" t="str">
        <f t="shared" si="80"/>
        <v/>
      </c>
      <c r="D2602" t="str">
        <f>IF(A2602="","",SUMIFS(Акты!$D$5:$D$16,Акты!$E$5:$E$16,"&lt;="&amp;A2602)-SUMIFS(Оплаты!$B$6:$B$505,Оплаты!$A$6:$A$505,"&lt;"&amp;A2602,Оплаты!$D$6:$D$505,"&lt;&gt;"))</f>
        <v/>
      </c>
      <c r="E2602" t="str">
        <f>IF(A2602="","",IF(SUMPRODUCT((Ввод!$F$12:$F$31&lt;&gt;"")*(Ввод!$F$12:$F$31&lt;=A2602)*(Ввод!$G$12:$G$31&gt;=A2602))&gt;0,1,0))</f>
        <v/>
      </c>
      <c r="G2602" t="str">
        <f t="shared" si="81"/>
        <v/>
      </c>
    </row>
    <row r="2603" spans="1:7" x14ac:dyDescent="0.3">
      <c r="A2603" s="21" t="str">
        <f>IF(A2602="","",IF(A2602+1&gt;Ввод!$B$4,"",A2602+1))</f>
        <v/>
      </c>
      <c r="B2603" s="23" t="str">
        <f>IF(A2603="","",IFERROR(INDEX(Ввод!$B$12:$B$71,MATCH(A2603,Ввод!$D$12:$D$71,1)),""))</f>
        <v/>
      </c>
      <c r="C2603" t="str">
        <f t="shared" si="80"/>
        <v/>
      </c>
      <c r="D2603" t="str">
        <f>IF(A2603="","",SUMIFS(Акты!$D$5:$D$16,Акты!$E$5:$E$16,"&lt;="&amp;A2603)-SUMIFS(Оплаты!$B$6:$B$505,Оплаты!$A$6:$A$505,"&lt;"&amp;A2603,Оплаты!$D$6:$D$505,"&lt;&gt;"))</f>
        <v/>
      </c>
      <c r="E2603" t="str">
        <f>IF(A2603="","",IF(SUMPRODUCT((Ввод!$F$12:$F$31&lt;&gt;"")*(Ввод!$F$12:$F$31&lt;=A2603)*(Ввод!$G$12:$G$31&gt;=A2603))&gt;0,1,0))</f>
        <v/>
      </c>
      <c r="G2603" t="str">
        <f t="shared" si="81"/>
        <v/>
      </c>
    </row>
    <row r="2604" spans="1:7" x14ac:dyDescent="0.3">
      <c r="A2604" s="21" t="str">
        <f>IF(A2603="","",IF(A2603+1&gt;Ввод!$B$4,"",A2603+1))</f>
        <v/>
      </c>
      <c r="B2604" s="23" t="str">
        <f>IF(A2604="","",IFERROR(INDEX(Ввод!$B$12:$B$71,MATCH(A2604,Ввод!$D$12:$D$71,1)),""))</f>
        <v/>
      </c>
      <c r="C2604" t="str">
        <f t="shared" si="80"/>
        <v/>
      </c>
      <c r="D2604" t="str">
        <f>IF(A2604="","",SUMIFS(Акты!$D$5:$D$16,Акты!$E$5:$E$16,"&lt;="&amp;A2604)-SUMIFS(Оплаты!$B$6:$B$505,Оплаты!$A$6:$A$505,"&lt;"&amp;A2604,Оплаты!$D$6:$D$505,"&lt;&gt;"))</f>
        <v/>
      </c>
      <c r="E2604" t="str">
        <f>IF(A2604="","",IF(SUMPRODUCT((Ввод!$F$12:$F$31&lt;&gt;"")*(Ввод!$F$12:$F$31&lt;=A2604)*(Ввод!$G$12:$G$31&gt;=A2604))&gt;0,1,0))</f>
        <v/>
      </c>
      <c r="G2604" t="str">
        <f t="shared" si="81"/>
        <v/>
      </c>
    </row>
    <row r="2605" spans="1:7" x14ac:dyDescent="0.3">
      <c r="A2605" s="21" t="str">
        <f>IF(A2604="","",IF(A2604+1&gt;Ввод!$B$4,"",A2604+1))</f>
        <v/>
      </c>
      <c r="B2605" s="23" t="str">
        <f>IF(A2605="","",IFERROR(INDEX(Ввод!$B$12:$B$71,MATCH(A2605,Ввод!$D$12:$D$71,1)),""))</f>
        <v/>
      </c>
      <c r="C2605" t="str">
        <f t="shared" si="80"/>
        <v/>
      </c>
      <c r="D2605" t="str">
        <f>IF(A2605="","",SUMIFS(Акты!$D$5:$D$16,Акты!$E$5:$E$16,"&lt;="&amp;A2605)-SUMIFS(Оплаты!$B$6:$B$505,Оплаты!$A$6:$A$505,"&lt;"&amp;A2605,Оплаты!$D$6:$D$505,"&lt;&gt;"))</f>
        <v/>
      </c>
      <c r="E2605" t="str">
        <f>IF(A2605="","",IF(SUMPRODUCT((Ввод!$F$12:$F$31&lt;&gt;"")*(Ввод!$F$12:$F$31&lt;=A2605)*(Ввод!$G$12:$G$31&gt;=A2605))&gt;0,1,0))</f>
        <v/>
      </c>
      <c r="G2605" t="str">
        <f t="shared" si="81"/>
        <v/>
      </c>
    </row>
    <row r="2606" spans="1:7" x14ac:dyDescent="0.3">
      <c r="A2606" s="21" t="str">
        <f>IF(A2605="","",IF(A2605+1&gt;Ввод!$B$4,"",A2605+1))</f>
        <v/>
      </c>
      <c r="B2606" s="23" t="str">
        <f>IF(A2606="","",IFERROR(INDEX(Ввод!$B$12:$B$71,MATCH(A2606,Ввод!$D$12:$D$71,1)),""))</f>
        <v/>
      </c>
      <c r="C2606" t="str">
        <f t="shared" si="80"/>
        <v/>
      </c>
      <c r="D2606" t="str">
        <f>IF(A2606="","",SUMIFS(Акты!$D$5:$D$16,Акты!$E$5:$E$16,"&lt;="&amp;A2606)-SUMIFS(Оплаты!$B$6:$B$505,Оплаты!$A$6:$A$505,"&lt;"&amp;A2606,Оплаты!$D$6:$D$505,"&lt;&gt;"))</f>
        <v/>
      </c>
      <c r="E2606" t="str">
        <f>IF(A2606="","",IF(SUMPRODUCT((Ввод!$F$12:$F$31&lt;&gt;"")*(Ввод!$F$12:$F$31&lt;=A2606)*(Ввод!$G$12:$G$31&gt;=A2606))&gt;0,1,0))</f>
        <v/>
      </c>
      <c r="G2606" t="str">
        <f t="shared" si="81"/>
        <v/>
      </c>
    </row>
    <row r="2607" spans="1:7" x14ac:dyDescent="0.3">
      <c r="A2607" s="21" t="str">
        <f>IF(A2606="","",IF(A2606+1&gt;Ввод!$B$4,"",A2606+1))</f>
        <v/>
      </c>
      <c r="B2607" s="23" t="str">
        <f>IF(A2607="","",IFERROR(INDEX(Ввод!$B$12:$B$71,MATCH(A2607,Ввод!$D$12:$D$71,1)),""))</f>
        <v/>
      </c>
      <c r="C2607" t="str">
        <f t="shared" si="80"/>
        <v/>
      </c>
      <c r="D2607" t="str">
        <f>IF(A2607="","",SUMIFS(Акты!$D$5:$D$16,Акты!$E$5:$E$16,"&lt;="&amp;A2607)-SUMIFS(Оплаты!$B$6:$B$505,Оплаты!$A$6:$A$505,"&lt;"&amp;A2607,Оплаты!$D$6:$D$505,"&lt;&gt;"))</f>
        <v/>
      </c>
      <c r="E2607" t="str">
        <f>IF(A2607="","",IF(SUMPRODUCT((Ввод!$F$12:$F$31&lt;&gt;"")*(Ввод!$F$12:$F$31&lt;=A2607)*(Ввод!$G$12:$G$31&gt;=A2607))&gt;0,1,0))</f>
        <v/>
      </c>
      <c r="G2607" t="str">
        <f t="shared" si="81"/>
        <v/>
      </c>
    </row>
    <row r="2608" spans="1:7" x14ac:dyDescent="0.3">
      <c r="A2608" s="21" t="str">
        <f>IF(A2607="","",IF(A2607+1&gt;Ввод!$B$4,"",A2607+1))</f>
        <v/>
      </c>
      <c r="B2608" s="23" t="str">
        <f>IF(A2608="","",IFERROR(INDEX(Ввод!$B$12:$B$71,MATCH(A2608,Ввод!$D$12:$D$71,1)),""))</f>
        <v/>
      </c>
      <c r="C2608" t="str">
        <f t="shared" si="80"/>
        <v/>
      </c>
      <c r="D2608" t="str">
        <f>IF(A2608="","",SUMIFS(Акты!$D$5:$D$16,Акты!$E$5:$E$16,"&lt;="&amp;A2608)-SUMIFS(Оплаты!$B$6:$B$505,Оплаты!$A$6:$A$505,"&lt;"&amp;A2608,Оплаты!$D$6:$D$505,"&lt;&gt;"))</f>
        <v/>
      </c>
      <c r="E2608" t="str">
        <f>IF(A2608="","",IF(SUMPRODUCT((Ввод!$F$12:$F$31&lt;&gt;"")*(Ввод!$F$12:$F$31&lt;=A2608)*(Ввод!$G$12:$G$31&gt;=A2608))&gt;0,1,0))</f>
        <v/>
      </c>
      <c r="G2608" t="str">
        <f t="shared" si="81"/>
        <v/>
      </c>
    </row>
    <row r="2609" spans="1:7" x14ac:dyDescent="0.3">
      <c r="A2609" s="21" t="str">
        <f>IF(A2608="","",IF(A2608+1&gt;Ввод!$B$4,"",A2608+1))</f>
        <v/>
      </c>
      <c r="B2609" s="23" t="str">
        <f>IF(A2609="","",IFERROR(INDEX(Ввод!$B$12:$B$71,MATCH(A2609,Ввод!$D$12:$D$71,1)),""))</f>
        <v/>
      </c>
      <c r="C2609" t="str">
        <f t="shared" si="80"/>
        <v/>
      </c>
      <c r="D2609" t="str">
        <f>IF(A2609="","",SUMIFS(Акты!$D$5:$D$16,Акты!$E$5:$E$16,"&lt;="&amp;A2609)-SUMIFS(Оплаты!$B$6:$B$505,Оплаты!$A$6:$A$505,"&lt;"&amp;A2609,Оплаты!$D$6:$D$505,"&lt;&gt;"))</f>
        <v/>
      </c>
      <c r="E2609" t="str">
        <f>IF(A2609="","",IF(SUMPRODUCT((Ввод!$F$12:$F$31&lt;&gt;"")*(Ввод!$F$12:$F$31&lt;=A2609)*(Ввод!$G$12:$G$31&gt;=A2609))&gt;0,1,0))</f>
        <v/>
      </c>
      <c r="G2609" t="str">
        <f t="shared" si="81"/>
        <v/>
      </c>
    </row>
    <row r="2610" spans="1:7" x14ac:dyDescent="0.3">
      <c r="A2610" s="21" t="str">
        <f>IF(A2609="","",IF(A2609+1&gt;Ввод!$B$4,"",A2609+1))</f>
        <v/>
      </c>
      <c r="B2610" s="23" t="str">
        <f>IF(A2610="","",IFERROR(INDEX(Ввод!$B$12:$B$71,MATCH(A2610,Ввод!$D$12:$D$71,1)),""))</f>
        <v/>
      </c>
      <c r="C2610" t="str">
        <f t="shared" si="80"/>
        <v/>
      </c>
      <c r="D2610" t="str">
        <f>IF(A2610="","",SUMIFS(Акты!$D$5:$D$16,Акты!$E$5:$E$16,"&lt;="&amp;A2610)-SUMIFS(Оплаты!$B$6:$B$505,Оплаты!$A$6:$A$505,"&lt;"&amp;A2610,Оплаты!$D$6:$D$505,"&lt;&gt;"))</f>
        <v/>
      </c>
      <c r="E2610" t="str">
        <f>IF(A2610="","",IF(SUMPRODUCT((Ввод!$F$12:$F$31&lt;&gt;"")*(Ввод!$F$12:$F$31&lt;=A2610)*(Ввод!$G$12:$G$31&gt;=A2610))&gt;0,1,0))</f>
        <v/>
      </c>
      <c r="G2610" t="str">
        <f t="shared" si="81"/>
        <v/>
      </c>
    </row>
    <row r="2611" spans="1:7" x14ac:dyDescent="0.3">
      <c r="A2611" s="21" t="str">
        <f>IF(A2610="","",IF(A2610+1&gt;Ввод!$B$4,"",A2610+1))</f>
        <v/>
      </c>
      <c r="B2611" s="23" t="str">
        <f>IF(A2611="","",IFERROR(INDEX(Ввод!$B$12:$B$71,MATCH(A2611,Ввод!$D$12:$D$71,1)),""))</f>
        <v/>
      </c>
      <c r="C2611" t="str">
        <f t="shared" si="80"/>
        <v/>
      </c>
      <c r="D2611" t="str">
        <f>IF(A2611="","",SUMIFS(Акты!$D$5:$D$16,Акты!$E$5:$E$16,"&lt;="&amp;A2611)-SUMIFS(Оплаты!$B$6:$B$505,Оплаты!$A$6:$A$505,"&lt;"&amp;A2611,Оплаты!$D$6:$D$505,"&lt;&gt;"))</f>
        <v/>
      </c>
      <c r="E2611" t="str">
        <f>IF(A2611="","",IF(SUMPRODUCT((Ввод!$F$12:$F$31&lt;&gt;"")*(Ввод!$F$12:$F$31&lt;=A2611)*(Ввод!$G$12:$G$31&gt;=A2611))&gt;0,1,0))</f>
        <v/>
      </c>
      <c r="G2611" t="str">
        <f t="shared" si="81"/>
        <v/>
      </c>
    </row>
    <row r="2612" spans="1:7" x14ac:dyDescent="0.3">
      <c r="A2612" s="21" t="str">
        <f>IF(A2611="","",IF(A2611+1&gt;Ввод!$B$4,"",A2611+1))</f>
        <v/>
      </c>
      <c r="B2612" s="23" t="str">
        <f>IF(A2612="","",IFERROR(INDEX(Ввод!$B$12:$B$71,MATCH(A2612,Ввод!$D$12:$D$71,1)),""))</f>
        <v/>
      </c>
      <c r="C2612" t="str">
        <f t="shared" si="80"/>
        <v/>
      </c>
      <c r="D2612" t="str">
        <f>IF(A2612="","",SUMIFS(Акты!$D$5:$D$16,Акты!$E$5:$E$16,"&lt;="&amp;A2612)-SUMIFS(Оплаты!$B$6:$B$505,Оплаты!$A$6:$A$505,"&lt;"&amp;A2612,Оплаты!$D$6:$D$505,"&lt;&gt;"))</f>
        <v/>
      </c>
      <c r="E2612" t="str">
        <f>IF(A2612="","",IF(SUMPRODUCT((Ввод!$F$12:$F$31&lt;&gt;"")*(Ввод!$F$12:$F$31&lt;=A2612)*(Ввод!$G$12:$G$31&gt;=A2612))&gt;0,1,0))</f>
        <v/>
      </c>
      <c r="G2612" t="str">
        <f t="shared" si="81"/>
        <v/>
      </c>
    </row>
    <row r="2613" spans="1:7" x14ac:dyDescent="0.3">
      <c r="A2613" s="21" t="str">
        <f>IF(A2612="","",IF(A2612+1&gt;Ввод!$B$4,"",A2612+1))</f>
        <v/>
      </c>
      <c r="B2613" s="23" t="str">
        <f>IF(A2613="","",IFERROR(INDEX(Ввод!$B$12:$B$71,MATCH(A2613,Ввод!$D$12:$D$71,1)),""))</f>
        <v/>
      </c>
      <c r="C2613" t="str">
        <f t="shared" si="80"/>
        <v/>
      </c>
      <c r="D2613" t="str">
        <f>IF(A2613="","",SUMIFS(Акты!$D$5:$D$16,Акты!$E$5:$E$16,"&lt;="&amp;A2613)-SUMIFS(Оплаты!$B$6:$B$505,Оплаты!$A$6:$A$505,"&lt;"&amp;A2613,Оплаты!$D$6:$D$505,"&lt;&gt;"))</f>
        <v/>
      </c>
      <c r="E2613" t="str">
        <f>IF(A2613="","",IF(SUMPRODUCT((Ввод!$F$12:$F$31&lt;&gt;"")*(Ввод!$F$12:$F$31&lt;=A2613)*(Ввод!$G$12:$G$31&gt;=A2613))&gt;0,1,0))</f>
        <v/>
      </c>
      <c r="G2613" t="str">
        <f t="shared" si="81"/>
        <v/>
      </c>
    </row>
    <row r="2614" spans="1:7" x14ac:dyDescent="0.3">
      <c r="A2614" s="21" t="str">
        <f>IF(A2613="","",IF(A2613+1&gt;Ввод!$B$4,"",A2613+1))</f>
        <v/>
      </c>
      <c r="B2614" s="23" t="str">
        <f>IF(A2614="","",IFERROR(INDEX(Ввод!$B$12:$B$71,MATCH(A2614,Ввод!$D$12:$D$71,1)),""))</f>
        <v/>
      </c>
      <c r="C2614" t="str">
        <f t="shared" si="80"/>
        <v/>
      </c>
      <c r="D2614" t="str">
        <f>IF(A2614="","",SUMIFS(Акты!$D$5:$D$16,Акты!$E$5:$E$16,"&lt;="&amp;A2614)-SUMIFS(Оплаты!$B$6:$B$505,Оплаты!$A$6:$A$505,"&lt;"&amp;A2614,Оплаты!$D$6:$D$505,"&lt;&gt;"))</f>
        <v/>
      </c>
      <c r="E2614" t="str">
        <f>IF(A2614="","",IF(SUMPRODUCT((Ввод!$F$12:$F$31&lt;&gt;"")*(Ввод!$F$12:$F$31&lt;=A2614)*(Ввод!$G$12:$G$31&gt;=A2614))&gt;0,1,0))</f>
        <v/>
      </c>
      <c r="G2614" t="str">
        <f t="shared" si="81"/>
        <v/>
      </c>
    </row>
    <row r="2615" spans="1:7" x14ac:dyDescent="0.3">
      <c r="A2615" s="21" t="str">
        <f>IF(A2614="","",IF(A2614+1&gt;Ввод!$B$4,"",A2614+1))</f>
        <v/>
      </c>
      <c r="B2615" s="23" t="str">
        <f>IF(A2615="","",IFERROR(INDEX(Ввод!$B$12:$B$71,MATCH(A2615,Ввод!$D$12:$D$71,1)),""))</f>
        <v/>
      </c>
      <c r="C2615" t="str">
        <f t="shared" si="80"/>
        <v/>
      </c>
      <c r="D2615" t="str">
        <f>IF(A2615="","",SUMIFS(Акты!$D$5:$D$16,Акты!$E$5:$E$16,"&lt;="&amp;A2615)-SUMIFS(Оплаты!$B$6:$B$505,Оплаты!$A$6:$A$505,"&lt;"&amp;A2615,Оплаты!$D$6:$D$505,"&lt;&gt;"))</f>
        <v/>
      </c>
      <c r="E2615" t="str">
        <f>IF(A2615="","",IF(SUMPRODUCT((Ввод!$F$12:$F$31&lt;&gt;"")*(Ввод!$F$12:$F$31&lt;=A2615)*(Ввод!$G$12:$G$31&gt;=A2615))&gt;0,1,0))</f>
        <v/>
      </c>
      <c r="G2615" t="str">
        <f t="shared" si="81"/>
        <v/>
      </c>
    </row>
    <row r="2616" spans="1:7" x14ac:dyDescent="0.3">
      <c r="A2616" s="21" t="str">
        <f>IF(A2615="","",IF(A2615+1&gt;Ввод!$B$4,"",A2615+1))</f>
        <v/>
      </c>
      <c r="B2616" s="23" t="str">
        <f>IF(A2616="","",IFERROR(INDEX(Ввод!$B$12:$B$71,MATCH(A2616,Ввод!$D$12:$D$71,1)),""))</f>
        <v/>
      </c>
      <c r="C2616" t="str">
        <f t="shared" si="80"/>
        <v/>
      </c>
      <c r="D2616" t="str">
        <f>IF(A2616="","",SUMIFS(Акты!$D$5:$D$16,Акты!$E$5:$E$16,"&lt;="&amp;A2616)-SUMIFS(Оплаты!$B$6:$B$505,Оплаты!$A$6:$A$505,"&lt;"&amp;A2616,Оплаты!$D$6:$D$505,"&lt;&gt;"))</f>
        <v/>
      </c>
      <c r="E2616" t="str">
        <f>IF(A2616="","",IF(SUMPRODUCT((Ввод!$F$12:$F$31&lt;&gt;"")*(Ввод!$F$12:$F$31&lt;=A2616)*(Ввод!$G$12:$G$31&gt;=A2616))&gt;0,1,0))</f>
        <v/>
      </c>
      <c r="G2616" t="str">
        <f t="shared" si="81"/>
        <v/>
      </c>
    </row>
    <row r="2617" spans="1:7" x14ac:dyDescent="0.3">
      <c r="A2617" s="21" t="str">
        <f>IF(A2616="","",IF(A2616+1&gt;Ввод!$B$4,"",A2616+1))</f>
        <v/>
      </c>
      <c r="B2617" s="23" t="str">
        <f>IF(A2617="","",IFERROR(INDEX(Ввод!$B$12:$B$71,MATCH(A2617,Ввод!$D$12:$D$71,1)),""))</f>
        <v/>
      </c>
      <c r="C2617" t="str">
        <f t="shared" si="80"/>
        <v/>
      </c>
      <c r="D2617" t="str">
        <f>IF(A2617="","",SUMIFS(Акты!$D$5:$D$16,Акты!$E$5:$E$16,"&lt;="&amp;A2617)-SUMIFS(Оплаты!$B$6:$B$505,Оплаты!$A$6:$A$505,"&lt;"&amp;A2617,Оплаты!$D$6:$D$505,"&lt;&gt;"))</f>
        <v/>
      </c>
      <c r="E2617" t="str">
        <f>IF(A2617="","",IF(SUMPRODUCT((Ввод!$F$12:$F$31&lt;&gt;"")*(Ввод!$F$12:$F$31&lt;=A2617)*(Ввод!$G$12:$G$31&gt;=A2617))&gt;0,1,0))</f>
        <v/>
      </c>
      <c r="G2617" t="str">
        <f t="shared" si="81"/>
        <v/>
      </c>
    </row>
    <row r="2618" spans="1:7" x14ac:dyDescent="0.3">
      <c r="A2618" s="21" t="str">
        <f>IF(A2617="","",IF(A2617+1&gt;Ввод!$B$4,"",A2617+1))</f>
        <v/>
      </c>
      <c r="B2618" s="23" t="str">
        <f>IF(A2618="","",IFERROR(INDEX(Ввод!$B$12:$B$71,MATCH(A2618,Ввод!$D$12:$D$71,1)),""))</f>
        <v/>
      </c>
      <c r="C2618" t="str">
        <f t="shared" si="80"/>
        <v/>
      </c>
      <c r="D2618" t="str">
        <f>IF(A2618="","",SUMIFS(Акты!$D$5:$D$16,Акты!$E$5:$E$16,"&lt;="&amp;A2618)-SUMIFS(Оплаты!$B$6:$B$505,Оплаты!$A$6:$A$505,"&lt;"&amp;A2618,Оплаты!$D$6:$D$505,"&lt;&gt;"))</f>
        <v/>
      </c>
      <c r="E2618" t="str">
        <f>IF(A2618="","",IF(SUMPRODUCT((Ввод!$F$12:$F$31&lt;&gt;"")*(Ввод!$F$12:$F$31&lt;=A2618)*(Ввод!$G$12:$G$31&gt;=A2618))&gt;0,1,0))</f>
        <v/>
      </c>
      <c r="G2618" t="str">
        <f t="shared" si="81"/>
        <v/>
      </c>
    </row>
    <row r="2619" spans="1:7" x14ac:dyDescent="0.3">
      <c r="A2619" s="21" t="str">
        <f>IF(A2618="","",IF(A2618+1&gt;Ввод!$B$4,"",A2618+1))</f>
        <v/>
      </c>
      <c r="B2619" s="23" t="str">
        <f>IF(A2619="","",IFERROR(INDEX(Ввод!$B$12:$B$71,MATCH(A2619,Ввод!$D$12:$D$71,1)),""))</f>
        <v/>
      </c>
      <c r="C2619" t="str">
        <f t="shared" si="80"/>
        <v/>
      </c>
      <c r="D2619" t="str">
        <f>IF(A2619="","",SUMIFS(Акты!$D$5:$D$16,Акты!$E$5:$E$16,"&lt;="&amp;A2619)-SUMIFS(Оплаты!$B$6:$B$505,Оплаты!$A$6:$A$505,"&lt;"&amp;A2619,Оплаты!$D$6:$D$505,"&lt;&gt;"))</f>
        <v/>
      </c>
      <c r="E2619" t="str">
        <f>IF(A2619="","",IF(SUMPRODUCT((Ввод!$F$12:$F$31&lt;&gt;"")*(Ввод!$F$12:$F$31&lt;=A2619)*(Ввод!$G$12:$G$31&gt;=A2619))&gt;0,1,0))</f>
        <v/>
      </c>
      <c r="G2619" t="str">
        <f t="shared" si="81"/>
        <v/>
      </c>
    </row>
    <row r="2620" spans="1:7" x14ac:dyDescent="0.3">
      <c r="A2620" s="21" t="str">
        <f>IF(A2619="","",IF(A2619+1&gt;Ввод!$B$4,"",A2619+1))</f>
        <v/>
      </c>
      <c r="B2620" s="23" t="str">
        <f>IF(A2620="","",IFERROR(INDEX(Ввод!$B$12:$B$71,MATCH(A2620,Ввод!$D$12:$D$71,1)),""))</f>
        <v/>
      </c>
      <c r="C2620" t="str">
        <f t="shared" si="80"/>
        <v/>
      </c>
      <c r="D2620" t="str">
        <f>IF(A2620="","",SUMIFS(Акты!$D$5:$D$16,Акты!$E$5:$E$16,"&lt;="&amp;A2620)-SUMIFS(Оплаты!$B$6:$B$505,Оплаты!$A$6:$A$505,"&lt;"&amp;A2620,Оплаты!$D$6:$D$505,"&lt;&gt;"))</f>
        <v/>
      </c>
      <c r="E2620" t="str">
        <f>IF(A2620="","",IF(SUMPRODUCT((Ввод!$F$12:$F$31&lt;&gt;"")*(Ввод!$F$12:$F$31&lt;=A2620)*(Ввод!$G$12:$G$31&gt;=A2620))&gt;0,1,0))</f>
        <v/>
      </c>
      <c r="G2620" t="str">
        <f t="shared" si="81"/>
        <v/>
      </c>
    </row>
    <row r="2621" spans="1:7" x14ac:dyDescent="0.3">
      <c r="A2621" s="21" t="str">
        <f>IF(A2620="","",IF(A2620+1&gt;Ввод!$B$4,"",A2620+1))</f>
        <v/>
      </c>
      <c r="B2621" s="23" t="str">
        <f>IF(A2621="","",IFERROR(INDEX(Ввод!$B$12:$B$71,MATCH(A2621,Ввод!$D$12:$D$71,1)),""))</f>
        <v/>
      </c>
      <c r="C2621" t="str">
        <f t="shared" si="80"/>
        <v/>
      </c>
      <c r="D2621" t="str">
        <f>IF(A2621="","",SUMIFS(Акты!$D$5:$D$16,Акты!$E$5:$E$16,"&lt;="&amp;A2621)-SUMIFS(Оплаты!$B$6:$B$505,Оплаты!$A$6:$A$505,"&lt;"&amp;A2621,Оплаты!$D$6:$D$505,"&lt;&gt;"))</f>
        <v/>
      </c>
      <c r="E2621" t="str">
        <f>IF(A2621="","",IF(SUMPRODUCT((Ввод!$F$12:$F$31&lt;&gt;"")*(Ввод!$F$12:$F$31&lt;=A2621)*(Ввод!$G$12:$G$31&gt;=A2621))&gt;0,1,0))</f>
        <v/>
      </c>
      <c r="G2621" t="str">
        <f t="shared" si="81"/>
        <v/>
      </c>
    </row>
    <row r="2622" spans="1:7" x14ac:dyDescent="0.3">
      <c r="A2622" s="21" t="str">
        <f>IF(A2621="","",IF(A2621+1&gt;Ввод!$B$4,"",A2621+1))</f>
        <v/>
      </c>
      <c r="B2622" s="23" t="str">
        <f>IF(A2622="","",IFERROR(INDEX(Ввод!$B$12:$B$71,MATCH(A2622,Ввод!$D$12:$D$71,1)),""))</f>
        <v/>
      </c>
      <c r="C2622" t="str">
        <f t="shared" si="80"/>
        <v/>
      </c>
      <c r="D2622" t="str">
        <f>IF(A2622="","",SUMIFS(Акты!$D$5:$D$16,Акты!$E$5:$E$16,"&lt;="&amp;A2622)-SUMIFS(Оплаты!$B$6:$B$505,Оплаты!$A$6:$A$505,"&lt;"&amp;A2622,Оплаты!$D$6:$D$505,"&lt;&gt;"))</f>
        <v/>
      </c>
      <c r="E2622" t="str">
        <f>IF(A2622="","",IF(SUMPRODUCT((Ввод!$F$12:$F$31&lt;&gt;"")*(Ввод!$F$12:$F$31&lt;=A2622)*(Ввод!$G$12:$G$31&gt;=A2622))&gt;0,1,0))</f>
        <v/>
      </c>
      <c r="G2622" t="str">
        <f t="shared" si="81"/>
        <v/>
      </c>
    </row>
    <row r="2623" spans="1:7" x14ac:dyDescent="0.3">
      <c r="A2623" s="21" t="str">
        <f>IF(A2622="","",IF(A2622+1&gt;Ввод!$B$4,"",A2622+1))</f>
        <v/>
      </c>
      <c r="B2623" s="23" t="str">
        <f>IF(A2623="","",IFERROR(INDEX(Ввод!$B$12:$B$71,MATCH(A2623,Ввод!$D$12:$D$71,1)),""))</f>
        <v/>
      </c>
      <c r="C2623" t="str">
        <f t="shared" si="80"/>
        <v/>
      </c>
      <c r="D2623" t="str">
        <f>IF(A2623="","",SUMIFS(Акты!$D$5:$D$16,Акты!$E$5:$E$16,"&lt;="&amp;A2623)-SUMIFS(Оплаты!$B$6:$B$505,Оплаты!$A$6:$A$505,"&lt;"&amp;A2623,Оплаты!$D$6:$D$505,"&lt;&gt;"))</f>
        <v/>
      </c>
      <c r="E2623" t="str">
        <f>IF(A2623="","",IF(SUMPRODUCT((Ввод!$F$12:$F$31&lt;&gt;"")*(Ввод!$F$12:$F$31&lt;=A2623)*(Ввод!$G$12:$G$31&gt;=A2623))&gt;0,1,0))</f>
        <v/>
      </c>
      <c r="G2623" t="str">
        <f t="shared" si="81"/>
        <v/>
      </c>
    </row>
    <row r="2624" spans="1:7" x14ac:dyDescent="0.3">
      <c r="A2624" s="21" t="str">
        <f>IF(A2623="","",IF(A2623+1&gt;Ввод!$B$4,"",A2623+1))</f>
        <v/>
      </c>
      <c r="B2624" s="23" t="str">
        <f>IF(A2624="","",IFERROR(INDEX(Ввод!$B$12:$B$71,MATCH(A2624,Ввод!$D$12:$D$71,1)),""))</f>
        <v/>
      </c>
      <c r="C2624" t="str">
        <f t="shared" si="80"/>
        <v/>
      </c>
      <c r="D2624" t="str">
        <f>IF(A2624="","",SUMIFS(Акты!$D$5:$D$16,Акты!$E$5:$E$16,"&lt;="&amp;A2624)-SUMIFS(Оплаты!$B$6:$B$505,Оплаты!$A$6:$A$505,"&lt;"&amp;A2624,Оплаты!$D$6:$D$505,"&lt;&gt;"))</f>
        <v/>
      </c>
      <c r="E2624" t="str">
        <f>IF(A2624="","",IF(SUMPRODUCT((Ввод!$F$12:$F$31&lt;&gt;"")*(Ввод!$F$12:$F$31&lt;=A2624)*(Ввод!$G$12:$G$31&gt;=A2624))&gt;0,1,0))</f>
        <v/>
      </c>
      <c r="G2624" t="str">
        <f t="shared" si="81"/>
        <v/>
      </c>
    </row>
    <row r="2625" spans="1:7" x14ac:dyDescent="0.3">
      <c r="A2625" s="21" t="str">
        <f>IF(A2624="","",IF(A2624+1&gt;Ввод!$B$4,"",A2624+1))</f>
        <v/>
      </c>
      <c r="B2625" s="23" t="str">
        <f>IF(A2625="","",IFERROR(INDEX(Ввод!$B$12:$B$71,MATCH(A2625,Ввод!$D$12:$D$71,1)),""))</f>
        <v/>
      </c>
      <c r="C2625" t="str">
        <f t="shared" si="80"/>
        <v/>
      </c>
      <c r="D2625" t="str">
        <f>IF(A2625="","",SUMIFS(Акты!$D$5:$D$16,Акты!$E$5:$E$16,"&lt;="&amp;A2625)-SUMIFS(Оплаты!$B$6:$B$505,Оплаты!$A$6:$A$505,"&lt;"&amp;A2625,Оплаты!$D$6:$D$505,"&lt;&gt;"))</f>
        <v/>
      </c>
      <c r="E2625" t="str">
        <f>IF(A2625="","",IF(SUMPRODUCT((Ввод!$F$12:$F$31&lt;&gt;"")*(Ввод!$F$12:$F$31&lt;=A2625)*(Ввод!$G$12:$G$31&gt;=A2625))&gt;0,1,0))</f>
        <v/>
      </c>
      <c r="G2625" t="str">
        <f t="shared" si="81"/>
        <v/>
      </c>
    </row>
    <row r="2626" spans="1:7" x14ac:dyDescent="0.3">
      <c r="A2626" s="21" t="str">
        <f>IF(A2625="","",IF(A2625+1&gt;Ввод!$B$4,"",A2625+1))</f>
        <v/>
      </c>
      <c r="B2626" s="23" t="str">
        <f>IF(A2626="","",IFERROR(INDEX(Ввод!$B$12:$B$71,MATCH(A2626,Ввод!$D$12:$D$71,1)),""))</f>
        <v/>
      </c>
      <c r="C2626" t="str">
        <f t="shared" ref="C2626:C2689" si="82">IF(A2626="","",DATE(YEAR(A2626),12,31)-DATE(YEAR(A2626),1,1)+1)</f>
        <v/>
      </c>
      <c r="D2626" t="str">
        <f>IF(A2626="","",SUMIFS(Акты!$D$5:$D$16,Акты!$E$5:$E$16,"&lt;="&amp;A2626)-SUMIFS(Оплаты!$B$6:$B$505,Оплаты!$A$6:$A$505,"&lt;"&amp;A2626,Оплаты!$D$6:$D$505,"&lt;&gt;"))</f>
        <v/>
      </c>
      <c r="E2626" t="str">
        <f>IF(A2626="","",IF(SUMPRODUCT((Ввод!$F$12:$F$31&lt;&gt;"")*(Ввод!$F$12:$F$31&lt;=A2626)*(Ввод!$G$12:$G$31&gt;=A2626))&gt;0,1,0))</f>
        <v/>
      </c>
      <c r="G2626" t="str">
        <f t="shared" si="81"/>
        <v/>
      </c>
    </row>
    <row r="2627" spans="1:7" x14ac:dyDescent="0.3">
      <c r="A2627" s="21" t="str">
        <f>IF(A2626="","",IF(A2626+1&gt;Ввод!$B$4,"",A2626+1))</f>
        <v/>
      </c>
      <c r="B2627" s="23" t="str">
        <f>IF(A2627="","",IFERROR(INDEX(Ввод!$B$12:$B$71,MATCH(A2627,Ввод!$D$12:$D$71,1)),""))</f>
        <v/>
      </c>
      <c r="C2627" t="str">
        <f t="shared" si="82"/>
        <v/>
      </c>
      <c r="D2627" t="str">
        <f>IF(A2627="","",SUMIFS(Акты!$D$5:$D$16,Акты!$E$5:$E$16,"&lt;="&amp;A2627)-SUMIFS(Оплаты!$B$6:$B$505,Оплаты!$A$6:$A$505,"&lt;"&amp;A2627,Оплаты!$D$6:$D$505,"&lt;&gt;"))</f>
        <v/>
      </c>
      <c r="E2627" t="str">
        <f>IF(A2627="","",IF(SUMPRODUCT((Ввод!$F$12:$F$31&lt;&gt;"")*(Ввод!$F$12:$F$31&lt;=A2627)*(Ввод!$G$12:$G$31&gt;=A2627))&gt;0,1,0))</f>
        <v/>
      </c>
      <c r="G2627" t="str">
        <f t="shared" ref="G2627:G2690" si="83">IF(A2627="","",IF(OR(B2627&lt;&gt;B2626,C2627&lt;&gt;C2626,E2627&lt;&gt;E2626),G2626+1,G2626))</f>
        <v/>
      </c>
    </row>
    <row r="2628" spans="1:7" x14ac:dyDescent="0.3">
      <c r="A2628" s="21" t="str">
        <f>IF(A2627="","",IF(A2627+1&gt;Ввод!$B$4,"",A2627+1))</f>
        <v/>
      </c>
      <c r="B2628" s="23" t="str">
        <f>IF(A2628="","",IFERROR(INDEX(Ввод!$B$12:$B$71,MATCH(A2628,Ввод!$D$12:$D$71,1)),""))</f>
        <v/>
      </c>
      <c r="C2628" t="str">
        <f t="shared" si="82"/>
        <v/>
      </c>
      <c r="D2628" t="str">
        <f>IF(A2628="","",SUMIFS(Акты!$D$5:$D$16,Акты!$E$5:$E$16,"&lt;="&amp;A2628)-SUMIFS(Оплаты!$B$6:$B$505,Оплаты!$A$6:$A$505,"&lt;"&amp;A2628,Оплаты!$D$6:$D$505,"&lt;&gt;"))</f>
        <v/>
      </c>
      <c r="E2628" t="str">
        <f>IF(A2628="","",IF(SUMPRODUCT((Ввод!$F$12:$F$31&lt;&gt;"")*(Ввод!$F$12:$F$31&lt;=A2628)*(Ввод!$G$12:$G$31&gt;=A2628))&gt;0,1,0))</f>
        <v/>
      </c>
      <c r="G2628" t="str">
        <f t="shared" si="83"/>
        <v/>
      </c>
    </row>
    <row r="2629" spans="1:7" x14ac:dyDescent="0.3">
      <c r="A2629" s="21" t="str">
        <f>IF(A2628="","",IF(A2628+1&gt;Ввод!$B$4,"",A2628+1))</f>
        <v/>
      </c>
      <c r="B2629" s="23" t="str">
        <f>IF(A2629="","",IFERROR(INDEX(Ввод!$B$12:$B$71,MATCH(A2629,Ввод!$D$12:$D$71,1)),""))</f>
        <v/>
      </c>
      <c r="C2629" t="str">
        <f t="shared" si="82"/>
        <v/>
      </c>
      <c r="D2629" t="str">
        <f>IF(A2629="","",SUMIFS(Акты!$D$5:$D$16,Акты!$E$5:$E$16,"&lt;="&amp;A2629)-SUMIFS(Оплаты!$B$6:$B$505,Оплаты!$A$6:$A$505,"&lt;"&amp;A2629,Оплаты!$D$6:$D$505,"&lt;&gt;"))</f>
        <v/>
      </c>
      <c r="E2629" t="str">
        <f>IF(A2629="","",IF(SUMPRODUCT((Ввод!$F$12:$F$31&lt;&gt;"")*(Ввод!$F$12:$F$31&lt;=A2629)*(Ввод!$G$12:$G$31&gt;=A2629))&gt;0,1,0))</f>
        <v/>
      </c>
      <c r="G2629" t="str">
        <f t="shared" si="83"/>
        <v/>
      </c>
    </row>
    <row r="2630" spans="1:7" x14ac:dyDescent="0.3">
      <c r="A2630" s="21" t="str">
        <f>IF(A2629="","",IF(A2629+1&gt;Ввод!$B$4,"",A2629+1))</f>
        <v/>
      </c>
      <c r="B2630" s="23" t="str">
        <f>IF(A2630="","",IFERROR(INDEX(Ввод!$B$12:$B$71,MATCH(A2630,Ввод!$D$12:$D$71,1)),""))</f>
        <v/>
      </c>
      <c r="C2630" t="str">
        <f t="shared" si="82"/>
        <v/>
      </c>
      <c r="D2630" t="str">
        <f>IF(A2630="","",SUMIFS(Акты!$D$5:$D$16,Акты!$E$5:$E$16,"&lt;="&amp;A2630)-SUMIFS(Оплаты!$B$6:$B$505,Оплаты!$A$6:$A$505,"&lt;"&amp;A2630,Оплаты!$D$6:$D$505,"&lt;&gt;"))</f>
        <v/>
      </c>
      <c r="E2630" t="str">
        <f>IF(A2630="","",IF(SUMPRODUCT((Ввод!$F$12:$F$31&lt;&gt;"")*(Ввод!$F$12:$F$31&lt;=A2630)*(Ввод!$G$12:$G$31&gt;=A2630))&gt;0,1,0))</f>
        <v/>
      </c>
      <c r="G2630" t="str">
        <f t="shared" si="83"/>
        <v/>
      </c>
    </row>
    <row r="2631" spans="1:7" x14ac:dyDescent="0.3">
      <c r="A2631" s="21" t="str">
        <f>IF(A2630="","",IF(A2630+1&gt;Ввод!$B$4,"",A2630+1))</f>
        <v/>
      </c>
      <c r="B2631" s="23" t="str">
        <f>IF(A2631="","",IFERROR(INDEX(Ввод!$B$12:$B$71,MATCH(A2631,Ввод!$D$12:$D$71,1)),""))</f>
        <v/>
      </c>
      <c r="C2631" t="str">
        <f t="shared" si="82"/>
        <v/>
      </c>
      <c r="D2631" t="str">
        <f>IF(A2631="","",SUMIFS(Акты!$D$5:$D$16,Акты!$E$5:$E$16,"&lt;="&amp;A2631)-SUMIFS(Оплаты!$B$6:$B$505,Оплаты!$A$6:$A$505,"&lt;"&amp;A2631,Оплаты!$D$6:$D$505,"&lt;&gt;"))</f>
        <v/>
      </c>
      <c r="E2631" t="str">
        <f>IF(A2631="","",IF(SUMPRODUCT((Ввод!$F$12:$F$31&lt;&gt;"")*(Ввод!$F$12:$F$31&lt;=A2631)*(Ввод!$G$12:$G$31&gt;=A2631))&gt;0,1,0))</f>
        <v/>
      </c>
      <c r="G2631" t="str">
        <f t="shared" si="83"/>
        <v/>
      </c>
    </row>
    <row r="2632" spans="1:7" x14ac:dyDescent="0.3">
      <c r="A2632" s="21" t="str">
        <f>IF(A2631="","",IF(A2631+1&gt;Ввод!$B$4,"",A2631+1))</f>
        <v/>
      </c>
      <c r="B2632" s="23" t="str">
        <f>IF(A2632="","",IFERROR(INDEX(Ввод!$B$12:$B$71,MATCH(A2632,Ввод!$D$12:$D$71,1)),""))</f>
        <v/>
      </c>
      <c r="C2632" t="str">
        <f t="shared" si="82"/>
        <v/>
      </c>
      <c r="D2632" t="str">
        <f>IF(A2632="","",SUMIFS(Акты!$D$5:$D$16,Акты!$E$5:$E$16,"&lt;="&amp;A2632)-SUMIFS(Оплаты!$B$6:$B$505,Оплаты!$A$6:$A$505,"&lt;"&amp;A2632,Оплаты!$D$6:$D$505,"&lt;&gt;"))</f>
        <v/>
      </c>
      <c r="E2632" t="str">
        <f>IF(A2632="","",IF(SUMPRODUCT((Ввод!$F$12:$F$31&lt;&gt;"")*(Ввод!$F$12:$F$31&lt;=A2632)*(Ввод!$G$12:$G$31&gt;=A2632))&gt;0,1,0))</f>
        <v/>
      </c>
      <c r="G2632" t="str">
        <f t="shared" si="83"/>
        <v/>
      </c>
    </row>
    <row r="2633" spans="1:7" x14ac:dyDescent="0.3">
      <c r="A2633" s="21" t="str">
        <f>IF(A2632="","",IF(A2632+1&gt;Ввод!$B$4,"",A2632+1))</f>
        <v/>
      </c>
      <c r="B2633" s="23" t="str">
        <f>IF(A2633="","",IFERROR(INDEX(Ввод!$B$12:$B$71,MATCH(A2633,Ввод!$D$12:$D$71,1)),""))</f>
        <v/>
      </c>
      <c r="C2633" t="str">
        <f t="shared" si="82"/>
        <v/>
      </c>
      <c r="D2633" t="str">
        <f>IF(A2633="","",SUMIFS(Акты!$D$5:$D$16,Акты!$E$5:$E$16,"&lt;="&amp;A2633)-SUMIFS(Оплаты!$B$6:$B$505,Оплаты!$A$6:$A$505,"&lt;"&amp;A2633,Оплаты!$D$6:$D$505,"&lt;&gt;"))</f>
        <v/>
      </c>
      <c r="E2633" t="str">
        <f>IF(A2633="","",IF(SUMPRODUCT((Ввод!$F$12:$F$31&lt;&gt;"")*(Ввод!$F$12:$F$31&lt;=A2633)*(Ввод!$G$12:$G$31&gt;=A2633))&gt;0,1,0))</f>
        <v/>
      </c>
      <c r="G2633" t="str">
        <f t="shared" si="83"/>
        <v/>
      </c>
    </row>
    <row r="2634" spans="1:7" x14ac:dyDescent="0.3">
      <c r="A2634" s="21" t="str">
        <f>IF(A2633="","",IF(A2633+1&gt;Ввод!$B$4,"",A2633+1))</f>
        <v/>
      </c>
      <c r="B2634" s="23" t="str">
        <f>IF(A2634="","",IFERROR(INDEX(Ввод!$B$12:$B$71,MATCH(A2634,Ввод!$D$12:$D$71,1)),""))</f>
        <v/>
      </c>
      <c r="C2634" t="str">
        <f t="shared" si="82"/>
        <v/>
      </c>
      <c r="D2634" t="str">
        <f>IF(A2634="","",SUMIFS(Акты!$D$5:$D$16,Акты!$E$5:$E$16,"&lt;="&amp;A2634)-SUMIFS(Оплаты!$B$6:$B$505,Оплаты!$A$6:$A$505,"&lt;"&amp;A2634,Оплаты!$D$6:$D$505,"&lt;&gt;"))</f>
        <v/>
      </c>
      <c r="E2634" t="str">
        <f>IF(A2634="","",IF(SUMPRODUCT((Ввод!$F$12:$F$31&lt;&gt;"")*(Ввод!$F$12:$F$31&lt;=A2634)*(Ввод!$G$12:$G$31&gt;=A2634))&gt;0,1,0))</f>
        <v/>
      </c>
      <c r="G2634" t="str">
        <f t="shared" si="83"/>
        <v/>
      </c>
    </row>
    <row r="2635" spans="1:7" x14ac:dyDescent="0.3">
      <c r="A2635" s="21" t="str">
        <f>IF(A2634="","",IF(A2634+1&gt;Ввод!$B$4,"",A2634+1))</f>
        <v/>
      </c>
      <c r="B2635" s="23" t="str">
        <f>IF(A2635="","",IFERROR(INDEX(Ввод!$B$12:$B$71,MATCH(A2635,Ввод!$D$12:$D$71,1)),""))</f>
        <v/>
      </c>
      <c r="C2635" t="str">
        <f t="shared" si="82"/>
        <v/>
      </c>
      <c r="D2635" t="str">
        <f>IF(A2635="","",SUMIFS(Акты!$D$5:$D$16,Акты!$E$5:$E$16,"&lt;="&amp;A2635)-SUMIFS(Оплаты!$B$6:$B$505,Оплаты!$A$6:$A$505,"&lt;"&amp;A2635,Оплаты!$D$6:$D$505,"&lt;&gt;"))</f>
        <v/>
      </c>
      <c r="E2635" t="str">
        <f>IF(A2635="","",IF(SUMPRODUCT((Ввод!$F$12:$F$31&lt;&gt;"")*(Ввод!$F$12:$F$31&lt;=A2635)*(Ввод!$G$12:$G$31&gt;=A2635))&gt;0,1,0))</f>
        <v/>
      </c>
      <c r="G2635" t="str">
        <f t="shared" si="83"/>
        <v/>
      </c>
    </row>
    <row r="2636" spans="1:7" x14ac:dyDescent="0.3">
      <c r="A2636" s="21" t="str">
        <f>IF(A2635="","",IF(A2635+1&gt;Ввод!$B$4,"",A2635+1))</f>
        <v/>
      </c>
      <c r="B2636" s="23" t="str">
        <f>IF(A2636="","",IFERROR(INDEX(Ввод!$B$12:$B$71,MATCH(A2636,Ввод!$D$12:$D$71,1)),""))</f>
        <v/>
      </c>
      <c r="C2636" t="str">
        <f t="shared" si="82"/>
        <v/>
      </c>
      <c r="D2636" t="str">
        <f>IF(A2636="","",SUMIFS(Акты!$D$5:$D$16,Акты!$E$5:$E$16,"&lt;="&amp;A2636)-SUMIFS(Оплаты!$B$6:$B$505,Оплаты!$A$6:$A$505,"&lt;"&amp;A2636,Оплаты!$D$6:$D$505,"&lt;&gt;"))</f>
        <v/>
      </c>
      <c r="E2636" t="str">
        <f>IF(A2636="","",IF(SUMPRODUCT((Ввод!$F$12:$F$31&lt;&gt;"")*(Ввод!$F$12:$F$31&lt;=A2636)*(Ввод!$G$12:$G$31&gt;=A2636))&gt;0,1,0))</f>
        <v/>
      </c>
      <c r="G2636" t="str">
        <f t="shared" si="83"/>
        <v/>
      </c>
    </row>
    <row r="2637" spans="1:7" x14ac:dyDescent="0.3">
      <c r="A2637" s="21" t="str">
        <f>IF(A2636="","",IF(A2636+1&gt;Ввод!$B$4,"",A2636+1))</f>
        <v/>
      </c>
      <c r="B2637" s="23" t="str">
        <f>IF(A2637="","",IFERROR(INDEX(Ввод!$B$12:$B$71,MATCH(A2637,Ввод!$D$12:$D$71,1)),""))</f>
        <v/>
      </c>
      <c r="C2637" t="str">
        <f t="shared" si="82"/>
        <v/>
      </c>
      <c r="D2637" t="str">
        <f>IF(A2637="","",SUMIFS(Акты!$D$5:$D$16,Акты!$E$5:$E$16,"&lt;="&amp;A2637)-SUMIFS(Оплаты!$B$6:$B$505,Оплаты!$A$6:$A$505,"&lt;"&amp;A2637,Оплаты!$D$6:$D$505,"&lt;&gt;"))</f>
        <v/>
      </c>
      <c r="E2637" t="str">
        <f>IF(A2637="","",IF(SUMPRODUCT((Ввод!$F$12:$F$31&lt;&gt;"")*(Ввод!$F$12:$F$31&lt;=A2637)*(Ввод!$G$12:$G$31&gt;=A2637))&gt;0,1,0))</f>
        <v/>
      </c>
      <c r="G2637" t="str">
        <f t="shared" si="83"/>
        <v/>
      </c>
    </row>
    <row r="2638" spans="1:7" x14ac:dyDescent="0.3">
      <c r="A2638" s="21" t="str">
        <f>IF(A2637="","",IF(A2637+1&gt;Ввод!$B$4,"",A2637+1))</f>
        <v/>
      </c>
      <c r="B2638" s="23" t="str">
        <f>IF(A2638="","",IFERROR(INDEX(Ввод!$B$12:$B$71,MATCH(A2638,Ввод!$D$12:$D$71,1)),""))</f>
        <v/>
      </c>
      <c r="C2638" t="str">
        <f t="shared" si="82"/>
        <v/>
      </c>
      <c r="D2638" t="str">
        <f>IF(A2638="","",SUMIFS(Акты!$D$5:$D$16,Акты!$E$5:$E$16,"&lt;="&amp;A2638)-SUMIFS(Оплаты!$B$6:$B$505,Оплаты!$A$6:$A$505,"&lt;"&amp;A2638,Оплаты!$D$6:$D$505,"&lt;&gt;"))</f>
        <v/>
      </c>
      <c r="E2638" t="str">
        <f>IF(A2638="","",IF(SUMPRODUCT((Ввод!$F$12:$F$31&lt;&gt;"")*(Ввод!$F$12:$F$31&lt;=A2638)*(Ввод!$G$12:$G$31&gt;=A2638))&gt;0,1,0))</f>
        <v/>
      </c>
      <c r="G2638" t="str">
        <f t="shared" si="83"/>
        <v/>
      </c>
    </row>
    <row r="2639" spans="1:7" x14ac:dyDescent="0.3">
      <c r="A2639" s="21" t="str">
        <f>IF(A2638="","",IF(A2638+1&gt;Ввод!$B$4,"",A2638+1))</f>
        <v/>
      </c>
      <c r="B2639" s="23" t="str">
        <f>IF(A2639="","",IFERROR(INDEX(Ввод!$B$12:$B$71,MATCH(A2639,Ввод!$D$12:$D$71,1)),""))</f>
        <v/>
      </c>
      <c r="C2639" t="str">
        <f t="shared" si="82"/>
        <v/>
      </c>
      <c r="D2639" t="str">
        <f>IF(A2639="","",SUMIFS(Акты!$D$5:$D$16,Акты!$E$5:$E$16,"&lt;="&amp;A2639)-SUMIFS(Оплаты!$B$6:$B$505,Оплаты!$A$6:$A$505,"&lt;"&amp;A2639,Оплаты!$D$6:$D$505,"&lt;&gt;"))</f>
        <v/>
      </c>
      <c r="E2639" t="str">
        <f>IF(A2639="","",IF(SUMPRODUCT((Ввод!$F$12:$F$31&lt;&gt;"")*(Ввод!$F$12:$F$31&lt;=A2639)*(Ввод!$G$12:$G$31&gt;=A2639))&gt;0,1,0))</f>
        <v/>
      </c>
      <c r="G2639" t="str">
        <f t="shared" si="83"/>
        <v/>
      </c>
    </row>
    <row r="2640" spans="1:7" x14ac:dyDescent="0.3">
      <c r="A2640" s="21" t="str">
        <f>IF(A2639="","",IF(A2639+1&gt;Ввод!$B$4,"",A2639+1))</f>
        <v/>
      </c>
      <c r="B2640" s="23" t="str">
        <f>IF(A2640="","",IFERROR(INDEX(Ввод!$B$12:$B$71,MATCH(A2640,Ввод!$D$12:$D$71,1)),""))</f>
        <v/>
      </c>
      <c r="C2640" t="str">
        <f t="shared" si="82"/>
        <v/>
      </c>
      <c r="D2640" t="str">
        <f>IF(A2640="","",SUMIFS(Акты!$D$5:$D$16,Акты!$E$5:$E$16,"&lt;="&amp;A2640)-SUMIFS(Оплаты!$B$6:$B$505,Оплаты!$A$6:$A$505,"&lt;"&amp;A2640,Оплаты!$D$6:$D$505,"&lt;&gt;"))</f>
        <v/>
      </c>
      <c r="E2640" t="str">
        <f>IF(A2640="","",IF(SUMPRODUCT((Ввод!$F$12:$F$31&lt;&gt;"")*(Ввод!$F$12:$F$31&lt;=A2640)*(Ввод!$G$12:$G$31&gt;=A2640))&gt;0,1,0))</f>
        <v/>
      </c>
      <c r="G2640" t="str">
        <f t="shared" si="83"/>
        <v/>
      </c>
    </row>
    <row r="2641" spans="1:7" x14ac:dyDescent="0.3">
      <c r="A2641" s="21" t="str">
        <f>IF(A2640="","",IF(A2640+1&gt;Ввод!$B$4,"",A2640+1))</f>
        <v/>
      </c>
      <c r="B2641" s="23" t="str">
        <f>IF(A2641="","",IFERROR(INDEX(Ввод!$B$12:$B$71,MATCH(A2641,Ввод!$D$12:$D$71,1)),""))</f>
        <v/>
      </c>
      <c r="C2641" t="str">
        <f t="shared" si="82"/>
        <v/>
      </c>
      <c r="D2641" t="str">
        <f>IF(A2641="","",SUMIFS(Акты!$D$5:$D$16,Акты!$E$5:$E$16,"&lt;="&amp;A2641)-SUMIFS(Оплаты!$B$6:$B$505,Оплаты!$A$6:$A$505,"&lt;"&amp;A2641,Оплаты!$D$6:$D$505,"&lt;&gt;"))</f>
        <v/>
      </c>
      <c r="E2641" t="str">
        <f>IF(A2641="","",IF(SUMPRODUCT((Ввод!$F$12:$F$31&lt;&gt;"")*(Ввод!$F$12:$F$31&lt;=A2641)*(Ввод!$G$12:$G$31&gt;=A2641))&gt;0,1,0))</f>
        <v/>
      </c>
      <c r="G2641" t="str">
        <f t="shared" si="83"/>
        <v/>
      </c>
    </row>
    <row r="2642" spans="1:7" x14ac:dyDescent="0.3">
      <c r="A2642" s="21" t="str">
        <f>IF(A2641="","",IF(A2641+1&gt;Ввод!$B$4,"",A2641+1))</f>
        <v/>
      </c>
      <c r="B2642" s="23" t="str">
        <f>IF(A2642="","",IFERROR(INDEX(Ввод!$B$12:$B$71,MATCH(A2642,Ввод!$D$12:$D$71,1)),""))</f>
        <v/>
      </c>
      <c r="C2642" t="str">
        <f t="shared" si="82"/>
        <v/>
      </c>
      <c r="D2642" t="str">
        <f>IF(A2642="","",SUMIFS(Акты!$D$5:$D$16,Акты!$E$5:$E$16,"&lt;="&amp;A2642)-SUMIFS(Оплаты!$B$6:$B$505,Оплаты!$A$6:$A$505,"&lt;"&amp;A2642,Оплаты!$D$6:$D$505,"&lt;&gt;"))</f>
        <v/>
      </c>
      <c r="E2642" t="str">
        <f>IF(A2642="","",IF(SUMPRODUCT((Ввод!$F$12:$F$31&lt;&gt;"")*(Ввод!$F$12:$F$31&lt;=A2642)*(Ввод!$G$12:$G$31&gt;=A2642))&gt;0,1,0))</f>
        <v/>
      </c>
      <c r="G2642" t="str">
        <f t="shared" si="83"/>
        <v/>
      </c>
    </row>
    <row r="2643" spans="1:7" x14ac:dyDescent="0.3">
      <c r="A2643" s="21" t="str">
        <f>IF(A2642="","",IF(A2642+1&gt;Ввод!$B$4,"",A2642+1))</f>
        <v/>
      </c>
      <c r="B2643" s="23" t="str">
        <f>IF(A2643="","",IFERROR(INDEX(Ввод!$B$12:$B$71,MATCH(A2643,Ввод!$D$12:$D$71,1)),""))</f>
        <v/>
      </c>
      <c r="C2643" t="str">
        <f t="shared" si="82"/>
        <v/>
      </c>
      <c r="D2643" t="str">
        <f>IF(A2643="","",SUMIFS(Акты!$D$5:$D$16,Акты!$E$5:$E$16,"&lt;="&amp;A2643)-SUMIFS(Оплаты!$B$6:$B$505,Оплаты!$A$6:$A$505,"&lt;"&amp;A2643,Оплаты!$D$6:$D$505,"&lt;&gt;"))</f>
        <v/>
      </c>
      <c r="E2643" t="str">
        <f>IF(A2643="","",IF(SUMPRODUCT((Ввод!$F$12:$F$31&lt;&gt;"")*(Ввод!$F$12:$F$31&lt;=A2643)*(Ввод!$G$12:$G$31&gt;=A2643))&gt;0,1,0))</f>
        <v/>
      </c>
      <c r="G2643" t="str">
        <f t="shared" si="83"/>
        <v/>
      </c>
    </row>
    <row r="2644" spans="1:7" x14ac:dyDescent="0.3">
      <c r="A2644" s="21" t="str">
        <f>IF(A2643="","",IF(A2643+1&gt;Ввод!$B$4,"",A2643+1))</f>
        <v/>
      </c>
      <c r="B2644" s="23" t="str">
        <f>IF(A2644="","",IFERROR(INDEX(Ввод!$B$12:$B$71,MATCH(A2644,Ввод!$D$12:$D$71,1)),""))</f>
        <v/>
      </c>
      <c r="C2644" t="str">
        <f t="shared" si="82"/>
        <v/>
      </c>
      <c r="D2644" t="str">
        <f>IF(A2644="","",SUMIFS(Акты!$D$5:$D$16,Акты!$E$5:$E$16,"&lt;="&amp;A2644)-SUMIFS(Оплаты!$B$6:$B$505,Оплаты!$A$6:$A$505,"&lt;"&amp;A2644,Оплаты!$D$6:$D$505,"&lt;&gt;"))</f>
        <v/>
      </c>
      <c r="E2644" t="str">
        <f>IF(A2644="","",IF(SUMPRODUCT((Ввод!$F$12:$F$31&lt;&gt;"")*(Ввод!$F$12:$F$31&lt;=A2644)*(Ввод!$G$12:$G$31&gt;=A2644))&gt;0,1,0))</f>
        <v/>
      </c>
      <c r="G2644" t="str">
        <f t="shared" si="83"/>
        <v/>
      </c>
    </row>
    <row r="2645" spans="1:7" x14ac:dyDescent="0.3">
      <c r="A2645" s="21" t="str">
        <f>IF(A2644="","",IF(A2644+1&gt;Ввод!$B$4,"",A2644+1))</f>
        <v/>
      </c>
      <c r="B2645" s="23" t="str">
        <f>IF(A2645="","",IFERROR(INDEX(Ввод!$B$12:$B$71,MATCH(A2645,Ввод!$D$12:$D$71,1)),""))</f>
        <v/>
      </c>
      <c r="C2645" t="str">
        <f t="shared" si="82"/>
        <v/>
      </c>
      <c r="D2645" t="str">
        <f>IF(A2645="","",SUMIFS(Акты!$D$5:$D$16,Акты!$E$5:$E$16,"&lt;="&amp;A2645)-SUMIFS(Оплаты!$B$6:$B$505,Оплаты!$A$6:$A$505,"&lt;"&amp;A2645,Оплаты!$D$6:$D$505,"&lt;&gt;"))</f>
        <v/>
      </c>
      <c r="E2645" t="str">
        <f>IF(A2645="","",IF(SUMPRODUCT((Ввод!$F$12:$F$31&lt;&gt;"")*(Ввод!$F$12:$F$31&lt;=A2645)*(Ввод!$G$12:$G$31&gt;=A2645))&gt;0,1,0))</f>
        <v/>
      </c>
      <c r="G2645" t="str">
        <f t="shared" si="83"/>
        <v/>
      </c>
    </row>
    <row r="2646" spans="1:7" x14ac:dyDescent="0.3">
      <c r="A2646" s="21" t="str">
        <f>IF(A2645="","",IF(A2645+1&gt;Ввод!$B$4,"",A2645+1))</f>
        <v/>
      </c>
      <c r="B2646" s="23" t="str">
        <f>IF(A2646="","",IFERROR(INDEX(Ввод!$B$12:$B$71,MATCH(A2646,Ввод!$D$12:$D$71,1)),""))</f>
        <v/>
      </c>
      <c r="C2646" t="str">
        <f t="shared" si="82"/>
        <v/>
      </c>
      <c r="D2646" t="str">
        <f>IF(A2646="","",SUMIFS(Акты!$D$5:$D$16,Акты!$E$5:$E$16,"&lt;="&amp;A2646)-SUMIFS(Оплаты!$B$6:$B$505,Оплаты!$A$6:$A$505,"&lt;"&amp;A2646,Оплаты!$D$6:$D$505,"&lt;&gt;"))</f>
        <v/>
      </c>
      <c r="E2646" t="str">
        <f>IF(A2646="","",IF(SUMPRODUCT((Ввод!$F$12:$F$31&lt;&gt;"")*(Ввод!$F$12:$F$31&lt;=A2646)*(Ввод!$G$12:$G$31&gt;=A2646))&gt;0,1,0))</f>
        <v/>
      </c>
      <c r="G2646" t="str">
        <f t="shared" si="83"/>
        <v/>
      </c>
    </row>
    <row r="2647" spans="1:7" x14ac:dyDescent="0.3">
      <c r="A2647" s="21" t="str">
        <f>IF(A2646="","",IF(A2646+1&gt;Ввод!$B$4,"",A2646+1))</f>
        <v/>
      </c>
      <c r="B2647" s="23" t="str">
        <f>IF(A2647="","",IFERROR(INDEX(Ввод!$B$12:$B$71,MATCH(A2647,Ввод!$D$12:$D$71,1)),""))</f>
        <v/>
      </c>
      <c r="C2647" t="str">
        <f t="shared" si="82"/>
        <v/>
      </c>
      <c r="D2647" t="str">
        <f>IF(A2647="","",SUMIFS(Акты!$D$5:$D$16,Акты!$E$5:$E$16,"&lt;="&amp;A2647)-SUMIFS(Оплаты!$B$6:$B$505,Оплаты!$A$6:$A$505,"&lt;"&amp;A2647,Оплаты!$D$6:$D$505,"&lt;&gt;"))</f>
        <v/>
      </c>
      <c r="E2647" t="str">
        <f>IF(A2647="","",IF(SUMPRODUCT((Ввод!$F$12:$F$31&lt;&gt;"")*(Ввод!$F$12:$F$31&lt;=A2647)*(Ввод!$G$12:$G$31&gt;=A2647))&gt;0,1,0))</f>
        <v/>
      </c>
      <c r="G2647" t="str">
        <f t="shared" si="83"/>
        <v/>
      </c>
    </row>
    <row r="2648" spans="1:7" x14ac:dyDescent="0.3">
      <c r="A2648" s="21" t="str">
        <f>IF(A2647="","",IF(A2647+1&gt;Ввод!$B$4,"",A2647+1))</f>
        <v/>
      </c>
      <c r="B2648" s="23" t="str">
        <f>IF(A2648="","",IFERROR(INDEX(Ввод!$B$12:$B$71,MATCH(A2648,Ввод!$D$12:$D$71,1)),""))</f>
        <v/>
      </c>
      <c r="C2648" t="str">
        <f t="shared" si="82"/>
        <v/>
      </c>
      <c r="D2648" t="str">
        <f>IF(A2648="","",SUMIFS(Акты!$D$5:$D$16,Акты!$E$5:$E$16,"&lt;="&amp;A2648)-SUMIFS(Оплаты!$B$6:$B$505,Оплаты!$A$6:$A$505,"&lt;"&amp;A2648,Оплаты!$D$6:$D$505,"&lt;&gt;"))</f>
        <v/>
      </c>
      <c r="E2648" t="str">
        <f>IF(A2648="","",IF(SUMPRODUCT((Ввод!$F$12:$F$31&lt;&gt;"")*(Ввод!$F$12:$F$31&lt;=A2648)*(Ввод!$G$12:$G$31&gt;=A2648))&gt;0,1,0))</f>
        <v/>
      </c>
      <c r="G2648" t="str">
        <f t="shared" si="83"/>
        <v/>
      </c>
    </row>
    <row r="2649" spans="1:7" x14ac:dyDescent="0.3">
      <c r="A2649" s="21" t="str">
        <f>IF(A2648="","",IF(A2648+1&gt;Ввод!$B$4,"",A2648+1))</f>
        <v/>
      </c>
      <c r="B2649" s="23" t="str">
        <f>IF(A2649="","",IFERROR(INDEX(Ввод!$B$12:$B$71,MATCH(A2649,Ввод!$D$12:$D$71,1)),""))</f>
        <v/>
      </c>
      <c r="C2649" t="str">
        <f t="shared" si="82"/>
        <v/>
      </c>
      <c r="D2649" t="str">
        <f>IF(A2649="","",SUMIFS(Акты!$D$5:$D$16,Акты!$E$5:$E$16,"&lt;="&amp;A2649)-SUMIFS(Оплаты!$B$6:$B$505,Оплаты!$A$6:$A$505,"&lt;"&amp;A2649,Оплаты!$D$6:$D$505,"&lt;&gt;"))</f>
        <v/>
      </c>
      <c r="E2649" t="str">
        <f>IF(A2649="","",IF(SUMPRODUCT((Ввод!$F$12:$F$31&lt;&gt;"")*(Ввод!$F$12:$F$31&lt;=A2649)*(Ввод!$G$12:$G$31&gt;=A2649))&gt;0,1,0))</f>
        <v/>
      </c>
      <c r="G2649" t="str">
        <f t="shared" si="83"/>
        <v/>
      </c>
    </row>
    <row r="2650" spans="1:7" x14ac:dyDescent="0.3">
      <c r="A2650" s="21" t="str">
        <f>IF(A2649="","",IF(A2649+1&gt;Ввод!$B$4,"",A2649+1))</f>
        <v/>
      </c>
      <c r="B2650" s="23" t="str">
        <f>IF(A2650="","",IFERROR(INDEX(Ввод!$B$12:$B$71,MATCH(A2650,Ввод!$D$12:$D$71,1)),""))</f>
        <v/>
      </c>
      <c r="C2650" t="str">
        <f t="shared" si="82"/>
        <v/>
      </c>
      <c r="D2650" t="str">
        <f>IF(A2650="","",SUMIFS(Акты!$D$5:$D$16,Акты!$E$5:$E$16,"&lt;="&amp;A2650)-SUMIFS(Оплаты!$B$6:$B$505,Оплаты!$A$6:$A$505,"&lt;"&amp;A2650,Оплаты!$D$6:$D$505,"&lt;&gt;"))</f>
        <v/>
      </c>
      <c r="E2650" t="str">
        <f>IF(A2650="","",IF(SUMPRODUCT((Ввод!$F$12:$F$31&lt;&gt;"")*(Ввод!$F$12:$F$31&lt;=A2650)*(Ввод!$G$12:$G$31&gt;=A2650))&gt;0,1,0))</f>
        <v/>
      </c>
      <c r="G2650" t="str">
        <f t="shared" si="83"/>
        <v/>
      </c>
    </row>
    <row r="2651" spans="1:7" x14ac:dyDescent="0.3">
      <c r="A2651" s="21" t="str">
        <f>IF(A2650="","",IF(A2650+1&gt;Ввод!$B$4,"",A2650+1))</f>
        <v/>
      </c>
      <c r="B2651" s="23" t="str">
        <f>IF(A2651="","",IFERROR(INDEX(Ввод!$B$12:$B$71,MATCH(A2651,Ввод!$D$12:$D$71,1)),""))</f>
        <v/>
      </c>
      <c r="C2651" t="str">
        <f t="shared" si="82"/>
        <v/>
      </c>
      <c r="D2651" t="str">
        <f>IF(A2651="","",SUMIFS(Акты!$D$5:$D$16,Акты!$E$5:$E$16,"&lt;="&amp;A2651)-SUMIFS(Оплаты!$B$6:$B$505,Оплаты!$A$6:$A$505,"&lt;"&amp;A2651,Оплаты!$D$6:$D$505,"&lt;&gt;"))</f>
        <v/>
      </c>
      <c r="E2651" t="str">
        <f>IF(A2651="","",IF(SUMPRODUCT((Ввод!$F$12:$F$31&lt;&gt;"")*(Ввод!$F$12:$F$31&lt;=A2651)*(Ввод!$G$12:$G$31&gt;=A2651))&gt;0,1,0))</f>
        <v/>
      </c>
      <c r="G2651" t="str">
        <f t="shared" si="83"/>
        <v/>
      </c>
    </row>
    <row r="2652" spans="1:7" x14ac:dyDescent="0.3">
      <c r="A2652" s="21" t="str">
        <f>IF(A2651="","",IF(A2651+1&gt;Ввод!$B$4,"",A2651+1))</f>
        <v/>
      </c>
      <c r="B2652" s="23" t="str">
        <f>IF(A2652="","",IFERROR(INDEX(Ввод!$B$12:$B$71,MATCH(A2652,Ввод!$D$12:$D$71,1)),""))</f>
        <v/>
      </c>
      <c r="C2652" t="str">
        <f t="shared" si="82"/>
        <v/>
      </c>
      <c r="D2652" t="str">
        <f>IF(A2652="","",SUMIFS(Акты!$D$5:$D$16,Акты!$E$5:$E$16,"&lt;="&amp;A2652)-SUMIFS(Оплаты!$B$6:$B$505,Оплаты!$A$6:$A$505,"&lt;"&amp;A2652,Оплаты!$D$6:$D$505,"&lt;&gt;"))</f>
        <v/>
      </c>
      <c r="E2652" t="str">
        <f>IF(A2652="","",IF(SUMPRODUCT((Ввод!$F$12:$F$31&lt;&gt;"")*(Ввод!$F$12:$F$31&lt;=A2652)*(Ввод!$G$12:$G$31&gt;=A2652))&gt;0,1,0))</f>
        <v/>
      </c>
      <c r="G2652" t="str">
        <f t="shared" si="83"/>
        <v/>
      </c>
    </row>
    <row r="2653" spans="1:7" x14ac:dyDescent="0.3">
      <c r="A2653" s="21" t="str">
        <f>IF(A2652="","",IF(A2652+1&gt;Ввод!$B$4,"",A2652+1))</f>
        <v/>
      </c>
      <c r="B2653" s="23" t="str">
        <f>IF(A2653="","",IFERROR(INDEX(Ввод!$B$12:$B$71,MATCH(A2653,Ввод!$D$12:$D$71,1)),""))</f>
        <v/>
      </c>
      <c r="C2653" t="str">
        <f t="shared" si="82"/>
        <v/>
      </c>
      <c r="D2653" t="str">
        <f>IF(A2653="","",SUMIFS(Акты!$D$5:$D$16,Акты!$E$5:$E$16,"&lt;="&amp;A2653)-SUMIFS(Оплаты!$B$6:$B$505,Оплаты!$A$6:$A$505,"&lt;"&amp;A2653,Оплаты!$D$6:$D$505,"&lt;&gt;"))</f>
        <v/>
      </c>
      <c r="E2653" t="str">
        <f>IF(A2653="","",IF(SUMPRODUCT((Ввод!$F$12:$F$31&lt;&gt;"")*(Ввод!$F$12:$F$31&lt;=A2653)*(Ввод!$G$12:$G$31&gt;=A2653))&gt;0,1,0))</f>
        <v/>
      </c>
      <c r="G2653" t="str">
        <f t="shared" si="83"/>
        <v/>
      </c>
    </row>
    <row r="2654" spans="1:7" x14ac:dyDescent="0.3">
      <c r="A2654" s="21" t="str">
        <f>IF(A2653="","",IF(A2653+1&gt;Ввод!$B$4,"",A2653+1))</f>
        <v/>
      </c>
      <c r="B2654" s="23" t="str">
        <f>IF(A2654="","",IFERROR(INDEX(Ввод!$B$12:$B$71,MATCH(A2654,Ввод!$D$12:$D$71,1)),""))</f>
        <v/>
      </c>
      <c r="C2654" t="str">
        <f t="shared" si="82"/>
        <v/>
      </c>
      <c r="D2654" t="str">
        <f>IF(A2654="","",SUMIFS(Акты!$D$5:$D$16,Акты!$E$5:$E$16,"&lt;="&amp;A2654)-SUMIFS(Оплаты!$B$6:$B$505,Оплаты!$A$6:$A$505,"&lt;"&amp;A2654,Оплаты!$D$6:$D$505,"&lt;&gt;"))</f>
        <v/>
      </c>
      <c r="E2654" t="str">
        <f>IF(A2654="","",IF(SUMPRODUCT((Ввод!$F$12:$F$31&lt;&gt;"")*(Ввод!$F$12:$F$31&lt;=A2654)*(Ввод!$G$12:$G$31&gt;=A2654))&gt;0,1,0))</f>
        <v/>
      </c>
      <c r="G2654" t="str">
        <f t="shared" si="83"/>
        <v/>
      </c>
    </row>
    <row r="2655" spans="1:7" x14ac:dyDescent="0.3">
      <c r="A2655" s="21" t="str">
        <f>IF(A2654="","",IF(A2654+1&gt;Ввод!$B$4,"",A2654+1))</f>
        <v/>
      </c>
      <c r="B2655" s="23" t="str">
        <f>IF(A2655="","",IFERROR(INDEX(Ввод!$B$12:$B$71,MATCH(A2655,Ввод!$D$12:$D$71,1)),""))</f>
        <v/>
      </c>
      <c r="C2655" t="str">
        <f t="shared" si="82"/>
        <v/>
      </c>
      <c r="D2655" t="str">
        <f>IF(A2655="","",SUMIFS(Акты!$D$5:$D$16,Акты!$E$5:$E$16,"&lt;="&amp;A2655)-SUMIFS(Оплаты!$B$6:$B$505,Оплаты!$A$6:$A$505,"&lt;"&amp;A2655,Оплаты!$D$6:$D$505,"&lt;&gt;"))</f>
        <v/>
      </c>
      <c r="E2655" t="str">
        <f>IF(A2655="","",IF(SUMPRODUCT((Ввод!$F$12:$F$31&lt;&gt;"")*(Ввод!$F$12:$F$31&lt;=A2655)*(Ввод!$G$12:$G$31&gt;=A2655))&gt;0,1,0))</f>
        <v/>
      </c>
      <c r="G2655" t="str">
        <f t="shared" si="83"/>
        <v/>
      </c>
    </row>
    <row r="2656" spans="1:7" x14ac:dyDescent="0.3">
      <c r="A2656" s="21" t="str">
        <f>IF(A2655="","",IF(A2655+1&gt;Ввод!$B$4,"",A2655+1))</f>
        <v/>
      </c>
      <c r="B2656" s="23" t="str">
        <f>IF(A2656="","",IFERROR(INDEX(Ввод!$B$12:$B$71,MATCH(A2656,Ввод!$D$12:$D$71,1)),""))</f>
        <v/>
      </c>
      <c r="C2656" t="str">
        <f t="shared" si="82"/>
        <v/>
      </c>
      <c r="D2656" t="str">
        <f>IF(A2656="","",SUMIFS(Акты!$D$5:$D$16,Акты!$E$5:$E$16,"&lt;="&amp;A2656)-SUMIFS(Оплаты!$B$6:$B$505,Оплаты!$A$6:$A$505,"&lt;"&amp;A2656,Оплаты!$D$6:$D$505,"&lt;&gt;"))</f>
        <v/>
      </c>
      <c r="E2656" t="str">
        <f>IF(A2656="","",IF(SUMPRODUCT((Ввод!$F$12:$F$31&lt;&gt;"")*(Ввод!$F$12:$F$31&lt;=A2656)*(Ввод!$G$12:$G$31&gt;=A2656))&gt;0,1,0))</f>
        <v/>
      </c>
      <c r="G2656" t="str">
        <f t="shared" si="83"/>
        <v/>
      </c>
    </row>
    <row r="2657" spans="1:7" x14ac:dyDescent="0.3">
      <c r="A2657" s="21" t="str">
        <f>IF(A2656="","",IF(A2656+1&gt;Ввод!$B$4,"",A2656+1))</f>
        <v/>
      </c>
      <c r="B2657" s="23" t="str">
        <f>IF(A2657="","",IFERROR(INDEX(Ввод!$B$12:$B$71,MATCH(A2657,Ввод!$D$12:$D$71,1)),""))</f>
        <v/>
      </c>
      <c r="C2657" t="str">
        <f t="shared" si="82"/>
        <v/>
      </c>
      <c r="D2657" t="str">
        <f>IF(A2657="","",SUMIFS(Акты!$D$5:$D$16,Акты!$E$5:$E$16,"&lt;="&amp;A2657)-SUMIFS(Оплаты!$B$6:$B$505,Оплаты!$A$6:$A$505,"&lt;"&amp;A2657,Оплаты!$D$6:$D$505,"&lt;&gt;"))</f>
        <v/>
      </c>
      <c r="E2657" t="str">
        <f>IF(A2657="","",IF(SUMPRODUCT((Ввод!$F$12:$F$31&lt;&gt;"")*(Ввод!$F$12:$F$31&lt;=A2657)*(Ввод!$G$12:$G$31&gt;=A2657))&gt;0,1,0))</f>
        <v/>
      </c>
      <c r="G2657" t="str">
        <f t="shared" si="83"/>
        <v/>
      </c>
    </row>
    <row r="2658" spans="1:7" x14ac:dyDescent="0.3">
      <c r="A2658" s="21" t="str">
        <f>IF(A2657="","",IF(A2657+1&gt;Ввод!$B$4,"",A2657+1))</f>
        <v/>
      </c>
      <c r="B2658" s="23" t="str">
        <f>IF(A2658="","",IFERROR(INDEX(Ввод!$B$12:$B$71,MATCH(A2658,Ввод!$D$12:$D$71,1)),""))</f>
        <v/>
      </c>
      <c r="C2658" t="str">
        <f t="shared" si="82"/>
        <v/>
      </c>
      <c r="D2658" t="str">
        <f>IF(A2658="","",SUMIFS(Акты!$D$5:$D$16,Акты!$E$5:$E$16,"&lt;="&amp;A2658)-SUMIFS(Оплаты!$B$6:$B$505,Оплаты!$A$6:$A$505,"&lt;"&amp;A2658,Оплаты!$D$6:$D$505,"&lt;&gt;"))</f>
        <v/>
      </c>
      <c r="E2658" t="str">
        <f>IF(A2658="","",IF(SUMPRODUCT((Ввод!$F$12:$F$31&lt;&gt;"")*(Ввод!$F$12:$F$31&lt;=A2658)*(Ввод!$G$12:$G$31&gt;=A2658))&gt;0,1,0))</f>
        <v/>
      </c>
      <c r="G2658" t="str">
        <f t="shared" si="83"/>
        <v/>
      </c>
    </row>
    <row r="2659" spans="1:7" x14ac:dyDescent="0.3">
      <c r="A2659" s="21" t="str">
        <f>IF(A2658="","",IF(A2658+1&gt;Ввод!$B$4,"",A2658+1))</f>
        <v/>
      </c>
      <c r="B2659" s="23" t="str">
        <f>IF(A2659="","",IFERROR(INDEX(Ввод!$B$12:$B$71,MATCH(A2659,Ввод!$D$12:$D$71,1)),""))</f>
        <v/>
      </c>
      <c r="C2659" t="str">
        <f t="shared" si="82"/>
        <v/>
      </c>
      <c r="D2659" t="str">
        <f>IF(A2659="","",SUMIFS(Акты!$D$5:$D$16,Акты!$E$5:$E$16,"&lt;="&amp;A2659)-SUMIFS(Оплаты!$B$6:$B$505,Оплаты!$A$6:$A$505,"&lt;"&amp;A2659,Оплаты!$D$6:$D$505,"&lt;&gt;"))</f>
        <v/>
      </c>
      <c r="E2659" t="str">
        <f>IF(A2659="","",IF(SUMPRODUCT((Ввод!$F$12:$F$31&lt;&gt;"")*(Ввод!$F$12:$F$31&lt;=A2659)*(Ввод!$G$12:$G$31&gt;=A2659))&gt;0,1,0))</f>
        <v/>
      </c>
      <c r="G2659" t="str">
        <f t="shared" si="83"/>
        <v/>
      </c>
    </row>
    <row r="2660" spans="1:7" x14ac:dyDescent="0.3">
      <c r="A2660" s="21" t="str">
        <f>IF(A2659="","",IF(A2659+1&gt;Ввод!$B$4,"",A2659+1))</f>
        <v/>
      </c>
      <c r="B2660" s="23" t="str">
        <f>IF(A2660="","",IFERROR(INDEX(Ввод!$B$12:$B$71,MATCH(A2660,Ввод!$D$12:$D$71,1)),""))</f>
        <v/>
      </c>
      <c r="C2660" t="str">
        <f t="shared" si="82"/>
        <v/>
      </c>
      <c r="D2660" t="str">
        <f>IF(A2660="","",SUMIFS(Акты!$D$5:$D$16,Акты!$E$5:$E$16,"&lt;="&amp;A2660)-SUMIFS(Оплаты!$B$6:$B$505,Оплаты!$A$6:$A$505,"&lt;"&amp;A2660,Оплаты!$D$6:$D$505,"&lt;&gt;"))</f>
        <v/>
      </c>
      <c r="E2660" t="str">
        <f>IF(A2660="","",IF(SUMPRODUCT((Ввод!$F$12:$F$31&lt;&gt;"")*(Ввод!$F$12:$F$31&lt;=A2660)*(Ввод!$G$12:$G$31&gt;=A2660))&gt;0,1,0))</f>
        <v/>
      </c>
      <c r="G2660" t="str">
        <f t="shared" si="83"/>
        <v/>
      </c>
    </row>
    <row r="2661" spans="1:7" x14ac:dyDescent="0.3">
      <c r="A2661" s="21" t="str">
        <f>IF(A2660="","",IF(A2660+1&gt;Ввод!$B$4,"",A2660+1))</f>
        <v/>
      </c>
      <c r="B2661" s="23" t="str">
        <f>IF(A2661="","",IFERROR(INDEX(Ввод!$B$12:$B$71,MATCH(A2661,Ввод!$D$12:$D$71,1)),""))</f>
        <v/>
      </c>
      <c r="C2661" t="str">
        <f t="shared" si="82"/>
        <v/>
      </c>
      <c r="D2661" t="str">
        <f>IF(A2661="","",SUMIFS(Акты!$D$5:$D$16,Акты!$E$5:$E$16,"&lt;="&amp;A2661)-SUMIFS(Оплаты!$B$6:$B$505,Оплаты!$A$6:$A$505,"&lt;"&amp;A2661,Оплаты!$D$6:$D$505,"&lt;&gt;"))</f>
        <v/>
      </c>
      <c r="E2661" t="str">
        <f>IF(A2661="","",IF(SUMPRODUCT((Ввод!$F$12:$F$31&lt;&gt;"")*(Ввод!$F$12:$F$31&lt;=A2661)*(Ввод!$G$12:$G$31&gt;=A2661))&gt;0,1,0))</f>
        <v/>
      </c>
      <c r="G2661" t="str">
        <f t="shared" si="83"/>
        <v/>
      </c>
    </row>
    <row r="2662" spans="1:7" x14ac:dyDescent="0.3">
      <c r="A2662" s="21" t="str">
        <f>IF(A2661="","",IF(A2661+1&gt;Ввод!$B$4,"",A2661+1))</f>
        <v/>
      </c>
      <c r="B2662" s="23" t="str">
        <f>IF(A2662="","",IFERROR(INDEX(Ввод!$B$12:$B$71,MATCH(A2662,Ввод!$D$12:$D$71,1)),""))</f>
        <v/>
      </c>
      <c r="C2662" t="str">
        <f t="shared" si="82"/>
        <v/>
      </c>
      <c r="D2662" t="str">
        <f>IF(A2662="","",SUMIFS(Акты!$D$5:$D$16,Акты!$E$5:$E$16,"&lt;="&amp;A2662)-SUMIFS(Оплаты!$B$6:$B$505,Оплаты!$A$6:$A$505,"&lt;"&amp;A2662,Оплаты!$D$6:$D$505,"&lt;&gt;"))</f>
        <v/>
      </c>
      <c r="E2662" t="str">
        <f>IF(A2662="","",IF(SUMPRODUCT((Ввод!$F$12:$F$31&lt;&gt;"")*(Ввод!$F$12:$F$31&lt;=A2662)*(Ввод!$G$12:$G$31&gt;=A2662))&gt;0,1,0))</f>
        <v/>
      </c>
      <c r="G2662" t="str">
        <f t="shared" si="83"/>
        <v/>
      </c>
    </row>
    <row r="2663" spans="1:7" x14ac:dyDescent="0.3">
      <c r="A2663" s="21" t="str">
        <f>IF(A2662="","",IF(A2662+1&gt;Ввод!$B$4,"",A2662+1))</f>
        <v/>
      </c>
      <c r="B2663" s="23" t="str">
        <f>IF(A2663="","",IFERROR(INDEX(Ввод!$B$12:$B$71,MATCH(A2663,Ввод!$D$12:$D$71,1)),""))</f>
        <v/>
      </c>
      <c r="C2663" t="str">
        <f t="shared" si="82"/>
        <v/>
      </c>
      <c r="D2663" t="str">
        <f>IF(A2663="","",SUMIFS(Акты!$D$5:$D$16,Акты!$E$5:$E$16,"&lt;="&amp;A2663)-SUMIFS(Оплаты!$B$6:$B$505,Оплаты!$A$6:$A$505,"&lt;"&amp;A2663,Оплаты!$D$6:$D$505,"&lt;&gt;"))</f>
        <v/>
      </c>
      <c r="E2663" t="str">
        <f>IF(A2663="","",IF(SUMPRODUCT((Ввод!$F$12:$F$31&lt;&gt;"")*(Ввод!$F$12:$F$31&lt;=A2663)*(Ввод!$G$12:$G$31&gt;=A2663))&gt;0,1,0))</f>
        <v/>
      </c>
      <c r="G2663" t="str">
        <f t="shared" si="83"/>
        <v/>
      </c>
    </row>
    <row r="2664" spans="1:7" x14ac:dyDescent="0.3">
      <c r="A2664" s="21" t="str">
        <f>IF(A2663="","",IF(A2663+1&gt;Ввод!$B$4,"",A2663+1))</f>
        <v/>
      </c>
      <c r="B2664" s="23" t="str">
        <f>IF(A2664="","",IFERROR(INDEX(Ввод!$B$12:$B$71,MATCH(A2664,Ввод!$D$12:$D$71,1)),""))</f>
        <v/>
      </c>
      <c r="C2664" t="str">
        <f t="shared" si="82"/>
        <v/>
      </c>
      <c r="D2664" t="str">
        <f>IF(A2664="","",SUMIFS(Акты!$D$5:$D$16,Акты!$E$5:$E$16,"&lt;="&amp;A2664)-SUMIFS(Оплаты!$B$6:$B$505,Оплаты!$A$6:$A$505,"&lt;"&amp;A2664,Оплаты!$D$6:$D$505,"&lt;&gt;"))</f>
        <v/>
      </c>
      <c r="E2664" t="str">
        <f>IF(A2664="","",IF(SUMPRODUCT((Ввод!$F$12:$F$31&lt;&gt;"")*(Ввод!$F$12:$F$31&lt;=A2664)*(Ввод!$G$12:$G$31&gt;=A2664))&gt;0,1,0))</f>
        <v/>
      </c>
      <c r="G2664" t="str">
        <f t="shared" si="83"/>
        <v/>
      </c>
    </row>
    <row r="2665" spans="1:7" x14ac:dyDescent="0.3">
      <c r="A2665" s="21" t="str">
        <f>IF(A2664="","",IF(A2664+1&gt;Ввод!$B$4,"",A2664+1))</f>
        <v/>
      </c>
      <c r="B2665" s="23" t="str">
        <f>IF(A2665="","",IFERROR(INDEX(Ввод!$B$12:$B$71,MATCH(A2665,Ввод!$D$12:$D$71,1)),""))</f>
        <v/>
      </c>
      <c r="C2665" t="str">
        <f t="shared" si="82"/>
        <v/>
      </c>
      <c r="D2665" t="str">
        <f>IF(A2665="","",SUMIFS(Акты!$D$5:$D$16,Акты!$E$5:$E$16,"&lt;="&amp;A2665)-SUMIFS(Оплаты!$B$6:$B$505,Оплаты!$A$6:$A$505,"&lt;"&amp;A2665,Оплаты!$D$6:$D$505,"&lt;&gt;"))</f>
        <v/>
      </c>
      <c r="E2665" t="str">
        <f>IF(A2665="","",IF(SUMPRODUCT((Ввод!$F$12:$F$31&lt;&gt;"")*(Ввод!$F$12:$F$31&lt;=A2665)*(Ввод!$G$12:$G$31&gt;=A2665))&gt;0,1,0))</f>
        <v/>
      </c>
      <c r="G2665" t="str">
        <f t="shared" si="83"/>
        <v/>
      </c>
    </row>
    <row r="2666" spans="1:7" x14ac:dyDescent="0.3">
      <c r="A2666" s="21" t="str">
        <f>IF(A2665="","",IF(A2665+1&gt;Ввод!$B$4,"",A2665+1))</f>
        <v/>
      </c>
      <c r="B2666" s="23" t="str">
        <f>IF(A2666="","",IFERROR(INDEX(Ввод!$B$12:$B$71,MATCH(A2666,Ввод!$D$12:$D$71,1)),""))</f>
        <v/>
      </c>
      <c r="C2666" t="str">
        <f t="shared" si="82"/>
        <v/>
      </c>
      <c r="D2666" t="str">
        <f>IF(A2666="","",SUMIFS(Акты!$D$5:$D$16,Акты!$E$5:$E$16,"&lt;="&amp;A2666)-SUMIFS(Оплаты!$B$6:$B$505,Оплаты!$A$6:$A$505,"&lt;"&amp;A2666,Оплаты!$D$6:$D$505,"&lt;&gt;"))</f>
        <v/>
      </c>
      <c r="E2666" t="str">
        <f>IF(A2666="","",IF(SUMPRODUCT((Ввод!$F$12:$F$31&lt;&gt;"")*(Ввод!$F$12:$F$31&lt;=A2666)*(Ввод!$G$12:$G$31&gt;=A2666))&gt;0,1,0))</f>
        <v/>
      </c>
      <c r="G2666" t="str">
        <f t="shared" si="83"/>
        <v/>
      </c>
    </row>
    <row r="2667" spans="1:7" x14ac:dyDescent="0.3">
      <c r="A2667" s="21" t="str">
        <f>IF(A2666="","",IF(A2666+1&gt;Ввод!$B$4,"",A2666+1))</f>
        <v/>
      </c>
      <c r="B2667" s="23" t="str">
        <f>IF(A2667="","",IFERROR(INDEX(Ввод!$B$12:$B$71,MATCH(A2667,Ввод!$D$12:$D$71,1)),""))</f>
        <v/>
      </c>
      <c r="C2667" t="str">
        <f t="shared" si="82"/>
        <v/>
      </c>
      <c r="D2667" t="str">
        <f>IF(A2667="","",SUMIFS(Акты!$D$5:$D$16,Акты!$E$5:$E$16,"&lt;="&amp;A2667)-SUMIFS(Оплаты!$B$6:$B$505,Оплаты!$A$6:$A$505,"&lt;"&amp;A2667,Оплаты!$D$6:$D$505,"&lt;&gt;"))</f>
        <v/>
      </c>
      <c r="E2667" t="str">
        <f>IF(A2667="","",IF(SUMPRODUCT((Ввод!$F$12:$F$31&lt;&gt;"")*(Ввод!$F$12:$F$31&lt;=A2667)*(Ввод!$G$12:$G$31&gt;=A2667))&gt;0,1,0))</f>
        <v/>
      </c>
      <c r="G2667" t="str">
        <f t="shared" si="83"/>
        <v/>
      </c>
    </row>
    <row r="2668" spans="1:7" x14ac:dyDescent="0.3">
      <c r="A2668" s="21" t="str">
        <f>IF(A2667="","",IF(A2667+1&gt;Ввод!$B$4,"",A2667+1))</f>
        <v/>
      </c>
      <c r="B2668" s="23" t="str">
        <f>IF(A2668="","",IFERROR(INDEX(Ввод!$B$12:$B$71,MATCH(A2668,Ввод!$D$12:$D$71,1)),""))</f>
        <v/>
      </c>
      <c r="C2668" t="str">
        <f t="shared" si="82"/>
        <v/>
      </c>
      <c r="D2668" t="str">
        <f>IF(A2668="","",SUMIFS(Акты!$D$5:$D$16,Акты!$E$5:$E$16,"&lt;="&amp;A2668)-SUMIFS(Оплаты!$B$6:$B$505,Оплаты!$A$6:$A$505,"&lt;"&amp;A2668,Оплаты!$D$6:$D$505,"&lt;&gt;"))</f>
        <v/>
      </c>
      <c r="E2668" t="str">
        <f>IF(A2668="","",IF(SUMPRODUCT((Ввод!$F$12:$F$31&lt;&gt;"")*(Ввод!$F$12:$F$31&lt;=A2668)*(Ввод!$G$12:$G$31&gt;=A2668))&gt;0,1,0))</f>
        <v/>
      </c>
      <c r="G2668" t="str">
        <f t="shared" si="83"/>
        <v/>
      </c>
    </row>
    <row r="2669" spans="1:7" x14ac:dyDescent="0.3">
      <c r="A2669" s="21" t="str">
        <f>IF(A2668="","",IF(A2668+1&gt;Ввод!$B$4,"",A2668+1))</f>
        <v/>
      </c>
      <c r="B2669" s="23" t="str">
        <f>IF(A2669="","",IFERROR(INDEX(Ввод!$B$12:$B$71,MATCH(A2669,Ввод!$D$12:$D$71,1)),""))</f>
        <v/>
      </c>
      <c r="C2669" t="str">
        <f t="shared" si="82"/>
        <v/>
      </c>
      <c r="D2669" t="str">
        <f>IF(A2669="","",SUMIFS(Акты!$D$5:$D$16,Акты!$E$5:$E$16,"&lt;="&amp;A2669)-SUMIFS(Оплаты!$B$6:$B$505,Оплаты!$A$6:$A$505,"&lt;"&amp;A2669,Оплаты!$D$6:$D$505,"&lt;&gt;"))</f>
        <v/>
      </c>
      <c r="E2669" t="str">
        <f>IF(A2669="","",IF(SUMPRODUCT((Ввод!$F$12:$F$31&lt;&gt;"")*(Ввод!$F$12:$F$31&lt;=A2669)*(Ввод!$G$12:$G$31&gt;=A2669))&gt;0,1,0))</f>
        <v/>
      </c>
      <c r="G2669" t="str">
        <f t="shared" si="83"/>
        <v/>
      </c>
    </row>
    <row r="2670" spans="1:7" x14ac:dyDescent="0.3">
      <c r="A2670" s="21" t="str">
        <f>IF(A2669="","",IF(A2669+1&gt;Ввод!$B$4,"",A2669+1))</f>
        <v/>
      </c>
      <c r="B2670" s="23" t="str">
        <f>IF(A2670="","",IFERROR(INDEX(Ввод!$B$12:$B$71,MATCH(A2670,Ввод!$D$12:$D$71,1)),""))</f>
        <v/>
      </c>
      <c r="C2670" t="str">
        <f t="shared" si="82"/>
        <v/>
      </c>
      <c r="D2670" t="str">
        <f>IF(A2670="","",SUMIFS(Акты!$D$5:$D$16,Акты!$E$5:$E$16,"&lt;="&amp;A2670)-SUMIFS(Оплаты!$B$6:$B$505,Оплаты!$A$6:$A$505,"&lt;"&amp;A2670,Оплаты!$D$6:$D$505,"&lt;&gt;"))</f>
        <v/>
      </c>
      <c r="E2670" t="str">
        <f>IF(A2670="","",IF(SUMPRODUCT((Ввод!$F$12:$F$31&lt;&gt;"")*(Ввод!$F$12:$F$31&lt;=A2670)*(Ввод!$G$12:$G$31&gt;=A2670))&gt;0,1,0))</f>
        <v/>
      </c>
      <c r="G2670" t="str">
        <f t="shared" si="83"/>
        <v/>
      </c>
    </row>
    <row r="2671" spans="1:7" x14ac:dyDescent="0.3">
      <c r="A2671" s="21" t="str">
        <f>IF(A2670="","",IF(A2670+1&gt;Ввод!$B$4,"",A2670+1))</f>
        <v/>
      </c>
      <c r="B2671" s="23" t="str">
        <f>IF(A2671="","",IFERROR(INDEX(Ввод!$B$12:$B$71,MATCH(A2671,Ввод!$D$12:$D$71,1)),""))</f>
        <v/>
      </c>
      <c r="C2671" t="str">
        <f t="shared" si="82"/>
        <v/>
      </c>
      <c r="D2671" t="str">
        <f>IF(A2671="","",SUMIFS(Акты!$D$5:$D$16,Акты!$E$5:$E$16,"&lt;="&amp;A2671)-SUMIFS(Оплаты!$B$6:$B$505,Оплаты!$A$6:$A$505,"&lt;"&amp;A2671,Оплаты!$D$6:$D$505,"&lt;&gt;"))</f>
        <v/>
      </c>
      <c r="E2671" t="str">
        <f>IF(A2671="","",IF(SUMPRODUCT((Ввод!$F$12:$F$31&lt;&gt;"")*(Ввод!$F$12:$F$31&lt;=A2671)*(Ввод!$G$12:$G$31&gt;=A2671))&gt;0,1,0))</f>
        <v/>
      </c>
      <c r="G2671" t="str">
        <f t="shared" si="83"/>
        <v/>
      </c>
    </row>
    <row r="2672" spans="1:7" x14ac:dyDescent="0.3">
      <c r="A2672" s="21" t="str">
        <f>IF(A2671="","",IF(A2671+1&gt;Ввод!$B$4,"",A2671+1))</f>
        <v/>
      </c>
      <c r="B2672" s="23" t="str">
        <f>IF(A2672="","",IFERROR(INDEX(Ввод!$B$12:$B$71,MATCH(A2672,Ввод!$D$12:$D$71,1)),""))</f>
        <v/>
      </c>
      <c r="C2672" t="str">
        <f t="shared" si="82"/>
        <v/>
      </c>
      <c r="D2672" t="str">
        <f>IF(A2672="","",SUMIFS(Акты!$D$5:$D$16,Акты!$E$5:$E$16,"&lt;="&amp;A2672)-SUMIFS(Оплаты!$B$6:$B$505,Оплаты!$A$6:$A$505,"&lt;"&amp;A2672,Оплаты!$D$6:$D$505,"&lt;&gt;"))</f>
        <v/>
      </c>
      <c r="E2672" t="str">
        <f>IF(A2672="","",IF(SUMPRODUCT((Ввод!$F$12:$F$31&lt;&gt;"")*(Ввод!$F$12:$F$31&lt;=A2672)*(Ввод!$G$12:$G$31&gt;=A2672))&gt;0,1,0))</f>
        <v/>
      </c>
      <c r="G2672" t="str">
        <f t="shared" si="83"/>
        <v/>
      </c>
    </row>
    <row r="2673" spans="1:7" x14ac:dyDescent="0.3">
      <c r="A2673" s="21" t="str">
        <f>IF(A2672="","",IF(A2672+1&gt;Ввод!$B$4,"",A2672+1))</f>
        <v/>
      </c>
      <c r="B2673" s="23" t="str">
        <f>IF(A2673="","",IFERROR(INDEX(Ввод!$B$12:$B$71,MATCH(A2673,Ввод!$D$12:$D$71,1)),""))</f>
        <v/>
      </c>
      <c r="C2673" t="str">
        <f t="shared" si="82"/>
        <v/>
      </c>
      <c r="D2673" t="str">
        <f>IF(A2673="","",SUMIFS(Акты!$D$5:$D$16,Акты!$E$5:$E$16,"&lt;="&amp;A2673)-SUMIFS(Оплаты!$B$6:$B$505,Оплаты!$A$6:$A$505,"&lt;"&amp;A2673,Оплаты!$D$6:$D$505,"&lt;&gt;"))</f>
        <v/>
      </c>
      <c r="E2673" t="str">
        <f>IF(A2673="","",IF(SUMPRODUCT((Ввод!$F$12:$F$31&lt;&gt;"")*(Ввод!$F$12:$F$31&lt;=A2673)*(Ввод!$G$12:$G$31&gt;=A2673))&gt;0,1,0))</f>
        <v/>
      </c>
      <c r="G2673" t="str">
        <f t="shared" si="83"/>
        <v/>
      </c>
    </row>
    <row r="2674" spans="1:7" x14ac:dyDescent="0.3">
      <c r="A2674" s="21" t="str">
        <f>IF(A2673="","",IF(A2673+1&gt;Ввод!$B$4,"",A2673+1))</f>
        <v/>
      </c>
      <c r="B2674" s="23" t="str">
        <f>IF(A2674="","",IFERROR(INDEX(Ввод!$B$12:$B$71,MATCH(A2674,Ввод!$D$12:$D$71,1)),""))</f>
        <v/>
      </c>
      <c r="C2674" t="str">
        <f t="shared" si="82"/>
        <v/>
      </c>
      <c r="D2674" t="str">
        <f>IF(A2674="","",SUMIFS(Акты!$D$5:$D$16,Акты!$E$5:$E$16,"&lt;="&amp;A2674)-SUMIFS(Оплаты!$B$6:$B$505,Оплаты!$A$6:$A$505,"&lt;"&amp;A2674,Оплаты!$D$6:$D$505,"&lt;&gt;"))</f>
        <v/>
      </c>
      <c r="E2674" t="str">
        <f>IF(A2674="","",IF(SUMPRODUCT((Ввод!$F$12:$F$31&lt;&gt;"")*(Ввод!$F$12:$F$31&lt;=A2674)*(Ввод!$G$12:$G$31&gt;=A2674))&gt;0,1,0))</f>
        <v/>
      </c>
      <c r="G2674" t="str">
        <f t="shared" si="83"/>
        <v/>
      </c>
    </row>
    <row r="2675" spans="1:7" x14ac:dyDescent="0.3">
      <c r="A2675" s="21" t="str">
        <f>IF(A2674="","",IF(A2674+1&gt;Ввод!$B$4,"",A2674+1))</f>
        <v/>
      </c>
      <c r="B2675" s="23" t="str">
        <f>IF(A2675="","",IFERROR(INDEX(Ввод!$B$12:$B$71,MATCH(A2675,Ввод!$D$12:$D$71,1)),""))</f>
        <v/>
      </c>
      <c r="C2675" t="str">
        <f t="shared" si="82"/>
        <v/>
      </c>
      <c r="D2675" t="str">
        <f>IF(A2675="","",SUMIFS(Акты!$D$5:$D$16,Акты!$E$5:$E$16,"&lt;="&amp;A2675)-SUMIFS(Оплаты!$B$6:$B$505,Оплаты!$A$6:$A$505,"&lt;"&amp;A2675,Оплаты!$D$6:$D$505,"&lt;&gt;"))</f>
        <v/>
      </c>
      <c r="E2675" t="str">
        <f>IF(A2675="","",IF(SUMPRODUCT((Ввод!$F$12:$F$31&lt;&gt;"")*(Ввод!$F$12:$F$31&lt;=A2675)*(Ввод!$G$12:$G$31&gt;=A2675))&gt;0,1,0))</f>
        <v/>
      </c>
      <c r="G2675" t="str">
        <f t="shared" si="83"/>
        <v/>
      </c>
    </row>
    <row r="2676" spans="1:7" x14ac:dyDescent="0.3">
      <c r="A2676" s="21" t="str">
        <f>IF(A2675="","",IF(A2675+1&gt;Ввод!$B$4,"",A2675+1))</f>
        <v/>
      </c>
      <c r="B2676" s="23" t="str">
        <f>IF(A2676="","",IFERROR(INDEX(Ввод!$B$12:$B$71,MATCH(A2676,Ввод!$D$12:$D$71,1)),""))</f>
        <v/>
      </c>
      <c r="C2676" t="str">
        <f t="shared" si="82"/>
        <v/>
      </c>
      <c r="D2676" t="str">
        <f>IF(A2676="","",SUMIFS(Акты!$D$5:$D$16,Акты!$E$5:$E$16,"&lt;="&amp;A2676)-SUMIFS(Оплаты!$B$6:$B$505,Оплаты!$A$6:$A$505,"&lt;"&amp;A2676,Оплаты!$D$6:$D$505,"&lt;&gt;"))</f>
        <v/>
      </c>
      <c r="E2676" t="str">
        <f>IF(A2676="","",IF(SUMPRODUCT((Ввод!$F$12:$F$31&lt;&gt;"")*(Ввод!$F$12:$F$31&lt;=A2676)*(Ввод!$G$12:$G$31&gt;=A2676))&gt;0,1,0))</f>
        <v/>
      </c>
      <c r="G2676" t="str">
        <f t="shared" si="83"/>
        <v/>
      </c>
    </row>
    <row r="2677" spans="1:7" x14ac:dyDescent="0.3">
      <c r="A2677" s="21" t="str">
        <f>IF(A2676="","",IF(A2676+1&gt;Ввод!$B$4,"",A2676+1))</f>
        <v/>
      </c>
      <c r="B2677" s="23" t="str">
        <f>IF(A2677="","",IFERROR(INDEX(Ввод!$B$12:$B$71,MATCH(A2677,Ввод!$D$12:$D$71,1)),""))</f>
        <v/>
      </c>
      <c r="C2677" t="str">
        <f t="shared" si="82"/>
        <v/>
      </c>
      <c r="D2677" t="str">
        <f>IF(A2677="","",SUMIFS(Акты!$D$5:$D$16,Акты!$E$5:$E$16,"&lt;="&amp;A2677)-SUMIFS(Оплаты!$B$6:$B$505,Оплаты!$A$6:$A$505,"&lt;"&amp;A2677,Оплаты!$D$6:$D$505,"&lt;&gt;"))</f>
        <v/>
      </c>
      <c r="E2677" t="str">
        <f>IF(A2677="","",IF(SUMPRODUCT((Ввод!$F$12:$F$31&lt;&gt;"")*(Ввод!$F$12:$F$31&lt;=A2677)*(Ввод!$G$12:$G$31&gt;=A2677))&gt;0,1,0))</f>
        <v/>
      </c>
      <c r="G2677" t="str">
        <f t="shared" si="83"/>
        <v/>
      </c>
    </row>
    <row r="2678" spans="1:7" x14ac:dyDescent="0.3">
      <c r="A2678" s="21" t="str">
        <f>IF(A2677="","",IF(A2677+1&gt;Ввод!$B$4,"",A2677+1))</f>
        <v/>
      </c>
      <c r="B2678" s="23" t="str">
        <f>IF(A2678="","",IFERROR(INDEX(Ввод!$B$12:$B$71,MATCH(A2678,Ввод!$D$12:$D$71,1)),""))</f>
        <v/>
      </c>
      <c r="C2678" t="str">
        <f t="shared" si="82"/>
        <v/>
      </c>
      <c r="D2678" t="str">
        <f>IF(A2678="","",SUMIFS(Акты!$D$5:$D$16,Акты!$E$5:$E$16,"&lt;="&amp;A2678)-SUMIFS(Оплаты!$B$6:$B$505,Оплаты!$A$6:$A$505,"&lt;"&amp;A2678,Оплаты!$D$6:$D$505,"&lt;&gt;"))</f>
        <v/>
      </c>
      <c r="E2678" t="str">
        <f>IF(A2678="","",IF(SUMPRODUCT((Ввод!$F$12:$F$31&lt;&gt;"")*(Ввод!$F$12:$F$31&lt;=A2678)*(Ввод!$G$12:$G$31&gt;=A2678))&gt;0,1,0))</f>
        <v/>
      </c>
      <c r="G2678" t="str">
        <f t="shared" si="83"/>
        <v/>
      </c>
    </row>
    <row r="2679" spans="1:7" x14ac:dyDescent="0.3">
      <c r="A2679" s="21" t="str">
        <f>IF(A2678="","",IF(A2678+1&gt;Ввод!$B$4,"",A2678+1))</f>
        <v/>
      </c>
      <c r="B2679" s="23" t="str">
        <f>IF(A2679="","",IFERROR(INDEX(Ввод!$B$12:$B$71,MATCH(A2679,Ввод!$D$12:$D$71,1)),""))</f>
        <v/>
      </c>
      <c r="C2679" t="str">
        <f t="shared" si="82"/>
        <v/>
      </c>
      <c r="D2679" t="str">
        <f>IF(A2679="","",SUMIFS(Акты!$D$5:$D$16,Акты!$E$5:$E$16,"&lt;="&amp;A2679)-SUMIFS(Оплаты!$B$6:$B$505,Оплаты!$A$6:$A$505,"&lt;"&amp;A2679,Оплаты!$D$6:$D$505,"&lt;&gt;"))</f>
        <v/>
      </c>
      <c r="E2679" t="str">
        <f>IF(A2679="","",IF(SUMPRODUCT((Ввод!$F$12:$F$31&lt;&gt;"")*(Ввод!$F$12:$F$31&lt;=A2679)*(Ввод!$G$12:$G$31&gt;=A2679))&gt;0,1,0))</f>
        <v/>
      </c>
      <c r="G2679" t="str">
        <f t="shared" si="83"/>
        <v/>
      </c>
    </row>
    <row r="2680" spans="1:7" x14ac:dyDescent="0.3">
      <c r="A2680" s="21" t="str">
        <f>IF(A2679="","",IF(A2679+1&gt;Ввод!$B$4,"",A2679+1))</f>
        <v/>
      </c>
      <c r="B2680" s="23" t="str">
        <f>IF(A2680="","",IFERROR(INDEX(Ввод!$B$12:$B$71,MATCH(A2680,Ввод!$D$12:$D$71,1)),""))</f>
        <v/>
      </c>
      <c r="C2680" t="str">
        <f t="shared" si="82"/>
        <v/>
      </c>
      <c r="D2680" t="str">
        <f>IF(A2680="","",SUMIFS(Акты!$D$5:$D$16,Акты!$E$5:$E$16,"&lt;="&amp;A2680)-SUMIFS(Оплаты!$B$6:$B$505,Оплаты!$A$6:$A$505,"&lt;"&amp;A2680,Оплаты!$D$6:$D$505,"&lt;&gt;"))</f>
        <v/>
      </c>
      <c r="E2680" t="str">
        <f>IF(A2680="","",IF(SUMPRODUCT((Ввод!$F$12:$F$31&lt;&gt;"")*(Ввод!$F$12:$F$31&lt;=A2680)*(Ввод!$G$12:$G$31&gt;=A2680))&gt;0,1,0))</f>
        <v/>
      </c>
      <c r="G2680" t="str">
        <f t="shared" si="83"/>
        <v/>
      </c>
    </row>
    <row r="2681" spans="1:7" x14ac:dyDescent="0.3">
      <c r="A2681" s="21" t="str">
        <f>IF(A2680="","",IF(A2680+1&gt;Ввод!$B$4,"",A2680+1))</f>
        <v/>
      </c>
      <c r="B2681" s="23" t="str">
        <f>IF(A2681="","",IFERROR(INDEX(Ввод!$B$12:$B$71,MATCH(A2681,Ввод!$D$12:$D$71,1)),""))</f>
        <v/>
      </c>
      <c r="C2681" t="str">
        <f t="shared" si="82"/>
        <v/>
      </c>
      <c r="D2681" t="str">
        <f>IF(A2681="","",SUMIFS(Акты!$D$5:$D$16,Акты!$E$5:$E$16,"&lt;="&amp;A2681)-SUMIFS(Оплаты!$B$6:$B$505,Оплаты!$A$6:$A$505,"&lt;"&amp;A2681,Оплаты!$D$6:$D$505,"&lt;&gt;"))</f>
        <v/>
      </c>
      <c r="E2681" t="str">
        <f>IF(A2681="","",IF(SUMPRODUCT((Ввод!$F$12:$F$31&lt;&gt;"")*(Ввод!$F$12:$F$31&lt;=A2681)*(Ввод!$G$12:$G$31&gt;=A2681))&gt;0,1,0))</f>
        <v/>
      </c>
      <c r="G2681" t="str">
        <f t="shared" si="83"/>
        <v/>
      </c>
    </row>
    <row r="2682" spans="1:7" x14ac:dyDescent="0.3">
      <c r="A2682" s="21" t="str">
        <f>IF(A2681="","",IF(A2681+1&gt;Ввод!$B$4,"",A2681+1))</f>
        <v/>
      </c>
      <c r="B2682" s="23" t="str">
        <f>IF(A2682="","",IFERROR(INDEX(Ввод!$B$12:$B$71,MATCH(A2682,Ввод!$D$12:$D$71,1)),""))</f>
        <v/>
      </c>
      <c r="C2682" t="str">
        <f t="shared" si="82"/>
        <v/>
      </c>
      <c r="D2682" t="str">
        <f>IF(A2682="","",SUMIFS(Акты!$D$5:$D$16,Акты!$E$5:$E$16,"&lt;="&amp;A2682)-SUMIFS(Оплаты!$B$6:$B$505,Оплаты!$A$6:$A$505,"&lt;"&amp;A2682,Оплаты!$D$6:$D$505,"&lt;&gt;"))</f>
        <v/>
      </c>
      <c r="E2682" t="str">
        <f>IF(A2682="","",IF(SUMPRODUCT((Ввод!$F$12:$F$31&lt;&gt;"")*(Ввод!$F$12:$F$31&lt;=A2682)*(Ввод!$G$12:$G$31&gt;=A2682))&gt;0,1,0))</f>
        <v/>
      </c>
      <c r="G2682" t="str">
        <f t="shared" si="83"/>
        <v/>
      </c>
    </row>
    <row r="2683" spans="1:7" x14ac:dyDescent="0.3">
      <c r="A2683" s="21" t="str">
        <f>IF(A2682="","",IF(A2682+1&gt;Ввод!$B$4,"",A2682+1))</f>
        <v/>
      </c>
      <c r="B2683" s="23" t="str">
        <f>IF(A2683="","",IFERROR(INDEX(Ввод!$B$12:$B$71,MATCH(A2683,Ввод!$D$12:$D$71,1)),""))</f>
        <v/>
      </c>
      <c r="C2683" t="str">
        <f t="shared" si="82"/>
        <v/>
      </c>
      <c r="D2683" t="str">
        <f>IF(A2683="","",SUMIFS(Акты!$D$5:$D$16,Акты!$E$5:$E$16,"&lt;="&amp;A2683)-SUMIFS(Оплаты!$B$6:$B$505,Оплаты!$A$6:$A$505,"&lt;"&amp;A2683,Оплаты!$D$6:$D$505,"&lt;&gt;"))</f>
        <v/>
      </c>
      <c r="E2683" t="str">
        <f>IF(A2683="","",IF(SUMPRODUCT((Ввод!$F$12:$F$31&lt;&gt;"")*(Ввод!$F$12:$F$31&lt;=A2683)*(Ввод!$G$12:$G$31&gt;=A2683))&gt;0,1,0))</f>
        <v/>
      </c>
      <c r="G2683" t="str">
        <f t="shared" si="83"/>
        <v/>
      </c>
    </row>
    <row r="2684" spans="1:7" x14ac:dyDescent="0.3">
      <c r="A2684" s="21" t="str">
        <f>IF(A2683="","",IF(A2683+1&gt;Ввод!$B$4,"",A2683+1))</f>
        <v/>
      </c>
      <c r="B2684" s="23" t="str">
        <f>IF(A2684="","",IFERROR(INDEX(Ввод!$B$12:$B$71,MATCH(A2684,Ввод!$D$12:$D$71,1)),""))</f>
        <v/>
      </c>
      <c r="C2684" t="str">
        <f t="shared" si="82"/>
        <v/>
      </c>
      <c r="D2684" t="str">
        <f>IF(A2684="","",SUMIFS(Акты!$D$5:$D$16,Акты!$E$5:$E$16,"&lt;="&amp;A2684)-SUMIFS(Оплаты!$B$6:$B$505,Оплаты!$A$6:$A$505,"&lt;"&amp;A2684,Оплаты!$D$6:$D$505,"&lt;&gt;"))</f>
        <v/>
      </c>
      <c r="E2684" t="str">
        <f>IF(A2684="","",IF(SUMPRODUCT((Ввод!$F$12:$F$31&lt;&gt;"")*(Ввод!$F$12:$F$31&lt;=A2684)*(Ввод!$G$12:$G$31&gt;=A2684))&gt;0,1,0))</f>
        <v/>
      </c>
      <c r="G2684" t="str">
        <f t="shared" si="83"/>
        <v/>
      </c>
    </row>
    <row r="2685" spans="1:7" x14ac:dyDescent="0.3">
      <c r="A2685" s="21" t="str">
        <f>IF(A2684="","",IF(A2684+1&gt;Ввод!$B$4,"",A2684+1))</f>
        <v/>
      </c>
      <c r="B2685" s="23" t="str">
        <f>IF(A2685="","",IFERROR(INDEX(Ввод!$B$12:$B$71,MATCH(A2685,Ввод!$D$12:$D$71,1)),""))</f>
        <v/>
      </c>
      <c r="C2685" t="str">
        <f t="shared" si="82"/>
        <v/>
      </c>
      <c r="D2685" t="str">
        <f>IF(A2685="","",SUMIFS(Акты!$D$5:$D$16,Акты!$E$5:$E$16,"&lt;="&amp;A2685)-SUMIFS(Оплаты!$B$6:$B$505,Оплаты!$A$6:$A$505,"&lt;"&amp;A2685,Оплаты!$D$6:$D$505,"&lt;&gt;"))</f>
        <v/>
      </c>
      <c r="E2685" t="str">
        <f>IF(A2685="","",IF(SUMPRODUCT((Ввод!$F$12:$F$31&lt;&gt;"")*(Ввод!$F$12:$F$31&lt;=A2685)*(Ввод!$G$12:$G$31&gt;=A2685))&gt;0,1,0))</f>
        <v/>
      </c>
      <c r="G2685" t="str">
        <f t="shared" si="83"/>
        <v/>
      </c>
    </row>
    <row r="2686" spans="1:7" x14ac:dyDescent="0.3">
      <c r="A2686" s="21" t="str">
        <f>IF(A2685="","",IF(A2685+1&gt;Ввод!$B$4,"",A2685+1))</f>
        <v/>
      </c>
      <c r="B2686" s="23" t="str">
        <f>IF(A2686="","",IFERROR(INDEX(Ввод!$B$12:$B$71,MATCH(A2686,Ввод!$D$12:$D$71,1)),""))</f>
        <v/>
      </c>
      <c r="C2686" t="str">
        <f t="shared" si="82"/>
        <v/>
      </c>
      <c r="D2686" t="str">
        <f>IF(A2686="","",SUMIFS(Акты!$D$5:$D$16,Акты!$E$5:$E$16,"&lt;="&amp;A2686)-SUMIFS(Оплаты!$B$6:$B$505,Оплаты!$A$6:$A$505,"&lt;"&amp;A2686,Оплаты!$D$6:$D$505,"&lt;&gt;"))</f>
        <v/>
      </c>
      <c r="E2686" t="str">
        <f>IF(A2686="","",IF(SUMPRODUCT((Ввод!$F$12:$F$31&lt;&gt;"")*(Ввод!$F$12:$F$31&lt;=A2686)*(Ввод!$G$12:$G$31&gt;=A2686))&gt;0,1,0))</f>
        <v/>
      </c>
      <c r="G2686" t="str">
        <f t="shared" si="83"/>
        <v/>
      </c>
    </row>
    <row r="2687" spans="1:7" x14ac:dyDescent="0.3">
      <c r="A2687" s="21" t="str">
        <f>IF(A2686="","",IF(A2686+1&gt;Ввод!$B$4,"",A2686+1))</f>
        <v/>
      </c>
      <c r="B2687" s="23" t="str">
        <f>IF(A2687="","",IFERROR(INDEX(Ввод!$B$12:$B$71,MATCH(A2687,Ввод!$D$12:$D$71,1)),""))</f>
        <v/>
      </c>
      <c r="C2687" t="str">
        <f t="shared" si="82"/>
        <v/>
      </c>
      <c r="D2687" t="str">
        <f>IF(A2687="","",SUMIFS(Акты!$D$5:$D$16,Акты!$E$5:$E$16,"&lt;="&amp;A2687)-SUMIFS(Оплаты!$B$6:$B$505,Оплаты!$A$6:$A$505,"&lt;"&amp;A2687,Оплаты!$D$6:$D$505,"&lt;&gt;"))</f>
        <v/>
      </c>
      <c r="E2687" t="str">
        <f>IF(A2687="","",IF(SUMPRODUCT((Ввод!$F$12:$F$31&lt;&gt;"")*(Ввод!$F$12:$F$31&lt;=A2687)*(Ввод!$G$12:$G$31&gt;=A2687))&gt;0,1,0))</f>
        <v/>
      </c>
      <c r="G2687" t="str">
        <f t="shared" si="83"/>
        <v/>
      </c>
    </row>
    <row r="2688" spans="1:7" x14ac:dyDescent="0.3">
      <c r="A2688" s="21" t="str">
        <f>IF(A2687="","",IF(A2687+1&gt;Ввод!$B$4,"",A2687+1))</f>
        <v/>
      </c>
      <c r="B2688" s="23" t="str">
        <f>IF(A2688="","",IFERROR(INDEX(Ввод!$B$12:$B$71,MATCH(A2688,Ввод!$D$12:$D$71,1)),""))</f>
        <v/>
      </c>
      <c r="C2688" t="str">
        <f t="shared" si="82"/>
        <v/>
      </c>
      <c r="D2688" t="str">
        <f>IF(A2688="","",SUMIFS(Акты!$D$5:$D$16,Акты!$E$5:$E$16,"&lt;="&amp;A2688)-SUMIFS(Оплаты!$B$6:$B$505,Оплаты!$A$6:$A$505,"&lt;"&amp;A2688,Оплаты!$D$6:$D$505,"&lt;&gt;"))</f>
        <v/>
      </c>
      <c r="E2688" t="str">
        <f>IF(A2688="","",IF(SUMPRODUCT((Ввод!$F$12:$F$31&lt;&gt;"")*(Ввод!$F$12:$F$31&lt;=A2688)*(Ввод!$G$12:$G$31&gt;=A2688))&gt;0,1,0))</f>
        <v/>
      </c>
      <c r="G2688" t="str">
        <f t="shared" si="83"/>
        <v/>
      </c>
    </row>
    <row r="2689" spans="1:7" x14ac:dyDescent="0.3">
      <c r="A2689" s="21" t="str">
        <f>IF(A2688="","",IF(A2688+1&gt;Ввод!$B$4,"",A2688+1))</f>
        <v/>
      </c>
      <c r="B2689" s="23" t="str">
        <f>IF(A2689="","",IFERROR(INDEX(Ввод!$B$12:$B$71,MATCH(A2689,Ввод!$D$12:$D$71,1)),""))</f>
        <v/>
      </c>
      <c r="C2689" t="str">
        <f t="shared" si="82"/>
        <v/>
      </c>
      <c r="D2689" t="str">
        <f>IF(A2689="","",SUMIFS(Акты!$D$5:$D$16,Акты!$E$5:$E$16,"&lt;="&amp;A2689)-SUMIFS(Оплаты!$B$6:$B$505,Оплаты!$A$6:$A$505,"&lt;"&amp;A2689,Оплаты!$D$6:$D$505,"&lt;&gt;"))</f>
        <v/>
      </c>
      <c r="E2689" t="str">
        <f>IF(A2689="","",IF(SUMPRODUCT((Ввод!$F$12:$F$31&lt;&gt;"")*(Ввод!$F$12:$F$31&lt;=A2689)*(Ввод!$G$12:$G$31&gt;=A2689))&gt;0,1,0))</f>
        <v/>
      </c>
      <c r="G2689" t="str">
        <f t="shared" si="83"/>
        <v/>
      </c>
    </row>
    <row r="2690" spans="1:7" x14ac:dyDescent="0.3">
      <c r="A2690" s="21" t="str">
        <f>IF(A2689="","",IF(A2689+1&gt;Ввод!$B$4,"",A2689+1))</f>
        <v/>
      </c>
      <c r="B2690" s="23" t="str">
        <f>IF(A2690="","",IFERROR(INDEX(Ввод!$B$12:$B$71,MATCH(A2690,Ввод!$D$12:$D$71,1)),""))</f>
        <v/>
      </c>
      <c r="C2690" t="str">
        <f t="shared" ref="C2690:C2753" si="84">IF(A2690="","",DATE(YEAR(A2690),12,31)-DATE(YEAR(A2690),1,1)+1)</f>
        <v/>
      </c>
      <c r="D2690" t="str">
        <f>IF(A2690="","",SUMIFS(Акты!$D$5:$D$16,Акты!$E$5:$E$16,"&lt;="&amp;A2690)-SUMIFS(Оплаты!$B$6:$B$505,Оплаты!$A$6:$A$505,"&lt;"&amp;A2690,Оплаты!$D$6:$D$505,"&lt;&gt;"))</f>
        <v/>
      </c>
      <c r="E2690" t="str">
        <f>IF(A2690="","",IF(SUMPRODUCT((Ввод!$F$12:$F$31&lt;&gt;"")*(Ввод!$F$12:$F$31&lt;=A2690)*(Ввод!$G$12:$G$31&gt;=A2690))&gt;0,1,0))</f>
        <v/>
      </c>
      <c r="G2690" t="str">
        <f t="shared" si="83"/>
        <v/>
      </c>
    </row>
    <row r="2691" spans="1:7" x14ac:dyDescent="0.3">
      <c r="A2691" s="21" t="str">
        <f>IF(A2690="","",IF(A2690+1&gt;Ввод!$B$4,"",A2690+1))</f>
        <v/>
      </c>
      <c r="B2691" s="23" t="str">
        <f>IF(A2691="","",IFERROR(INDEX(Ввод!$B$12:$B$71,MATCH(A2691,Ввод!$D$12:$D$71,1)),""))</f>
        <v/>
      </c>
      <c r="C2691" t="str">
        <f t="shared" si="84"/>
        <v/>
      </c>
      <c r="D2691" t="str">
        <f>IF(A2691="","",SUMIFS(Акты!$D$5:$D$16,Акты!$E$5:$E$16,"&lt;="&amp;A2691)-SUMIFS(Оплаты!$B$6:$B$505,Оплаты!$A$6:$A$505,"&lt;"&amp;A2691,Оплаты!$D$6:$D$505,"&lt;&gt;"))</f>
        <v/>
      </c>
      <c r="E2691" t="str">
        <f>IF(A2691="","",IF(SUMPRODUCT((Ввод!$F$12:$F$31&lt;&gt;"")*(Ввод!$F$12:$F$31&lt;=A2691)*(Ввод!$G$12:$G$31&gt;=A2691))&gt;0,1,0))</f>
        <v/>
      </c>
      <c r="G2691" t="str">
        <f t="shared" ref="G2691:G2754" si="85">IF(A2691="","",IF(OR(B2691&lt;&gt;B2690,C2691&lt;&gt;C2690,E2691&lt;&gt;E2690),G2690+1,G2690))</f>
        <v/>
      </c>
    </row>
    <row r="2692" spans="1:7" x14ac:dyDescent="0.3">
      <c r="A2692" s="21" t="str">
        <f>IF(A2691="","",IF(A2691+1&gt;Ввод!$B$4,"",A2691+1))</f>
        <v/>
      </c>
      <c r="B2692" s="23" t="str">
        <f>IF(A2692="","",IFERROR(INDEX(Ввод!$B$12:$B$71,MATCH(A2692,Ввод!$D$12:$D$71,1)),""))</f>
        <v/>
      </c>
      <c r="C2692" t="str">
        <f t="shared" si="84"/>
        <v/>
      </c>
      <c r="D2692" t="str">
        <f>IF(A2692="","",SUMIFS(Акты!$D$5:$D$16,Акты!$E$5:$E$16,"&lt;="&amp;A2692)-SUMIFS(Оплаты!$B$6:$B$505,Оплаты!$A$6:$A$505,"&lt;"&amp;A2692,Оплаты!$D$6:$D$505,"&lt;&gt;"))</f>
        <v/>
      </c>
      <c r="E2692" t="str">
        <f>IF(A2692="","",IF(SUMPRODUCT((Ввод!$F$12:$F$31&lt;&gt;"")*(Ввод!$F$12:$F$31&lt;=A2692)*(Ввод!$G$12:$G$31&gt;=A2692))&gt;0,1,0))</f>
        <v/>
      </c>
      <c r="G2692" t="str">
        <f t="shared" si="85"/>
        <v/>
      </c>
    </row>
    <row r="2693" spans="1:7" x14ac:dyDescent="0.3">
      <c r="A2693" s="21" t="str">
        <f>IF(A2692="","",IF(A2692+1&gt;Ввод!$B$4,"",A2692+1))</f>
        <v/>
      </c>
      <c r="B2693" s="23" t="str">
        <f>IF(A2693="","",IFERROR(INDEX(Ввод!$B$12:$B$71,MATCH(A2693,Ввод!$D$12:$D$71,1)),""))</f>
        <v/>
      </c>
      <c r="C2693" t="str">
        <f t="shared" si="84"/>
        <v/>
      </c>
      <c r="D2693" t="str">
        <f>IF(A2693="","",SUMIFS(Акты!$D$5:$D$16,Акты!$E$5:$E$16,"&lt;="&amp;A2693)-SUMIFS(Оплаты!$B$6:$B$505,Оплаты!$A$6:$A$505,"&lt;"&amp;A2693,Оплаты!$D$6:$D$505,"&lt;&gt;"))</f>
        <v/>
      </c>
      <c r="E2693" t="str">
        <f>IF(A2693="","",IF(SUMPRODUCT((Ввод!$F$12:$F$31&lt;&gt;"")*(Ввод!$F$12:$F$31&lt;=A2693)*(Ввод!$G$12:$G$31&gt;=A2693))&gt;0,1,0))</f>
        <v/>
      </c>
      <c r="G2693" t="str">
        <f t="shared" si="85"/>
        <v/>
      </c>
    </row>
    <row r="2694" spans="1:7" x14ac:dyDescent="0.3">
      <c r="A2694" s="21" t="str">
        <f>IF(A2693="","",IF(A2693+1&gt;Ввод!$B$4,"",A2693+1))</f>
        <v/>
      </c>
      <c r="B2694" s="23" t="str">
        <f>IF(A2694="","",IFERROR(INDEX(Ввод!$B$12:$B$71,MATCH(A2694,Ввод!$D$12:$D$71,1)),""))</f>
        <v/>
      </c>
      <c r="C2694" t="str">
        <f t="shared" si="84"/>
        <v/>
      </c>
      <c r="D2694" t="str">
        <f>IF(A2694="","",SUMIFS(Акты!$D$5:$D$16,Акты!$E$5:$E$16,"&lt;="&amp;A2694)-SUMIFS(Оплаты!$B$6:$B$505,Оплаты!$A$6:$A$505,"&lt;"&amp;A2694,Оплаты!$D$6:$D$505,"&lt;&gt;"))</f>
        <v/>
      </c>
      <c r="E2694" t="str">
        <f>IF(A2694="","",IF(SUMPRODUCT((Ввод!$F$12:$F$31&lt;&gt;"")*(Ввод!$F$12:$F$31&lt;=A2694)*(Ввод!$G$12:$G$31&gt;=A2694))&gt;0,1,0))</f>
        <v/>
      </c>
      <c r="G2694" t="str">
        <f t="shared" si="85"/>
        <v/>
      </c>
    </row>
    <row r="2695" spans="1:7" x14ac:dyDescent="0.3">
      <c r="A2695" s="21" t="str">
        <f>IF(A2694="","",IF(A2694+1&gt;Ввод!$B$4,"",A2694+1))</f>
        <v/>
      </c>
      <c r="B2695" s="23" t="str">
        <f>IF(A2695="","",IFERROR(INDEX(Ввод!$B$12:$B$71,MATCH(A2695,Ввод!$D$12:$D$71,1)),""))</f>
        <v/>
      </c>
      <c r="C2695" t="str">
        <f t="shared" si="84"/>
        <v/>
      </c>
      <c r="D2695" t="str">
        <f>IF(A2695="","",SUMIFS(Акты!$D$5:$D$16,Акты!$E$5:$E$16,"&lt;="&amp;A2695)-SUMIFS(Оплаты!$B$6:$B$505,Оплаты!$A$6:$A$505,"&lt;"&amp;A2695,Оплаты!$D$6:$D$505,"&lt;&gt;"))</f>
        <v/>
      </c>
      <c r="E2695" t="str">
        <f>IF(A2695="","",IF(SUMPRODUCT((Ввод!$F$12:$F$31&lt;&gt;"")*(Ввод!$F$12:$F$31&lt;=A2695)*(Ввод!$G$12:$G$31&gt;=A2695))&gt;0,1,0))</f>
        <v/>
      </c>
      <c r="G2695" t="str">
        <f t="shared" si="85"/>
        <v/>
      </c>
    </row>
    <row r="2696" spans="1:7" x14ac:dyDescent="0.3">
      <c r="A2696" s="21" t="str">
        <f>IF(A2695="","",IF(A2695+1&gt;Ввод!$B$4,"",A2695+1))</f>
        <v/>
      </c>
      <c r="B2696" s="23" t="str">
        <f>IF(A2696="","",IFERROR(INDEX(Ввод!$B$12:$B$71,MATCH(A2696,Ввод!$D$12:$D$71,1)),""))</f>
        <v/>
      </c>
      <c r="C2696" t="str">
        <f t="shared" si="84"/>
        <v/>
      </c>
      <c r="D2696" t="str">
        <f>IF(A2696="","",SUMIFS(Акты!$D$5:$D$16,Акты!$E$5:$E$16,"&lt;="&amp;A2696)-SUMIFS(Оплаты!$B$6:$B$505,Оплаты!$A$6:$A$505,"&lt;"&amp;A2696,Оплаты!$D$6:$D$505,"&lt;&gt;"))</f>
        <v/>
      </c>
      <c r="E2696" t="str">
        <f>IF(A2696="","",IF(SUMPRODUCT((Ввод!$F$12:$F$31&lt;&gt;"")*(Ввод!$F$12:$F$31&lt;=A2696)*(Ввод!$G$12:$G$31&gt;=A2696))&gt;0,1,0))</f>
        <v/>
      </c>
      <c r="G2696" t="str">
        <f t="shared" si="85"/>
        <v/>
      </c>
    </row>
    <row r="2697" spans="1:7" x14ac:dyDescent="0.3">
      <c r="A2697" s="21" t="str">
        <f>IF(A2696="","",IF(A2696+1&gt;Ввод!$B$4,"",A2696+1))</f>
        <v/>
      </c>
      <c r="B2697" s="23" t="str">
        <f>IF(A2697="","",IFERROR(INDEX(Ввод!$B$12:$B$71,MATCH(A2697,Ввод!$D$12:$D$71,1)),""))</f>
        <v/>
      </c>
      <c r="C2697" t="str">
        <f t="shared" si="84"/>
        <v/>
      </c>
      <c r="D2697" t="str">
        <f>IF(A2697="","",SUMIFS(Акты!$D$5:$D$16,Акты!$E$5:$E$16,"&lt;="&amp;A2697)-SUMIFS(Оплаты!$B$6:$B$505,Оплаты!$A$6:$A$505,"&lt;"&amp;A2697,Оплаты!$D$6:$D$505,"&lt;&gt;"))</f>
        <v/>
      </c>
      <c r="E2697" t="str">
        <f>IF(A2697="","",IF(SUMPRODUCT((Ввод!$F$12:$F$31&lt;&gt;"")*(Ввод!$F$12:$F$31&lt;=A2697)*(Ввод!$G$12:$G$31&gt;=A2697))&gt;0,1,0))</f>
        <v/>
      </c>
      <c r="G2697" t="str">
        <f t="shared" si="85"/>
        <v/>
      </c>
    </row>
    <row r="2698" spans="1:7" x14ac:dyDescent="0.3">
      <c r="A2698" s="21" t="str">
        <f>IF(A2697="","",IF(A2697+1&gt;Ввод!$B$4,"",A2697+1))</f>
        <v/>
      </c>
      <c r="B2698" s="23" t="str">
        <f>IF(A2698="","",IFERROR(INDEX(Ввод!$B$12:$B$71,MATCH(A2698,Ввод!$D$12:$D$71,1)),""))</f>
        <v/>
      </c>
      <c r="C2698" t="str">
        <f t="shared" si="84"/>
        <v/>
      </c>
      <c r="D2698" t="str">
        <f>IF(A2698="","",SUMIFS(Акты!$D$5:$D$16,Акты!$E$5:$E$16,"&lt;="&amp;A2698)-SUMIFS(Оплаты!$B$6:$B$505,Оплаты!$A$6:$A$505,"&lt;"&amp;A2698,Оплаты!$D$6:$D$505,"&lt;&gt;"))</f>
        <v/>
      </c>
      <c r="E2698" t="str">
        <f>IF(A2698="","",IF(SUMPRODUCT((Ввод!$F$12:$F$31&lt;&gt;"")*(Ввод!$F$12:$F$31&lt;=A2698)*(Ввод!$G$12:$G$31&gt;=A2698))&gt;0,1,0))</f>
        <v/>
      </c>
      <c r="G2698" t="str">
        <f t="shared" si="85"/>
        <v/>
      </c>
    </row>
    <row r="2699" spans="1:7" x14ac:dyDescent="0.3">
      <c r="A2699" s="21" t="str">
        <f>IF(A2698="","",IF(A2698+1&gt;Ввод!$B$4,"",A2698+1))</f>
        <v/>
      </c>
      <c r="B2699" s="23" t="str">
        <f>IF(A2699="","",IFERROR(INDEX(Ввод!$B$12:$B$71,MATCH(A2699,Ввод!$D$12:$D$71,1)),""))</f>
        <v/>
      </c>
      <c r="C2699" t="str">
        <f t="shared" si="84"/>
        <v/>
      </c>
      <c r="D2699" t="str">
        <f>IF(A2699="","",SUMIFS(Акты!$D$5:$D$16,Акты!$E$5:$E$16,"&lt;="&amp;A2699)-SUMIFS(Оплаты!$B$6:$B$505,Оплаты!$A$6:$A$505,"&lt;"&amp;A2699,Оплаты!$D$6:$D$505,"&lt;&gt;"))</f>
        <v/>
      </c>
      <c r="E2699" t="str">
        <f>IF(A2699="","",IF(SUMPRODUCT((Ввод!$F$12:$F$31&lt;&gt;"")*(Ввод!$F$12:$F$31&lt;=A2699)*(Ввод!$G$12:$G$31&gt;=A2699))&gt;0,1,0))</f>
        <v/>
      </c>
      <c r="G2699" t="str">
        <f t="shared" si="85"/>
        <v/>
      </c>
    </row>
    <row r="2700" spans="1:7" x14ac:dyDescent="0.3">
      <c r="A2700" s="21" t="str">
        <f>IF(A2699="","",IF(A2699+1&gt;Ввод!$B$4,"",A2699+1))</f>
        <v/>
      </c>
      <c r="B2700" s="23" t="str">
        <f>IF(A2700="","",IFERROR(INDEX(Ввод!$B$12:$B$71,MATCH(A2700,Ввод!$D$12:$D$71,1)),""))</f>
        <v/>
      </c>
      <c r="C2700" t="str">
        <f t="shared" si="84"/>
        <v/>
      </c>
      <c r="D2700" t="str">
        <f>IF(A2700="","",SUMIFS(Акты!$D$5:$D$16,Акты!$E$5:$E$16,"&lt;="&amp;A2700)-SUMIFS(Оплаты!$B$6:$B$505,Оплаты!$A$6:$A$505,"&lt;"&amp;A2700,Оплаты!$D$6:$D$505,"&lt;&gt;"))</f>
        <v/>
      </c>
      <c r="E2700" t="str">
        <f>IF(A2700="","",IF(SUMPRODUCT((Ввод!$F$12:$F$31&lt;&gt;"")*(Ввод!$F$12:$F$31&lt;=A2700)*(Ввод!$G$12:$G$31&gt;=A2700))&gt;0,1,0))</f>
        <v/>
      </c>
      <c r="G2700" t="str">
        <f t="shared" si="85"/>
        <v/>
      </c>
    </row>
    <row r="2701" spans="1:7" x14ac:dyDescent="0.3">
      <c r="A2701" s="21" t="str">
        <f>IF(A2700="","",IF(A2700+1&gt;Ввод!$B$4,"",A2700+1))</f>
        <v/>
      </c>
      <c r="B2701" s="23" t="str">
        <f>IF(A2701="","",IFERROR(INDEX(Ввод!$B$12:$B$71,MATCH(A2701,Ввод!$D$12:$D$71,1)),""))</f>
        <v/>
      </c>
      <c r="C2701" t="str">
        <f t="shared" si="84"/>
        <v/>
      </c>
      <c r="D2701" t="str">
        <f>IF(A2701="","",SUMIFS(Акты!$D$5:$D$16,Акты!$E$5:$E$16,"&lt;="&amp;A2701)-SUMIFS(Оплаты!$B$6:$B$505,Оплаты!$A$6:$A$505,"&lt;"&amp;A2701,Оплаты!$D$6:$D$505,"&lt;&gt;"))</f>
        <v/>
      </c>
      <c r="E2701" t="str">
        <f>IF(A2701="","",IF(SUMPRODUCT((Ввод!$F$12:$F$31&lt;&gt;"")*(Ввод!$F$12:$F$31&lt;=A2701)*(Ввод!$G$12:$G$31&gt;=A2701))&gt;0,1,0))</f>
        <v/>
      </c>
      <c r="G2701" t="str">
        <f t="shared" si="85"/>
        <v/>
      </c>
    </row>
    <row r="2702" spans="1:7" x14ac:dyDescent="0.3">
      <c r="A2702" s="21" t="str">
        <f>IF(A2701="","",IF(A2701+1&gt;Ввод!$B$4,"",A2701+1))</f>
        <v/>
      </c>
      <c r="B2702" s="23" t="str">
        <f>IF(A2702="","",IFERROR(INDEX(Ввод!$B$12:$B$71,MATCH(A2702,Ввод!$D$12:$D$71,1)),""))</f>
        <v/>
      </c>
      <c r="C2702" t="str">
        <f t="shared" si="84"/>
        <v/>
      </c>
      <c r="D2702" t="str">
        <f>IF(A2702="","",SUMIFS(Акты!$D$5:$D$16,Акты!$E$5:$E$16,"&lt;="&amp;A2702)-SUMIFS(Оплаты!$B$6:$B$505,Оплаты!$A$6:$A$505,"&lt;"&amp;A2702,Оплаты!$D$6:$D$505,"&lt;&gt;"))</f>
        <v/>
      </c>
      <c r="E2702" t="str">
        <f>IF(A2702="","",IF(SUMPRODUCT((Ввод!$F$12:$F$31&lt;&gt;"")*(Ввод!$F$12:$F$31&lt;=A2702)*(Ввод!$G$12:$G$31&gt;=A2702))&gt;0,1,0))</f>
        <v/>
      </c>
      <c r="G2702" t="str">
        <f t="shared" si="85"/>
        <v/>
      </c>
    </row>
    <row r="2703" spans="1:7" x14ac:dyDescent="0.3">
      <c r="A2703" s="21" t="str">
        <f>IF(A2702="","",IF(A2702+1&gt;Ввод!$B$4,"",A2702+1))</f>
        <v/>
      </c>
      <c r="B2703" s="23" t="str">
        <f>IF(A2703="","",IFERROR(INDEX(Ввод!$B$12:$B$71,MATCH(A2703,Ввод!$D$12:$D$71,1)),""))</f>
        <v/>
      </c>
      <c r="C2703" t="str">
        <f t="shared" si="84"/>
        <v/>
      </c>
      <c r="D2703" t="str">
        <f>IF(A2703="","",SUMIFS(Акты!$D$5:$D$16,Акты!$E$5:$E$16,"&lt;="&amp;A2703)-SUMIFS(Оплаты!$B$6:$B$505,Оплаты!$A$6:$A$505,"&lt;"&amp;A2703,Оплаты!$D$6:$D$505,"&lt;&gt;"))</f>
        <v/>
      </c>
      <c r="E2703" t="str">
        <f>IF(A2703="","",IF(SUMPRODUCT((Ввод!$F$12:$F$31&lt;&gt;"")*(Ввод!$F$12:$F$31&lt;=A2703)*(Ввод!$G$12:$G$31&gt;=A2703))&gt;0,1,0))</f>
        <v/>
      </c>
      <c r="G2703" t="str">
        <f t="shared" si="85"/>
        <v/>
      </c>
    </row>
    <row r="2704" spans="1:7" x14ac:dyDescent="0.3">
      <c r="A2704" s="21" t="str">
        <f>IF(A2703="","",IF(A2703+1&gt;Ввод!$B$4,"",A2703+1))</f>
        <v/>
      </c>
      <c r="B2704" s="23" t="str">
        <f>IF(A2704="","",IFERROR(INDEX(Ввод!$B$12:$B$71,MATCH(A2704,Ввод!$D$12:$D$71,1)),""))</f>
        <v/>
      </c>
      <c r="C2704" t="str">
        <f t="shared" si="84"/>
        <v/>
      </c>
      <c r="D2704" t="str">
        <f>IF(A2704="","",SUMIFS(Акты!$D$5:$D$16,Акты!$E$5:$E$16,"&lt;="&amp;A2704)-SUMIFS(Оплаты!$B$6:$B$505,Оплаты!$A$6:$A$505,"&lt;"&amp;A2704,Оплаты!$D$6:$D$505,"&lt;&gt;"))</f>
        <v/>
      </c>
      <c r="E2704" t="str">
        <f>IF(A2704="","",IF(SUMPRODUCT((Ввод!$F$12:$F$31&lt;&gt;"")*(Ввод!$F$12:$F$31&lt;=A2704)*(Ввод!$G$12:$G$31&gt;=A2704))&gt;0,1,0))</f>
        <v/>
      </c>
      <c r="G2704" t="str">
        <f t="shared" si="85"/>
        <v/>
      </c>
    </row>
    <row r="2705" spans="1:7" x14ac:dyDescent="0.3">
      <c r="A2705" s="21" t="str">
        <f>IF(A2704="","",IF(A2704+1&gt;Ввод!$B$4,"",A2704+1))</f>
        <v/>
      </c>
      <c r="B2705" s="23" t="str">
        <f>IF(A2705="","",IFERROR(INDEX(Ввод!$B$12:$B$71,MATCH(A2705,Ввод!$D$12:$D$71,1)),""))</f>
        <v/>
      </c>
      <c r="C2705" t="str">
        <f t="shared" si="84"/>
        <v/>
      </c>
      <c r="D2705" t="str">
        <f>IF(A2705="","",SUMIFS(Акты!$D$5:$D$16,Акты!$E$5:$E$16,"&lt;="&amp;A2705)-SUMIFS(Оплаты!$B$6:$B$505,Оплаты!$A$6:$A$505,"&lt;"&amp;A2705,Оплаты!$D$6:$D$505,"&lt;&gt;"))</f>
        <v/>
      </c>
      <c r="E2705" t="str">
        <f>IF(A2705="","",IF(SUMPRODUCT((Ввод!$F$12:$F$31&lt;&gt;"")*(Ввод!$F$12:$F$31&lt;=A2705)*(Ввод!$G$12:$G$31&gt;=A2705))&gt;0,1,0))</f>
        <v/>
      </c>
      <c r="G2705" t="str">
        <f t="shared" si="85"/>
        <v/>
      </c>
    </row>
    <row r="2706" spans="1:7" x14ac:dyDescent="0.3">
      <c r="A2706" s="21" t="str">
        <f>IF(A2705="","",IF(A2705+1&gt;Ввод!$B$4,"",A2705+1))</f>
        <v/>
      </c>
      <c r="B2706" s="23" t="str">
        <f>IF(A2706="","",IFERROR(INDEX(Ввод!$B$12:$B$71,MATCH(A2706,Ввод!$D$12:$D$71,1)),""))</f>
        <v/>
      </c>
      <c r="C2706" t="str">
        <f t="shared" si="84"/>
        <v/>
      </c>
      <c r="D2706" t="str">
        <f>IF(A2706="","",SUMIFS(Акты!$D$5:$D$16,Акты!$E$5:$E$16,"&lt;="&amp;A2706)-SUMIFS(Оплаты!$B$6:$B$505,Оплаты!$A$6:$A$505,"&lt;"&amp;A2706,Оплаты!$D$6:$D$505,"&lt;&gt;"))</f>
        <v/>
      </c>
      <c r="E2706" t="str">
        <f>IF(A2706="","",IF(SUMPRODUCT((Ввод!$F$12:$F$31&lt;&gt;"")*(Ввод!$F$12:$F$31&lt;=A2706)*(Ввод!$G$12:$G$31&gt;=A2706))&gt;0,1,0))</f>
        <v/>
      </c>
      <c r="G2706" t="str">
        <f t="shared" si="85"/>
        <v/>
      </c>
    </row>
    <row r="2707" spans="1:7" x14ac:dyDescent="0.3">
      <c r="A2707" s="21" t="str">
        <f>IF(A2706="","",IF(A2706+1&gt;Ввод!$B$4,"",A2706+1))</f>
        <v/>
      </c>
      <c r="B2707" s="23" t="str">
        <f>IF(A2707="","",IFERROR(INDEX(Ввод!$B$12:$B$71,MATCH(A2707,Ввод!$D$12:$D$71,1)),""))</f>
        <v/>
      </c>
      <c r="C2707" t="str">
        <f t="shared" si="84"/>
        <v/>
      </c>
      <c r="D2707" t="str">
        <f>IF(A2707="","",SUMIFS(Акты!$D$5:$D$16,Акты!$E$5:$E$16,"&lt;="&amp;A2707)-SUMIFS(Оплаты!$B$6:$B$505,Оплаты!$A$6:$A$505,"&lt;"&amp;A2707,Оплаты!$D$6:$D$505,"&lt;&gt;"))</f>
        <v/>
      </c>
      <c r="E2707" t="str">
        <f>IF(A2707="","",IF(SUMPRODUCT((Ввод!$F$12:$F$31&lt;&gt;"")*(Ввод!$F$12:$F$31&lt;=A2707)*(Ввод!$G$12:$G$31&gt;=A2707))&gt;0,1,0))</f>
        <v/>
      </c>
      <c r="G2707" t="str">
        <f t="shared" si="85"/>
        <v/>
      </c>
    </row>
    <row r="2708" spans="1:7" x14ac:dyDescent="0.3">
      <c r="A2708" s="21" t="str">
        <f>IF(A2707="","",IF(A2707+1&gt;Ввод!$B$4,"",A2707+1))</f>
        <v/>
      </c>
      <c r="B2708" s="23" t="str">
        <f>IF(A2708="","",IFERROR(INDEX(Ввод!$B$12:$B$71,MATCH(A2708,Ввод!$D$12:$D$71,1)),""))</f>
        <v/>
      </c>
      <c r="C2708" t="str">
        <f t="shared" si="84"/>
        <v/>
      </c>
      <c r="D2708" t="str">
        <f>IF(A2708="","",SUMIFS(Акты!$D$5:$D$16,Акты!$E$5:$E$16,"&lt;="&amp;A2708)-SUMIFS(Оплаты!$B$6:$B$505,Оплаты!$A$6:$A$505,"&lt;"&amp;A2708,Оплаты!$D$6:$D$505,"&lt;&gt;"))</f>
        <v/>
      </c>
      <c r="E2708" t="str">
        <f>IF(A2708="","",IF(SUMPRODUCT((Ввод!$F$12:$F$31&lt;&gt;"")*(Ввод!$F$12:$F$31&lt;=A2708)*(Ввод!$G$12:$G$31&gt;=A2708))&gt;0,1,0))</f>
        <v/>
      </c>
      <c r="G2708" t="str">
        <f t="shared" si="85"/>
        <v/>
      </c>
    </row>
    <row r="2709" spans="1:7" x14ac:dyDescent="0.3">
      <c r="A2709" s="21" t="str">
        <f>IF(A2708="","",IF(A2708+1&gt;Ввод!$B$4,"",A2708+1))</f>
        <v/>
      </c>
      <c r="B2709" s="23" t="str">
        <f>IF(A2709="","",IFERROR(INDEX(Ввод!$B$12:$B$71,MATCH(A2709,Ввод!$D$12:$D$71,1)),""))</f>
        <v/>
      </c>
      <c r="C2709" t="str">
        <f t="shared" si="84"/>
        <v/>
      </c>
      <c r="D2709" t="str">
        <f>IF(A2709="","",SUMIFS(Акты!$D$5:$D$16,Акты!$E$5:$E$16,"&lt;="&amp;A2709)-SUMIFS(Оплаты!$B$6:$B$505,Оплаты!$A$6:$A$505,"&lt;"&amp;A2709,Оплаты!$D$6:$D$505,"&lt;&gt;"))</f>
        <v/>
      </c>
      <c r="E2709" t="str">
        <f>IF(A2709="","",IF(SUMPRODUCT((Ввод!$F$12:$F$31&lt;&gt;"")*(Ввод!$F$12:$F$31&lt;=A2709)*(Ввод!$G$12:$G$31&gt;=A2709))&gt;0,1,0))</f>
        <v/>
      </c>
      <c r="G2709" t="str">
        <f t="shared" si="85"/>
        <v/>
      </c>
    </row>
    <row r="2710" spans="1:7" x14ac:dyDescent="0.3">
      <c r="A2710" s="21" t="str">
        <f>IF(A2709="","",IF(A2709+1&gt;Ввод!$B$4,"",A2709+1))</f>
        <v/>
      </c>
      <c r="B2710" s="23" t="str">
        <f>IF(A2710="","",IFERROR(INDEX(Ввод!$B$12:$B$71,MATCH(A2710,Ввод!$D$12:$D$71,1)),""))</f>
        <v/>
      </c>
      <c r="C2710" t="str">
        <f t="shared" si="84"/>
        <v/>
      </c>
      <c r="D2710" t="str">
        <f>IF(A2710="","",SUMIFS(Акты!$D$5:$D$16,Акты!$E$5:$E$16,"&lt;="&amp;A2710)-SUMIFS(Оплаты!$B$6:$B$505,Оплаты!$A$6:$A$505,"&lt;"&amp;A2710,Оплаты!$D$6:$D$505,"&lt;&gt;"))</f>
        <v/>
      </c>
      <c r="E2710" t="str">
        <f>IF(A2710="","",IF(SUMPRODUCT((Ввод!$F$12:$F$31&lt;&gt;"")*(Ввод!$F$12:$F$31&lt;=A2710)*(Ввод!$G$12:$G$31&gt;=A2710))&gt;0,1,0))</f>
        <v/>
      </c>
      <c r="G2710" t="str">
        <f t="shared" si="85"/>
        <v/>
      </c>
    </row>
    <row r="2711" spans="1:7" x14ac:dyDescent="0.3">
      <c r="A2711" s="21" t="str">
        <f>IF(A2710="","",IF(A2710+1&gt;Ввод!$B$4,"",A2710+1))</f>
        <v/>
      </c>
      <c r="B2711" s="23" t="str">
        <f>IF(A2711="","",IFERROR(INDEX(Ввод!$B$12:$B$71,MATCH(A2711,Ввод!$D$12:$D$71,1)),""))</f>
        <v/>
      </c>
      <c r="C2711" t="str">
        <f t="shared" si="84"/>
        <v/>
      </c>
      <c r="D2711" t="str">
        <f>IF(A2711="","",SUMIFS(Акты!$D$5:$D$16,Акты!$E$5:$E$16,"&lt;="&amp;A2711)-SUMIFS(Оплаты!$B$6:$B$505,Оплаты!$A$6:$A$505,"&lt;"&amp;A2711,Оплаты!$D$6:$D$505,"&lt;&gt;"))</f>
        <v/>
      </c>
      <c r="E2711" t="str">
        <f>IF(A2711="","",IF(SUMPRODUCT((Ввод!$F$12:$F$31&lt;&gt;"")*(Ввод!$F$12:$F$31&lt;=A2711)*(Ввод!$G$12:$G$31&gt;=A2711))&gt;0,1,0))</f>
        <v/>
      </c>
      <c r="G2711" t="str">
        <f t="shared" si="85"/>
        <v/>
      </c>
    </row>
    <row r="2712" spans="1:7" x14ac:dyDescent="0.3">
      <c r="A2712" s="21" t="str">
        <f>IF(A2711="","",IF(A2711+1&gt;Ввод!$B$4,"",A2711+1))</f>
        <v/>
      </c>
      <c r="B2712" s="23" t="str">
        <f>IF(A2712="","",IFERROR(INDEX(Ввод!$B$12:$B$71,MATCH(A2712,Ввод!$D$12:$D$71,1)),""))</f>
        <v/>
      </c>
      <c r="C2712" t="str">
        <f t="shared" si="84"/>
        <v/>
      </c>
      <c r="D2712" t="str">
        <f>IF(A2712="","",SUMIFS(Акты!$D$5:$D$16,Акты!$E$5:$E$16,"&lt;="&amp;A2712)-SUMIFS(Оплаты!$B$6:$B$505,Оплаты!$A$6:$A$505,"&lt;"&amp;A2712,Оплаты!$D$6:$D$505,"&lt;&gt;"))</f>
        <v/>
      </c>
      <c r="E2712" t="str">
        <f>IF(A2712="","",IF(SUMPRODUCT((Ввод!$F$12:$F$31&lt;&gt;"")*(Ввод!$F$12:$F$31&lt;=A2712)*(Ввод!$G$12:$G$31&gt;=A2712))&gt;0,1,0))</f>
        <v/>
      </c>
      <c r="G2712" t="str">
        <f t="shared" si="85"/>
        <v/>
      </c>
    </row>
    <row r="2713" spans="1:7" x14ac:dyDescent="0.3">
      <c r="A2713" s="21" t="str">
        <f>IF(A2712="","",IF(A2712+1&gt;Ввод!$B$4,"",A2712+1))</f>
        <v/>
      </c>
      <c r="B2713" s="23" t="str">
        <f>IF(A2713="","",IFERROR(INDEX(Ввод!$B$12:$B$71,MATCH(A2713,Ввод!$D$12:$D$71,1)),""))</f>
        <v/>
      </c>
      <c r="C2713" t="str">
        <f t="shared" si="84"/>
        <v/>
      </c>
      <c r="D2713" t="str">
        <f>IF(A2713="","",SUMIFS(Акты!$D$5:$D$16,Акты!$E$5:$E$16,"&lt;="&amp;A2713)-SUMIFS(Оплаты!$B$6:$B$505,Оплаты!$A$6:$A$505,"&lt;"&amp;A2713,Оплаты!$D$6:$D$505,"&lt;&gt;"))</f>
        <v/>
      </c>
      <c r="E2713" t="str">
        <f>IF(A2713="","",IF(SUMPRODUCT((Ввод!$F$12:$F$31&lt;&gt;"")*(Ввод!$F$12:$F$31&lt;=A2713)*(Ввод!$G$12:$G$31&gt;=A2713))&gt;0,1,0))</f>
        <v/>
      </c>
      <c r="G2713" t="str">
        <f t="shared" si="85"/>
        <v/>
      </c>
    </row>
    <row r="2714" spans="1:7" x14ac:dyDescent="0.3">
      <c r="A2714" s="21" t="str">
        <f>IF(A2713="","",IF(A2713+1&gt;Ввод!$B$4,"",A2713+1))</f>
        <v/>
      </c>
      <c r="B2714" s="23" t="str">
        <f>IF(A2714="","",IFERROR(INDEX(Ввод!$B$12:$B$71,MATCH(A2714,Ввод!$D$12:$D$71,1)),""))</f>
        <v/>
      </c>
      <c r="C2714" t="str">
        <f t="shared" si="84"/>
        <v/>
      </c>
      <c r="D2714" t="str">
        <f>IF(A2714="","",SUMIFS(Акты!$D$5:$D$16,Акты!$E$5:$E$16,"&lt;="&amp;A2714)-SUMIFS(Оплаты!$B$6:$B$505,Оплаты!$A$6:$A$505,"&lt;"&amp;A2714,Оплаты!$D$6:$D$505,"&lt;&gt;"))</f>
        <v/>
      </c>
      <c r="E2714" t="str">
        <f>IF(A2714="","",IF(SUMPRODUCT((Ввод!$F$12:$F$31&lt;&gt;"")*(Ввод!$F$12:$F$31&lt;=A2714)*(Ввод!$G$12:$G$31&gt;=A2714))&gt;0,1,0))</f>
        <v/>
      </c>
      <c r="G2714" t="str">
        <f t="shared" si="85"/>
        <v/>
      </c>
    </row>
    <row r="2715" spans="1:7" x14ac:dyDescent="0.3">
      <c r="A2715" s="21" t="str">
        <f>IF(A2714="","",IF(A2714+1&gt;Ввод!$B$4,"",A2714+1))</f>
        <v/>
      </c>
      <c r="B2715" s="23" t="str">
        <f>IF(A2715="","",IFERROR(INDEX(Ввод!$B$12:$B$71,MATCH(A2715,Ввод!$D$12:$D$71,1)),""))</f>
        <v/>
      </c>
      <c r="C2715" t="str">
        <f t="shared" si="84"/>
        <v/>
      </c>
      <c r="D2715" t="str">
        <f>IF(A2715="","",SUMIFS(Акты!$D$5:$D$16,Акты!$E$5:$E$16,"&lt;="&amp;A2715)-SUMIFS(Оплаты!$B$6:$B$505,Оплаты!$A$6:$A$505,"&lt;"&amp;A2715,Оплаты!$D$6:$D$505,"&lt;&gt;"))</f>
        <v/>
      </c>
      <c r="E2715" t="str">
        <f>IF(A2715="","",IF(SUMPRODUCT((Ввод!$F$12:$F$31&lt;&gt;"")*(Ввод!$F$12:$F$31&lt;=A2715)*(Ввод!$G$12:$G$31&gt;=A2715))&gt;0,1,0))</f>
        <v/>
      </c>
      <c r="G2715" t="str">
        <f t="shared" si="85"/>
        <v/>
      </c>
    </row>
    <row r="2716" spans="1:7" x14ac:dyDescent="0.3">
      <c r="A2716" s="21" t="str">
        <f>IF(A2715="","",IF(A2715+1&gt;Ввод!$B$4,"",A2715+1))</f>
        <v/>
      </c>
      <c r="B2716" s="23" t="str">
        <f>IF(A2716="","",IFERROR(INDEX(Ввод!$B$12:$B$71,MATCH(A2716,Ввод!$D$12:$D$71,1)),""))</f>
        <v/>
      </c>
      <c r="C2716" t="str">
        <f t="shared" si="84"/>
        <v/>
      </c>
      <c r="D2716" t="str">
        <f>IF(A2716="","",SUMIFS(Акты!$D$5:$D$16,Акты!$E$5:$E$16,"&lt;="&amp;A2716)-SUMIFS(Оплаты!$B$6:$B$505,Оплаты!$A$6:$A$505,"&lt;"&amp;A2716,Оплаты!$D$6:$D$505,"&lt;&gt;"))</f>
        <v/>
      </c>
      <c r="E2716" t="str">
        <f>IF(A2716="","",IF(SUMPRODUCT((Ввод!$F$12:$F$31&lt;&gt;"")*(Ввод!$F$12:$F$31&lt;=A2716)*(Ввод!$G$12:$G$31&gt;=A2716))&gt;0,1,0))</f>
        <v/>
      </c>
      <c r="G2716" t="str">
        <f t="shared" si="85"/>
        <v/>
      </c>
    </row>
    <row r="2717" spans="1:7" x14ac:dyDescent="0.3">
      <c r="A2717" s="21" t="str">
        <f>IF(A2716="","",IF(A2716+1&gt;Ввод!$B$4,"",A2716+1))</f>
        <v/>
      </c>
      <c r="B2717" s="23" t="str">
        <f>IF(A2717="","",IFERROR(INDEX(Ввод!$B$12:$B$71,MATCH(A2717,Ввод!$D$12:$D$71,1)),""))</f>
        <v/>
      </c>
      <c r="C2717" t="str">
        <f t="shared" si="84"/>
        <v/>
      </c>
      <c r="D2717" t="str">
        <f>IF(A2717="","",SUMIFS(Акты!$D$5:$D$16,Акты!$E$5:$E$16,"&lt;="&amp;A2717)-SUMIFS(Оплаты!$B$6:$B$505,Оплаты!$A$6:$A$505,"&lt;"&amp;A2717,Оплаты!$D$6:$D$505,"&lt;&gt;"))</f>
        <v/>
      </c>
      <c r="E2717" t="str">
        <f>IF(A2717="","",IF(SUMPRODUCT((Ввод!$F$12:$F$31&lt;&gt;"")*(Ввод!$F$12:$F$31&lt;=A2717)*(Ввод!$G$12:$G$31&gt;=A2717))&gt;0,1,0))</f>
        <v/>
      </c>
      <c r="G2717" t="str">
        <f t="shared" si="85"/>
        <v/>
      </c>
    </row>
    <row r="2718" spans="1:7" x14ac:dyDescent="0.3">
      <c r="A2718" s="21" t="str">
        <f>IF(A2717="","",IF(A2717+1&gt;Ввод!$B$4,"",A2717+1))</f>
        <v/>
      </c>
      <c r="B2718" s="23" t="str">
        <f>IF(A2718="","",IFERROR(INDEX(Ввод!$B$12:$B$71,MATCH(A2718,Ввод!$D$12:$D$71,1)),""))</f>
        <v/>
      </c>
      <c r="C2718" t="str">
        <f t="shared" si="84"/>
        <v/>
      </c>
      <c r="D2718" t="str">
        <f>IF(A2718="","",SUMIFS(Акты!$D$5:$D$16,Акты!$E$5:$E$16,"&lt;="&amp;A2718)-SUMIFS(Оплаты!$B$6:$B$505,Оплаты!$A$6:$A$505,"&lt;"&amp;A2718,Оплаты!$D$6:$D$505,"&lt;&gt;"))</f>
        <v/>
      </c>
      <c r="E2718" t="str">
        <f>IF(A2718="","",IF(SUMPRODUCT((Ввод!$F$12:$F$31&lt;&gt;"")*(Ввод!$F$12:$F$31&lt;=A2718)*(Ввод!$G$12:$G$31&gt;=A2718))&gt;0,1,0))</f>
        <v/>
      </c>
      <c r="G2718" t="str">
        <f t="shared" si="85"/>
        <v/>
      </c>
    </row>
    <row r="2719" spans="1:7" x14ac:dyDescent="0.3">
      <c r="A2719" s="21" t="str">
        <f>IF(A2718="","",IF(A2718+1&gt;Ввод!$B$4,"",A2718+1))</f>
        <v/>
      </c>
      <c r="B2719" s="23" t="str">
        <f>IF(A2719="","",IFERROR(INDEX(Ввод!$B$12:$B$71,MATCH(A2719,Ввод!$D$12:$D$71,1)),""))</f>
        <v/>
      </c>
      <c r="C2719" t="str">
        <f t="shared" si="84"/>
        <v/>
      </c>
      <c r="D2719" t="str">
        <f>IF(A2719="","",SUMIFS(Акты!$D$5:$D$16,Акты!$E$5:$E$16,"&lt;="&amp;A2719)-SUMIFS(Оплаты!$B$6:$B$505,Оплаты!$A$6:$A$505,"&lt;"&amp;A2719,Оплаты!$D$6:$D$505,"&lt;&gt;"))</f>
        <v/>
      </c>
      <c r="E2719" t="str">
        <f>IF(A2719="","",IF(SUMPRODUCT((Ввод!$F$12:$F$31&lt;&gt;"")*(Ввод!$F$12:$F$31&lt;=A2719)*(Ввод!$G$12:$G$31&gt;=A2719))&gt;0,1,0))</f>
        <v/>
      </c>
      <c r="G2719" t="str">
        <f t="shared" si="85"/>
        <v/>
      </c>
    </row>
    <row r="2720" spans="1:7" x14ac:dyDescent="0.3">
      <c r="A2720" s="21" t="str">
        <f>IF(A2719="","",IF(A2719+1&gt;Ввод!$B$4,"",A2719+1))</f>
        <v/>
      </c>
      <c r="B2720" s="23" t="str">
        <f>IF(A2720="","",IFERROR(INDEX(Ввод!$B$12:$B$71,MATCH(A2720,Ввод!$D$12:$D$71,1)),""))</f>
        <v/>
      </c>
      <c r="C2720" t="str">
        <f t="shared" si="84"/>
        <v/>
      </c>
      <c r="D2720" t="str">
        <f>IF(A2720="","",SUMIFS(Акты!$D$5:$D$16,Акты!$E$5:$E$16,"&lt;="&amp;A2720)-SUMIFS(Оплаты!$B$6:$B$505,Оплаты!$A$6:$A$505,"&lt;"&amp;A2720,Оплаты!$D$6:$D$505,"&lt;&gt;"))</f>
        <v/>
      </c>
      <c r="E2720" t="str">
        <f>IF(A2720="","",IF(SUMPRODUCT((Ввод!$F$12:$F$31&lt;&gt;"")*(Ввод!$F$12:$F$31&lt;=A2720)*(Ввод!$G$12:$G$31&gt;=A2720))&gt;0,1,0))</f>
        <v/>
      </c>
      <c r="G2720" t="str">
        <f t="shared" si="85"/>
        <v/>
      </c>
    </row>
    <row r="2721" spans="1:7" x14ac:dyDescent="0.3">
      <c r="A2721" s="21" t="str">
        <f>IF(A2720="","",IF(A2720+1&gt;Ввод!$B$4,"",A2720+1))</f>
        <v/>
      </c>
      <c r="B2721" s="23" t="str">
        <f>IF(A2721="","",IFERROR(INDEX(Ввод!$B$12:$B$71,MATCH(A2721,Ввод!$D$12:$D$71,1)),""))</f>
        <v/>
      </c>
      <c r="C2721" t="str">
        <f t="shared" si="84"/>
        <v/>
      </c>
      <c r="D2721" t="str">
        <f>IF(A2721="","",SUMIFS(Акты!$D$5:$D$16,Акты!$E$5:$E$16,"&lt;="&amp;A2721)-SUMIFS(Оплаты!$B$6:$B$505,Оплаты!$A$6:$A$505,"&lt;"&amp;A2721,Оплаты!$D$6:$D$505,"&lt;&gt;"))</f>
        <v/>
      </c>
      <c r="E2721" t="str">
        <f>IF(A2721="","",IF(SUMPRODUCT((Ввод!$F$12:$F$31&lt;&gt;"")*(Ввод!$F$12:$F$31&lt;=A2721)*(Ввод!$G$12:$G$31&gt;=A2721))&gt;0,1,0))</f>
        <v/>
      </c>
      <c r="G2721" t="str">
        <f t="shared" si="85"/>
        <v/>
      </c>
    </row>
    <row r="2722" spans="1:7" x14ac:dyDescent="0.3">
      <c r="A2722" s="21" t="str">
        <f>IF(A2721="","",IF(A2721+1&gt;Ввод!$B$4,"",A2721+1))</f>
        <v/>
      </c>
      <c r="B2722" s="23" t="str">
        <f>IF(A2722="","",IFERROR(INDEX(Ввод!$B$12:$B$71,MATCH(A2722,Ввод!$D$12:$D$71,1)),""))</f>
        <v/>
      </c>
      <c r="C2722" t="str">
        <f t="shared" si="84"/>
        <v/>
      </c>
      <c r="D2722" t="str">
        <f>IF(A2722="","",SUMIFS(Акты!$D$5:$D$16,Акты!$E$5:$E$16,"&lt;="&amp;A2722)-SUMIFS(Оплаты!$B$6:$B$505,Оплаты!$A$6:$A$505,"&lt;"&amp;A2722,Оплаты!$D$6:$D$505,"&lt;&gt;"))</f>
        <v/>
      </c>
      <c r="E2722" t="str">
        <f>IF(A2722="","",IF(SUMPRODUCT((Ввод!$F$12:$F$31&lt;&gt;"")*(Ввод!$F$12:$F$31&lt;=A2722)*(Ввод!$G$12:$G$31&gt;=A2722))&gt;0,1,0))</f>
        <v/>
      </c>
      <c r="G2722" t="str">
        <f t="shared" si="85"/>
        <v/>
      </c>
    </row>
    <row r="2723" spans="1:7" x14ac:dyDescent="0.3">
      <c r="A2723" s="21" t="str">
        <f>IF(A2722="","",IF(A2722+1&gt;Ввод!$B$4,"",A2722+1))</f>
        <v/>
      </c>
      <c r="B2723" s="23" t="str">
        <f>IF(A2723="","",IFERROR(INDEX(Ввод!$B$12:$B$71,MATCH(A2723,Ввод!$D$12:$D$71,1)),""))</f>
        <v/>
      </c>
      <c r="C2723" t="str">
        <f t="shared" si="84"/>
        <v/>
      </c>
      <c r="D2723" t="str">
        <f>IF(A2723="","",SUMIFS(Акты!$D$5:$D$16,Акты!$E$5:$E$16,"&lt;="&amp;A2723)-SUMIFS(Оплаты!$B$6:$B$505,Оплаты!$A$6:$A$505,"&lt;"&amp;A2723,Оплаты!$D$6:$D$505,"&lt;&gt;"))</f>
        <v/>
      </c>
      <c r="E2723" t="str">
        <f>IF(A2723="","",IF(SUMPRODUCT((Ввод!$F$12:$F$31&lt;&gt;"")*(Ввод!$F$12:$F$31&lt;=A2723)*(Ввод!$G$12:$G$31&gt;=A2723))&gt;0,1,0))</f>
        <v/>
      </c>
      <c r="G2723" t="str">
        <f t="shared" si="85"/>
        <v/>
      </c>
    </row>
    <row r="2724" spans="1:7" x14ac:dyDescent="0.3">
      <c r="A2724" s="21" t="str">
        <f>IF(A2723="","",IF(A2723+1&gt;Ввод!$B$4,"",A2723+1))</f>
        <v/>
      </c>
      <c r="B2724" s="23" t="str">
        <f>IF(A2724="","",IFERROR(INDEX(Ввод!$B$12:$B$71,MATCH(A2724,Ввод!$D$12:$D$71,1)),""))</f>
        <v/>
      </c>
      <c r="C2724" t="str">
        <f t="shared" si="84"/>
        <v/>
      </c>
      <c r="D2724" t="str">
        <f>IF(A2724="","",SUMIFS(Акты!$D$5:$D$16,Акты!$E$5:$E$16,"&lt;="&amp;A2724)-SUMIFS(Оплаты!$B$6:$B$505,Оплаты!$A$6:$A$505,"&lt;"&amp;A2724,Оплаты!$D$6:$D$505,"&lt;&gt;"))</f>
        <v/>
      </c>
      <c r="E2724" t="str">
        <f>IF(A2724="","",IF(SUMPRODUCT((Ввод!$F$12:$F$31&lt;&gt;"")*(Ввод!$F$12:$F$31&lt;=A2724)*(Ввод!$G$12:$G$31&gt;=A2724))&gt;0,1,0))</f>
        <v/>
      </c>
      <c r="G2724" t="str">
        <f t="shared" si="85"/>
        <v/>
      </c>
    </row>
    <row r="2725" spans="1:7" x14ac:dyDescent="0.3">
      <c r="A2725" s="21" t="str">
        <f>IF(A2724="","",IF(A2724+1&gt;Ввод!$B$4,"",A2724+1))</f>
        <v/>
      </c>
      <c r="B2725" s="23" t="str">
        <f>IF(A2725="","",IFERROR(INDEX(Ввод!$B$12:$B$71,MATCH(A2725,Ввод!$D$12:$D$71,1)),""))</f>
        <v/>
      </c>
      <c r="C2725" t="str">
        <f t="shared" si="84"/>
        <v/>
      </c>
      <c r="D2725" t="str">
        <f>IF(A2725="","",SUMIFS(Акты!$D$5:$D$16,Акты!$E$5:$E$16,"&lt;="&amp;A2725)-SUMIFS(Оплаты!$B$6:$B$505,Оплаты!$A$6:$A$505,"&lt;"&amp;A2725,Оплаты!$D$6:$D$505,"&lt;&gt;"))</f>
        <v/>
      </c>
      <c r="E2725" t="str">
        <f>IF(A2725="","",IF(SUMPRODUCT((Ввод!$F$12:$F$31&lt;&gt;"")*(Ввод!$F$12:$F$31&lt;=A2725)*(Ввод!$G$12:$G$31&gt;=A2725))&gt;0,1,0))</f>
        <v/>
      </c>
      <c r="G2725" t="str">
        <f t="shared" si="85"/>
        <v/>
      </c>
    </row>
    <row r="2726" spans="1:7" x14ac:dyDescent="0.3">
      <c r="A2726" s="21" t="str">
        <f>IF(A2725="","",IF(A2725+1&gt;Ввод!$B$4,"",A2725+1))</f>
        <v/>
      </c>
      <c r="B2726" s="23" t="str">
        <f>IF(A2726="","",IFERROR(INDEX(Ввод!$B$12:$B$71,MATCH(A2726,Ввод!$D$12:$D$71,1)),""))</f>
        <v/>
      </c>
      <c r="C2726" t="str">
        <f t="shared" si="84"/>
        <v/>
      </c>
      <c r="D2726" t="str">
        <f>IF(A2726="","",SUMIFS(Акты!$D$5:$D$16,Акты!$E$5:$E$16,"&lt;="&amp;A2726)-SUMIFS(Оплаты!$B$6:$B$505,Оплаты!$A$6:$A$505,"&lt;"&amp;A2726,Оплаты!$D$6:$D$505,"&lt;&gt;"))</f>
        <v/>
      </c>
      <c r="E2726" t="str">
        <f>IF(A2726="","",IF(SUMPRODUCT((Ввод!$F$12:$F$31&lt;&gt;"")*(Ввод!$F$12:$F$31&lt;=A2726)*(Ввод!$G$12:$G$31&gt;=A2726))&gt;0,1,0))</f>
        <v/>
      </c>
      <c r="G2726" t="str">
        <f t="shared" si="85"/>
        <v/>
      </c>
    </row>
    <row r="2727" spans="1:7" x14ac:dyDescent="0.3">
      <c r="A2727" s="21" t="str">
        <f>IF(A2726="","",IF(A2726+1&gt;Ввод!$B$4,"",A2726+1))</f>
        <v/>
      </c>
      <c r="B2727" s="23" t="str">
        <f>IF(A2727="","",IFERROR(INDEX(Ввод!$B$12:$B$71,MATCH(A2727,Ввод!$D$12:$D$71,1)),""))</f>
        <v/>
      </c>
      <c r="C2727" t="str">
        <f t="shared" si="84"/>
        <v/>
      </c>
      <c r="D2727" t="str">
        <f>IF(A2727="","",SUMIFS(Акты!$D$5:$D$16,Акты!$E$5:$E$16,"&lt;="&amp;A2727)-SUMIFS(Оплаты!$B$6:$B$505,Оплаты!$A$6:$A$505,"&lt;"&amp;A2727,Оплаты!$D$6:$D$505,"&lt;&gt;"))</f>
        <v/>
      </c>
      <c r="E2727" t="str">
        <f>IF(A2727="","",IF(SUMPRODUCT((Ввод!$F$12:$F$31&lt;&gt;"")*(Ввод!$F$12:$F$31&lt;=A2727)*(Ввод!$G$12:$G$31&gt;=A2727))&gt;0,1,0))</f>
        <v/>
      </c>
      <c r="G2727" t="str">
        <f t="shared" si="85"/>
        <v/>
      </c>
    </row>
    <row r="2728" spans="1:7" x14ac:dyDescent="0.3">
      <c r="A2728" s="21" t="str">
        <f>IF(A2727="","",IF(A2727+1&gt;Ввод!$B$4,"",A2727+1))</f>
        <v/>
      </c>
      <c r="B2728" s="23" t="str">
        <f>IF(A2728="","",IFERROR(INDEX(Ввод!$B$12:$B$71,MATCH(A2728,Ввод!$D$12:$D$71,1)),""))</f>
        <v/>
      </c>
      <c r="C2728" t="str">
        <f t="shared" si="84"/>
        <v/>
      </c>
      <c r="D2728" t="str">
        <f>IF(A2728="","",SUMIFS(Акты!$D$5:$D$16,Акты!$E$5:$E$16,"&lt;="&amp;A2728)-SUMIFS(Оплаты!$B$6:$B$505,Оплаты!$A$6:$A$505,"&lt;"&amp;A2728,Оплаты!$D$6:$D$505,"&lt;&gt;"))</f>
        <v/>
      </c>
      <c r="E2728" t="str">
        <f>IF(A2728="","",IF(SUMPRODUCT((Ввод!$F$12:$F$31&lt;&gt;"")*(Ввод!$F$12:$F$31&lt;=A2728)*(Ввод!$G$12:$G$31&gt;=A2728))&gt;0,1,0))</f>
        <v/>
      </c>
      <c r="G2728" t="str">
        <f t="shared" si="85"/>
        <v/>
      </c>
    </row>
    <row r="2729" spans="1:7" x14ac:dyDescent="0.3">
      <c r="A2729" s="21" t="str">
        <f>IF(A2728="","",IF(A2728+1&gt;Ввод!$B$4,"",A2728+1))</f>
        <v/>
      </c>
      <c r="B2729" s="23" t="str">
        <f>IF(A2729="","",IFERROR(INDEX(Ввод!$B$12:$B$71,MATCH(A2729,Ввод!$D$12:$D$71,1)),""))</f>
        <v/>
      </c>
      <c r="C2729" t="str">
        <f t="shared" si="84"/>
        <v/>
      </c>
      <c r="D2729" t="str">
        <f>IF(A2729="","",SUMIFS(Акты!$D$5:$D$16,Акты!$E$5:$E$16,"&lt;="&amp;A2729)-SUMIFS(Оплаты!$B$6:$B$505,Оплаты!$A$6:$A$505,"&lt;"&amp;A2729,Оплаты!$D$6:$D$505,"&lt;&gt;"))</f>
        <v/>
      </c>
      <c r="E2729" t="str">
        <f>IF(A2729="","",IF(SUMPRODUCT((Ввод!$F$12:$F$31&lt;&gt;"")*(Ввод!$F$12:$F$31&lt;=A2729)*(Ввод!$G$12:$G$31&gt;=A2729))&gt;0,1,0))</f>
        <v/>
      </c>
      <c r="G2729" t="str">
        <f t="shared" si="85"/>
        <v/>
      </c>
    </row>
    <row r="2730" spans="1:7" x14ac:dyDescent="0.3">
      <c r="A2730" s="21" t="str">
        <f>IF(A2729="","",IF(A2729+1&gt;Ввод!$B$4,"",A2729+1))</f>
        <v/>
      </c>
      <c r="B2730" s="23" t="str">
        <f>IF(A2730="","",IFERROR(INDEX(Ввод!$B$12:$B$71,MATCH(A2730,Ввод!$D$12:$D$71,1)),""))</f>
        <v/>
      </c>
      <c r="C2730" t="str">
        <f t="shared" si="84"/>
        <v/>
      </c>
      <c r="D2730" t="str">
        <f>IF(A2730="","",SUMIFS(Акты!$D$5:$D$16,Акты!$E$5:$E$16,"&lt;="&amp;A2730)-SUMIFS(Оплаты!$B$6:$B$505,Оплаты!$A$6:$A$505,"&lt;"&amp;A2730,Оплаты!$D$6:$D$505,"&lt;&gt;"))</f>
        <v/>
      </c>
      <c r="E2730" t="str">
        <f>IF(A2730="","",IF(SUMPRODUCT((Ввод!$F$12:$F$31&lt;&gt;"")*(Ввод!$F$12:$F$31&lt;=A2730)*(Ввод!$G$12:$G$31&gt;=A2730))&gt;0,1,0))</f>
        <v/>
      </c>
      <c r="G2730" t="str">
        <f t="shared" si="85"/>
        <v/>
      </c>
    </row>
    <row r="2731" spans="1:7" x14ac:dyDescent="0.3">
      <c r="A2731" s="21" t="str">
        <f>IF(A2730="","",IF(A2730+1&gt;Ввод!$B$4,"",A2730+1))</f>
        <v/>
      </c>
      <c r="B2731" s="23" t="str">
        <f>IF(A2731="","",IFERROR(INDEX(Ввод!$B$12:$B$71,MATCH(A2731,Ввод!$D$12:$D$71,1)),""))</f>
        <v/>
      </c>
      <c r="C2731" t="str">
        <f t="shared" si="84"/>
        <v/>
      </c>
      <c r="D2731" t="str">
        <f>IF(A2731="","",SUMIFS(Акты!$D$5:$D$16,Акты!$E$5:$E$16,"&lt;="&amp;A2731)-SUMIFS(Оплаты!$B$6:$B$505,Оплаты!$A$6:$A$505,"&lt;"&amp;A2731,Оплаты!$D$6:$D$505,"&lt;&gt;"))</f>
        <v/>
      </c>
      <c r="E2731" t="str">
        <f>IF(A2731="","",IF(SUMPRODUCT((Ввод!$F$12:$F$31&lt;&gt;"")*(Ввод!$F$12:$F$31&lt;=A2731)*(Ввод!$G$12:$G$31&gt;=A2731))&gt;0,1,0))</f>
        <v/>
      </c>
      <c r="G2731" t="str">
        <f t="shared" si="85"/>
        <v/>
      </c>
    </row>
    <row r="2732" spans="1:7" x14ac:dyDescent="0.3">
      <c r="A2732" s="21" t="str">
        <f>IF(A2731="","",IF(A2731+1&gt;Ввод!$B$4,"",A2731+1))</f>
        <v/>
      </c>
      <c r="B2732" s="23" t="str">
        <f>IF(A2732="","",IFERROR(INDEX(Ввод!$B$12:$B$71,MATCH(A2732,Ввод!$D$12:$D$71,1)),""))</f>
        <v/>
      </c>
      <c r="C2732" t="str">
        <f t="shared" si="84"/>
        <v/>
      </c>
      <c r="D2732" t="str">
        <f>IF(A2732="","",SUMIFS(Акты!$D$5:$D$16,Акты!$E$5:$E$16,"&lt;="&amp;A2732)-SUMIFS(Оплаты!$B$6:$B$505,Оплаты!$A$6:$A$505,"&lt;"&amp;A2732,Оплаты!$D$6:$D$505,"&lt;&gt;"))</f>
        <v/>
      </c>
      <c r="E2732" t="str">
        <f>IF(A2732="","",IF(SUMPRODUCT((Ввод!$F$12:$F$31&lt;&gt;"")*(Ввод!$F$12:$F$31&lt;=A2732)*(Ввод!$G$12:$G$31&gt;=A2732))&gt;0,1,0))</f>
        <v/>
      </c>
      <c r="G2732" t="str">
        <f t="shared" si="85"/>
        <v/>
      </c>
    </row>
    <row r="2733" spans="1:7" x14ac:dyDescent="0.3">
      <c r="A2733" s="21" t="str">
        <f>IF(A2732="","",IF(A2732+1&gt;Ввод!$B$4,"",A2732+1))</f>
        <v/>
      </c>
      <c r="B2733" s="23" t="str">
        <f>IF(A2733="","",IFERROR(INDEX(Ввод!$B$12:$B$71,MATCH(A2733,Ввод!$D$12:$D$71,1)),""))</f>
        <v/>
      </c>
      <c r="C2733" t="str">
        <f t="shared" si="84"/>
        <v/>
      </c>
      <c r="D2733" t="str">
        <f>IF(A2733="","",SUMIFS(Акты!$D$5:$D$16,Акты!$E$5:$E$16,"&lt;="&amp;A2733)-SUMIFS(Оплаты!$B$6:$B$505,Оплаты!$A$6:$A$505,"&lt;"&amp;A2733,Оплаты!$D$6:$D$505,"&lt;&gt;"))</f>
        <v/>
      </c>
      <c r="E2733" t="str">
        <f>IF(A2733="","",IF(SUMPRODUCT((Ввод!$F$12:$F$31&lt;&gt;"")*(Ввод!$F$12:$F$31&lt;=A2733)*(Ввод!$G$12:$G$31&gt;=A2733))&gt;0,1,0))</f>
        <v/>
      </c>
      <c r="G2733" t="str">
        <f t="shared" si="85"/>
        <v/>
      </c>
    </row>
    <row r="2734" spans="1:7" x14ac:dyDescent="0.3">
      <c r="A2734" s="21" t="str">
        <f>IF(A2733="","",IF(A2733+1&gt;Ввод!$B$4,"",A2733+1))</f>
        <v/>
      </c>
      <c r="B2734" s="23" t="str">
        <f>IF(A2734="","",IFERROR(INDEX(Ввод!$B$12:$B$71,MATCH(A2734,Ввод!$D$12:$D$71,1)),""))</f>
        <v/>
      </c>
      <c r="C2734" t="str">
        <f t="shared" si="84"/>
        <v/>
      </c>
      <c r="D2734" t="str">
        <f>IF(A2734="","",SUMIFS(Акты!$D$5:$D$16,Акты!$E$5:$E$16,"&lt;="&amp;A2734)-SUMIFS(Оплаты!$B$6:$B$505,Оплаты!$A$6:$A$505,"&lt;"&amp;A2734,Оплаты!$D$6:$D$505,"&lt;&gt;"))</f>
        <v/>
      </c>
      <c r="E2734" t="str">
        <f>IF(A2734="","",IF(SUMPRODUCT((Ввод!$F$12:$F$31&lt;&gt;"")*(Ввод!$F$12:$F$31&lt;=A2734)*(Ввод!$G$12:$G$31&gt;=A2734))&gt;0,1,0))</f>
        <v/>
      </c>
      <c r="G2734" t="str">
        <f t="shared" si="85"/>
        <v/>
      </c>
    </row>
    <row r="2735" spans="1:7" x14ac:dyDescent="0.3">
      <c r="A2735" s="21" t="str">
        <f>IF(A2734="","",IF(A2734+1&gt;Ввод!$B$4,"",A2734+1))</f>
        <v/>
      </c>
      <c r="B2735" s="23" t="str">
        <f>IF(A2735="","",IFERROR(INDEX(Ввод!$B$12:$B$71,MATCH(A2735,Ввод!$D$12:$D$71,1)),""))</f>
        <v/>
      </c>
      <c r="C2735" t="str">
        <f t="shared" si="84"/>
        <v/>
      </c>
      <c r="D2735" t="str">
        <f>IF(A2735="","",SUMIFS(Акты!$D$5:$D$16,Акты!$E$5:$E$16,"&lt;="&amp;A2735)-SUMIFS(Оплаты!$B$6:$B$505,Оплаты!$A$6:$A$505,"&lt;"&amp;A2735,Оплаты!$D$6:$D$505,"&lt;&gt;"))</f>
        <v/>
      </c>
      <c r="E2735" t="str">
        <f>IF(A2735="","",IF(SUMPRODUCT((Ввод!$F$12:$F$31&lt;&gt;"")*(Ввод!$F$12:$F$31&lt;=A2735)*(Ввод!$G$12:$G$31&gt;=A2735))&gt;0,1,0))</f>
        <v/>
      </c>
      <c r="G2735" t="str">
        <f t="shared" si="85"/>
        <v/>
      </c>
    </row>
    <row r="2736" spans="1:7" x14ac:dyDescent="0.3">
      <c r="A2736" s="21" t="str">
        <f>IF(A2735="","",IF(A2735+1&gt;Ввод!$B$4,"",A2735+1))</f>
        <v/>
      </c>
      <c r="B2736" s="23" t="str">
        <f>IF(A2736="","",IFERROR(INDEX(Ввод!$B$12:$B$71,MATCH(A2736,Ввод!$D$12:$D$71,1)),""))</f>
        <v/>
      </c>
      <c r="C2736" t="str">
        <f t="shared" si="84"/>
        <v/>
      </c>
      <c r="D2736" t="str">
        <f>IF(A2736="","",SUMIFS(Акты!$D$5:$D$16,Акты!$E$5:$E$16,"&lt;="&amp;A2736)-SUMIFS(Оплаты!$B$6:$B$505,Оплаты!$A$6:$A$505,"&lt;"&amp;A2736,Оплаты!$D$6:$D$505,"&lt;&gt;"))</f>
        <v/>
      </c>
      <c r="E2736" t="str">
        <f>IF(A2736="","",IF(SUMPRODUCT((Ввод!$F$12:$F$31&lt;&gt;"")*(Ввод!$F$12:$F$31&lt;=A2736)*(Ввод!$G$12:$G$31&gt;=A2736))&gt;0,1,0))</f>
        <v/>
      </c>
      <c r="G2736" t="str">
        <f t="shared" si="85"/>
        <v/>
      </c>
    </row>
    <row r="2737" spans="1:7" x14ac:dyDescent="0.3">
      <c r="A2737" s="21" t="str">
        <f>IF(A2736="","",IF(A2736+1&gt;Ввод!$B$4,"",A2736+1))</f>
        <v/>
      </c>
      <c r="B2737" s="23" t="str">
        <f>IF(A2737="","",IFERROR(INDEX(Ввод!$B$12:$B$71,MATCH(A2737,Ввод!$D$12:$D$71,1)),""))</f>
        <v/>
      </c>
      <c r="C2737" t="str">
        <f t="shared" si="84"/>
        <v/>
      </c>
      <c r="D2737" t="str">
        <f>IF(A2737="","",SUMIFS(Акты!$D$5:$D$16,Акты!$E$5:$E$16,"&lt;="&amp;A2737)-SUMIFS(Оплаты!$B$6:$B$505,Оплаты!$A$6:$A$505,"&lt;"&amp;A2737,Оплаты!$D$6:$D$505,"&lt;&gt;"))</f>
        <v/>
      </c>
      <c r="E2737" t="str">
        <f>IF(A2737="","",IF(SUMPRODUCT((Ввод!$F$12:$F$31&lt;&gt;"")*(Ввод!$F$12:$F$31&lt;=A2737)*(Ввод!$G$12:$G$31&gt;=A2737))&gt;0,1,0))</f>
        <v/>
      </c>
      <c r="G2737" t="str">
        <f t="shared" si="85"/>
        <v/>
      </c>
    </row>
    <row r="2738" spans="1:7" x14ac:dyDescent="0.3">
      <c r="A2738" s="21" t="str">
        <f>IF(A2737="","",IF(A2737+1&gt;Ввод!$B$4,"",A2737+1))</f>
        <v/>
      </c>
      <c r="B2738" s="23" t="str">
        <f>IF(A2738="","",IFERROR(INDEX(Ввод!$B$12:$B$71,MATCH(A2738,Ввод!$D$12:$D$71,1)),""))</f>
        <v/>
      </c>
      <c r="C2738" t="str">
        <f t="shared" si="84"/>
        <v/>
      </c>
      <c r="D2738" t="str">
        <f>IF(A2738="","",SUMIFS(Акты!$D$5:$D$16,Акты!$E$5:$E$16,"&lt;="&amp;A2738)-SUMIFS(Оплаты!$B$6:$B$505,Оплаты!$A$6:$A$505,"&lt;"&amp;A2738,Оплаты!$D$6:$D$505,"&lt;&gt;"))</f>
        <v/>
      </c>
      <c r="E2738" t="str">
        <f>IF(A2738="","",IF(SUMPRODUCT((Ввод!$F$12:$F$31&lt;&gt;"")*(Ввод!$F$12:$F$31&lt;=A2738)*(Ввод!$G$12:$G$31&gt;=A2738))&gt;0,1,0))</f>
        <v/>
      </c>
      <c r="G2738" t="str">
        <f t="shared" si="85"/>
        <v/>
      </c>
    </row>
    <row r="2739" spans="1:7" x14ac:dyDescent="0.3">
      <c r="A2739" s="21" t="str">
        <f>IF(A2738="","",IF(A2738+1&gt;Ввод!$B$4,"",A2738+1))</f>
        <v/>
      </c>
      <c r="B2739" s="23" t="str">
        <f>IF(A2739="","",IFERROR(INDEX(Ввод!$B$12:$B$71,MATCH(A2739,Ввод!$D$12:$D$71,1)),""))</f>
        <v/>
      </c>
      <c r="C2739" t="str">
        <f t="shared" si="84"/>
        <v/>
      </c>
      <c r="D2739" t="str">
        <f>IF(A2739="","",SUMIFS(Акты!$D$5:$D$16,Акты!$E$5:$E$16,"&lt;="&amp;A2739)-SUMIFS(Оплаты!$B$6:$B$505,Оплаты!$A$6:$A$505,"&lt;"&amp;A2739,Оплаты!$D$6:$D$505,"&lt;&gt;"))</f>
        <v/>
      </c>
      <c r="E2739" t="str">
        <f>IF(A2739="","",IF(SUMPRODUCT((Ввод!$F$12:$F$31&lt;&gt;"")*(Ввод!$F$12:$F$31&lt;=A2739)*(Ввод!$G$12:$G$31&gt;=A2739))&gt;0,1,0))</f>
        <v/>
      </c>
      <c r="G2739" t="str">
        <f t="shared" si="85"/>
        <v/>
      </c>
    </row>
    <row r="2740" spans="1:7" x14ac:dyDescent="0.3">
      <c r="A2740" s="21" t="str">
        <f>IF(A2739="","",IF(A2739+1&gt;Ввод!$B$4,"",A2739+1))</f>
        <v/>
      </c>
      <c r="B2740" s="23" t="str">
        <f>IF(A2740="","",IFERROR(INDEX(Ввод!$B$12:$B$71,MATCH(A2740,Ввод!$D$12:$D$71,1)),""))</f>
        <v/>
      </c>
      <c r="C2740" t="str">
        <f t="shared" si="84"/>
        <v/>
      </c>
      <c r="D2740" t="str">
        <f>IF(A2740="","",SUMIFS(Акты!$D$5:$D$16,Акты!$E$5:$E$16,"&lt;="&amp;A2740)-SUMIFS(Оплаты!$B$6:$B$505,Оплаты!$A$6:$A$505,"&lt;"&amp;A2740,Оплаты!$D$6:$D$505,"&lt;&gt;"))</f>
        <v/>
      </c>
      <c r="E2740" t="str">
        <f>IF(A2740="","",IF(SUMPRODUCT((Ввод!$F$12:$F$31&lt;&gt;"")*(Ввод!$F$12:$F$31&lt;=A2740)*(Ввод!$G$12:$G$31&gt;=A2740))&gt;0,1,0))</f>
        <v/>
      </c>
      <c r="G2740" t="str">
        <f t="shared" si="85"/>
        <v/>
      </c>
    </row>
    <row r="2741" spans="1:7" x14ac:dyDescent="0.3">
      <c r="A2741" s="21" t="str">
        <f>IF(A2740="","",IF(A2740+1&gt;Ввод!$B$4,"",A2740+1))</f>
        <v/>
      </c>
      <c r="B2741" s="23" t="str">
        <f>IF(A2741="","",IFERROR(INDEX(Ввод!$B$12:$B$71,MATCH(A2741,Ввод!$D$12:$D$71,1)),""))</f>
        <v/>
      </c>
      <c r="C2741" t="str">
        <f t="shared" si="84"/>
        <v/>
      </c>
      <c r="D2741" t="str">
        <f>IF(A2741="","",SUMIFS(Акты!$D$5:$D$16,Акты!$E$5:$E$16,"&lt;="&amp;A2741)-SUMIFS(Оплаты!$B$6:$B$505,Оплаты!$A$6:$A$505,"&lt;"&amp;A2741,Оплаты!$D$6:$D$505,"&lt;&gt;"))</f>
        <v/>
      </c>
      <c r="E2741" t="str">
        <f>IF(A2741="","",IF(SUMPRODUCT((Ввод!$F$12:$F$31&lt;&gt;"")*(Ввод!$F$12:$F$31&lt;=A2741)*(Ввод!$G$12:$G$31&gt;=A2741))&gt;0,1,0))</f>
        <v/>
      </c>
      <c r="G2741" t="str">
        <f t="shared" si="85"/>
        <v/>
      </c>
    </row>
    <row r="2742" spans="1:7" x14ac:dyDescent="0.3">
      <c r="A2742" s="21" t="str">
        <f>IF(A2741="","",IF(A2741+1&gt;Ввод!$B$4,"",A2741+1))</f>
        <v/>
      </c>
      <c r="B2742" s="23" t="str">
        <f>IF(A2742="","",IFERROR(INDEX(Ввод!$B$12:$B$71,MATCH(A2742,Ввод!$D$12:$D$71,1)),""))</f>
        <v/>
      </c>
      <c r="C2742" t="str">
        <f t="shared" si="84"/>
        <v/>
      </c>
      <c r="D2742" t="str">
        <f>IF(A2742="","",SUMIFS(Акты!$D$5:$D$16,Акты!$E$5:$E$16,"&lt;="&amp;A2742)-SUMIFS(Оплаты!$B$6:$B$505,Оплаты!$A$6:$A$505,"&lt;"&amp;A2742,Оплаты!$D$6:$D$505,"&lt;&gt;"))</f>
        <v/>
      </c>
      <c r="E2742" t="str">
        <f>IF(A2742="","",IF(SUMPRODUCT((Ввод!$F$12:$F$31&lt;&gt;"")*(Ввод!$F$12:$F$31&lt;=A2742)*(Ввод!$G$12:$G$31&gt;=A2742))&gt;0,1,0))</f>
        <v/>
      </c>
      <c r="G2742" t="str">
        <f t="shared" si="85"/>
        <v/>
      </c>
    </row>
    <row r="2743" spans="1:7" x14ac:dyDescent="0.3">
      <c r="A2743" s="21" t="str">
        <f>IF(A2742="","",IF(A2742+1&gt;Ввод!$B$4,"",A2742+1))</f>
        <v/>
      </c>
      <c r="B2743" s="23" t="str">
        <f>IF(A2743="","",IFERROR(INDEX(Ввод!$B$12:$B$71,MATCH(A2743,Ввод!$D$12:$D$71,1)),""))</f>
        <v/>
      </c>
      <c r="C2743" t="str">
        <f t="shared" si="84"/>
        <v/>
      </c>
      <c r="D2743" t="str">
        <f>IF(A2743="","",SUMIFS(Акты!$D$5:$D$16,Акты!$E$5:$E$16,"&lt;="&amp;A2743)-SUMIFS(Оплаты!$B$6:$B$505,Оплаты!$A$6:$A$505,"&lt;"&amp;A2743,Оплаты!$D$6:$D$505,"&lt;&gt;"))</f>
        <v/>
      </c>
      <c r="E2743" t="str">
        <f>IF(A2743="","",IF(SUMPRODUCT((Ввод!$F$12:$F$31&lt;&gt;"")*(Ввод!$F$12:$F$31&lt;=A2743)*(Ввод!$G$12:$G$31&gt;=A2743))&gt;0,1,0))</f>
        <v/>
      </c>
      <c r="G2743" t="str">
        <f t="shared" si="85"/>
        <v/>
      </c>
    </row>
    <row r="2744" spans="1:7" x14ac:dyDescent="0.3">
      <c r="A2744" s="21" t="str">
        <f>IF(A2743="","",IF(A2743+1&gt;Ввод!$B$4,"",A2743+1))</f>
        <v/>
      </c>
      <c r="B2744" s="23" t="str">
        <f>IF(A2744="","",IFERROR(INDEX(Ввод!$B$12:$B$71,MATCH(A2744,Ввод!$D$12:$D$71,1)),""))</f>
        <v/>
      </c>
      <c r="C2744" t="str">
        <f t="shared" si="84"/>
        <v/>
      </c>
      <c r="D2744" t="str">
        <f>IF(A2744="","",SUMIFS(Акты!$D$5:$D$16,Акты!$E$5:$E$16,"&lt;="&amp;A2744)-SUMIFS(Оплаты!$B$6:$B$505,Оплаты!$A$6:$A$505,"&lt;"&amp;A2744,Оплаты!$D$6:$D$505,"&lt;&gt;"))</f>
        <v/>
      </c>
      <c r="E2744" t="str">
        <f>IF(A2744="","",IF(SUMPRODUCT((Ввод!$F$12:$F$31&lt;&gt;"")*(Ввод!$F$12:$F$31&lt;=A2744)*(Ввод!$G$12:$G$31&gt;=A2744))&gt;0,1,0))</f>
        <v/>
      </c>
      <c r="G2744" t="str">
        <f t="shared" si="85"/>
        <v/>
      </c>
    </row>
    <row r="2745" spans="1:7" x14ac:dyDescent="0.3">
      <c r="A2745" s="21" t="str">
        <f>IF(A2744="","",IF(A2744+1&gt;Ввод!$B$4,"",A2744+1))</f>
        <v/>
      </c>
      <c r="B2745" s="23" t="str">
        <f>IF(A2745="","",IFERROR(INDEX(Ввод!$B$12:$B$71,MATCH(A2745,Ввод!$D$12:$D$71,1)),""))</f>
        <v/>
      </c>
      <c r="C2745" t="str">
        <f t="shared" si="84"/>
        <v/>
      </c>
      <c r="D2745" t="str">
        <f>IF(A2745="","",SUMIFS(Акты!$D$5:$D$16,Акты!$E$5:$E$16,"&lt;="&amp;A2745)-SUMIFS(Оплаты!$B$6:$B$505,Оплаты!$A$6:$A$505,"&lt;"&amp;A2745,Оплаты!$D$6:$D$505,"&lt;&gt;"))</f>
        <v/>
      </c>
      <c r="E2745" t="str">
        <f>IF(A2745="","",IF(SUMPRODUCT((Ввод!$F$12:$F$31&lt;&gt;"")*(Ввод!$F$12:$F$31&lt;=A2745)*(Ввод!$G$12:$G$31&gt;=A2745))&gt;0,1,0))</f>
        <v/>
      </c>
      <c r="G2745" t="str">
        <f t="shared" si="85"/>
        <v/>
      </c>
    </row>
    <row r="2746" spans="1:7" x14ac:dyDescent="0.3">
      <c r="A2746" s="21" t="str">
        <f>IF(A2745="","",IF(A2745+1&gt;Ввод!$B$4,"",A2745+1))</f>
        <v/>
      </c>
      <c r="B2746" s="23" t="str">
        <f>IF(A2746="","",IFERROR(INDEX(Ввод!$B$12:$B$71,MATCH(A2746,Ввод!$D$12:$D$71,1)),""))</f>
        <v/>
      </c>
      <c r="C2746" t="str">
        <f t="shared" si="84"/>
        <v/>
      </c>
      <c r="D2746" t="str">
        <f>IF(A2746="","",SUMIFS(Акты!$D$5:$D$16,Акты!$E$5:$E$16,"&lt;="&amp;A2746)-SUMIFS(Оплаты!$B$6:$B$505,Оплаты!$A$6:$A$505,"&lt;"&amp;A2746,Оплаты!$D$6:$D$505,"&lt;&gt;"))</f>
        <v/>
      </c>
      <c r="E2746" t="str">
        <f>IF(A2746="","",IF(SUMPRODUCT((Ввод!$F$12:$F$31&lt;&gt;"")*(Ввод!$F$12:$F$31&lt;=A2746)*(Ввод!$G$12:$G$31&gt;=A2746))&gt;0,1,0))</f>
        <v/>
      </c>
      <c r="G2746" t="str">
        <f t="shared" si="85"/>
        <v/>
      </c>
    </row>
    <row r="2747" spans="1:7" x14ac:dyDescent="0.3">
      <c r="A2747" s="21" t="str">
        <f>IF(A2746="","",IF(A2746+1&gt;Ввод!$B$4,"",A2746+1))</f>
        <v/>
      </c>
      <c r="B2747" s="23" t="str">
        <f>IF(A2747="","",IFERROR(INDEX(Ввод!$B$12:$B$71,MATCH(A2747,Ввод!$D$12:$D$71,1)),""))</f>
        <v/>
      </c>
      <c r="C2747" t="str">
        <f t="shared" si="84"/>
        <v/>
      </c>
      <c r="D2747" t="str">
        <f>IF(A2747="","",SUMIFS(Акты!$D$5:$D$16,Акты!$E$5:$E$16,"&lt;="&amp;A2747)-SUMIFS(Оплаты!$B$6:$B$505,Оплаты!$A$6:$A$505,"&lt;"&amp;A2747,Оплаты!$D$6:$D$505,"&lt;&gt;"))</f>
        <v/>
      </c>
      <c r="E2747" t="str">
        <f>IF(A2747="","",IF(SUMPRODUCT((Ввод!$F$12:$F$31&lt;&gt;"")*(Ввод!$F$12:$F$31&lt;=A2747)*(Ввод!$G$12:$G$31&gt;=A2747))&gt;0,1,0))</f>
        <v/>
      </c>
      <c r="G2747" t="str">
        <f t="shared" si="85"/>
        <v/>
      </c>
    </row>
    <row r="2748" spans="1:7" x14ac:dyDescent="0.3">
      <c r="A2748" s="21" t="str">
        <f>IF(A2747="","",IF(A2747+1&gt;Ввод!$B$4,"",A2747+1))</f>
        <v/>
      </c>
      <c r="B2748" s="23" t="str">
        <f>IF(A2748="","",IFERROR(INDEX(Ввод!$B$12:$B$71,MATCH(A2748,Ввод!$D$12:$D$71,1)),""))</f>
        <v/>
      </c>
      <c r="C2748" t="str">
        <f t="shared" si="84"/>
        <v/>
      </c>
      <c r="D2748" t="str">
        <f>IF(A2748="","",SUMIFS(Акты!$D$5:$D$16,Акты!$E$5:$E$16,"&lt;="&amp;A2748)-SUMIFS(Оплаты!$B$6:$B$505,Оплаты!$A$6:$A$505,"&lt;"&amp;A2748,Оплаты!$D$6:$D$505,"&lt;&gt;"))</f>
        <v/>
      </c>
      <c r="E2748" t="str">
        <f>IF(A2748="","",IF(SUMPRODUCT((Ввод!$F$12:$F$31&lt;&gt;"")*(Ввод!$F$12:$F$31&lt;=A2748)*(Ввод!$G$12:$G$31&gt;=A2748))&gt;0,1,0))</f>
        <v/>
      </c>
      <c r="G2748" t="str">
        <f t="shared" si="85"/>
        <v/>
      </c>
    </row>
    <row r="2749" spans="1:7" x14ac:dyDescent="0.3">
      <c r="A2749" s="21" t="str">
        <f>IF(A2748="","",IF(A2748+1&gt;Ввод!$B$4,"",A2748+1))</f>
        <v/>
      </c>
      <c r="B2749" s="23" t="str">
        <f>IF(A2749="","",IFERROR(INDEX(Ввод!$B$12:$B$71,MATCH(A2749,Ввод!$D$12:$D$71,1)),""))</f>
        <v/>
      </c>
      <c r="C2749" t="str">
        <f t="shared" si="84"/>
        <v/>
      </c>
      <c r="D2749" t="str">
        <f>IF(A2749="","",SUMIFS(Акты!$D$5:$D$16,Акты!$E$5:$E$16,"&lt;="&amp;A2749)-SUMIFS(Оплаты!$B$6:$B$505,Оплаты!$A$6:$A$505,"&lt;"&amp;A2749,Оплаты!$D$6:$D$505,"&lt;&gt;"))</f>
        <v/>
      </c>
      <c r="E2749" t="str">
        <f>IF(A2749="","",IF(SUMPRODUCT((Ввод!$F$12:$F$31&lt;&gt;"")*(Ввод!$F$12:$F$31&lt;=A2749)*(Ввод!$G$12:$G$31&gt;=A2749))&gt;0,1,0))</f>
        <v/>
      </c>
      <c r="G2749" t="str">
        <f t="shared" si="85"/>
        <v/>
      </c>
    </row>
    <row r="2750" spans="1:7" x14ac:dyDescent="0.3">
      <c r="A2750" s="21" t="str">
        <f>IF(A2749="","",IF(A2749+1&gt;Ввод!$B$4,"",A2749+1))</f>
        <v/>
      </c>
      <c r="B2750" s="23" t="str">
        <f>IF(A2750="","",IFERROR(INDEX(Ввод!$B$12:$B$71,MATCH(A2750,Ввод!$D$12:$D$71,1)),""))</f>
        <v/>
      </c>
      <c r="C2750" t="str">
        <f t="shared" si="84"/>
        <v/>
      </c>
      <c r="D2750" t="str">
        <f>IF(A2750="","",SUMIFS(Акты!$D$5:$D$16,Акты!$E$5:$E$16,"&lt;="&amp;A2750)-SUMIFS(Оплаты!$B$6:$B$505,Оплаты!$A$6:$A$505,"&lt;"&amp;A2750,Оплаты!$D$6:$D$505,"&lt;&gt;"))</f>
        <v/>
      </c>
      <c r="E2750" t="str">
        <f>IF(A2750="","",IF(SUMPRODUCT((Ввод!$F$12:$F$31&lt;&gt;"")*(Ввод!$F$12:$F$31&lt;=A2750)*(Ввод!$G$12:$G$31&gt;=A2750))&gt;0,1,0))</f>
        <v/>
      </c>
      <c r="G2750" t="str">
        <f t="shared" si="85"/>
        <v/>
      </c>
    </row>
    <row r="2751" spans="1:7" x14ac:dyDescent="0.3">
      <c r="A2751" s="21" t="str">
        <f>IF(A2750="","",IF(A2750+1&gt;Ввод!$B$4,"",A2750+1))</f>
        <v/>
      </c>
      <c r="B2751" s="23" t="str">
        <f>IF(A2751="","",IFERROR(INDEX(Ввод!$B$12:$B$71,MATCH(A2751,Ввод!$D$12:$D$71,1)),""))</f>
        <v/>
      </c>
      <c r="C2751" t="str">
        <f t="shared" si="84"/>
        <v/>
      </c>
      <c r="D2751" t="str">
        <f>IF(A2751="","",SUMIFS(Акты!$D$5:$D$16,Акты!$E$5:$E$16,"&lt;="&amp;A2751)-SUMIFS(Оплаты!$B$6:$B$505,Оплаты!$A$6:$A$505,"&lt;"&amp;A2751,Оплаты!$D$6:$D$505,"&lt;&gt;"))</f>
        <v/>
      </c>
      <c r="E2751" t="str">
        <f>IF(A2751="","",IF(SUMPRODUCT((Ввод!$F$12:$F$31&lt;&gt;"")*(Ввод!$F$12:$F$31&lt;=A2751)*(Ввод!$G$12:$G$31&gt;=A2751))&gt;0,1,0))</f>
        <v/>
      </c>
      <c r="G2751" t="str">
        <f t="shared" si="85"/>
        <v/>
      </c>
    </row>
    <row r="2752" spans="1:7" x14ac:dyDescent="0.3">
      <c r="A2752" s="21" t="str">
        <f>IF(A2751="","",IF(A2751+1&gt;Ввод!$B$4,"",A2751+1))</f>
        <v/>
      </c>
      <c r="B2752" s="23" t="str">
        <f>IF(A2752="","",IFERROR(INDEX(Ввод!$B$12:$B$71,MATCH(A2752,Ввод!$D$12:$D$71,1)),""))</f>
        <v/>
      </c>
      <c r="C2752" t="str">
        <f t="shared" si="84"/>
        <v/>
      </c>
      <c r="D2752" t="str">
        <f>IF(A2752="","",SUMIFS(Акты!$D$5:$D$16,Акты!$E$5:$E$16,"&lt;="&amp;A2752)-SUMIFS(Оплаты!$B$6:$B$505,Оплаты!$A$6:$A$505,"&lt;"&amp;A2752,Оплаты!$D$6:$D$505,"&lt;&gt;"))</f>
        <v/>
      </c>
      <c r="E2752" t="str">
        <f>IF(A2752="","",IF(SUMPRODUCT((Ввод!$F$12:$F$31&lt;&gt;"")*(Ввод!$F$12:$F$31&lt;=A2752)*(Ввод!$G$12:$G$31&gt;=A2752))&gt;0,1,0))</f>
        <v/>
      </c>
      <c r="G2752" t="str">
        <f t="shared" si="85"/>
        <v/>
      </c>
    </row>
    <row r="2753" spans="1:7" x14ac:dyDescent="0.3">
      <c r="A2753" s="21" t="str">
        <f>IF(A2752="","",IF(A2752+1&gt;Ввод!$B$4,"",A2752+1))</f>
        <v/>
      </c>
      <c r="B2753" s="23" t="str">
        <f>IF(A2753="","",IFERROR(INDEX(Ввод!$B$12:$B$71,MATCH(A2753,Ввод!$D$12:$D$71,1)),""))</f>
        <v/>
      </c>
      <c r="C2753" t="str">
        <f t="shared" si="84"/>
        <v/>
      </c>
      <c r="D2753" t="str">
        <f>IF(A2753="","",SUMIFS(Акты!$D$5:$D$16,Акты!$E$5:$E$16,"&lt;="&amp;A2753)-SUMIFS(Оплаты!$B$6:$B$505,Оплаты!$A$6:$A$505,"&lt;"&amp;A2753,Оплаты!$D$6:$D$505,"&lt;&gt;"))</f>
        <v/>
      </c>
      <c r="E2753" t="str">
        <f>IF(A2753="","",IF(SUMPRODUCT((Ввод!$F$12:$F$31&lt;&gt;"")*(Ввод!$F$12:$F$31&lt;=A2753)*(Ввод!$G$12:$G$31&gt;=A2753))&gt;0,1,0))</f>
        <v/>
      </c>
      <c r="G2753" t="str">
        <f t="shared" si="85"/>
        <v/>
      </c>
    </row>
    <row r="2754" spans="1:7" x14ac:dyDescent="0.3">
      <c r="A2754" s="21" t="str">
        <f>IF(A2753="","",IF(A2753+1&gt;Ввод!$B$4,"",A2753+1))</f>
        <v/>
      </c>
      <c r="B2754" s="23" t="str">
        <f>IF(A2754="","",IFERROR(INDEX(Ввод!$B$12:$B$71,MATCH(A2754,Ввод!$D$12:$D$71,1)),""))</f>
        <v/>
      </c>
      <c r="C2754" t="str">
        <f t="shared" ref="C2754:C2817" si="86">IF(A2754="","",DATE(YEAR(A2754),12,31)-DATE(YEAR(A2754),1,1)+1)</f>
        <v/>
      </c>
      <c r="D2754" t="str">
        <f>IF(A2754="","",SUMIFS(Акты!$D$5:$D$16,Акты!$E$5:$E$16,"&lt;="&amp;A2754)-SUMIFS(Оплаты!$B$6:$B$505,Оплаты!$A$6:$A$505,"&lt;"&amp;A2754,Оплаты!$D$6:$D$505,"&lt;&gt;"))</f>
        <v/>
      </c>
      <c r="E2754" t="str">
        <f>IF(A2754="","",IF(SUMPRODUCT((Ввод!$F$12:$F$31&lt;&gt;"")*(Ввод!$F$12:$F$31&lt;=A2754)*(Ввод!$G$12:$G$31&gt;=A2754))&gt;0,1,0))</f>
        <v/>
      </c>
      <c r="G2754" t="str">
        <f t="shared" si="85"/>
        <v/>
      </c>
    </row>
    <row r="2755" spans="1:7" x14ac:dyDescent="0.3">
      <c r="A2755" s="21" t="str">
        <f>IF(A2754="","",IF(A2754+1&gt;Ввод!$B$4,"",A2754+1))</f>
        <v/>
      </c>
      <c r="B2755" s="23" t="str">
        <f>IF(A2755="","",IFERROR(INDEX(Ввод!$B$12:$B$71,MATCH(A2755,Ввод!$D$12:$D$71,1)),""))</f>
        <v/>
      </c>
      <c r="C2755" t="str">
        <f t="shared" si="86"/>
        <v/>
      </c>
      <c r="D2755" t="str">
        <f>IF(A2755="","",SUMIFS(Акты!$D$5:$D$16,Акты!$E$5:$E$16,"&lt;="&amp;A2755)-SUMIFS(Оплаты!$B$6:$B$505,Оплаты!$A$6:$A$505,"&lt;"&amp;A2755,Оплаты!$D$6:$D$505,"&lt;&gt;"))</f>
        <v/>
      </c>
      <c r="E2755" t="str">
        <f>IF(A2755="","",IF(SUMPRODUCT((Ввод!$F$12:$F$31&lt;&gt;"")*(Ввод!$F$12:$F$31&lt;=A2755)*(Ввод!$G$12:$G$31&gt;=A2755))&gt;0,1,0))</f>
        <v/>
      </c>
      <c r="G2755" t="str">
        <f t="shared" ref="G2755:G2818" si="87">IF(A2755="","",IF(OR(B2755&lt;&gt;B2754,C2755&lt;&gt;C2754,E2755&lt;&gt;E2754),G2754+1,G2754))</f>
        <v/>
      </c>
    </row>
    <row r="2756" spans="1:7" x14ac:dyDescent="0.3">
      <c r="A2756" s="21" t="str">
        <f>IF(A2755="","",IF(A2755+1&gt;Ввод!$B$4,"",A2755+1))</f>
        <v/>
      </c>
      <c r="B2756" s="23" t="str">
        <f>IF(A2756="","",IFERROR(INDEX(Ввод!$B$12:$B$71,MATCH(A2756,Ввод!$D$12:$D$71,1)),""))</f>
        <v/>
      </c>
      <c r="C2756" t="str">
        <f t="shared" si="86"/>
        <v/>
      </c>
      <c r="D2756" t="str">
        <f>IF(A2756="","",SUMIFS(Акты!$D$5:$D$16,Акты!$E$5:$E$16,"&lt;="&amp;A2756)-SUMIFS(Оплаты!$B$6:$B$505,Оплаты!$A$6:$A$505,"&lt;"&amp;A2756,Оплаты!$D$6:$D$505,"&lt;&gt;"))</f>
        <v/>
      </c>
      <c r="E2756" t="str">
        <f>IF(A2756="","",IF(SUMPRODUCT((Ввод!$F$12:$F$31&lt;&gt;"")*(Ввод!$F$12:$F$31&lt;=A2756)*(Ввод!$G$12:$G$31&gt;=A2756))&gt;0,1,0))</f>
        <v/>
      </c>
      <c r="G2756" t="str">
        <f t="shared" si="87"/>
        <v/>
      </c>
    </row>
    <row r="2757" spans="1:7" x14ac:dyDescent="0.3">
      <c r="A2757" s="21" t="str">
        <f>IF(A2756="","",IF(A2756+1&gt;Ввод!$B$4,"",A2756+1))</f>
        <v/>
      </c>
      <c r="B2757" s="23" t="str">
        <f>IF(A2757="","",IFERROR(INDEX(Ввод!$B$12:$B$71,MATCH(A2757,Ввод!$D$12:$D$71,1)),""))</f>
        <v/>
      </c>
      <c r="C2757" t="str">
        <f t="shared" si="86"/>
        <v/>
      </c>
      <c r="D2757" t="str">
        <f>IF(A2757="","",SUMIFS(Акты!$D$5:$D$16,Акты!$E$5:$E$16,"&lt;="&amp;A2757)-SUMIFS(Оплаты!$B$6:$B$505,Оплаты!$A$6:$A$505,"&lt;"&amp;A2757,Оплаты!$D$6:$D$505,"&lt;&gt;"))</f>
        <v/>
      </c>
      <c r="E2757" t="str">
        <f>IF(A2757="","",IF(SUMPRODUCT((Ввод!$F$12:$F$31&lt;&gt;"")*(Ввод!$F$12:$F$31&lt;=A2757)*(Ввод!$G$12:$G$31&gt;=A2757))&gt;0,1,0))</f>
        <v/>
      </c>
      <c r="G2757" t="str">
        <f t="shared" si="87"/>
        <v/>
      </c>
    </row>
    <row r="2758" spans="1:7" x14ac:dyDescent="0.3">
      <c r="A2758" s="21" t="str">
        <f>IF(A2757="","",IF(A2757+1&gt;Ввод!$B$4,"",A2757+1))</f>
        <v/>
      </c>
      <c r="B2758" s="23" t="str">
        <f>IF(A2758="","",IFERROR(INDEX(Ввод!$B$12:$B$71,MATCH(A2758,Ввод!$D$12:$D$71,1)),""))</f>
        <v/>
      </c>
      <c r="C2758" t="str">
        <f t="shared" si="86"/>
        <v/>
      </c>
      <c r="D2758" t="str">
        <f>IF(A2758="","",SUMIFS(Акты!$D$5:$D$16,Акты!$E$5:$E$16,"&lt;="&amp;A2758)-SUMIFS(Оплаты!$B$6:$B$505,Оплаты!$A$6:$A$505,"&lt;"&amp;A2758,Оплаты!$D$6:$D$505,"&lt;&gt;"))</f>
        <v/>
      </c>
      <c r="E2758" t="str">
        <f>IF(A2758="","",IF(SUMPRODUCT((Ввод!$F$12:$F$31&lt;&gt;"")*(Ввод!$F$12:$F$31&lt;=A2758)*(Ввод!$G$12:$G$31&gt;=A2758))&gt;0,1,0))</f>
        <v/>
      </c>
      <c r="G2758" t="str">
        <f t="shared" si="87"/>
        <v/>
      </c>
    </row>
    <row r="2759" spans="1:7" x14ac:dyDescent="0.3">
      <c r="A2759" s="21" t="str">
        <f>IF(A2758="","",IF(A2758+1&gt;Ввод!$B$4,"",A2758+1))</f>
        <v/>
      </c>
      <c r="B2759" s="23" t="str">
        <f>IF(A2759="","",IFERROR(INDEX(Ввод!$B$12:$B$71,MATCH(A2759,Ввод!$D$12:$D$71,1)),""))</f>
        <v/>
      </c>
      <c r="C2759" t="str">
        <f t="shared" si="86"/>
        <v/>
      </c>
      <c r="D2759" t="str">
        <f>IF(A2759="","",SUMIFS(Акты!$D$5:$D$16,Акты!$E$5:$E$16,"&lt;="&amp;A2759)-SUMIFS(Оплаты!$B$6:$B$505,Оплаты!$A$6:$A$505,"&lt;"&amp;A2759,Оплаты!$D$6:$D$505,"&lt;&gt;"))</f>
        <v/>
      </c>
      <c r="E2759" t="str">
        <f>IF(A2759="","",IF(SUMPRODUCT((Ввод!$F$12:$F$31&lt;&gt;"")*(Ввод!$F$12:$F$31&lt;=A2759)*(Ввод!$G$12:$G$31&gt;=A2759))&gt;0,1,0))</f>
        <v/>
      </c>
      <c r="G2759" t="str">
        <f t="shared" si="87"/>
        <v/>
      </c>
    </row>
    <row r="2760" spans="1:7" x14ac:dyDescent="0.3">
      <c r="A2760" s="21" t="str">
        <f>IF(A2759="","",IF(A2759+1&gt;Ввод!$B$4,"",A2759+1))</f>
        <v/>
      </c>
      <c r="B2760" s="23" t="str">
        <f>IF(A2760="","",IFERROR(INDEX(Ввод!$B$12:$B$71,MATCH(A2760,Ввод!$D$12:$D$71,1)),""))</f>
        <v/>
      </c>
      <c r="C2760" t="str">
        <f t="shared" si="86"/>
        <v/>
      </c>
      <c r="D2760" t="str">
        <f>IF(A2760="","",SUMIFS(Акты!$D$5:$D$16,Акты!$E$5:$E$16,"&lt;="&amp;A2760)-SUMIFS(Оплаты!$B$6:$B$505,Оплаты!$A$6:$A$505,"&lt;"&amp;A2760,Оплаты!$D$6:$D$505,"&lt;&gt;"))</f>
        <v/>
      </c>
      <c r="E2760" t="str">
        <f>IF(A2760="","",IF(SUMPRODUCT((Ввод!$F$12:$F$31&lt;&gt;"")*(Ввод!$F$12:$F$31&lt;=A2760)*(Ввод!$G$12:$G$31&gt;=A2760))&gt;0,1,0))</f>
        <v/>
      </c>
      <c r="G2760" t="str">
        <f t="shared" si="87"/>
        <v/>
      </c>
    </row>
    <row r="2761" spans="1:7" x14ac:dyDescent="0.3">
      <c r="A2761" s="21" t="str">
        <f>IF(A2760="","",IF(A2760+1&gt;Ввод!$B$4,"",A2760+1))</f>
        <v/>
      </c>
      <c r="B2761" s="23" t="str">
        <f>IF(A2761="","",IFERROR(INDEX(Ввод!$B$12:$B$71,MATCH(A2761,Ввод!$D$12:$D$71,1)),""))</f>
        <v/>
      </c>
      <c r="C2761" t="str">
        <f t="shared" si="86"/>
        <v/>
      </c>
      <c r="D2761" t="str">
        <f>IF(A2761="","",SUMIFS(Акты!$D$5:$D$16,Акты!$E$5:$E$16,"&lt;="&amp;A2761)-SUMIFS(Оплаты!$B$6:$B$505,Оплаты!$A$6:$A$505,"&lt;"&amp;A2761,Оплаты!$D$6:$D$505,"&lt;&gt;"))</f>
        <v/>
      </c>
      <c r="E2761" t="str">
        <f>IF(A2761="","",IF(SUMPRODUCT((Ввод!$F$12:$F$31&lt;&gt;"")*(Ввод!$F$12:$F$31&lt;=A2761)*(Ввод!$G$12:$G$31&gt;=A2761))&gt;0,1,0))</f>
        <v/>
      </c>
      <c r="G2761" t="str">
        <f t="shared" si="87"/>
        <v/>
      </c>
    </row>
    <row r="2762" spans="1:7" x14ac:dyDescent="0.3">
      <c r="A2762" s="21" t="str">
        <f>IF(A2761="","",IF(A2761+1&gt;Ввод!$B$4,"",A2761+1))</f>
        <v/>
      </c>
      <c r="B2762" s="23" t="str">
        <f>IF(A2762="","",IFERROR(INDEX(Ввод!$B$12:$B$71,MATCH(A2762,Ввод!$D$12:$D$71,1)),""))</f>
        <v/>
      </c>
      <c r="C2762" t="str">
        <f t="shared" si="86"/>
        <v/>
      </c>
      <c r="D2762" t="str">
        <f>IF(A2762="","",SUMIFS(Акты!$D$5:$D$16,Акты!$E$5:$E$16,"&lt;="&amp;A2762)-SUMIFS(Оплаты!$B$6:$B$505,Оплаты!$A$6:$A$505,"&lt;"&amp;A2762,Оплаты!$D$6:$D$505,"&lt;&gt;"))</f>
        <v/>
      </c>
      <c r="E2762" t="str">
        <f>IF(A2762="","",IF(SUMPRODUCT((Ввод!$F$12:$F$31&lt;&gt;"")*(Ввод!$F$12:$F$31&lt;=A2762)*(Ввод!$G$12:$G$31&gt;=A2762))&gt;0,1,0))</f>
        <v/>
      </c>
      <c r="G2762" t="str">
        <f t="shared" si="87"/>
        <v/>
      </c>
    </row>
    <row r="2763" spans="1:7" x14ac:dyDescent="0.3">
      <c r="A2763" s="21" t="str">
        <f>IF(A2762="","",IF(A2762+1&gt;Ввод!$B$4,"",A2762+1))</f>
        <v/>
      </c>
      <c r="B2763" s="23" t="str">
        <f>IF(A2763="","",IFERROR(INDEX(Ввод!$B$12:$B$71,MATCH(A2763,Ввод!$D$12:$D$71,1)),""))</f>
        <v/>
      </c>
      <c r="C2763" t="str">
        <f t="shared" si="86"/>
        <v/>
      </c>
      <c r="D2763" t="str">
        <f>IF(A2763="","",SUMIFS(Акты!$D$5:$D$16,Акты!$E$5:$E$16,"&lt;="&amp;A2763)-SUMIFS(Оплаты!$B$6:$B$505,Оплаты!$A$6:$A$505,"&lt;"&amp;A2763,Оплаты!$D$6:$D$505,"&lt;&gt;"))</f>
        <v/>
      </c>
      <c r="E2763" t="str">
        <f>IF(A2763="","",IF(SUMPRODUCT((Ввод!$F$12:$F$31&lt;&gt;"")*(Ввод!$F$12:$F$31&lt;=A2763)*(Ввод!$G$12:$G$31&gt;=A2763))&gt;0,1,0))</f>
        <v/>
      </c>
      <c r="G2763" t="str">
        <f t="shared" si="87"/>
        <v/>
      </c>
    </row>
    <row r="2764" spans="1:7" x14ac:dyDescent="0.3">
      <c r="A2764" s="21" t="str">
        <f>IF(A2763="","",IF(A2763+1&gt;Ввод!$B$4,"",A2763+1))</f>
        <v/>
      </c>
      <c r="B2764" s="23" t="str">
        <f>IF(A2764="","",IFERROR(INDEX(Ввод!$B$12:$B$71,MATCH(A2764,Ввод!$D$12:$D$71,1)),""))</f>
        <v/>
      </c>
      <c r="C2764" t="str">
        <f t="shared" si="86"/>
        <v/>
      </c>
      <c r="D2764" t="str">
        <f>IF(A2764="","",SUMIFS(Акты!$D$5:$D$16,Акты!$E$5:$E$16,"&lt;="&amp;A2764)-SUMIFS(Оплаты!$B$6:$B$505,Оплаты!$A$6:$A$505,"&lt;"&amp;A2764,Оплаты!$D$6:$D$505,"&lt;&gt;"))</f>
        <v/>
      </c>
      <c r="E2764" t="str">
        <f>IF(A2764="","",IF(SUMPRODUCT((Ввод!$F$12:$F$31&lt;&gt;"")*(Ввод!$F$12:$F$31&lt;=A2764)*(Ввод!$G$12:$G$31&gt;=A2764))&gt;0,1,0))</f>
        <v/>
      </c>
      <c r="G2764" t="str">
        <f t="shared" si="87"/>
        <v/>
      </c>
    </row>
    <row r="2765" spans="1:7" x14ac:dyDescent="0.3">
      <c r="A2765" s="21" t="str">
        <f>IF(A2764="","",IF(A2764+1&gt;Ввод!$B$4,"",A2764+1))</f>
        <v/>
      </c>
      <c r="B2765" s="23" t="str">
        <f>IF(A2765="","",IFERROR(INDEX(Ввод!$B$12:$B$71,MATCH(A2765,Ввод!$D$12:$D$71,1)),""))</f>
        <v/>
      </c>
      <c r="C2765" t="str">
        <f t="shared" si="86"/>
        <v/>
      </c>
      <c r="D2765" t="str">
        <f>IF(A2765="","",SUMIFS(Акты!$D$5:$D$16,Акты!$E$5:$E$16,"&lt;="&amp;A2765)-SUMIFS(Оплаты!$B$6:$B$505,Оплаты!$A$6:$A$505,"&lt;"&amp;A2765,Оплаты!$D$6:$D$505,"&lt;&gt;"))</f>
        <v/>
      </c>
      <c r="E2765" t="str">
        <f>IF(A2765="","",IF(SUMPRODUCT((Ввод!$F$12:$F$31&lt;&gt;"")*(Ввод!$F$12:$F$31&lt;=A2765)*(Ввод!$G$12:$G$31&gt;=A2765))&gt;0,1,0))</f>
        <v/>
      </c>
      <c r="G2765" t="str">
        <f t="shared" si="87"/>
        <v/>
      </c>
    </row>
    <row r="2766" spans="1:7" x14ac:dyDescent="0.3">
      <c r="A2766" s="21" t="str">
        <f>IF(A2765="","",IF(A2765+1&gt;Ввод!$B$4,"",A2765+1))</f>
        <v/>
      </c>
      <c r="B2766" s="23" t="str">
        <f>IF(A2766="","",IFERROR(INDEX(Ввод!$B$12:$B$71,MATCH(A2766,Ввод!$D$12:$D$71,1)),""))</f>
        <v/>
      </c>
      <c r="C2766" t="str">
        <f t="shared" si="86"/>
        <v/>
      </c>
      <c r="D2766" t="str">
        <f>IF(A2766="","",SUMIFS(Акты!$D$5:$D$16,Акты!$E$5:$E$16,"&lt;="&amp;A2766)-SUMIFS(Оплаты!$B$6:$B$505,Оплаты!$A$6:$A$505,"&lt;"&amp;A2766,Оплаты!$D$6:$D$505,"&lt;&gt;"))</f>
        <v/>
      </c>
      <c r="E2766" t="str">
        <f>IF(A2766="","",IF(SUMPRODUCT((Ввод!$F$12:$F$31&lt;&gt;"")*(Ввод!$F$12:$F$31&lt;=A2766)*(Ввод!$G$12:$G$31&gt;=A2766))&gt;0,1,0))</f>
        <v/>
      </c>
      <c r="G2766" t="str">
        <f t="shared" si="87"/>
        <v/>
      </c>
    </row>
    <row r="2767" spans="1:7" x14ac:dyDescent="0.3">
      <c r="A2767" s="21" t="str">
        <f>IF(A2766="","",IF(A2766+1&gt;Ввод!$B$4,"",A2766+1))</f>
        <v/>
      </c>
      <c r="B2767" s="23" t="str">
        <f>IF(A2767="","",IFERROR(INDEX(Ввод!$B$12:$B$71,MATCH(A2767,Ввод!$D$12:$D$71,1)),""))</f>
        <v/>
      </c>
      <c r="C2767" t="str">
        <f t="shared" si="86"/>
        <v/>
      </c>
      <c r="D2767" t="str">
        <f>IF(A2767="","",SUMIFS(Акты!$D$5:$D$16,Акты!$E$5:$E$16,"&lt;="&amp;A2767)-SUMIFS(Оплаты!$B$6:$B$505,Оплаты!$A$6:$A$505,"&lt;"&amp;A2767,Оплаты!$D$6:$D$505,"&lt;&gt;"))</f>
        <v/>
      </c>
      <c r="E2767" t="str">
        <f>IF(A2767="","",IF(SUMPRODUCT((Ввод!$F$12:$F$31&lt;&gt;"")*(Ввод!$F$12:$F$31&lt;=A2767)*(Ввод!$G$12:$G$31&gt;=A2767))&gt;0,1,0))</f>
        <v/>
      </c>
      <c r="G2767" t="str">
        <f t="shared" si="87"/>
        <v/>
      </c>
    </row>
    <row r="2768" spans="1:7" x14ac:dyDescent="0.3">
      <c r="A2768" s="21" t="str">
        <f>IF(A2767="","",IF(A2767+1&gt;Ввод!$B$4,"",A2767+1))</f>
        <v/>
      </c>
      <c r="B2768" s="23" t="str">
        <f>IF(A2768="","",IFERROR(INDEX(Ввод!$B$12:$B$71,MATCH(A2768,Ввод!$D$12:$D$71,1)),""))</f>
        <v/>
      </c>
      <c r="C2768" t="str">
        <f t="shared" si="86"/>
        <v/>
      </c>
      <c r="D2768" t="str">
        <f>IF(A2768="","",SUMIFS(Акты!$D$5:$D$16,Акты!$E$5:$E$16,"&lt;="&amp;A2768)-SUMIFS(Оплаты!$B$6:$B$505,Оплаты!$A$6:$A$505,"&lt;"&amp;A2768,Оплаты!$D$6:$D$505,"&lt;&gt;"))</f>
        <v/>
      </c>
      <c r="E2768" t="str">
        <f>IF(A2768="","",IF(SUMPRODUCT((Ввод!$F$12:$F$31&lt;&gt;"")*(Ввод!$F$12:$F$31&lt;=A2768)*(Ввод!$G$12:$G$31&gt;=A2768))&gt;0,1,0))</f>
        <v/>
      </c>
      <c r="G2768" t="str">
        <f t="shared" si="87"/>
        <v/>
      </c>
    </row>
    <row r="2769" spans="1:7" x14ac:dyDescent="0.3">
      <c r="A2769" s="21" t="str">
        <f>IF(A2768="","",IF(A2768+1&gt;Ввод!$B$4,"",A2768+1))</f>
        <v/>
      </c>
      <c r="B2769" s="23" t="str">
        <f>IF(A2769="","",IFERROR(INDEX(Ввод!$B$12:$B$71,MATCH(A2769,Ввод!$D$12:$D$71,1)),""))</f>
        <v/>
      </c>
      <c r="C2769" t="str">
        <f t="shared" si="86"/>
        <v/>
      </c>
      <c r="D2769" t="str">
        <f>IF(A2769="","",SUMIFS(Акты!$D$5:$D$16,Акты!$E$5:$E$16,"&lt;="&amp;A2769)-SUMIFS(Оплаты!$B$6:$B$505,Оплаты!$A$6:$A$505,"&lt;"&amp;A2769,Оплаты!$D$6:$D$505,"&lt;&gt;"))</f>
        <v/>
      </c>
      <c r="E2769" t="str">
        <f>IF(A2769="","",IF(SUMPRODUCT((Ввод!$F$12:$F$31&lt;&gt;"")*(Ввод!$F$12:$F$31&lt;=A2769)*(Ввод!$G$12:$G$31&gt;=A2769))&gt;0,1,0))</f>
        <v/>
      </c>
      <c r="G2769" t="str">
        <f t="shared" si="87"/>
        <v/>
      </c>
    </row>
    <row r="2770" spans="1:7" x14ac:dyDescent="0.3">
      <c r="A2770" s="21" t="str">
        <f>IF(A2769="","",IF(A2769+1&gt;Ввод!$B$4,"",A2769+1))</f>
        <v/>
      </c>
      <c r="B2770" s="23" t="str">
        <f>IF(A2770="","",IFERROR(INDEX(Ввод!$B$12:$B$71,MATCH(A2770,Ввод!$D$12:$D$71,1)),""))</f>
        <v/>
      </c>
      <c r="C2770" t="str">
        <f t="shared" si="86"/>
        <v/>
      </c>
      <c r="D2770" t="str">
        <f>IF(A2770="","",SUMIFS(Акты!$D$5:$D$16,Акты!$E$5:$E$16,"&lt;="&amp;A2770)-SUMIFS(Оплаты!$B$6:$B$505,Оплаты!$A$6:$A$505,"&lt;"&amp;A2770,Оплаты!$D$6:$D$505,"&lt;&gt;"))</f>
        <v/>
      </c>
      <c r="E2770" t="str">
        <f>IF(A2770="","",IF(SUMPRODUCT((Ввод!$F$12:$F$31&lt;&gt;"")*(Ввод!$F$12:$F$31&lt;=A2770)*(Ввод!$G$12:$G$31&gt;=A2770))&gt;0,1,0))</f>
        <v/>
      </c>
      <c r="G2770" t="str">
        <f t="shared" si="87"/>
        <v/>
      </c>
    </row>
    <row r="2771" spans="1:7" x14ac:dyDescent="0.3">
      <c r="A2771" s="21" t="str">
        <f>IF(A2770="","",IF(A2770+1&gt;Ввод!$B$4,"",A2770+1))</f>
        <v/>
      </c>
      <c r="B2771" s="23" t="str">
        <f>IF(A2771="","",IFERROR(INDEX(Ввод!$B$12:$B$71,MATCH(A2771,Ввод!$D$12:$D$71,1)),""))</f>
        <v/>
      </c>
      <c r="C2771" t="str">
        <f t="shared" si="86"/>
        <v/>
      </c>
      <c r="D2771" t="str">
        <f>IF(A2771="","",SUMIFS(Акты!$D$5:$D$16,Акты!$E$5:$E$16,"&lt;="&amp;A2771)-SUMIFS(Оплаты!$B$6:$B$505,Оплаты!$A$6:$A$505,"&lt;"&amp;A2771,Оплаты!$D$6:$D$505,"&lt;&gt;"))</f>
        <v/>
      </c>
      <c r="E2771" t="str">
        <f>IF(A2771="","",IF(SUMPRODUCT((Ввод!$F$12:$F$31&lt;&gt;"")*(Ввод!$F$12:$F$31&lt;=A2771)*(Ввод!$G$12:$G$31&gt;=A2771))&gt;0,1,0))</f>
        <v/>
      </c>
      <c r="G2771" t="str">
        <f t="shared" si="87"/>
        <v/>
      </c>
    </row>
    <row r="2772" spans="1:7" x14ac:dyDescent="0.3">
      <c r="A2772" s="21" t="str">
        <f>IF(A2771="","",IF(A2771+1&gt;Ввод!$B$4,"",A2771+1))</f>
        <v/>
      </c>
      <c r="B2772" s="23" t="str">
        <f>IF(A2772="","",IFERROR(INDEX(Ввод!$B$12:$B$71,MATCH(A2772,Ввод!$D$12:$D$71,1)),""))</f>
        <v/>
      </c>
      <c r="C2772" t="str">
        <f t="shared" si="86"/>
        <v/>
      </c>
      <c r="D2772" t="str">
        <f>IF(A2772="","",SUMIFS(Акты!$D$5:$D$16,Акты!$E$5:$E$16,"&lt;="&amp;A2772)-SUMIFS(Оплаты!$B$6:$B$505,Оплаты!$A$6:$A$505,"&lt;"&amp;A2772,Оплаты!$D$6:$D$505,"&lt;&gt;"))</f>
        <v/>
      </c>
      <c r="E2772" t="str">
        <f>IF(A2772="","",IF(SUMPRODUCT((Ввод!$F$12:$F$31&lt;&gt;"")*(Ввод!$F$12:$F$31&lt;=A2772)*(Ввод!$G$12:$G$31&gt;=A2772))&gt;0,1,0))</f>
        <v/>
      </c>
      <c r="G2772" t="str">
        <f t="shared" si="87"/>
        <v/>
      </c>
    </row>
    <row r="2773" spans="1:7" x14ac:dyDescent="0.3">
      <c r="A2773" s="21" t="str">
        <f>IF(A2772="","",IF(A2772+1&gt;Ввод!$B$4,"",A2772+1))</f>
        <v/>
      </c>
      <c r="B2773" s="23" t="str">
        <f>IF(A2773="","",IFERROR(INDEX(Ввод!$B$12:$B$71,MATCH(A2773,Ввод!$D$12:$D$71,1)),""))</f>
        <v/>
      </c>
      <c r="C2773" t="str">
        <f t="shared" si="86"/>
        <v/>
      </c>
      <c r="D2773" t="str">
        <f>IF(A2773="","",SUMIFS(Акты!$D$5:$D$16,Акты!$E$5:$E$16,"&lt;="&amp;A2773)-SUMIFS(Оплаты!$B$6:$B$505,Оплаты!$A$6:$A$505,"&lt;"&amp;A2773,Оплаты!$D$6:$D$505,"&lt;&gt;"))</f>
        <v/>
      </c>
      <c r="E2773" t="str">
        <f>IF(A2773="","",IF(SUMPRODUCT((Ввод!$F$12:$F$31&lt;&gt;"")*(Ввод!$F$12:$F$31&lt;=A2773)*(Ввод!$G$12:$G$31&gt;=A2773))&gt;0,1,0))</f>
        <v/>
      </c>
      <c r="G2773" t="str">
        <f t="shared" si="87"/>
        <v/>
      </c>
    </row>
    <row r="2774" spans="1:7" x14ac:dyDescent="0.3">
      <c r="A2774" s="21" t="str">
        <f>IF(A2773="","",IF(A2773+1&gt;Ввод!$B$4,"",A2773+1))</f>
        <v/>
      </c>
      <c r="B2774" s="23" t="str">
        <f>IF(A2774="","",IFERROR(INDEX(Ввод!$B$12:$B$71,MATCH(A2774,Ввод!$D$12:$D$71,1)),""))</f>
        <v/>
      </c>
      <c r="C2774" t="str">
        <f t="shared" si="86"/>
        <v/>
      </c>
      <c r="D2774" t="str">
        <f>IF(A2774="","",SUMIFS(Акты!$D$5:$D$16,Акты!$E$5:$E$16,"&lt;="&amp;A2774)-SUMIFS(Оплаты!$B$6:$B$505,Оплаты!$A$6:$A$505,"&lt;"&amp;A2774,Оплаты!$D$6:$D$505,"&lt;&gt;"))</f>
        <v/>
      </c>
      <c r="E2774" t="str">
        <f>IF(A2774="","",IF(SUMPRODUCT((Ввод!$F$12:$F$31&lt;&gt;"")*(Ввод!$F$12:$F$31&lt;=A2774)*(Ввод!$G$12:$G$31&gt;=A2774))&gt;0,1,0))</f>
        <v/>
      </c>
      <c r="G2774" t="str">
        <f t="shared" si="87"/>
        <v/>
      </c>
    </row>
    <row r="2775" spans="1:7" x14ac:dyDescent="0.3">
      <c r="A2775" s="21" t="str">
        <f>IF(A2774="","",IF(A2774+1&gt;Ввод!$B$4,"",A2774+1))</f>
        <v/>
      </c>
      <c r="B2775" s="23" t="str">
        <f>IF(A2775="","",IFERROR(INDEX(Ввод!$B$12:$B$71,MATCH(A2775,Ввод!$D$12:$D$71,1)),""))</f>
        <v/>
      </c>
      <c r="C2775" t="str">
        <f t="shared" si="86"/>
        <v/>
      </c>
      <c r="D2775" t="str">
        <f>IF(A2775="","",SUMIFS(Акты!$D$5:$D$16,Акты!$E$5:$E$16,"&lt;="&amp;A2775)-SUMIFS(Оплаты!$B$6:$B$505,Оплаты!$A$6:$A$505,"&lt;"&amp;A2775,Оплаты!$D$6:$D$505,"&lt;&gt;"))</f>
        <v/>
      </c>
      <c r="E2775" t="str">
        <f>IF(A2775="","",IF(SUMPRODUCT((Ввод!$F$12:$F$31&lt;&gt;"")*(Ввод!$F$12:$F$31&lt;=A2775)*(Ввод!$G$12:$G$31&gt;=A2775))&gt;0,1,0))</f>
        <v/>
      </c>
      <c r="G2775" t="str">
        <f t="shared" si="87"/>
        <v/>
      </c>
    </row>
    <row r="2776" spans="1:7" x14ac:dyDescent="0.3">
      <c r="A2776" s="21" t="str">
        <f>IF(A2775="","",IF(A2775+1&gt;Ввод!$B$4,"",A2775+1))</f>
        <v/>
      </c>
      <c r="B2776" s="23" t="str">
        <f>IF(A2776="","",IFERROR(INDEX(Ввод!$B$12:$B$71,MATCH(A2776,Ввод!$D$12:$D$71,1)),""))</f>
        <v/>
      </c>
      <c r="C2776" t="str">
        <f t="shared" si="86"/>
        <v/>
      </c>
      <c r="D2776" t="str">
        <f>IF(A2776="","",SUMIFS(Акты!$D$5:$D$16,Акты!$E$5:$E$16,"&lt;="&amp;A2776)-SUMIFS(Оплаты!$B$6:$B$505,Оплаты!$A$6:$A$505,"&lt;"&amp;A2776,Оплаты!$D$6:$D$505,"&lt;&gt;"))</f>
        <v/>
      </c>
      <c r="E2776" t="str">
        <f>IF(A2776="","",IF(SUMPRODUCT((Ввод!$F$12:$F$31&lt;&gt;"")*(Ввод!$F$12:$F$31&lt;=A2776)*(Ввод!$G$12:$G$31&gt;=A2776))&gt;0,1,0))</f>
        <v/>
      </c>
      <c r="G2776" t="str">
        <f t="shared" si="87"/>
        <v/>
      </c>
    </row>
    <row r="2777" spans="1:7" x14ac:dyDescent="0.3">
      <c r="A2777" s="21" t="str">
        <f>IF(A2776="","",IF(A2776+1&gt;Ввод!$B$4,"",A2776+1))</f>
        <v/>
      </c>
      <c r="B2777" s="23" t="str">
        <f>IF(A2777="","",IFERROR(INDEX(Ввод!$B$12:$B$71,MATCH(A2777,Ввод!$D$12:$D$71,1)),""))</f>
        <v/>
      </c>
      <c r="C2777" t="str">
        <f t="shared" si="86"/>
        <v/>
      </c>
      <c r="D2777" t="str">
        <f>IF(A2777="","",SUMIFS(Акты!$D$5:$D$16,Акты!$E$5:$E$16,"&lt;="&amp;A2777)-SUMIFS(Оплаты!$B$6:$B$505,Оплаты!$A$6:$A$505,"&lt;"&amp;A2777,Оплаты!$D$6:$D$505,"&lt;&gt;"))</f>
        <v/>
      </c>
      <c r="E2777" t="str">
        <f>IF(A2777="","",IF(SUMPRODUCT((Ввод!$F$12:$F$31&lt;&gt;"")*(Ввод!$F$12:$F$31&lt;=A2777)*(Ввод!$G$12:$G$31&gt;=A2777))&gt;0,1,0))</f>
        <v/>
      </c>
      <c r="G2777" t="str">
        <f t="shared" si="87"/>
        <v/>
      </c>
    </row>
    <row r="2778" spans="1:7" x14ac:dyDescent="0.3">
      <c r="A2778" s="21" t="str">
        <f>IF(A2777="","",IF(A2777+1&gt;Ввод!$B$4,"",A2777+1))</f>
        <v/>
      </c>
      <c r="B2778" s="23" t="str">
        <f>IF(A2778="","",IFERROR(INDEX(Ввод!$B$12:$B$71,MATCH(A2778,Ввод!$D$12:$D$71,1)),""))</f>
        <v/>
      </c>
      <c r="C2778" t="str">
        <f t="shared" si="86"/>
        <v/>
      </c>
      <c r="D2778" t="str">
        <f>IF(A2778="","",SUMIFS(Акты!$D$5:$D$16,Акты!$E$5:$E$16,"&lt;="&amp;A2778)-SUMIFS(Оплаты!$B$6:$B$505,Оплаты!$A$6:$A$505,"&lt;"&amp;A2778,Оплаты!$D$6:$D$505,"&lt;&gt;"))</f>
        <v/>
      </c>
      <c r="E2778" t="str">
        <f>IF(A2778="","",IF(SUMPRODUCT((Ввод!$F$12:$F$31&lt;&gt;"")*(Ввод!$F$12:$F$31&lt;=A2778)*(Ввод!$G$12:$G$31&gt;=A2778))&gt;0,1,0))</f>
        <v/>
      </c>
      <c r="G2778" t="str">
        <f t="shared" si="87"/>
        <v/>
      </c>
    </row>
    <row r="2779" spans="1:7" x14ac:dyDescent="0.3">
      <c r="A2779" s="21" t="str">
        <f>IF(A2778="","",IF(A2778+1&gt;Ввод!$B$4,"",A2778+1))</f>
        <v/>
      </c>
      <c r="B2779" s="23" t="str">
        <f>IF(A2779="","",IFERROR(INDEX(Ввод!$B$12:$B$71,MATCH(A2779,Ввод!$D$12:$D$71,1)),""))</f>
        <v/>
      </c>
      <c r="C2779" t="str">
        <f t="shared" si="86"/>
        <v/>
      </c>
      <c r="D2779" t="str">
        <f>IF(A2779="","",SUMIFS(Акты!$D$5:$D$16,Акты!$E$5:$E$16,"&lt;="&amp;A2779)-SUMIFS(Оплаты!$B$6:$B$505,Оплаты!$A$6:$A$505,"&lt;"&amp;A2779,Оплаты!$D$6:$D$505,"&lt;&gt;"))</f>
        <v/>
      </c>
      <c r="E2779" t="str">
        <f>IF(A2779="","",IF(SUMPRODUCT((Ввод!$F$12:$F$31&lt;&gt;"")*(Ввод!$F$12:$F$31&lt;=A2779)*(Ввод!$G$12:$G$31&gt;=A2779))&gt;0,1,0))</f>
        <v/>
      </c>
      <c r="G2779" t="str">
        <f t="shared" si="87"/>
        <v/>
      </c>
    </row>
    <row r="2780" spans="1:7" x14ac:dyDescent="0.3">
      <c r="A2780" s="21" t="str">
        <f>IF(A2779="","",IF(A2779+1&gt;Ввод!$B$4,"",A2779+1))</f>
        <v/>
      </c>
      <c r="B2780" s="23" t="str">
        <f>IF(A2780="","",IFERROR(INDEX(Ввод!$B$12:$B$71,MATCH(A2780,Ввод!$D$12:$D$71,1)),""))</f>
        <v/>
      </c>
      <c r="C2780" t="str">
        <f t="shared" si="86"/>
        <v/>
      </c>
      <c r="D2780" t="str">
        <f>IF(A2780="","",SUMIFS(Акты!$D$5:$D$16,Акты!$E$5:$E$16,"&lt;="&amp;A2780)-SUMIFS(Оплаты!$B$6:$B$505,Оплаты!$A$6:$A$505,"&lt;"&amp;A2780,Оплаты!$D$6:$D$505,"&lt;&gt;"))</f>
        <v/>
      </c>
      <c r="E2780" t="str">
        <f>IF(A2780="","",IF(SUMPRODUCT((Ввод!$F$12:$F$31&lt;&gt;"")*(Ввод!$F$12:$F$31&lt;=A2780)*(Ввод!$G$12:$G$31&gt;=A2780))&gt;0,1,0))</f>
        <v/>
      </c>
      <c r="G2780" t="str">
        <f t="shared" si="87"/>
        <v/>
      </c>
    </row>
    <row r="2781" spans="1:7" x14ac:dyDescent="0.3">
      <c r="A2781" s="21" t="str">
        <f>IF(A2780="","",IF(A2780+1&gt;Ввод!$B$4,"",A2780+1))</f>
        <v/>
      </c>
      <c r="B2781" s="23" t="str">
        <f>IF(A2781="","",IFERROR(INDEX(Ввод!$B$12:$B$71,MATCH(A2781,Ввод!$D$12:$D$71,1)),""))</f>
        <v/>
      </c>
      <c r="C2781" t="str">
        <f t="shared" si="86"/>
        <v/>
      </c>
      <c r="D2781" t="str">
        <f>IF(A2781="","",SUMIFS(Акты!$D$5:$D$16,Акты!$E$5:$E$16,"&lt;="&amp;A2781)-SUMIFS(Оплаты!$B$6:$B$505,Оплаты!$A$6:$A$505,"&lt;"&amp;A2781,Оплаты!$D$6:$D$505,"&lt;&gt;"))</f>
        <v/>
      </c>
      <c r="E2781" t="str">
        <f>IF(A2781="","",IF(SUMPRODUCT((Ввод!$F$12:$F$31&lt;&gt;"")*(Ввод!$F$12:$F$31&lt;=A2781)*(Ввод!$G$12:$G$31&gt;=A2781))&gt;0,1,0))</f>
        <v/>
      </c>
      <c r="G2781" t="str">
        <f t="shared" si="87"/>
        <v/>
      </c>
    </row>
    <row r="2782" spans="1:7" x14ac:dyDescent="0.3">
      <c r="A2782" s="21" t="str">
        <f>IF(A2781="","",IF(A2781+1&gt;Ввод!$B$4,"",A2781+1))</f>
        <v/>
      </c>
      <c r="B2782" s="23" t="str">
        <f>IF(A2782="","",IFERROR(INDEX(Ввод!$B$12:$B$71,MATCH(A2782,Ввод!$D$12:$D$71,1)),""))</f>
        <v/>
      </c>
      <c r="C2782" t="str">
        <f t="shared" si="86"/>
        <v/>
      </c>
      <c r="D2782" t="str">
        <f>IF(A2782="","",SUMIFS(Акты!$D$5:$D$16,Акты!$E$5:$E$16,"&lt;="&amp;A2782)-SUMIFS(Оплаты!$B$6:$B$505,Оплаты!$A$6:$A$505,"&lt;"&amp;A2782,Оплаты!$D$6:$D$505,"&lt;&gt;"))</f>
        <v/>
      </c>
      <c r="E2782" t="str">
        <f>IF(A2782="","",IF(SUMPRODUCT((Ввод!$F$12:$F$31&lt;&gt;"")*(Ввод!$F$12:$F$31&lt;=A2782)*(Ввод!$G$12:$G$31&gt;=A2782))&gt;0,1,0))</f>
        <v/>
      </c>
      <c r="G2782" t="str">
        <f t="shared" si="87"/>
        <v/>
      </c>
    </row>
    <row r="2783" spans="1:7" x14ac:dyDescent="0.3">
      <c r="A2783" s="21" t="str">
        <f>IF(A2782="","",IF(A2782+1&gt;Ввод!$B$4,"",A2782+1))</f>
        <v/>
      </c>
      <c r="B2783" s="23" t="str">
        <f>IF(A2783="","",IFERROR(INDEX(Ввод!$B$12:$B$71,MATCH(A2783,Ввод!$D$12:$D$71,1)),""))</f>
        <v/>
      </c>
      <c r="C2783" t="str">
        <f t="shared" si="86"/>
        <v/>
      </c>
      <c r="D2783" t="str">
        <f>IF(A2783="","",SUMIFS(Акты!$D$5:$D$16,Акты!$E$5:$E$16,"&lt;="&amp;A2783)-SUMIFS(Оплаты!$B$6:$B$505,Оплаты!$A$6:$A$505,"&lt;"&amp;A2783,Оплаты!$D$6:$D$505,"&lt;&gt;"))</f>
        <v/>
      </c>
      <c r="E2783" t="str">
        <f>IF(A2783="","",IF(SUMPRODUCT((Ввод!$F$12:$F$31&lt;&gt;"")*(Ввод!$F$12:$F$31&lt;=A2783)*(Ввод!$G$12:$G$31&gt;=A2783))&gt;0,1,0))</f>
        <v/>
      </c>
      <c r="G2783" t="str">
        <f t="shared" si="87"/>
        <v/>
      </c>
    </row>
    <row r="2784" spans="1:7" x14ac:dyDescent="0.3">
      <c r="A2784" s="21" t="str">
        <f>IF(A2783="","",IF(A2783+1&gt;Ввод!$B$4,"",A2783+1))</f>
        <v/>
      </c>
      <c r="B2784" s="23" t="str">
        <f>IF(A2784="","",IFERROR(INDEX(Ввод!$B$12:$B$71,MATCH(A2784,Ввод!$D$12:$D$71,1)),""))</f>
        <v/>
      </c>
      <c r="C2784" t="str">
        <f t="shared" si="86"/>
        <v/>
      </c>
      <c r="D2784" t="str">
        <f>IF(A2784="","",SUMIFS(Акты!$D$5:$D$16,Акты!$E$5:$E$16,"&lt;="&amp;A2784)-SUMIFS(Оплаты!$B$6:$B$505,Оплаты!$A$6:$A$505,"&lt;"&amp;A2784,Оплаты!$D$6:$D$505,"&lt;&gt;"))</f>
        <v/>
      </c>
      <c r="E2784" t="str">
        <f>IF(A2784="","",IF(SUMPRODUCT((Ввод!$F$12:$F$31&lt;&gt;"")*(Ввод!$F$12:$F$31&lt;=A2784)*(Ввод!$G$12:$G$31&gt;=A2784))&gt;0,1,0))</f>
        <v/>
      </c>
      <c r="G2784" t="str">
        <f t="shared" si="87"/>
        <v/>
      </c>
    </row>
    <row r="2785" spans="1:7" x14ac:dyDescent="0.3">
      <c r="A2785" s="21" t="str">
        <f>IF(A2784="","",IF(A2784+1&gt;Ввод!$B$4,"",A2784+1))</f>
        <v/>
      </c>
      <c r="B2785" s="23" t="str">
        <f>IF(A2785="","",IFERROR(INDEX(Ввод!$B$12:$B$71,MATCH(A2785,Ввод!$D$12:$D$71,1)),""))</f>
        <v/>
      </c>
      <c r="C2785" t="str">
        <f t="shared" si="86"/>
        <v/>
      </c>
      <c r="D2785" t="str">
        <f>IF(A2785="","",SUMIFS(Акты!$D$5:$D$16,Акты!$E$5:$E$16,"&lt;="&amp;A2785)-SUMIFS(Оплаты!$B$6:$B$505,Оплаты!$A$6:$A$505,"&lt;"&amp;A2785,Оплаты!$D$6:$D$505,"&lt;&gt;"))</f>
        <v/>
      </c>
      <c r="E2785" t="str">
        <f>IF(A2785="","",IF(SUMPRODUCT((Ввод!$F$12:$F$31&lt;&gt;"")*(Ввод!$F$12:$F$31&lt;=A2785)*(Ввод!$G$12:$G$31&gt;=A2785))&gt;0,1,0))</f>
        <v/>
      </c>
      <c r="G2785" t="str">
        <f t="shared" si="87"/>
        <v/>
      </c>
    </row>
    <row r="2786" spans="1:7" x14ac:dyDescent="0.3">
      <c r="A2786" s="21" t="str">
        <f>IF(A2785="","",IF(A2785+1&gt;Ввод!$B$4,"",A2785+1))</f>
        <v/>
      </c>
      <c r="B2786" s="23" t="str">
        <f>IF(A2786="","",IFERROR(INDEX(Ввод!$B$12:$B$71,MATCH(A2786,Ввод!$D$12:$D$71,1)),""))</f>
        <v/>
      </c>
      <c r="C2786" t="str">
        <f t="shared" si="86"/>
        <v/>
      </c>
      <c r="D2786" t="str">
        <f>IF(A2786="","",SUMIFS(Акты!$D$5:$D$16,Акты!$E$5:$E$16,"&lt;="&amp;A2786)-SUMIFS(Оплаты!$B$6:$B$505,Оплаты!$A$6:$A$505,"&lt;"&amp;A2786,Оплаты!$D$6:$D$505,"&lt;&gt;"))</f>
        <v/>
      </c>
      <c r="E2786" t="str">
        <f>IF(A2786="","",IF(SUMPRODUCT((Ввод!$F$12:$F$31&lt;&gt;"")*(Ввод!$F$12:$F$31&lt;=A2786)*(Ввод!$G$12:$G$31&gt;=A2786))&gt;0,1,0))</f>
        <v/>
      </c>
      <c r="G2786" t="str">
        <f t="shared" si="87"/>
        <v/>
      </c>
    </row>
    <row r="2787" spans="1:7" x14ac:dyDescent="0.3">
      <c r="A2787" s="21" t="str">
        <f>IF(A2786="","",IF(A2786+1&gt;Ввод!$B$4,"",A2786+1))</f>
        <v/>
      </c>
      <c r="B2787" s="23" t="str">
        <f>IF(A2787="","",IFERROR(INDEX(Ввод!$B$12:$B$71,MATCH(A2787,Ввод!$D$12:$D$71,1)),""))</f>
        <v/>
      </c>
      <c r="C2787" t="str">
        <f t="shared" si="86"/>
        <v/>
      </c>
      <c r="D2787" t="str">
        <f>IF(A2787="","",SUMIFS(Акты!$D$5:$D$16,Акты!$E$5:$E$16,"&lt;="&amp;A2787)-SUMIFS(Оплаты!$B$6:$B$505,Оплаты!$A$6:$A$505,"&lt;"&amp;A2787,Оплаты!$D$6:$D$505,"&lt;&gt;"))</f>
        <v/>
      </c>
      <c r="E2787" t="str">
        <f>IF(A2787="","",IF(SUMPRODUCT((Ввод!$F$12:$F$31&lt;&gt;"")*(Ввод!$F$12:$F$31&lt;=A2787)*(Ввод!$G$12:$G$31&gt;=A2787))&gt;0,1,0))</f>
        <v/>
      </c>
      <c r="G2787" t="str">
        <f t="shared" si="87"/>
        <v/>
      </c>
    </row>
    <row r="2788" spans="1:7" x14ac:dyDescent="0.3">
      <c r="A2788" s="21" t="str">
        <f>IF(A2787="","",IF(A2787+1&gt;Ввод!$B$4,"",A2787+1))</f>
        <v/>
      </c>
      <c r="B2788" s="23" t="str">
        <f>IF(A2788="","",IFERROR(INDEX(Ввод!$B$12:$B$71,MATCH(A2788,Ввод!$D$12:$D$71,1)),""))</f>
        <v/>
      </c>
      <c r="C2788" t="str">
        <f t="shared" si="86"/>
        <v/>
      </c>
      <c r="D2788" t="str">
        <f>IF(A2788="","",SUMIFS(Акты!$D$5:$D$16,Акты!$E$5:$E$16,"&lt;="&amp;A2788)-SUMIFS(Оплаты!$B$6:$B$505,Оплаты!$A$6:$A$505,"&lt;"&amp;A2788,Оплаты!$D$6:$D$505,"&lt;&gt;"))</f>
        <v/>
      </c>
      <c r="E2788" t="str">
        <f>IF(A2788="","",IF(SUMPRODUCT((Ввод!$F$12:$F$31&lt;&gt;"")*(Ввод!$F$12:$F$31&lt;=A2788)*(Ввод!$G$12:$G$31&gt;=A2788))&gt;0,1,0))</f>
        <v/>
      </c>
      <c r="G2788" t="str">
        <f t="shared" si="87"/>
        <v/>
      </c>
    </row>
    <row r="2789" spans="1:7" x14ac:dyDescent="0.3">
      <c r="A2789" s="21" t="str">
        <f>IF(A2788="","",IF(A2788+1&gt;Ввод!$B$4,"",A2788+1))</f>
        <v/>
      </c>
      <c r="B2789" s="23" t="str">
        <f>IF(A2789="","",IFERROR(INDEX(Ввод!$B$12:$B$71,MATCH(A2789,Ввод!$D$12:$D$71,1)),""))</f>
        <v/>
      </c>
      <c r="C2789" t="str">
        <f t="shared" si="86"/>
        <v/>
      </c>
      <c r="D2789" t="str">
        <f>IF(A2789="","",SUMIFS(Акты!$D$5:$D$16,Акты!$E$5:$E$16,"&lt;="&amp;A2789)-SUMIFS(Оплаты!$B$6:$B$505,Оплаты!$A$6:$A$505,"&lt;"&amp;A2789,Оплаты!$D$6:$D$505,"&lt;&gt;"))</f>
        <v/>
      </c>
      <c r="E2789" t="str">
        <f>IF(A2789="","",IF(SUMPRODUCT((Ввод!$F$12:$F$31&lt;&gt;"")*(Ввод!$F$12:$F$31&lt;=A2789)*(Ввод!$G$12:$G$31&gt;=A2789))&gt;0,1,0))</f>
        <v/>
      </c>
      <c r="G2789" t="str">
        <f t="shared" si="87"/>
        <v/>
      </c>
    </row>
    <row r="2790" spans="1:7" x14ac:dyDescent="0.3">
      <c r="A2790" s="21" t="str">
        <f>IF(A2789="","",IF(A2789+1&gt;Ввод!$B$4,"",A2789+1))</f>
        <v/>
      </c>
      <c r="B2790" s="23" t="str">
        <f>IF(A2790="","",IFERROR(INDEX(Ввод!$B$12:$B$71,MATCH(A2790,Ввод!$D$12:$D$71,1)),""))</f>
        <v/>
      </c>
      <c r="C2790" t="str">
        <f t="shared" si="86"/>
        <v/>
      </c>
      <c r="D2790" t="str">
        <f>IF(A2790="","",SUMIFS(Акты!$D$5:$D$16,Акты!$E$5:$E$16,"&lt;="&amp;A2790)-SUMIFS(Оплаты!$B$6:$B$505,Оплаты!$A$6:$A$505,"&lt;"&amp;A2790,Оплаты!$D$6:$D$505,"&lt;&gt;"))</f>
        <v/>
      </c>
      <c r="E2790" t="str">
        <f>IF(A2790="","",IF(SUMPRODUCT((Ввод!$F$12:$F$31&lt;&gt;"")*(Ввод!$F$12:$F$31&lt;=A2790)*(Ввод!$G$12:$G$31&gt;=A2790))&gt;0,1,0))</f>
        <v/>
      </c>
      <c r="G2790" t="str">
        <f t="shared" si="87"/>
        <v/>
      </c>
    </row>
    <row r="2791" spans="1:7" x14ac:dyDescent="0.3">
      <c r="A2791" s="21" t="str">
        <f>IF(A2790="","",IF(A2790+1&gt;Ввод!$B$4,"",A2790+1))</f>
        <v/>
      </c>
      <c r="B2791" s="23" t="str">
        <f>IF(A2791="","",IFERROR(INDEX(Ввод!$B$12:$B$71,MATCH(A2791,Ввод!$D$12:$D$71,1)),""))</f>
        <v/>
      </c>
      <c r="C2791" t="str">
        <f t="shared" si="86"/>
        <v/>
      </c>
      <c r="D2791" t="str">
        <f>IF(A2791="","",SUMIFS(Акты!$D$5:$D$16,Акты!$E$5:$E$16,"&lt;="&amp;A2791)-SUMIFS(Оплаты!$B$6:$B$505,Оплаты!$A$6:$A$505,"&lt;"&amp;A2791,Оплаты!$D$6:$D$505,"&lt;&gt;"))</f>
        <v/>
      </c>
      <c r="E2791" t="str">
        <f>IF(A2791="","",IF(SUMPRODUCT((Ввод!$F$12:$F$31&lt;&gt;"")*(Ввод!$F$12:$F$31&lt;=A2791)*(Ввод!$G$12:$G$31&gt;=A2791))&gt;0,1,0))</f>
        <v/>
      </c>
      <c r="G2791" t="str">
        <f t="shared" si="87"/>
        <v/>
      </c>
    </row>
    <row r="2792" spans="1:7" x14ac:dyDescent="0.3">
      <c r="A2792" s="21" t="str">
        <f>IF(A2791="","",IF(A2791+1&gt;Ввод!$B$4,"",A2791+1))</f>
        <v/>
      </c>
      <c r="B2792" s="23" t="str">
        <f>IF(A2792="","",IFERROR(INDEX(Ввод!$B$12:$B$71,MATCH(A2792,Ввод!$D$12:$D$71,1)),""))</f>
        <v/>
      </c>
      <c r="C2792" t="str">
        <f t="shared" si="86"/>
        <v/>
      </c>
      <c r="D2792" t="str">
        <f>IF(A2792="","",SUMIFS(Акты!$D$5:$D$16,Акты!$E$5:$E$16,"&lt;="&amp;A2792)-SUMIFS(Оплаты!$B$6:$B$505,Оплаты!$A$6:$A$505,"&lt;"&amp;A2792,Оплаты!$D$6:$D$505,"&lt;&gt;"))</f>
        <v/>
      </c>
      <c r="E2792" t="str">
        <f>IF(A2792="","",IF(SUMPRODUCT((Ввод!$F$12:$F$31&lt;&gt;"")*(Ввод!$F$12:$F$31&lt;=A2792)*(Ввод!$G$12:$G$31&gt;=A2792))&gt;0,1,0))</f>
        <v/>
      </c>
      <c r="G2792" t="str">
        <f t="shared" si="87"/>
        <v/>
      </c>
    </row>
    <row r="2793" spans="1:7" x14ac:dyDescent="0.3">
      <c r="A2793" s="21" t="str">
        <f>IF(A2792="","",IF(A2792+1&gt;Ввод!$B$4,"",A2792+1))</f>
        <v/>
      </c>
      <c r="B2793" s="23" t="str">
        <f>IF(A2793="","",IFERROR(INDEX(Ввод!$B$12:$B$71,MATCH(A2793,Ввод!$D$12:$D$71,1)),""))</f>
        <v/>
      </c>
      <c r="C2793" t="str">
        <f t="shared" si="86"/>
        <v/>
      </c>
      <c r="D2793" t="str">
        <f>IF(A2793="","",SUMIFS(Акты!$D$5:$D$16,Акты!$E$5:$E$16,"&lt;="&amp;A2793)-SUMIFS(Оплаты!$B$6:$B$505,Оплаты!$A$6:$A$505,"&lt;"&amp;A2793,Оплаты!$D$6:$D$505,"&lt;&gt;"))</f>
        <v/>
      </c>
      <c r="E2793" t="str">
        <f>IF(A2793="","",IF(SUMPRODUCT((Ввод!$F$12:$F$31&lt;&gt;"")*(Ввод!$F$12:$F$31&lt;=A2793)*(Ввод!$G$12:$G$31&gt;=A2793))&gt;0,1,0))</f>
        <v/>
      </c>
      <c r="G2793" t="str">
        <f t="shared" si="87"/>
        <v/>
      </c>
    </row>
    <row r="2794" spans="1:7" x14ac:dyDescent="0.3">
      <c r="A2794" s="21" t="str">
        <f>IF(A2793="","",IF(A2793+1&gt;Ввод!$B$4,"",A2793+1))</f>
        <v/>
      </c>
      <c r="B2794" s="23" t="str">
        <f>IF(A2794="","",IFERROR(INDEX(Ввод!$B$12:$B$71,MATCH(A2794,Ввод!$D$12:$D$71,1)),""))</f>
        <v/>
      </c>
      <c r="C2794" t="str">
        <f t="shared" si="86"/>
        <v/>
      </c>
      <c r="D2794" t="str">
        <f>IF(A2794="","",SUMIFS(Акты!$D$5:$D$16,Акты!$E$5:$E$16,"&lt;="&amp;A2794)-SUMIFS(Оплаты!$B$6:$B$505,Оплаты!$A$6:$A$505,"&lt;"&amp;A2794,Оплаты!$D$6:$D$505,"&lt;&gt;"))</f>
        <v/>
      </c>
      <c r="E2794" t="str">
        <f>IF(A2794="","",IF(SUMPRODUCT((Ввод!$F$12:$F$31&lt;&gt;"")*(Ввод!$F$12:$F$31&lt;=A2794)*(Ввод!$G$12:$G$31&gt;=A2794))&gt;0,1,0))</f>
        <v/>
      </c>
      <c r="G2794" t="str">
        <f t="shared" si="87"/>
        <v/>
      </c>
    </row>
    <row r="2795" spans="1:7" x14ac:dyDescent="0.3">
      <c r="A2795" s="21" t="str">
        <f>IF(A2794="","",IF(A2794+1&gt;Ввод!$B$4,"",A2794+1))</f>
        <v/>
      </c>
      <c r="B2795" s="23" t="str">
        <f>IF(A2795="","",IFERROR(INDEX(Ввод!$B$12:$B$71,MATCH(A2795,Ввод!$D$12:$D$71,1)),""))</f>
        <v/>
      </c>
      <c r="C2795" t="str">
        <f t="shared" si="86"/>
        <v/>
      </c>
      <c r="D2795" t="str">
        <f>IF(A2795="","",SUMIFS(Акты!$D$5:$D$16,Акты!$E$5:$E$16,"&lt;="&amp;A2795)-SUMIFS(Оплаты!$B$6:$B$505,Оплаты!$A$6:$A$505,"&lt;"&amp;A2795,Оплаты!$D$6:$D$505,"&lt;&gt;"))</f>
        <v/>
      </c>
      <c r="E2795" t="str">
        <f>IF(A2795="","",IF(SUMPRODUCT((Ввод!$F$12:$F$31&lt;&gt;"")*(Ввод!$F$12:$F$31&lt;=A2795)*(Ввод!$G$12:$G$31&gt;=A2795))&gt;0,1,0))</f>
        <v/>
      </c>
      <c r="G2795" t="str">
        <f t="shared" si="87"/>
        <v/>
      </c>
    </row>
    <row r="2796" spans="1:7" x14ac:dyDescent="0.3">
      <c r="A2796" s="21" t="str">
        <f>IF(A2795="","",IF(A2795+1&gt;Ввод!$B$4,"",A2795+1))</f>
        <v/>
      </c>
      <c r="B2796" s="23" t="str">
        <f>IF(A2796="","",IFERROR(INDEX(Ввод!$B$12:$B$71,MATCH(A2796,Ввод!$D$12:$D$71,1)),""))</f>
        <v/>
      </c>
      <c r="C2796" t="str">
        <f t="shared" si="86"/>
        <v/>
      </c>
      <c r="D2796" t="str">
        <f>IF(A2796="","",SUMIFS(Акты!$D$5:$D$16,Акты!$E$5:$E$16,"&lt;="&amp;A2796)-SUMIFS(Оплаты!$B$6:$B$505,Оплаты!$A$6:$A$505,"&lt;"&amp;A2796,Оплаты!$D$6:$D$505,"&lt;&gt;"))</f>
        <v/>
      </c>
      <c r="E2796" t="str">
        <f>IF(A2796="","",IF(SUMPRODUCT((Ввод!$F$12:$F$31&lt;&gt;"")*(Ввод!$F$12:$F$31&lt;=A2796)*(Ввод!$G$12:$G$31&gt;=A2796))&gt;0,1,0))</f>
        <v/>
      </c>
      <c r="G2796" t="str">
        <f t="shared" si="87"/>
        <v/>
      </c>
    </row>
    <row r="2797" spans="1:7" x14ac:dyDescent="0.3">
      <c r="A2797" s="21" t="str">
        <f>IF(A2796="","",IF(A2796+1&gt;Ввод!$B$4,"",A2796+1))</f>
        <v/>
      </c>
      <c r="B2797" s="23" t="str">
        <f>IF(A2797="","",IFERROR(INDEX(Ввод!$B$12:$B$71,MATCH(A2797,Ввод!$D$12:$D$71,1)),""))</f>
        <v/>
      </c>
      <c r="C2797" t="str">
        <f t="shared" si="86"/>
        <v/>
      </c>
      <c r="D2797" t="str">
        <f>IF(A2797="","",SUMIFS(Акты!$D$5:$D$16,Акты!$E$5:$E$16,"&lt;="&amp;A2797)-SUMIFS(Оплаты!$B$6:$B$505,Оплаты!$A$6:$A$505,"&lt;"&amp;A2797,Оплаты!$D$6:$D$505,"&lt;&gt;"))</f>
        <v/>
      </c>
      <c r="E2797" t="str">
        <f>IF(A2797="","",IF(SUMPRODUCT((Ввод!$F$12:$F$31&lt;&gt;"")*(Ввод!$F$12:$F$31&lt;=A2797)*(Ввод!$G$12:$G$31&gt;=A2797))&gt;0,1,0))</f>
        <v/>
      </c>
      <c r="G2797" t="str">
        <f t="shared" si="87"/>
        <v/>
      </c>
    </row>
    <row r="2798" spans="1:7" x14ac:dyDescent="0.3">
      <c r="A2798" s="21" t="str">
        <f>IF(A2797="","",IF(A2797+1&gt;Ввод!$B$4,"",A2797+1))</f>
        <v/>
      </c>
      <c r="B2798" s="23" t="str">
        <f>IF(A2798="","",IFERROR(INDEX(Ввод!$B$12:$B$71,MATCH(A2798,Ввод!$D$12:$D$71,1)),""))</f>
        <v/>
      </c>
      <c r="C2798" t="str">
        <f t="shared" si="86"/>
        <v/>
      </c>
      <c r="D2798" t="str">
        <f>IF(A2798="","",SUMIFS(Акты!$D$5:$D$16,Акты!$E$5:$E$16,"&lt;="&amp;A2798)-SUMIFS(Оплаты!$B$6:$B$505,Оплаты!$A$6:$A$505,"&lt;"&amp;A2798,Оплаты!$D$6:$D$505,"&lt;&gt;"))</f>
        <v/>
      </c>
      <c r="E2798" t="str">
        <f>IF(A2798="","",IF(SUMPRODUCT((Ввод!$F$12:$F$31&lt;&gt;"")*(Ввод!$F$12:$F$31&lt;=A2798)*(Ввод!$G$12:$G$31&gt;=A2798))&gt;0,1,0))</f>
        <v/>
      </c>
      <c r="G2798" t="str">
        <f t="shared" si="87"/>
        <v/>
      </c>
    </row>
    <row r="2799" spans="1:7" x14ac:dyDescent="0.3">
      <c r="A2799" s="21" t="str">
        <f>IF(A2798="","",IF(A2798+1&gt;Ввод!$B$4,"",A2798+1))</f>
        <v/>
      </c>
      <c r="B2799" s="23" t="str">
        <f>IF(A2799="","",IFERROR(INDEX(Ввод!$B$12:$B$71,MATCH(A2799,Ввод!$D$12:$D$71,1)),""))</f>
        <v/>
      </c>
      <c r="C2799" t="str">
        <f t="shared" si="86"/>
        <v/>
      </c>
      <c r="D2799" t="str">
        <f>IF(A2799="","",SUMIFS(Акты!$D$5:$D$16,Акты!$E$5:$E$16,"&lt;="&amp;A2799)-SUMIFS(Оплаты!$B$6:$B$505,Оплаты!$A$6:$A$505,"&lt;"&amp;A2799,Оплаты!$D$6:$D$505,"&lt;&gt;"))</f>
        <v/>
      </c>
      <c r="E2799" t="str">
        <f>IF(A2799="","",IF(SUMPRODUCT((Ввод!$F$12:$F$31&lt;&gt;"")*(Ввод!$F$12:$F$31&lt;=A2799)*(Ввод!$G$12:$G$31&gt;=A2799))&gt;0,1,0))</f>
        <v/>
      </c>
      <c r="G2799" t="str">
        <f t="shared" si="87"/>
        <v/>
      </c>
    </row>
    <row r="2800" spans="1:7" x14ac:dyDescent="0.3">
      <c r="A2800" s="21" t="str">
        <f>IF(A2799="","",IF(A2799+1&gt;Ввод!$B$4,"",A2799+1))</f>
        <v/>
      </c>
      <c r="B2800" s="23" t="str">
        <f>IF(A2800="","",IFERROR(INDEX(Ввод!$B$12:$B$71,MATCH(A2800,Ввод!$D$12:$D$71,1)),""))</f>
        <v/>
      </c>
      <c r="C2800" t="str">
        <f t="shared" si="86"/>
        <v/>
      </c>
      <c r="D2800" t="str">
        <f>IF(A2800="","",SUMIFS(Акты!$D$5:$D$16,Акты!$E$5:$E$16,"&lt;="&amp;A2800)-SUMIFS(Оплаты!$B$6:$B$505,Оплаты!$A$6:$A$505,"&lt;"&amp;A2800,Оплаты!$D$6:$D$505,"&lt;&gt;"))</f>
        <v/>
      </c>
      <c r="E2800" t="str">
        <f>IF(A2800="","",IF(SUMPRODUCT((Ввод!$F$12:$F$31&lt;&gt;"")*(Ввод!$F$12:$F$31&lt;=A2800)*(Ввод!$G$12:$G$31&gt;=A2800))&gt;0,1,0))</f>
        <v/>
      </c>
      <c r="G2800" t="str">
        <f t="shared" si="87"/>
        <v/>
      </c>
    </row>
    <row r="2801" spans="1:7" x14ac:dyDescent="0.3">
      <c r="A2801" s="21" t="str">
        <f>IF(A2800="","",IF(A2800+1&gt;Ввод!$B$4,"",A2800+1))</f>
        <v/>
      </c>
      <c r="B2801" s="23" t="str">
        <f>IF(A2801="","",IFERROR(INDEX(Ввод!$B$12:$B$71,MATCH(A2801,Ввод!$D$12:$D$71,1)),""))</f>
        <v/>
      </c>
      <c r="C2801" t="str">
        <f t="shared" si="86"/>
        <v/>
      </c>
      <c r="D2801" t="str">
        <f>IF(A2801="","",SUMIFS(Акты!$D$5:$D$16,Акты!$E$5:$E$16,"&lt;="&amp;A2801)-SUMIFS(Оплаты!$B$6:$B$505,Оплаты!$A$6:$A$505,"&lt;"&amp;A2801,Оплаты!$D$6:$D$505,"&lt;&gt;"))</f>
        <v/>
      </c>
      <c r="E2801" t="str">
        <f>IF(A2801="","",IF(SUMPRODUCT((Ввод!$F$12:$F$31&lt;&gt;"")*(Ввод!$F$12:$F$31&lt;=A2801)*(Ввод!$G$12:$G$31&gt;=A2801))&gt;0,1,0))</f>
        <v/>
      </c>
      <c r="G2801" t="str">
        <f t="shared" si="87"/>
        <v/>
      </c>
    </row>
    <row r="2802" spans="1:7" x14ac:dyDescent="0.3">
      <c r="A2802" s="21" t="str">
        <f>IF(A2801="","",IF(A2801+1&gt;Ввод!$B$4,"",A2801+1))</f>
        <v/>
      </c>
      <c r="B2802" s="23" t="str">
        <f>IF(A2802="","",IFERROR(INDEX(Ввод!$B$12:$B$71,MATCH(A2802,Ввод!$D$12:$D$71,1)),""))</f>
        <v/>
      </c>
      <c r="C2802" t="str">
        <f t="shared" si="86"/>
        <v/>
      </c>
      <c r="D2802" t="str">
        <f>IF(A2802="","",SUMIFS(Акты!$D$5:$D$16,Акты!$E$5:$E$16,"&lt;="&amp;A2802)-SUMIFS(Оплаты!$B$6:$B$505,Оплаты!$A$6:$A$505,"&lt;"&amp;A2802,Оплаты!$D$6:$D$505,"&lt;&gt;"))</f>
        <v/>
      </c>
      <c r="E2802" t="str">
        <f>IF(A2802="","",IF(SUMPRODUCT((Ввод!$F$12:$F$31&lt;&gt;"")*(Ввод!$F$12:$F$31&lt;=A2802)*(Ввод!$G$12:$G$31&gt;=A2802))&gt;0,1,0))</f>
        <v/>
      </c>
      <c r="G2802" t="str">
        <f t="shared" si="87"/>
        <v/>
      </c>
    </row>
    <row r="2803" spans="1:7" x14ac:dyDescent="0.3">
      <c r="A2803" s="21" t="str">
        <f>IF(A2802="","",IF(A2802+1&gt;Ввод!$B$4,"",A2802+1))</f>
        <v/>
      </c>
      <c r="B2803" s="23" t="str">
        <f>IF(A2803="","",IFERROR(INDEX(Ввод!$B$12:$B$71,MATCH(A2803,Ввод!$D$12:$D$71,1)),""))</f>
        <v/>
      </c>
      <c r="C2803" t="str">
        <f t="shared" si="86"/>
        <v/>
      </c>
      <c r="D2803" t="str">
        <f>IF(A2803="","",SUMIFS(Акты!$D$5:$D$16,Акты!$E$5:$E$16,"&lt;="&amp;A2803)-SUMIFS(Оплаты!$B$6:$B$505,Оплаты!$A$6:$A$505,"&lt;"&amp;A2803,Оплаты!$D$6:$D$505,"&lt;&gt;"))</f>
        <v/>
      </c>
      <c r="E2803" t="str">
        <f>IF(A2803="","",IF(SUMPRODUCT((Ввод!$F$12:$F$31&lt;&gt;"")*(Ввод!$F$12:$F$31&lt;=A2803)*(Ввод!$G$12:$G$31&gt;=A2803))&gt;0,1,0))</f>
        <v/>
      </c>
      <c r="G2803" t="str">
        <f t="shared" si="87"/>
        <v/>
      </c>
    </row>
    <row r="2804" spans="1:7" x14ac:dyDescent="0.3">
      <c r="A2804" s="21" t="str">
        <f>IF(A2803="","",IF(A2803+1&gt;Ввод!$B$4,"",A2803+1))</f>
        <v/>
      </c>
      <c r="B2804" s="23" t="str">
        <f>IF(A2804="","",IFERROR(INDEX(Ввод!$B$12:$B$71,MATCH(A2804,Ввод!$D$12:$D$71,1)),""))</f>
        <v/>
      </c>
      <c r="C2804" t="str">
        <f t="shared" si="86"/>
        <v/>
      </c>
      <c r="D2804" t="str">
        <f>IF(A2804="","",SUMIFS(Акты!$D$5:$D$16,Акты!$E$5:$E$16,"&lt;="&amp;A2804)-SUMIFS(Оплаты!$B$6:$B$505,Оплаты!$A$6:$A$505,"&lt;"&amp;A2804,Оплаты!$D$6:$D$505,"&lt;&gt;"))</f>
        <v/>
      </c>
      <c r="E2804" t="str">
        <f>IF(A2804="","",IF(SUMPRODUCT((Ввод!$F$12:$F$31&lt;&gt;"")*(Ввод!$F$12:$F$31&lt;=A2804)*(Ввод!$G$12:$G$31&gt;=A2804))&gt;0,1,0))</f>
        <v/>
      </c>
      <c r="G2804" t="str">
        <f t="shared" si="87"/>
        <v/>
      </c>
    </row>
    <row r="2805" spans="1:7" x14ac:dyDescent="0.3">
      <c r="A2805" s="21" t="str">
        <f>IF(A2804="","",IF(A2804+1&gt;Ввод!$B$4,"",A2804+1))</f>
        <v/>
      </c>
      <c r="B2805" s="23" t="str">
        <f>IF(A2805="","",IFERROR(INDEX(Ввод!$B$12:$B$71,MATCH(A2805,Ввод!$D$12:$D$71,1)),""))</f>
        <v/>
      </c>
      <c r="C2805" t="str">
        <f t="shared" si="86"/>
        <v/>
      </c>
      <c r="D2805" t="str">
        <f>IF(A2805="","",SUMIFS(Акты!$D$5:$D$16,Акты!$E$5:$E$16,"&lt;="&amp;A2805)-SUMIFS(Оплаты!$B$6:$B$505,Оплаты!$A$6:$A$505,"&lt;"&amp;A2805,Оплаты!$D$6:$D$505,"&lt;&gt;"))</f>
        <v/>
      </c>
      <c r="E2805" t="str">
        <f>IF(A2805="","",IF(SUMPRODUCT((Ввод!$F$12:$F$31&lt;&gt;"")*(Ввод!$F$12:$F$31&lt;=A2805)*(Ввод!$G$12:$G$31&gt;=A2805))&gt;0,1,0))</f>
        <v/>
      </c>
      <c r="G2805" t="str">
        <f t="shared" si="87"/>
        <v/>
      </c>
    </row>
    <row r="2806" spans="1:7" x14ac:dyDescent="0.3">
      <c r="A2806" s="21" t="str">
        <f>IF(A2805="","",IF(A2805+1&gt;Ввод!$B$4,"",A2805+1))</f>
        <v/>
      </c>
      <c r="B2806" s="23" t="str">
        <f>IF(A2806="","",IFERROR(INDEX(Ввод!$B$12:$B$71,MATCH(A2806,Ввод!$D$12:$D$71,1)),""))</f>
        <v/>
      </c>
      <c r="C2806" t="str">
        <f t="shared" si="86"/>
        <v/>
      </c>
      <c r="D2806" t="str">
        <f>IF(A2806="","",SUMIFS(Акты!$D$5:$D$16,Акты!$E$5:$E$16,"&lt;="&amp;A2806)-SUMIFS(Оплаты!$B$6:$B$505,Оплаты!$A$6:$A$505,"&lt;"&amp;A2806,Оплаты!$D$6:$D$505,"&lt;&gt;"))</f>
        <v/>
      </c>
      <c r="E2806" t="str">
        <f>IF(A2806="","",IF(SUMPRODUCT((Ввод!$F$12:$F$31&lt;&gt;"")*(Ввод!$F$12:$F$31&lt;=A2806)*(Ввод!$G$12:$G$31&gt;=A2806))&gt;0,1,0))</f>
        <v/>
      </c>
      <c r="G2806" t="str">
        <f t="shared" si="87"/>
        <v/>
      </c>
    </row>
    <row r="2807" spans="1:7" x14ac:dyDescent="0.3">
      <c r="A2807" s="21" t="str">
        <f>IF(A2806="","",IF(A2806+1&gt;Ввод!$B$4,"",A2806+1))</f>
        <v/>
      </c>
      <c r="B2807" s="23" t="str">
        <f>IF(A2807="","",IFERROR(INDEX(Ввод!$B$12:$B$71,MATCH(A2807,Ввод!$D$12:$D$71,1)),""))</f>
        <v/>
      </c>
      <c r="C2807" t="str">
        <f t="shared" si="86"/>
        <v/>
      </c>
      <c r="D2807" t="str">
        <f>IF(A2807="","",SUMIFS(Акты!$D$5:$D$16,Акты!$E$5:$E$16,"&lt;="&amp;A2807)-SUMIFS(Оплаты!$B$6:$B$505,Оплаты!$A$6:$A$505,"&lt;"&amp;A2807,Оплаты!$D$6:$D$505,"&lt;&gt;"))</f>
        <v/>
      </c>
      <c r="E2807" t="str">
        <f>IF(A2807="","",IF(SUMPRODUCT((Ввод!$F$12:$F$31&lt;&gt;"")*(Ввод!$F$12:$F$31&lt;=A2807)*(Ввод!$G$12:$G$31&gt;=A2807))&gt;0,1,0))</f>
        <v/>
      </c>
      <c r="G2807" t="str">
        <f t="shared" si="87"/>
        <v/>
      </c>
    </row>
    <row r="2808" spans="1:7" x14ac:dyDescent="0.3">
      <c r="A2808" s="21" t="str">
        <f>IF(A2807="","",IF(A2807+1&gt;Ввод!$B$4,"",A2807+1))</f>
        <v/>
      </c>
      <c r="B2808" s="23" t="str">
        <f>IF(A2808="","",IFERROR(INDEX(Ввод!$B$12:$B$71,MATCH(A2808,Ввод!$D$12:$D$71,1)),""))</f>
        <v/>
      </c>
      <c r="C2808" t="str">
        <f t="shared" si="86"/>
        <v/>
      </c>
      <c r="D2808" t="str">
        <f>IF(A2808="","",SUMIFS(Акты!$D$5:$D$16,Акты!$E$5:$E$16,"&lt;="&amp;A2808)-SUMIFS(Оплаты!$B$6:$B$505,Оплаты!$A$6:$A$505,"&lt;"&amp;A2808,Оплаты!$D$6:$D$505,"&lt;&gt;"))</f>
        <v/>
      </c>
      <c r="E2808" t="str">
        <f>IF(A2808="","",IF(SUMPRODUCT((Ввод!$F$12:$F$31&lt;&gt;"")*(Ввод!$F$12:$F$31&lt;=A2808)*(Ввод!$G$12:$G$31&gt;=A2808))&gt;0,1,0))</f>
        <v/>
      </c>
      <c r="G2808" t="str">
        <f t="shared" si="87"/>
        <v/>
      </c>
    </row>
    <row r="2809" spans="1:7" x14ac:dyDescent="0.3">
      <c r="A2809" s="21" t="str">
        <f>IF(A2808="","",IF(A2808+1&gt;Ввод!$B$4,"",A2808+1))</f>
        <v/>
      </c>
      <c r="B2809" s="23" t="str">
        <f>IF(A2809="","",IFERROR(INDEX(Ввод!$B$12:$B$71,MATCH(A2809,Ввод!$D$12:$D$71,1)),""))</f>
        <v/>
      </c>
      <c r="C2809" t="str">
        <f t="shared" si="86"/>
        <v/>
      </c>
      <c r="D2809" t="str">
        <f>IF(A2809="","",SUMIFS(Акты!$D$5:$D$16,Акты!$E$5:$E$16,"&lt;="&amp;A2809)-SUMIFS(Оплаты!$B$6:$B$505,Оплаты!$A$6:$A$505,"&lt;"&amp;A2809,Оплаты!$D$6:$D$505,"&lt;&gt;"))</f>
        <v/>
      </c>
      <c r="E2809" t="str">
        <f>IF(A2809="","",IF(SUMPRODUCT((Ввод!$F$12:$F$31&lt;&gt;"")*(Ввод!$F$12:$F$31&lt;=A2809)*(Ввод!$G$12:$G$31&gt;=A2809))&gt;0,1,0))</f>
        <v/>
      </c>
      <c r="G2809" t="str">
        <f t="shared" si="87"/>
        <v/>
      </c>
    </row>
    <row r="2810" spans="1:7" x14ac:dyDescent="0.3">
      <c r="A2810" s="21" t="str">
        <f>IF(A2809="","",IF(A2809+1&gt;Ввод!$B$4,"",A2809+1))</f>
        <v/>
      </c>
      <c r="B2810" s="23" t="str">
        <f>IF(A2810="","",IFERROR(INDEX(Ввод!$B$12:$B$71,MATCH(A2810,Ввод!$D$12:$D$71,1)),""))</f>
        <v/>
      </c>
      <c r="C2810" t="str">
        <f t="shared" si="86"/>
        <v/>
      </c>
      <c r="D2810" t="str">
        <f>IF(A2810="","",SUMIFS(Акты!$D$5:$D$16,Акты!$E$5:$E$16,"&lt;="&amp;A2810)-SUMIFS(Оплаты!$B$6:$B$505,Оплаты!$A$6:$A$505,"&lt;"&amp;A2810,Оплаты!$D$6:$D$505,"&lt;&gt;"))</f>
        <v/>
      </c>
      <c r="E2810" t="str">
        <f>IF(A2810="","",IF(SUMPRODUCT((Ввод!$F$12:$F$31&lt;&gt;"")*(Ввод!$F$12:$F$31&lt;=A2810)*(Ввод!$G$12:$G$31&gt;=A2810))&gt;0,1,0))</f>
        <v/>
      </c>
      <c r="G2810" t="str">
        <f t="shared" si="87"/>
        <v/>
      </c>
    </row>
    <row r="2811" spans="1:7" x14ac:dyDescent="0.3">
      <c r="A2811" s="21" t="str">
        <f>IF(A2810="","",IF(A2810+1&gt;Ввод!$B$4,"",A2810+1))</f>
        <v/>
      </c>
      <c r="B2811" s="23" t="str">
        <f>IF(A2811="","",IFERROR(INDEX(Ввод!$B$12:$B$71,MATCH(A2811,Ввод!$D$12:$D$71,1)),""))</f>
        <v/>
      </c>
      <c r="C2811" t="str">
        <f t="shared" si="86"/>
        <v/>
      </c>
      <c r="D2811" t="str">
        <f>IF(A2811="","",SUMIFS(Акты!$D$5:$D$16,Акты!$E$5:$E$16,"&lt;="&amp;A2811)-SUMIFS(Оплаты!$B$6:$B$505,Оплаты!$A$6:$A$505,"&lt;"&amp;A2811,Оплаты!$D$6:$D$505,"&lt;&gt;"))</f>
        <v/>
      </c>
      <c r="E2811" t="str">
        <f>IF(A2811="","",IF(SUMPRODUCT((Ввод!$F$12:$F$31&lt;&gt;"")*(Ввод!$F$12:$F$31&lt;=A2811)*(Ввод!$G$12:$G$31&gt;=A2811))&gt;0,1,0))</f>
        <v/>
      </c>
      <c r="G2811" t="str">
        <f t="shared" si="87"/>
        <v/>
      </c>
    </row>
    <row r="2812" spans="1:7" x14ac:dyDescent="0.3">
      <c r="A2812" s="21" t="str">
        <f>IF(A2811="","",IF(A2811+1&gt;Ввод!$B$4,"",A2811+1))</f>
        <v/>
      </c>
      <c r="B2812" s="23" t="str">
        <f>IF(A2812="","",IFERROR(INDEX(Ввод!$B$12:$B$71,MATCH(A2812,Ввод!$D$12:$D$71,1)),""))</f>
        <v/>
      </c>
      <c r="C2812" t="str">
        <f t="shared" si="86"/>
        <v/>
      </c>
      <c r="D2812" t="str">
        <f>IF(A2812="","",SUMIFS(Акты!$D$5:$D$16,Акты!$E$5:$E$16,"&lt;="&amp;A2812)-SUMIFS(Оплаты!$B$6:$B$505,Оплаты!$A$6:$A$505,"&lt;"&amp;A2812,Оплаты!$D$6:$D$505,"&lt;&gt;"))</f>
        <v/>
      </c>
      <c r="E2812" t="str">
        <f>IF(A2812="","",IF(SUMPRODUCT((Ввод!$F$12:$F$31&lt;&gt;"")*(Ввод!$F$12:$F$31&lt;=A2812)*(Ввод!$G$12:$G$31&gt;=A2812))&gt;0,1,0))</f>
        <v/>
      </c>
      <c r="G2812" t="str">
        <f t="shared" si="87"/>
        <v/>
      </c>
    </row>
    <row r="2813" spans="1:7" x14ac:dyDescent="0.3">
      <c r="A2813" s="21" t="str">
        <f>IF(A2812="","",IF(A2812+1&gt;Ввод!$B$4,"",A2812+1))</f>
        <v/>
      </c>
      <c r="B2813" s="23" t="str">
        <f>IF(A2813="","",IFERROR(INDEX(Ввод!$B$12:$B$71,MATCH(A2813,Ввод!$D$12:$D$71,1)),""))</f>
        <v/>
      </c>
      <c r="C2813" t="str">
        <f t="shared" si="86"/>
        <v/>
      </c>
      <c r="D2813" t="str">
        <f>IF(A2813="","",SUMIFS(Акты!$D$5:$D$16,Акты!$E$5:$E$16,"&lt;="&amp;A2813)-SUMIFS(Оплаты!$B$6:$B$505,Оплаты!$A$6:$A$505,"&lt;"&amp;A2813,Оплаты!$D$6:$D$505,"&lt;&gt;"))</f>
        <v/>
      </c>
      <c r="E2813" t="str">
        <f>IF(A2813="","",IF(SUMPRODUCT((Ввод!$F$12:$F$31&lt;&gt;"")*(Ввод!$F$12:$F$31&lt;=A2813)*(Ввод!$G$12:$G$31&gt;=A2813))&gt;0,1,0))</f>
        <v/>
      </c>
      <c r="G2813" t="str">
        <f t="shared" si="87"/>
        <v/>
      </c>
    </row>
    <row r="2814" spans="1:7" x14ac:dyDescent="0.3">
      <c r="A2814" s="21" t="str">
        <f>IF(A2813="","",IF(A2813+1&gt;Ввод!$B$4,"",A2813+1))</f>
        <v/>
      </c>
      <c r="B2814" s="23" t="str">
        <f>IF(A2814="","",IFERROR(INDEX(Ввод!$B$12:$B$71,MATCH(A2814,Ввод!$D$12:$D$71,1)),""))</f>
        <v/>
      </c>
      <c r="C2814" t="str">
        <f t="shared" si="86"/>
        <v/>
      </c>
      <c r="D2814" t="str">
        <f>IF(A2814="","",SUMIFS(Акты!$D$5:$D$16,Акты!$E$5:$E$16,"&lt;="&amp;A2814)-SUMIFS(Оплаты!$B$6:$B$505,Оплаты!$A$6:$A$505,"&lt;"&amp;A2814,Оплаты!$D$6:$D$505,"&lt;&gt;"))</f>
        <v/>
      </c>
      <c r="E2814" t="str">
        <f>IF(A2814="","",IF(SUMPRODUCT((Ввод!$F$12:$F$31&lt;&gt;"")*(Ввод!$F$12:$F$31&lt;=A2814)*(Ввод!$G$12:$G$31&gt;=A2814))&gt;0,1,0))</f>
        <v/>
      </c>
      <c r="G2814" t="str">
        <f t="shared" si="87"/>
        <v/>
      </c>
    </row>
    <row r="2815" spans="1:7" x14ac:dyDescent="0.3">
      <c r="A2815" s="21" t="str">
        <f>IF(A2814="","",IF(A2814+1&gt;Ввод!$B$4,"",A2814+1))</f>
        <v/>
      </c>
      <c r="B2815" s="23" t="str">
        <f>IF(A2815="","",IFERROR(INDEX(Ввод!$B$12:$B$71,MATCH(A2815,Ввод!$D$12:$D$71,1)),""))</f>
        <v/>
      </c>
      <c r="C2815" t="str">
        <f t="shared" si="86"/>
        <v/>
      </c>
      <c r="D2815" t="str">
        <f>IF(A2815="","",SUMIFS(Акты!$D$5:$D$16,Акты!$E$5:$E$16,"&lt;="&amp;A2815)-SUMIFS(Оплаты!$B$6:$B$505,Оплаты!$A$6:$A$505,"&lt;"&amp;A2815,Оплаты!$D$6:$D$505,"&lt;&gt;"))</f>
        <v/>
      </c>
      <c r="E2815" t="str">
        <f>IF(A2815="","",IF(SUMPRODUCT((Ввод!$F$12:$F$31&lt;&gt;"")*(Ввод!$F$12:$F$31&lt;=A2815)*(Ввод!$G$12:$G$31&gt;=A2815))&gt;0,1,0))</f>
        <v/>
      </c>
      <c r="G2815" t="str">
        <f t="shared" si="87"/>
        <v/>
      </c>
    </row>
    <row r="2816" spans="1:7" x14ac:dyDescent="0.3">
      <c r="A2816" s="21" t="str">
        <f>IF(A2815="","",IF(A2815+1&gt;Ввод!$B$4,"",A2815+1))</f>
        <v/>
      </c>
      <c r="B2816" s="23" t="str">
        <f>IF(A2816="","",IFERROR(INDEX(Ввод!$B$12:$B$71,MATCH(A2816,Ввод!$D$12:$D$71,1)),""))</f>
        <v/>
      </c>
      <c r="C2816" t="str">
        <f t="shared" si="86"/>
        <v/>
      </c>
      <c r="D2816" t="str">
        <f>IF(A2816="","",SUMIFS(Акты!$D$5:$D$16,Акты!$E$5:$E$16,"&lt;="&amp;A2816)-SUMIFS(Оплаты!$B$6:$B$505,Оплаты!$A$6:$A$505,"&lt;"&amp;A2816,Оплаты!$D$6:$D$505,"&lt;&gt;"))</f>
        <v/>
      </c>
      <c r="E2816" t="str">
        <f>IF(A2816="","",IF(SUMPRODUCT((Ввод!$F$12:$F$31&lt;&gt;"")*(Ввод!$F$12:$F$31&lt;=A2816)*(Ввод!$G$12:$G$31&gt;=A2816))&gt;0,1,0))</f>
        <v/>
      </c>
      <c r="G2816" t="str">
        <f t="shared" si="87"/>
        <v/>
      </c>
    </row>
    <row r="2817" spans="1:7" x14ac:dyDescent="0.3">
      <c r="A2817" s="21" t="str">
        <f>IF(A2816="","",IF(A2816+1&gt;Ввод!$B$4,"",A2816+1))</f>
        <v/>
      </c>
      <c r="B2817" s="23" t="str">
        <f>IF(A2817="","",IFERROR(INDEX(Ввод!$B$12:$B$71,MATCH(A2817,Ввод!$D$12:$D$71,1)),""))</f>
        <v/>
      </c>
      <c r="C2817" t="str">
        <f t="shared" si="86"/>
        <v/>
      </c>
      <c r="D2817" t="str">
        <f>IF(A2817="","",SUMIFS(Акты!$D$5:$D$16,Акты!$E$5:$E$16,"&lt;="&amp;A2817)-SUMIFS(Оплаты!$B$6:$B$505,Оплаты!$A$6:$A$505,"&lt;"&amp;A2817,Оплаты!$D$6:$D$505,"&lt;&gt;"))</f>
        <v/>
      </c>
      <c r="E2817" t="str">
        <f>IF(A2817="","",IF(SUMPRODUCT((Ввод!$F$12:$F$31&lt;&gt;"")*(Ввод!$F$12:$F$31&lt;=A2817)*(Ввод!$G$12:$G$31&gt;=A2817))&gt;0,1,0))</f>
        <v/>
      </c>
      <c r="G2817" t="str">
        <f t="shared" si="87"/>
        <v/>
      </c>
    </row>
    <row r="2818" spans="1:7" x14ac:dyDescent="0.3">
      <c r="A2818" s="21" t="str">
        <f>IF(A2817="","",IF(A2817+1&gt;Ввод!$B$4,"",A2817+1))</f>
        <v/>
      </c>
      <c r="B2818" s="23" t="str">
        <f>IF(A2818="","",IFERROR(INDEX(Ввод!$B$12:$B$71,MATCH(A2818,Ввод!$D$12:$D$71,1)),""))</f>
        <v/>
      </c>
      <c r="C2818" t="str">
        <f t="shared" ref="C2818:C2881" si="88">IF(A2818="","",DATE(YEAR(A2818),12,31)-DATE(YEAR(A2818),1,1)+1)</f>
        <v/>
      </c>
      <c r="D2818" t="str">
        <f>IF(A2818="","",SUMIFS(Акты!$D$5:$D$16,Акты!$E$5:$E$16,"&lt;="&amp;A2818)-SUMIFS(Оплаты!$B$6:$B$505,Оплаты!$A$6:$A$505,"&lt;"&amp;A2818,Оплаты!$D$6:$D$505,"&lt;&gt;"))</f>
        <v/>
      </c>
      <c r="E2818" t="str">
        <f>IF(A2818="","",IF(SUMPRODUCT((Ввод!$F$12:$F$31&lt;&gt;"")*(Ввод!$F$12:$F$31&lt;=A2818)*(Ввод!$G$12:$G$31&gt;=A2818))&gt;0,1,0))</f>
        <v/>
      </c>
      <c r="G2818" t="str">
        <f t="shared" si="87"/>
        <v/>
      </c>
    </row>
    <row r="2819" spans="1:7" x14ac:dyDescent="0.3">
      <c r="A2819" s="21" t="str">
        <f>IF(A2818="","",IF(A2818+1&gt;Ввод!$B$4,"",A2818+1))</f>
        <v/>
      </c>
      <c r="B2819" s="23" t="str">
        <f>IF(A2819="","",IFERROR(INDEX(Ввод!$B$12:$B$71,MATCH(A2819,Ввод!$D$12:$D$71,1)),""))</f>
        <v/>
      </c>
      <c r="C2819" t="str">
        <f t="shared" si="88"/>
        <v/>
      </c>
      <c r="D2819" t="str">
        <f>IF(A2819="","",SUMIFS(Акты!$D$5:$D$16,Акты!$E$5:$E$16,"&lt;="&amp;A2819)-SUMIFS(Оплаты!$B$6:$B$505,Оплаты!$A$6:$A$505,"&lt;"&amp;A2819,Оплаты!$D$6:$D$505,"&lt;&gt;"))</f>
        <v/>
      </c>
      <c r="E2819" t="str">
        <f>IF(A2819="","",IF(SUMPRODUCT((Ввод!$F$12:$F$31&lt;&gt;"")*(Ввод!$F$12:$F$31&lt;=A2819)*(Ввод!$G$12:$G$31&gt;=A2819))&gt;0,1,0))</f>
        <v/>
      </c>
      <c r="G2819" t="str">
        <f t="shared" ref="G2819:G2882" si="89">IF(A2819="","",IF(OR(B2819&lt;&gt;B2818,C2819&lt;&gt;C2818,E2819&lt;&gt;E2818),G2818+1,G2818))</f>
        <v/>
      </c>
    </row>
    <row r="2820" spans="1:7" x14ac:dyDescent="0.3">
      <c r="A2820" s="21" t="str">
        <f>IF(A2819="","",IF(A2819+1&gt;Ввод!$B$4,"",A2819+1))</f>
        <v/>
      </c>
      <c r="B2820" s="23" t="str">
        <f>IF(A2820="","",IFERROR(INDEX(Ввод!$B$12:$B$71,MATCH(A2820,Ввод!$D$12:$D$71,1)),""))</f>
        <v/>
      </c>
      <c r="C2820" t="str">
        <f t="shared" si="88"/>
        <v/>
      </c>
      <c r="D2820" t="str">
        <f>IF(A2820="","",SUMIFS(Акты!$D$5:$D$16,Акты!$E$5:$E$16,"&lt;="&amp;A2820)-SUMIFS(Оплаты!$B$6:$B$505,Оплаты!$A$6:$A$505,"&lt;"&amp;A2820,Оплаты!$D$6:$D$505,"&lt;&gt;"))</f>
        <v/>
      </c>
      <c r="E2820" t="str">
        <f>IF(A2820="","",IF(SUMPRODUCT((Ввод!$F$12:$F$31&lt;&gt;"")*(Ввод!$F$12:$F$31&lt;=A2820)*(Ввод!$G$12:$G$31&gt;=A2820))&gt;0,1,0))</f>
        <v/>
      </c>
      <c r="G2820" t="str">
        <f t="shared" si="89"/>
        <v/>
      </c>
    </row>
    <row r="2821" spans="1:7" x14ac:dyDescent="0.3">
      <c r="A2821" s="21" t="str">
        <f>IF(A2820="","",IF(A2820+1&gt;Ввод!$B$4,"",A2820+1))</f>
        <v/>
      </c>
      <c r="B2821" s="23" t="str">
        <f>IF(A2821="","",IFERROR(INDEX(Ввод!$B$12:$B$71,MATCH(A2821,Ввод!$D$12:$D$71,1)),""))</f>
        <v/>
      </c>
      <c r="C2821" t="str">
        <f t="shared" si="88"/>
        <v/>
      </c>
      <c r="D2821" t="str">
        <f>IF(A2821="","",SUMIFS(Акты!$D$5:$D$16,Акты!$E$5:$E$16,"&lt;="&amp;A2821)-SUMIFS(Оплаты!$B$6:$B$505,Оплаты!$A$6:$A$505,"&lt;"&amp;A2821,Оплаты!$D$6:$D$505,"&lt;&gt;"))</f>
        <v/>
      </c>
      <c r="E2821" t="str">
        <f>IF(A2821="","",IF(SUMPRODUCT((Ввод!$F$12:$F$31&lt;&gt;"")*(Ввод!$F$12:$F$31&lt;=A2821)*(Ввод!$G$12:$G$31&gt;=A2821))&gt;0,1,0))</f>
        <v/>
      </c>
      <c r="G2821" t="str">
        <f t="shared" si="89"/>
        <v/>
      </c>
    </row>
    <row r="2822" spans="1:7" x14ac:dyDescent="0.3">
      <c r="A2822" s="21" t="str">
        <f>IF(A2821="","",IF(A2821+1&gt;Ввод!$B$4,"",A2821+1))</f>
        <v/>
      </c>
      <c r="B2822" s="23" t="str">
        <f>IF(A2822="","",IFERROR(INDEX(Ввод!$B$12:$B$71,MATCH(A2822,Ввод!$D$12:$D$71,1)),""))</f>
        <v/>
      </c>
      <c r="C2822" t="str">
        <f t="shared" si="88"/>
        <v/>
      </c>
      <c r="D2822" t="str">
        <f>IF(A2822="","",SUMIFS(Акты!$D$5:$D$16,Акты!$E$5:$E$16,"&lt;="&amp;A2822)-SUMIFS(Оплаты!$B$6:$B$505,Оплаты!$A$6:$A$505,"&lt;"&amp;A2822,Оплаты!$D$6:$D$505,"&lt;&gt;"))</f>
        <v/>
      </c>
      <c r="E2822" t="str">
        <f>IF(A2822="","",IF(SUMPRODUCT((Ввод!$F$12:$F$31&lt;&gt;"")*(Ввод!$F$12:$F$31&lt;=A2822)*(Ввод!$G$12:$G$31&gt;=A2822))&gt;0,1,0))</f>
        <v/>
      </c>
      <c r="G2822" t="str">
        <f t="shared" si="89"/>
        <v/>
      </c>
    </row>
    <row r="2823" spans="1:7" x14ac:dyDescent="0.3">
      <c r="A2823" s="21" t="str">
        <f>IF(A2822="","",IF(A2822+1&gt;Ввод!$B$4,"",A2822+1))</f>
        <v/>
      </c>
      <c r="B2823" s="23" t="str">
        <f>IF(A2823="","",IFERROR(INDEX(Ввод!$B$12:$B$71,MATCH(A2823,Ввод!$D$12:$D$71,1)),""))</f>
        <v/>
      </c>
      <c r="C2823" t="str">
        <f t="shared" si="88"/>
        <v/>
      </c>
      <c r="D2823" t="str">
        <f>IF(A2823="","",SUMIFS(Акты!$D$5:$D$16,Акты!$E$5:$E$16,"&lt;="&amp;A2823)-SUMIFS(Оплаты!$B$6:$B$505,Оплаты!$A$6:$A$505,"&lt;"&amp;A2823,Оплаты!$D$6:$D$505,"&lt;&gt;"))</f>
        <v/>
      </c>
      <c r="E2823" t="str">
        <f>IF(A2823="","",IF(SUMPRODUCT((Ввод!$F$12:$F$31&lt;&gt;"")*(Ввод!$F$12:$F$31&lt;=A2823)*(Ввод!$G$12:$G$31&gt;=A2823))&gt;0,1,0))</f>
        <v/>
      </c>
      <c r="G2823" t="str">
        <f t="shared" si="89"/>
        <v/>
      </c>
    </row>
    <row r="2824" spans="1:7" x14ac:dyDescent="0.3">
      <c r="A2824" s="21" t="str">
        <f>IF(A2823="","",IF(A2823+1&gt;Ввод!$B$4,"",A2823+1))</f>
        <v/>
      </c>
      <c r="B2824" s="23" t="str">
        <f>IF(A2824="","",IFERROR(INDEX(Ввод!$B$12:$B$71,MATCH(A2824,Ввод!$D$12:$D$71,1)),""))</f>
        <v/>
      </c>
      <c r="C2824" t="str">
        <f t="shared" si="88"/>
        <v/>
      </c>
      <c r="D2824" t="str">
        <f>IF(A2824="","",SUMIFS(Акты!$D$5:$D$16,Акты!$E$5:$E$16,"&lt;="&amp;A2824)-SUMIFS(Оплаты!$B$6:$B$505,Оплаты!$A$6:$A$505,"&lt;"&amp;A2824,Оплаты!$D$6:$D$505,"&lt;&gt;"))</f>
        <v/>
      </c>
      <c r="E2824" t="str">
        <f>IF(A2824="","",IF(SUMPRODUCT((Ввод!$F$12:$F$31&lt;&gt;"")*(Ввод!$F$12:$F$31&lt;=A2824)*(Ввод!$G$12:$G$31&gt;=A2824))&gt;0,1,0))</f>
        <v/>
      </c>
      <c r="G2824" t="str">
        <f t="shared" si="89"/>
        <v/>
      </c>
    </row>
    <row r="2825" spans="1:7" x14ac:dyDescent="0.3">
      <c r="A2825" s="21" t="str">
        <f>IF(A2824="","",IF(A2824+1&gt;Ввод!$B$4,"",A2824+1))</f>
        <v/>
      </c>
      <c r="B2825" s="23" t="str">
        <f>IF(A2825="","",IFERROR(INDEX(Ввод!$B$12:$B$71,MATCH(A2825,Ввод!$D$12:$D$71,1)),""))</f>
        <v/>
      </c>
      <c r="C2825" t="str">
        <f t="shared" si="88"/>
        <v/>
      </c>
      <c r="D2825" t="str">
        <f>IF(A2825="","",SUMIFS(Акты!$D$5:$D$16,Акты!$E$5:$E$16,"&lt;="&amp;A2825)-SUMIFS(Оплаты!$B$6:$B$505,Оплаты!$A$6:$A$505,"&lt;"&amp;A2825,Оплаты!$D$6:$D$505,"&lt;&gt;"))</f>
        <v/>
      </c>
      <c r="E2825" t="str">
        <f>IF(A2825="","",IF(SUMPRODUCT((Ввод!$F$12:$F$31&lt;&gt;"")*(Ввод!$F$12:$F$31&lt;=A2825)*(Ввод!$G$12:$G$31&gt;=A2825))&gt;0,1,0))</f>
        <v/>
      </c>
      <c r="G2825" t="str">
        <f t="shared" si="89"/>
        <v/>
      </c>
    </row>
    <row r="2826" spans="1:7" x14ac:dyDescent="0.3">
      <c r="A2826" s="21" t="str">
        <f>IF(A2825="","",IF(A2825+1&gt;Ввод!$B$4,"",A2825+1))</f>
        <v/>
      </c>
      <c r="B2826" s="23" t="str">
        <f>IF(A2826="","",IFERROR(INDEX(Ввод!$B$12:$B$71,MATCH(A2826,Ввод!$D$12:$D$71,1)),""))</f>
        <v/>
      </c>
      <c r="C2826" t="str">
        <f t="shared" si="88"/>
        <v/>
      </c>
      <c r="D2826" t="str">
        <f>IF(A2826="","",SUMIFS(Акты!$D$5:$D$16,Акты!$E$5:$E$16,"&lt;="&amp;A2826)-SUMIFS(Оплаты!$B$6:$B$505,Оплаты!$A$6:$A$505,"&lt;"&amp;A2826,Оплаты!$D$6:$D$505,"&lt;&gt;"))</f>
        <v/>
      </c>
      <c r="E2826" t="str">
        <f>IF(A2826="","",IF(SUMPRODUCT((Ввод!$F$12:$F$31&lt;&gt;"")*(Ввод!$F$12:$F$31&lt;=A2826)*(Ввод!$G$12:$G$31&gt;=A2826))&gt;0,1,0))</f>
        <v/>
      </c>
      <c r="G2826" t="str">
        <f t="shared" si="89"/>
        <v/>
      </c>
    </row>
    <row r="2827" spans="1:7" x14ac:dyDescent="0.3">
      <c r="A2827" s="21" t="str">
        <f>IF(A2826="","",IF(A2826+1&gt;Ввод!$B$4,"",A2826+1))</f>
        <v/>
      </c>
      <c r="B2827" s="23" t="str">
        <f>IF(A2827="","",IFERROR(INDEX(Ввод!$B$12:$B$71,MATCH(A2827,Ввод!$D$12:$D$71,1)),""))</f>
        <v/>
      </c>
      <c r="C2827" t="str">
        <f t="shared" si="88"/>
        <v/>
      </c>
      <c r="D2827" t="str">
        <f>IF(A2827="","",SUMIFS(Акты!$D$5:$D$16,Акты!$E$5:$E$16,"&lt;="&amp;A2827)-SUMIFS(Оплаты!$B$6:$B$505,Оплаты!$A$6:$A$505,"&lt;"&amp;A2827,Оплаты!$D$6:$D$505,"&lt;&gt;"))</f>
        <v/>
      </c>
      <c r="E2827" t="str">
        <f>IF(A2827="","",IF(SUMPRODUCT((Ввод!$F$12:$F$31&lt;&gt;"")*(Ввод!$F$12:$F$31&lt;=A2827)*(Ввод!$G$12:$G$31&gt;=A2827))&gt;0,1,0))</f>
        <v/>
      </c>
      <c r="G2827" t="str">
        <f t="shared" si="89"/>
        <v/>
      </c>
    </row>
    <row r="2828" spans="1:7" x14ac:dyDescent="0.3">
      <c r="A2828" s="21" t="str">
        <f>IF(A2827="","",IF(A2827+1&gt;Ввод!$B$4,"",A2827+1))</f>
        <v/>
      </c>
      <c r="B2828" s="23" t="str">
        <f>IF(A2828="","",IFERROR(INDEX(Ввод!$B$12:$B$71,MATCH(A2828,Ввод!$D$12:$D$71,1)),""))</f>
        <v/>
      </c>
      <c r="C2828" t="str">
        <f t="shared" si="88"/>
        <v/>
      </c>
      <c r="D2828" t="str">
        <f>IF(A2828="","",SUMIFS(Акты!$D$5:$D$16,Акты!$E$5:$E$16,"&lt;="&amp;A2828)-SUMIFS(Оплаты!$B$6:$B$505,Оплаты!$A$6:$A$505,"&lt;"&amp;A2828,Оплаты!$D$6:$D$505,"&lt;&gt;"))</f>
        <v/>
      </c>
      <c r="E2828" t="str">
        <f>IF(A2828="","",IF(SUMPRODUCT((Ввод!$F$12:$F$31&lt;&gt;"")*(Ввод!$F$12:$F$31&lt;=A2828)*(Ввод!$G$12:$G$31&gt;=A2828))&gt;0,1,0))</f>
        <v/>
      </c>
      <c r="G2828" t="str">
        <f t="shared" si="89"/>
        <v/>
      </c>
    </row>
    <row r="2829" spans="1:7" x14ac:dyDescent="0.3">
      <c r="A2829" s="21" t="str">
        <f>IF(A2828="","",IF(A2828+1&gt;Ввод!$B$4,"",A2828+1))</f>
        <v/>
      </c>
      <c r="B2829" s="23" t="str">
        <f>IF(A2829="","",IFERROR(INDEX(Ввод!$B$12:$B$71,MATCH(A2829,Ввод!$D$12:$D$71,1)),""))</f>
        <v/>
      </c>
      <c r="C2829" t="str">
        <f t="shared" si="88"/>
        <v/>
      </c>
      <c r="D2829" t="str">
        <f>IF(A2829="","",SUMIFS(Акты!$D$5:$D$16,Акты!$E$5:$E$16,"&lt;="&amp;A2829)-SUMIFS(Оплаты!$B$6:$B$505,Оплаты!$A$6:$A$505,"&lt;"&amp;A2829,Оплаты!$D$6:$D$505,"&lt;&gt;"))</f>
        <v/>
      </c>
      <c r="E2829" t="str">
        <f>IF(A2829="","",IF(SUMPRODUCT((Ввод!$F$12:$F$31&lt;&gt;"")*(Ввод!$F$12:$F$31&lt;=A2829)*(Ввод!$G$12:$G$31&gt;=A2829))&gt;0,1,0))</f>
        <v/>
      </c>
      <c r="G2829" t="str">
        <f t="shared" si="89"/>
        <v/>
      </c>
    </row>
    <row r="2830" spans="1:7" x14ac:dyDescent="0.3">
      <c r="A2830" s="21" t="str">
        <f>IF(A2829="","",IF(A2829+1&gt;Ввод!$B$4,"",A2829+1))</f>
        <v/>
      </c>
      <c r="B2830" s="23" t="str">
        <f>IF(A2830="","",IFERROR(INDEX(Ввод!$B$12:$B$71,MATCH(A2830,Ввод!$D$12:$D$71,1)),""))</f>
        <v/>
      </c>
      <c r="C2830" t="str">
        <f t="shared" si="88"/>
        <v/>
      </c>
      <c r="D2830" t="str">
        <f>IF(A2830="","",SUMIFS(Акты!$D$5:$D$16,Акты!$E$5:$E$16,"&lt;="&amp;A2830)-SUMIFS(Оплаты!$B$6:$B$505,Оплаты!$A$6:$A$505,"&lt;"&amp;A2830,Оплаты!$D$6:$D$505,"&lt;&gt;"))</f>
        <v/>
      </c>
      <c r="E2830" t="str">
        <f>IF(A2830="","",IF(SUMPRODUCT((Ввод!$F$12:$F$31&lt;&gt;"")*(Ввод!$F$12:$F$31&lt;=A2830)*(Ввод!$G$12:$G$31&gt;=A2830))&gt;0,1,0))</f>
        <v/>
      </c>
      <c r="G2830" t="str">
        <f t="shared" si="89"/>
        <v/>
      </c>
    </row>
    <row r="2831" spans="1:7" x14ac:dyDescent="0.3">
      <c r="A2831" s="21" t="str">
        <f>IF(A2830="","",IF(A2830+1&gt;Ввод!$B$4,"",A2830+1))</f>
        <v/>
      </c>
      <c r="B2831" s="23" t="str">
        <f>IF(A2831="","",IFERROR(INDEX(Ввод!$B$12:$B$71,MATCH(A2831,Ввод!$D$12:$D$71,1)),""))</f>
        <v/>
      </c>
      <c r="C2831" t="str">
        <f t="shared" si="88"/>
        <v/>
      </c>
      <c r="D2831" t="str">
        <f>IF(A2831="","",SUMIFS(Акты!$D$5:$D$16,Акты!$E$5:$E$16,"&lt;="&amp;A2831)-SUMIFS(Оплаты!$B$6:$B$505,Оплаты!$A$6:$A$505,"&lt;"&amp;A2831,Оплаты!$D$6:$D$505,"&lt;&gt;"))</f>
        <v/>
      </c>
      <c r="E2831" t="str">
        <f>IF(A2831="","",IF(SUMPRODUCT((Ввод!$F$12:$F$31&lt;&gt;"")*(Ввод!$F$12:$F$31&lt;=A2831)*(Ввод!$G$12:$G$31&gt;=A2831))&gt;0,1,0))</f>
        <v/>
      </c>
      <c r="G2831" t="str">
        <f t="shared" si="89"/>
        <v/>
      </c>
    </row>
    <row r="2832" spans="1:7" x14ac:dyDescent="0.3">
      <c r="A2832" s="21" t="str">
        <f>IF(A2831="","",IF(A2831+1&gt;Ввод!$B$4,"",A2831+1))</f>
        <v/>
      </c>
      <c r="B2832" s="23" t="str">
        <f>IF(A2832="","",IFERROR(INDEX(Ввод!$B$12:$B$71,MATCH(A2832,Ввод!$D$12:$D$71,1)),""))</f>
        <v/>
      </c>
      <c r="C2832" t="str">
        <f t="shared" si="88"/>
        <v/>
      </c>
      <c r="D2832" t="str">
        <f>IF(A2832="","",SUMIFS(Акты!$D$5:$D$16,Акты!$E$5:$E$16,"&lt;="&amp;A2832)-SUMIFS(Оплаты!$B$6:$B$505,Оплаты!$A$6:$A$505,"&lt;"&amp;A2832,Оплаты!$D$6:$D$505,"&lt;&gt;"))</f>
        <v/>
      </c>
      <c r="E2832" t="str">
        <f>IF(A2832="","",IF(SUMPRODUCT((Ввод!$F$12:$F$31&lt;&gt;"")*(Ввод!$F$12:$F$31&lt;=A2832)*(Ввод!$G$12:$G$31&gt;=A2832))&gt;0,1,0))</f>
        <v/>
      </c>
      <c r="G2832" t="str">
        <f t="shared" si="89"/>
        <v/>
      </c>
    </row>
    <row r="2833" spans="1:7" x14ac:dyDescent="0.3">
      <c r="A2833" s="21" t="str">
        <f>IF(A2832="","",IF(A2832+1&gt;Ввод!$B$4,"",A2832+1))</f>
        <v/>
      </c>
      <c r="B2833" s="23" t="str">
        <f>IF(A2833="","",IFERROR(INDEX(Ввод!$B$12:$B$71,MATCH(A2833,Ввод!$D$12:$D$71,1)),""))</f>
        <v/>
      </c>
      <c r="C2833" t="str">
        <f t="shared" si="88"/>
        <v/>
      </c>
      <c r="D2833" t="str">
        <f>IF(A2833="","",SUMIFS(Акты!$D$5:$D$16,Акты!$E$5:$E$16,"&lt;="&amp;A2833)-SUMIFS(Оплаты!$B$6:$B$505,Оплаты!$A$6:$A$505,"&lt;"&amp;A2833,Оплаты!$D$6:$D$505,"&lt;&gt;"))</f>
        <v/>
      </c>
      <c r="E2833" t="str">
        <f>IF(A2833="","",IF(SUMPRODUCT((Ввод!$F$12:$F$31&lt;&gt;"")*(Ввод!$F$12:$F$31&lt;=A2833)*(Ввод!$G$12:$G$31&gt;=A2833))&gt;0,1,0))</f>
        <v/>
      </c>
      <c r="G2833" t="str">
        <f t="shared" si="89"/>
        <v/>
      </c>
    </row>
    <row r="2834" spans="1:7" x14ac:dyDescent="0.3">
      <c r="A2834" s="21" t="str">
        <f>IF(A2833="","",IF(A2833+1&gt;Ввод!$B$4,"",A2833+1))</f>
        <v/>
      </c>
      <c r="B2834" s="23" t="str">
        <f>IF(A2834="","",IFERROR(INDEX(Ввод!$B$12:$B$71,MATCH(A2834,Ввод!$D$12:$D$71,1)),""))</f>
        <v/>
      </c>
      <c r="C2834" t="str">
        <f t="shared" si="88"/>
        <v/>
      </c>
      <c r="D2834" t="str">
        <f>IF(A2834="","",SUMIFS(Акты!$D$5:$D$16,Акты!$E$5:$E$16,"&lt;="&amp;A2834)-SUMIFS(Оплаты!$B$6:$B$505,Оплаты!$A$6:$A$505,"&lt;"&amp;A2834,Оплаты!$D$6:$D$505,"&lt;&gt;"))</f>
        <v/>
      </c>
      <c r="E2834" t="str">
        <f>IF(A2834="","",IF(SUMPRODUCT((Ввод!$F$12:$F$31&lt;&gt;"")*(Ввод!$F$12:$F$31&lt;=A2834)*(Ввод!$G$12:$G$31&gt;=A2834))&gt;0,1,0))</f>
        <v/>
      </c>
      <c r="G2834" t="str">
        <f t="shared" si="89"/>
        <v/>
      </c>
    </row>
    <row r="2835" spans="1:7" x14ac:dyDescent="0.3">
      <c r="A2835" s="21" t="str">
        <f>IF(A2834="","",IF(A2834+1&gt;Ввод!$B$4,"",A2834+1))</f>
        <v/>
      </c>
      <c r="B2835" s="23" t="str">
        <f>IF(A2835="","",IFERROR(INDEX(Ввод!$B$12:$B$71,MATCH(A2835,Ввод!$D$12:$D$71,1)),""))</f>
        <v/>
      </c>
      <c r="C2835" t="str">
        <f t="shared" si="88"/>
        <v/>
      </c>
      <c r="D2835" t="str">
        <f>IF(A2835="","",SUMIFS(Акты!$D$5:$D$16,Акты!$E$5:$E$16,"&lt;="&amp;A2835)-SUMIFS(Оплаты!$B$6:$B$505,Оплаты!$A$6:$A$505,"&lt;"&amp;A2835,Оплаты!$D$6:$D$505,"&lt;&gt;"))</f>
        <v/>
      </c>
      <c r="E2835" t="str">
        <f>IF(A2835="","",IF(SUMPRODUCT((Ввод!$F$12:$F$31&lt;&gt;"")*(Ввод!$F$12:$F$31&lt;=A2835)*(Ввод!$G$12:$G$31&gt;=A2835))&gt;0,1,0))</f>
        <v/>
      </c>
      <c r="G2835" t="str">
        <f t="shared" si="89"/>
        <v/>
      </c>
    </row>
    <row r="2836" spans="1:7" x14ac:dyDescent="0.3">
      <c r="A2836" s="21" t="str">
        <f>IF(A2835="","",IF(A2835+1&gt;Ввод!$B$4,"",A2835+1))</f>
        <v/>
      </c>
      <c r="B2836" s="23" t="str">
        <f>IF(A2836="","",IFERROR(INDEX(Ввод!$B$12:$B$71,MATCH(A2836,Ввод!$D$12:$D$71,1)),""))</f>
        <v/>
      </c>
      <c r="C2836" t="str">
        <f t="shared" si="88"/>
        <v/>
      </c>
      <c r="D2836" t="str">
        <f>IF(A2836="","",SUMIFS(Акты!$D$5:$D$16,Акты!$E$5:$E$16,"&lt;="&amp;A2836)-SUMIFS(Оплаты!$B$6:$B$505,Оплаты!$A$6:$A$505,"&lt;"&amp;A2836,Оплаты!$D$6:$D$505,"&lt;&gt;"))</f>
        <v/>
      </c>
      <c r="E2836" t="str">
        <f>IF(A2836="","",IF(SUMPRODUCT((Ввод!$F$12:$F$31&lt;&gt;"")*(Ввод!$F$12:$F$31&lt;=A2836)*(Ввод!$G$12:$G$31&gt;=A2836))&gt;0,1,0))</f>
        <v/>
      </c>
      <c r="G2836" t="str">
        <f t="shared" si="89"/>
        <v/>
      </c>
    </row>
    <row r="2837" spans="1:7" x14ac:dyDescent="0.3">
      <c r="A2837" s="21" t="str">
        <f>IF(A2836="","",IF(A2836+1&gt;Ввод!$B$4,"",A2836+1))</f>
        <v/>
      </c>
      <c r="B2837" s="23" t="str">
        <f>IF(A2837="","",IFERROR(INDEX(Ввод!$B$12:$B$71,MATCH(A2837,Ввод!$D$12:$D$71,1)),""))</f>
        <v/>
      </c>
      <c r="C2837" t="str">
        <f t="shared" si="88"/>
        <v/>
      </c>
      <c r="D2837" t="str">
        <f>IF(A2837="","",SUMIFS(Акты!$D$5:$D$16,Акты!$E$5:$E$16,"&lt;="&amp;A2837)-SUMIFS(Оплаты!$B$6:$B$505,Оплаты!$A$6:$A$505,"&lt;"&amp;A2837,Оплаты!$D$6:$D$505,"&lt;&gt;"))</f>
        <v/>
      </c>
      <c r="E2837" t="str">
        <f>IF(A2837="","",IF(SUMPRODUCT((Ввод!$F$12:$F$31&lt;&gt;"")*(Ввод!$F$12:$F$31&lt;=A2837)*(Ввод!$G$12:$G$31&gt;=A2837))&gt;0,1,0))</f>
        <v/>
      </c>
      <c r="G2837" t="str">
        <f t="shared" si="89"/>
        <v/>
      </c>
    </row>
    <row r="2838" spans="1:7" x14ac:dyDescent="0.3">
      <c r="A2838" s="21" t="str">
        <f>IF(A2837="","",IF(A2837+1&gt;Ввод!$B$4,"",A2837+1))</f>
        <v/>
      </c>
      <c r="B2838" s="23" t="str">
        <f>IF(A2838="","",IFERROR(INDEX(Ввод!$B$12:$B$71,MATCH(A2838,Ввод!$D$12:$D$71,1)),""))</f>
        <v/>
      </c>
      <c r="C2838" t="str">
        <f t="shared" si="88"/>
        <v/>
      </c>
      <c r="D2838" t="str">
        <f>IF(A2838="","",SUMIFS(Акты!$D$5:$D$16,Акты!$E$5:$E$16,"&lt;="&amp;A2838)-SUMIFS(Оплаты!$B$6:$B$505,Оплаты!$A$6:$A$505,"&lt;"&amp;A2838,Оплаты!$D$6:$D$505,"&lt;&gt;"))</f>
        <v/>
      </c>
      <c r="E2838" t="str">
        <f>IF(A2838="","",IF(SUMPRODUCT((Ввод!$F$12:$F$31&lt;&gt;"")*(Ввод!$F$12:$F$31&lt;=A2838)*(Ввод!$G$12:$G$31&gt;=A2838))&gt;0,1,0))</f>
        <v/>
      </c>
      <c r="G2838" t="str">
        <f t="shared" si="89"/>
        <v/>
      </c>
    </row>
    <row r="2839" spans="1:7" x14ac:dyDescent="0.3">
      <c r="A2839" s="21" t="str">
        <f>IF(A2838="","",IF(A2838+1&gt;Ввод!$B$4,"",A2838+1))</f>
        <v/>
      </c>
      <c r="B2839" s="23" t="str">
        <f>IF(A2839="","",IFERROR(INDEX(Ввод!$B$12:$B$71,MATCH(A2839,Ввод!$D$12:$D$71,1)),""))</f>
        <v/>
      </c>
      <c r="C2839" t="str">
        <f t="shared" si="88"/>
        <v/>
      </c>
      <c r="D2839" t="str">
        <f>IF(A2839="","",SUMIFS(Акты!$D$5:$D$16,Акты!$E$5:$E$16,"&lt;="&amp;A2839)-SUMIFS(Оплаты!$B$6:$B$505,Оплаты!$A$6:$A$505,"&lt;"&amp;A2839,Оплаты!$D$6:$D$505,"&lt;&gt;"))</f>
        <v/>
      </c>
      <c r="E2839" t="str">
        <f>IF(A2839="","",IF(SUMPRODUCT((Ввод!$F$12:$F$31&lt;&gt;"")*(Ввод!$F$12:$F$31&lt;=A2839)*(Ввод!$G$12:$G$31&gt;=A2839))&gt;0,1,0))</f>
        <v/>
      </c>
      <c r="G2839" t="str">
        <f t="shared" si="89"/>
        <v/>
      </c>
    </row>
    <row r="2840" spans="1:7" x14ac:dyDescent="0.3">
      <c r="A2840" s="21" t="str">
        <f>IF(A2839="","",IF(A2839+1&gt;Ввод!$B$4,"",A2839+1))</f>
        <v/>
      </c>
      <c r="B2840" s="23" t="str">
        <f>IF(A2840="","",IFERROR(INDEX(Ввод!$B$12:$B$71,MATCH(A2840,Ввод!$D$12:$D$71,1)),""))</f>
        <v/>
      </c>
      <c r="C2840" t="str">
        <f t="shared" si="88"/>
        <v/>
      </c>
      <c r="D2840" t="str">
        <f>IF(A2840="","",SUMIFS(Акты!$D$5:$D$16,Акты!$E$5:$E$16,"&lt;="&amp;A2840)-SUMIFS(Оплаты!$B$6:$B$505,Оплаты!$A$6:$A$505,"&lt;"&amp;A2840,Оплаты!$D$6:$D$505,"&lt;&gt;"))</f>
        <v/>
      </c>
      <c r="E2840" t="str">
        <f>IF(A2840="","",IF(SUMPRODUCT((Ввод!$F$12:$F$31&lt;&gt;"")*(Ввод!$F$12:$F$31&lt;=A2840)*(Ввод!$G$12:$G$31&gt;=A2840))&gt;0,1,0))</f>
        <v/>
      </c>
      <c r="G2840" t="str">
        <f t="shared" si="89"/>
        <v/>
      </c>
    </row>
    <row r="2841" spans="1:7" x14ac:dyDescent="0.3">
      <c r="A2841" s="21" t="str">
        <f>IF(A2840="","",IF(A2840+1&gt;Ввод!$B$4,"",A2840+1))</f>
        <v/>
      </c>
      <c r="B2841" s="23" t="str">
        <f>IF(A2841="","",IFERROR(INDEX(Ввод!$B$12:$B$71,MATCH(A2841,Ввод!$D$12:$D$71,1)),""))</f>
        <v/>
      </c>
      <c r="C2841" t="str">
        <f t="shared" si="88"/>
        <v/>
      </c>
      <c r="D2841" t="str">
        <f>IF(A2841="","",SUMIFS(Акты!$D$5:$D$16,Акты!$E$5:$E$16,"&lt;="&amp;A2841)-SUMIFS(Оплаты!$B$6:$B$505,Оплаты!$A$6:$A$505,"&lt;"&amp;A2841,Оплаты!$D$6:$D$505,"&lt;&gt;"))</f>
        <v/>
      </c>
      <c r="E2841" t="str">
        <f>IF(A2841="","",IF(SUMPRODUCT((Ввод!$F$12:$F$31&lt;&gt;"")*(Ввод!$F$12:$F$31&lt;=A2841)*(Ввод!$G$12:$G$31&gt;=A2841))&gt;0,1,0))</f>
        <v/>
      </c>
      <c r="G2841" t="str">
        <f t="shared" si="89"/>
        <v/>
      </c>
    </row>
    <row r="2842" spans="1:7" x14ac:dyDescent="0.3">
      <c r="A2842" s="21" t="str">
        <f>IF(A2841="","",IF(A2841+1&gt;Ввод!$B$4,"",A2841+1))</f>
        <v/>
      </c>
      <c r="B2842" s="23" t="str">
        <f>IF(A2842="","",IFERROR(INDEX(Ввод!$B$12:$B$71,MATCH(A2842,Ввод!$D$12:$D$71,1)),""))</f>
        <v/>
      </c>
      <c r="C2842" t="str">
        <f t="shared" si="88"/>
        <v/>
      </c>
      <c r="D2842" t="str">
        <f>IF(A2842="","",SUMIFS(Акты!$D$5:$D$16,Акты!$E$5:$E$16,"&lt;="&amp;A2842)-SUMIFS(Оплаты!$B$6:$B$505,Оплаты!$A$6:$A$505,"&lt;"&amp;A2842,Оплаты!$D$6:$D$505,"&lt;&gt;"))</f>
        <v/>
      </c>
      <c r="E2842" t="str">
        <f>IF(A2842="","",IF(SUMPRODUCT((Ввод!$F$12:$F$31&lt;&gt;"")*(Ввод!$F$12:$F$31&lt;=A2842)*(Ввод!$G$12:$G$31&gt;=A2842))&gt;0,1,0))</f>
        <v/>
      </c>
      <c r="G2842" t="str">
        <f t="shared" si="89"/>
        <v/>
      </c>
    </row>
    <row r="2843" spans="1:7" x14ac:dyDescent="0.3">
      <c r="A2843" s="21" t="str">
        <f>IF(A2842="","",IF(A2842+1&gt;Ввод!$B$4,"",A2842+1))</f>
        <v/>
      </c>
      <c r="B2843" s="23" t="str">
        <f>IF(A2843="","",IFERROR(INDEX(Ввод!$B$12:$B$71,MATCH(A2843,Ввод!$D$12:$D$71,1)),""))</f>
        <v/>
      </c>
      <c r="C2843" t="str">
        <f t="shared" si="88"/>
        <v/>
      </c>
      <c r="D2843" t="str">
        <f>IF(A2843="","",SUMIFS(Акты!$D$5:$D$16,Акты!$E$5:$E$16,"&lt;="&amp;A2843)-SUMIFS(Оплаты!$B$6:$B$505,Оплаты!$A$6:$A$505,"&lt;"&amp;A2843,Оплаты!$D$6:$D$505,"&lt;&gt;"))</f>
        <v/>
      </c>
      <c r="E2843" t="str">
        <f>IF(A2843="","",IF(SUMPRODUCT((Ввод!$F$12:$F$31&lt;&gt;"")*(Ввод!$F$12:$F$31&lt;=A2843)*(Ввод!$G$12:$G$31&gt;=A2843))&gt;0,1,0))</f>
        <v/>
      </c>
      <c r="G2843" t="str">
        <f t="shared" si="89"/>
        <v/>
      </c>
    </row>
    <row r="2844" spans="1:7" x14ac:dyDescent="0.3">
      <c r="A2844" s="21" t="str">
        <f>IF(A2843="","",IF(A2843+1&gt;Ввод!$B$4,"",A2843+1))</f>
        <v/>
      </c>
      <c r="B2844" s="23" t="str">
        <f>IF(A2844="","",IFERROR(INDEX(Ввод!$B$12:$B$71,MATCH(A2844,Ввод!$D$12:$D$71,1)),""))</f>
        <v/>
      </c>
      <c r="C2844" t="str">
        <f t="shared" si="88"/>
        <v/>
      </c>
      <c r="D2844" t="str">
        <f>IF(A2844="","",SUMIFS(Акты!$D$5:$D$16,Акты!$E$5:$E$16,"&lt;="&amp;A2844)-SUMIFS(Оплаты!$B$6:$B$505,Оплаты!$A$6:$A$505,"&lt;"&amp;A2844,Оплаты!$D$6:$D$505,"&lt;&gt;"))</f>
        <v/>
      </c>
      <c r="E2844" t="str">
        <f>IF(A2844="","",IF(SUMPRODUCT((Ввод!$F$12:$F$31&lt;&gt;"")*(Ввод!$F$12:$F$31&lt;=A2844)*(Ввод!$G$12:$G$31&gt;=A2844))&gt;0,1,0))</f>
        <v/>
      </c>
      <c r="G2844" t="str">
        <f t="shared" si="89"/>
        <v/>
      </c>
    </row>
    <row r="2845" spans="1:7" x14ac:dyDescent="0.3">
      <c r="A2845" s="21" t="str">
        <f>IF(A2844="","",IF(A2844+1&gt;Ввод!$B$4,"",A2844+1))</f>
        <v/>
      </c>
      <c r="B2845" s="23" t="str">
        <f>IF(A2845="","",IFERROR(INDEX(Ввод!$B$12:$B$71,MATCH(A2845,Ввод!$D$12:$D$71,1)),""))</f>
        <v/>
      </c>
      <c r="C2845" t="str">
        <f t="shared" si="88"/>
        <v/>
      </c>
      <c r="D2845" t="str">
        <f>IF(A2845="","",SUMIFS(Акты!$D$5:$D$16,Акты!$E$5:$E$16,"&lt;="&amp;A2845)-SUMIFS(Оплаты!$B$6:$B$505,Оплаты!$A$6:$A$505,"&lt;"&amp;A2845,Оплаты!$D$6:$D$505,"&lt;&gt;"))</f>
        <v/>
      </c>
      <c r="E2845" t="str">
        <f>IF(A2845="","",IF(SUMPRODUCT((Ввод!$F$12:$F$31&lt;&gt;"")*(Ввод!$F$12:$F$31&lt;=A2845)*(Ввод!$G$12:$G$31&gt;=A2845))&gt;0,1,0))</f>
        <v/>
      </c>
      <c r="G2845" t="str">
        <f t="shared" si="89"/>
        <v/>
      </c>
    </row>
    <row r="2846" spans="1:7" x14ac:dyDescent="0.3">
      <c r="A2846" s="21" t="str">
        <f>IF(A2845="","",IF(A2845+1&gt;Ввод!$B$4,"",A2845+1))</f>
        <v/>
      </c>
      <c r="B2846" s="23" t="str">
        <f>IF(A2846="","",IFERROR(INDEX(Ввод!$B$12:$B$71,MATCH(A2846,Ввод!$D$12:$D$71,1)),""))</f>
        <v/>
      </c>
      <c r="C2846" t="str">
        <f t="shared" si="88"/>
        <v/>
      </c>
      <c r="D2846" t="str">
        <f>IF(A2846="","",SUMIFS(Акты!$D$5:$D$16,Акты!$E$5:$E$16,"&lt;="&amp;A2846)-SUMIFS(Оплаты!$B$6:$B$505,Оплаты!$A$6:$A$505,"&lt;"&amp;A2846,Оплаты!$D$6:$D$505,"&lt;&gt;"))</f>
        <v/>
      </c>
      <c r="E2846" t="str">
        <f>IF(A2846="","",IF(SUMPRODUCT((Ввод!$F$12:$F$31&lt;&gt;"")*(Ввод!$F$12:$F$31&lt;=A2846)*(Ввод!$G$12:$G$31&gt;=A2846))&gt;0,1,0))</f>
        <v/>
      </c>
      <c r="G2846" t="str">
        <f t="shared" si="89"/>
        <v/>
      </c>
    </row>
    <row r="2847" spans="1:7" x14ac:dyDescent="0.3">
      <c r="A2847" s="21" t="str">
        <f>IF(A2846="","",IF(A2846+1&gt;Ввод!$B$4,"",A2846+1))</f>
        <v/>
      </c>
      <c r="B2847" s="23" t="str">
        <f>IF(A2847="","",IFERROR(INDEX(Ввод!$B$12:$B$71,MATCH(A2847,Ввод!$D$12:$D$71,1)),""))</f>
        <v/>
      </c>
      <c r="C2847" t="str">
        <f t="shared" si="88"/>
        <v/>
      </c>
      <c r="D2847" t="str">
        <f>IF(A2847="","",SUMIFS(Акты!$D$5:$D$16,Акты!$E$5:$E$16,"&lt;="&amp;A2847)-SUMIFS(Оплаты!$B$6:$B$505,Оплаты!$A$6:$A$505,"&lt;"&amp;A2847,Оплаты!$D$6:$D$505,"&lt;&gt;"))</f>
        <v/>
      </c>
      <c r="E2847" t="str">
        <f>IF(A2847="","",IF(SUMPRODUCT((Ввод!$F$12:$F$31&lt;&gt;"")*(Ввод!$F$12:$F$31&lt;=A2847)*(Ввод!$G$12:$G$31&gt;=A2847))&gt;0,1,0))</f>
        <v/>
      </c>
      <c r="G2847" t="str">
        <f t="shared" si="89"/>
        <v/>
      </c>
    </row>
    <row r="2848" spans="1:7" x14ac:dyDescent="0.3">
      <c r="A2848" s="21" t="str">
        <f>IF(A2847="","",IF(A2847+1&gt;Ввод!$B$4,"",A2847+1))</f>
        <v/>
      </c>
      <c r="B2848" s="23" t="str">
        <f>IF(A2848="","",IFERROR(INDEX(Ввод!$B$12:$B$71,MATCH(A2848,Ввод!$D$12:$D$71,1)),""))</f>
        <v/>
      </c>
      <c r="C2848" t="str">
        <f t="shared" si="88"/>
        <v/>
      </c>
      <c r="D2848" t="str">
        <f>IF(A2848="","",SUMIFS(Акты!$D$5:$D$16,Акты!$E$5:$E$16,"&lt;="&amp;A2848)-SUMIFS(Оплаты!$B$6:$B$505,Оплаты!$A$6:$A$505,"&lt;"&amp;A2848,Оплаты!$D$6:$D$505,"&lt;&gt;"))</f>
        <v/>
      </c>
      <c r="E2848" t="str">
        <f>IF(A2848="","",IF(SUMPRODUCT((Ввод!$F$12:$F$31&lt;&gt;"")*(Ввод!$F$12:$F$31&lt;=A2848)*(Ввод!$G$12:$G$31&gt;=A2848))&gt;0,1,0))</f>
        <v/>
      </c>
      <c r="G2848" t="str">
        <f t="shared" si="89"/>
        <v/>
      </c>
    </row>
    <row r="2849" spans="1:7" x14ac:dyDescent="0.3">
      <c r="A2849" s="21" t="str">
        <f>IF(A2848="","",IF(A2848+1&gt;Ввод!$B$4,"",A2848+1))</f>
        <v/>
      </c>
      <c r="B2849" s="23" t="str">
        <f>IF(A2849="","",IFERROR(INDEX(Ввод!$B$12:$B$71,MATCH(A2849,Ввод!$D$12:$D$71,1)),""))</f>
        <v/>
      </c>
      <c r="C2849" t="str">
        <f t="shared" si="88"/>
        <v/>
      </c>
      <c r="D2849" t="str">
        <f>IF(A2849="","",SUMIFS(Акты!$D$5:$D$16,Акты!$E$5:$E$16,"&lt;="&amp;A2849)-SUMIFS(Оплаты!$B$6:$B$505,Оплаты!$A$6:$A$505,"&lt;"&amp;A2849,Оплаты!$D$6:$D$505,"&lt;&gt;"))</f>
        <v/>
      </c>
      <c r="E2849" t="str">
        <f>IF(A2849="","",IF(SUMPRODUCT((Ввод!$F$12:$F$31&lt;&gt;"")*(Ввод!$F$12:$F$31&lt;=A2849)*(Ввод!$G$12:$G$31&gt;=A2849))&gt;0,1,0))</f>
        <v/>
      </c>
      <c r="G2849" t="str">
        <f t="shared" si="89"/>
        <v/>
      </c>
    </row>
    <row r="2850" spans="1:7" x14ac:dyDescent="0.3">
      <c r="A2850" s="21" t="str">
        <f>IF(A2849="","",IF(A2849+1&gt;Ввод!$B$4,"",A2849+1))</f>
        <v/>
      </c>
      <c r="B2850" s="23" t="str">
        <f>IF(A2850="","",IFERROR(INDEX(Ввод!$B$12:$B$71,MATCH(A2850,Ввод!$D$12:$D$71,1)),""))</f>
        <v/>
      </c>
      <c r="C2850" t="str">
        <f t="shared" si="88"/>
        <v/>
      </c>
      <c r="D2850" t="str">
        <f>IF(A2850="","",SUMIFS(Акты!$D$5:$D$16,Акты!$E$5:$E$16,"&lt;="&amp;A2850)-SUMIFS(Оплаты!$B$6:$B$505,Оплаты!$A$6:$A$505,"&lt;"&amp;A2850,Оплаты!$D$6:$D$505,"&lt;&gt;"))</f>
        <v/>
      </c>
      <c r="E2850" t="str">
        <f>IF(A2850="","",IF(SUMPRODUCT((Ввод!$F$12:$F$31&lt;&gt;"")*(Ввод!$F$12:$F$31&lt;=A2850)*(Ввод!$G$12:$G$31&gt;=A2850))&gt;0,1,0))</f>
        <v/>
      </c>
      <c r="G2850" t="str">
        <f t="shared" si="89"/>
        <v/>
      </c>
    </row>
    <row r="2851" spans="1:7" x14ac:dyDescent="0.3">
      <c r="A2851" s="21" t="str">
        <f>IF(A2850="","",IF(A2850+1&gt;Ввод!$B$4,"",A2850+1))</f>
        <v/>
      </c>
      <c r="B2851" s="23" t="str">
        <f>IF(A2851="","",IFERROR(INDEX(Ввод!$B$12:$B$71,MATCH(A2851,Ввод!$D$12:$D$71,1)),""))</f>
        <v/>
      </c>
      <c r="C2851" t="str">
        <f t="shared" si="88"/>
        <v/>
      </c>
      <c r="D2851" t="str">
        <f>IF(A2851="","",SUMIFS(Акты!$D$5:$D$16,Акты!$E$5:$E$16,"&lt;="&amp;A2851)-SUMIFS(Оплаты!$B$6:$B$505,Оплаты!$A$6:$A$505,"&lt;"&amp;A2851,Оплаты!$D$6:$D$505,"&lt;&gt;"))</f>
        <v/>
      </c>
      <c r="E2851" t="str">
        <f>IF(A2851="","",IF(SUMPRODUCT((Ввод!$F$12:$F$31&lt;&gt;"")*(Ввод!$F$12:$F$31&lt;=A2851)*(Ввод!$G$12:$G$31&gt;=A2851))&gt;0,1,0))</f>
        <v/>
      </c>
      <c r="G2851" t="str">
        <f t="shared" si="89"/>
        <v/>
      </c>
    </row>
    <row r="2852" spans="1:7" x14ac:dyDescent="0.3">
      <c r="A2852" s="21" t="str">
        <f>IF(A2851="","",IF(A2851+1&gt;Ввод!$B$4,"",A2851+1))</f>
        <v/>
      </c>
      <c r="B2852" s="23" t="str">
        <f>IF(A2852="","",IFERROR(INDEX(Ввод!$B$12:$B$71,MATCH(A2852,Ввод!$D$12:$D$71,1)),""))</f>
        <v/>
      </c>
      <c r="C2852" t="str">
        <f t="shared" si="88"/>
        <v/>
      </c>
      <c r="D2852" t="str">
        <f>IF(A2852="","",SUMIFS(Акты!$D$5:$D$16,Акты!$E$5:$E$16,"&lt;="&amp;A2852)-SUMIFS(Оплаты!$B$6:$B$505,Оплаты!$A$6:$A$505,"&lt;"&amp;A2852,Оплаты!$D$6:$D$505,"&lt;&gt;"))</f>
        <v/>
      </c>
      <c r="E2852" t="str">
        <f>IF(A2852="","",IF(SUMPRODUCT((Ввод!$F$12:$F$31&lt;&gt;"")*(Ввод!$F$12:$F$31&lt;=A2852)*(Ввод!$G$12:$G$31&gt;=A2852))&gt;0,1,0))</f>
        <v/>
      </c>
      <c r="G2852" t="str">
        <f t="shared" si="89"/>
        <v/>
      </c>
    </row>
    <row r="2853" spans="1:7" x14ac:dyDescent="0.3">
      <c r="A2853" s="21" t="str">
        <f>IF(A2852="","",IF(A2852+1&gt;Ввод!$B$4,"",A2852+1))</f>
        <v/>
      </c>
      <c r="B2853" s="23" t="str">
        <f>IF(A2853="","",IFERROR(INDEX(Ввод!$B$12:$B$71,MATCH(A2853,Ввод!$D$12:$D$71,1)),""))</f>
        <v/>
      </c>
      <c r="C2853" t="str">
        <f t="shared" si="88"/>
        <v/>
      </c>
      <c r="D2853" t="str">
        <f>IF(A2853="","",SUMIFS(Акты!$D$5:$D$16,Акты!$E$5:$E$16,"&lt;="&amp;A2853)-SUMIFS(Оплаты!$B$6:$B$505,Оплаты!$A$6:$A$505,"&lt;"&amp;A2853,Оплаты!$D$6:$D$505,"&lt;&gt;"))</f>
        <v/>
      </c>
      <c r="E2853" t="str">
        <f>IF(A2853="","",IF(SUMPRODUCT((Ввод!$F$12:$F$31&lt;&gt;"")*(Ввод!$F$12:$F$31&lt;=A2853)*(Ввод!$G$12:$G$31&gt;=A2853))&gt;0,1,0))</f>
        <v/>
      </c>
      <c r="G2853" t="str">
        <f t="shared" si="89"/>
        <v/>
      </c>
    </row>
    <row r="2854" spans="1:7" x14ac:dyDescent="0.3">
      <c r="A2854" s="21" t="str">
        <f>IF(A2853="","",IF(A2853+1&gt;Ввод!$B$4,"",A2853+1))</f>
        <v/>
      </c>
      <c r="B2854" s="23" t="str">
        <f>IF(A2854="","",IFERROR(INDEX(Ввод!$B$12:$B$71,MATCH(A2854,Ввод!$D$12:$D$71,1)),""))</f>
        <v/>
      </c>
      <c r="C2854" t="str">
        <f t="shared" si="88"/>
        <v/>
      </c>
      <c r="D2854" t="str">
        <f>IF(A2854="","",SUMIFS(Акты!$D$5:$D$16,Акты!$E$5:$E$16,"&lt;="&amp;A2854)-SUMIFS(Оплаты!$B$6:$B$505,Оплаты!$A$6:$A$505,"&lt;"&amp;A2854,Оплаты!$D$6:$D$505,"&lt;&gt;"))</f>
        <v/>
      </c>
      <c r="E2854" t="str">
        <f>IF(A2854="","",IF(SUMPRODUCT((Ввод!$F$12:$F$31&lt;&gt;"")*(Ввод!$F$12:$F$31&lt;=A2854)*(Ввод!$G$12:$G$31&gt;=A2854))&gt;0,1,0))</f>
        <v/>
      </c>
      <c r="G2854" t="str">
        <f t="shared" si="89"/>
        <v/>
      </c>
    </row>
    <row r="2855" spans="1:7" x14ac:dyDescent="0.3">
      <c r="A2855" s="21" t="str">
        <f>IF(A2854="","",IF(A2854+1&gt;Ввод!$B$4,"",A2854+1))</f>
        <v/>
      </c>
      <c r="B2855" s="23" t="str">
        <f>IF(A2855="","",IFERROR(INDEX(Ввод!$B$12:$B$71,MATCH(A2855,Ввод!$D$12:$D$71,1)),""))</f>
        <v/>
      </c>
      <c r="C2855" t="str">
        <f t="shared" si="88"/>
        <v/>
      </c>
      <c r="D2855" t="str">
        <f>IF(A2855="","",SUMIFS(Акты!$D$5:$D$16,Акты!$E$5:$E$16,"&lt;="&amp;A2855)-SUMIFS(Оплаты!$B$6:$B$505,Оплаты!$A$6:$A$505,"&lt;"&amp;A2855,Оплаты!$D$6:$D$505,"&lt;&gt;"))</f>
        <v/>
      </c>
      <c r="E2855" t="str">
        <f>IF(A2855="","",IF(SUMPRODUCT((Ввод!$F$12:$F$31&lt;&gt;"")*(Ввод!$F$12:$F$31&lt;=A2855)*(Ввод!$G$12:$G$31&gt;=A2855))&gt;0,1,0))</f>
        <v/>
      </c>
      <c r="G2855" t="str">
        <f t="shared" si="89"/>
        <v/>
      </c>
    </row>
    <row r="2856" spans="1:7" x14ac:dyDescent="0.3">
      <c r="A2856" s="21" t="str">
        <f>IF(A2855="","",IF(A2855+1&gt;Ввод!$B$4,"",A2855+1))</f>
        <v/>
      </c>
      <c r="B2856" s="23" t="str">
        <f>IF(A2856="","",IFERROR(INDEX(Ввод!$B$12:$B$71,MATCH(A2856,Ввод!$D$12:$D$71,1)),""))</f>
        <v/>
      </c>
      <c r="C2856" t="str">
        <f t="shared" si="88"/>
        <v/>
      </c>
      <c r="D2856" t="str">
        <f>IF(A2856="","",SUMIFS(Акты!$D$5:$D$16,Акты!$E$5:$E$16,"&lt;="&amp;A2856)-SUMIFS(Оплаты!$B$6:$B$505,Оплаты!$A$6:$A$505,"&lt;"&amp;A2856,Оплаты!$D$6:$D$505,"&lt;&gt;"))</f>
        <v/>
      </c>
      <c r="E2856" t="str">
        <f>IF(A2856="","",IF(SUMPRODUCT((Ввод!$F$12:$F$31&lt;&gt;"")*(Ввод!$F$12:$F$31&lt;=A2856)*(Ввод!$G$12:$G$31&gt;=A2856))&gt;0,1,0))</f>
        <v/>
      </c>
      <c r="G2856" t="str">
        <f t="shared" si="89"/>
        <v/>
      </c>
    </row>
    <row r="2857" spans="1:7" x14ac:dyDescent="0.3">
      <c r="A2857" s="21" t="str">
        <f>IF(A2856="","",IF(A2856+1&gt;Ввод!$B$4,"",A2856+1))</f>
        <v/>
      </c>
      <c r="B2857" s="23" t="str">
        <f>IF(A2857="","",IFERROR(INDEX(Ввод!$B$12:$B$71,MATCH(A2857,Ввод!$D$12:$D$71,1)),""))</f>
        <v/>
      </c>
      <c r="C2857" t="str">
        <f t="shared" si="88"/>
        <v/>
      </c>
      <c r="D2857" t="str">
        <f>IF(A2857="","",SUMIFS(Акты!$D$5:$D$16,Акты!$E$5:$E$16,"&lt;="&amp;A2857)-SUMIFS(Оплаты!$B$6:$B$505,Оплаты!$A$6:$A$505,"&lt;"&amp;A2857,Оплаты!$D$6:$D$505,"&lt;&gt;"))</f>
        <v/>
      </c>
      <c r="E2857" t="str">
        <f>IF(A2857="","",IF(SUMPRODUCT((Ввод!$F$12:$F$31&lt;&gt;"")*(Ввод!$F$12:$F$31&lt;=A2857)*(Ввод!$G$12:$G$31&gt;=A2857))&gt;0,1,0))</f>
        <v/>
      </c>
      <c r="G2857" t="str">
        <f t="shared" si="89"/>
        <v/>
      </c>
    </row>
    <row r="2858" spans="1:7" x14ac:dyDescent="0.3">
      <c r="A2858" s="21" t="str">
        <f>IF(A2857="","",IF(A2857+1&gt;Ввод!$B$4,"",A2857+1))</f>
        <v/>
      </c>
      <c r="B2858" s="23" t="str">
        <f>IF(A2858="","",IFERROR(INDEX(Ввод!$B$12:$B$71,MATCH(A2858,Ввод!$D$12:$D$71,1)),""))</f>
        <v/>
      </c>
      <c r="C2858" t="str">
        <f t="shared" si="88"/>
        <v/>
      </c>
      <c r="D2858" t="str">
        <f>IF(A2858="","",SUMIFS(Акты!$D$5:$D$16,Акты!$E$5:$E$16,"&lt;="&amp;A2858)-SUMIFS(Оплаты!$B$6:$B$505,Оплаты!$A$6:$A$505,"&lt;"&amp;A2858,Оплаты!$D$6:$D$505,"&lt;&gt;"))</f>
        <v/>
      </c>
      <c r="E2858" t="str">
        <f>IF(A2858="","",IF(SUMPRODUCT((Ввод!$F$12:$F$31&lt;&gt;"")*(Ввод!$F$12:$F$31&lt;=A2858)*(Ввод!$G$12:$G$31&gt;=A2858))&gt;0,1,0))</f>
        <v/>
      </c>
      <c r="G2858" t="str">
        <f t="shared" si="89"/>
        <v/>
      </c>
    </row>
    <row r="2859" spans="1:7" x14ac:dyDescent="0.3">
      <c r="A2859" s="21" t="str">
        <f>IF(A2858="","",IF(A2858+1&gt;Ввод!$B$4,"",A2858+1))</f>
        <v/>
      </c>
      <c r="B2859" s="23" t="str">
        <f>IF(A2859="","",IFERROR(INDEX(Ввод!$B$12:$B$71,MATCH(A2859,Ввод!$D$12:$D$71,1)),""))</f>
        <v/>
      </c>
      <c r="C2859" t="str">
        <f t="shared" si="88"/>
        <v/>
      </c>
      <c r="D2859" t="str">
        <f>IF(A2859="","",SUMIFS(Акты!$D$5:$D$16,Акты!$E$5:$E$16,"&lt;="&amp;A2859)-SUMIFS(Оплаты!$B$6:$B$505,Оплаты!$A$6:$A$505,"&lt;"&amp;A2859,Оплаты!$D$6:$D$505,"&lt;&gt;"))</f>
        <v/>
      </c>
      <c r="E2859" t="str">
        <f>IF(A2859="","",IF(SUMPRODUCT((Ввод!$F$12:$F$31&lt;&gt;"")*(Ввод!$F$12:$F$31&lt;=A2859)*(Ввод!$G$12:$G$31&gt;=A2859))&gt;0,1,0))</f>
        <v/>
      </c>
      <c r="G2859" t="str">
        <f t="shared" si="89"/>
        <v/>
      </c>
    </row>
    <row r="2860" spans="1:7" x14ac:dyDescent="0.3">
      <c r="A2860" s="21" t="str">
        <f>IF(A2859="","",IF(A2859+1&gt;Ввод!$B$4,"",A2859+1))</f>
        <v/>
      </c>
      <c r="B2860" s="23" t="str">
        <f>IF(A2860="","",IFERROR(INDEX(Ввод!$B$12:$B$71,MATCH(A2860,Ввод!$D$12:$D$71,1)),""))</f>
        <v/>
      </c>
      <c r="C2860" t="str">
        <f t="shared" si="88"/>
        <v/>
      </c>
      <c r="D2860" t="str">
        <f>IF(A2860="","",SUMIFS(Акты!$D$5:$D$16,Акты!$E$5:$E$16,"&lt;="&amp;A2860)-SUMIFS(Оплаты!$B$6:$B$505,Оплаты!$A$6:$A$505,"&lt;"&amp;A2860,Оплаты!$D$6:$D$505,"&lt;&gt;"))</f>
        <v/>
      </c>
      <c r="E2860" t="str">
        <f>IF(A2860="","",IF(SUMPRODUCT((Ввод!$F$12:$F$31&lt;&gt;"")*(Ввод!$F$12:$F$31&lt;=A2860)*(Ввод!$G$12:$G$31&gt;=A2860))&gt;0,1,0))</f>
        <v/>
      </c>
      <c r="G2860" t="str">
        <f t="shared" si="89"/>
        <v/>
      </c>
    </row>
    <row r="2861" spans="1:7" x14ac:dyDescent="0.3">
      <c r="A2861" s="21" t="str">
        <f>IF(A2860="","",IF(A2860+1&gt;Ввод!$B$4,"",A2860+1))</f>
        <v/>
      </c>
      <c r="B2861" s="23" t="str">
        <f>IF(A2861="","",IFERROR(INDEX(Ввод!$B$12:$B$71,MATCH(A2861,Ввод!$D$12:$D$71,1)),""))</f>
        <v/>
      </c>
      <c r="C2861" t="str">
        <f t="shared" si="88"/>
        <v/>
      </c>
      <c r="D2861" t="str">
        <f>IF(A2861="","",SUMIFS(Акты!$D$5:$D$16,Акты!$E$5:$E$16,"&lt;="&amp;A2861)-SUMIFS(Оплаты!$B$6:$B$505,Оплаты!$A$6:$A$505,"&lt;"&amp;A2861,Оплаты!$D$6:$D$505,"&lt;&gt;"))</f>
        <v/>
      </c>
      <c r="E2861" t="str">
        <f>IF(A2861="","",IF(SUMPRODUCT((Ввод!$F$12:$F$31&lt;&gt;"")*(Ввод!$F$12:$F$31&lt;=A2861)*(Ввод!$G$12:$G$31&gt;=A2861))&gt;0,1,0))</f>
        <v/>
      </c>
      <c r="G2861" t="str">
        <f t="shared" si="89"/>
        <v/>
      </c>
    </row>
    <row r="2862" spans="1:7" x14ac:dyDescent="0.3">
      <c r="A2862" s="21" t="str">
        <f>IF(A2861="","",IF(A2861+1&gt;Ввод!$B$4,"",A2861+1))</f>
        <v/>
      </c>
      <c r="B2862" s="23" t="str">
        <f>IF(A2862="","",IFERROR(INDEX(Ввод!$B$12:$B$71,MATCH(A2862,Ввод!$D$12:$D$71,1)),""))</f>
        <v/>
      </c>
      <c r="C2862" t="str">
        <f t="shared" si="88"/>
        <v/>
      </c>
      <c r="D2862" t="str">
        <f>IF(A2862="","",SUMIFS(Акты!$D$5:$D$16,Акты!$E$5:$E$16,"&lt;="&amp;A2862)-SUMIFS(Оплаты!$B$6:$B$505,Оплаты!$A$6:$A$505,"&lt;"&amp;A2862,Оплаты!$D$6:$D$505,"&lt;&gt;"))</f>
        <v/>
      </c>
      <c r="E2862" t="str">
        <f>IF(A2862="","",IF(SUMPRODUCT((Ввод!$F$12:$F$31&lt;&gt;"")*(Ввод!$F$12:$F$31&lt;=A2862)*(Ввод!$G$12:$G$31&gt;=A2862))&gt;0,1,0))</f>
        <v/>
      </c>
      <c r="G2862" t="str">
        <f t="shared" si="89"/>
        <v/>
      </c>
    </row>
    <row r="2863" spans="1:7" x14ac:dyDescent="0.3">
      <c r="A2863" s="21" t="str">
        <f>IF(A2862="","",IF(A2862+1&gt;Ввод!$B$4,"",A2862+1))</f>
        <v/>
      </c>
      <c r="B2863" s="23" t="str">
        <f>IF(A2863="","",IFERROR(INDEX(Ввод!$B$12:$B$71,MATCH(A2863,Ввод!$D$12:$D$71,1)),""))</f>
        <v/>
      </c>
      <c r="C2863" t="str">
        <f t="shared" si="88"/>
        <v/>
      </c>
      <c r="D2863" t="str">
        <f>IF(A2863="","",SUMIFS(Акты!$D$5:$D$16,Акты!$E$5:$E$16,"&lt;="&amp;A2863)-SUMIFS(Оплаты!$B$6:$B$505,Оплаты!$A$6:$A$505,"&lt;"&amp;A2863,Оплаты!$D$6:$D$505,"&lt;&gt;"))</f>
        <v/>
      </c>
      <c r="E2863" t="str">
        <f>IF(A2863="","",IF(SUMPRODUCT((Ввод!$F$12:$F$31&lt;&gt;"")*(Ввод!$F$12:$F$31&lt;=A2863)*(Ввод!$G$12:$G$31&gt;=A2863))&gt;0,1,0))</f>
        <v/>
      </c>
      <c r="G2863" t="str">
        <f t="shared" si="89"/>
        <v/>
      </c>
    </row>
    <row r="2864" spans="1:7" x14ac:dyDescent="0.3">
      <c r="A2864" s="21" t="str">
        <f>IF(A2863="","",IF(A2863+1&gt;Ввод!$B$4,"",A2863+1))</f>
        <v/>
      </c>
      <c r="B2864" s="23" t="str">
        <f>IF(A2864="","",IFERROR(INDEX(Ввод!$B$12:$B$71,MATCH(A2864,Ввод!$D$12:$D$71,1)),""))</f>
        <v/>
      </c>
      <c r="C2864" t="str">
        <f t="shared" si="88"/>
        <v/>
      </c>
      <c r="D2864" t="str">
        <f>IF(A2864="","",SUMIFS(Акты!$D$5:$D$16,Акты!$E$5:$E$16,"&lt;="&amp;A2864)-SUMIFS(Оплаты!$B$6:$B$505,Оплаты!$A$6:$A$505,"&lt;"&amp;A2864,Оплаты!$D$6:$D$505,"&lt;&gt;"))</f>
        <v/>
      </c>
      <c r="E2864" t="str">
        <f>IF(A2864="","",IF(SUMPRODUCT((Ввод!$F$12:$F$31&lt;&gt;"")*(Ввод!$F$12:$F$31&lt;=A2864)*(Ввод!$G$12:$G$31&gt;=A2864))&gt;0,1,0))</f>
        <v/>
      </c>
      <c r="G2864" t="str">
        <f t="shared" si="89"/>
        <v/>
      </c>
    </row>
    <row r="2865" spans="1:7" x14ac:dyDescent="0.3">
      <c r="A2865" s="21" t="str">
        <f>IF(A2864="","",IF(A2864+1&gt;Ввод!$B$4,"",A2864+1))</f>
        <v/>
      </c>
      <c r="B2865" s="23" t="str">
        <f>IF(A2865="","",IFERROR(INDEX(Ввод!$B$12:$B$71,MATCH(A2865,Ввод!$D$12:$D$71,1)),""))</f>
        <v/>
      </c>
      <c r="C2865" t="str">
        <f t="shared" si="88"/>
        <v/>
      </c>
      <c r="D2865" t="str">
        <f>IF(A2865="","",SUMIFS(Акты!$D$5:$D$16,Акты!$E$5:$E$16,"&lt;="&amp;A2865)-SUMIFS(Оплаты!$B$6:$B$505,Оплаты!$A$6:$A$505,"&lt;"&amp;A2865,Оплаты!$D$6:$D$505,"&lt;&gt;"))</f>
        <v/>
      </c>
      <c r="E2865" t="str">
        <f>IF(A2865="","",IF(SUMPRODUCT((Ввод!$F$12:$F$31&lt;&gt;"")*(Ввод!$F$12:$F$31&lt;=A2865)*(Ввод!$G$12:$G$31&gt;=A2865))&gt;0,1,0))</f>
        <v/>
      </c>
      <c r="G2865" t="str">
        <f t="shared" si="89"/>
        <v/>
      </c>
    </row>
    <row r="2866" spans="1:7" x14ac:dyDescent="0.3">
      <c r="A2866" s="21" t="str">
        <f>IF(A2865="","",IF(A2865+1&gt;Ввод!$B$4,"",A2865+1))</f>
        <v/>
      </c>
      <c r="B2866" s="23" t="str">
        <f>IF(A2866="","",IFERROR(INDEX(Ввод!$B$12:$B$71,MATCH(A2866,Ввод!$D$12:$D$71,1)),""))</f>
        <v/>
      </c>
      <c r="C2866" t="str">
        <f t="shared" si="88"/>
        <v/>
      </c>
      <c r="D2866" t="str">
        <f>IF(A2866="","",SUMIFS(Акты!$D$5:$D$16,Акты!$E$5:$E$16,"&lt;="&amp;A2866)-SUMIFS(Оплаты!$B$6:$B$505,Оплаты!$A$6:$A$505,"&lt;"&amp;A2866,Оплаты!$D$6:$D$505,"&lt;&gt;"))</f>
        <v/>
      </c>
      <c r="E2866" t="str">
        <f>IF(A2866="","",IF(SUMPRODUCT((Ввод!$F$12:$F$31&lt;&gt;"")*(Ввод!$F$12:$F$31&lt;=A2866)*(Ввод!$G$12:$G$31&gt;=A2866))&gt;0,1,0))</f>
        <v/>
      </c>
      <c r="G2866" t="str">
        <f t="shared" si="89"/>
        <v/>
      </c>
    </row>
    <row r="2867" spans="1:7" x14ac:dyDescent="0.3">
      <c r="A2867" s="21" t="str">
        <f>IF(A2866="","",IF(A2866+1&gt;Ввод!$B$4,"",A2866+1))</f>
        <v/>
      </c>
      <c r="B2867" s="23" t="str">
        <f>IF(A2867="","",IFERROR(INDEX(Ввод!$B$12:$B$71,MATCH(A2867,Ввод!$D$12:$D$71,1)),""))</f>
        <v/>
      </c>
      <c r="C2867" t="str">
        <f t="shared" si="88"/>
        <v/>
      </c>
      <c r="D2867" t="str">
        <f>IF(A2867="","",SUMIFS(Акты!$D$5:$D$16,Акты!$E$5:$E$16,"&lt;="&amp;A2867)-SUMIFS(Оплаты!$B$6:$B$505,Оплаты!$A$6:$A$505,"&lt;"&amp;A2867,Оплаты!$D$6:$D$505,"&lt;&gt;"))</f>
        <v/>
      </c>
      <c r="E2867" t="str">
        <f>IF(A2867="","",IF(SUMPRODUCT((Ввод!$F$12:$F$31&lt;&gt;"")*(Ввод!$F$12:$F$31&lt;=A2867)*(Ввод!$G$12:$G$31&gt;=A2867))&gt;0,1,0))</f>
        <v/>
      </c>
      <c r="G2867" t="str">
        <f t="shared" si="89"/>
        <v/>
      </c>
    </row>
    <row r="2868" spans="1:7" x14ac:dyDescent="0.3">
      <c r="A2868" s="21" t="str">
        <f>IF(A2867="","",IF(A2867+1&gt;Ввод!$B$4,"",A2867+1))</f>
        <v/>
      </c>
      <c r="B2868" s="23" t="str">
        <f>IF(A2868="","",IFERROR(INDEX(Ввод!$B$12:$B$71,MATCH(A2868,Ввод!$D$12:$D$71,1)),""))</f>
        <v/>
      </c>
      <c r="C2868" t="str">
        <f t="shared" si="88"/>
        <v/>
      </c>
      <c r="D2868" t="str">
        <f>IF(A2868="","",SUMIFS(Акты!$D$5:$D$16,Акты!$E$5:$E$16,"&lt;="&amp;A2868)-SUMIFS(Оплаты!$B$6:$B$505,Оплаты!$A$6:$A$505,"&lt;"&amp;A2868,Оплаты!$D$6:$D$505,"&lt;&gt;"))</f>
        <v/>
      </c>
      <c r="E2868" t="str">
        <f>IF(A2868="","",IF(SUMPRODUCT((Ввод!$F$12:$F$31&lt;&gt;"")*(Ввод!$F$12:$F$31&lt;=A2868)*(Ввод!$G$12:$G$31&gt;=A2868))&gt;0,1,0))</f>
        <v/>
      </c>
      <c r="G2868" t="str">
        <f t="shared" si="89"/>
        <v/>
      </c>
    </row>
    <row r="2869" spans="1:7" x14ac:dyDescent="0.3">
      <c r="A2869" s="21" t="str">
        <f>IF(A2868="","",IF(A2868+1&gt;Ввод!$B$4,"",A2868+1))</f>
        <v/>
      </c>
      <c r="B2869" s="23" t="str">
        <f>IF(A2869="","",IFERROR(INDEX(Ввод!$B$12:$B$71,MATCH(A2869,Ввод!$D$12:$D$71,1)),""))</f>
        <v/>
      </c>
      <c r="C2869" t="str">
        <f t="shared" si="88"/>
        <v/>
      </c>
      <c r="D2869" t="str">
        <f>IF(A2869="","",SUMIFS(Акты!$D$5:$D$16,Акты!$E$5:$E$16,"&lt;="&amp;A2869)-SUMIFS(Оплаты!$B$6:$B$505,Оплаты!$A$6:$A$505,"&lt;"&amp;A2869,Оплаты!$D$6:$D$505,"&lt;&gt;"))</f>
        <v/>
      </c>
      <c r="E2869" t="str">
        <f>IF(A2869="","",IF(SUMPRODUCT((Ввод!$F$12:$F$31&lt;&gt;"")*(Ввод!$F$12:$F$31&lt;=A2869)*(Ввод!$G$12:$G$31&gt;=A2869))&gt;0,1,0))</f>
        <v/>
      </c>
      <c r="G2869" t="str">
        <f t="shared" si="89"/>
        <v/>
      </c>
    </row>
    <row r="2870" spans="1:7" x14ac:dyDescent="0.3">
      <c r="A2870" s="21" t="str">
        <f>IF(A2869="","",IF(A2869+1&gt;Ввод!$B$4,"",A2869+1))</f>
        <v/>
      </c>
      <c r="B2870" s="23" t="str">
        <f>IF(A2870="","",IFERROR(INDEX(Ввод!$B$12:$B$71,MATCH(A2870,Ввод!$D$12:$D$71,1)),""))</f>
        <v/>
      </c>
      <c r="C2870" t="str">
        <f t="shared" si="88"/>
        <v/>
      </c>
      <c r="D2870" t="str">
        <f>IF(A2870="","",SUMIFS(Акты!$D$5:$D$16,Акты!$E$5:$E$16,"&lt;="&amp;A2870)-SUMIFS(Оплаты!$B$6:$B$505,Оплаты!$A$6:$A$505,"&lt;"&amp;A2870,Оплаты!$D$6:$D$505,"&lt;&gt;"))</f>
        <v/>
      </c>
      <c r="E2870" t="str">
        <f>IF(A2870="","",IF(SUMPRODUCT((Ввод!$F$12:$F$31&lt;&gt;"")*(Ввод!$F$12:$F$31&lt;=A2870)*(Ввод!$G$12:$G$31&gt;=A2870))&gt;0,1,0))</f>
        <v/>
      </c>
      <c r="G2870" t="str">
        <f t="shared" si="89"/>
        <v/>
      </c>
    </row>
    <row r="2871" spans="1:7" x14ac:dyDescent="0.3">
      <c r="A2871" s="21" t="str">
        <f>IF(A2870="","",IF(A2870+1&gt;Ввод!$B$4,"",A2870+1))</f>
        <v/>
      </c>
      <c r="B2871" s="23" t="str">
        <f>IF(A2871="","",IFERROR(INDEX(Ввод!$B$12:$B$71,MATCH(A2871,Ввод!$D$12:$D$71,1)),""))</f>
        <v/>
      </c>
      <c r="C2871" t="str">
        <f t="shared" si="88"/>
        <v/>
      </c>
      <c r="D2871" t="str">
        <f>IF(A2871="","",SUMIFS(Акты!$D$5:$D$16,Акты!$E$5:$E$16,"&lt;="&amp;A2871)-SUMIFS(Оплаты!$B$6:$B$505,Оплаты!$A$6:$A$505,"&lt;"&amp;A2871,Оплаты!$D$6:$D$505,"&lt;&gt;"))</f>
        <v/>
      </c>
      <c r="E2871" t="str">
        <f>IF(A2871="","",IF(SUMPRODUCT((Ввод!$F$12:$F$31&lt;&gt;"")*(Ввод!$F$12:$F$31&lt;=A2871)*(Ввод!$G$12:$G$31&gt;=A2871))&gt;0,1,0))</f>
        <v/>
      </c>
      <c r="G2871" t="str">
        <f t="shared" si="89"/>
        <v/>
      </c>
    </row>
    <row r="2872" spans="1:7" x14ac:dyDescent="0.3">
      <c r="A2872" s="21" t="str">
        <f>IF(A2871="","",IF(A2871+1&gt;Ввод!$B$4,"",A2871+1))</f>
        <v/>
      </c>
      <c r="B2872" s="23" t="str">
        <f>IF(A2872="","",IFERROR(INDEX(Ввод!$B$12:$B$71,MATCH(A2872,Ввод!$D$12:$D$71,1)),""))</f>
        <v/>
      </c>
      <c r="C2872" t="str">
        <f t="shared" si="88"/>
        <v/>
      </c>
      <c r="D2872" t="str">
        <f>IF(A2872="","",SUMIFS(Акты!$D$5:$D$16,Акты!$E$5:$E$16,"&lt;="&amp;A2872)-SUMIFS(Оплаты!$B$6:$B$505,Оплаты!$A$6:$A$505,"&lt;"&amp;A2872,Оплаты!$D$6:$D$505,"&lt;&gt;"))</f>
        <v/>
      </c>
      <c r="E2872" t="str">
        <f>IF(A2872="","",IF(SUMPRODUCT((Ввод!$F$12:$F$31&lt;&gt;"")*(Ввод!$F$12:$F$31&lt;=A2872)*(Ввод!$G$12:$G$31&gt;=A2872))&gt;0,1,0))</f>
        <v/>
      </c>
      <c r="G2872" t="str">
        <f t="shared" si="89"/>
        <v/>
      </c>
    </row>
    <row r="2873" spans="1:7" x14ac:dyDescent="0.3">
      <c r="A2873" s="21" t="str">
        <f>IF(A2872="","",IF(A2872+1&gt;Ввод!$B$4,"",A2872+1))</f>
        <v/>
      </c>
      <c r="B2873" s="23" t="str">
        <f>IF(A2873="","",IFERROR(INDEX(Ввод!$B$12:$B$71,MATCH(A2873,Ввод!$D$12:$D$71,1)),""))</f>
        <v/>
      </c>
      <c r="C2873" t="str">
        <f t="shared" si="88"/>
        <v/>
      </c>
      <c r="D2873" t="str">
        <f>IF(A2873="","",SUMIFS(Акты!$D$5:$D$16,Акты!$E$5:$E$16,"&lt;="&amp;A2873)-SUMIFS(Оплаты!$B$6:$B$505,Оплаты!$A$6:$A$505,"&lt;"&amp;A2873,Оплаты!$D$6:$D$505,"&lt;&gt;"))</f>
        <v/>
      </c>
      <c r="E2873" t="str">
        <f>IF(A2873="","",IF(SUMPRODUCT((Ввод!$F$12:$F$31&lt;&gt;"")*(Ввод!$F$12:$F$31&lt;=A2873)*(Ввод!$G$12:$G$31&gt;=A2873))&gt;0,1,0))</f>
        <v/>
      </c>
      <c r="G2873" t="str">
        <f t="shared" si="89"/>
        <v/>
      </c>
    </row>
    <row r="2874" spans="1:7" x14ac:dyDescent="0.3">
      <c r="A2874" s="21" t="str">
        <f>IF(A2873="","",IF(A2873+1&gt;Ввод!$B$4,"",A2873+1))</f>
        <v/>
      </c>
      <c r="B2874" s="23" t="str">
        <f>IF(A2874="","",IFERROR(INDEX(Ввод!$B$12:$B$71,MATCH(A2874,Ввод!$D$12:$D$71,1)),""))</f>
        <v/>
      </c>
      <c r="C2874" t="str">
        <f t="shared" si="88"/>
        <v/>
      </c>
      <c r="D2874" t="str">
        <f>IF(A2874="","",SUMIFS(Акты!$D$5:$D$16,Акты!$E$5:$E$16,"&lt;="&amp;A2874)-SUMIFS(Оплаты!$B$6:$B$505,Оплаты!$A$6:$A$505,"&lt;"&amp;A2874,Оплаты!$D$6:$D$505,"&lt;&gt;"))</f>
        <v/>
      </c>
      <c r="E2874" t="str">
        <f>IF(A2874="","",IF(SUMPRODUCT((Ввод!$F$12:$F$31&lt;&gt;"")*(Ввод!$F$12:$F$31&lt;=A2874)*(Ввод!$G$12:$G$31&gt;=A2874))&gt;0,1,0))</f>
        <v/>
      </c>
      <c r="G2874" t="str">
        <f t="shared" si="89"/>
        <v/>
      </c>
    </row>
    <row r="2875" spans="1:7" x14ac:dyDescent="0.3">
      <c r="A2875" s="21" t="str">
        <f>IF(A2874="","",IF(A2874+1&gt;Ввод!$B$4,"",A2874+1))</f>
        <v/>
      </c>
      <c r="B2875" s="23" t="str">
        <f>IF(A2875="","",IFERROR(INDEX(Ввод!$B$12:$B$71,MATCH(A2875,Ввод!$D$12:$D$71,1)),""))</f>
        <v/>
      </c>
      <c r="C2875" t="str">
        <f t="shared" si="88"/>
        <v/>
      </c>
      <c r="D2875" t="str">
        <f>IF(A2875="","",SUMIFS(Акты!$D$5:$D$16,Акты!$E$5:$E$16,"&lt;="&amp;A2875)-SUMIFS(Оплаты!$B$6:$B$505,Оплаты!$A$6:$A$505,"&lt;"&amp;A2875,Оплаты!$D$6:$D$505,"&lt;&gt;"))</f>
        <v/>
      </c>
      <c r="E2875" t="str">
        <f>IF(A2875="","",IF(SUMPRODUCT((Ввод!$F$12:$F$31&lt;&gt;"")*(Ввод!$F$12:$F$31&lt;=A2875)*(Ввод!$G$12:$G$31&gt;=A2875))&gt;0,1,0))</f>
        <v/>
      </c>
      <c r="G2875" t="str">
        <f t="shared" si="89"/>
        <v/>
      </c>
    </row>
    <row r="2876" spans="1:7" x14ac:dyDescent="0.3">
      <c r="A2876" s="21" t="str">
        <f>IF(A2875="","",IF(A2875+1&gt;Ввод!$B$4,"",A2875+1))</f>
        <v/>
      </c>
      <c r="B2876" s="23" t="str">
        <f>IF(A2876="","",IFERROR(INDEX(Ввод!$B$12:$B$71,MATCH(A2876,Ввод!$D$12:$D$71,1)),""))</f>
        <v/>
      </c>
      <c r="C2876" t="str">
        <f t="shared" si="88"/>
        <v/>
      </c>
      <c r="D2876" t="str">
        <f>IF(A2876="","",SUMIFS(Акты!$D$5:$D$16,Акты!$E$5:$E$16,"&lt;="&amp;A2876)-SUMIFS(Оплаты!$B$6:$B$505,Оплаты!$A$6:$A$505,"&lt;"&amp;A2876,Оплаты!$D$6:$D$505,"&lt;&gt;"))</f>
        <v/>
      </c>
      <c r="E2876" t="str">
        <f>IF(A2876="","",IF(SUMPRODUCT((Ввод!$F$12:$F$31&lt;&gt;"")*(Ввод!$F$12:$F$31&lt;=A2876)*(Ввод!$G$12:$G$31&gt;=A2876))&gt;0,1,0))</f>
        <v/>
      </c>
      <c r="G2876" t="str">
        <f t="shared" si="89"/>
        <v/>
      </c>
    </row>
    <row r="2877" spans="1:7" x14ac:dyDescent="0.3">
      <c r="A2877" s="21" t="str">
        <f>IF(A2876="","",IF(A2876+1&gt;Ввод!$B$4,"",A2876+1))</f>
        <v/>
      </c>
      <c r="B2877" s="23" t="str">
        <f>IF(A2877="","",IFERROR(INDEX(Ввод!$B$12:$B$71,MATCH(A2877,Ввод!$D$12:$D$71,1)),""))</f>
        <v/>
      </c>
      <c r="C2877" t="str">
        <f t="shared" si="88"/>
        <v/>
      </c>
      <c r="D2877" t="str">
        <f>IF(A2877="","",SUMIFS(Акты!$D$5:$D$16,Акты!$E$5:$E$16,"&lt;="&amp;A2877)-SUMIFS(Оплаты!$B$6:$B$505,Оплаты!$A$6:$A$505,"&lt;"&amp;A2877,Оплаты!$D$6:$D$505,"&lt;&gt;"))</f>
        <v/>
      </c>
      <c r="E2877" t="str">
        <f>IF(A2877="","",IF(SUMPRODUCT((Ввод!$F$12:$F$31&lt;&gt;"")*(Ввод!$F$12:$F$31&lt;=A2877)*(Ввод!$G$12:$G$31&gt;=A2877))&gt;0,1,0))</f>
        <v/>
      </c>
      <c r="G2877" t="str">
        <f t="shared" si="89"/>
        <v/>
      </c>
    </row>
    <row r="2878" spans="1:7" x14ac:dyDescent="0.3">
      <c r="A2878" s="21" t="str">
        <f>IF(A2877="","",IF(A2877+1&gt;Ввод!$B$4,"",A2877+1))</f>
        <v/>
      </c>
      <c r="B2878" s="23" t="str">
        <f>IF(A2878="","",IFERROR(INDEX(Ввод!$B$12:$B$71,MATCH(A2878,Ввод!$D$12:$D$71,1)),""))</f>
        <v/>
      </c>
      <c r="C2878" t="str">
        <f t="shared" si="88"/>
        <v/>
      </c>
      <c r="D2878" t="str">
        <f>IF(A2878="","",SUMIFS(Акты!$D$5:$D$16,Акты!$E$5:$E$16,"&lt;="&amp;A2878)-SUMIFS(Оплаты!$B$6:$B$505,Оплаты!$A$6:$A$505,"&lt;"&amp;A2878,Оплаты!$D$6:$D$505,"&lt;&gt;"))</f>
        <v/>
      </c>
      <c r="E2878" t="str">
        <f>IF(A2878="","",IF(SUMPRODUCT((Ввод!$F$12:$F$31&lt;&gt;"")*(Ввод!$F$12:$F$31&lt;=A2878)*(Ввод!$G$12:$G$31&gt;=A2878))&gt;0,1,0))</f>
        <v/>
      </c>
      <c r="G2878" t="str">
        <f t="shared" si="89"/>
        <v/>
      </c>
    </row>
    <row r="2879" spans="1:7" x14ac:dyDescent="0.3">
      <c r="A2879" s="21" t="str">
        <f>IF(A2878="","",IF(A2878+1&gt;Ввод!$B$4,"",A2878+1))</f>
        <v/>
      </c>
      <c r="B2879" s="23" t="str">
        <f>IF(A2879="","",IFERROR(INDEX(Ввод!$B$12:$B$71,MATCH(A2879,Ввод!$D$12:$D$71,1)),""))</f>
        <v/>
      </c>
      <c r="C2879" t="str">
        <f t="shared" si="88"/>
        <v/>
      </c>
      <c r="D2879" t="str">
        <f>IF(A2879="","",SUMIFS(Акты!$D$5:$D$16,Акты!$E$5:$E$16,"&lt;="&amp;A2879)-SUMIFS(Оплаты!$B$6:$B$505,Оплаты!$A$6:$A$505,"&lt;"&amp;A2879,Оплаты!$D$6:$D$505,"&lt;&gt;"))</f>
        <v/>
      </c>
      <c r="E2879" t="str">
        <f>IF(A2879="","",IF(SUMPRODUCT((Ввод!$F$12:$F$31&lt;&gt;"")*(Ввод!$F$12:$F$31&lt;=A2879)*(Ввод!$G$12:$G$31&gt;=A2879))&gt;0,1,0))</f>
        <v/>
      </c>
      <c r="G2879" t="str">
        <f t="shared" si="89"/>
        <v/>
      </c>
    </row>
    <row r="2880" spans="1:7" x14ac:dyDescent="0.3">
      <c r="A2880" s="21" t="str">
        <f>IF(A2879="","",IF(A2879+1&gt;Ввод!$B$4,"",A2879+1))</f>
        <v/>
      </c>
      <c r="B2880" s="23" t="str">
        <f>IF(A2880="","",IFERROR(INDEX(Ввод!$B$12:$B$71,MATCH(A2880,Ввод!$D$12:$D$71,1)),""))</f>
        <v/>
      </c>
      <c r="C2880" t="str">
        <f t="shared" si="88"/>
        <v/>
      </c>
      <c r="D2880" t="str">
        <f>IF(A2880="","",SUMIFS(Акты!$D$5:$D$16,Акты!$E$5:$E$16,"&lt;="&amp;A2880)-SUMIFS(Оплаты!$B$6:$B$505,Оплаты!$A$6:$A$505,"&lt;"&amp;A2880,Оплаты!$D$6:$D$505,"&lt;&gt;"))</f>
        <v/>
      </c>
      <c r="E2880" t="str">
        <f>IF(A2880="","",IF(SUMPRODUCT((Ввод!$F$12:$F$31&lt;&gt;"")*(Ввод!$F$12:$F$31&lt;=A2880)*(Ввод!$G$12:$G$31&gt;=A2880))&gt;0,1,0))</f>
        <v/>
      </c>
      <c r="G2880" t="str">
        <f t="shared" si="89"/>
        <v/>
      </c>
    </row>
    <row r="2881" spans="1:7" x14ac:dyDescent="0.3">
      <c r="A2881" s="21" t="str">
        <f>IF(A2880="","",IF(A2880+1&gt;Ввод!$B$4,"",A2880+1))</f>
        <v/>
      </c>
      <c r="B2881" s="23" t="str">
        <f>IF(A2881="","",IFERROR(INDEX(Ввод!$B$12:$B$71,MATCH(A2881,Ввод!$D$12:$D$71,1)),""))</f>
        <v/>
      </c>
      <c r="C2881" t="str">
        <f t="shared" si="88"/>
        <v/>
      </c>
      <c r="D2881" t="str">
        <f>IF(A2881="","",SUMIFS(Акты!$D$5:$D$16,Акты!$E$5:$E$16,"&lt;="&amp;A2881)-SUMIFS(Оплаты!$B$6:$B$505,Оплаты!$A$6:$A$505,"&lt;"&amp;A2881,Оплаты!$D$6:$D$505,"&lt;&gt;"))</f>
        <v/>
      </c>
      <c r="E2881" t="str">
        <f>IF(A2881="","",IF(SUMPRODUCT((Ввод!$F$12:$F$31&lt;&gt;"")*(Ввод!$F$12:$F$31&lt;=A2881)*(Ввод!$G$12:$G$31&gt;=A2881))&gt;0,1,0))</f>
        <v/>
      </c>
      <c r="G2881" t="str">
        <f t="shared" si="89"/>
        <v/>
      </c>
    </row>
    <row r="2882" spans="1:7" x14ac:dyDescent="0.3">
      <c r="A2882" s="21" t="str">
        <f>IF(A2881="","",IF(A2881+1&gt;Ввод!$B$4,"",A2881+1))</f>
        <v/>
      </c>
      <c r="B2882" s="23" t="str">
        <f>IF(A2882="","",IFERROR(INDEX(Ввод!$B$12:$B$71,MATCH(A2882,Ввод!$D$12:$D$71,1)),""))</f>
        <v/>
      </c>
      <c r="C2882" t="str">
        <f t="shared" ref="C2882:C2945" si="90">IF(A2882="","",DATE(YEAR(A2882),12,31)-DATE(YEAR(A2882),1,1)+1)</f>
        <v/>
      </c>
      <c r="D2882" t="str">
        <f>IF(A2882="","",SUMIFS(Акты!$D$5:$D$16,Акты!$E$5:$E$16,"&lt;="&amp;A2882)-SUMIFS(Оплаты!$B$6:$B$505,Оплаты!$A$6:$A$505,"&lt;"&amp;A2882,Оплаты!$D$6:$D$505,"&lt;&gt;"))</f>
        <v/>
      </c>
      <c r="E2882" t="str">
        <f>IF(A2882="","",IF(SUMPRODUCT((Ввод!$F$12:$F$31&lt;&gt;"")*(Ввод!$F$12:$F$31&lt;=A2882)*(Ввод!$G$12:$G$31&gt;=A2882))&gt;0,1,0))</f>
        <v/>
      </c>
      <c r="G2882" t="str">
        <f t="shared" si="89"/>
        <v/>
      </c>
    </row>
    <row r="2883" spans="1:7" x14ac:dyDescent="0.3">
      <c r="A2883" s="21" t="str">
        <f>IF(A2882="","",IF(A2882+1&gt;Ввод!$B$4,"",A2882+1))</f>
        <v/>
      </c>
      <c r="B2883" s="23" t="str">
        <f>IF(A2883="","",IFERROR(INDEX(Ввод!$B$12:$B$71,MATCH(A2883,Ввод!$D$12:$D$71,1)),""))</f>
        <v/>
      </c>
      <c r="C2883" t="str">
        <f t="shared" si="90"/>
        <v/>
      </c>
      <c r="D2883" t="str">
        <f>IF(A2883="","",SUMIFS(Акты!$D$5:$D$16,Акты!$E$5:$E$16,"&lt;="&amp;A2883)-SUMIFS(Оплаты!$B$6:$B$505,Оплаты!$A$6:$A$505,"&lt;"&amp;A2883,Оплаты!$D$6:$D$505,"&lt;&gt;"))</f>
        <v/>
      </c>
      <c r="E2883" t="str">
        <f>IF(A2883="","",IF(SUMPRODUCT((Ввод!$F$12:$F$31&lt;&gt;"")*(Ввод!$F$12:$F$31&lt;=A2883)*(Ввод!$G$12:$G$31&gt;=A2883))&gt;0,1,0))</f>
        <v/>
      </c>
      <c r="G2883" t="str">
        <f t="shared" ref="G2883:G2946" si="91">IF(A2883="","",IF(OR(B2883&lt;&gt;B2882,C2883&lt;&gt;C2882,E2883&lt;&gt;E2882),G2882+1,G2882))</f>
        <v/>
      </c>
    </row>
    <row r="2884" spans="1:7" x14ac:dyDescent="0.3">
      <c r="A2884" s="21" t="str">
        <f>IF(A2883="","",IF(A2883+1&gt;Ввод!$B$4,"",A2883+1))</f>
        <v/>
      </c>
      <c r="B2884" s="23" t="str">
        <f>IF(A2884="","",IFERROR(INDEX(Ввод!$B$12:$B$71,MATCH(A2884,Ввод!$D$12:$D$71,1)),""))</f>
        <v/>
      </c>
      <c r="C2884" t="str">
        <f t="shared" si="90"/>
        <v/>
      </c>
      <c r="D2884" t="str">
        <f>IF(A2884="","",SUMIFS(Акты!$D$5:$D$16,Акты!$E$5:$E$16,"&lt;="&amp;A2884)-SUMIFS(Оплаты!$B$6:$B$505,Оплаты!$A$6:$A$505,"&lt;"&amp;A2884,Оплаты!$D$6:$D$505,"&lt;&gt;"))</f>
        <v/>
      </c>
      <c r="E2884" t="str">
        <f>IF(A2884="","",IF(SUMPRODUCT((Ввод!$F$12:$F$31&lt;&gt;"")*(Ввод!$F$12:$F$31&lt;=A2884)*(Ввод!$G$12:$G$31&gt;=A2884))&gt;0,1,0))</f>
        <v/>
      </c>
      <c r="G2884" t="str">
        <f t="shared" si="91"/>
        <v/>
      </c>
    </row>
    <row r="2885" spans="1:7" x14ac:dyDescent="0.3">
      <c r="A2885" s="21" t="str">
        <f>IF(A2884="","",IF(A2884+1&gt;Ввод!$B$4,"",A2884+1))</f>
        <v/>
      </c>
      <c r="B2885" s="23" t="str">
        <f>IF(A2885="","",IFERROR(INDEX(Ввод!$B$12:$B$71,MATCH(A2885,Ввод!$D$12:$D$71,1)),""))</f>
        <v/>
      </c>
      <c r="C2885" t="str">
        <f t="shared" si="90"/>
        <v/>
      </c>
      <c r="D2885" t="str">
        <f>IF(A2885="","",SUMIFS(Акты!$D$5:$D$16,Акты!$E$5:$E$16,"&lt;="&amp;A2885)-SUMIFS(Оплаты!$B$6:$B$505,Оплаты!$A$6:$A$505,"&lt;"&amp;A2885,Оплаты!$D$6:$D$505,"&lt;&gt;"))</f>
        <v/>
      </c>
      <c r="E2885" t="str">
        <f>IF(A2885="","",IF(SUMPRODUCT((Ввод!$F$12:$F$31&lt;&gt;"")*(Ввод!$F$12:$F$31&lt;=A2885)*(Ввод!$G$12:$G$31&gt;=A2885))&gt;0,1,0))</f>
        <v/>
      </c>
      <c r="G2885" t="str">
        <f t="shared" si="91"/>
        <v/>
      </c>
    </row>
    <row r="2886" spans="1:7" x14ac:dyDescent="0.3">
      <c r="A2886" s="21" t="str">
        <f>IF(A2885="","",IF(A2885+1&gt;Ввод!$B$4,"",A2885+1))</f>
        <v/>
      </c>
      <c r="B2886" s="23" t="str">
        <f>IF(A2886="","",IFERROR(INDEX(Ввод!$B$12:$B$71,MATCH(A2886,Ввод!$D$12:$D$71,1)),""))</f>
        <v/>
      </c>
      <c r="C2886" t="str">
        <f t="shared" si="90"/>
        <v/>
      </c>
      <c r="D2886" t="str">
        <f>IF(A2886="","",SUMIFS(Акты!$D$5:$D$16,Акты!$E$5:$E$16,"&lt;="&amp;A2886)-SUMIFS(Оплаты!$B$6:$B$505,Оплаты!$A$6:$A$505,"&lt;"&amp;A2886,Оплаты!$D$6:$D$505,"&lt;&gt;"))</f>
        <v/>
      </c>
      <c r="E2886" t="str">
        <f>IF(A2886="","",IF(SUMPRODUCT((Ввод!$F$12:$F$31&lt;&gt;"")*(Ввод!$F$12:$F$31&lt;=A2886)*(Ввод!$G$12:$G$31&gt;=A2886))&gt;0,1,0))</f>
        <v/>
      </c>
      <c r="G2886" t="str">
        <f t="shared" si="91"/>
        <v/>
      </c>
    </row>
    <row r="2887" spans="1:7" x14ac:dyDescent="0.3">
      <c r="A2887" s="21" t="str">
        <f>IF(A2886="","",IF(A2886+1&gt;Ввод!$B$4,"",A2886+1))</f>
        <v/>
      </c>
      <c r="B2887" s="23" t="str">
        <f>IF(A2887="","",IFERROR(INDEX(Ввод!$B$12:$B$71,MATCH(A2887,Ввод!$D$12:$D$71,1)),""))</f>
        <v/>
      </c>
      <c r="C2887" t="str">
        <f t="shared" si="90"/>
        <v/>
      </c>
      <c r="D2887" t="str">
        <f>IF(A2887="","",SUMIFS(Акты!$D$5:$D$16,Акты!$E$5:$E$16,"&lt;="&amp;A2887)-SUMIFS(Оплаты!$B$6:$B$505,Оплаты!$A$6:$A$505,"&lt;"&amp;A2887,Оплаты!$D$6:$D$505,"&lt;&gt;"))</f>
        <v/>
      </c>
      <c r="E2887" t="str">
        <f>IF(A2887="","",IF(SUMPRODUCT((Ввод!$F$12:$F$31&lt;&gt;"")*(Ввод!$F$12:$F$31&lt;=A2887)*(Ввод!$G$12:$G$31&gt;=A2887))&gt;0,1,0))</f>
        <v/>
      </c>
      <c r="G2887" t="str">
        <f t="shared" si="91"/>
        <v/>
      </c>
    </row>
    <row r="2888" spans="1:7" x14ac:dyDescent="0.3">
      <c r="A2888" s="21" t="str">
        <f>IF(A2887="","",IF(A2887+1&gt;Ввод!$B$4,"",A2887+1))</f>
        <v/>
      </c>
      <c r="B2888" s="23" t="str">
        <f>IF(A2888="","",IFERROR(INDEX(Ввод!$B$12:$B$71,MATCH(A2888,Ввод!$D$12:$D$71,1)),""))</f>
        <v/>
      </c>
      <c r="C2888" t="str">
        <f t="shared" si="90"/>
        <v/>
      </c>
      <c r="D2888" t="str">
        <f>IF(A2888="","",SUMIFS(Акты!$D$5:$D$16,Акты!$E$5:$E$16,"&lt;="&amp;A2888)-SUMIFS(Оплаты!$B$6:$B$505,Оплаты!$A$6:$A$505,"&lt;"&amp;A2888,Оплаты!$D$6:$D$505,"&lt;&gt;"))</f>
        <v/>
      </c>
      <c r="E2888" t="str">
        <f>IF(A2888="","",IF(SUMPRODUCT((Ввод!$F$12:$F$31&lt;&gt;"")*(Ввод!$F$12:$F$31&lt;=A2888)*(Ввод!$G$12:$G$31&gt;=A2888))&gt;0,1,0))</f>
        <v/>
      </c>
      <c r="G2888" t="str">
        <f t="shared" si="91"/>
        <v/>
      </c>
    </row>
    <row r="2889" spans="1:7" x14ac:dyDescent="0.3">
      <c r="A2889" s="21" t="str">
        <f>IF(A2888="","",IF(A2888+1&gt;Ввод!$B$4,"",A2888+1))</f>
        <v/>
      </c>
      <c r="B2889" s="23" t="str">
        <f>IF(A2889="","",IFERROR(INDEX(Ввод!$B$12:$B$71,MATCH(A2889,Ввод!$D$12:$D$71,1)),""))</f>
        <v/>
      </c>
      <c r="C2889" t="str">
        <f t="shared" si="90"/>
        <v/>
      </c>
      <c r="D2889" t="str">
        <f>IF(A2889="","",SUMIFS(Акты!$D$5:$D$16,Акты!$E$5:$E$16,"&lt;="&amp;A2889)-SUMIFS(Оплаты!$B$6:$B$505,Оплаты!$A$6:$A$505,"&lt;"&amp;A2889,Оплаты!$D$6:$D$505,"&lt;&gt;"))</f>
        <v/>
      </c>
      <c r="E2889" t="str">
        <f>IF(A2889="","",IF(SUMPRODUCT((Ввод!$F$12:$F$31&lt;&gt;"")*(Ввод!$F$12:$F$31&lt;=A2889)*(Ввод!$G$12:$G$31&gt;=A2889))&gt;0,1,0))</f>
        <v/>
      </c>
      <c r="G2889" t="str">
        <f t="shared" si="91"/>
        <v/>
      </c>
    </row>
    <row r="2890" spans="1:7" x14ac:dyDescent="0.3">
      <c r="A2890" s="21" t="str">
        <f>IF(A2889="","",IF(A2889+1&gt;Ввод!$B$4,"",A2889+1))</f>
        <v/>
      </c>
      <c r="B2890" s="23" t="str">
        <f>IF(A2890="","",IFERROR(INDEX(Ввод!$B$12:$B$71,MATCH(A2890,Ввод!$D$12:$D$71,1)),""))</f>
        <v/>
      </c>
      <c r="C2890" t="str">
        <f t="shared" si="90"/>
        <v/>
      </c>
      <c r="D2890" t="str">
        <f>IF(A2890="","",SUMIFS(Акты!$D$5:$D$16,Акты!$E$5:$E$16,"&lt;="&amp;A2890)-SUMIFS(Оплаты!$B$6:$B$505,Оплаты!$A$6:$A$505,"&lt;"&amp;A2890,Оплаты!$D$6:$D$505,"&lt;&gt;"))</f>
        <v/>
      </c>
      <c r="E2890" t="str">
        <f>IF(A2890="","",IF(SUMPRODUCT((Ввод!$F$12:$F$31&lt;&gt;"")*(Ввод!$F$12:$F$31&lt;=A2890)*(Ввод!$G$12:$G$31&gt;=A2890))&gt;0,1,0))</f>
        <v/>
      </c>
      <c r="G2890" t="str">
        <f t="shared" si="91"/>
        <v/>
      </c>
    </row>
    <row r="2891" spans="1:7" x14ac:dyDescent="0.3">
      <c r="A2891" s="21" t="str">
        <f>IF(A2890="","",IF(A2890+1&gt;Ввод!$B$4,"",A2890+1))</f>
        <v/>
      </c>
      <c r="B2891" s="23" t="str">
        <f>IF(A2891="","",IFERROR(INDEX(Ввод!$B$12:$B$71,MATCH(A2891,Ввод!$D$12:$D$71,1)),""))</f>
        <v/>
      </c>
      <c r="C2891" t="str">
        <f t="shared" si="90"/>
        <v/>
      </c>
      <c r="D2891" t="str">
        <f>IF(A2891="","",SUMIFS(Акты!$D$5:$D$16,Акты!$E$5:$E$16,"&lt;="&amp;A2891)-SUMIFS(Оплаты!$B$6:$B$505,Оплаты!$A$6:$A$505,"&lt;"&amp;A2891,Оплаты!$D$6:$D$505,"&lt;&gt;"))</f>
        <v/>
      </c>
      <c r="E2891" t="str">
        <f>IF(A2891="","",IF(SUMPRODUCT((Ввод!$F$12:$F$31&lt;&gt;"")*(Ввод!$F$12:$F$31&lt;=A2891)*(Ввод!$G$12:$G$31&gt;=A2891))&gt;0,1,0))</f>
        <v/>
      </c>
      <c r="G2891" t="str">
        <f t="shared" si="91"/>
        <v/>
      </c>
    </row>
    <row r="2892" spans="1:7" x14ac:dyDescent="0.3">
      <c r="A2892" s="21" t="str">
        <f>IF(A2891="","",IF(A2891+1&gt;Ввод!$B$4,"",A2891+1))</f>
        <v/>
      </c>
      <c r="B2892" s="23" t="str">
        <f>IF(A2892="","",IFERROR(INDEX(Ввод!$B$12:$B$71,MATCH(A2892,Ввод!$D$12:$D$71,1)),""))</f>
        <v/>
      </c>
      <c r="C2892" t="str">
        <f t="shared" si="90"/>
        <v/>
      </c>
      <c r="D2892" t="str">
        <f>IF(A2892="","",SUMIFS(Акты!$D$5:$D$16,Акты!$E$5:$E$16,"&lt;="&amp;A2892)-SUMIFS(Оплаты!$B$6:$B$505,Оплаты!$A$6:$A$505,"&lt;"&amp;A2892,Оплаты!$D$6:$D$505,"&lt;&gt;"))</f>
        <v/>
      </c>
      <c r="E2892" t="str">
        <f>IF(A2892="","",IF(SUMPRODUCT((Ввод!$F$12:$F$31&lt;&gt;"")*(Ввод!$F$12:$F$31&lt;=A2892)*(Ввод!$G$12:$G$31&gt;=A2892))&gt;0,1,0))</f>
        <v/>
      </c>
      <c r="G2892" t="str">
        <f t="shared" si="91"/>
        <v/>
      </c>
    </row>
    <row r="2893" spans="1:7" x14ac:dyDescent="0.3">
      <c r="A2893" s="21" t="str">
        <f>IF(A2892="","",IF(A2892+1&gt;Ввод!$B$4,"",A2892+1))</f>
        <v/>
      </c>
      <c r="B2893" s="23" t="str">
        <f>IF(A2893="","",IFERROR(INDEX(Ввод!$B$12:$B$71,MATCH(A2893,Ввод!$D$12:$D$71,1)),""))</f>
        <v/>
      </c>
      <c r="C2893" t="str">
        <f t="shared" si="90"/>
        <v/>
      </c>
      <c r="D2893" t="str">
        <f>IF(A2893="","",SUMIFS(Акты!$D$5:$D$16,Акты!$E$5:$E$16,"&lt;="&amp;A2893)-SUMIFS(Оплаты!$B$6:$B$505,Оплаты!$A$6:$A$505,"&lt;"&amp;A2893,Оплаты!$D$6:$D$505,"&lt;&gt;"))</f>
        <v/>
      </c>
      <c r="E2893" t="str">
        <f>IF(A2893="","",IF(SUMPRODUCT((Ввод!$F$12:$F$31&lt;&gt;"")*(Ввод!$F$12:$F$31&lt;=A2893)*(Ввод!$G$12:$G$31&gt;=A2893))&gt;0,1,0))</f>
        <v/>
      </c>
      <c r="G2893" t="str">
        <f t="shared" si="91"/>
        <v/>
      </c>
    </row>
    <row r="2894" spans="1:7" x14ac:dyDescent="0.3">
      <c r="A2894" s="21" t="str">
        <f>IF(A2893="","",IF(A2893+1&gt;Ввод!$B$4,"",A2893+1))</f>
        <v/>
      </c>
      <c r="B2894" s="23" t="str">
        <f>IF(A2894="","",IFERROR(INDEX(Ввод!$B$12:$B$71,MATCH(A2894,Ввод!$D$12:$D$71,1)),""))</f>
        <v/>
      </c>
      <c r="C2894" t="str">
        <f t="shared" si="90"/>
        <v/>
      </c>
      <c r="D2894" t="str">
        <f>IF(A2894="","",SUMIFS(Акты!$D$5:$D$16,Акты!$E$5:$E$16,"&lt;="&amp;A2894)-SUMIFS(Оплаты!$B$6:$B$505,Оплаты!$A$6:$A$505,"&lt;"&amp;A2894,Оплаты!$D$6:$D$505,"&lt;&gt;"))</f>
        <v/>
      </c>
      <c r="E2894" t="str">
        <f>IF(A2894="","",IF(SUMPRODUCT((Ввод!$F$12:$F$31&lt;&gt;"")*(Ввод!$F$12:$F$31&lt;=A2894)*(Ввод!$G$12:$G$31&gt;=A2894))&gt;0,1,0))</f>
        <v/>
      </c>
      <c r="G2894" t="str">
        <f t="shared" si="91"/>
        <v/>
      </c>
    </row>
    <row r="2895" spans="1:7" x14ac:dyDescent="0.3">
      <c r="A2895" s="21" t="str">
        <f>IF(A2894="","",IF(A2894+1&gt;Ввод!$B$4,"",A2894+1))</f>
        <v/>
      </c>
      <c r="B2895" s="23" t="str">
        <f>IF(A2895="","",IFERROR(INDEX(Ввод!$B$12:$B$71,MATCH(A2895,Ввод!$D$12:$D$71,1)),""))</f>
        <v/>
      </c>
      <c r="C2895" t="str">
        <f t="shared" si="90"/>
        <v/>
      </c>
      <c r="D2895" t="str">
        <f>IF(A2895="","",SUMIFS(Акты!$D$5:$D$16,Акты!$E$5:$E$16,"&lt;="&amp;A2895)-SUMIFS(Оплаты!$B$6:$B$505,Оплаты!$A$6:$A$505,"&lt;"&amp;A2895,Оплаты!$D$6:$D$505,"&lt;&gt;"))</f>
        <v/>
      </c>
      <c r="E2895" t="str">
        <f>IF(A2895="","",IF(SUMPRODUCT((Ввод!$F$12:$F$31&lt;&gt;"")*(Ввод!$F$12:$F$31&lt;=A2895)*(Ввод!$G$12:$G$31&gt;=A2895))&gt;0,1,0))</f>
        <v/>
      </c>
      <c r="G2895" t="str">
        <f t="shared" si="91"/>
        <v/>
      </c>
    </row>
    <row r="2896" spans="1:7" x14ac:dyDescent="0.3">
      <c r="A2896" s="21" t="str">
        <f>IF(A2895="","",IF(A2895+1&gt;Ввод!$B$4,"",A2895+1))</f>
        <v/>
      </c>
      <c r="B2896" s="23" t="str">
        <f>IF(A2896="","",IFERROR(INDEX(Ввод!$B$12:$B$71,MATCH(A2896,Ввод!$D$12:$D$71,1)),""))</f>
        <v/>
      </c>
      <c r="C2896" t="str">
        <f t="shared" si="90"/>
        <v/>
      </c>
      <c r="D2896" t="str">
        <f>IF(A2896="","",SUMIFS(Акты!$D$5:$D$16,Акты!$E$5:$E$16,"&lt;="&amp;A2896)-SUMIFS(Оплаты!$B$6:$B$505,Оплаты!$A$6:$A$505,"&lt;"&amp;A2896,Оплаты!$D$6:$D$505,"&lt;&gt;"))</f>
        <v/>
      </c>
      <c r="E2896" t="str">
        <f>IF(A2896="","",IF(SUMPRODUCT((Ввод!$F$12:$F$31&lt;&gt;"")*(Ввод!$F$12:$F$31&lt;=A2896)*(Ввод!$G$12:$G$31&gt;=A2896))&gt;0,1,0))</f>
        <v/>
      </c>
      <c r="G2896" t="str">
        <f t="shared" si="91"/>
        <v/>
      </c>
    </row>
    <row r="2897" spans="1:7" x14ac:dyDescent="0.3">
      <c r="A2897" s="21" t="str">
        <f>IF(A2896="","",IF(A2896+1&gt;Ввод!$B$4,"",A2896+1))</f>
        <v/>
      </c>
      <c r="B2897" s="23" t="str">
        <f>IF(A2897="","",IFERROR(INDEX(Ввод!$B$12:$B$71,MATCH(A2897,Ввод!$D$12:$D$71,1)),""))</f>
        <v/>
      </c>
      <c r="C2897" t="str">
        <f t="shared" si="90"/>
        <v/>
      </c>
      <c r="D2897" t="str">
        <f>IF(A2897="","",SUMIFS(Акты!$D$5:$D$16,Акты!$E$5:$E$16,"&lt;="&amp;A2897)-SUMIFS(Оплаты!$B$6:$B$505,Оплаты!$A$6:$A$505,"&lt;"&amp;A2897,Оплаты!$D$6:$D$505,"&lt;&gt;"))</f>
        <v/>
      </c>
      <c r="E2897" t="str">
        <f>IF(A2897="","",IF(SUMPRODUCT((Ввод!$F$12:$F$31&lt;&gt;"")*(Ввод!$F$12:$F$31&lt;=A2897)*(Ввод!$G$12:$G$31&gt;=A2897))&gt;0,1,0))</f>
        <v/>
      </c>
      <c r="G2897" t="str">
        <f t="shared" si="91"/>
        <v/>
      </c>
    </row>
    <row r="2898" spans="1:7" x14ac:dyDescent="0.3">
      <c r="A2898" s="21" t="str">
        <f>IF(A2897="","",IF(A2897+1&gt;Ввод!$B$4,"",A2897+1))</f>
        <v/>
      </c>
      <c r="B2898" s="23" t="str">
        <f>IF(A2898="","",IFERROR(INDEX(Ввод!$B$12:$B$71,MATCH(A2898,Ввод!$D$12:$D$71,1)),""))</f>
        <v/>
      </c>
      <c r="C2898" t="str">
        <f t="shared" si="90"/>
        <v/>
      </c>
      <c r="D2898" t="str">
        <f>IF(A2898="","",SUMIFS(Акты!$D$5:$D$16,Акты!$E$5:$E$16,"&lt;="&amp;A2898)-SUMIFS(Оплаты!$B$6:$B$505,Оплаты!$A$6:$A$505,"&lt;"&amp;A2898,Оплаты!$D$6:$D$505,"&lt;&gt;"))</f>
        <v/>
      </c>
      <c r="E2898" t="str">
        <f>IF(A2898="","",IF(SUMPRODUCT((Ввод!$F$12:$F$31&lt;&gt;"")*(Ввод!$F$12:$F$31&lt;=A2898)*(Ввод!$G$12:$G$31&gt;=A2898))&gt;0,1,0))</f>
        <v/>
      </c>
      <c r="G2898" t="str">
        <f t="shared" si="91"/>
        <v/>
      </c>
    </row>
    <row r="2899" spans="1:7" x14ac:dyDescent="0.3">
      <c r="A2899" s="21" t="str">
        <f>IF(A2898="","",IF(A2898+1&gt;Ввод!$B$4,"",A2898+1))</f>
        <v/>
      </c>
      <c r="B2899" s="23" t="str">
        <f>IF(A2899="","",IFERROR(INDEX(Ввод!$B$12:$B$71,MATCH(A2899,Ввод!$D$12:$D$71,1)),""))</f>
        <v/>
      </c>
      <c r="C2899" t="str">
        <f t="shared" si="90"/>
        <v/>
      </c>
      <c r="D2899" t="str">
        <f>IF(A2899="","",SUMIFS(Акты!$D$5:$D$16,Акты!$E$5:$E$16,"&lt;="&amp;A2899)-SUMIFS(Оплаты!$B$6:$B$505,Оплаты!$A$6:$A$505,"&lt;"&amp;A2899,Оплаты!$D$6:$D$505,"&lt;&gt;"))</f>
        <v/>
      </c>
      <c r="E2899" t="str">
        <f>IF(A2899="","",IF(SUMPRODUCT((Ввод!$F$12:$F$31&lt;&gt;"")*(Ввод!$F$12:$F$31&lt;=A2899)*(Ввод!$G$12:$G$31&gt;=A2899))&gt;0,1,0))</f>
        <v/>
      </c>
      <c r="G2899" t="str">
        <f t="shared" si="91"/>
        <v/>
      </c>
    </row>
    <row r="2900" spans="1:7" x14ac:dyDescent="0.3">
      <c r="A2900" s="21" t="str">
        <f>IF(A2899="","",IF(A2899+1&gt;Ввод!$B$4,"",A2899+1))</f>
        <v/>
      </c>
      <c r="B2900" s="23" t="str">
        <f>IF(A2900="","",IFERROR(INDEX(Ввод!$B$12:$B$71,MATCH(A2900,Ввод!$D$12:$D$71,1)),""))</f>
        <v/>
      </c>
      <c r="C2900" t="str">
        <f t="shared" si="90"/>
        <v/>
      </c>
      <c r="D2900" t="str">
        <f>IF(A2900="","",SUMIFS(Акты!$D$5:$D$16,Акты!$E$5:$E$16,"&lt;="&amp;A2900)-SUMIFS(Оплаты!$B$6:$B$505,Оплаты!$A$6:$A$505,"&lt;"&amp;A2900,Оплаты!$D$6:$D$505,"&lt;&gt;"))</f>
        <v/>
      </c>
      <c r="E2900" t="str">
        <f>IF(A2900="","",IF(SUMPRODUCT((Ввод!$F$12:$F$31&lt;&gt;"")*(Ввод!$F$12:$F$31&lt;=A2900)*(Ввод!$G$12:$G$31&gt;=A2900))&gt;0,1,0))</f>
        <v/>
      </c>
      <c r="G2900" t="str">
        <f t="shared" si="91"/>
        <v/>
      </c>
    </row>
    <row r="2901" spans="1:7" x14ac:dyDescent="0.3">
      <c r="A2901" s="21" t="str">
        <f>IF(A2900="","",IF(A2900+1&gt;Ввод!$B$4,"",A2900+1))</f>
        <v/>
      </c>
      <c r="B2901" s="23" t="str">
        <f>IF(A2901="","",IFERROR(INDEX(Ввод!$B$12:$B$71,MATCH(A2901,Ввод!$D$12:$D$71,1)),""))</f>
        <v/>
      </c>
      <c r="C2901" t="str">
        <f t="shared" si="90"/>
        <v/>
      </c>
      <c r="D2901" t="str">
        <f>IF(A2901="","",SUMIFS(Акты!$D$5:$D$16,Акты!$E$5:$E$16,"&lt;="&amp;A2901)-SUMIFS(Оплаты!$B$6:$B$505,Оплаты!$A$6:$A$505,"&lt;"&amp;A2901,Оплаты!$D$6:$D$505,"&lt;&gt;"))</f>
        <v/>
      </c>
      <c r="E2901" t="str">
        <f>IF(A2901="","",IF(SUMPRODUCT((Ввод!$F$12:$F$31&lt;&gt;"")*(Ввод!$F$12:$F$31&lt;=A2901)*(Ввод!$G$12:$G$31&gt;=A2901))&gt;0,1,0))</f>
        <v/>
      </c>
      <c r="G2901" t="str">
        <f t="shared" si="91"/>
        <v/>
      </c>
    </row>
    <row r="2902" spans="1:7" x14ac:dyDescent="0.3">
      <c r="A2902" s="21" t="str">
        <f>IF(A2901="","",IF(A2901+1&gt;Ввод!$B$4,"",A2901+1))</f>
        <v/>
      </c>
      <c r="B2902" s="23" t="str">
        <f>IF(A2902="","",IFERROR(INDEX(Ввод!$B$12:$B$71,MATCH(A2902,Ввод!$D$12:$D$71,1)),""))</f>
        <v/>
      </c>
      <c r="C2902" t="str">
        <f t="shared" si="90"/>
        <v/>
      </c>
      <c r="D2902" t="str">
        <f>IF(A2902="","",SUMIFS(Акты!$D$5:$D$16,Акты!$E$5:$E$16,"&lt;="&amp;A2902)-SUMIFS(Оплаты!$B$6:$B$505,Оплаты!$A$6:$A$505,"&lt;"&amp;A2902,Оплаты!$D$6:$D$505,"&lt;&gt;"))</f>
        <v/>
      </c>
      <c r="E2902" t="str">
        <f>IF(A2902="","",IF(SUMPRODUCT((Ввод!$F$12:$F$31&lt;&gt;"")*(Ввод!$F$12:$F$31&lt;=A2902)*(Ввод!$G$12:$G$31&gt;=A2902))&gt;0,1,0))</f>
        <v/>
      </c>
      <c r="G2902" t="str">
        <f t="shared" si="91"/>
        <v/>
      </c>
    </row>
    <row r="2903" spans="1:7" x14ac:dyDescent="0.3">
      <c r="A2903" s="21" t="str">
        <f>IF(A2902="","",IF(A2902+1&gt;Ввод!$B$4,"",A2902+1))</f>
        <v/>
      </c>
      <c r="B2903" s="23" t="str">
        <f>IF(A2903="","",IFERROR(INDEX(Ввод!$B$12:$B$71,MATCH(A2903,Ввод!$D$12:$D$71,1)),""))</f>
        <v/>
      </c>
      <c r="C2903" t="str">
        <f t="shared" si="90"/>
        <v/>
      </c>
      <c r="D2903" t="str">
        <f>IF(A2903="","",SUMIFS(Акты!$D$5:$D$16,Акты!$E$5:$E$16,"&lt;="&amp;A2903)-SUMIFS(Оплаты!$B$6:$B$505,Оплаты!$A$6:$A$505,"&lt;"&amp;A2903,Оплаты!$D$6:$D$505,"&lt;&gt;"))</f>
        <v/>
      </c>
      <c r="E2903" t="str">
        <f>IF(A2903="","",IF(SUMPRODUCT((Ввод!$F$12:$F$31&lt;&gt;"")*(Ввод!$F$12:$F$31&lt;=A2903)*(Ввод!$G$12:$G$31&gt;=A2903))&gt;0,1,0))</f>
        <v/>
      </c>
      <c r="G2903" t="str">
        <f t="shared" si="91"/>
        <v/>
      </c>
    </row>
    <row r="2904" spans="1:7" x14ac:dyDescent="0.3">
      <c r="A2904" s="21" t="str">
        <f>IF(A2903="","",IF(A2903+1&gt;Ввод!$B$4,"",A2903+1))</f>
        <v/>
      </c>
      <c r="B2904" s="23" t="str">
        <f>IF(A2904="","",IFERROR(INDEX(Ввод!$B$12:$B$71,MATCH(A2904,Ввод!$D$12:$D$71,1)),""))</f>
        <v/>
      </c>
      <c r="C2904" t="str">
        <f t="shared" si="90"/>
        <v/>
      </c>
      <c r="D2904" t="str">
        <f>IF(A2904="","",SUMIFS(Акты!$D$5:$D$16,Акты!$E$5:$E$16,"&lt;="&amp;A2904)-SUMIFS(Оплаты!$B$6:$B$505,Оплаты!$A$6:$A$505,"&lt;"&amp;A2904,Оплаты!$D$6:$D$505,"&lt;&gt;"))</f>
        <v/>
      </c>
      <c r="E2904" t="str">
        <f>IF(A2904="","",IF(SUMPRODUCT((Ввод!$F$12:$F$31&lt;&gt;"")*(Ввод!$F$12:$F$31&lt;=A2904)*(Ввод!$G$12:$G$31&gt;=A2904))&gt;0,1,0))</f>
        <v/>
      </c>
      <c r="G2904" t="str">
        <f t="shared" si="91"/>
        <v/>
      </c>
    </row>
    <row r="2905" spans="1:7" x14ac:dyDescent="0.3">
      <c r="A2905" s="21" t="str">
        <f>IF(A2904="","",IF(A2904+1&gt;Ввод!$B$4,"",A2904+1))</f>
        <v/>
      </c>
      <c r="B2905" s="23" t="str">
        <f>IF(A2905="","",IFERROR(INDEX(Ввод!$B$12:$B$71,MATCH(A2905,Ввод!$D$12:$D$71,1)),""))</f>
        <v/>
      </c>
      <c r="C2905" t="str">
        <f t="shared" si="90"/>
        <v/>
      </c>
      <c r="D2905" t="str">
        <f>IF(A2905="","",SUMIFS(Акты!$D$5:$D$16,Акты!$E$5:$E$16,"&lt;="&amp;A2905)-SUMIFS(Оплаты!$B$6:$B$505,Оплаты!$A$6:$A$505,"&lt;"&amp;A2905,Оплаты!$D$6:$D$505,"&lt;&gt;"))</f>
        <v/>
      </c>
      <c r="E2905" t="str">
        <f>IF(A2905="","",IF(SUMPRODUCT((Ввод!$F$12:$F$31&lt;&gt;"")*(Ввод!$F$12:$F$31&lt;=A2905)*(Ввод!$G$12:$G$31&gt;=A2905))&gt;0,1,0))</f>
        <v/>
      </c>
      <c r="G2905" t="str">
        <f t="shared" si="91"/>
        <v/>
      </c>
    </row>
    <row r="2906" spans="1:7" x14ac:dyDescent="0.3">
      <c r="A2906" s="21" t="str">
        <f>IF(A2905="","",IF(A2905+1&gt;Ввод!$B$4,"",A2905+1))</f>
        <v/>
      </c>
      <c r="B2906" s="23" t="str">
        <f>IF(A2906="","",IFERROR(INDEX(Ввод!$B$12:$B$71,MATCH(A2906,Ввод!$D$12:$D$71,1)),""))</f>
        <v/>
      </c>
      <c r="C2906" t="str">
        <f t="shared" si="90"/>
        <v/>
      </c>
      <c r="D2906" t="str">
        <f>IF(A2906="","",SUMIFS(Акты!$D$5:$D$16,Акты!$E$5:$E$16,"&lt;="&amp;A2906)-SUMIFS(Оплаты!$B$6:$B$505,Оплаты!$A$6:$A$505,"&lt;"&amp;A2906,Оплаты!$D$6:$D$505,"&lt;&gt;"))</f>
        <v/>
      </c>
      <c r="E2906" t="str">
        <f>IF(A2906="","",IF(SUMPRODUCT((Ввод!$F$12:$F$31&lt;&gt;"")*(Ввод!$F$12:$F$31&lt;=A2906)*(Ввод!$G$12:$G$31&gt;=A2906))&gt;0,1,0))</f>
        <v/>
      </c>
      <c r="G2906" t="str">
        <f t="shared" si="91"/>
        <v/>
      </c>
    </row>
    <row r="2907" spans="1:7" x14ac:dyDescent="0.3">
      <c r="A2907" s="21" t="str">
        <f>IF(A2906="","",IF(A2906+1&gt;Ввод!$B$4,"",A2906+1))</f>
        <v/>
      </c>
      <c r="B2907" s="23" t="str">
        <f>IF(A2907="","",IFERROR(INDEX(Ввод!$B$12:$B$71,MATCH(A2907,Ввод!$D$12:$D$71,1)),""))</f>
        <v/>
      </c>
      <c r="C2907" t="str">
        <f t="shared" si="90"/>
        <v/>
      </c>
      <c r="D2907" t="str">
        <f>IF(A2907="","",SUMIFS(Акты!$D$5:$D$16,Акты!$E$5:$E$16,"&lt;="&amp;A2907)-SUMIFS(Оплаты!$B$6:$B$505,Оплаты!$A$6:$A$505,"&lt;"&amp;A2907,Оплаты!$D$6:$D$505,"&lt;&gt;"))</f>
        <v/>
      </c>
      <c r="E2907" t="str">
        <f>IF(A2907="","",IF(SUMPRODUCT((Ввод!$F$12:$F$31&lt;&gt;"")*(Ввод!$F$12:$F$31&lt;=A2907)*(Ввод!$G$12:$G$31&gt;=A2907))&gt;0,1,0))</f>
        <v/>
      </c>
      <c r="G2907" t="str">
        <f t="shared" si="91"/>
        <v/>
      </c>
    </row>
    <row r="2908" spans="1:7" x14ac:dyDescent="0.3">
      <c r="A2908" s="21" t="str">
        <f>IF(A2907="","",IF(A2907+1&gt;Ввод!$B$4,"",A2907+1))</f>
        <v/>
      </c>
      <c r="B2908" s="23" t="str">
        <f>IF(A2908="","",IFERROR(INDEX(Ввод!$B$12:$B$71,MATCH(A2908,Ввод!$D$12:$D$71,1)),""))</f>
        <v/>
      </c>
      <c r="C2908" t="str">
        <f t="shared" si="90"/>
        <v/>
      </c>
      <c r="D2908" t="str">
        <f>IF(A2908="","",SUMIFS(Акты!$D$5:$D$16,Акты!$E$5:$E$16,"&lt;="&amp;A2908)-SUMIFS(Оплаты!$B$6:$B$505,Оплаты!$A$6:$A$505,"&lt;"&amp;A2908,Оплаты!$D$6:$D$505,"&lt;&gt;"))</f>
        <v/>
      </c>
      <c r="E2908" t="str">
        <f>IF(A2908="","",IF(SUMPRODUCT((Ввод!$F$12:$F$31&lt;&gt;"")*(Ввод!$F$12:$F$31&lt;=A2908)*(Ввод!$G$12:$G$31&gt;=A2908))&gt;0,1,0))</f>
        <v/>
      </c>
      <c r="G2908" t="str">
        <f t="shared" si="91"/>
        <v/>
      </c>
    </row>
    <row r="2909" spans="1:7" x14ac:dyDescent="0.3">
      <c r="A2909" s="21" t="str">
        <f>IF(A2908="","",IF(A2908+1&gt;Ввод!$B$4,"",A2908+1))</f>
        <v/>
      </c>
      <c r="B2909" s="23" t="str">
        <f>IF(A2909="","",IFERROR(INDEX(Ввод!$B$12:$B$71,MATCH(A2909,Ввод!$D$12:$D$71,1)),""))</f>
        <v/>
      </c>
      <c r="C2909" t="str">
        <f t="shared" si="90"/>
        <v/>
      </c>
      <c r="D2909" t="str">
        <f>IF(A2909="","",SUMIFS(Акты!$D$5:$D$16,Акты!$E$5:$E$16,"&lt;="&amp;A2909)-SUMIFS(Оплаты!$B$6:$B$505,Оплаты!$A$6:$A$505,"&lt;"&amp;A2909,Оплаты!$D$6:$D$505,"&lt;&gt;"))</f>
        <v/>
      </c>
      <c r="E2909" t="str">
        <f>IF(A2909="","",IF(SUMPRODUCT((Ввод!$F$12:$F$31&lt;&gt;"")*(Ввод!$F$12:$F$31&lt;=A2909)*(Ввод!$G$12:$G$31&gt;=A2909))&gt;0,1,0))</f>
        <v/>
      </c>
      <c r="G2909" t="str">
        <f t="shared" si="91"/>
        <v/>
      </c>
    </row>
    <row r="2910" spans="1:7" x14ac:dyDescent="0.3">
      <c r="A2910" s="21" t="str">
        <f>IF(A2909="","",IF(A2909+1&gt;Ввод!$B$4,"",A2909+1))</f>
        <v/>
      </c>
      <c r="B2910" s="23" t="str">
        <f>IF(A2910="","",IFERROR(INDEX(Ввод!$B$12:$B$71,MATCH(A2910,Ввод!$D$12:$D$71,1)),""))</f>
        <v/>
      </c>
      <c r="C2910" t="str">
        <f t="shared" si="90"/>
        <v/>
      </c>
      <c r="D2910" t="str">
        <f>IF(A2910="","",SUMIFS(Акты!$D$5:$D$16,Акты!$E$5:$E$16,"&lt;="&amp;A2910)-SUMIFS(Оплаты!$B$6:$B$505,Оплаты!$A$6:$A$505,"&lt;"&amp;A2910,Оплаты!$D$6:$D$505,"&lt;&gt;"))</f>
        <v/>
      </c>
      <c r="E2910" t="str">
        <f>IF(A2910="","",IF(SUMPRODUCT((Ввод!$F$12:$F$31&lt;&gt;"")*(Ввод!$F$12:$F$31&lt;=A2910)*(Ввод!$G$12:$G$31&gt;=A2910))&gt;0,1,0))</f>
        <v/>
      </c>
      <c r="G2910" t="str">
        <f t="shared" si="91"/>
        <v/>
      </c>
    </row>
    <row r="2911" spans="1:7" x14ac:dyDescent="0.3">
      <c r="A2911" s="21" t="str">
        <f>IF(A2910="","",IF(A2910+1&gt;Ввод!$B$4,"",A2910+1))</f>
        <v/>
      </c>
      <c r="B2911" s="23" t="str">
        <f>IF(A2911="","",IFERROR(INDEX(Ввод!$B$12:$B$71,MATCH(A2911,Ввод!$D$12:$D$71,1)),""))</f>
        <v/>
      </c>
      <c r="C2911" t="str">
        <f t="shared" si="90"/>
        <v/>
      </c>
      <c r="D2911" t="str">
        <f>IF(A2911="","",SUMIFS(Акты!$D$5:$D$16,Акты!$E$5:$E$16,"&lt;="&amp;A2911)-SUMIFS(Оплаты!$B$6:$B$505,Оплаты!$A$6:$A$505,"&lt;"&amp;A2911,Оплаты!$D$6:$D$505,"&lt;&gt;"))</f>
        <v/>
      </c>
      <c r="E2911" t="str">
        <f>IF(A2911="","",IF(SUMPRODUCT((Ввод!$F$12:$F$31&lt;&gt;"")*(Ввод!$F$12:$F$31&lt;=A2911)*(Ввод!$G$12:$G$31&gt;=A2911))&gt;0,1,0))</f>
        <v/>
      </c>
      <c r="G2911" t="str">
        <f t="shared" si="91"/>
        <v/>
      </c>
    </row>
    <row r="2912" spans="1:7" x14ac:dyDescent="0.3">
      <c r="A2912" s="21" t="str">
        <f>IF(A2911="","",IF(A2911+1&gt;Ввод!$B$4,"",A2911+1))</f>
        <v/>
      </c>
      <c r="B2912" s="23" t="str">
        <f>IF(A2912="","",IFERROR(INDEX(Ввод!$B$12:$B$71,MATCH(A2912,Ввод!$D$12:$D$71,1)),""))</f>
        <v/>
      </c>
      <c r="C2912" t="str">
        <f t="shared" si="90"/>
        <v/>
      </c>
      <c r="D2912" t="str">
        <f>IF(A2912="","",SUMIFS(Акты!$D$5:$D$16,Акты!$E$5:$E$16,"&lt;="&amp;A2912)-SUMIFS(Оплаты!$B$6:$B$505,Оплаты!$A$6:$A$505,"&lt;"&amp;A2912,Оплаты!$D$6:$D$505,"&lt;&gt;"))</f>
        <v/>
      </c>
      <c r="E2912" t="str">
        <f>IF(A2912="","",IF(SUMPRODUCT((Ввод!$F$12:$F$31&lt;&gt;"")*(Ввод!$F$12:$F$31&lt;=A2912)*(Ввод!$G$12:$G$31&gt;=A2912))&gt;0,1,0))</f>
        <v/>
      </c>
      <c r="G2912" t="str">
        <f t="shared" si="91"/>
        <v/>
      </c>
    </row>
    <row r="2913" spans="1:7" x14ac:dyDescent="0.3">
      <c r="A2913" s="21" t="str">
        <f>IF(A2912="","",IF(A2912+1&gt;Ввод!$B$4,"",A2912+1))</f>
        <v/>
      </c>
      <c r="B2913" s="23" t="str">
        <f>IF(A2913="","",IFERROR(INDEX(Ввод!$B$12:$B$71,MATCH(A2913,Ввод!$D$12:$D$71,1)),""))</f>
        <v/>
      </c>
      <c r="C2913" t="str">
        <f t="shared" si="90"/>
        <v/>
      </c>
      <c r="D2913" t="str">
        <f>IF(A2913="","",SUMIFS(Акты!$D$5:$D$16,Акты!$E$5:$E$16,"&lt;="&amp;A2913)-SUMIFS(Оплаты!$B$6:$B$505,Оплаты!$A$6:$A$505,"&lt;"&amp;A2913,Оплаты!$D$6:$D$505,"&lt;&gt;"))</f>
        <v/>
      </c>
      <c r="E2913" t="str">
        <f>IF(A2913="","",IF(SUMPRODUCT((Ввод!$F$12:$F$31&lt;&gt;"")*(Ввод!$F$12:$F$31&lt;=A2913)*(Ввод!$G$12:$G$31&gt;=A2913))&gt;0,1,0))</f>
        <v/>
      </c>
      <c r="G2913" t="str">
        <f t="shared" si="91"/>
        <v/>
      </c>
    </row>
    <row r="2914" spans="1:7" x14ac:dyDescent="0.3">
      <c r="A2914" s="21" t="str">
        <f>IF(A2913="","",IF(A2913+1&gt;Ввод!$B$4,"",A2913+1))</f>
        <v/>
      </c>
      <c r="B2914" s="23" t="str">
        <f>IF(A2914="","",IFERROR(INDEX(Ввод!$B$12:$B$71,MATCH(A2914,Ввод!$D$12:$D$71,1)),""))</f>
        <v/>
      </c>
      <c r="C2914" t="str">
        <f t="shared" si="90"/>
        <v/>
      </c>
      <c r="D2914" t="str">
        <f>IF(A2914="","",SUMIFS(Акты!$D$5:$D$16,Акты!$E$5:$E$16,"&lt;="&amp;A2914)-SUMIFS(Оплаты!$B$6:$B$505,Оплаты!$A$6:$A$505,"&lt;"&amp;A2914,Оплаты!$D$6:$D$505,"&lt;&gt;"))</f>
        <v/>
      </c>
      <c r="E2914" t="str">
        <f>IF(A2914="","",IF(SUMPRODUCT((Ввод!$F$12:$F$31&lt;&gt;"")*(Ввод!$F$12:$F$31&lt;=A2914)*(Ввод!$G$12:$G$31&gt;=A2914))&gt;0,1,0))</f>
        <v/>
      </c>
      <c r="G2914" t="str">
        <f t="shared" si="91"/>
        <v/>
      </c>
    </row>
    <row r="2915" spans="1:7" x14ac:dyDescent="0.3">
      <c r="A2915" s="21" t="str">
        <f>IF(A2914="","",IF(A2914+1&gt;Ввод!$B$4,"",A2914+1))</f>
        <v/>
      </c>
      <c r="B2915" s="23" t="str">
        <f>IF(A2915="","",IFERROR(INDEX(Ввод!$B$12:$B$71,MATCH(A2915,Ввод!$D$12:$D$71,1)),""))</f>
        <v/>
      </c>
      <c r="C2915" t="str">
        <f t="shared" si="90"/>
        <v/>
      </c>
      <c r="D2915" t="str">
        <f>IF(A2915="","",SUMIFS(Акты!$D$5:$D$16,Акты!$E$5:$E$16,"&lt;="&amp;A2915)-SUMIFS(Оплаты!$B$6:$B$505,Оплаты!$A$6:$A$505,"&lt;"&amp;A2915,Оплаты!$D$6:$D$505,"&lt;&gt;"))</f>
        <v/>
      </c>
      <c r="E2915" t="str">
        <f>IF(A2915="","",IF(SUMPRODUCT((Ввод!$F$12:$F$31&lt;&gt;"")*(Ввод!$F$12:$F$31&lt;=A2915)*(Ввод!$G$12:$G$31&gt;=A2915))&gt;0,1,0))</f>
        <v/>
      </c>
      <c r="G2915" t="str">
        <f t="shared" si="91"/>
        <v/>
      </c>
    </row>
    <row r="2916" spans="1:7" x14ac:dyDescent="0.3">
      <c r="A2916" s="21" t="str">
        <f>IF(A2915="","",IF(A2915+1&gt;Ввод!$B$4,"",A2915+1))</f>
        <v/>
      </c>
      <c r="B2916" s="23" t="str">
        <f>IF(A2916="","",IFERROR(INDEX(Ввод!$B$12:$B$71,MATCH(A2916,Ввод!$D$12:$D$71,1)),""))</f>
        <v/>
      </c>
      <c r="C2916" t="str">
        <f t="shared" si="90"/>
        <v/>
      </c>
      <c r="D2916" t="str">
        <f>IF(A2916="","",SUMIFS(Акты!$D$5:$D$16,Акты!$E$5:$E$16,"&lt;="&amp;A2916)-SUMIFS(Оплаты!$B$6:$B$505,Оплаты!$A$6:$A$505,"&lt;"&amp;A2916,Оплаты!$D$6:$D$505,"&lt;&gt;"))</f>
        <v/>
      </c>
      <c r="E2916" t="str">
        <f>IF(A2916="","",IF(SUMPRODUCT((Ввод!$F$12:$F$31&lt;&gt;"")*(Ввод!$F$12:$F$31&lt;=A2916)*(Ввод!$G$12:$G$31&gt;=A2916))&gt;0,1,0))</f>
        <v/>
      </c>
      <c r="G2916" t="str">
        <f t="shared" si="91"/>
        <v/>
      </c>
    </row>
    <row r="2917" spans="1:7" x14ac:dyDescent="0.3">
      <c r="A2917" s="21" t="str">
        <f>IF(A2916="","",IF(A2916+1&gt;Ввод!$B$4,"",A2916+1))</f>
        <v/>
      </c>
      <c r="B2917" s="23" t="str">
        <f>IF(A2917="","",IFERROR(INDEX(Ввод!$B$12:$B$71,MATCH(A2917,Ввод!$D$12:$D$71,1)),""))</f>
        <v/>
      </c>
      <c r="C2917" t="str">
        <f t="shared" si="90"/>
        <v/>
      </c>
      <c r="D2917" t="str">
        <f>IF(A2917="","",SUMIFS(Акты!$D$5:$D$16,Акты!$E$5:$E$16,"&lt;="&amp;A2917)-SUMIFS(Оплаты!$B$6:$B$505,Оплаты!$A$6:$A$505,"&lt;"&amp;A2917,Оплаты!$D$6:$D$505,"&lt;&gt;"))</f>
        <v/>
      </c>
      <c r="E2917" t="str">
        <f>IF(A2917="","",IF(SUMPRODUCT((Ввод!$F$12:$F$31&lt;&gt;"")*(Ввод!$F$12:$F$31&lt;=A2917)*(Ввод!$G$12:$G$31&gt;=A2917))&gt;0,1,0))</f>
        <v/>
      </c>
      <c r="G2917" t="str">
        <f t="shared" si="91"/>
        <v/>
      </c>
    </row>
    <row r="2918" spans="1:7" x14ac:dyDescent="0.3">
      <c r="A2918" s="21" t="str">
        <f>IF(A2917="","",IF(A2917+1&gt;Ввод!$B$4,"",A2917+1))</f>
        <v/>
      </c>
      <c r="B2918" s="23" t="str">
        <f>IF(A2918="","",IFERROR(INDEX(Ввод!$B$12:$B$71,MATCH(A2918,Ввод!$D$12:$D$71,1)),""))</f>
        <v/>
      </c>
      <c r="C2918" t="str">
        <f t="shared" si="90"/>
        <v/>
      </c>
      <c r="D2918" t="str">
        <f>IF(A2918="","",SUMIFS(Акты!$D$5:$D$16,Акты!$E$5:$E$16,"&lt;="&amp;A2918)-SUMIFS(Оплаты!$B$6:$B$505,Оплаты!$A$6:$A$505,"&lt;"&amp;A2918,Оплаты!$D$6:$D$505,"&lt;&gt;"))</f>
        <v/>
      </c>
      <c r="E2918" t="str">
        <f>IF(A2918="","",IF(SUMPRODUCT((Ввод!$F$12:$F$31&lt;&gt;"")*(Ввод!$F$12:$F$31&lt;=A2918)*(Ввод!$G$12:$G$31&gt;=A2918))&gt;0,1,0))</f>
        <v/>
      </c>
      <c r="G2918" t="str">
        <f t="shared" si="91"/>
        <v/>
      </c>
    </row>
    <row r="2919" spans="1:7" x14ac:dyDescent="0.3">
      <c r="A2919" s="21" t="str">
        <f>IF(A2918="","",IF(A2918+1&gt;Ввод!$B$4,"",A2918+1))</f>
        <v/>
      </c>
      <c r="B2919" s="23" t="str">
        <f>IF(A2919="","",IFERROR(INDEX(Ввод!$B$12:$B$71,MATCH(A2919,Ввод!$D$12:$D$71,1)),""))</f>
        <v/>
      </c>
      <c r="C2919" t="str">
        <f t="shared" si="90"/>
        <v/>
      </c>
      <c r="D2919" t="str">
        <f>IF(A2919="","",SUMIFS(Акты!$D$5:$D$16,Акты!$E$5:$E$16,"&lt;="&amp;A2919)-SUMIFS(Оплаты!$B$6:$B$505,Оплаты!$A$6:$A$505,"&lt;"&amp;A2919,Оплаты!$D$6:$D$505,"&lt;&gt;"))</f>
        <v/>
      </c>
      <c r="E2919" t="str">
        <f>IF(A2919="","",IF(SUMPRODUCT((Ввод!$F$12:$F$31&lt;&gt;"")*(Ввод!$F$12:$F$31&lt;=A2919)*(Ввод!$G$12:$G$31&gt;=A2919))&gt;0,1,0))</f>
        <v/>
      </c>
      <c r="G2919" t="str">
        <f t="shared" si="91"/>
        <v/>
      </c>
    </row>
    <row r="2920" spans="1:7" x14ac:dyDescent="0.3">
      <c r="A2920" s="21" t="str">
        <f>IF(A2919="","",IF(A2919+1&gt;Ввод!$B$4,"",A2919+1))</f>
        <v/>
      </c>
      <c r="B2920" s="23" t="str">
        <f>IF(A2920="","",IFERROR(INDEX(Ввод!$B$12:$B$71,MATCH(A2920,Ввод!$D$12:$D$71,1)),""))</f>
        <v/>
      </c>
      <c r="C2920" t="str">
        <f t="shared" si="90"/>
        <v/>
      </c>
      <c r="D2920" t="str">
        <f>IF(A2920="","",SUMIFS(Акты!$D$5:$D$16,Акты!$E$5:$E$16,"&lt;="&amp;A2920)-SUMIFS(Оплаты!$B$6:$B$505,Оплаты!$A$6:$A$505,"&lt;"&amp;A2920,Оплаты!$D$6:$D$505,"&lt;&gt;"))</f>
        <v/>
      </c>
      <c r="E2920" t="str">
        <f>IF(A2920="","",IF(SUMPRODUCT((Ввод!$F$12:$F$31&lt;&gt;"")*(Ввод!$F$12:$F$31&lt;=A2920)*(Ввод!$G$12:$G$31&gt;=A2920))&gt;0,1,0))</f>
        <v/>
      </c>
      <c r="G2920" t="str">
        <f t="shared" si="91"/>
        <v/>
      </c>
    </row>
    <row r="2921" spans="1:7" x14ac:dyDescent="0.3">
      <c r="A2921" s="21" t="str">
        <f>IF(A2920="","",IF(A2920+1&gt;Ввод!$B$4,"",A2920+1))</f>
        <v/>
      </c>
      <c r="B2921" s="23" t="str">
        <f>IF(A2921="","",IFERROR(INDEX(Ввод!$B$12:$B$71,MATCH(A2921,Ввод!$D$12:$D$71,1)),""))</f>
        <v/>
      </c>
      <c r="C2921" t="str">
        <f t="shared" si="90"/>
        <v/>
      </c>
      <c r="D2921" t="str">
        <f>IF(A2921="","",SUMIFS(Акты!$D$5:$D$16,Акты!$E$5:$E$16,"&lt;="&amp;A2921)-SUMIFS(Оплаты!$B$6:$B$505,Оплаты!$A$6:$A$505,"&lt;"&amp;A2921,Оплаты!$D$6:$D$505,"&lt;&gt;"))</f>
        <v/>
      </c>
      <c r="E2921" t="str">
        <f>IF(A2921="","",IF(SUMPRODUCT((Ввод!$F$12:$F$31&lt;&gt;"")*(Ввод!$F$12:$F$31&lt;=A2921)*(Ввод!$G$12:$G$31&gt;=A2921))&gt;0,1,0))</f>
        <v/>
      </c>
      <c r="G2921" t="str">
        <f t="shared" si="91"/>
        <v/>
      </c>
    </row>
    <row r="2922" spans="1:7" x14ac:dyDescent="0.3">
      <c r="A2922" s="21" t="str">
        <f>IF(A2921="","",IF(A2921+1&gt;Ввод!$B$4,"",A2921+1))</f>
        <v/>
      </c>
      <c r="B2922" s="23" t="str">
        <f>IF(A2922="","",IFERROR(INDEX(Ввод!$B$12:$B$71,MATCH(A2922,Ввод!$D$12:$D$71,1)),""))</f>
        <v/>
      </c>
      <c r="C2922" t="str">
        <f t="shared" si="90"/>
        <v/>
      </c>
      <c r="D2922" t="str">
        <f>IF(A2922="","",SUMIFS(Акты!$D$5:$D$16,Акты!$E$5:$E$16,"&lt;="&amp;A2922)-SUMIFS(Оплаты!$B$6:$B$505,Оплаты!$A$6:$A$505,"&lt;"&amp;A2922,Оплаты!$D$6:$D$505,"&lt;&gt;"))</f>
        <v/>
      </c>
      <c r="E2922" t="str">
        <f>IF(A2922="","",IF(SUMPRODUCT((Ввод!$F$12:$F$31&lt;&gt;"")*(Ввод!$F$12:$F$31&lt;=A2922)*(Ввод!$G$12:$G$31&gt;=A2922))&gt;0,1,0))</f>
        <v/>
      </c>
      <c r="G2922" t="str">
        <f t="shared" si="91"/>
        <v/>
      </c>
    </row>
    <row r="2923" spans="1:7" x14ac:dyDescent="0.3">
      <c r="A2923" s="21" t="str">
        <f>IF(A2922="","",IF(A2922+1&gt;Ввод!$B$4,"",A2922+1))</f>
        <v/>
      </c>
      <c r="B2923" s="23" t="str">
        <f>IF(A2923="","",IFERROR(INDEX(Ввод!$B$12:$B$71,MATCH(A2923,Ввод!$D$12:$D$71,1)),""))</f>
        <v/>
      </c>
      <c r="C2923" t="str">
        <f t="shared" si="90"/>
        <v/>
      </c>
      <c r="D2923" t="str">
        <f>IF(A2923="","",SUMIFS(Акты!$D$5:$D$16,Акты!$E$5:$E$16,"&lt;="&amp;A2923)-SUMIFS(Оплаты!$B$6:$B$505,Оплаты!$A$6:$A$505,"&lt;"&amp;A2923,Оплаты!$D$6:$D$505,"&lt;&gt;"))</f>
        <v/>
      </c>
      <c r="E2923" t="str">
        <f>IF(A2923="","",IF(SUMPRODUCT((Ввод!$F$12:$F$31&lt;&gt;"")*(Ввод!$F$12:$F$31&lt;=A2923)*(Ввод!$G$12:$G$31&gt;=A2923))&gt;0,1,0))</f>
        <v/>
      </c>
      <c r="G2923" t="str">
        <f t="shared" si="91"/>
        <v/>
      </c>
    </row>
    <row r="2924" spans="1:7" x14ac:dyDescent="0.3">
      <c r="A2924" s="21" t="str">
        <f>IF(A2923="","",IF(A2923+1&gt;Ввод!$B$4,"",A2923+1))</f>
        <v/>
      </c>
      <c r="B2924" s="23" t="str">
        <f>IF(A2924="","",IFERROR(INDEX(Ввод!$B$12:$B$71,MATCH(A2924,Ввод!$D$12:$D$71,1)),""))</f>
        <v/>
      </c>
      <c r="C2924" t="str">
        <f t="shared" si="90"/>
        <v/>
      </c>
      <c r="D2924" t="str">
        <f>IF(A2924="","",SUMIFS(Акты!$D$5:$D$16,Акты!$E$5:$E$16,"&lt;="&amp;A2924)-SUMIFS(Оплаты!$B$6:$B$505,Оплаты!$A$6:$A$505,"&lt;"&amp;A2924,Оплаты!$D$6:$D$505,"&lt;&gt;"))</f>
        <v/>
      </c>
      <c r="E2924" t="str">
        <f>IF(A2924="","",IF(SUMPRODUCT((Ввод!$F$12:$F$31&lt;&gt;"")*(Ввод!$F$12:$F$31&lt;=A2924)*(Ввод!$G$12:$G$31&gt;=A2924))&gt;0,1,0))</f>
        <v/>
      </c>
      <c r="G2924" t="str">
        <f t="shared" si="91"/>
        <v/>
      </c>
    </row>
    <row r="2925" spans="1:7" x14ac:dyDescent="0.3">
      <c r="A2925" s="21" t="str">
        <f>IF(A2924="","",IF(A2924+1&gt;Ввод!$B$4,"",A2924+1))</f>
        <v/>
      </c>
      <c r="B2925" s="23" t="str">
        <f>IF(A2925="","",IFERROR(INDEX(Ввод!$B$12:$B$71,MATCH(A2925,Ввод!$D$12:$D$71,1)),""))</f>
        <v/>
      </c>
      <c r="C2925" t="str">
        <f t="shared" si="90"/>
        <v/>
      </c>
      <c r="D2925" t="str">
        <f>IF(A2925="","",SUMIFS(Акты!$D$5:$D$16,Акты!$E$5:$E$16,"&lt;="&amp;A2925)-SUMIFS(Оплаты!$B$6:$B$505,Оплаты!$A$6:$A$505,"&lt;"&amp;A2925,Оплаты!$D$6:$D$505,"&lt;&gt;"))</f>
        <v/>
      </c>
      <c r="E2925" t="str">
        <f>IF(A2925="","",IF(SUMPRODUCT((Ввод!$F$12:$F$31&lt;&gt;"")*(Ввод!$F$12:$F$31&lt;=A2925)*(Ввод!$G$12:$G$31&gt;=A2925))&gt;0,1,0))</f>
        <v/>
      </c>
      <c r="G2925" t="str">
        <f t="shared" si="91"/>
        <v/>
      </c>
    </row>
    <row r="2926" spans="1:7" x14ac:dyDescent="0.3">
      <c r="A2926" s="21" t="str">
        <f>IF(A2925="","",IF(A2925+1&gt;Ввод!$B$4,"",A2925+1))</f>
        <v/>
      </c>
      <c r="B2926" s="23" t="str">
        <f>IF(A2926="","",IFERROR(INDEX(Ввод!$B$12:$B$71,MATCH(A2926,Ввод!$D$12:$D$71,1)),""))</f>
        <v/>
      </c>
      <c r="C2926" t="str">
        <f t="shared" si="90"/>
        <v/>
      </c>
      <c r="D2926" t="str">
        <f>IF(A2926="","",SUMIFS(Акты!$D$5:$D$16,Акты!$E$5:$E$16,"&lt;="&amp;A2926)-SUMIFS(Оплаты!$B$6:$B$505,Оплаты!$A$6:$A$505,"&lt;"&amp;A2926,Оплаты!$D$6:$D$505,"&lt;&gt;"))</f>
        <v/>
      </c>
      <c r="E2926" t="str">
        <f>IF(A2926="","",IF(SUMPRODUCT((Ввод!$F$12:$F$31&lt;&gt;"")*(Ввод!$F$12:$F$31&lt;=A2926)*(Ввод!$G$12:$G$31&gt;=A2926))&gt;0,1,0))</f>
        <v/>
      </c>
      <c r="G2926" t="str">
        <f t="shared" si="91"/>
        <v/>
      </c>
    </row>
    <row r="2927" spans="1:7" x14ac:dyDescent="0.3">
      <c r="A2927" s="21" t="str">
        <f>IF(A2926="","",IF(A2926+1&gt;Ввод!$B$4,"",A2926+1))</f>
        <v/>
      </c>
      <c r="B2927" s="23" t="str">
        <f>IF(A2927="","",IFERROR(INDEX(Ввод!$B$12:$B$71,MATCH(A2927,Ввод!$D$12:$D$71,1)),""))</f>
        <v/>
      </c>
      <c r="C2927" t="str">
        <f t="shared" si="90"/>
        <v/>
      </c>
      <c r="D2927" t="str">
        <f>IF(A2927="","",SUMIFS(Акты!$D$5:$D$16,Акты!$E$5:$E$16,"&lt;="&amp;A2927)-SUMIFS(Оплаты!$B$6:$B$505,Оплаты!$A$6:$A$505,"&lt;"&amp;A2927,Оплаты!$D$6:$D$505,"&lt;&gt;"))</f>
        <v/>
      </c>
      <c r="E2927" t="str">
        <f>IF(A2927="","",IF(SUMPRODUCT((Ввод!$F$12:$F$31&lt;&gt;"")*(Ввод!$F$12:$F$31&lt;=A2927)*(Ввод!$G$12:$G$31&gt;=A2927))&gt;0,1,0))</f>
        <v/>
      </c>
      <c r="G2927" t="str">
        <f t="shared" si="91"/>
        <v/>
      </c>
    </row>
    <row r="2928" spans="1:7" x14ac:dyDescent="0.3">
      <c r="A2928" s="21" t="str">
        <f>IF(A2927="","",IF(A2927+1&gt;Ввод!$B$4,"",A2927+1))</f>
        <v/>
      </c>
      <c r="B2928" s="23" t="str">
        <f>IF(A2928="","",IFERROR(INDEX(Ввод!$B$12:$B$71,MATCH(A2928,Ввод!$D$12:$D$71,1)),""))</f>
        <v/>
      </c>
      <c r="C2928" t="str">
        <f t="shared" si="90"/>
        <v/>
      </c>
      <c r="D2928" t="str">
        <f>IF(A2928="","",SUMIFS(Акты!$D$5:$D$16,Акты!$E$5:$E$16,"&lt;="&amp;A2928)-SUMIFS(Оплаты!$B$6:$B$505,Оплаты!$A$6:$A$505,"&lt;"&amp;A2928,Оплаты!$D$6:$D$505,"&lt;&gt;"))</f>
        <v/>
      </c>
      <c r="E2928" t="str">
        <f>IF(A2928="","",IF(SUMPRODUCT((Ввод!$F$12:$F$31&lt;&gt;"")*(Ввод!$F$12:$F$31&lt;=A2928)*(Ввод!$G$12:$G$31&gt;=A2928))&gt;0,1,0))</f>
        <v/>
      </c>
      <c r="G2928" t="str">
        <f t="shared" si="91"/>
        <v/>
      </c>
    </row>
    <row r="2929" spans="1:7" x14ac:dyDescent="0.3">
      <c r="A2929" s="21" t="str">
        <f>IF(A2928="","",IF(A2928+1&gt;Ввод!$B$4,"",A2928+1))</f>
        <v/>
      </c>
      <c r="B2929" s="23" t="str">
        <f>IF(A2929="","",IFERROR(INDEX(Ввод!$B$12:$B$71,MATCH(A2929,Ввод!$D$12:$D$71,1)),""))</f>
        <v/>
      </c>
      <c r="C2929" t="str">
        <f t="shared" si="90"/>
        <v/>
      </c>
      <c r="D2929" t="str">
        <f>IF(A2929="","",SUMIFS(Акты!$D$5:$D$16,Акты!$E$5:$E$16,"&lt;="&amp;A2929)-SUMIFS(Оплаты!$B$6:$B$505,Оплаты!$A$6:$A$505,"&lt;"&amp;A2929,Оплаты!$D$6:$D$505,"&lt;&gt;"))</f>
        <v/>
      </c>
      <c r="E2929" t="str">
        <f>IF(A2929="","",IF(SUMPRODUCT((Ввод!$F$12:$F$31&lt;&gt;"")*(Ввод!$F$12:$F$31&lt;=A2929)*(Ввод!$G$12:$G$31&gt;=A2929))&gt;0,1,0))</f>
        <v/>
      </c>
      <c r="G2929" t="str">
        <f t="shared" si="91"/>
        <v/>
      </c>
    </row>
    <row r="2930" spans="1:7" x14ac:dyDescent="0.3">
      <c r="A2930" s="21" t="str">
        <f>IF(A2929="","",IF(A2929+1&gt;Ввод!$B$4,"",A2929+1))</f>
        <v/>
      </c>
      <c r="B2930" s="23" t="str">
        <f>IF(A2930="","",IFERROR(INDEX(Ввод!$B$12:$B$71,MATCH(A2930,Ввод!$D$12:$D$71,1)),""))</f>
        <v/>
      </c>
      <c r="C2930" t="str">
        <f t="shared" si="90"/>
        <v/>
      </c>
      <c r="D2930" t="str">
        <f>IF(A2930="","",SUMIFS(Акты!$D$5:$D$16,Акты!$E$5:$E$16,"&lt;="&amp;A2930)-SUMIFS(Оплаты!$B$6:$B$505,Оплаты!$A$6:$A$505,"&lt;"&amp;A2930,Оплаты!$D$6:$D$505,"&lt;&gt;"))</f>
        <v/>
      </c>
      <c r="E2930" t="str">
        <f>IF(A2930="","",IF(SUMPRODUCT((Ввод!$F$12:$F$31&lt;&gt;"")*(Ввод!$F$12:$F$31&lt;=A2930)*(Ввод!$G$12:$G$31&gt;=A2930))&gt;0,1,0))</f>
        <v/>
      </c>
      <c r="G2930" t="str">
        <f t="shared" si="91"/>
        <v/>
      </c>
    </row>
    <row r="2931" spans="1:7" x14ac:dyDescent="0.3">
      <c r="A2931" s="21" t="str">
        <f>IF(A2930="","",IF(A2930+1&gt;Ввод!$B$4,"",A2930+1))</f>
        <v/>
      </c>
      <c r="B2931" s="23" t="str">
        <f>IF(A2931="","",IFERROR(INDEX(Ввод!$B$12:$B$71,MATCH(A2931,Ввод!$D$12:$D$71,1)),""))</f>
        <v/>
      </c>
      <c r="C2931" t="str">
        <f t="shared" si="90"/>
        <v/>
      </c>
      <c r="D2931" t="str">
        <f>IF(A2931="","",SUMIFS(Акты!$D$5:$D$16,Акты!$E$5:$E$16,"&lt;="&amp;A2931)-SUMIFS(Оплаты!$B$6:$B$505,Оплаты!$A$6:$A$505,"&lt;"&amp;A2931,Оплаты!$D$6:$D$505,"&lt;&gt;"))</f>
        <v/>
      </c>
      <c r="E2931" t="str">
        <f>IF(A2931="","",IF(SUMPRODUCT((Ввод!$F$12:$F$31&lt;&gt;"")*(Ввод!$F$12:$F$31&lt;=A2931)*(Ввод!$G$12:$G$31&gt;=A2931))&gt;0,1,0))</f>
        <v/>
      </c>
      <c r="G2931" t="str">
        <f t="shared" si="91"/>
        <v/>
      </c>
    </row>
    <row r="2932" spans="1:7" x14ac:dyDescent="0.3">
      <c r="A2932" s="21" t="str">
        <f>IF(A2931="","",IF(A2931+1&gt;Ввод!$B$4,"",A2931+1))</f>
        <v/>
      </c>
      <c r="B2932" s="23" t="str">
        <f>IF(A2932="","",IFERROR(INDEX(Ввод!$B$12:$B$71,MATCH(A2932,Ввод!$D$12:$D$71,1)),""))</f>
        <v/>
      </c>
      <c r="C2932" t="str">
        <f t="shared" si="90"/>
        <v/>
      </c>
      <c r="D2932" t="str">
        <f>IF(A2932="","",SUMIFS(Акты!$D$5:$D$16,Акты!$E$5:$E$16,"&lt;="&amp;A2932)-SUMIFS(Оплаты!$B$6:$B$505,Оплаты!$A$6:$A$505,"&lt;"&amp;A2932,Оплаты!$D$6:$D$505,"&lt;&gt;"))</f>
        <v/>
      </c>
      <c r="E2932" t="str">
        <f>IF(A2932="","",IF(SUMPRODUCT((Ввод!$F$12:$F$31&lt;&gt;"")*(Ввод!$F$12:$F$31&lt;=A2932)*(Ввод!$G$12:$G$31&gt;=A2932))&gt;0,1,0))</f>
        <v/>
      </c>
      <c r="G2932" t="str">
        <f t="shared" si="91"/>
        <v/>
      </c>
    </row>
    <row r="2933" spans="1:7" x14ac:dyDescent="0.3">
      <c r="A2933" s="21" t="str">
        <f>IF(A2932="","",IF(A2932+1&gt;Ввод!$B$4,"",A2932+1))</f>
        <v/>
      </c>
      <c r="B2933" s="23" t="str">
        <f>IF(A2933="","",IFERROR(INDEX(Ввод!$B$12:$B$71,MATCH(A2933,Ввод!$D$12:$D$71,1)),""))</f>
        <v/>
      </c>
      <c r="C2933" t="str">
        <f t="shared" si="90"/>
        <v/>
      </c>
      <c r="D2933" t="str">
        <f>IF(A2933="","",SUMIFS(Акты!$D$5:$D$16,Акты!$E$5:$E$16,"&lt;="&amp;A2933)-SUMIFS(Оплаты!$B$6:$B$505,Оплаты!$A$6:$A$505,"&lt;"&amp;A2933,Оплаты!$D$6:$D$505,"&lt;&gt;"))</f>
        <v/>
      </c>
      <c r="E2933" t="str">
        <f>IF(A2933="","",IF(SUMPRODUCT((Ввод!$F$12:$F$31&lt;&gt;"")*(Ввод!$F$12:$F$31&lt;=A2933)*(Ввод!$G$12:$G$31&gt;=A2933))&gt;0,1,0))</f>
        <v/>
      </c>
      <c r="G2933" t="str">
        <f t="shared" si="91"/>
        <v/>
      </c>
    </row>
    <row r="2934" spans="1:7" x14ac:dyDescent="0.3">
      <c r="A2934" s="21" t="str">
        <f>IF(A2933="","",IF(A2933+1&gt;Ввод!$B$4,"",A2933+1))</f>
        <v/>
      </c>
      <c r="B2934" s="23" t="str">
        <f>IF(A2934="","",IFERROR(INDEX(Ввод!$B$12:$B$71,MATCH(A2934,Ввод!$D$12:$D$71,1)),""))</f>
        <v/>
      </c>
      <c r="C2934" t="str">
        <f t="shared" si="90"/>
        <v/>
      </c>
      <c r="D2934" t="str">
        <f>IF(A2934="","",SUMIFS(Акты!$D$5:$D$16,Акты!$E$5:$E$16,"&lt;="&amp;A2934)-SUMIFS(Оплаты!$B$6:$B$505,Оплаты!$A$6:$A$505,"&lt;"&amp;A2934,Оплаты!$D$6:$D$505,"&lt;&gt;"))</f>
        <v/>
      </c>
      <c r="E2934" t="str">
        <f>IF(A2934="","",IF(SUMPRODUCT((Ввод!$F$12:$F$31&lt;&gt;"")*(Ввод!$F$12:$F$31&lt;=A2934)*(Ввод!$G$12:$G$31&gt;=A2934))&gt;0,1,0))</f>
        <v/>
      </c>
      <c r="G2934" t="str">
        <f t="shared" si="91"/>
        <v/>
      </c>
    </row>
    <row r="2935" spans="1:7" x14ac:dyDescent="0.3">
      <c r="A2935" s="21" t="str">
        <f>IF(A2934="","",IF(A2934+1&gt;Ввод!$B$4,"",A2934+1))</f>
        <v/>
      </c>
      <c r="B2935" s="23" t="str">
        <f>IF(A2935="","",IFERROR(INDEX(Ввод!$B$12:$B$71,MATCH(A2935,Ввод!$D$12:$D$71,1)),""))</f>
        <v/>
      </c>
      <c r="C2935" t="str">
        <f t="shared" si="90"/>
        <v/>
      </c>
      <c r="D2935" t="str">
        <f>IF(A2935="","",SUMIFS(Акты!$D$5:$D$16,Акты!$E$5:$E$16,"&lt;="&amp;A2935)-SUMIFS(Оплаты!$B$6:$B$505,Оплаты!$A$6:$A$505,"&lt;"&amp;A2935,Оплаты!$D$6:$D$505,"&lt;&gt;"))</f>
        <v/>
      </c>
      <c r="E2935" t="str">
        <f>IF(A2935="","",IF(SUMPRODUCT((Ввод!$F$12:$F$31&lt;&gt;"")*(Ввод!$F$12:$F$31&lt;=A2935)*(Ввод!$G$12:$G$31&gt;=A2935))&gt;0,1,0))</f>
        <v/>
      </c>
      <c r="G2935" t="str">
        <f t="shared" si="91"/>
        <v/>
      </c>
    </row>
    <row r="2936" spans="1:7" x14ac:dyDescent="0.3">
      <c r="A2936" s="21" t="str">
        <f>IF(A2935="","",IF(A2935+1&gt;Ввод!$B$4,"",A2935+1))</f>
        <v/>
      </c>
      <c r="B2936" s="23" t="str">
        <f>IF(A2936="","",IFERROR(INDEX(Ввод!$B$12:$B$71,MATCH(A2936,Ввод!$D$12:$D$71,1)),""))</f>
        <v/>
      </c>
      <c r="C2936" t="str">
        <f t="shared" si="90"/>
        <v/>
      </c>
      <c r="D2936" t="str">
        <f>IF(A2936="","",SUMIFS(Акты!$D$5:$D$16,Акты!$E$5:$E$16,"&lt;="&amp;A2936)-SUMIFS(Оплаты!$B$6:$B$505,Оплаты!$A$6:$A$505,"&lt;"&amp;A2936,Оплаты!$D$6:$D$505,"&lt;&gt;"))</f>
        <v/>
      </c>
      <c r="E2936" t="str">
        <f>IF(A2936="","",IF(SUMPRODUCT((Ввод!$F$12:$F$31&lt;&gt;"")*(Ввод!$F$12:$F$31&lt;=A2936)*(Ввод!$G$12:$G$31&gt;=A2936))&gt;0,1,0))</f>
        <v/>
      </c>
      <c r="G2936" t="str">
        <f t="shared" si="91"/>
        <v/>
      </c>
    </row>
    <row r="2937" spans="1:7" x14ac:dyDescent="0.3">
      <c r="A2937" s="21" t="str">
        <f>IF(A2936="","",IF(A2936+1&gt;Ввод!$B$4,"",A2936+1))</f>
        <v/>
      </c>
      <c r="B2937" s="23" t="str">
        <f>IF(A2937="","",IFERROR(INDEX(Ввод!$B$12:$B$71,MATCH(A2937,Ввод!$D$12:$D$71,1)),""))</f>
        <v/>
      </c>
      <c r="C2937" t="str">
        <f t="shared" si="90"/>
        <v/>
      </c>
      <c r="D2937" t="str">
        <f>IF(A2937="","",SUMIFS(Акты!$D$5:$D$16,Акты!$E$5:$E$16,"&lt;="&amp;A2937)-SUMIFS(Оплаты!$B$6:$B$505,Оплаты!$A$6:$A$505,"&lt;"&amp;A2937,Оплаты!$D$6:$D$505,"&lt;&gt;"))</f>
        <v/>
      </c>
      <c r="E2937" t="str">
        <f>IF(A2937="","",IF(SUMPRODUCT((Ввод!$F$12:$F$31&lt;&gt;"")*(Ввод!$F$12:$F$31&lt;=A2937)*(Ввод!$G$12:$G$31&gt;=A2937))&gt;0,1,0))</f>
        <v/>
      </c>
      <c r="G2937" t="str">
        <f t="shared" si="91"/>
        <v/>
      </c>
    </row>
    <row r="2938" spans="1:7" x14ac:dyDescent="0.3">
      <c r="A2938" s="21" t="str">
        <f>IF(A2937="","",IF(A2937+1&gt;Ввод!$B$4,"",A2937+1))</f>
        <v/>
      </c>
      <c r="B2938" s="23" t="str">
        <f>IF(A2938="","",IFERROR(INDEX(Ввод!$B$12:$B$71,MATCH(A2938,Ввод!$D$12:$D$71,1)),""))</f>
        <v/>
      </c>
      <c r="C2938" t="str">
        <f t="shared" si="90"/>
        <v/>
      </c>
      <c r="D2938" t="str">
        <f>IF(A2938="","",SUMIFS(Акты!$D$5:$D$16,Акты!$E$5:$E$16,"&lt;="&amp;A2938)-SUMIFS(Оплаты!$B$6:$B$505,Оплаты!$A$6:$A$505,"&lt;"&amp;A2938,Оплаты!$D$6:$D$505,"&lt;&gt;"))</f>
        <v/>
      </c>
      <c r="E2938" t="str">
        <f>IF(A2938="","",IF(SUMPRODUCT((Ввод!$F$12:$F$31&lt;&gt;"")*(Ввод!$F$12:$F$31&lt;=A2938)*(Ввод!$G$12:$G$31&gt;=A2938))&gt;0,1,0))</f>
        <v/>
      </c>
      <c r="G2938" t="str">
        <f t="shared" si="91"/>
        <v/>
      </c>
    </row>
    <row r="2939" spans="1:7" x14ac:dyDescent="0.3">
      <c r="A2939" s="21" t="str">
        <f>IF(A2938="","",IF(A2938+1&gt;Ввод!$B$4,"",A2938+1))</f>
        <v/>
      </c>
      <c r="B2939" s="23" t="str">
        <f>IF(A2939="","",IFERROR(INDEX(Ввод!$B$12:$B$71,MATCH(A2939,Ввод!$D$12:$D$71,1)),""))</f>
        <v/>
      </c>
      <c r="C2939" t="str">
        <f t="shared" si="90"/>
        <v/>
      </c>
      <c r="D2939" t="str">
        <f>IF(A2939="","",SUMIFS(Акты!$D$5:$D$16,Акты!$E$5:$E$16,"&lt;="&amp;A2939)-SUMIFS(Оплаты!$B$6:$B$505,Оплаты!$A$6:$A$505,"&lt;"&amp;A2939,Оплаты!$D$6:$D$505,"&lt;&gt;"))</f>
        <v/>
      </c>
      <c r="E2939" t="str">
        <f>IF(A2939="","",IF(SUMPRODUCT((Ввод!$F$12:$F$31&lt;&gt;"")*(Ввод!$F$12:$F$31&lt;=A2939)*(Ввод!$G$12:$G$31&gt;=A2939))&gt;0,1,0))</f>
        <v/>
      </c>
      <c r="G2939" t="str">
        <f t="shared" si="91"/>
        <v/>
      </c>
    </row>
    <row r="2940" spans="1:7" x14ac:dyDescent="0.3">
      <c r="A2940" s="21" t="str">
        <f>IF(A2939="","",IF(A2939+1&gt;Ввод!$B$4,"",A2939+1))</f>
        <v/>
      </c>
      <c r="B2940" s="23" t="str">
        <f>IF(A2940="","",IFERROR(INDEX(Ввод!$B$12:$B$71,MATCH(A2940,Ввод!$D$12:$D$71,1)),""))</f>
        <v/>
      </c>
      <c r="C2940" t="str">
        <f t="shared" si="90"/>
        <v/>
      </c>
      <c r="D2940" t="str">
        <f>IF(A2940="","",SUMIFS(Акты!$D$5:$D$16,Акты!$E$5:$E$16,"&lt;="&amp;A2940)-SUMIFS(Оплаты!$B$6:$B$505,Оплаты!$A$6:$A$505,"&lt;"&amp;A2940,Оплаты!$D$6:$D$505,"&lt;&gt;"))</f>
        <v/>
      </c>
      <c r="E2940" t="str">
        <f>IF(A2940="","",IF(SUMPRODUCT((Ввод!$F$12:$F$31&lt;&gt;"")*(Ввод!$F$12:$F$31&lt;=A2940)*(Ввод!$G$12:$G$31&gt;=A2940))&gt;0,1,0))</f>
        <v/>
      </c>
      <c r="G2940" t="str">
        <f t="shared" si="91"/>
        <v/>
      </c>
    </row>
    <row r="2941" spans="1:7" x14ac:dyDescent="0.3">
      <c r="A2941" s="21" t="str">
        <f>IF(A2940="","",IF(A2940+1&gt;Ввод!$B$4,"",A2940+1))</f>
        <v/>
      </c>
      <c r="B2941" s="23" t="str">
        <f>IF(A2941="","",IFERROR(INDEX(Ввод!$B$12:$B$71,MATCH(A2941,Ввод!$D$12:$D$71,1)),""))</f>
        <v/>
      </c>
      <c r="C2941" t="str">
        <f t="shared" si="90"/>
        <v/>
      </c>
      <c r="D2941" t="str">
        <f>IF(A2941="","",SUMIFS(Акты!$D$5:$D$16,Акты!$E$5:$E$16,"&lt;="&amp;A2941)-SUMIFS(Оплаты!$B$6:$B$505,Оплаты!$A$6:$A$505,"&lt;"&amp;A2941,Оплаты!$D$6:$D$505,"&lt;&gt;"))</f>
        <v/>
      </c>
      <c r="E2941" t="str">
        <f>IF(A2941="","",IF(SUMPRODUCT((Ввод!$F$12:$F$31&lt;&gt;"")*(Ввод!$F$12:$F$31&lt;=A2941)*(Ввод!$G$12:$G$31&gt;=A2941))&gt;0,1,0))</f>
        <v/>
      </c>
      <c r="G2941" t="str">
        <f t="shared" si="91"/>
        <v/>
      </c>
    </row>
    <row r="2942" spans="1:7" x14ac:dyDescent="0.3">
      <c r="A2942" s="21" t="str">
        <f>IF(A2941="","",IF(A2941+1&gt;Ввод!$B$4,"",A2941+1))</f>
        <v/>
      </c>
      <c r="B2942" s="23" t="str">
        <f>IF(A2942="","",IFERROR(INDEX(Ввод!$B$12:$B$71,MATCH(A2942,Ввод!$D$12:$D$71,1)),""))</f>
        <v/>
      </c>
      <c r="C2942" t="str">
        <f t="shared" si="90"/>
        <v/>
      </c>
      <c r="D2942" t="str">
        <f>IF(A2942="","",SUMIFS(Акты!$D$5:$D$16,Акты!$E$5:$E$16,"&lt;="&amp;A2942)-SUMIFS(Оплаты!$B$6:$B$505,Оплаты!$A$6:$A$505,"&lt;"&amp;A2942,Оплаты!$D$6:$D$505,"&lt;&gt;"))</f>
        <v/>
      </c>
      <c r="E2942" t="str">
        <f>IF(A2942="","",IF(SUMPRODUCT((Ввод!$F$12:$F$31&lt;&gt;"")*(Ввод!$F$12:$F$31&lt;=A2942)*(Ввод!$G$12:$G$31&gt;=A2942))&gt;0,1,0))</f>
        <v/>
      </c>
      <c r="G2942" t="str">
        <f t="shared" si="91"/>
        <v/>
      </c>
    </row>
    <row r="2943" spans="1:7" x14ac:dyDescent="0.3">
      <c r="A2943" s="21" t="str">
        <f>IF(A2942="","",IF(A2942+1&gt;Ввод!$B$4,"",A2942+1))</f>
        <v/>
      </c>
      <c r="B2943" s="23" t="str">
        <f>IF(A2943="","",IFERROR(INDEX(Ввод!$B$12:$B$71,MATCH(A2943,Ввод!$D$12:$D$71,1)),""))</f>
        <v/>
      </c>
      <c r="C2943" t="str">
        <f t="shared" si="90"/>
        <v/>
      </c>
      <c r="D2943" t="str">
        <f>IF(A2943="","",SUMIFS(Акты!$D$5:$D$16,Акты!$E$5:$E$16,"&lt;="&amp;A2943)-SUMIFS(Оплаты!$B$6:$B$505,Оплаты!$A$6:$A$505,"&lt;"&amp;A2943,Оплаты!$D$6:$D$505,"&lt;&gt;"))</f>
        <v/>
      </c>
      <c r="E2943" t="str">
        <f>IF(A2943="","",IF(SUMPRODUCT((Ввод!$F$12:$F$31&lt;&gt;"")*(Ввод!$F$12:$F$31&lt;=A2943)*(Ввод!$G$12:$G$31&gt;=A2943))&gt;0,1,0))</f>
        <v/>
      </c>
      <c r="G2943" t="str">
        <f t="shared" si="91"/>
        <v/>
      </c>
    </row>
    <row r="2944" spans="1:7" x14ac:dyDescent="0.3">
      <c r="A2944" s="21" t="str">
        <f>IF(A2943="","",IF(A2943+1&gt;Ввод!$B$4,"",A2943+1))</f>
        <v/>
      </c>
      <c r="B2944" s="23" t="str">
        <f>IF(A2944="","",IFERROR(INDEX(Ввод!$B$12:$B$71,MATCH(A2944,Ввод!$D$12:$D$71,1)),""))</f>
        <v/>
      </c>
      <c r="C2944" t="str">
        <f t="shared" si="90"/>
        <v/>
      </c>
      <c r="D2944" t="str">
        <f>IF(A2944="","",SUMIFS(Акты!$D$5:$D$16,Акты!$E$5:$E$16,"&lt;="&amp;A2944)-SUMIFS(Оплаты!$B$6:$B$505,Оплаты!$A$6:$A$505,"&lt;"&amp;A2944,Оплаты!$D$6:$D$505,"&lt;&gt;"))</f>
        <v/>
      </c>
      <c r="E2944" t="str">
        <f>IF(A2944="","",IF(SUMPRODUCT((Ввод!$F$12:$F$31&lt;&gt;"")*(Ввод!$F$12:$F$31&lt;=A2944)*(Ввод!$G$12:$G$31&gt;=A2944))&gt;0,1,0))</f>
        <v/>
      </c>
      <c r="G2944" t="str">
        <f t="shared" si="91"/>
        <v/>
      </c>
    </row>
    <row r="2945" spans="1:7" x14ac:dyDescent="0.3">
      <c r="A2945" s="21" t="str">
        <f>IF(A2944="","",IF(A2944+1&gt;Ввод!$B$4,"",A2944+1))</f>
        <v/>
      </c>
      <c r="B2945" s="23" t="str">
        <f>IF(A2945="","",IFERROR(INDEX(Ввод!$B$12:$B$71,MATCH(A2945,Ввод!$D$12:$D$71,1)),""))</f>
        <v/>
      </c>
      <c r="C2945" t="str">
        <f t="shared" si="90"/>
        <v/>
      </c>
      <c r="D2945" t="str">
        <f>IF(A2945="","",SUMIFS(Акты!$D$5:$D$16,Акты!$E$5:$E$16,"&lt;="&amp;A2945)-SUMIFS(Оплаты!$B$6:$B$505,Оплаты!$A$6:$A$505,"&lt;"&amp;A2945,Оплаты!$D$6:$D$505,"&lt;&gt;"))</f>
        <v/>
      </c>
      <c r="E2945" t="str">
        <f>IF(A2945="","",IF(SUMPRODUCT((Ввод!$F$12:$F$31&lt;&gt;"")*(Ввод!$F$12:$F$31&lt;=A2945)*(Ввод!$G$12:$G$31&gt;=A2945))&gt;0,1,0))</f>
        <v/>
      </c>
      <c r="G2945" t="str">
        <f t="shared" si="91"/>
        <v/>
      </c>
    </row>
    <row r="2946" spans="1:7" x14ac:dyDescent="0.3">
      <c r="A2946" s="21" t="str">
        <f>IF(A2945="","",IF(A2945+1&gt;Ввод!$B$4,"",A2945+1))</f>
        <v/>
      </c>
      <c r="B2946" s="23" t="str">
        <f>IF(A2946="","",IFERROR(INDEX(Ввод!$B$12:$B$71,MATCH(A2946,Ввод!$D$12:$D$71,1)),""))</f>
        <v/>
      </c>
      <c r="C2946" t="str">
        <f t="shared" ref="C2946:C3009" si="92">IF(A2946="","",DATE(YEAR(A2946),12,31)-DATE(YEAR(A2946),1,1)+1)</f>
        <v/>
      </c>
      <c r="D2946" t="str">
        <f>IF(A2946="","",SUMIFS(Акты!$D$5:$D$16,Акты!$E$5:$E$16,"&lt;="&amp;A2946)-SUMIFS(Оплаты!$B$6:$B$505,Оплаты!$A$6:$A$505,"&lt;"&amp;A2946,Оплаты!$D$6:$D$505,"&lt;&gt;"))</f>
        <v/>
      </c>
      <c r="E2946" t="str">
        <f>IF(A2946="","",IF(SUMPRODUCT((Ввод!$F$12:$F$31&lt;&gt;"")*(Ввод!$F$12:$F$31&lt;=A2946)*(Ввод!$G$12:$G$31&gt;=A2946))&gt;0,1,0))</f>
        <v/>
      </c>
      <c r="G2946" t="str">
        <f t="shared" si="91"/>
        <v/>
      </c>
    </row>
    <row r="2947" spans="1:7" x14ac:dyDescent="0.3">
      <c r="A2947" s="21" t="str">
        <f>IF(A2946="","",IF(A2946+1&gt;Ввод!$B$4,"",A2946+1))</f>
        <v/>
      </c>
      <c r="B2947" s="23" t="str">
        <f>IF(A2947="","",IFERROR(INDEX(Ввод!$B$12:$B$71,MATCH(A2947,Ввод!$D$12:$D$71,1)),""))</f>
        <v/>
      </c>
      <c r="C2947" t="str">
        <f t="shared" si="92"/>
        <v/>
      </c>
      <c r="D2947" t="str">
        <f>IF(A2947="","",SUMIFS(Акты!$D$5:$D$16,Акты!$E$5:$E$16,"&lt;="&amp;A2947)-SUMIFS(Оплаты!$B$6:$B$505,Оплаты!$A$6:$A$505,"&lt;"&amp;A2947,Оплаты!$D$6:$D$505,"&lt;&gt;"))</f>
        <v/>
      </c>
      <c r="E2947" t="str">
        <f>IF(A2947="","",IF(SUMPRODUCT((Ввод!$F$12:$F$31&lt;&gt;"")*(Ввод!$F$12:$F$31&lt;=A2947)*(Ввод!$G$12:$G$31&gt;=A2947))&gt;0,1,0))</f>
        <v/>
      </c>
      <c r="G2947" t="str">
        <f t="shared" ref="G2947:G3010" si="93">IF(A2947="","",IF(OR(B2947&lt;&gt;B2946,C2947&lt;&gt;C2946,E2947&lt;&gt;E2946),G2946+1,G2946))</f>
        <v/>
      </c>
    </row>
    <row r="2948" spans="1:7" x14ac:dyDescent="0.3">
      <c r="A2948" s="21" t="str">
        <f>IF(A2947="","",IF(A2947+1&gt;Ввод!$B$4,"",A2947+1))</f>
        <v/>
      </c>
      <c r="B2948" s="23" t="str">
        <f>IF(A2948="","",IFERROR(INDEX(Ввод!$B$12:$B$71,MATCH(A2948,Ввод!$D$12:$D$71,1)),""))</f>
        <v/>
      </c>
      <c r="C2948" t="str">
        <f t="shared" si="92"/>
        <v/>
      </c>
      <c r="D2948" t="str">
        <f>IF(A2948="","",SUMIFS(Акты!$D$5:$D$16,Акты!$E$5:$E$16,"&lt;="&amp;A2948)-SUMIFS(Оплаты!$B$6:$B$505,Оплаты!$A$6:$A$505,"&lt;"&amp;A2948,Оплаты!$D$6:$D$505,"&lt;&gt;"))</f>
        <v/>
      </c>
      <c r="E2948" t="str">
        <f>IF(A2948="","",IF(SUMPRODUCT((Ввод!$F$12:$F$31&lt;&gt;"")*(Ввод!$F$12:$F$31&lt;=A2948)*(Ввод!$G$12:$G$31&gt;=A2948))&gt;0,1,0))</f>
        <v/>
      </c>
      <c r="G2948" t="str">
        <f t="shared" si="93"/>
        <v/>
      </c>
    </row>
    <row r="2949" spans="1:7" x14ac:dyDescent="0.3">
      <c r="A2949" s="21" t="str">
        <f>IF(A2948="","",IF(A2948+1&gt;Ввод!$B$4,"",A2948+1))</f>
        <v/>
      </c>
      <c r="B2949" s="23" t="str">
        <f>IF(A2949="","",IFERROR(INDEX(Ввод!$B$12:$B$71,MATCH(A2949,Ввод!$D$12:$D$71,1)),""))</f>
        <v/>
      </c>
      <c r="C2949" t="str">
        <f t="shared" si="92"/>
        <v/>
      </c>
      <c r="D2949" t="str">
        <f>IF(A2949="","",SUMIFS(Акты!$D$5:$D$16,Акты!$E$5:$E$16,"&lt;="&amp;A2949)-SUMIFS(Оплаты!$B$6:$B$505,Оплаты!$A$6:$A$505,"&lt;"&amp;A2949,Оплаты!$D$6:$D$505,"&lt;&gt;"))</f>
        <v/>
      </c>
      <c r="E2949" t="str">
        <f>IF(A2949="","",IF(SUMPRODUCT((Ввод!$F$12:$F$31&lt;&gt;"")*(Ввод!$F$12:$F$31&lt;=A2949)*(Ввод!$G$12:$G$31&gt;=A2949))&gt;0,1,0))</f>
        <v/>
      </c>
      <c r="G2949" t="str">
        <f t="shared" si="93"/>
        <v/>
      </c>
    </row>
    <row r="2950" spans="1:7" x14ac:dyDescent="0.3">
      <c r="A2950" s="21" t="str">
        <f>IF(A2949="","",IF(A2949+1&gt;Ввод!$B$4,"",A2949+1))</f>
        <v/>
      </c>
      <c r="B2950" s="23" t="str">
        <f>IF(A2950="","",IFERROR(INDEX(Ввод!$B$12:$B$71,MATCH(A2950,Ввод!$D$12:$D$71,1)),""))</f>
        <v/>
      </c>
      <c r="C2950" t="str">
        <f t="shared" si="92"/>
        <v/>
      </c>
      <c r="D2950" t="str">
        <f>IF(A2950="","",SUMIFS(Акты!$D$5:$D$16,Акты!$E$5:$E$16,"&lt;="&amp;A2950)-SUMIFS(Оплаты!$B$6:$B$505,Оплаты!$A$6:$A$505,"&lt;"&amp;A2950,Оплаты!$D$6:$D$505,"&lt;&gt;"))</f>
        <v/>
      </c>
      <c r="E2950" t="str">
        <f>IF(A2950="","",IF(SUMPRODUCT((Ввод!$F$12:$F$31&lt;&gt;"")*(Ввод!$F$12:$F$31&lt;=A2950)*(Ввод!$G$12:$G$31&gt;=A2950))&gt;0,1,0))</f>
        <v/>
      </c>
      <c r="G2950" t="str">
        <f t="shared" si="93"/>
        <v/>
      </c>
    </row>
    <row r="2951" spans="1:7" x14ac:dyDescent="0.3">
      <c r="A2951" s="21" t="str">
        <f>IF(A2950="","",IF(A2950+1&gt;Ввод!$B$4,"",A2950+1))</f>
        <v/>
      </c>
      <c r="B2951" s="23" t="str">
        <f>IF(A2951="","",IFERROR(INDEX(Ввод!$B$12:$B$71,MATCH(A2951,Ввод!$D$12:$D$71,1)),""))</f>
        <v/>
      </c>
      <c r="C2951" t="str">
        <f t="shared" si="92"/>
        <v/>
      </c>
      <c r="D2951" t="str">
        <f>IF(A2951="","",SUMIFS(Акты!$D$5:$D$16,Акты!$E$5:$E$16,"&lt;="&amp;A2951)-SUMIFS(Оплаты!$B$6:$B$505,Оплаты!$A$6:$A$505,"&lt;"&amp;A2951,Оплаты!$D$6:$D$505,"&lt;&gt;"))</f>
        <v/>
      </c>
      <c r="E2951" t="str">
        <f>IF(A2951="","",IF(SUMPRODUCT((Ввод!$F$12:$F$31&lt;&gt;"")*(Ввод!$F$12:$F$31&lt;=A2951)*(Ввод!$G$12:$G$31&gt;=A2951))&gt;0,1,0))</f>
        <v/>
      </c>
      <c r="G2951" t="str">
        <f t="shared" si="93"/>
        <v/>
      </c>
    </row>
    <row r="2952" spans="1:7" x14ac:dyDescent="0.3">
      <c r="A2952" s="21" t="str">
        <f>IF(A2951="","",IF(A2951+1&gt;Ввод!$B$4,"",A2951+1))</f>
        <v/>
      </c>
      <c r="B2952" s="23" t="str">
        <f>IF(A2952="","",IFERROR(INDEX(Ввод!$B$12:$B$71,MATCH(A2952,Ввод!$D$12:$D$71,1)),""))</f>
        <v/>
      </c>
      <c r="C2952" t="str">
        <f t="shared" si="92"/>
        <v/>
      </c>
      <c r="D2952" t="str">
        <f>IF(A2952="","",SUMIFS(Акты!$D$5:$D$16,Акты!$E$5:$E$16,"&lt;="&amp;A2952)-SUMIFS(Оплаты!$B$6:$B$505,Оплаты!$A$6:$A$505,"&lt;"&amp;A2952,Оплаты!$D$6:$D$505,"&lt;&gt;"))</f>
        <v/>
      </c>
      <c r="E2952" t="str">
        <f>IF(A2952="","",IF(SUMPRODUCT((Ввод!$F$12:$F$31&lt;&gt;"")*(Ввод!$F$12:$F$31&lt;=A2952)*(Ввод!$G$12:$G$31&gt;=A2952))&gt;0,1,0))</f>
        <v/>
      </c>
      <c r="G2952" t="str">
        <f t="shared" si="93"/>
        <v/>
      </c>
    </row>
    <row r="2953" spans="1:7" x14ac:dyDescent="0.3">
      <c r="A2953" s="21" t="str">
        <f>IF(A2952="","",IF(A2952+1&gt;Ввод!$B$4,"",A2952+1))</f>
        <v/>
      </c>
      <c r="B2953" s="23" t="str">
        <f>IF(A2953="","",IFERROR(INDEX(Ввод!$B$12:$B$71,MATCH(A2953,Ввод!$D$12:$D$71,1)),""))</f>
        <v/>
      </c>
      <c r="C2953" t="str">
        <f t="shared" si="92"/>
        <v/>
      </c>
      <c r="D2953" t="str">
        <f>IF(A2953="","",SUMIFS(Акты!$D$5:$D$16,Акты!$E$5:$E$16,"&lt;="&amp;A2953)-SUMIFS(Оплаты!$B$6:$B$505,Оплаты!$A$6:$A$505,"&lt;"&amp;A2953,Оплаты!$D$6:$D$505,"&lt;&gt;"))</f>
        <v/>
      </c>
      <c r="E2953" t="str">
        <f>IF(A2953="","",IF(SUMPRODUCT((Ввод!$F$12:$F$31&lt;&gt;"")*(Ввод!$F$12:$F$31&lt;=A2953)*(Ввод!$G$12:$G$31&gt;=A2953))&gt;0,1,0))</f>
        <v/>
      </c>
      <c r="G2953" t="str">
        <f t="shared" si="93"/>
        <v/>
      </c>
    </row>
    <row r="2954" spans="1:7" x14ac:dyDescent="0.3">
      <c r="A2954" s="21" t="str">
        <f>IF(A2953="","",IF(A2953+1&gt;Ввод!$B$4,"",A2953+1))</f>
        <v/>
      </c>
      <c r="B2954" s="23" t="str">
        <f>IF(A2954="","",IFERROR(INDEX(Ввод!$B$12:$B$71,MATCH(A2954,Ввод!$D$12:$D$71,1)),""))</f>
        <v/>
      </c>
      <c r="C2954" t="str">
        <f t="shared" si="92"/>
        <v/>
      </c>
      <c r="D2954" t="str">
        <f>IF(A2954="","",SUMIFS(Акты!$D$5:$D$16,Акты!$E$5:$E$16,"&lt;="&amp;A2954)-SUMIFS(Оплаты!$B$6:$B$505,Оплаты!$A$6:$A$505,"&lt;"&amp;A2954,Оплаты!$D$6:$D$505,"&lt;&gt;"))</f>
        <v/>
      </c>
      <c r="E2954" t="str">
        <f>IF(A2954="","",IF(SUMPRODUCT((Ввод!$F$12:$F$31&lt;&gt;"")*(Ввод!$F$12:$F$31&lt;=A2954)*(Ввод!$G$12:$G$31&gt;=A2954))&gt;0,1,0))</f>
        <v/>
      </c>
      <c r="G2954" t="str">
        <f t="shared" si="93"/>
        <v/>
      </c>
    </row>
    <row r="2955" spans="1:7" x14ac:dyDescent="0.3">
      <c r="A2955" s="21" t="str">
        <f>IF(A2954="","",IF(A2954+1&gt;Ввод!$B$4,"",A2954+1))</f>
        <v/>
      </c>
      <c r="B2955" s="23" t="str">
        <f>IF(A2955="","",IFERROR(INDEX(Ввод!$B$12:$B$71,MATCH(A2955,Ввод!$D$12:$D$71,1)),""))</f>
        <v/>
      </c>
      <c r="C2955" t="str">
        <f t="shared" si="92"/>
        <v/>
      </c>
      <c r="D2955" t="str">
        <f>IF(A2955="","",SUMIFS(Акты!$D$5:$D$16,Акты!$E$5:$E$16,"&lt;="&amp;A2955)-SUMIFS(Оплаты!$B$6:$B$505,Оплаты!$A$6:$A$505,"&lt;"&amp;A2955,Оплаты!$D$6:$D$505,"&lt;&gt;"))</f>
        <v/>
      </c>
      <c r="E2955" t="str">
        <f>IF(A2955="","",IF(SUMPRODUCT((Ввод!$F$12:$F$31&lt;&gt;"")*(Ввод!$F$12:$F$31&lt;=A2955)*(Ввод!$G$12:$G$31&gt;=A2955))&gt;0,1,0))</f>
        <v/>
      </c>
      <c r="G2955" t="str">
        <f t="shared" si="93"/>
        <v/>
      </c>
    </row>
    <row r="2956" spans="1:7" x14ac:dyDescent="0.3">
      <c r="A2956" s="21" t="str">
        <f>IF(A2955="","",IF(A2955+1&gt;Ввод!$B$4,"",A2955+1))</f>
        <v/>
      </c>
      <c r="B2956" s="23" t="str">
        <f>IF(A2956="","",IFERROR(INDEX(Ввод!$B$12:$B$71,MATCH(A2956,Ввод!$D$12:$D$71,1)),""))</f>
        <v/>
      </c>
      <c r="C2956" t="str">
        <f t="shared" si="92"/>
        <v/>
      </c>
      <c r="D2956" t="str">
        <f>IF(A2956="","",SUMIFS(Акты!$D$5:$D$16,Акты!$E$5:$E$16,"&lt;="&amp;A2956)-SUMIFS(Оплаты!$B$6:$B$505,Оплаты!$A$6:$A$505,"&lt;"&amp;A2956,Оплаты!$D$6:$D$505,"&lt;&gt;"))</f>
        <v/>
      </c>
      <c r="E2956" t="str">
        <f>IF(A2956="","",IF(SUMPRODUCT((Ввод!$F$12:$F$31&lt;&gt;"")*(Ввод!$F$12:$F$31&lt;=A2956)*(Ввод!$G$12:$G$31&gt;=A2956))&gt;0,1,0))</f>
        <v/>
      </c>
      <c r="G2956" t="str">
        <f t="shared" si="93"/>
        <v/>
      </c>
    </row>
    <row r="2957" spans="1:7" x14ac:dyDescent="0.3">
      <c r="A2957" s="21" t="str">
        <f>IF(A2956="","",IF(A2956+1&gt;Ввод!$B$4,"",A2956+1))</f>
        <v/>
      </c>
      <c r="B2957" s="23" t="str">
        <f>IF(A2957="","",IFERROR(INDEX(Ввод!$B$12:$B$71,MATCH(A2957,Ввод!$D$12:$D$71,1)),""))</f>
        <v/>
      </c>
      <c r="C2957" t="str">
        <f t="shared" si="92"/>
        <v/>
      </c>
      <c r="D2957" t="str">
        <f>IF(A2957="","",SUMIFS(Акты!$D$5:$D$16,Акты!$E$5:$E$16,"&lt;="&amp;A2957)-SUMIFS(Оплаты!$B$6:$B$505,Оплаты!$A$6:$A$505,"&lt;"&amp;A2957,Оплаты!$D$6:$D$505,"&lt;&gt;"))</f>
        <v/>
      </c>
      <c r="E2957" t="str">
        <f>IF(A2957="","",IF(SUMPRODUCT((Ввод!$F$12:$F$31&lt;&gt;"")*(Ввод!$F$12:$F$31&lt;=A2957)*(Ввод!$G$12:$G$31&gt;=A2957))&gt;0,1,0))</f>
        <v/>
      </c>
      <c r="G2957" t="str">
        <f t="shared" si="93"/>
        <v/>
      </c>
    </row>
    <row r="2958" spans="1:7" x14ac:dyDescent="0.3">
      <c r="A2958" s="21" t="str">
        <f>IF(A2957="","",IF(A2957+1&gt;Ввод!$B$4,"",A2957+1))</f>
        <v/>
      </c>
      <c r="B2958" s="23" t="str">
        <f>IF(A2958="","",IFERROR(INDEX(Ввод!$B$12:$B$71,MATCH(A2958,Ввод!$D$12:$D$71,1)),""))</f>
        <v/>
      </c>
      <c r="C2958" t="str">
        <f t="shared" si="92"/>
        <v/>
      </c>
      <c r="D2958" t="str">
        <f>IF(A2958="","",SUMIFS(Акты!$D$5:$D$16,Акты!$E$5:$E$16,"&lt;="&amp;A2958)-SUMIFS(Оплаты!$B$6:$B$505,Оплаты!$A$6:$A$505,"&lt;"&amp;A2958,Оплаты!$D$6:$D$505,"&lt;&gt;"))</f>
        <v/>
      </c>
      <c r="E2958" t="str">
        <f>IF(A2958="","",IF(SUMPRODUCT((Ввод!$F$12:$F$31&lt;&gt;"")*(Ввод!$F$12:$F$31&lt;=A2958)*(Ввод!$G$12:$G$31&gt;=A2958))&gt;0,1,0))</f>
        <v/>
      </c>
      <c r="G2958" t="str">
        <f t="shared" si="93"/>
        <v/>
      </c>
    </row>
    <row r="2959" spans="1:7" x14ac:dyDescent="0.3">
      <c r="A2959" s="21" t="str">
        <f>IF(A2958="","",IF(A2958+1&gt;Ввод!$B$4,"",A2958+1))</f>
        <v/>
      </c>
      <c r="B2959" s="23" t="str">
        <f>IF(A2959="","",IFERROR(INDEX(Ввод!$B$12:$B$71,MATCH(A2959,Ввод!$D$12:$D$71,1)),""))</f>
        <v/>
      </c>
      <c r="C2959" t="str">
        <f t="shared" si="92"/>
        <v/>
      </c>
      <c r="D2959" t="str">
        <f>IF(A2959="","",SUMIFS(Акты!$D$5:$D$16,Акты!$E$5:$E$16,"&lt;="&amp;A2959)-SUMIFS(Оплаты!$B$6:$B$505,Оплаты!$A$6:$A$505,"&lt;"&amp;A2959,Оплаты!$D$6:$D$505,"&lt;&gt;"))</f>
        <v/>
      </c>
      <c r="E2959" t="str">
        <f>IF(A2959="","",IF(SUMPRODUCT((Ввод!$F$12:$F$31&lt;&gt;"")*(Ввод!$F$12:$F$31&lt;=A2959)*(Ввод!$G$12:$G$31&gt;=A2959))&gt;0,1,0))</f>
        <v/>
      </c>
      <c r="G2959" t="str">
        <f t="shared" si="93"/>
        <v/>
      </c>
    </row>
    <row r="2960" spans="1:7" x14ac:dyDescent="0.3">
      <c r="A2960" s="21" t="str">
        <f>IF(A2959="","",IF(A2959+1&gt;Ввод!$B$4,"",A2959+1))</f>
        <v/>
      </c>
      <c r="B2960" s="23" t="str">
        <f>IF(A2960="","",IFERROR(INDEX(Ввод!$B$12:$B$71,MATCH(A2960,Ввод!$D$12:$D$71,1)),""))</f>
        <v/>
      </c>
      <c r="C2960" t="str">
        <f t="shared" si="92"/>
        <v/>
      </c>
      <c r="D2960" t="str">
        <f>IF(A2960="","",SUMIFS(Акты!$D$5:$D$16,Акты!$E$5:$E$16,"&lt;="&amp;A2960)-SUMIFS(Оплаты!$B$6:$B$505,Оплаты!$A$6:$A$505,"&lt;"&amp;A2960,Оплаты!$D$6:$D$505,"&lt;&gt;"))</f>
        <v/>
      </c>
      <c r="E2960" t="str">
        <f>IF(A2960="","",IF(SUMPRODUCT((Ввод!$F$12:$F$31&lt;&gt;"")*(Ввод!$F$12:$F$31&lt;=A2960)*(Ввод!$G$12:$G$31&gt;=A2960))&gt;0,1,0))</f>
        <v/>
      </c>
      <c r="G2960" t="str">
        <f t="shared" si="93"/>
        <v/>
      </c>
    </row>
    <row r="2961" spans="1:7" x14ac:dyDescent="0.3">
      <c r="A2961" s="21" t="str">
        <f>IF(A2960="","",IF(A2960+1&gt;Ввод!$B$4,"",A2960+1))</f>
        <v/>
      </c>
      <c r="B2961" s="23" t="str">
        <f>IF(A2961="","",IFERROR(INDEX(Ввод!$B$12:$B$71,MATCH(A2961,Ввод!$D$12:$D$71,1)),""))</f>
        <v/>
      </c>
      <c r="C2961" t="str">
        <f t="shared" si="92"/>
        <v/>
      </c>
      <c r="D2961" t="str">
        <f>IF(A2961="","",SUMIFS(Акты!$D$5:$D$16,Акты!$E$5:$E$16,"&lt;="&amp;A2961)-SUMIFS(Оплаты!$B$6:$B$505,Оплаты!$A$6:$A$505,"&lt;"&amp;A2961,Оплаты!$D$6:$D$505,"&lt;&gt;"))</f>
        <v/>
      </c>
      <c r="E2961" t="str">
        <f>IF(A2961="","",IF(SUMPRODUCT((Ввод!$F$12:$F$31&lt;&gt;"")*(Ввод!$F$12:$F$31&lt;=A2961)*(Ввод!$G$12:$G$31&gt;=A2961))&gt;0,1,0))</f>
        <v/>
      </c>
      <c r="G2961" t="str">
        <f t="shared" si="93"/>
        <v/>
      </c>
    </row>
    <row r="2962" spans="1:7" x14ac:dyDescent="0.3">
      <c r="A2962" s="21" t="str">
        <f>IF(A2961="","",IF(A2961+1&gt;Ввод!$B$4,"",A2961+1))</f>
        <v/>
      </c>
      <c r="B2962" s="23" t="str">
        <f>IF(A2962="","",IFERROR(INDEX(Ввод!$B$12:$B$71,MATCH(A2962,Ввод!$D$12:$D$71,1)),""))</f>
        <v/>
      </c>
      <c r="C2962" t="str">
        <f t="shared" si="92"/>
        <v/>
      </c>
      <c r="D2962" t="str">
        <f>IF(A2962="","",SUMIFS(Акты!$D$5:$D$16,Акты!$E$5:$E$16,"&lt;="&amp;A2962)-SUMIFS(Оплаты!$B$6:$B$505,Оплаты!$A$6:$A$505,"&lt;"&amp;A2962,Оплаты!$D$6:$D$505,"&lt;&gt;"))</f>
        <v/>
      </c>
      <c r="E2962" t="str">
        <f>IF(A2962="","",IF(SUMPRODUCT((Ввод!$F$12:$F$31&lt;&gt;"")*(Ввод!$F$12:$F$31&lt;=A2962)*(Ввод!$G$12:$G$31&gt;=A2962))&gt;0,1,0))</f>
        <v/>
      </c>
      <c r="G2962" t="str">
        <f t="shared" si="93"/>
        <v/>
      </c>
    </row>
    <row r="2963" spans="1:7" x14ac:dyDescent="0.3">
      <c r="A2963" s="21" t="str">
        <f>IF(A2962="","",IF(A2962+1&gt;Ввод!$B$4,"",A2962+1))</f>
        <v/>
      </c>
      <c r="B2963" s="23" t="str">
        <f>IF(A2963="","",IFERROR(INDEX(Ввод!$B$12:$B$71,MATCH(A2963,Ввод!$D$12:$D$71,1)),""))</f>
        <v/>
      </c>
      <c r="C2963" t="str">
        <f t="shared" si="92"/>
        <v/>
      </c>
      <c r="D2963" t="str">
        <f>IF(A2963="","",SUMIFS(Акты!$D$5:$D$16,Акты!$E$5:$E$16,"&lt;="&amp;A2963)-SUMIFS(Оплаты!$B$6:$B$505,Оплаты!$A$6:$A$505,"&lt;"&amp;A2963,Оплаты!$D$6:$D$505,"&lt;&gt;"))</f>
        <v/>
      </c>
      <c r="E2963" t="str">
        <f>IF(A2963="","",IF(SUMPRODUCT((Ввод!$F$12:$F$31&lt;&gt;"")*(Ввод!$F$12:$F$31&lt;=A2963)*(Ввод!$G$12:$G$31&gt;=A2963))&gt;0,1,0))</f>
        <v/>
      </c>
      <c r="G2963" t="str">
        <f t="shared" si="93"/>
        <v/>
      </c>
    </row>
    <row r="2964" spans="1:7" x14ac:dyDescent="0.3">
      <c r="A2964" s="21" t="str">
        <f>IF(A2963="","",IF(A2963+1&gt;Ввод!$B$4,"",A2963+1))</f>
        <v/>
      </c>
      <c r="B2964" s="23" t="str">
        <f>IF(A2964="","",IFERROR(INDEX(Ввод!$B$12:$B$71,MATCH(A2964,Ввод!$D$12:$D$71,1)),""))</f>
        <v/>
      </c>
      <c r="C2964" t="str">
        <f t="shared" si="92"/>
        <v/>
      </c>
      <c r="D2964" t="str">
        <f>IF(A2964="","",SUMIFS(Акты!$D$5:$D$16,Акты!$E$5:$E$16,"&lt;="&amp;A2964)-SUMIFS(Оплаты!$B$6:$B$505,Оплаты!$A$6:$A$505,"&lt;"&amp;A2964,Оплаты!$D$6:$D$505,"&lt;&gt;"))</f>
        <v/>
      </c>
      <c r="E2964" t="str">
        <f>IF(A2964="","",IF(SUMPRODUCT((Ввод!$F$12:$F$31&lt;&gt;"")*(Ввод!$F$12:$F$31&lt;=A2964)*(Ввод!$G$12:$G$31&gt;=A2964))&gt;0,1,0))</f>
        <v/>
      </c>
      <c r="G2964" t="str">
        <f t="shared" si="93"/>
        <v/>
      </c>
    </row>
    <row r="2965" spans="1:7" x14ac:dyDescent="0.3">
      <c r="A2965" s="21" t="str">
        <f>IF(A2964="","",IF(A2964+1&gt;Ввод!$B$4,"",A2964+1))</f>
        <v/>
      </c>
      <c r="B2965" s="23" t="str">
        <f>IF(A2965="","",IFERROR(INDEX(Ввод!$B$12:$B$71,MATCH(A2965,Ввод!$D$12:$D$71,1)),""))</f>
        <v/>
      </c>
      <c r="C2965" t="str">
        <f t="shared" si="92"/>
        <v/>
      </c>
      <c r="D2965" t="str">
        <f>IF(A2965="","",SUMIFS(Акты!$D$5:$D$16,Акты!$E$5:$E$16,"&lt;="&amp;A2965)-SUMIFS(Оплаты!$B$6:$B$505,Оплаты!$A$6:$A$505,"&lt;"&amp;A2965,Оплаты!$D$6:$D$505,"&lt;&gt;"))</f>
        <v/>
      </c>
      <c r="E2965" t="str">
        <f>IF(A2965="","",IF(SUMPRODUCT((Ввод!$F$12:$F$31&lt;&gt;"")*(Ввод!$F$12:$F$31&lt;=A2965)*(Ввод!$G$12:$G$31&gt;=A2965))&gt;0,1,0))</f>
        <v/>
      </c>
      <c r="G2965" t="str">
        <f t="shared" si="93"/>
        <v/>
      </c>
    </row>
    <row r="2966" spans="1:7" x14ac:dyDescent="0.3">
      <c r="A2966" s="21" t="str">
        <f>IF(A2965="","",IF(A2965+1&gt;Ввод!$B$4,"",A2965+1))</f>
        <v/>
      </c>
      <c r="B2966" s="23" t="str">
        <f>IF(A2966="","",IFERROR(INDEX(Ввод!$B$12:$B$71,MATCH(A2966,Ввод!$D$12:$D$71,1)),""))</f>
        <v/>
      </c>
      <c r="C2966" t="str">
        <f t="shared" si="92"/>
        <v/>
      </c>
      <c r="D2966" t="str">
        <f>IF(A2966="","",SUMIFS(Акты!$D$5:$D$16,Акты!$E$5:$E$16,"&lt;="&amp;A2966)-SUMIFS(Оплаты!$B$6:$B$505,Оплаты!$A$6:$A$505,"&lt;"&amp;A2966,Оплаты!$D$6:$D$505,"&lt;&gt;"))</f>
        <v/>
      </c>
      <c r="E2966" t="str">
        <f>IF(A2966="","",IF(SUMPRODUCT((Ввод!$F$12:$F$31&lt;&gt;"")*(Ввод!$F$12:$F$31&lt;=A2966)*(Ввод!$G$12:$G$31&gt;=A2966))&gt;0,1,0))</f>
        <v/>
      </c>
      <c r="G2966" t="str">
        <f t="shared" si="93"/>
        <v/>
      </c>
    </row>
    <row r="2967" spans="1:7" x14ac:dyDescent="0.3">
      <c r="A2967" s="21" t="str">
        <f>IF(A2966="","",IF(A2966+1&gt;Ввод!$B$4,"",A2966+1))</f>
        <v/>
      </c>
      <c r="B2967" s="23" t="str">
        <f>IF(A2967="","",IFERROR(INDEX(Ввод!$B$12:$B$71,MATCH(A2967,Ввод!$D$12:$D$71,1)),""))</f>
        <v/>
      </c>
      <c r="C2967" t="str">
        <f t="shared" si="92"/>
        <v/>
      </c>
      <c r="D2967" t="str">
        <f>IF(A2967="","",SUMIFS(Акты!$D$5:$D$16,Акты!$E$5:$E$16,"&lt;="&amp;A2967)-SUMIFS(Оплаты!$B$6:$B$505,Оплаты!$A$6:$A$505,"&lt;"&amp;A2967,Оплаты!$D$6:$D$505,"&lt;&gt;"))</f>
        <v/>
      </c>
      <c r="E2967" t="str">
        <f>IF(A2967="","",IF(SUMPRODUCT((Ввод!$F$12:$F$31&lt;&gt;"")*(Ввод!$F$12:$F$31&lt;=A2967)*(Ввод!$G$12:$G$31&gt;=A2967))&gt;0,1,0))</f>
        <v/>
      </c>
      <c r="G2967" t="str">
        <f t="shared" si="93"/>
        <v/>
      </c>
    </row>
    <row r="2968" spans="1:7" x14ac:dyDescent="0.3">
      <c r="A2968" s="21" t="str">
        <f>IF(A2967="","",IF(A2967+1&gt;Ввод!$B$4,"",A2967+1))</f>
        <v/>
      </c>
      <c r="B2968" s="23" t="str">
        <f>IF(A2968="","",IFERROR(INDEX(Ввод!$B$12:$B$71,MATCH(A2968,Ввод!$D$12:$D$71,1)),""))</f>
        <v/>
      </c>
      <c r="C2968" t="str">
        <f t="shared" si="92"/>
        <v/>
      </c>
      <c r="D2968" t="str">
        <f>IF(A2968="","",SUMIFS(Акты!$D$5:$D$16,Акты!$E$5:$E$16,"&lt;="&amp;A2968)-SUMIFS(Оплаты!$B$6:$B$505,Оплаты!$A$6:$A$505,"&lt;"&amp;A2968,Оплаты!$D$6:$D$505,"&lt;&gt;"))</f>
        <v/>
      </c>
      <c r="E2968" t="str">
        <f>IF(A2968="","",IF(SUMPRODUCT((Ввод!$F$12:$F$31&lt;&gt;"")*(Ввод!$F$12:$F$31&lt;=A2968)*(Ввод!$G$12:$G$31&gt;=A2968))&gt;0,1,0))</f>
        <v/>
      </c>
      <c r="G2968" t="str">
        <f t="shared" si="93"/>
        <v/>
      </c>
    </row>
    <row r="2969" spans="1:7" x14ac:dyDescent="0.3">
      <c r="A2969" s="21" t="str">
        <f>IF(A2968="","",IF(A2968+1&gt;Ввод!$B$4,"",A2968+1))</f>
        <v/>
      </c>
      <c r="B2969" s="23" t="str">
        <f>IF(A2969="","",IFERROR(INDEX(Ввод!$B$12:$B$71,MATCH(A2969,Ввод!$D$12:$D$71,1)),""))</f>
        <v/>
      </c>
      <c r="C2969" t="str">
        <f t="shared" si="92"/>
        <v/>
      </c>
      <c r="D2969" t="str">
        <f>IF(A2969="","",SUMIFS(Акты!$D$5:$D$16,Акты!$E$5:$E$16,"&lt;="&amp;A2969)-SUMIFS(Оплаты!$B$6:$B$505,Оплаты!$A$6:$A$505,"&lt;"&amp;A2969,Оплаты!$D$6:$D$505,"&lt;&gt;"))</f>
        <v/>
      </c>
      <c r="E2969" t="str">
        <f>IF(A2969="","",IF(SUMPRODUCT((Ввод!$F$12:$F$31&lt;&gt;"")*(Ввод!$F$12:$F$31&lt;=A2969)*(Ввод!$G$12:$G$31&gt;=A2969))&gt;0,1,0))</f>
        <v/>
      </c>
      <c r="G2969" t="str">
        <f t="shared" si="93"/>
        <v/>
      </c>
    </row>
    <row r="2970" spans="1:7" x14ac:dyDescent="0.3">
      <c r="A2970" s="21" t="str">
        <f>IF(A2969="","",IF(A2969+1&gt;Ввод!$B$4,"",A2969+1))</f>
        <v/>
      </c>
      <c r="B2970" s="23" t="str">
        <f>IF(A2970="","",IFERROR(INDEX(Ввод!$B$12:$B$71,MATCH(A2970,Ввод!$D$12:$D$71,1)),""))</f>
        <v/>
      </c>
      <c r="C2970" t="str">
        <f t="shared" si="92"/>
        <v/>
      </c>
      <c r="D2970" t="str">
        <f>IF(A2970="","",SUMIFS(Акты!$D$5:$D$16,Акты!$E$5:$E$16,"&lt;="&amp;A2970)-SUMIFS(Оплаты!$B$6:$B$505,Оплаты!$A$6:$A$505,"&lt;"&amp;A2970,Оплаты!$D$6:$D$505,"&lt;&gt;"))</f>
        <v/>
      </c>
      <c r="E2970" t="str">
        <f>IF(A2970="","",IF(SUMPRODUCT((Ввод!$F$12:$F$31&lt;&gt;"")*(Ввод!$F$12:$F$31&lt;=A2970)*(Ввод!$G$12:$G$31&gt;=A2970))&gt;0,1,0))</f>
        <v/>
      </c>
      <c r="G2970" t="str">
        <f t="shared" si="93"/>
        <v/>
      </c>
    </row>
    <row r="2971" spans="1:7" x14ac:dyDescent="0.3">
      <c r="A2971" s="21" t="str">
        <f>IF(A2970="","",IF(A2970+1&gt;Ввод!$B$4,"",A2970+1))</f>
        <v/>
      </c>
      <c r="B2971" s="23" t="str">
        <f>IF(A2971="","",IFERROR(INDEX(Ввод!$B$12:$B$71,MATCH(A2971,Ввод!$D$12:$D$71,1)),""))</f>
        <v/>
      </c>
      <c r="C2971" t="str">
        <f t="shared" si="92"/>
        <v/>
      </c>
      <c r="D2971" t="str">
        <f>IF(A2971="","",SUMIFS(Акты!$D$5:$D$16,Акты!$E$5:$E$16,"&lt;="&amp;A2971)-SUMIFS(Оплаты!$B$6:$B$505,Оплаты!$A$6:$A$505,"&lt;"&amp;A2971,Оплаты!$D$6:$D$505,"&lt;&gt;"))</f>
        <v/>
      </c>
      <c r="E2971" t="str">
        <f>IF(A2971="","",IF(SUMPRODUCT((Ввод!$F$12:$F$31&lt;&gt;"")*(Ввод!$F$12:$F$31&lt;=A2971)*(Ввод!$G$12:$G$31&gt;=A2971))&gt;0,1,0))</f>
        <v/>
      </c>
      <c r="G2971" t="str">
        <f t="shared" si="93"/>
        <v/>
      </c>
    </row>
    <row r="2972" spans="1:7" x14ac:dyDescent="0.3">
      <c r="A2972" s="21" t="str">
        <f>IF(A2971="","",IF(A2971+1&gt;Ввод!$B$4,"",A2971+1))</f>
        <v/>
      </c>
      <c r="B2972" s="23" t="str">
        <f>IF(A2972="","",IFERROR(INDEX(Ввод!$B$12:$B$71,MATCH(A2972,Ввод!$D$12:$D$71,1)),""))</f>
        <v/>
      </c>
      <c r="C2972" t="str">
        <f t="shared" si="92"/>
        <v/>
      </c>
      <c r="D2972" t="str">
        <f>IF(A2972="","",SUMIFS(Акты!$D$5:$D$16,Акты!$E$5:$E$16,"&lt;="&amp;A2972)-SUMIFS(Оплаты!$B$6:$B$505,Оплаты!$A$6:$A$505,"&lt;"&amp;A2972,Оплаты!$D$6:$D$505,"&lt;&gt;"))</f>
        <v/>
      </c>
      <c r="E2972" t="str">
        <f>IF(A2972="","",IF(SUMPRODUCT((Ввод!$F$12:$F$31&lt;&gt;"")*(Ввод!$F$12:$F$31&lt;=A2972)*(Ввод!$G$12:$G$31&gt;=A2972))&gt;0,1,0))</f>
        <v/>
      </c>
      <c r="G2972" t="str">
        <f t="shared" si="93"/>
        <v/>
      </c>
    </row>
    <row r="2973" spans="1:7" x14ac:dyDescent="0.3">
      <c r="A2973" s="21" t="str">
        <f>IF(A2972="","",IF(A2972+1&gt;Ввод!$B$4,"",A2972+1))</f>
        <v/>
      </c>
      <c r="B2973" s="23" t="str">
        <f>IF(A2973="","",IFERROR(INDEX(Ввод!$B$12:$B$71,MATCH(A2973,Ввод!$D$12:$D$71,1)),""))</f>
        <v/>
      </c>
      <c r="C2973" t="str">
        <f t="shared" si="92"/>
        <v/>
      </c>
      <c r="D2973" t="str">
        <f>IF(A2973="","",SUMIFS(Акты!$D$5:$D$16,Акты!$E$5:$E$16,"&lt;="&amp;A2973)-SUMIFS(Оплаты!$B$6:$B$505,Оплаты!$A$6:$A$505,"&lt;"&amp;A2973,Оплаты!$D$6:$D$505,"&lt;&gt;"))</f>
        <v/>
      </c>
      <c r="E2973" t="str">
        <f>IF(A2973="","",IF(SUMPRODUCT((Ввод!$F$12:$F$31&lt;&gt;"")*(Ввод!$F$12:$F$31&lt;=A2973)*(Ввод!$G$12:$G$31&gt;=A2973))&gt;0,1,0))</f>
        <v/>
      </c>
      <c r="G2973" t="str">
        <f t="shared" si="93"/>
        <v/>
      </c>
    </row>
    <row r="2974" spans="1:7" x14ac:dyDescent="0.3">
      <c r="A2974" s="21" t="str">
        <f>IF(A2973="","",IF(A2973+1&gt;Ввод!$B$4,"",A2973+1))</f>
        <v/>
      </c>
      <c r="B2974" s="23" t="str">
        <f>IF(A2974="","",IFERROR(INDEX(Ввод!$B$12:$B$71,MATCH(A2974,Ввод!$D$12:$D$71,1)),""))</f>
        <v/>
      </c>
      <c r="C2974" t="str">
        <f t="shared" si="92"/>
        <v/>
      </c>
      <c r="D2974" t="str">
        <f>IF(A2974="","",SUMIFS(Акты!$D$5:$D$16,Акты!$E$5:$E$16,"&lt;="&amp;A2974)-SUMIFS(Оплаты!$B$6:$B$505,Оплаты!$A$6:$A$505,"&lt;"&amp;A2974,Оплаты!$D$6:$D$505,"&lt;&gt;"))</f>
        <v/>
      </c>
      <c r="E2974" t="str">
        <f>IF(A2974="","",IF(SUMPRODUCT((Ввод!$F$12:$F$31&lt;&gt;"")*(Ввод!$F$12:$F$31&lt;=A2974)*(Ввод!$G$12:$G$31&gt;=A2974))&gt;0,1,0))</f>
        <v/>
      </c>
      <c r="G2974" t="str">
        <f t="shared" si="93"/>
        <v/>
      </c>
    </row>
    <row r="2975" spans="1:7" x14ac:dyDescent="0.3">
      <c r="A2975" s="21" t="str">
        <f>IF(A2974="","",IF(A2974+1&gt;Ввод!$B$4,"",A2974+1))</f>
        <v/>
      </c>
      <c r="B2975" s="23" t="str">
        <f>IF(A2975="","",IFERROR(INDEX(Ввод!$B$12:$B$71,MATCH(A2975,Ввод!$D$12:$D$71,1)),""))</f>
        <v/>
      </c>
      <c r="C2975" t="str">
        <f t="shared" si="92"/>
        <v/>
      </c>
      <c r="D2975" t="str">
        <f>IF(A2975="","",SUMIFS(Акты!$D$5:$D$16,Акты!$E$5:$E$16,"&lt;="&amp;A2975)-SUMIFS(Оплаты!$B$6:$B$505,Оплаты!$A$6:$A$505,"&lt;"&amp;A2975,Оплаты!$D$6:$D$505,"&lt;&gt;"))</f>
        <v/>
      </c>
      <c r="E2975" t="str">
        <f>IF(A2975="","",IF(SUMPRODUCT((Ввод!$F$12:$F$31&lt;&gt;"")*(Ввод!$F$12:$F$31&lt;=A2975)*(Ввод!$G$12:$G$31&gt;=A2975))&gt;0,1,0))</f>
        <v/>
      </c>
      <c r="G2975" t="str">
        <f t="shared" si="93"/>
        <v/>
      </c>
    </row>
    <row r="2976" spans="1:7" x14ac:dyDescent="0.3">
      <c r="A2976" s="21" t="str">
        <f>IF(A2975="","",IF(A2975+1&gt;Ввод!$B$4,"",A2975+1))</f>
        <v/>
      </c>
      <c r="B2976" s="23" t="str">
        <f>IF(A2976="","",IFERROR(INDEX(Ввод!$B$12:$B$71,MATCH(A2976,Ввод!$D$12:$D$71,1)),""))</f>
        <v/>
      </c>
      <c r="C2976" t="str">
        <f t="shared" si="92"/>
        <v/>
      </c>
      <c r="D2976" t="str">
        <f>IF(A2976="","",SUMIFS(Акты!$D$5:$D$16,Акты!$E$5:$E$16,"&lt;="&amp;A2976)-SUMIFS(Оплаты!$B$6:$B$505,Оплаты!$A$6:$A$505,"&lt;"&amp;A2976,Оплаты!$D$6:$D$505,"&lt;&gt;"))</f>
        <v/>
      </c>
      <c r="E2976" t="str">
        <f>IF(A2976="","",IF(SUMPRODUCT((Ввод!$F$12:$F$31&lt;&gt;"")*(Ввод!$F$12:$F$31&lt;=A2976)*(Ввод!$G$12:$G$31&gt;=A2976))&gt;0,1,0))</f>
        <v/>
      </c>
      <c r="G2976" t="str">
        <f t="shared" si="93"/>
        <v/>
      </c>
    </row>
    <row r="2977" spans="1:7" x14ac:dyDescent="0.3">
      <c r="A2977" s="21" t="str">
        <f>IF(A2976="","",IF(A2976+1&gt;Ввод!$B$4,"",A2976+1))</f>
        <v/>
      </c>
      <c r="B2977" s="23" t="str">
        <f>IF(A2977="","",IFERROR(INDEX(Ввод!$B$12:$B$71,MATCH(A2977,Ввод!$D$12:$D$71,1)),""))</f>
        <v/>
      </c>
      <c r="C2977" t="str">
        <f t="shared" si="92"/>
        <v/>
      </c>
      <c r="D2977" t="str">
        <f>IF(A2977="","",SUMIFS(Акты!$D$5:$D$16,Акты!$E$5:$E$16,"&lt;="&amp;A2977)-SUMIFS(Оплаты!$B$6:$B$505,Оплаты!$A$6:$A$505,"&lt;"&amp;A2977,Оплаты!$D$6:$D$505,"&lt;&gt;"))</f>
        <v/>
      </c>
      <c r="E2977" t="str">
        <f>IF(A2977="","",IF(SUMPRODUCT((Ввод!$F$12:$F$31&lt;&gt;"")*(Ввод!$F$12:$F$31&lt;=A2977)*(Ввод!$G$12:$G$31&gt;=A2977))&gt;0,1,0))</f>
        <v/>
      </c>
      <c r="G2977" t="str">
        <f t="shared" si="93"/>
        <v/>
      </c>
    </row>
    <row r="2978" spans="1:7" x14ac:dyDescent="0.3">
      <c r="A2978" s="21" t="str">
        <f>IF(A2977="","",IF(A2977+1&gt;Ввод!$B$4,"",A2977+1))</f>
        <v/>
      </c>
      <c r="B2978" s="23" t="str">
        <f>IF(A2978="","",IFERROR(INDEX(Ввод!$B$12:$B$71,MATCH(A2978,Ввод!$D$12:$D$71,1)),""))</f>
        <v/>
      </c>
      <c r="C2978" t="str">
        <f t="shared" si="92"/>
        <v/>
      </c>
      <c r="D2978" t="str">
        <f>IF(A2978="","",SUMIFS(Акты!$D$5:$D$16,Акты!$E$5:$E$16,"&lt;="&amp;A2978)-SUMIFS(Оплаты!$B$6:$B$505,Оплаты!$A$6:$A$505,"&lt;"&amp;A2978,Оплаты!$D$6:$D$505,"&lt;&gt;"))</f>
        <v/>
      </c>
      <c r="E2978" t="str">
        <f>IF(A2978="","",IF(SUMPRODUCT((Ввод!$F$12:$F$31&lt;&gt;"")*(Ввод!$F$12:$F$31&lt;=A2978)*(Ввод!$G$12:$G$31&gt;=A2978))&gt;0,1,0))</f>
        <v/>
      </c>
      <c r="G2978" t="str">
        <f t="shared" si="93"/>
        <v/>
      </c>
    </row>
    <row r="2979" spans="1:7" x14ac:dyDescent="0.3">
      <c r="A2979" s="21" t="str">
        <f>IF(A2978="","",IF(A2978+1&gt;Ввод!$B$4,"",A2978+1))</f>
        <v/>
      </c>
      <c r="B2979" s="23" t="str">
        <f>IF(A2979="","",IFERROR(INDEX(Ввод!$B$12:$B$71,MATCH(A2979,Ввод!$D$12:$D$71,1)),""))</f>
        <v/>
      </c>
      <c r="C2979" t="str">
        <f t="shared" si="92"/>
        <v/>
      </c>
      <c r="D2979" t="str">
        <f>IF(A2979="","",SUMIFS(Акты!$D$5:$D$16,Акты!$E$5:$E$16,"&lt;="&amp;A2979)-SUMIFS(Оплаты!$B$6:$B$505,Оплаты!$A$6:$A$505,"&lt;"&amp;A2979,Оплаты!$D$6:$D$505,"&lt;&gt;"))</f>
        <v/>
      </c>
      <c r="E2979" t="str">
        <f>IF(A2979="","",IF(SUMPRODUCT((Ввод!$F$12:$F$31&lt;&gt;"")*(Ввод!$F$12:$F$31&lt;=A2979)*(Ввод!$G$12:$G$31&gt;=A2979))&gt;0,1,0))</f>
        <v/>
      </c>
      <c r="G2979" t="str">
        <f t="shared" si="93"/>
        <v/>
      </c>
    </row>
    <row r="2980" spans="1:7" x14ac:dyDescent="0.3">
      <c r="A2980" s="21" t="str">
        <f>IF(A2979="","",IF(A2979+1&gt;Ввод!$B$4,"",A2979+1))</f>
        <v/>
      </c>
      <c r="B2980" s="23" t="str">
        <f>IF(A2980="","",IFERROR(INDEX(Ввод!$B$12:$B$71,MATCH(A2980,Ввод!$D$12:$D$71,1)),""))</f>
        <v/>
      </c>
      <c r="C2980" t="str">
        <f t="shared" si="92"/>
        <v/>
      </c>
      <c r="D2980" t="str">
        <f>IF(A2980="","",SUMIFS(Акты!$D$5:$D$16,Акты!$E$5:$E$16,"&lt;="&amp;A2980)-SUMIFS(Оплаты!$B$6:$B$505,Оплаты!$A$6:$A$505,"&lt;"&amp;A2980,Оплаты!$D$6:$D$505,"&lt;&gt;"))</f>
        <v/>
      </c>
      <c r="E2980" t="str">
        <f>IF(A2980="","",IF(SUMPRODUCT((Ввод!$F$12:$F$31&lt;&gt;"")*(Ввод!$F$12:$F$31&lt;=A2980)*(Ввод!$G$12:$G$31&gt;=A2980))&gt;0,1,0))</f>
        <v/>
      </c>
      <c r="G2980" t="str">
        <f t="shared" si="93"/>
        <v/>
      </c>
    </row>
    <row r="2981" spans="1:7" x14ac:dyDescent="0.3">
      <c r="A2981" s="21" t="str">
        <f>IF(A2980="","",IF(A2980+1&gt;Ввод!$B$4,"",A2980+1))</f>
        <v/>
      </c>
      <c r="B2981" s="23" t="str">
        <f>IF(A2981="","",IFERROR(INDEX(Ввод!$B$12:$B$71,MATCH(A2981,Ввод!$D$12:$D$71,1)),""))</f>
        <v/>
      </c>
      <c r="C2981" t="str">
        <f t="shared" si="92"/>
        <v/>
      </c>
      <c r="D2981" t="str">
        <f>IF(A2981="","",SUMIFS(Акты!$D$5:$D$16,Акты!$E$5:$E$16,"&lt;="&amp;A2981)-SUMIFS(Оплаты!$B$6:$B$505,Оплаты!$A$6:$A$505,"&lt;"&amp;A2981,Оплаты!$D$6:$D$505,"&lt;&gt;"))</f>
        <v/>
      </c>
      <c r="E2981" t="str">
        <f>IF(A2981="","",IF(SUMPRODUCT((Ввод!$F$12:$F$31&lt;&gt;"")*(Ввод!$F$12:$F$31&lt;=A2981)*(Ввод!$G$12:$G$31&gt;=A2981))&gt;0,1,0))</f>
        <v/>
      </c>
      <c r="G2981" t="str">
        <f t="shared" si="93"/>
        <v/>
      </c>
    </row>
    <row r="2982" spans="1:7" x14ac:dyDescent="0.3">
      <c r="A2982" s="21" t="str">
        <f>IF(A2981="","",IF(A2981+1&gt;Ввод!$B$4,"",A2981+1))</f>
        <v/>
      </c>
      <c r="B2982" s="23" t="str">
        <f>IF(A2982="","",IFERROR(INDEX(Ввод!$B$12:$B$71,MATCH(A2982,Ввод!$D$12:$D$71,1)),""))</f>
        <v/>
      </c>
      <c r="C2982" t="str">
        <f t="shared" si="92"/>
        <v/>
      </c>
      <c r="D2982" t="str">
        <f>IF(A2982="","",SUMIFS(Акты!$D$5:$D$16,Акты!$E$5:$E$16,"&lt;="&amp;A2982)-SUMIFS(Оплаты!$B$6:$B$505,Оплаты!$A$6:$A$505,"&lt;"&amp;A2982,Оплаты!$D$6:$D$505,"&lt;&gt;"))</f>
        <v/>
      </c>
      <c r="E2982" t="str">
        <f>IF(A2982="","",IF(SUMPRODUCT((Ввод!$F$12:$F$31&lt;&gt;"")*(Ввод!$F$12:$F$31&lt;=A2982)*(Ввод!$G$12:$G$31&gt;=A2982))&gt;0,1,0))</f>
        <v/>
      </c>
      <c r="G2982" t="str">
        <f t="shared" si="93"/>
        <v/>
      </c>
    </row>
    <row r="2983" spans="1:7" x14ac:dyDescent="0.3">
      <c r="A2983" s="21" t="str">
        <f>IF(A2982="","",IF(A2982+1&gt;Ввод!$B$4,"",A2982+1))</f>
        <v/>
      </c>
      <c r="B2983" s="23" t="str">
        <f>IF(A2983="","",IFERROR(INDEX(Ввод!$B$12:$B$71,MATCH(A2983,Ввод!$D$12:$D$71,1)),""))</f>
        <v/>
      </c>
      <c r="C2983" t="str">
        <f t="shared" si="92"/>
        <v/>
      </c>
      <c r="D2983" t="str">
        <f>IF(A2983="","",SUMIFS(Акты!$D$5:$D$16,Акты!$E$5:$E$16,"&lt;="&amp;A2983)-SUMIFS(Оплаты!$B$6:$B$505,Оплаты!$A$6:$A$505,"&lt;"&amp;A2983,Оплаты!$D$6:$D$505,"&lt;&gt;"))</f>
        <v/>
      </c>
      <c r="E2983" t="str">
        <f>IF(A2983="","",IF(SUMPRODUCT((Ввод!$F$12:$F$31&lt;&gt;"")*(Ввод!$F$12:$F$31&lt;=A2983)*(Ввод!$G$12:$G$31&gt;=A2983))&gt;0,1,0))</f>
        <v/>
      </c>
      <c r="G2983" t="str">
        <f t="shared" si="93"/>
        <v/>
      </c>
    </row>
    <row r="2984" spans="1:7" x14ac:dyDescent="0.3">
      <c r="A2984" s="21" t="str">
        <f>IF(A2983="","",IF(A2983+1&gt;Ввод!$B$4,"",A2983+1))</f>
        <v/>
      </c>
      <c r="B2984" s="23" t="str">
        <f>IF(A2984="","",IFERROR(INDEX(Ввод!$B$12:$B$71,MATCH(A2984,Ввод!$D$12:$D$71,1)),""))</f>
        <v/>
      </c>
      <c r="C2984" t="str">
        <f t="shared" si="92"/>
        <v/>
      </c>
      <c r="D2984" t="str">
        <f>IF(A2984="","",SUMIFS(Акты!$D$5:$D$16,Акты!$E$5:$E$16,"&lt;="&amp;A2984)-SUMIFS(Оплаты!$B$6:$B$505,Оплаты!$A$6:$A$505,"&lt;"&amp;A2984,Оплаты!$D$6:$D$505,"&lt;&gt;"))</f>
        <v/>
      </c>
      <c r="E2984" t="str">
        <f>IF(A2984="","",IF(SUMPRODUCT((Ввод!$F$12:$F$31&lt;&gt;"")*(Ввод!$F$12:$F$31&lt;=A2984)*(Ввод!$G$12:$G$31&gt;=A2984))&gt;0,1,0))</f>
        <v/>
      </c>
      <c r="G2984" t="str">
        <f t="shared" si="93"/>
        <v/>
      </c>
    </row>
    <row r="2985" spans="1:7" x14ac:dyDescent="0.3">
      <c r="A2985" s="21" t="str">
        <f>IF(A2984="","",IF(A2984+1&gt;Ввод!$B$4,"",A2984+1))</f>
        <v/>
      </c>
      <c r="B2985" s="23" t="str">
        <f>IF(A2985="","",IFERROR(INDEX(Ввод!$B$12:$B$71,MATCH(A2985,Ввод!$D$12:$D$71,1)),""))</f>
        <v/>
      </c>
      <c r="C2985" t="str">
        <f t="shared" si="92"/>
        <v/>
      </c>
      <c r="D2985" t="str">
        <f>IF(A2985="","",SUMIFS(Акты!$D$5:$D$16,Акты!$E$5:$E$16,"&lt;="&amp;A2985)-SUMIFS(Оплаты!$B$6:$B$505,Оплаты!$A$6:$A$505,"&lt;"&amp;A2985,Оплаты!$D$6:$D$505,"&lt;&gt;"))</f>
        <v/>
      </c>
      <c r="E2985" t="str">
        <f>IF(A2985="","",IF(SUMPRODUCT((Ввод!$F$12:$F$31&lt;&gt;"")*(Ввод!$F$12:$F$31&lt;=A2985)*(Ввод!$G$12:$G$31&gt;=A2985))&gt;0,1,0))</f>
        <v/>
      </c>
      <c r="G2985" t="str">
        <f t="shared" si="93"/>
        <v/>
      </c>
    </row>
    <row r="2986" spans="1:7" x14ac:dyDescent="0.3">
      <c r="A2986" s="21" t="str">
        <f>IF(A2985="","",IF(A2985+1&gt;Ввод!$B$4,"",A2985+1))</f>
        <v/>
      </c>
      <c r="B2986" s="23" t="str">
        <f>IF(A2986="","",IFERROR(INDEX(Ввод!$B$12:$B$71,MATCH(A2986,Ввод!$D$12:$D$71,1)),""))</f>
        <v/>
      </c>
      <c r="C2986" t="str">
        <f t="shared" si="92"/>
        <v/>
      </c>
      <c r="D2986" t="str">
        <f>IF(A2986="","",SUMIFS(Акты!$D$5:$D$16,Акты!$E$5:$E$16,"&lt;="&amp;A2986)-SUMIFS(Оплаты!$B$6:$B$505,Оплаты!$A$6:$A$505,"&lt;"&amp;A2986,Оплаты!$D$6:$D$505,"&lt;&gt;"))</f>
        <v/>
      </c>
      <c r="E2986" t="str">
        <f>IF(A2986="","",IF(SUMPRODUCT((Ввод!$F$12:$F$31&lt;&gt;"")*(Ввод!$F$12:$F$31&lt;=A2986)*(Ввод!$G$12:$G$31&gt;=A2986))&gt;0,1,0))</f>
        <v/>
      </c>
      <c r="G2986" t="str">
        <f t="shared" si="93"/>
        <v/>
      </c>
    </row>
    <row r="2987" spans="1:7" x14ac:dyDescent="0.3">
      <c r="A2987" s="21" t="str">
        <f>IF(A2986="","",IF(A2986+1&gt;Ввод!$B$4,"",A2986+1))</f>
        <v/>
      </c>
      <c r="B2987" s="23" t="str">
        <f>IF(A2987="","",IFERROR(INDEX(Ввод!$B$12:$B$71,MATCH(A2987,Ввод!$D$12:$D$71,1)),""))</f>
        <v/>
      </c>
      <c r="C2987" t="str">
        <f t="shared" si="92"/>
        <v/>
      </c>
      <c r="D2987" t="str">
        <f>IF(A2987="","",SUMIFS(Акты!$D$5:$D$16,Акты!$E$5:$E$16,"&lt;="&amp;A2987)-SUMIFS(Оплаты!$B$6:$B$505,Оплаты!$A$6:$A$505,"&lt;"&amp;A2987,Оплаты!$D$6:$D$505,"&lt;&gt;"))</f>
        <v/>
      </c>
      <c r="E2987" t="str">
        <f>IF(A2987="","",IF(SUMPRODUCT((Ввод!$F$12:$F$31&lt;&gt;"")*(Ввод!$F$12:$F$31&lt;=A2987)*(Ввод!$G$12:$G$31&gt;=A2987))&gt;0,1,0))</f>
        <v/>
      </c>
      <c r="G2987" t="str">
        <f t="shared" si="93"/>
        <v/>
      </c>
    </row>
    <row r="2988" spans="1:7" x14ac:dyDescent="0.3">
      <c r="A2988" s="21" t="str">
        <f>IF(A2987="","",IF(A2987+1&gt;Ввод!$B$4,"",A2987+1))</f>
        <v/>
      </c>
      <c r="B2988" s="23" t="str">
        <f>IF(A2988="","",IFERROR(INDEX(Ввод!$B$12:$B$71,MATCH(A2988,Ввод!$D$12:$D$71,1)),""))</f>
        <v/>
      </c>
      <c r="C2988" t="str">
        <f t="shared" si="92"/>
        <v/>
      </c>
      <c r="D2988" t="str">
        <f>IF(A2988="","",SUMIFS(Акты!$D$5:$D$16,Акты!$E$5:$E$16,"&lt;="&amp;A2988)-SUMIFS(Оплаты!$B$6:$B$505,Оплаты!$A$6:$A$505,"&lt;"&amp;A2988,Оплаты!$D$6:$D$505,"&lt;&gt;"))</f>
        <v/>
      </c>
      <c r="E2988" t="str">
        <f>IF(A2988="","",IF(SUMPRODUCT((Ввод!$F$12:$F$31&lt;&gt;"")*(Ввод!$F$12:$F$31&lt;=A2988)*(Ввод!$G$12:$G$31&gt;=A2988))&gt;0,1,0))</f>
        <v/>
      </c>
      <c r="G2988" t="str">
        <f t="shared" si="93"/>
        <v/>
      </c>
    </row>
    <row r="2989" spans="1:7" x14ac:dyDescent="0.3">
      <c r="A2989" s="21" t="str">
        <f>IF(A2988="","",IF(A2988+1&gt;Ввод!$B$4,"",A2988+1))</f>
        <v/>
      </c>
      <c r="B2989" s="23" t="str">
        <f>IF(A2989="","",IFERROR(INDEX(Ввод!$B$12:$B$71,MATCH(A2989,Ввод!$D$12:$D$71,1)),""))</f>
        <v/>
      </c>
      <c r="C2989" t="str">
        <f t="shared" si="92"/>
        <v/>
      </c>
      <c r="D2989" t="str">
        <f>IF(A2989="","",SUMIFS(Акты!$D$5:$D$16,Акты!$E$5:$E$16,"&lt;="&amp;A2989)-SUMIFS(Оплаты!$B$6:$B$505,Оплаты!$A$6:$A$505,"&lt;"&amp;A2989,Оплаты!$D$6:$D$505,"&lt;&gt;"))</f>
        <v/>
      </c>
      <c r="E2989" t="str">
        <f>IF(A2989="","",IF(SUMPRODUCT((Ввод!$F$12:$F$31&lt;&gt;"")*(Ввод!$F$12:$F$31&lt;=A2989)*(Ввод!$G$12:$G$31&gt;=A2989))&gt;0,1,0))</f>
        <v/>
      </c>
      <c r="G2989" t="str">
        <f t="shared" si="93"/>
        <v/>
      </c>
    </row>
    <row r="2990" spans="1:7" x14ac:dyDescent="0.3">
      <c r="A2990" s="21" t="str">
        <f>IF(A2989="","",IF(A2989+1&gt;Ввод!$B$4,"",A2989+1))</f>
        <v/>
      </c>
      <c r="B2990" s="23" t="str">
        <f>IF(A2990="","",IFERROR(INDEX(Ввод!$B$12:$B$71,MATCH(A2990,Ввод!$D$12:$D$71,1)),""))</f>
        <v/>
      </c>
      <c r="C2990" t="str">
        <f t="shared" si="92"/>
        <v/>
      </c>
      <c r="D2990" t="str">
        <f>IF(A2990="","",SUMIFS(Акты!$D$5:$D$16,Акты!$E$5:$E$16,"&lt;="&amp;A2990)-SUMIFS(Оплаты!$B$6:$B$505,Оплаты!$A$6:$A$505,"&lt;"&amp;A2990,Оплаты!$D$6:$D$505,"&lt;&gt;"))</f>
        <v/>
      </c>
      <c r="E2990" t="str">
        <f>IF(A2990="","",IF(SUMPRODUCT((Ввод!$F$12:$F$31&lt;&gt;"")*(Ввод!$F$12:$F$31&lt;=A2990)*(Ввод!$G$12:$G$31&gt;=A2990))&gt;0,1,0))</f>
        <v/>
      </c>
      <c r="G2990" t="str">
        <f t="shared" si="93"/>
        <v/>
      </c>
    </row>
    <row r="2991" spans="1:7" x14ac:dyDescent="0.3">
      <c r="A2991" s="21" t="str">
        <f>IF(A2990="","",IF(A2990+1&gt;Ввод!$B$4,"",A2990+1))</f>
        <v/>
      </c>
      <c r="B2991" s="23" t="str">
        <f>IF(A2991="","",IFERROR(INDEX(Ввод!$B$12:$B$71,MATCH(A2991,Ввод!$D$12:$D$71,1)),""))</f>
        <v/>
      </c>
      <c r="C2991" t="str">
        <f t="shared" si="92"/>
        <v/>
      </c>
      <c r="D2991" t="str">
        <f>IF(A2991="","",SUMIFS(Акты!$D$5:$D$16,Акты!$E$5:$E$16,"&lt;="&amp;A2991)-SUMIFS(Оплаты!$B$6:$B$505,Оплаты!$A$6:$A$505,"&lt;"&amp;A2991,Оплаты!$D$6:$D$505,"&lt;&gt;"))</f>
        <v/>
      </c>
      <c r="E2991" t="str">
        <f>IF(A2991="","",IF(SUMPRODUCT((Ввод!$F$12:$F$31&lt;&gt;"")*(Ввод!$F$12:$F$31&lt;=A2991)*(Ввод!$G$12:$G$31&gt;=A2991))&gt;0,1,0))</f>
        <v/>
      </c>
      <c r="G2991" t="str">
        <f t="shared" si="93"/>
        <v/>
      </c>
    </row>
    <row r="2992" spans="1:7" x14ac:dyDescent="0.3">
      <c r="A2992" s="21" t="str">
        <f>IF(A2991="","",IF(A2991+1&gt;Ввод!$B$4,"",A2991+1))</f>
        <v/>
      </c>
      <c r="B2992" s="23" t="str">
        <f>IF(A2992="","",IFERROR(INDEX(Ввод!$B$12:$B$71,MATCH(A2992,Ввод!$D$12:$D$71,1)),""))</f>
        <v/>
      </c>
      <c r="C2992" t="str">
        <f t="shared" si="92"/>
        <v/>
      </c>
      <c r="D2992" t="str">
        <f>IF(A2992="","",SUMIFS(Акты!$D$5:$D$16,Акты!$E$5:$E$16,"&lt;="&amp;A2992)-SUMIFS(Оплаты!$B$6:$B$505,Оплаты!$A$6:$A$505,"&lt;"&amp;A2992,Оплаты!$D$6:$D$505,"&lt;&gt;"))</f>
        <v/>
      </c>
      <c r="E2992" t="str">
        <f>IF(A2992="","",IF(SUMPRODUCT((Ввод!$F$12:$F$31&lt;&gt;"")*(Ввод!$F$12:$F$31&lt;=A2992)*(Ввод!$G$12:$G$31&gt;=A2992))&gt;0,1,0))</f>
        <v/>
      </c>
      <c r="G2992" t="str">
        <f t="shared" si="93"/>
        <v/>
      </c>
    </row>
    <row r="2993" spans="1:7" x14ac:dyDescent="0.3">
      <c r="A2993" s="21" t="str">
        <f>IF(A2992="","",IF(A2992+1&gt;Ввод!$B$4,"",A2992+1))</f>
        <v/>
      </c>
      <c r="B2993" s="23" t="str">
        <f>IF(A2993="","",IFERROR(INDEX(Ввод!$B$12:$B$71,MATCH(A2993,Ввод!$D$12:$D$71,1)),""))</f>
        <v/>
      </c>
      <c r="C2993" t="str">
        <f t="shared" si="92"/>
        <v/>
      </c>
      <c r="D2993" t="str">
        <f>IF(A2993="","",SUMIFS(Акты!$D$5:$D$16,Акты!$E$5:$E$16,"&lt;="&amp;A2993)-SUMIFS(Оплаты!$B$6:$B$505,Оплаты!$A$6:$A$505,"&lt;"&amp;A2993,Оплаты!$D$6:$D$505,"&lt;&gt;"))</f>
        <v/>
      </c>
      <c r="E2993" t="str">
        <f>IF(A2993="","",IF(SUMPRODUCT((Ввод!$F$12:$F$31&lt;&gt;"")*(Ввод!$F$12:$F$31&lt;=A2993)*(Ввод!$G$12:$G$31&gt;=A2993))&gt;0,1,0))</f>
        <v/>
      </c>
      <c r="G2993" t="str">
        <f t="shared" si="93"/>
        <v/>
      </c>
    </row>
    <row r="2994" spans="1:7" x14ac:dyDescent="0.3">
      <c r="A2994" s="21" t="str">
        <f>IF(A2993="","",IF(A2993+1&gt;Ввод!$B$4,"",A2993+1))</f>
        <v/>
      </c>
      <c r="B2994" s="23" t="str">
        <f>IF(A2994="","",IFERROR(INDEX(Ввод!$B$12:$B$71,MATCH(A2994,Ввод!$D$12:$D$71,1)),""))</f>
        <v/>
      </c>
      <c r="C2994" t="str">
        <f t="shared" si="92"/>
        <v/>
      </c>
      <c r="D2994" t="str">
        <f>IF(A2994="","",SUMIFS(Акты!$D$5:$D$16,Акты!$E$5:$E$16,"&lt;="&amp;A2994)-SUMIFS(Оплаты!$B$6:$B$505,Оплаты!$A$6:$A$505,"&lt;"&amp;A2994,Оплаты!$D$6:$D$505,"&lt;&gt;"))</f>
        <v/>
      </c>
      <c r="E2994" t="str">
        <f>IF(A2994="","",IF(SUMPRODUCT((Ввод!$F$12:$F$31&lt;&gt;"")*(Ввод!$F$12:$F$31&lt;=A2994)*(Ввод!$G$12:$G$31&gt;=A2994))&gt;0,1,0))</f>
        <v/>
      </c>
      <c r="G2994" t="str">
        <f t="shared" si="93"/>
        <v/>
      </c>
    </row>
    <row r="2995" spans="1:7" x14ac:dyDescent="0.3">
      <c r="A2995" s="21" t="str">
        <f>IF(A2994="","",IF(A2994+1&gt;Ввод!$B$4,"",A2994+1))</f>
        <v/>
      </c>
      <c r="B2995" s="23" t="str">
        <f>IF(A2995="","",IFERROR(INDEX(Ввод!$B$12:$B$71,MATCH(A2995,Ввод!$D$12:$D$71,1)),""))</f>
        <v/>
      </c>
      <c r="C2995" t="str">
        <f t="shared" si="92"/>
        <v/>
      </c>
      <c r="D2995" t="str">
        <f>IF(A2995="","",SUMIFS(Акты!$D$5:$D$16,Акты!$E$5:$E$16,"&lt;="&amp;A2995)-SUMIFS(Оплаты!$B$6:$B$505,Оплаты!$A$6:$A$505,"&lt;"&amp;A2995,Оплаты!$D$6:$D$505,"&lt;&gt;"))</f>
        <v/>
      </c>
      <c r="E2995" t="str">
        <f>IF(A2995="","",IF(SUMPRODUCT((Ввод!$F$12:$F$31&lt;&gt;"")*(Ввод!$F$12:$F$31&lt;=A2995)*(Ввод!$G$12:$G$31&gt;=A2995))&gt;0,1,0))</f>
        <v/>
      </c>
      <c r="G2995" t="str">
        <f t="shared" si="93"/>
        <v/>
      </c>
    </row>
    <row r="2996" spans="1:7" x14ac:dyDescent="0.3">
      <c r="A2996" s="21" t="str">
        <f>IF(A2995="","",IF(A2995+1&gt;Ввод!$B$4,"",A2995+1))</f>
        <v/>
      </c>
      <c r="B2996" s="23" t="str">
        <f>IF(A2996="","",IFERROR(INDEX(Ввод!$B$12:$B$71,MATCH(A2996,Ввод!$D$12:$D$71,1)),""))</f>
        <v/>
      </c>
      <c r="C2996" t="str">
        <f t="shared" si="92"/>
        <v/>
      </c>
      <c r="D2996" t="str">
        <f>IF(A2996="","",SUMIFS(Акты!$D$5:$D$16,Акты!$E$5:$E$16,"&lt;="&amp;A2996)-SUMIFS(Оплаты!$B$6:$B$505,Оплаты!$A$6:$A$505,"&lt;"&amp;A2996,Оплаты!$D$6:$D$505,"&lt;&gt;"))</f>
        <v/>
      </c>
      <c r="E2996" t="str">
        <f>IF(A2996="","",IF(SUMPRODUCT((Ввод!$F$12:$F$31&lt;&gt;"")*(Ввод!$F$12:$F$31&lt;=A2996)*(Ввод!$G$12:$G$31&gt;=A2996))&gt;0,1,0))</f>
        <v/>
      </c>
      <c r="G2996" t="str">
        <f t="shared" si="93"/>
        <v/>
      </c>
    </row>
    <row r="2997" spans="1:7" x14ac:dyDescent="0.3">
      <c r="A2997" s="21" t="str">
        <f>IF(A2996="","",IF(A2996+1&gt;Ввод!$B$4,"",A2996+1))</f>
        <v/>
      </c>
      <c r="B2997" s="23" t="str">
        <f>IF(A2997="","",IFERROR(INDEX(Ввод!$B$12:$B$71,MATCH(A2997,Ввод!$D$12:$D$71,1)),""))</f>
        <v/>
      </c>
      <c r="C2997" t="str">
        <f t="shared" si="92"/>
        <v/>
      </c>
      <c r="D2997" t="str">
        <f>IF(A2997="","",SUMIFS(Акты!$D$5:$D$16,Акты!$E$5:$E$16,"&lt;="&amp;A2997)-SUMIFS(Оплаты!$B$6:$B$505,Оплаты!$A$6:$A$505,"&lt;"&amp;A2997,Оплаты!$D$6:$D$505,"&lt;&gt;"))</f>
        <v/>
      </c>
      <c r="E2997" t="str">
        <f>IF(A2997="","",IF(SUMPRODUCT((Ввод!$F$12:$F$31&lt;&gt;"")*(Ввод!$F$12:$F$31&lt;=A2997)*(Ввод!$G$12:$G$31&gt;=A2997))&gt;0,1,0))</f>
        <v/>
      </c>
      <c r="G2997" t="str">
        <f t="shared" si="93"/>
        <v/>
      </c>
    </row>
    <row r="2998" spans="1:7" x14ac:dyDescent="0.3">
      <c r="A2998" s="21" t="str">
        <f>IF(A2997="","",IF(A2997+1&gt;Ввод!$B$4,"",A2997+1))</f>
        <v/>
      </c>
      <c r="B2998" s="23" t="str">
        <f>IF(A2998="","",IFERROR(INDEX(Ввод!$B$12:$B$71,MATCH(A2998,Ввод!$D$12:$D$71,1)),""))</f>
        <v/>
      </c>
      <c r="C2998" t="str">
        <f t="shared" si="92"/>
        <v/>
      </c>
      <c r="D2998" t="str">
        <f>IF(A2998="","",SUMIFS(Акты!$D$5:$D$16,Акты!$E$5:$E$16,"&lt;="&amp;A2998)-SUMIFS(Оплаты!$B$6:$B$505,Оплаты!$A$6:$A$505,"&lt;"&amp;A2998,Оплаты!$D$6:$D$505,"&lt;&gt;"))</f>
        <v/>
      </c>
      <c r="E2998" t="str">
        <f>IF(A2998="","",IF(SUMPRODUCT((Ввод!$F$12:$F$31&lt;&gt;"")*(Ввод!$F$12:$F$31&lt;=A2998)*(Ввод!$G$12:$G$31&gt;=A2998))&gt;0,1,0))</f>
        <v/>
      </c>
      <c r="G2998" t="str">
        <f t="shared" si="93"/>
        <v/>
      </c>
    </row>
    <row r="2999" spans="1:7" x14ac:dyDescent="0.3">
      <c r="A2999" s="21" t="str">
        <f>IF(A2998="","",IF(A2998+1&gt;Ввод!$B$4,"",A2998+1))</f>
        <v/>
      </c>
      <c r="B2999" s="23" t="str">
        <f>IF(A2999="","",IFERROR(INDEX(Ввод!$B$12:$B$71,MATCH(A2999,Ввод!$D$12:$D$71,1)),""))</f>
        <v/>
      </c>
      <c r="C2999" t="str">
        <f t="shared" si="92"/>
        <v/>
      </c>
      <c r="D2999" t="str">
        <f>IF(A2999="","",SUMIFS(Акты!$D$5:$D$16,Акты!$E$5:$E$16,"&lt;="&amp;A2999)-SUMIFS(Оплаты!$B$6:$B$505,Оплаты!$A$6:$A$505,"&lt;"&amp;A2999,Оплаты!$D$6:$D$505,"&lt;&gt;"))</f>
        <v/>
      </c>
      <c r="E2999" t="str">
        <f>IF(A2999="","",IF(SUMPRODUCT((Ввод!$F$12:$F$31&lt;&gt;"")*(Ввод!$F$12:$F$31&lt;=A2999)*(Ввод!$G$12:$G$31&gt;=A2999))&gt;0,1,0))</f>
        <v/>
      </c>
      <c r="G2999" t="str">
        <f t="shared" si="93"/>
        <v/>
      </c>
    </row>
    <row r="3000" spans="1:7" x14ac:dyDescent="0.3">
      <c r="A3000" s="21" t="str">
        <f>IF(A2999="","",IF(A2999+1&gt;Ввод!$B$4,"",A2999+1))</f>
        <v/>
      </c>
      <c r="B3000" s="23" t="str">
        <f>IF(A3000="","",IFERROR(INDEX(Ввод!$B$12:$B$71,MATCH(A3000,Ввод!$D$12:$D$71,1)),""))</f>
        <v/>
      </c>
      <c r="C3000" t="str">
        <f t="shared" si="92"/>
        <v/>
      </c>
      <c r="D3000" t="str">
        <f>IF(A3000="","",SUMIFS(Акты!$D$5:$D$16,Акты!$E$5:$E$16,"&lt;="&amp;A3000)-SUMIFS(Оплаты!$B$6:$B$505,Оплаты!$A$6:$A$505,"&lt;"&amp;A3000,Оплаты!$D$6:$D$505,"&lt;&gt;"))</f>
        <v/>
      </c>
      <c r="E3000" t="str">
        <f>IF(A3000="","",IF(SUMPRODUCT((Ввод!$F$12:$F$31&lt;&gt;"")*(Ввод!$F$12:$F$31&lt;=A3000)*(Ввод!$G$12:$G$31&gt;=A3000))&gt;0,1,0))</f>
        <v/>
      </c>
      <c r="G3000" t="str">
        <f t="shared" si="93"/>
        <v/>
      </c>
    </row>
    <row r="3001" spans="1:7" x14ac:dyDescent="0.3">
      <c r="A3001" s="21" t="str">
        <f>IF(A3000="","",IF(A3000+1&gt;Ввод!$B$4,"",A3000+1))</f>
        <v/>
      </c>
      <c r="B3001" s="23" t="str">
        <f>IF(A3001="","",IFERROR(INDEX(Ввод!$B$12:$B$71,MATCH(A3001,Ввод!$D$12:$D$71,1)),""))</f>
        <v/>
      </c>
      <c r="C3001" t="str">
        <f t="shared" si="92"/>
        <v/>
      </c>
      <c r="D3001" t="str">
        <f>IF(A3001="","",SUMIFS(Акты!$D$5:$D$16,Акты!$E$5:$E$16,"&lt;="&amp;A3001)-SUMIFS(Оплаты!$B$6:$B$505,Оплаты!$A$6:$A$505,"&lt;"&amp;A3001,Оплаты!$D$6:$D$505,"&lt;&gt;"))</f>
        <v/>
      </c>
      <c r="E3001" t="str">
        <f>IF(A3001="","",IF(SUMPRODUCT((Ввод!$F$12:$F$31&lt;&gt;"")*(Ввод!$F$12:$F$31&lt;=A3001)*(Ввод!$G$12:$G$31&gt;=A3001))&gt;0,1,0))</f>
        <v/>
      </c>
      <c r="G3001" t="str">
        <f t="shared" si="93"/>
        <v/>
      </c>
    </row>
    <row r="3002" spans="1:7" x14ac:dyDescent="0.3">
      <c r="A3002" s="21" t="str">
        <f>IF(A3001="","",IF(A3001+1&gt;Ввод!$B$4,"",A3001+1))</f>
        <v/>
      </c>
      <c r="B3002" s="23" t="str">
        <f>IF(A3002="","",IFERROR(INDEX(Ввод!$B$12:$B$71,MATCH(A3002,Ввод!$D$12:$D$71,1)),""))</f>
        <v/>
      </c>
      <c r="C3002" t="str">
        <f t="shared" si="92"/>
        <v/>
      </c>
      <c r="D3002" t="str">
        <f>IF(A3002="","",SUMIFS(Акты!$D$5:$D$16,Акты!$E$5:$E$16,"&lt;="&amp;A3002)-SUMIFS(Оплаты!$B$6:$B$505,Оплаты!$A$6:$A$505,"&lt;"&amp;A3002,Оплаты!$D$6:$D$505,"&lt;&gt;"))</f>
        <v/>
      </c>
      <c r="E3002" t="str">
        <f>IF(A3002="","",IF(SUMPRODUCT((Ввод!$F$12:$F$31&lt;&gt;"")*(Ввод!$F$12:$F$31&lt;=A3002)*(Ввод!$G$12:$G$31&gt;=A3002))&gt;0,1,0))</f>
        <v/>
      </c>
      <c r="G3002" t="str">
        <f t="shared" si="93"/>
        <v/>
      </c>
    </row>
    <row r="3003" spans="1:7" x14ac:dyDescent="0.3">
      <c r="A3003" s="21" t="str">
        <f>IF(A3002="","",IF(A3002+1&gt;Ввод!$B$4,"",A3002+1))</f>
        <v/>
      </c>
      <c r="B3003" s="23" t="str">
        <f>IF(A3003="","",IFERROR(INDEX(Ввод!$B$12:$B$71,MATCH(A3003,Ввод!$D$12:$D$71,1)),""))</f>
        <v/>
      </c>
      <c r="C3003" t="str">
        <f t="shared" si="92"/>
        <v/>
      </c>
      <c r="D3003" t="str">
        <f>IF(A3003="","",SUMIFS(Акты!$D$5:$D$16,Акты!$E$5:$E$16,"&lt;="&amp;A3003)-SUMIFS(Оплаты!$B$6:$B$505,Оплаты!$A$6:$A$505,"&lt;"&amp;A3003,Оплаты!$D$6:$D$505,"&lt;&gt;"))</f>
        <v/>
      </c>
      <c r="E3003" t="str">
        <f>IF(A3003="","",IF(SUMPRODUCT((Ввод!$F$12:$F$31&lt;&gt;"")*(Ввод!$F$12:$F$31&lt;=A3003)*(Ввод!$G$12:$G$31&gt;=A3003))&gt;0,1,0))</f>
        <v/>
      </c>
      <c r="G3003" t="str">
        <f t="shared" si="93"/>
        <v/>
      </c>
    </row>
    <row r="3004" spans="1:7" x14ac:dyDescent="0.3">
      <c r="A3004" s="21" t="str">
        <f>IF(A3003="","",IF(A3003+1&gt;Ввод!$B$4,"",A3003+1))</f>
        <v/>
      </c>
      <c r="B3004" s="23" t="str">
        <f>IF(A3004="","",IFERROR(INDEX(Ввод!$B$12:$B$71,MATCH(A3004,Ввод!$D$12:$D$71,1)),""))</f>
        <v/>
      </c>
      <c r="C3004" t="str">
        <f t="shared" si="92"/>
        <v/>
      </c>
      <c r="D3004" t="str">
        <f>IF(A3004="","",SUMIFS(Акты!$D$5:$D$16,Акты!$E$5:$E$16,"&lt;="&amp;A3004)-SUMIFS(Оплаты!$B$6:$B$505,Оплаты!$A$6:$A$505,"&lt;"&amp;A3004,Оплаты!$D$6:$D$505,"&lt;&gt;"))</f>
        <v/>
      </c>
      <c r="E3004" t="str">
        <f>IF(A3004="","",IF(SUMPRODUCT((Ввод!$F$12:$F$31&lt;&gt;"")*(Ввод!$F$12:$F$31&lt;=A3004)*(Ввод!$G$12:$G$31&gt;=A3004))&gt;0,1,0))</f>
        <v/>
      </c>
      <c r="G3004" t="str">
        <f t="shared" si="93"/>
        <v/>
      </c>
    </row>
    <row r="3005" spans="1:7" x14ac:dyDescent="0.3">
      <c r="A3005" s="21" t="str">
        <f>IF(A3004="","",IF(A3004+1&gt;Ввод!$B$4,"",A3004+1))</f>
        <v/>
      </c>
      <c r="B3005" s="23" t="str">
        <f>IF(A3005="","",IFERROR(INDEX(Ввод!$B$12:$B$71,MATCH(A3005,Ввод!$D$12:$D$71,1)),""))</f>
        <v/>
      </c>
      <c r="C3005" t="str">
        <f t="shared" si="92"/>
        <v/>
      </c>
      <c r="D3005" t="str">
        <f>IF(A3005="","",SUMIFS(Акты!$D$5:$D$16,Акты!$E$5:$E$16,"&lt;="&amp;A3005)-SUMIFS(Оплаты!$B$6:$B$505,Оплаты!$A$6:$A$505,"&lt;"&amp;A3005,Оплаты!$D$6:$D$505,"&lt;&gt;"))</f>
        <v/>
      </c>
      <c r="E3005" t="str">
        <f>IF(A3005="","",IF(SUMPRODUCT((Ввод!$F$12:$F$31&lt;&gt;"")*(Ввод!$F$12:$F$31&lt;=A3005)*(Ввод!$G$12:$G$31&gt;=A3005))&gt;0,1,0))</f>
        <v/>
      </c>
      <c r="G3005" t="str">
        <f t="shared" si="93"/>
        <v/>
      </c>
    </row>
    <row r="3006" spans="1:7" x14ac:dyDescent="0.3">
      <c r="A3006" s="21" t="str">
        <f>IF(A3005="","",IF(A3005+1&gt;Ввод!$B$4,"",A3005+1))</f>
        <v/>
      </c>
      <c r="B3006" s="23" t="str">
        <f>IF(A3006="","",IFERROR(INDEX(Ввод!$B$12:$B$71,MATCH(A3006,Ввод!$D$12:$D$71,1)),""))</f>
        <v/>
      </c>
      <c r="C3006" t="str">
        <f t="shared" si="92"/>
        <v/>
      </c>
      <c r="D3006" t="str">
        <f>IF(A3006="","",SUMIFS(Акты!$D$5:$D$16,Акты!$E$5:$E$16,"&lt;="&amp;A3006)-SUMIFS(Оплаты!$B$6:$B$505,Оплаты!$A$6:$A$505,"&lt;"&amp;A3006,Оплаты!$D$6:$D$505,"&lt;&gt;"))</f>
        <v/>
      </c>
      <c r="E3006" t="str">
        <f>IF(A3006="","",IF(SUMPRODUCT((Ввод!$F$12:$F$31&lt;&gt;"")*(Ввод!$F$12:$F$31&lt;=A3006)*(Ввод!$G$12:$G$31&gt;=A3006))&gt;0,1,0))</f>
        <v/>
      </c>
      <c r="G3006" t="str">
        <f t="shared" si="93"/>
        <v/>
      </c>
    </row>
    <row r="3007" spans="1:7" x14ac:dyDescent="0.3">
      <c r="A3007" s="21" t="str">
        <f>IF(A3006="","",IF(A3006+1&gt;Ввод!$B$4,"",A3006+1))</f>
        <v/>
      </c>
      <c r="B3007" s="23" t="str">
        <f>IF(A3007="","",IFERROR(INDEX(Ввод!$B$12:$B$71,MATCH(A3007,Ввод!$D$12:$D$71,1)),""))</f>
        <v/>
      </c>
      <c r="C3007" t="str">
        <f t="shared" si="92"/>
        <v/>
      </c>
      <c r="D3007" t="str">
        <f>IF(A3007="","",SUMIFS(Акты!$D$5:$D$16,Акты!$E$5:$E$16,"&lt;="&amp;A3007)-SUMIFS(Оплаты!$B$6:$B$505,Оплаты!$A$6:$A$505,"&lt;"&amp;A3007,Оплаты!$D$6:$D$505,"&lt;&gt;"))</f>
        <v/>
      </c>
      <c r="E3007" t="str">
        <f>IF(A3007="","",IF(SUMPRODUCT((Ввод!$F$12:$F$31&lt;&gt;"")*(Ввод!$F$12:$F$31&lt;=A3007)*(Ввод!$G$12:$G$31&gt;=A3007))&gt;0,1,0))</f>
        <v/>
      </c>
      <c r="G3007" t="str">
        <f t="shared" si="93"/>
        <v/>
      </c>
    </row>
    <row r="3008" spans="1:7" x14ac:dyDescent="0.3">
      <c r="A3008" s="21" t="str">
        <f>IF(A3007="","",IF(A3007+1&gt;Ввод!$B$4,"",A3007+1))</f>
        <v/>
      </c>
      <c r="B3008" s="23" t="str">
        <f>IF(A3008="","",IFERROR(INDEX(Ввод!$B$12:$B$71,MATCH(A3008,Ввод!$D$12:$D$71,1)),""))</f>
        <v/>
      </c>
      <c r="C3008" t="str">
        <f t="shared" si="92"/>
        <v/>
      </c>
      <c r="D3008" t="str">
        <f>IF(A3008="","",SUMIFS(Акты!$D$5:$D$16,Акты!$E$5:$E$16,"&lt;="&amp;A3008)-SUMIFS(Оплаты!$B$6:$B$505,Оплаты!$A$6:$A$505,"&lt;"&amp;A3008,Оплаты!$D$6:$D$505,"&lt;&gt;"))</f>
        <v/>
      </c>
      <c r="E3008" t="str">
        <f>IF(A3008="","",IF(SUMPRODUCT((Ввод!$F$12:$F$31&lt;&gt;"")*(Ввод!$F$12:$F$31&lt;=A3008)*(Ввод!$G$12:$G$31&gt;=A3008))&gt;0,1,0))</f>
        <v/>
      </c>
      <c r="G3008" t="str">
        <f t="shared" si="93"/>
        <v/>
      </c>
    </row>
    <row r="3009" spans="1:7" x14ac:dyDescent="0.3">
      <c r="A3009" s="21" t="str">
        <f>IF(A3008="","",IF(A3008+1&gt;Ввод!$B$4,"",A3008+1))</f>
        <v/>
      </c>
      <c r="B3009" s="23" t="str">
        <f>IF(A3009="","",IFERROR(INDEX(Ввод!$B$12:$B$71,MATCH(A3009,Ввод!$D$12:$D$71,1)),""))</f>
        <v/>
      </c>
      <c r="C3009" t="str">
        <f t="shared" si="92"/>
        <v/>
      </c>
      <c r="D3009" t="str">
        <f>IF(A3009="","",SUMIFS(Акты!$D$5:$D$16,Акты!$E$5:$E$16,"&lt;="&amp;A3009)-SUMIFS(Оплаты!$B$6:$B$505,Оплаты!$A$6:$A$505,"&lt;"&amp;A3009,Оплаты!$D$6:$D$505,"&lt;&gt;"))</f>
        <v/>
      </c>
      <c r="E3009" t="str">
        <f>IF(A3009="","",IF(SUMPRODUCT((Ввод!$F$12:$F$31&lt;&gt;"")*(Ввод!$F$12:$F$31&lt;=A3009)*(Ввод!$G$12:$G$31&gt;=A3009))&gt;0,1,0))</f>
        <v/>
      </c>
      <c r="G3009" t="str">
        <f t="shared" si="93"/>
        <v/>
      </c>
    </row>
    <row r="3010" spans="1:7" x14ac:dyDescent="0.3">
      <c r="A3010" s="21" t="str">
        <f>IF(A3009="","",IF(A3009+1&gt;Ввод!$B$4,"",A3009+1))</f>
        <v/>
      </c>
      <c r="B3010" s="23" t="str">
        <f>IF(A3010="","",IFERROR(INDEX(Ввод!$B$12:$B$71,MATCH(A3010,Ввод!$D$12:$D$71,1)),""))</f>
        <v/>
      </c>
      <c r="C3010" t="str">
        <f t="shared" ref="C3010:C3073" si="94">IF(A3010="","",DATE(YEAR(A3010),12,31)-DATE(YEAR(A3010),1,1)+1)</f>
        <v/>
      </c>
      <c r="D3010" t="str">
        <f>IF(A3010="","",SUMIFS(Акты!$D$5:$D$16,Акты!$E$5:$E$16,"&lt;="&amp;A3010)-SUMIFS(Оплаты!$B$6:$B$505,Оплаты!$A$6:$A$505,"&lt;"&amp;A3010,Оплаты!$D$6:$D$505,"&lt;&gt;"))</f>
        <v/>
      </c>
      <c r="E3010" t="str">
        <f>IF(A3010="","",IF(SUMPRODUCT((Ввод!$F$12:$F$31&lt;&gt;"")*(Ввод!$F$12:$F$31&lt;=A3010)*(Ввод!$G$12:$G$31&gt;=A3010))&gt;0,1,0))</f>
        <v/>
      </c>
      <c r="G3010" t="str">
        <f t="shared" si="93"/>
        <v/>
      </c>
    </row>
    <row r="3011" spans="1:7" x14ac:dyDescent="0.3">
      <c r="A3011" s="21" t="str">
        <f>IF(A3010="","",IF(A3010+1&gt;Ввод!$B$4,"",A3010+1))</f>
        <v/>
      </c>
      <c r="B3011" s="23" t="str">
        <f>IF(A3011="","",IFERROR(INDEX(Ввод!$B$12:$B$71,MATCH(A3011,Ввод!$D$12:$D$71,1)),""))</f>
        <v/>
      </c>
      <c r="C3011" t="str">
        <f t="shared" si="94"/>
        <v/>
      </c>
      <c r="D3011" t="str">
        <f>IF(A3011="","",SUMIFS(Акты!$D$5:$D$16,Акты!$E$5:$E$16,"&lt;="&amp;A3011)-SUMIFS(Оплаты!$B$6:$B$505,Оплаты!$A$6:$A$505,"&lt;"&amp;A3011,Оплаты!$D$6:$D$505,"&lt;&gt;"))</f>
        <v/>
      </c>
      <c r="E3011" t="str">
        <f>IF(A3011="","",IF(SUMPRODUCT((Ввод!$F$12:$F$31&lt;&gt;"")*(Ввод!$F$12:$F$31&lt;=A3011)*(Ввод!$G$12:$G$31&gt;=A3011))&gt;0,1,0))</f>
        <v/>
      </c>
      <c r="G3011" t="str">
        <f t="shared" ref="G3011:G3074" si="95">IF(A3011="","",IF(OR(B3011&lt;&gt;B3010,C3011&lt;&gt;C3010,E3011&lt;&gt;E3010),G3010+1,G3010))</f>
        <v/>
      </c>
    </row>
    <row r="3012" spans="1:7" x14ac:dyDescent="0.3">
      <c r="A3012" s="21" t="str">
        <f>IF(A3011="","",IF(A3011+1&gt;Ввод!$B$4,"",A3011+1))</f>
        <v/>
      </c>
      <c r="B3012" s="23" t="str">
        <f>IF(A3012="","",IFERROR(INDEX(Ввод!$B$12:$B$71,MATCH(A3012,Ввод!$D$12:$D$71,1)),""))</f>
        <v/>
      </c>
      <c r="C3012" t="str">
        <f t="shared" si="94"/>
        <v/>
      </c>
      <c r="D3012" t="str">
        <f>IF(A3012="","",SUMIFS(Акты!$D$5:$D$16,Акты!$E$5:$E$16,"&lt;="&amp;A3012)-SUMIFS(Оплаты!$B$6:$B$505,Оплаты!$A$6:$A$505,"&lt;"&amp;A3012,Оплаты!$D$6:$D$505,"&lt;&gt;"))</f>
        <v/>
      </c>
      <c r="E3012" t="str">
        <f>IF(A3012="","",IF(SUMPRODUCT((Ввод!$F$12:$F$31&lt;&gt;"")*(Ввод!$F$12:$F$31&lt;=A3012)*(Ввод!$G$12:$G$31&gt;=A3012))&gt;0,1,0))</f>
        <v/>
      </c>
      <c r="G3012" t="str">
        <f t="shared" si="95"/>
        <v/>
      </c>
    </row>
    <row r="3013" spans="1:7" x14ac:dyDescent="0.3">
      <c r="A3013" s="21" t="str">
        <f>IF(A3012="","",IF(A3012+1&gt;Ввод!$B$4,"",A3012+1))</f>
        <v/>
      </c>
      <c r="B3013" s="23" t="str">
        <f>IF(A3013="","",IFERROR(INDEX(Ввод!$B$12:$B$71,MATCH(A3013,Ввод!$D$12:$D$71,1)),""))</f>
        <v/>
      </c>
      <c r="C3013" t="str">
        <f t="shared" si="94"/>
        <v/>
      </c>
      <c r="D3013" t="str">
        <f>IF(A3013="","",SUMIFS(Акты!$D$5:$D$16,Акты!$E$5:$E$16,"&lt;="&amp;A3013)-SUMIFS(Оплаты!$B$6:$B$505,Оплаты!$A$6:$A$505,"&lt;"&amp;A3013,Оплаты!$D$6:$D$505,"&lt;&gt;"))</f>
        <v/>
      </c>
      <c r="E3013" t="str">
        <f>IF(A3013="","",IF(SUMPRODUCT((Ввод!$F$12:$F$31&lt;&gt;"")*(Ввод!$F$12:$F$31&lt;=A3013)*(Ввод!$G$12:$G$31&gt;=A3013))&gt;0,1,0))</f>
        <v/>
      </c>
      <c r="G3013" t="str">
        <f t="shared" si="95"/>
        <v/>
      </c>
    </row>
    <row r="3014" spans="1:7" x14ac:dyDescent="0.3">
      <c r="A3014" s="21" t="str">
        <f>IF(A3013="","",IF(A3013+1&gt;Ввод!$B$4,"",A3013+1))</f>
        <v/>
      </c>
      <c r="B3014" s="23" t="str">
        <f>IF(A3014="","",IFERROR(INDEX(Ввод!$B$12:$B$71,MATCH(A3014,Ввод!$D$12:$D$71,1)),""))</f>
        <v/>
      </c>
      <c r="C3014" t="str">
        <f t="shared" si="94"/>
        <v/>
      </c>
      <c r="D3014" t="str">
        <f>IF(A3014="","",SUMIFS(Акты!$D$5:$D$16,Акты!$E$5:$E$16,"&lt;="&amp;A3014)-SUMIFS(Оплаты!$B$6:$B$505,Оплаты!$A$6:$A$505,"&lt;"&amp;A3014,Оплаты!$D$6:$D$505,"&lt;&gt;"))</f>
        <v/>
      </c>
      <c r="E3014" t="str">
        <f>IF(A3014="","",IF(SUMPRODUCT((Ввод!$F$12:$F$31&lt;&gt;"")*(Ввод!$F$12:$F$31&lt;=A3014)*(Ввод!$G$12:$G$31&gt;=A3014))&gt;0,1,0))</f>
        <v/>
      </c>
      <c r="G3014" t="str">
        <f t="shared" si="95"/>
        <v/>
      </c>
    </row>
    <row r="3015" spans="1:7" x14ac:dyDescent="0.3">
      <c r="A3015" s="21" t="str">
        <f>IF(A3014="","",IF(A3014+1&gt;Ввод!$B$4,"",A3014+1))</f>
        <v/>
      </c>
      <c r="B3015" s="23" t="str">
        <f>IF(A3015="","",IFERROR(INDEX(Ввод!$B$12:$B$71,MATCH(A3015,Ввод!$D$12:$D$71,1)),""))</f>
        <v/>
      </c>
      <c r="C3015" t="str">
        <f t="shared" si="94"/>
        <v/>
      </c>
      <c r="D3015" t="str">
        <f>IF(A3015="","",SUMIFS(Акты!$D$5:$D$16,Акты!$E$5:$E$16,"&lt;="&amp;A3015)-SUMIFS(Оплаты!$B$6:$B$505,Оплаты!$A$6:$A$505,"&lt;"&amp;A3015,Оплаты!$D$6:$D$505,"&lt;&gt;"))</f>
        <v/>
      </c>
      <c r="E3015" t="str">
        <f>IF(A3015="","",IF(SUMPRODUCT((Ввод!$F$12:$F$31&lt;&gt;"")*(Ввод!$F$12:$F$31&lt;=A3015)*(Ввод!$G$12:$G$31&gt;=A3015))&gt;0,1,0))</f>
        <v/>
      </c>
      <c r="G3015" t="str">
        <f t="shared" si="95"/>
        <v/>
      </c>
    </row>
    <row r="3016" spans="1:7" x14ac:dyDescent="0.3">
      <c r="A3016" s="21" t="str">
        <f>IF(A3015="","",IF(A3015+1&gt;Ввод!$B$4,"",A3015+1))</f>
        <v/>
      </c>
      <c r="B3016" s="23" t="str">
        <f>IF(A3016="","",IFERROR(INDEX(Ввод!$B$12:$B$71,MATCH(A3016,Ввод!$D$12:$D$71,1)),""))</f>
        <v/>
      </c>
      <c r="C3016" t="str">
        <f t="shared" si="94"/>
        <v/>
      </c>
      <c r="D3016" t="str">
        <f>IF(A3016="","",SUMIFS(Акты!$D$5:$D$16,Акты!$E$5:$E$16,"&lt;="&amp;A3016)-SUMIFS(Оплаты!$B$6:$B$505,Оплаты!$A$6:$A$505,"&lt;"&amp;A3016,Оплаты!$D$6:$D$505,"&lt;&gt;"))</f>
        <v/>
      </c>
      <c r="E3016" t="str">
        <f>IF(A3016="","",IF(SUMPRODUCT((Ввод!$F$12:$F$31&lt;&gt;"")*(Ввод!$F$12:$F$31&lt;=A3016)*(Ввод!$G$12:$G$31&gt;=A3016))&gt;0,1,0))</f>
        <v/>
      </c>
      <c r="G3016" t="str">
        <f t="shared" si="95"/>
        <v/>
      </c>
    </row>
    <row r="3017" spans="1:7" x14ac:dyDescent="0.3">
      <c r="A3017" s="21" t="str">
        <f>IF(A3016="","",IF(A3016+1&gt;Ввод!$B$4,"",A3016+1))</f>
        <v/>
      </c>
      <c r="B3017" s="23" t="str">
        <f>IF(A3017="","",IFERROR(INDEX(Ввод!$B$12:$B$71,MATCH(A3017,Ввод!$D$12:$D$71,1)),""))</f>
        <v/>
      </c>
      <c r="C3017" t="str">
        <f t="shared" si="94"/>
        <v/>
      </c>
      <c r="D3017" t="str">
        <f>IF(A3017="","",SUMIFS(Акты!$D$5:$D$16,Акты!$E$5:$E$16,"&lt;="&amp;A3017)-SUMIFS(Оплаты!$B$6:$B$505,Оплаты!$A$6:$A$505,"&lt;"&amp;A3017,Оплаты!$D$6:$D$505,"&lt;&gt;"))</f>
        <v/>
      </c>
      <c r="E3017" t="str">
        <f>IF(A3017="","",IF(SUMPRODUCT((Ввод!$F$12:$F$31&lt;&gt;"")*(Ввод!$F$12:$F$31&lt;=A3017)*(Ввод!$G$12:$G$31&gt;=A3017))&gt;0,1,0))</f>
        <v/>
      </c>
      <c r="G3017" t="str">
        <f t="shared" si="95"/>
        <v/>
      </c>
    </row>
    <row r="3018" spans="1:7" x14ac:dyDescent="0.3">
      <c r="A3018" s="21" t="str">
        <f>IF(A3017="","",IF(A3017+1&gt;Ввод!$B$4,"",A3017+1))</f>
        <v/>
      </c>
      <c r="B3018" s="23" t="str">
        <f>IF(A3018="","",IFERROR(INDEX(Ввод!$B$12:$B$71,MATCH(A3018,Ввод!$D$12:$D$71,1)),""))</f>
        <v/>
      </c>
      <c r="C3018" t="str">
        <f t="shared" si="94"/>
        <v/>
      </c>
      <c r="D3018" t="str">
        <f>IF(A3018="","",SUMIFS(Акты!$D$5:$D$16,Акты!$E$5:$E$16,"&lt;="&amp;A3018)-SUMIFS(Оплаты!$B$6:$B$505,Оплаты!$A$6:$A$505,"&lt;"&amp;A3018,Оплаты!$D$6:$D$505,"&lt;&gt;"))</f>
        <v/>
      </c>
      <c r="E3018" t="str">
        <f>IF(A3018="","",IF(SUMPRODUCT((Ввод!$F$12:$F$31&lt;&gt;"")*(Ввод!$F$12:$F$31&lt;=A3018)*(Ввод!$G$12:$G$31&gt;=A3018))&gt;0,1,0))</f>
        <v/>
      </c>
      <c r="G3018" t="str">
        <f t="shared" si="95"/>
        <v/>
      </c>
    </row>
    <row r="3019" spans="1:7" x14ac:dyDescent="0.3">
      <c r="A3019" s="21" t="str">
        <f>IF(A3018="","",IF(A3018+1&gt;Ввод!$B$4,"",A3018+1))</f>
        <v/>
      </c>
      <c r="B3019" s="23" t="str">
        <f>IF(A3019="","",IFERROR(INDEX(Ввод!$B$12:$B$71,MATCH(A3019,Ввод!$D$12:$D$71,1)),""))</f>
        <v/>
      </c>
      <c r="C3019" t="str">
        <f t="shared" si="94"/>
        <v/>
      </c>
      <c r="D3019" t="str">
        <f>IF(A3019="","",SUMIFS(Акты!$D$5:$D$16,Акты!$E$5:$E$16,"&lt;="&amp;A3019)-SUMIFS(Оплаты!$B$6:$B$505,Оплаты!$A$6:$A$505,"&lt;"&amp;A3019,Оплаты!$D$6:$D$505,"&lt;&gt;"))</f>
        <v/>
      </c>
      <c r="E3019" t="str">
        <f>IF(A3019="","",IF(SUMPRODUCT((Ввод!$F$12:$F$31&lt;&gt;"")*(Ввод!$F$12:$F$31&lt;=A3019)*(Ввод!$G$12:$G$31&gt;=A3019))&gt;0,1,0))</f>
        <v/>
      </c>
      <c r="G3019" t="str">
        <f t="shared" si="95"/>
        <v/>
      </c>
    </row>
    <row r="3020" spans="1:7" x14ac:dyDescent="0.3">
      <c r="A3020" s="21" t="str">
        <f>IF(A3019="","",IF(A3019+1&gt;Ввод!$B$4,"",A3019+1))</f>
        <v/>
      </c>
      <c r="B3020" s="23" t="str">
        <f>IF(A3020="","",IFERROR(INDEX(Ввод!$B$12:$B$71,MATCH(A3020,Ввод!$D$12:$D$71,1)),""))</f>
        <v/>
      </c>
      <c r="C3020" t="str">
        <f t="shared" si="94"/>
        <v/>
      </c>
      <c r="D3020" t="str">
        <f>IF(A3020="","",SUMIFS(Акты!$D$5:$D$16,Акты!$E$5:$E$16,"&lt;="&amp;A3020)-SUMIFS(Оплаты!$B$6:$B$505,Оплаты!$A$6:$A$505,"&lt;"&amp;A3020,Оплаты!$D$6:$D$505,"&lt;&gt;"))</f>
        <v/>
      </c>
      <c r="E3020" t="str">
        <f>IF(A3020="","",IF(SUMPRODUCT((Ввод!$F$12:$F$31&lt;&gt;"")*(Ввод!$F$12:$F$31&lt;=A3020)*(Ввод!$G$12:$G$31&gt;=A3020))&gt;0,1,0))</f>
        <v/>
      </c>
      <c r="G3020" t="str">
        <f t="shared" si="95"/>
        <v/>
      </c>
    </row>
    <row r="3021" spans="1:7" x14ac:dyDescent="0.3">
      <c r="A3021" s="21" t="str">
        <f>IF(A3020="","",IF(A3020+1&gt;Ввод!$B$4,"",A3020+1))</f>
        <v/>
      </c>
      <c r="B3021" s="23" t="str">
        <f>IF(A3021="","",IFERROR(INDEX(Ввод!$B$12:$B$71,MATCH(A3021,Ввод!$D$12:$D$71,1)),""))</f>
        <v/>
      </c>
      <c r="C3021" t="str">
        <f t="shared" si="94"/>
        <v/>
      </c>
      <c r="D3021" t="str">
        <f>IF(A3021="","",SUMIFS(Акты!$D$5:$D$16,Акты!$E$5:$E$16,"&lt;="&amp;A3021)-SUMIFS(Оплаты!$B$6:$B$505,Оплаты!$A$6:$A$505,"&lt;"&amp;A3021,Оплаты!$D$6:$D$505,"&lt;&gt;"))</f>
        <v/>
      </c>
      <c r="E3021" t="str">
        <f>IF(A3021="","",IF(SUMPRODUCT((Ввод!$F$12:$F$31&lt;&gt;"")*(Ввод!$F$12:$F$31&lt;=A3021)*(Ввод!$G$12:$G$31&gt;=A3021))&gt;0,1,0))</f>
        <v/>
      </c>
      <c r="G3021" t="str">
        <f t="shared" si="95"/>
        <v/>
      </c>
    </row>
    <row r="3022" spans="1:7" x14ac:dyDescent="0.3">
      <c r="A3022" s="21" t="str">
        <f>IF(A3021="","",IF(A3021+1&gt;Ввод!$B$4,"",A3021+1))</f>
        <v/>
      </c>
      <c r="B3022" s="23" t="str">
        <f>IF(A3022="","",IFERROR(INDEX(Ввод!$B$12:$B$71,MATCH(A3022,Ввод!$D$12:$D$71,1)),""))</f>
        <v/>
      </c>
      <c r="C3022" t="str">
        <f t="shared" si="94"/>
        <v/>
      </c>
      <c r="D3022" t="str">
        <f>IF(A3022="","",SUMIFS(Акты!$D$5:$D$16,Акты!$E$5:$E$16,"&lt;="&amp;A3022)-SUMIFS(Оплаты!$B$6:$B$505,Оплаты!$A$6:$A$505,"&lt;"&amp;A3022,Оплаты!$D$6:$D$505,"&lt;&gt;"))</f>
        <v/>
      </c>
      <c r="E3022" t="str">
        <f>IF(A3022="","",IF(SUMPRODUCT((Ввод!$F$12:$F$31&lt;&gt;"")*(Ввод!$F$12:$F$31&lt;=A3022)*(Ввод!$G$12:$G$31&gt;=A3022))&gt;0,1,0))</f>
        <v/>
      </c>
      <c r="G3022" t="str">
        <f t="shared" si="95"/>
        <v/>
      </c>
    </row>
    <row r="3023" spans="1:7" x14ac:dyDescent="0.3">
      <c r="A3023" s="21" t="str">
        <f>IF(A3022="","",IF(A3022+1&gt;Ввод!$B$4,"",A3022+1))</f>
        <v/>
      </c>
      <c r="B3023" s="23" t="str">
        <f>IF(A3023="","",IFERROR(INDEX(Ввод!$B$12:$B$71,MATCH(A3023,Ввод!$D$12:$D$71,1)),""))</f>
        <v/>
      </c>
      <c r="C3023" t="str">
        <f t="shared" si="94"/>
        <v/>
      </c>
      <c r="D3023" t="str">
        <f>IF(A3023="","",SUMIFS(Акты!$D$5:$D$16,Акты!$E$5:$E$16,"&lt;="&amp;A3023)-SUMIFS(Оплаты!$B$6:$B$505,Оплаты!$A$6:$A$505,"&lt;"&amp;A3023,Оплаты!$D$6:$D$505,"&lt;&gt;"))</f>
        <v/>
      </c>
      <c r="E3023" t="str">
        <f>IF(A3023="","",IF(SUMPRODUCT((Ввод!$F$12:$F$31&lt;&gt;"")*(Ввод!$F$12:$F$31&lt;=A3023)*(Ввод!$G$12:$G$31&gt;=A3023))&gt;0,1,0))</f>
        <v/>
      </c>
      <c r="G3023" t="str">
        <f t="shared" si="95"/>
        <v/>
      </c>
    </row>
    <row r="3024" spans="1:7" x14ac:dyDescent="0.3">
      <c r="A3024" s="21" t="str">
        <f>IF(A3023="","",IF(A3023+1&gt;Ввод!$B$4,"",A3023+1))</f>
        <v/>
      </c>
      <c r="B3024" s="23" t="str">
        <f>IF(A3024="","",IFERROR(INDEX(Ввод!$B$12:$B$71,MATCH(A3024,Ввод!$D$12:$D$71,1)),""))</f>
        <v/>
      </c>
      <c r="C3024" t="str">
        <f t="shared" si="94"/>
        <v/>
      </c>
      <c r="D3024" t="str">
        <f>IF(A3024="","",SUMIFS(Акты!$D$5:$D$16,Акты!$E$5:$E$16,"&lt;="&amp;A3024)-SUMIFS(Оплаты!$B$6:$B$505,Оплаты!$A$6:$A$505,"&lt;"&amp;A3024,Оплаты!$D$6:$D$505,"&lt;&gt;"))</f>
        <v/>
      </c>
      <c r="E3024" t="str">
        <f>IF(A3024="","",IF(SUMPRODUCT((Ввод!$F$12:$F$31&lt;&gt;"")*(Ввод!$F$12:$F$31&lt;=A3024)*(Ввод!$G$12:$G$31&gt;=A3024))&gt;0,1,0))</f>
        <v/>
      </c>
      <c r="G3024" t="str">
        <f t="shared" si="95"/>
        <v/>
      </c>
    </row>
    <row r="3025" spans="1:7" x14ac:dyDescent="0.3">
      <c r="A3025" s="21" t="str">
        <f>IF(A3024="","",IF(A3024+1&gt;Ввод!$B$4,"",A3024+1))</f>
        <v/>
      </c>
      <c r="B3025" s="23" t="str">
        <f>IF(A3025="","",IFERROR(INDEX(Ввод!$B$12:$B$71,MATCH(A3025,Ввод!$D$12:$D$71,1)),""))</f>
        <v/>
      </c>
      <c r="C3025" t="str">
        <f t="shared" si="94"/>
        <v/>
      </c>
      <c r="D3025" t="str">
        <f>IF(A3025="","",SUMIFS(Акты!$D$5:$D$16,Акты!$E$5:$E$16,"&lt;="&amp;A3025)-SUMIFS(Оплаты!$B$6:$B$505,Оплаты!$A$6:$A$505,"&lt;"&amp;A3025,Оплаты!$D$6:$D$505,"&lt;&gt;"))</f>
        <v/>
      </c>
      <c r="E3025" t="str">
        <f>IF(A3025="","",IF(SUMPRODUCT((Ввод!$F$12:$F$31&lt;&gt;"")*(Ввод!$F$12:$F$31&lt;=A3025)*(Ввод!$G$12:$G$31&gt;=A3025))&gt;0,1,0))</f>
        <v/>
      </c>
      <c r="G3025" t="str">
        <f t="shared" si="95"/>
        <v/>
      </c>
    </row>
    <row r="3026" spans="1:7" x14ac:dyDescent="0.3">
      <c r="A3026" s="21" t="str">
        <f>IF(A3025="","",IF(A3025+1&gt;Ввод!$B$4,"",A3025+1))</f>
        <v/>
      </c>
      <c r="B3026" s="23" t="str">
        <f>IF(A3026="","",IFERROR(INDEX(Ввод!$B$12:$B$71,MATCH(A3026,Ввод!$D$12:$D$71,1)),""))</f>
        <v/>
      </c>
      <c r="C3026" t="str">
        <f t="shared" si="94"/>
        <v/>
      </c>
      <c r="D3026" t="str">
        <f>IF(A3026="","",SUMIFS(Акты!$D$5:$D$16,Акты!$E$5:$E$16,"&lt;="&amp;A3026)-SUMIFS(Оплаты!$B$6:$B$505,Оплаты!$A$6:$A$505,"&lt;"&amp;A3026,Оплаты!$D$6:$D$505,"&lt;&gt;"))</f>
        <v/>
      </c>
      <c r="E3026" t="str">
        <f>IF(A3026="","",IF(SUMPRODUCT((Ввод!$F$12:$F$31&lt;&gt;"")*(Ввод!$F$12:$F$31&lt;=A3026)*(Ввод!$G$12:$G$31&gt;=A3026))&gt;0,1,0))</f>
        <v/>
      </c>
      <c r="G3026" t="str">
        <f t="shared" si="95"/>
        <v/>
      </c>
    </row>
    <row r="3027" spans="1:7" x14ac:dyDescent="0.3">
      <c r="A3027" s="21" t="str">
        <f>IF(A3026="","",IF(A3026+1&gt;Ввод!$B$4,"",A3026+1))</f>
        <v/>
      </c>
      <c r="B3027" s="23" t="str">
        <f>IF(A3027="","",IFERROR(INDEX(Ввод!$B$12:$B$71,MATCH(A3027,Ввод!$D$12:$D$71,1)),""))</f>
        <v/>
      </c>
      <c r="C3027" t="str">
        <f t="shared" si="94"/>
        <v/>
      </c>
      <c r="D3027" t="str">
        <f>IF(A3027="","",SUMIFS(Акты!$D$5:$D$16,Акты!$E$5:$E$16,"&lt;="&amp;A3027)-SUMIFS(Оплаты!$B$6:$B$505,Оплаты!$A$6:$A$505,"&lt;"&amp;A3027,Оплаты!$D$6:$D$505,"&lt;&gt;"))</f>
        <v/>
      </c>
      <c r="E3027" t="str">
        <f>IF(A3027="","",IF(SUMPRODUCT((Ввод!$F$12:$F$31&lt;&gt;"")*(Ввод!$F$12:$F$31&lt;=A3027)*(Ввод!$G$12:$G$31&gt;=A3027))&gt;0,1,0))</f>
        <v/>
      </c>
      <c r="G3027" t="str">
        <f t="shared" si="95"/>
        <v/>
      </c>
    </row>
    <row r="3028" spans="1:7" x14ac:dyDescent="0.3">
      <c r="A3028" s="21" t="str">
        <f>IF(A3027="","",IF(A3027+1&gt;Ввод!$B$4,"",A3027+1))</f>
        <v/>
      </c>
      <c r="B3028" s="23" t="str">
        <f>IF(A3028="","",IFERROR(INDEX(Ввод!$B$12:$B$71,MATCH(A3028,Ввод!$D$12:$D$71,1)),""))</f>
        <v/>
      </c>
      <c r="C3028" t="str">
        <f t="shared" si="94"/>
        <v/>
      </c>
      <c r="D3028" t="str">
        <f>IF(A3028="","",SUMIFS(Акты!$D$5:$D$16,Акты!$E$5:$E$16,"&lt;="&amp;A3028)-SUMIFS(Оплаты!$B$6:$B$505,Оплаты!$A$6:$A$505,"&lt;"&amp;A3028,Оплаты!$D$6:$D$505,"&lt;&gt;"))</f>
        <v/>
      </c>
      <c r="E3028" t="str">
        <f>IF(A3028="","",IF(SUMPRODUCT((Ввод!$F$12:$F$31&lt;&gt;"")*(Ввод!$F$12:$F$31&lt;=A3028)*(Ввод!$G$12:$G$31&gt;=A3028))&gt;0,1,0))</f>
        <v/>
      </c>
      <c r="G3028" t="str">
        <f t="shared" si="95"/>
        <v/>
      </c>
    </row>
    <row r="3029" spans="1:7" x14ac:dyDescent="0.3">
      <c r="A3029" s="21" t="str">
        <f>IF(A3028="","",IF(A3028+1&gt;Ввод!$B$4,"",A3028+1))</f>
        <v/>
      </c>
      <c r="B3029" s="23" t="str">
        <f>IF(A3029="","",IFERROR(INDEX(Ввод!$B$12:$B$71,MATCH(A3029,Ввод!$D$12:$D$71,1)),""))</f>
        <v/>
      </c>
      <c r="C3029" t="str">
        <f t="shared" si="94"/>
        <v/>
      </c>
      <c r="D3029" t="str">
        <f>IF(A3029="","",SUMIFS(Акты!$D$5:$D$16,Акты!$E$5:$E$16,"&lt;="&amp;A3029)-SUMIFS(Оплаты!$B$6:$B$505,Оплаты!$A$6:$A$505,"&lt;"&amp;A3029,Оплаты!$D$6:$D$505,"&lt;&gt;"))</f>
        <v/>
      </c>
      <c r="E3029" t="str">
        <f>IF(A3029="","",IF(SUMPRODUCT((Ввод!$F$12:$F$31&lt;&gt;"")*(Ввод!$F$12:$F$31&lt;=A3029)*(Ввод!$G$12:$G$31&gt;=A3029))&gt;0,1,0))</f>
        <v/>
      </c>
      <c r="G3029" t="str">
        <f t="shared" si="95"/>
        <v/>
      </c>
    </row>
    <row r="3030" spans="1:7" x14ac:dyDescent="0.3">
      <c r="A3030" s="21" t="str">
        <f>IF(A3029="","",IF(A3029+1&gt;Ввод!$B$4,"",A3029+1))</f>
        <v/>
      </c>
      <c r="B3030" s="23" t="str">
        <f>IF(A3030="","",IFERROR(INDEX(Ввод!$B$12:$B$71,MATCH(A3030,Ввод!$D$12:$D$71,1)),""))</f>
        <v/>
      </c>
      <c r="C3030" t="str">
        <f t="shared" si="94"/>
        <v/>
      </c>
      <c r="D3030" t="str">
        <f>IF(A3030="","",SUMIFS(Акты!$D$5:$D$16,Акты!$E$5:$E$16,"&lt;="&amp;A3030)-SUMIFS(Оплаты!$B$6:$B$505,Оплаты!$A$6:$A$505,"&lt;"&amp;A3030,Оплаты!$D$6:$D$505,"&lt;&gt;"))</f>
        <v/>
      </c>
      <c r="E3030" t="str">
        <f>IF(A3030="","",IF(SUMPRODUCT((Ввод!$F$12:$F$31&lt;&gt;"")*(Ввод!$F$12:$F$31&lt;=A3030)*(Ввод!$G$12:$G$31&gt;=A3030))&gt;0,1,0))</f>
        <v/>
      </c>
      <c r="G3030" t="str">
        <f t="shared" si="95"/>
        <v/>
      </c>
    </row>
    <row r="3031" spans="1:7" x14ac:dyDescent="0.3">
      <c r="A3031" s="21" t="str">
        <f>IF(A3030="","",IF(A3030+1&gt;Ввод!$B$4,"",A3030+1))</f>
        <v/>
      </c>
      <c r="B3031" s="23" t="str">
        <f>IF(A3031="","",IFERROR(INDEX(Ввод!$B$12:$B$71,MATCH(A3031,Ввод!$D$12:$D$71,1)),""))</f>
        <v/>
      </c>
      <c r="C3031" t="str">
        <f t="shared" si="94"/>
        <v/>
      </c>
      <c r="D3031" t="str">
        <f>IF(A3031="","",SUMIFS(Акты!$D$5:$D$16,Акты!$E$5:$E$16,"&lt;="&amp;A3031)-SUMIFS(Оплаты!$B$6:$B$505,Оплаты!$A$6:$A$505,"&lt;"&amp;A3031,Оплаты!$D$6:$D$505,"&lt;&gt;"))</f>
        <v/>
      </c>
      <c r="E3031" t="str">
        <f>IF(A3031="","",IF(SUMPRODUCT((Ввод!$F$12:$F$31&lt;&gt;"")*(Ввод!$F$12:$F$31&lt;=A3031)*(Ввод!$G$12:$G$31&gt;=A3031))&gt;0,1,0))</f>
        <v/>
      </c>
      <c r="G3031" t="str">
        <f t="shared" si="95"/>
        <v/>
      </c>
    </row>
    <row r="3032" spans="1:7" x14ac:dyDescent="0.3">
      <c r="A3032" s="21" t="str">
        <f>IF(A3031="","",IF(A3031+1&gt;Ввод!$B$4,"",A3031+1))</f>
        <v/>
      </c>
      <c r="B3032" s="23" t="str">
        <f>IF(A3032="","",IFERROR(INDEX(Ввод!$B$12:$B$71,MATCH(A3032,Ввод!$D$12:$D$71,1)),""))</f>
        <v/>
      </c>
      <c r="C3032" t="str">
        <f t="shared" si="94"/>
        <v/>
      </c>
      <c r="D3032" t="str">
        <f>IF(A3032="","",SUMIFS(Акты!$D$5:$D$16,Акты!$E$5:$E$16,"&lt;="&amp;A3032)-SUMIFS(Оплаты!$B$6:$B$505,Оплаты!$A$6:$A$505,"&lt;"&amp;A3032,Оплаты!$D$6:$D$505,"&lt;&gt;"))</f>
        <v/>
      </c>
      <c r="E3032" t="str">
        <f>IF(A3032="","",IF(SUMPRODUCT((Ввод!$F$12:$F$31&lt;&gt;"")*(Ввод!$F$12:$F$31&lt;=A3032)*(Ввод!$G$12:$G$31&gt;=A3032))&gt;0,1,0))</f>
        <v/>
      </c>
      <c r="G3032" t="str">
        <f t="shared" si="95"/>
        <v/>
      </c>
    </row>
    <row r="3033" spans="1:7" x14ac:dyDescent="0.3">
      <c r="A3033" s="21" t="str">
        <f>IF(A3032="","",IF(A3032+1&gt;Ввод!$B$4,"",A3032+1))</f>
        <v/>
      </c>
      <c r="B3033" s="23" t="str">
        <f>IF(A3033="","",IFERROR(INDEX(Ввод!$B$12:$B$71,MATCH(A3033,Ввод!$D$12:$D$71,1)),""))</f>
        <v/>
      </c>
      <c r="C3033" t="str">
        <f t="shared" si="94"/>
        <v/>
      </c>
      <c r="D3033" t="str">
        <f>IF(A3033="","",SUMIFS(Акты!$D$5:$D$16,Акты!$E$5:$E$16,"&lt;="&amp;A3033)-SUMIFS(Оплаты!$B$6:$B$505,Оплаты!$A$6:$A$505,"&lt;"&amp;A3033,Оплаты!$D$6:$D$505,"&lt;&gt;"))</f>
        <v/>
      </c>
      <c r="E3033" t="str">
        <f>IF(A3033="","",IF(SUMPRODUCT((Ввод!$F$12:$F$31&lt;&gt;"")*(Ввод!$F$12:$F$31&lt;=A3033)*(Ввод!$G$12:$G$31&gt;=A3033))&gt;0,1,0))</f>
        <v/>
      </c>
      <c r="G3033" t="str">
        <f t="shared" si="95"/>
        <v/>
      </c>
    </row>
    <row r="3034" spans="1:7" x14ac:dyDescent="0.3">
      <c r="A3034" s="21" t="str">
        <f>IF(A3033="","",IF(A3033+1&gt;Ввод!$B$4,"",A3033+1))</f>
        <v/>
      </c>
      <c r="B3034" s="23" t="str">
        <f>IF(A3034="","",IFERROR(INDEX(Ввод!$B$12:$B$71,MATCH(A3034,Ввод!$D$12:$D$71,1)),""))</f>
        <v/>
      </c>
      <c r="C3034" t="str">
        <f t="shared" si="94"/>
        <v/>
      </c>
      <c r="D3034" t="str">
        <f>IF(A3034="","",SUMIFS(Акты!$D$5:$D$16,Акты!$E$5:$E$16,"&lt;="&amp;A3034)-SUMIFS(Оплаты!$B$6:$B$505,Оплаты!$A$6:$A$505,"&lt;"&amp;A3034,Оплаты!$D$6:$D$505,"&lt;&gt;"))</f>
        <v/>
      </c>
      <c r="E3034" t="str">
        <f>IF(A3034="","",IF(SUMPRODUCT((Ввод!$F$12:$F$31&lt;&gt;"")*(Ввод!$F$12:$F$31&lt;=A3034)*(Ввод!$G$12:$G$31&gt;=A3034))&gt;0,1,0))</f>
        <v/>
      </c>
      <c r="G3034" t="str">
        <f t="shared" si="95"/>
        <v/>
      </c>
    </row>
    <row r="3035" spans="1:7" x14ac:dyDescent="0.3">
      <c r="A3035" s="21" t="str">
        <f>IF(A3034="","",IF(A3034+1&gt;Ввод!$B$4,"",A3034+1))</f>
        <v/>
      </c>
      <c r="B3035" s="23" t="str">
        <f>IF(A3035="","",IFERROR(INDEX(Ввод!$B$12:$B$71,MATCH(A3035,Ввод!$D$12:$D$71,1)),""))</f>
        <v/>
      </c>
      <c r="C3035" t="str">
        <f t="shared" si="94"/>
        <v/>
      </c>
      <c r="D3035" t="str">
        <f>IF(A3035="","",SUMIFS(Акты!$D$5:$D$16,Акты!$E$5:$E$16,"&lt;="&amp;A3035)-SUMIFS(Оплаты!$B$6:$B$505,Оплаты!$A$6:$A$505,"&lt;"&amp;A3035,Оплаты!$D$6:$D$505,"&lt;&gt;"))</f>
        <v/>
      </c>
      <c r="E3035" t="str">
        <f>IF(A3035="","",IF(SUMPRODUCT((Ввод!$F$12:$F$31&lt;&gt;"")*(Ввод!$F$12:$F$31&lt;=A3035)*(Ввод!$G$12:$G$31&gt;=A3035))&gt;0,1,0))</f>
        <v/>
      </c>
      <c r="G3035" t="str">
        <f t="shared" si="95"/>
        <v/>
      </c>
    </row>
    <row r="3036" spans="1:7" x14ac:dyDescent="0.3">
      <c r="A3036" s="21" t="str">
        <f>IF(A3035="","",IF(A3035+1&gt;Ввод!$B$4,"",A3035+1))</f>
        <v/>
      </c>
      <c r="B3036" s="23" t="str">
        <f>IF(A3036="","",IFERROR(INDEX(Ввод!$B$12:$B$71,MATCH(A3036,Ввод!$D$12:$D$71,1)),""))</f>
        <v/>
      </c>
      <c r="C3036" t="str">
        <f t="shared" si="94"/>
        <v/>
      </c>
      <c r="D3036" t="str">
        <f>IF(A3036="","",SUMIFS(Акты!$D$5:$D$16,Акты!$E$5:$E$16,"&lt;="&amp;A3036)-SUMIFS(Оплаты!$B$6:$B$505,Оплаты!$A$6:$A$505,"&lt;"&amp;A3036,Оплаты!$D$6:$D$505,"&lt;&gt;"))</f>
        <v/>
      </c>
      <c r="E3036" t="str">
        <f>IF(A3036="","",IF(SUMPRODUCT((Ввод!$F$12:$F$31&lt;&gt;"")*(Ввод!$F$12:$F$31&lt;=A3036)*(Ввод!$G$12:$G$31&gt;=A3036))&gt;0,1,0))</f>
        <v/>
      </c>
      <c r="G3036" t="str">
        <f t="shared" si="95"/>
        <v/>
      </c>
    </row>
    <row r="3037" spans="1:7" x14ac:dyDescent="0.3">
      <c r="A3037" s="21" t="str">
        <f>IF(A3036="","",IF(A3036+1&gt;Ввод!$B$4,"",A3036+1))</f>
        <v/>
      </c>
      <c r="B3037" s="23" t="str">
        <f>IF(A3037="","",IFERROR(INDEX(Ввод!$B$12:$B$71,MATCH(A3037,Ввод!$D$12:$D$71,1)),""))</f>
        <v/>
      </c>
      <c r="C3037" t="str">
        <f t="shared" si="94"/>
        <v/>
      </c>
      <c r="D3037" t="str">
        <f>IF(A3037="","",SUMIFS(Акты!$D$5:$D$16,Акты!$E$5:$E$16,"&lt;="&amp;A3037)-SUMIFS(Оплаты!$B$6:$B$505,Оплаты!$A$6:$A$505,"&lt;"&amp;A3037,Оплаты!$D$6:$D$505,"&lt;&gt;"))</f>
        <v/>
      </c>
      <c r="E3037" t="str">
        <f>IF(A3037="","",IF(SUMPRODUCT((Ввод!$F$12:$F$31&lt;&gt;"")*(Ввод!$F$12:$F$31&lt;=A3037)*(Ввод!$G$12:$G$31&gt;=A3037))&gt;0,1,0))</f>
        <v/>
      </c>
      <c r="G3037" t="str">
        <f t="shared" si="95"/>
        <v/>
      </c>
    </row>
    <row r="3038" spans="1:7" x14ac:dyDescent="0.3">
      <c r="A3038" s="21" t="str">
        <f>IF(A3037="","",IF(A3037+1&gt;Ввод!$B$4,"",A3037+1))</f>
        <v/>
      </c>
      <c r="B3038" s="23" t="str">
        <f>IF(A3038="","",IFERROR(INDEX(Ввод!$B$12:$B$71,MATCH(A3038,Ввод!$D$12:$D$71,1)),""))</f>
        <v/>
      </c>
      <c r="C3038" t="str">
        <f t="shared" si="94"/>
        <v/>
      </c>
      <c r="D3038" t="str">
        <f>IF(A3038="","",SUMIFS(Акты!$D$5:$D$16,Акты!$E$5:$E$16,"&lt;="&amp;A3038)-SUMIFS(Оплаты!$B$6:$B$505,Оплаты!$A$6:$A$505,"&lt;"&amp;A3038,Оплаты!$D$6:$D$505,"&lt;&gt;"))</f>
        <v/>
      </c>
      <c r="E3038" t="str">
        <f>IF(A3038="","",IF(SUMPRODUCT((Ввод!$F$12:$F$31&lt;&gt;"")*(Ввод!$F$12:$F$31&lt;=A3038)*(Ввод!$G$12:$G$31&gt;=A3038))&gt;0,1,0))</f>
        <v/>
      </c>
      <c r="G3038" t="str">
        <f t="shared" si="95"/>
        <v/>
      </c>
    </row>
    <row r="3039" spans="1:7" x14ac:dyDescent="0.3">
      <c r="A3039" s="21" t="str">
        <f>IF(A3038="","",IF(A3038+1&gt;Ввод!$B$4,"",A3038+1))</f>
        <v/>
      </c>
      <c r="B3039" s="23" t="str">
        <f>IF(A3039="","",IFERROR(INDEX(Ввод!$B$12:$B$71,MATCH(A3039,Ввод!$D$12:$D$71,1)),""))</f>
        <v/>
      </c>
      <c r="C3039" t="str">
        <f t="shared" si="94"/>
        <v/>
      </c>
      <c r="D3039" t="str">
        <f>IF(A3039="","",SUMIFS(Акты!$D$5:$D$16,Акты!$E$5:$E$16,"&lt;="&amp;A3039)-SUMIFS(Оплаты!$B$6:$B$505,Оплаты!$A$6:$A$505,"&lt;"&amp;A3039,Оплаты!$D$6:$D$505,"&lt;&gt;"))</f>
        <v/>
      </c>
      <c r="E3039" t="str">
        <f>IF(A3039="","",IF(SUMPRODUCT((Ввод!$F$12:$F$31&lt;&gt;"")*(Ввод!$F$12:$F$31&lt;=A3039)*(Ввод!$G$12:$G$31&gt;=A3039))&gt;0,1,0))</f>
        <v/>
      </c>
      <c r="G3039" t="str">
        <f t="shared" si="95"/>
        <v/>
      </c>
    </row>
    <row r="3040" spans="1:7" x14ac:dyDescent="0.3">
      <c r="A3040" s="21" t="str">
        <f>IF(A3039="","",IF(A3039+1&gt;Ввод!$B$4,"",A3039+1))</f>
        <v/>
      </c>
      <c r="B3040" s="23" t="str">
        <f>IF(A3040="","",IFERROR(INDEX(Ввод!$B$12:$B$71,MATCH(A3040,Ввод!$D$12:$D$71,1)),""))</f>
        <v/>
      </c>
      <c r="C3040" t="str">
        <f t="shared" si="94"/>
        <v/>
      </c>
      <c r="D3040" t="str">
        <f>IF(A3040="","",SUMIFS(Акты!$D$5:$D$16,Акты!$E$5:$E$16,"&lt;="&amp;A3040)-SUMIFS(Оплаты!$B$6:$B$505,Оплаты!$A$6:$A$505,"&lt;"&amp;A3040,Оплаты!$D$6:$D$505,"&lt;&gt;"))</f>
        <v/>
      </c>
      <c r="E3040" t="str">
        <f>IF(A3040="","",IF(SUMPRODUCT((Ввод!$F$12:$F$31&lt;&gt;"")*(Ввод!$F$12:$F$31&lt;=A3040)*(Ввод!$G$12:$G$31&gt;=A3040))&gt;0,1,0))</f>
        <v/>
      </c>
      <c r="G3040" t="str">
        <f t="shared" si="95"/>
        <v/>
      </c>
    </row>
    <row r="3041" spans="1:7" x14ac:dyDescent="0.3">
      <c r="A3041" s="21" t="str">
        <f>IF(A3040="","",IF(A3040+1&gt;Ввод!$B$4,"",A3040+1))</f>
        <v/>
      </c>
      <c r="B3041" s="23" t="str">
        <f>IF(A3041="","",IFERROR(INDEX(Ввод!$B$12:$B$71,MATCH(A3041,Ввод!$D$12:$D$71,1)),""))</f>
        <v/>
      </c>
      <c r="C3041" t="str">
        <f t="shared" si="94"/>
        <v/>
      </c>
      <c r="D3041" t="str">
        <f>IF(A3041="","",SUMIFS(Акты!$D$5:$D$16,Акты!$E$5:$E$16,"&lt;="&amp;A3041)-SUMIFS(Оплаты!$B$6:$B$505,Оплаты!$A$6:$A$505,"&lt;"&amp;A3041,Оплаты!$D$6:$D$505,"&lt;&gt;"))</f>
        <v/>
      </c>
      <c r="E3041" t="str">
        <f>IF(A3041="","",IF(SUMPRODUCT((Ввод!$F$12:$F$31&lt;&gt;"")*(Ввод!$F$12:$F$31&lt;=A3041)*(Ввод!$G$12:$G$31&gt;=A3041))&gt;0,1,0))</f>
        <v/>
      </c>
      <c r="G3041" t="str">
        <f t="shared" si="95"/>
        <v/>
      </c>
    </row>
    <row r="3042" spans="1:7" x14ac:dyDescent="0.3">
      <c r="A3042" s="21" t="str">
        <f>IF(A3041="","",IF(A3041+1&gt;Ввод!$B$4,"",A3041+1))</f>
        <v/>
      </c>
      <c r="B3042" s="23" t="str">
        <f>IF(A3042="","",IFERROR(INDEX(Ввод!$B$12:$B$71,MATCH(A3042,Ввод!$D$12:$D$71,1)),""))</f>
        <v/>
      </c>
      <c r="C3042" t="str">
        <f t="shared" si="94"/>
        <v/>
      </c>
      <c r="D3042" t="str">
        <f>IF(A3042="","",SUMIFS(Акты!$D$5:$D$16,Акты!$E$5:$E$16,"&lt;="&amp;A3042)-SUMIFS(Оплаты!$B$6:$B$505,Оплаты!$A$6:$A$505,"&lt;"&amp;A3042,Оплаты!$D$6:$D$505,"&lt;&gt;"))</f>
        <v/>
      </c>
      <c r="E3042" t="str">
        <f>IF(A3042="","",IF(SUMPRODUCT((Ввод!$F$12:$F$31&lt;&gt;"")*(Ввод!$F$12:$F$31&lt;=A3042)*(Ввод!$G$12:$G$31&gt;=A3042))&gt;0,1,0))</f>
        <v/>
      </c>
      <c r="G3042" t="str">
        <f t="shared" si="95"/>
        <v/>
      </c>
    </row>
    <row r="3043" spans="1:7" x14ac:dyDescent="0.3">
      <c r="A3043" s="21" t="str">
        <f>IF(A3042="","",IF(A3042+1&gt;Ввод!$B$4,"",A3042+1))</f>
        <v/>
      </c>
      <c r="B3043" s="23" t="str">
        <f>IF(A3043="","",IFERROR(INDEX(Ввод!$B$12:$B$71,MATCH(A3043,Ввод!$D$12:$D$71,1)),""))</f>
        <v/>
      </c>
      <c r="C3043" t="str">
        <f t="shared" si="94"/>
        <v/>
      </c>
      <c r="D3043" t="str">
        <f>IF(A3043="","",SUMIFS(Акты!$D$5:$D$16,Акты!$E$5:$E$16,"&lt;="&amp;A3043)-SUMIFS(Оплаты!$B$6:$B$505,Оплаты!$A$6:$A$505,"&lt;"&amp;A3043,Оплаты!$D$6:$D$505,"&lt;&gt;"))</f>
        <v/>
      </c>
      <c r="E3043" t="str">
        <f>IF(A3043="","",IF(SUMPRODUCT((Ввод!$F$12:$F$31&lt;&gt;"")*(Ввод!$F$12:$F$31&lt;=A3043)*(Ввод!$G$12:$G$31&gt;=A3043))&gt;0,1,0))</f>
        <v/>
      </c>
      <c r="G3043" t="str">
        <f t="shared" si="95"/>
        <v/>
      </c>
    </row>
    <row r="3044" spans="1:7" x14ac:dyDescent="0.3">
      <c r="A3044" s="21" t="str">
        <f>IF(A3043="","",IF(A3043+1&gt;Ввод!$B$4,"",A3043+1))</f>
        <v/>
      </c>
      <c r="B3044" s="23" t="str">
        <f>IF(A3044="","",IFERROR(INDEX(Ввод!$B$12:$B$71,MATCH(A3044,Ввод!$D$12:$D$71,1)),""))</f>
        <v/>
      </c>
      <c r="C3044" t="str">
        <f t="shared" si="94"/>
        <v/>
      </c>
      <c r="D3044" t="str">
        <f>IF(A3044="","",SUMIFS(Акты!$D$5:$D$16,Акты!$E$5:$E$16,"&lt;="&amp;A3044)-SUMIFS(Оплаты!$B$6:$B$505,Оплаты!$A$6:$A$505,"&lt;"&amp;A3044,Оплаты!$D$6:$D$505,"&lt;&gt;"))</f>
        <v/>
      </c>
      <c r="E3044" t="str">
        <f>IF(A3044="","",IF(SUMPRODUCT((Ввод!$F$12:$F$31&lt;&gt;"")*(Ввод!$F$12:$F$31&lt;=A3044)*(Ввод!$G$12:$G$31&gt;=A3044))&gt;0,1,0))</f>
        <v/>
      </c>
      <c r="G3044" t="str">
        <f t="shared" si="95"/>
        <v/>
      </c>
    </row>
    <row r="3045" spans="1:7" x14ac:dyDescent="0.3">
      <c r="A3045" s="21" t="str">
        <f>IF(A3044="","",IF(A3044+1&gt;Ввод!$B$4,"",A3044+1))</f>
        <v/>
      </c>
      <c r="B3045" s="23" t="str">
        <f>IF(A3045="","",IFERROR(INDEX(Ввод!$B$12:$B$71,MATCH(A3045,Ввод!$D$12:$D$71,1)),""))</f>
        <v/>
      </c>
      <c r="C3045" t="str">
        <f t="shared" si="94"/>
        <v/>
      </c>
      <c r="D3045" t="str">
        <f>IF(A3045="","",SUMIFS(Акты!$D$5:$D$16,Акты!$E$5:$E$16,"&lt;="&amp;A3045)-SUMIFS(Оплаты!$B$6:$B$505,Оплаты!$A$6:$A$505,"&lt;"&amp;A3045,Оплаты!$D$6:$D$505,"&lt;&gt;"))</f>
        <v/>
      </c>
      <c r="E3045" t="str">
        <f>IF(A3045="","",IF(SUMPRODUCT((Ввод!$F$12:$F$31&lt;&gt;"")*(Ввод!$F$12:$F$31&lt;=A3045)*(Ввод!$G$12:$G$31&gt;=A3045))&gt;0,1,0))</f>
        <v/>
      </c>
      <c r="G3045" t="str">
        <f t="shared" si="95"/>
        <v/>
      </c>
    </row>
    <row r="3046" spans="1:7" x14ac:dyDescent="0.3">
      <c r="A3046" s="21" t="str">
        <f>IF(A3045="","",IF(A3045+1&gt;Ввод!$B$4,"",A3045+1))</f>
        <v/>
      </c>
      <c r="B3046" s="23" t="str">
        <f>IF(A3046="","",IFERROR(INDEX(Ввод!$B$12:$B$71,MATCH(A3046,Ввод!$D$12:$D$71,1)),""))</f>
        <v/>
      </c>
      <c r="C3046" t="str">
        <f t="shared" si="94"/>
        <v/>
      </c>
      <c r="D3046" t="str">
        <f>IF(A3046="","",SUMIFS(Акты!$D$5:$D$16,Акты!$E$5:$E$16,"&lt;="&amp;A3046)-SUMIFS(Оплаты!$B$6:$B$505,Оплаты!$A$6:$A$505,"&lt;"&amp;A3046,Оплаты!$D$6:$D$505,"&lt;&gt;"))</f>
        <v/>
      </c>
      <c r="E3046" t="str">
        <f>IF(A3046="","",IF(SUMPRODUCT((Ввод!$F$12:$F$31&lt;&gt;"")*(Ввод!$F$12:$F$31&lt;=A3046)*(Ввод!$G$12:$G$31&gt;=A3046))&gt;0,1,0))</f>
        <v/>
      </c>
      <c r="G3046" t="str">
        <f t="shared" si="95"/>
        <v/>
      </c>
    </row>
    <row r="3047" spans="1:7" x14ac:dyDescent="0.3">
      <c r="A3047" s="21" t="str">
        <f>IF(A3046="","",IF(A3046+1&gt;Ввод!$B$4,"",A3046+1))</f>
        <v/>
      </c>
      <c r="B3047" s="23" t="str">
        <f>IF(A3047="","",IFERROR(INDEX(Ввод!$B$12:$B$71,MATCH(A3047,Ввод!$D$12:$D$71,1)),""))</f>
        <v/>
      </c>
      <c r="C3047" t="str">
        <f t="shared" si="94"/>
        <v/>
      </c>
      <c r="D3047" t="str">
        <f>IF(A3047="","",SUMIFS(Акты!$D$5:$D$16,Акты!$E$5:$E$16,"&lt;="&amp;A3047)-SUMIFS(Оплаты!$B$6:$B$505,Оплаты!$A$6:$A$505,"&lt;"&amp;A3047,Оплаты!$D$6:$D$505,"&lt;&gt;"))</f>
        <v/>
      </c>
      <c r="E3047" t="str">
        <f>IF(A3047="","",IF(SUMPRODUCT((Ввод!$F$12:$F$31&lt;&gt;"")*(Ввод!$F$12:$F$31&lt;=A3047)*(Ввод!$G$12:$G$31&gt;=A3047))&gt;0,1,0))</f>
        <v/>
      </c>
      <c r="G3047" t="str">
        <f t="shared" si="95"/>
        <v/>
      </c>
    </row>
    <row r="3048" spans="1:7" x14ac:dyDescent="0.3">
      <c r="A3048" s="21" t="str">
        <f>IF(A3047="","",IF(A3047+1&gt;Ввод!$B$4,"",A3047+1))</f>
        <v/>
      </c>
      <c r="B3048" s="23" t="str">
        <f>IF(A3048="","",IFERROR(INDEX(Ввод!$B$12:$B$71,MATCH(A3048,Ввод!$D$12:$D$71,1)),""))</f>
        <v/>
      </c>
      <c r="C3048" t="str">
        <f t="shared" si="94"/>
        <v/>
      </c>
      <c r="D3048" t="str">
        <f>IF(A3048="","",SUMIFS(Акты!$D$5:$D$16,Акты!$E$5:$E$16,"&lt;="&amp;A3048)-SUMIFS(Оплаты!$B$6:$B$505,Оплаты!$A$6:$A$505,"&lt;"&amp;A3048,Оплаты!$D$6:$D$505,"&lt;&gt;"))</f>
        <v/>
      </c>
      <c r="E3048" t="str">
        <f>IF(A3048="","",IF(SUMPRODUCT((Ввод!$F$12:$F$31&lt;&gt;"")*(Ввод!$F$12:$F$31&lt;=A3048)*(Ввод!$G$12:$G$31&gt;=A3048))&gt;0,1,0))</f>
        <v/>
      </c>
      <c r="G3048" t="str">
        <f t="shared" si="95"/>
        <v/>
      </c>
    </row>
    <row r="3049" spans="1:7" x14ac:dyDescent="0.3">
      <c r="A3049" s="21" t="str">
        <f>IF(A3048="","",IF(A3048+1&gt;Ввод!$B$4,"",A3048+1))</f>
        <v/>
      </c>
      <c r="B3049" s="23" t="str">
        <f>IF(A3049="","",IFERROR(INDEX(Ввод!$B$12:$B$71,MATCH(A3049,Ввод!$D$12:$D$71,1)),""))</f>
        <v/>
      </c>
      <c r="C3049" t="str">
        <f t="shared" si="94"/>
        <v/>
      </c>
      <c r="D3049" t="str">
        <f>IF(A3049="","",SUMIFS(Акты!$D$5:$D$16,Акты!$E$5:$E$16,"&lt;="&amp;A3049)-SUMIFS(Оплаты!$B$6:$B$505,Оплаты!$A$6:$A$505,"&lt;"&amp;A3049,Оплаты!$D$6:$D$505,"&lt;&gt;"))</f>
        <v/>
      </c>
      <c r="E3049" t="str">
        <f>IF(A3049="","",IF(SUMPRODUCT((Ввод!$F$12:$F$31&lt;&gt;"")*(Ввод!$F$12:$F$31&lt;=A3049)*(Ввод!$G$12:$G$31&gt;=A3049))&gt;0,1,0))</f>
        <v/>
      </c>
      <c r="G3049" t="str">
        <f t="shared" si="95"/>
        <v/>
      </c>
    </row>
    <row r="3050" spans="1:7" x14ac:dyDescent="0.3">
      <c r="A3050" s="21" t="str">
        <f>IF(A3049="","",IF(A3049+1&gt;Ввод!$B$4,"",A3049+1))</f>
        <v/>
      </c>
      <c r="B3050" s="23" t="str">
        <f>IF(A3050="","",IFERROR(INDEX(Ввод!$B$12:$B$71,MATCH(A3050,Ввод!$D$12:$D$71,1)),""))</f>
        <v/>
      </c>
      <c r="C3050" t="str">
        <f t="shared" si="94"/>
        <v/>
      </c>
      <c r="D3050" t="str">
        <f>IF(A3050="","",SUMIFS(Акты!$D$5:$D$16,Акты!$E$5:$E$16,"&lt;="&amp;A3050)-SUMIFS(Оплаты!$B$6:$B$505,Оплаты!$A$6:$A$505,"&lt;"&amp;A3050,Оплаты!$D$6:$D$505,"&lt;&gt;"))</f>
        <v/>
      </c>
      <c r="E3050" t="str">
        <f>IF(A3050="","",IF(SUMPRODUCT((Ввод!$F$12:$F$31&lt;&gt;"")*(Ввод!$F$12:$F$31&lt;=A3050)*(Ввод!$G$12:$G$31&gt;=A3050))&gt;0,1,0))</f>
        <v/>
      </c>
      <c r="G3050" t="str">
        <f t="shared" si="95"/>
        <v/>
      </c>
    </row>
    <row r="3051" spans="1:7" x14ac:dyDescent="0.3">
      <c r="A3051" s="21" t="str">
        <f>IF(A3050="","",IF(A3050+1&gt;Ввод!$B$4,"",A3050+1))</f>
        <v/>
      </c>
      <c r="B3051" s="23" t="str">
        <f>IF(A3051="","",IFERROR(INDEX(Ввод!$B$12:$B$71,MATCH(A3051,Ввод!$D$12:$D$71,1)),""))</f>
        <v/>
      </c>
      <c r="C3051" t="str">
        <f t="shared" si="94"/>
        <v/>
      </c>
      <c r="D3051" t="str">
        <f>IF(A3051="","",SUMIFS(Акты!$D$5:$D$16,Акты!$E$5:$E$16,"&lt;="&amp;A3051)-SUMIFS(Оплаты!$B$6:$B$505,Оплаты!$A$6:$A$505,"&lt;"&amp;A3051,Оплаты!$D$6:$D$505,"&lt;&gt;"))</f>
        <v/>
      </c>
      <c r="E3051" t="str">
        <f>IF(A3051="","",IF(SUMPRODUCT((Ввод!$F$12:$F$31&lt;&gt;"")*(Ввод!$F$12:$F$31&lt;=A3051)*(Ввод!$G$12:$G$31&gt;=A3051))&gt;0,1,0))</f>
        <v/>
      </c>
      <c r="G3051" t="str">
        <f t="shared" si="95"/>
        <v/>
      </c>
    </row>
    <row r="3052" spans="1:7" x14ac:dyDescent="0.3">
      <c r="A3052" s="21" t="str">
        <f>IF(A3051="","",IF(A3051+1&gt;Ввод!$B$4,"",A3051+1))</f>
        <v/>
      </c>
      <c r="B3052" s="23" t="str">
        <f>IF(A3052="","",IFERROR(INDEX(Ввод!$B$12:$B$71,MATCH(A3052,Ввод!$D$12:$D$71,1)),""))</f>
        <v/>
      </c>
      <c r="C3052" t="str">
        <f t="shared" si="94"/>
        <v/>
      </c>
      <c r="D3052" t="str">
        <f>IF(A3052="","",SUMIFS(Акты!$D$5:$D$16,Акты!$E$5:$E$16,"&lt;="&amp;A3052)-SUMIFS(Оплаты!$B$6:$B$505,Оплаты!$A$6:$A$505,"&lt;"&amp;A3052,Оплаты!$D$6:$D$505,"&lt;&gt;"))</f>
        <v/>
      </c>
      <c r="E3052" t="str">
        <f>IF(A3052="","",IF(SUMPRODUCT((Ввод!$F$12:$F$31&lt;&gt;"")*(Ввод!$F$12:$F$31&lt;=A3052)*(Ввод!$G$12:$G$31&gt;=A3052))&gt;0,1,0))</f>
        <v/>
      </c>
      <c r="G3052" t="str">
        <f t="shared" si="95"/>
        <v/>
      </c>
    </row>
    <row r="3053" spans="1:7" x14ac:dyDescent="0.3">
      <c r="A3053" s="21" t="str">
        <f>IF(A3052="","",IF(A3052+1&gt;Ввод!$B$4,"",A3052+1))</f>
        <v/>
      </c>
      <c r="B3053" s="23" t="str">
        <f>IF(A3053="","",IFERROR(INDEX(Ввод!$B$12:$B$71,MATCH(A3053,Ввод!$D$12:$D$71,1)),""))</f>
        <v/>
      </c>
      <c r="C3053" t="str">
        <f t="shared" si="94"/>
        <v/>
      </c>
      <c r="D3053" t="str">
        <f>IF(A3053="","",SUMIFS(Акты!$D$5:$D$16,Акты!$E$5:$E$16,"&lt;="&amp;A3053)-SUMIFS(Оплаты!$B$6:$B$505,Оплаты!$A$6:$A$505,"&lt;"&amp;A3053,Оплаты!$D$6:$D$505,"&lt;&gt;"))</f>
        <v/>
      </c>
      <c r="E3053" t="str">
        <f>IF(A3053="","",IF(SUMPRODUCT((Ввод!$F$12:$F$31&lt;&gt;"")*(Ввод!$F$12:$F$31&lt;=A3053)*(Ввод!$G$12:$G$31&gt;=A3053))&gt;0,1,0))</f>
        <v/>
      </c>
      <c r="G3053" t="str">
        <f t="shared" si="95"/>
        <v/>
      </c>
    </row>
    <row r="3054" spans="1:7" x14ac:dyDescent="0.3">
      <c r="A3054" s="21" t="str">
        <f>IF(A3053="","",IF(A3053+1&gt;Ввод!$B$4,"",A3053+1))</f>
        <v/>
      </c>
      <c r="B3054" s="23" t="str">
        <f>IF(A3054="","",IFERROR(INDEX(Ввод!$B$12:$B$71,MATCH(A3054,Ввод!$D$12:$D$71,1)),""))</f>
        <v/>
      </c>
      <c r="C3054" t="str">
        <f t="shared" si="94"/>
        <v/>
      </c>
      <c r="D3054" t="str">
        <f>IF(A3054="","",SUMIFS(Акты!$D$5:$D$16,Акты!$E$5:$E$16,"&lt;="&amp;A3054)-SUMIFS(Оплаты!$B$6:$B$505,Оплаты!$A$6:$A$505,"&lt;"&amp;A3054,Оплаты!$D$6:$D$505,"&lt;&gt;"))</f>
        <v/>
      </c>
      <c r="E3054" t="str">
        <f>IF(A3054="","",IF(SUMPRODUCT((Ввод!$F$12:$F$31&lt;&gt;"")*(Ввод!$F$12:$F$31&lt;=A3054)*(Ввод!$G$12:$G$31&gt;=A3054))&gt;0,1,0))</f>
        <v/>
      </c>
      <c r="G3054" t="str">
        <f t="shared" si="95"/>
        <v/>
      </c>
    </row>
    <row r="3055" spans="1:7" x14ac:dyDescent="0.3">
      <c r="A3055" s="21" t="str">
        <f>IF(A3054="","",IF(A3054+1&gt;Ввод!$B$4,"",A3054+1))</f>
        <v/>
      </c>
      <c r="B3055" s="23" t="str">
        <f>IF(A3055="","",IFERROR(INDEX(Ввод!$B$12:$B$71,MATCH(A3055,Ввод!$D$12:$D$71,1)),""))</f>
        <v/>
      </c>
      <c r="C3055" t="str">
        <f t="shared" si="94"/>
        <v/>
      </c>
      <c r="D3055" t="str">
        <f>IF(A3055="","",SUMIFS(Акты!$D$5:$D$16,Акты!$E$5:$E$16,"&lt;="&amp;A3055)-SUMIFS(Оплаты!$B$6:$B$505,Оплаты!$A$6:$A$505,"&lt;"&amp;A3055,Оплаты!$D$6:$D$505,"&lt;&gt;"))</f>
        <v/>
      </c>
      <c r="E3055" t="str">
        <f>IF(A3055="","",IF(SUMPRODUCT((Ввод!$F$12:$F$31&lt;&gt;"")*(Ввод!$F$12:$F$31&lt;=A3055)*(Ввод!$G$12:$G$31&gt;=A3055))&gt;0,1,0))</f>
        <v/>
      </c>
      <c r="G3055" t="str">
        <f t="shared" si="95"/>
        <v/>
      </c>
    </row>
    <row r="3056" spans="1:7" x14ac:dyDescent="0.3">
      <c r="A3056" s="21" t="str">
        <f>IF(A3055="","",IF(A3055+1&gt;Ввод!$B$4,"",A3055+1))</f>
        <v/>
      </c>
      <c r="B3056" s="23" t="str">
        <f>IF(A3056="","",IFERROR(INDEX(Ввод!$B$12:$B$71,MATCH(A3056,Ввод!$D$12:$D$71,1)),""))</f>
        <v/>
      </c>
      <c r="C3056" t="str">
        <f t="shared" si="94"/>
        <v/>
      </c>
      <c r="D3056" t="str">
        <f>IF(A3056="","",SUMIFS(Акты!$D$5:$D$16,Акты!$E$5:$E$16,"&lt;="&amp;A3056)-SUMIFS(Оплаты!$B$6:$B$505,Оплаты!$A$6:$A$505,"&lt;"&amp;A3056,Оплаты!$D$6:$D$505,"&lt;&gt;"))</f>
        <v/>
      </c>
      <c r="E3056" t="str">
        <f>IF(A3056="","",IF(SUMPRODUCT((Ввод!$F$12:$F$31&lt;&gt;"")*(Ввод!$F$12:$F$31&lt;=A3056)*(Ввод!$G$12:$G$31&gt;=A3056))&gt;0,1,0))</f>
        <v/>
      </c>
      <c r="G3056" t="str">
        <f t="shared" si="95"/>
        <v/>
      </c>
    </row>
    <row r="3057" spans="1:7" x14ac:dyDescent="0.3">
      <c r="A3057" s="21" t="str">
        <f>IF(A3056="","",IF(A3056+1&gt;Ввод!$B$4,"",A3056+1))</f>
        <v/>
      </c>
      <c r="B3057" s="23" t="str">
        <f>IF(A3057="","",IFERROR(INDEX(Ввод!$B$12:$B$71,MATCH(A3057,Ввод!$D$12:$D$71,1)),""))</f>
        <v/>
      </c>
      <c r="C3057" t="str">
        <f t="shared" si="94"/>
        <v/>
      </c>
      <c r="D3057" t="str">
        <f>IF(A3057="","",SUMIFS(Акты!$D$5:$D$16,Акты!$E$5:$E$16,"&lt;="&amp;A3057)-SUMIFS(Оплаты!$B$6:$B$505,Оплаты!$A$6:$A$505,"&lt;"&amp;A3057,Оплаты!$D$6:$D$505,"&lt;&gt;"))</f>
        <v/>
      </c>
      <c r="E3057" t="str">
        <f>IF(A3057="","",IF(SUMPRODUCT((Ввод!$F$12:$F$31&lt;&gt;"")*(Ввод!$F$12:$F$31&lt;=A3057)*(Ввод!$G$12:$G$31&gt;=A3057))&gt;0,1,0))</f>
        <v/>
      </c>
      <c r="G3057" t="str">
        <f t="shared" si="95"/>
        <v/>
      </c>
    </row>
    <row r="3058" spans="1:7" x14ac:dyDescent="0.3">
      <c r="A3058" s="21" t="str">
        <f>IF(A3057="","",IF(A3057+1&gt;Ввод!$B$4,"",A3057+1))</f>
        <v/>
      </c>
      <c r="B3058" s="23" t="str">
        <f>IF(A3058="","",IFERROR(INDEX(Ввод!$B$12:$B$71,MATCH(A3058,Ввод!$D$12:$D$71,1)),""))</f>
        <v/>
      </c>
      <c r="C3058" t="str">
        <f t="shared" si="94"/>
        <v/>
      </c>
      <c r="D3058" t="str">
        <f>IF(A3058="","",SUMIFS(Акты!$D$5:$D$16,Акты!$E$5:$E$16,"&lt;="&amp;A3058)-SUMIFS(Оплаты!$B$6:$B$505,Оплаты!$A$6:$A$505,"&lt;"&amp;A3058,Оплаты!$D$6:$D$505,"&lt;&gt;"))</f>
        <v/>
      </c>
      <c r="E3058" t="str">
        <f>IF(A3058="","",IF(SUMPRODUCT((Ввод!$F$12:$F$31&lt;&gt;"")*(Ввод!$F$12:$F$31&lt;=A3058)*(Ввод!$G$12:$G$31&gt;=A3058))&gt;0,1,0))</f>
        <v/>
      </c>
      <c r="G3058" t="str">
        <f t="shared" si="95"/>
        <v/>
      </c>
    </row>
    <row r="3059" spans="1:7" x14ac:dyDescent="0.3">
      <c r="A3059" s="21" t="str">
        <f>IF(A3058="","",IF(A3058+1&gt;Ввод!$B$4,"",A3058+1))</f>
        <v/>
      </c>
      <c r="B3059" s="23" t="str">
        <f>IF(A3059="","",IFERROR(INDEX(Ввод!$B$12:$B$71,MATCH(A3059,Ввод!$D$12:$D$71,1)),""))</f>
        <v/>
      </c>
      <c r="C3059" t="str">
        <f t="shared" si="94"/>
        <v/>
      </c>
      <c r="D3059" t="str">
        <f>IF(A3059="","",SUMIFS(Акты!$D$5:$D$16,Акты!$E$5:$E$16,"&lt;="&amp;A3059)-SUMIFS(Оплаты!$B$6:$B$505,Оплаты!$A$6:$A$505,"&lt;"&amp;A3059,Оплаты!$D$6:$D$505,"&lt;&gt;"))</f>
        <v/>
      </c>
      <c r="E3059" t="str">
        <f>IF(A3059="","",IF(SUMPRODUCT((Ввод!$F$12:$F$31&lt;&gt;"")*(Ввод!$F$12:$F$31&lt;=A3059)*(Ввод!$G$12:$G$31&gt;=A3059))&gt;0,1,0))</f>
        <v/>
      </c>
      <c r="G3059" t="str">
        <f t="shared" si="95"/>
        <v/>
      </c>
    </row>
    <row r="3060" spans="1:7" x14ac:dyDescent="0.3">
      <c r="A3060" s="21" t="str">
        <f>IF(A3059="","",IF(A3059+1&gt;Ввод!$B$4,"",A3059+1))</f>
        <v/>
      </c>
      <c r="B3060" s="23" t="str">
        <f>IF(A3060="","",IFERROR(INDEX(Ввод!$B$12:$B$71,MATCH(A3060,Ввод!$D$12:$D$71,1)),""))</f>
        <v/>
      </c>
      <c r="C3060" t="str">
        <f t="shared" si="94"/>
        <v/>
      </c>
      <c r="D3060" t="str">
        <f>IF(A3060="","",SUMIFS(Акты!$D$5:$D$16,Акты!$E$5:$E$16,"&lt;="&amp;A3060)-SUMIFS(Оплаты!$B$6:$B$505,Оплаты!$A$6:$A$505,"&lt;"&amp;A3060,Оплаты!$D$6:$D$505,"&lt;&gt;"))</f>
        <v/>
      </c>
      <c r="E3060" t="str">
        <f>IF(A3060="","",IF(SUMPRODUCT((Ввод!$F$12:$F$31&lt;&gt;"")*(Ввод!$F$12:$F$31&lt;=A3060)*(Ввод!$G$12:$G$31&gt;=A3060))&gt;0,1,0))</f>
        <v/>
      </c>
      <c r="G3060" t="str">
        <f t="shared" si="95"/>
        <v/>
      </c>
    </row>
    <row r="3061" spans="1:7" x14ac:dyDescent="0.3">
      <c r="A3061" s="21" t="str">
        <f>IF(A3060="","",IF(A3060+1&gt;Ввод!$B$4,"",A3060+1))</f>
        <v/>
      </c>
      <c r="B3061" s="23" t="str">
        <f>IF(A3061="","",IFERROR(INDEX(Ввод!$B$12:$B$71,MATCH(A3061,Ввод!$D$12:$D$71,1)),""))</f>
        <v/>
      </c>
      <c r="C3061" t="str">
        <f t="shared" si="94"/>
        <v/>
      </c>
      <c r="D3061" t="str">
        <f>IF(A3061="","",SUMIFS(Акты!$D$5:$D$16,Акты!$E$5:$E$16,"&lt;="&amp;A3061)-SUMIFS(Оплаты!$B$6:$B$505,Оплаты!$A$6:$A$505,"&lt;"&amp;A3061,Оплаты!$D$6:$D$505,"&lt;&gt;"))</f>
        <v/>
      </c>
      <c r="E3061" t="str">
        <f>IF(A3061="","",IF(SUMPRODUCT((Ввод!$F$12:$F$31&lt;&gt;"")*(Ввод!$F$12:$F$31&lt;=A3061)*(Ввод!$G$12:$G$31&gt;=A3061))&gt;0,1,0))</f>
        <v/>
      </c>
      <c r="G3061" t="str">
        <f t="shared" si="95"/>
        <v/>
      </c>
    </row>
    <row r="3062" spans="1:7" x14ac:dyDescent="0.3">
      <c r="A3062" s="21" t="str">
        <f>IF(A3061="","",IF(A3061+1&gt;Ввод!$B$4,"",A3061+1))</f>
        <v/>
      </c>
      <c r="B3062" s="23" t="str">
        <f>IF(A3062="","",IFERROR(INDEX(Ввод!$B$12:$B$71,MATCH(A3062,Ввод!$D$12:$D$71,1)),""))</f>
        <v/>
      </c>
      <c r="C3062" t="str">
        <f t="shared" si="94"/>
        <v/>
      </c>
      <c r="D3062" t="str">
        <f>IF(A3062="","",SUMIFS(Акты!$D$5:$D$16,Акты!$E$5:$E$16,"&lt;="&amp;A3062)-SUMIFS(Оплаты!$B$6:$B$505,Оплаты!$A$6:$A$505,"&lt;"&amp;A3062,Оплаты!$D$6:$D$505,"&lt;&gt;"))</f>
        <v/>
      </c>
      <c r="E3062" t="str">
        <f>IF(A3062="","",IF(SUMPRODUCT((Ввод!$F$12:$F$31&lt;&gt;"")*(Ввод!$F$12:$F$31&lt;=A3062)*(Ввод!$G$12:$G$31&gt;=A3062))&gt;0,1,0))</f>
        <v/>
      </c>
      <c r="G3062" t="str">
        <f t="shared" si="95"/>
        <v/>
      </c>
    </row>
    <row r="3063" spans="1:7" x14ac:dyDescent="0.3">
      <c r="A3063" s="21" t="str">
        <f>IF(A3062="","",IF(A3062+1&gt;Ввод!$B$4,"",A3062+1))</f>
        <v/>
      </c>
      <c r="B3063" s="23" t="str">
        <f>IF(A3063="","",IFERROR(INDEX(Ввод!$B$12:$B$71,MATCH(A3063,Ввод!$D$12:$D$71,1)),""))</f>
        <v/>
      </c>
      <c r="C3063" t="str">
        <f t="shared" si="94"/>
        <v/>
      </c>
      <c r="D3063" t="str">
        <f>IF(A3063="","",SUMIFS(Акты!$D$5:$D$16,Акты!$E$5:$E$16,"&lt;="&amp;A3063)-SUMIFS(Оплаты!$B$6:$B$505,Оплаты!$A$6:$A$505,"&lt;"&amp;A3063,Оплаты!$D$6:$D$505,"&lt;&gt;"))</f>
        <v/>
      </c>
      <c r="E3063" t="str">
        <f>IF(A3063="","",IF(SUMPRODUCT((Ввод!$F$12:$F$31&lt;&gt;"")*(Ввод!$F$12:$F$31&lt;=A3063)*(Ввод!$G$12:$G$31&gt;=A3063))&gt;0,1,0))</f>
        <v/>
      </c>
      <c r="G3063" t="str">
        <f t="shared" si="95"/>
        <v/>
      </c>
    </row>
    <row r="3064" spans="1:7" x14ac:dyDescent="0.3">
      <c r="A3064" s="21" t="str">
        <f>IF(A3063="","",IF(A3063+1&gt;Ввод!$B$4,"",A3063+1))</f>
        <v/>
      </c>
      <c r="B3064" s="23" t="str">
        <f>IF(A3064="","",IFERROR(INDEX(Ввод!$B$12:$B$71,MATCH(A3064,Ввод!$D$12:$D$71,1)),""))</f>
        <v/>
      </c>
      <c r="C3064" t="str">
        <f t="shared" si="94"/>
        <v/>
      </c>
      <c r="D3064" t="str">
        <f>IF(A3064="","",SUMIFS(Акты!$D$5:$D$16,Акты!$E$5:$E$16,"&lt;="&amp;A3064)-SUMIFS(Оплаты!$B$6:$B$505,Оплаты!$A$6:$A$505,"&lt;"&amp;A3064,Оплаты!$D$6:$D$505,"&lt;&gt;"))</f>
        <v/>
      </c>
      <c r="E3064" t="str">
        <f>IF(A3064="","",IF(SUMPRODUCT((Ввод!$F$12:$F$31&lt;&gt;"")*(Ввод!$F$12:$F$31&lt;=A3064)*(Ввод!$G$12:$G$31&gt;=A3064))&gt;0,1,0))</f>
        <v/>
      </c>
      <c r="G3064" t="str">
        <f t="shared" si="95"/>
        <v/>
      </c>
    </row>
    <row r="3065" spans="1:7" x14ac:dyDescent="0.3">
      <c r="A3065" s="21" t="str">
        <f>IF(A3064="","",IF(A3064+1&gt;Ввод!$B$4,"",A3064+1))</f>
        <v/>
      </c>
      <c r="B3065" s="23" t="str">
        <f>IF(A3065="","",IFERROR(INDEX(Ввод!$B$12:$B$71,MATCH(A3065,Ввод!$D$12:$D$71,1)),""))</f>
        <v/>
      </c>
      <c r="C3065" t="str">
        <f t="shared" si="94"/>
        <v/>
      </c>
      <c r="D3065" t="str">
        <f>IF(A3065="","",SUMIFS(Акты!$D$5:$D$16,Акты!$E$5:$E$16,"&lt;="&amp;A3065)-SUMIFS(Оплаты!$B$6:$B$505,Оплаты!$A$6:$A$505,"&lt;"&amp;A3065,Оплаты!$D$6:$D$505,"&lt;&gt;"))</f>
        <v/>
      </c>
      <c r="E3065" t="str">
        <f>IF(A3065="","",IF(SUMPRODUCT((Ввод!$F$12:$F$31&lt;&gt;"")*(Ввод!$F$12:$F$31&lt;=A3065)*(Ввод!$G$12:$G$31&gt;=A3065))&gt;0,1,0))</f>
        <v/>
      </c>
      <c r="G3065" t="str">
        <f t="shared" si="95"/>
        <v/>
      </c>
    </row>
    <row r="3066" spans="1:7" x14ac:dyDescent="0.3">
      <c r="A3066" s="21" t="str">
        <f>IF(A3065="","",IF(A3065+1&gt;Ввод!$B$4,"",A3065+1))</f>
        <v/>
      </c>
      <c r="B3066" s="23" t="str">
        <f>IF(A3066="","",IFERROR(INDEX(Ввод!$B$12:$B$71,MATCH(A3066,Ввод!$D$12:$D$71,1)),""))</f>
        <v/>
      </c>
      <c r="C3066" t="str">
        <f t="shared" si="94"/>
        <v/>
      </c>
      <c r="D3066" t="str">
        <f>IF(A3066="","",SUMIFS(Акты!$D$5:$D$16,Акты!$E$5:$E$16,"&lt;="&amp;A3066)-SUMIFS(Оплаты!$B$6:$B$505,Оплаты!$A$6:$A$505,"&lt;"&amp;A3066,Оплаты!$D$6:$D$505,"&lt;&gt;"))</f>
        <v/>
      </c>
      <c r="E3066" t="str">
        <f>IF(A3066="","",IF(SUMPRODUCT((Ввод!$F$12:$F$31&lt;&gt;"")*(Ввод!$F$12:$F$31&lt;=A3066)*(Ввод!$G$12:$G$31&gt;=A3066))&gt;0,1,0))</f>
        <v/>
      </c>
      <c r="G3066" t="str">
        <f t="shared" si="95"/>
        <v/>
      </c>
    </row>
    <row r="3067" spans="1:7" x14ac:dyDescent="0.3">
      <c r="A3067" s="21" t="str">
        <f>IF(A3066="","",IF(A3066+1&gt;Ввод!$B$4,"",A3066+1))</f>
        <v/>
      </c>
      <c r="B3067" s="23" t="str">
        <f>IF(A3067="","",IFERROR(INDEX(Ввод!$B$12:$B$71,MATCH(A3067,Ввод!$D$12:$D$71,1)),""))</f>
        <v/>
      </c>
      <c r="C3067" t="str">
        <f t="shared" si="94"/>
        <v/>
      </c>
      <c r="D3067" t="str">
        <f>IF(A3067="","",SUMIFS(Акты!$D$5:$D$16,Акты!$E$5:$E$16,"&lt;="&amp;A3067)-SUMIFS(Оплаты!$B$6:$B$505,Оплаты!$A$6:$A$505,"&lt;"&amp;A3067,Оплаты!$D$6:$D$505,"&lt;&gt;"))</f>
        <v/>
      </c>
      <c r="E3067" t="str">
        <f>IF(A3067="","",IF(SUMPRODUCT((Ввод!$F$12:$F$31&lt;&gt;"")*(Ввод!$F$12:$F$31&lt;=A3067)*(Ввод!$G$12:$G$31&gt;=A3067))&gt;0,1,0))</f>
        <v/>
      </c>
      <c r="G3067" t="str">
        <f t="shared" si="95"/>
        <v/>
      </c>
    </row>
    <row r="3068" spans="1:7" x14ac:dyDescent="0.3">
      <c r="A3068" s="21" t="str">
        <f>IF(A3067="","",IF(A3067+1&gt;Ввод!$B$4,"",A3067+1))</f>
        <v/>
      </c>
      <c r="B3068" s="23" t="str">
        <f>IF(A3068="","",IFERROR(INDEX(Ввод!$B$12:$B$71,MATCH(A3068,Ввод!$D$12:$D$71,1)),""))</f>
        <v/>
      </c>
      <c r="C3068" t="str">
        <f t="shared" si="94"/>
        <v/>
      </c>
      <c r="D3068" t="str">
        <f>IF(A3068="","",SUMIFS(Акты!$D$5:$D$16,Акты!$E$5:$E$16,"&lt;="&amp;A3068)-SUMIFS(Оплаты!$B$6:$B$505,Оплаты!$A$6:$A$505,"&lt;"&amp;A3068,Оплаты!$D$6:$D$505,"&lt;&gt;"))</f>
        <v/>
      </c>
      <c r="E3068" t="str">
        <f>IF(A3068="","",IF(SUMPRODUCT((Ввод!$F$12:$F$31&lt;&gt;"")*(Ввод!$F$12:$F$31&lt;=A3068)*(Ввод!$G$12:$G$31&gt;=A3068))&gt;0,1,0))</f>
        <v/>
      </c>
      <c r="G3068" t="str">
        <f t="shared" si="95"/>
        <v/>
      </c>
    </row>
    <row r="3069" spans="1:7" x14ac:dyDescent="0.3">
      <c r="A3069" s="21" t="str">
        <f>IF(A3068="","",IF(A3068+1&gt;Ввод!$B$4,"",A3068+1))</f>
        <v/>
      </c>
      <c r="B3069" s="23" t="str">
        <f>IF(A3069="","",IFERROR(INDEX(Ввод!$B$12:$B$71,MATCH(A3069,Ввод!$D$12:$D$71,1)),""))</f>
        <v/>
      </c>
      <c r="C3069" t="str">
        <f t="shared" si="94"/>
        <v/>
      </c>
      <c r="D3069" t="str">
        <f>IF(A3069="","",SUMIFS(Акты!$D$5:$D$16,Акты!$E$5:$E$16,"&lt;="&amp;A3069)-SUMIFS(Оплаты!$B$6:$B$505,Оплаты!$A$6:$A$505,"&lt;"&amp;A3069,Оплаты!$D$6:$D$505,"&lt;&gt;"))</f>
        <v/>
      </c>
      <c r="E3069" t="str">
        <f>IF(A3069="","",IF(SUMPRODUCT((Ввод!$F$12:$F$31&lt;&gt;"")*(Ввод!$F$12:$F$31&lt;=A3069)*(Ввод!$G$12:$G$31&gt;=A3069))&gt;0,1,0))</f>
        <v/>
      </c>
      <c r="G3069" t="str">
        <f t="shared" si="95"/>
        <v/>
      </c>
    </row>
    <row r="3070" spans="1:7" x14ac:dyDescent="0.3">
      <c r="A3070" s="21" t="str">
        <f>IF(A3069="","",IF(A3069+1&gt;Ввод!$B$4,"",A3069+1))</f>
        <v/>
      </c>
      <c r="B3070" s="23" t="str">
        <f>IF(A3070="","",IFERROR(INDEX(Ввод!$B$12:$B$71,MATCH(A3070,Ввод!$D$12:$D$71,1)),""))</f>
        <v/>
      </c>
      <c r="C3070" t="str">
        <f t="shared" si="94"/>
        <v/>
      </c>
      <c r="D3070" t="str">
        <f>IF(A3070="","",SUMIFS(Акты!$D$5:$D$16,Акты!$E$5:$E$16,"&lt;="&amp;A3070)-SUMIFS(Оплаты!$B$6:$B$505,Оплаты!$A$6:$A$505,"&lt;"&amp;A3070,Оплаты!$D$6:$D$505,"&lt;&gt;"))</f>
        <v/>
      </c>
      <c r="E3070" t="str">
        <f>IF(A3070="","",IF(SUMPRODUCT((Ввод!$F$12:$F$31&lt;&gt;"")*(Ввод!$F$12:$F$31&lt;=A3070)*(Ввод!$G$12:$G$31&gt;=A3070))&gt;0,1,0))</f>
        <v/>
      </c>
      <c r="G3070" t="str">
        <f t="shared" si="95"/>
        <v/>
      </c>
    </row>
    <row r="3071" spans="1:7" x14ac:dyDescent="0.3">
      <c r="A3071" s="21" t="str">
        <f>IF(A3070="","",IF(A3070+1&gt;Ввод!$B$4,"",A3070+1))</f>
        <v/>
      </c>
      <c r="B3071" s="23" t="str">
        <f>IF(A3071="","",IFERROR(INDEX(Ввод!$B$12:$B$71,MATCH(A3071,Ввод!$D$12:$D$71,1)),""))</f>
        <v/>
      </c>
      <c r="C3071" t="str">
        <f t="shared" si="94"/>
        <v/>
      </c>
      <c r="D3071" t="str">
        <f>IF(A3071="","",SUMIFS(Акты!$D$5:$D$16,Акты!$E$5:$E$16,"&lt;="&amp;A3071)-SUMIFS(Оплаты!$B$6:$B$505,Оплаты!$A$6:$A$505,"&lt;"&amp;A3071,Оплаты!$D$6:$D$505,"&lt;&gt;"))</f>
        <v/>
      </c>
      <c r="E3071" t="str">
        <f>IF(A3071="","",IF(SUMPRODUCT((Ввод!$F$12:$F$31&lt;&gt;"")*(Ввод!$F$12:$F$31&lt;=A3071)*(Ввод!$G$12:$G$31&gt;=A3071))&gt;0,1,0))</f>
        <v/>
      </c>
      <c r="G3071" t="str">
        <f t="shared" si="95"/>
        <v/>
      </c>
    </row>
    <row r="3072" spans="1:7" x14ac:dyDescent="0.3">
      <c r="A3072" s="21" t="str">
        <f>IF(A3071="","",IF(A3071+1&gt;Ввод!$B$4,"",A3071+1))</f>
        <v/>
      </c>
      <c r="B3072" s="23" t="str">
        <f>IF(A3072="","",IFERROR(INDEX(Ввод!$B$12:$B$71,MATCH(A3072,Ввод!$D$12:$D$71,1)),""))</f>
        <v/>
      </c>
      <c r="C3072" t="str">
        <f t="shared" si="94"/>
        <v/>
      </c>
      <c r="D3072" t="str">
        <f>IF(A3072="","",SUMIFS(Акты!$D$5:$D$16,Акты!$E$5:$E$16,"&lt;="&amp;A3072)-SUMIFS(Оплаты!$B$6:$B$505,Оплаты!$A$6:$A$505,"&lt;"&amp;A3072,Оплаты!$D$6:$D$505,"&lt;&gt;"))</f>
        <v/>
      </c>
      <c r="E3072" t="str">
        <f>IF(A3072="","",IF(SUMPRODUCT((Ввод!$F$12:$F$31&lt;&gt;"")*(Ввод!$F$12:$F$31&lt;=A3072)*(Ввод!$G$12:$G$31&gt;=A3072))&gt;0,1,0))</f>
        <v/>
      </c>
      <c r="G3072" t="str">
        <f t="shared" si="95"/>
        <v/>
      </c>
    </row>
    <row r="3073" spans="1:7" x14ac:dyDescent="0.3">
      <c r="A3073" s="21" t="str">
        <f>IF(A3072="","",IF(A3072+1&gt;Ввод!$B$4,"",A3072+1))</f>
        <v/>
      </c>
      <c r="B3073" s="23" t="str">
        <f>IF(A3073="","",IFERROR(INDEX(Ввод!$B$12:$B$71,MATCH(A3073,Ввод!$D$12:$D$71,1)),""))</f>
        <v/>
      </c>
      <c r="C3073" t="str">
        <f t="shared" si="94"/>
        <v/>
      </c>
      <c r="D3073" t="str">
        <f>IF(A3073="","",SUMIFS(Акты!$D$5:$D$16,Акты!$E$5:$E$16,"&lt;="&amp;A3073)-SUMIFS(Оплаты!$B$6:$B$505,Оплаты!$A$6:$A$505,"&lt;"&amp;A3073,Оплаты!$D$6:$D$505,"&lt;&gt;"))</f>
        <v/>
      </c>
      <c r="E3073" t="str">
        <f>IF(A3073="","",IF(SUMPRODUCT((Ввод!$F$12:$F$31&lt;&gt;"")*(Ввод!$F$12:$F$31&lt;=A3073)*(Ввод!$G$12:$G$31&gt;=A3073))&gt;0,1,0))</f>
        <v/>
      </c>
      <c r="G3073" t="str">
        <f t="shared" si="95"/>
        <v/>
      </c>
    </row>
    <row r="3074" spans="1:7" x14ac:dyDescent="0.3">
      <c r="A3074" s="21" t="str">
        <f>IF(A3073="","",IF(A3073+1&gt;Ввод!$B$4,"",A3073+1))</f>
        <v/>
      </c>
      <c r="B3074" s="23" t="str">
        <f>IF(A3074="","",IFERROR(INDEX(Ввод!$B$12:$B$71,MATCH(A3074,Ввод!$D$12:$D$71,1)),""))</f>
        <v/>
      </c>
      <c r="C3074" t="str">
        <f t="shared" ref="C3074:C3137" si="96">IF(A3074="","",DATE(YEAR(A3074),12,31)-DATE(YEAR(A3074),1,1)+1)</f>
        <v/>
      </c>
      <c r="D3074" t="str">
        <f>IF(A3074="","",SUMIFS(Акты!$D$5:$D$16,Акты!$E$5:$E$16,"&lt;="&amp;A3074)-SUMIFS(Оплаты!$B$6:$B$505,Оплаты!$A$6:$A$505,"&lt;"&amp;A3074,Оплаты!$D$6:$D$505,"&lt;&gt;"))</f>
        <v/>
      </c>
      <c r="E3074" t="str">
        <f>IF(A3074="","",IF(SUMPRODUCT((Ввод!$F$12:$F$31&lt;&gt;"")*(Ввод!$F$12:$F$31&lt;=A3074)*(Ввод!$G$12:$G$31&gt;=A3074))&gt;0,1,0))</f>
        <v/>
      </c>
      <c r="G3074" t="str">
        <f t="shared" si="95"/>
        <v/>
      </c>
    </row>
    <row r="3075" spans="1:7" x14ac:dyDescent="0.3">
      <c r="A3075" s="21" t="str">
        <f>IF(A3074="","",IF(A3074+1&gt;Ввод!$B$4,"",A3074+1))</f>
        <v/>
      </c>
      <c r="B3075" s="23" t="str">
        <f>IF(A3075="","",IFERROR(INDEX(Ввод!$B$12:$B$71,MATCH(A3075,Ввод!$D$12:$D$71,1)),""))</f>
        <v/>
      </c>
      <c r="C3075" t="str">
        <f t="shared" si="96"/>
        <v/>
      </c>
      <c r="D3075" t="str">
        <f>IF(A3075="","",SUMIFS(Акты!$D$5:$D$16,Акты!$E$5:$E$16,"&lt;="&amp;A3075)-SUMIFS(Оплаты!$B$6:$B$505,Оплаты!$A$6:$A$505,"&lt;"&amp;A3075,Оплаты!$D$6:$D$505,"&lt;&gt;"))</f>
        <v/>
      </c>
      <c r="E3075" t="str">
        <f>IF(A3075="","",IF(SUMPRODUCT((Ввод!$F$12:$F$31&lt;&gt;"")*(Ввод!$F$12:$F$31&lt;=A3075)*(Ввод!$G$12:$G$31&gt;=A3075))&gt;0,1,0))</f>
        <v/>
      </c>
      <c r="G3075" t="str">
        <f t="shared" ref="G3075:G3138" si="97">IF(A3075="","",IF(OR(B3075&lt;&gt;B3074,C3075&lt;&gt;C3074,E3075&lt;&gt;E3074),G3074+1,G3074))</f>
        <v/>
      </c>
    </row>
    <row r="3076" spans="1:7" x14ac:dyDescent="0.3">
      <c r="A3076" s="21" t="str">
        <f>IF(A3075="","",IF(A3075+1&gt;Ввод!$B$4,"",A3075+1))</f>
        <v/>
      </c>
      <c r="B3076" s="23" t="str">
        <f>IF(A3076="","",IFERROR(INDEX(Ввод!$B$12:$B$71,MATCH(A3076,Ввод!$D$12:$D$71,1)),""))</f>
        <v/>
      </c>
      <c r="C3076" t="str">
        <f t="shared" si="96"/>
        <v/>
      </c>
      <c r="D3076" t="str">
        <f>IF(A3076="","",SUMIFS(Акты!$D$5:$D$16,Акты!$E$5:$E$16,"&lt;="&amp;A3076)-SUMIFS(Оплаты!$B$6:$B$505,Оплаты!$A$6:$A$505,"&lt;"&amp;A3076,Оплаты!$D$6:$D$505,"&lt;&gt;"))</f>
        <v/>
      </c>
      <c r="E3076" t="str">
        <f>IF(A3076="","",IF(SUMPRODUCT((Ввод!$F$12:$F$31&lt;&gt;"")*(Ввод!$F$12:$F$31&lt;=A3076)*(Ввод!$G$12:$G$31&gt;=A3076))&gt;0,1,0))</f>
        <v/>
      </c>
      <c r="G3076" t="str">
        <f t="shared" si="97"/>
        <v/>
      </c>
    </row>
    <row r="3077" spans="1:7" x14ac:dyDescent="0.3">
      <c r="A3077" s="21" t="str">
        <f>IF(A3076="","",IF(A3076+1&gt;Ввод!$B$4,"",A3076+1))</f>
        <v/>
      </c>
      <c r="B3077" s="23" t="str">
        <f>IF(A3077="","",IFERROR(INDEX(Ввод!$B$12:$B$71,MATCH(A3077,Ввод!$D$12:$D$71,1)),""))</f>
        <v/>
      </c>
      <c r="C3077" t="str">
        <f t="shared" si="96"/>
        <v/>
      </c>
      <c r="D3077" t="str">
        <f>IF(A3077="","",SUMIFS(Акты!$D$5:$D$16,Акты!$E$5:$E$16,"&lt;="&amp;A3077)-SUMIFS(Оплаты!$B$6:$B$505,Оплаты!$A$6:$A$505,"&lt;"&amp;A3077,Оплаты!$D$6:$D$505,"&lt;&gt;"))</f>
        <v/>
      </c>
      <c r="E3077" t="str">
        <f>IF(A3077="","",IF(SUMPRODUCT((Ввод!$F$12:$F$31&lt;&gt;"")*(Ввод!$F$12:$F$31&lt;=A3077)*(Ввод!$G$12:$G$31&gt;=A3077))&gt;0,1,0))</f>
        <v/>
      </c>
      <c r="G3077" t="str">
        <f t="shared" si="97"/>
        <v/>
      </c>
    </row>
    <row r="3078" spans="1:7" x14ac:dyDescent="0.3">
      <c r="A3078" s="21" t="str">
        <f>IF(A3077="","",IF(A3077+1&gt;Ввод!$B$4,"",A3077+1))</f>
        <v/>
      </c>
      <c r="B3078" s="23" t="str">
        <f>IF(A3078="","",IFERROR(INDEX(Ввод!$B$12:$B$71,MATCH(A3078,Ввод!$D$12:$D$71,1)),""))</f>
        <v/>
      </c>
      <c r="C3078" t="str">
        <f t="shared" si="96"/>
        <v/>
      </c>
      <c r="D3078" t="str">
        <f>IF(A3078="","",SUMIFS(Акты!$D$5:$D$16,Акты!$E$5:$E$16,"&lt;="&amp;A3078)-SUMIFS(Оплаты!$B$6:$B$505,Оплаты!$A$6:$A$505,"&lt;"&amp;A3078,Оплаты!$D$6:$D$505,"&lt;&gt;"))</f>
        <v/>
      </c>
      <c r="E3078" t="str">
        <f>IF(A3078="","",IF(SUMPRODUCT((Ввод!$F$12:$F$31&lt;&gt;"")*(Ввод!$F$12:$F$31&lt;=A3078)*(Ввод!$G$12:$G$31&gt;=A3078))&gt;0,1,0))</f>
        <v/>
      </c>
      <c r="G3078" t="str">
        <f t="shared" si="97"/>
        <v/>
      </c>
    </row>
    <row r="3079" spans="1:7" x14ac:dyDescent="0.3">
      <c r="A3079" s="21" t="str">
        <f>IF(A3078="","",IF(A3078+1&gt;Ввод!$B$4,"",A3078+1))</f>
        <v/>
      </c>
      <c r="B3079" s="23" t="str">
        <f>IF(A3079="","",IFERROR(INDEX(Ввод!$B$12:$B$71,MATCH(A3079,Ввод!$D$12:$D$71,1)),""))</f>
        <v/>
      </c>
      <c r="C3079" t="str">
        <f t="shared" si="96"/>
        <v/>
      </c>
      <c r="D3079" t="str">
        <f>IF(A3079="","",SUMIFS(Акты!$D$5:$D$16,Акты!$E$5:$E$16,"&lt;="&amp;A3079)-SUMIFS(Оплаты!$B$6:$B$505,Оплаты!$A$6:$A$505,"&lt;"&amp;A3079,Оплаты!$D$6:$D$505,"&lt;&gt;"))</f>
        <v/>
      </c>
      <c r="E3079" t="str">
        <f>IF(A3079="","",IF(SUMPRODUCT((Ввод!$F$12:$F$31&lt;&gt;"")*(Ввод!$F$12:$F$31&lt;=A3079)*(Ввод!$G$12:$G$31&gt;=A3079))&gt;0,1,0))</f>
        <v/>
      </c>
      <c r="G3079" t="str">
        <f t="shared" si="97"/>
        <v/>
      </c>
    </row>
    <row r="3080" spans="1:7" x14ac:dyDescent="0.3">
      <c r="A3080" s="21" t="str">
        <f>IF(A3079="","",IF(A3079+1&gt;Ввод!$B$4,"",A3079+1))</f>
        <v/>
      </c>
      <c r="B3080" s="23" t="str">
        <f>IF(A3080="","",IFERROR(INDEX(Ввод!$B$12:$B$71,MATCH(A3080,Ввод!$D$12:$D$71,1)),""))</f>
        <v/>
      </c>
      <c r="C3080" t="str">
        <f t="shared" si="96"/>
        <v/>
      </c>
      <c r="D3080" t="str">
        <f>IF(A3080="","",SUMIFS(Акты!$D$5:$D$16,Акты!$E$5:$E$16,"&lt;="&amp;A3080)-SUMIFS(Оплаты!$B$6:$B$505,Оплаты!$A$6:$A$505,"&lt;"&amp;A3080,Оплаты!$D$6:$D$505,"&lt;&gt;"))</f>
        <v/>
      </c>
      <c r="E3080" t="str">
        <f>IF(A3080="","",IF(SUMPRODUCT((Ввод!$F$12:$F$31&lt;&gt;"")*(Ввод!$F$12:$F$31&lt;=A3080)*(Ввод!$G$12:$G$31&gt;=A3080))&gt;0,1,0))</f>
        <v/>
      </c>
      <c r="G3080" t="str">
        <f t="shared" si="97"/>
        <v/>
      </c>
    </row>
    <row r="3081" spans="1:7" x14ac:dyDescent="0.3">
      <c r="A3081" s="21" t="str">
        <f>IF(A3080="","",IF(A3080+1&gt;Ввод!$B$4,"",A3080+1))</f>
        <v/>
      </c>
      <c r="B3081" s="23" t="str">
        <f>IF(A3081="","",IFERROR(INDEX(Ввод!$B$12:$B$71,MATCH(A3081,Ввод!$D$12:$D$71,1)),""))</f>
        <v/>
      </c>
      <c r="C3081" t="str">
        <f t="shared" si="96"/>
        <v/>
      </c>
      <c r="D3081" t="str">
        <f>IF(A3081="","",SUMIFS(Акты!$D$5:$D$16,Акты!$E$5:$E$16,"&lt;="&amp;A3081)-SUMIFS(Оплаты!$B$6:$B$505,Оплаты!$A$6:$A$505,"&lt;"&amp;A3081,Оплаты!$D$6:$D$505,"&lt;&gt;"))</f>
        <v/>
      </c>
      <c r="E3081" t="str">
        <f>IF(A3081="","",IF(SUMPRODUCT((Ввод!$F$12:$F$31&lt;&gt;"")*(Ввод!$F$12:$F$31&lt;=A3081)*(Ввод!$G$12:$G$31&gt;=A3081))&gt;0,1,0))</f>
        <v/>
      </c>
      <c r="G3081" t="str">
        <f t="shared" si="97"/>
        <v/>
      </c>
    </row>
    <row r="3082" spans="1:7" x14ac:dyDescent="0.3">
      <c r="A3082" s="21" t="str">
        <f>IF(A3081="","",IF(A3081+1&gt;Ввод!$B$4,"",A3081+1))</f>
        <v/>
      </c>
      <c r="B3082" s="23" t="str">
        <f>IF(A3082="","",IFERROR(INDEX(Ввод!$B$12:$B$71,MATCH(A3082,Ввод!$D$12:$D$71,1)),""))</f>
        <v/>
      </c>
      <c r="C3082" t="str">
        <f t="shared" si="96"/>
        <v/>
      </c>
      <c r="D3082" t="str">
        <f>IF(A3082="","",SUMIFS(Акты!$D$5:$D$16,Акты!$E$5:$E$16,"&lt;="&amp;A3082)-SUMIFS(Оплаты!$B$6:$B$505,Оплаты!$A$6:$A$505,"&lt;"&amp;A3082,Оплаты!$D$6:$D$505,"&lt;&gt;"))</f>
        <v/>
      </c>
      <c r="E3082" t="str">
        <f>IF(A3082="","",IF(SUMPRODUCT((Ввод!$F$12:$F$31&lt;&gt;"")*(Ввод!$F$12:$F$31&lt;=A3082)*(Ввод!$G$12:$G$31&gt;=A3082))&gt;0,1,0))</f>
        <v/>
      </c>
      <c r="G3082" t="str">
        <f t="shared" si="97"/>
        <v/>
      </c>
    </row>
    <row r="3083" spans="1:7" x14ac:dyDescent="0.3">
      <c r="A3083" s="21" t="str">
        <f>IF(A3082="","",IF(A3082+1&gt;Ввод!$B$4,"",A3082+1))</f>
        <v/>
      </c>
      <c r="B3083" s="23" t="str">
        <f>IF(A3083="","",IFERROR(INDEX(Ввод!$B$12:$B$71,MATCH(A3083,Ввод!$D$12:$D$71,1)),""))</f>
        <v/>
      </c>
      <c r="C3083" t="str">
        <f t="shared" si="96"/>
        <v/>
      </c>
      <c r="D3083" t="str">
        <f>IF(A3083="","",SUMIFS(Акты!$D$5:$D$16,Акты!$E$5:$E$16,"&lt;="&amp;A3083)-SUMIFS(Оплаты!$B$6:$B$505,Оплаты!$A$6:$A$505,"&lt;"&amp;A3083,Оплаты!$D$6:$D$505,"&lt;&gt;"))</f>
        <v/>
      </c>
      <c r="E3083" t="str">
        <f>IF(A3083="","",IF(SUMPRODUCT((Ввод!$F$12:$F$31&lt;&gt;"")*(Ввод!$F$12:$F$31&lt;=A3083)*(Ввод!$G$12:$G$31&gt;=A3083))&gt;0,1,0))</f>
        <v/>
      </c>
      <c r="G3083" t="str">
        <f t="shared" si="97"/>
        <v/>
      </c>
    </row>
    <row r="3084" spans="1:7" x14ac:dyDescent="0.3">
      <c r="A3084" s="21" t="str">
        <f>IF(A3083="","",IF(A3083+1&gt;Ввод!$B$4,"",A3083+1))</f>
        <v/>
      </c>
      <c r="B3084" s="23" t="str">
        <f>IF(A3084="","",IFERROR(INDEX(Ввод!$B$12:$B$71,MATCH(A3084,Ввод!$D$12:$D$71,1)),""))</f>
        <v/>
      </c>
      <c r="C3084" t="str">
        <f t="shared" si="96"/>
        <v/>
      </c>
      <c r="D3084" t="str">
        <f>IF(A3084="","",SUMIFS(Акты!$D$5:$D$16,Акты!$E$5:$E$16,"&lt;="&amp;A3084)-SUMIFS(Оплаты!$B$6:$B$505,Оплаты!$A$6:$A$505,"&lt;"&amp;A3084,Оплаты!$D$6:$D$505,"&lt;&gt;"))</f>
        <v/>
      </c>
      <c r="E3084" t="str">
        <f>IF(A3084="","",IF(SUMPRODUCT((Ввод!$F$12:$F$31&lt;&gt;"")*(Ввод!$F$12:$F$31&lt;=A3084)*(Ввод!$G$12:$G$31&gt;=A3084))&gt;0,1,0))</f>
        <v/>
      </c>
      <c r="G3084" t="str">
        <f t="shared" si="97"/>
        <v/>
      </c>
    </row>
    <row r="3085" spans="1:7" x14ac:dyDescent="0.3">
      <c r="A3085" s="21" t="str">
        <f>IF(A3084="","",IF(A3084+1&gt;Ввод!$B$4,"",A3084+1))</f>
        <v/>
      </c>
      <c r="B3085" s="23" t="str">
        <f>IF(A3085="","",IFERROR(INDEX(Ввод!$B$12:$B$71,MATCH(A3085,Ввод!$D$12:$D$71,1)),""))</f>
        <v/>
      </c>
      <c r="C3085" t="str">
        <f t="shared" si="96"/>
        <v/>
      </c>
      <c r="D3085" t="str">
        <f>IF(A3085="","",SUMIFS(Акты!$D$5:$D$16,Акты!$E$5:$E$16,"&lt;="&amp;A3085)-SUMIFS(Оплаты!$B$6:$B$505,Оплаты!$A$6:$A$505,"&lt;"&amp;A3085,Оплаты!$D$6:$D$505,"&lt;&gt;"))</f>
        <v/>
      </c>
      <c r="E3085" t="str">
        <f>IF(A3085="","",IF(SUMPRODUCT((Ввод!$F$12:$F$31&lt;&gt;"")*(Ввод!$F$12:$F$31&lt;=A3085)*(Ввод!$G$12:$G$31&gt;=A3085))&gt;0,1,0))</f>
        <v/>
      </c>
      <c r="G3085" t="str">
        <f t="shared" si="97"/>
        <v/>
      </c>
    </row>
    <row r="3086" spans="1:7" x14ac:dyDescent="0.3">
      <c r="A3086" s="21" t="str">
        <f>IF(A3085="","",IF(A3085+1&gt;Ввод!$B$4,"",A3085+1))</f>
        <v/>
      </c>
      <c r="B3086" s="23" t="str">
        <f>IF(A3086="","",IFERROR(INDEX(Ввод!$B$12:$B$71,MATCH(A3086,Ввод!$D$12:$D$71,1)),""))</f>
        <v/>
      </c>
      <c r="C3086" t="str">
        <f t="shared" si="96"/>
        <v/>
      </c>
      <c r="D3086" t="str">
        <f>IF(A3086="","",SUMIFS(Акты!$D$5:$D$16,Акты!$E$5:$E$16,"&lt;="&amp;A3086)-SUMIFS(Оплаты!$B$6:$B$505,Оплаты!$A$6:$A$505,"&lt;"&amp;A3086,Оплаты!$D$6:$D$505,"&lt;&gt;"))</f>
        <v/>
      </c>
      <c r="E3086" t="str">
        <f>IF(A3086="","",IF(SUMPRODUCT((Ввод!$F$12:$F$31&lt;&gt;"")*(Ввод!$F$12:$F$31&lt;=A3086)*(Ввод!$G$12:$G$31&gt;=A3086))&gt;0,1,0))</f>
        <v/>
      </c>
      <c r="G3086" t="str">
        <f t="shared" si="97"/>
        <v/>
      </c>
    </row>
    <row r="3087" spans="1:7" x14ac:dyDescent="0.3">
      <c r="A3087" s="21" t="str">
        <f>IF(A3086="","",IF(A3086+1&gt;Ввод!$B$4,"",A3086+1))</f>
        <v/>
      </c>
      <c r="B3087" s="23" t="str">
        <f>IF(A3087="","",IFERROR(INDEX(Ввод!$B$12:$B$71,MATCH(A3087,Ввод!$D$12:$D$71,1)),""))</f>
        <v/>
      </c>
      <c r="C3087" t="str">
        <f t="shared" si="96"/>
        <v/>
      </c>
      <c r="D3087" t="str">
        <f>IF(A3087="","",SUMIFS(Акты!$D$5:$D$16,Акты!$E$5:$E$16,"&lt;="&amp;A3087)-SUMIFS(Оплаты!$B$6:$B$505,Оплаты!$A$6:$A$505,"&lt;"&amp;A3087,Оплаты!$D$6:$D$505,"&lt;&gt;"))</f>
        <v/>
      </c>
      <c r="E3087" t="str">
        <f>IF(A3087="","",IF(SUMPRODUCT((Ввод!$F$12:$F$31&lt;&gt;"")*(Ввод!$F$12:$F$31&lt;=A3087)*(Ввод!$G$12:$G$31&gt;=A3087))&gt;0,1,0))</f>
        <v/>
      </c>
      <c r="G3087" t="str">
        <f t="shared" si="97"/>
        <v/>
      </c>
    </row>
    <row r="3088" spans="1:7" x14ac:dyDescent="0.3">
      <c r="A3088" s="21" t="str">
        <f>IF(A3087="","",IF(A3087+1&gt;Ввод!$B$4,"",A3087+1))</f>
        <v/>
      </c>
      <c r="B3088" s="23" t="str">
        <f>IF(A3088="","",IFERROR(INDEX(Ввод!$B$12:$B$71,MATCH(A3088,Ввод!$D$12:$D$71,1)),""))</f>
        <v/>
      </c>
      <c r="C3088" t="str">
        <f t="shared" si="96"/>
        <v/>
      </c>
      <c r="D3088" t="str">
        <f>IF(A3088="","",SUMIFS(Акты!$D$5:$D$16,Акты!$E$5:$E$16,"&lt;="&amp;A3088)-SUMIFS(Оплаты!$B$6:$B$505,Оплаты!$A$6:$A$505,"&lt;"&amp;A3088,Оплаты!$D$6:$D$505,"&lt;&gt;"))</f>
        <v/>
      </c>
      <c r="E3088" t="str">
        <f>IF(A3088="","",IF(SUMPRODUCT((Ввод!$F$12:$F$31&lt;&gt;"")*(Ввод!$F$12:$F$31&lt;=A3088)*(Ввод!$G$12:$G$31&gt;=A3088))&gt;0,1,0))</f>
        <v/>
      </c>
      <c r="G3088" t="str">
        <f t="shared" si="97"/>
        <v/>
      </c>
    </row>
    <row r="3089" spans="1:7" x14ac:dyDescent="0.3">
      <c r="A3089" s="21" t="str">
        <f>IF(A3088="","",IF(A3088+1&gt;Ввод!$B$4,"",A3088+1))</f>
        <v/>
      </c>
      <c r="B3089" s="23" t="str">
        <f>IF(A3089="","",IFERROR(INDEX(Ввод!$B$12:$B$71,MATCH(A3089,Ввод!$D$12:$D$71,1)),""))</f>
        <v/>
      </c>
      <c r="C3089" t="str">
        <f t="shared" si="96"/>
        <v/>
      </c>
      <c r="D3089" t="str">
        <f>IF(A3089="","",SUMIFS(Акты!$D$5:$D$16,Акты!$E$5:$E$16,"&lt;="&amp;A3089)-SUMIFS(Оплаты!$B$6:$B$505,Оплаты!$A$6:$A$505,"&lt;"&amp;A3089,Оплаты!$D$6:$D$505,"&lt;&gt;"))</f>
        <v/>
      </c>
      <c r="E3089" t="str">
        <f>IF(A3089="","",IF(SUMPRODUCT((Ввод!$F$12:$F$31&lt;&gt;"")*(Ввод!$F$12:$F$31&lt;=A3089)*(Ввод!$G$12:$G$31&gt;=A3089))&gt;0,1,0))</f>
        <v/>
      </c>
      <c r="G3089" t="str">
        <f t="shared" si="97"/>
        <v/>
      </c>
    </row>
    <row r="3090" spans="1:7" x14ac:dyDescent="0.3">
      <c r="A3090" s="21" t="str">
        <f>IF(A3089="","",IF(A3089+1&gt;Ввод!$B$4,"",A3089+1))</f>
        <v/>
      </c>
      <c r="B3090" s="23" t="str">
        <f>IF(A3090="","",IFERROR(INDEX(Ввод!$B$12:$B$71,MATCH(A3090,Ввод!$D$12:$D$71,1)),""))</f>
        <v/>
      </c>
      <c r="C3090" t="str">
        <f t="shared" si="96"/>
        <v/>
      </c>
      <c r="D3090" t="str">
        <f>IF(A3090="","",SUMIFS(Акты!$D$5:$D$16,Акты!$E$5:$E$16,"&lt;="&amp;A3090)-SUMIFS(Оплаты!$B$6:$B$505,Оплаты!$A$6:$A$505,"&lt;"&amp;A3090,Оплаты!$D$6:$D$505,"&lt;&gt;"))</f>
        <v/>
      </c>
      <c r="E3090" t="str">
        <f>IF(A3090="","",IF(SUMPRODUCT((Ввод!$F$12:$F$31&lt;&gt;"")*(Ввод!$F$12:$F$31&lt;=A3090)*(Ввод!$G$12:$G$31&gt;=A3090))&gt;0,1,0))</f>
        <v/>
      </c>
      <c r="G3090" t="str">
        <f t="shared" si="97"/>
        <v/>
      </c>
    </row>
    <row r="3091" spans="1:7" x14ac:dyDescent="0.3">
      <c r="A3091" s="21" t="str">
        <f>IF(A3090="","",IF(A3090+1&gt;Ввод!$B$4,"",A3090+1))</f>
        <v/>
      </c>
      <c r="B3091" s="23" t="str">
        <f>IF(A3091="","",IFERROR(INDEX(Ввод!$B$12:$B$71,MATCH(A3091,Ввод!$D$12:$D$71,1)),""))</f>
        <v/>
      </c>
      <c r="C3091" t="str">
        <f t="shared" si="96"/>
        <v/>
      </c>
      <c r="D3091" t="str">
        <f>IF(A3091="","",SUMIFS(Акты!$D$5:$D$16,Акты!$E$5:$E$16,"&lt;="&amp;A3091)-SUMIFS(Оплаты!$B$6:$B$505,Оплаты!$A$6:$A$505,"&lt;"&amp;A3091,Оплаты!$D$6:$D$505,"&lt;&gt;"))</f>
        <v/>
      </c>
      <c r="E3091" t="str">
        <f>IF(A3091="","",IF(SUMPRODUCT((Ввод!$F$12:$F$31&lt;&gt;"")*(Ввод!$F$12:$F$31&lt;=A3091)*(Ввод!$G$12:$G$31&gt;=A3091))&gt;0,1,0))</f>
        <v/>
      </c>
      <c r="G3091" t="str">
        <f t="shared" si="97"/>
        <v/>
      </c>
    </row>
    <row r="3092" spans="1:7" x14ac:dyDescent="0.3">
      <c r="A3092" s="21" t="str">
        <f>IF(A3091="","",IF(A3091+1&gt;Ввод!$B$4,"",A3091+1))</f>
        <v/>
      </c>
      <c r="B3092" s="23" t="str">
        <f>IF(A3092="","",IFERROR(INDEX(Ввод!$B$12:$B$71,MATCH(A3092,Ввод!$D$12:$D$71,1)),""))</f>
        <v/>
      </c>
      <c r="C3092" t="str">
        <f t="shared" si="96"/>
        <v/>
      </c>
      <c r="D3092" t="str">
        <f>IF(A3092="","",SUMIFS(Акты!$D$5:$D$16,Акты!$E$5:$E$16,"&lt;="&amp;A3092)-SUMIFS(Оплаты!$B$6:$B$505,Оплаты!$A$6:$A$505,"&lt;"&amp;A3092,Оплаты!$D$6:$D$505,"&lt;&gt;"))</f>
        <v/>
      </c>
      <c r="E3092" t="str">
        <f>IF(A3092="","",IF(SUMPRODUCT((Ввод!$F$12:$F$31&lt;&gt;"")*(Ввод!$F$12:$F$31&lt;=A3092)*(Ввод!$G$12:$G$31&gt;=A3092))&gt;0,1,0))</f>
        <v/>
      </c>
      <c r="G3092" t="str">
        <f t="shared" si="97"/>
        <v/>
      </c>
    </row>
    <row r="3093" spans="1:7" x14ac:dyDescent="0.3">
      <c r="A3093" s="21" t="str">
        <f>IF(A3092="","",IF(A3092+1&gt;Ввод!$B$4,"",A3092+1))</f>
        <v/>
      </c>
      <c r="B3093" s="23" t="str">
        <f>IF(A3093="","",IFERROR(INDEX(Ввод!$B$12:$B$71,MATCH(A3093,Ввод!$D$12:$D$71,1)),""))</f>
        <v/>
      </c>
      <c r="C3093" t="str">
        <f t="shared" si="96"/>
        <v/>
      </c>
      <c r="D3093" t="str">
        <f>IF(A3093="","",SUMIFS(Акты!$D$5:$D$16,Акты!$E$5:$E$16,"&lt;="&amp;A3093)-SUMIFS(Оплаты!$B$6:$B$505,Оплаты!$A$6:$A$505,"&lt;"&amp;A3093,Оплаты!$D$6:$D$505,"&lt;&gt;"))</f>
        <v/>
      </c>
      <c r="E3093" t="str">
        <f>IF(A3093="","",IF(SUMPRODUCT((Ввод!$F$12:$F$31&lt;&gt;"")*(Ввод!$F$12:$F$31&lt;=A3093)*(Ввод!$G$12:$G$31&gt;=A3093))&gt;0,1,0))</f>
        <v/>
      </c>
      <c r="G3093" t="str">
        <f t="shared" si="97"/>
        <v/>
      </c>
    </row>
    <row r="3094" spans="1:7" x14ac:dyDescent="0.3">
      <c r="A3094" s="21" t="str">
        <f>IF(A3093="","",IF(A3093+1&gt;Ввод!$B$4,"",A3093+1))</f>
        <v/>
      </c>
      <c r="B3094" s="23" t="str">
        <f>IF(A3094="","",IFERROR(INDEX(Ввод!$B$12:$B$71,MATCH(A3094,Ввод!$D$12:$D$71,1)),""))</f>
        <v/>
      </c>
      <c r="C3094" t="str">
        <f t="shared" si="96"/>
        <v/>
      </c>
      <c r="D3094" t="str">
        <f>IF(A3094="","",SUMIFS(Акты!$D$5:$D$16,Акты!$E$5:$E$16,"&lt;="&amp;A3094)-SUMIFS(Оплаты!$B$6:$B$505,Оплаты!$A$6:$A$505,"&lt;"&amp;A3094,Оплаты!$D$6:$D$505,"&lt;&gt;"))</f>
        <v/>
      </c>
      <c r="E3094" t="str">
        <f>IF(A3094="","",IF(SUMPRODUCT((Ввод!$F$12:$F$31&lt;&gt;"")*(Ввод!$F$12:$F$31&lt;=A3094)*(Ввод!$G$12:$G$31&gt;=A3094))&gt;0,1,0))</f>
        <v/>
      </c>
      <c r="G3094" t="str">
        <f t="shared" si="97"/>
        <v/>
      </c>
    </row>
    <row r="3095" spans="1:7" x14ac:dyDescent="0.3">
      <c r="A3095" s="21" t="str">
        <f>IF(A3094="","",IF(A3094+1&gt;Ввод!$B$4,"",A3094+1))</f>
        <v/>
      </c>
      <c r="B3095" s="23" t="str">
        <f>IF(A3095="","",IFERROR(INDEX(Ввод!$B$12:$B$71,MATCH(A3095,Ввод!$D$12:$D$71,1)),""))</f>
        <v/>
      </c>
      <c r="C3095" t="str">
        <f t="shared" si="96"/>
        <v/>
      </c>
      <c r="D3095" t="str">
        <f>IF(A3095="","",SUMIFS(Акты!$D$5:$D$16,Акты!$E$5:$E$16,"&lt;="&amp;A3095)-SUMIFS(Оплаты!$B$6:$B$505,Оплаты!$A$6:$A$505,"&lt;"&amp;A3095,Оплаты!$D$6:$D$505,"&lt;&gt;"))</f>
        <v/>
      </c>
      <c r="E3095" t="str">
        <f>IF(A3095="","",IF(SUMPRODUCT((Ввод!$F$12:$F$31&lt;&gt;"")*(Ввод!$F$12:$F$31&lt;=A3095)*(Ввод!$G$12:$G$31&gt;=A3095))&gt;0,1,0))</f>
        <v/>
      </c>
      <c r="G3095" t="str">
        <f t="shared" si="97"/>
        <v/>
      </c>
    </row>
    <row r="3096" spans="1:7" x14ac:dyDescent="0.3">
      <c r="A3096" s="21" t="str">
        <f>IF(A3095="","",IF(A3095+1&gt;Ввод!$B$4,"",A3095+1))</f>
        <v/>
      </c>
      <c r="B3096" s="23" t="str">
        <f>IF(A3096="","",IFERROR(INDEX(Ввод!$B$12:$B$71,MATCH(A3096,Ввод!$D$12:$D$71,1)),""))</f>
        <v/>
      </c>
      <c r="C3096" t="str">
        <f t="shared" si="96"/>
        <v/>
      </c>
      <c r="D3096" t="str">
        <f>IF(A3096="","",SUMIFS(Акты!$D$5:$D$16,Акты!$E$5:$E$16,"&lt;="&amp;A3096)-SUMIFS(Оплаты!$B$6:$B$505,Оплаты!$A$6:$A$505,"&lt;"&amp;A3096,Оплаты!$D$6:$D$505,"&lt;&gt;"))</f>
        <v/>
      </c>
      <c r="E3096" t="str">
        <f>IF(A3096="","",IF(SUMPRODUCT((Ввод!$F$12:$F$31&lt;&gt;"")*(Ввод!$F$12:$F$31&lt;=A3096)*(Ввод!$G$12:$G$31&gt;=A3096))&gt;0,1,0))</f>
        <v/>
      </c>
      <c r="G3096" t="str">
        <f t="shared" si="97"/>
        <v/>
      </c>
    </row>
    <row r="3097" spans="1:7" x14ac:dyDescent="0.3">
      <c r="A3097" s="21" t="str">
        <f>IF(A3096="","",IF(A3096+1&gt;Ввод!$B$4,"",A3096+1))</f>
        <v/>
      </c>
      <c r="B3097" s="23" t="str">
        <f>IF(A3097="","",IFERROR(INDEX(Ввод!$B$12:$B$71,MATCH(A3097,Ввод!$D$12:$D$71,1)),""))</f>
        <v/>
      </c>
      <c r="C3097" t="str">
        <f t="shared" si="96"/>
        <v/>
      </c>
      <c r="D3097" t="str">
        <f>IF(A3097="","",SUMIFS(Акты!$D$5:$D$16,Акты!$E$5:$E$16,"&lt;="&amp;A3097)-SUMIFS(Оплаты!$B$6:$B$505,Оплаты!$A$6:$A$505,"&lt;"&amp;A3097,Оплаты!$D$6:$D$505,"&lt;&gt;"))</f>
        <v/>
      </c>
      <c r="E3097" t="str">
        <f>IF(A3097="","",IF(SUMPRODUCT((Ввод!$F$12:$F$31&lt;&gt;"")*(Ввод!$F$12:$F$31&lt;=A3097)*(Ввод!$G$12:$G$31&gt;=A3097))&gt;0,1,0))</f>
        <v/>
      </c>
      <c r="G3097" t="str">
        <f t="shared" si="97"/>
        <v/>
      </c>
    </row>
    <row r="3098" spans="1:7" x14ac:dyDescent="0.3">
      <c r="A3098" s="21" t="str">
        <f>IF(A3097="","",IF(A3097+1&gt;Ввод!$B$4,"",A3097+1))</f>
        <v/>
      </c>
      <c r="B3098" s="23" t="str">
        <f>IF(A3098="","",IFERROR(INDEX(Ввод!$B$12:$B$71,MATCH(A3098,Ввод!$D$12:$D$71,1)),""))</f>
        <v/>
      </c>
      <c r="C3098" t="str">
        <f t="shared" si="96"/>
        <v/>
      </c>
      <c r="D3098" t="str">
        <f>IF(A3098="","",SUMIFS(Акты!$D$5:$D$16,Акты!$E$5:$E$16,"&lt;="&amp;A3098)-SUMIFS(Оплаты!$B$6:$B$505,Оплаты!$A$6:$A$505,"&lt;"&amp;A3098,Оплаты!$D$6:$D$505,"&lt;&gt;"))</f>
        <v/>
      </c>
      <c r="E3098" t="str">
        <f>IF(A3098="","",IF(SUMPRODUCT((Ввод!$F$12:$F$31&lt;&gt;"")*(Ввод!$F$12:$F$31&lt;=A3098)*(Ввод!$G$12:$G$31&gt;=A3098))&gt;0,1,0))</f>
        <v/>
      </c>
      <c r="G3098" t="str">
        <f t="shared" si="97"/>
        <v/>
      </c>
    </row>
    <row r="3099" spans="1:7" x14ac:dyDescent="0.3">
      <c r="A3099" s="21" t="str">
        <f>IF(A3098="","",IF(A3098+1&gt;Ввод!$B$4,"",A3098+1))</f>
        <v/>
      </c>
      <c r="B3099" s="23" t="str">
        <f>IF(A3099="","",IFERROR(INDEX(Ввод!$B$12:$B$71,MATCH(A3099,Ввод!$D$12:$D$71,1)),""))</f>
        <v/>
      </c>
      <c r="C3099" t="str">
        <f t="shared" si="96"/>
        <v/>
      </c>
      <c r="D3099" t="str">
        <f>IF(A3099="","",SUMIFS(Акты!$D$5:$D$16,Акты!$E$5:$E$16,"&lt;="&amp;A3099)-SUMIFS(Оплаты!$B$6:$B$505,Оплаты!$A$6:$A$505,"&lt;"&amp;A3099,Оплаты!$D$6:$D$505,"&lt;&gt;"))</f>
        <v/>
      </c>
      <c r="E3099" t="str">
        <f>IF(A3099="","",IF(SUMPRODUCT((Ввод!$F$12:$F$31&lt;&gt;"")*(Ввод!$F$12:$F$31&lt;=A3099)*(Ввод!$G$12:$G$31&gt;=A3099))&gt;0,1,0))</f>
        <v/>
      </c>
      <c r="G3099" t="str">
        <f t="shared" si="97"/>
        <v/>
      </c>
    </row>
    <row r="3100" spans="1:7" x14ac:dyDescent="0.3">
      <c r="A3100" s="21" t="str">
        <f>IF(A3099="","",IF(A3099+1&gt;Ввод!$B$4,"",A3099+1))</f>
        <v/>
      </c>
      <c r="B3100" s="23" t="str">
        <f>IF(A3100="","",IFERROR(INDEX(Ввод!$B$12:$B$71,MATCH(A3100,Ввод!$D$12:$D$71,1)),""))</f>
        <v/>
      </c>
      <c r="C3100" t="str">
        <f t="shared" si="96"/>
        <v/>
      </c>
      <c r="D3100" t="str">
        <f>IF(A3100="","",SUMIFS(Акты!$D$5:$D$16,Акты!$E$5:$E$16,"&lt;="&amp;A3100)-SUMIFS(Оплаты!$B$6:$B$505,Оплаты!$A$6:$A$505,"&lt;"&amp;A3100,Оплаты!$D$6:$D$505,"&lt;&gt;"))</f>
        <v/>
      </c>
      <c r="E3100" t="str">
        <f>IF(A3100="","",IF(SUMPRODUCT((Ввод!$F$12:$F$31&lt;&gt;"")*(Ввод!$F$12:$F$31&lt;=A3100)*(Ввод!$G$12:$G$31&gt;=A3100))&gt;0,1,0))</f>
        <v/>
      </c>
      <c r="G3100" t="str">
        <f t="shared" si="97"/>
        <v/>
      </c>
    </row>
    <row r="3101" spans="1:7" x14ac:dyDescent="0.3">
      <c r="A3101" s="21" t="str">
        <f>IF(A3100="","",IF(A3100+1&gt;Ввод!$B$4,"",A3100+1))</f>
        <v/>
      </c>
      <c r="B3101" s="23" t="str">
        <f>IF(A3101="","",IFERROR(INDEX(Ввод!$B$12:$B$71,MATCH(A3101,Ввод!$D$12:$D$71,1)),""))</f>
        <v/>
      </c>
      <c r="C3101" t="str">
        <f t="shared" si="96"/>
        <v/>
      </c>
      <c r="D3101" t="str">
        <f>IF(A3101="","",SUMIFS(Акты!$D$5:$D$16,Акты!$E$5:$E$16,"&lt;="&amp;A3101)-SUMIFS(Оплаты!$B$6:$B$505,Оплаты!$A$6:$A$505,"&lt;"&amp;A3101,Оплаты!$D$6:$D$505,"&lt;&gt;"))</f>
        <v/>
      </c>
      <c r="E3101" t="str">
        <f>IF(A3101="","",IF(SUMPRODUCT((Ввод!$F$12:$F$31&lt;&gt;"")*(Ввод!$F$12:$F$31&lt;=A3101)*(Ввод!$G$12:$G$31&gt;=A3101))&gt;0,1,0))</f>
        <v/>
      </c>
      <c r="G3101" t="str">
        <f t="shared" si="97"/>
        <v/>
      </c>
    </row>
    <row r="3102" spans="1:7" x14ac:dyDescent="0.3">
      <c r="A3102" s="21" t="str">
        <f>IF(A3101="","",IF(A3101+1&gt;Ввод!$B$4,"",A3101+1))</f>
        <v/>
      </c>
      <c r="B3102" s="23" t="str">
        <f>IF(A3102="","",IFERROR(INDEX(Ввод!$B$12:$B$71,MATCH(A3102,Ввод!$D$12:$D$71,1)),""))</f>
        <v/>
      </c>
      <c r="C3102" t="str">
        <f t="shared" si="96"/>
        <v/>
      </c>
      <c r="D3102" t="str">
        <f>IF(A3102="","",SUMIFS(Акты!$D$5:$D$16,Акты!$E$5:$E$16,"&lt;="&amp;A3102)-SUMIFS(Оплаты!$B$6:$B$505,Оплаты!$A$6:$A$505,"&lt;"&amp;A3102,Оплаты!$D$6:$D$505,"&lt;&gt;"))</f>
        <v/>
      </c>
      <c r="E3102" t="str">
        <f>IF(A3102="","",IF(SUMPRODUCT((Ввод!$F$12:$F$31&lt;&gt;"")*(Ввод!$F$12:$F$31&lt;=A3102)*(Ввод!$G$12:$G$31&gt;=A3102))&gt;0,1,0))</f>
        <v/>
      </c>
      <c r="G3102" t="str">
        <f t="shared" si="97"/>
        <v/>
      </c>
    </row>
    <row r="3103" spans="1:7" x14ac:dyDescent="0.3">
      <c r="A3103" s="21" t="str">
        <f>IF(A3102="","",IF(A3102+1&gt;Ввод!$B$4,"",A3102+1))</f>
        <v/>
      </c>
      <c r="B3103" s="23" t="str">
        <f>IF(A3103="","",IFERROR(INDEX(Ввод!$B$12:$B$71,MATCH(A3103,Ввод!$D$12:$D$71,1)),""))</f>
        <v/>
      </c>
      <c r="C3103" t="str">
        <f t="shared" si="96"/>
        <v/>
      </c>
      <c r="D3103" t="str">
        <f>IF(A3103="","",SUMIFS(Акты!$D$5:$D$16,Акты!$E$5:$E$16,"&lt;="&amp;A3103)-SUMIFS(Оплаты!$B$6:$B$505,Оплаты!$A$6:$A$505,"&lt;"&amp;A3103,Оплаты!$D$6:$D$505,"&lt;&gt;"))</f>
        <v/>
      </c>
      <c r="E3103" t="str">
        <f>IF(A3103="","",IF(SUMPRODUCT((Ввод!$F$12:$F$31&lt;&gt;"")*(Ввод!$F$12:$F$31&lt;=A3103)*(Ввод!$G$12:$G$31&gt;=A3103))&gt;0,1,0))</f>
        <v/>
      </c>
      <c r="G3103" t="str">
        <f t="shared" si="97"/>
        <v/>
      </c>
    </row>
    <row r="3104" spans="1:7" x14ac:dyDescent="0.3">
      <c r="A3104" s="21" t="str">
        <f>IF(A3103="","",IF(A3103+1&gt;Ввод!$B$4,"",A3103+1))</f>
        <v/>
      </c>
      <c r="B3104" s="23" t="str">
        <f>IF(A3104="","",IFERROR(INDEX(Ввод!$B$12:$B$71,MATCH(A3104,Ввод!$D$12:$D$71,1)),""))</f>
        <v/>
      </c>
      <c r="C3104" t="str">
        <f t="shared" si="96"/>
        <v/>
      </c>
      <c r="D3104" t="str">
        <f>IF(A3104="","",SUMIFS(Акты!$D$5:$D$16,Акты!$E$5:$E$16,"&lt;="&amp;A3104)-SUMIFS(Оплаты!$B$6:$B$505,Оплаты!$A$6:$A$505,"&lt;"&amp;A3104,Оплаты!$D$6:$D$505,"&lt;&gt;"))</f>
        <v/>
      </c>
      <c r="E3104" t="str">
        <f>IF(A3104="","",IF(SUMPRODUCT((Ввод!$F$12:$F$31&lt;&gt;"")*(Ввод!$F$12:$F$31&lt;=A3104)*(Ввод!$G$12:$G$31&gt;=A3104))&gt;0,1,0))</f>
        <v/>
      </c>
      <c r="G3104" t="str">
        <f t="shared" si="97"/>
        <v/>
      </c>
    </row>
    <row r="3105" spans="1:7" x14ac:dyDescent="0.3">
      <c r="A3105" s="21" t="str">
        <f>IF(A3104="","",IF(A3104+1&gt;Ввод!$B$4,"",A3104+1))</f>
        <v/>
      </c>
      <c r="B3105" s="23" t="str">
        <f>IF(A3105="","",IFERROR(INDEX(Ввод!$B$12:$B$71,MATCH(A3105,Ввод!$D$12:$D$71,1)),""))</f>
        <v/>
      </c>
      <c r="C3105" t="str">
        <f t="shared" si="96"/>
        <v/>
      </c>
      <c r="D3105" t="str">
        <f>IF(A3105="","",SUMIFS(Акты!$D$5:$D$16,Акты!$E$5:$E$16,"&lt;="&amp;A3105)-SUMIFS(Оплаты!$B$6:$B$505,Оплаты!$A$6:$A$505,"&lt;"&amp;A3105,Оплаты!$D$6:$D$505,"&lt;&gt;"))</f>
        <v/>
      </c>
      <c r="E3105" t="str">
        <f>IF(A3105="","",IF(SUMPRODUCT((Ввод!$F$12:$F$31&lt;&gt;"")*(Ввод!$F$12:$F$31&lt;=A3105)*(Ввод!$G$12:$G$31&gt;=A3105))&gt;0,1,0))</f>
        <v/>
      </c>
      <c r="G3105" t="str">
        <f t="shared" si="97"/>
        <v/>
      </c>
    </row>
    <row r="3106" spans="1:7" x14ac:dyDescent="0.3">
      <c r="A3106" s="21" t="str">
        <f>IF(A3105="","",IF(A3105+1&gt;Ввод!$B$4,"",A3105+1))</f>
        <v/>
      </c>
      <c r="B3106" s="23" t="str">
        <f>IF(A3106="","",IFERROR(INDEX(Ввод!$B$12:$B$71,MATCH(A3106,Ввод!$D$12:$D$71,1)),""))</f>
        <v/>
      </c>
      <c r="C3106" t="str">
        <f t="shared" si="96"/>
        <v/>
      </c>
      <c r="D3106" t="str">
        <f>IF(A3106="","",SUMIFS(Акты!$D$5:$D$16,Акты!$E$5:$E$16,"&lt;="&amp;A3106)-SUMIFS(Оплаты!$B$6:$B$505,Оплаты!$A$6:$A$505,"&lt;"&amp;A3106,Оплаты!$D$6:$D$505,"&lt;&gt;"))</f>
        <v/>
      </c>
      <c r="E3106" t="str">
        <f>IF(A3106="","",IF(SUMPRODUCT((Ввод!$F$12:$F$31&lt;&gt;"")*(Ввод!$F$12:$F$31&lt;=A3106)*(Ввод!$G$12:$G$31&gt;=A3106))&gt;0,1,0))</f>
        <v/>
      </c>
      <c r="G3106" t="str">
        <f t="shared" si="97"/>
        <v/>
      </c>
    </row>
    <row r="3107" spans="1:7" x14ac:dyDescent="0.3">
      <c r="A3107" s="21" t="str">
        <f>IF(A3106="","",IF(A3106+1&gt;Ввод!$B$4,"",A3106+1))</f>
        <v/>
      </c>
      <c r="B3107" s="23" t="str">
        <f>IF(A3107="","",IFERROR(INDEX(Ввод!$B$12:$B$71,MATCH(A3107,Ввод!$D$12:$D$71,1)),""))</f>
        <v/>
      </c>
      <c r="C3107" t="str">
        <f t="shared" si="96"/>
        <v/>
      </c>
      <c r="D3107" t="str">
        <f>IF(A3107="","",SUMIFS(Акты!$D$5:$D$16,Акты!$E$5:$E$16,"&lt;="&amp;A3107)-SUMIFS(Оплаты!$B$6:$B$505,Оплаты!$A$6:$A$505,"&lt;"&amp;A3107,Оплаты!$D$6:$D$505,"&lt;&gt;"))</f>
        <v/>
      </c>
      <c r="E3107" t="str">
        <f>IF(A3107="","",IF(SUMPRODUCT((Ввод!$F$12:$F$31&lt;&gt;"")*(Ввод!$F$12:$F$31&lt;=A3107)*(Ввод!$G$12:$G$31&gt;=A3107))&gt;0,1,0))</f>
        <v/>
      </c>
      <c r="G3107" t="str">
        <f t="shared" si="97"/>
        <v/>
      </c>
    </row>
    <row r="3108" spans="1:7" x14ac:dyDescent="0.3">
      <c r="A3108" s="21" t="str">
        <f>IF(A3107="","",IF(A3107+1&gt;Ввод!$B$4,"",A3107+1))</f>
        <v/>
      </c>
      <c r="B3108" s="23" t="str">
        <f>IF(A3108="","",IFERROR(INDEX(Ввод!$B$12:$B$71,MATCH(A3108,Ввод!$D$12:$D$71,1)),""))</f>
        <v/>
      </c>
      <c r="C3108" t="str">
        <f t="shared" si="96"/>
        <v/>
      </c>
      <c r="D3108" t="str">
        <f>IF(A3108="","",SUMIFS(Акты!$D$5:$D$16,Акты!$E$5:$E$16,"&lt;="&amp;A3108)-SUMIFS(Оплаты!$B$6:$B$505,Оплаты!$A$6:$A$505,"&lt;"&amp;A3108,Оплаты!$D$6:$D$505,"&lt;&gt;"))</f>
        <v/>
      </c>
      <c r="E3108" t="str">
        <f>IF(A3108="","",IF(SUMPRODUCT((Ввод!$F$12:$F$31&lt;&gt;"")*(Ввод!$F$12:$F$31&lt;=A3108)*(Ввод!$G$12:$G$31&gt;=A3108))&gt;0,1,0))</f>
        <v/>
      </c>
      <c r="G3108" t="str">
        <f t="shared" si="97"/>
        <v/>
      </c>
    </row>
    <row r="3109" spans="1:7" x14ac:dyDescent="0.3">
      <c r="A3109" s="21" t="str">
        <f>IF(A3108="","",IF(A3108+1&gt;Ввод!$B$4,"",A3108+1))</f>
        <v/>
      </c>
      <c r="B3109" s="23" t="str">
        <f>IF(A3109="","",IFERROR(INDEX(Ввод!$B$12:$B$71,MATCH(A3109,Ввод!$D$12:$D$71,1)),""))</f>
        <v/>
      </c>
      <c r="C3109" t="str">
        <f t="shared" si="96"/>
        <v/>
      </c>
      <c r="D3109" t="str">
        <f>IF(A3109="","",SUMIFS(Акты!$D$5:$D$16,Акты!$E$5:$E$16,"&lt;="&amp;A3109)-SUMIFS(Оплаты!$B$6:$B$505,Оплаты!$A$6:$A$505,"&lt;"&amp;A3109,Оплаты!$D$6:$D$505,"&lt;&gt;"))</f>
        <v/>
      </c>
      <c r="E3109" t="str">
        <f>IF(A3109="","",IF(SUMPRODUCT((Ввод!$F$12:$F$31&lt;&gt;"")*(Ввод!$F$12:$F$31&lt;=A3109)*(Ввод!$G$12:$G$31&gt;=A3109))&gt;0,1,0))</f>
        <v/>
      </c>
      <c r="G3109" t="str">
        <f t="shared" si="97"/>
        <v/>
      </c>
    </row>
    <row r="3110" spans="1:7" x14ac:dyDescent="0.3">
      <c r="A3110" s="21" t="str">
        <f>IF(A3109="","",IF(A3109+1&gt;Ввод!$B$4,"",A3109+1))</f>
        <v/>
      </c>
      <c r="B3110" s="23" t="str">
        <f>IF(A3110="","",IFERROR(INDEX(Ввод!$B$12:$B$71,MATCH(A3110,Ввод!$D$12:$D$71,1)),""))</f>
        <v/>
      </c>
      <c r="C3110" t="str">
        <f t="shared" si="96"/>
        <v/>
      </c>
      <c r="D3110" t="str">
        <f>IF(A3110="","",SUMIFS(Акты!$D$5:$D$16,Акты!$E$5:$E$16,"&lt;="&amp;A3110)-SUMIFS(Оплаты!$B$6:$B$505,Оплаты!$A$6:$A$505,"&lt;"&amp;A3110,Оплаты!$D$6:$D$505,"&lt;&gt;"))</f>
        <v/>
      </c>
      <c r="E3110" t="str">
        <f>IF(A3110="","",IF(SUMPRODUCT((Ввод!$F$12:$F$31&lt;&gt;"")*(Ввод!$F$12:$F$31&lt;=A3110)*(Ввод!$G$12:$G$31&gt;=A3110))&gt;0,1,0))</f>
        <v/>
      </c>
      <c r="G3110" t="str">
        <f t="shared" si="97"/>
        <v/>
      </c>
    </row>
    <row r="3111" spans="1:7" x14ac:dyDescent="0.3">
      <c r="A3111" s="21" t="str">
        <f>IF(A3110="","",IF(A3110+1&gt;Ввод!$B$4,"",A3110+1))</f>
        <v/>
      </c>
      <c r="B3111" s="23" t="str">
        <f>IF(A3111="","",IFERROR(INDEX(Ввод!$B$12:$B$71,MATCH(A3111,Ввод!$D$12:$D$71,1)),""))</f>
        <v/>
      </c>
      <c r="C3111" t="str">
        <f t="shared" si="96"/>
        <v/>
      </c>
      <c r="D3111" t="str">
        <f>IF(A3111="","",SUMIFS(Акты!$D$5:$D$16,Акты!$E$5:$E$16,"&lt;="&amp;A3111)-SUMIFS(Оплаты!$B$6:$B$505,Оплаты!$A$6:$A$505,"&lt;"&amp;A3111,Оплаты!$D$6:$D$505,"&lt;&gt;"))</f>
        <v/>
      </c>
      <c r="E3111" t="str">
        <f>IF(A3111="","",IF(SUMPRODUCT((Ввод!$F$12:$F$31&lt;&gt;"")*(Ввод!$F$12:$F$31&lt;=A3111)*(Ввод!$G$12:$G$31&gt;=A3111))&gt;0,1,0))</f>
        <v/>
      </c>
      <c r="G3111" t="str">
        <f t="shared" si="97"/>
        <v/>
      </c>
    </row>
    <row r="3112" spans="1:7" x14ac:dyDescent="0.3">
      <c r="A3112" s="21" t="str">
        <f>IF(A3111="","",IF(A3111+1&gt;Ввод!$B$4,"",A3111+1))</f>
        <v/>
      </c>
      <c r="B3112" s="23" t="str">
        <f>IF(A3112="","",IFERROR(INDEX(Ввод!$B$12:$B$71,MATCH(A3112,Ввод!$D$12:$D$71,1)),""))</f>
        <v/>
      </c>
      <c r="C3112" t="str">
        <f t="shared" si="96"/>
        <v/>
      </c>
      <c r="D3112" t="str">
        <f>IF(A3112="","",SUMIFS(Акты!$D$5:$D$16,Акты!$E$5:$E$16,"&lt;="&amp;A3112)-SUMIFS(Оплаты!$B$6:$B$505,Оплаты!$A$6:$A$505,"&lt;"&amp;A3112,Оплаты!$D$6:$D$505,"&lt;&gt;"))</f>
        <v/>
      </c>
      <c r="E3112" t="str">
        <f>IF(A3112="","",IF(SUMPRODUCT((Ввод!$F$12:$F$31&lt;&gt;"")*(Ввод!$F$12:$F$31&lt;=A3112)*(Ввод!$G$12:$G$31&gt;=A3112))&gt;0,1,0))</f>
        <v/>
      </c>
      <c r="G3112" t="str">
        <f t="shared" si="97"/>
        <v/>
      </c>
    </row>
    <row r="3113" spans="1:7" x14ac:dyDescent="0.3">
      <c r="A3113" s="21" t="str">
        <f>IF(A3112="","",IF(A3112+1&gt;Ввод!$B$4,"",A3112+1))</f>
        <v/>
      </c>
      <c r="B3113" s="23" t="str">
        <f>IF(A3113="","",IFERROR(INDEX(Ввод!$B$12:$B$71,MATCH(A3113,Ввод!$D$12:$D$71,1)),""))</f>
        <v/>
      </c>
      <c r="C3113" t="str">
        <f t="shared" si="96"/>
        <v/>
      </c>
      <c r="D3113" t="str">
        <f>IF(A3113="","",SUMIFS(Акты!$D$5:$D$16,Акты!$E$5:$E$16,"&lt;="&amp;A3113)-SUMIFS(Оплаты!$B$6:$B$505,Оплаты!$A$6:$A$505,"&lt;"&amp;A3113,Оплаты!$D$6:$D$505,"&lt;&gt;"))</f>
        <v/>
      </c>
      <c r="E3113" t="str">
        <f>IF(A3113="","",IF(SUMPRODUCT((Ввод!$F$12:$F$31&lt;&gt;"")*(Ввод!$F$12:$F$31&lt;=A3113)*(Ввод!$G$12:$G$31&gt;=A3113))&gt;0,1,0))</f>
        <v/>
      </c>
      <c r="G3113" t="str">
        <f t="shared" si="97"/>
        <v/>
      </c>
    </row>
    <row r="3114" spans="1:7" x14ac:dyDescent="0.3">
      <c r="A3114" s="21" t="str">
        <f>IF(A3113="","",IF(A3113+1&gt;Ввод!$B$4,"",A3113+1))</f>
        <v/>
      </c>
      <c r="B3114" s="23" t="str">
        <f>IF(A3114="","",IFERROR(INDEX(Ввод!$B$12:$B$71,MATCH(A3114,Ввод!$D$12:$D$71,1)),""))</f>
        <v/>
      </c>
      <c r="C3114" t="str">
        <f t="shared" si="96"/>
        <v/>
      </c>
      <c r="D3114" t="str">
        <f>IF(A3114="","",SUMIFS(Акты!$D$5:$D$16,Акты!$E$5:$E$16,"&lt;="&amp;A3114)-SUMIFS(Оплаты!$B$6:$B$505,Оплаты!$A$6:$A$505,"&lt;"&amp;A3114,Оплаты!$D$6:$D$505,"&lt;&gt;"))</f>
        <v/>
      </c>
      <c r="E3114" t="str">
        <f>IF(A3114="","",IF(SUMPRODUCT((Ввод!$F$12:$F$31&lt;&gt;"")*(Ввод!$F$12:$F$31&lt;=A3114)*(Ввод!$G$12:$G$31&gt;=A3114))&gt;0,1,0))</f>
        <v/>
      </c>
      <c r="G3114" t="str">
        <f t="shared" si="97"/>
        <v/>
      </c>
    </row>
    <row r="3115" spans="1:7" x14ac:dyDescent="0.3">
      <c r="A3115" s="21" t="str">
        <f>IF(A3114="","",IF(A3114+1&gt;Ввод!$B$4,"",A3114+1))</f>
        <v/>
      </c>
      <c r="B3115" s="23" t="str">
        <f>IF(A3115="","",IFERROR(INDEX(Ввод!$B$12:$B$71,MATCH(A3115,Ввод!$D$12:$D$71,1)),""))</f>
        <v/>
      </c>
      <c r="C3115" t="str">
        <f t="shared" si="96"/>
        <v/>
      </c>
      <c r="D3115" t="str">
        <f>IF(A3115="","",SUMIFS(Акты!$D$5:$D$16,Акты!$E$5:$E$16,"&lt;="&amp;A3115)-SUMIFS(Оплаты!$B$6:$B$505,Оплаты!$A$6:$A$505,"&lt;"&amp;A3115,Оплаты!$D$6:$D$505,"&lt;&gt;"))</f>
        <v/>
      </c>
      <c r="E3115" t="str">
        <f>IF(A3115="","",IF(SUMPRODUCT((Ввод!$F$12:$F$31&lt;&gt;"")*(Ввод!$F$12:$F$31&lt;=A3115)*(Ввод!$G$12:$G$31&gt;=A3115))&gt;0,1,0))</f>
        <v/>
      </c>
      <c r="G3115" t="str">
        <f t="shared" si="97"/>
        <v/>
      </c>
    </row>
    <row r="3116" spans="1:7" x14ac:dyDescent="0.3">
      <c r="A3116" s="21" t="str">
        <f>IF(A3115="","",IF(A3115+1&gt;Ввод!$B$4,"",A3115+1))</f>
        <v/>
      </c>
      <c r="B3116" s="23" t="str">
        <f>IF(A3116="","",IFERROR(INDEX(Ввод!$B$12:$B$71,MATCH(A3116,Ввод!$D$12:$D$71,1)),""))</f>
        <v/>
      </c>
      <c r="C3116" t="str">
        <f t="shared" si="96"/>
        <v/>
      </c>
      <c r="D3116" t="str">
        <f>IF(A3116="","",SUMIFS(Акты!$D$5:$D$16,Акты!$E$5:$E$16,"&lt;="&amp;A3116)-SUMIFS(Оплаты!$B$6:$B$505,Оплаты!$A$6:$A$505,"&lt;"&amp;A3116,Оплаты!$D$6:$D$505,"&lt;&gt;"))</f>
        <v/>
      </c>
      <c r="E3116" t="str">
        <f>IF(A3116="","",IF(SUMPRODUCT((Ввод!$F$12:$F$31&lt;&gt;"")*(Ввод!$F$12:$F$31&lt;=A3116)*(Ввод!$G$12:$G$31&gt;=A3116))&gt;0,1,0))</f>
        <v/>
      </c>
      <c r="G3116" t="str">
        <f t="shared" si="97"/>
        <v/>
      </c>
    </row>
    <row r="3117" spans="1:7" x14ac:dyDescent="0.3">
      <c r="A3117" s="21" t="str">
        <f>IF(A3116="","",IF(A3116+1&gt;Ввод!$B$4,"",A3116+1))</f>
        <v/>
      </c>
      <c r="B3117" s="23" t="str">
        <f>IF(A3117="","",IFERROR(INDEX(Ввод!$B$12:$B$71,MATCH(A3117,Ввод!$D$12:$D$71,1)),""))</f>
        <v/>
      </c>
      <c r="C3117" t="str">
        <f t="shared" si="96"/>
        <v/>
      </c>
      <c r="D3117" t="str">
        <f>IF(A3117="","",SUMIFS(Акты!$D$5:$D$16,Акты!$E$5:$E$16,"&lt;="&amp;A3117)-SUMIFS(Оплаты!$B$6:$B$505,Оплаты!$A$6:$A$505,"&lt;"&amp;A3117,Оплаты!$D$6:$D$505,"&lt;&gt;"))</f>
        <v/>
      </c>
      <c r="E3117" t="str">
        <f>IF(A3117="","",IF(SUMPRODUCT((Ввод!$F$12:$F$31&lt;&gt;"")*(Ввод!$F$12:$F$31&lt;=A3117)*(Ввод!$G$12:$G$31&gt;=A3117))&gt;0,1,0))</f>
        <v/>
      </c>
      <c r="G3117" t="str">
        <f t="shared" si="97"/>
        <v/>
      </c>
    </row>
    <row r="3118" spans="1:7" x14ac:dyDescent="0.3">
      <c r="A3118" s="21" t="str">
        <f>IF(A3117="","",IF(A3117+1&gt;Ввод!$B$4,"",A3117+1))</f>
        <v/>
      </c>
      <c r="B3118" s="23" t="str">
        <f>IF(A3118="","",IFERROR(INDEX(Ввод!$B$12:$B$71,MATCH(A3118,Ввод!$D$12:$D$71,1)),""))</f>
        <v/>
      </c>
      <c r="C3118" t="str">
        <f t="shared" si="96"/>
        <v/>
      </c>
      <c r="D3118" t="str">
        <f>IF(A3118="","",SUMIFS(Акты!$D$5:$D$16,Акты!$E$5:$E$16,"&lt;="&amp;A3118)-SUMIFS(Оплаты!$B$6:$B$505,Оплаты!$A$6:$A$505,"&lt;"&amp;A3118,Оплаты!$D$6:$D$505,"&lt;&gt;"))</f>
        <v/>
      </c>
      <c r="E3118" t="str">
        <f>IF(A3118="","",IF(SUMPRODUCT((Ввод!$F$12:$F$31&lt;&gt;"")*(Ввод!$F$12:$F$31&lt;=A3118)*(Ввод!$G$12:$G$31&gt;=A3118))&gt;0,1,0))</f>
        <v/>
      </c>
      <c r="G3118" t="str">
        <f t="shared" si="97"/>
        <v/>
      </c>
    </row>
    <row r="3119" spans="1:7" x14ac:dyDescent="0.3">
      <c r="A3119" s="21" t="str">
        <f>IF(A3118="","",IF(A3118+1&gt;Ввод!$B$4,"",A3118+1))</f>
        <v/>
      </c>
      <c r="B3119" s="23" t="str">
        <f>IF(A3119="","",IFERROR(INDEX(Ввод!$B$12:$B$71,MATCH(A3119,Ввод!$D$12:$D$71,1)),""))</f>
        <v/>
      </c>
      <c r="C3119" t="str">
        <f t="shared" si="96"/>
        <v/>
      </c>
      <c r="D3119" t="str">
        <f>IF(A3119="","",SUMIFS(Акты!$D$5:$D$16,Акты!$E$5:$E$16,"&lt;="&amp;A3119)-SUMIFS(Оплаты!$B$6:$B$505,Оплаты!$A$6:$A$505,"&lt;"&amp;A3119,Оплаты!$D$6:$D$505,"&lt;&gt;"))</f>
        <v/>
      </c>
      <c r="E3119" t="str">
        <f>IF(A3119="","",IF(SUMPRODUCT((Ввод!$F$12:$F$31&lt;&gt;"")*(Ввод!$F$12:$F$31&lt;=A3119)*(Ввод!$G$12:$G$31&gt;=A3119))&gt;0,1,0))</f>
        <v/>
      </c>
      <c r="G3119" t="str">
        <f t="shared" si="97"/>
        <v/>
      </c>
    </row>
    <row r="3120" spans="1:7" x14ac:dyDescent="0.3">
      <c r="A3120" s="21" t="str">
        <f>IF(A3119="","",IF(A3119+1&gt;Ввод!$B$4,"",A3119+1))</f>
        <v/>
      </c>
      <c r="B3120" s="23" t="str">
        <f>IF(A3120="","",IFERROR(INDEX(Ввод!$B$12:$B$71,MATCH(A3120,Ввод!$D$12:$D$71,1)),""))</f>
        <v/>
      </c>
      <c r="C3120" t="str">
        <f t="shared" si="96"/>
        <v/>
      </c>
      <c r="D3120" t="str">
        <f>IF(A3120="","",SUMIFS(Акты!$D$5:$D$16,Акты!$E$5:$E$16,"&lt;="&amp;A3120)-SUMIFS(Оплаты!$B$6:$B$505,Оплаты!$A$6:$A$505,"&lt;"&amp;A3120,Оплаты!$D$6:$D$505,"&lt;&gt;"))</f>
        <v/>
      </c>
      <c r="E3120" t="str">
        <f>IF(A3120="","",IF(SUMPRODUCT((Ввод!$F$12:$F$31&lt;&gt;"")*(Ввод!$F$12:$F$31&lt;=A3120)*(Ввод!$G$12:$G$31&gt;=A3120))&gt;0,1,0))</f>
        <v/>
      </c>
      <c r="G3120" t="str">
        <f t="shared" si="97"/>
        <v/>
      </c>
    </row>
    <row r="3121" spans="1:7" x14ac:dyDescent="0.3">
      <c r="A3121" s="21" t="str">
        <f>IF(A3120="","",IF(A3120+1&gt;Ввод!$B$4,"",A3120+1))</f>
        <v/>
      </c>
      <c r="B3121" s="23" t="str">
        <f>IF(A3121="","",IFERROR(INDEX(Ввод!$B$12:$B$71,MATCH(A3121,Ввод!$D$12:$D$71,1)),""))</f>
        <v/>
      </c>
      <c r="C3121" t="str">
        <f t="shared" si="96"/>
        <v/>
      </c>
      <c r="D3121" t="str">
        <f>IF(A3121="","",SUMIFS(Акты!$D$5:$D$16,Акты!$E$5:$E$16,"&lt;="&amp;A3121)-SUMIFS(Оплаты!$B$6:$B$505,Оплаты!$A$6:$A$505,"&lt;"&amp;A3121,Оплаты!$D$6:$D$505,"&lt;&gt;"))</f>
        <v/>
      </c>
      <c r="E3121" t="str">
        <f>IF(A3121="","",IF(SUMPRODUCT((Ввод!$F$12:$F$31&lt;&gt;"")*(Ввод!$F$12:$F$31&lt;=A3121)*(Ввод!$G$12:$G$31&gt;=A3121))&gt;0,1,0))</f>
        <v/>
      </c>
      <c r="G3121" t="str">
        <f t="shared" si="97"/>
        <v/>
      </c>
    </row>
    <row r="3122" spans="1:7" x14ac:dyDescent="0.3">
      <c r="A3122" s="21" t="str">
        <f>IF(A3121="","",IF(A3121+1&gt;Ввод!$B$4,"",A3121+1))</f>
        <v/>
      </c>
      <c r="B3122" s="23" t="str">
        <f>IF(A3122="","",IFERROR(INDEX(Ввод!$B$12:$B$71,MATCH(A3122,Ввод!$D$12:$D$71,1)),""))</f>
        <v/>
      </c>
      <c r="C3122" t="str">
        <f t="shared" si="96"/>
        <v/>
      </c>
      <c r="D3122" t="str">
        <f>IF(A3122="","",SUMIFS(Акты!$D$5:$D$16,Акты!$E$5:$E$16,"&lt;="&amp;A3122)-SUMIFS(Оплаты!$B$6:$B$505,Оплаты!$A$6:$A$505,"&lt;"&amp;A3122,Оплаты!$D$6:$D$505,"&lt;&gt;"))</f>
        <v/>
      </c>
      <c r="E3122" t="str">
        <f>IF(A3122="","",IF(SUMPRODUCT((Ввод!$F$12:$F$31&lt;&gt;"")*(Ввод!$F$12:$F$31&lt;=A3122)*(Ввод!$G$12:$G$31&gt;=A3122))&gt;0,1,0))</f>
        <v/>
      </c>
      <c r="G3122" t="str">
        <f t="shared" si="97"/>
        <v/>
      </c>
    </row>
    <row r="3123" spans="1:7" x14ac:dyDescent="0.3">
      <c r="A3123" s="21" t="str">
        <f>IF(A3122="","",IF(A3122+1&gt;Ввод!$B$4,"",A3122+1))</f>
        <v/>
      </c>
      <c r="B3123" s="23" t="str">
        <f>IF(A3123="","",IFERROR(INDEX(Ввод!$B$12:$B$71,MATCH(A3123,Ввод!$D$12:$D$71,1)),""))</f>
        <v/>
      </c>
      <c r="C3123" t="str">
        <f t="shared" si="96"/>
        <v/>
      </c>
      <c r="D3123" t="str">
        <f>IF(A3123="","",SUMIFS(Акты!$D$5:$D$16,Акты!$E$5:$E$16,"&lt;="&amp;A3123)-SUMIFS(Оплаты!$B$6:$B$505,Оплаты!$A$6:$A$505,"&lt;"&amp;A3123,Оплаты!$D$6:$D$505,"&lt;&gt;"))</f>
        <v/>
      </c>
      <c r="E3123" t="str">
        <f>IF(A3123="","",IF(SUMPRODUCT((Ввод!$F$12:$F$31&lt;&gt;"")*(Ввод!$F$12:$F$31&lt;=A3123)*(Ввод!$G$12:$G$31&gt;=A3123))&gt;0,1,0))</f>
        <v/>
      </c>
      <c r="G3123" t="str">
        <f t="shared" si="97"/>
        <v/>
      </c>
    </row>
    <row r="3124" spans="1:7" x14ac:dyDescent="0.3">
      <c r="A3124" s="21" t="str">
        <f>IF(A3123="","",IF(A3123+1&gt;Ввод!$B$4,"",A3123+1))</f>
        <v/>
      </c>
      <c r="B3124" s="23" t="str">
        <f>IF(A3124="","",IFERROR(INDEX(Ввод!$B$12:$B$71,MATCH(A3124,Ввод!$D$12:$D$71,1)),""))</f>
        <v/>
      </c>
      <c r="C3124" t="str">
        <f t="shared" si="96"/>
        <v/>
      </c>
      <c r="D3124" t="str">
        <f>IF(A3124="","",SUMIFS(Акты!$D$5:$D$16,Акты!$E$5:$E$16,"&lt;="&amp;A3124)-SUMIFS(Оплаты!$B$6:$B$505,Оплаты!$A$6:$A$505,"&lt;"&amp;A3124,Оплаты!$D$6:$D$505,"&lt;&gt;"))</f>
        <v/>
      </c>
      <c r="E3124" t="str">
        <f>IF(A3124="","",IF(SUMPRODUCT((Ввод!$F$12:$F$31&lt;&gt;"")*(Ввод!$F$12:$F$31&lt;=A3124)*(Ввод!$G$12:$G$31&gt;=A3124))&gt;0,1,0))</f>
        <v/>
      </c>
      <c r="G3124" t="str">
        <f t="shared" si="97"/>
        <v/>
      </c>
    </row>
    <row r="3125" spans="1:7" x14ac:dyDescent="0.3">
      <c r="A3125" s="21" t="str">
        <f>IF(A3124="","",IF(A3124+1&gt;Ввод!$B$4,"",A3124+1))</f>
        <v/>
      </c>
      <c r="B3125" s="23" t="str">
        <f>IF(A3125="","",IFERROR(INDEX(Ввод!$B$12:$B$71,MATCH(A3125,Ввод!$D$12:$D$71,1)),""))</f>
        <v/>
      </c>
      <c r="C3125" t="str">
        <f t="shared" si="96"/>
        <v/>
      </c>
      <c r="D3125" t="str">
        <f>IF(A3125="","",SUMIFS(Акты!$D$5:$D$16,Акты!$E$5:$E$16,"&lt;="&amp;A3125)-SUMIFS(Оплаты!$B$6:$B$505,Оплаты!$A$6:$A$505,"&lt;"&amp;A3125,Оплаты!$D$6:$D$505,"&lt;&gt;"))</f>
        <v/>
      </c>
      <c r="E3125" t="str">
        <f>IF(A3125="","",IF(SUMPRODUCT((Ввод!$F$12:$F$31&lt;&gt;"")*(Ввод!$F$12:$F$31&lt;=A3125)*(Ввод!$G$12:$G$31&gt;=A3125))&gt;0,1,0))</f>
        <v/>
      </c>
      <c r="G3125" t="str">
        <f t="shared" si="97"/>
        <v/>
      </c>
    </row>
    <row r="3126" spans="1:7" x14ac:dyDescent="0.3">
      <c r="A3126" s="21" t="str">
        <f>IF(A3125="","",IF(A3125+1&gt;Ввод!$B$4,"",A3125+1))</f>
        <v/>
      </c>
      <c r="B3126" s="23" t="str">
        <f>IF(A3126="","",IFERROR(INDEX(Ввод!$B$12:$B$71,MATCH(A3126,Ввод!$D$12:$D$71,1)),""))</f>
        <v/>
      </c>
      <c r="C3126" t="str">
        <f t="shared" si="96"/>
        <v/>
      </c>
      <c r="D3126" t="str">
        <f>IF(A3126="","",SUMIFS(Акты!$D$5:$D$16,Акты!$E$5:$E$16,"&lt;="&amp;A3126)-SUMIFS(Оплаты!$B$6:$B$505,Оплаты!$A$6:$A$505,"&lt;"&amp;A3126,Оплаты!$D$6:$D$505,"&lt;&gt;"))</f>
        <v/>
      </c>
      <c r="E3126" t="str">
        <f>IF(A3126="","",IF(SUMPRODUCT((Ввод!$F$12:$F$31&lt;&gt;"")*(Ввод!$F$12:$F$31&lt;=A3126)*(Ввод!$G$12:$G$31&gt;=A3126))&gt;0,1,0))</f>
        <v/>
      </c>
      <c r="G3126" t="str">
        <f t="shared" si="97"/>
        <v/>
      </c>
    </row>
    <row r="3127" spans="1:7" x14ac:dyDescent="0.3">
      <c r="A3127" s="21" t="str">
        <f>IF(A3126="","",IF(A3126+1&gt;Ввод!$B$4,"",A3126+1))</f>
        <v/>
      </c>
      <c r="B3127" s="23" t="str">
        <f>IF(A3127="","",IFERROR(INDEX(Ввод!$B$12:$B$71,MATCH(A3127,Ввод!$D$12:$D$71,1)),""))</f>
        <v/>
      </c>
      <c r="C3127" t="str">
        <f t="shared" si="96"/>
        <v/>
      </c>
      <c r="D3127" t="str">
        <f>IF(A3127="","",SUMIFS(Акты!$D$5:$D$16,Акты!$E$5:$E$16,"&lt;="&amp;A3127)-SUMIFS(Оплаты!$B$6:$B$505,Оплаты!$A$6:$A$505,"&lt;"&amp;A3127,Оплаты!$D$6:$D$505,"&lt;&gt;"))</f>
        <v/>
      </c>
      <c r="E3127" t="str">
        <f>IF(A3127="","",IF(SUMPRODUCT((Ввод!$F$12:$F$31&lt;&gt;"")*(Ввод!$F$12:$F$31&lt;=A3127)*(Ввод!$G$12:$G$31&gt;=A3127))&gt;0,1,0))</f>
        <v/>
      </c>
      <c r="G3127" t="str">
        <f t="shared" si="97"/>
        <v/>
      </c>
    </row>
    <row r="3128" spans="1:7" x14ac:dyDescent="0.3">
      <c r="A3128" s="21" t="str">
        <f>IF(A3127="","",IF(A3127+1&gt;Ввод!$B$4,"",A3127+1))</f>
        <v/>
      </c>
      <c r="B3128" s="23" t="str">
        <f>IF(A3128="","",IFERROR(INDEX(Ввод!$B$12:$B$71,MATCH(A3128,Ввод!$D$12:$D$71,1)),""))</f>
        <v/>
      </c>
      <c r="C3128" t="str">
        <f t="shared" si="96"/>
        <v/>
      </c>
      <c r="D3128" t="str">
        <f>IF(A3128="","",SUMIFS(Акты!$D$5:$D$16,Акты!$E$5:$E$16,"&lt;="&amp;A3128)-SUMIFS(Оплаты!$B$6:$B$505,Оплаты!$A$6:$A$505,"&lt;"&amp;A3128,Оплаты!$D$6:$D$505,"&lt;&gt;"))</f>
        <v/>
      </c>
      <c r="E3128" t="str">
        <f>IF(A3128="","",IF(SUMPRODUCT((Ввод!$F$12:$F$31&lt;&gt;"")*(Ввод!$F$12:$F$31&lt;=A3128)*(Ввод!$G$12:$G$31&gt;=A3128))&gt;0,1,0))</f>
        <v/>
      </c>
      <c r="G3128" t="str">
        <f t="shared" si="97"/>
        <v/>
      </c>
    </row>
    <row r="3129" spans="1:7" x14ac:dyDescent="0.3">
      <c r="A3129" s="21" t="str">
        <f>IF(A3128="","",IF(A3128+1&gt;Ввод!$B$4,"",A3128+1))</f>
        <v/>
      </c>
      <c r="B3129" s="23" t="str">
        <f>IF(A3129="","",IFERROR(INDEX(Ввод!$B$12:$B$71,MATCH(A3129,Ввод!$D$12:$D$71,1)),""))</f>
        <v/>
      </c>
      <c r="C3129" t="str">
        <f t="shared" si="96"/>
        <v/>
      </c>
      <c r="D3129" t="str">
        <f>IF(A3129="","",SUMIFS(Акты!$D$5:$D$16,Акты!$E$5:$E$16,"&lt;="&amp;A3129)-SUMIFS(Оплаты!$B$6:$B$505,Оплаты!$A$6:$A$505,"&lt;"&amp;A3129,Оплаты!$D$6:$D$505,"&lt;&gt;"))</f>
        <v/>
      </c>
      <c r="E3129" t="str">
        <f>IF(A3129="","",IF(SUMPRODUCT((Ввод!$F$12:$F$31&lt;&gt;"")*(Ввод!$F$12:$F$31&lt;=A3129)*(Ввод!$G$12:$G$31&gt;=A3129))&gt;0,1,0))</f>
        <v/>
      </c>
      <c r="G3129" t="str">
        <f t="shared" si="97"/>
        <v/>
      </c>
    </row>
    <row r="3130" spans="1:7" x14ac:dyDescent="0.3">
      <c r="A3130" s="21" t="str">
        <f>IF(A3129="","",IF(A3129+1&gt;Ввод!$B$4,"",A3129+1))</f>
        <v/>
      </c>
      <c r="B3130" s="23" t="str">
        <f>IF(A3130="","",IFERROR(INDEX(Ввод!$B$12:$B$71,MATCH(A3130,Ввод!$D$12:$D$71,1)),""))</f>
        <v/>
      </c>
      <c r="C3130" t="str">
        <f t="shared" si="96"/>
        <v/>
      </c>
      <c r="D3130" t="str">
        <f>IF(A3130="","",SUMIFS(Акты!$D$5:$D$16,Акты!$E$5:$E$16,"&lt;="&amp;A3130)-SUMIFS(Оплаты!$B$6:$B$505,Оплаты!$A$6:$A$505,"&lt;"&amp;A3130,Оплаты!$D$6:$D$505,"&lt;&gt;"))</f>
        <v/>
      </c>
      <c r="E3130" t="str">
        <f>IF(A3130="","",IF(SUMPRODUCT((Ввод!$F$12:$F$31&lt;&gt;"")*(Ввод!$F$12:$F$31&lt;=A3130)*(Ввод!$G$12:$G$31&gt;=A3130))&gt;0,1,0))</f>
        <v/>
      </c>
      <c r="G3130" t="str">
        <f t="shared" si="97"/>
        <v/>
      </c>
    </row>
    <row r="3131" spans="1:7" x14ac:dyDescent="0.3">
      <c r="A3131" s="21" t="str">
        <f>IF(A3130="","",IF(A3130+1&gt;Ввод!$B$4,"",A3130+1))</f>
        <v/>
      </c>
      <c r="B3131" s="23" t="str">
        <f>IF(A3131="","",IFERROR(INDEX(Ввод!$B$12:$B$71,MATCH(A3131,Ввод!$D$12:$D$71,1)),""))</f>
        <v/>
      </c>
      <c r="C3131" t="str">
        <f t="shared" si="96"/>
        <v/>
      </c>
      <c r="D3131" t="str">
        <f>IF(A3131="","",SUMIFS(Акты!$D$5:$D$16,Акты!$E$5:$E$16,"&lt;="&amp;A3131)-SUMIFS(Оплаты!$B$6:$B$505,Оплаты!$A$6:$A$505,"&lt;"&amp;A3131,Оплаты!$D$6:$D$505,"&lt;&gt;"))</f>
        <v/>
      </c>
      <c r="E3131" t="str">
        <f>IF(A3131="","",IF(SUMPRODUCT((Ввод!$F$12:$F$31&lt;&gt;"")*(Ввод!$F$12:$F$31&lt;=A3131)*(Ввод!$G$12:$G$31&gt;=A3131))&gt;0,1,0))</f>
        <v/>
      </c>
      <c r="G3131" t="str">
        <f t="shared" si="97"/>
        <v/>
      </c>
    </row>
    <row r="3132" spans="1:7" x14ac:dyDescent="0.3">
      <c r="A3132" s="21" t="str">
        <f>IF(A3131="","",IF(A3131+1&gt;Ввод!$B$4,"",A3131+1))</f>
        <v/>
      </c>
      <c r="B3132" s="23" t="str">
        <f>IF(A3132="","",IFERROR(INDEX(Ввод!$B$12:$B$71,MATCH(A3132,Ввод!$D$12:$D$71,1)),""))</f>
        <v/>
      </c>
      <c r="C3132" t="str">
        <f t="shared" si="96"/>
        <v/>
      </c>
      <c r="D3132" t="str">
        <f>IF(A3132="","",SUMIFS(Акты!$D$5:$D$16,Акты!$E$5:$E$16,"&lt;="&amp;A3132)-SUMIFS(Оплаты!$B$6:$B$505,Оплаты!$A$6:$A$505,"&lt;"&amp;A3132,Оплаты!$D$6:$D$505,"&lt;&gt;"))</f>
        <v/>
      </c>
      <c r="E3132" t="str">
        <f>IF(A3132="","",IF(SUMPRODUCT((Ввод!$F$12:$F$31&lt;&gt;"")*(Ввод!$F$12:$F$31&lt;=A3132)*(Ввод!$G$12:$G$31&gt;=A3132))&gt;0,1,0))</f>
        <v/>
      </c>
      <c r="G3132" t="str">
        <f t="shared" si="97"/>
        <v/>
      </c>
    </row>
    <row r="3133" spans="1:7" x14ac:dyDescent="0.3">
      <c r="A3133" s="21" t="str">
        <f>IF(A3132="","",IF(A3132+1&gt;Ввод!$B$4,"",A3132+1))</f>
        <v/>
      </c>
      <c r="B3133" s="23" t="str">
        <f>IF(A3133="","",IFERROR(INDEX(Ввод!$B$12:$B$71,MATCH(A3133,Ввод!$D$12:$D$71,1)),""))</f>
        <v/>
      </c>
      <c r="C3133" t="str">
        <f t="shared" si="96"/>
        <v/>
      </c>
      <c r="D3133" t="str">
        <f>IF(A3133="","",SUMIFS(Акты!$D$5:$D$16,Акты!$E$5:$E$16,"&lt;="&amp;A3133)-SUMIFS(Оплаты!$B$6:$B$505,Оплаты!$A$6:$A$505,"&lt;"&amp;A3133,Оплаты!$D$6:$D$505,"&lt;&gt;"))</f>
        <v/>
      </c>
      <c r="E3133" t="str">
        <f>IF(A3133="","",IF(SUMPRODUCT((Ввод!$F$12:$F$31&lt;&gt;"")*(Ввод!$F$12:$F$31&lt;=A3133)*(Ввод!$G$12:$G$31&gt;=A3133))&gt;0,1,0))</f>
        <v/>
      </c>
      <c r="G3133" t="str">
        <f t="shared" si="97"/>
        <v/>
      </c>
    </row>
    <row r="3134" spans="1:7" x14ac:dyDescent="0.3">
      <c r="A3134" s="21" t="str">
        <f>IF(A3133="","",IF(A3133+1&gt;Ввод!$B$4,"",A3133+1))</f>
        <v/>
      </c>
      <c r="B3134" s="23" t="str">
        <f>IF(A3134="","",IFERROR(INDEX(Ввод!$B$12:$B$71,MATCH(A3134,Ввод!$D$12:$D$71,1)),""))</f>
        <v/>
      </c>
      <c r="C3134" t="str">
        <f t="shared" si="96"/>
        <v/>
      </c>
      <c r="D3134" t="str">
        <f>IF(A3134="","",SUMIFS(Акты!$D$5:$D$16,Акты!$E$5:$E$16,"&lt;="&amp;A3134)-SUMIFS(Оплаты!$B$6:$B$505,Оплаты!$A$6:$A$505,"&lt;"&amp;A3134,Оплаты!$D$6:$D$505,"&lt;&gt;"))</f>
        <v/>
      </c>
      <c r="E3134" t="str">
        <f>IF(A3134="","",IF(SUMPRODUCT((Ввод!$F$12:$F$31&lt;&gt;"")*(Ввод!$F$12:$F$31&lt;=A3134)*(Ввод!$G$12:$G$31&gt;=A3134))&gt;0,1,0))</f>
        <v/>
      </c>
      <c r="G3134" t="str">
        <f t="shared" si="97"/>
        <v/>
      </c>
    </row>
    <row r="3135" spans="1:7" x14ac:dyDescent="0.3">
      <c r="A3135" s="21" t="str">
        <f>IF(A3134="","",IF(A3134+1&gt;Ввод!$B$4,"",A3134+1))</f>
        <v/>
      </c>
      <c r="B3135" s="23" t="str">
        <f>IF(A3135="","",IFERROR(INDEX(Ввод!$B$12:$B$71,MATCH(A3135,Ввод!$D$12:$D$71,1)),""))</f>
        <v/>
      </c>
      <c r="C3135" t="str">
        <f t="shared" si="96"/>
        <v/>
      </c>
      <c r="D3135" t="str">
        <f>IF(A3135="","",SUMIFS(Акты!$D$5:$D$16,Акты!$E$5:$E$16,"&lt;="&amp;A3135)-SUMIFS(Оплаты!$B$6:$B$505,Оплаты!$A$6:$A$505,"&lt;"&amp;A3135,Оплаты!$D$6:$D$505,"&lt;&gt;"))</f>
        <v/>
      </c>
      <c r="E3135" t="str">
        <f>IF(A3135="","",IF(SUMPRODUCT((Ввод!$F$12:$F$31&lt;&gt;"")*(Ввод!$F$12:$F$31&lt;=A3135)*(Ввод!$G$12:$G$31&gt;=A3135))&gt;0,1,0))</f>
        <v/>
      </c>
      <c r="G3135" t="str">
        <f t="shared" si="97"/>
        <v/>
      </c>
    </row>
    <row r="3136" spans="1:7" x14ac:dyDescent="0.3">
      <c r="A3136" s="21" t="str">
        <f>IF(A3135="","",IF(A3135+1&gt;Ввод!$B$4,"",A3135+1))</f>
        <v/>
      </c>
      <c r="B3136" s="23" t="str">
        <f>IF(A3136="","",IFERROR(INDEX(Ввод!$B$12:$B$71,MATCH(A3136,Ввод!$D$12:$D$71,1)),""))</f>
        <v/>
      </c>
      <c r="C3136" t="str">
        <f t="shared" si="96"/>
        <v/>
      </c>
      <c r="D3136" t="str">
        <f>IF(A3136="","",SUMIFS(Акты!$D$5:$D$16,Акты!$E$5:$E$16,"&lt;="&amp;A3136)-SUMIFS(Оплаты!$B$6:$B$505,Оплаты!$A$6:$A$505,"&lt;"&amp;A3136,Оплаты!$D$6:$D$505,"&lt;&gt;"))</f>
        <v/>
      </c>
      <c r="E3136" t="str">
        <f>IF(A3136="","",IF(SUMPRODUCT((Ввод!$F$12:$F$31&lt;&gt;"")*(Ввод!$F$12:$F$31&lt;=A3136)*(Ввод!$G$12:$G$31&gt;=A3136))&gt;0,1,0))</f>
        <v/>
      </c>
      <c r="G3136" t="str">
        <f t="shared" si="97"/>
        <v/>
      </c>
    </row>
    <row r="3137" spans="1:7" x14ac:dyDescent="0.3">
      <c r="A3137" s="21" t="str">
        <f>IF(A3136="","",IF(A3136+1&gt;Ввод!$B$4,"",A3136+1))</f>
        <v/>
      </c>
      <c r="B3137" s="23" t="str">
        <f>IF(A3137="","",IFERROR(INDEX(Ввод!$B$12:$B$71,MATCH(A3137,Ввод!$D$12:$D$71,1)),""))</f>
        <v/>
      </c>
      <c r="C3137" t="str">
        <f t="shared" si="96"/>
        <v/>
      </c>
      <c r="D3137" t="str">
        <f>IF(A3137="","",SUMIFS(Акты!$D$5:$D$16,Акты!$E$5:$E$16,"&lt;="&amp;A3137)-SUMIFS(Оплаты!$B$6:$B$505,Оплаты!$A$6:$A$505,"&lt;"&amp;A3137,Оплаты!$D$6:$D$505,"&lt;&gt;"))</f>
        <v/>
      </c>
      <c r="E3137" t="str">
        <f>IF(A3137="","",IF(SUMPRODUCT((Ввод!$F$12:$F$31&lt;&gt;"")*(Ввод!$F$12:$F$31&lt;=A3137)*(Ввод!$G$12:$G$31&gt;=A3137))&gt;0,1,0))</f>
        <v/>
      </c>
      <c r="G3137" t="str">
        <f t="shared" si="97"/>
        <v/>
      </c>
    </row>
    <row r="3138" spans="1:7" x14ac:dyDescent="0.3">
      <c r="A3138" s="21" t="str">
        <f>IF(A3137="","",IF(A3137+1&gt;Ввод!$B$4,"",A3137+1))</f>
        <v/>
      </c>
      <c r="B3138" s="23" t="str">
        <f>IF(A3138="","",IFERROR(INDEX(Ввод!$B$12:$B$71,MATCH(A3138,Ввод!$D$12:$D$71,1)),""))</f>
        <v/>
      </c>
      <c r="C3138" t="str">
        <f t="shared" ref="C3138:C3201" si="98">IF(A3138="","",DATE(YEAR(A3138),12,31)-DATE(YEAR(A3138),1,1)+1)</f>
        <v/>
      </c>
      <c r="D3138" t="str">
        <f>IF(A3138="","",SUMIFS(Акты!$D$5:$D$16,Акты!$E$5:$E$16,"&lt;="&amp;A3138)-SUMIFS(Оплаты!$B$6:$B$505,Оплаты!$A$6:$A$505,"&lt;"&amp;A3138,Оплаты!$D$6:$D$505,"&lt;&gt;"))</f>
        <v/>
      </c>
      <c r="E3138" t="str">
        <f>IF(A3138="","",IF(SUMPRODUCT((Ввод!$F$12:$F$31&lt;&gt;"")*(Ввод!$F$12:$F$31&lt;=A3138)*(Ввод!$G$12:$G$31&gt;=A3138))&gt;0,1,0))</f>
        <v/>
      </c>
      <c r="G3138" t="str">
        <f t="shared" si="97"/>
        <v/>
      </c>
    </row>
    <row r="3139" spans="1:7" x14ac:dyDescent="0.3">
      <c r="A3139" s="21" t="str">
        <f>IF(A3138="","",IF(A3138+1&gt;Ввод!$B$4,"",A3138+1))</f>
        <v/>
      </c>
      <c r="B3139" s="23" t="str">
        <f>IF(A3139="","",IFERROR(INDEX(Ввод!$B$12:$B$71,MATCH(A3139,Ввод!$D$12:$D$71,1)),""))</f>
        <v/>
      </c>
      <c r="C3139" t="str">
        <f t="shared" si="98"/>
        <v/>
      </c>
      <c r="D3139" t="str">
        <f>IF(A3139="","",SUMIFS(Акты!$D$5:$D$16,Акты!$E$5:$E$16,"&lt;="&amp;A3139)-SUMIFS(Оплаты!$B$6:$B$505,Оплаты!$A$6:$A$505,"&lt;"&amp;A3139,Оплаты!$D$6:$D$505,"&lt;&gt;"))</f>
        <v/>
      </c>
      <c r="E3139" t="str">
        <f>IF(A3139="","",IF(SUMPRODUCT((Ввод!$F$12:$F$31&lt;&gt;"")*(Ввод!$F$12:$F$31&lt;=A3139)*(Ввод!$G$12:$G$31&gt;=A3139))&gt;0,1,0))</f>
        <v/>
      </c>
      <c r="G3139" t="str">
        <f t="shared" ref="G3139:G3202" si="99">IF(A3139="","",IF(OR(B3139&lt;&gt;B3138,C3139&lt;&gt;C3138,E3139&lt;&gt;E3138),G3138+1,G3138))</f>
        <v/>
      </c>
    </row>
    <row r="3140" spans="1:7" x14ac:dyDescent="0.3">
      <c r="A3140" s="21" t="str">
        <f>IF(A3139="","",IF(A3139+1&gt;Ввод!$B$4,"",A3139+1))</f>
        <v/>
      </c>
      <c r="B3140" s="23" t="str">
        <f>IF(A3140="","",IFERROR(INDEX(Ввод!$B$12:$B$71,MATCH(A3140,Ввод!$D$12:$D$71,1)),""))</f>
        <v/>
      </c>
      <c r="C3140" t="str">
        <f t="shared" si="98"/>
        <v/>
      </c>
      <c r="D3140" t="str">
        <f>IF(A3140="","",SUMIFS(Акты!$D$5:$D$16,Акты!$E$5:$E$16,"&lt;="&amp;A3140)-SUMIFS(Оплаты!$B$6:$B$505,Оплаты!$A$6:$A$505,"&lt;"&amp;A3140,Оплаты!$D$6:$D$505,"&lt;&gt;"))</f>
        <v/>
      </c>
      <c r="E3140" t="str">
        <f>IF(A3140="","",IF(SUMPRODUCT((Ввод!$F$12:$F$31&lt;&gt;"")*(Ввод!$F$12:$F$31&lt;=A3140)*(Ввод!$G$12:$G$31&gt;=A3140))&gt;0,1,0))</f>
        <v/>
      </c>
      <c r="G3140" t="str">
        <f t="shared" si="99"/>
        <v/>
      </c>
    </row>
    <row r="3141" spans="1:7" x14ac:dyDescent="0.3">
      <c r="A3141" s="21" t="str">
        <f>IF(A3140="","",IF(A3140+1&gt;Ввод!$B$4,"",A3140+1))</f>
        <v/>
      </c>
      <c r="B3141" s="23" t="str">
        <f>IF(A3141="","",IFERROR(INDEX(Ввод!$B$12:$B$71,MATCH(A3141,Ввод!$D$12:$D$71,1)),""))</f>
        <v/>
      </c>
      <c r="C3141" t="str">
        <f t="shared" si="98"/>
        <v/>
      </c>
      <c r="D3141" t="str">
        <f>IF(A3141="","",SUMIFS(Акты!$D$5:$D$16,Акты!$E$5:$E$16,"&lt;="&amp;A3141)-SUMIFS(Оплаты!$B$6:$B$505,Оплаты!$A$6:$A$505,"&lt;"&amp;A3141,Оплаты!$D$6:$D$505,"&lt;&gt;"))</f>
        <v/>
      </c>
      <c r="E3141" t="str">
        <f>IF(A3141="","",IF(SUMPRODUCT((Ввод!$F$12:$F$31&lt;&gt;"")*(Ввод!$F$12:$F$31&lt;=A3141)*(Ввод!$G$12:$G$31&gt;=A3141))&gt;0,1,0))</f>
        <v/>
      </c>
      <c r="G3141" t="str">
        <f t="shared" si="99"/>
        <v/>
      </c>
    </row>
    <row r="3142" spans="1:7" x14ac:dyDescent="0.3">
      <c r="A3142" s="21" t="str">
        <f>IF(A3141="","",IF(A3141+1&gt;Ввод!$B$4,"",A3141+1))</f>
        <v/>
      </c>
      <c r="B3142" s="23" t="str">
        <f>IF(A3142="","",IFERROR(INDEX(Ввод!$B$12:$B$71,MATCH(A3142,Ввод!$D$12:$D$71,1)),""))</f>
        <v/>
      </c>
      <c r="C3142" t="str">
        <f t="shared" si="98"/>
        <v/>
      </c>
      <c r="D3142" t="str">
        <f>IF(A3142="","",SUMIFS(Акты!$D$5:$D$16,Акты!$E$5:$E$16,"&lt;="&amp;A3142)-SUMIFS(Оплаты!$B$6:$B$505,Оплаты!$A$6:$A$505,"&lt;"&amp;A3142,Оплаты!$D$6:$D$505,"&lt;&gt;"))</f>
        <v/>
      </c>
      <c r="E3142" t="str">
        <f>IF(A3142="","",IF(SUMPRODUCT((Ввод!$F$12:$F$31&lt;&gt;"")*(Ввод!$F$12:$F$31&lt;=A3142)*(Ввод!$G$12:$G$31&gt;=A3142))&gt;0,1,0))</f>
        <v/>
      </c>
      <c r="G3142" t="str">
        <f t="shared" si="99"/>
        <v/>
      </c>
    </row>
    <row r="3143" spans="1:7" x14ac:dyDescent="0.3">
      <c r="A3143" s="21" t="str">
        <f>IF(A3142="","",IF(A3142+1&gt;Ввод!$B$4,"",A3142+1))</f>
        <v/>
      </c>
      <c r="B3143" s="23" t="str">
        <f>IF(A3143="","",IFERROR(INDEX(Ввод!$B$12:$B$71,MATCH(A3143,Ввод!$D$12:$D$71,1)),""))</f>
        <v/>
      </c>
      <c r="C3143" t="str">
        <f t="shared" si="98"/>
        <v/>
      </c>
      <c r="D3143" t="str">
        <f>IF(A3143="","",SUMIFS(Акты!$D$5:$D$16,Акты!$E$5:$E$16,"&lt;="&amp;A3143)-SUMIFS(Оплаты!$B$6:$B$505,Оплаты!$A$6:$A$505,"&lt;"&amp;A3143,Оплаты!$D$6:$D$505,"&lt;&gt;"))</f>
        <v/>
      </c>
      <c r="E3143" t="str">
        <f>IF(A3143="","",IF(SUMPRODUCT((Ввод!$F$12:$F$31&lt;&gt;"")*(Ввод!$F$12:$F$31&lt;=A3143)*(Ввод!$G$12:$G$31&gt;=A3143))&gt;0,1,0))</f>
        <v/>
      </c>
      <c r="G3143" t="str">
        <f t="shared" si="99"/>
        <v/>
      </c>
    </row>
    <row r="3144" spans="1:7" x14ac:dyDescent="0.3">
      <c r="A3144" s="21" t="str">
        <f>IF(A3143="","",IF(A3143+1&gt;Ввод!$B$4,"",A3143+1))</f>
        <v/>
      </c>
      <c r="B3144" s="23" t="str">
        <f>IF(A3144="","",IFERROR(INDEX(Ввод!$B$12:$B$71,MATCH(A3144,Ввод!$D$12:$D$71,1)),""))</f>
        <v/>
      </c>
      <c r="C3144" t="str">
        <f t="shared" si="98"/>
        <v/>
      </c>
      <c r="D3144" t="str">
        <f>IF(A3144="","",SUMIFS(Акты!$D$5:$D$16,Акты!$E$5:$E$16,"&lt;="&amp;A3144)-SUMIFS(Оплаты!$B$6:$B$505,Оплаты!$A$6:$A$505,"&lt;"&amp;A3144,Оплаты!$D$6:$D$505,"&lt;&gt;"))</f>
        <v/>
      </c>
      <c r="E3144" t="str">
        <f>IF(A3144="","",IF(SUMPRODUCT((Ввод!$F$12:$F$31&lt;&gt;"")*(Ввод!$F$12:$F$31&lt;=A3144)*(Ввод!$G$12:$G$31&gt;=A3144))&gt;0,1,0))</f>
        <v/>
      </c>
      <c r="G3144" t="str">
        <f t="shared" si="99"/>
        <v/>
      </c>
    </row>
    <row r="3145" spans="1:7" x14ac:dyDescent="0.3">
      <c r="A3145" s="21" t="str">
        <f>IF(A3144="","",IF(A3144+1&gt;Ввод!$B$4,"",A3144+1))</f>
        <v/>
      </c>
      <c r="B3145" s="23" t="str">
        <f>IF(A3145="","",IFERROR(INDEX(Ввод!$B$12:$B$71,MATCH(A3145,Ввод!$D$12:$D$71,1)),""))</f>
        <v/>
      </c>
      <c r="C3145" t="str">
        <f t="shared" si="98"/>
        <v/>
      </c>
      <c r="D3145" t="str">
        <f>IF(A3145="","",SUMIFS(Акты!$D$5:$D$16,Акты!$E$5:$E$16,"&lt;="&amp;A3145)-SUMIFS(Оплаты!$B$6:$B$505,Оплаты!$A$6:$A$505,"&lt;"&amp;A3145,Оплаты!$D$6:$D$505,"&lt;&gt;"))</f>
        <v/>
      </c>
      <c r="E3145" t="str">
        <f>IF(A3145="","",IF(SUMPRODUCT((Ввод!$F$12:$F$31&lt;&gt;"")*(Ввод!$F$12:$F$31&lt;=A3145)*(Ввод!$G$12:$G$31&gt;=A3145))&gt;0,1,0))</f>
        <v/>
      </c>
      <c r="G3145" t="str">
        <f t="shared" si="99"/>
        <v/>
      </c>
    </row>
    <row r="3146" spans="1:7" x14ac:dyDescent="0.3">
      <c r="A3146" s="21" t="str">
        <f>IF(A3145="","",IF(A3145+1&gt;Ввод!$B$4,"",A3145+1))</f>
        <v/>
      </c>
      <c r="B3146" s="23" t="str">
        <f>IF(A3146="","",IFERROR(INDEX(Ввод!$B$12:$B$71,MATCH(A3146,Ввод!$D$12:$D$71,1)),""))</f>
        <v/>
      </c>
      <c r="C3146" t="str">
        <f t="shared" si="98"/>
        <v/>
      </c>
      <c r="D3146" t="str">
        <f>IF(A3146="","",SUMIFS(Акты!$D$5:$D$16,Акты!$E$5:$E$16,"&lt;="&amp;A3146)-SUMIFS(Оплаты!$B$6:$B$505,Оплаты!$A$6:$A$505,"&lt;"&amp;A3146,Оплаты!$D$6:$D$505,"&lt;&gt;"))</f>
        <v/>
      </c>
      <c r="E3146" t="str">
        <f>IF(A3146="","",IF(SUMPRODUCT((Ввод!$F$12:$F$31&lt;&gt;"")*(Ввод!$F$12:$F$31&lt;=A3146)*(Ввод!$G$12:$G$31&gt;=A3146))&gt;0,1,0))</f>
        <v/>
      </c>
      <c r="G3146" t="str">
        <f t="shared" si="99"/>
        <v/>
      </c>
    </row>
    <row r="3147" spans="1:7" x14ac:dyDescent="0.3">
      <c r="A3147" s="21" t="str">
        <f>IF(A3146="","",IF(A3146+1&gt;Ввод!$B$4,"",A3146+1))</f>
        <v/>
      </c>
      <c r="B3147" s="23" t="str">
        <f>IF(A3147="","",IFERROR(INDEX(Ввод!$B$12:$B$71,MATCH(A3147,Ввод!$D$12:$D$71,1)),""))</f>
        <v/>
      </c>
      <c r="C3147" t="str">
        <f t="shared" si="98"/>
        <v/>
      </c>
      <c r="D3147" t="str">
        <f>IF(A3147="","",SUMIFS(Акты!$D$5:$D$16,Акты!$E$5:$E$16,"&lt;="&amp;A3147)-SUMIFS(Оплаты!$B$6:$B$505,Оплаты!$A$6:$A$505,"&lt;"&amp;A3147,Оплаты!$D$6:$D$505,"&lt;&gt;"))</f>
        <v/>
      </c>
      <c r="E3147" t="str">
        <f>IF(A3147="","",IF(SUMPRODUCT((Ввод!$F$12:$F$31&lt;&gt;"")*(Ввод!$F$12:$F$31&lt;=A3147)*(Ввод!$G$12:$G$31&gt;=A3147))&gt;0,1,0))</f>
        <v/>
      </c>
      <c r="G3147" t="str">
        <f t="shared" si="99"/>
        <v/>
      </c>
    </row>
    <row r="3148" spans="1:7" x14ac:dyDescent="0.3">
      <c r="A3148" s="21" t="str">
        <f>IF(A3147="","",IF(A3147+1&gt;Ввод!$B$4,"",A3147+1))</f>
        <v/>
      </c>
      <c r="B3148" s="23" t="str">
        <f>IF(A3148="","",IFERROR(INDEX(Ввод!$B$12:$B$71,MATCH(A3148,Ввод!$D$12:$D$71,1)),""))</f>
        <v/>
      </c>
      <c r="C3148" t="str">
        <f t="shared" si="98"/>
        <v/>
      </c>
      <c r="D3148" t="str">
        <f>IF(A3148="","",SUMIFS(Акты!$D$5:$D$16,Акты!$E$5:$E$16,"&lt;="&amp;A3148)-SUMIFS(Оплаты!$B$6:$B$505,Оплаты!$A$6:$A$505,"&lt;"&amp;A3148,Оплаты!$D$6:$D$505,"&lt;&gt;"))</f>
        <v/>
      </c>
      <c r="E3148" t="str">
        <f>IF(A3148="","",IF(SUMPRODUCT((Ввод!$F$12:$F$31&lt;&gt;"")*(Ввод!$F$12:$F$31&lt;=A3148)*(Ввод!$G$12:$G$31&gt;=A3148))&gt;0,1,0))</f>
        <v/>
      </c>
      <c r="G3148" t="str">
        <f t="shared" si="99"/>
        <v/>
      </c>
    </row>
    <row r="3149" spans="1:7" x14ac:dyDescent="0.3">
      <c r="A3149" s="21" t="str">
        <f>IF(A3148="","",IF(A3148+1&gt;Ввод!$B$4,"",A3148+1))</f>
        <v/>
      </c>
      <c r="B3149" s="23" t="str">
        <f>IF(A3149="","",IFERROR(INDEX(Ввод!$B$12:$B$71,MATCH(A3149,Ввод!$D$12:$D$71,1)),""))</f>
        <v/>
      </c>
      <c r="C3149" t="str">
        <f t="shared" si="98"/>
        <v/>
      </c>
      <c r="D3149" t="str">
        <f>IF(A3149="","",SUMIFS(Акты!$D$5:$D$16,Акты!$E$5:$E$16,"&lt;="&amp;A3149)-SUMIFS(Оплаты!$B$6:$B$505,Оплаты!$A$6:$A$505,"&lt;"&amp;A3149,Оплаты!$D$6:$D$505,"&lt;&gt;"))</f>
        <v/>
      </c>
      <c r="E3149" t="str">
        <f>IF(A3149="","",IF(SUMPRODUCT((Ввод!$F$12:$F$31&lt;&gt;"")*(Ввод!$F$12:$F$31&lt;=A3149)*(Ввод!$G$12:$G$31&gt;=A3149))&gt;0,1,0))</f>
        <v/>
      </c>
      <c r="G3149" t="str">
        <f t="shared" si="99"/>
        <v/>
      </c>
    </row>
    <row r="3150" spans="1:7" x14ac:dyDescent="0.3">
      <c r="A3150" s="21" t="str">
        <f>IF(A3149="","",IF(A3149+1&gt;Ввод!$B$4,"",A3149+1))</f>
        <v/>
      </c>
      <c r="B3150" s="23" t="str">
        <f>IF(A3150="","",IFERROR(INDEX(Ввод!$B$12:$B$71,MATCH(A3150,Ввод!$D$12:$D$71,1)),""))</f>
        <v/>
      </c>
      <c r="C3150" t="str">
        <f t="shared" si="98"/>
        <v/>
      </c>
      <c r="D3150" t="str">
        <f>IF(A3150="","",SUMIFS(Акты!$D$5:$D$16,Акты!$E$5:$E$16,"&lt;="&amp;A3150)-SUMIFS(Оплаты!$B$6:$B$505,Оплаты!$A$6:$A$505,"&lt;"&amp;A3150,Оплаты!$D$6:$D$505,"&lt;&gt;"))</f>
        <v/>
      </c>
      <c r="E3150" t="str">
        <f>IF(A3150="","",IF(SUMPRODUCT((Ввод!$F$12:$F$31&lt;&gt;"")*(Ввод!$F$12:$F$31&lt;=A3150)*(Ввод!$G$12:$G$31&gt;=A3150))&gt;0,1,0))</f>
        <v/>
      </c>
      <c r="G3150" t="str">
        <f t="shared" si="99"/>
        <v/>
      </c>
    </row>
    <row r="3151" spans="1:7" x14ac:dyDescent="0.3">
      <c r="A3151" s="21" t="str">
        <f>IF(A3150="","",IF(A3150+1&gt;Ввод!$B$4,"",A3150+1))</f>
        <v/>
      </c>
      <c r="B3151" s="23" t="str">
        <f>IF(A3151="","",IFERROR(INDEX(Ввод!$B$12:$B$71,MATCH(A3151,Ввод!$D$12:$D$71,1)),""))</f>
        <v/>
      </c>
      <c r="C3151" t="str">
        <f t="shared" si="98"/>
        <v/>
      </c>
      <c r="D3151" t="str">
        <f>IF(A3151="","",SUMIFS(Акты!$D$5:$D$16,Акты!$E$5:$E$16,"&lt;="&amp;A3151)-SUMIFS(Оплаты!$B$6:$B$505,Оплаты!$A$6:$A$505,"&lt;"&amp;A3151,Оплаты!$D$6:$D$505,"&lt;&gt;"))</f>
        <v/>
      </c>
      <c r="E3151" t="str">
        <f>IF(A3151="","",IF(SUMPRODUCT((Ввод!$F$12:$F$31&lt;&gt;"")*(Ввод!$F$12:$F$31&lt;=A3151)*(Ввод!$G$12:$G$31&gt;=A3151))&gt;0,1,0))</f>
        <v/>
      </c>
      <c r="G3151" t="str">
        <f t="shared" si="99"/>
        <v/>
      </c>
    </row>
    <row r="3152" spans="1:7" x14ac:dyDescent="0.3">
      <c r="A3152" s="21" t="str">
        <f>IF(A3151="","",IF(A3151+1&gt;Ввод!$B$4,"",A3151+1))</f>
        <v/>
      </c>
      <c r="B3152" s="23" t="str">
        <f>IF(A3152="","",IFERROR(INDEX(Ввод!$B$12:$B$71,MATCH(A3152,Ввод!$D$12:$D$71,1)),""))</f>
        <v/>
      </c>
      <c r="C3152" t="str">
        <f t="shared" si="98"/>
        <v/>
      </c>
      <c r="D3152" t="str">
        <f>IF(A3152="","",SUMIFS(Акты!$D$5:$D$16,Акты!$E$5:$E$16,"&lt;="&amp;A3152)-SUMIFS(Оплаты!$B$6:$B$505,Оплаты!$A$6:$A$505,"&lt;"&amp;A3152,Оплаты!$D$6:$D$505,"&lt;&gt;"))</f>
        <v/>
      </c>
      <c r="E3152" t="str">
        <f>IF(A3152="","",IF(SUMPRODUCT((Ввод!$F$12:$F$31&lt;&gt;"")*(Ввод!$F$12:$F$31&lt;=A3152)*(Ввод!$G$12:$G$31&gt;=A3152))&gt;0,1,0))</f>
        <v/>
      </c>
      <c r="G3152" t="str">
        <f t="shared" si="99"/>
        <v/>
      </c>
    </row>
    <row r="3153" spans="1:7" x14ac:dyDescent="0.3">
      <c r="A3153" s="21" t="str">
        <f>IF(A3152="","",IF(A3152+1&gt;Ввод!$B$4,"",A3152+1))</f>
        <v/>
      </c>
      <c r="B3153" s="23" t="str">
        <f>IF(A3153="","",IFERROR(INDEX(Ввод!$B$12:$B$71,MATCH(A3153,Ввод!$D$12:$D$71,1)),""))</f>
        <v/>
      </c>
      <c r="C3153" t="str">
        <f t="shared" si="98"/>
        <v/>
      </c>
      <c r="D3153" t="str">
        <f>IF(A3153="","",SUMIFS(Акты!$D$5:$D$16,Акты!$E$5:$E$16,"&lt;="&amp;A3153)-SUMIFS(Оплаты!$B$6:$B$505,Оплаты!$A$6:$A$505,"&lt;"&amp;A3153,Оплаты!$D$6:$D$505,"&lt;&gt;"))</f>
        <v/>
      </c>
      <c r="E3153" t="str">
        <f>IF(A3153="","",IF(SUMPRODUCT((Ввод!$F$12:$F$31&lt;&gt;"")*(Ввод!$F$12:$F$31&lt;=A3153)*(Ввод!$G$12:$G$31&gt;=A3153))&gt;0,1,0))</f>
        <v/>
      </c>
      <c r="G3153" t="str">
        <f t="shared" si="99"/>
        <v/>
      </c>
    </row>
    <row r="3154" spans="1:7" x14ac:dyDescent="0.3">
      <c r="A3154" s="21" t="str">
        <f>IF(A3153="","",IF(A3153+1&gt;Ввод!$B$4,"",A3153+1))</f>
        <v/>
      </c>
      <c r="B3154" s="23" t="str">
        <f>IF(A3154="","",IFERROR(INDEX(Ввод!$B$12:$B$71,MATCH(A3154,Ввод!$D$12:$D$71,1)),""))</f>
        <v/>
      </c>
      <c r="C3154" t="str">
        <f t="shared" si="98"/>
        <v/>
      </c>
      <c r="D3154" t="str">
        <f>IF(A3154="","",SUMIFS(Акты!$D$5:$D$16,Акты!$E$5:$E$16,"&lt;="&amp;A3154)-SUMIFS(Оплаты!$B$6:$B$505,Оплаты!$A$6:$A$505,"&lt;"&amp;A3154,Оплаты!$D$6:$D$505,"&lt;&gt;"))</f>
        <v/>
      </c>
      <c r="E3154" t="str">
        <f>IF(A3154="","",IF(SUMPRODUCT((Ввод!$F$12:$F$31&lt;&gt;"")*(Ввод!$F$12:$F$31&lt;=A3154)*(Ввод!$G$12:$G$31&gt;=A3154))&gt;0,1,0))</f>
        <v/>
      </c>
      <c r="G3154" t="str">
        <f t="shared" si="99"/>
        <v/>
      </c>
    </row>
    <row r="3155" spans="1:7" x14ac:dyDescent="0.3">
      <c r="A3155" s="21" t="str">
        <f>IF(A3154="","",IF(A3154+1&gt;Ввод!$B$4,"",A3154+1))</f>
        <v/>
      </c>
      <c r="B3155" s="23" t="str">
        <f>IF(A3155="","",IFERROR(INDEX(Ввод!$B$12:$B$71,MATCH(A3155,Ввод!$D$12:$D$71,1)),""))</f>
        <v/>
      </c>
      <c r="C3155" t="str">
        <f t="shared" si="98"/>
        <v/>
      </c>
      <c r="D3155" t="str">
        <f>IF(A3155="","",SUMIFS(Акты!$D$5:$D$16,Акты!$E$5:$E$16,"&lt;="&amp;A3155)-SUMIFS(Оплаты!$B$6:$B$505,Оплаты!$A$6:$A$505,"&lt;"&amp;A3155,Оплаты!$D$6:$D$505,"&lt;&gt;"))</f>
        <v/>
      </c>
      <c r="E3155" t="str">
        <f>IF(A3155="","",IF(SUMPRODUCT((Ввод!$F$12:$F$31&lt;&gt;"")*(Ввод!$F$12:$F$31&lt;=A3155)*(Ввод!$G$12:$G$31&gt;=A3155))&gt;0,1,0))</f>
        <v/>
      </c>
      <c r="G3155" t="str">
        <f t="shared" si="99"/>
        <v/>
      </c>
    </row>
    <row r="3156" spans="1:7" x14ac:dyDescent="0.3">
      <c r="A3156" s="21" t="str">
        <f>IF(A3155="","",IF(A3155+1&gt;Ввод!$B$4,"",A3155+1))</f>
        <v/>
      </c>
      <c r="B3156" s="23" t="str">
        <f>IF(A3156="","",IFERROR(INDEX(Ввод!$B$12:$B$71,MATCH(A3156,Ввод!$D$12:$D$71,1)),""))</f>
        <v/>
      </c>
      <c r="C3156" t="str">
        <f t="shared" si="98"/>
        <v/>
      </c>
      <c r="D3156" t="str">
        <f>IF(A3156="","",SUMIFS(Акты!$D$5:$D$16,Акты!$E$5:$E$16,"&lt;="&amp;A3156)-SUMIFS(Оплаты!$B$6:$B$505,Оплаты!$A$6:$A$505,"&lt;"&amp;A3156,Оплаты!$D$6:$D$505,"&lt;&gt;"))</f>
        <v/>
      </c>
      <c r="E3156" t="str">
        <f>IF(A3156="","",IF(SUMPRODUCT((Ввод!$F$12:$F$31&lt;&gt;"")*(Ввод!$F$12:$F$31&lt;=A3156)*(Ввод!$G$12:$G$31&gt;=A3156))&gt;0,1,0))</f>
        <v/>
      </c>
      <c r="G3156" t="str">
        <f t="shared" si="99"/>
        <v/>
      </c>
    </row>
    <row r="3157" spans="1:7" x14ac:dyDescent="0.3">
      <c r="A3157" s="21" t="str">
        <f>IF(A3156="","",IF(A3156+1&gt;Ввод!$B$4,"",A3156+1))</f>
        <v/>
      </c>
      <c r="B3157" s="23" t="str">
        <f>IF(A3157="","",IFERROR(INDEX(Ввод!$B$12:$B$71,MATCH(A3157,Ввод!$D$12:$D$71,1)),""))</f>
        <v/>
      </c>
      <c r="C3157" t="str">
        <f t="shared" si="98"/>
        <v/>
      </c>
      <c r="D3157" t="str">
        <f>IF(A3157="","",SUMIFS(Акты!$D$5:$D$16,Акты!$E$5:$E$16,"&lt;="&amp;A3157)-SUMIFS(Оплаты!$B$6:$B$505,Оплаты!$A$6:$A$505,"&lt;"&amp;A3157,Оплаты!$D$6:$D$505,"&lt;&gt;"))</f>
        <v/>
      </c>
      <c r="E3157" t="str">
        <f>IF(A3157="","",IF(SUMPRODUCT((Ввод!$F$12:$F$31&lt;&gt;"")*(Ввод!$F$12:$F$31&lt;=A3157)*(Ввод!$G$12:$G$31&gt;=A3157))&gt;0,1,0))</f>
        <v/>
      </c>
      <c r="G3157" t="str">
        <f t="shared" si="99"/>
        <v/>
      </c>
    </row>
    <row r="3158" spans="1:7" x14ac:dyDescent="0.3">
      <c r="A3158" s="21" t="str">
        <f>IF(A3157="","",IF(A3157+1&gt;Ввод!$B$4,"",A3157+1))</f>
        <v/>
      </c>
      <c r="B3158" s="23" t="str">
        <f>IF(A3158="","",IFERROR(INDEX(Ввод!$B$12:$B$71,MATCH(A3158,Ввод!$D$12:$D$71,1)),""))</f>
        <v/>
      </c>
      <c r="C3158" t="str">
        <f t="shared" si="98"/>
        <v/>
      </c>
      <c r="D3158" t="str">
        <f>IF(A3158="","",SUMIFS(Акты!$D$5:$D$16,Акты!$E$5:$E$16,"&lt;="&amp;A3158)-SUMIFS(Оплаты!$B$6:$B$505,Оплаты!$A$6:$A$505,"&lt;"&amp;A3158,Оплаты!$D$6:$D$505,"&lt;&gt;"))</f>
        <v/>
      </c>
      <c r="E3158" t="str">
        <f>IF(A3158="","",IF(SUMPRODUCT((Ввод!$F$12:$F$31&lt;&gt;"")*(Ввод!$F$12:$F$31&lt;=A3158)*(Ввод!$G$12:$G$31&gt;=A3158))&gt;0,1,0))</f>
        <v/>
      </c>
      <c r="G3158" t="str">
        <f t="shared" si="99"/>
        <v/>
      </c>
    </row>
    <row r="3159" spans="1:7" x14ac:dyDescent="0.3">
      <c r="A3159" s="21" t="str">
        <f>IF(A3158="","",IF(A3158+1&gt;Ввод!$B$4,"",A3158+1))</f>
        <v/>
      </c>
      <c r="B3159" s="23" t="str">
        <f>IF(A3159="","",IFERROR(INDEX(Ввод!$B$12:$B$71,MATCH(A3159,Ввод!$D$12:$D$71,1)),""))</f>
        <v/>
      </c>
      <c r="C3159" t="str">
        <f t="shared" si="98"/>
        <v/>
      </c>
      <c r="D3159" t="str">
        <f>IF(A3159="","",SUMIFS(Акты!$D$5:$D$16,Акты!$E$5:$E$16,"&lt;="&amp;A3159)-SUMIFS(Оплаты!$B$6:$B$505,Оплаты!$A$6:$A$505,"&lt;"&amp;A3159,Оплаты!$D$6:$D$505,"&lt;&gt;"))</f>
        <v/>
      </c>
      <c r="E3159" t="str">
        <f>IF(A3159="","",IF(SUMPRODUCT((Ввод!$F$12:$F$31&lt;&gt;"")*(Ввод!$F$12:$F$31&lt;=A3159)*(Ввод!$G$12:$G$31&gt;=A3159))&gt;0,1,0))</f>
        <v/>
      </c>
      <c r="G3159" t="str">
        <f t="shared" si="99"/>
        <v/>
      </c>
    </row>
    <row r="3160" spans="1:7" x14ac:dyDescent="0.3">
      <c r="A3160" s="21" t="str">
        <f>IF(A3159="","",IF(A3159+1&gt;Ввод!$B$4,"",A3159+1))</f>
        <v/>
      </c>
      <c r="B3160" s="23" t="str">
        <f>IF(A3160="","",IFERROR(INDEX(Ввод!$B$12:$B$71,MATCH(A3160,Ввод!$D$12:$D$71,1)),""))</f>
        <v/>
      </c>
      <c r="C3160" t="str">
        <f t="shared" si="98"/>
        <v/>
      </c>
      <c r="D3160" t="str">
        <f>IF(A3160="","",SUMIFS(Акты!$D$5:$D$16,Акты!$E$5:$E$16,"&lt;="&amp;A3160)-SUMIFS(Оплаты!$B$6:$B$505,Оплаты!$A$6:$A$505,"&lt;"&amp;A3160,Оплаты!$D$6:$D$505,"&lt;&gt;"))</f>
        <v/>
      </c>
      <c r="E3160" t="str">
        <f>IF(A3160="","",IF(SUMPRODUCT((Ввод!$F$12:$F$31&lt;&gt;"")*(Ввод!$F$12:$F$31&lt;=A3160)*(Ввод!$G$12:$G$31&gt;=A3160))&gt;0,1,0))</f>
        <v/>
      </c>
      <c r="G3160" t="str">
        <f t="shared" si="99"/>
        <v/>
      </c>
    </row>
    <row r="3161" spans="1:7" x14ac:dyDescent="0.3">
      <c r="A3161" s="21" t="str">
        <f>IF(A3160="","",IF(A3160+1&gt;Ввод!$B$4,"",A3160+1))</f>
        <v/>
      </c>
      <c r="B3161" s="23" t="str">
        <f>IF(A3161="","",IFERROR(INDEX(Ввод!$B$12:$B$71,MATCH(A3161,Ввод!$D$12:$D$71,1)),""))</f>
        <v/>
      </c>
      <c r="C3161" t="str">
        <f t="shared" si="98"/>
        <v/>
      </c>
      <c r="D3161" t="str">
        <f>IF(A3161="","",SUMIFS(Акты!$D$5:$D$16,Акты!$E$5:$E$16,"&lt;="&amp;A3161)-SUMIFS(Оплаты!$B$6:$B$505,Оплаты!$A$6:$A$505,"&lt;"&amp;A3161,Оплаты!$D$6:$D$505,"&lt;&gt;"))</f>
        <v/>
      </c>
      <c r="E3161" t="str">
        <f>IF(A3161="","",IF(SUMPRODUCT((Ввод!$F$12:$F$31&lt;&gt;"")*(Ввод!$F$12:$F$31&lt;=A3161)*(Ввод!$G$12:$G$31&gt;=A3161))&gt;0,1,0))</f>
        <v/>
      </c>
      <c r="G3161" t="str">
        <f t="shared" si="99"/>
        <v/>
      </c>
    </row>
    <row r="3162" spans="1:7" x14ac:dyDescent="0.3">
      <c r="A3162" s="21" t="str">
        <f>IF(A3161="","",IF(A3161+1&gt;Ввод!$B$4,"",A3161+1))</f>
        <v/>
      </c>
      <c r="B3162" s="23" t="str">
        <f>IF(A3162="","",IFERROR(INDEX(Ввод!$B$12:$B$71,MATCH(A3162,Ввод!$D$12:$D$71,1)),""))</f>
        <v/>
      </c>
      <c r="C3162" t="str">
        <f t="shared" si="98"/>
        <v/>
      </c>
      <c r="D3162" t="str">
        <f>IF(A3162="","",SUMIFS(Акты!$D$5:$D$16,Акты!$E$5:$E$16,"&lt;="&amp;A3162)-SUMIFS(Оплаты!$B$6:$B$505,Оплаты!$A$6:$A$505,"&lt;"&amp;A3162,Оплаты!$D$6:$D$505,"&lt;&gt;"))</f>
        <v/>
      </c>
      <c r="E3162" t="str">
        <f>IF(A3162="","",IF(SUMPRODUCT((Ввод!$F$12:$F$31&lt;&gt;"")*(Ввод!$F$12:$F$31&lt;=A3162)*(Ввод!$G$12:$G$31&gt;=A3162))&gt;0,1,0))</f>
        <v/>
      </c>
      <c r="G3162" t="str">
        <f t="shared" si="99"/>
        <v/>
      </c>
    </row>
    <row r="3163" spans="1:7" x14ac:dyDescent="0.3">
      <c r="A3163" s="21" t="str">
        <f>IF(A3162="","",IF(A3162+1&gt;Ввод!$B$4,"",A3162+1))</f>
        <v/>
      </c>
      <c r="B3163" s="23" t="str">
        <f>IF(A3163="","",IFERROR(INDEX(Ввод!$B$12:$B$71,MATCH(A3163,Ввод!$D$12:$D$71,1)),""))</f>
        <v/>
      </c>
      <c r="C3163" t="str">
        <f t="shared" si="98"/>
        <v/>
      </c>
      <c r="D3163" t="str">
        <f>IF(A3163="","",SUMIFS(Акты!$D$5:$D$16,Акты!$E$5:$E$16,"&lt;="&amp;A3163)-SUMIFS(Оплаты!$B$6:$B$505,Оплаты!$A$6:$A$505,"&lt;"&amp;A3163,Оплаты!$D$6:$D$505,"&lt;&gt;"))</f>
        <v/>
      </c>
      <c r="E3163" t="str">
        <f>IF(A3163="","",IF(SUMPRODUCT((Ввод!$F$12:$F$31&lt;&gt;"")*(Ввод!$F$12:$F$31&lt;=A3163)*(Ввод!$G$12:$G$31&gt;=A3163))&gt;0,1,0))</f>
        <v/>
      </c>
      <c r="G3163" t="str">
        <f t="shared" si="99"/>
        <v/>
      </c>
    </row>
    <row r="3164" spans="1:7" x14ac:dyDescent="0.3">
      <c r="A3164" s="21" t="str">
        <f>IF(A3163="","",IF(A3163+1&gt;Ввод!$B$4,"",A3163+1))</f>
        <v/>
      </c>
      <c r="B3164" s="23" t="str">
        <f>IF(A3164="","",IFERROR(INDEX(Ввод!$B$12:$B$71,MATCH(A3164,Ввод!$D$12:$D$71,1)),""))</f>
        <v/>
      </c>
      <c r="C3164" t="str">
        <f t="shared" si="98"/>
        <v/>
      </c>
      <c r="D3164" t="str">
        <f>IF(A3164="","",SUMIFS(Акты!$D$5:$D$16,Акты!$E$5:$E$16,"&lt;="&amp;A3164)-SUMIFS(Оплаты!$B$6:$B$505,Оплаты!$A$6:$A$505,"&lt;"&amp;A3164,Оплаты!$D$6:$D$505,"&lt;&gt;"))</f>
        <v/>
      </c>
      <c r="E3164" t="str">
        <f>IF(A3164="","",IF(SUMPRODUCT((Ввод!$F$12:$F$31&lt;&gt;"")*(Ввод!$F$12:$F$31&lt;=A3164)*(Ввод!$G$12:$G$31&gt;=A3164))&gt;0,1,0))</f>
        <v/>
      </c>
      <c r="G3164" t="str">
        <f t="shared" si="99"/>
        <v/>
      </c>
    </row>
    <row r="3165" spans="1:7" x14ac:dyDescent="0.3">
      <c r="A3165" s="21" t="str">
        <f>IF(A3164="","",IF(A3164+1&gt;Ввод!$B$4,"",A3164+1))</f>
        <v/>
      </c>
      <c r="B3165" s="23" t="str">
        <f>IF(A3165="","",IFERROR(INDEX(Ввод!$B$12:$B$71,MATCH(A3165,Ввод!$D$12:$D$71,1)),""))</f>
        <v/>
      </c>
      <c r="C3165" t="str">
        <f t="shared" si="98"/>
        <v/>
      </c>
      <c r="D3165" t="str">
        <f>IF(A3165="","",SUMIFS(Акты!$D$5:$D$16,Акты!$E$5:$E$16,"&lt;="&amp;A3165)-SUMIFS(Оплаты!$B$6:$B$505,Оплаты!$A$6:$A$505,"&lt;"&amp;A3165,Оплаты!$D$6:$D$505,"&lt;&gt;"))</f>
        <v/>
      </c>
      <c r="E3165" t="str">
        <f>IF(A3165="","",IF(SUMPRODUCT((Ввод!$F$12:$F$31&lt;&gt;"")*(Ввод!$F$12:$F$31&lt;=A3165)*(Ввод!$G$12:$G$31&gt;=A3165))&gt;0,1,0))</f>
        <v/>
      </c>
      <c r="G3165" t="str">
        <f t="shared" si="99"/>
        <v/>
      </c>
    </row>
    <row r="3166" spans="1:7" x14ac:dyDescent="0.3">
      <c r="A3166" s="21" t="str">
        <f>IF(A3165="","",IF(A3165+1&gt;Ввод!$B$4,"",A3165+1))</f>
        <v/>
      </c>
      <c r="B3166" s="23" t="str">
        <f>IF(A3166="","",IFERROR(INDEX(Ввод!$B$12:$B$71,MATCH(A3166,Ввод!$D$12:$D$71,1)),""))</f>
        <v/>
      </c>
      <c r="C3166" t="str">
        <f t="shared" si="98"/>
        <v/>
      </c>
      <c r="D3166" t="str">
        <f>IF(A3166="","",SUMIFS(Акты!$D$5:$D$16,Акты!$E$5:$E$16,"&lt;="&amp;A3166)-SUMIFS(Оплаты!$B$6:$B$505,Оплаты!$A$6:$A$505,"&lt;"&amp;A3166,Оплаты!$D$6:$D$505,"&lt;&gt;"))</f>
        <v/>
      </c>
      <c r="E3166" t="str">
        <f>IF(A3166="","",IF(SUMPRODUCT((Ввод!$F$12:$F$31&lt;&gt;"")*(Ввод!$F$12:$F$31&lt;=A3166)*(Ввод!$G$12:$G$31&gt;=A3166))&gt;0,1,0))</f>
        <v/>
      </c>
      <c r="G3166" t="str">
        <f t="shared" si="99"/>
        <v/>
      </c>
    </row>
    <row r="3167" spans="1:7" x14ac:dyDescent="0.3">
      <c r="A3167" s="21" t="str">
        <f>IF(A3166="","",IF(A3166+1&gt;Ввод!$B$4,"",A3166+1))</f>
        <v/>
      </c>
      <c r="B3167" s="23" t="str">
        <f>IF(A3167="","",IFERROR(INDEX(Ввод!$B$12:$B$71,MATCH(A3167,Ввод!$D$12:$D$71,1)),""))</f>
        <v/>
      </c>
      <c r="C3167" t="str">
        <f t="shared" si="98"/>
        <v/>
      </c>
      <c r="D3167" t="str">
        <f>IF(A3167="","",SUMIFS(Акты!$D$5:$D$16,Акты!$E$5:$E$16,"&lt;="&amp;A3167)-SUMIFS(Оплаты!$B$6:$B$505,Оплаты!$A$6:$A$505,"&lt;"&amp;A3167,Оплаты!$D$6:$D$505,"&lt;&gt;"))</f>
        <v/>
      </c>
      <c r="E3167" t="str">
        <f>IF(A3167="","",IF(SUMPRODUCT((Ввод!$F$12:$F$31&lt;&gt;"")*(Ввод!$F$12:$F$31&lt;=A3167)*(Ввод!$G$12:$G$31&gt;=A3167))&gt;0,1,0))</f>
        <v/>
      </c>
      <c r="G3167" t="str">
        <f t="shared" si="99"/>
        <v/>
      </c>
    </row>
    <row r="3168" spans="1:7" x14ac:dyDescent="0.3">
      <c r="A3168" s="21" t="str">
        <f>IF(A3167="","",IF(A3167+1&gt;Ввод!$B$4,"",A3167+1))</f>
        <v/>
      </c>
      <c r="B3168" s="23" t="str">
        <f>IF(A3168="","",IFERROR(INDEX(Ввод!$B$12:$B$71,MATCH(A3168,Ввод!$D$12:$D$71,1)),""))</f>
        <v/>
      </c>
      <c r="C3168" t="str">
        <f t="shared" si="98"/>
        <v/>
      </c>
      <c r="D3168" t="str">
        <f>IF(A3168="","",SUMIFS(Акты!$D$5:$D$16,Акты!$E$5:$E$16,"&lt;="&amp;A3168)-SUMIFS(Оплаты!$B$6:$B$505,Оплаты!$A$6:$A$505,"&lt;"&amp;A3168,Оплаты!$D$6:$D$505,"&lt;&gt;"))</f>
        <v/>
      </c>
      <c r="E3168" t="str">
        <f>IF(A3168="","",IF(SUMPRODUCT((Ввод!$F$12:$F$31&lt;&gt;"")*(Ввод!$F$12:$F$31&lt;=A3168)*(Ввод!$G$12:$G$31&gt;=A3168))&gt;0,1,0))</f>
        <v/>
      </c>
      <c r="G3168" t="str">
        <f t="shared" si="99"/>
        <v/>
      </c>
    </row>
    <row r="3169" spans="1:7" x14ac:dyDescent="0.3">
      <c r="A3169" s="21" t="str">
        <f>IF(A3168="","",IF(A3168+1&gt;Ввод!$B$4,"",A3168+1))</f>
        <v/>
      </c>
      <c r="B3169" s="23" t="str">
        <f>IF(A3169="","",IFERROR(INDEX(Ввод!$B$12:$B$71,MATCH(A3169,Ввод!$D$12:$D$71,1)),""))</f>
        <v/>
      </c>
      <c r="C3169" t="str">
        <f t="shared" si="98"/>
        <v/>
      </c>
      <c r="D3169" t="str">
        <f>IF(A3169="","",SUMIFS(Акты!$D$5:$D$16,Акты!$E$5:$E$16,"&lt;="&amp;A3169)-SUMIFS(Оплаты!$B$6:$B$505,Оплаты!$A$6:$A$505,"&lt;"&amp;A3169,Оплаты!$D$6:$D$505,"&lt;&gt;"))</f>
        <v/>
      </c>
      <c r="E3169" t="str">
        <f>IF(A3169="","",IF(SUMPRODUCT((Ввод!$F$12:$F$31&lt;&gt;"")*(Ввод!$F$12:$F$31&lt;=A3169)*(Ввод!$G$12:$G$31&gt;=A3169))&gt;0,1,0))</f>
        <v/>
      </c>
      <c r="G3169" t="str">
        <f t="shared" si="99"/>
        <v/>
      </c>
    </row>
    <row r="3170" spans="1:7" x14ac:dyDescent="0.3">
      <c r="A3170" s="21" t="str">
        <f>IF(A3169="","",IF(A3169+1&gt;Ввод!$B$4,"",A3169+1))</f>
        <v/>
      </c>
      <c r="B3170" s="23" t="str">
        <f>IF(A3170="","",IFERROR(INDEX(Ввод!$B$12:$B$71,MATCH(A3170,Ввод!$D$12:$D$71,1)),""))</f>
        <v/>
      </c>
      <c r="C3170" t="str">
        <f t="shared" si="98"/>
        <v/>
      </c>
      <c r="D3170" t="str">
        <f>IF(A3170="","",SUMIFS(Акты!$D$5:$D$16,Акты!$E$5:$E$16,"&lt;="&amp;A3170)-SUMIFS(Оплаты!$B$6:$B$505,Оплаты!$A$6:$A$505,"&lt;"&amp;A3170,Оплаты!$D$6:$D$505,"&lt;&gt;"))</f>
        <v/>
      </c>
      <c r="E3170" t="str">
        <f>IF(A3170="","",IF(SUMPRODUCT((Ввод!$F$12:$F$31&lt;&gt;"")*(Ввод!$F$12:$F$31&lt;=A3170)*(Ввод!$G$12:$G$31&gt;=A3170))&gt;0,1,0))</f>
        <v/>
      </c>
      <c r="G3170" t="str">
        <f t="shared" si="99"/>
        <v/>
      </c>
    </row>
    <row r="3171" spans="1:7" x14ac:dyDescent="0.3">
      <c r="A3171" s="21" t="str">
        <f>IF(A3170="","",IF(A3170+1&gt;Ввод!$B$4,"",A3170+1))</f>
        <v/>
      </c>
      <c r="B3171" s="23" t="str">
        <f>IF(A3171="","",IFERROR(INDEX(Ввод!$B$12:$B$71,MATCH(A3171,Ввод!$D$12:$D$71,1)),""))</f>
        <v/>
      </c>
      <c r="C3171" t="str">
        <f t="shared" si="98"/>
        <v/>
      </c>
      <c r="D3171" t="str">
        <f>IF(A3171="","",SUMIFS(Акты!$D$5:$D$16,Акты!$E$5:$E$16,"&lt;="&amp;A3171)-SUMIFS(Оплаты!$B$6:$B$505,Оплаты!$A$6:$A$505,"&lt;"&amp;A3171,Оплаты!$D$6:$D$505,"&lt;&gt;"))</f>
        <v/>
      </c>
      <c r="E3171" t="str">
        <f>IF(A3171="","",IF(SUMPRODUCT((Ввод!$F$12:$F$31&lt;&gt;"")*(Ввод!$F$12:$F$31&lt;=A3171)*(Ввод!$G$12:$G$31&gt;=A3171))&gt;0,1,0))</f>
        <v/>
      </c>
      <c r="G3171" t="str">
        <f t="shared" si="99"/>
        <v/>
      </c>
    </row>
    <row r="3172" spans="1:7" x14ac:dyDescent="0.3">
      <c r="A3172" s="21" t="str">
        <f>IF(A3171="","",IF(A3171+1&gt;Ввод!$B$4,"",A3171+1))</f>
        <v/>
      </c>
      <c r="B3172" s="23" t="str">
        <f>IF(A3172="","",IFERROR(INDEX(Ввод!$B$12:$B$71,MATCH(A3172,Ввод!$D$12:$D$71,1)),""))</f>
        <v/>
      </c>
      <c r="C3172" t="str">
        <f t="shared" si="98"/>
        <v/>
      </c>
      <c r="D3172" t="str">
        <f>IF(A3172="","",SUMIFS(Акты!$D$5:$D$16,Акты!$E$5:$E$16,"&lt;="&amp;A3172)-SUMIFS(Оплаты!$B$6:$B$505,Оплаты!$A$6:$A$505,"&lt;"&amp;A3172,Оплаты!$D$6:$D$505,"&lt;&gt;"))</f>
        <v/>
      </c>
      <c r="E3172" t="str">
        <f>IF(A3172="","",IF(SUMPRODUCT((Ввод!$F$12:$F$31&lt;&gt;"")*(Ввод!$F$12:$F$31&lt;=A3172)*(Ввод!$G$12:$G$31&gt;=A3172))&gt;0,1,0))</f>
        <v/>
      </c>
      <c r="G3172" t="str">
        <f t="shared" si="99"/>
        <v/>
      </c>
    </row>
    <row r="3173" spans="1:7" x14ac:dyDescent="0.3">
      <c r="A3173" s="21" t="str">
        <f>IF(A3172="","",IF(A3172+1&gt;Ввод!$B$4,"",A3172+1))</f>
        <v/>
      </c>
      <c r="B3173" s="23" t="str">
        <f>IF(A3173="","",IFERROR(INDEX(Ввод!$B$12:$B$71,MATCH(A3173,Ввод!$D$12:$D$71,1)),""))</f>
        <v/>
      </c>
      <c r="C3173" t="str">
        <f t="shared" si="98"/>
        <v/>
      </c>
      <c r="D3173" t="str">
        <f>IF(A3173="","",SUMIFS(Акты!$D$5:$D$16,Акты!$E$5:$E$16,"&lt;="&amp;A3173)-SUMIFS(Оплаты!$B$6:$B$505,Оплаты!$A$6:$A$505,"&lt;"&amp;A3173,Оплаты!$D$6:$D$505,"&lt;&gt;"))</f>
        <v/>
      </c>
      <c r="E3173" t="str">
        <f>IF(A3173="","",IF(SUMPRODUCT((Ввод!$F$12:$F$31&lt;&gt;"")*(Ввод!$F$12:$F$31&lt;=A3173)*(Ввод!$G$12:$G$31&gt;=A3173))&gt;0,1,0))</f>
        <v/>
      </c>
      <c r="G3173" t="str">
        <f t="shared" si="99"/>
        <v/>
      </c>
    </row>
    <row r="3174" spans="1:7" x14ac:dyDescent="0.3">
      <c r="A3174" s="21" t="str">
        <f>IF(A3173="","",IF(A3173+1&gt;Ввод!$B$4,"",A3173+1))</f>
        <v/>
      </c>
      <c r="B3174" s="23" t="str">
        <f>IF(A3174="","",IFERROR(INDEX(Ввод!$B$12:$B$71,MATCH(A3174,Ввод!$D$12:$D$71,1)),""))</f>
        <v/>
      </c>
      <c r="C3174" t="str">
        <f t="shared" si="98"/>
        <v/>
      </c>
      <c r="D3174" t="str">
        <f>IF(A3174="","",SUMIFS(Акты!$D$5:$D$16,Акты!$E$5:$E$16,"&lt;="&amp;A3174)-SUMIFS(Оплаты!$B$6:$B$505,Оплаты!$A$6:$A$505,"&lt;"&amp;A3174,Оплаты!$D$6:$D$505,"&lt;&gt;"))</f>
        <v/>
      </c>
      <c r="E3174" t="str">
        <f>IF(A3174="","",IF(SUMPRODUCT((Ввод!$F$12:$F$31&lt;&gt;"")*(Ввод!$F$12:$F$31&lt;=A3174)*(Ввод!$G$12:$G$31&gt;=A3174))&gt;0,1,0))</f>
        <v/>
      </c>
      <c r="G3174" t="str">
        <f t="shared" si="99"/>
        <v/>
      </c>
    </row>
    <row r="3175" spans="1:7" x14ac:dyDescent="0.3">
      <c r="A3175" s="21" t="str">
        <f>IF(A3174="","",IF(A3174+1&gt;Ввод!$B$4,"",A3174+1))</f>
        <v/>
      </c>
      <c r="B3175" s="23" t="str">
        <f>IF(A3175="","",IFERROR(INDEX(Ввод!$B$12:$B$71,MATCH(A3175,Ввод!$D$12:$D$71,1)),""))</f>
        <v/>
      </c>
      <c r="C3175" t="str">
        <f t="shared" si="98"/>
        <v/>
      </c>
      <c r="D3175" t="str">
        <f>IF(A3175="","",SUMIFS(Акты!$D$5:$D$16,Акты!$E$5:$E$16,"&lt;="&amp;A3175)-SUMIFS(Оплаты!$B$6:$B$505,Оплаты!$A$6:$A$505,"&lt;"&amp;A3175,Оплаты!$D$6:$D$505,"&lt;&gt;"))</f>
        <v/>
      </c>
      <c r="E3175" t="str">
        <f>IF(A3175="","",IF(SUMPRODUCT((Ввод!$F$12:$F$31&lt;&gt;"")*(Ввод!$F$12:$F$31&lt;=A3175)*(Ввод!$G$12:$G$31&gt;=A3175))&gt;0,1,0))</f>
        <v/>
      </c>
      <c r="G3175" t="str">
        <f t="shared" si="99"/>
        <v/>
      </c>
    </row>
    <row r="3176" spans="1:7" x14ac:dyDescent="0.3">
      <c r="A3176" s="21" t="str">
        <f>IF(A3175="","",IF(A3175+1&gt;Ввод!$B$4,"",A3175+1))</f>
        <v/>
      </c>
      <c r="B3176" s="23" t="str">
        <f>IF(A3176="","",IFERROR(INDEX(Ввод!$B$12:$B$71,MATCH(A3176,Ввод!$D$12:$D$71,1)),""))</f>
        <v/>
      </c>
      <c r="C3176" t="str">
        <f t="shared" si="98"/>
        <v/>
      </c>
      <c r="D3176" t="str">
        <f>IF(A3176="","",SUMIFS(Акты!$D$5:$D$16,Акты!$E$5:$E$16,"&lt;="&amp;A3176)-SUMIFS(Оплаты!$B$6:$B$505,Оплаты!$A$6:$A$505,"&lt;"&amp;A3176,Оплаты!$D$6:$D$505,"&lt;&gt;"))</f>
        <v/>
      </c>
      <c r="E3176" t="str">
        <f>IF(A3176="","",IF(SUMPRODUCT((Ввод!$F$12:$F$31&lt;&gt;"")*(Ввод!$F$12:$F$31&lt;=A3176)*(Ввод!$G$12:$G$31&gt;=A3176))&gt;0,1,0))</f>
        <v/>
      </c>
      <c r="G3176" t="str">
        <f t="shared" si="99"/>
        <v/>
      </c>
    </row>
    <row r="3177" spans="1:7" x14ac:dyDescent="0.3">
      <c r="A3177" s="21" t="str">
        <f>IF(A3176="","",IF(A3176+1&gt;Ввод!$B$4,"",A3176+1))</f>
        <v/>
      </c>
      <c r="B3177" s="23" t="str">
        <f>IF(A3177="","",IFERROR(INDEX(Ввод!$B$12:$B$71,MATCH(A3177,Ввод!$D$12:$D$71,1)),""))</f>
        <v/>
      </c>
      <c r="C3177" t="str">
        <f t="shared" si="98"/>
        <v/>
      </c>
      <c r="D3177" t="str">
        <f>IF(A3177="","",SUMIFS(Акты!$D$5:$D$16,Акты!$E$5:$E$16,"&lt;="&amp;A3177)-SUMIFS(Оплаты!$B$6:$B$505,Оплаты!$A$6:$A$505,"&lt;"&amp;A3177,Оплаты!$D$6:$D$505,"&lt;&gt;"))</f>
        <v/>
      </c>
      <c r="E3177" t="str">
        <f>IF(A3177="","",IF(SUMPRODUCT((Ввод!$F$12:$F$31&lt;&gt;"")*(Ввод!$F$12:$F$31&lt;=A3177)*(Ввод!$G$12:$G$31&gt;=A3177))&gt;0,1,0))</f>
        <v/>
      </c>
      <c r="G3177" t="str">
        <f t="shared" si="99"/>
        <v/>
      </c>
    </row>
    <row r="3178" spans="1:7" x14ac:dyDescent="0.3">
      <c r="A3178" s="21" t="str">
        <f>IF(A3177="","",IF(A3177+1&gt;Ввод!$B$4,"",A3177+1))</f>
        <v/>
      </c>
      <c r="B3178" s="23" t="str">
        <f>IF(A3178="","",IFERROR(INDEX(Ввод!$B$12:$B$71,MATCH(A3178,Ввод!$D$12:$D$71,1)),""))</f>
        <v/>
      </c>
      <c r="C3178" t="str">
        <f t="shared" si="98"/>
        <v/>
      </c>
      <c r="D3178" t="str">
        <f>IF(A3178="","",SUMIFS(Акты!$D$5:$D$16,Акты!$E$5:$E$16,"&lt;="&amp;A3178)-SUMIFS(Оплаты!$B$6:$B$505,Оплаты!$A$6:$A$505,"&lt;"&amp;A3178,Оплаты!$D$6:$D$505,"&lt;&gt;"))</f>
        <v/>
      </c>
      <c r="E3178" t="str">
        <f>IF(A3178="","",IF(SUMPRODUCT((Ввод!$F$12:$F$31&lt;&gt;"")*(Ввод!$F$12:$F$31&lt;=A3178)*(Ввод!$G$12:$G$31&gt;=A3178))&gt;0,1,0))</f>
        <v/>
      </c>
      <c r="G3178" t="str">
        <f t="shared" si="99"/>
        <v/>
      </c>
    </row>
    <row r="3179" spans="1:7" x14ac:dyDescent="0.3">
      <c r="A3179" s="21" t="str">
        <f>IF(A3178="","",IF(A3178+1&gt;Ввод!$B$4,"",A3178+1))</f>
        <v/>
      </c>
      <c r="B3179" s="23" t="str">
        <f>IF(A3179="","",IFERROR(INDEX(Ввод!$B$12:$B$71,MATCH(A3179,Ввод!$D$12:$D$71,1)),""))</f>
        <v/>
      </c>
      <c r="C3179" t="str">
        <f t="shared" si="98"/>
        <v/>
      </c>
      <c r="D3179" t="str">
        <f>IF(A3179="","",SUMIFS(Акты!$D$5:$D$16,Акты!$E$5:$E$16,"&lt;="&amp;A3179)-SUMIFS(Оплаты!$B$6:$B$505,Оплаты!$A$6:$A$505,"&lt;"&amp;A3179,Оплаты!$D$6:$D$505,"&lt;&gt;"))</f>
        <v/>
      </c>
      <c r="E3179" t="str">
        <f>IF(A3179="","",IF(SUMPRODUCT((Ввод!$F$12:$F$31&lt;&gt;"")*(Ввод!$F$12:$F$31&lt;=A3179)*(Ввод!$G$12:$G$31&gt;=A3179))&gt;0,1,0))</f>
        <v/>
      </c>
      <c r="G3179" t="str">
        <f t="shared" si="99"/>
        <v/>
      </c>
    </row>
    <row r="3180" spans="1:7" x14ac:dyDescent="0.3">
      <c r="A3180" s="21" t="str">
        <f>IF(A3179="","",IF(A3179+1&gt;Ввод!$B$4,"",A3179+1))</f>
        <v/>
      </c>
      <c r="B3180" s="23" t="str">
        <f>IF(A3180="","",IFERROR(INDEX(Ввод!$B$12:$B$71,MATCH(A3180,Ввод!$D$12:$D$71,1)),""))</f>
        <v/>
      </c>
      <c r="C3180" t="str">
        <f t="shared" si="98"/>
        <v/>
      </c>
      <c r="D3180" t="str">
        <f>IF(A3180="","",SUMIFS(Акты!$D$5:$D$16,Акты!$E$5:$E$16,"&lt;="&amp;A3180)-SUMIFS(Оплаты!$B$6:$B$505,Оплаты!$A$6:$A$505,"&lt;"&amp;A3180,Оплаты!$D$6:$D$505,"&lt;&gt;"))</f>
        <v/>
      </c>
      <c r="E3180" t="str">
        <f>IF(A3180="","",IF(SUMPRODUCT((Ввод!$F$12:$F$31&lt;&gt;"")*(Ввод!$F$12:$F$31&lt;=A3180)*(Ввод!$G$12:$G$31&gt;=A3180))&gt;0,1,0))</f>
        <v/>
      </c>
      <c r="G3180" t="str">
        <f t="shared" si="99"/>
        <v/>
      </c>
    </row>
    <row r="3181" spans="1:7" x14ac:dyDescent="0.3">
      <c r="A3181" s="21" t="str">
        <f>IF(A3180="","",IF(A3180+1&gt;Ввод!$B$4,"",A3180+1))</f>
        <v/>
      </c>
      <c r="B3181" s="23" t="str">
        <f>IF(A3181="","",IFERROR(INDEX(Ввод!$B$12:$B$71,MATCH(A3181,Ввод!$D$12:$D$71,1)),""))</f>
        <v/>
      </c>
      <c r="C3181" t="str">
        <f t="shared" si="98"/>
        <v/>
      </c>
      <c r="D3181" t="str">
        <f>IF(A3181="","",SUMIFS(Акты!$D$5:$D$16,Акты!$E$5:$E$16,"&lt;="&amp;A3181)-SUMIFS(Оплаты!$B$6:$B$505,Оплаты!$A$6:$A$505,"&lt;"&amp;A3181,Оплаты!$D$6:$D$505,"&lt;&gt;"))</f>
        <v/>
      </c>
      <c r="E3181" t="str">
        <f>IF(A3181="","",IF(SUMPRODUCT((Ввод!$F$12:$F$31&lt;&gt;"")*(Ввод!$F$12:$F$31&lt;=A3181)*(Ввод!$G$12:$G$31&gt;=A3181))&gt;0,1,0))</f>
        <v/>
      </c>
      <c r="G3181" t="str">
        <f t="shared" si="99"/>
        <v/>
      </c>
    </row>
    <row r="3182" spans="1:7" x14ac:dyDescent="0.3">
      <c r="A3182" s="21" t="str">
        <f>IF(A3181="","",IF(A3181+1&gt;Ввод!$B$4,"",A3181+1))</f>
        <v/>
      </c>
      <c r="B3182" s="23" t="str">
        <f>IF(A3182="","",IFERROR(INDEX(Ввод!$B$12:$B$71,MATCH(A3182,Ввод!$D$12:$D$71,1)),""))</f>
        <v/>
      </c>
      <c r="C3182" t="str">
        <f t="shared" si="98"/>
        <v/>
      </c>
      <c r="D3182" t="str">
        <f>IF(A3182="","",SUMIFS(Акты!$D$5:$D$16,Акты!$E$5:$E$16,"&lt;="&amp;A3182)-SUMIFS(Оплаты!$B$6:$B$505,Оплаты!$A$6:$A$505,"&lt;"&amp;A3182,Оплаты!$D$6:$D$505,"&lt;&gt;"))</f>
        <v/>
      </c>
      <c r="E3182" t="str">
        <f>IF(A3182="","",IF(SUMPRODUCT((Ввод!$F$12:$F$31&lt;&gt;"")*(Ввод!$F$12:$F$31&lt;=A3182)*(Ввод!$G$12:$G$31&gt;=A3182))&gt;0,1,0))</f>
        <v/>
      </c>
      <c r="G3182" t="str">
        <f t="shared" si="99"/>
        <v/>
      </c>
    </row>
    <row r="3183" spans="1:7" x14ac:dyDescent="0.3">
      <c r="A3183" s="21" t="str">
        <f>IF(A3182="","",IF(A3182+1&gt;Ввод!$B$4,"",A3182+1))</f>
        <v/>
      </c>
      <c r="B3183" s="23" t="str">
        <f>IF(A3183="","",IFERROR(INDEX(Ввод!$B$12:$B$71,MATCH(A3183,Ввод!$D$12:$D$71,1)),""))</f>
        <v/>
      </c>
      <c r="C3183" t="str">
        <f t="shared" si="98"/>
        <v/>
      </c>
      <c r="D3183" t="str">
        <f>IF(A3183="","",SUMIFS(Акты!$D$5:$D$16,Акты!$E$5:$E$16,"&lt;="&amp;A3183)-SUMIFS(Оплаты!$B$6:$B$505,Оплаты!$A$6:$A$505,"&lt;"&amp;A3183,Оплаты!$D$6:$D$505,"&lt;&gt;"))</f>
        <v/>
      </c>
      <c r="E3183" t="str">
        <f>IF(A3183="","",IF(SUMPRODUCT((Ввод!$F$12:$F$31&lt;&gt;"")*(Ввод!$F$12:$F$31&lt;=A3183)*(Ввод!$G$12:$G$31&gt;=A3183))&gt;0,1,0))</f>
        <v/>
      </c>
      <c r="G3183" t="str">
        <f t="shared" si="99"/>
        <v/>
      </c>
    </row>
    <row r="3184" spans="1:7" x14ac:dyDescent="0.3">
      <c r="A3184" s="21" t="str">
        <f>IF(A3183="","",IF(A3183+1&gt;Ввод!$B$4,"",A3183+1))</f>
        <v/>
      </c>
      <c r="B3184" s="23" t="str">
        <f>IF(A3184="","",IFERROR(INDEX(Ввод!$B$12:$B$71,MATCH(A3184,Ввод!$D$12:$D$71,1)),""))</f>
        <v/>
      </c>
      <c r="C3184" t="str">
        <f t="shared" si="98"/>
        <v/>
      </c>
      <c r="D3184" t="str">
        <f>IF(A3184="","",SUMIFS(Акты!$D$5:$D$16,Акты!$E$5:$E$16,"&lt;="&amp;A3184)-SUMIFS(Оплаты!$B$6:$B$505,Оплаты!$A$6:$A$505,"&lt;"&amp;A3184,Оплаты!$D$6:$D$505,"&lt;&gt;"))</f>
        <v/>
      </c>
      <c r="E3184" t="str">
        <f>IF(A3184="","",IF(SUMPRODUCT((Ввод!$F$12:$F$31&lt;&gt;"")*(Ввод!$F$12:$F$31&lt;=A3184)*(Ввод!$G$12:$G$31&gt;=A3184))&gt;0,1,0))</f>
        <v/>
      </c>
      <c r="G3184" t="str">
        <f t="shared" si="99"/>
        <v/>
      </c>
    </row>
    <row r="3185" spans="1:7" x14ac:dyDescent="0.3">
      <c r="A3185" s="21" t="str">
        <f>IF(A3184="","",IF(A3184+1&gt;Ввод!$B$4,"",A3184+1))</f>
        <v/>
      </c>
      <c r="B3185" s="23" t="str">
        <f>IF(A3185="","",IFERROR(INDEX(Ввод!$B$12:$B$71,MATCH(A3185,Ввод!$D$12:$D$71,1)),""))</f>
        <v/>
      </c>
      <c r="C3185" t="str">
        <f t="shared" si="98"/>
        <v/>
      </c>
      <c r="D3185" t="str">
        <f>IF(A3185="","",SUMIFS(Акты!$D$5:$D$16,Акты!$E$5:$E$16,"&lt;="&amp;A3185)-SUMIFS(Оплаты!$B$6:$B$505,Оплаты!$A$6:$A$505,"&lt;"&amp;A3185,Оплаты!$D$6:$D$505,"&lt;&gt;"))</f>
        <v/>
      </c>
      <c r="E3185" t="str">
        <f>IF(A3185="","",IF(SUMPRODUCT((Ввод!$F$12:$F$31&lt;&gt;"")*(Ввод!$F$12:$F$31&lt;=A3185)*(Ввод!$G$12:$G$31&gt;=A3185))&gt;0,1,0))</f>
        <v/>
      </c>
      <c r="G3185" t="str">
        <f t="shared" si="99"/>
        <v/>
      </c>
    </row>
    <row r="3186" spans="1:7" x14ac:dyDescent="0.3">
      <c r="A3186" s="21" t="str">
        <f>IF(A3185="","",IF(A3185+1&gt;Ввод!$B$4,"",A3185+1))</f>
        <v/>
      </c>
      <c r="B3186" s="23" t="str">
        <f>IF(A3186="","",IFERROR(INDEX(Ввод!$B$12:$B$71,MATCH(A3186,Ввод!$D$12:$D$71,1)),""))</f>
        <v/>
      </c>
      <c r="C3186" t="str">
        <f t="shared" si="98"/>
        <v/>
      </c>
      <c r="D3186" t="str">
        <f>IF(A3186="","",SUMIFS(Акты!$D$5:$D$16,Акты!$E$5:$E$16,"&lt;="&amp;A3186)-SUMIFS(Оплаты!$B$6:$B$505,Оплаты!$A$6:$A$505,"&lt;"&amp;A3186,Оплаты!$D$6:$D$505,"&lt;&gt;"))</f>
        <v/>
      </c>
      <c r="E3186" t="str">
        <f>IF(A3186="","",IF(SUMPRODUCT((Ввод!$F$12:$F$31&lt;&gt;"")*(Ввод!$F$12:$F$31&lt;=A3186)*(Ввод!$G$12:$G$31&gt;=A3186))&gt;0,1,0))</f>
        <v/>
      </c>
      <c r="G3186" t="str">
        <f t="shared" si="99"/>
        <v/>
      </c>
    </row>
    <row r="3187" spans="1:7" x14ac:dyDescent="0.3">
      <c r="A3187" s="21" t="str">
        <f>IF(A3186="","",IF(A3186+1&gt;Ввод!$B$4,"",A3186+1))</f>
        <v/>
      </c>
      <c r="B3187" s="23" t="str">
        <f>IF(A3187="","",IFERROR(INDEX(Ввод!$B$12:$B$71,MATCH(A3187,Ввод!$D$12:$D$71,1)),""))</f>
        <v/>
      </c>
      <c r="C3187" t="str">
        <f t="shared" si="98"/>
        <v/>
      </c>
      <c r="D3187" t="str">
        <f>IF(A3187="","",SUMIFS(Акты!$D$5:$D$16,Акты!$E$5:$E$16,"&lt;="&amp;A3187)-SUMIFS(Оплаты!$B$6:$B$505,Оплаты!$A$6:$A$505,"&lt;"&amp;A3187,Оплаты!$D$6:$D$505,"&lt;&gt;"))</f>
        <v/>
      </c>
      <c r="E3187" t="str">
        <f>IF(A3187="","",IF(SUMPRODUCT((Ввод!$F$12:$F$31&lt;&gt;"")*(Ввод!$F$12:$F$31&lt;=A3187)*(Ввод!$G$12:$G$31&gt;=A3187))&gt;0,1,0))</f>
        <v/>
      </c>
      <c r="G3187" t="str">
        <f t="shared" si="99"/>
        <v/>
      </c>
    </row>
    <row r="3188" spans="1:7" x14ac:dyDescent="0.3">
      <c r="A3188" s="21" t="str">
        <f>IF(A3187="","",IF(A3187+1&gt;Ввод!$B$4,"",A3187+1))</f>
        <v/>
      </c>
      <c r="B3188" s="23" t="str">
        <f>IF(A3188="","",IFERROR(INDEX(Ввод!$B$12:$B$71,MATCH(A3188,Ввод!$D$12:$D$71,1)),""))</f>
        <v/>
      </c>
      <c r="C3188" t="str">
        <f t="shared" si="98"/>
        <v/>
      </c>
      <c r="D3188" t="str">
        <f>IF(A3188="","",SUMIFS(Акты!$D$5:$D$16,Акты!$E$5:$E$16,"&lt;="&amp;A3188)-SUMIFS(Оплаты!$B$6:$B$505,Оплаты!$A$6:$A$505,"&lt;"&amp;A3188,Оплаты!$D$6:$D$505,"&lt;&gt;"))</f>
        <v/>
      </c>
      <c r="E3188" t="str">
        <f>IF(A3188="","",IF(SUMPRODUCT((Ввод!$F$12:$F$31&lt;&gt;"")*(Ввод!$F$12:$F$31&lt;=A3188)*(Ввод!$G$12:$G$31&gt;=A3188))&gt;0,1,0))</f>
        <v/>
      </c>
      <c r="G3188" t="str">
        <f t="shared" si="99"/>
        <v/>
      </c>
    </row>
    <row r="3189" spans="1:7" x14ac:dyDescent="0.3">
      <c r="A3189" s="21" t="str">
        <f>IF(A3188="","",IF(A3188+1&gt;Ввод!$B$4,"",A3188+1))</f>
        <v/>
      </c>
      <c r="B3189" s="23" t="str">
        <f>IF(A3189="","",IFERROR(INDEX(Ввод!$B$12:$B$71,MATCH(A3189,Ввод!$D$12:$D$71,1)),""))</f>
        <v/>
      </c>
      <c r="C3189" t="str">
        <f t="shared" si="98"/>
        <v/>
      </c>
      <c r="D3189" t="str">
        <f>IF(A3189="","",SUMIFS(Акты!$D$5:$D$16,Акты!$E$5:$E$16,"&lt;="&amp;A3189)-SUMIFS(Оплаты!$B$6:$B$505,Оплаты!$A$6:$A$505,"&lt;"&amp;A3189,Оплаты!$D$6:$D$505,"&lt;&gt;"))</f>
        <v/>
      </c>
      <c r="E3189" t="str">
        <f>IF(A3189="","",IF(SUMPRODUCT((Ввод!$F$12:$F$31&lt;&gt;"")*(Ввод!$F$12:$F$31&lt;=A3189)*(Ввод!$G$12:$G$31&gt;=A3189))&gt;0,1,0))</f>
        <v/>
      </c>
      <c r="G3189" t="str">
        <f t="shared" si="99"/>
        <v/>
      </c>
    </row>
    <row r="3190" spans="1:7" x14ac:dyDescent="0.3">
      <c r="A3190" s="21" t="str">
        <f>IF(A3189="","",IF(A3189+1&gt;Ввод!$B$4,"",A3189+1))</f>
        <v/>
      </c>
      <c r="B3190" s="23" t="str">
        <f>IF(A3190="","",IFERROR(INDEX(Ввод!$B$12:$B$71,MATCH(A3190,Ввод!$D$12:$D$71,1)),""))</f>
        <v/>
      </c>
      <c r="C3190" t="str">
        <f t="shared" si="98"/>
        <v/>
      </c>
      <c r="D3190" t="str">
        <f>IF(A3190="","",SUMIFS(Акты!$D$5:$D$16,Акты!$E$5:$E$16,"&lt;="&amp;A3190)-SUMIFS(Оплаты!$B$6:$B$505,Оплаты!$A$6:$A$505,"&lt;"&amp;A3190,Оплаты!$D$6:$D$505,"&lt;&gt;"))</f>
        <v/>
      </c>
      <c r="E3190" t="str">
        <f>IF(A3190="","",IF(SUMPRODUCT((Ввод!$F$12:$F$31&lt;&gt;"")*(Ввод!$F$12:$F$31&lt;=A3190)*(Ввод!$G$12:$G$31&gt;=A3190))&gt;0,1,0))</f>
        <v/>
      </c>
      <c r="G3190" t="str">
        <f t="shared" si="99"/>
        <v/>
      </c>
    </row>
    <row r="3191" spans="1:7" x14ac:dyDescent="0.3">
      <c r="A3191" s="21" t="str">
        <f>IF(A3190="","",IF(A3190+1&gt;Ввод!$B$4,"",A3190+1))</f>
        <v/>
      </c>
      <c r="B3191" s="23" t="str">
        <f>IF(A3191="","",IFERROR(INDEX(Ввод!$B$12:$B$71,MATCH(A3191,Ввод!$D$12:$D$71,1)),""))</f>
        <v/>
      </c>
      <c r="C3191" t="str">
        <f t="shared" si="98"/>
        <v/>
      </c>
      <c r="D3191" t="str">
        <f>IF(A3191="","",SUMIFS(Акты!$D$5:$D$16,Акты!$E$5:$E$16,"&lt;="&amp;A3191)-SUMIFS(Оплаты!$B$6:$B$505,Оплаты!$A$6:$A$505,"&lt;"&amp;A3191,Оплаты!$D$6:$D$505,"&lt;&gt;"))</f>
        <v/>
      </c>
      <c r="E3191" t="str">
        <f>IF(A3191="","",IF(SUMPRODUCT((Ввод!$F$12:$F$31&lt;&gt;"")*(Ввод!$F$12:$F$31&lt;=A3191)*(Ввод!$G$12:$G$31&gt;=A3191))&gt;0,1,0))</f>
        <v/>
      </c>
      <c r="G3191" t="str">
        <f t="shared" si="99"/>
        <v/>
      </c>
    </row>
    <row r="3192" spans="1:7" x14ac:dyDescent="0.3">
      <c r="A3192" s="21" t="str">
        <f>IF(A3191="","",IF(A3191+1&gt;Ввод!$B$4,"",A3191+1))</f>
        <v/>
      </c>
      <c r="B3192" s="23" t="str">
        <f>IF(A3192="","",IFERROR(INDEX(Ввод!$B$12:$B$71,MATCH(A3192,Ввод!$D$12:$D$71,1)),""))</f>
        <v/>
      </c>
      <c r="C3192" t="str">
        <f t="shared" si="98"/>
        <v/>
      </c>
      <c r="D3192" t="str">
        <f>IF(A3192="","",SUMIFS(Акты!$D$5:$D$16,Акты!$E$5:$E$16,"&lt;="&amp;A3192)-SUMIFS(Оплаты!$B$6:$B$505,Оплаты!$A$6:$A$505,"&lt;"&amp;A3192,Оплаты!$D$6:$D$505,"&lt;&gt;"))</f>
        <v/>
      </c>
      <c r="E3192" t="str">
        <f>IF(A3192="","",IF(SUMPRODUCT((Ввод!$F$12:$F$31&lt;&gt;"")*(Ввод!$F$12:$F$31&lt;=A3192)*(Ввод!$G$12:$G$31&gt;=A3192))&gt;0,1,0))</f>
        <v/>
      </c>
      <c r="G3192" t="str">
        <f t="shared" si="99"/>
        <v/>
      </c>
    </row>
    <row r="3193" spans="1:7" x14ac:dyDescent="0.3">
      <c r="A3193" s="21" t="str">
        <f>IF(A3192="","",IF(A3192+1&gt;Ввод!$B$4,"",A3192+1))</f>
        <v/>
      </c>
      <c r="B3193" s="23" t="str">
        <f>IF(A3193="","",IFERROR(INDEX(Ввод!$B$12:$B$71,MATCH(A3193,Ввод!$D$12:$D$71,1)),""))</f>
        <v/>
      </c>
      <c r="C3193" t="str">
        <f t="shared" si="98"/>
        <v/>
      </c>
      <c r="D3193" t="str">
        <f>IF(A3193="","",SUMIFS(Акты!$D$5:$D$16,Акты!$E$5:$E$16,"&lt;="&amp;A3193)-SUMIFS(Оплаты!$B$6:$B$505,Оплаты!$A$6:$A$505,"&lt;"&amp;A3193,Оплаты!$D$6:$D$505,"&lt;&gt;"))</f>
        <v/>
      </c>
      <c r="E3193" t="str">
        <f>IF(A3193="","",IF(SUMPRODUCT((Ввод!$F$12:$F$31&lt;&gt;"")*(Ввод!$F$12:$F$31&lt;=A3193)*(Ввод!$G$12:$G$31&gt;=A3193))&gt;0,1,0))</f>
        <v/>
      </c>
      <c r="G3193" t="str">
        <f t="shared" si="99"/>
        <v/>
      </c>
    </row>
    <row r="3194" spans="1:7" x14ac:dyDescent="0.3">
      <c r="A3194" s="21" t="str">
        <f>IF(A3193="","",IF(A3193+1&gt;Ввод!$B$4,"",A3193+1))</f>
        <v/>
      </c>
      <c r="B3194" s="23" t="str">
        <f>IF(A3194="","",IFERROR(INDEX(Ввод!$B$12:$B$71,MATCH(A3194,Ввод!$D$12:$D$71,1)),""))</f>
        <v/>
      </c>
      <c r="C3194" t="str">
        <f t="shared" si="98"/>
        <v/>
      </c>
      <c r="D3194" t="str">
        <f>IF(A3194="","",SUMIFS(Акты!$D$5:$D$16,Акты!$E$5:$E$16,"&lt;="&amp;A3194)-SUMIFS(Оплаты!$B$6:$B$505,Оплаты!$A$6:$A$505,"&lt;"&amp;A3194,Оплаты!$D$6:$D$505,"&lt;&gt;"))</f>
        <v/>
      </c>
      <c r="E3194" t="str">
        <f>IF(A3194="","",IF(SUMPRODUCT((Ввод!$F$12:$F$31&lt;&gt;"")*(Ввод!$F$12:$F$31&lt;=A3194)*(Ввод!$G$12:$G$31&gt;=A3194))&gt;0,1,0))</f>
        <v/>
      </c>
      <c r="G3194" t="str">
        <f t="shared" si="99"/>
        <v/>
      </c>
    </row>
    <row r="3195" spans="1:7" x14ac:dyDescent="0.3">
      <c r="A3195" s="21" t="str">
        <f>IF(A3194="","",IF(A3194+1&gt;Ввод!$B$4,"",A3194+1))</f>
        <v/>
      </c>
      <c r="B3195" s="23" t="str">
        <f>IF(A3195="","",IFERROR(INDEX(Ввод!$B$12:$B$71,MATCH(A3195,Ввод!$D$12:$D$71,1)),""))</f>
        <v/>
      </c>
      <c r="C3195" t="str">
        <f t="shared" si="98"/>
        <v/>
      </c>
      <c r="D3195" t="str">
        <f>IF(A3195="","",SUMIFS(Акты!$D$5:$D$16,Акты!$E$5:$E$16,"&lt;="&amp;A3195)-SUMIFS(Оплаты!$B$6:$B$505,Оплаты!$A$6:$A$505,"&lt;"&amp;A3195,Оплаты!$D$6:$D$505,"&lt;&gt;"))</f>
        <v/>
      </c>
      <c r="E3195" t="str">
        <f>IF(A3195="","",IF(SUMPRODUCT((Ввод!$F$12:$F$31&lt;&gt;"")*(Ввод!$F$12:$F$31&lt;=A3195)*(Ввод!$G$12:$G$31&gt;=A3195))&gt;0,1,0))</f>
        <v/>
      </c>
      <c r="G3195" t="str">
        <f t="shared" si="99"/>
        <v/>
      </c>
    </row>
    <row r="3196" spans="1:7" x14ac:dyDescent="0.3">
      <c r="A3196" s="21" t="str">
        <f>IF(A3195="","",IF(A3195+1&gt;Ввод!$B$4,"",A3195+1))</f>
        <v/>
      </c>
      <c r="B3196" s="23" t="str">
        <f>IF(A3196="","",IFERROR(INDEX(Ввод!$B$12:$B$71,MATCH(A3196,Ввод!$D$12:$D$71,1)),""))</f>
        <v/>
      </c>
      <c r="C3196" t="str">
        <f t="shared" si="98"/>
        <v/>
      </c>
      <c r="D3196" t="str">
        <f>IF(A3196="","",SUMIFS(Акты!$D$5:$D$16,Акты!$E$5:$E$16,"&lt;="&amp;A3196)-SUMIFS(Оплаты!$B$6:$B$505,Оплаты!$A$6:$A$505,"&lt;"&amp;A3196,Оплаты!$D$6:$D$505,"&lt;&gt;"))</f>
        <v/>
      </c>
      <c r="E3196" t="str">
        <f>IF(A3196="","",IF(SUMPRODUCT((Ввод!$F$12:$F$31&lt;&gt;"")*(Ввод!$F$12:$F$31&lt;=A3196)*(Ввод!$G$12:$G$31&gt;=A3196))&gt;0,1,0))</f>
        <v/>
      </c>
      <c r="G3196" t="str">
        <f t="shared" si="99"/>
        <v/>
      </c>
    </row>
    <row r="3197" spans="1:7" x14ac:dyDescent="0.3">
      <c r="A3197" s="21" t="str">
        <f>IF(A3196="","",IF(A3196+1&gt;Ввод!$B$4,"",A3196+1))</f>
        <v/>
      </c>
      <c r="B3197" s="23" t="str">
        <f>IF(A3197="","",IFERROR(INDEX(Ввод!$B$12:$B$71,MATCH(A3197,Ввод!$D$12:$D$71,1)),""))</f>
        <v/>
      </c>
      <c r="C3197" t="str">
        <f t="shared" si="98"/>
        <v/>
      </c>
      <c r="D3197" t="str">
        <f>IF(A3197="","",SUMIFS(Акты!$D$5:$D$16,Акты!$E$5:$E$16,"&lt;="&amp;A3197)-SUMIFS(Оплаты!$B$6:$B$505,Оплаты!$A$6:$A$505,"&lt;"&amp;A3197,Оплаты!$D$6:$D$505,"&lt;&gt;"))</f>
        <v/>
      </c>
      <c r="E3197" t="str">
        <f>IF(A3197="","",IF(SUMPRODUCT((Ввод!$F$12:$F$31&lt;&gt;"")*(Ввод!$F$12:$F$31&lt;=A3197)*(Ввод!$G$12:$G$31&gt;=A3197))&gt;0,1,0))</f>
        <v/>
      </c>
      <c r="G3197" t="str">
        <f t="shared" si="99"/>
        <v/>
      </c>
    </row>
    <row r="3198" spans="1:7" x14ac:dyDescent="0.3">
      <c r="A3198" s="21" t="str">
        <f>IF(A3197="","",IF(A3197+1&gt;Ввод!$B$4,"",A3197+1))</f>
        <v/>
      </c>
      <c r="B3198" s="23" t="str">
        <f>IF(A3198="","",IFERROR(INDEX(Ввод!$B$12:$B$71,MATCH(A3198,Ввод!$D$12:$D$71,1)),""))</f>
        <v/>
      </c>
      <c r="C3198" t="str">
        <f t="shared" si="98"/>
        <v/>
      </c>
      <c r="D3198" t="str">
        <f>IF(A3198="","",SUMIFS(Акты!$D$5:$D$16,Акты!$E$5:$E$16,"&lt;="&amp;A3198)-SUMIFS(Оплаты!$B$6:$B$505,Оплаты!$A$6:$A$505,"&lt;"&amp;A3198,Оплаты!$D$6:$D$505,"&lt;&gt;"))</f>
        <v/>
      </c>
      <c r="E3198" t="str">
        <f>IF(A3198="","",IF(SUMPRODUCT((Ввод!$F$12:$F$31&lt;&gt;"")*(Ввод!$F$12:$F$31&lt;=A3198)*(Ввод!$G$12:$G$31&gt;=A3198))&gt;0,1,0))</f>
        <v/>
      </c>
      <c r="G3198" t="str">
        <f t="shared" si="99"/>
        <v/>
      </c>
    </row>
    <row r="3199" spans="1:7" x14ac:dyDescent="0.3">
      <c r="A3199" s="21" t="str">
        <f>IF(A3198="","",IF(A3198+1&gt;Ввод!$B$4,"",A3198+1))</f>
        <v/>
      </c>
      <c r="B3199" s="23" t="str">
        <f>IF(A3199="","",IFERROR(INDEX(Ввод!$B$12:$B$71,MATCH(A3199,Ввод!$D$12:$D$71,1)),""))</f>
        <v/>
      </c>
      <c r="C3199" t="str">
        <f t="shared" si="98"/>
        <v/>
      </c>
      <c r="D3199" t="str">
        <f>IF(A3199="","",SUMIFS(Акты!$D$5:$D$16,Акты!$E$5:$E$16,"&lt;="&amp;A3199)-SUMIFS(Оплаты!$B$6:$B$505,Оплаты!$A$6:$A$505,"&lt;"&amp;A3199,Оплаты!$D$6:$D$505,"&lt;&gt;"))</f>
        <v/>
      </c>
      <c r="E3199" t="str">
        <f>IF(A3199="","",IF(SUMPRODUCT((Ввод!$F$12:$F$31&lt;&gt;"")*(Ввод!$F$12:$F$31&lt;=A3199)*(Ввод!$G$12:$G$31&gt;=A3199))&gt;0,1,0))</f>
        <v/>
      </c>
      <c r="G3199" t="str">
        <f t="shared" si="99"/>
        <v/>
      </c>
    </row>
    <row r="3200" spans="1:7" x14ac:dyDescent="0.3">
      <c r="A3200" s="21" t="str">
        <f>IF(A3199="","",IF(A3199+1&gt;Ввод!$B$4,"",A3199+1))</f>
        <v/>
      </c>
      <c r="B3200" s="23" t="str">
        <f>IF(A3200="","",IFERROR(INDEX(Ввод!$B$12:$B$71,MATCH(A3200,Ввод!$D$12:$D$71,1)),""))</f>
        <v/>
      </c>
      <c r="C3200" t="str">
        <f t="shared" si="98"/>
        <v/>
      </c>
      <c r="D3200" t="str">
        <f>IF(A3200="","",SUMIFS(Акты!$D$5:$D$16,Акты!$E$5:$E$16,"&lt;="&amp;A3200)-SUMIFS(Оплаты!$B$6:$B$505,Оплаты!$A$6:$A$505,"&lt;"&amp;A3200,Оплаты!$D$6:$D$505,"&lt;&gt;"))</f>
        <v/>
      </c>
      <c r="E3200" t="str">
        <f>IF(A3200="","",IF(SUMPRODUCT((Ввод!$F$12:$F$31&lt;&gt;"")*(Ввод!$F$12:$F$31&lt;=A3200)*(Ввод!$G$12:$G$31&gt;=A3200))&gt;0,1,0))</f>
        <v/>
      </c>
      <c r="G3200" t="str">
        <f t="shared" si="99"/>
        <v/>
      </c>
    </row>
    <row r="3201" spans="1:7" x14ac:dyDescent="0.3">
      <c r="A3201" s="21" t="str">
        <f>IF(A3200="","",IF(A3200+1&gt;Ввод!$B$4,"",A3200+1))</f>
        <v/>
      </c>
      <c r="B3201" s="23" t="str">
        <f>IF(A3201="","",IFERROR(INDEX(Ввод!$B$12:$B$71,MATCH(A3201,Ввод!$D$12:$D$71,1)),""))</f>
        <v/>
      </c>
      <c r="C3201" t="str">
        <f t="shared" si="98"/>
        <v/>
      </c>
      <c r="D3201" t="str">
        <f>IF(A3201="","",SUMIFS(Акты!$D$5:$D$16,Акты!$E$5:$E$16,"&lt;="&amp;A3201)-SUMIFS(Оплаты!$B$6:$B$505,Оплаты!$A$6:$A$505,"&lt;"&amp;A3201,Оплаты!$D$6:$D$505,"&lt;&gt;"))</f>
        <v/>
      </c>
      <c r="E3201" t="str">
        <f>IF(A3201="","",IF(SUMPRODUCT((Ввод!$F$12:$F$31&lt;&gt;"")*(Ввод!$F$12:$F$31&lt;=A3201)*(Ввод!$G$12:$G$31&gt;=A3201))&gt;0,1,0))</f>
        <v/>
      </c>
      <c r="G3201" t="str">
        <f t="shared" si="99"/>
        <v/>
      </c>
    </row>
    <row r="3202" spans="1:7" x14ac:dyDescent="0.3">
      <c r="A3202" s="21" t="str">
        <f>IF(A3201="","",IF(A3201+1&gt;Ввод!$B$4,"",A3201+1))</f>
        <v/>
      </c>
      <c r="B3202" s="23" t="str">
        <f>IF(A3202="","",IFERROR(INDEX(Ввод!$B$12:$B$71,MATCH(A3202,Ввод!$D$12:$D$71,1)),""))</f>
        <v/>
      </c>
      <c r="C3202" t="str">
        <f t="shared" ref="C3202:C3265" si="100">IF(A3202="","",DATE(YEAR(A3202),12,31)-DATE(YEAR(A3202),1,1)+1)</f>
        <v/>
      </c>
      <c r="D3202" t="str">
        <f>IF(A3202="","",SUMIFS(Акты!$D$5:$D$16,Акты!$E$5:$E$16,"&lt;="&amp;A3202)-SUMIFS(Оплаты!$B$6:$B$505,Оплаты!$A$6:$A$505,"&lt;"&amp;A3202,Оплаты!$D$6:$D$505,"&lt;&gt;"))</f>
        <v/>
      </c>
      <c r="E3202" t="str">
        <f>IF(A3202="","",IF(SUMPRODUCT((Ввод!$F$12:$F$31&lt;&gt;"")*(Ввод!$F$12:$F$31&lt;=A3202)*(Ввод!$G$12:$G$31&gt;=A3202))&gt;0,1,0))</f>
        <v/>
      </c>
      <c r="G3202" t="str">
        <f t="shared" si="99"/>
        <v/>
      </c>
    </row>
    <row r="3203" spans="1:7" x14ac:dyDescent="0.3">
      <c r="A3203" s="21" t="str">
        <f>IF(A3202="","",IF(A3202+1&gt;Ввод!$B$4,"",A3202+1))</f>
        <v/>
      </c>
      <c r="B3203" s="23" t="str">
        <f>IF(A3203="","",IFERROR(INDEX(Ввод!$B$12:$B$71,MATCH(A3203,Ввод!$D$12:$D$71,1)),""))</f>
        <v/>
      </c>
      <c r="C3203" t="str">
        <f t="shared" si="100"/>
        <v/>
      </c>
      <c r="D3203" t="str">
        <f>IF(A3203="","",SUMIFS(Акты!$D$5:$D$16,Акты!$E$5:$E$16,"&lt;="&amp;A3203)-SUMIFS(Оплаты!$B$6:$B$505,Оплаты!$A$6:$A$505,"&lt;"&amp;A3203,Оплаты!$D$6:$D$505,"&lt;&gt;"))</f>
        <v/>
      </c>
      <c r="E3203" t="str">
        <f>IF(A3203="","",IF(SUMPRODUCT((Ввод!$F$12:$F$31&lt;&gt;"")*(Ввод!$F$12:$F$31&lt;=A3203)*(Ввод!$G$12:$G$31&gt;=A3203))&gt;0,1,0))</f>
        <v/>
      </c>
      <c r="G3203" t="str">
        <f t="shared" ref="G3203:G3266" si="101">IF(A3203="","",IF(OR(B3203&lt;&gt;B3202,C3203&lt;&gt;C3202,E3203&lt;&gt;E3202),G3202+1,G3202))</f>
        <v/>
      </c>
    </row>
    <row r="3204" spans="1:7" x14ac:dyDescent="0.3">
      <c r="A3204" s="21" t="str">
        <f>IF(A3203="","",IF(A3203+1&gt;Ввод!$B$4,"",A3203+1))</f>
        <v/>
      </c>
      <c r="B3204" s="23" t="str">
        <f>IF(A3204="","",IFERROR(INDEX(Ввод!$B$12:$B$71,MATCH(A3204,Ввод!$D$12:$D$71,1)),""))</f>
        <v/>
      </c>
      <c r="C3204" t="str">
        <f t="shared" si="100"/>
        <v/>
      </c>
      <c r="D3204" t="str">
        <f>IF(A3204="","",SUMIFS(Акты!$D$5:$D$16,Акты!$E$5:$E$16,"&lt;="&amp;A3204)-SUMIFS(Оплаты!$B$6:$B$505,Оплаты!$A$6:$A$505,"&lt;"&amp;A3204,Оплаты!$D$6:$D$505,"&lt;&gt;"))</f>
        <v/>
      </c>
      <c r="E3204" t="str">
        <f>IF(A3204="","",IF(SUMPRODUCT((Ввод!$F$12:$F$31&lt;&gt;"")*(Ввод!$F$12:$F$31&lt;=A3204)*(Ввод!$G$12:$G$31&gt;=A3204))&gt;0,1,0))</f>
        <v/>
      </c>
      <c r="G3204" t="str">
        <f t="shared" si="101"/>
        <v/>
      </c>
    </row>
    <row r="3205" spans="1:7" x14ac:dyDescent="0.3">
      <c r="A3205" s="21" t="str">
        <f>IF(A3204="","",IF(A3204+1&gt;Ввод!$B$4,"",A3204+1))</f>
        <v/>
      </c>
      <c r="B3205" s="23" t="str">
        <f>IF(A3205="","",IFERROR(INDEX(Ввод!$B$12:$B$71,MATCH(A3205,Ввод!$D$12:$D$71,1)),""))</f>
        <v/>
      </c>
      <c r="C3205" t="str">
        <f t="shared" si="100"/>
        <v/>
      </c>
      <c r="D3205" t="str">
        <f>IF(A3205="","",SUMIFS(Акты!$D$5:$D$16,Акты!$E$5:$E$16,"&lt;="&amp;A3205)-SUMIFS(Оплаты!$B$6:$B$505,Оплаты!$A$6:$A$505,"&lt;"&amp;A3205,Оплаты!$D$6:$D$505,"&lt;&gt;"))</f>
        <v/>
      </c>
      <c r="E3205" t="str">
        <f>IF(A3205="","",IF(SUMPRODUCT((Ввод!$F$12:$F$31&lt;&gt;"")*(Ввод!$F$12:$F$31&lt;=A3205)*(Ввод!$G$12:$G$31&gt;=A3205))&gt;0,1,0))</f>
        <v/>
      </c>
      <c r="G3205" t="str">
        <f t="shared" si="101"/>
        <v/>
      </c>
    </row>
    <row r="3206" spans="1:7" x14ac:dyDescent="0.3">
      <c r="A3206" s="21" t="str">
        <f>IF(A3205="","",IF(A3205+1&gt;Ввод!$B$4,"",A3205+1))</f>
        <v/>
      </c>
      <c r="B3206" s="23" t="str">
        <f>IF(A3206="","",IFERROR(INDEX(Ввод!$B$12:$B$71,MATCH(A3206,Ввод!$D$12:$D$71,1)),""))</f>
        <v/>
      </c>
      <c r="C3206" t="str">
        <f t="shared" si="100"/>
        <v/>
      </c>
      <c r="D3206" t="str">
        <f>IF(A3206="","",SUMIFS(Акты!$D$5:$D$16,Акты!$E$5:$E$16,"&lt;="&amp;A3206)-SUMIFS(Оплаты!$B$6:$B$505,Оплаты!$A$6:$A$505,"&lt;"&amp;A3206,Оплаты!$D$6:$D$505,"&lt;&gt;"))</f>
        <v/>
      </c>
      <c r="E3206" t="str">
        <f>IF(A3206="","",IF(SUMPRODUCT((Ввод!$F$12:$F$31&lt;&gt;"")*(Ввод!$F$12:$F$31&lt;=A3206)*(Ввод!$G$12:$G$31&gt;=A3206))&gt;0,1,0))</f>
        <v/>
      </c>
      <c r="G3206" t="str">
        <f t="shared" si="101"/>
        <v/>
      </c>
    </row>
    <row r="3207" spans="1:7" x14ac:dyDescent="0.3">
      <c r="A3207" s="21" t="str">
        <f>IF(A3206="","",IF(A3206+1&gt;Ввод!$B$4,"",A3206+1))</f>
        <v/>
      </c>
      <c r="B3207" s="23" t="str">
        <f>IF(A3207="","",IFERROR(INDEX(Ввод!$B$12:$B$71,MATCH(A3207,Ввод!$D$12:$D$71,1)),""))</f>
        <v/>
      </c>
      <c r="C3207" t="str">
        <f t="shared" si="100"/>
        <v/>
      </c>
      <c r="D3207" t="str">
        <f>IF(A3207="","",SUMIFS(Акты!$D$5:$D$16,Акты!$E$5:$E$16,"&lt;="&amp;A3207)-SUMIFS(Оплаты!$B$6:$B$505,Оплаты!$A$6:$A$505,"&lt;"&amp;A3207,Оплаты!$D$6:$D$505,"&lt;&gt;"))</f>
        <v/>
      </c>
      <c r="E3207" t="str">
        <f>IF(A3207="","",IF(SUMPRODUCT((Ввод!$F$12:$F$31&lt;&gt;"")*(Ввод!$F$12:$F$31&lt;=A3207)*(Ввод!$G$12:$G$31&gt;=A3207))&gt;0,1,0))</f>
        <v/>
      </c>
      <c r="G3207" t="str">
        <f t="shared" si="101"/>
        <v/>
      </c>
    </row>
    <row r="3208" spans="1:7" x14ac:dyDescent="0.3">
      <c r="A3208" s="21" t="str">
        <f>IF(A3207="","",IF(A3207+1&gt;Ввод!$B$4,"",A3207+1))</f>
        <v/>
      </c>
      <c r="B3208" s="23" t="str">
        <f>IF(A3208="","",IFERROR(INDEX(Ввод!$B$12:$B$71,MATCH(A3208,Ввод!$D$12:$D$71,1)),""))</f>
        <v/>
      </c>
      <c r="C3208" t="str">
        <f t="shared" si="100"/>
        <v/>
      </c>
      <c r="D3208" t="str">
        <f>IF(A3208="","",SUMIFS(Акты!$D$5:$D$16,Акты!$E$5:$E$16,"&lt;="&amp;A3208)-SUMIFS(Оплаты!$B$6:$B$505,Оплаты!$A$6:$A$505,"&lt;"&amp;A3208,Оплаты!$D$6:$D$505,"&lt;&gt;"))</f>
        <v/>
      </c>
      <c r="E3208" t="str">
        <f>IF(A3208="","",IF(SUMPRODUCT((Ввод!$F$12:$F$31&lt;&gt;"")*(Ввод!$F$12:$F$31&lt;=A3208)*(Ввод!$G$12:$G$31&gt;=A3208))&gt;0,1,0))</f>
        <v/>
      </c>
      <c r="G3208" t="str">
        <f t="shared" si="101"/>
        <v/>
      </c>
    </row>
    <row r="3209" spans="1:7" x14ac:dyDescent="0.3">
      <c r="A3209" s="21" t="str">
        <f>IF(A3208="","",IF(A3208+1&gt;Ввод!$B$4,"",A3208+1))</f>
        <v/>
      </c>
      <c r="B3209" s="23" t="str">
        <f>IF(A3209="","",IFERROR(INDEX(Ввод!$B$12:$B$71,MATCH(A3209,Ввод!$D$12:$D$71,1)),""))</f>
        <v/>
      </c>
      <c r="C3209" t="str">
        <f t="shared" si="100"/>
        <v/>
      </c>
      <c r="D3209" t="str">
        <f>IF(A3209="","",SUMIFS(Акты!$D$5:$D$16,Акты!$E$5:$E$16,"&lt;="&amp;A3209)-SUMIFS(Оплаты!$B$6:$B$505,Оплаты!$A$6:$A$505,"&lt;"&amp;A3209,Оплаты!$D$6:$D$505,"&lt;&gt;"))</f>
        <v/>
      </c>
      <c r="E3209" t="str">
        <f>IF(A3209="","",IF(SUMPRODUCT((Ввод!$F$12:$F$31&lt;&gt;"")*(Ввод!$F$12:$F$31&lt;=A3209)*(Ввод!$G$12:$G$31&gt;=A3209))&gt;0,1,0))</f>
        <v/>
      </c>
      <c r="G3209" t="str">
        <f t="shared" si="101"/>
        <v/>
      </c>
    </row>
    <row r="3210" spans="1:7" x14ac:dyDescent="0.3">
      <c r="A3210" s="21" t="str">
        <f>IF(A3209="","",IF(A3209+1&gt;Ввод!$B$4,"",A3209+1))</f>
        <v/>
      </c>
      <c r="B3210" s="23" t="str">
        <f>IF(A3210="","",IFERROR(INDEX(Ввод!$B$12:$B$71,MATCH(A3210,Ввод!$D$12:$D$71,1)),""))</f>
        <v/>
      </c>
      <c r="C3210" t="str">
        <f t="shared" si="100"/>
        <v/>
      </c>
      <c r="D3210" t="str">
        <f>IF(A3210="","",SUMIFS(Акты!$D$5:$D$16,Акты!$E$5:$E$16,"&lt;="&amp;A3210)-SUMIFS(Оплаты!$B$6:$B$505,Оплаты!$A$6:$A$505,"&lt;"&amp;A3210,Оплаты!$D$6:$D$505,"&lt;&gt;"))</f>
        <v/>
      </c>
      <c r="E3210" t="str">
        <f>IF(A3210="","",IF(SUMPRODUCT((Ввод!$F$12:$F$31&lt;&gt;"")*(Ввод!$F$12:$F$31&lt;=A3210)*(Ввод!$G$12:$G$31&gt;=A3210))&gt;0,1,0))</f>
        <v/>
      </c>
      <c r="G3210" t="str">
        <f t="shared" si="101"/>
        <v/>
      </c>
    </row>
    <row r="3211" spans="1:7" x14ac:dyDescent="0.3">
      <c r="A3211" s="21" t="str">
        <f>IF(A3210="","",IF(A3210+1&gt;Ввод!$B$4,"",A3210+1))</f>
        <v/>
      </c>
      <c r="B3211" s="23" t="str">
        <f>IF(A3211="","",IFERROR(INDEX(Ввод!$B$12:$B$71,MATCH(A3211,Ввод!$D$12:$D$71,1)),""))</f>
        <v/>
      </c>
      <c r="C3211" t="str">
        <f t="shared" si="100"/>
        <v/>
      </c>
      <c r="D3211" t="str">
        <f>IF(A3211="","",SUMIFS(Акты!$D$5:$D$16,Акты!$E$5:$E$16,"&lt;="&amp;A3211)-SUMIFS(Оплаты!$B$6:$B$505,Оплаты!$A$6:$A$505,"&lt;"&amp;A3211,Оплаты!$D$6:$D$505,"&lt;&gt;"))</f>
        <v/>
      </c>
      <c r="E3211" t="str">
        <f>IF(A3211="","",IF(SUMPRODUCT((Ввод!$F$12:$F$31&lt;&gt;"")*(Ввод!$F$12:$F$31&lt;=A3211)*(Ввод!$G$12:$G$31&gt;=A3211))&gt;0,1,0))</f>
        <v/>
      </c>
      <c r="G3211" t="str">
        <f t="shared" si="101"/>
        <v/>
      </c>
    </row>
    <row r="3212" spans="1:7" x14ac:dyDescent="0.3">
      <c r="A3212" s="21" t="str">
        <f>IF(A3211="","",IF(A3211+1&gt;Ввод!$B$4,"",A3211+1))</f>
        <v/>
      </c>
      <c r="B3212" s="23" t="str">
        <f>IF(A3212="","",IFERROR(INDEX(Ввод!$B$12:$B$71,MATCH(A3212,Ввод!$D$12:$D$71,1)),""))</f>
        <v/>
      </c>
      <c r="C3212" t="str">
        <f t="shared" si="100"/>
        <v/>
      </c>
      <c r="D3212" t="str">
        <f>IF(A3212="","",SUMIFS(Акты!$D$5:$D$16,Акты!$E$5:$E$16,"&lt;="&amp;A3212)-SUMIFS(Оплаты!$B$6:$B$505,Оплаты!$A$6:$A$505,"&lt;"&amp;A3212,Оплаты!$D$6:$D$505,"&lt;&gt;"))</f>
        <v/>
      </c>
      <c r="E3212" t="str">
        <f>IF(A3212="","",IF(SUMPRODUCT((Ввод!$F$12:$F$31&lt;&gt;"")*(Ввод!$F$12:$F$31&lt;=A3212)*(Ввод!$G$12:$G$31&gt;=A3212))&gt;0,1,0))</f>
        <v/>
      </c>
      <c r="G3212" t="str">
        <f t="shared" si="101"/>
        <v/>
      </c>
    </row>
    <row r="3213" spans="1:7" x14ac:dyDescent="0.3">
      <c r="A3213" s="21" t="str">
        <f>IF(A3212="","",IF(A3212+1&gt;Ввод!$B$4,"",A3212+1))</f>
        <v/>
      </c>
      <c r="B3213" s="23" t="str">
        <f>IF(A3213="","",IFERROR(INDEX(Ввод!$B$12:$B$71,MATCH(A3213,Ввод!$D$12:$D$71,1)),""))</f>
        <v/>
      </c>
      <c r="C3213" t="str">
        <f t="shared" si="100"/>
        <v/>
      </c>
      <c r="D3213" t="str">
        <f>IF(A3213="","",SUMIFS(Акты!$D$5:$D$16,Акты!$E$5:$E$16,"&lt;="&amp;A3213)-SUMIFS(Оплаты!$B$6:$B$505,Оплаты!$A$6:$A$505,"&lt;"&amp;A3213,Оплаты!$D$6:$D$505,"&lt;&gt;"))</f>
        <v/>
      </c>
      <c r="E3213" t="str">
        <f>IF(A3213="","",IF(SUMPRODUCT((Ввод!$F$12:$F$31&lt;&gt;"")*(Ввод!$F$12:$F$31&lt;=A3213)*(Ввод!$G$12:$G$31&gt;=A3213))&gt;0,1,0))</f>
        <v/>
      </c>
      <c r="G3213" t="str">
        <f t="shared" si="101"/>
        <v/>
      </c>
    </row>
    <row r="3214" spans="1:7" x14ac:dyDescent="0.3">
      <c r="A3214" s="21" t="str">
        <f>IF(A3213="","",IF(A3213+1&gt;Ввод!$B$4,"",A3213+1))</f>
        <v/>
      </c>
      <c r="B3214" s="23" t="str">
        <f>IF(A3214="","",IFERROR(INDEX(Ввод!$B$12:$B$71,MATCH(A3214,Ввод!$D$12:$D$71,1)),""))</f>
        <v/>
      </c>
      <c r="C3214" t="str">
        <f t="shared" si="100"/>
        <v/>
      </c>
      <c r="D3214" t="str">
        <f>IF(A3214="","",SUMIFS(Акты!$D$5:$D$16,Акты!$E$5:$E$16,"&lt;="&amp;A3214)-SUMIFS(Оплаты!$B$6:$B$505,Оплаты!$A$6:$A$505,"&lt;"&amp;A3214,Оплаты!$D$6:$D$505,"&lt;&gt;"))</f>
        <v/>
      </c>
      <c r="E3214" t="str">
        <f>IF(A3214="","",IF(SUMPRODUCT((Ввод!$F$12:$F$31&lt;&gt;"")*(Ввод!$F$12:$F$31&lt;=A3214)*(Ввод!$G$12:$G$31&gt;=A3214))&gt;0,1,0))</f>
        <v/>
      </c>
      <c r="G3214" t="str">
        <f t="shared" si="101"/>
        <v/>
      </c>
    </row>
    <row r="3215" spans="1:7" x14ac:dyDescent="0.3">
      <c r="A3215" s="21" t="str">
        <f>IF(A3214="","",IF(A3214+1&gt;Ввод!$B$4,"",A3214+1))</f>
        <v/>
      </c>
      <c r="B3215" s="23" t="str">
        <f>IF(A3215="","",IFERROR(INDEX(Ввод!$B$12:$B$71,MATCH(A3215,Ввод!$D$12:$D$71,1)),""))</f>
        <v/>
      </c>
      <c r="C3215" t="str">
        <f t="shared" si="100"/>
        <v/>
      </c>
      <c r="D3215" t="str">
        <f>IF(A3215="","",SUMIFS(Акты!$D$5:$D$16,Акты!$E$5:$E$16,"&lt;="&amp;A3215)-SUMIFS(Оплаты!$B$6:$B$505,Оплаты!$A$6:$A$505,"&lt;"&amp;A3215,Оплаты!$D$6:$D$505,"&lt;&gt;"))</f>
        <v/>
      </c>
      <c r="E3215" t="str">
        <f>IF(A3215="","",IF(SUMPRODUCT((Ввод!$F$12:$F$31&lt;&gt;"")*(Ввод!$F$12:$F$31&lt;=A3215)*(Ввод!$G$12:$G$31&gt;=A3215))&gt;0,1,0))</f>
        <v/>
      </c>
      <c r="G3215" t="str">
        <f t="shared" si="101"/>
        <v/>
      </c>
    </row>
    <row r="3216" spans="1:7" x14ac:dyDescent="0.3">
      <c r="A3216" s="21" t="str">
        <f>IF(A3215="","",IF(A3215+1&gt;Ввод!$B$4,"",A3215+1))</f>
        <v/>
      </c>
      <c r="B3216" s="23" t="str">
        <f>IF(A3216="","",IFERROR(INDEX(Ввод!$B$12:$B$71,MATCH(A3216,Ввод!$D$12:$D$71,1)),""))</f>
        <v/>
      </c>
      <c r="C3216" t="str">
        <f t="shared" si="100"/>
        <v/>
      </c>
      <c r="D3216" t="str">
        <f>IF(A3216="","",SUMIFS(Акты!$D$5:$D$16,Акты!$E$5:$E$16,"&lt;="&amp;A3216)-SUMIFS(Оплаты!$B$6:$B$505,Оплаты!$A$6:$A$505,"&lt;"&amp;A3216,Оплаты!$D$6:$D$505,"&lt;&gt;"))</f>
        <v/>
      </c>
      <c r="E3216" t="str">
        <f>IF(A3216="","",IF(SUMPRODUCT((Ввод!$F$12:$F$31&lt;&gt;"")*(Ввод!$F$12:$F$31&lt;=A3216)*(Ввод!$G$12:$G$31&gt;=A3216))&gt;0,1,0))</f>
        <v/>
      </c>
      <c r="G3216" t="str">
        <f t="shared" si="101"/>
        <v/>
      </c>
    </row>
    <row r="3217" spans="1:7" x14ac:dyDescent="0.3">
      <c r="A3217" s="21" t="str">
        <f>IF(A3216="","",IF(A3216+1&gt;Ввод!$B$4,"",A3216+1))</f>
        <v/>
      </c>
      <c r="B3217" s="23" t="str">
        <f>IF(A3217="","",IFERROR(INDEX(Ввод!$B$12:$B$71,MATCH(A3217,Ввод!$D$12:$D$71,1)),""))</f>
        <v/>
      </c>
      <c r="C3217" t="str">
        <f t="shared" si="100"/>
        <v/>
      </c>
      <c r="D3217" t="str">
        <f>IF(A3217="","",SUMIFS(Акты!$D$5:$D$16,Акты!$E$5:$E$16,"&lt;="&amp;A3217)-SUMIFS(Оплаты!$B$6:$B$505,Оплаты!$A$6:$A$505,"&lt;"&amp;A3217,Оплаты!$D$6:$D$505,"&lt;&gt;"))</f>
        <v/>
      </c>
      <c r="E3217" t="str">
        <f>IF(A3217="","",IF(SUMPRODUCT((Ввод!$F$12:$F$31&lt;&gt;"")*(Ввод!$F$12:$F$31&lt;=A3217)*(Ввод!$G$12:$G$31&gt;=A3217))&gt;0,1,0))</f>
        <v/>
      </c>
      <c r="G3217" t="str">
        <f t="shared" si="101"/>
        <v/>
      </c>
    </row>
    <row r="3218" spans="1:7" x14ac:dyDescent="0.3">
      <c r="A3218" s="21" t="str">
        <f>IF(A3217="","",IF(A3217+1&gt;Ввод!$B$4,"",A3217+1))</f>
        <v/>
      </c>
      <c r="B3218" s="23" t="str">
        <f>IF(A3218="","",IFERROR(INDEX(Ввод!$B$12:$B$71,MATCH(A3218,Ввод!$D$12:$D$71,1)),""))</f>
        <v/>
      </c>
      <c r="C3218" t="str">
        <f t="shared" si="100"/>
        <v/>
      </c>
      <c r="D3218" t="str">
        <f>IF(A3218="","",SUMIFS(Акты!$D$5:$D$16,Акты!$E$5:$E$16,"&lt;="&amp;A3218)-SUMIFS(Оплаты!$B$6:$B$505,Оплаты!$A$6:$A$505,"&lt;"&amp;A3218,Оплаты!$D$6:$D$505,"&lt;&gt;"))</f>
        <v/>
      </c>
      <c r="E3218" t="str">
        <f>IF(A3218="","",IF(SUMPRODUCT((Ввод!$F$12:$F$31&lt;&gt;"")*(Ввод!$F$12:$F$31&lt;=A3218)*(Ввод!$G$12:$G$31&gt;=A3218))&gt;0,1,0))</f>
        <v/>
      </c>
      <c r="G3218" t="str">
        <f t="shared" si="101"/>
        <v/>
      </c>
    </row>
    <row r="3219" spans="1:7" x14ac:dyDescent="0.3">
      <c r="A3219" s="21" t="str">
        <f>IF(A3218="","",IF(A3218+1&gt;Ввод!$B$4,"",A3218+1))</f>
        <v/>
      </c>
      <c r="B3219" s="23" t="str">
        <f>IF(A3219="","",IFERROR(INDEX(Ввод!$B$12:$B$71,MATCH(A3219,Ввод!$D$12:$D$71,1)),""))</f>
        <v/>
      </c>
      <c r="C3219" t="str">
        <f t="shared" si="100"/>
        <v/>
      </c>
      <c r="D3219" t="str">
        <f>IF(A3219="","",SUMIFS(Акты!$D$5:$D$16,Акты!$E$5:$E$16,"&lt;="&amp;A3219)-SUMIFS(Оплаты!$B$6:$B$505,Оплаты!$A$6:$A$505,"&lt;"&amp;A3219,Оплаты!$D$6:$D$505,"&lt;&gt;"))</f>
        <v/>
      </c>
      <c r="E3219" t="str">
        <f>IF(A3219="","",IF(SUMPRODUCT((Ввод!$F$12:$F$31&lt;&gt;"")*(Ввод!$F$12:$F$31&lt;=A3219)*(Ввод!$G$12:$G$31&gt;=A3219))&gt;0,1,0))</f>
        <v/>
      </c>
      <c r="G3219" t="str">
        <f t="shared" si="101"/>
        <v/>
      </c>
    </row>
    <row r="3220" spans="1:7" x14ac:dyDescent="0.3">
      <c r="A3220" s="21" t="str">
        <f>IF(A3219="","",IF(A3219+1&gt;Ввод!$B$4,"",A3219+1))</f>
        <v/>
      </c>
      <c r="B3220" s="23" t="str">
        <f>IF(A3220="","",IFERROR(INDEX(Ввод!$B$12:$B$71,MATCH(A3220,Ввод!$D$12:$D$71,1)),""))</f>
        <v/>
      </c>
      <c r="C3220" t="str">
        <f t="shared" si="100"/>
        <v/>
      </c>
      <c r="D3220" t="str">
        <f>IF(A3220="","",SUMIFS(Акты!$D$5:$D$16,Акты!$E$5:$E$16,"&lt;="&amp;A3220)-SUMIFS(Оплаты!$B$6:$B$505,Оплаты!$A$6:$A$505,"&lt;"&amp;A3220,Оплаты!$D$6:$D$505,"&lt;&gt;"))</f>
        <v/>
      </c>
      <c r="E3220" t="str">
        <f>IF(A3220="","",IF(SUMPRODUCT((Ввод!$F$12:$F$31&lt;&gt;"")*(Ввод!$F$12:$F$31&lt;=A3220)*(Ввод!$G$12:$G$31&gt;=A3220))&gt;0,1,0))</f>
        <v/>
      </c>
      <c r="G3220" t="str">
        <f t="shared" si="101"/>
        <v/>
      </c>
    </row>
    <row r="3221" spans="1:7" x14ac:dyDescent="0.3">
      <c r="A3221" s="21" t="str">
        <f>IF(A3220="","",IF(A3220+1&gt;Ввод!$B$4,"",A3220+1))</f>
        <v/>
      </c>
      <c r="B3221" s="23" t="str">
        <f>IF(A3221="","",IFERROR(INDEX(Ввод!$B$12:$B$71,MATCH(A3221,Ввод!$D$12:$D$71,1)),""))</f>
        <v/>
      </c>
      <c r="C3221" t="str">
        <f t="shared" si="100"/>
        <v/>
      </c>
      <c r="D3221" t="str">
        <f>IF(A3221="","",SUMIFS(Акты!$D$5:$D$16,Акты!$E$5:$E$16,"&lt;="&amp;A3221)-SUMIFS(Оплаты!$B$6:$B$505,Оплаты!$A$6:$A$505,"&lt;"&amp;A3221,Оплаты!$D$6:$D$505,"&lt;&gt;"))</f>
        <v/>
      </c>
      <c r="E3221" t="str">
        <f>IF(A3221="","",IF(SUMPRODUCT((Ввод!$F$12:$F$31&lt;&gt;"")*(Ввод!$F$12:$F$31&lt;=A3221)*(Ввод!$G$12:$G$31&gt;=A3221))&gt;0,1,0))</f>
        <v/>
      </c>
      <c r="G3221" t="str">
        <f t="shared" si="101"/>
        <v/>
      </c>
    </row>
    <row r="3222" spans="1:7" x14ac:dyDescent="0.3">
      <c r="A3222" s="21" t="str">
        <f>IF(A3221="","",IF(A3221+1&gt;Ввод!$B$4,"",A3221+1))</f>
        <v/>
      </c>
      <c r="B3222" s="23" t="str">
        <f>IF(A3222="","",IFERROR(INDEX(Ввод!$B$12:$B$71,MATCH(A3222,Ввод!$D$12:$D$71,1)),""))</f>
        <v/>
      </c>
      <c r="C3222" t="str">
        <f t="shared" si="100"/>
        <v/>
      </c>
      <c r="D3222" t="str">
        <f>IF(A3222="","",SUMIFS(Акты!$D$5:$D$16,Акты!$E$5:$E$16,"&lt;="&amp;A3222)-SUMIFS(Оплаты!$B$6:$B$505,Оплаты!$A$6:$A$505,"&lt;"&amp;A3222,Оплаты!$D$6:$D$505,"&lt;&gt;"))</f>
        <v/>
      </c>
      <c r="E3222" t="str">
        <f>IF(A3222="","",IF(SUMPRODUCT((Ввод!$F$12:$F$31&lt;&gt;"")*(Ввод!$F$12:$F$31&lt;=A3222)*(Ввод!$G$12:$G$31&gt;=A3222))&gt;0,1,0))</f>
        <v/>
      </c>
      <c r="G3222" t="str">
        <f t="shared" si="101"/>
        <v/>
      </c>
    </row>
    <row r="3223" spans="1:7" x14ac:dyDescent="0.3">
      <c r="A3223" s="21" t="str">
        <f>IF(A3222="","",IF(A3222+1&gt;Ввод!$B$4,"",A3222+1))</f>
        <v/>
      </c>
      <c r="B3223" s="23" t="str">
        <f>IF(A3223="","",IFERROR(INDEX(Ввод!$B$12:$B$71,MATCH(A3223,Ввод!$D$12:$D$71,1)),""))</f>
        <v/>
      </c>
      <c r="C3223" t="str">
        <f t="shared" si="100"/>
        <v/>
      </c>
      <c r="D3223" t="str">
        <f>IF(A3223="","",SUMIFS(Акты!$D$5:$D$16,Акты!$E$5:$E$16,"&lt;="&amp;A3223)-SUMIFS(Оплаты!$B$6:$B$505,Оплаты!$A$6:$A$505,"&lt;"&amp;A3223,Оплаты!$D$6:$D$505,"&lt;&gt;"))</f>
        <v/>
      </c>
      <c r="E3223" t="str">
        <f>IF(A3223="","",IF(SUMPRODUCT((Ввод!$F$12:$F$31&lt;&gt;"")*(Ввод!$F$12:$F$31&lt;=A3223)*(Ввод!$G$12:$G$31&gt;=A3223))&gt;0,1,0))</f>
        <v/>
      </c>
      <c r="G3223" t="str">
        <f t="shared" si="101"/>
        <v/>
      </c>
    </row>
    <row r="3224" spans="1:7" x14ac:dyDescent="0.3">
      <c r="A3224" s="21" t="str">
        <f>IF(A3223="","",IF(A3223+1&gt;Ввод!$B$4,"",A3223+1))</f>
        <v/>
      </c>
      <c r="B3224" s="23" t="str">
        <f>IF(A3224="","",IFERROR(INDEX(Ввод!$B$12:$B$71,MATCH(A3224,Ввод!$D$12:$D$71,1)),""))</f>
        <v/>
      </c>
      <c r="C3224" t="str">
        <f t="shared" si="100"/>
        <v/>
      </c>
      <c r="D3224" t="str">
        <f>IF(A3224="","",SUMIFS(Акты!$D$5:$D$16,Акты!$E$5:$E$16,"&lt;="&amp;A3224)-SUMIFS(Оплаты!$B$6:$B$505,Оплаты!$A$6:$A$505,"&lt;"&amp;A3224,Оплаты!$D$6:$D$505,"&lt;&gt;"))</f>
        <v/>
      </c>
      <c r="E3224" t="str">
        <f>IF(A3224="","",IF(SUMPRODUCT((Ввод!$F$12:$F$31&lt;&gt;"")*(Ввод!$F$12:$F$31&lt;=A3224)*(Ввод!$G$12:$G$31&gt;=A3224))&gt;0,1,0))</f>
        <v/>
      </c>
      <c r="G3224" t="str">
        <f t="shared" si="101"/>
        <v/>
      </c>
    </row>
    <row r="3225" spans="1:7" x14ac:dyDescent="0.3">
      <c r="A3225" s="21" t="str">
        <f>IF(A3224="","",IF(A3224+1&gt;Ввод!$B$4,"",A3224+1))</f>
        <v/>
      </c>
      <c r="B3225" s="23" t="str">
        <f>IF(A3225="","",IFERROR(INDEX(Ввод!$B$12:$B$71,MATCH(A3225,Ввод!$D$12:$D$71,1)),""))</f>
        <v/>
      </c>
      <c r="C3225" t="str">
        <f t="shared" si="100"/>
        <v/>
      </c>
      <c r="D3225" t="str">
        <f>IF(A3225="","",SUMIFS(Акты!$D$5:$D$16,Акты!$E$5:$E$16,"&lt;="&amp;A3225)-SUMIFS(Оплаты!$B$6:$B$505,Оплаты!$A$6:$A$505,"&lt;"&amp;A3225,Оплаты!$D$6:$D$505,"&lt;&gt;"))</f>
        <v/>
      </c>
      <c r="E3225" t="str">
        <f>IF(A3225="","",IF(SUMPRODUCT((Ввод!$F$12:$F$31&lt;&gt;"")*(Ввод!$F$12:$F$31&lt;=A3225)*(Ввод!$G$12:$G$31&gt;=A3225))&gt;0,1,0))</f>
        <v/>
      </c>
      <c r="G3225" t="str">
        <f t="shared" si="101"/>
        <v/>
      </c>
    </row>
    <row r="3226" spans="1:7" x14ac:dyDescent="0.3">
      <c r="A3226" s="21" t="str">
        <f>IF(A3225="","",IF(A3225+1&gt;Ввод!$B$4,"",A3225+1))</f>
        <v/>
      </c>
      <c r="B3226" s="23" t="str">
        <f>IF(A3226="","",IFERROR(INDEX(Ввод!$B$12:$B$71,MATCH(A3226,Ввод!$D$12:$D$71,1)),""))</f>
        <v/>
      </c>
      <c r="C3226" t="str">
        <f t="shared" si="100"/>
        <v/>
      </c>
      <c r="D3226" t="str">
        <f>IF(A3226="","",SUMIFS(Акты!$D$5:$D$16,Акты!$E$5:$E$16,"&lt;="&amp;A3226)-SUMIFS(Оплаты!$B$6:$B$505,Оплаты!$A$6:$A$505,"&lt;"&amp;A3226,Оплаты!$D$6:$D$505,"&lt;&gt;"))</f>
        <v/>
      </c>
      <c r="E3226" t="str">
        <f>IF(A3226="","",IF(SUMPRODUCT((Ввод!$F$12:$F$31&lt;&gt;"")*(Ввод!$F$12:$F$31&lt;=A3226)*(Ввод!$G$12:$G$31&gt;=A3226))&gt;0,1,0))</f>
        <v/>
      </c>
      <c r="G3226" t="str">
        <f t="shared" si="101"/>
        <v/>
      </c>
    </row>
    <row r="3227" spans="1:7" x14ac:dyDescent="0.3">
      <c r="A3227" s="21" t="str">
        <f>IF(A3226="","",IF(A3226+1&gt;Ввод!$B$4,"",A3226+1))</f>
        <v/>
      </c>
      <c r="B3227" s="23" t="str">
        <f>IF(A3227="","",IFERROR(INDEX(Ввод!$B$12:$B$71,MATCH(A3227,Ввод!$D$12:$D$71,1)),""))</f>
        <v/>
      </c>
      <c r="C3227" t="str">
        <f t="shared" si="100"/>
        <v/>
      </c>
      <c r="D3227" t="str">
        <f>IF(A3227="","",SUMIFS(Акты!$D$5:$D$16,Акты!$E$5:$E$16,"&lt;="&amp;A3227)-SUMIFS(Оплаты!$B$6:$B$505,Оплаты!$A$6:$A$505,"&lt;"&amp;A3227,Оплаты!$D$6:$D$505,"&lt;&gt;"))</f>
        <v/>
      </c>
      <c r="E3227" t="str">
        <f>IF(A3227="","",IF(SUMPRODUCT((Ввод!$F$12:$F$31&lt;&gt;"")*(Ввод!$F$12:$F$31&lt;=A3227)*(Ввод!$G$12:$G$31&gt;=A3227))&gt;0,1,0))</f>
        <v/>
      </c>
      <c r="G3227" t="str">
        <f t="shared" si="101"/>
        <v/>
      </c>
    </row>
    <row r="3228" spans="1:7" x14ac:dyDescent="0.3">
      <c r="A3228" s="21" t="str">
        <f>IF(A3227="","",IF(A3227+1&gt;Ввод!$B$4,"",A3227+1))</f>
        <v/>
      </c>
      <c r="B3228" s="23" t="str">
        <f>IF(A3228="","",IFERROR(INDEX(Ввод!$B$12:$B$71,MATCH(A3228,Ввод!$D$12:$D$71,1)),""))</f>
        <v/>
      </c>
      <c r="C3228" t="str">
        <f t="shared" si="100"/>
        <v/>
      </c>
      <c r="D3228" t="str">
        <f>IF(A3228="","",SUMIFS(Акты!$D$5:$D$16,Акты!$E$5:$E$16,"&lt;="&amp;A3228)-SUMIFS(Оплаты!$B$6:$B$505,Оплаты!$A$6:$A$505,"&lt;"&amp;A3228,Оплаты!$D$6:$D$505,"&lt;&gt;"))</f>
        <v/>
      </c>
      <c r="E3228" t="str">
        <f>IF(A3228="","",IF(SUMPRODUCT((Ввод!$F$12:$F$31&lt;&gt;"")*(Ввод!$F$12:$F$31&lt;=A3228)*(Ввод!$G$12:$G$31&gt;=A3228))&gt;0,1,0))</f>
        <v/>
      </c>
      <c r="G3228" t="str">
        <f t="shared" si="101"/>
        <v/>
      </c>
    </row>
    <row r="3229" spans="1:7" x14ac:dyDescent="0.3">
      <c r="A3229" s="21" t="str">
        <f>IF(A3228="","",IF(A3228+1&gt;Ввод!$B$4,"",A3228+1))</f>
        <v/>
      </c>
      <c r="B3229" s="23" t="str">
        <f>IF(A3229="","",IFERROR(INDEX(Ввод!$B$12:$B$71,MATCH(A3229,Ввод!$D$12:$D$71,1)),""))</f>
        <v/>
      </c>
      <c r="C3229" t="str">
        <f t="shared" si="100"/>
        <v/>
      </c>
      <c r="D3229" t="str">
        <f>IF(A3229="","",SUMIFS(Акты!$D$5:$D$16,Акты!$E$5:$E$16,"&lt;="&amp;A3229)-SUMIFS(Оплаты!$B$6:$B$505,Оплаты!$A$6:$A$505,"&lt;"&amp;A3229,Оплаты!$D$6:$D$505,"&lt;&gt;"))</f>
        <v/>
      </c>
      <c r="E3229" t="str">
        <f>IF(A3229="","",IF(SUMPRODUCT((Ввод!$F$12:$F$31&lt;&gt;"")*(Ввод!$F$12:$F$31&lt;=A3229)*(Ввод!$G$12:$G$31&gt;=A3229))&gt;0,1,0))</f>
        <v/>
      </c>
      <c r="G3229" t="str">
        <f t="shared" si="101"/>
        <v/>
      </c>
    </row>
    <row r="3230" spans="1:7" x14ac:dyDescent="0.3">
      <c r="A3230" s="21" t="str">
        <f>IF(A3229="","",IF(A3229+1&gt;Ввод!$B$4,"",A3229+1))</f>
        <v/>
      </c>
      <c r="B3230" s="23" t="str">
        <f>IF(A3230="","",IFERROR(INDEX(Ввод!$B$12:$B$71,MATCH(A3230,Ввод!$D$12:$D$71,1)),""))</f>
        <v/>
      </c>
      <c r="C3230" t="str">
        <f t="shared" si="100"/>
        <v/>
      </c>
      <c r="D3230" t="str">
        <f>IF(A3230="","",SUMIFS(Акты!$D$5:$D$16,Акты!$E$5:$E$16,"&lt;="&amp;A3230)-SUMIFS(Оплаты!$B$6:$B$505,Оплаты!$A$6:$A$505,"&lt;"&amp;A3230,Оплаты!$D$6:$D$505,"&lt;&gt;"))</f>
        <v/>
      </c>
      <c r="E3230" t="str">
        <f>IF(A3230="","",IF(SUMPRODUCT((Ввод!$F$12:$F$31&lt;&gt;"")*(Ввод!$F$12:$F$31&lt;=A3230)*(Ввод!$G$12:$G$31&gt;=A3230))&gt;0,1,0))</f>
        <v/>
      </c>
      <c r="G3230" t="str">
        <f t="shared" si="101"/>
        <v/>
      </c>
    </row>
    <row r="3231" spans="1:7" x14ac:dyDescent="0.3">
      <c r="A3231" s="21" t="str">
        <f>IF(A3230="","",IF(A3230+1&gt;Ввод!$B$4,"",A3230+1))</f>
        <v/>
      </c>
      <c r="B3231" s="23" t="str">
        <f>IF(A3231="","",IFERROR(INDEX(Ввод!$B$12:$B$71,MATCH(A3231,Ввод!$D$12:$D$71,1)),""))</f>
        <v/>
      </c>
      <c r="C3231" t="str">
        <f t="shared" si="100"/>
        <v/>
      </c>
      <c r="D3231" t="str">
        <f>IF(A3231="","",SUMIFS(Акты!$D$5:$D$16,Акты!$E$5:$E$16,"&lt;="&amp;A3231)-SUMIFS(Оплаты!$B$6:$B$505,Оплаты!$A$6:$A$505,"&lt;"&amp;A3231,Оплаты!$D$6:$D$505,"&lt;&gt;"))</f>
        <v/>
      </c>
      <c r="E3231" t="str">
        <f>IF(A3231="","",IF(SUMPRODUCT((Ввод!$F$12:$F$31&lt;&gt;"")*(Ввод!$F$12:$F$31&lt;=A3231)*(Ввод!$G$12:$G$31&gt;=A3231))&gt;0,1,0))</f>
        <v/>
      </c>
      <c r="G3231" t="str">
        <f t="shared" si="101"/>
        <v/>
      </c>
    </row>
    <row r="3232" spans="1:7" x14ac:dyDescent="0.3">
      <c r="A3232" s="21" t="str">
        <f>IF(A3231="","",IF(A3231+1&gt;Ввод!$B$4,"",A3231+1))</f>
        <v/>
      </c>
      <c r="B3232" s="23" t="str">
        <f>IF(A3232="","",IFERROR(INDEX(Ввод!$B$12:$B$71,MATCH(A3232,Ввод!$D$12:$D$71,1)),""))</f>
        <v/>
      </c>
      <c r="C3232" t="str">
        <f t="shared" si="100"/>
        <v/>
      </c>
      <c r="D3232" t="str">
        <f>IF(A3232="","",SUMIFS(Акты!$D$5:$D$16,Акты!$E$5:$E$16,"&lt;="&amp;A3232)-SUMIFS(Оплаты!$B$6:$B$505,Оплаты!$A$6:$A$505,"&lt;"&amp;A3232,Оплаты!$D$6:$D$505,"&lt;&gt;"))</f>
        <v/>
      </c>
      <c r="E3232" t="str">
        <f>IF(A3232="","",IF(SUMPRODUCT((Ввод!$F$12:$F$31&lt;&gt;"")*(Ввод!$F$12:$F$31&lt;=A3232)*(Ввод!$G$12:$G$31&gt;=A3232))&gt;0,1,0))</f>
        <v/>
      </c>
      <c r="G3232" t="str">
        <f t="shared" si="101"/>
        <v/>
      </c>
    </row>
    <row r="3233" spans="1:7" x14ac:dyDescent="0.3">
      <c r="A3233" s="21" t="str">
        <f>IF(A3232="","",IF(A3232+1&gt;Ввод!$B$4,"",A3232+1))</f>
        <v/>
      </c>
      <c r="B3233" s="23" t="str">
        <f>IF(A3233="","",IFERROR(INDEX(Ввод!$B$12:$B$71,MATCH(A3233,Ввод!$D$12:$D$71,1)),""))</f>
        <v/>
      </c>
      <c r="C3233" t="str">
        <f t="shared" si="100"/>
        <v/>
      </c>
      <c r="D3233" t="str">
        <f>IF(A3233="","",SUMIFS(Акты!$D$5:$D$16,Акты!$E$5:$E$16,"&lt;="&amp;A3233)-SUMIFS(Оплаты!$B$6:$B$505,Оплаты!$A$6:$A$505,"&lt;"&amp;A3233,Оплаты!$D$6:$D$505,"&lt;&gt;"))</f>
        <v/>
      </c>
      <c r="E3233" t="str">
        <f>IF(A3233="","",IF(SUMPRODUCT((Ввод!$F$12:$F$31&lt;&gt;"")*(Ввод!$F$12:$F$31&lt;=A3233)*(Ввод!$G$12:$G$31&gt;=A3233))&gt;0,1,0))</f>
        <v/>
      </c>
      <c r="G3233" t="str">
        <f t="shared" si="101"/>
        <v/>
      </c>
    </row>
    <row r="3234" spans="1:7" x14ac:dyDescent="0.3">
      <c r="A3234" s="21" t="str">
        <f>IF(A3233="","",IF(A3233+1&gt;Ввод!$B$4,"",A3233+1))</f>
        <v/>
      </c>
      <c r="B3234" s="23" t="str">
        <f>IF(A3234="","",IFERROR(INDEX(Ввод!$B$12:$B$71,MATCH(A3234,Ввод!$D$12:$D$71,1)),""))</f>
        <v/>
      </c>
      <c r="C3234" t="str">
        <f t="shared" si="100"/>
        <v/>
      </c>
      <c r="D3234" t="str">
        <f>IF(A3234="","",SUMIFS(Акты!$D$5:$D$16,Акты!$E$5:$E$16,"&lt;="&amp;A3234)-SUMIFS(Оплаты!$B$6:$B$505,Оплаты!$A$6:$A$505,"&lt;"&amp;A3234,Оплаты!$D$6:$D$505,"&lt;&gt;"))</f>
        <v/>
      </c>
      <c r="E3234" t="str">
        <f>IF(A3234="","",IF(SUMPRODUCT((Ввод!$F$12:$F$31&lt;&gt;"")*(Ввод!$F$12:$F$31&lt;=A3234)*(Ввод!$G$12:$G$31&gt;=A3234))&gt;0,1,0))</f>
        <v/>
      </c>
      <c r="G3234" t="str">
        <f t="shared" si="101"/>
        <v/>
      </c>
    </row>
    <row r="3235" spans="1:7" x14ac:dyDescent="0.3">
      <c r="A3235" s="21" t="str">
        <f>IF(A3234="","",IF(A3234+1&gt;Ввод!$B$4,"",A3234+1))</f>
        <v/>
      </c>
      <c r="B3235" s="23" t="str">
        <f>IF(A3235="","",IFERROR(INDEX(Ввод!$B$12:$B$71,MATCH(A3235,Ввод!$D$12:$D$71,1)),""))</f>
        <v/>
      </c>
      <c r="C3235" t="str">
        <f t="shared" si="100"/>
        <v/>
      </c>
      <c r="D3235" t="str">
        <f>IF(A3235="","",SUMIFS(Акты!$D$5:$D$16,Акты!$E$5:$E$16,"&lt;="&amp;A3235)-SUMIFS(Оплаты!$B$6:$B$505,Оплаты!$A$6:$A$505,"&lt;"&amp;A3235,Оплаты!$D$6:$D$505,"&lt;&gt;"))</f>
        <v/>
      </c>
      <c r="E3235" t="str">
        <f>IF(A3235="","",IF(SUMPRODUCT((Ввод!$F$12:$F$31&lt;&gt;"")*(Ввод!$F$12:$F$31&lt;=A3235)*(Ввод!$G$12:$G$31&gt;=A3235))&gt;0,1,0))</f>
        <v/>
      </c>
      <c r="G3235" t="str">
        <f t="shared" si="101"/>
        <v/>
      </c>
    </row>
    <row r="3236" spans="1:7" x14ac:dyDescent="0.3">
      <c r="A3236" s="21" t="str">
        <f>IF(A3235="","",IF(A3235+1&gt;Ввод!$B$4,"",A3235+1))</f>
        <v/>
      </c>
      <c r="B3236" s="23" t="str">
        <f>IF(A3236="","",IFERROR(INDEX(Ввод!$B$12:$B$71,MATCH(A3236,Ввод!$D$12:$D$71,1)),""))</f>
        <v/>
      </c>
      <c r="C3236" t="str">
        <f t="shared" si="100"/>
        <v/>
      </c>
      <c r="D3236" t="str">
        <f>IF(A3236="","",SUMIFS(Акты!$D$5:$D$16,Акты!$E$5:$E$16,"&lt;="&amp;A3236)-SUMIFS(Оплаты!$B$6:$B$505,Оплаты!$A$6:$A$505,"&lt;"&amp;A3236,Оплаты!$D$6:$D$505,"&lt;&gt;"))</f>
        <v/>
      </c>
      <c r="E3236" t="str">
        <f>IF(A3236="","",IF(SUMPRODUCT((Ввод!$F$12:$F$31&lt;&gt;"")*(Ввод!$F$12:$F$31&lt;=A3236)*(Ввод!$G$12:$G$31&gt;=A3236))&gt;0,1,0))</f>
        <v/>
      </c>
      <c r="G3236" t="str">
        <f t="shared" si="101"/>
        <v/>
      </c>
    </row>
    <row r="3237" spans="1:7" x14ac:dyDescent="0.3">
      <c r="A3237" s="21" t="str">
        <f>IF(A3236="","",IF(A3236+1&gt;Ввод!$B$4,"",A3236+1))</f>
        <v/>
      </c>
      <c r="B3237" s="23" t="str">
        <f>IF(A3237="","",IFERROR(INDEX(Ввод!$B$12:$B$71,MATCH(A3237,Ввод!$D$12:$D$71,1)),""))</f>
        <v/>
      </c>
      <c r="C3237" t="str">
        <f t="shared" si="100"/>
        <v/>
      </c>
      <c r="D3237" t="str">
        <f>IF(A3237="","",SUMIFS(Акты!$D$5:$D$16,Акты!$E$5:$E$16,"&lt;="&amp;A3237)-SUMIFS(Оплаты!$B$6:$B$505,Оплаты!$A$6:$A$505,"&lt;"&amp;A3237,Оплаты!$D$6:$D$505,"&lt;&gt;"))</f>
        <v/>
      </c>
      <c r="E3237" t="str">
        <f>IF(A3237="","",IF(SUMPRODUCT((Ввод!$F$12:$F$31&lt;&gt;"")*(Ввод!$F$12:$F$31&lt;=A3237)*(Ввод!$G$12:$G$31&gt;=A3237))&gt;0,1,0))</f>
        <v/>
      </c>
      <c r="G3237" t="str">
        <f t="shared" si="101"/>
        <v/>
      </c>
    </row>
    <row r="3238" spans="1:7" x14ac:dyDescent="0.3">
      <c r="A3238" s="21" t="str">
        <f>IF(A3237="","",IF(A3237+1&gt;Ввод!$B$4,"",A3237+1))</f>
        <v/>
      </c>
      <c r="B3238" s="23" t="str">
        <f>IF(A3238="","",IFERROR(INDEX(Ввод!$B$12:$B$71,MATCH(A3238,Ввод!$D$12:$D$71,1)),""))</f>
        <v/>
      </c>
      <c r="C3238" t="str">
        <f t="shared" si="100"/>
        <v/>
      </c>
      <c r="D3238" t="str">
        <f>IF(A3238="","",SUMIFS(Акты!$D$5:$D$16,Акты!$E$5:$E$16,"&lt;="&amp;A3238)-SUMIFS(Оплаты!$B$6:$B$505,Оплаты!$A$6:$A$505,"&lt;"&amp;A3238,Оплаты!$D$6:$D$505,"&lt;&gt;"))</f>
        <v/>
      </c>
      <c r="E3238" t="str">
        <f>IF(A3238="","",IF(SUMPRODUCT((Ввод!$F$12:$F$31&lt;&gt;"")*(Ввод!$F$12:$F$31&lt;=A3238)*(Ввод!$G$12:$G$31&gt;=A3238))&gt;0,1,0))</f>
        <v/>
      </c>
      <c r="G3238" t="str">
        <f t="shared" si="101"/>
        <v/>
      </c>
    </row>
    <row r="3239" spans="1:7" x14ac:dyDescent="0.3">
      <c r="A3239" s="21" t="str">
        <f>IF(A3238="","",IF(A3238+1&gt;Ввод!$B$4,"",A3238+1))</f>
        <v/>
      </c>
      <c r="B3239" s="23" t="str">
        <f>IF(A3239="","",IFERROR(INDEX(Ввод!$B$12:$B$71,MATCH(A3239,Ввод!$D$12:$D$71,1)),""))</f>
        <v/>
      </c>
      <c r="C3239" t="str">
        <f t="shared" si="100"/>
        <v/>
      </c>
      <c r="D3239" t="str">
        <f>IF(A3239="","",SUMIFS(Акты!$D$5:$D$16,Акты!$E$5:$E$16,"&lt;="&amp;A3239)-SUMIFS(Оплаты!$B$6:$B$505,Оплаты!$A$6:$A$505,"&lt;"&amp;A3239,Оплаты!$D$6:$D$505,"&lt;&gt;"))</f>
        <v/>
      </c>
      <c r="E3239" t="str">
        <f>IF(A3239="","",IF(SUMPRODUCT((Ввод!$F$12:$F$31&lt;&gt;"")*(Ввод!$F$12:$F$31&lt;=A3239)*(Ввод!$G$12:$G$31&gt;=A3239))&gt;0,1,0))</f>
        <v/>
      </c>
      <c r="G3239" t="str">
        <f t="shared" si="101"/>
        <v/>
      </c>
    </row>
    <row r="3240" spans="1:7" x14ac:dyDescent="0.3">
      <c r="A3240" s="21" t="str">
        <f>IF(A3239="","",IF(A3239+1&gt;Ввод!$B$4,"",A3239+1))</f>
        <v/>
      </c>
      <c r="B3240" s="23" t="str">
        <f>IF(A3240="","",IFERROR(INDEX(Ввод!$B$12:$B$71,MATCH(A3240,Ввод!$D$12:$D$71,1)),""))</f>
        <v/>
      </c>
      <c r="C3240" t="str">
        <f t="shared" si="100"/>
        <v/>
      </c>
      <c r="D3240" t="str">
        <f>IF(A3240="","",SUMIFS(Акты!$D$5:$D$16,Акты!$E$5:$E$16,"&lt;="&amp;A3240)-SUMIFS(Оплаты!$B$6:$B$505,Оплаты!$A$6:$A$505,"&lt;"&amp;A3240,Оплаты!$D$6:$D$505,"&lt;&gt;"))</f>
        <v/>
      </c>
      <c r="E3240" t="str">
        <f>IF(A3240="","",IF(SUMPRODUCT((Ввод!$F$12:$F$31&lt;&gt;"")*(Ввод!$F$12:$F$31&lt;=A3240)*(Ввод!$G$12:$G$31&gt;=A3240))&gt;0,1,0))</f>
        <v/>
      </c>
      <c r="G3240" t="str">
        <f t="shared" si="101"/>
        <v/>
      </c>
    </row>
    <row r="3241" spans="1:7" x14ac:dyDescent="0.3">
      <c r="A3241" s="21" t="str">
        <f>IF(A3240="","",IF(A3240+1&gt;Ввод!$B$4,"",A3240+1))</f>
        <v/>
      </c>
      <c r="B3241" s="23" t="str">
        <f>IF(A3241="","",IFERROR(INDEX(Ввод!$B$12:$B$71,MATCH(A3241,Ввод!$D$12:$D$71,1)),""))</f>
        <v/>
      </c>
      <c r="C3241" t="str">
        <f t="shared" si="100"/>
        <v/>
      </c>
      <c r="D3241" t="str">
        <f>IF(A3241="","",SUMIFS(Акты!$D$5:$D$16,Акты!$E$5:$E$16,"&lt;="&amp;A3241)-SUMIFS(Оплаты!$B$6:$B$505,Оплаты!$A$6:$A$505,"&lt;"&amp;A3241,Оплаты!$D$6:$D$505,"&lt;&gt;"))</f>
        <v/>
      </c>
      <c r="E3241" t="str">
        <f>IF(A3241="","",IF(SUMPRODUCT((Ввод!$F$12:$F$31&lt;&gt;"")*(Ввод!$F$12:$F$31&lt;=A3241)*(Ввод!$G$12:$G$31&gt;=A3241))&gt;0,1,0))</f>
        <v/>
      </c>
      <c r="G3241" t="str">
        <f t="shared" si="101"/>
        <v/>
      </c>
    </row>
    <row r="3242" spans="1:7" x14ac:dyDescent="0.3">
      <c r="A3242" s="21" t="str">
        <f>IF(A3241="","",IF(A3241+1&gt;Ввод!$B$4,"",A3241+1))</f>
        <v/>
      </c>
      <c r="B3242" s="23" t="str">
        <f>IF(A3242="","",IFERROR(INDEX(Ввод!$B$12:$B$71,MATCH(A3242,Ввод!$D$12:$D$71,1)),""))</f>
        <v/>
      </c>
      <c r="C3242" t="str">
        <f t="shared" si="100"/>
        <v/>
      </c>
      <c r="D3242" t="str">
        <f>IF(A3242="","",SUMIFS(Акты!$D$5:$D$16,Акты!$E$5:$E$16,"&lt;="&amp;A3242)-SUMIFS(Оплаты!$B$6:$B$505,Оплаты!$A$6:$A$505,"&lt;"&amp;A3242,Оплаты!$D$6:$D$505,"&lt;&gt;"))</f>
        <v/>
      </c>
      <c r="E3242" t="str">
        <f>IF(A3242="","",IF(SUMPRODUCT((Ввод!$F$12:$F$31&lt;&gt;"")*(Ввод!$F$12:$F$31&lt;=A3242)*(Ввод!$G$12:$G$31&gt;=A3242))&gt;0,1,0))</f>
        <v/>
      </c>
      <c r="G3242" t="str">
        <f t="shared" si="101"/>
        <v/>
      </c>
    </row>
    <row r="3243" spans="1:7" x14ac:dyDescent="0.3">
      <c r="A3243" s="21" t="str">
        <f>IF(A3242="","",IF(A3242+1&gt;Ввод!$B$4,"",A3242+1))</f>
        <v/>
      </c>
      <c r="B3243" s="23" t="str">
        <f>IF(A3243="","",IFERROR(INDEX(Ввод!$B$12:$B$71,MATCH(A3243,Ввод!$D$12:$D$71,1)),""))</f>
        <v/>
      </c>
      <c r="C3243" t="str">
        <f t="shared" si="100"/>
        <v/>
      </c>
      <c r="D3243" t="str">
        <f>IF(A3243="","",SUMIFS(Акты!$D$5:$D$16,Акты!$E$5:$E$16,"&lt;="&amp;A3243)-SUMIFS(Оплаты!$B$6:$B$505,Оплаты!$A$6:$A$505,"&lt;"&amp;A3243,Оплаты!$D$6:$D$505,"&lt;&gt;"))</f>
        <v/>
      </c>
      <c r="E3243" t="str">
        <f>IF(A3243="","",IF(SUMPRODUCT((Ввод!$F$12:$F$31&lt;&gt;"")*(Ввод!$F$12:$F$31&lt;=A3243)*(Ввод!$G$12:$G$31&gt;=A3243))&gt;0,1,0))</f>
        <v/>
      </c>
      <c r="G3243" t="str">
        <f t="shared" si="101"/>
        <v/>
      </c>
    </row>
    <row r="3244" spans="1:7" x14ac:dyDescent="0.3">
      <c r="A3244" s="21" t="str">
        <f>IF(A3243="","",IF(A3243+1&gt;Ввод!$B$4,"",A3243+1))</f>
        <v/>
      </c>
      <c r="B3244" s="23" t="str">
        <f>IF(A3244="","",IFERROR(INDEX(Ввод!$B$12:$B$71,MATCH(A3244,Ввод!$D$12:$D$71,1)),""))</f>
        <v/>
      </c>
      <c r="C3244" t="str">
        <f t="shared" si="100"/>
        <v/>
      </c>
      <c r="D3244" t="str">
        <f>IF(A3244="","",SUMIFS(Акты!$D$5:$D$16,Акты!$E$5:$E$16,"&lt;="&amp;A3244)-SUMIFS(Оплаты!$B$6:$B$505,Оплаты!$A$6:$A$505,"&lt;"&amp;A3244,Оплаты!$D$6:$D$505,"&lt;&gt;"))</f>
        <v/>
      </c>
      <c r="E3244" t="str">
        <f>IF(A3244="","",IF(SUMPRODUCT((Ввод!$F$12:$F$31&lt;&gt;"")*(Ввод!$F$12:$F$31&lt;=A3244)*(Ввод!$G$12:$G$31&gt;=A3244))&gt;0,1,0))</f>
        <v/>
      </c>
      <c r="G3244" t="str">
        <f t="shared" si="101"/>
        <v/>
      </c>
    </row>
    <row r="3245" spans="1:7" x14ac:dyDescent="0.3">
      <c r="A3245" s="21" t="str">
        <f>IF(A3244="","",IF(A3244+1&gt;Ввод!$B$4,"",A3244+1))</f>
        <v/>
      </c>
      <c r="B3245" s="23" t="str">
        <f>IF(A3245="","",IFERROR(INDEX(Ввод!$B$12:$B$71,MATCH(A3245,Ввод!$D$12:$D$71,1)),""))</f>
        <v/>
      </c>
      <c r="C3245" t="str">
        <f t="shared" si="100"/>
        <v/>
      </c>
      <c r="D3245" t="str">
        <f>IF(A3245="","",SUMIFS(Акты!$D$5:$D$16,Акты!$E$5:$E$16,"&lt;="&amp;A3245)-SUMIFS(Оплаты!$B$6:$B$505,Оплаты!$A$6:$A$505,"&lt;"&amp;A3245,Оплаты!$D$6:$D$505,"&lt;&gt;"))</f>
        <v/>
      </c>
      <c r="E3245" t="str">
        <f>IF(A3245="","",IF(SUMPRODUCT((Ввод!$F$12:$F$31&lt;&gt;"")*(Ввод!$F$12:$F$31&lt;=A3245)*(Ввод!$G$12:$G$31&gt;=A3245))&gt;0,1,0))</f>
        <v/>
      </c>
      <c r="G3245" t="str">
        <f t="shared" si="101"/>
        <v/>
      </c>
    </row>
    <row r="3246" spans="1:7" x14ac:dyDescent="0.3">
      <c r="A3246" s="21" t="str">
        <f>IF(A3245="","",IF(A3245+1&gt;Ввод!$B$4,"",A3245+1))</f>
        <v/>
      </c>
      <c r="B3246" s="23" t="str">
        <f>IF(A3246="","",IFERROR(INDEX(Ввод!$B$12:$B$71,MATCH(A3246,Ввод!$D$12:$D$71,1)),""))</f>
        <v/>
      </c>
      <c r="C3246" t="str">
        <f t="shared" si="100"/>
        <v/>
      </c>
      <c r="D3246" t="str">
        <f>IF(A3246="","",SUMIFS(Акты!$D$5:$D$16,Акты!$E$5:$E$16,"&lt;="&amp;A3246)-SUMIFS(Оплаты!$B$6:$B$505,Оплаты!$A$6:$A$505,"&lt;"&amp;A3246,Оплаты!$D$6:$D$505,"&lt;&gt;"))</f>
        <v/>
      </c>
      <c r="E3246" t="str">
        <f>IF(A3246="","",IF(SUMPRODUCT((Ввод!$F$12:$F$31&lt;&gt;"")*(Ввод!$F$12:$F$31&lt;=A3246)*(Ввод!$G$12:$G$31&gt;=A3246))&gt;0,1,0))</f>
        <v/>
      </c>
      <c r="G3246" t="str">
        <f t="shared" si="101"/>
        <v/>
      </c>
    </row>
    <row r="3247" spans="1:7" x14ac:dyDescent="0.3">
      <c r="A3247" s="21" t="str">
        <f>IF(A3246="","",IF(A3246+1&gt;Ввод!$B$4,"",A3246+1))</f>
        <v/>
      </c>
      <c r="B3247" s="23" t="str">
        <f>IF(A3247="","",IFERROR(INDEX(Ввод!$B$12:$B$71,MATCH(A3247,Ввод!$D$12:$D$71,1)),""))</f>
        <v/>
      </c>
      <c r="C3247" t="str">
        <f t="shared" si="100"/>
        <v/>
      </c>
      <c r="D3247" t="str">
        <f>IF(A3247="","",SUMIFS(Акты!$D$5:$D$16,Акты!$E$5:$E$16,"&lt;="&amp;A3247)-SUMIFS(Оплаты!$B$6:$B$505,Оплаты!$A$6:$A$505,"&lt;"&amp;A3247,Оплаты!$D$6:$D$505,"&lt;&gt;"))</f>
        <v/>
      </c>
      <c r="E3247" t="str">
        <f>IF(A3247="","",IF(SUMPRODUCT((Ввод!$F$12:$F$31&lt;&gt;"")*(Ввод!$F$12:$F$31&lt;=A3247)*(Ввод!$G$12:$G$31&gt;=A3247))&gt;0,1,0))</f>
        <v/>
      </c>
      <c r="G3247" t="str">
        <f t="shared" si="101"/>
        <v/>
      </c>
    </row>
    <row r="3248" spans="1:7" x14ac:dyDescent="0.3">
      <c r="A3248" s="21" t="str">
        <f>IF(A3247="","",IF(A3247+1&gt;Ввод!$B$4,"",A3247+1))</f>
        <v/>
      </c>
      <c r="B3248" s="23" t="str">
        <f>IF(A3248="","",IFERROR(INDEX(Ввод!$B$12:$B$71,MATCH(A3248,Ввод!$D$12:$D$71,1)),""))</f>
        <v/>
      </c>
      <c r="C3248" t="str">
        <f t="shared" si="100"/>
        <v/>
      </c>
      <c r="D3248" t="str">
        <f>IF(A3248="","",SUMIFS(Акты!$D$5:$D$16,Акты!$E$5:$E$16,"&lt;="&amp;A3248)-SUMIFS(Оплаты!$B$6:$B$505,Оплаты!$A$6:$A$505,"&lt;"&amp;A3248,Оплаты!$D$6:$D$505,"&lt;&gt;"))</f>
        <v/>
      </c>
      <c r="E3248" t="str">
        <f>IF(A3248="","",IF(SUMPRODUCT((Ввод!$F$12:$F$31&lt;&gt;"")*(Ввод!$F$12:$F$31&lt;=A3248)*(Ввод!$G$12:$G$31&gt;=A3248))&gt;0,1,0))</f>
        <v/>
      </c>
      <c r="G3248" t="str">
        <f t="shared" si="101"/>
        <v/>
      </c>
    </row>
    <row r="3249" spans="1:7" x14ac:dyDescent="0.3">
      <c r="A3249" s="21" t="str">
        <f>IF(A3248="","",IF(A3248+1&gt;Ввод!$B$4,"",A3248+1))</f>
        <v/>
      </c>
      <c r="B3249" s="23" t="str">
        <f>IF(A3249="","",IFERROR(INDEX(Ввод!$B$12:$B$71,MATCH(A3249,Ввод!$D$12:$D$71,1)),""))</f>
        <v/>
      </c>
      <c r="C3249" t="str">
        <f t="shared" si="100"/>
        <v/>
      </c>
      <c r="D3249" t="str">
        <f>IF(A3249="","",SUMIFS(Акты!$D$5:$D$16,Акты!$E$5:$E$16,"&lt;="&amp;A3249)-SUMIFS(Оплаты!$B$6:$B$505,Оплаты!$A$6:$A$505,"&lt;"&amp;A3249,Оплаты!$D$6:$D$505,"&lt;&gt;"))</f>
        <v/>
      </c>
      <c r="E3249" t="str">
        <f>IF(A3249="","",IF(SUMPRODUCT((Ввод!$F$12:$F$31&lt;&gt;"")*(Ввод!$F$12:$F$31&lt;=A3249)*(Ввод!$G$12:$G$31&gt;=A3249))&gt;0,1,0))</f>
        <v/>
      </c>
      <c r="G3249" t="str">
        <f t="shared" si="101"/>
        <v/>
      </c>
    </row>
    <row r="3250" spans="1:7" x14ac:dyDescent="0.3">
      <c r="A3250" s="21" t="str">
        <f>IF(A3249="","",IF(A3249+1&gt;Ввод!$B$4,"",A3249+1))</f>
        <v/>
      </c>
      <c r="B3250" s="23" t="str">
        <f>IF(A3250="","",IFERROR(INDEX(Ввод!$B$12:$B$71,MATCH(A3250,Ввод!$D$12:$D$71,1)),""))</f>
        <v/>
      </c>
      <c r="C3250" t="str">
        <f t="shared" si="100"/>
        <v/>
      </c>
      <c r="D3250" t="str">
        <f>IF(A3250="","",SUMIFS(Акты!$D$5:$D$16,Акты!$E$5:$E$16,"&lt;="&amp;A3250)-SUMIFS(Оплаты!$B$6:$B$505,Оплаты!$A$6:$A$505,"&lt;"&amp;A3250,Оплаты!$D$6:$D$505,"&lt;&gt;"))</f>
        <v/>
      </c>
      <c r="E3250" t="str">
        <f>IF(A3250="","",IF(SUMPRODUCT((Ввод!$F$12:$F$31&lt;&gt;"")*(Ввод!$F$12:$F$31&lt;=A3250)*(Ввод!$G$12:$G$31&gt;=A3250))&gt;0,1,0))</f>
        <v/>
      </c>
      <c r="G3250" t="str">
        <f t="shared" si="101"/>
        <v/>
      </c>
    </row>
    <row r="3251" spans="1:7" x14ac:dyDescent="0.3">
      <c r="A3251" s="21" t="str">
        <f>IF(A3250="","",IF(A3250+1&gt;Ввод!$B$4,"",A3250+1))</f>
        <v/>
      </c>
      <c r="B3251" s="23" t="str">
        <f>IF(A3251="","",IFERROR(INDEX(Ввод!$B$12:$B$71,MATCH(A3251,Ввод!$D$12:$D$71,1)),""))</f>
        <v/>
      </c>
      <c r="C3251" t="str">
        <f t="shared" si="100"/>
        <v/>
      </c>
      <c r="D3251" t="str">
        <f>IF(A3251="","",SUMIFS(Акты!$D$5:$D$16,Акты!$E$5:$E$16,"&lt;="&amp;A3251)-SUMIFS(Оплаты!$B$6:$B$505,Оплаты!$A$6:$A$505,"&lt;"&amp;A3251,Оплаты!$D$6:$D$505,"&lt;&gt;"))</f>
        <v/>
      </c>
      <c r="E3251" t="str">
        <f>IF(A3251="","",IF(SUMPRODUCT((Ввод!$F$12:$F$31&lt;&gt;"")*(Ввод!$F$12:$F$31&lt;=A3251)*(Ввод!$G$12:$G$31&gt;=A3251))&gt;0,1,0))</f>
        <v/>
      </c>
      <c r="G3251" t="str">
        <f t="shared" si="101"/>
        <v/>
      </c>
    </row>
    <row r="3252" spans="1:7" x14ac:dyDescent="0.3">
      <c r="A3252" s="21" t="str">
        <f>IF(A3251="","",IF(A3251+1&gt;Ввод!$B$4,"",A3251+1))</f>
        <v/>
      </c>
      <c r="B3252" s="23" t="str">
        <f>IF(A3252="","",IFERROR(INDEX(Ввод!$B$12:$B$71,MATCH(A3252,Ввод!$D$12:$D$71,1)),""))</f>
        <v/>
      </c>
      <c r="C3252" t="str">
        <f t="shared" si="100"/>
        <v/>
      </c>
      <c r="D3252" t="str">
        <f>IF(A3252="","",SUMIFS(Акты!$D$5:$D$16,Акты!$E$5:$E$16,"&lt;="&amp;A3252)-SUMIFS(Оплаты!$B$6:$B$505,Оплаты!$A$6:$A$505,"&lt;"&amp;A3252,Оплаты!$D$6:$D$505,"&lt;&gt;"))</f>
        <v/>
      </c>
      <c r="E3252" t="str">
        <f>IF(A3252="","",IF(SUMPRODUCT((Ввод!$F$12:$F$31&lt;&gt;"")*(Ввод!$F$12:$F$31&lt;=A3252)*(Ввод!$G$12:$G$31&gt;=A3252))&gt;0,1,0))</f>
        <v/>
      </c>
      <c r="G3252" t="str">
        <f t="shared" si="101"/>
        <v/>
      </c>
    </row>
    <row r="3253" spans="1:7" x14ac:dyDescent="0.3">
      <c r="A3253" s="21" t="str">
        <f>IF(A3252="","",IF(A3252+1&gt;Ввод!$B$4,"",A3252+1))</f>
        <v/>
      </c>
      <c r="B3253" s="23" t="str">
        <f>IF(A3253="","",IFERROR(INDEX(Ввод!$B$12:$B$71,MATCH(A3253,Ввод!$D$12:$D$71,1)),""))</f>
        <v/>
      </c>
      <c r="C3253" t="str">
        <f t="shared" si="100"/>
        <v/>
      </c>
      <c r="D3253" t="str">
        <f>IF(A3253="","",SUMIFS(Акты!$D$5:$D$16,Акты!$E$5:$E$16,"&lt;="&amp;A3253)-SUMIFS(Оплаты!$B$6:$B$505,Оплаты!$A$6:$A$505,"&lt;"&amp;A3253,Оплаты!$D$6:$D$505,"&lt;&gt;"))</f>
        <v/>
      </c>
      <c r="E3253" t="str">
        <f>IF(A3253="","",IF(SUMPRODUCT((Ввод!$F$12:$F$31&lt;&gt;"")*(Ввод!$F$12:$F$31&lt;=A3253)*(Ввод!$G$12:$G$31&gt;=A3253))&gt;0,1,0))</f>
        <v/>
      </c>
      <c r="G3253" t="str">
        <f t="shared" si="101"/>
        <v/>
      </c>
    </row>
    <row r="3254" spans="1:7" x14ac:dyDescent="0.3">
      <c r="A3254" s="21" t="str">
        <f>IF(A3253="","",IF(A3253+1&gt;Ввод!$B$4,"",A3253+1))</f>
        <v/>
      </c>
      <c r="B3254" s="23" t="str">
        <f>IF(A3254="","",IFERROR(INDEX(Ввод!$B$12:$B$71,MATCH(A3254,Ввод!$D$12:$D$71,1)),""))</f>
        <v/>
      </c>
      <c r="C3254" t="str">
        <f t="shared" si="100"/>
        <v/>
      </c>
      <c r="D3254" t="str">
        <f>IF(A3254="","",SUMIFS(Акты!$D$5:$D$16,Акты!$E$5:$E$16,"&lt;="&amp;A3254)-SUMIFS(Оплаты!$B$6:$B$505,Оплаты!$A$6:$A$505,"&lt;"&amp;A3254,Оплаты!$D$6:$D$505,"&lt;&gt;"))</f>
        <v/>
      </c>
      <c r="E3254" t="str">
        <f>IF(A3254="","",IF(SUMPRODUCT((Ввод!$F$12:$F$31&lt;&gt;"")*(Ввод!$F$12:$F$31&lt;=A3254)*(Ввод!$G$12:$G$31&gt;=A3254))&gt;0,1,0))</f>
        <v/>
      </c>
      <c r="G3254" t="str">
        <f t="shared" si="101"/>
        <v/>
      </c>
    </row>
    <row r="3255" spans="1:7" x14ac:dyDescent="0.3">
      <c r="A3255" s="21" t="str">
        <f>IF(A3254="","",IF(A3254+1&gt;Ввод!$B$4,"",A3254+1))</f>
        <v/>
      </c>
      <c r="B3255" s="23" t="str">
        <f>IF(A3255="","",IFERROR(INDEX(Ввод!$B$12:$B$71,MATCH(A3255,Ввод!$D$12:$D$71,1)),""))</f>
        <v/>
      </c>
      <c r="C3255" t="str">
        <f t="shared" si="100"/>
        <v/>
      </c>
      <c r="D3255" t="str">
        <f>IF(A3255="","",SUMIFS(Акты!$D$5:$D$16,Акты!$E$5:$E$16,"&lt;="&amp;A3255)-SUMIFS(Оплаты!$B$6:$B$505,Оплаты!$A$6:$A$505,"&lt;"&amp;A3255,Оплаты!$D$6:$D$505,"&lt;&gt;"))</f>
        <v/>
      </c>
      <c r="E3255" t="str">
        <f>IF(A3255="","",IF(SUMPRODUCT((Ввод!$F$12:$F$31&lt;&gt;"")*(Ввод!$F$12:$F$31&lt;=A3255)*(Ввод!$G$12:$G$31&gt;=A3255))&gt;0,1,0))</f>
        <v/>
      </c>
      <c r="G3255" t="str">
        <f t="shared" si="101"/>
        <v/>
      </c>
    </row>
    <row r="3256" spans="1:7" x14ac:dyDescent="0.3">
      <c r="A3256" s="21" t="str">
        <f>IF(A3255="","",IF(A3255+1&gt;Ввод!$B$4,"",A3255+1))</f>
        <v/>
      </c>
      <c r="B3256" s="23" t="str">
        <f>IF(A3256="","",IFERROR(INDEX(Ввод!$B$12:$B$71,MATCH(A3256,Ввод!$D$12:$D$71,1)),""))</f>
        <v/>
      </c>
      <c r="C3256" t="str">
        <f t="shared" si="100"/>
        <v/>
      </c>
      <c r="D3256" t="str">
        <f>IF(A3256="","",SUMIFS(Акты!$D$5:$D$16,Акты!$E$5:$E$16,"&lt;="&amp;A3256)-SUMIFS(Оплаты!$B$6:$B$505,Оплаты!$A$6:$A$505,"&lt;"&amp;A3256,Оплаты!$D$6:$D$505,"&lt;&gt;"))</f>
        <v/>
      </c>
      <c r="E3256" t="str">
        <f>IF(A3256="","",IF(SUMPRODUCT((Ввод!$F$12:$F$31&lt;&gt;"")*(Ввод!$F$12:$F$31&lt;=A3256)*(Ввод!$G$12:$G$31&gt;=A3256))&gt;0,1,0))</f>
        <v/>
      </c>
      <c r="G3256" t="str">
        <f t="shared" si="101"/>
        <v/>
      </c>
    </row>
    <row r="3257" spans="1:7" x14ac:dyDescent="0.3">
      <c r="A3257" s="21" t="str">
        <f>IF(A3256="","",IF(A3256+1&gt;Ввод!$B$4,"",A3256+1))</f>
        <v/>
      </c>
      <c r="B3257" s="23" t="str">
        <f>IF(A3257="","",IFERROR(INDEX(Ввод!$B$12:$B$71,MATCH(A3257,Ввод!$D$12:$D$71,1)),""))</f>
        <v/>
      </c>
      <c r="C3257" t="str">
        <f t="shared" si="100"/>
        <v/>
      </c>
      <c r="D3257" t="str">
        <f>IF(A3257="","",SUMIFS(Акты!$D$5:$D$16,Акты!$E$5:$E$16,"&lt;="&amp;A3257)-SUMIFS(Оплаты!$B$6:$B$505,Оплаты!$A$6:$A$505,"&lt;"&amp;A3257,Оплаты!$D$6:$D$505,"&lt;&gt;"))</f>
        <v/>
      </c>
      <c r="E3257" t="str">
        <f>IF(A3257="","",IF(SUMPRODUCT((Ввод!$F$12:$F$31&lt;&gt;"")*(Ввод!$F$12:$F$31&lt;=A3257)*(Ввод!$G$12:$G$31&gt;=A3257))&gt;0,1,0))</f>
        <v/>
      </c>
      <c r="G3257" t="str">
        <f t="shared" si="101"/>
        <v/>
      </c>
    </row>
    <row r="3258" spans="1:7" x14ac:dyDescent="0.3">
      <c r="A3258" s="21" t="str">
        <f>IF(A3257="","",IF(A3257+1&gt;Ввод!$B$4,"",A3257+1))</f>
        <v/>
      </c>
      <c r="B3258" s="23" t="str">
        <f>IF(A3258="","",IFERROR(INDEX(Ввод!$B$12:$B$71,MATCH(A3258,Ввод!$D$12:$D$71,1)),""))</f>
        <v/>
      </c>
      <c r="C3258" t="str">
        <f t="shared" si="100"/>
        <v/>
      </c>
      <c r="D3258" t="str">
        <f>IF(A3258="","",SUMIFS(Акты!$D$5:$D$16,Акты!$E$5:$E$16,"&lt;="&amp;A3258)-SUMIFS(Оплаты!$B$6:$B$505,Оплаты!$A$6:$A$505,"&lt;"&amp;A3258,Оплаты!$D$6:$D$505,"&lt;&gt;"))</f>
        <v/>
      </c>
      <c r="E3258" t="str">
        <f>IF(A3258="","",IF(SUMPRODUCT((Ввод!$F$12:$F$31&lt;&gt;"")*(Ввод!$F$12:$F$31&lt;=A3258)*(Ввод!$G$12:$G$31&gt;=A3258))&gt;0,1,0))</f>
        <v/>
      </c>
      <c r="G3258" t="str">
        <f t="shared" si="101"/>
        <v/>
      </c>
    </row>
    <row r="3259" spans="1:7" x14ac:dyDescent="0.3">
      <c r="A3259" s="21" t="str">
        <f>IF(A3258="","",IF(A3258+1&gt;Ввод!$B$4,"",A3258+1))</f>
        <v/>
      </c>
      <c r="B3259" s="23" t="str">
        <f>IF(A3259="","",IFERROR(INDEX(Ввод!$B$12:$B$71,MATCH(A3259,Ввод!$D$12:$D$71,1)),""))</f>
        <v/>
      </c>
      <c r="C3259" t="str">
        <f t="shared" si="100"/>
        <v/>
      </c>
      <c r="D3259" t="str">
        <f>IF(A3259="","",SUMIFS(Акты!$D$5:$D$16,Акты!$E$5:$E$16,"&lt;="&amp;A3259)-SUMIFS(Оплаты!$B$6:$B$505,Оплаты!$A$6:$A$505,"&lt;"&amp;A3259,Оплаты!$D$6:$D$505,"&lt;&gt;"))</f>
        <v/>
      </c>
      <c r="E3259" t="str">
        <f>IF(A3259="","",IF(SUMPRODUCT((Ввод!$F$12:$F$31&lt;&gt;"")*(Ввод!$F$12:$F$31&lt;=A3259)*(Ввод!$G$12:$G$31&gt;=A3259))&gt;0,1,0))</f>
        <v/>
      </c>
      <c r="G3259" t="str">
        <f t="shared" si="101"/>
        <v/>
      </c>
    </row>
    <row r="3260" spans="1:7" x14ac:dyDescent="0.3">
      <c r="A3260" s="21" t="str">
        <f>IF(A3259="","",IF(A3259+1&gt;Ввод!$B$4,"",A3259+1))</f>
        <v/>
      </c>
      <c r="B3260" s="23" t="str">
        <f>IF(A3260="","",IFERROR(INDEX(Ввод!$B$12:$B$71,MATCH(A3260,Ввод!$D$12:$D$71,1)),""))</f>
        <v/>
      </c>
      <c r="C3260" t="str">
        <f t="shared" si="100"/>
        <v/>
      </c>
      <c r="D3260" t="str">
        <f>IF(A3260="","",SUMIFS(Акты!$D$5:$D$16,Акты!$E$5:$E$16,"&lt;="&amp;A3260)-SUMIFS(Оплаты!$B$6:$B$505,Оплаты!$A$6:$A$505,"&lt;"&amp;A3260,Оплаты!$D$6:$D$505,"&lt;&gt;"))</f>
        <v/>
      </c>
      <c r="E3260" t="str">
        <f>IF(A3260="","",IF(SUMPRODUCT((Ввод!$F$12:$F$31&lt;&gt;"")*(Ввод!$F$12:$F$31&lt;=A3260)*(Ввод!$G$12:$G$31&gt;=A3260))&gt;0,1,0))</f>
        <v/>
      </c>
      <c r="G3260" t="str">
        <f t="shared" si="101"/>
        <v/>
      </c>
    </row>
    <row r="3261" spans="1:7" x14ac:dyDescent="0.3">
      <c r="A3261" s="21" t="str">
        <f>IF(A3260="","",IF(A3260+1&gt;Ввод!$B$4,"",A3260+1))</f>
        <v/>
      </c>
      <c r="B3261" s="23" t="str">
        <f>IF(A3261="","",IFERROR(INDEX(Ввод!$B$12:$B$71,MATCH(A3261,Ввод!$D$12:$D$71,1)),""))</f>
        <v/>
      </c>
      <c r="C3261" t="str">
        <f t="shared" si="100"/>
        <v/>
      </c>
      <c r="D3261" t="str">
        <f>IF(A3261="","",SUMIFS(Акты!$D$5:$D$16,Акты!$E$5:$E$16,"&lt;="&amp;A3261)-SUMIFS(Оплаты!$B$6:$B$505,Оплаты!$A$6:$A$505,"&lt;"&amp;A3261,Оплаты!$D$6:$D$505,"&lt;&gt;"))</f>
        <v/>
      </c>
      <c r="E3261" t="str">
        <f>IF(A3261="","",IF(SUMPRODUCT((Ввод!$F$12:$F$31&lt;&gt;"")*(Ввод!$F$12:$F$31&lt;=A3261)*(Ввод!$G$12:$G$31&gt;=A3261))&gt;0,1,0))</f>
        <v/>
      </c>
      <c r="G3261" t="str">
        <f t="shared" si="101"/>
        <v/>
      </c>
    </row>
    <row r="3262" spans="1:7" x14ac:dyDescent="0.3">
      <c r="A3262" s="21" t="str">
        <f>IF(A3261="","",IF(A3261+1&gt;Ввод!$B$4,"",A3261+1))</f>
        <v/>
      </c>
      <c r="B3262" s="23" t="str">
        <f>IF(A3262="","",IFERROR(INDEX(Ввод!$B$12:$B$71,MATCH(A3262,Ввод!$D$12:$D$71,1)),""))</f>
        <v/>
      </c>
      <c r="C3262" t="str">
        <f t="shared" si="100"/>
        <v/>
      </c>
      <c r="D3262" t="str">
        <f>IF(A3262="","",SUMIFS(Акты!$D$5:$D$16,Акты!$E$5:$E$16,"&lt;="&amp;A3262)-SUMIFS(Оплаты!$B$6:$B$505,Оплаты!$A$6:$A$505,"&lt;"&amp;A3262,Оплаты!$D$6:$D$505,"&lt;&gt;"))</f>
        <v/>
      </c>
      <c r="E3262" t="str">
        <f>IF(A3262="","",IF(SUMPRODUCT((Ввод!$F$12:$F$31&lt;&gt;"")*(Ввод!$F$12:$F$31&lt;=A3262)*(Ввод!$G$12:$G$31&gt;=A3262))&gt;0,1,0))</f>
        <v/>
      </c>
      <c r="G3262" t="str">
        <f t="shared" si="101"/>
        <v/>
      </c>
    </row>
    <row r="3263" spans="1:7" x14ac:dyDescent="0.3">
      <c r="A3263" s="21" t="str">
        <f>IF(A3262="","",IF(A3262+1&gt;Ввод!$B$4,"",A3262+1))</f>
        <v/>
      </c>
      <c r="B3263" s="23" t="str">
        <f>IF(A3263="","",IFERROR(INDEX(Ввод!$B$12:$B$71,MATCH(A3263,Ввод!$D$12:$D$71,1)),""))</f>
        <v/>
      </c>
      <c r="C3263" t="str">
        <f t="shared" si="100"/>
        <v/>
      </c>
      <c r="D3263" t="str">
        <f>IF(A3263="","",SUMIFS(Акты!$D$5:$D$16,Акты!$E$5:$E$16,"&lt;="&amp;A3263)-SUMIFS(Оплаты!$B$6:$B$505,Оплаты!$A$6:$A$505,"&lt;"&amp;A3263,Оплаты!$D$6:$D$505,"&lt;&gt;"))</f>
        <v/>
      </c>
      <c r="E3263" t="str">
        <f>IF(A3263="","",IF(SUMPRODUCT((Ввод!$F$12:$F$31&lt;&gt;"")*(Ввод!$F$12:$F$31&lt;=A3263)*(Ввод!$G$12:$G$31&gt;=A3263))&gt;0,1,0))</f>
        <v/>
      </c>
      <c r="G3263" t="str">
        <f t="shared" si="101"/>
        <v/>
      </c>
    </row>
    <row r="3264" spans="1:7" x14ac:dyDescent="0.3">
      <c r="A3264" s="21" t="str">
        <f>IF(A3263="","",IF(A3263+1&gt;Ввод!$B$4,"",A3263+1))</f>
        <v/>
      </c>
      <c r="B3264" s="23" t="str">
        <f>IF(A3264="","",IFERROR(INDEX(Ввод!$B$12:$B$71,MATCH(A3264,Ввод!$D$12:$D$71,1)),""))</f>
        <v/>
      </c>
      <c r="C3264" t="str">
        <f t="shared" si="100"/>
        <v/>
      </c>
      <c r="D3264" t="str">
        <f>IF(A3264="","",SUMIFS(Акты!$D$5:$D$16,Акты!$E$5:$E$16,"&lt;="&amp;A3264)-SUMIFS(Оплаты!$B$6:$B$505,Оплаты!$A$6:$A$505,"&lt;"&amp;A3264,Оплаты!$D$6:$D$505,"&lt;&gt;"))</f>
        <v/>
      </c>
      <c r="E3264" t="str">
        <f>IF(A3264="","",IF(SUMPRODUCT((Ввод!$F$12:$F$31&lt;&gt;"")*(Ввод!$F$12:$F$31&lt;=A3264)*(Ввод!$G$12:$G$31&gt;=A3264))&gt;0,1,0))</f>
        <v/>
      </c>
      <c r="G3264" t="str">
        <f t="shared" si="101"/>
        <v/>
      </c>
    </row>
    <row r="3265" spans="1:7" x14ac:dyDescent="0.3">
      <c r="A3265" s="21" t="str">
        <f>IF(A3264="","",IF(A3264+1&gt;Ввод!$B$4,"",A3264+1))</f>
        <v/>
      </c>
      <c r="B3265" s="23" t="str">
        <f>IF(A3265="","",IFERROR(INDEX(Ввод!$B$12:$B$71,MATCH(A3265,Ввод!$D$12:$D$71,1)),""))</f>
        <v/>
      </c>
      <c r="C3265" t="str">
        <f t="shared" si="100"/>
        <v/>
      </c>
      <c r="D3265" t="str">
        <f>IF(A3265="","",SUMIFS(Акты!$D$5:$D$16,Акты!$E$5:$E$16,"&lt;="&amp;A3265)-SUMIFS(Оплаты!$B$6:$B$505,Оплаты!$A$6:$A$505,"&lt;"&amp;A3265,Оплаты!$D$6:$D$505,"&lt;&gt;"))</f>
        <v/>
      </c>
      <c r="E3265" t="str">
        <f>IF(A3265="","",IF(SUMPRODUCT((Ввод!$F$12:$F$31&lt;&gt;"")*(Ввод!$F$12:$F$31&lt;=A3265)*(Ввод!$G$12:$G$31&gt;=A3265))&gt;0,1,0))</f>
        <v/>
      </c>
      <c r="G3265" t="str">
        <f t="shared" si="101"/>
        <v/>
      </c>
    </row>
    <row r="3266" spans="1:7" x14ac:dyDescent="0.3">
      <c r="A3266" s="21" t="str">
        <f>IF(A3265="","",IF(A3265+1&gt;Ввод!$B$4,"",A3265+1))</f>
        <v/>
      </c>
      <c r="B3266" s="23" t="str">
        <f>IF(A3266="","",IFERROR(INDEX(Ввод!$B$12:$B$71,MATCH(A3266,Ввод!$D$12:$D$71,1)),""))</f>
        <v/>
      </c>
      <c r="C3266" t="str">
        <f t="shared" ref="C3266:C3329" si="102">IF(A3266="","",DATE(YEAR(A3266),12,31)-DATE(YEAR(A3266),1,1)+1)</f>
        <v/>
      </c>
      <c r="D3266" t="str">
        <f>IF(A3266="","",SUMIFS(Акты!$D$5:$D$16,Акты!$E$5:$E$16,"&lt;="&amp;A3266)-SUMIFS(Оплаты!$B$6:$B$505,Оплаты!$A$6:$A$505,"&lt;"&amp;A3266,Оплаты!$D$6:$D$505,"&lt;&gt;"))</f>
        <v/>
      </c>
      <c r="E3266" t="str">
        <f>IF(A3266="","",IF(SUMPRODUCT((Ввод!$F$12:$F$31&lt;&gt;"")*(Ввод!$F$12:$F$31&lt;=A3266)*(Ввод!$G$12:$G$31&gt;=A3266))&gt;0,1,0))</f>
        <v/>
      </c>
      <c r="G3266" t="str">
        <f t="shared" si="101"/>
        <v/>
      </c>
    </row>
    <row r="3267" spans="1:7" x14ac:dyDescent="0.3">
      <c r="A3267" s="21" t="str">
        <f>IF(A3266="","",IF(A3266+1&gt;Ввод!$B$4,"",A3266+1))</f>
        <v/>
      </c>
      <c r="B3267" s="23" t="str">
        <f>IF(A3267="","",IFERROR(INDEX(Ввод!$B$12:$B$71,MATCH(A3267,Ввод!$D$12:$D$71,1)),""))</f>
        <v/>
      </c>
      <c r="C3267" t="str">
        <f t="shared" si="102"/>
        <v/>
      </c>
      <c r="D3267" t="str">
        <f>IF(A3267="","",SUMIFS(Акты!$D$5:$D$16,Акты!$E$5:$E$16,"&lt;="&amp;A3267)-SUMIFS(Оплаты!$B$6:$B$505,Оплаты!$A$6:$A$505,"&lt;"&amp;A3267,Оплаты!$D$6:$D$505,"&lt;&gt;"))</f>
        <v/>
      </c>
      <c r="E3267" t="str">
        <f>IF(A3267="","",IF(SUMPRODUCT((Ввод!$F$12:$F$31&lt;&gt;"")*(Ввод!$F$12:$F$31&lt;=A3267)*(Ввод!$G$12:$G$31&gt;=A3267))&gt;0,1,0))</f>
        <v/>
      </c>
      <c r="G3267" t="str">
        <f t="shared" ref="G3267:G3330" si="103">IF(A3267="","",IF(OR(B3267&lt;&gt;B3266,C3267&lt;&gt;C3266,E3267&lt;&gt;E3266),G3266+1,G3266))</f>
        <v/>
      </c>
    </row>
    <row r="3268" spans="1:7" x14ac:dyDescent="0.3">
      <c r="A3268" s="21" t="str">
        <f>IF(A3267="","",IF(A3267+1&gt;Ввод!$B$4,"",A3267+1))</f>
        <v/>
      </c>
      <c r="B3268" s="23" t="str">
        <f>IF(A3268="","",IFERROR(INDEX(Ввод!$B$12:$B$71,MATCH(A3268,Ввод!$D$12:$D$71,1)),""))</f>
        <v/>
      </c>
      <c r="C3268" t="str">
        <f t="shared" si="102"/>
        <v/>
      </c>
      <c r="D3268" t="str">
        <f>IF(A3268="","",SUMIFS(Акты!$D$5:$D$16,Акты!$E$5:$E$16,"&lt;="&amp;A3268)-SUMIFS(Оплаты!$B$6:$B$505,Оплаты!$A$6:$A$505,"&lt;"&amp;A3268,Оплаты!$D$6:$D$505,"&lt;&gt;"))</f>
        <v/>
      </c>
      <c r="E3268" t="str">
        <f>IF(A3268="","",IF(SUMPRODUCT((Ввод!$F$12:$F$31&lt;&gt;"")*(Ввод!$F$12:$F$31&lt;=A3268)*(Ввод!$G$12:$G$31&gt;=A3268))&gt;0,1,0))</f>
        <v/>
      </c>
      <c r="G3268" t="str">
        <f t="shared" si="103"/>
        <v/>
      </c>
    </row>
    <row r="3269" spans="1:7" x14ac:dyDescent="0.3">
      <c r="A3269" s="21" t="str">
        <f>IF(A3268="","",IF(A3268+1&gt;Ввод!$B$4,"",A3268+1))</f>
        <v/>
      </c>
      <c r="B3269" s="23" t="str">
        <f>IF(A3269="","",IFERROR(INDEX(Ввод!$B$12:$B$71,MATCH(A3269,Ввод!$D$12:$D$71,1)),""))</f>
        <v/>
      </c>
      <c r="C3269" t="str">
        <f t="shared" si="102"/>
        <v/>
      </c>
      <c r="D3269" t="str">
        <f>IF(A3269="","",SUMIFS(Акты!$D$5:$D$16,Акты!$E$5:$E$16,"&lt;="&amp;A3269)-SUMIFS(Оплаты!$B$6:$B$505,Оплаты!$A$6:$A$505,"&lt;"&amp;A3269,Оплаты!$D$6:$D$505,"&lt;&gt;"))</f>
        <v/>
      </c>
      <c r="E3269" t="str">
        <f>IF(A3269="","",IF(SUMPRODUCT((Ввод!$F$12:$F$31&lt;&gt;"")*(Ввод!$F$12:$F$31&lt;=A3269)*(Ввод!$G$12:$G$31&gt;=A3269))&gt;0,1,0))</f>
        <v/>
      </c>
      <c r="G3269" t="str">
        <f t="shared" si="103"/>
        <v/>
      </c>
    </row>
    <row r="3270" spans="1:7" x14ac:dyDescent="0.3">
      <c r="A3270" s="21" t="str">
        <f>IF(A3269="","",IF(A3269+1&gt;Ввод!$B$4,"",A3269+1))</f>
        <v/>
      </c>
      <c r="B3270" s="23" t="str">
        <f>IF(A3270="","",IFERROR(INDEX(Ввод!$B$12:$B$71,MATCH(A3270,Ввод!$D$12:$D$71,1)),""))</f>
        <v/>
      </c>
      <c r="C3270" t="str">
        <f t="shared" si="102"/>
        <v/>
      </c>
      <c r="D3270" t="str">
        <f>IF(A3270="","",SUMIFS(Акты!$D$5:$D$16,Акты!$E$5:$E$16,"&lt;="&amp;A3270)-SUMIFS(Оплаты!$B$6:$B$505,Оплаты!$A$6:$A$505,"&lt;"&amp;A3270,Оплаты!$D$6:$D$505,"&lt;&gt;"))</f>
        <v/>
      </c>
      <c r="E3270" t="str">
        <f>IF(A3270="","",IF(SUMPRODUCT((Ввод!$F$12:$F$31&lt;&gt;"")*(Ввод!$F$12:$F$31&lt;=A3270)*(Ввод!$G$12:$G$31&gt;=A3270))&gt;0,1,0))</f>
        <v/>
      </c>
      <c r="G3270" t="str">
        <f t="shared" si="103"/>
        <v/>
      </c>
    </row>
    <row r="3271" spans="1:7" x14ac:dyDescent="0.3">
      <c r="A3271" s="21" t="str">
        <f>IF(A3270="","",IF(A3270+1&gt;Ввод!$B$4,"",A3270+1))</f>
        <v/>
      </c>
      <c r="B3271" s="23" t="str">
        <f>IF(A3271="","",IFERROR(INDEX(Ввод!$B$12:$B$71,MATCH(A3271,Ввод!$D$12:$D$71,1)),""))</f>
        <v/>
      </c>
      <c r="C3271" t="str">
        <f t="shared" si="102"/>
        <v/>
      </c>
      <c r="D3271" t="str">
        <f>IF(A3271="","",SUMIFS(Акты!$D$5:$D$16,Акты!$E$5:$E$16,"&lt;="&amp;A3271)-SUMIFS(Оплаты!$B$6:$B$505,Оплаты!$A$6:$A$505,"&lt;"&amp;A3271,Оплаты!$D$6:$D$505,"&lt;&gt;"))</f>
        <v/>
      </c>
      <c r="E3271" t="str">
        <f>IF(A3271="","",IF(SUMPRODUCT((Ввод!$F$12:$F$31&lt;&gt;"")*(Ввод!$F$12:$F$31&lt;=A3271)*(Ввод!$G$12:$G$31&gt;=A3271))&gt;0,1,0))</f>
        <v/>
      </c>
      <c r="G3271" t="str">
        <f t="shared" si="103"/>
        <v/>
      </c>
    </row>
    <row r="3272" spans="1:7" x14ac:dyDescent="0.3">
      <c r="A3272" s="21" t="str">
        <f>IF(A3271="","",IF(A3271+1&gt;Ввод!$B$4,"",A3271+1))</f>
        <v/>
      </c>
      <c r="B3272" s="23" t="str">
        <f>IF(A3272="","",IFERROR(INDEX(Ввод!$B$12:$B$71,MATCH(A3272,Ввод!$D$12:$D$71,1)),""))</f>
        <v/>
      </c>
      <c r="C3272" t="str">
        <f t="shared" si="102"/>
        <v/>
      </c>
      <c r="D3272" t="str">
        <f>IF(A3272="","",SUMIFS(Акты!$D$5:$D$16,Акты!$E$5:$E$16,"&lt;="&amp;A3272)-SUMIFS(Оплаты!$B$6:$B$505,Оплаты!$A$6:$A$505,"&lt;"&amp;A3272,Оплаты!$D$6:$D$505,"&lt;&gt;"))</f>
        <v/>
      </c>
      <c r="E3272" t="str">
        <f>IF(A3272="","",IF(SUMPRODUCT((Ввод!$F$12:$F$31&lt;&gt;"")*(Ввод!$F$12:$F$31&lt;=A3272)*(Ввод!$G$12:$G$31&gt;=A3272))&gt;0,1,0))</f>
        <v/>
      </c>
      <c r="G3272" t="str">
        <f t="shared" si="103"/>
        <v/>
      </c>
    </row>
    <row r="3273" spans="1:7" x14ac:dyDescent="0.3">
      <c r="A3273" s="21" t="str">
        <f>IF(A3272="","",IF(A3272+1&gt;Ввод!$B$4,"",A3272+1))</f>
        <v/>
      </c>
      <c r="B3273" s="23" t="str">
        <f>IF(A3273="","",IFERROR(INDEX(Ввод!$B$12:$B$71,MATCH(A3273,Ввод!$D$12:$D$71,1)),""))</f>
        <v/>
      </c>
      <c r="C3273" t="str">
        <f t="shared" si="102"/>
        <v/>
      </c>
      <c r="D3273" t="str">
        <f>IF(A3273="","",SUMIFS(Акты!$D$5:$D$16,Акты!$E$5:$E$16,"&lt;="&amp;A3273)-SUMIFS(Оплаты!$B$6:$B$505,Оплаты!$A$6:$A$505,"&lt;"&amp;A3273,Оплаты!$D$6:$D$505,"&lt;&gt;"))</f>
        <v/>
      </c>
      <c r="E3273" t="str">
        <f>IF(A3273="","",IF(SUMPRODUCT((Ввод!$F$12:$F$31&lt;&gt;"")*(Ввод!$F$12:$F$31&lt;=A3273)*(Ввод!$G$12:$G$31&gt;=A3273))&gt;0,1,0))</f>
        <v/>
      </c>
      <c r="G3273" t="str">
        <f t="shared" si="103"/>
        <v/>
      </c>
    </row>
    <row r="3274" spans="1:7" x14ac:dyDescent="0.3">
      <c r="A3274" s="21" t="str">
        <f>IF(A3273="","",IF(A3273+1&gt;Ввод!$B$4,"",A3273+1))</f>
        <v/>
      </c>
      <c r="B3274" s="23" t="str">
        <f>IF(A3274="","",IFERROR(INDEX(Ввод!$B$12:$B$71,MATCH(A3274,Ввод!$D$12:$D$71,1)),""))</f>
        <v/>
      </c>
      <c r="C3274" t="str">
        <f t="shared" si="102"/>
        <v/>
      </c>
      <c r="D3274" t="str">
        <f>IF(A3274="","",SUMIFS(Акты!$D$5:$D$16,Акты!$E$5:$E$16,"&lt;="&amp;A3274)-SUMIFS(Оплаты!$B$6:$B$505,Оплаты!$A$6:$A$505,"&lt;"&amp;A3274,Оплаты!$D$6:$D$505,"&lt;&gt;"))</f>
        <v/>
      </c>
      <c r="E3274" t="str">
        <f>IF(A3274="","",IF(SUMPRODUCT((Ввод!$F$12:$F$31&lt;&gt;"")*(Ввод!$F$12:$F$31&lt;=A3274)*(Ввод!$G$12:$G$31&gt;=A3274))&gt;0,1,0))</f>
        <v/>
      </c>
      <c r="G3274" t="str">
        <f t="shared" si="103"/>
        <v/>
      </c>
    </row>
    <row r="3275" spans="1:7" x14ac:dyDescent="0.3">
      <c r="A3275" s="21" t="str">
        <f>IF(A3274="","",IF(A3274+1&gt;Ввод!$B$4,"",A3274+1))</f>
        <v/>
      </c>
      <c r="B3275" s="23" t="str">
        <f>IF(A3275="","",IFERROR(INDEX(Ввод!$B$12:$B$71,MATCH(A3275,Ввод!$D$12:$D$71,1)),""))</f>
        <v/>
      </c>
      <c r="C3275" t="str">
        <f t="shared" si="102"/>
        <v/>
      </c>
      <c r="D3275" t="str">
        <f>IF(A3275="","",SUMIFS(Акты!$D$5:$D$16,Акты!$E$5:$E$16,"&lt;="&amp;A3275)-SUMIFS(Оплаты!$B$6:$B$505,Оплаты!$A$6:$A$505,"&lt;"&amp;A3275,Оплаты!$D$6:$D$505,"&lt;&gt;"))</f>
        <v/>
      </c>
      <c r="E3275" t="str">
        <f>IF(A3275="","",IF(SUMPRODUCT((Ввод!$F$12:$F$31&lt;&gt;"")*(Ввод!$F$12:$F$31&lt;=A3275)*(Ввод!$G$12:$G$31&gt;=A3275))&gt;0,1,0))</f>
        <v/>
      </c>
      <c r="G3275" t="str">
        <f t="shared" si="103"/>
        <v/>
      </c>
    </row>
    <row r="3276" spans="1:7" x14ac:dyDescent="0.3">
      <c r="A3276" s="21" t="str">
        <f>IF(A3275="","",IF(A3275+1&gt;Ввод!$B$4,"",A3275+1))</f>
        <v/>
      </c>
      <c r="B3276" s="23" t="str">
        <f>IF(A3276="","",IFERROR(INDEX(Ввод!$B$12:$B$71,MATCH(A3276,Ввод!$D$12:$D$71,1)),""))</f>
        <v/>
      </c>
      <c r="C3276" t="str">
        <f t="shared" si="102"/>
        <v/>
      </c>
      <c r="D3276" t="str">
        <f>IF(A3276="","",SUMIFS(Акты!$D$5:$D$16,Акты!$E$5:$E$16,"&lt;="&amp;A3276)-SUMIFS(Оплаты!$B$6:$B$505,Оплаты!$A$6:$A$505,"&lt;"&amp;A3276,Оплаты!$D$6:$D$505,"&lt;&gt;"))</f>
        <v/>
      </c>
      <c r="E3276" t="str">
        <f>IF(A3276="","",IF(SUMPRODUCT((Ввод!$F$12:$F$31&lt;&gt;"")*(Ввод!$F$12:$F$31&lt;=A3276)*(Ввод!$G$12:$G$31&gt;=A3276))&gt;0,1,0))</f>
        <v/>
      </c>
      <c r="G3276" t="str">
        <f t="shared" si="103"/>
        <v/>
      </c>
    </row>
    <row r="3277" spans="1:7" x14ac:dyDescent="0.3">
      <c r="A3277" s="21" t="str">
        <f>IF(A3276="","",IF(A3276+1&gt;Ввод!$B$4,"",A3276+1))</f>
        <v/>
      </c>
      <c r="B3277" s="23" t="str">
        <f>IF(A3277="","",IFERROR(INDEX(Ввод!$B$12:$B$71,MATCH(A3277,Ввод!$D$12:$D$71,1)),""))</f>
        <v/>
      </c>
      <c r="C3277" t="str">
        <f t="shared" si="102"/>
        <v/>
      </c>
      <c r="D3277" t="str">
        <f>IF(A3277="","",SUMIFS(Акты!$D$5:$D$16,Акты!$E$5:$E$16,"&lt;="&amp;A3277)-SUMIFS(Оплаты!$B$6:$B$505,Оплаты!$A$6:$A$505,"&lt;"&amp;A3277,Оплаты!$D$6:$D$505,"&lt;&gt;"))</f>
        <v/>
      </c>
      <c r="E3277" t="str">
        <f>IF(A3277="","",IF(SUMPRODUCT((Ввод!$F$12:$F$31&lt;&gt;"")*(Ввод!$F$12:$F$31&lt;=A3277)*(Ввод!$G$12:$G$31&gt;=A3277))&gt;0,1,0))</f>
        <v/>
      </c>
      <c r="G3277" t="str">
        <f t="shared" si="103"/>
        <v/>
      </c>
    </row>
    <row r="3278" spans="1:7" x14ac:dyDescent="0.3">
      <c r="A3278" s="21" t="str">
        <f>IF(A3277="","",IF(A3277+1&gt;Ввод!$B$4,"",A3277+1))</f>
        <v/>
      </c>
      <c r="B3278" s="23" t="str">
        <f>IF(A3278="","",IFERROR(INDEX(Ввод!$B$12:$B$71,MATCH(A3278,Ввод!$D$12:$D$71,1)),""))</f>
        <v/>
      </c>
      <c r="C3278" t="str">
        <f t="shared" si="102"/>
        <v/>
      </c>
      <c r="D3278" t="str">
        <f>IF(A3278="","",SUMIFS(Акты!$D$5:$D$16,Акты!$E$5:$E$16,"&lt;="&amp;A3278)-SUMIFS(Оплаты!$B$6:$B$505,Оплаты!$A$6:$A$505,"&lt;"&amp;A3278,Оплаты!$D$6:$D$505,"&lt;&gt;"))</f>
        <v/>
      </c>
      <c r="E3278" t="str">
        <f>IF(A3278="","",IF(SUMPRODUCT((Ввод!$F$12:$F$31&lt;&gt;"")*(Ввод!$F$12:$F$31&lt;=A3278)*(Ввод!$G$12:$G$31&gt;=A3278))&gt;0,1,0))</f>
        <v/>
      </c>
      <c r="G3278" t="str">
        <f t="shared" si="103"/>
        <v/>
      </c>
    </row>
    <row r="3279" spans="1:7" x14ac:dyDescent="0.3">
      <c r="A3279" s="21" t="str">
        <f>IF(A3278="","",IF(A3278+1&gt;Ввод!$B$4,"",A3278+1))</f>
        <v/>
      </c>
      <c r="B3279" s="23" t="str">
        <f>IF(A3279="","",IFERROR(INDEX(Ввод!$B$12:$B$71,MATCH(A3279,Ввод!$D$12:$D$71,1)),""))</f>
        <v/>
      </c>
      <c r="C3279" t="str">
        <f t="shared" si="102"/>
        <v/>
      </c>
      <c r="D3279" t="str">
        <f>IF(A3279="","",SUMIFS(Акты!$D$5:$D$16,Акты!$E$5:$E$16,"&lt;="&amp;A3279)-SUMIFS(Оплаты!$B$6:$B$505,Оплаты!$A$6:$A$505,"&lt;"&amp;A3279,Оплаты!$D$6:$D$505,"&lt;&gt;"))</f>
        <v/>
      </c>
      <c r="E3279" t="str">
        <f>IF(A3279="","",IF(SUMPRODUCT((Ввод!$F$12:$F$31&lt;&gt;"")*(Ввод!$F$12:$F$31&lt;=A3279)*(Ввод!$G$12:$G$31&gt;=A3279))&gt;0,1,0))</f>
        <v/>
      </c>
      <c r="G3279" t="str">
        <f t="shared" si="103"/>
        <v/>
      </c>
    </row>
    <row r="3280" spans="1:7" x14ac:dyDescent="0.3">
      <c r="A3280" s="21" t="str">
        <f>IF(A3279="","",IF(A3279+1&gt;Ввод!$B$4,"",A3279+1))</f>
        <v/>
      </c>
      <c r="B3280" s="23" t="str">
        <f>IF(A3280="","",IFERROR(INDEX(Ввод!$B$12:$B$71,MATCH(A3280,Ввод!$D$12:$D$71,1)),""))</f>
        <v/>
      </c>
      <c r="C3280" t="str">
        <f t="shared" si="102"/>
        <v/>
      </c>
      <c r="D3280" t="str">
        <f>IF(A3280="","",SUMIFS(Акты!$D$5:$D$16,Акты!$E$5:$E$16,"&lt;="&amp;A3280)-SUMIFS(Оплаты!$B$6:$B$505,Оплаты!$A$6:$A$505,"&lt;"&amp;A3280,Оплаты!$D$6:$D$505,"&lt;&gt;"))</f>
        <v/>
      </c>
      <c r="E3280" t="str">
        <f>IF(A3280="","",IF(SUMPRODUCT((Ввод!$F$12:$F$31&lt;&gt;"")*(Ввод!$F$12:$F$31&lt;=A3280)*(Ввод!$G$12:$G$31&gt;=A3280))&gt;0,1,0))</f>
        <v/>
      </c>
      <c r="G3280" t="str">
        <f t="shared" si="103"/>
        <v/>
      </c>
    </row>
    <row r="3281" spans="1:7" x14ac:dyDescent="0.3">
      <c r="A3281" s="21" t="str">
        <f>IF(A3280="","",IF(A3280+1&gt;Ввод!$B$4,"",A3280+1))</f>
        <v/>
      </c>
      <c r="B3281" s="23" t="str">
        <f>IF(A3281="","",IFERROR(INDEX(Ввод!$B$12:$B$71,MATCH(A3281,Ввод!$D$12:$D$71,1)),""))</f>
        <v/>
      </c>
      <c r="C3281" t="str">
        <f t="shared" si="102"/>
        <v/>
      </c>
      <c r="D3281" t="str">
        <f>IF(A3281="","",SUMIFS(Акты!$D$5:$D$16,Акты!$E$5:$E$16,"&lt;="&amp;A3281)-SUMIFS(Оплаты!$B$6:$B$505,Оплаты!$A$6:$A$505,"&lt;"&amp;A3281,Оплаты!$D$6:$D$505,"&lt;&gt;"))</f>
        <v/>
      </c>
      <c r="E3281" t="str">
        <f>IF(A3281="","",IF(SUMPRODUCT((Ввод!$F$12:$F$31&lt;&gt;"")*(Ввод!$F$12:$F$31&lt;=A3281)*(Ввод!$G$12:$G$31&gt;=A3281))&gt;0,1,0))</f>
        <v/>
      </c>
      <c r="G3281" t="str">
        <f t="shared" si="103"/>
        <v/>
      </c>
    </row>
    <row r="3282" spans="1:7" x14ac:dyDescent="0.3">
      <c r="A3282" s="21" t="str">
        <f>IF(A3281="","",IF(A3281+1&gt;Ввод!$B$4,"",A3281+1))</f>
        <v/>
      </c>
      <c r="B3282" s="23" t="str">
        <f>IF(A3282="","",IFERROR(INDEX(Ввод!$B$12:$B$71,MATCH(A3282,Ввод!$D$12:$D$71,1)),""))</f>
        <v/>
      </c>
      <c r="C3282" t="str">
        <f t="shared" si="102"/>
        <v/>
      </c>
      <c r="D3282" t="str">
        <f>IF(A3282="","",SUMIFS(Акты!$D$5:$D$16,Акты!$E$5:$E$16,"&lt;="&amp;A3282)-SUMIFS(Оплаты!$B$6:$B$505,Оплаты!$A$6:$A$505,"&lt;"&amp;A3282,Оплаты!$D$6:$D$505,"&lt;&gt;"))</f>
        <v/>
      </c>
      <c r="E3282" t="str">
        <f>IF(A3282="","",IF(SUMPRODUCT((Ввод!$F$12:$F$31&lt;&gt;"")*(Ввод!$F$12:$F$31&lt;=A3282)*(Ввод!$G$12:$G$31&gt;=A3282))&gt;0,1,0))</f>
        <v/>
      </c>
      <c r="G3282" t="str">
        <f t="shared" si="103"/>
        <v/>
      </c>
    </row>
    <row r="3283" spans="1:7" x14ac:dyDescent="0.3">
      <c r="A3283" s="21" t="str">
        <f>IF(A3282="","",IF(A3282+1&gt;Ввод!$B$4,"",A3282+1))</f>
        <v/>
      </c>
      <c r="B3283" s="23" t="str">
        <f>IF(A3283="","",IFERROR(INDEX(Ввод!$B$12:$B$71,MATCH(A3283,Ввод!$D$12:$D$71,1)),""))</f>
        <v/>
      </c>
      <c r="C3283" t="str">
        <f t="shared" si="102"/>
        <v/>
      </c>
      <c r="D3283" t="str">
        <f>IF(A3283="","",SUMIFS(Акты!$D$5:$D$16,Акты!$E$5:$E$16,"&lt;="&amp;A3283)-SUMIFS(Оплаты!$B$6:$B$505,Оплаты!$A$6:$A$505,"&lt;"&amp;A3283,Оплаты!$D$6:$D$505,"&lt;&gt;"))</f>
        <v/>
      </c>
      <c r="E3283" t="str">
        <f>IF(A3283="","",IF(SUMPRODUCT((Ввод!$F$12:$F$31&lt;&gt;"")*(Ввод!$F$12:$F$31&lt;=A3283)*(Ввод!$G$12:$G$31&gt;=A3283))&gt;0,1,0))</f>
        <v/>
      </c>
      <c r="G3283" t="str">
        <f t="shared" si="103"/>
        <v/>
      </c>
    </row>
    <row r="3284" spans="1:7" x14ac:dyDescent="0.3">
      <c r="A3284" s="21" t="str">
        <f>IF(A3283="","",IF(A3283+1&gt;Ввод!$B$4,"",A3283+1))</f>
        <v/>
      </c>
      <c r="B3284" s="23" t="str">
        <f>IF(A3284="","",IFERROR(INDEX(Ввод!$B$12:$B$71,MATCH(A3284,Ввод!$D$12:$D$71,1)),""))</f>
        <v/>
      </c>
      <c r="C3284" t="str">
        <f t="shared" si="102"/>
        <v/>
      </c>
      <c r="D3284" t="str">
        <f>IF(A3284="","",SUMIFS(Акты!$D$5:$D$16,Акты!$E$5:$E$16,"&lt;="&amp;A3284)-SUMIFS(Оплаты!$B$6:$B$505,Оплаты!$A$6:$A$505,"&lt;"&amp;A3284,Оплаты!$D$6:$D$505,"&lt;&gt;"))</f>
        <v/>
      </c>
      <c r="E3284" t="str">
        <f>IF(A3284="","",IF(SUMPRODUCT((Ввод!$F$12:$F$31&lt;&gt;"")*(Ввод!$F$12:$F$31&lt;=A3284)*(Ввод!$G$12:$G$31&gt;=A3284))&gt;0,1,0))</f>
        <v/>
      </c>
      <c r="G3284" t="str">
        <f t="shared" si="103"/>
        <v/>
      </c>
    </row>
    <row r="3285" spans="1:7" x14ac:dyDescent="0.3">
      <c r="A3285" s="21" t="str">
        <f>IF(A3284="","",IF(A3284+1&gt;Ввод!$B$4,"",A3284+1))</f>
        <v/>
      </c>
      <c r="B3285" s="23" t="str">
        <f>IF(A3285="","",IFERROR(INDEX(Ввод!$B$12:$B$71,MATCH(A3285,Ввод!$D$12:$D$71,1)),""))</f>
        <v/>
      </c>
      <c r="C3285" t="str">
        <f t="shared" si="102"/>
        <v/>
      </c>
      <c r="D3285" t="str">
        <f>IF(A3285="","",SUMIFS(Акты!$D$5:$D$16,Акты!$E$5:$E$16,"&lt;="&amp;A3285)-SUMIFS(Оплаты!$B$6:$B$505,Оплаты!$A$6:$A$505,"&lt;"&amp;A3285,Оплаты!$D$6:$D$505,"&lt;&gt;"))</f>
        <v/>
      </c>
      <c r="E3285" t="str">
        <f>IF(A3285="","",IF(SUMPRODUCT((Ввод!$F$12:$F$31&lt;&gt;"")*(Ввод!$F$12:$F$31&lt;=A3285)*(Ввод!$G$12:$G$31&gt;=A3285))&gt;0,1,0))</f>
        <v/>
      </c>
      <c r="G3285" t="str">
        <f t="shared" si="103"/>
        <v/>
      </c>
    </row>
    <row r="3286" spans="1:7" x14ac:dyDescent="0.3">
      <c r="A3286" s="21" t="str">
        <f>IF(A3285="","",IF(A3285+1&gt;Ввод!$B$4,"",A3285+1))</f>
        <v/>
      </c>
      <c r="B3286" s="23" t="str">
        <f>IF(A3286="","",IFERROR(INDEX(Ввод!$B$12:$B$71,MATCH(A3286,Ввод!$D$12:$D$71,1)),""))</f>
        <v/>
      </c>
      <c r="C3286" t="str">
        <f t="shared" si="102"/>
        <v/>
      </c>
      <c r="D3286" t="str">
        <f>IF(A3286="","",SUMIFS(Акты!$D$5:$D$16,Акты!$E$5:$E$16,"&lt;="&amp;A3286)-SUMIFS(Оплаты!$B$6:$B$505,Оплаты!$A$6:$A$505,"&lt;"&amp;A3286,Оплаты!$D$6:$D$505,"&lt;&gt;"))</f>
        <v/>
      </c>
      <c r="E3286" t="str">
        <f>IF(A3286="","",IF(SUMPRODUCT((Ввод!$F$12:$F$31&lt;&gt;"")*(Ввод!$F$12:$F$31&lt;=A3286)*(Ввод!$G$12:$G$31&gt;=A3286))&gt;0,1,0))</f>
        <v/>
      </c>
      <c r="G3286" t="str">
        <f t="shared" si="103"/>
        <v/>
      </c>
    </row>
    <row r="3287" spans="1:7" x14ac:dyDescent="0.3">
      <c r="A3287" s="21" t="str">
        <f>IF(A3286="","",IF(A3286+1&gt;Ввод!$B$4,"",A3286+1))</f>
        <v/>
      </c>
      <c r="B3287" s="23" t="str">
        <f>IF(A3287="","",IFERROR(INDEX(Ввод!$B$12:$B$71,MATCH(A3287,Ввод!$D$12:$D$71,1)),""))</f>
        <v/>
      </c>
      <c r="C3287" t="str">
        <f t="shared" si="102"/>
        <v/>
      </c>
      <c r="D3287" t="str">
        <f>IF(A3287="","",SUMIFS(Акты!$D$5:$D$16,Акты!$E$5:$E$16,"&lt;="&amp;A3287)-SUMIFS(Оплаты!$B$6:$B$505,Оплаты!$A$6:$A$505,"&lt;"&amp;A3287,Оплаты!$D$6:$D$505,"&lt;&gt;"))</f>
        <v/>
      </c>
      <c r="E3287" t="str">
        <f>IF(A3287="","",IF(SUMPRODUCT((Ввод!$F$12:$F$31&lt;&gt;"")*(Ввод!$F$12:$F$31&lt;=A3287)*(Ввод!$G$12:$G$31&gt;=A3287))&gt;0,1,0))</f>
        <v/>
      </c>
      <c r="G3287" t="str">
        <f t="shared" si="103"/>
        <v/>
      </c>
    </row>
    <row r="3288" spans="1:7" x14ac:dyDescent="0.3">
      <c r="A3288" s="21" t="str">
        <f>IF(A3287="","",IF(A3287+1&gt;Ввод!$B$4,"",A3287+1))</f>
        <v/>
      </c>
      <c r="B3288" s="23" t="str">
        <f>IF(A3288="","",IFERROR(INDEX(Ввод!$B$12:$B$71,MATCH(A3288,Ввод!$D$12:$D$71,1)),""))</f>
        <v/>
      </c>
      <c r="C3288" t="str">
        <f t="shared" si="102"/>
        <v/>
      </c>
      <c r="D3288" t="str">
        <f>IF(A3288="","",SUMIFS(Акты!$D$5:$D$16,Акты!$E$5:$E$16,"&lt;="&amp;A3288)-SUMIFS(Оплаты!$B$6:$B$505,Оплаты!$A$6:$A$505,"&lt;"&amp;A3288,Оплаты!$D$6:$D$505,"&lt;&gt;"))</f>
        <v/>
      </c>
      <c r="E3288" t="str">
        <f>IF(A3288="","",IF(SUMPRODUCT((Ввод!$F$12:$F$31&lt;&gt;"")*(Ввод!$F$12:$F$31&lt;=A3288)*(Ввод!$G$12:$G$31&gt;=A3288))&gt;0,1,0))</f>
        <v/>
      </c>
      <c r="G3288" t="str">
        <f t="shared" si="103"/>
        <v/>
      </c>
    </row>
    <row r="3289" spans="1:7" x14ac:dyDescent="0.3">
      <c r="A3289" s="21" t="str">
        <f>IF(A3288="","",IF(A3288+1&gt;Ввод!$B$4,"",A3288+1))</f>
        <v/>
      </c>
      <c r="B3289" s="23" t="str">
        <f>IF(A3289="","",IFERROR(INDEX(Ввод!$B$12:$B$71,MATCH(A3289,Ввод!$D$12:$D$71,1)),""))</f>
        <v/>
      </c>
      <c r="C3289" t="str">
        <f t="shared" si="102"/>
        <v/>
      </c>
      <c r="D3289" t="str">
        <f>IF(A3289="","",SUMIFS(Акты!$D$5:$D$16,Акты!$E$5:$E$16,"&lt;="&amp;A3289)-SUMIFS(Оплаты!$B$6:$B$505,Оплаты!$A$6:$A$505,"&lt;"&amp;A3289,Оплаты!$D$6:$D$505,"&lt;&gt;"))</f>
        <v/>
      </c>
      <c r="E3289" t="str">
        <f>IF(A3289="","",IF(SUMPRODUCT((Ввод!$F$12:$F$31&lt;&gt;"")*(Ввод!$F$12:$F$31&lt;=A3289)*(Ввод!$G$12:$G$31&gt;=A3289))&gt;0,1,0))</f>
        <v/>
      </c>
      <c r="G3289" t="str">
        <f t="shared" si="103"/>
        <v/>
      </c>
    </row>
    <row r="3290" spans="1:7" x14ac:dyDescent="0.3">
      <c r="A3290" s="21" t="str">
        <f>IF(A3289="","",IF(A3289+1&gt;Ввод!$B$4,"",A3289+1))</f>
        <v/>
      </c>
      <c r="B3290" s="23" t="str">
        <f>IF(A3290="","",IFERROR(INDEX(Ввод!$B$12:$B$71,MATCH(A3290,Ввод!$D$12:$D$71,1)),""))</f>
        <v/>
      </c>
      <c r="C3290" t="str">
        <f t="shared" si="102"/>
        <v/>
      </c>
      <c r="D3290" t="str">
        <f>IF(A3290="","",SUMIFS(Акты!$D$5:$D$16,Акты!$E$5:$E$16,"&lt;="&amp;A3290)-SUMIFS(Оплаты!$B$6:$B$505,Оплаты!$A$6:$A$505,"&lt;"&amp;A3290,Оплаты!$D$6:$D$505,"&lt;&gt;"))</f>
        <v/>
      </c>
      <c r="E3290" t="str">
        <f>IF(A3290="","",IF(SUMPRODUCT((Ввод!$F$12:$F$31&lt;&gt;"")*(Ввод!$F$12:$F$31&lt;=A3290)*(Ввод!$G$12:$G$31&gt;=A3290))&gt;0,1,0))</f>
        <v/>
      </c>
      <c r="G3290" t="str">
        <f t="shared" si="103"/>
        <v/>
      </c>
    </row>
    <row r="3291" spans="1:7" x14ac:dyDescent="0.3">
      <c r="A3291" s="21" t="str">
        <f>IF(A3290="","",IF(A3290+1&gt;Ввод!$B$4,"",A3290+1))</f>
        <v/>
      </c>
      <c r="B3291" s="23" t="str">
        <f>IF(A3291="","",IFERROR(INDEX(Ввод!$B$12:$B$71,MATCH(A3291,Ввод!$D$12:$D$71,1)),""))</f>
        <v/>
      </c>
      <c r="C3291" t="str">
        <f t="shared" si="102"/>
        <v/>
      </c>
      <c r="D3291" t="str">
        <f>IF(A3291="","",SUMIFS(Акты!$D$5:$D$16,Акты!$E$5:$E$16,"&lt;="&amp;A3291)-SUMIFS(Оплаты!$B$6:$B$505,Оплаты!$A$6:$A$505,"&lt;"&amp;A3291,Оплаты!$D$6:$D$505,"&lt;&gt;"))</f>
        <v/>
      </c>
      <c r="E3291" t="str">
        <f>IF(A3291="","",IF(SUMPRODUCT((Ввод!$F$12:$F$31&lt;&gt;"")*(Ввод!$F$12:$F$31&lt;=A3291)*(Ввод!$G$12:$G$31&gt;=A3291))&gt;0,1,0))</f>
        <v/>
      </c>
      <c r="G3291" t="str">
        <f t="shared" si="103"/>
        <v/>
      </c>
    </row>
    <row r="3292" spans="1:7" x14ac:dyDescent="0.3">
      <c r="A3292" s="21" t="str">
        <f>IF(A3291="","",IF(A3291+1&gt;Ввод!$B$4,"",A3291+1))</f>
        <v/>
      </c>
      <c r="B3292" s="23" t="str">
        <f>IF(A3292="","",IFERROR(INDEX(Ввод!$B$12:$B$71,MATCH(A3292,Ввод!$D$12:$D$71,1)),""))</f>
        <v/>
      </c>
      <c r="C3292" t="str">
        <f t="shared" si="102"/>
        <v/>
      </c>
      <c r="D3292" t="str">
        <f>IF(A3292="","",SUMIFS(Акты!$D$5:$D$16,Акты!$E$5:$E$16,"&lt;="&amp;A3292)-SUMIFS(Оплаты!$B$6:$B$505,Оплаты!$A$6:$A$505,"&lt;"&amp;A3292,Оплаты!$D$6:$D$505,"&lt;&gt;"))</f>
        <v/>
      </c>
      <c r="E3292" t="str">
        <f>IF(A3292="","",IF(SUMPRODUCT((Ввод!$F$12:$F$31&lt;&gt;"")*(Ввод!$F$12:$F$31&lt;=A3292)*(Ввод!$G$12:$G$31&gt;=A3292))&gt;0,1,0))</f>
        <v/>
      </c>
      <c r="G3292" t="str">
        <f t="shared" si="103"/>
        <v/>
      </c>
    </row>
    <row r="3293" spans="1:7" x14ac:dyDescent="0.3">
      <c r="A3293" s="21" t="str">
        <f>IF(A3292="","",IF(A3292+1&gt;Ввод!$B$4,"",A3292+1))</f>
        <v/>
      </c>
      <c r="B3293" s="23" t="str">
        <f>IF(A3293="","",IFERROR(INDEX(Ввод!$B$12:$B$71,MATCH(A3293,Ввод!$D$12:$D$71,1)),""))</f>
        <v/>
      </c>
      <c r="C3293" t="str">
        <f t="shared" si="102"/>
        <v/>
      </c>
      <c r="D3293" t="str">
        <f>IF(A3293="","",SUMIFS(Акты!$D$5:$D$16,Акты!$E$5:$E$16,"&lt;="&amp;A3293)-SUMIFS(Оплаты!$B$6:$B$505,Оплаты!$A$6:$A$505,"&lt;"&amp;A3293,Оплаты!$D$6:$D$505,"&lt;&gt;"))</f>
        <v/>
      </c>
      <c r="E3293" t="str">
        <f>IF(A3293="","",IF(SUMPRODUCT((Ввод!$F$12:$F$31&lt;&gt;"")*(Ввод!$F$12:$F$31&lt;=A3293)*(Ввод!$G$12:$G$31&gt;=A3293))&gt;0,1,0))</f>
        <v/>
      </c>
      <c r="G3293" t="str">
        <f t="shared" si="103"/>
        <v/>
      </c>
    </row>
    <row r="3294" spans="1:7" x14ac:dyDescent="0.3">
      <c r="A3294" s="21" t="str">
        <f>IF(A3293="","",IF(A3293+1&gt;Ввод!$B$4,"",A3293+1))</f>
        <v/>
      </c>
      <c r="B3294" s="23" t="str">
        <f>IF(A3294="","",IFERROR(INDEX(Ввод!$B$12:$B$71,MATCH(A3294,Ввод!$D$12:$D$71,1)),""))</f>
        <v/>
      </c>
      <c r="C3294" t="str">
        <f t="shared" si="102"/>
        <v/>
      </c>
      <c r="D3294" t="str">
        <f>IF(A3294="","",SUMIFS(Акты!$D$5:$D$16,Акты!$E$5:$E$16,"&lt;="&amp;A3294)-SUMIFS(Оплаты!$B$6:$B$505,Оплаты!$A$6:$A$505,"&lt;"&amp;A3294,Оплаты!$D$6:$D$505,"&lt;&gt;"))</f>
        <v/>
      </c>
      <c r="E3294" t="str">
        <f>IF(A3294="","",IF(SUMPRODUCT((Ввод!$F$12:$F$31&lt;&gt;"")*(Ввод!$F$12:$F$31&lt;=A3294)*(Ввод!$G$12:$G$31&gt;=A3294))&gt;0,1,0))</f>
        <v/>
      </c>
      <c r="G3294" t="str">
        <f t="shared" si="103"/>
        <v/>
      </c>
    </row>
    <row r="3295" spans="1:7" x14ac:dyDescent="0.3">
      <c r="A3295" s="21" t="str">
        <f>IF(A3294="","",IF(A3294+1&gt;Ввод!$B$4,"",A3294+1))</f>
        <v/>
      </c>
      <c r="B3295" s="23" t="str">
        <f>IF(A3295="","",IFERROR(INDEX(Ввод!$B$12:$B$71,MATCH(A3295,Ввод!$D$12:$D$71,1)),""))</f>
        <v/>
      </c>
      <c r="C3295" t="str">
        <f t="shared" si="102"/>
        <v/>
      </c>
      <c r="D3295" t="str">
        <f>IF(A3295="","",SUMIFS(Акты!$D$5:$D$16,Акты!$E$5:$E$16,"&lt;="&amp;A3295)-SUMIFS(Оплаты!$B$6:$B$505,Оплаты!$A$6:$A$505,"&lt;"&amp;A3295,Оплаты!$D$6:$D$505,"&lt;&gt;"))</f>
        <v/>
      </c>
      <c r="E3295" t="str">
        <f>IF(A3295="","",IF(SUMPRODUCT((Ввод!$F$12:$F$31&lt;&gt;"")*(Ввод!$F$12:$F$31&lt;=A3295)*(Ввод!$G$12:$G$31&gt;=A3295))&gt;0,1,0))</f>
        <v/>
      </c>
      <c r="G3295" t="str">
        <f t="shared" si="103"/>
        <v/>
      </c>
    </row>
    <row r="3296" spans="1:7" x14ac:dyDescent="0.3">
      <c r="A3296" s="21" t="str">
        <f>IF(A3295="","",IF(A3295+1&gt;Ввод!$B$4,"",A3295+1))</f>
        <v/>
      </c>
      <c r="B3296" s="23" t="str">
        <f>IF(A3296="","",IFERROR(INDEX(Ввод!$B$12:$B$71,MATCH(A3296,Ввод!$D$12:$D$71,1)),""))</f>
        <v/>
      </c>
      <c r="C3296" t="str">
        <f t="shared" si="102"/>
        <v/>
      </c>
      <c r="D3296" t="str">
        <f>IF(A3296="","",SUMIFS(Акты!$D$5:$D$16,Акты!$E$5:$E$16,"&lt;="&amp;A3296)-SUMIFS(Оплаты!$B$6:$B$505,Оплаты!$A$6:$A$505,"&lt;"&amp;A3296,Оплаты!$D$6:$D$505,"&lt;&gt;"))</f>
        <v/>
      </c>
      <c r="E3296" t="str">
        <f>IF(A3296="","",IF(SUMPRODUCT((Ввод!$F$12:$F$31&lt;&gt;"")*(Ввод!$F$12:$F$31&lt;=A3296)*(Ввод!$G$12:$G$31&gt;=A3296))&gt;0,1,0))</f>
        <v/>
      </c>
      <c r="G3296" t="str">
        <f t="shared" si="103"/>
        <v/>
      </c>
    </row>
    <row r="3297" spans="1:7" x14ac:dyDescent="0.3">
      <c r="A3297" s="21" t="str">
        <f>IF(A3296="","",IF(A3296+1&gt;Ввод!$B$4,"",A3296+1))</f>
        <v/>
      </c>
      <c r="B3297" s="23" t="str">
        <f>IF(A3297="","",IFERROR(INDEX(Ввод!$B$12:$B$71,MATCH(A3297,Ввод!$D$12:$D$71,1)),""))</f>
        <v/>
      </c>
      <c r="C3297" t="str">
        <f t="shared" si="102"/>
        <v/>
      </c>
      <c r="D3297" t="str">
        <f>IF(A3297="","",SUMIFS(Акты!$D$5:$D$16,Акты!$E$5:$E$16,"&lt;="&amp;A3297)-SUMIFS(Оплаты!$B$6:$B$505,Оплаты!$A$6:$A$505,"&lt;"&amp;A3297,Оплаты!$D$6:$D$505,"&lt;&gt;"))</f>
        <v/>
      </c>
      <c r="E3297" t="str">
        <f>IF(A3297="","",IF(SUMPRODUCT((Ввод!$F$12:$F$31&lt;&gt;"")*(Ввод!$F$12:$F$31&lt;=A3297)*(Ввод!$G$12:$G$31&gt;=A3297))&gt;0,1,0))</f>
        <v/>
      </c>
      <c r="G3297" t="str">
        <f t="shared" si="103"/>
        <v/>
      </c>
    </row>
    <row r="3298" spans="1:7" x14ac:dyDescent="0.3">
      <c r="A3298" s="21" t="str">
        <f>IF(A3297="","",IF(A3297+1&gt;Ввод!$B$4,"",A3297+1))</f>
        <v/>
      </c>
      <c r="B3298" s="23" t="str">
        <f>IF(A3298="","",IFERROR(INDEX(Ввод!$B$12:$B$71,MATCH(A3298,Ввод!$D$12:$D$71,1)),""))</f>
        <v/>
      </c>
      <c r="C3298" t="str">
        <f t="shared" si="102"/>
        <v/>
      </c>
      <c r="D3298" t="str">
        <f>IF(A3298="","",SUMIFS(Акты!$D$5:$D$16,Акты!$E$5:$E$16,"&lt;="&amp;A3298)-SUMIFS(Оплаты!$B$6:$B$505,Оплаты!$A$6:$A$505,"&lt;"&amp;A3298,Оплаты!$D$6:$D$505,"&lt;&gt;"))</f>
        <v/>
      </c>
      <c r="E3298" t="str">
        <f>IF(A3298="","",IF(SUMPRODUCT((Ввод!$F$12:$F$31&lt;&gt;"")*(Ввод!$F$12:$F$31&lt;=A3298)*(Ввод!$G$12:$G$31&gt;=A3298))&gt;0,1,0))</f>
        <v/>
      </c>
      <c r="G3298" t="str">
        <f t="shared" si="103"/>
        <v/>
      </c>
    </row>
    <row r="3299" spans="1:7" x14ac:dyDescent="0.3">
      <c r="A3299" s="21" t="str">
        <f>IF(A3298="","",IF(A3298+1&gt;Ввод!$B$4,"",A3298+1))</f>
        <v/>
      </c>
      <c r="B3299" s="23" t="str">
        <f>IF(A3299="","",IFERROR(INDEX(Ввод!$B$12:$B$71,MATCH(A3299,Ввод!$D$12:$D$71,1)),""))</f>
        <v/>
      </c>
      <c r="C3299" t="str">
        <f t="shared" si="102"/>
        <v/>
      </c>
      <c r="D3299" t="str">
        <f>IF(A3299="","",SUMIFS(Акты!$D$5:$D$16,Акты!$E$5:$E$16,"&lt;="&amp;A3299)-SUMIFS(Оплаты!$B$6:$B$505,Оплаты!$A$6:$A$505,"&lt;"&amp;A3299,Оплаты!$D$6:$D$505,"&lt;&gt;"))</f>
        <v/>
      </c>
      <c r="E3299" t="str">
        <f>IF(A3299="","",IF(SUMPRODUCT((Ввод!$F$12:$F$31&lt;&gt;"")*(Ввод!$F$12:$F$31&lt;=A3299)*(Ввод!$G$12:$G$31&gt;=A3299))&gt;0,1,0))</f>
        <v/>
      </c>
      <c r="G3299" t="str">
        <f t="shared" si="103"/>
        <v/>
      </c>
    </row>
    <row r="3300" spans="1:7" x14ac:dyDescent="0.3">
      <c r="A3300" s="21" t="str">
        <f>IF(A3299="","",IF(A3299+1&gt;Ввод!$B$4,"",A3299+1))</f>
        <v/>
      </c>
      <c r="B3300" s="23" t="str">
        <f>IF(A3300="","",IFERROR(INDEX(Ввод!$B$12:$B$71,MATCH(A3300,Ввод!$D$12:$D$71,1)),""))</f>
        <v/>
      </c>
      <c r="C3300" t="str">
        <f t="shared" si="102"/>
        <v/>
      </c>
      <c r="D3300" t="str">
        <f>IF(A3300="","",SUMIFS(Акты!$D$5:$D$16,Акты!$E$5:$E$16,"&lt;="&amp;A3300)-SUMIFS(Оплаты!$B$6:$B$505,Оплаты!$A$6:$A$505,"&lt;"&amp;A3300,Оплаты!$D$6:$D$505,"&lt;&gt;"))</f>
        <v/>
      </c>
      <c r="E3300" t="str">
        <f>IF(A3300="","",IF(SUMPRODUCT((Ввод!$F$12:$F$31&lt;&gt;"")*(Ввод!$F$12:$F$31&lt;=A3300)*(Ввод!$G$12:$G$31&gt;=A3300))&gt;0,1,0))</f>
        <v/>
      </c>
      <c r="G3300" t="str">
        <f t="shared" si="103"/>
        <v/>
      </c>
    </row>
    <row r="3301" spans="1:7" x14ac:dyDescent="0.3">
      <c r="A3301" s="21" t="str">
        <f>IF(A3300="","",IF(A3300+1&gt;Ввод!$B$4,"",A3300+1))</f>
        <v/>
      </c>
      <c r="B3301" s="23" t="str">
        <f>IF(A3301="","",IFERROR(INDEX(Ввод!$B$12:$B$71,MATCH(A3301,Ввод!$D$12:$D$71,1)),""))</f>
        <v/>
      </c>
      <c r="C3301" t="str">
        <f t="shared" si="102"/>
        <v/>
      </c>
      <c r="D3301" t="str">
        <f>IF(A3301="","",SUMIFS(Акты!$D$5:$D$16,Акты!$E$5:$E$16,"&lt;="&amp;A3301)-SUMIFS(Оплаты!$B$6:$B$505,Оплаты!$A$6:$A$505,"&lt;"&amp;A3301,Оплаты!$D$6:$D$505,"&lt;&gt;"))</f>
        <v/>
      </c>
      <c r="E3301" t="str">
        <f>IF(A3301="","",IF(SUMPRODUCT((Ввод!$F$12:$F$31&lt;&gt;"")*(Ввод!$F$12:$F$31&lt;=A3301)*(Ввод!$G$12:$G$31&gt;=A3301))&gt;0,1,0))</f>
        <v/>
      </c>
      <c r="G3301" t="str">
        <f t="shared" si="103"/>
        <v/>
      </c>
    </row>
    <row r="3302" spans="1:7" x14ac:dyDescent="0.3">
      <c r="A3302" s="21" t="str">
        <f>IF(A3301="","",IF(A3301+1&gt;Ввод!$B$4,"",A3301+1))</f>
        <v/>
      </c>
      <c r="B3302" s="23" t="str">
        <f>IF(A3302="","",IFERROR(INDEX(Ввод!$B$12:$B$71,MATCH(A3302,Ввод!$D$12:$D$71,1)),""))</f>
        <v/>
      </c>
      <c r="C3302" t="str">
        <f t="shared" si="102"/>
        <v/>
      </c>
      <c r="D3302" t="str">
        <f>IF(A3302="","",SUMIFS(Акты!$D$5:$D$16,Акты!$E$5:$E$16,"&lt;="&amp;A3302)-SUMIFS(Оплаты!$B$6:$B$505,Оплаты!$A$6:$A$505,"&lt;"&amp;A3302,Оплаты!$D$6:$D$505,"&lt;&gt;"))</f>
        <v/>
      </c>
      <c r="E3302" t="str">
        <f>IF(A3302="","",IF(SUMPRODUCT((Ввод!$F$12:$F$31&lt;&gt;"")*(Ввод!$F$12:$F$31&lt;=A3302)*(Ввод!$G$12:$G$31&gt;=A3302))&gt;0,1,0))</f>
        <v/>
      </c>
      <c r="G3302" t="str">
        <f t="shared" si="103"/>
        <v/>
      </c>
    </row>
    <row r="3303" spans="1:7" x14ac:dyDescent="0.3">
      <c r="A3303" s="21" t="str">
        <f>IF(A3302="","",IF(A3302+1&gt;Ввод!$B$4,"",A3302+1))</f>
        <v/>
      </c>
      <c r="B3303" s="23" t="str">
        <f>IF(A3303="","",IFERROR(INDEX(Ввод!$B$12:$B$71,MATCH(A3303,Ввод!$D$12:$D$71,1)),""))</f>
        <v/>
      </c>
      <c r="C3303" t="str">
        <f t="shared" si="102"/>
        <v/>
      </c>
      <c r="D3303" t="str">
        <f>IF(A3303="","",SUMIFS(Акты!$D$5:$D$16,Акты!$E$5:$E$16,"&lt;="&amp;A3303)-SUMIFS(Оплаты!$B$6:$B$505,Оплаты!$A$6:$A$505,"&lt;"&amp;A3303,Оплаты!$D$6:$D$505,"&lt;&gt;"))</f>
        <v/>
      </c>
      <c r="E3303" t="str">
        <f>IF(A3303="","",IF(SUMPRODUCT((Ввод!$F$12:$F$31&lt;&gt;"")*(Ввод!$F$12:$F$31&lt;=A3303)*(Ввод!$G$12:$G$31&gt;=A3303))&gt;0,1,0))</f>
        <v/>
      </c>
      <c r="G3303" t="str">
        <f t="shared" si="103"/>
        <v/>
      </c>
    </row>
    <row r="3304" spans="1:7" x14ac:dyDescent="0.3">
      <c r="A3304" s="21" t="str">
        <f>IF(A3303="","",IF(A3303+1&gt;Ввод!$B$4,"",A3303+1))</f>
        <v/>
      </c>
      <c r="B3304" s="23" t="str">
        <f>IF(A3304="","",IFERROR(INDEX(Ввод!$B$12:$B$71,MATCH(A3304,Ввод!$D$12:$D$71,1)),""))</f>
        <v/>
      </c>
      <c r="C3304" t="str">
        <f t="shared" si="102"/>
        <v/>
      </c>
      <c r="D3304" t="str">
        <f>IF(A3304="","",SUMIFS(Акты!$D$5:$D$16,Акты!$E$5:$E$16,"&lt;="&amp;A3304)-SUMIFS(Оплаты!$B$6:$B$505,Оплаты!$A$6:$A$505,"&lt;"&amp;A3304,Оплаты!$D$6:$D$505,"&lt;&gt;"))</f>
        <v/>
      </c>
      <c r="E3304" t="str">
        <f>IF(A3304="","",IF(SUMPRODUCT((Ввод!$F$12:$F$31&lt;&gt;"")*(Ввод!$F$12:$F$31&lt;=A3304)*(Ввод!$G$12:$G$31&gt;=A3304))&gt;0,1,0))</f>
        <v/>
      </c>
      <c r="G3304" t="str">
        <f t="shared" si="103"/>
        <v/>
      </c>
    </row>
    <row r="3305" spans="1:7" x14ac:dyDescent="0.3">
      <c r="A3305" s="21" t="str">
        <f>IF(A3304="","",IF(A3304+1&gt;Ввод!$B$4,"",A3304+1))</f>
        <v/>
      </c>
      <c r="B3305" s="23" t="str">
        <f>IF(A3305="","",IFERROR(INDEX(Ввод!$B$12:$B$71,MATCH(A3305,Ввод!$D$12:$D$71,1)),""))</f>
        <v/>
      </c>
      <c r="C3305" t="str">
        <f t="shared" si="102"/>
        <v/>
      </c>
      <c r="D3305" t="str">
        <f>IF(A3305="","",SUMIFS(Акты!$D$5:$D$16,Акты!$E$5:$E$16,"&lt;="&amp;A3305)-SUMIFS(Оплаты!$B$6:$B$505,Оплаты!$A$6:$A$505,"&lt;"&amp;A3305,Оплаты!$D$6:$D$505,"&lt;&gt;"))</f>
        <v/>
      </c>
      <c r="E3305" t="str">
        <f>IF(A3305="","",IF(SUMPRODUCT((Ввод!$F$12:$F$31&lt;&gt;"")*(Ввод!$F$12:$F$31&lt;=A3305)*(Ввод!$G$12:$G$31&gt;=A3305))&gt;0,1,0))</f>
        <v/>
      </c>
      <c r="G3305" t="str">
        <f t="shared" si="103"/>
        <v/>
      </c>
    </row>
    <row r="3306" spans="1:7" x14ac:dyDescent="0.3">
      <c r="A3306" s="21" t="str">
        <f>IF(A3305="","",IF(A3305+1&gt;Ввод!$B$4,"",A3305+1))</f>
        <v/>
      </c>
      <c r="B3306" s="23" t="str">
        <f>IF(A3306="","",IFERROR(INDEX(Ввод!$B$12:$B$71,MATCH(A3306,Ввод!$D$12:$D$71,1)),""))</f>
        <v/>
      </c>
      <c r="C3306" t="str">
        <f t="shared" si="102"/>
        <v/>
      </c>
      <c r="D3306" t="str">
        <f>IF(A3306="","",SUMIFS(Акты!$D$5:$D$16,Акты!$E$5:$E$16,"&lt;="&amp;A3306)-SUMIFS(Оплаты!$B$6:$B$505,Оплаты!$A$6:$A$505,"&lt;"&amp;A3306,Оплаты!$D$6:$D$505,"&lt;&gt;"))</f>
        <v/>
      </c>
      <c r="E3306" t="str">
        <f>IF(A3306="","",IF(SUMPRODUCT((Ввод!$F$12:$F$31&lt;&gt;"")*(Ввод!$F$12:$F$31&lt;=A3306)*(Ввод!$G$12:$G$31&gt;=A3306))&gt;0,1,0))</f>
        <v/>
      </c>
      <c r="G3306" t="str">
        <f t="shared" si="103"/>
        <v/>
      </c>
    </row>
    <row r="3307" spans="1:7" x14ac:dyDescent="0.3">
      <c r="A3307" s="21" t="str">
        <f>IF(A3306="","",IF(A3306+1&gt;Ввод!$B$4,"",A3306+1))</f>
        <v/>
      </c>
      <c r="B3307" s="23" t="str">
        <f>IF(A3307="","",IFERROR(INDEX(Ввод!$B$12:$B$71,MATCH(A3307,Ввод!$D$12:$D$71,1)),""))</f>
        <v/>
      </c>
      <c r="C3307" t="str">
        <f t="shared" si="102"/>
        <v/>
      </c>
      <c r="D3307" t="str">
        <f>IF(A3307="","",SUMIFS(Акты!$D$5:$D$16,Акты!$E$5:$E$16,"&lt;="&amp;A3307)-SUMIFS(Оплаты!$B$6:$B$505,Оплаты!$A$6:$A$505,"&lt;"&amp;A3307,Оплаты!$D$6:$D$505,"&lt;&gt;"))</f>
        <v/>
      </c>
      <c r="E3307" t="str">
        <f>IF(A3307="","",IF(SUMPRODUCT((Ввод!$F$12:$F$31&lt;&gt;"")*(Ввод!$F$12:$F$31&lt;=A3307)*(Ввод!$G$12:$G$31&gt;=A3307))&gt;0,1,0))</f>
        <v/>
      </c>
      <c r="G3307" t="str">
        <f t="shared" si="103"/>
        <v/>
      </c>
    </row>
    <row r="3308" spans="1:7" x14ac:dyDescent="0.3">
      <c r="A3308" s="21" t="str">
        <f>IF(A3307="","",IF(A3307+1&gt;Ввод!$B$4,"",A3307+1))</f>
        <v/>
      </c>
      <c r="B3308" s="23" t="str">
        <f>IF(A3308="","",IFERROR(INDEX(Ввод!$B$12:$B$71,MATCH(A3308,Ввод!$D$12:$D$71,1)),""))</f>
        <v/>
      </c>
      <c r="C3308" t="str">
        <f t="shared" si="102"/>
        <v/>
      </c>
      <c r="D3308" t="str">
        <f>IF(A3308="","",SUMIFS(Акты!$D$5:$D$16,Акты!$E$5:$E$16,"&lt;="&amp;A3308)-SUMIFS(Оплаты!$B$6:$B$505,Оплаты!$A$6:$A$505,"&lt;"&amp;A3308,Оплаты!$D$6:$D$505,"&lt;&gt;"))</f>
        <v/>
      </c>
      <c r="E3308" t="str">
        <f>IF(A3308="","",IF(SUMPRODUCT((Ввод!$F$12:$F$31&lt;&gt;"")*(Ввод!$F$12:$F$31&lt;=A3308)*(Ввод!$G$12:$G$31&gt;=A3308))&gt;0,1,0))</f>
        <v/>
      </c>
      <c r="G3308" t="str">
        <f t="shared" si="103"/>
        <v/>
      </c>
    </row>
    <row r="3309" spans="1:7" x14ac:dyDescent="0.3">
      <c r="A3309" s="21" t="str">
        <f>IF(A3308="","",IF(A3308+1&gt;Ввод!$B$4,"",A3308+1))</f>
        <v/>
      </c>
      <c r="B3309" s="23" t="str">
        <f>IF(A3309="","",IFERROR(INDEX(Ввод!$B$12:$B$71,MATCH(A3309,Ввод!$D$12:$D$71,1)),""))</f>
        <v/>
      </c>
      <c r="C3309" t="str">
        <f t="shared" si="102"/>
        <v/>
      </c>
      <c r="D3309" t="str">
        <f>IF(A3309="","",SUMIFS(Акты!$D$5:$D$16,Акты!$E$5:$E$16,"&lt;="&amp;A3309)-SUMIFS(Оплаты!$B$6:$B$505,Оплаты!$A$6:$A$505,"&lt;"&amp;A3309,Оплаты!$D$6:$D$505,"&lt;&gt;"))</f>
        <v/>
      </c>
      <c r="E3309" t="str">
        <f>IF(A3309="","",IF(SUMPRODUCT((Ввод!$F$12:$F$31&lt;&gt;"")*(Ввод!$F$12:$F$31&lt;=A3309)*(Ввод!$G$12:$G$31&gt;=A3309))&gt;0,1,0))</f>
        <v/>
      </c>
      <c r="G3309" t="str">
        <f t="shared" si="103"/>
        <v/>
      </c>
    </row>
    <row r="3310" spans="1:7" x14ac:dyDescent="0.3">
      <c r="A3310" s="21" t="str">
        <f>IF(A3309="","",IF(A3309+1&gt;Ввод!$B$4,"",A3309+1))</f>
        <v/>
      </c>
      <c r="B3310" s="23" t="str">
        <f>IF(A3310="","",IFERROR(INDEX(Ввод!$B$12:$B$71,MATCH(A3310,Ввод!$D$12:$D$71,1)),""))</f>
        <v/>
      </c>
      <c r="C3310" t="str">
        <f t="shared" si="102"/>
        <v/>
      </c>
      <c r="D3310" t="str">
        <f>IF(A3310="","",SUMIFS(Акты!$D$5:$D$16,Акты!$E$5:$E$16,"&lt;="&amp;A3310)-SUMIFS(Оплаты!$B$6:$B$505,Оплаты!$A$6:$A$505,"&lt;"&amp;A3310,Оплаты!$D$6:$D$505,"&lt;&gt;"))</f>
        <v/>
      </c>
      <c r="E3310" t="str">
        <f>IF(A3310="","",IF(SUMPRODUCT((Ввод!$F$12:$F$31&lt;&gt;"")*(Ввод!$F$12:$F$31&lt;=A3310)*(Ввод!$G$12:$G$31&gt;=A3310))&gt;0,1,0))</f>
        <v/>
      </c>
      <c r="G3310" t="str">
        <f t="shared" si="103"/>
        <v/>
      </c>
    </row>
    <row r="3311" spans="1:7" x14ac:dyDescent="0.3">
      <c r="A3311" s="21" t="str">
        <f>IF(A3310="","",IF(A3310+1&gt;Ввод!$B$4,"",A3310+1))</f>
        <v/>
      </c>
      <c r="B3311" s="23" t="str">
        <f>IF(A3311="","",IFERROR(INDEX(Ввод!$B$12:$B$71,MATCH(A3311,Ввод!$D$12:$D$71,1)),""))</f>
        <v/>
      </c>
      <c r="C3311" t="str">
        <f t="shared" si="102"/>
        <v/>
      </c>
      <c r="D3311" t="str">
        <f>IF(A3311="","",SUMIFS(Акты!$D$5:$D$16,Акты!$E$5:$E$16,"&lt;="&amp;A3311)-SUMIFS(Оплаты!$B$6:$B$505,Оплаты!$A$6:$A$505,"&lt;"&amp;A3311,Оплаты!$D$6:$D$505,"&lt;&gt;"))</f>
        <v/>
      </c>
      <c r="E3311" t="str">
        <f>IF(A3311="","",IF(SUMPRODUCT((Ввод!$F$12:$F$31&lt;&gt;"")*(Ввод!$F$12:$F$31&lt;=A3311)*(Ввод!$G$12:$G$31&gt;=A3311))&gt;0,1,0))</f>
        <v/>
      </c>
      <c r="G3311" t="str">
        <f t="shared" si="103"/>
        <v/>
      </c>
    </row>
    <row r="3312" spans="1:7" x14ac:dyDescent="0.3">
      <c r="A3312" s="21" t="str">
        <f>IF(A3311="","",IF(A3311+1&gt;Ввод!$B$4,"",A3311+1))</f>
        <v/>
      </c>
      <c r="B3312" s="23" t="str">
        <f>IF(A3312="","",IFERROR(INDEX(Ввод!$B$12:$B$71,MATCH(A3312,Ввод!$D$12:$D$71,1)),""))</f>
        <v/>
      </c>
      <c r="C3312" t="str">
        <f t="shared" si="102"/>
        <v/>
      </c>
      <c r="D3312" t="str">
        <f>IF(A3312="","",SUMIFS(Акты!$D$5:$D$16,Акты!$E$5:$E$16,"&lt;="&amp;A3312)-SUMIFS(Оплаты!$B$6:$B$505,Оплаты!$A$6:$A$505,"&lt;"&amp;A3312,Оплаты!$D$6:$D$505,"&lt;&gt;"))</f>
        <v/>
      </c>
      <c r="E3312" t="str">
        <f>IF(A3312="","",IF(SUMPRODUCT((Ввод!$F$12:$F$31&lt;&gt;"")*(Ввод!$F$12:$F$31&lt;=A3312)*(Ввод!$G$12:$G$31&gt;=A3312))&gt;0,1,0))</f>
        <v/>
      </c>
      <c r="G3312" t="str">
        <f t="shared" si="103"/>
        <v/>
      </c>
    </row>
    <row r="3313" spans="1:7" x14ac:dyDescent="0.3">
      <c r="A3313" s="21" t="str">
        <f>IF(A3312="","",IF(A3312+1&gt;Ввод!$B$4,"",A3312+1))</f>
        <v/>
      </c>
      <c r="B3313" s="23" t="str">
        <f>IF(A3313="","",IFERROR(INDEX(Ввод!$B$12:$B$71,MATCH(A3313,Ввод!$D$12:$D$71,1)),""))</f>
        <v/>
      </c>
      <c r="C3313" t="str">
        <f t="shared" si="102"/>
        <v/>
      </c>
      <c r="D3313" t="str">
        <f>IF(A3313="","",SUMIFS(Акты!$D$5:$D$16,Акты!$E$5:$E$16,"&lt;="&amp;A3313)-SUMIFS(Оплаты!$B$6:$B$505,Оплаты!$A$6:$A$505,"&lt;"&amp;A3313,Оплаты!$D$6:$D$505,"&lt;&gt;"))</f>
        <v/>
      </c>
      <c r="E3313" t="str">
        <f>IF(A3313="","",IF(SUMPRODUCT((Ввод!$F$12:$F$31&lt;&gt;"")*(Ввод!$F$12:$F$31&lt;=A3313)*(Ввод!$G$12:$G$31&gt;=A3313))&gt;0,1,0))</f>
        <v/>
      </c>
      <c r="G3313" t="str">
        <f t="shared" si="103"/>
        <v/>
      </c>
    </row>
    <row r="3314" spans="1:7" x14ac:dyDescent="0.3">
      <c r="A3314" s="21" t="str">
        <f>IF(A3313="","",IF(A3313+1&gt;Ввод!$B$4,"",A3313+1))</f>
        <v/>
      </c>
      <c r="B3314" s="23" t="str">
        <f>IF(A3314="","",IFERROR(INDEX(Ввод!$B$12:$B$71,MATCH(A3314,Ввод!$D$12:$D$71,1)),""))</f>
        <v/>
      </c>
      <c r="C3314" t="str">
        <f t="shared" si="102"/>
        <v/>
      </c>
      <c r="D3314" t="str">
        <f>IF(A3314="","",SUMIFS(Акты!$D$5:$D$16,Акты!$E$5:$E$16,"&lt;="&amp;A3314)-SUMIFS(Оплаты!$B$6:$B$505,Оплаты!$A$6:$A$505,"&lt;"&amp;A3314,Оплаты!$D$6:$D$505,"&lt;&gt;"))</f>
        <v/>
      </c>
      <c r="E3314" t="str">
        <f>IF(A3314="","",IF(SUMPRODUCT((Ввод!$F$12:$F$31&lt;&gt;"")*(Ввод!$F$12:$F$31&lt;=A3314)*(Ввод!$G$12:$G$31&gt;=A3314))&gt;0,1,0))</f>
        <v/>
      </c>
      <c r="G3314" t="str">
        <f t="shared" si="103"/>
        <v/>
      </c>
    </row>
    <row r="3315" spans="1:7" x14ac:dyDescent="0.3">
      <c r="A3315" s="21" t="str">
        <f>IF(A3314="","",IF(A3314+1&gt;Ввод!$B$4,"",A3314+1))</f>
        <v/>
      </c>
      <c r="B3315" s="23" t="str">
        <f>IF(A3315="","",IFERROR(INDEX(Ввод!$B$12:$B$71,MATCH(A3315,Ввод!$D$12:$D$71,1)),""))</f>
        <v/>
      </c>
      <c r="C3315" t="str">
        <f t="shared" si="102"/>
        <v/>
      </c>
      <c r="D3315" t="str">
        <f>IF(A3315="","",SUMIFS(Акты!$D$5:$D$16,Акты!$E$5:$E$16,"&lt;="&amp;A3315)-SUMIFS(Оплаты!$B$6:$B$505,Оплаты!$A$6:$A$505,"&lt;"&amp;A3315,Оплаты!$D$6:$D$505,"&lt;&gt;"))</f>
        <v/>
      </c>
      <c r="E3315" t="str">
        <f>IF(A3315="","",IF(SUMPRODUCT((Ввод!$F$12:$F$31&lt;&gt;"")*(Ввод!$F$12:$F$31&lt;=A3315)*(Ввод!$G$12:$G$31&gt;=A3315))&gt;0,1,0))</f>
        <v/>
      </c>
      <c r="G3315" t="str">
        <f t="shared" si="103"/>
        <v/>
      </c>
    </row>
    <row r="3316" spans="1:7" x14ac:dyDescent="0.3">
      <c r="A3316" s="21" t="str">
        <f>IF(A3315="","",IF(A3315+1&gt;Ввод!$B$4,"",A3315+1))</f>
        <v/>
      </c>
      <c r="B3316" s="23" t="str">
        <f>IF(A3316="","",IFERROR(INDEX(Ввод!$B$12:$B$71,MATCH(A3316,Ввод!$D$12:$D$71,1)),""))</f>
        <v/>
      </c>
      <c r="C3316" t="str">
        <f t="shared" si="102"/>
        <v/>
      </c>
      <c r="D3316" t="str">
        <f>IF(A3316="","",SUMIFS(Акты!$D$5:$D$16,Акты!$E$5:$E$16,"&lt;="&amp;A3316)-SUMIFS(Оплаты!$B$6:$B$505,Оплаты!$A$6:$A$505,"&lt;"&amp;A3316,Оплаты!$D$6:$D$505,"&lt;&gt;"))</f>
        <v/>
      </c>
      <c r="E3316" t="str">
        <f>IF(A3316="","",IF(SUMPRODUCT((Ввод!$F$12:$F$31&lt;&gt;"")*(Ввод!$F$12:$F$31&lt;=A3316)*(Ввод!$G$12:$G$31&gt;=A3316))&gt;0,1,0))</f>
        <v/>
      </c>
      <c r="G3316" t="str">
        <f t="shared" si="103"/>
        <v/>
      </c>
    </row>
    <row r="3317" spans="1:7" x14ac:dyDescent="0.3">
      <c r="A3317" s="21" t="str">
        <f>IF(A3316="","",IF(A3316+1&gt;Ввод!$B$4,"",A3316+1))</f>
        <v/>
      </c>
      <c r="B3317" s="23" t="str">
        <f>IF(A3317="","",IFERROR(INDEX(Ввод!$B$12:$B$71,MATCH(A3317,Ввод!$D$12:$D$71,1)),""))</f>
        <v/>
      </c>
      <c r="C3317" t="str">
        <f t="shared" si="102"/>
        <v/>
      </c>
      <c r="D3317" t="str">
        <f>IF(A3317="","",SUMIFS(Акты!$D$5:$D$16,Акты!$E$5:$E$16,"&lt;="&amp;A3317)-SUMIFS(Оплаты!$B$6:$B$505,Оплаты!$A$6:$A$505,"&lt;"&amp;A3317,Оплаты!$D$6:$D$505,"&lt;&gt;"))</f>
        <v/>
      </c>
      <c r="E3317" t="str">
        <f>IF(A3317="","",IF(SUMPRODUCT((Ввод!$F$12:$F$31&lt;&gt;"")*(Ввод!$F$12:$F$31&lt;=A3317)*(Ввод!$G$12:$G$31&gt;=A3317))&gt;0,1,0))</f>
        <v/>
      </c>
      <c r="G3317" t="str">
        <f t="shared" si="103"/>
        <v/>
      </c>
    </row>
    <row r="3318" spans="1:7" x14ac:dyDescent="0.3">
      <c r="A3318" s="21" t="str">
        <f>IF(A3317="","",IF(A3317+1&gt;Ввод!$B$4,"",A3317+1))</f>
        <v/>
      </c>
      <c r="B3318" s="23" t="str">
        <f>IF(A3318="","",IFERROR(INDEX(Ввод!$B$12:$B$71,MATCH(A3318,Ввод!$D$12:$D$71,1)),""))</f>
        <v/>
      </c>
      <c r="C3318" t="str">
        <f t="shared" si="102"/>
        <v/>
      </c>
      <c r="D3318" t="str">
        <f>IF(A3318="","",SUMIFS(Акты!$D$5:$D$16,Акты!$E$5:$E$16,"&lt;="&amp;A3318)-SUMIFS(Оплаты!$B$6:$B$505,Оплаты!$A$6:$A$505,"&lt;"&amp;A3318,Оплаты!$D$6:$D$505,"&lt;&gt;"))</f>
        <v/>
      </c>
      <c r="E3318" t="str">
        <f>IF(A3318="","",IF(SUMPRODUCT((Ввод!$F$12:$F$31&lt;&gt;"")*(Ввод!$F$12:$F$31&lt;=A3318)*(Ввод!$G$12:$G$31&gt;=A3318))&gt;0,1,0))</f>
        <v/>
      </c>
      <c r="G3318" t="str">
        <f t="shared" si="103"/>
        <v/>
      </c>
    </row>
    <row r="3319" spans="1:7" x14ac:dyDescent="0.3">
      <c r="A3319" s="21" t="str">
        <f>IF(A3318="","",IF(A3318+1&gt;Ввод!$B$4,"",A3318+1))</f>
        <v/>
      </c>
      <c r="B3319" s="23" t="str">
        <f>IF(A3319="","",IFERROR(INDEX(Ввод!$B$12:$B$71,MATCH(A3319,Ввод!$D$12:$D$71,1)),""))</f>
        <v/>
      </c>
      <c r="C3319" t="str">
        <f t="shared" si="102"/>
        <v/>
      </c>
      <c r="D3319" t="str">
        <f>IF(A3319="","",SUMIFS(Акты!$D$5:$D$16,Акты!$E$5:$E$16,"&lt;="&amp;A3319)-SUMIFS(Оплаты!$B$6:$B$505,Оплаты!$A$6:$A$505,"&lt;"&amp;A3319,Оплаты!$D$6:$D$505,"&lt;&gt;"))</f>
        <v/>
      </c>
      <c r="E3319" t="str">
        <f>IF(A3319="","",IF(SUMPRODUCT((Ввод!$F$12:$F$31&lt;&gt;"")*(Ввод!$F$12:$F$31&lt;=A3319)*(Ввод!$G$12:$G$31&gt;=A3319))&gt;0,1,0))</f>
        <v/>
      </c>
      <c r="G3319" t="str">
        <f t="shared" si="103"/>
        <v/>
      </c>
    </row>
    <row r="3320" spans="1:7" x14ac:dyDescent="0.3">
      <c r="A3320" s="21" t="str">
        <f>IF(A3319="","",IF(A3319+1&gt;Ввод!$B$4,"",A3319+1))</f>
        <v/>
      </c>
      <c r="B3320" s="23" t="str">
        <f>IF(A3320="","",IFERROR(INDEX(Ввод!$B$12:$B$71,MATCH(A3320,Ввод!$D$12:$D$71,1)),""))</f>
        <v/>
      </c>
      <c r="C3320" t="str">
        <f t="shared" si="102"/>
        <v/>
      </c>
      <c r="D3320" t="str">
        <f>IF(A3320="","",SUMIFS(Акты!$D$5:$D$16,Акты!$E$5:$E$16,"&lt;="&amp;A3320)-SUMIFS(Оплаты!$B$6:$B$505,Оплаты!$A$6:$A$505,"&lt;"&amp;A3320,Оплаты!$D$6:$D$505,"&lt;&gt;"))</f>
        <v/>
      </c>
      <c r="E3320" t="str">
        <f>IF(A3320="","",IF(SUMPRODUCT((Ввод!$F$12:$F$31&lt;&gt;"")*(Ввод!$F$12:$F$31&lt;=A3320)*(Ввод!$G$12:$G$31&gt;=A3320))&gt;0,1,0))</f>
        <v/>
      </c>
      <c r="G3320" t="str">
        <f t="shared" si="103"/>
        <v/>
      </c>
    </row>
    <row r="3321" spans="1:7" x14ac:dyDescent="0.3">
      <c r="A3321" s="21" t="str">
        <f>IF(A3320="","",IF(A3320+1&gt;Ввод!$B$4,"",A3320+1))</f>
        <v/>
      </c>
      <c r="B3321" s="23" t="str">
        <f>IF(A3321="","",IFERROR(INDEX(Ввод!$B$12:$B$71,MATCH(A3321,Ввод!$D$12:$D$71,1)),""))</f>
        <v/>
      </c>
      <c r="C3321" t="str">
        <f t="shared" si="102"/>
        <v/>
      </c>
      <c r="D3321" t="str">
        <f>IF(A3321="","",SUMIFS(Акты!$D$5:$D$16,Акты!$E$5:$E$16,"&lt;="&amp;A3321)-SUMIFS(Оплаты!$B$6:$B$505,Оплаты!$A$6:$A$505,"&lt;"&amp;A3321,Оплаты!$D$6:$D$505,"&lt;&gt;"))</f>
        <v/>
      </c>
      <c r="E3321" t="str">
        <f>IF(A3321="","",IF(SUMPRODUCT((Ввод!$F$12:$F$31&lt;&gt;"")*(Ввод!$F$12:$F$31&lt;=A3321)*(Ввод!$G$12:$G$31&gt;=A3321))&gt;0,1,0))</f>
        <v/>
      </c>
      <c r="G3321" t="str">
        <f t="shared" si="103"/>
        <v/>
      </c>
    </row>
    <row r="3322" spans="1:7" x14ac:dyDescent="0.3">
      <c r="A3322" s="21" t="str">
        <f>IF(A3321="","",IF(A3321+1&gt;Ввод!$B$4,"",A3321+1))</f>
        <v/>
      </c>
      <c r="B3322" s="23" t="str">
        <f>IF(A3322="","",IFERROR(INDEX(Ввод!$B$12:$B$71,MATCH(A3322,Ввод!$D$12:$D$71,1)),""))</f>
        <v/>
      </c>
      <c r="C3322" t="str">
        <f t="shared" si="102"/>
        <v/>
      </c>
      <c r="D3322" t="str">
        <f>IF(A3322="","",SUMIFS(Акты!$D$5:$D$16,Акты!$E$5:$E$16,"&lt;="&amp;A3322)-SUMIFS(Оплаты!$B$6:$B$505,Оплаты!$A$6:$A$505,"&lt;"&amp;A3322,Оплаты!$D$6:$D$505,"&lt;&gt;"))</f>
        <v/>
      </c>
      <c r="E3322" t="str">
        <f>IF(A3322="","",IF(SUMPRODUCT((Ввод!$F$12:$F$31&lt;&gt;"")*(Ввод!$F$12:$F$31&lt;=A3322)*(Ввод!$G$12:$G$31&gt;=A3322))&gt;0,1,0))</f>
        <v/>
      </c>
      <c r="G3322" t="str">
        <f t="shared" si="103"/>
        <v/>
      </c>
    </row>
    <row r="3323" spans="1:7" x14ac:dyDescent="0.3">
      <c r="A3323" s="21" t="str">
        <f>IF(A3322="","",IF(A3322+1&gt;Ввод!$B$4,"",A3322+1))</f>
        <v/>
      </c>
      <c r="B3323" s="23" t="str">
        <f>IF(A3323="","",IFERROR(INDEX(Ввод!$B$12:$B$71,MATCH(A3323,Ввод!$D$12:$D$71,1)),""))</f>
        <v/>
      </c>
      <c r="C3323" t="str">
        <f t="shared" si="102"/>
        <v/>
      </c>
      <c r="D3323" t="str">
        <f>IF(A3323="","",SUMIFS(Акты!$D$5:$D$16,Акты!$E$5:$E$16,"&lt;="&amp;A3323)-SUMIFS(Оплаты!$B$6:$B$505,Оплаты!$A$6:$A$505,"&lt;"&amp;A3323,Оплаты!$D$6:$D$505,"&lt;&gt;"))</f>
        <v/>
      </c>
      <c r="E3323" t="str">
        <f>IF(A3323="","",IF(SUMPRODUCT((Ввод!$F$12:$F$31&lt;&gt;"")*(Ввод!$F$12:$F$31&lt;=A3323)*(Ввод!$G$12:$G$31&gt;=A3323))&gt;0,1,0))</f>
        <v/>
      </c>
      <c r="G3323" t="str">
        <f t="shared" si="103"/>
        <v/>
      </c>
    </row>
    <row r="3324" spans="1:7" x14ac:dyDescent="0.3">
      <c r="A3324" s="21" t="str">
        <f>IF(A3323="","",IF(A3323+1&gt;Ввод!$B$4,"",A3323+1))</f>
        <v/>
      </c>
      <c r="B3324" s="23" t="str">
        <f>IF(A3324="","",IFERROR(INDEX(Ввод!$B$12:$B$71,MATCH(A3324,Ввод!$D$12:$D$71,1)),""))</f>
        <v/>
      </c>
      <c r="C3324" t="str">
        <f t="shared" si="102"/>
        <v/>
      </c>
      <c r="D3324" t="str">
        <f>IF(A3324="","",SUMIFS(Акты!$D$5:$D$16,Акты!$E$5:$E$16,"&lt;="&amp;A3324)-SUMIFS(Оплаты!$B$6:$B$505,Оплаты!$A$6:$A$505,"&lt;"&amp;A3324,Оплаты!$D$6:$D$505,"&lt;&gt;"))</f>
        <v/>
      </c>
      <c r="E3324" t="str">
        <f>IF(A3324="","",IF(SUMPRODUCT((Ввод!$F$12:$F$31&lt;&gt;"")*(Ввод!$F$12:$F$31&lt;=A3324)*(Ввод!$G$12:$G$31&gt;=A3324))&gt;0,1,0))</f>
        <v/>
      </c>
      <c r="G3324" t="str">
        <f t="shared" si="103"/>
        <v/>
      </c>
    </row>
    <row r="3325" spans="1:7" x14ac:dyDescent="0.3">
      <c r="A3325" s="21" t="str">
        <f>IF(A3324="","",IF(A3324+1&gt;Ввод!$B$4,"",A3324+1))</f>
        <v/>
      </c>
      <c r="B3325" s="23" t="str">
        <f>IF(A3325="","",IFERROR(INDEX(Ввод!$B$12:$B$71,MATCH(A3325,Ввод!$D$12:$D$71,1)),""))</f>
        <v/>
      </c>
      <c r="C3325" t="str">
        <f t="shared" si="102"/>
        <v/>
      </c>
      <c r="D3325" t="str">
        <f>IF(A3325="","",SUMIFS(Акты!$D$5:$D$16,Акты!$E$5:$E$16,"&lt;="&amp;A3325)-SUMIFS(Оплаты!$B$6:$B$505,Оплаты!$A$6:$A$505,"&lt;"&amp;A3325,Оплаты!$D$6:$D$505,"&lt;&gt;"))</f>
        <v/>
      </c>
      <c r="E3325" t="str">
        <f>IF(A3325="","",IF(SUMPRODUCT((Ввод!$F$12:$F$31&lt;&gt;"")*(Ввод!$F$12:$F$31&lt;=A3325)*(Ввод!$G$12:$G$31&gt;=A3325))&gt;0,1,0))</f>
        <v/>
      </c>
      <c r="G3325" t="str">
        <f t="shared" si="103"/>
        <v/>
      </c>
    </row>
    <row r="3326" spans="1:7" x14ac:dyDescent="0.3">
      <c r="A3326" s="21" t="str">
        <f>IF(A3325="","",IF(A3325+1&gt;Ввод!$B$4,"",A3325+1))</f>
        <v/>
      </c>
      <c r="B3326" s="23" t="str">
        <f>IF(A3326="","",IFERROR(INDEX(Ввод!$B$12:$B$71,MATCH(A3326,Ввод!$D$12:$D$71,1)),""))</f>
        <v/>
      </c>
      <c r="C3326" t="str">
        <f t="shared" si="102"/>
        <v/>
      </c>
      <c r="D3326" t="str">
        <f>IF(A3326="","",SUMIFS(Акты!$D$5:$D$16,Акты!$E$5:$E$16,"&lt;="&amp;A3326)-SUMIFS(Оплаты!$B$6:$B$505,Оплаты!$A$6:$A$505,"&lt;"&amp;A3326,Оплаты!$D$6:$D$505,"&lt;&gt;"))</f>
        <v/>
      </c>
      <c r="E3326" t="str">
        <f>IF(A3326="","",IF(SUMPRODUCT((Ввод!$F$12:$F$31&lt;&gt;"")*(Ввод!$F$12:$F$31&lt;=A3326)*(Ввод!$G$12:$G$31&gt;=A3326))&gt;0,1,0))</f>
        <v/>
      </c>
      <c r="G3326" t="str">
        <f t="shared" si="103"/>
        <v/>
      </c>
    </row>
    <row r="3327" spans="1:7" x14ac:dyDescent="0.3">
      <c r="A3327" s="21" t="str">
        <f>IF(A3326="","",IF(A3326+1&gt;Ввод!$B$4,"",A3326+1))</f>
        <v/>
      </c>
      <c r="B3327" s="23" t="str">
        <f>IF(A3327="","",IFERROR(INDEX(Ввод!$B$12:$B$71,MATCH(A3327,Ввод!$D$12:$D$71,1)),""))</f>
        <v/>
      </c>
      <c r="C3327" t="str">
        <f t="shared" si="102"/>
        <v/>
      </c>
      <c r="D3327" t="str">
        <f>IF(A3327="","",SUMIFS(Акты!$D$5:$D$16,Акты!$E$5:$E$16,"&lt;="&amp;A3327)-SUMIFS(Оплаты!$B$6:$B$505,Оплаты!$A$6:$A$505,"&lt;"&amp;A3327,Оплаты!$D$6:$D$505,"&lt;&gt;"))</f>
        <v/>
      </c>
      <c r="E3327" t="str">
        <f>IF(A3327="","",IF(SUMPRODUCT((Ввод!$F$12:$F$31&lt;&gt;"")*(Ввод!$F$12:$F$31&lt;=A3327)*(Ввод!$G$12:$G$31&gt;=A3327))&gt;0,1,0))</f>
        <v/>
      </c>
      <c r="G3327" t="str">
        <f t="shared" si="103"/>
        <v/>
      </c>
    </row>
    <row r="3328" spans="1:7" x14ac:dyDescent="0.3">
      <c r="A3328" s="21" t="str">
        <f>IF(A3327="","",IF(A3327+1&gt;Ввод!$B$4,"",A3327+1))</f>
        <v/>
      </c>
      <c r="B3328" s="23" t="str">
        <f>IF(A3328="","",IFERROR(INDEX(Ввод!$B$12:$B$71,MATCH(A3328,Ввод!$D$12:$D$71,1)),""))</f>
        <v/>
      </c>
      <c r="C3328" t="str">
        <f t="shared" si="102"/>
        <v/>
      </c>
      <c r="D3328" t="str">
        <f>IF(A3328="","",SUMIFS(Акты!$D$5:$D$16,Акты!$E$5:$E$16,"&lt;="&amp;A3328)-SUMIFS(Оплаты!$B$6:$B$505,Оплаты!$A$6:$A$505,"&lt;"&amp;A3328,Оплаты!$D$6:$D$505,"&lt;&gt;"))</f>
        <v/>
      </c>
      <c r="E3328" t="str">
        <f>IF(A3328="","",IF(SUMPRODUCT((Ввод!$F$12:$F$31&lt;&gt;"")*(Ввод!$F$12:$F$31&lt;=A3328)*(Ввод!$G$12:$G$31&gt;=A3328))&gt;0,1,0))</f>
        <v/>
      </c>
      <c r="G3328" t="str">
        <f t="shared" si="103"/>
        <v/>
      </c>
    </row>
    <row r="3329" spans="1:7" x14ac:dyDescent="0.3">
      <c r="A3329" s="21" t="str">
        <f>IF(A3328="","",IF(A3328+1&gt;Ввод!$B$4,"",A3328+1))</f>
        <v/>
      </c>
      <c r="B3329" s="23" t="str">
        <f>IF(A3329="","",IFERROR(INDEX(Ввод!$B$12:$B$71,MATCH(A3329,Ввод!$D$12:$D$71,1)),""))</f>
        <v/>
      </c>
      <c r="C3329" t="str">
        <f t="shared" si="102"/>
        <v/>
      </c>
      <c r="D3329" t="str">
        <f>IF(A3329="","",SUMIFS(Акты!$D$5:$D$16,Акты!$E$5:$E$16,"&lt;="&amp;A3329)-SUMIFS(Оплаты!$B$6:$B$505,Оплаты!$A$6:$A$505,"&lt;"&amp;A3329,Оплаты!$D$6:$D$505,"&lt;&gt;"))</f>
        <v/>
      </c>
      <c r="E3329" t="str">
        <f>IF(A3329="","",IF(SUMPRODUCT((Ввод!$F$12:$F$31&lt;&gt;"")*(Ввод!$F$12:$F$31&lt;=A3329)*(Ввод!$G$12:$G$31&gt;=A3329))&gt;0,1,0))</f>
        <v/>
      </c>
      <c r="G3329" t="str">
        <f t="shared" si="103"/>
        <v/>
      </c>
    </row>
    <row r="3330" spans="1:7" x14ac:dyDescent="0.3">
      <c r="A3330" s="21" t="str">
        <f>IF(A3329="","",IF(A3329+1&gt;Ввод!$B$4,"",A3329+1))</f>
        <v/>
      </c>
      <c r="B3330" s="23" t="str">
        <f>IF(A3330="","",IFERROR(INDEX(Ввод!$B$12:$B$71,MATCH(A3330,Ввод!$D$12:$D$71,1)),""))</f>
        <v/>
      </c>
      <c r="C3330" t="str">
        <f t="shared" ref="C3330:C3393" si="104">IF(A3330="","",DATE(YEAR(A3330),12,31)-DATE(YEAR(A3330),1,1)+1)</f>
        <v/>
      </c>
      <c r="D3330" t="str">
        <f>IF(A3330="","",SUMIFS(Акты!$D$5:$D$16,Акты!$E$5:$E$16,"&lt;="&amp;A3330)-SUMIFS(Оплаты!$B$6:$B$505,Оплаты!$A$6:$A$505,"&lt;"&amp;A3330,Оплаты!$D$6:$D$505,"&lt;&gt;"))</f>
        <v/>
      </c>
      <c r="E3330" t="str">
        <f>IF(A3330="","",IF(SUMPRODUCT((Ввод!$F$12:$F$31&lt;&gt;"")*(Ввод!$F$12:$F$31&lt;=A3330)*(Ввод!$G$12:$G$31&gt;=A3330))&gt;0,1,0))</f>
        <v/>
      </c>
      <c r="G3330" t="str">
        <f t="shared" si="103"/>
        <v/>
      </c>
    </row>
    <row r="3331" spans="1:7" x14ac:dyDescent="0.3">
      <c r="A3331" s="21" t="str">
        <f>IF(A3330="","",IF(A3330+1&gt;Ввод!$B$4,"",A3330+1))</f>
        <v/>
      </c>
      <c r="B3331" s="23" t="str">
        <f>IF(A3331="","",IFERROR(INDEX(Ввод!$B$12:$B$71,MATCH(A3331,Ввод!$D$12:$D$71,1)),""))</f>
        <v/>
      </c>
      <c r="C3331" t="str">
        <f t="shared" si="104"/>
        <v/>
      </c>
      <c r="D3331" t="str">
        <f>IF(A3331="","",SUMIFS(Акты!$D$5:$D$16,Акты!$E$5:$E$16,"&lt;="&amp;A3331)-SUMIFS(Оплаты!$B$6:$B$505,Оплаты!$A$6:$A$505,"&lt;"&amp;A3331,Оплаты!$D$6:$D$505,"&lt;&gt;"))</f>
        <v/>
      </c>
      <c r="E3331" t="str">
        <f>IF(A3331="","",IF(SUMPRODUCT((Ввод!$F$12:$F$31&lt;&gt;"")*(Ввод!$F$12:$F$31&lt;=A3331)*(Ввод!$G$12:$G$31&gt;=A3331))&gt;0,1,0))</f>
        <v/>
      </c>
      <c r="G3331" t="str">
        <f t="shared" ref="G3331:G3394" si="105">IF(A3331="","",IF(OR(B3331&lt;&gt;B3330,C3331&lt;&gt;C3330,E3331&lt;&gt;E3330),G3330+1,G3330))</f>
        <v/>
      </c>
    </row>
    <row r="3332" spans="1:7" x14ac:dyDescent="0.3">
      <c r="A3332" s="21" t="str">
        <f>IF(A3331="","",IF(A3331+1&gt;Ввод!$B$4,"",A3331+1))</f>
        <v/>
      </c>
      <c r="B3332" s="23" t="str">
        <f>IF(A3332="","",IFERROR(INDEX(Ввод!$B$12:$B$71,MATCH(A3332,Ввод!$D$12:$D$71,1)),""))</f>
        <v/>
      </c>
      <c r="C3332" t="str">
        <f t="shared" si="104"/>
        <v/>
      </c>
      <c r="D3332" t="str">
        <f>IF(A3332="","",SUMIFS(Акты!$D$5:$D$16,Акты!$E$5:$E$16,"&lt;="&amp;A3332)-SUMIFS(Оплаты!$B$6:$B$505,Оплаты!$A$6:$A$505,"&lt;"&amp;A3332,Оплаты!$D$6:$D$505,"&lt;&gt;"))</f>
        <v/>
      </c>
      <c r="E3332" t="str">
        <f>IF(A3332="","",IF(SUMPRODUCT((Ввод!$F$12:$F$31&lt;&gt;"")*(Ввод!$F$12:$F$31&lt;=A3332)*(Ввод!$G$12:$G$31&gt;=A3332))&gt;0,1,0))</f>
        <v/>
      </c>
      <c r="G3332" t="str">
        <f t="shared" si="105"/>
        <v/>
      </c>
    </row>
    <row r="3333" spans="1:7" x14ac:dyDescent="0.3">
      <c r="A3333" s="21" t="str">
        <f>IF(A3332="","",IF(A3332+1&gt;Ввод!$B$4,"",A3332+1))</f>
        <v/>
      </c>
      <c r="B3333" s="23" t="str">
        <f>IF(A3333="","",IFERROR(INDEX(Ввод!$B$12:$B$71,MATCH(A3333,Ввод!$D$12:$D$71,1)),""))</f>
        <v/>
      </c>
      <c r="C3333" t="str">
        <f t="shared" si="104"/>
        <v/>
      </c>
      <c r="D3333" t="str">
        <f>IF(A3333="","",SUMIFS(Акты!$D$5:$D$16,Акты!$E$5:$E$16,"&lt;="&amp;A3333)-SUMIFS(Оплаты!$B$6:$B$505,Оплаты!$A$6:$A$505,"&lt;"&amp;A3333,Оплаты!$D$6:$D$505,"&lt;&gt;"))</f>
        <v/>
      </c>
      <c r="E3333" t="str">
        <f>IF(A3333="","",IF(SUMPRODUCT((Ввод!$F$12:$F$31&lt;&gt;"")*(Ввод!$F$12:$F$31&lt;=A3333)*(Ввод!$G$12:$G$31&gt;=A3333))&gt;0,1,0))</f>
        <v/>
      </c>
      <c r="G3333" t="str">
        <f t="shared" si="105"/>
        <v/>
      </c>
    </row>
    <row r="3334" spans="1:7" x14ac:dyDescent="0.3">
      <c r="A3334" s="21" t="str">
        <f>IF(A3333="","",IF(A3333+1&gt;Ввод!$B$4,"",A3333+1))</f>
        <v/>
      </c>
      <c r="B3334" s="23" t="str">
        <f>IF(A3334="","",IFERROR(INDEX(Ввод!$B$12:$B$71,MATCH(A3334,Ввод!$D$12:$D$71,1)),""))</f>
        <v/>
      </c>
      <c r="C3334" t="str">
        <f t="shared" si="104"/>
        <v/>
      </c>
      <c r="D3334" t="str">
        <f>IF(A3334="","",SUMIFS(Акты!$D$5:$D$16,Акты!$E$5:$E$16,"&lt;="&amp;A3334)-SUMIFS(Оплаты!$B$6:$B$505,Оплаты!$A$6:$A$505,"&lt;"&amp;A3334,Оплаты!$D$6:$D$505,"&lt;&gt;"))</f>
        <v/>
      </c>
      <c r="E3334" t="str">
        <f>IF(A3334="","",IF(SUMPRODUCT((Ввод!$F$12:$F$31&lt;&gt;"")*(Ввод!$F$12:$F$31&lt;=A3334)*(Ввод!$G$12:$G$31&gt;=A3334))&gt;0,1,0))</f>
        <v/>
      </c>
      <c r="G3334" t="str">
        <f t="shared" si="105"/>
        <v/>
      </c>
    </row>
    <row r="3335" spans="1:7" x14ac:dyDescent="0.3">
      <c r="A3335" s="21" t="str">
        <f>IF(A3334="","",IF(A3334+1&gt;Ввод!$B$4,"",A3334+1))</f>
        <v/>
      </c>
      <c r="B3335" s="23" t="str">
        <f>IF(A3335="","",IFERROR(INDEX(Ввод!$B$12:$B$71,MATCH(A3335,Ввод!$D$12:$D$71,1)),""))</f>
        <v/>
      </c>
      <c r="C3335" t="str">
        <f t="shared" si="104"/>
        <v/>
      </c>
      <c r="D3335" t="str">
        <f>IF(A3335="","",SUMIFS(Акты!$D$5:$D$16,Акты!$E$5:$E$16,"&lt;="&amp;A3335)-SUMIFS(Оплаты!$B$6:$B$505,Оплаты!$A$6:$A$505,"&lt;"&amp;A3335,Оплаты!$D$6:$D$505,"&lt;&gt;"))</f>
        <v/>
      </c>
      <c r="E3335" t="str">
        <f>IF(A3335="","",IF(SUMPRODUCT((Ввод!$F$12:$F$31&lt;&gt;"")*(Ввод!$F$12:$F$31&lt;=A3335)*(Ввод!$G$12:$G$31&gt;=A3335))&gt;0,1,0))</f>
        <v/>
      </c>
      <c r="G3335" t="str">
        <f t="shared" si="105"/>
        <v/>
      </c>
    </row>
    <row r="3336" spans="1:7" x14ac:dyDescent="0.3">
      <c r="A3336" s="21" t="str">
        <f>IF(A3335="","",IF(A3335+1&gt;Ввод!$B$4,"",A3335+1))</f>
        <v/>
      </c>
      <c r="B3336" s="23" t="str">
        <f>IF(A3336="","",IFERROR(INDEX(Ввод!$B$12:$B$71,MATCH(A3336,Ввод!$D$12:$D$71,1)),""))</f>
        <v/>
      </c>
      <c r="C3336" t="str">
        <f t="shared" si="104"/>
        <v/>
      </c>
      <c r="D3336" t="str">
        <f>IF(A3336="","",SUMIFS(Акты!$D$5:$D$16,Акты!$E$5:$E$16,"&lt;="&amp;A3336)-SUMIFS(Оплаты!$B$6:$B$505,Оплаты!$A$6:$A$505,"&lt;"&amp;A3336,Оплаты!$D$6:$D$505,"&lt;&gt;"))</f>
        <v/>
      </c>
      <c r="E3336" t="str">
        <f>IF(A3336="","",IF(SUMPRODUCT((Ввод!$F$12:$F$31&lt;&gt;"")*(Ввод!$F$12:$F$31&lt;=A3336)*(Ввод!$G$12:$G$31&gt;=A3336))&gt;0,1,0))</f>
        <v/>
      </c>
      <c r="G3336" t="str">
        <f t="shared" si="105"/>
        <v/>
      </c>
    </row>
    <row r="3337" spans="1:7" x14ac:dyDescent="0.3">
      <c r="A3337" s="21" t="str">
        <f>IF(A3336="","",IF(A3336+1&gt;Ввод!$B$4,"",A3336+1))</f>
        <v/>
      </c>
      <c r="B3337" s="23" t="str">
        <f>IF(A3337="","",IFERROR(INDEX(Ввод!$B$12:$B$71,MATCH(A3337,Ввод!$D$12:$D$71,1)),""))</f>
        <v/>
      </c>
      <c r="C3337" t="str">
        <f t="shared" si="104"/>
        <v/>
      </c>
      <c r="D3337" t="str">
        <f>IF(A3337="","",SUMIFS(Акты!$D$5:$D$16,Акты!$E$5:$E$16,"&lt;="&amp;A3337)-SUMIFS(Оплаты!$B$6:$B$505,Оплаты!$A$6:$A$505,"&lt;"&amp;A3337,Оплаты!$D$6:$D$505,"&lt;&gt;"))</f>
        <v/>
      </c>
      <c r="E3337" t="str">
        <f>IF(A3337="","",IF(SUMPRODUCT((Ввод!$F$12:$F$31&lt;&gt;"")*(Ввод!$F$12:$F$31&lt;=A3337)*(Ввод!$G$12:$G$31&gt;=A3337))&gt;0,1,0))</f>
        <v/>
      </c>
      <c r="G3337" t="str">
        <f t="shared" si="105"/>
        <v/>
      </c>
    </row>
    <row r="3338" spans="1:7" x14ac:dyDescent="0.3">
      <c r="A3338" s="21" t="str">
        <f>IF(A3337="","",IF(A3337+1&gt;Ввод!$B$4,"",A3337+1))</f>
        <v/>
      </c>
      <c r="B3338" s="23" t="str">
        <f>IF(A3338="","",IFERROR(INDEX(Ввод!$B$12:$B$71,MATCH(A3338,Ввод!$D$12:$D$71,1)),""))</f>
        <v/>
      </c>
      <c r="C3338" t="str">
        <f t="shared" si="104"/>
        <v/>
      </c>
      <c r="D3338" t="str">
        <f>IF(A3338="","",SUMIFS(Акты!$D$5:$D$16,Акты!$E$5:$E$16,"&lt;="&amp;A3338)-SUMIFS(Оплаты!$B$6:$B$505,Оплаты!$A$6:$A$505,"&lt;"&amp;A3338,Оплаты!$D$6:$D$505,"&lt;&gt;"))</f>
        <v/>
      </c>
      <c r="E3338" t="str">
        <f>IF(A3338="","",IF(SUMPRODUCT((Ввод!$F$12:$F$31&lt;&gt;"")*(Ввод!$F$12:$F$31&lt;=A3338)*(Ввод!$G$12:$G$31&gt;=A3338))&gt;0,1,0))</f>
        <v/>
      </c>
      <c r="G3338" t="str">
        <f t="shared" si="105"/>
        <v/>
      </c>
    </row>
    <row r="3339" spans="1:7" x14ac:dyDescent="0.3">
      <c r="A3339" s="21" t="str">
        <f>IF(A3338="","",IF(A3338+1&gt;Ввод!$B$4,"",A3338+1))</f>
        <v/>
      </c>
      <c r="B3339" s="23" t="str">
        <f>IF(A3339="","",IFERROR(INDEX(Ввод!$B$12:$B$71,MATCH(A3339,Ввод!$D$12:$D$71,1)),""))</f>
        <v/>
      </c>
      <c r="C3339" t="str">
        <f t="shared" si="104"/>
        <v/>
      </c>
      <c r="D3339" t="str">
        <f>IF(A3339="","",SUMIFS(Акты!$D$5:$D$16,Акты!$E$5:$E$16,"&lt;="&amp;A3339)-SUMIFS(Оплаты!$B$6:$B$505,Оплаты!$A$6:$A$505,"&lt;"&amp;A3339,Оплаты!$D$6:$D$505,"&lt;&gt;"))</f>
        <v/>
      </c>
      <c r="E3339" t="str">
        <f>IF(A3339="","",IF(SUMPRODUCT((Ввод!$F$12:$F$31&lt;&gt;"")*(Ввод!$F$12:$F$31&lt;=A3339)*(Ввод!$G$12:$G$31&gt;=A3339))&gt;0,1,0))</f>
        <v/>
      </c>
      <c r="G3339" t="str">
        <f t="shared" si="105"/>
        <v/>
      </c>
    </row>
    <row r="3340" spans="1:7" x14ac:dyDescent="0.3">
      <c r="A3340" s="21" t="str">
        <f>IF(A3339="","",IF(A3339+1&gt;Ввод!$B$4,"",A3339+1))</f>
        <v/>
      </c>
      <c r="B3340" s="23" t="str">
        <f>IF(A3340="","",IFERROR(INDEX(Ввод!$B$12:$B$71,MATCH(A3340,Ввод!$D$12:$D$71,1)),""))</f>
        <v/>
      </c>
      <c r="C3340" t="str">
        <f t="shared" si="104"/>
        <v/>
      </c>
      <c r="D3340" t="str">
        <f>IF(A3340="","",SUMIFS(Акты!$D$5:$D$16,Акты!$E$5:$E$16,"&lt;="&amp;A3340)-SUMIFS(Оплаты!$B$6:$B$505,Оплаты!$A$6:$A$505,"&lt;"&amp;A3340,Оплаты!$D$6:$D$505,"&lt;&gt;"))</f>
        <v/>
      </c>
      <c r="E3340" t="str">
        <f>IF(A3340="","",IF(SUMPRODUCT((Ввод!$F$12:$F$31&lt;&gt;"")*(Ввод!$F$12:$F$31&lt;=A3340)*(Ввод!$G$12:$G$31&gt;=A3340))&gt;0,1,0))</f>
        <v/>
      </c>
      <c r="G3340" t="str">
        <f t="shared" si="105"/>
        <v/>
      </c>
    </row>
    <row r="3341" spans="1:7" x14ac:dyDescent="0.3">
      <c r="A3341" s="21" t="str">
        <f>IF(A3340="","",IF(A3340+1&gt;Ввод!$B$4,"",A3340+1))</f>
        <v/>
      </c>
      <c r="B3341" s="23" t="str">
        <f>IF(A3341="","",IFERROR(INDEX(Ввод!$B$12:$B$71,MATCH(A3341,Ввод!$D$12:$D$71,1)),""))</f>
        <v/>
      </c>
      <c r="C3341" t="str">
        <f t="shared" si="104"/>
        <v/>
      </c>
      <c r="D3341" t="str">
        <f>IF(A3341="","",SUMIFS(Акты!$D$5:$D$16,Акты!$E$5:$E$16,"&lt;="&amp;A3341)-SUMIFS(Оплаты!$B$6:$B$505,Оплаты!$A$6:$A$505,"&lt;"&amp;A3341,Оплаты!$D$6:$D$505,"&lt;&gt;"))</f>
        <v/>
      </c>
      <c r="E3341" t="str">
        <f>IF(A3341="","",IF(SUMPRODUCT((Ввод!$F$12:$F$31&lt;&gt;"")*(Ввод!$F$12:$F$31&lt;=A3341)*(Ввод!$G$12:$G$31&gt;=A3341))&gt;0,1,0))</f>
        <v/>
      </c>
      <c r="G3341" t="str">
        <f t="shared" si="105"/>
        <v/>
      </c>
    </row>
    <row r="3342" spans="1:7" x14ac:dyDescent="0.3">
      <c r="A3342" s="21" t="str">
        <f>IF(A3341="","",IF(A3341+1&gt;Ввод!$B$4,"",A3341+1))</f>
        <v/>
      </c>
      <c r="B3342" s="23" t="str">
        <f>IF(A3342="","",IFERROR(INDEX(Ввод!$B$12:$B$71,MATCH(A3342,Ввод!$D$12:$D$71,1)),""))</f>
        <v/>
      </c>
      <c r="C3342" t="str">
        <f t="shared" si="104"/>
        <v/>
      </c>
      <c r="D3342" t="str">
        <f>IF(A3342="","",SUMIFS(Акты!$D$5:$D$16,Акты!$E$5:$E$16,"&lt;="&amp;A3342)-SUMIFS(Оплаты!$B$6:$B$505,Оплаты!$A$6:$A$505,"&lt;"&amp;A3342,Оплаты!$D$6:$D$505,"&lt;&gt;"))</f>
        <v/>
      </c>
      <c r="E3342" t="str">
        <f>IF(A3342="","",IF(SUMPRODUCT((Ввод!$F$12:$F$31&lt;&gt;"")*(Ввод!$F$12:$F$31&lt;=A3342)*(Ввод!$G$12:$G$31&gt;=A3342))&gt;0,1,0))</f>
        <v/>
      </c>
      <c r="G3342" t="str">
        <f t="shared" si="105"/>
        <v/>
      </c>
    </row>
    <row r="3343" spans="1:7" x14ac:dyDescent="0.3">
      <c r="A3343" s="21" t="str">
        <f>IF(A3342="","",IF(A3342+1&gt;Ввод!$B$4,"",A3342+1))</f>
        <v/>
      </c>
      <c r="B3343" s="23" t="str">
        <f>IF(A3343="","",IFERROR(INDEX(Ввод!$B$12:$B$71,MATCH(A3343,Ввод!$D$12:$D$71,1)),""))</f>
        <v/>
      </c>
      <c r="C3343" t="str">
        <f t="shared" si="104"/>
        <v/>
      </c>
      <c r="D3343" t="str">
        <f>IF(A3343="","",SUMIFS(Акты!$D$5:$D$16,Акты!$E$5:$E$16,"&lt;="&amp;A3343)-SUMIFS(Оплаты!$B$6:$B$505,Оплаты!$A$6:$A$505,"&lt;"&amp;A3343,Оплаты!$D$6:$D$505,"&lt;&gt;"))</f>
        <v/>
      </c>
      <c r="E3343" t="str">
        <f>IF(A3343="","",IF(SUMPRODUCT((Ввод!$F$12:$F$31&lt;&gt;"")*(Ввод!$F$12:$F$31&lt;=A3343)*(Ввод!$G$12:$G$31&gt;=A3343))&gt;0,1,0))</f>
        <v/>
      </c>
      <c r="G3343" t="str">
        <f t="shared" si="105"/>
        <v/>
      </c>
    </row>
    <row r="3344" spans="1:7" x14ac:dyDescent="0.3">
      <c r="A3344" s="21" t="str">
        <f>IF(A3343="","",IF(A3343+1&gt;Ввод!$B$4,"",A3343+1))</f>
        <v/>
      </c>
      <c r="B3344" s="23" t="str">
        <f>IF(A3344="","",IFERROR(INDEX(Ввод!$B$12:$B$71,MATCH(A3344,Ввод!$D$12:$D$71,1)),""))</f>
        <v/>
      </c>
      <c r="C3344" t="str">
        <f t="shared" si="104"/>
        <v/>
      </c>
      <c r="D3344" t="str">
        <f>IF(A3344="","",SUMIFS(Акты!$D$5:$D$16,Акты!$E$5:$E$16,"&lt;="&amp;A3344)-SUMIFS(Оплаты!$B$6:$B$505,Оплаты!$A$6:$A$505,"&lt;"&amp;A3344,Оплаты!$D$6:$D$505,"&lt;&gt;"))</f>
        <v/>
      </c>
      <c r="E3344" t="str">
        <f>IF(A3344="","",IF(SUMPRODUCT((Ввод!$F$12:$F$31&lt;&gt;"")*(Ввод!$F$12:$F$31&lt;=A3344)*(Ввод!$G$12:$G$31&gt;=A3344))&gt;0,1,0))</f>
        <v/>
      </c>
      <c r="G3344" t="str">
        <f t="shared" si="105"/>
        <v/>
      </c>
    </row>
    <row r="3345" spans="1:7" x14ac:dyDescent="0.3">
      <c r="A3345" s="21" t="str">
        <f>IF(A3344="","",IF(A3344+1&gt;Ввод!$B$4,"",A3344+1))</f>
        <v/>
      </c>
      <c r="B3345" s="23" t="str">
        <f>IF(A3345="","",IFERROR(INDEX(Ввод!$B$12:$B$71,MATCH(A3345,Ввод!$D$12:$D$71,1)),""))</f>
        <v/>
      </c>
      <c r="C3345" t="str">
        <f t="shared" si="104"/>
        <v/>
      </c>
      <c r="D3345" t="str">
        <f>IF(A3345="","",SUMIFS(Акты!$D$5:$D$16,Акты!$E$5:$E$16,"&lt;="&amp;A3345)-SUMIFS(Оплаты!$B$6:$B$505,Оплаты!$A$6:$A$505,"&lt;"&amp;A3345,Оплаты!$D$6:$D$505,"&lt;&gt;"))</f>
        <v/>
      </c>
      <c r="E3345" t="str">
        <f>IF(A3345="","",IF(SUMPRODUCT((Ввод!$F$12:$F$31&lt;&gt;"")*(Ввод!$F$12:$F$31&lt;=A3345)*(Ввод!$G$12:$G$31&gt;=A3345))&gt;0,1,0))</f>
        <v/>
      </c>
      <c r="G3345" t="str">
        <f t="shared" si="105"/>
        <v/>
      </c>
    </row>
    <row r="3346" spans="1:7" x14ac:dyDescent="0.3">
      <c r="A3346" s="21" t="str">
        <f>IF(A3345="","",IF(A3345+1&gt;Ввод!$B$4,"",A3345+1))</f>
        <v/>
      </c>
      <c r="B3346" s="23" t="str">
        <f>IF(A3346="","",IFERROR(INDEX(Ввод!$B$12:$B$71,MATCH(A3346,Ввод!$D$12:$D$71,1)),""))</f>
        <v/>
      </c>
      <c r="C3346" t="str">
        <f t="shared" si="104"/>
        <v/>
      </c>
      <c r="D3346" t="str">
        <f>IF(A3346="","",SUMIFS(Акты!$D$5:$D$16,Акты!$E$5:$E$16,"&lt;="&amp;A3346)-SUMIFS(Оплаты!$B$6:$B$505,Оплаты!$A$6:$A$505,"&lt;"&amp;A3346,Оплаты!$D$6:$D$505,"&lt;&gt;"))</f>
        <v/>
      </c>
      <c r="E3346" t="str">
        <f>IF(A3346="","",IF(SUMPRODUCT((Ввод!$F$12:$F$31&lt;&gt;"")*(Ввод!$F$12:$F$31&lt;=A3346)*(Ввод!$G$12:$G$31&gt;=A3346))&gt;0,1,0))</f>
        <v/>
      </c>
      <c r="G3346" t="str">
        <f t="shared" si="105"/>
        <v/>
      </c>
    </row>
    <row r="3347" spans="1:7" x14ac:dyDescent="0.3">
      <c r="A3347" s="21" t="str">
        <f>IF(A3346="","",IF(A3346+1&gt;Ввод!$B$4,"",A3346+1))</f>
        <v/>
      </c>
      <c r="B3347" s="23" t="str">
        <f>IF(A3347="","",IFERROR(INDEX(Ввод!$B$12:$B$71,MATCH(A3347,Ввод!$D$12:$D$71,1)),""))</f>
        <v/>
      </c>
      <c r="C3347" t="str">
        <f t="shared" si="104"/>
        <v/>
      </c>
      <c r="D3347" t="str">
        <f>IF(A3347="","",SUMIFS(Акты!$D$5:$D$16,Акты!$E$5:$E$16,"&lt;="&amp;A3347)-SUMIFS(Оплаты!$B$6:$B$505,Оплаты!$A$6:$A$505,"&lt;"&amp;A3347,Оплаты!$D$6:$D$505,"&lt;&gt;"))</f>
        <v/>
      </c>
      <c r="E3347" t="str">
        <f>IF(A3347="","",IF(SUMPRODUCT((Ввод!$F$12:$F$31&lt;&gt;"")*(Ввод!$F$12:$F$31&lt;=A3347)*(Ввод!$G$12:$G$31&gt;=A3347))&gt;0,1,0))</f>
        <v/>
      </c>
      <c r="G3347" t="str">
        <f t="shared" si="105"/>
        <v/>
      </c>
    </row>
    <row r="3348" spans="1:7" x14ac:dyDescent="0.3">
      <c r="A3348" s="21" t="str">
        <f>IF(A3347="","",IF(A3347+1&gt;Ввод!$B$4,"",A3347+1))</f>
        <v/>
      </c>
      <c r="B3348" s="23" t="str">
        <f>IF(A3348="","",IFERROR(INDEX(Ввод!$B$12:$B$71,MATCH(A3348,Ввод!$D$12:$D$71,1)),""))</f>
        <v/>
      </c>
      <c r="C3348" t="str">
        <f t="shared" si="104"/>
        <v/>
      </c>
      <c r="D3348" t="str">
        <f>IF(A3348="","",SUMIFS(Акты!$D$5:$D$16,Акты!$E$5:$E$16,"&lt;="&amp;A3348)-SUMIFS(Оплаты!$B$6:$B$505,Оплаты!$A$6:$A$505,"&lt;"&amp;A3348,Оплаты!$D$6:$D$505,"&lt;&gt;"))</f>
        <v/>
      </c>
      <c r="E3348" t="str">
        <f>IF(A3348="","",IF(SUMPRODUCT((Ввод!$F$12:$F$31&lt;&gt;"")*(Ввод!$F$12:$F$31&lt;=A3348)*(Ввод!$G$12:$G$31&gt;=A3348))&gt;0,1,0))</f>
        <v/>
      </c>
      <c r="G3348" t="str">
        <f t="shared" si="105"/>
        <v/>
      </c>
    </row>
    <row r="3349" spans="1:7" x14ac:dyDescent="0.3">
      <c r="A3349" s="21" t="str">
        <f>IF(A3348="","",IF(A3348+1&gt;Ввод!$B$4,"",A3348+1))</f>
        <v/>
      </c>
      <c r="B3349" s="23" t="str">
        <f>IF(A3349="","",IFERROR(INDEX(Ввод!$B$12:$B$71,MATCH(A3349,Ввод!$D$12:$D$71,1)),""))</f>
        <v/>
      </c>
      <c r="C3349" t="str">
        <f t="shared" si="104"/>
        <v/>
      </c>
      <c r="D3349" t="str">
        <f>IF(A3349="","",SUMIFS(Акты!$D$5:$D$16,Акты!$E$5:$E$16,"&lt;="&amp;A3349)-SUMIFS(Оплаты!$B$6:$B$505,Оплаты!$A$6:$A$505,"&lt;"&amp;A3349,Оплаты!$D$6:$D$505,"&lt;&gt;"))</f>
        <v/>
      </c>
      <c r="E3349" t="str">
        <f>IF(A3349="","",IF(SUMPRODUCT((Ввод!$F$12:$F$31&lt;&gt;"")*(Ввод!$F$12:$F$31&lt;=A3349)*(Ввод!$G$12:$G$31&gt;=A3349))&gt;0,1,0))</f>
        <v/>
      </c>
      <c r="G3349" t="str">
        <f t="shared" si="105"/>
        <v/>
      </c>
    </row>
    <row r="3350" spans="1:7" x14ac:dyDescent="0.3">
      <c r="A3350" s="21" t="str">
        <f>IF(A3349="","",IF(A3349+1&gt;Ввод!$B$4,"",A3349+1))</f>
        <v/>
      </c>
      <c r="B3350" s="23" t="str">
        <f>IF(A3350="","",IFERROR(INDEX(Ввод!$B$12:$B$71,MATCH(A3350,Ввод!$D$12:$D$71,1)),""))</f>
        <v/>
      </c>
      <c r="C3350" t="str">
        <f t="shared" si="104"/>
        <v/>
      </c>
      <c r="D3350" t="str">
        <f>IF(A3350="","",SUMIFS(Акты!$D$5:$D$16,Акты!$E$5:$E$16,"&lt;="&amp;A3350)-SUMIFS(Оплаты!$B$6:$B$505,Оплаты!$A$6:$A$505,"&lt;"&amp;A3350,Оплаты!$D$6:$D$505,"&lt;&gt;"))</f>
        <v/>
      </c>
      <c r="E3350" t="str">
        <f>IF(A3350="","",IF(SUMPRODUCT((Ввод!$F$12:$F$31&lt;&gt;"")*(Ввод!$F$12:$F$31&lt;=A3350)*(Ввод!$G$12:$G$31&gt;=A3350))&gt;0,1,0))</f>
        <v/>
      </c>
      <c r="G3350" t="str">
        <f t="shared" si="105"/>
        <v/>
      </c>
    </row>
    <row r="3351" spans="1:7" x14ac:dyDescent="0.3">
      <c r="A3351" s="21" t="str">
        <f>IF(A3350="","",IF(A3350+1&gt;Ввод!$B$4,"",A3350+1))</f>
        <v/>
      </c>
      <c r="B3351" s="23" t="str">
        <f>IF(A3351="","",IFERROR(INDEX(Ввод!$B$12:$B$71,MATCH(A3351,Ввод!$D$12:$D$71,1)),""))</f>
        <v/>
      </c>
      <c r="C3351" t="str">
        <f t="shared" si="104"/>
        <v/>
      </c>
      <c r="D3351" t="str">
        <f>IF(A3351="","",SUMIFS(Акты!$D$5:$D$16,Акты!$E$5:$E$16,"&lt;="&amp;A3351)-SUMIFS(Оплаты!$B$6:$B$505,Оплаты!$A$6:$A$505,"&lt;"&amp;A3351,Оплаты!$D$6:$D$505,"&lt;&gt;"))</f>
        <v/>
      </c>
      <c r="E3351" t="str">
        <f>IF(A3351="","",IF(SUMPRODUCT((Ввод!$F$12:$F$31&lt;&gt;"")*(Ввод!$F$12:$F$31&lt;=A3351)*(Ввод!$G$12:$G$31&gt;=A3351))&gt;0,1,0))</f>
        <v/>
      </c>
      <c r="G3351" t="str">
        <f t="shared" si="105"/>
        <v/>
      </c>
    </row>
    <row r="3352" spans="1:7" x14ac:dyDescent="0.3">
      <c r="A3352" s="21" t="str">
        <f>IF(A3351="","",IF(A3351+1&gt;Ввод!$B$4,"",A3351+1))</f>
        <v/>
      </c>
      <c r="B3352" s="23" t="str">
        <f>IF(A3352="","",IFERROR(INDEX(Ввод!$B$12:$B$71,MATCH(A3352,Ввод!$D$12:$D$71,1)),""))</f>
        <v/>
      </c>
      <c r="C3352" t="str">
        <f t="shared" si="104"/>
        <v/>
      </c>
      <c r="D3352" t="str">
        <f>IF(A3352="","",SUMIFS(Акты!$D$5:$D$16,Акты!$E$5:$E$16,"&lt;="&amp;A3352)-SUMIFS(Оплаты!$B$6:$B$505,Оплаты!$A$6:$A$505,"&lt;"&amp;A3352,Оплаты!$D$6:$D$505,"&lt;&gt;"))</f>
        <v/>
      </c>
      <c r="E3352" t="str">
        <f>IF(A3352="","",IF(SUMPRODUCT((Ввод!$F$12:$F$31&lt;&gt;"")*(Ввод!$F$12:$F$31&lt;=A3352)*(Ввод!$G$12:$G$31&gt;=A3352))&gt;0,1,0))</f>
        <v/>
      </c>
      <c r="G3352" t="str">
        <f t="shared" si="105"/>
        <v/>
      </c>
    </row>
    <row r="3353" spans="1:7" x14ac:dyDescent="0.3">
      <c r="A3353" s="21" t="str">
        <f>IF(A3352="","",IF(A3352+1&gt;Ввод!$B$4,"",A3352+1))</f>
        <v/>
      </c>
      <c r="B3353" s="23" t="str">
        <f>IF(A3353="","",IFERROR(INDEX(Ввод!$B$12:$B$71,MATCH(A3353,Ввод!$D$12:$D$71,1)),""))</f>
        <v/>
      </c>
      <c r="C3353" t="str">
        <f t="shared" si="104"/>
        <v/>
      </c>
      <c r="D3353" t="str">
        <f>IF(A3353="","",SUMIFS(Акты!$D$5:$D$16,Акты!$E$5:$E$16,"&lt;="&amp;A3353)-SUMIFS(Оплаты!$B$6:$B$505,Оплаты!$A$6:$A$505,"&lt;"&amp;A3353,Оплаты!$D$6:$D$505,"&lt;&gt;"))</f>
        <v/>
      </c>
      <c r="E3353" t="str">
        <f>IF(A3353="","",IF(SUMPRODUCT((Ввод!$F$12:$F$31&lt;&gt;"")*(Ввод!$F$12:$F$31&lt;=A3353)*(Ввод!$G$12:$G$31&gt;=A3353))&gt;0,1,0))</f>
        <v/>
      </c>
      <c r="G3353" t="str">
        <f t="shared" si="105"/>
        <v/>
      </c>
    </row>
    <row r="3354" spans="1:7" x14ac:dyDescent="0.3">
      <c r="A3354" s="21" t="str">
        <f>IF(A3353="","",IF(A3353+1&gt;Ввод!$B$4,"",A3353+1))</f>
        <v/>
      </c>
      <c r="B3354" s="23" t="str">
        <f>IF(A3354="","",IFERROR(INDEX(Ввод!$B$12:$B$71,MATCH(A3354,Ввод!$D$12:$D$71,1)),""))</f>
        <v/>
      </c>
      <c r="C3354" t="str">
        <f t="shared" si="104"/>
        <v/>
      </c>
      <c r="D3354" t="str">
        <f>IF(A3354="","",SUMIFS(Акты!$D$5:$D$16,Акты!$E$5:$E$16,"&lt;="&amp;A3354)-SUMIFS(Оплаты!$B$6:$B$505,Оплаты!$A$6:$A$505,"&lt;"&amp;A3354,Оплаты!$D$6:$D$505,"&lt;&gt;"))</f>
        <v/>
      </c>
      <c r="E3354" t="str">
        <f>IF(A3354="","",IF(SUMPRODUCT((Ввод!$F$12:$F$31&lt;&gt;"")*(Ввод!$F$12:$F$31&lt;=A3354)*(Ввод!$G$12:$G$31&gt;=A3354))&gt;0,1,0))</f>
        <v/>
      </c>
      <c r="G3354" t="str">
        <f t="shared" si="105"/>
        <v/>
      </c>
    </row>
    <row r="3355" spans="1:7" x14ac:dyDescent="0.3">
      <c r="A3355" s="21" t="str">
        <f>IF(A3354="","",IF(A3354+1&gt;Ввод!$B$4,"",A3354+1))</f>
        <v/>
      </c>
      <c r="B3355" s="23" t="str">
        <f>IF(A3355="","",IFERROR(INDEX(Ввод!$B$12:$B$71,MATCH(A3355,Ввод!$D$12:$D$71,1)),""))</f>
        <v/>
      </c>
      <c r="C3355" t="str">
        <f t="shared" si="104"/>
        <v/>
      </c>
      <c r="D3355" t="str">
        <f>IF(A3355="","",SUMIFS(Акты!$D$5:$D$16,Акты!$E$5:$E$16,"&lt;="&amp;A3355)-SUMIFS(Оплаты!$B$6:$B$505,Оплаты!$A$6:$A$505,"&lt;"&amp;A3355,Оплаты!$D$6:$D$505,"&lt;&gt;"))</f>
        <v/>
      </c>
      <c r="E3355" t="str">
        <f>IF(A3355="","",IF(SUMPRODUCT((Ввод!$F$12:$F$31&lt;&gt;"")*(Ввод!$F$12:$F$31&lt;=A3355)*(Ввод!$G$12:$G$31&gt;=A3355))&gt;0,1,0))</f>
        <v/>
      </c>
      <c r="G3355" t="str">
        <f t="shared" si="105"/>
        <v/>
      </c>
    </row>
    <row r="3356" spans="1:7" x14ac:dyDescent="0.3">
      <c r="A3356" s="21" t="str">
        <f>IF(A3355="","",IF(A3355+1&gt;Ввод!$B$4,"",A3355+1))</f>
        <v/>
      </c>
      <c r="B3356" s="23" t="str">
        <f>IF(A3356="","",IFERROR(INDEX(Ввод!$B$12:$B$71,MATCH(A3356,Ввод!$D$12:$D$71,1)),""))</f>
        <v/>
      </c>
      <c r="C3356" t="str">
        <f t="shared" si="104"/>
        <v/>
      </c>
      <c r="D3356" t="str">
        <f>IF(A3356="","",SUMIFS(Акты!$D$5:$D$16,Акты!$E$5:$E$16,"&lt;="&amp;A3356)-SUMIFS(Оплаты!$B$6:$B$505,Оплаты!$A$6:$A$505,"&lt;"&amp;A3356,Оплаты!$D$6:$D$505,"&lt;&gt;"))</f>
        <v/>
      </c>
      <c r="E3356" t="str">
        <f>IF(A3356="","",IF(SUMPRODUCT((Ввод!$F$12:$F$31&lt;&gt;"")*(Ввод!$F$12:$F$31&lt;=A3356)*(Ввод!$G$12:$G$31&gt;=A3356))&gt;0,1,0))</f>
        <v/>
      </c>
      <c r="G3356" t="str">
        <f t="shared" si="105"/>
        <v/>
      </c>
    </row>
    <row r="3357" spans="1:7" x14ac:dyDescent="0.3">
      <c r="A3357" s="21" t="str">
        <f>IF(A3356="","",IF(A3356+1&gt;Ввод!$B$4,"",A3356+1))</f>
        <v/>
      </c>
      <c r="B3357" s="23" t="str">
        <f>IF(A3357="","",IFERROR(INDEX(Ввод!$B$12:$B$71,MATCH(A3357,Ввод!$D$12:$D$71,1)),""))</f>
        <v/>
      </c>
      <c r="C3357" t="str">
        <f t="shared" si="104"/>
        <v/>
      </c>
      <c r="D3357" t="str">
        <f>IF(A3357="","",SUMIFS(Акты!$D$5:$D$16,Акты!$E$5:$E$16,"&lt;="&amp;A3357)-SUMIFS(Оплаты!$B$6:$B$505,Оплаты!$A$6:$A$505,"&lt;"&amp;A3357,Оплаты!$D$6:$D$505,"&lt;&gt;"))</f>
        <v/>
      </c>
      <c r="E3357" t="str">
        <f>IF(A3357="","",IF(SUMPRODUCT((Ввод!$F$12:$F$31&lt;&gt;"")*(Ввод!$F$12:$F$31&lt;=A3357)*(Ввод!$G$12:$G$31&gt;=A3357))&gt;0,1,0))</f>
        <v/>
      </c>
      <c r="G3357" t="str">
        <f t="shared" si="105"/>
        <v/>
      </c>
    </row>
    <row r="3358" spans="1:7" x14ac:dyDescent="0.3">
      <c r="A3358" s="21" t="str">
        <f>IF(A3357="","",IF(A3357+1&gt;Ввод!$B$4,"",A3357+1))</f>
        <v/>
      </c>
      <c r="B3358" s="23" t="str">
        <f>IF(A3358="","",IFERROR(INDEX(Ввод!$B$12:$B$71,MATCH(A3358,Ввод!$D$12:$D$71,1)),""))</f>
        <v/>
      </c>
      <c r="C3358" t="str">
        <f t="shared" si="104"/>
        <v/>
      </c>
      <c r="D3358" t="str">
        <f>IF(A3358="","",SUMIFS(Акты!$D$5:$D$16,Акты!$E$5:$E$16,"&lt;="&amp;A3358)-SUMIFS(Оплаты!$B$6:$B$505,Оплаты!$A$6:$A$505,"&lt;"&amp;A3358,Оплаты!$D$6:$D$505,"&lt;&gt;"))</f>
        <v/>
      </c>
      <c r="E3358" t="str">
        <f>IF(A3358="","",IF(SUMPRODUCT((Ввод!$F$12:$F$31&lt;&gt;"")*(Ввод!$F$12:$F$31&lt;=A3358)*(Ввод!$G$12:$G$31&gt;=A3358))&gt;0,1,0))</f>
        <v/>
      </c>
      <c r="G3358" t="str">
        <f t="shared" si="105"/>
        <v/>
      </c>
    </row>
    <row r="3359" spans="1:7" x14ac:dyDescent="0.3">
      <c r="A3359" s="21" t="str">
        <f>IF(A3358="","",IF(A3358+1&gt;Ввод!$B$4,"",A3358+1))</f>
        <v/>
      </c>
      <c r="B3359" s="23" t="str">
        <f>IF(A3359="","",IFERROR(INDEX(Ввод!$B$12:$B$71,MATCH(A3359,Ввод!$D$12:$D$71,1)),""))</f>
        <v/>
      </c>
      <c r="C3359" t="str">
        <f t="shared" si="104"/>
        <v/>
      </c>
      <c r="D3359" t="str">
        <f>IF(A3359="","",SUMIFS(Акты!$D$5:$D$16,Акты!$E$5:$E$16,"&lt;="&amp;A3359)-SUMIFS(Оплаты!$B$6:$B$505,Оплаты!$A$6:$A$505,"&lt;"&amp;A3359,Оплаты!$D$6:$D$505,"&lt;&gt;"))</f>
        <v/>
      </c>
      <c r="E3359" t="str">
        <f>IF(A3359="","",IF(SUMPRODUCT((Ввод!$F$12:$F$31&lt;&gt;"")*(Ввод!$F$12:$F$31&lt;=A3359)*(Ввод!$G$12:$G$31&gt;=A3359))&gt;0,1,0))</f>
        <v/>
      </c>
      <c r="G3359" t="str">
        <f t="shared" si="105"/>
        <v/>
      </c>
    </row>
    <row r="3360" spans="1:7" x14ac:dyDescent="0.3">
      <c r="A3360" s="21" t="str">
        <f>IF(A3359="","",IF(A3359+1&gt;Ввод!$B$4,"",A3359+1))</f>
        <v/>
      </c>
      <c r="B3360" s="23" t="str">
        <f>IF(A3360="","",IFERROR(INDEX(Ввод!$B$12:$B$71,MATCH(A3360,Ввод!$D$12:$D$71,1)),""))</f>
        <v/>
      </c>
      <c r="C3360" t="str">
        <f t="shared" si="104"/>
        <v/>
      </c>
      <c r="D3360" t="str">
        <f>IF(A3360="","",SUMIFS(Акты!$D$5:$D$16,Акты!$E$5:$E$16,"&lt;="&amp;A3360)-SUMIFS(Оплаты!$B$6:$B$505,Оплаты!$A$6:$A$505,"&lt;"&amp;A3360,Оплаты!$D$6:$D$505,"&lt;&gt;"))</f>
        <v/>
      </c>
      <c r="E3360" t="str">
        <f>IF(A3360="","",IF(SUMPRODUCT((Ввод!$F$12:$F$31&lt;&gt;"")*(Ввод!$F$12:$F$31&lt;=A3360)*(Ввод!$G$12:$G$31&gt;=A3360))&gt;0,1,0))</f>
        <v/>
      </c>
      <c r="G3360" t="str">
        <f t="shared" si="105"/>
        <v/>
      </c>
    </row>
    <row r="3361" spans="1:7" x14ac:dyDescent="0.3">
      <c r="A3361" s="21" t="str">
        <f>IF(A3360="","",IF(A3360+1&gt;Ввод!$B$4,"",A3360+1))</f>
        <v/>
      </c>
      <c r="B3361" s="23" t="str">
        <f>IF(A3361="","",IFERROR(INDEX(Ввод!$B$12:$B$71,MATCH(A3361,Ввод!$D$12:$D$71,1)),""))</f>
        <v/>
      </c>
      <c r="C3361" t="str">
        <f t="shared" si="104"/>
        <v/>
      </c>
      <c r="D3361" t="str">
        <f>IF(A3361="","",SUMIFS(Акты!$D$5:$D$16,Акты!$E$5:$E$16,"&lt;="&amp;A3361)-SUMIFS(Оплаты!$B$6:$B$505,Оплаты!$A$6:$A$505,"&lt;"&amp;A3361,Оплаты!$D$6:$D$505,"&lt;&gt;"))</f>
        <v/>
      </c>
      <c r="E3361" t="str">
        <f>IF(A3361="","",IF(SUMPRODUCT((Ввод!$F$12:$F$31&lt;&gt;"")*(Ввод!$F$12:$F$31&lt;=A3361)*(Ввод!$G$12:$G$31&gt;=A3361))&gt;0,1,0))</f>
        <v/>
      </c>
      <c r="G3361" t="str">
        <f t="shared" si="105"/>
        <v/>
      </c>
    </row>
    <row r="3362" spans="1:7" x14ac:dyDescent="0.3">
      <c r="A3362" s="21" t="str">
        <f>IF(A3361="","",IF(A3361+1&gt;Ввод!$B$4,"",A3361+1))</f>
        <v/>
      </c>
      <c r="B3362" s="23" t="str">
        <f>IF(A3362="","",IFERROR(INDEX(Ввод!$B$12:$B$71,MATCH(A3362,Ввод!$D$12:$D$71,1)),""))</f>
        <v/>
      </c>
      <c r="C3362" t="str">
        <f t="shared" si="104"/>
        <v/>
      </c>
      <c r="D3362" t="str">
        <f>IF(A3362="","",SUMIFS(Акты!$D$5:$D$16,Акты!$E$5:$E$16,"&lt;="&amp;A3362)-SUMIFS(Оплаты!$B$6:$B$505,Оплаты!$A$6:$A$505,"&lt;"&amp;A3362,Оплаты!$D$6:$D$505,"&lt;&gt;"))</f>
        <v/>
      </c>
      <c r="E3362" t="str">
        <f>IF(A3362="","",IF(SUMPRODUCT((Ввод!$F$12:$F$31&lt;&gt;"")*(Ввод!$F$12:$F$31&lt;=A3362)*(Ввод!$G$12:$G$31&gt;=A3362))&gt;0,1,0))</f>
        <v/>
      </c>
      <c r="G3362" t="str">
        <f t="shared" si="105"/>
        <v/>
      </c>
    </row>
    <row r="3363" spans="1:7" x14ac:dyDescent="0.3">
      <c r="A3363" s="21" t="str">
        <f>IF(A3362="","",IF(A3362+1&gt;Ввод!$B$4,"",A3362+1))</f>
        <v/>
      </c>
      <c r="B3363" s="23" t="str">
        <f>IF(A3363="","",IFERROR(INDEX(Ввод!$B$12:$B$71,MATCH(A3363,Ввод!$D$12:$D$71,1)),""))</f>
        <v/>
      </c>
      <c r="C3363" t="str">
        <f t="shared" si="104"/>
        <v/>
      </c>
      <c r="D3363" t="str">
        <f>IF(A3363="","",SUMIFS(Акты!$D$5:$D$16,Акты!$E$5:$E$16,"&lt;="&amp;A3363)-SUMIFS(Оплаты!$B$6:$B$505,Оплаты!$A$6:$A$505,"&lt;"&amp;A3363,Оплаты!$D$6:$D$505,"&lt;&gt;"))</f>
        <v/>
      </c>
      <c r="E3363" t="str">
        <f>IF(A3363="","",IF(SUMPRODUCT((Ввод!$F$12:$F$31&lt;&gt;"")*(Ввод!$F$12:$F$31&lt;=A3363)*(Ввод!$G$12:$G$31&gt;=A3363))&gt;0,1,0))</f>
        <v/>
      </c>
      <c r="G3363" t="str">
        <f t="shared" si="105"/>
        <v/>
      </c>
    </row>
    <row r="3364" spans="1:7" x14ac:dyDescent="0.3">
      <c r="A3364" s="21" t="str">
        <f>IF(A3363="","",IF(A3363+1&gt;Ввод!$B$4,"",A3363+1))</f>
        <v/>
      </c>
      <c r="B3364" s="23" t="str">
        <f>IF(A3364="","",IFERROR(INDEX(Ввод!$B$12:$B$71,MATCH(A3364,Ввод!$D$12:$D$71,1)),""))</f>
        <v/>
      </c>
      <c r="C3364" t="str">
        <f t="shared" si="104"/>
        <v/>
      </c>
      <c r="D3364" t="str">
        <f>IF(A3364="","",SUMIFS(Акты!$D$5:$D$16,Акты!$E$5:$E$16,"&lt;="&amp;A3364)-SUMIFS(Оплаты!$B$6:$B$505,Оплаты!$A$6:$A$505,"&lt;"&amp;A3364,Оплаты!$D$6:$D$505,"&lt;&gt;"))</f>
        <v/>
      </c>
      <c r="E3364" t="str">
        <f>IF(A3364="","",IF(SUMPRODUCT((Ввод!$F$12:$F$31&lt;&gt;"")*(Ввод!$F$12:$F$31&lt;=A3364)*(Ввод!$G$12:$G$31&gt;=A3364))&gt;0,1,0))</f>
        <v/>
      </c>
      <c r="G3364" t="str">
        <f t="shared" si="105"/>
        <v/>
      </c>
    </row>
    <row r="3365" spans="1:7" x14ac:dyDescent="0.3">
      <c r="A3365" s="21" t="str">
        <f>IF(A3364="","",IF(A3364+1&gt;Ввод!$B$4,"",A3364+1))</f>
        <v/>
      </c>
      <c r="B3365" s="23" t="str">
        <f>IF(A3365="","",IFERROR(INDEX(Ввод!$B$12:$B$71,MATCH(A3365,Ввод!$D$12:$D$71,1)),""))</f>
        <v/>
      </c>
      <c r="C3365" t="str">
        <f t="shared" si="104"/>
        <v/>
      </c>
      <c r="D3365" t="str">
        <f>IF(A3365="","",SUMIFS(Акты!$D$5:$D$16,Акты!$E$5:$E$16,"&lt;="&amp;A3365)-SUMIFS(Оплаты!$B$6:$B$505,Оплаты!$A$6:$A$505,"&lt;"&amp;A3365,Оплаты!$D$6:$D$505,"&lt;&gt;"))</f>
        <v/>
      </c>
      <c r="E3365" t="str">
        <f>IF(A3365="","",IF(SUMPRODUCT((Ввод!$F$12:$F$31&lt;&gt;"")*(Ввод!$F$12:$F$31&lt;=A3365)*(Ввод!$G$12:$G$31&gt;=A3365))&gt;0,1,0))</f>
        <v/>
      </c>
      <c r="G3365" t="str">
        <f t="shared" si="105"/>
        <v/>
      </c>
    </row>
    <row r="3366" spans="1:7" x14ac:dyDescent="0.3">
      <c r="A3366" s="21" t="str">
        <f>IF(A3365="","",IF(A3365+1&gt;Ввод!$B$4,"",A3365+1))</f>
        <v/>
      </c>
      <c r="B3366" s="23" t="str">
        <f>IF(A3366="","",IFERROR(INDEX(Ввод!$B$12:$B$71,MATCH(A3366,Ввод!$D$12:$D$71,1)),""))</f>
        <v/>
      </c>
      <c r="C3366" t="str">
        <f t="shared" si="104"/>
        <v/>
      </c>
      <c r="D3366" t="str">
        <f>IF(A3366="","",SUMIFS(Акты!$D$5:$D$16,Акты!$E$5:$E$16,"&lt;="&amp;A3366)-SUMIFS(Оплаты!$B$6:$B$505,Оплаты!$A$6:$A$505,"&lt;"&amp;A3366,Оплаты!$D$6:$D$505,"&lt;&gt;"))</f>
        <v/>
      </c>
      <c r="E3366" t="str">
        <f>IF(A3366="","",IF(SUMPRODUCT((Ввод!$F$12:$F$31&lt;&gt;"")*(Ввод!$F$12:$F$31&lt;=A3366)*(Ввод!$G$12:$G$31&gt;=A3366))&gt;0,1,0))</f>
        <v/>
      </c>
      <c r="G3366" t="str">
        <f t="shared" si="105"/>
        <v/>
      </c>
    </row>
    <row r="3367" spans="1:7" x14ac:dyDescent="0.3">
      <c r="A3367" s="21" t="str">
        <f>IF(A3366="","",IF(A3366+1&gt;Ввод!$B$4,"",A3366+1))</f>
        <v/>
      </c>
      <c r="B3367" s="23" t="str">
        <f>IF(A3367="","",IFERROR(INDEX(Ввод!$B$12:$B$71,MATCH(A3367,Ввод!$D$12:$D$71,1)),""))</f>
        <v/>
      </c>
      <c r="C3367" t="str">
        <f t="shared" si="104"/>
        <v/>
      </c>
      <c r="D3367" t="str">
        <f>IF(A3367="","",SUMIFS(Акты!$D$5:$D$16,Акты!$E$5:$E$16,"&lt;="&amp;A3367)-SUMIFS(Оплаты!$B$6:$B$505,Оплаты!$A$6:$A$505,"&lt;"&amp;A3367,Оплаты!$D$6:$D$505,"&lt;&gt;"))</f>
        <v/>
      </c>
      <c r="E3367" t="str">
        <f>IF(A3367="","",IF(SUMPRODUCT((Ввод!$F$12:$F$31&lt;&gt;"")*(Ввод!$F$12:$F$31&lt;=A3367)*(Ввод!$G$12:$G$31&gt;=A3367))&gt;0,1,0))</f>
        <v/>
      </c>
      <c r="G3367" t="str">
        <f t="shared" si="105"/>
        <v/>
      </c>
    </row>
    <row r="3368" spans="1:7" x14ac:dyDescent="0.3">
      <c r="A3368" s="21" t="str">
        <f>IF(A3367="","",IF(A3367+1&gt;Ввод!$B$4,"",A3367+1))</f>
        <v/>
      </c>
      <c r="B3368" s="23" t="str">
        <f>IF(A3368="","",IFERROR(INDEX(Ввод!$B$12:$B$71,MATCH(A3368,Ввод!$D$12:$D$71,1)),""))</f>
        <v/>
      </c>
      <c r="C3368" t="str">
        <f t="shared" si="104"/>
        <v/>
      </c>
      <c r="D3368" t="str">
        <f>IF(A3368="","",SUMIFS(Акты!$D$5:$D$16,Акты!$E$5:$E$16,"&lt;="&amp;A3368)-SUMIFS(Оплаты!$B$6:$B$505,Оплаты!$A$6:$A$505,"&lt;"&amp;A3368,Оплаты!$D$6:$D$505,"&lt;&gt;"))</f>
        <v/>
      </c>
      <c r="E3368" t="str">
        <f>IF(A3368="","",IF(SUMPRODUCT((Ввод!$F$12:$F$31&lt;&gt;"")*(Ввод!$F$12:$F$31&lt;=A3368)*(Ввод!$G$12:$G$31&gt;=A3368))&gt;0,1,0))</f>
        <v/>
      </c>
      <c r="G3368" t="str">
        <f t="shared" si="105"/>
        <v/>
      </c>
    </row>
    <row r="3369" spans="1:7" x14ac:dyDescent="0.3">
      <c r="A3369" s="21" t="str">
        <f>IF(A3368="","",IF(A3368+1&gt;Ввод!$B$4,"",A3368+1))</f>
        <v/>
      </c>
      <c r="B3369" s="23" t="str">
        <f>IF(A3369="","",IFERROR(INDEX(Ввод!$B$12:$B$71,MATCH(A3369,Ввод!$D$12:$D$71,1)),""))</f>
        <v/>
      </c>
      <c r="C3369" t="str">
        <f t="shared" si="104"/>
        <v/>
      </c>
      <c r="D3369" t="str">
        <f>IF(A3369="","",SUMIFS(Акты!$D$5:$D$16,Акты!$E$5:$E$16,"&lt;="&amp;A3369)-SUMIFS(Оплаты!$B$6:$B$505,Оплаты!$A$6:$A$505,"&lt;"&amp;A3369,Оплаты!$D$6:$D$505,"&lt;&gt;"))</f>
        <v/>
      </c>
      <c r="E3369" t="str">
        <f>IF(A3369="","",IF(SUMPRODUCT((Ввод!$F$12:$F$31&lt;&gt;"")*(Ввод!$F$12:$F$31&lt;=A3369)*(Ввод!$G$12:$G$31&gt;=A3369))&gt;0,1,0))</f>
        <v/>
      </c>
      <c r="G3369" t="str">
        <f t="shared" si="105"/>
        <v/>
      </c>
    </row>
    <row r="3370" spans="1:7" x14ac:dyDescent="0.3">
      <c r="A3370" s="21" t="str">
        <f>IF(A3369="","",IF(A3369+1&gt;Ввод!$B$4,"",A3369+1))</f>
        <v/>
      </c>
      <c r="B3370" s="23" t="str">
        <f>IF(A3370="","",IFERROR(INDEX(Ввод!$B$12:$B$71,MATCH(A3370,Ввод!$D$12:$D$71,1)),""))</f>
        <v/>
      </c>
      <c r="C3370" t="str">
        <f t="shared" si="104"/>
        <v/>
      </c>
      <c r="D3370" t="str">
        <f>IF(A3370="","",SUMIFS(Акты!$D$5:$D$16,Акты!$E$5:$E$16,"&lt;="&amp;A3370)-SUMIFS(Оплаты!$B$6:$B$505,Оплаты!$A$6:$A$505,"&lt;"&amp;A3370,Оплаты!$D$6:$D$505,"&lt;&gt;"))</f>
        <v/>
      </c>
      <c r="E3370" t="str">
        <f>IF(A3370="","",IF(SUMPRODUCT((Ввод!$F$12:$F$31&lt;&gt;"")*(Ввод!$F$12:$F$31&lt;=A3370)*(Ввод!$G$12:$G$31&gt;=A3370))&gt;0,1,0))</f>
        <v/>
      </c>
      <c r="G3370" t="str">
        <f t="shared" si="105"/>
        <v/>
      </c>
    </row>
    <row r="3371" spans="1:7" x14ac:dyDescent="0.3">
      <c r="A3371" s="21" t="str">
        <f>IF(A3370="","",IF(A3370+1&gt;Ввод!$B$4,"",A3370+1))</f>
        <v/>
      </c>
      <c r="B3371" s="23" t="str">
        <f>IF(A3371="","",IFERROR(INDEX(Ввод!$B$12:$B$71,MATCH(A3371,Ввод!$D$12:$D$71,1)),""))</f>
        <v/>
      </c>
      <c r="C3371" t="str">
        <f t="shared" si="104"/>
        <v/>
      </c>
      <c r="D3371" t="str">
        <f>IF(A3371="","",SUMIFS(Акты!$D$5:$D$16,Акты!$E$5:$E$16,"&lt;="&amp;A3371)-SUMIFS(Оплаты!$B$6:$B$505,Оплаты!$A$6:$A$505,"&lt;"&amp;A3371,Оплаты!$D$6:$D$505,"&lt;&gt;"))</f>
        <v/>
      </c>
      <c r="E3371" t="str">
        <f>IF(A3371="","",IF(SUMPRODUCT((Ввод!$F$12:$F$31&lt;&gt;"")*(Ввод!$F$12:$F$31&lt;=A3371)*(Ввод!$G$12:$G$31&gt;=A3371))&gt;0,1,0))</f>
        <v/>
      </c>
      <c r="G3371" t="str">
        <f t="shared" si="105"/>
        <v/>
      </c>
    </row>
    <row r="3372" spans="1:7" x14ac:dyDescent="0.3">
      <c r="A3372" s="21" t="str">
        <f>IF(A3371="","",IF(A3371+1&gt;Ввод!$B$4,"",A3371+1))</f>
        <v/>
      </c>
      <c r="B3372" s="23" t="str">
        <f>IF(A3372="","",IFERROR(INDEX(Ввод!$B$12:$B$71,MATCH(A3372,Ввод!$D$12:$D$71,1)),""))</f>
        <v/>
      </c>
      <c r="C3372" t="str">
        <f t="shared" si="104"/>
        <v/>
      </c>
      <c r="D3372" t="str">
        <f>IF(A3372="","",SUMIFS(Акты!$D$5:$D$16,Акты!$E$5:$E$16,"&lt;="&amp;A3372)-SUMIFS(Оплаты!$B$6:$B$505,Оплаты!$A$6:$A$505,"&lt;"&amp;A3372,Оплаты!$D$6:$D$505,"&lt;&gt;"))</f>
        <v/>
      </c>
      <c r="E3372" t="str">
        <f>IF(A3372="","",IF(SUMPRODUCT((Ввод!$F$12:$F$31&lt;&gt;"")*(Ввод!$F$12:$F$31&lt;=A3372)*(Ввод!$G$12:$G$31&gt;=A3372))&gt;0,1,0))</f>
        <v/>
      </c>
      <c r="G3372" t="str">
        <f t="shared" si="105"/>
        <v/>
      </c>
    </row>
    <row r="3373" spans="1:7" x14ac:dyDescent="0.3">
      <c r="A3373" s="21" t="str">
        <f>IF(A3372="","",IF(A3372+1&gt;Ввод!$B$4,"",A3372+1))</f>
        <v/>
      </c>
      <c r="B3373" s="23" t="str">
        <f>IF(A3373="","",IFERROR(INDEX(Ввод!$B$12:$B$71,MATCH(A3373,Ввод!$D$12:$D$71,1)),""))</f>
        <v/>
      </c>
      <c r="C3373" t="str">
        <f t="shared" si="104"/>
        <v/>
      </c>
      <c r="D3373" t="str">
        <f>IF(A3373="","",SUMIFS(Акты!$D$5:$D$16,Акты!$E$5:$E$16,"&lt;="&amp;A3373)-SUMIFS(Оплаты!$B$6:$B$505,Оплаты!$A$6:$A$505,"&lt;"&amp;A3373,Оплаты!$D$6:$D$505,"&lt;&gt;"))</f>
        <v/>
      </c>
      <c r="E3373" t="str">
        <f>IF(A3373="","",IF(SUMPRODUCT((Ввод!$F$12:$F$31&lt;&gt;"")*(Ввод!$F$12:$F$31&lt;=A3373)*(Ввод!$G$12:$G$31&gt;=A3373))&gt;0,1,0))</f>
        <v/>
      </c>
      <c r="G3373" t="str">
        <f t="shared" si="105"/>
        <v/>
      </c>
    </row>
    <row r="3374" spans="1:7" x14ac:dyDescent="0.3">
      <c r="A3374" s="21" t="str">
        <f>IF(A3373="","",IF(A3373+1&gt;Ввод!$B$4,"",A3373+1))</f>
        <v/>
      </c>
      <c r="B3374" s="23" t="str">
        <f>IF(A3374="","",IFERROR(INDEX(Ввод!$B$12:$B$71,MATCH(A3374,Ввод!$D$12:$D$71,1)),""))</f>
        <v/>
      </c>
      <c r="C3374" t="str">
        <f t="shared" si="104"/>
        <v/>
      </c>
      <c r="D3374" t="str">
        <f>IF(A3374="","",SUMIFS(Акты!$D$5:$D$16,Акты!$E$5:$E$16,"&lt;="&amp;A3374)-SUMIFS(Оплаты!$B$6:$B$505,Оплаты!$A$6:$A$505,"&lt;"&amp;A3374,Оплаты!$D$6:$D$505,"&lt;&gt;"))</f>
        <v/>
      </c>
      <c r="E3374" t="str">
        <f>IF(A3374="","",IF(SUMPRODUCT((Ввод!$F$12:$F$31&lt;&gt;"")*(Ввод!$F$12:$F$31&lt;=A3374)*(Ввод!$G$12:$G$31&gt;=A3374))&gt;0,1,0))</f>
        <v/>
      </c>
      <c r="G3374" t="str">
        <f t="shared" si="105"/>
        <v/>
      </c>
    </row>
    <row r="3375" spans="1:7" x14ac:dyDescent="0.3">
      <c r="A3375" s="21" t="str">
        <f>IF(A3374="","",IF(A3374+1&gt;Ввод!$B$4,"",A3374+1))</f>
        <v/>
      </c>
      <c r="B3375" s="23" t="str">
        <f>IF(A3375="","",IFERROR(INDEX(Ввод!$B$12:$B$71,MATCH(A3375,Ввод!$D$12:$D$71,1)),""))</f>
        <v/>
      </c>
      <c r="C3375" t="str">
        <f t="shared" si="104"/>
        <v/>
      </c>
      <c r="D3375" t="str">
        <f>IF(A3375="","",SUMIFS(Акты!$D$5:$D$16,Акты!$E$5:$E$16,"&lt;="&amp;A3375)-SUMIFS(Оплаты!$B$6:$B$505,Оплаты!$A$6:$A$505,"&lt;"&amp;A3375,Оплаты!$D$6:$D$505,"&lt;&gt;"))</f>
        <v/>
      </c>
      <c r="E3375" t="str">
        <f>IF(A3375="","",IF(SUMPRODUCT((Ввод!$F$12:$F$31&lt;&gt;"")*(Ввод!$F$12:$F$31&lt;=A3375)*(Ввод!$G$12:$G$31&gt;=A3375))&gt;0,1,0))</f>
        <v/>
      </c>
      <c r="G3375" t="str">
        <f t="shared" si="105"/>
        <v/>
      </c>
    </row>
    <row r="3376" spans="1:7" x14ac:dyDescent="0.3">
      <c r="A3376" s="21" t="str">
        <f>IF(A3375="","",IF(A3375+1&gt;Ввод!$B$4,"",A3375+1))</f>
        <v/>
      </c>
      <c r="B3376" s="23" t="str">
        <f>IF(A3376="","",IFERROR(INDEX(Ввод!$B$12:$B$71,MATCH(A3376,Ввод!$D$12:$D$71,1)),""))</f>
        <v/>
      </c>
      <c r="C3376" t="str">
        <f t="shared" si="104"/>
        <v/>
      </c>
      <c r="D3376" t="str">
        <f>IF(A3376="","",SUMIFS(Акты!$D$5:$D$16,Акты!$E$5:$E$16,"&lt;="&amp;A3376)-SUMIFS(Оплаты!$B$6:$B$505,Оплаты!$A$6:$A$505,"&lt;"&amp;A3376,Оплаты!$D$6:$D$505,"&lt;&gt;"))</f>
        <v/>
      </c>
      <c r="E3376" t="str">
        <f>IF(A3376="","",IF(SUMPRODUCT((Ввод!$F$12:$F$31&lt;&gt;"")*(Ввод!$F$12:$F$31&lt;=A3376)*(Ввод!$G$12:$G$31&gt;=A3376))&gt;0,1,0))</f>
        <v/>
      </c>
      <c r="G3376" t="str">
        <f t="shared" si="105"/>
        <v/>
      </c>
    </row>
    <row r="3377" spans="1:7" x14ac:dyDescent="0.3">
      <c r="A3377" s="21" t="str">
        <f>IF(A3376="","",IF(A3376+1&gt;Ввод!$B$4,"",A3376+1))</f>
        <v/>
      </c>
      <c r="B3377" s="23" t="str">
        <f>IF(A3377="","",IFERROR(INDEX(Ввод!$B$12:$B$71,MATCH(A3377,Ввод!$D$12:$D$71,1)),""))</f>
        <v/>
      </c>
      <c r="C3377" t="str">
        <f t="shared" si="104"/>
        <v/>
      </c>
      <c r="D3377" t="str">
        <f>IF(A3377="","",SUMIFS(Акты!$D$5:$D$16,Акты!$E$5:$E$16,"&lt;="&amp;A3377)-SUMIFS(Оплаты!$B$6:$B$505,Оплаты!$A$6:$A$505,"&lt;"&amp;A3377,Оплаты!$D$6:$D$505,"&lt;&gt;"))</f>
        <v/>
      </c>
      <c r="E3377" t="str">
        <f>IF(A3377="","",IF(SUMPRODUCT((Ввод!$F$12:$F$31&lt;&gt;"")*(Ввод!$F$12:$F$31&lt;=A3377)*(Ввод!$G$12:$G$31&gt;=A3377))&gt;0,1,0))</f>
        <v/>
      </c>
      <c r="G3377" t="str">
        <f t="shared" si="105"/>
        <v/>
      </c>
    </row>
    <row r="3378" spans="1:7" x14ac:dyDescent="0.3">
      <c r="A3378" s="21" t="str">
        <f>IF(A3377="","",IF(A3377+1&gt;Ввод!$B$4,"",A3377+1))</f>
        <v/>
      </c>
      <c r="B3378" s="23" t="str">
        <f>IF(A3378="","",IFERROR(INDEX(Ввод!$B$12:$B$71,MATCH(A3378,Ввод!$D$12:$D$71,1)),""))</f>
        <v/>
      </c>
      <c r="C3378" t="str">
        <f t="shared" si="104"/>
        <v/>
      </c>
      <c r="D3378" t="str">
        <f>IF(A3378="","",SUMIFS(Акты!$D$5:$D$16,Акты!$E$5:$E$16,"&lt;="&amp;A3378)-SUMIFS(Оплаты!$B$6:$B$505,Оплаты!$A$6:$A$505,"&lt;"&amp;A3378,Оплаты!$D$6:$D$505,"&lt;&gt;"))</f>
        <v/>
      </c>
      <c r="E3378" t="str">
        <f>IF(A3378="","",IF(SUMPRODUCT((Ввод!$F$12:$F$31&lt;&gt;"")*(Ввод!$F$12:$F$31&lt;=A3378)*(Ввод!$G$12:$G$31&gt;=A3378))&gt;0,1,0))</f>
        <v/>
      </c>
      <c r="G3378" t="str">
        <f t="shared" si="105"/>
        <v/>
      </c>
    </row>
    <row r="3379" spans="1:7" x14ac:dyDescent="0.3">
      <c r="A3379" s="21" t="str">
        <f>IF(A3378="","",IF(A3378+1&gt;Ввод!$B$4,"",A3378+1))</f>
        <v/>
      </c>
      <c r="B3379" s="23" t="str">
        <f>IF(A3379="","",IFERROR(INDEX(Ввод!$B$12:$B$71,MATCH(A3379,Ввод!$D$12:$D$71,1)),""))</f>
        <v/>
      </c>
      <c r="C3379" t="str">
        <f t="shared" si="104"/>
        <v/>
      </c>
      <c r="D3379" t="str">
        <f>IF(A3379="","",SUMIFS(Акты!$D$5:$D$16,Акты!$E$5:$E$16,"&lt;="&amp;A3379)-SUMIFS(Оплаты!$B$6:$B$505,Оплаты!$A$6:$A$505,"&lt;"&amp;A3379,Оплаты!$D$6:$D$505,"&lt;&gt;"))</f>
        <v/>
      </c>
      <c r="E3379" t="str">
        <f>IF(A3379="","",IF(SUMPRODUCT((Ввод!$F$12:$F$31&lt;&gt;"")*(Ввод!$F$12:$F$31&lt;=A3379)*(Ввод!$G$12:$G$31&gt;=A3379))&gt;0,1,0))</f>
        <v/>
      </c>
      <c r="G3379" t="str">
        <f t="shared" si="105"/>
        <v/>
      </c>
    </row>
    <row r="3380" spans="1:7" x14ac:dyDescent="0.3">
      <c r="A3380" s="21" t="str">
        <f>IF(A3379="","",IF(A3379+1&gt;Ввод!$B$4,"",A3379+1))</f>
        <v/>
      </c>
      <c r="B3380" s="23" t="str">
        <f>IF(A3380="","",IFERROR(INDEX(Ввод!$B$12:$B$71,MATCH(A3380,Ввод!$D$12:$D$71,1)),""))</f>
        <v/>
      </c>
      <c r="C3380" t="str">
        <f t="shared" si="104"/>
        <v/>
      </c>
      <c r="D3380" t="str">
        <f>IF(A3380="","",SUMIFS(Акты!$D$5:$D$16,Акты!$E$5:$E$16,"&lt;="&amp;A3380)-SUMIFS(Оплаты!$B$6:$B$505,Оплаты!$A$6:$A$505,"&lt;"&amp;A3380,Оплаты!$D$6:$D$505,"&lt;&gt;"))</f>
        <v/>
      </c>
      <c r="E3380" t="str">
        <f>IF(A3380="","",IF(SUMPRODUCT((Ввод!$F$12:$F$31&lt;&gt;"")*(Ввод!$F$12:$F$31&lt;=A3380)*(Ввод!$G$12:$G$31&gt;=A3380))&gt;0,1,0))</f>
        <v/>
      </c>
      <c r="G3380" t="str">
        <f t="shared" si="105"/>
        <v/>
      </c>
    </row>
    <row r="3381" spans="1:7" x14ac:dyDescent="0.3">
      <c r="A3381" s="21" t="str">
        <f>IF(A3380="","",IF(A3380+1&gt;Ввод!$B$4,"",A3380+1))</f>
        <v/>
      </c>
      <c r="B3381" s="23" t="str">
        <f>IF(A3381="","",IFERROR(INDEX(Ввод!$B$12:$B$71,MATCH(A3381,Ввод!$D$12:$D$71,1)),""))</f>
        <v/>
      </c>
      <c r="C3381" t="str">
        <f t="shared" si="104"/>
        <v/>
      </c>
      <c r="D3381" t="str">
        <f>IF(A3381="","",SUMIFS(Акты!$D$5:$D$16,Акты!$E$5:$E$16,"&lt;="&amp;A3381)-SUMIFS(Оплаты!$B$6:$B$505,Оплаты!$A$6:$A$505,"&lt;"&amp;A3381,Оплаты!$D$6:$D$505,"&lt;&gt;"))</f>
        <v/>
      </c>
      <c r="E3381" t="str">
        <f>IF(A3381="","",IF(SUMPRODUCT((Ввод!$F$12:$F$31&lt;&gt;"")*(Ввод!$F$12:$F$31&lt;=A3381)*(Ввод!$G$12:$G$31&gt;=A3381))&gt;0,1,0))</f>
        <v/>
      </c>
      <c r="G3381" t="str">
        <f t="shared" si="105"/>
        <v/>
      </c>
    </row>
    <row r="3382" spans="1:7" x14ac:dyDescent="0.3">
      <c r="A3382" s="21" t="str">
        <f>IF(A3381="","",IF(A3381+1&gt;Ввод!$B$4,"",A3381+1))</f>
        <v/>
      </c>
      <c r="B3382" s="23" t="str">
        <f>IF(A3382="","",IFERROR(INDEX(Ввод!$B$12:$B$71,MATCH(A3382,Ввод!$D$12:$D$71,1)),""))</f>
        <v/>
      </c>
      <c r="C3382" t="str">
        <f t="shared" si="104"/>
        <v/>
      </c>
      <c r="D3382" t="str">
        <f>IF(A3382="","",SUMIFS(Акты!$D$5:$D$16,Акты!$E$5:$E$16,"&lt;="&amp;A3382)-SUMIFS(Оплаты!$B$6:$B$505,Оплаты!$A$6:$A$505,"&lt;"&amp;A3382,Оплаты!$D$6:$D$505,"&lt;&gt;"))</f>
        <v/>
      </c>
      <c r="E3382" t="str">
        <f>IF(A3382="","",IF(SUMPRODUCT((Ввод!$F$12:$F$31&lt;&gt;"")*(Ввод!$F$12:$F$31&lt;=A3382)*(Ввод!$G$12:$G$31&gt;=A3382))&gt;0,1,0))</f>
        <v/>
      </c>
      <c r="G3382" t="str">
        <f t="shared" si="105"/>
        <v/>
      </c>
    </row>
    <row r="3383" spans="1:7" x14ac:dyDescent="0.3">
      <c r="A3383" s="21" t="str">
        <f>IF(A3382="","",IF(A3382+1&gt;Ввод!$B$4,"",A3382+1))</f>
        <v/>
      </c>
      <c r="B3383" s="23" t="str">
        <f>IF(A3383="","",IFERROR(INDEX(Ввод!$B$12:$B$71,MATCH(A3383,Ввод!$D$12:$D$71,1)),""))</f>
        <v/>
      </c>
      <c r="C3383" t="str">
        <f t="shared" si="104"/>
        <v/>
      </c>
      <c r="D3383" t="str">
        <f>IF(A3383="","",SUMIFS(Акты!$D$5:$D$16,Акты!$E$5:$E$16,"&lt;="&amp;A3383)-SUMIFS(Оплаты!$B$6:$B$505,Оплаты!$A$6:$A$505,"&lt;"&amp;A3383,Оплаты!$D$6:$D$505,"&lt;&gt;"))</f>
        <v/>
      </c>
      <c r="E3383" t="str">
        <f>IF(A3383="","",IF(SUMPRODUCT((Ввод!$F$12:$F$31&lt;&gt;"")*(Ввод!$F$12:$F$31&lt;=A3383)*(Ввод!$G$12:$G$31&gt;=A3383))&gt;0,1,0))</f>
        <v/>
      </c>
      <c r="G3383" t="str">
        <f t="shared" si="105"/>
        <v/>
      </c>
    </row>
    <row r="3384" spans="1:7" x14ac:dyDescent="0.3">
      <c r="A3384" s="21" t="str">
        <f>IF(A3383="","",IF(A3383+1&gt;Ввод!$B$4,"",A3383+1))</f>
        <v/>
      </c>
      <c r="B3384" s="23" t="str">
        <f>IF(A3384="","",IFERROR(INDEX(Ввод!$B$12:$B$71,MATCH(A3384,Ввод!$D$12:$D$71,1)),""))</f>
        <v/>
      </c>
      <c r="C3384" t="str">
        <f t="shared" si="104"/>
        <v/>
      </c>
      <c r="D3384" t="str">
        <f>IF(A3384="","",SUMIFS(Акты!$D$5:$D$16,Акты!$E$5:$E$16,"&lt;="&amp;A3384)-SUMIFS(Оплаты!$B$6:$B$505,Оплаты!$A$6:$A$505,"&lt;"&amp;A3384,Оплаты!$D$6:$D$505,"&lt;&gt;"))</f>
        <v/>
      </c>
      <c r="E3384" t="str">
        <f>IF(A3384="","",IF(SUMPRODUCT((Ввод!$F$12:$F$31&lt;&gt;"")*(Ввод!$F$12:$F$31&lt;=A3384)*(Ввод!$G$12:$G$31&gt;=A3384))&gt;0,1,0))</f>
        <v/>
      </c>
      <c r="G3384" t="str">
        <f t="shared" si="105"/>
        <v/>
      </c>
    </row>
    <row r="3385" spans="1:7" x14ac:dyDescent="0.3">
      <c r="A3385" s="21" t="str">
        <f>IF(A3384="","",IF(A3384+1&gt;Ввод!$B$4,"",A3384+1))</f>
        <v/>
      </c>
      <c r="B3385" s="23" t="str">
        <f>IF(A3385="","",IFERROR(INDEX(Ввод!$B$12:$B$71,MATCH(A3385,Ввод!$D$12:$D$71,1)),""))</f>
        <v/>
      </c>
      <c r="C3385" t="str">
        <f t="shared" si="104"/>
        <v/>
      </c>
      <c r="D3385" t="str">
        <f>IF(A3385="","",SUMIFS(Акты!$D$5:$D$16,Акты!$E$5:$E$16,"&lt;="&amp;A3385)-SUMIFS(Оплаты!$B$6:$B$505,Оплаты!$A$6:$A$505,"&lt;"&amp;A3385,Оплаты!$D$6:$D$505,"&lt;&gt;"))</f>
        <v/>
      </c>
      <c r="E3385" t="str">
        <f>IF(A3385="","",IF(SUMPRODUCT((Ввод!$F$12:$F$31&lt;&gt;"")*(Ввод!$F$12:$F$31&lt;=A3385)*(Ввод!$G$12:$G$31&gt;=A3385))&gt;0,1,0))</f>
        <v/>
      </c>
      <c r="G3385" t="str">
        <f t="shared" si="105"/>
        <v/>
      </c>
    </row>
    <row r="3386" spans="1:7" x14ac:dyDescent="0.3">
      <c r="A3386" s="21" t="str">
        <f>IF(A3385="","",IF(A3385+1&gt;Ввод!$B$4,"",A3385+1))</f>
        <v/>
      </c>
      <c r="B3386" s="23" t="str">
        <f>IF(A3386="","",IFERROR(INDEX(Ввод!$B$12:$B$71,MATCH(A3386,Ввод!$D$12:$D$71,1)),""))</f>
        <v/>
      </c>
      <c r="C3386" t="str">
        <f t="shared" si="104"/>
        <v/>
      </c>
      <c r="D3386" t="str">
        <f>IF(A3386="","",SUMIFS(Акты!$D$5:$D$16,Акты!$E$5:$E$16,"&lt;="&amp;A3386)-SUMIFS(Оплаты!$B$6:$B$505,Оплаты!$A$6:$A$505,"&lt;"&amp;A3386,Оплаты!$D$6:$D$505,"&lt;&gt;"))</f>
        <v/>
      </c>
      <c r="E3386" t="str">
        <f>IF(A3386="","",IF(SUMPRODUCT((Ввод!$F$12:$F$31&lt;&gt;"")*(Ввод!$F$12:$F$31&lt;=A3386)*(Ввод!$G$12:$G$31&gt;=A3386))&gt;0,1,0))</f>
        <v/>
      </c>
      <c r="G3386" t="str">
        <f t="shared" si="105"/>
        <v/>
      </c>
    </row>
    <row r="3387" spans="1:7" x14ac:dyDescent="0.3">
      <c r="A3387" s="21" t="str">
        <f>IF(A3386="","",IF(A3386+1&gt;Ввод!$B$4,"",A3386+1))</f>
        <v/>
      </c>
      <c r="B3387" s="23" t="str">
        <f>IF(A3387="","",IFERROR(INDEX(Ввод!$B$12:$B$71,MATCH(A3387,Ввод!$D$12:$D$71,1)),""))</f>
        <v/>
      </c>
      <c r="C3387" t="str">
        <f t="shared" si="104"/>
        <v/>
      </c>
      <c r="D3387" t="str">
        <f>IF(A3387="","",SUMIFS(Акты!$D$5:$D$16,Акты!$E$5:$E$16,"&lt;="&amp;A3387)-SUMIFS(Оплаты!$B$6:$B$505,Оплаты!$A$6:$A$505,"&lt;"&amp;A3387,Оплаты!$D$6:$D$505,"&lt;&gt;"))</f>
        <v/>
      </c>
      <c r="E3387" t="str">
        <f>IF(A3387="","",IF(SUMPRODUCT((Ввод!$F$12:$F$31&lt;&gt;"")*(Ввод!$F$12:$F$31&lt;=A3387)*(Ввод!$G$12:$G$31&gt;=A3387))&gt;0,1,0))</f>
        <v/>
      </c>
      <c r="G3387" t="str">
        <f t="shared" si="105"/>
        <v/>
      </c>
    </row>
    <row r="3388" spans="1:7" x14ac:dyDescent="0.3">
      <c r="A3388" s="21" t="str">
        <f>IF(A3387="","",IF(A3387+1&gt;Ввод!$B$4,"",A3387+1))</f>
        <v/>
      </c>
      <c r="B3388" s="23" t="str">
        <f>IF(A3388="","",IFERROR(INDEX(Ввод!$B$12:$B$71,MATCH(A3388,Ввод!$D$12:$D$71,1)),""))</f>
        <v/>
      </c>
      <c r="C3388" t="str">
        <f t="shared" si="104"/>
        <v/>
      </c>
      <c r="D3388" t="str">
        <f>IF(A3388="","",SUMIFS(Акты!$D$5:$D$16,Акты!$E$5:$E$16,"&lt;="&amp;A3388)-SUMIFS(Оплаты!$B$6:$B$505,Оплаты!$A$6:$A$505,"&lt;"&amp;A3388,Оплаты!$D$6:$D$505,"&lt;&gt;"))</f>
        <v/>
      </c>
      <c r="E3388" t="str">
        <f>IF(A3388="","",IF(SUMPRODUCT((Ввод!$F$12:$F$31&lt;&gt;"")*(Ввод!$F$12:$F$31&lt;=A3388)*(Ввод!$G$12:$G$31&gt;=A3388))&gt;0,1,0))</f>
        <v/>
      </c>
      <c r="G3388" t="str">
        <f t="shared" si="105"/>
        <v/>
      </c>
    </row>
    <row r="3389" spans="1:7" x14ac:dyDescent="0.3">
      <c r="A3389" s="21" t="str">
        <f>IF(A3388="","",IF(A3388+1&gt;Ввод!$B$4,"",A3388+1))</f>
        <v/>
      </c>
      <c r="B3389" s="23" t="str">
        <f>IF(A3389="","",IFERROR(INDEX(Ввод!$B$12:$B$71,MATCH(A3389,Ввод!$D$12:$D$71,1)),""))</f>
        <v/>
      </c>
      <c r="C3389" t="str">
        <f t="shared" si="104"/>
        <v/>
      </c>
      <c r="D3389" t="str">
        <f>IF(A3389="","",SUMIFS(Акты!$D$5:$D$16,Акты!$E$5:$E$16,"&lt;="&amp;A3389)-SUMIFS(Оплаты!$B$6:$B$505,Оплаты!$A$6:$A$505,"&lt;"&amp;A3389,Оплаты!$D$6:$D$505,"&lt;&gt;"))</f>
        <v/>
      </c>
      <c r="E3389" t="str">
        <f>IF(A3389="","",IF(SUMPRODUCT((Ввод!$F$12:$F$31&lt;&gt;"")*(Ввод!$F$12:$F$31&lt;=A3389)*(Ввод!$G$12:$G$31&gt;=A3389))&gt;0,1,0))</f>
        <v/>
      </c>
      <c r="G3389" t="str">
        <f t="shared" si="105"/>
        <v/>
      </c>
    </row>
    <row r="3390" spans="1:7" x14ac:dyDescent="0.3">
      <c r="A3390" s="21" t="str">
        <f>IF(A3389="","",IF(A3389+1&gt;Ввод!$B$4,"",A3389+1))</f>
        <v/>
      </c>
      <c r="B3390" s="23" t="str">
        <f>IF(A3390="","",IFERROR(INDEX(Ввод!$B$12:$B$71,MATCH(A3390,Ввод!$D$12:$D$71,1)),""))</f>
        <v/>
      </c>
      <c r="C3390" t="str">
        <f t="shared" si="104"/>
        <v/>
      </c>
      <c r="D3390" t="str">
        <f>IF(A3390="","",SUMIFS(Акты!$D$5:$D$16,Акты!$E$5:$E$16,"&lt;="&amp;A3390)-SUMIFS(Оплаты!$B$6:$B$505,Оплаты!$A$6:$A$505,"&lt;"&amp;A3390,Оплаты!$D$6:$D$505,"&lt;&gt;"))</f>
        <v/>
      </c>
      <c r="E3390" t="str">
        <f>IF(A3390="","",IF(SUMPRODUCT((Ввод!$F$12:$F$31&lt;&gt;"")*(Ввод!$F$12:$F$31&lt;=A3390)*(Ввод!$G$12:$G$31&gt;=A3390))&gt;0,1,0))</f>
        <v/>
      </c>
      <c r="G3390" t="str">
        <f t="shared" si="105"/>
        <v/>
      </c>
    </row>
    <row r="3391" spans="1:7" x14ac:dyDescent="0.3">
      <c r="A3391" s="21" t="str">
        <f>IF(A3390="","",IF(A3390+1&gt;Ввод!$B$4,"",A3390+1))</f>
        <v/>
      </c>
      <c r="B3391" s="23" t="str">
        <f>IF(A3391="","",IFERROR(INDEX(Ввод!$B$12:$B$71,MATCH(A3391,Ввод!$D$12:$D$71,1)),""))</f>
        <v/>
      </c>
      <c r="C3391" t="str">
        <f t="shared" si="104"/>
        <v/>
      </c>
      <c r="D3391" t="str">
        <f>IF(A3391="","",SUMIFS(Акты!$D$5:$D$16,Акты!$E$5:$E$16,"&lt;="&amp;A3391)-SUMIFS(Оплаты!$B$6:$B$505,Оплаты!$A$6:$A$505,"&lt;"&amp;A3391,Оплаты!$D$6:$D$505,"&lt;&gt;"))</f>
        <v/>
      </c>
      <c r="E3391" t="str">
        <f>IF(A3391="","",IF(SUMPRODUCT((Ввод!$F$12:$F$31&lt;&gt;"")*(Ввод!$F$12:$F$31&lt;=A3391)*(Ввод!$G$12:$G$31&gt;=A3391))&gt;0,1,0))</f>
        <v/>
      </c>
      <c r="G3391" t="str">
        <f t="shared" si="105"/>
        <v/>
      </c>
    </row>
    <row r="3392" spans="1:7" x14ac:dyDescent="0.3">
      <c r="A3392" s="21" t="str">
        <f>IF(A3391="","",IF(A3391+1&gt;Ввод!$B$4,"",A3391+1))</f>
        <v/>
      </c>
      <c r="B3392" s="23" t="str">
        <f>IF(A3392="","",IFERROR(INDEX(Ввод!$B$12:$B$71,MATCH(A3392,Ввод!$D$12:$D$71,1)),""))</f>
        <v/>
      </c>
      <c r="C3392" t="str">
        <f t="shared" si="104"/>
        <v/>
      </c>
      <c r="D3392" t="str">
        <f>IF(A3392="","",SUMIFS(Акты!$D$5:$D$16,Акты!$E$5:$E$16,"&lt;="&amp;A3392)-SUMIFS(Оплаты!$B$6:$B$505,Оплаты!$A$6:$A$505,"&lt;"&amp;A3392,Оплаты!$D$6:$D$505,"&lt;&gt;"))</f>
        <v/>
      </c>
      <c r="E3392" t="str">
        <f>IF(A3392="","",IF(SUMPRODUCT((Ввод!$F$12:$F$31&lt;&gt;"")*(Ввод!$F$12:$F$31&lt;=A3392)*(Ввод!$G$12:$G$31&gt;=A3392))&gt;0,1,0))</f>
        <v/>
      </c>
      <c r="G3392" t="str">
        <f t="shared" si="105"/>
        <v/>
      </c>
    </row>
    <row r="3393" spans="1:7" x14ac:dyDescent="0.3">
      <c r="A3393" s="21" t="str">
        <f>IF(A3392="","",IF(A3392+1&gt;Ввод!$B$4,"",A3392+1))</f>
        <v/>
      </c>
      <c r="B3393" s="23" t="str">
        <f>IF(A3393="","",IFERROR(INDEX(Ввод!$B$12:$B$71,MATCH(A3393,Ввод!$D$12:$D$71,1)),""))</f>
        <v/>
      </c>
      <c r="C3393" t="str">
        <f t="shared" si="104"/>
        <v/>
      </c>
      <c r="D3393" t="str">
        <f>IF(A3393="","",SUMIFS(Акты!$D$5:$D$16,Акты!$E$5:$E$16,"&lt;="&amp;A3393)-SUMIFS(Оплаты!$B$6:$B$505,Оплаты!$A$6:$A$505,"&lt;"&amp;A3393,Оплаты!$D$6:$D$505,"&lt;&gt;"))</f>
        <v/>
      </c>
      <c r="E3393" t="str">
        <f>IF(A3393="","",IF(SUMPRODUCT((Ввод!$F$12:$F$31&lt;&gt;"")*(Ввод!$F$12:$F$31&lt;=A3393)*(Ввод!$G$12:$G$31&gt;=A3393))&gt;0,1,0))</f>
        <v/>
      </c>
      <c r="G3393" t="str">
        <f t="shared" si="105"/>
        <v/>
      </c>
    </row>
    <row r="3394" spans="1:7" x14ac:dyDescent="0.3">
      <c r="A3394" s="21" t="str">
        <f>IF(A3393="","",IF(A3393+1&gt;Ввод!$B$4,"",A3393+1))</f>
        <v/>
      </c>
      <c r="B3394" s="23" t="str">
        <f>IF(A3394="","",IFERROR(INDEX(Ввод!$B$12:$B$71,MATCH(A3394,Ввод!$D$12:$D$71,1)),""))</f>
        <v/>
      </c>
      <c r="C3394" t="str">
        <f t="shared" ref="C3394:C3457" si="106">IF(A3394="","",DATE(YEAR(A3394),12,31)-DATE(YEAR(A3394),1,1)+1)</f>
        <v/>
      </c>
      <c r="D3394" t="str">
        <f>IF(A3394="","",SUMIFS(Акты!$D$5:$D$16,Акты!$E$5:$E$16,"&lt;="&amp;A3394)-SUMIFS(Оплаты!$B$6:$B$505,Оплаты!$A$6:$A$505,"&lt;"&amp;A3394,Оплаты!$D$6:$D$505,"&lt;&gt;"))</f>
        <v/>
      </c>
      <c r="E3394" t="str">
        <f>IF(A3394="","",IF(SUMPRODUCT((Ввод!$F$12:$F$31&lt;&gt;"")*(Ввод!$F$12:$F$31&lt;=A3394)*(Ввод!$G$12:$G$31&gt;=A3394))&gt;0,1,0))</f>
        <v/>
      </c>
      <c r="G3394" t="str">
        <f t="shared" si="105"/>
        <v/>
      </c>
    </row>
    <row r="3395" spans="1:7" x14ac:dyDescent="0.3">
      <c r="A3395" s="21" t="str">
        <f>IF(A3394="","",IF(A3394+1&gt;Ввод!$B$4,"",A3394+1))</f>
        <v/>
      </c>
      <c r="B3395" s="23" t="str">
        <f>IF(A3395="","",IFERROR(INDEX(Ввод!$B$12:$B$71,MATCH(A3395,Ввод!$D$12:$D$71,1)),""))</f>
        <v/>
      </c>
      <c r="C3395" t="str">
        <f t="shared" si="106"/>
        <v/>
      </c>
      <c r="D3395" t="str">
        <f>IF(A3395="","",SUMIFS(Акты!$D$5:$D$16,Акты!$E$5:$E$16,"&lt;="&amp;A3395)-SUMIFS(Оплаты!$B$6:$B$505,Оплаты!$A$6:$A$505,"&lt;"&amp;A3395,Оплаты!$D$6:$D$505,"&lt;&gt;"))</f>
        <v/>
      </c>
      <c r="E3395" t="str">
        <f>IF(A3395="","",IF(SUMPRODUCT((Ввод!$F$12:$F$31&lt;&gt;"")*(Ввод!$F$12:$F$31&lt;=A3395)*(Ввод!$G$12:$G$31&gt;=A3395))&gt;0,1,0))</f>
        <v/>
      </c>
      <c r="G3395" t="str">
        <f t="shared" ref="G3395:G3458" si="107">IF(A3395="","",IF(OR(B3395&lt;&gt;B3394,C3395&lt;&gt;C3394,E3395&lt;&gt;E3394),G3394+1,G3394))</f>
        <v/>
      </c>
    </row>
    <row r="3396" spans="1:7" x14ac:dyDescent="0.3">
      <c r="A3396" s="21" t="str">
        <f>IF(A3395="","",IF(A3395+1&gt;Ввод!$B$4,"",A3395+1))</f>
        <v/>
      </c>
      <c r="B3396" s="23" t="str">
        <f>IF(A3396="","",IFERROR(INDEX(Ввод!$B$12:$B$71,MATCH(A3396,Ввод!$D$12:$D$71,1)),""))</f>
        <v/>
      </c>
      <c r="C3396" t="str">
        <f t="shared" si="106"/>
        <v/>
      </c>
      <c r="D3396" t="str">
        <f>IF(A3396="","",SUMIFS(Акты!$D$5:$D$16,Акты!$E$5:$E$16,"&lt;="&amp;A3396)-SUMIFS(Оплаты!$B$6:$B$505,Оплаты!$A$6:$A$505,"&lt;"&amp;A3396,Оплаты!$D$6:$D$505,"&lt;&gt;"))</f>
        <v/>
      </c>
      <c r="E3396" t="str">
        <f>IF(A3396="","",IF(SUMPRODUCT((Ввод!$F$12:$F$31&lt;&gt;"")*(Ввод!$F$12:$F$31&lt;=A3396)*(Ввод!$G$12:$G$31&gt;=A3396))&gt;0,1,0))</f>
        <v/>
      </c>
      <c r="G3396" t="str">
        <f t="shared" si="107"/>
        <v/>
      </c>
    </row>
    <row r="3397" spans="1:7" x14ac:dyDescent="0.3">
      <c r="A3397" s="21" t="str">
        <f>IF(A3396="","",IF(A3396+1&gt;Ввод!$B$4,"",A3396+1))</f>
        <v/>
      </c>
      <c r="B3397" s="23" t="str">
        <f>IF(A3397="","",IFERROR(INDEX(Ввод!$B$12:$B$71,MATCH(A3397,Ввод!$D$12:$D$71,1)),""))</f>
        <v/>
      </c>
      <c r="C3397" t="str">
        <f t="shared" si="106"/>
        <v/>
      </c>
      <c r="D3397" t="str">
        <f>IF(A3397="","",SUMIFS(Акты!$D$5:$D$16,Акты!$E$5:$E$16,"&lt;="&amp;A3397)-SUMIFS(Оплаты!$B$6:$B$505,Оплаты!$A$6:$A$505,"&lt;"&amp;A3397,Оплаты!$D$6:$D$505,"&lt;&gt;"))</f>
        <v/>
      </c>
      <c r="E3397" t="str">
        <f>IF(A3397="","",IF(SUMPRODUCT((Ввод!$F$12:$F$31&lt;&gt;"")*(Ввод!$F$12:$F$31&lt;=A3397)*(Ввод!$G$12:$G$31&gt;=A3397))&gt;0,1,0))</f>
        <v/>
      </c>
      <c r="G3397" t="str">
        <f t="shared" si="107"/>
        <v/>
      </c>
    </row>
    <row r="3398" spans="1:7" x14ac:dyDescent="0.3">
      <c r="A3398" s="21" t="str">
        <f>IF(A3397="","",IF(A3397+1&gt;Ввод!$B$4,"",A3397+1))</f>
        <v/>
      </c>
      <c r="B3398" s="23" t="str">
        <f>IF(A3398="","",IFERROR(INDEX(Ввод!$B$12:$B$71,MATCH(A3398,Ввод!$D$12:$D$71,1)),""))</f>
        <v/>
      </c>
      <c r="C3398" t="str">
        <f t="shared" si="106"/>
        <v/>
      </c>
      <c r="D3398" t="str">
        <f>IF(A3398="","",SUMIFS(Акты!$D$5:$D$16,Акты!$E$5:$E$16,"&lt;="&amp;A3398)-SUMIFS(Оплаты!$B$6:$B$505,Оплаты!$A$6:$A$505,"&lt;"&amp;A3398,Оплаты!$D$6:$D$505,"&lt;&gt;"))</f>
        <v/>
      </c>
      <c r="E3398" t="str">
        <f>IF(A3398="","",IF(SUMPRODUCT((Ввод!$F$12:$F$31&lt;&gt;"")*(Ввод!$F$12:$F$31&lt;=A3398)*(Ввод!$G$12:$G$31&gt;=A3398))&gt;0,1,0))</f>
        <v/>
      </c>
      <c r="G3398" t="str">
        <f t="shared" si="107"/>
        <v/>
      </c>
    </row>
    <row r="3399" spans="1:7" x14ac:dyDescent="0.3">
      <c r="A3399" s="21" t="str">
        <f>IF(A3398="","",IF(A3398+1&gt;Ввод!$B$4,"",A3398+1))</f>
        <v/>
      </c>
      <c r="B3399" s="23" t="str">
        <f>IF(A3399="","",IFERROR(INDEX(Ввод!$B$12:$B$71,MATCH(A3399,Ввод!$D$12:$D$71,1)),""))</f>
        <v/>
      </c>
      <c r="C3399" t="str">
        <f t="shared" si="106"/>
        <v/>
      </c>
      <c r="D3399" t="str">
        <f>IF(A3399="","",SUMIFS(Акты!$D$5:$D$16,Акты!$E$5:$E$16,"&lt;="&amp;A3399)-SUMIFS(Оплаты!$B$6:$B$505,Оплаты!$A$6:$A$505,"&lt;"&amp;A3399,Оплаты!$D$6:$D$505,"&lt;&gt;"))</f>
        <v/>
      </c>
      <c r="E3399" t="str">
        <f>IF(A3399="","",IF(SUMPRODUCT((Ввод!$F$12:$F$31&lt;&gt;"")*(Ввод!$F$12:$F$31&lt;=A3399)*(Ввод!$G$12:$G$31&gt;=A3399))&gt;0,1,0))</f>
        <v/>
      </c>
      <c r="G3399" t="str">
        <f t="shared" si="107"/>
        <v/>
      </c>
    </row>
    <row r="3400" spans="1:7" x14ac:dyDescent="0.3">
      <c r="A3400" s="21" t="str">
        <f>IF(A3399="","",IF(A3399+1&gt;Ввод!$B$4,"",A3399+1))</f>
        <v/>
      </c>
      <c r="B3400" s="23" t="str">
        <f>IF(A3400="","",IFERROR(INDEX(Ввод!$B$12:$B$71,MATCH(A3400,Ввод!$D$12:$D$71,1)),""))</f>
        <v/>
      </c>
      <c r="C3400" t="str">
        <f t="shared" si="106"/>
        <v/>
      </c>
      <c r="D3400" t="str">
        <f>IF(A3400="","",SUMIFS(Акты!$D$5:$D$16,Акты!$E$5:$E$16,"&lt;="&amp;A3400)-SUMIFS(Оплаты!$B$6:$B$505,Оплаты!$A$6:$A$505,"&lt;"&amp;A3400,Оплаты!$D$6:$D$505,"&lt;&gt;"))</f>
        <v/>
      </c>
      <c r="E3400" t="str">
        <f>IF(A3400="","",IF(SUMPRODUCT((Ввод!$F$12:$F$31&lt;&gt;"")*(Ввод!$F$12:$F$31&lt;=A3400)*(Ввод!$G$12:$G$31&gt;=A3400))&gt;0,1,0))</f>
        <v/>
      </c>
      <c r="G3400" t="str">
        <f t="shared" si="107"/>
        <v/>
      </c>
    </row>
    <row r="3401" spans="1:7" x14ac:dyDescent="0.3">
      <c r="A3401" s="21" t="str">
        <f>IF(A3400="","",IF(A3400+1&gt;Ввод!$B$4,"",A3400+1))</f>
        <v/>
      </c>
      <c r="B3401" s="23" t="str">
        <f>IF(A3401="","",IFERROR(INDEX(Ввод!$B$12:$B$71,MATCH(A3401,Ввод!$D$12:$D$71,1)),""))</f>
        <v/>
      </c>
      <c r="C3401" t="str">
        <f t="shared" si="106"/>
        <v/>
      </c>
      <c r="D3401" t="str">
        <f>IF(A3401="","",SUMIFS(Акты!$D$5:$D$16,Акты!$E$5:$E$16,"&lt;="&amp;A3401)-SUMIFS(Оплаты!$B$6:$B$505,Оплаты!$A$6:$A$505,"&lt;"&amp;A3401,Оплаты!$D$6:$D$505,"&lt;&gt;"))</f>
        <v/>
      </c>
      <c r="E3401" t="str">
        <f>IF(A3401="","",IF(SUMPRODUCT((Ввод!$F$12:$F$31&lt;&gt;"")*(Ввод!$F$12:$F$31&lt;=A3401)*(Ввод!$G$12:$G$31&gt;=A3401))&gt;0,1,0))</f>
        <v/>
      </c>
      <c r="G3401" t="str">
        <f t="shared" si="107"/>
        <v/>
      </c>
    </row>
    <row r="3402" spans="1:7" x14ac:dyDescent="0.3">
      <c r="A3402" s="21" t="str">
        <f>IF(A3401="","",IF(A3401+1&gt;Ввод!$B$4,"",A3401+1))</f>
        <v/>
      </c>
      <c r="B3402" s="23" t="str">
        <f>IF(A3402="","",IFERROR(INDEX(Ввод!$B$12:$B$71,MATCH(A3402,Ввод!$D$12:$D$71,1)),""))</f>
        <v/>
      </c>
      <c r="C3402" t="str">
        <f t="shared" si="106"/>
        <v/>
      </c>
      <c r="D3402" t="str">
        <f>IF(A3402="","",SUMIFS(Акты!$D$5:$D$16,Акты!$E$5:$E$16,"&lt;="&amp;A3402)-SUMIFS(Оплаты!$B$6:$B$505,Оплаты!$A$6:$A$505,"&lt;"&amp;A3402,Оплаты!$D$6:$D$505,"&lt;&gt;"))</f>
        <v/>
      </c>
      <c r="E3402" t="str">
        <f>IF(A3402="","",IF(SUMPRODUCT((Ввод!$F$12:$F$31&lt;&gt;"")*(Ввод!$F$12:$F$31&lt;=A3402)*(Ввод!$G$12:$G$31&gt;=A3402))&gt;0,1,0))</f>
        <v/>
      </c>
      <c r="G3402" t="str">
        <f t="shared" si="107"/>
        <v/>
      </c>
    </row>
    <row r="3403" spans="1:7" x14ac:dyDescent="0.3">
      <c r="A3403" s="21" t="str">
        <f>IF(A3402="","",IF(A3402+1&gt;Ввод!$B$4,"",A3402+1))</f>
        <v/>
      </c>
      <c r="B3403" s="23" t="str">
        <f>IF(A3403="","",IFERROR(INDEX(Ввод!$B$12:$B$71,MATCH(A3403,Ввод!$D$12:$D$71,1)),""))</f>
        <v/>
      </c>
      <c r="C3403" t="str">
        <f t="shared" si="106"/>
        <v/>
      </c>
      <c r="D3403" t="str">
        <f>IF(A3403="","",SUMIFS(Акты!$D$5:$D$16,Акты!$E$5:$E$16,"&lt;="&amp;A3403)-SUMIFS(Оплаты!$B$6:$B$505,Оплаты!$A$6:$A$505,"&lt;"&amp;A3403,Оплаты!$D$6:$D$505,"&lt;&gt;"))</f>
        <v/>
      </c>
      <c r="E3403" t="str">
        <f>IF(A3403="","",IF(SUMPRODUCT((Ввод!$F$12:$F$31&lt;&gt;"")*(Ввод!$F$12:$F$31&lt;=A3403)*(Ввод!$G$12:$G$31&gt;=A3403))&gt;0,1,0))</f>
        <v/>
      </c>
      <c r="G3403" t="str">
        <f t="shared" si="107"/>
        <v/>
      </c>
    </row>
    <row r="3404" spans="1:7" x14ac:dyDescent="0.3">
      <c r="A3404" s="21" t="str">
        <f>IF(A3403="","",IF(A3403+1&gt;Ввод!$B$4,"",A3403+1))</f>
        <v/>
      </c>
      <c r="B3404" s="23" t="str">
        <f>IF(A3404="","",IFERROR(INDEX(Ввод!$B$12:$B$71,MATCH(A3404,Ввод!$D$12:$D$71,1)),""))</f>
        <v/>
      </c>
      <c r="C3404" t="str">
        <f t="shared" si="106"/>
        <v/>
      </c>
      <c r="D3404" t="str">
        <f>IF(A3404="","",SUMIFS(Акты!$D$5:$D$16,Акты!$E$5:$E$16,"&lt;="&amp;A3404)-SUMIFS(Оплаты!$B$6:$B$505,Оплаты!$A$6:$A$505,"&lt;"&amp;A3404,Оплаты!$D$6:$D$505,"&lt;&gt;"))</f>
        <v/>
      </c>
      <c r="E3404" t="str">
        <f>IF(A3404="","",IF(SUMPRODUCT((Ввод!$F$12:$F$31&lt;&gt;"")*(Ввод!$F$12:$F$31&lt;=A3404)*(Ввод!$G$12:$G$31&gt;=A3404))&gt;0,1,0))</f>
        <v/>
      </c>
      <c r="G3404" t="str">
        <f t="shared" si="107"/>
        <v/>
      </c>
    </row>
    <row r="3405" spans="1:7" x14ac:dyDescent="0.3">
      <c r="A3405" s="21" t="str">
        <f>IF(A3404="","",IF(A3404+1&gt;Ввод!$B$4,"",A3404+1))</f>
        <v/>
      </c>
      <c r="B3405" s="23" t="str">
        <f>IF(A3405="","",IFERROR(INDEX(Ввод!$B$12:$B$71,MATCH(A3405,Ввод!$D$12:$D$71,1)),""))</f>
        <v/>
      </c>
      <c r="C3405" t="str">
        <f t="shared" si="106"/>
        <v/>
      </c>
      <c r="D3405" t="str">
        <f>IF(A3405="","",SUMIFS(Акты!$D$5:$D$16,Акты!$E$5:$E$16,"&lt;="&amp;A3405)-SUMIFS(Оплаты!$B$6:$B$505,Оплаты!$A$6:$A$505,"&lt;"&amp;A3405,Оплаты!$D$6:$D$505,"&lt;&gt;"))</f>
        <v/>
      </c>
      <c r="E3405" t="str">
        <f>IF(A3405="","",IF(SUMPRODUCT((Ввод!$F$12:$F$31&lt;&gt;"")*(Ввод!$F$12:$F$31&lt;=A3405)*(Ввод!$G$12:$G$31&gt;=A3405))&gt;0,1,0))</f>
        <v/>
      </c>
      <c r="G3405" t="str">
        <f t="shared" si="107"/>
        <v/>
      </c>
    </row>
    <row r="3406" spans="1:7" x14ac:dyDescent="0.3">
      <c r="A3406" s="21" t="str">
        <f>IF(A3405="","",IF(A3405+1&gt;Ввод!$B$4,"",A3405+1))</f>
        <v/>
      </c>
      <c r="B3406" s="23" t="str">
        <f>IF(A3406="","",IFERROR(INDEX(Ввод!$B$12:$B$71,MATCH(A3406,Ввод!$D$12:$D$71,1)),""))</f>
        <v/>
      </c>
      <c r="C3406" t="str">
        <f t="shared" si="106"/>
        <v/>
      </c>
      <c r="D3406" t="str">
        <f>IF(A3406="","",SUMIFS(Акты!$D$5:$D$16,Акты!$E$5:$E$16,"&lt;="&amp;A3406)-SUMIFS(Оплаты!$B$6:$B$505,Оплаты!$A$6:$A$505,"&lt;"&amp;A3406,Оплаты!$D$6:$D$505,"&lt;&gt;"))</f>
        <v/>
      </c>
      <c r="E3406" t="str">
        <f>IF(A3406="","",IF(SUMPRODUCT((Ввод!$F$12:$F$31&lt;&gt;"")*(Ввод!$F$12:$F$31&lt;=A3406)*(Ввод!$G$12:$G$31&gt;=A3406))&gt;0,1,0))</f>
        <v/>
      </c>
      <c r="G3406" t="str">
        <f t="shared" si="107"/>
        <v/>
      </c>
    </row>
    <row r="3407" spans="1:7" x14ac:dyDescent="0.3">
      <c r="A3407" s="21" t="str">
        <f>IF(A3406="","",IF(A3406+1&gt;Ввод!$B$4,"",A3406+1))</f>
        <v/>
      </c>
      <c r="B3407" s="23" t="str">
        <f>IF(A3407="","",IFERROR(INDEX(Ввод!$B$12:$B$71,MATCH(A3407,Ввод!$D$12:$D$71,1)),""))</f>
        <v/>
      </c>
      <c r="C3407" t="str">
        <f t="shared" si="106"/>
        <v/>
      </c>
      <c r="D3407" t="str">
        <f>IF(A3407="","",SUMIFS(Акты!$D$5:$D$16,Акты!$E$5:$E$16,"&lt;="&amp;A3407)-SUMIFS(Оплаты!$B$6:$B$505,Оплаты!$A$6:$A$505,"&lt;"&amp;A3407,Оплаты!$D$6:$D$505,"&lt;&gt;"))</f>
        <v/>
      </c>
      <c r="E3407" t="str">
        <f>IF(A3407="","",IF(SUMPRODUCT((Ввод!$F$12:$F$31&lt;&gt;"")*(Ввод!$F$12:$F$31&lt;=A3407)*(Ввод!$G$12:$G$31&gt;=A3407))&gt;0,1,0))</f>
        <v/>
      </c>
      <c r="G3407" t="str">
        <f t="shared" si="107"/>
        <v/>
      </c>
    </row>
    <row r="3408" spans="1:7" x14ac:dyDescent="0.3">
      <c r="A3408" s="21" t="str">
        <f>IF(A3407="","",IF(A3407+1&gt;Ввод!$B$4,"",A3407+1))</f>
        <v/>
      </c>
      <c r="B3408" s="23" t="str">
        <f>IF(A3408="","",IFERROR(INDEX(Ввод!$B$12:$B$71,MATCH(A3408,Ввод!$D$12:$D$71,1)),""))</f>
        <v/>
      </c>
      <c r="C3408" t="str">
        <f t="shared" si="106"/>
        <v/>
      </c>
      <c r="D3408" t="str">
        <f>IF(A3408="","",SUMIFS(Акты!$D$5:$D$16,Акты!$E$5:$E$16,"&lt;="&amp;A3408)-SUMIFS(Оплаты!$B$6:$B$505,Оплаты!$A$6:$A$505,"&lt;"&amp;A3408,Оплаты!$D$6:$D$505,"&lt;&gt;"))</f>
        <v/>
      </c>
      <c r="E3408" t="str">
        <f>IF(A3408="","",IF(SUMPRODUCT((Ввод!$F$12:$F$31&lt;&gt;"")*(Ввод!$F$12:$F$31&lt;=A3408)*(Ввод!$G$12:$G$31&gt;=A3408))&gt;0,1,0))</f>
        <v/>
      </c>
      <c r="G3408" t="str">
        <f t="shared" si="107"/>
        <v/>
      </c>
    </row>
    <row r="3409" spans="1:7" x14ac:dyDescent="0.3">
      <c r="A3409" s="21" t="str">
        <f>IF(A3408="","",IF(A3408+1&gt;Ввод!$B$4,"",A3408+1))</f>
        <v/>
      </c>
      <c r="B3409" s="23" t="str">
        <f>IF(A3409="","",IFERROR(INDEX(Ввод!$B$12:$B$71,MATCH(A3409,Ввод!$D$12:$D$71,1)),""))</f>
        <v/>
      </c>
      <c r="C3409" t="str">
        <f t="shared" si="106"/>
        <v/>
      </c>
      <c r="D3409" t="str">
        <f>IF(A3409="","",SUMIFS(Акты!$D$5:$D$16,Акты!$E$5:$E$16,"&lt;="&amp;A3409)-SUMIFS(Оплаты!$B$6:$B$505,Оплаты!$A$6:$A$505,"&lt;"&amp;A3409,Оплаты!$D$6:$D$505,"&lt;&gt;"))</f>
        <v/>
      </c>
      <c r="E3409" t="str">
        <f>IF(A3409="","",IF(SUMPRODUCT((Ввод!$F$12:$F$31&lt;&gt;"")*(Ввод!$F$12:$F$31&lt;=A3409)*(Ввод!$G$12:$G$31&gt;=A3409))&gt;0,1,0))</f>
        <v/>
      </c>
      <c r="G3409" t="str">
        <f t="shared" si="107"/>
        <v/>
      </c>
    </row>
    <row r="3410" spans="1:7" x14ac:dyDescent="0.3">
      <c r="A3410" s="21" t="str">
        <f>IF(A3409="","",IF(A3409+1&gt;Ввод!$B$4,"",A3409+1))</f>
        <v/>
      </c>
      <c r="B3410" s="23" t="str">
        <f>IF(A3410="","",IFERROR(INDEX(Ввод!$B$12:$B$71,MATCH(A3410,Ввод!$D$12:$D$71,1)),""))</f>
        <v/>
      </c>
      <c r="C3410" t="str">
        <f t="shared" si="106"/>
        <v/>
      </c>
      <c r="D3410" t="str">
        <f>IF(A3410="","",SUMIFS(Акты!$D$5:$D$16,Акты!$E$5:$E$16,"&lt;="&amp;A3410)-SUMIFS(Оплаты!$B$6:$B$505,Оплаты!$A$6:$A$505,"&lt;"&amp;A3410,Оплаты!$D$6:$D$505,"&lt;&gt;"))</f>
        <v/>
      </c>
      <c r="E3410" t="str">
        <f>IF(A3410="","",IF(SUMPRODUCT((Ввод!$F$12:$F$31&lt;&gt;"")*(Ввод!$F$12:$F$31&lt;=A3410)*(Ввод!$G$12:$G$31&gt;=A3410))&gt;0,1,0))</f>
        <v/>
      </c>
      <c r="G3410" t="str">
        <f t="shared" si="107"/>
        <v/>
      </c>
    </row>
    <row r="3411" spans="1:7" x14ac:dyDescent="0.3">
      <c r="A3411" s="21" t="str">
        <f>IF(A3410="","",IF(A3410+1&gt;Ввод!$B$4,"",A3410+1))</f>
        <v/>
      </c>
      <c r="B3411" s="23" t="str">
        <f>IF(A3411="","",IFERROR(INDEX(Ввод!$B$12:$B$71,MATCH(A3411,Ввод!$D$12:$D$71,1)),""))</f>
        <v/>
      </c>
      <c r="C3411" t="str">
        <f t="shared" si="106"/>
        <v/>
      </c>
      <c r="D3411" t="str">
        <f>IF(A3411="","",SUMIFS(Акты!$D$5:$D$16,Акты!$E$5:$E$16,"&lt;="&amp;A3411)-SUMIFS(Оплаты!$B$6:$B$505,Оплаты!$A$6:$A$505,"&lt;"&amp;A3411,Оплаты!$D$6:$D$505,"&lt;&gt;"))</f>
        <v/>
      </c>
      <c r="E3411" t="str">
        <f>IF(A3411="","",IF(SUMPRODUCT((Ввод!$F$12:$F$31&lt;&gt;"")*(Ввод!$F$12:$F$31&lt;=A3411)*(Ввод!$G$12:$G$31&gt;=A3411))&gt;0,1,0))</f>
        <v/>
      </c>
      <c r="G3411" t="str">
        <f t="shared" si="107"/>
        <v/>
      </c>
    </row>
    <row r="3412" spans="1:7" x14ac:dyDescent="0.3">
      <c r="A3412" s="21" t="str">
        <f>IF(A3411="","",IF(A3411+1&gt;Ввод!$B$4,"",A3411+1))</f>
        <v/>
      </c>
      <c r="B3412" s="23" t="str">
        <f>IF(A3412="","",IFERROR(INDEX(Ввод!$B$12:$B$71,MATCH(A3412,Ввод!$D$12:$D$71,1)),""))</f>
        <v/>
      </c>
      <c r="C3412" t="str">
        <f t="shared" si="106"/>
        <v/>
      </c>
      <c r="D3412" t="str">
        <f>IF(A3412="","",SUMIFS(Акты!$D$5:$D$16,Акты!$E$5:$E$16,"&lt;="&amp;A3412)-SUMIFS(Оплаты!$B$6:$B$505,Оплаты!$A$6:$A$505,"&lt;"&amp;A3412,Оплаты!$D$6:$D$505,"&lt;&gt;"))</f>
        <v/>
      </c>
      <c r="E3412" t="str">
        <f>IF(A3412="","",IF(SUMPRODUCT((Ввод!$F$12:$F$31&lt;&gt;"")*(Ввод!$F$12:$F$31&lt;=A3412)*(Ввод!$G$12:$G$31&gt;=A3412))&gt;0,1,0))</f>
        <v/>
      </c>
      <c r="G3412" t="str">
        <f t="shared" si="107"/>
        <v/>
      </c>
    </row>
    <row r="3413" spans="1:7" x14ac:dyDescent="0.3">
      <c r="A3413" s="21" t="str">
        <f>IF(A3412="","",IF(A3412+1&gt;Ввод!$B$4,"",A3412+1))</f>
        <v/>
      </c>
      <c r="B3413" s="23" t="str">
        <f>IF(A3413="","",IFERROR(INDEX(Ввод!$B$12:$B$71,MATCH(A3413,Ввод!$D$12:$D$71,1)),""))</f>
        <v/>
      </c>
      <c r="C3413" t="str">
        <f t="shared" si="106"/>
        <v/>
      </c>
      <c r="D3413" t="str">
        <f>IF(A3413="","",SUMIFS(Акты!$D$5:$D$16,Акты!$E$5:$E$16,"&lt;="&amp;A3413)-SUMIFS(Оплаты!$B$6:$B$505,Оплаты!$A$6:$A$505,"&lt;"&amp;A3413,Оплаты!$D$6:$D$505,"&lt;&gt;"))</f>
        <v/>
      </c>
      <c r="E3413" t="str">
        <f>IF(A3413="","",IF(SUMPRODUCT((Ввод!$F$12:$F$31&lt;&gt;"")*(Ввод!$F$12:$F$31&lt;=A3413)*(Ввод!$G$12:$G$31&gt;=A3413))&gt;0,1,0))</f>
        <v/>
      </c>
      <c r="G3413" t="str">
        <f t="shared" si="107"/>
        <v/>
      </c>
    </row>
    <row r="3414" spans="1:7" x14ac:dyDescent="0.3">
      <c r="A3414" s="21" t="str">
        <f>IF(A3413="","",IF(A3413+1&gt;Ввод!$B$4,"",A3413+1))</f>
        <v/>
      </c>
      <c r="B3414" s="23" t="str">
        <f>IF(A3414="","",IFERROR(INDEX(Ввод!$B$12:$B$71,MATCH(A3414,Ввод!$D$12:$D$71,1)),""))</f>
        <v/>
      </c>
      <c r="C3414" t="str">
        <f t="shared" si="106"/>
        <v/>
      </c>
      <c r="D3414" t="str">
        <f>IF(A3414="","",SUMIFS(Акты!$D$5:$D$16,Акты!$E$5:$E$16,"&lt;="&amp;A3414)-SUMIFS(Оплаты!$B$6:$B$505,Оплаты!$A$6:$A$505,"&lt;"&amp;A3414,Оплаты!$D$6:$D$505,"&lt;&gt;"))</f>
        <v/>
      </c>
      <c r="E3414" t="str">
        <f>IF(A3414="","",IF(SUMPRODUCT((Ввод!$F$12:$F$31&lt;&gt;"")*(Ввод!$F$12:$F$31&lt;=A3414)*(Ввод!$G$12:$G$31&gt;=A3414))&gt;0,1,0))</f>
        <v/>
      </c>
      <c r="G3414" t="str">
        <f t="shared" si="107"/>
        <v/>
      </c>
    </row>
    <row r="3415" spans="1:7" x14ac:dyDescent="0.3">
      <c r="A3415" s="21" t="str">
        <f>IF(A3414="","",IF(A3414+1&gt;Ввод!$B$4,"",A3414+1))</f>
        <v/>
      </c>
      <c r="B3415" s="23" t="str">
        <f>IF(A3415="","",IFERROR(INDEX(Ввод!$B$12:$B$71,MATCH(A3415,Ввод!$D$12:$D$71,1)),""))</f>
        <v/>
      </c>
      <c r="C3415" t="str">
        <f t="shared" si="106"/>
        <v/>
      </c>
      <c r="D3415" t="str">
        <f>IF(A3415="","",SUMIFS(Акты!$D$5:$D$16,Акты!$E$5:$E$16,"&lt;="&amp;A3415)-SUMIFS(Оплаты!$B$6:$B$505,Оплаты!$A$6:$A$505,"&lt;"&amp;A3415,Оплаты!$D$6:$D$505,"&lt;&gt;"))</f>
        <v/>
      </c>
      <c r="E3415" t="str">
        <f>IF(A3415="","",IF(SUMPRODUCT((Ввод!$F$12:$F$31&lt;&gt;"")*(Ввод!$F$12:$F$31&lt;=A3415)*(Ввод!$G$12:$G$31&gt;=A3415))&gt;0,1,0))</f>
        <v/>
      </c>
      <c r="G3415" t="str">
        <f t="shared" si="107"/>
        <v/>
      </c>
    </row>
    <row r="3416" spans="1:7" x14ac:dyDescent="0.3">
      <c r="A3416" s="21" t="str">
        <f>IF(A3415="","",IF(A3415+1&gt;Ввод!$B$4,"",A3415+1))</f>
        <v/>
      </c>
      <c r="B3416" s="23" t="str">
        <f>IF(A3416="","",IFERROR(INDEX(Ввод!$B$12:$B$71,MATCH(A3416,Ввод!$D$12:$D$71,1)),""))</f>
        <v/>
      </c>
      <c r="C3416" t="str">
        <f t="shared" si="106"/>
        <v/>
      </c>
      <c r="D3416" t="str">
        <f>IF(A3416="","",SUMIFS(Акты!$D$5:$D$16,Акты!$E$5:$E$16,"&lt;="&amp;A3416)-SUMIFS(Оплаты!$B$6:$B$505,Оплаты!$A$6:$A$505,"&lt;"&amp;A3416,Оплаты!$D$6:$D$505,"&lt;&gt;"))</f>
        <v/>
      </c>
      <c r="E3416" t="str">
        <f>IF(A3416="","",IF(SUMPRODUCT((Ввод!$F$12:$F$31&lt;&gt;"")*(Ввод!$F$12:$F$31&lt;=A3416)*(Ввод!$G$12:$G$31&gt;=A3416))&gt;0,1,0))</f>
        <v/>
      </c>
      <c r="G3416" t="str">
        <f t="shared" si="107"/>
        <v/>
      </c>
    </row>
    <row r="3417" spans="1:7" x14ac:dyDescent="0.3">
      <c r="A3417" s="21" t="str">
        <f>IF(A3416="","",IF(A3416+1&gt;Ввод!$B$4,"",A3416+1))</f>
        <v/>
      </c>
      <c r="B3417" s="23" t="str">
        <f>IF(A3417="","",IFERROR(INDEX(Ввод!$B$12:$B$71,MATCH(A3417,Ввод!$D$12:$D$71,1)),""))</f>
        <v/>
      </c>
      <c r="C3417" t="str">
        <f t="shared" si="106"/>
        <v/>
      </c>
      <c r="D3417" t="str">
        <f>IF(A3417="","",SUMIFS(Акты!$D$5:$D$16,Акты!$E$5:$E$16,"&lt;="&amp;A3417)-SUMIFS(Оплаты!$B$6:$B$505,Оплаты!$A$6:$A$505,"&lt;"&amp;A3417,Оплаты!$D$6:$D$505,"&lt;&gt;"))</f>
        <v/>
      </c>
      <c r="E3417" t="str">
        <f>IF(A3417="","",IF(SUMPRODUCT((Ввод!$F$12:$F$31&lt;&gt;"")*(Ввод!$F$12:$F$31&lt;=A3417)*(Ввод!$G$12:$G$31&gt;=A3417))&gt;0,1,0))</f>
        <v/>
      </c>
      <c r="G3417" t="str">
        <f t="shared" si="107"/>
        <v/>
      </c>
    </row>
    <row r="3418" spans="1:7" x14ac:dyDescent="0.3">
      <c r="A3418" s="21" t="str">
        <f>IF(A3417="","",IF(A3417+1&gt;Ввод!$B$4,"",A3417+1))</f>
        <v/>
      </c>
      <c r="B3418" s="23" t="str">
        <f>IF(A3418="","",IFERROR(INDEX(Ввод!$B$12:$B$71,MATCH(A3418,Ввод!$D$12:$D$71,1)),""))</f>
        <v/>
      </c>
      <c r="C3418" t="str">
        <f t="shared" si="106"/>
        <v/>
      </c>
      <c r="D3418" t="str">
        <f>IF(A3418="","",SUMIFS(Акты!$D$5:$D$16,Акты!$E$5:$E$16,"&lt;="&amp;A3418)-SUMIFS(Оплаты!$B$6:$B$505,Оплаты!$A$6:$A$505,"&lt;"&amp;A3418,Оплаты!$D$6:$D$505,"&lt;&gt;"))</f>
        <v/>
      </c>
      <c r="E3418" t="str">
        <f>IF(A3418="","",IF(SUMPRODUCT((Ввод!$F$12:$F$31&lt;&gt;"")*(Ввод!$F$12:$F$31&lt;=A3418)*(Ввод!$G$12:$G$31&gt;=A3418))&gt;0,1,0))</f>
        <v/>
      </c>
      <c r="G3418" t="str">
        <f t="shared" si="107"/>
        <v/>
      </c>
    </row>
    <row r="3419" spans="1:7" x14ac:dyDescent="0.3">
      <c r="A3419" s="21" t="str">
        <f>IF(A3418="","",IF(A3418+1&gt;Ввод!$B$4,"",A3418+1))</f>
        <v/>
      </c>
      <c r="B3419" s="23" t="str">
        <f>IF(A3419="","",IFERROR(INDEX(Ввод!$B$12:$B$71,MATCH(A3419,Ввод!$D$12:$D$71,1)),""))</f>
        <v/>
      </c>
      <c r="C3419" t="str">
        <f t="shared" si="106"/>
        <v/>
      </c>
      <c r="D3419" t="str">
        <f>IF(A3419="","",SUMIFS(Акты!$D$5:$D$16,Акты!$E$5:$E$16,"&lt;="&amp;A3419)-SUMIFS(Оплаты!$B$6:$B$505,Оплаты!$A$6:$A$505,"&lt;"&amp;A3419,Оплаты!$D$6:$D$505,"&lt;&gt;"))</f>
        <v/>
      </c>
      <c r="E3419" t="str">
        <f>IF(A3419="","",IF(SUMPRODUCT((Ввод!$F$12:$F$31&lt;&gt;"")*(Ввод!$F$12:$F$31&lt;=A3419)*(Ввод!$G$12:$G$31&gt;=A3419))&gt;0,1,0))</f>
        <v/>
      </c>
      <c r="G3419" t="str">
        <f t="shared" si="107"/>
        <v/>
      </c>
    </row>
    <row r="3420" spans="1:7" x14ac:dyDescent="0.3">
      <c r="A3420" s="21" t="str">
        <f>IF(A3419="","",IF(A3419+1&gt;Ввод!$B$4,"",A3419+1))</f>
        <v/>
      </c>
      <c r="B3420" s="23" t="str">
        <f>IF(A3420="","",IFERROR(INDEX(Ввод!$B$12:$B$71,MATCH(A3420,Ввод!$D$12:$D$71,1)),""))</f>
        <v/>
      </c>
      <c r="C3420" t="str">
        <f t="shared" si="106"/>
        <v/>
      </c>
      <c r="D3420" t="str">
        <f>IF(A3420="","",SUMIFS(Акты!$D$5:$D$16,Акты!$E$5:$E$16,"&lt;="&amp;A3420)-SUMIFS(Оплаты!$B$6:$B$505,Оплаты!$A$6:$A$505,"&lt;"&amp;A3420,Оплаты!$D$6:$D$505,"&lt;&gt;"))</f>
        <v/>
      </c>
      <c r="E3420" t="str">
        <f>IF(A3420="","",IF(SUMPRODUCT((Ввод!$F$12:$F$31&lt;&gt;"")*(Ввод!$F$12:$F$31&lt;=A3420)*(Ввод!$G$12:$G$31&gt;=A3420))&gt;0,1,0))</f>
        <v/>
      </c>
      <c r="G3420" t="str">
        <f t="shared" si="107"/>
        <v/>
      </c>
    </row>
    <row r="3421" spans="1:7" x14ac:dyDescent="0.3">
      <c r="A3421" s="21" t="str">
        <f>IF(A3420="","",IF(A3420+1&gt;Ввод!$B$4,"",A3420+1))</f>
        <v/>
      </c>
      <c r="B3421" s="23" t="str">
        <f>IF(A3421="","",IFERROR(INDEX(Ввод!$B$12:$B$71,MATCH(A3421,Ввод!$D$12:$D$71,1)),""))</f>
        <v/>
      </c>
      <c r="C3421" t="str">
        <f t="shared" si="106"/>
        <v/>
      </c>
      <c r="D3421" t="str">
        <f>IF(A3421="","",SUMIFS(Акты!$D$5:$D$16,Акты!$E$5:$E$16,"&lt;="&amp;A3421)-SUMIFS(Оплаты!$B$6:$B$505,Оплаты!$A$6:$A$505,"&lt;"&amp;A3421,Оплаты!$D$6:$D$505,"&lt;&gt;"))</f>
        <v/>
      </c>
      <c r="E3421" t="str">
        <f>IF(A3421="","",IF(SUMPRODUCT((Ввод!$F$12:$F$31&lt;&gt;"")*(Ввод!$F$12:$F$31&lt;=A3421)*(Ввод!$G$12:$G$31&gt;=A3421))&gt;0,1,0))</f>
        <v/>
      </c>
      <c r="G3421" t="str">
        <f t="shared" si="107"/>
        <v/>
      </c>
    </row>
    <row r="3422" spans="1:7" x14ac:dyDescent="0.3">
      <c r="A3422" s="21" t="str">
        <f>IF(A3421="","",IF(A3421+1&gt;Ввод!$B$4,"",A3421+1))</f>
        <v/>
      </c>
      <c r="B3422" s="23" t="str">
        <f>IF(A3422="","",IFERROR(INDEX(Ввод!$B$12:$B$71,MATCH(A3422,Ввод!$D$12:$D$71,1)),""))</f>
        <v/>
      </c>
      <c r="C3422" t="str">
        <f t="shared" si="106"/>
        <v/>
      </c>
      <c r="D3422" t="str">
        <f>IF(A3422="","",SUMIFS(Акты!$D$5:$D$16,Акты!$E$5:$E$16,"&lt;="&amp;A3422)-SUMIFS(Оплаты!$B$6:$B$505,Оплаты!$A$6:$A$505,"&lt;"&amp;A3422,Оплаты!$D$6:$D$505,"&lt;&gt;"))</f>
        <v/>
      </c>
      <c r="E3422" t="str">
        <f>IF(A3422="","",IF(SUMPRODUCT((Ввод!$F$12:$F$31&lt;&gt;"")*(Ввод!$F$12:$F$31&lt;=A3422)*(Ввод!$G$12:$G$31&gt;=A3422))&gt;0,1,0))</f>
        <v/>
      </c>
      <c r="G3422" t="str">
        <f t="shared" si="107"/>
        <v/>
      </c>
    </row>
    <row r="3423" spans="1:7" x14ac:dyDescent="0.3">
      <c r="A3423" s="21" t="str">
        <f>IF(A3422="","",IF(A3422+1&gt;Ввод!$B$4,"",A3422+1))</f>
        <v/>
      </c>
      <c r="B3423" s="23" t="str">
        <f>IF(A3423="","",IFERROR(INDEX(Ввод!$B$12:$B$71,MATCH(A3423,Ввод!$D$12:$D$71,1)),""))</f>
        <v/>
      </c>
      <c r="C3423" t="str">
        <f t="shared" si="106"/>
        <v/>
      </c>
      <c r="D3423" t="str">
        <f>IF(A3423="","",SUMIFS(Акты!$D$5:$D$16,Акты!$E$5:$E$16,"&lt;="&amp;A3423)-SUMIFS(Оплаты!$B$6:$B$505,Оплаты!$A$6:$A$505,"&lt;"&amp;A3423,Оплаты!$D$6:$D$505,"&lt;&gt;"))</f>
        <v/>
      </c>
      <c r="E3423" t="str">
        <f>IF(A3423="","",IF(SUMPRODUCT((Ввод!$F$12:$F$31&lt;&gt;"")*(Ввод!$F$12:$F$31&lt;=A3423)*(Ввод!$G$12:$G$31&gt;=A3423))&gt;0,1,0))</f>
        <v/>
      </c>
      <c r="G3423" t="str">
        <f t="shared" si="107"/>
        <v/>
      </c>
    </row>
    <row r="3424" spans="1:7" x14ac:dyDescent="0.3">
      <c r="A3424" s="21" t="str">
        <f>IF(A3423="","",IF(A3423+1&gt;Ввод!$B$4,"",A3423+1))</f>
        <v/>
      </c>
      <c r="B3424" s="23" t="str">
        <f>IF(A3424="","",IFERROR(INDEX(Ввод!$B$12:$B$71,MATCH(A3424,Ввод!$D$12:$D$71,1)),""))</f>
        <v/>
      </c>
      <c r="C3424" t="str">
        <f t="shared" si="106"/>
        <v/>
      </c>
      <c r="D3424" t="str">
        <f>IF(A3424="","",SUMIFS(Акты!$D$5:$D$16,Акты!$E$5:$E$16,"&lt;="&amp;A3424)-SUMIFS(Оплаты!$B$6:$B$505,Оплаты!$A$6:$A$505,"&lt;"&amp;A3424,Оплаты!$D$6:$D$505,"&lt;&gt;"))</f>
        <v/>
      </c>
      <c r="E3424" t="str">
        <f>IF(A3424="","",IF(SUMPRODUCT((Ввод!$F$12:$F$31&lt;&gt;"")*(Ввод!$F$12:$F$31&lt;=A3424)*(Ввод!$G$12:$G$31&gt;=A3424))&gt;0,1,0))</f>
        <v/>
      </c>
      <c r="G3424" t="str">
        <f t="shared" si="107"/>
        <v/>
      </c>
    </row>
    <row r="3425" spans="1:7" x14ac:dyDescent="0.3">
      <c r="A3425" s="21" t="str">
        <f>IF(A3424="","",IF(A3424+1&gt;Ввод!$B$4,"",A3424+1))</f>
        <v/>
      </c>
      <c r="B3425" s="23" t="str">
        <f>IF(A3425="","",IFERROR(INDEX(Ввод!$B$12:$B$71,MATCH(A3425,Ввод!$D$12:$D$71,1)),""))</f>
        <v/>
      </c>
      <c r="C3425" t="str">
        <f t="shared" si="106"/>
        <v/>
      </c>
      <c r="D3425" t="str">
        <f>IF(A3425="","",SUMIFS(Акты!$D$5:$D$16,Акты!$E$5:$E$16,"&lt;="&amp;A3425)-SUMIFS(Оплаты!$B$6:$B$505,Оплаты!$A$6:$A$505,"&lt;"&amp;A3425,Оплаты!$D$6:$D$505,"&lt;&gt;"))</f>
        <v/>
      </c>
      <c r="E3425" t="str">
        <f>IF(A3425="","",IF(SUMPRODUCT((Ввод!$F$12:$F$31&lt;&gt;"")*(Ввод!$F$12:$F$31&lt;=A3425)*(Ввод!$G$12:$G$31&gt;=A3425))&gt;0,1,0))</f>
        <v/>
      </c>
      <c r="G3425" t="str">
        <f t="shared" si="107"/>
        <v/>
      </c>
    </row>
    <row r="3426" spans="1:7" x14ac:dyDescent="0.3">
      <c r="A3426" s="21" t="str">
        <f>IF(A3425="","",IF(A3425+1&gt;Ввод!$B$4,"",A3425+1))</f>
        <v/>
      </c>
      <c r="B3426" s="23" t="str">
        <f>IF(A3426="","",IFERROR(INDEX(Ввод!$B$12:$B$71,MATCH(A3426,Ввод!$D$12:$D$71,1)),""))</f>
        <v/>
      </c>
      <c r="C3426" t="str">
        <f t="shared" si="106"/>
        <v/>
      </c>
      <c r="D3426" t="str">
        <f>IF(A3426="","",SUMIFS(Акты!$D$5:$D$16,Акты!$E$5:$E$16,"&lt;="&amp;A3426)-SUMIFS(Оплаты!$B$6:$B$505,Оплаты!$A$6:$A$505,"&lt;"&amp;A3426,Оплаты!$D$6:$D$505,"&lt;&gt;"))</f>
        <v/>
      </c>
      <c r="E3426" t="str">
        <f>IF(A3426="","",IF(SUMPRODUCT((Ввод!$F$12:$F$31&lt;&gt;"")*(Ввод!$F$12:$F$31&lt;=A3426)*(Ввод!$G$12:$G$31&gt;=A3426))&gt;0,1,0))</f>
        <v/>
      </c>
      <c r="G3426" t="str">
        <f t="shared" si="107"/>
        <v/>
      </c>
    </row>
    <row r="3427" spans="1:7" x14ac:dyDescent="0.3">
      <c r="A3427" s="21" t="str">
        <f>IF(A3426="","",IF(A3426+1&gt;Ввод!$B$4,"",A3426+1))</f>
        <v/>
      </c>
      <c r="B3427" s="23" t="str">
        <f>IF(A3427="","",IFERROR(INDEX(Ввод!$B$12:$B$71,MATCH(A3427,Ввод!$D$12:$D$71,1)),""))</f>
        <v/>
      </c>
      <c r="C3427" t="str">
        <f t="shared" si="106"/>
        <v/>
      </c>
      <c r="D3427" t="str">
        <f>IF(A3427="","",SUMIFS(Акты!$D$5:$D$16,Акты!$E$5:$E$16,"&lt;="&amp;A3427)-SUMIFS(Оплаты!$B$6:$B$505,Оплаты!$A$6:$A$505,"&lt;"&amp;A3427,Оплаты!$D$6:$D$505,"&lt;&gt;"))</f>
        <v/>
      </c>
      <c r="E3427" t="str">
        <f>IF(A3427="","",IF(SUMPRODUCT((Ввод!$F$12:$F$31&lt;&gt;"")*(Ввод!$F$12:$F$31&lt;=A3427)*(Ввод!$G$12:$G$31&gt;=A3427))&gt;0,1,0))</f>
        <v/>
      </c>
      <c r="G3427" t="str">
        <f t="shared" si="107"/>
        <v/>
      </c>
    </row>
    <row r="3428" spans="1:7" x14ac:dyDescent="0.3">
      <c r="A3428" s="21" t="str">
        <f>IF(A3427="","",IF(A3427+1&gt;Ввод!$B$4,"",A3427+1))</f>
        <v/>
      </c>
      <c r="B3428" s="23" t="str">
        <f>IF(A3428="","",IFERROR(INDEX(Ввод!$B$12:$B$71,MATCH(A3428,Ввод!$D$12:$D$71,1)),""))</f>
        <v/>
      </c>
      <c r="C3428" t="str">
        <f t="shared" si="106"/>
        <v/>
      </c>
      <c r="D3428" t="str">
        <f>IF(A3428="","",SUMIFS(Акты!$D$5:$D$16,Акты!$E$5:$E$16,"&lt;="&amp;A3428)-SUMIFS(Оплаты!$B$6:$B$505,Оплаты!$A$6:$A$505,"&lt;"&amp;A3428,Оплаты!$D$6:$D$505,"&lt;&gt;"))</f>
        <v/>
      </c>
      <c r="E3428" t="str">
        <f>IF(A3428="","",IF(SUMPRODUCT((Ввод!$F$12:$F$31&lt;&gt;"")*(Ввод!$F$12:$F$31&lt;=A3428)*(Ввод!$G$12:$G$31&gt;=A3428))&gt;0,1,0))</f>
        <v/>
      </c>
      <c r="G3428" t="str">
        <f t="shared" si="107"/>
        <v/>
      </c>
    </row>
    <row r="3429" spans="1:7" x14ac:dyDescent="0.3">
      <c r="A3429" s="21" t="str">
        <f>IF(A3428="","",IF(A3428+1&gt;Ввод!$B$4,"",A3428+1))</f>
        <v/>
      </c>
      <c r="B3429" s="23" t="str">
        <f>IF(A3429="","",IFERROR(INDEX(Ввод!$B$12:$B$71,MATCH(A3429,Ввод!$D$12:$D$71,1)),""))</f>
        <v/>
      </c>
      <c r="C3429" t="str">
        <f t="shared" si="106"/>
        <v/>
      </c>
      <c r="D3429" t="str">
        <f>IF(A3429="","",SUMIFS(Акты!$D$5:$D$16,Акты!$E$5:$E$16,"&lt;="&amp;A3429)-SUMIFS(Оплаты!$B$6:$B$505,Оплаты!$A$6:$A$505,"&lt;"&amp;A3429,Оплаты!$D$6:$D$505,"&lt;&gt;"))</f>
        <v/>
      </c>
      <c r="E3429" t="str">
        <f>IF(A3429="","",IF(SUMPRODUCT((Ввод!$F$12:$F$31&lt;&gt;"")*(Ввод!$F$12:$F$31&lt;=A3429)*(Ввод!$G$12:$G$31&gt;=A3429))&gt;0,1,0))</f>
        <v/>
      </c>
      <c r="G3429" t="str">
        <f t="shared" si="107"/>
        <v/>
      </c>
    </row>
    <row r="3430" spans="1:7" x14ac:dyDescent="0.3">
      <c r="A3430" s="21" t="str">
        <f>IF(A3429="","",IF(A3429+1&gt;Ввод!$B$4,"",A3429+1))</f>
        <v/>
      </c>
      <c r="B3430" s="23" t="str">
        <f>IF(A3430="","",IFERROR(INDEX(Ввод!$B$12:$B$71,MATCH(A3430,Ввод!$D$12:$D$71,1)),""))</f>
        <v/>
      </c>
      <c r="C3430" t="str">
        <f t="shared" si="106"/>
        <v/>
      </c>
      <c r="D3430" t="str">
        <f>IF(A3430="","",SUMIFS(Акты!$D$5:$D$16,Акты!$E$5:$E$16,"&lt;="&amp;A3430)-SUMIFS(Оплаты!$B$6:$B$505,Оплаты!$A$6:$A$505,"&lt;"&amp;A3430,Оплаты!$D$6:$D$505,"&lt;&gt;"))</f>
        <v/>
      </c>
      <c r="E3430" t="str">
        <f>IF(A3430="","",IF(SUMPRODUCT((Ввод!$F$12:$F$31&lt;&gt;"")*(Ввод!$F$12:$F$31&lt;=A3430)*(Ввод!$G$12:$G$31&gt;=A3430))&gt;0,1,0))</f>
        <v/>
      </c>
      <c r="G3430" t="str">
        <f t="shared" si="107"/>
        <v/>
      </c>
    </row>
    <row r="3431" spans="1:7" x14ac:dyDescent="0.3">
      <c r="A3431" s="21" t="str">
        <f>IF(A3430="","",IF(A3430+1&gt;Ввод!$B$4,"",A3430+1))</f>
        <v/>
      </c>
      <c r="B3431" s="23" t="str">
        <f>IF(A3431="","",IFERROR(INDEX(Ввод!$B$12:$B$71,MATCH(A3431,Ввод!$D$12:$D$71,1)),""))</f>
        <v/>
      </c>
      <c r="C3431" t="str">
        <f t="shared" si="106"/>
        <v/>
      </c>
      <c r="D3431" t="str">
        <f>IF(A3431="","",SUMIFS(Акты!$D$5:$D$16,Акты!$E$5:$E$16,"&lt;="&amp;A3431)-SUMIFS(Оплаты!$B$6:$B$505,Оплаты!$A$6:$A$505,"&lt;"&amp;A3431,Оплаты!$D$6:$D$505,"&lt;&gt;"))</f>
        <v/>
      </c>
      <c r="E3431" t="str">
        <f>IF(A3431="","",IF(SUMPRODUCT((Ввод!$F$12:$F$31&lt;&gt;"")*(Ввод!$F$12:$F$31&lt;=A3431)*(Ввод!$G$12:$G$31&gt;=A3431))&gt;0,1,0))</f>
        <v/>
      </c>
      <c r="G3431" t="str">
        <f t="shared" si="107"/>
        <v/>
      </c>
    </row>
    <row r="3432" spans="1:7" x14ac:dyDescent="0.3">
      <c r="A3432" s="21" t="str">
        <f>IF(A3431="","",IF(A3431+1&gt;Ввод!$B$4,"",A3431+1))</f>
        <v/>
      </c>
      <c r="B3432" s="23" t="str">
        <f>IF(A3432="","",IFERROR(INDEX(Ввод!$B$12:$B$71,MATCH(A3432,Ввод!$D$12:$D$71,1)),""))</f>
        <v/>
      </c>
      <c r="C3432" t="str">
        <f t="shared" si="106"/>
        <v/>
      </c>
      <c r="D3432" t="str">
        <f>IF(A3432="","",SUMIFS(Акты!$D$5:$D$16,Акты!$E$5:$E$16,"&lt;="&amp;A3432)-SUMIFS(Оплаты!$B$6:$B$505,Оплаты!$A$6:$A$505,"&lt;"&amp;A3432,Оплаты!$D$6:$D$505,"&lt;&gt;"))</f>
        <v/>
      </c>
      <c r="E3432" t="str">
        <f>IF(A3432="","",IF(SUMPRODUCT((Ввод!$F$12:$F$31&lt;&gt;"")*(Ввод!$F$12:$F$31&lt;=A3432)*(Ввод!$G$12:$G$31&gt;=A3432))&gt;0,1,0))</f>
        <v/>
      </c>
      <c r="G3432" t="str">
        <f t="shared" si="107"/>
        <v/>
      </c>
    </row>
    <row r="3433" spans="1:7" x14ac:dyDescent="0.3">
      <c r="A3433" s="21" t="str">
        <f>IF(A3432="","",IF(A3432+1&gt;Ввод!$B$4,"",A3432+1))</f>
        <v/>
      </c>
      <c r="B3433" s="23" t="str">
        <f>IF(A3433="","",IFERROR(INDEX(Ввод!$B$12:$B$71,MATCH(A3433,Ввод!$D$12:$D$71,1)),""))</f>
        <v/>
      </c>
      <c r="C3433" t="str">
        <f t="shared" si="106"/>
        <v/>
      </c>
      <c r="D3433" t="str">
        <f>IF(A3433="","",SUMIFS(Акты!$D$5:$D$16,Акты!$E$5:$E$16,"&lt;="&amp;A3433)-SUMIFS(Оплаты!$B$6:$B$505,Оплаты!$A$6:$A$505,"&lt;"&amp;A3433,Оплаты!$D$6:$D$505,"&lt;&gt;"))</f>
        <v/>
      </c>
      <c r="E3433" t="str">
        <f>IF(A3433="","",IF(SUMPRODUCT((Ввод!$F$12:$F$31&lt;&gt;"")*(Ввод!$F$12:$F$31&lt;=A3433)*(Ввод!$G$12:$G$31&gt;=A3433))&gt;0,1,0))</f>
        <v/>
      </c>
      <c r="G3433" t="str">
        <f t="shared" si="107"/>
        <v/>
      </c>
    </row>
    <row r="3434" spans="1:7" x14ac:dyDescent="0.3">
      <c r="A3434" s="21" t="str">
        <f>IF(A3433="","",IF(A3433+1&gt;Ввод!$B$4,"",A3433+1))</f>
        <v/>
      </c>
      <c r="B3434" s="23" t="str">
        <f>IF(A3434="","",IFERROR(INDEX(Ввод!$B$12:$B$71,MATCH(A3434,Ввод!$D$12:$D$71,1)),""))</f>
        <v/>
      </c>
      <c r="C3434" t="str">
        <f t="shared" si="106"/>
        <v/>
      </c>
      <c r="D3434" t="str">
        <f>IF(A3434="","",SUMIFS(Акты!$D$5:$D$16,Акты!$E$5:$E$16,"&lt;="&amp;A3434)-SUMIFS(Оплаты!$B$6:$B$505,Оплаты!$A$6:$A$505,"&lt;"&amp;A3434,Оплаты!$D$6:$D$505,"&lt;&gt;"))</f>
        <v/>
      </c>
      <c r="E3434" t="str">
        <f>IF(A3434="","",IF(SUMPRODUCT((Ввод!$F$12:$F$31&lt;&gt;"")*(Ввод!$F$12:$F$31&lt;=A3434)*(Ввод!$G$12:$G$31&gt;=A3434))&gt;0,1,0))</f>
        <v/>
      </c>
      <c r="G3434" t="str">
        <f t="shared" si="107"/>
        <v/>
      </c>
    </row>
    <row r="3435" spans="1:7" x14ac:dyDescent="0.3">
      <c r="A3435" s="21" t="str">
        <f>IF(A3434="","",IF(A3434+1&gt;Ввод!$B$4,"",A3434+1))</f>
        <v/>
      </c>
      <c r="B3435" s="23" t="str">
        <f>IF(A3435="","",IFERROR(INDEX(Ввод!$B$12:$B$71,MATCH(A3435,Ввод!$D$12:$D$71,1)),""))</f>
        <v/>
      </c>
      <c r="C3435" t="str">
        <f t="shared" si="106"/>
        <v/>
      </c>
      <c r="D3435" t="str">
        <f>IF(A3435="","",SUMIFS(Акты!$D$5:$D$16,Акты!$E$5:$E$16,"&lt;="&amp;A3435)-SUMIFS(Оплаты!$B$6:$B$505,Оплаты!$A$6:$A$505,"&lt;"&amp;A3435,Оплаты!$D$6:$D$505,"&lt;&gt;"))</f>
        <v/>
      </c>
      <c r="E3435" t="str">
        <f>IF(A3435="","",IF(SUMPRODUCT((Ввод!$F$12:$F$31&lt;&gt;"")*(Ввод!$F$12:$F$31&lt;=A3435)*(Ввод!$G$12:$G$31&gt;=A3435))&gt;0,1,0))</f>
        <v/>
      </c>
      <c r="G3435" t="str">
        <f t="shared" si="107"/>
        <v/>
      </c>
    </row>
    <row r="3436" spans="1:7" x14ac:dyDescent="0.3">
      <c r="A3436" s="21" t="str">
        <f>IF(A3435="","",IF(A3435+1&gt;Ввод!$B$4,"",A3435+1))</f>
        <v/>
      </c>
      <c r="B3436" s="23" t="str">
        <f>IF(A3436="","",IFERROR(INDEX(Ввод!$B$12:$B$71,MATCH(A3436,Ввод!$D$12:$D$71,1)),""))</f>
        <v/>
      </c>
      <c r="C3436" t="str">
        <f t="shared" si="106"/>
        <v/>
      </c>
      <c r="D3436" t="str">
        <f>IF(A3436="","",SUMIFS(Акты!$D$5:$D$16,Акты!$E$5:$E$16,"&lt;="&amp;A3436)-SUMIFS(Оплаты!$B$6:$B$505,Оплаты!$A$6:$A$505,"&lt;"&amp;A3436,Оплаты!$D$6:$D$505,"&lt;&gt;"))</f>
        <v/>
      </c>
      <c r="E3436" t="str">
        <f>IF(A3436="","",IF(SUMPRODUCT((Ввод!$F$12:$F$31&lt;&gt;"")*(Ввод!$F$12:$F$31&lt;=A3436)*(Ввод!$G$12:$G$31&gt;=A3436))&gt;0,1,0))</f>
        <v/>
      </c>
      <c r="G3436" t="str">
        <f t="shared" si="107"/>
        <v/>
      </c>
    </row>
    <row r="3437" spans="1:7" x14ac:dyDescent="0.3">
      <c r="A3437" s="21" t="str">
        <f>IF(A3436="","",IF(A3436+1&gt;Ввод!$B$4,"",A3436+1))</f>
        <v/>
      </c>
      <c r="B3437" s="23" t="str">
        <f>IF(A3437="","",IFERROR(INDEX(Ввод!$B$12:$B$71,MATCH(A3437,Ввод!$D$12:$D$71,1)),""))</f>
        <v/>
      </c>
      <c r="C3437" t="str">
        <f t="shared" si="106"/>
        <v/>
      </c>
      <c r="D3437" t="str">
        <f>IF(A3437="","",SUMIFS(Акты!$D$5:$D$16,Акты!$E$5:$E$16,"&lt;="&amp;A3437)-SUMIFS(Оплаты!$B$6:$B$505,Оплаты!$A$6:$A$505,"&lt;"&amp;A3437,Оплаты!$D$6:$D$505,"&lt;&gt;"))</f>
        <v/>
      </c>
      <c r="E3437" t="str">
        <f>IF(A3437="","",IF(SUMPRODUCT((Ввод!$F$12:$F$31&lt;&gt;"")*(Ввод!$F$12:$F$31&lt;=A3437)*(Ввод!$G$12:$G$31&gt;=A3437))&gt;0,1,0))</f>
        <v/>
      </c>
      <c r="G3437" t="str">
        <f t="shared" si="107"/>
        <v/>
      </c>
    </row>
    <row r="3438" spans="1:7" x14ac:dyDescent="0.3">
      <c r="A3438" s="21" t="str">
        <f>IF(A3437="","",IF(A3437+1&gt;Ввод!$B$4,"",A3437+1))</f>
        <v/>
      </c>
      <c r="B3438" s="23" t="str">
        <f>IF(A3438="","",IFERROR(INDEX(Ввод!$B$12:$B$71,MATCH(A3438,Ввод!$D$12:$D$71,1)),""))</f>
        <v/>
      </c>
      <c r="C3438" t="str">
        <f t="shared" si="106"/>
        <v/>
      </c>
      <c r="D3438" t="str">
        <f>IF(A3438="","",SUMIFS(Акты!$D$5:$D$16,Акты!$E$5:$E$16,"&lt;="&amp;A3438)-SUMIFS(Оплаты!$B$6:$B$505,Оплаты!$A$6:$A$505,"&lt;"&amp;A3438,Оплаты!$D$6:$D$505,"&lt;&gt;"))</f>
        <v/>
      </c>
      <c r="E3438" t="str">
        <f>IF(A3438="","",IF(SUMPRODUCT((Ввод!$F$12:$F$31&lt;&gt;"")*(Ввод!$F$12:$F$31&lt;=A3438)*(Ввод!$G$12:$G$31&gt;=A3438))&gt;0,1,0))</f>
        <v/>
      </c>
      <c r="G3438" t="str">
        <f t="shared" si="107"/>
        <v/>
      </c>
    </row>
    <row r="3439" spans="1:7" x14ac:dyDescent="0.3">
      <c r="A3439" s="21" t="str">
        <f>IF(A3438="","",IF(A3438+1&gt;Ввод!$B$4,"",A3438+1))</f>
        <v/>
      </c>
      <c r="B3439" s="23" t="str">
        <f>IF(A3439="","",IFERROR(INDEX(Ввод!$B$12:$B$71,MATCH(A3439,Ввод!$D$12:$D$71,1)),""))</f>
        <v/>
      </c>
      <c r="C3439" t="str">
        <f t="shared" si="106"/>
        <v/>
      </c>
      <c r="D3439" t="str">
        <f>IF(A3439="","",SUMIFS(Акты!$D$5:$D$16,Акты!$E$5:$E$16,"&lt;="&amp;A3439)-SUMIFS(Оплаты!$B$6:$B$505,Оплаты!$A$6:$A$505,"&lt;"&amp;A3439,Оплаты!$D$6:$D$505,"&lt;&gt;"))</f>
        <v/>
      </c>
      <c r="E3439" t="str">
        <f>IF(A3439="","",IF(SUMPRODUCT((Ввод!$F$12:$F$31&lt;&gt;"")*(Ввод!$F$12:$F$31&lt;=A3439)*(Ввод!$G$12:$G$31&gt;=A3439))&gt;0,1,0))</f>
        <v/>
      </c>
      <c r="G3439" t="str">
        <f t="shared" si="107"/>
        <v/>
      </c>
    </row>
    <row r="3440" spans="1:7" x14ac:dyDescent="0.3">
      <c r="A3440" s="21" t="str">
        <f>IF(A3439="","",IF(A3439+1&gt;Ввод!$B$4,"",A3439+1))</f>
        <v/>
      </c>
      <c r="B3440" s="23" t="str">
        <f>IF(A3440="","",IFERROR(INDEX(Ввод!$B$12:$B$71,MATCH(A3440,Ввод!$D$12:$D$71,1)),""))</f>
        <v/>
      </c>
      <c r="C3440" t="str">
        <f t="shared" si="106"/>
        <v/>
      </c>
      <c r="D3440" t="str">
        <f>IF(A3440="","",SUMIFS(Акты!$D$5:$D$16,Акты!$E$5:$E$16,"&lt;="&amp;A3440)-SUMIFS(Оплаты!$B$6:$B$505,Оплаты!$A$6:$A$505,"&lt;"&amp;A3440,Оплаты!$D$6:$D$505,"&lt;&gt;"))</f>
        <v/>
      </c>
      <c r="E3440" t="str">
        <f>IF(A3440="","",IF(SUMPRODUCT((Ввод!$F$12:$F$31&lt;&gt;"")*(Ввод!$F$12:$F$31&lt;=A3440)*(Ввод!$G$12:$G$31&gt;=A3440))&gt;0,1,0))</f>
        <v/>
      </c>
      <c r="G3440" t="str">
        <f t="shared" si="107"/>
        <v/>
      </c>
    </row>
    <row r="3441" spans="1:7" x14ac:dyDescent="0.3">
      <c r="A3441" s="21" t="str">
        <f>IF(A3440="","",IF(A3440+1&gt;Ввод!$B$4,"",A3440+1))</f>
        <v/>
      </c>
      <c r="B3441" s="23" t="str">
        <f>IF(A3441="","",IFERROR(INDEX(Ввод!$B$12:$B$71,MATCH(A3441,Ввод!$D$12:$D$71,1)),""))</f>
        <v/>
      </c>
      <c r="C3441" t="str">
        <f t="shared" si="106"/>
        <v/>
      </c>
      <c r="D3441" t="str">
        <f>IF(A3441="","",SUMIFS(Акты!$D$5:$D$16,Акты!$E$5:$E$16,"&lt;="&amp;A3441)-SUMIFS(Оплаты!$B$6:$B$505,Оплаты!$A$6:$A$505,"&lt;"&amp;A3441,Оплаты!$D$6:$D$505,"&lt;&gt;"))</f>
        <v/>
      </c>
      <c r="E3441" t="str">
        <f>IF(A3441="","",IF(SUMPRODUCT((Ввод!$F$12:$F$31&lt;&gt;"")*(Ввод!$F$12:$F$31&lt;=A3441)*(Ввод!$G$12:$G$31&gt;=A3441))&gt;0,1,0))</f>
        <v/>
      </c>
      <c r="G3441" t="str">
        <f t="shared" si="107"/>
        <v/>
      </c>
    </row>
    <row r="3442" spans="1:7" x14ac:dyDescent="0.3">
      <c r="A3442" s="21" t="str">
        <f>IF(A3441="","",IF(A3441+1&gt;Ввод!$B$4,"",A3441+1))</f>
        <v/>
      </c>
      <c r="B3442" s="23" t="str">
        <f>IF(A3442="","",IFERROR(INDEX(Ввод!$B$12:$B$71,MATCH(A3442,Ввод!$D$12:$D$71,1)),""))</f>
        <v/>
      </c>
      <c r="C3442" t="str">
        <f t="shared" si="106"/>
        <v/>
      </c>
      <c r="D3442" t="str">
        <f>IF(A3442="","",SUMIFS(Акты!$D$5:$D$16,Акты!$E$5:$E$16,"&lt;="&amp;A3442)-SUMIFS(Оплаты!$B$6:$B$505,Оплаты!$A$6:$A$505,"&lt;"&amp;A3442,Оплаты!$D$6:$D$505,"&lt;&gt;"))</f>
        <v/>
      </c>
      <c r="E3442" t="str">
        <f>IF(A3442="","",IF(SUMPRODUCT((Ввод!$F$12:$F$31&lt;&gt;"")*(Ввод!$F$12:$F$31&lt;=A3442)*(Ввод!$G$12:$G$31&gt;=A3442))&gt;0,1,0))</f>
        <v/>
      </c>
      <c r="G3442" t="str">
        <f t="shared" si="107"/>
        <v/>
      </c>
    </row>
    <row r="3443" spans="1:7" x14ac:dyDescent="0.3">
      <c r="A3443" s="21" t="str">
        <f>IF(A3442="","",IF(A3442+1&gt;Ввод!$B$4,"",A3442+1))</f>
        <v/>
      </c>
      <c r="B3443" s="23" t="str">
        <f>IF(A3443="","",IFERROR(INDEX(Ввод!$B$12:$B$71,MATCH(A3443,Ввод!$D$12:$D$71,1)),""))</f>
        <v/>
      </c>
      <c r="C3443" t="str">
        <f t="shared" si="106"/>
        <v/>
      </c>
      <c r="D3443" t="str">
        <f>IF(A3443="","",SUMIFS(Акты!$D$5:$D$16,Акты!$E$5:$E$16,"&lt;="&amp;A3443)-SUMIFS(Оплаты!$B$6:$B$505,Оплаты!$A$6:$A$505,"&lt;"&amp;A3443,Оплаты!$D$6:$D$505,"&lt;&gt;"))</f>
        <v/>
      </c>
      <c r="E3443" t="str">
        <f>IF(A3443="","",IF(SUMPRODUCT((Ввод!$F$12:$F$31&lt;&gt;"")*(Ввод!$F$12:$F$31&lt;=A3443)*(Ввод!$G$12:$G$31&gt;=A3443))&gt;0,1,0))</f>
        <v/>
      </c>
      <c r="G3443" t="str">
        <f t="shared" si="107"/>
        <v/>
      </c>
    </row>
    <row r="3444" spans="1:7" x14ac:dyDescent="0.3">
      <c r="A3444" s="21" t="str">
        <f>IF(A3443="","",IF(A3443+1&gt;Ввод!$B$4,"",A3443+1))</f>
        <v/>
      </c>
      <c r="B3444" s="23" t="str">
        <f>IF(A3444="","",IFERROR(INDEX(Ввод!$B$12:$B$71,MATCH(A3444,Ввод!$D$12:$D$71,1)),""))</f>
        <v/>
      </c>
      <c r="C3444" t="str">
        <f t="shared" si="106"/>
        <v/>
      </c>
      <c r="D3444" t="str">
        <f>IF(A3444="","",SUMIFS(Акты!$D$5:$D$16,Акты!$E$5:$E$16,"&lt;="&amp;A3444)-SUMIFS(Оплаты!$B$6:$B$505,Оплаты!$A$6:$A$505,"&lt;"&amp;A3444,Оплаты!$D$6:$D$505,"&lt;&gt;"))</f>
        <v/>
      </c>
      <c r="E3444" t="str">
        <f>IF(A3444="","",IF(SUMPRODUCT((Ввод!$F$12:$F$31&lt;&gt;"")*(Ввод!$F$12:$F$31&lt;=A3444)*(Ввод!$G$12:$G$31&gt;=A3444))&gt;0,1,0))</f>
        <v/>
      </c>
      <c r="G3444" t="str">
        <f t="shared" si="107"/>
        <v/>
      </c>
    </row>
    <row r="3445" spans="1:7" x14ac:dyDescent="0.3">
      <c r="A3445" s="21" t="str">
        <f>IF(A3444="","",IF(A3444+1&gt;Ввод!$B$4,"",A3444+1))</f>
        <v/>
      </c>
      <c r="B3445" s="23" t="str">
        <f>IF(A3445="","",IFERROR(INDEX(Ввод!$B$12:$B$71,MATCH(A3445,Ввод!$D$12:$D$71,1)),""))</f>
        <v/>
      </c>
      <c r="C3445" t="str">
        <f t="shared" si="106"/>
        <v/>
      </c>
      <c r="D3445" t="str">
        <f>IF(A3445="","",SUMIFS(Акты!$D$5:$D$16,Акты!$E$5:$E$16,"&lt;="&amp;A3445)-SUMIFS(Оплаты!$B$6:$B$505,Оплаты!$A$6:$A$505,"&lt;"&amp;A3445,Оплаты!$D$6:$D$505,"&lt;&gt;"))</f>
        <v/>
      </c>
      <c r="E3445" t="str">
        <f>IF(A3445="","",IF(SUMPRODUCT((Ввод!$F$12:$F$31&lt;&gt;"")*(Ввод!$F$12:$F$31&lt;=A3445)*(Ввод!$G$12:$G$31&gt;=A3445))&gt;0,1,0))</f>
        <v/>
      </c>
      <c r="G3445" t="str">
        <f t="shared" si="107"/>
        <v/>
      </c>
    </row>
    <row r="3446" spans="1:7" x14ac:dyDescent="0.3">
      <c r="A3446" s="21" t="str">
        <f>IF(A3445="","",IF(A3445+1&gt;Ввод!$B$4,"",A3445+1))</f>
        <v/>
      </c>
      <c r="B3446" s="23" t="str">
        <f>IF(A3446="","",IFERROR(INDEX(Ввод!$B$12:$B$71,MATCH(A3446,Ввод!$D$12:$D$71,1)),""))</f>
        <v/>
      </c>
      <c r="C3446" t="str">
        <f t="shared" si="106"/>
        <v/>
      </c>
      <c r="D3446" t="str">
        <f>IF(A3446="","",SUMIFS(Акты!$D$5:$D$16,Акты!$E$5:$E$16,"&lt;="&amp;A3446)-SUMIFS(Оплаты!$B$6:$B$505,Оплаты!$A$6:$A$505,"&lt;"&amp;A3446,Оплаты!$D$6:$D$505,"&lt;&gt;"))</f>
        <v/>
      </c>
      <c r="E3446" t="str">
        <f>IF(A3446="","",IF(SUMPRODUCT((Ввод!$F$12:$F$31&lt;&gt;"")*(Ввод!$F$12:$F$31&lt;=A3446)*(Ввод!$G$12:$G$31&gt;=A3446))&gt;0,1,0))</f>
        <v/>
      </c>
      <c r="G3446" t="str">
        <f t="shared" si="107"/>
        <v/>
      </c>
    </row>
    <row r="3447" spans="1:7" x14ac:dyDescent="0.3">
      <c r="A3447" s="21" t="str">
        <f>IF(A3446="","",IF(A3446+1&gt;Ввод!$B$4,"",A3446+1))</f>
        <v/>
      </c>
      <c r="B3447" s="23" t="str">
        <f>IF(A3447="","",IFERROR(INDEX(Ввод!$B$12:$B$71,MATCH(A3447,Ввод!$D$12:$D$71,1)),""))</f>
        <v/>
      </c>
      <c r="C3447" t="str">
        <f t="shared" si="106"/>
        <v/>
      </c>
      <c r="D3447" t="str">
        <f>IF(A3447="","",SUMIFS(Акты!$D$5:$D$16,Акты!$E$5:$E$16,"&lt;="&amp;A3447)-SUMIFS(Оплаты!$B$6:$B$505,Оплаты!$A$6:$A$505,"&lt;"&amp;A3447,Оплаты!$D$6:$D$505,"&lt;&gt;"))</f>
        <v/>
      </c>
      <c r="E3447" t="str">
        <f>IF(A3447="","",IF(SUMPRODUCT((Ввод!$F$12:$F$31&lt;&gt;"")*(Ввод!$F$12:$F$31&lt;=A3447)*(Ввод!$G$12:$G$31&gt;=A3447))&gt;0,1,0))</f>
        <v/>
      </c>
      <c r="G3447" t="str">
        <f t="shared" si="107"/>
        <v/>
      </c>
    </row>
    <row r="3448" spans="1:7" x14ac:dyDescent="0.3">
      <c r="A3448" s="21" t="str">
        <f>IF(A3447="","",IF(A3447+1&gt;Ввод!$B$4,"",A3447+1))</f>
        <v/>
      </c>
      <c r="B3448" s="23" t="str">
        <f>IF(A3448="","",IFERROR(INDEX(Ввод!$B$12:$B$71,MATCH(A3448,Ввод!$D$12:$D$71,1)),""))</f>
        <v/>
      </c>
      <c r="C3448" t="str">
        <f t="shared" si="106"/>
        <v/>
      </c>
      <c r="D3448" t="str">
        <f>IF(A3448="","",SUMIFS(Акты!$D$5:$D$16,Акты!$E$5:$E$16,"&lt;="&amp;A3448)-SUMIFS(Оплаты!$B$6:$B$505,Оплаты!$A$6:$A$505,"&lt;"&amp;A3448,Оплаты!$D$6:$D$505,"&lt;&gt;"))</f>
        <v/>
      </c>
      <c r="E3448" t="str">
        <f>IF(A3448="","",IF(SUMPRODUCT((Ввод!$F$12:$F$31&lt;&gt;"")*(Ввод!$F$12:$F$31&lt;=A3448)*(Ввод!$G$12:$G$31&gt;=A3448))&gt;0,1,0))</f>
        <v/>
      </c>
      <c r="G3448" t="str">
        <f t="shared" si="107"/>
        <v/>
      </c>
    </row>
    <row r="3449" spans="1:7" x14ac:dyDescent="0.3">
      <c r="A3449" s="21" t="str">
        <f>IF(A3448="","",IF(A3448+1&gt;Ввод!$B$4,"",A3448+1))</f>
        <v/>
      </c>
      <c r="B3449" s="23" t="str">
        <f>IF(A3449="","",IFERROR(INDEX(Ввод!$B$12:$B$71,MATCH(A3449,Ввод!$D$12:$D$71,1)),""))</f>
        <v/>
      </c>
      <c r="C3449" t="str">
        <f t="shared" si="106"/>
        <v/>
      </c>
      <c r="D3449" t="str">
        <f>IF(A3449="","",SUMIFS(Акты!$D$5:$D$16,Акты!$E$5:$E$16,"&lt;="&amp;A3449)-SUMIFS(Оплаты!$B$6:$B$505,Оплаты!$A$6:$A$505,"&lt;"&amp;A3449,Оплаты!$D$6:$D$505,"&lt;&gt;"))</f>
        <v/>
      </c>
      <c r="E3449" t="str">
        <f>IF(A3449="","",IF(SUMPRODUCT((Ввод!$F$12:$F$31&lt;&gt;"")*(Ввод!$F$12:$F$31&lt;=A3449)*(Ввод!$G$12:$G$31&gt;=A3449))&gt;0,1,0))</f>
        <v/>
      </c>
      <c r="G3449" t="str">
        <f t="shared" si="107"/>
        <v/>
      </c>
    </row>
    <row r="3450" spans="1:7" x14ac:dyDescent="0.3">
      <c r="A3450" s="21" t="str">
        <f>IF(A3449="","",IF(A3449+1&gt;Ввод!$B$4,"",A3449+1))</f>
        <v/>
      </c>
      <c r="B3450" s="23" t="str">
        <f>IF(A3450="","",IFERROR(INDEX(Ввод!$B$12:$B$71,MATCH(A3450,Ввод!$D$12:$D$71,1)),""))</f>
        <v/>
      </c>
      <c r="C3450" t="str">
        <f t="shared" si="106"/>
        <v/>
      </c>
      <c r="D3450" t="str">
        <f>IF(A3450="","",SUMIFS(Акты!$D$5:$D$16,Акты!$E$5:$E$16,"&lt;="&amp;A3450)-SUMIFS(Оплаты!$B$6:$B$505,Оплаты!$A$6:$A$505,"&lt;"&amp;A3450,Оплаты!$D$6:$D$505,"&lt;&gt;"))</f>
        <v/>
      </c>
      <c r="E3450" t="str">
        <f>IF(A3450="","",IF(SUMPRODUCT((Ввод!$F$12:$F$31&lt;&gt;"")*(Ввод!$F$12:$F$31&lt;=A3450)*(Ввод!$G$12:$G$31&gt;=A3450))&gt;0,1,0))</f>
        <v/>
      </c>
      <c r="G3450" t="str">
        <f t="shared" si="107"/>
        <v/>
      </c>
    </row>
    <row r="3451" spans="1:7" x14ac:dyDescent="0.3">
      <c r="A3451" s="21" t="str">
        <f>IF(A3450="","",IF(A3450+1&gt;Ввод!$B$4,"",A3450+1))</f>
        <v/>
      </c>
      <c r="B3451" s="23" t="str">
        <f>IF(A3451="","",IFERROR(INDEX(Ввод!$B$12:$B$71,MATCH(A3451,Ввод!$D$12:$D$71,1)),""))</f>
        <v/>
      </c>
      <c r="C3451" t="str">
        <f t="shared" si="106"/>
        <v/>
      </c>
      <c r="D3451" t="str">
        <f>IF(A3451="","",SUMIFS(Акты!$D$5:$D$16,Акты!$E$5:$E$16,"&lt;="&amp;A3451)-SUMIFS(Оплаты!$B$6:$B$505,Оплаты!$A$6:$A$505,"&lt;"&amp;A3451,Оплаты!$D$6:$D$505,"&lt;&gt;"))</f>
        <v/>
      </c>
      <c r="E3451" t="str">
        <f>IF(A3451="","",IF(SUMPRODUCT((Ввод!$F$12:$F$31&lt;&gt;"")*(Ввод!$F$12:$F$31&lt;=A3451)*(Ввод!$G$12:$G$31&gt;=A3451))&gt;0,1,0))</f>
        <v/>
      </c>
      <c r="G3451" t="str">
        <f t="shared" si="107"/>
        <v/>
      </c>
    </row>
    <row r="3452" spans="1:7" x14ac:dyDescent="0.3">
      <c r="A3452" s="21" t="str">
        <f>IF(A3451="","",IF(A3451+1&gt;Ввод!$B$4,"",A3451+1))</f>
        <v/>
      </c>
      <c r="B3452" s="23" t="str">
        <f>IF(A3452="","",IFERROR(INDEX(Ввод!$B$12:$B$71,MATCH(A3452,Ввод!$D$12:$D$71,1)),""))</f>
        <v/>
      </c>
      <c r="C3452" t="str">
        <f t="shared" si="106"/>
        <v/>
      </c>
      <c r="D3452" t="str">
        <f>IF(A3452="","",SUMIFS(Акты!$D$5:$D$16,Акты!$E$5:$E$16,"&lt;="&amp;A3452)-SUMIFS(Оплаты!$B$6:$B$505,Оплаты!$A$6:$A$505,"&lt;"&amp;A3452,Оплаты!$D$6:$D$505,"&lt;&gt;"))</f>
        <v/>
      </c>
      <c r="E3452" t="str">
        <f>IF(A3452="","",IF(SUMPRODUCT((Ввод!$F$12:$F$31&lt;&gt;"")*(Ввод!$F$12:$F$31&lt;=A3452)*(Ввод!$G$12:$G$31&gt;=A3452))&gt;0,1,0))</f>
        <v/>
      </c>
      <c r="G3452" t="str">
        <f t="shared" si="107"/>
        <v/>
      </c>
    </row>
    <row r="3453" spans="1:7" x14ac:dyDescent="0.3">
      <c r="A3453" s="21" t="str">
        <f>IF(A3452="","",IF(A3452+1&gt;Ввод!$B$4,"",A3452+1))</f>
        <v/>
      </c>
      <c r="B3453" s="23" t="str">
        <f>IF(A3453="","",IFERROR(INDEX(Ввод!$B$12:$B$71,MATCH(A3453,Ввод!$D$12:$D$71,1)),""))</f>
        <v/>
      </c>
      <c r="C3453" t="str">
        <f t="shared" si="106"/>
        <v/>
      </c>
      <c r="D3453" t="str">
        <f>IF(A3453="","",SUMIFS(Акты!$D$5:$D$16,Акты!$E$5:$E$16,"&lt;="&amp;A3453)-SUMIFS(Оплаты!$B$6:$B$505,Оплаты!$A$6:$A$505,"&lt;"&amp;A3453,Оплаты!$D$6:$D$505,"&lt;&gt;"))</f>
        <v/>
      </c>
      <c r="E3453" t="str">
        <f>IF(A3453="","",IF(SUMPRODUCT((Ввод!$F$12:$F$31&lt;&gt;"")*(Ввод!$F$12:$F$31&lt;=A3453)*(Ввод!$G$12:$G$31&gt;=A3453))&gt;0,1,0))</f>
        <v/>
      </c>
      <c r="G3453" t="str">
        <f t="shared" si="107"/>
        <v/>
      </c>
    </row>
    <row r="3454" spans="1:7" x14ac:dyDescent="0.3">
      <c r="A3454" s="21" t="str">
        <f>IF(A3453="","",IF(A3453+1&gt;Ввод!$B$4,"",A3453+1))</f>
        <v/>
      </c>
      <c r="B3454" s="23" t="str">
        <f>IF(A3454="","",IFERROR(INDEX(Ввод!$B$12:$B$71,MATCH(A3454,Ввод!$D$12:$D$71,1)),""))</f>
        <v/>
      </c>
      <c r="C3454" t="str">
        <f t="shared" si="106"/>
        <v/>
      </c>
      <c r="D3454" t="str">
        <f>IF(A3454="","",SUMIFS(Акты!$D$5:$D$16,Акты!$E$5:$E$16,"&lt;="&amp;A3454)-SUMIFS(Оплаты!$B$6:$B$505,Оплаты!$A$6:$A$505,"&lt;"&amp;A3454,Оплаты!$D$6:$D$505,"&lt;&gt;"))</f>
        <v/>
      </c>
      <c r="E3454" t="str">
        <f>IF(A3454="","",IF(SUMPRODUCT((Ввод!$F$12:$F$31&lt;&gt;"")*(Ввод!$F$12:$F$31&lt;=A3454)*(Ввод!$G$12:$G$31&gt;=A3454))&gt;0,1,0))</f>
        <v/>
      </c>
      <c r="G3454" t="str">
        <f t="shared" si="107"/>
        <v/>
      </c>
    </row>
    <row r="3455" spans="1:7" x14ac:dyDescent="0.3">
      <c r="A3455" s="21" t="str">
        <f>IF(A3454="","",IF(A3454+1&gt;Ввод!$B$4,"",A3454+1))</f>
        <v/>
      </c>
      <c r="B3455" s="23" t="str">
        <f>IF(A3455="","",IFERROR(INDEX(Ввод!$B$12:$B$71,MATCH(A3455,Ввод!$D$12:$D$71,1)),""))</f>
        <v/>
      </c>
      <c r="C3455" t="str">
        <f t="shared" si="106"/>
        <v/>
      </c>
      <c r="D3455" t="str">
        <f>IF(A3455="","",SUMIFS(Акты!$D$5:$D$16,Акты!$E$5:$E$16,"&lt;="&amp;A3455)-SUMIFS(Оплаты!$B$6:$B$505,Оплаты!$A$6:$A$505,"&lt;"&amp;A3455,Оплаты!$D$6:$D$505,"&lt;&gt;"))</f>
        <v/>
      </c>
      <c r="E3455" t="str">
        <f>IF(A3455="","",IF(SUMPRODUCT((Ввод!$F$12:$F$31&lt;&gt;"")*(Ввод!$F$12:$F$31&lt;=A3455)*(Ввод!$G$12:$G$31&gt;=A3455))&gt;0,1,0))</f>
        <v/>
      </c>
      <c r="G3455" t="str">
        <f t="shared" si="107"/>
        <v/>
      </c>
    </row>
    <row r="3456" spans="1:7" x14ac:dyDescent="0.3">
      <c r="A3456" s="21" t="str">
        <f>IF(A3455="","",IF(A3455+1&gt;Ввод!$B$4,"",A3455+1))</f>
        <v/>
      </c>
      <c r="B3456" s="23" t="str">
        <f>IF(A3456="","",IFERROR(INDEX(Ввод!$B$12:$B$71,MATCH(A3456,Ввод!$D$12:$D$71,1)),""))</f>
        <v/>
      </c>
      <c r="C3456" t="str">
        <f t="shared" si="106"/>
        <v/>
      </c>
      <c r="D3456" t="str">
        <f>IF(A3456="","",SUMIFS(Акты!$D$5:$D$16,Акты!$E$5:$E$16,"&lt;="&amp;A3456)-SUMIFS(Оплаты!$B$6:$B$505,Оплаты!$A$6:$A$505,"&lt;"&amp;A3456,Оплаты!$D$6:$D$505,"&lt;&gt;"))</f>
        <v/>
      </c>
      <c r="E3456" t="str">
        <f>IF(A3456="","",IF(SUMPRODUCT((Ввод!$F$12:$F$31&lt;&gt;"")*(Ввод!$F$12:$F$31&lt;=A3456)*(Ввод!$G$12:$G$31&gt;=A3456))&gt;0,1,0))</f>
        <v/>
      </c>
      <c r="G3456" t="str">
        <f t="shared" si="107"/>
        <v/>
      </c>
    </row>
    <row r="3457" spans="1:7" x14ac:dyDescent="0.3">
      <c r="A3457" s="21" t="str">
        <f>IF(A3456="","",IF(A3456+1&gt;Ввод!$B$4,"",A3456+1))</f>
        <v/>
      </c>
      <c r="B3457" s="23" t="str">
        <f>IF(A3457="","",IFERROR(INDEX(Ввод!$B$12:$B$71,MATCH(A3457,Ввод!$D$12:$D$71,1)),""))</f>
        <v/>
      </c>
      <c r="C3457" t="str">
        <f t="shared" si="106"/>
        <v/>
      </c>
      <c r="D3457" t="str">
        <f>IF(A3457="","",SUMIFS(Акты!$D$5:$D$16,Акты!$E$5:$E$16,"&lt;="&amp;A3457)-SUMIFS(Оплаты!$B$6:$B$505,Оплаты!$A$6:$A$505,"&lt;"&amp;A3457,Оплаты!$D$6:$D$505,"&lt;&gt;"))</f>
        <v/>
      </c>
      <c r="E3457" t="str">
        <f>IF(A3457="","",IF(SUMPRODUCT((Ввод!$F$12:$F$31&lt;&gt;"")*(Ввод!$F$12:$F$31&lt;=A3457)*(Ввод!$G$12:$G$31&gt;=A3457))&gt;0,1,0))</f>
        <v/>
      </c>
      <c r="G3457" t="str">
        <f t="shared" si="107"/>
        <v/>
      </c>
    </row>
    <row r="3458" spans="1:7" x14ac:dyDescent="0.3">
      <c r="A3458" s="21" t="str">
        <f>IF(A3457="","",IF(A3457+1&gt;Ввод!$B$4,"",A3457+1))</f>
        <v/>
      </c>
      <c r="B3458" s="23" t="str">
        <f>IF(A3458="","",IFERROR(INDEX(Ввод!$B$12:$B$71,MATCH(A3458,Ввод!$D$12:$D$71,1)),""))</f>
        <v/>
      </c>
      <c r="C3458" t="str">
        <f t="shared" ref="C3458:C3521" si="108">IF(A3458="","",DATE(YEAR(A3458),12,31)-DATE(YEAR(A3458),1,1)+1)</f>
        <v/>
      </c>
      <c r="D3458" t="str">
        <f>IF(A3458="","",SUMIFS(Акты!$D$5:$D$16,Акты!$E$5:$E$16,"&lt;="&amp;A3458)-SUMIFS(Оплаты!$B$6:$B$505,Оплаты!$A$6:$A$505,"&lt;"&amp;A3458,Оплаты!$D$6:$D$505,"&lt;&gt;"))</f>
        <v/>
      </c>
      <c r="E3458" t="str">
        <f>IF(A3458="","",IF(SUMPRODUCT((Ввод!$F$12:$F$31&lt;&gt;"")*(Ввод!$F$12:$F$31&lt;=A3458)*(Ввод!$G$12:$G$31&gt;=A3458))&gt;0,1,0))</f>
        <v/>
      </c>
      <c r="G3458" t="str">
        <f t="shared" si="107"/>
        <v/>
      </c>
    </row>
    <row r="3459" spans="1:7" x14ac:dyDescent="0.3">
      <c r="A3459" s="21" t="str">
        <f>IF(A3458="","",IF(A3458+1&gt;Ввод!$B$4,"",A3458+1))</f>
        <v/>
      </c>
      <c r="B3459" s="23" t="str">
        <f>IF(A3459="","",IFERROR(INDEX(Ввод!$B$12:$B$71,MATCH(A3459,Ввод!$D$12:$D$71,1)),""))</f>
        <v/>
      </c>
      <c r="C3459" t="str">
        <f t="shared" si="108"/>
        <v/>
      </c>
      <c r="D3459" t="str">
        <f>IF(A3459="","",SUMIFS(Акты!$D$5:$D$16,Акты!$E$5:$E$16,"&lt;="&amp;A3459)-SUMIFS(Оплаты!$B$6:$B$505,Оплаты!$A$6:$A$505,"&lt;"&amp;A3459,Оплаты!$D$6:$D$505,"&lt;&gt;"))</f>
        <v/>
      </c>
      <c r="E3459" t="str">
        <f>IF(A3459="","",IF(SUMPRODUCT((Ввод!$F$12:$F$31&lt;&gt;"")*(Ввод!$F$12:$F$31&lt;=A3459)*(Ввод!$G$12:$G$31&gt;=A3459))&gt;0,1,0))</f>
        <v/>
      </c>
      <c r="G3459" t="str">
        <f t="shared" ref="G3459:G3522" si="109">IF(A3459="","",IF(OR(B3459&lt;&gt;B3458,C3459&lt;&gt;C3458,E3459&lt;&gt;E3458),G3458+1,G3458))</f>
        <v/>
      </c>
    </row>
    <row r="3460" spans="1:7" x14ac:dyDescent="0.3">
      <c r="A3460" s="21" t="str">
        <f>IF(A3459="","",IF(A3459+1&gt;Ввод!$B$4,"",A3459+1))</f>
        <v/>
      </c>
      <c r="B3460" s="23" t="str">
        <f>IF(A3460="","",IFERROR(INDEX(Ввод!$B$12:$B$71,MATCH(A3460,Ввод!$D$12:$D$71,1)),""))</f>
        <v/>
      </c>
      <c r="C3460" t="str">
        <f t="shared" si="108"/>
        <v/>
      </c>
      <c r="D3460" t="str">
        <f>IF(A3460="","",SUMIFS(Акты!$D$5:$D$16,Акты!$E$5:$E$16,"&lt;="&amp;A3460)-SUMIFS(Оплаты!$B$6:$B$505,Оплаты!$A$6:$A$505,"&lt;"&amp;A3460,Оплаты!$D$6:$D$505,"&lt;&gt;"))</f>
        <v/>
      </c>
      <c r="E3460" t="str">
        <f>IF(A3460="","",IF(SUMPRODUCT((Ввод!$F$12:$F$31&lt;&gt;"")*(Ввод!$F$12:$F$31&lt;=A3460)*(Ввод!$G$12:$G$31&gt;=A3460))&gt;0,1,0))</f>
        <v/>
      </c>
      <c r="G3460" t="str">
        <f t="shared" si="109"/>
        <v/>
      </c>
    </row>
    <row r="3461" spans="1:7" x14ac:dyDescent="0.3">
      <c r="A3461" s="21" t="str">
        <f>IF(A3460="","",IF(A3460+1&gt;Ввод!$B$4,"",A3460+1))</f>
        <v/>
      </c>
      <c r="B3461" s="23" t="str">
        <f>IF(A3461="","",IFERROR(INDEX(Ввод!$B$12:$B$71,MATCH(A3461,Ввод!$D$12:$D$71,1)),""))</f>
        <v/>
      </c>
      <c r="C3461" t="str">
        <f t="shared" si="108"/>
        <v/>
      </c>
      <c r="D3461" t="str">
        <f>IF(A3461="","",SUMIFS(Акты!$D$5:$D$16,Акты!$E$5:$E$16,"&lt;="&amp;A3461)-SUMIFS(Оплаты!$B$6:$B$505,Оплаты!$A$6:$A$505,"&lt;"&amp;A3461,Оплаты!$D$6:$D$505,"&lt;&gt;"))</f>
        <v/>
      </c>
      <c r="E3461" t="str">
        <f>IF(A3461="","",IF(SUMPRODUCT((Ввод!$F$12:$F$31&lt;&gt;"")*(Ввод!$F$12:$F$31&lt;=A3461)*(Ввод!$G$12:$G$31&gt;=A3461))&gt;0,1,0))</f>
        <v/>
      </c>
      <c r="G3461" t="str">
        <f t="shared" si="109"/>
        <v/>
      </c>
    </row>
    <row r="3462" spans="1:7" x14ac:dyDescent="0.3">
      <c r="A3462" s="21" t="str">
        <f>IF(A3461="","",IF(A3461+1&gt;Ввод!$B$4,"",A3461+1))</f>
        <v/>
      </c>
      <c r="B3462" s="23" t="str">
        <f>IF(A3462="","",IFERROR(INDEX(Ввод!$B$12:$B$71,MATCH(A3462,Ввод!$D$12:$D$71,1)),""))</f>
        <v/>
      </c>
      <c r="C3462" t="str">
        <f t="shared" si="108"/>
        <v/>
      </c>
      <c r="D3462" t="str">
        <f>IF(A3462="","",SUMIFS(Акты!$D$5:$D$16,Акты!$E$5:$E$16,"&lt;="&amp;A3462)-SUMIFS(Оплаты!$B$6:$B$505,Оплаты!$A$6:$A$505,"&lt;"&amp;A3462,Оплаты!$D$6:$D$505,"&lt;&gt;"))</f>
        <v/>
      </c>
      <c r="E3462" t="str">
        <f>IF(A3462="","",IF(SUMPRODUCT((Ввод!$F$12:$F$31&lt;&gt;"")*(Ввод!$F$12:$F$31&lt;=A3462)*(Ввод!$G$12:$G$31&gt;=A3462))&gt;0,1,0))</f>
        <v/>
      </c>
      <c r="G3462" t="str">
        <f t="shared" si="109"/>
        <v/>
      </c>
    </row>
    <row r="3463" spans="1:7" x14ac:dyDescent="0.3">
      <c r="A3463" s="21" t="str">
        <f>IF(A3462="","",IF(A3462+1&gt;Ввод!$B$4,"",A3462+1))</f>
        <v/>
      </c>
      <c r="B3463" s="23" t="str">
        <f>IF(A3463="","",IFERROR(INDEX(Ввод!$B$12:$B$71,MATCH(A3463,Ввод!$D$12:$D$71,1)),""))</f>
        <v/>
      </c>
      <c r="C3463" t="str">
        <f t="shared" si="108"/>
        <v/>
      </c>
      <c r="D3463" t="str">
        <f>IF(A3463="","",SUMIFS(Акты!$D$5:$D$16,Акты!$E$5:$E$16,"&lt;="&amp;A3463)-SUMIFS(Оплаты!$B$6:$B$505,Оплаты!$A$6:$A$505,"&lt;"&amp;A3463,Оплаты!$D$6:$D$505,"&lt;&gt;"))</f>
        <v/>
      </c>
      <c r="E3463" t="str">
        <f>IF(A3463="","",IF(SUMPRODUCT((Ввод!$F$12:$F$31&lt;&gt;"")*(Ввод!$F$12:$F$31&lt;=A3463)*(Ввод!$G$12:$G$31&gt;=A3463))&gt;0,1,0))</f>
        <v/>
      </c>
      <c r="G3463" t="str">
        <f t="shared" si="109"/>
        <v/>
      </c>
    </row>
    <row r="3464" spans="1:7" x14ac:dyDescent="0.3">
      <c r="A3464" s="21" t="str">
        <f>IF(A3463="","",IF(A3463+1&gt;Ввод!$B$4,"",A3463+1))</f>
        <v/>
      </c>
      <c r="B3464" s="23" t="str">
        <f>IF(A3464="","",IFERROR(INDEX(Ввод!$B$12:$B$71,MATCH(A3464,Ввод!$D$12:$D$71,1)),""))</f>
        <v/>
      </c>
      <c r="C3464" t="str">
        <f t="shared" si="108"/>
        <v/>
      </c>
      <c r="D3464" t="str">
        <f>IF(A3464="","",SUMIFS(Акты!$D$5:$D$16,Акты!$E$5:$E$16,"&lt;="&amp;A3464)-SUMIFS(Оплаты!$B$6:$B$505,Оплаты!$A$6:$A$505,"&lt;"&amp;A3464,Оплаты!$D$6:$D$505,"&lt;&gt;"))</f>
        <v/>
      </c>
      <c r="E3464" t="str">
        <f>IF(A3464="","",IF(SUMPRODUCT((Ввод!$F$12:$F$31&lt;&gt;"")*(Ввод!$F$12:$F$31&lt;=A3464)*(Ввод!$G$12:$G$31&gt;=A3464))&gt;0,1,0))</f>
        <v/>
      </c>
      <c r="G3464" t="str">
        <f t="shared" si="109"/>
        <v/>
      </c>
    </row>
    <row r="3465" spans="1:7" x14ac:dyDescent="0.3">
      <c r="A3465" s="21" t="str">
        <f>IF(A3464="","",IF(A3464+1&gt;Ввод!$B$4,"",A3464+1))</f>
        <v/>
      </c>
      <c r="B3465" s="23" t="str">
        <f>IF(A3465="","",IFERROR(INDEX(Ввод!$B$12:$B$71,MATCH(A3465,Ввод!$D$12:$D$71,1)),""))</f>
        <v/>
      </c>
      <c r="C3465" t="str">
        <f t="shared" si="108"/>
        <v/>
      </c>
      <c r="D3465" t="str">
        <f>IF(A3465="","",SUMIFS(Акты!$D$5:$D$16,Акты!$E$5:$E$16,"&lt;="&amp;A3465)-SUMIFS(Оплаты!$B$6:$B$505,Оплаты!$A$6:$A$505,"&lt;"&amp;A3465,Оплаты!$D$6:$D$505,"&lt;&gt;"))</f>
        <v/>
      </c>
      <c r="E3465" t="str">
        <f>IF(A3465="","",IF(SUMPRODUCT((Ввод!$F$12:$F$31&lt;&gt;"")*(Ввод!$F$12:$F$31&lt;=A3465)*(Ввод!$G$12:$G$31&gt;=A3465))&gt;0,1,0))</f>
        <v/>
      </c>
      <c r="G3465" t="str">
        <f t="shared" si="109"/>
        <v/>
      </c>
    </row>
    <row r="3466" spans="1:7" x14ac:dyDescent="0.3">
      <c r="A3466" s="21" t="str">
        <f>IF(A3465="","",IF(A3465+1&gt;Ввод!$B$4,"",A3465+1))</f>
        <v/>
      </c>
      <c r="B3466" s="23" t="str">
        <f>IF(A3466="","",IFERROR(INDEX(Ввод!$B$12:$B$71,MATCH(A3466,Ввод!$D$12:$D$71,1)),""))</f>
        <v/>
      </c>
      <c r="C3466" t="str">
        <f t="shared" si="108"/>
        <v/>
      </c>
      <c r="D3466" t="str">
        <f>IF(A3466="","",SUMIFS(Акты!$D$5:$D$16,Акты!$E$5:$E$16,"&lt;="&amp;A3466)-SUMIFS(Оплаты!$B$6:$B$505,Оплаты!$A$6:$A$505,"&lt;"&amp;A3466,Оплаты!$D$6:$D$505,"&lt;&gt;"))</f>
        <v/>
      </c>
      <c r="E3466" t="str">
        <f>IF(A3466="","",IF(SUMPRODUCT((Ввод!$F$12:$F$31&lt;&gt;"")*(Ввод!$F$12:$F$31&lt;=A3466)*(Ввод!$G$12:$G$31&gt;=A3466))&gt;0,1,0))</f>
        <v/>
      </c>
      <c r="G3466" t="str">
        <f t="shared" si="109"/>
        <v/>
      </c>
    </row>
    <row r="3467" spans="1:7" x14ac:dyDescent="0.3">
      <c r="A3467" s="21" t="str">
        <f>IF(A3466="","",IF(A3466+1&gt;Ввод!$B$4,"",A3466+1))</f>
        <v/>
      </c>
      <c r="B3467" s="23" t="str">
        <f>IF(A3467="","",IFERROR(INDEX(Ввод!$B$12:$B$71,MATCH(A3467,Ввод!$D$12:$D$71,1)),""))</f>
        <v/>
      </c>
      <c r="C3467" t="str">
        <f t="shared" si="108"/>
        <v/>
      </c>
      <c r="D3467" t="str">
        <f>IF(A3467="","",SUMIFS(Акты!$D$5:$D$16,Акты!$E$5:$E$16,"&lt;="&amp;A3467)-SUMIFS(Оплаты!$B$6:$B$505,Оплаты!$A$6:$A$505,"&lt;"&amp;A3467,Оплаты!$D$6:$D$505,"&lt;&gt;"))</f>
        <v/>
      </c>
      <c r="E3467" t="str">
        <f>IF(A3467="","",IF(SUMPRODUCT((Ввод!$F$12:$F$31&lt;&gt;"")*(Ввод!$F$12:$F$31&lt;=A3467)*(Ввод!$G$12:$G$31&gt;=A3467))&gt;0,1,0))</f>
        <v/>
      </c>
      <c r="G3467" t="str">
        <f t="shared" si="109"/>
        <v/>
      </c>
    </row>
    <row r="3468" spans="1:7" x14ac:dyDescent="0.3">
      <c r="A3468" s="21" t="str">
        <f>IF(A3467="","",IF(A3467+1&gt;Ввод!$B$4,"",A3467+1))</f>
        <v/>
      </c>
      <c r="B3468" s="23" t="str">
        <f>IF(A3468="","",IFERROR(INDEX(Ввод!$B$12:$B$71,MATCH(A3468,Ввод!$D$12:$D$71,1)),""))</f>
        <v/>
      </c>
      <c r="C3468" t="str">
        <f t="shared" si="108"/>
        <v/>
      </c>
      <c r="D3468" t="str">
        <f>IF(A3468="","",SUMIFS(Акты!$D$5:$D$16,Акты!$E$5:$E$16,"&lt;="&amp;A3468)-SUMIFS(Оплаты!$B$6:$B$505,Оплаты!$A$6:$A$505,"&lt;"&amp;A3468,Оплаты!$D$6:$D$505,"&lt;&gt;"))</f>
        <v/>
      </c>
      <c r="E3468" t="str">
        <f>IF(A3468="","",IF(SUMPRODUCT((Ввод!$F$12:$F$31&lt;&gt;"")*(Ввод!$F$12:$F$31&lt;=A3468)*(Ввод!$G$12:$G$31&gt;=A3468))&gt;0,1,0))</f>
        <v/>
      </c>
      <c r="G3468" t="str">
        <f t="shared" si="109"/>
        <v/>
      </c>
    </row>
    <row r="3469" spans="1:7" x14ac:dyDescent="0.3">
      <c r="A3469" s="21" t="str">
        <f>IF(A3468="","",IF(A3468+1&gt;Ввод!$B$4,"",A3468+1))</f>
        <v/>
      </c>
      <c r="B3469" s="23" t="str">
        <f>IF(A3469="","",IFERROR(INDEX(Ввод!$B$12:$B$71,MATCH(A3469,Ввод!$D$12:$D$71,1)),""))</f>
        <v/>
      </c>
      <c r="C3469" t="str">
        <f t="shared" si="108"/>
        <v/>
      </c>
      <c r="D3469" t="str">
        <f>IF(A3469="","",SUMIFS(Акты!$D$5:$D$16,Акты!$E$5:$E$16,"&lt;="&amp;A3469)-SUMIFS(Оплаты!$B$6:$B$505,Оплаты!$A$6:$A$505,"&lt;"&amp;A3469,Оплаты!$D$6:$D$505,"&lt;&gt;"))</f>
        <v/>
      </c>
      <c r="E3469" t="str">
        <f>IF(A3469="","",IF(SUMPRODUCT((Ввод!$F$12:$F$31&lt;&gt;"")*(Ввод!$F$12:$F$31&lt;=A3469)*(Ввод!$G$12:$G$31&gt;=A3469))&gt;0,1,0))</f>
        <v/>
      </c>
      <c r="G3469" t="str">
        <f t="shared" si="109"/>
        <v/>
      </c>
    </row>
    <row r="3470" spans="1:7" x14ac:dyDescent="0.3">
      <c r="A3470" s="21" t="str">
        <f>IF(A3469="","",IF(A3469+1&gt;Ввод!$B$4,"",A3469+1))</f>
        <v/>
      </c>
      <c r="B3470" s="23" t="str">
        <f>IF(A3470="","",IFERROR(INDEX(Ввод!$B$12:$B$71,MATCH(A3470,Ввод!$D$12:$D$71,1)),""))</f>
        <v/>
      </c>
      <c r="C3470" t="str">
        <f t="shared" si="108"/>
        <v/>
      </c>
      <c r="D3470" t="str">
        <f>IF(A3470="","",SUMIFS(Акты!$D$5:$D$16,Акты!$E$5:$E$16,"&lt;="&amp;A3470)-SUMIFS(Оплаты!$B$6:$B$505,Оплаты!$A$6:$A$505,"&lt;"&amp;A3470,Оплаты!$D$6:$D$505,"&lt;&gt;"))</f>
        <v/>
      </c>
      <c r="E3470" t="str">
        <f>IF(A3470="","",IF(SUMPRODUCT((Ввод!$F$12:$F$31&lt;&gt;"")*(Ввод!$F$12:$F$31&lt;=A3470)*(Ввод!$G$12:$G$31&gt;=A3470))&gt;0,1,0))</f>
        <v/>
      </c>
      <c r="G3470" t="str">
        <f t="shared" si="109"/>
        <v/>
      </c>
    </row>
    <row r="3471" spans="1:7" x14ac:dyDescent="0.3">
      <c r="A3471" s="21" t="str">
        <f>IF(A3470="","",IF(A3470+1&gt;Ввод!$B$4,"",A3470+1))</f>
        <v/>
      </c>
      <c r="B3471" s="23" t="str">
        <f>IF(A3471="","",IFERROR(INDEX(Ввод!$B$12:$B$71,MATCH(A3471,Ввод!$D$12:$D$71,1)),""))</f>
        <v/>
      </c>
      <c r="C3471" t="str">
        <f t="shared" si="108"/>
        <v/>
      </c>
      <c r="D3471" t="str">
        <f>IF(A3471="","",SUMIFS(Акты!$D$5:$D$16,Акты!$E$5:$E$16,"&lt;="&amp;A3471)-SUMIFS(Оплаты!$B$6:$B$505,Оплаты!$A$6:$A$505,"&lt;"&amp;A3471,Оплаты!$D$6:$D$505,"&lt;&gt;"))</f>
        <v/>
      </c>
      <c r="E3471" t="str">
        <f>IF(A3471="","",IF(SUMPRODUCT((Ввод!$F$12:$F$31&lt;&gt;"")*(Ввод!$F$12:$F$31&lt;=A3471)*(Ввод!$G$12:$G$31&gt;=A3471))&gt;0,1,0))</f>
        <v/>
      </c>
      <c r="G3471" t="str">
        <f t="shared" si="109"/>
        <v/>
      </c>
    </row>
    <row r="3472" spans="1:7" x14ac:dyDescent="0.3">
      <c r="A3472" s="21" t="str">
        <f>IF(A3471="","",IF(A3471+1&gt;Ввод!$B$4,"",A3471+1))</f>
        <v/>
      </c>
      <c r="B3472" s="23" t="str">
        <f>IF(A3472="","",IFERROR(INDEX(Ввод!$B$12:$B$71,MATCH(A3472,Ввод!$D$12:$D$71,1)),""))</f>
        <v/>
      </c>
      <c r="C3472" t="str">
        <f t="shared" si="108"/>
        <v/>
      </c>
      <c r="D3472" t="str">
        <f>IF(A3472="","",SUMIFS(Акты!$D$5:$D$16,Акты!$E$5:$E$16,"&lt;="&amp;A3472)-SUMIFS(Оплаты!$B$6:$B$505,Оплаты!$A$6:$A$505,"&lt;"&amp;A3472,Оплаты!$D$6:$D$505,"&lt;&gt;"))</f>
        <v/>
      </c>
      <c r="E3472" t="str">
        <f>IF(A3472="","",IF(SUMPRODUCT((Ввод!$F$12:$F$31&lt;&gt;"")*(Ввод!$F$12:$F$31&lt;=A3472)*(Ввод!$G$12:$G$31&gt;=A3472))&gt;0,1,0))</f>
        <v/>
      </c>
      <c r="G3472" t="str">
        <f t="shared" si="109"/>
        <v/>
      </c>
    </row>
    <row r="3473" spans="1:7" x14ac:dyDescent="0.3">
      <c r="A3473" s="21" t="str">
        <f>IF(A3472="","",IF(A3472+1&gt;Ввод!$B$4,"",A3472+1))</f>
        <v/>
      </c>
      <c r="B3473" s="23" t="str">
        <f>IF(A3473="","",IFERROR(INDEX(Ввод!$B$12:$B$71,MATCH(A3473,Ввод!$D$12:$D$71,1)),""))</f>
        <v/>
      </c>
      <c r="C3473" t="str">
        <f t="shared" si="108"/>
        <v/>
      </c>
      <c r="D3473" t="str">
        <f>IF(A3473="","",SUMIFS(Акты!$D$5:$D$16,Акты!$E$5:$E$16,"&lt;="&amp;A3473)-SUMIFS(Оплаты!$B$6:$B$505,Оплаты!$A$6:$A$505,"&lt;"&amp;A3473,Оплаты!$D$6:$D$505,"&lt;&gt;"))</f>
        <v/>
      </c>
      <c r="E3473" t="str">
        <f>IF(A3473="","",IF(SUMPRODUCT((Ввод!$F$12:$F$31&lt;&gt;"")*(Ввод!$F$12:$F$31&lt;=A3473)*(Ввод!$G$12:$G$31&gt;=A3473))&gt;0,1,0))</f>
        <v/>
      </c>
      <c r="G3473" t="str">
        <f t="shared" si="109"/>
        <v/>
      </c>
    </row>
    <row r="3474" spans="1:7" x14ac:dyDescent="0.3">
      <c r="A3474" s="21" t="str">
        <f>IF(A3473="","",IF(A3473+1&gt;Ввод!$B$4,"",A3473+1))</f>
        <v/>
      </c>
      <c r="B3474" s="23" t="str">
        <f>IF(A3474="","",IFERROR(INDEX(Ввод!$B$12:$B$71,MATCH(A3474,Ввод!$D$12:$D$71,1)),""))</f>
        <v/>
      </c>
      <c r="C3474" t="str">
        <f t="shared" si="108"/>
        <v/>
      </c>
      <c r="D3474" t="str">
        <f>IF(A3474="","",SUMIFS(Акты!$D$5:$D$16,Акты!$E$5:$E$16,"&lt;="&amp;A3474)-SUMIFS(Оплаты!$B$6:$B$505,Оплаты!$A$6:$A$505,"&lt;"&amp;A3474,Оплаты!$D$6:$D$505,"&lt;&gt;"))</f>
        <v/>
      </c>
      <c r="E3474" t="str">
        <f>IF(A3474="","",IF(SUMPRODUCT((Ввод!$F$12:$F$31&lt;&gt;"")*(Ввод!$F$12:$F$31&lt;=A3474)*(Ввод!$G$12:$G$31&gt;=A3474))&gt;0,1,0))</f>
        <v/>
      </c>
      <c r="G3474" t="str">
        <f t="shared" si="109"/>
        <v/>
      </c>
    </row>
    <row r="3475" spans="1:7" x14ac:dyDescent="0.3">
      <c r="A3475" s="21" t="str">
        <f>IF(A3474="","",IF(A3474+1&gt;Ввод!$B$4,"",A3474+1))</f>
        <v/>
      </c>
      <c r="B3475" s="23" t="str">
        <f>IF(A3475="","",IFERROR(INDEX(Ввод!$B$12:$B$71,MATCH(A3475,Ввод!$D$12:$D$71,1)),""))</f>
        <v/>
      </c>
      <c r="C3475" t="str">
        <f t="shared" si="108"/>
        <v/>
      </c>
      <c r="D3475" t="str">
        <f>IF(A3475="","",SUMIFS(Акты!$D$5:$D$16,Акты!$E$5:$E$16,"&lt;="&amp;A3475)-SUMIFS(Оплаты!$B$6:$B$505,Оплаты!$A$6:$A$505,"&lt;"&amp;A3475,Оплаты!$D$6:$D$505,"&lt;&gt;"))</f>
        <v/>
      </c>
      <c r="E3475" t="str">
        <f>IF(A3475="","",IF(SUMPRODUCT((Ввод!$F$12:$F$31&lt;&gt;"")*(Ввод!$F$12:$F$31&lt;=A3475)*(Ввод!$G$12:$G$31&gt;=A3475))&gt;0,1,0))</f>
        <v/>
      </c>
      <c r="G3475" t="str">
        <f t="shared" si="109"/>
        <v/>
      </c>
    </row>
    <row r="3476" spans="1:7" x14ac:dyDescent="0.3">
      <c r="A3476" s="21" t="str">
        <f>IF(A3475="","",IF(A3475+1&gt;Ввод!$B$4,"",A3475+1))</f>
        <v/>
      </c>
      <c r="B3476" s="23" t="str">
        <f>IF(A3476="","",IFERROR(INDEX(Ввод!$B$12:$B$71,MATCH(A3476,Ввод!$D$12:$D$71,1)),""))</f>
        <v/>
      </c>
      <c r="C3476" t="str">
        <f t="shared" si="108"/>
        <v/>
      </c>
      <c r="D3476" t="str">
        <f>IF(A3476="","",SUMIFS(Акты!$D$5:$D$16,Акты!$E$5:$E$16,"&lt;="&amp;A3476)-SUMIFS(Оплаты!$B$6:$B$505,Оплаты!$A$6:$A$505,"&lt;"&amp;A3476,Оплаты!$D$6:$D$505,"&lt;&gt;"))</f>
        <v/>
      </c>
      <c r="E3476" t="str">
        <f>IF(A3476="","",IF(SUMPRODUCT((Ввод!$F$12:$F$31&lt;&gt;"")*(Ввод!$F$12:$F$31&lt;=A3476)*(Ввод!$G$12:$G$31&gt;=A3476))&gt;0,1,0))</f>
        <v/>
      </c>
      <c r="G3476" t="str">
        <f t="shared" si="109"/>
        <v/>
      </c>
    </row>
    <row r="3477" spans="1:7" x14ac:dyDescent="0.3">
      <c r="A3477" s="21" t="str">
        <f>IF(A3476="","",IF(A3476+1&gt;Ввод!$B$4,"",A3476+1))</f>
        <v/>
      </c>
      <c r="B3477" s="23" t="str">
        <f>IF(A3477="","",IFERROR(INDEX(Ввод!$B$12:$B$71,MATCH(A3477,Ввод!$D$12:$D$71,1)),""))</f>
        <v/>
      </c>
      <c r="C3477" t="str">
        <f t="shared" si="108"/>
        <v/>
      </c>
      <c r="D3477" t="str">
        <f>IF(A3477="","",SUMIFS(Акты!$D$5:$D$16,Акты!$E$5:$E$16,"&lt;="&amp;A3477)-SUMIFS(Оплаты!$B$6:$B$505,Оплаты!$A$6:$A$505,"&lt;"&amp;A3477,Оплаты!$D$6:$D$505,"&lt;&gt;"))</f>
        <v/>
      </c>
      <c r="E3477" t="str">
        <f>IF(A3477="","",IF(SUMPRODUCT((Ввод!$F$12:$F$31&lt;&gt;"")*(Ввод!$F$12:$F$31&lt;=A3477)*(Ввод!$G$12:$G$31&gt;=A3477))&gt;0,1,0))</f>
        <v/>
      </c>
      <c r="G3477" t="str">
        <f t="shared" si="109"/>
        <v/>
      </c>
    </row>
    <row r="3478" spans="1:7" x14ac:dyDescent="0.3">
      <c r="A3478" s="21" t="str">
        <f>IF(A3477="","",IF(A3477+1&gt;Ввод!$B$4,"",A3477+1))</f>
        <v/>
      </c>
      <c r="B3478" s="23" t="str">
        <f>IF(A3478="","",IFERROR(INDEX(Ввод!$B$12:$B$71,MATCH(A3478,Ввод!$D$12:$D$71,1)),""))</f>
        <v/>
      </c>
      <c r="C3478" t="str">
        <f t="shared" si="108"/>
        <v/>
      </c>
      <c r="D3478" t="str">
        <f>IF(A3478="","",SUMIFS(Акты!$D$5:$D$16,Акты!$E$5:$E$16,"&lt;="&amp;A3478)-SUMIFS(Оплаты!$B$6:$B$505,Оплаты!$A$6:$A$505,"&lt;"&amp;A3478,Оплаты!$D$6:$D$505,"&lt;&gt;"))</f>
        <v/>
      </c>
      <c r="E3478" t="str">
        <f>IF(A3478="","",IF(SUMPRODUCT((Ввод!$F$12:$F$31&lt;&gt;"")*(Ввод!$F$12:$F$31&lt;=A3478)*(Ввод!$G$12:$G$31&gt;=A3478))&gt;0,1,0))</f>
        <v/>
      </c>
      <c r="G3478" t="str">
        <f t="shared" si="109"/>
        <v/>
      </c>
    </row>
    <row r="3479" spans="1:7" x14ac:dyDescent="0.3">
      <c r="A3479" s="21" t="str">
        <f>IF(A3478="","",IF(A3478+1&gt;Ввод!$B$4,"",A3478+1))</f>
        <v/>
      </c>
      <c r="B3479" s="23" t="str">
        <f>IF(A3479="","",IFERROR(INDEX(Ввод!$B$12:$B$71,MATCH(A3479,Ввод!$D$12:$D$71,1)),""))</f>
        <v/>
      </c>
      <c r="C3479" t="str">
        <f t="shared" si="108"/>
        <v/>
      </c>
      <c r="D3479" t="str">
        <f>IF(A3479="","",SUMIFS(Акты!$D$5:$D$16,Акты!$E$5:$E$16,"&lt;="&amp;A3479)-SUMIFS(Оплаты!$B$6:$B$505,Оплаты!$A$6:$A$505,"&lt;"&amp;A3479,Оплаты!$D$6:$D$505,"&lt;&gt;"))</f>
        <v/>
      </c>
      <c r="E3479" t="str">
        <f>IF(A3479="","",IF(SUMPRODUCT((Ввод!$F$12:$F$31&lt;&gt;"")*(Ввод!$F$12:$F$31&lt;=A3479)*(Ввод!$G$12:$G$31&gt;=A3479))&gt;0,1,0))</f>
        <v/>
      </c>
      <c r="G3479" t="str">
        <f t="shared" si="109"/>
        <v/>
      </c>
    </row>
    <row r="3480" spans="1:7" x14ac:dyDescent="0.3">
      <c r="A3480" s="21" t="str">
        <f>IF(A3479="","",IF(A3479+1&gt;Ввод!$B$4,"",A3479+1))</f>
        <v/>
      </c>
      <c r="B3480" s="23" t="str">
        <f>IF(A3480="","",IFERROR(INDEX(Ввод!$B$12:$B$71,MATCH(A3480,Ввод!$D$12:$D$71,1)),""))</f>
        <v/>
      </c>
      <c r="C3480" t="str">
        <f t="shared" si="108"/>
        <v/>
      </c>
      <c r="D3480" t="str">
        <f>IF(A3480="","",SUMIFS(Акты!$D$5:$D$16,Акты!$E$5:$E$16,"&lt;="&amp;A3480)-SUMIFS(Оплаты!$B$6:$B$505,Оплаты!$A$6:$A$505,"&lt;"&amp;A3480,Оплаты!$D$6:$D$505,"&lt;&gt;"))</f>
        <v/>
      </c>
      <c r="E3480" t="str">
        <f>IF(A3480="","",IF(SUMPRODUCT((Ввод!$F$12:$F$31&lt;&gt;"")*(Ввод!$F$12:$F$31&lt;=A3480)*(Ввод!$G$12:$G$31&gt;=A3480))&gt;0,1,0))</f>
        <v/>
      </c>
      <c r="G3480" t="str">
        <f t="shared" si="109"/>
        <v/>
      </c>
    </row>
    <row r="3481" spans="1:7" x14ac:dyDescent="0.3">
      <c r="A3481" s="21" t="str">
        <f>IF(A3480="","",IF(A3480+1&gt;Ввод!$B$4,"",A3480+1))</f>
        <v/>
      </c>
      <c r="B3481" s="23" t="str">
        <f>IF(A3481="","",IFERROR(INDEX(Ввод!$B$12:$B$71,MATCH(A3481,Ввод!$D$12:$D$71,1)),""))</f>
        <v/>
      </c>
      <c r="C3481" t="str">
        <f t="shared" si="108"/>
        <v/>
      </c>
      <c r="D3481" t="str">
        <f>IF(A3481="","",SUMIFS(Акты!$D$5:$D$16,Акты!$E$5:$E$16,"&lt;="&amp;A3481)-SUMIFS(Оплаты!$B$6:$B$505,Оплаты!$A$6:$A$505,"&lt;"&amp;A3481,Оплаты!$D$6:$D$505,"&lt;&gt;"))</f>
        <v/>
      </c>
      <c r="E3481" t="str">
        <f>IF(A3481="","",IF(SUMPRODUCT((Ввод!$F$12:$F$31&lt;&gt;"")*(Ввод!$F$12:$F$31&lt;=A3481)*(Ввод!$G$12:$G$31&gt;=A3481))&gt;0,1,0))</f>
        <v/>
      </c>
      <c r="G3481" t="str">
        <f t="shared" si="109"/>
        <v/>
      </c>
    </row>
    <row r="3482" spans="1:7" x14ac:dyDescent="0.3">
      <c r="A3482" s="21" t="str">
        <f>IF(A3481="","",IF(A3481+1&gt;Ввод!$B$4,"",A3481+1))</f>
        <v/>
      </c>
      <c r="B3482" s="23" t="str">
        <f>IF(A3482="","",IFERROR(INDEX(Ввод!$B$12:$B$71,MATCH(A3482,Ввод!$D$12:$D$71,1)),""))</f>
        <v/>
      </c>
      <c r="C3482" t="str">
        <f t="shared" si="108"/>
        <v/>
      </c>
      <c r="D3482" t="str">
        <f>IF(A3482="","",SUMIFS(Акты!$D$5:$D$16,Акты!$E$5:$E$16,"&lt;="&amp;A3482)-SUMIFS(Оплаты!$B$6:$B$505,Оплаты!$A$6:$A$505,"&lt;"&amp;A3482,Оплаты!$D$6:$D$505,"&lt;&gt;"))</f>
        <v/>
      </c>
      <c r="E3482" t="str">
        <f>IF(A3482="","",IF(SUMPRODUCT((Ввод!$F$12:$F$31&lt;&gt;"")*(Ввод!$F$12:$F$31&lt;=A3482)*(Ввод!$G$12:$G$31&gt;=A3482))&gt;0,1,0))</f>
        <v/>
      </c>
      <c r="G3482" t="str">
        <f t="shared" si="109"/>
        <v/>
      </c>
    </row>
    <row r="3483" spans="1:7" x14ac:dyDescent="0.3">
      <c r="A3483" s="21" t="str">
        <f>IF(A3482="","",IF(A3482+1&gt;Ввод!$B$4,"",A3482+1))</f>
        <v/>
      </c>
      <c r="B3483" s="23" t="str">
        <f>IF(A3483="","",IFERROR(INDEX(Ввод!$B$12:$B$71,MATCH(A3483,Ввод!$D$12:$D$71,1)),""))</f>
        <v/>
      </c>
      <c r="C3483" t="str">
        <f t="shared" si="108"/>
        <v/>
      </c>
      <c r="D3483" t="str">
        <f>IF(A3483="","",SUMIFS(Акты!$D$5:$D$16,Акты!$E$5:$E$16,"&lt;="&amp;A3483)-SUMIFS(Оплаты!$B$6:$B$505,Оплаты!$A$6:$A$505,"&lt;"&amp;A3483,Оплаты!$D$6:$D$505,"&lt;&gt;"))</f>
        <v/>
      </c>
      <c r="E3483" t="str">
        <f>IF(A3483="","",IF(SUMPRODUCT((Ввод!$F$12:$F$31&lt;&gt;"")*(Ввод!$F$12:$F$31&lt;=A3483)*(Ввод!$G$12:$G$31&gt;=A3483))&gt;0,1,0))</f>
        <v/>
      </c>
      <c r="G3483" t="str">
        <f t="shared" si="109"/>
        <v/>
      </c>
    </row>
    <row r="3484" spans="1:7" x14ac:dyDescent="0.3">
      <c r="A3484" s="21" t="str">
        <f>IF(A3483="","",IF(A3483+1&gt;Ввод!$B$4,"",A3483+1))</f>
        <v/>
      </c>
      <c r="B3484" s="23" t="str">
        <f>IF(A3484="","",IFERROR(INDEX(Ввод!$B$12:$B$71,MATCH(A3484,Ввод!$D$12:$D$71,1)),""))</f>
        <v/>
      </c>
      <c r="C3484" t="str">
        <f t="shared" si="108"/>
        <v/>
      </c>
      <c r="D3484" t="str">
        <f>IF(A3484="","",SUMIFS(Акты!$D$5:$D$16,Акты!$E$5:$E$16,"&lt;="&amp;A3484)-SUMIFS(Оплаты!$B$6:$B$505,Оплаты!$A$6:$A$505,"&lt;"&amp;A3484,Оплаты!$D$6:$D$505,"&lt;&gt;"))</f>
        <v/>
      </c>
      <c r="E3484" t="str">
        <f>IF(A3484="","",IF(SUMPRODUCT((Ввод!$F$12:$F$31&lt;&gt;"")*(Ввод!$F$12:$F$31&lt;=A3484)*(Ввод!$G$12:$G$31&gt;=A3484))&gt;0,1,0))</f>
        <v/>
      </c>
      <c r="G3484" t="str">
        <f t="shared" si="109"/>
        <v/>
      </c>
    </row>
    <row r="3485" spans="1:7" x14ac:dyDescent="0.3">
      <c r="A3485" s="21" t="str">
        <f>IF(A3484="","",IF(A3484+1&gt;Ввод!$B$4,"",A3484+1))</f>
        <v/>
      </c>
      <c r="B3485" s="23" t="str">
        <f>IF(A3485="","",IFERROR(INDEX(Ввод!$B$12:$B$71,MATCH(A3485,Ввод!$D$12:$D$71,1)),""))</f>
        <v/>
      </c>
      <c r="C3485" t="str">
        <f t="shared" si="108"/>
        <v/>
      </c>
      <c r="D3485" t="str">
        <f>IF(A3485="","",SUMIFS(Акты!$D$5:$D$16,Акты!$E$5:$E$16,"&lt;="&amp;A3485)-SUMIFS(Оплаты!$B$6:$B$505,Оплаты!$A$6:$A$505,"&lt;"&amp;A3485,Оплаты!$D$6:$D$505,"&lt;&gt;"))</f>
        <v/>
      </c>
      <c r="E3485" t="str">
        <f>IF(A3485="","",IF(SUMPRODUCT((Ввод!$F$12:$F$31&lt;&gt;"")*(Ввод!$F$12:$F$31&lt;=A3485)*(Ввод!$G$12:$G$31&gt;=A3485))&gt;0,1,0))</f>
        <v/>
      </c>
      <c r="G3485" t="str">
        <f t="shared" si="109"/>
        <v/>
      </c>
    </row>
    <row r="3486" spans="1:7" x14ac:dyDescent="0.3">
      <c r="A3486" s="21" t="str">
        <f>IF(A3485="","",IF(A3485+1&gt;Ввод!$B$4,"",A3485+1))</f>
        <v/>
      </c>
      <c r="B3486" s="23" t="str">
        <f>IF(A3486="","",IFERROR(INDEX(Ввод!$B$12:$B$71,MATCH(A3486,Ввод!$D$12:$D$71,1)),""))</f>
        <v/>
      </c>
      <c r="C3486" t="str">
        <f t="shared" si="108"/>
        <v/>
      </c>
      <c r="D3486" t="str">
        <f>IF(A3486="","",SUMIFS(Акты!$D$5:$D$16,Акты!$E$5:$E$16,"&lt;="&amp;A3486)-SUMIFS(Оплаты!$B$6:$B$505,Оплаты!$A$6:$A$505,"&lt;"&amp;A3486,Оплаты!$D$6:$D$505,"&lt;&gt;"))</f>
        <v/>
      </c>
      <c r="E3486" t="str">
        <f>IF(A3486="","",IF(SUMPRODUCT((Ввод!$F$12:$F$31&lt;&gt;"")*(Ввод!$F$12:$F$31&lt;=A3486)*(Ввод!$G$12:$G$31&gt;=A3486))&gt;0,1,0))</f>
        <v/>
      </c>
      <c r="G3486" t="str">
        <f t="shared" si="109"/>
        <v/>
      </c>
    </row>
    <row r="3487" spans="1:7" x14ac:dyDescent="0.3">
      <c r="A3487" s="21" t="str">
        <f>IF(A3486="","",IF(A3486+1&gt;Ввод!$B$4,"",A3486+1))</f>
        <v/>
      </c>
      <c r="B3487" s="23" t="str">
        <f>IF(A3487="","",IFERROR(INDEX(Ввод!$B$12:$B$71,MATCH(A3487,Ввод!$D$12:$D$71,1)),""))</f>
        <v/>
      </c>
      <c r="C3487" t="str">
        <f t="shared" si="108"/>
        <v/>
      </c>
      <c r="D3487" t="str">
        <f>IF(A3487="","",SUMIFS(Акты!$D$5:$D$16,Акты!$E$5:$E$16,"&lt;="&amp;A3487)-SUMIFS(Оплаты!$B$6:$B$505,Оплаты!$A$6:$A$505,"&lt;"&amp;A3487,Оплаты!$D$6:$D$505,"&lt;&gt;"))</f>
        <v/>
      </c>
      <c r="E3487" t="str">
        <f>IF(A3487="","",IF(SUMPRODUCT((Ввод!$F$12:$F$31&lt;&gt;"")*(Ввод!$F$12:$F$31&lt;=A3487)*(Ввод!$G$12:$G$31&gt;=A3487))&gt;0,1,0))</f>
        <v/>
      </c>
      <c r="G3487" t="str">
        <f t="shared" si="109"/>
        <v/>
      </c>
    </row>
    <row r="3488" spans="1:7" x14ac:dyDescent="0.3">
      <c r="A3488" s="21" t="str">
        <f>IF(A3487="","",IF(A3487+1&gt;Ввод!$B$4,"",A3487+1))</f>
        <v/>
      </c>
      <c r="B3488" s="23" t="str">
        <f>IF(A3488="","",IFERROR(INDEX(Ввод!$B$12:$B$71,MATCH(A3488,Ввод!$D$12:$D$71,1)),""))</f>
        <v/>
      </c>
      <c r="C3488" t="str">
        <f t="shared" si="108"/>
        <v/>
      </c>
      <c r="D3488" t="str">
        <f>IF(A3488="","",SUMIFS(Акты!$D$5:$D$16,Акты!$E$5:$E$16,"&lt;="&amp;A3488)-SUMIFS(Оплаты!$B$6:$B$505,Оплаты!$A$6:$A$505,"&lt;"&amp;A3488,Оплаты!$D$6:$D$505,"&lt;&gt;"))</f>
        <v/>
      </c>
      <c r="E3488" t="str">
        <f>IF(A3488="","",IF(SUMPRODUCT((Ввод!$F$12:$F$31&lt;&gt;"")*(Ввод!$F$12:$F$31&lt;=A3488)*(Ввод!$G$12:$G$31&gt;=A3488))&gt;0,1,0))</f>
        <v/>
      </c>
      <c r="G3488" t="str">
        <f t="shared" si="109"/>
        <v/>
      </c>
    </row>
    <row r="3489" spans="1:7" x14ac:dyDescent="0.3">
      <c r="A3489" s="21" t="str">
        <f>IF(A3488="","",IF(A3488+1&gt;Ввод!$B$4,"",A3488+1))</f>
        <v/>
      </c>
      <c r="B3489" s="23" t="str">
        <f>IF(A3489="","",IFERROR(INDEX(Ввод!$B$12:$B$71,MATCH(A3489,Ввод!$D$12:$D$71,1)),""))</f>
        <v/>
      </c>
      <c r="C3489" t="str">
        <f t="shared" si="108"/>
        <v/>
      </c>
      <c r="D3489" t="str">
        <f>IF(A3489="","",SUMIFS(Акты!$D$5:$D$16,Акты!$E$5:$E$16,"&lt;="&amp;A3489)-SUMIFS(Оплаты!$B$6:$B$505,Оплаты!$A$6:$A$505,"&lt;"&amp;A3489,Оплаты!$D$6:$D$505,"&lt;&gt;"))</f>
        <v/>
      </c>
      <c r="E3489" t="str">
        <f>IF(A3489="","",IF(SUMPRODUCT((Ввод!$F$12:$F$31&lt;&gt;"")*(Ввод!$F$12:$F$31&lt;=A3489)*(Ввод!$G$12:$G$31&gt;=A3489))&gt;0,1,0))</f>
        <v/>
      </c>
      <c r="G3489" t="str">
        <f t="shared" si="109"/>
        <v/>
      </c>
    </row>
    <row r="3490" spans="1:7" x14ac:dyDescent="0.3">
      <c r="A3490" s="21" t="str">
        <f>IF(A3489="","",IF(A3489+1&gt;Ввод!$B$4,"",A3489+1))</f>
        <v/>
      </c>
      <c r="B3490" s="23" t="str">
        <f>IF(A3490="","",IFERROR(INDEX(Ввод!$B$12:$B$71,MATCH(A3490,Ввод!$D$12:$D$71,1)),""))</f>
        <v/>
      </c>
      <c r="C3490" t="str">
        <f t="shared" si="108"/>
        <v/>
      </c>
      <c r="D3490" t="str">
        <f>IF(A3490="","",SUMIFS(Акты!$D$5:$D$16,Акты!$E$5:$E$16,"&lt;="&amp;A3490)-SUMIFS(Оплаты!$B$6:$B$505,Оплаты!$A$6:$A$505,"&lt;"&amp;A3490,Оплаты!$D$6:$D$505,"&lt;&gt;"))</f>
        <v/>
      </c>
      <c r="E3490" t="str">
        <f>IF(A3490="","",IF(SUMPRODUCT((Ввод!$F$12:$F$31&lt;&gt;"")*(Ввод!$F$12:$F$31&lt;=A3490)*(Ввод!$G$12:$G$31&gt;=A3490))&gt;0,1,0))</f>
        <v/>
      </c>
      <c r="G3490" t="str">
        <f t="shared" si="109"/>
        <v/>
      </c>
    </row>
    <row r="3491" spans="1:7" x14ac:dyDescent="0.3">
      <c r="A3491" s="21" t="str">
        <f>IF(A3490="","",IF(A3490+1&gt;Ввод!$B$4,"",A3490+1))</f>
        <v/>
      </c>
      <c r="B3491" s="23" t="str">
        <f>IF(A3491="","",IFERROR(INDEX(Ввод!$B$12:$B$71,MATCH(A3491,Ввод!$D$12:$D$71,1)),""))</f>
        <v/>
      </c>
      <c r="C3491" t="str">
        <f t="shared" si="108"/>
        <v/>
      </c>
      <c r="D3491" t="str">
        <f>IF(A3491="","",SUMIFS(Акты!$D$5:$D$16,Акты!$E$5:$E$16,"&lt;="&amp;A3491)-SUMIFS(Оплаты!$B$6:$B$505,Оплаты!$A$6:$A$505,"&lt;"&amp;A3491,Оплаты!$D$6:$D$505,"&lt;&gt;"))</f>
        <v/>
      </c>
      <c r="E3491" t="str">
        <f>IF(A3491="","",IF(SUMPRODUCT((Ввод!$F$12:$F$31&lt;&gt;"")*(Ввод!$F$12:$F$31&lt;=A3491)*(Ввод!$G$12:$G$31&gt;=A3491))&gt;0,1,0))</f>
        <v/>
      </c>
      <c r="G3491" t="str">
        <f t="shared" si="109"/>
        <v/>
      </c>
    </row>
    <row r="3492" spans="1:7" x14ac:dyDescent="0.3">
      <c r="A3492" s="21" t="str">
        <f>IF(A3491="","",IF(A3491+1&gt;Ввод!$B$4,"",A3491+1))</f>
        <v/>
      </c>
      <c r="B3492" s="23" t="str">
        <f>IF(A3492="","",IFERROR(INDEX(Ввод!$B$12:$B$71,MATCH(A3492,Ввод!$D$12:$D$71,1)),""))</f>
        <v/>
      </c>
      <c r="C3492" t="str">
        <f t="shared" si="108"/>
        <v/>
      </c>
      <c r="D3492" t="str">
        <f>IF(A3492="","",SUMIFS(Акты!$D$5:$D$16,Акты!$E$5:$E$16,"&lt;="&amp;A3492)-SUMIFS(Оплаты!$B$6:$B$505,Оплаты!$A$6:$A$505,"&lt;"&amp;A3492,Оплаты!$D$6:$D$505,"&lt;&gt;"))</f>
        <v/>
      </c>
      <c r="E3492" t="str">
        <f>IF(A3492="","",IF(SUMPRODUCT((Ввод!$F$12:$F$31&lt;&gt;"")*(Ввод!$F$12:$F$31&lt;=A3492)*(Ввод!$G$12:$G$31&gt;=A3492))&gt;0,1,0))</f>
        <v/>
      </c>
      <c r="G3492" t="str">
        <f t="shared" si="109"/>
        <v/>
      </c>
    </row>
    <row r="3493" spans="1:7" x14ac:dyDescent="0.3">
      <c r="A3493" s="21" t="str">
        <f>IF(A3492="","",IF(A3492+1&gt;Ввод!$B$4,"",A3492+1))</f>
        <v/>
      </c>
      <c r="B3493" s="23" t="str">
        <f>IF(A3493="","",IFERROR(INDEX(Ввод!$B$12:$B$71,MATCH(A3493,Ввод!$D$12:$D$71,1)),""))</f>
        <v/>
      </c>
      <c r="C3493" t="str">
        <f t="shared" si="108"/>
        <v/>
      </c>
      <c r="D3493" t="str">
        <f>IF(A3493="","",SUMIFS(Акты!$D$5:$D$16,Акты!$E$5:$E$16,"&lt;="&amp;A3493)-SUMIFS(Оплаты!$B$6:$B$505,Оплаты!$A$6:$A$505,"&lt;"&amp;A3493,Оплаты!$D$6:$D$505,"&lt;&gt;"))</f>
        <v/>
      </c>
      <c r="E3493" t="str">
        <f>IF(A3493="","",IF(SUMPRODUCT((Ввод!$F$12:$F$31&lt;&gt;"")*(Ввод!$F$12:$F$31&lt;=A3493)*(Ввод!$G$12:$G$31&gt;=A3493))&gt;0,1,0))</f>
        <v/>
      </c>
      <c r="G3493" t="str">
        <f t="shared" si="109"/>
        <v/>
      </c>
    </row>
    <row r="3494" spans="1:7" x14ac:dyDescent="0.3">
      <c r="A3494" s="21" t="str">
        <f>IF(A3493="","",IF(A3493+1&gt;Ввод!$B$4,"",A3493+1))</f>
        <v/>
      </c>
      <c r="B3494" s="23" t="str">
        <f>IF(A3494="","",IFERROR(INDEX(Ввод!$B$12:$B$71,MATCH(A3494,Ввод!$D$12:$D$71,1)),""))</f>
        <v/>
      </c>
      <c r="C3494" t="str">
        <f t="shared" si="108"/>
        <v/>
      </c>
      <c r="D3494" t="str">
        <f>IF(A3494="","",SUMIFS(Акты!$D$5:$D$16,Акты!$E$5:$E$16,"&lt;="&amp;A3494)-SUMIFS(Оплаты!$B$6:$B$505,Оплаты!$A$6:$A$505,"&lt;"&amp;A3494,Оплаты!$D$6:$D$505,"&lt;&gt;"))</f>
        <v/>
      </c>
      <c r="E3494" t="str">
        <f>IF(A3494="","",IF(SUMPRODUCT((Ввод!$F$12:$F$31&lt;&gt;"")*(Ввод!$F$12:$F$31&lt;=A3494)*(Ввод!$G$12:$G$31&gt;=A3494))&gt;0,1,0))</f>
        <v/>
      </c>
      <c r="G3494" t="str">
        <f t="shared" si="109"/>
        <v/>
      </c>
    </row>
    <row r="3495" spans="1:7" x14ac:dyDescent="0.3">
      <c r="A3495" s="21" t="str">
        <f>IF(A3494="","",IF(A3494+1&gt;Ввод!$B$4,"",A3494+1))</f>
        <v/>
      </c>
      <c r="B3495" s="23" t="str">
        <f>IF(A3495="","",IFERROR(INDEX(Ввод!$B$12:$B$71,MATCH(A3495,Ввод!$D$12:$D$71,1)),""))</f>
        <v/>
      </c>
      <c r="C3495" t="str">
        <f t="shared" si="108"/>
        <v/>
      </c>
      <c r="D3495" t="str">
        <f>IF(A3495="","",SUMIFS(Акты!$D$5:$D$16,Акты!$E$5:$E$16,"&lt;="&amp;A3495)-SUMIFS(Оплаты!$B$6:$B$505,Оплаты!$A$6:$A$505,"&lt;"&amp;A3495,Оплаты!$D$6:$D$505,"&lt;&gt;"))</f>
        <v/>
      </c>
      <c r="E3495" t="str">
        <f>IF(A3495="","",IF(SUMPRODUCT((Ввод!$F$12:$F$31&lt;&gt;"")*(Ввод!$F$12:$F$31&lt;=A3495)*(Ввод!$G$12:$G$31&gt;=A3495))&gt;0,1,0))</f>
        <v/>
      </c>
      <c r="G3495" t="str">
        <f t="shared" si="109"/>
        <v/>
      </c>
    </row>
    <row r="3496" spans="1:7" x14ac:dyDescent="0.3">
      <c r="A3496" s="21" t="str">
        <f>IF(A3495="","",IF(A3495+1&gt;Ввод!$B$4,"",A3495+1))</f>
        <v/>
      </c>
      <c r="B3496" s="23" t="str">
        <f>IF(A3496="","",IFERROR(INDEX(Ввод!$B$12:$B$71,MATCH(A3496,Ввод!$D$12:$D$71,1)),""))</f>
        <v/>
      </c>
      <c r="C3496" t="str">
        <f t="shared" si="108"/>
        <v/>
      </c>
      <c r="D3496" t="str">
        <f>IF(A3496="","",SUMIFS(Акты!$D$5:$D$16,Акты!$E$5:$E$16,"&lt;="&amp;A3496)-SUMIFS(Оплаты!$B$6:$B$505,Оплаты!$A$6:$A$505,"&lt;"&amp;A3496,Оплаты!$D$6:$D$505,"&lt;&gt;"))</f>
        <v/>
      </c>
      <c r="E3496" t="str">
        <f>IF(A3496="","",IF(SUMPRODUCT((Ввод!$F$12:$F$31&lt;&gt;"")*(Ввод!$F$12:$F$31&lt;=A3496)*(Ввод!$G$12:$G$31&gt;=A3496))&gt;0,1,0))</f>
        <v/>
      </c>
      <c r="G3496" t="str">
        <f t="shared" si="109"/>
        <v/>
      </c>
    </row>
    <row r="3497" spans="1:7" x14ac:dyDescent="0.3">
      <c r="A3497" s="21" t="str">
        <f>IF(A3496="","",IF(A3496+1&gt;Ввод!$B$4,"",A3496+1))</f>
        <v/>
      </c>
      <c r="B3497" s="23" t="str">
        <f>IF(A3497="","",IFERROR(INDEX(Ввод!$B$12:$B$71,MATCH(A3497,Ввод!$D$12:$D$71,1)),""))</f>
        <v/>
      </c>
      <c r="C3497" t="str">
        <f t="shared" si="108"/>
        <v/>
      </c>
      <c r="D3497" t="str">
        <f>IF(A3497="","",SUMIFS(Акты!$D$5:$D$16,Акты!$E$5:$E$16,"&lt;="&amp;A3497)-SUMIFS(Оплаты!$B$6:$B$505,Оплаты!$A$6:$A$505,"&lt;"&amp;A3497,Оплаты!$D$6:$D$505,"&lt;&gt;"))</f>
        <v/>
      </c>
      <c r="E3497" t="str">
        <f>IF(A3497="","",IF(SUMPRODUCT((Ввод!$F$12:$F$31&lt;&gt;"")*(Ввод!$F$12:$F$31&lt;=A3497)*(Ввод!$G$12:$G$31&gt;=A3497))&gt;0,1,0))</f>
        <v/>
      </c>
      <c r="G3497" t="str">
        <f t="shared" si="109"/>
        <v/>
      </c>
    </row>
    <row r="3498" spans="1:7" x14ac:dyDescent="0.3">
      <c r="A3498" s="21" t="str">
        <f>IF(A3497="","",IF(A3497+1&gt;Ввод!$B$4,"",A3497+1))</f>
        <v/>
      </c>
      <c r="B3498" s="23" t="str">
        <f>IF(A3498="","",IFERROR(INDEX(Ввод!$B$12:$B$71,MATCH(A3498,Ввод!$D$12:$D$71,1)),""))</f>
        <v/>
      </c>
      <c r="C3498" t="str">
        <f t="shared" si="108"/>
        <v/>
      </c>
      <c r="D3498" t="str">
        <f>IF(A3498="","",SUMIFS(Акты!$D$5:$D$16,Акты!$E$5:$E$16,"&lt;="&amp;A3498)-SUMIFS(Оплаты!$B$6:$B$505,Оплаты!$A$6:$A$505,"&lt;"&amp;A3498,Оплаты!$D$6:$D$505,"&lt;&gt;"))</f>
        <v/>
      </c>
      <c r="E3498" t="str">
        <f>IF(A3498="","",IF(SUMPRODUCT((Ввод!$F$12:$F$31&lt;&gt;"")*(Ввод!$F$12:$F$31&lt;=A3498)*(Ввод!$G$12:$G$31&gt;=A3498))&gt;0,1,0))</f>
        <v/>
      </c>
      <c r="G3498" t="str">
        <f t="shared" si="109"/>
        <v/>
      </c>
    </row>
    <row r="3499" spans="1:7" x14ac:dyDescent="0.3">
      <c r="A3499" s="21" t="str">
        <f>IF(A3498="","",IF(A3498+1&gt;Ввод!$B$4,"",A3498+1))</f>
        <v/>
      </c>
      <c r="B3499" s="23" t="str">
        <f>IF(A3499="","",IFERROR(INDEX(Ввод!$B$12:$B$71,MATCH(A3499,Ввод!$D$12:$D$71,1)),""))</f>
        <v/>
      </c>
      <c r="C3499" t="str">
        <f t="shared" si="108"/>
        <v/>
      </c>
      <c r="D3499" t="str">
        <f>IF(A3499="","",SUMIFS(Акты!$D$5:$D$16,Акты!$E$5:$E$16,"&lt;="&amp;A3499)-SUMIFS(Оплаты!$B$6:$B$505,Оплаты!$A$6:$A$505,"&lt;"&amp;A3499,Оплаты!$D$6:$D$505,"&lt;&gt;"))</f>
        <v/>
      </c>
      <c r="E3499" t="str">
        <f>IF(A3499="","",IF(SUMPRODUCT((Ввод!$F$12:$F$31&lt;&gt;"")*(Ввод!$F$12:$F$31&lt;=A3499)*(Ввод!$G$12:$G$31&gt;=A3499))&gt;0,1,0))</f>
        <v/>
      </c>
      <c r="G3499" t="str">
        <f t="shared" si="109"/>
        <v/>
      </c>
    </row>
    <row r="3500" spans="1:7" x14ac:dyDescent="0.3">
      <c r="A3500" s="21" t="str">
        <f>IF(A3499="","",IF(A3499+1&gt;Ввод!$B$4,"",A3499+1))</f>
        <v/>
      </c>
      <c r="B3500" s="23" t="str">
        <f>IF(A3500="","",IFERROR(INDEX(Ввод!$B$12:$B$71,MATCH(A3500,Ввод!$D$12:$D$71,1)),""))</f>
        <v/>
      </c>
      <c r="C3500" t="str">
        <f t="shared" si="108"/>
        <v/>
      </c>
      <c r="D3500" t="str">
        <f>IF(A3500="","",SUMIFS(Акты!$D$5:$D$16,Акты!$E$5:$E$16,"&lt;="&amp;A3500)-SUMIFS(Оплаты!$B$6:$B$505,Оплаты!$A$6:$A$505,"&lt;"&amp;A3500,Оплаты!$D$6:$D$505,"&lt;&gt;"))</f>
        <v/>
      </c>
      <c r="E3500" t="str">
        <f>IF(A3500="","",IF(SUMPRODUCT((Ввод!$F$12:$F$31&lt;&gt;"")*(Ввод!$F$12:$F$31&lt;=A3500)*(Ввод!$G$12:$G$31&gt;=A3500))&gt;0,1,0))</f>
        <v/>
      </c>
      <c r="G3500" t="str">
        <f t="shared" si="109"/>
        <v/>
      </c>
    </row>
    <row r="3501" spans="1:7" x14ac:dyDescent="0.3">
      <c r="A3501" s="21" t="str">
        <f>IF(A3500="","",IF(A3500+1&gt;Ввод!$B$4,"",A3500+1))</f>
        <v/>
      </c>
      <c r="B3501" s="23" t="str">
        <f>IF(A3501="","",IFERROR(INDEX(Ввод!$B$12:$B$71,MATCH(A3501,Ввод!$D$12:$D$71,1)),""))</f>
        <v/>
      </c>
      <c r="C3501" t="str">
        <f t="shared" si="108"/>
        <v/>
      </c>
      <c r="D3501" t="str">
        <f>IF(A3501="","",SUMIFS(Акты!$D$5:$D$16,Акты!$E$5:$E$16,"&lt;="&amp;A3501)-SUMIFS(Оплаты!$B$6:$B$505,Оплаты!$A$6:$A$505,"&lt;"&amp;A3501,Оплаты!$D$6:$D$505,"&lt;&gt;"))</f>
        <v/>
      </c>
      <c r="E3501" t="str">
        <f>IF(A3501="","",IF(SUMPRODUCT((Ввод!$F$12:$F$31&lt;&gt;"")*(Ввод!$F$12:$F$31&lt;=A3501)*(Ввод!$G$12:$G$31&gt;=A3501))&gt;0,1,0))</f>
        <v/>
      </c>
      <c r="G3501" t="str">
        <f t="shared" si="109"/>
        <v/>
      </c>
    </row>
    <row r="3502" spans="1:7" x14ac:dyDescent="0.3">
      <c r="A3502" s="21" t="str">
        <f>IF(A3501="","",IF(A3501+1&gt;Ввод!$B$4,"",A3501+1))</f>
        <v/>
      </c>
      <c r="B3502" s="23" t="str">
        <f>IF(A3502="","",IFERROR(INDEX(Ввод!$B$12:$B$71,MATCH(A3502,Ввод!$D$12:$D$71,1)),""))</f>
        <v/>
      </c>
      <c r="C3502" t="str">
        <f t="shared" si="108"/>
        <v/>
      </c>
      <c r="D3502" t="str">
        <f>IF(A3502="","",SUMIFS(Акты!$D$5:$D$16,Акты!$E$5:$E$16,"&lt;="&amp;A3502)-SUMIFS(Оплаты!$B$6:$B$505,Оплаты!$A$6:$A$505,"&lt;"&amp;A3502,Оплаты!$D$6:$D$505,"&lt;&gt;"))</f>
        <v/>
      </c>
      <c r="E3502" t="str">
        <f>IF(A3502="","",IF(SUMPRODUCT((Ввод!$F$12:$F$31&lt;&gt;"")*(Ввод!$F$12:$F$31&lt;=A3502)*(Ввод!$G$12:$G$31&gt;=A3502))&gt;0,1,0))</f>
        <v/>
      </c>
      <c r="G3502" t="str">
        <f t="shared" si="109"/>
        <v/>
      </c>
    </row>
    <row r="3503" spans="1:7" x14ac:dyDescent="0.3">
      <c r="A3503" s="21" t="str">
        <f>IF(A3502="","",IF(A3502+1&gt;Ввод!$B$4,"",A3502+1))</f>
        <v/>
      </c>
      <c r="B3503" s="23" t="str">
        <f>IF(A3503="","",IFERROR(INDEX(Ввод!$B$12:$B$71,MATCH(A3503,Ввод!$D$12:$D$71,1)),""))</f>
        <v/>
      </c>
      <c r="C3503" t="str">
        <f t="shared" si="108"/>
        <v/>
      </c>
      <c r="D3503" t="str">
        <f>IF(A3503="","",SUMIFS(Акты!$D$5:$D$16,Акты!$E$5:$E$16,"&lt;="&amp;A3503)-SUMIFS(Оплаты!$B$6:$B$505,Оплаты!$A$6:$A$505,"&lt;"&amp;A3503,Оплаты!$D$6:$D$505,"&lt;&gt;"))</f>
        <v/>
      </c>
      <c r="E3503" t="str">
        <f>IF(A3503="","",IF(SUMPRODUCT((Ввод!$F$12:$F$31&lt;&gt;"")*(Ввод!$F$12:$F$31&lt;=A3503)*(Ввод!$G$12:$G$31&gt;=A3503))&gt;0,1,0))</f>
        <v/>
      </c>
      <c r="G3503" t="str">
        <f t="shared" si="109"/>
        <v/>
      </c>
    </row>
    <row r="3504" spans="1:7" x14ac:dyDescent="0.3">
      <c r="A3504" s="21" t="str">
        <f>IF(A3503="","",IF(A3503+1&gt;Ввод!$B$4,"",A3503+1))</f>
        <v/>
      </c>
      <c r="B3504" s="23" t="str">
        <f>IF(A3504="","",IFERROR(INDEX(Ввод!$B$12:$B$71,MATCH(A3504,Ввод!$D$12:$D$71,1)),""))</f>
        <v/>
      </c>
      <c r="C3504" t="str">
        <f t="shared" si="108"/>
        <v/>
      </c>
      <c r="D3504" t="str">
        <f>IF(A3504="","",SUMIFS(Акты!$D$5:$D$16,Акты!$E$5:$E$16,"&lt;="&amp;A3504)-SUMIFS(Оплаты!$B$6:$B$505,Оплаты!$A$6:$A$505,"&lt;"&amp;A3504,Оплаты!$D$6:$D$505,"&lt;&gt;"))</f>
        <v/>
      </c>
      <c r="E3504" t="str">
        <f>IF(A3504="","",IF(SUMPRODUCT((Ввод!$F$12:$F$31&lt;&gt;"")*(Ввод!$F$12:$F$31&lt;=A3504)*(Ввод!$G$12:$G$31&gt;=A3504))&gt;0,1,0))</f>
        <v/>
      </c>
      <c r="G3504" t="str">
        <f t="shared" si="109"/>
        <v/>
      </c>
    </row>
    <row r="3505" spans="1:7" x14ac:dyDescent="0.3">
      <c r="A3505" s="21" t="str">
        <f>IF(A3504="","",IF(A3504+1&gt;Ввод!$B$4,"",A3504+1))</f>
        <v/>
      </c>
      <c r="B3505" s="23" t="str">
        <f>IF(A3505="","",IFERROR(INDEX(Ввод!$B$12:$B$71,MATCH(A3505,Ввод!$D$12:$D$71,1)),""))</f>
        <v/>
      </c>
      <c r="C3505" t="str">
        <f t="shared" si="108"/>
        <v/>
      </c>
      <c r="D3505" t="str">
        <f>IF(A3505="","",SUMIFS(Акты!$D$5:$D$16,Акты!$E$5:$E$16,"&lt;="&amp;A3505)-SUMIFS(Оплаты!$B$6:$B$505,Оплаты!$A$6:$A$505,"&lt;"&amp;A3505,Оплаты!$D$6:$D$505,"&lt;&gt;"))</f>
        <v/>
      </c>
      <c r="E3505" t="str">
        <f>IF(A3505="","",IF(SUMPRODUCT((Ввод!$F$12:$F$31&lt;&gt;"")*(Ввод!$F$12:$F$31&lt;=A3505)*(Ввод!$G$12:$G$31&gt;=A3505))&gt;0,1,0))</f>
        <v/>
      </c>
      <c r="G3505" t="str">
        <f t="shared" si="109"/>
        <v/>
      </c>
    </row>
    <row r="3506" spans="1:7" x14ac:dyDescent="0.3">
      <c r="A3506" s="21" t="str">
        <f>IF(A3505="","",IF(A3505+1&gt;Ввод!$B$4,"",A3505+1))</f>
        <v/>
      </c>
      <c r="B3506" s="23" t="str">
        <f>IF(A3506="","",IFERROR(INDEX(Ввод!$B$12:$B$71,MATCH(A3506,Ввод!$D$12:$D$71,1)),""))</f>
        <v/>
      </c>
      <c r="C3506" t="str">
        <f t="shared" si="108"/>
        <v/>
      </c>
      <c r="D3506" t="str">
        <f>IF(A3506="","",SUMIFS(Акты!$D$5:$D$16,Акты!$E$5:$E$16,"&lt;="&amp;A3506)-SUMIFS(Оплаты!$B$6:$B$505,Оплаты!$A$6:$A$505,"&lt;"&amp;A3506,Оплаты!$D$6:$D$505,"&lt;&gt;"))</f>
        <v/>
      </c>
      <c r="E3506" t="str">
        <f>IF(A3506="","",IF(SUMPRODUCT((Ввод!$F$12:$F$31&lt;&gt;"")*(Ввод!$F$12:$F$31&lt;=A3506)*(Ввод!$G$12:$G$31&gt;=A3506))&gt;0,1,0))</f>
        <v/>
      </c>
      <c r="G3506" t="str">
        <f t="shared" si="109"/>
        <v/>
      </c>
    </row>
    <row r="3507" spans="1:7" x14ac:dyDescent="0.3">
      <c r="A3507" s="21" t="str">
        <f>IF(A3506="","",IF(A3506+1&gt;Ввод!$B$4,"",A3506+1))</f>
        <v/>
      </c>
      <c r="B3507" s="23" t="str">
        <f>IF(A3507="","",IFERROR(INDEX(Ввод!$B$12:$B$71,MATCH(A3507,Ввод!$D$12:$D$71,1)),""))</f>
        <v/>
      </c>
      <c r="C3507" t="str">
        <f t="shared" si="108"/>
        <v/>
      </c>
      <c r="D3507" t="str">
        <f>IF(A3507="","",SUMIFS(Акты!$D$5:$D$16,Акты!$E$5:$E$16,"&lt;="&amp;A3507)-SUMIFS(Оплаты!$B$6:$B$505,Оплаты!$A$6:$A$505,"&lt;"&amp;A3507,Оплаты!$D$6:$D$505,"&lt;&gt;"))</f>
        <v/>
      </c>
      <c r="E3507" t="str">
        <f>IF(A3507="","",IF(SUMPRODUCT((Ввод!$F$12:$F$31&lt;&gt;"")*(Ввод!$F$12:$F$31&lt;=A3507)*(Ввод!$G$12:$G$31&gt;=A3507))&gt;0,1,0))</f>
        <v/>
      </c>
      <c r="G3507" t="str">
        <f t="shared" si="109"/>
        <v/>
      </c>
    </row>
    <row r="3508" spans="1:7" x14ac:dyDescent="0.3">
      <c r="A3508" s="21" t="str">
        <f>IF(A3507="","",IF(A3507+1&gt;Ввод!$B$4,"",A3507+1))</f>
        <v/>
      </c>
      <c r="B3508" s="23" t="str">
        <f>IF(A3508="","",IFERROR(INDEX(Ввод!$B$12:$B$71,MATCH(A3508,Ввод!$D$12:$D$71,1)),""))</f>
        <v/>
      </c>
      <c r="C3508" t="str">
        <f t="shared" si="108"/>
        <v/>
      </c>
      <c r="D3508" t="str">
        <f>IF(A3508="","",SUMIFS(Акты!$D$5:$D$16,Акты!$E$5:$E$16,"&lt;="&amp;A3508)-SUMIFS(Оплаты!$B$6:$B$505,Оплаты!$A$6:$A$505,"&lt;"&amp;A3508,Оплаты!$D$6:$D$505,"&lt;&gt;"))</f>
        <v/>
      </c>
      <c r="E3508" t="str">
        <f>IF(A3508="","",IF(SUMPRODUCT((Ввод!$F$12:$F$31&lt;&gt;"")*(Ввод!$F$12:$F$31&lt;=A3508)*(Ввод!$G$12:$G$31&gt;=A3508))&gt;0,1,0))</f>
        <v/>
      </c>
      <c r="G3508" t="str">
        <f t="shared" si="109"/>
        <v/>
      </c>
    </row>
    <row r="3509" spans="1:7" x14ac:dyDescent="0.3">
      <c r="A3509" s="21" t="str">
        <f>IF(A3508="","",IF(A3508+1&gt;Ввод!$B$4,"",A3508+1))</f>
        <v/>
      </c>
      <c r="B3509" s="23" t="str">
        <f>IF(A3509="","",IFERROR(INDEX(Ввод!$B$12:$B$71,MATCH(A3509,Ввод!$D$12:$D$71,1)),""))</f>
        <v/>
      </c>
      <c r="C3509" t="str">
        <f t="shared" si="108"/>
        <v/>
      </c>
      <c r="D3509" t="str">
        <f>IF(A3509="","",SUMIFS(Акты!$D$5:$D$16,Акты!$E$5:$E$16,"&lt;="&amp;A3509)-SUMIFS(Оплаты!$B$6:$B$505,Оплаты!$A$6:$A$505,"&lt;"&amp;A3509,Оплаты!$D$6:$D$505,"&lt;&gt;"))</f>
        <v/>
      </c>
      <c r="E3509" t="str">
        <f>IF(A3509="","",IF(SUMPRODUCT((Ввод!$F$12:$F$31&lt;&gt;"")*(Ввод!$F$12:$F$31&lt;=A3509)*(Ввод!$G$12:$G$31&gt;=A3509))&gt;0,1,0))</f>
        <v/>
      </c>
      <c r="G3509" t="str">
        <f t="shared" si="109"/>
        <v/>
      </c>
    </row>
    <row r="3510" spans="1:7" x14ac:dyDescent="0.3">
      <c r="A3510" s="21" t="str">
        <f>IF(A3509="","",IF(A3509+1&gt;Ввод!$B$4,"",A3509+1))</f>
        <v/>
      </c>
      <c r="B3510" s="23" t="str">
        <f>IF(A3510="","",IFERROR(INDEX(Ввод!$B$12:$B$71,MATCH(A3510,Ввод!$D$12:$D$71,1)),""))</f>
        <v/>
      </c>
      <c r="C3510" t="str">
        <f t="shared" si="108"/>
        <v/>
      </c>
      <c r="D3510" t="str">
        <f>IF(A3510="","",SUMIFS(Акты!$D$5:$D$16,Акты!$E$5:$E$16,"&lt;="&amp;A3510)-SUMIFS(Оплаты!$B$6:$B$505,Оплаты!$A$6:$A$505,"&lt;"&amp;A3510,Оплаты!$D$6:$D$505,"&lt;&gt;"))</f>
        <v/>
      </c>
      <c r="E3510" t="str">
        <f>IF(A3510="","",IF(SUMPRODUCT((Ввод!$F$12:$F$31&lt;&gt;"")*(Ввод!$F$12:$F$31&lt;=A3510)*(Ввод!$G$12:$G$31&gt;=A3510))&gt;0,1,0))</f>
        <v/>
      </c>
      <c r="G3510" t="str">
        <f t="shared" si="109"/>
        <v/>
      </c>
    </row>
    <row r="3511" spans="1:7" x14ac:dyDescent="0.3">
      <c r="A3511" s="21" t="str">
        <f>IF(A3510="","",IF(A3510+1&gt;Ввод!$B$4,"",A3510+1))</f>
        <v/>
      </c>
      <c r="B3511" s="23" t="str">
        <f>IF(A3511="","",IFERROR(INDEX(Ввод!$B$12:$B$71,MATCH(A3511,Ввод!$D$12:$D$71,1)),""))</f>
        <v/>
      </c>
      <c r="C3511" t="str">
        <f t="shared" si="108"/>
        <v/>
      </c>
      <c r="D3511" t="str">
        <f>IF(A3511="","",SUMIFS(Акты!$D$5:$D$16,Акты!$E$5:$E$16,"&lt;="&amp;A3511)-SUMIFS(Оплаты!$B$6:$B$505,Оплаты!$A$6:$A$505,"&lt;"&amp;A3511,Оплаты!$D$6:$D$505,"&lt;&gt;"))</f>
        <v/>
      </c>
      <c r="E3511" t="str">
        <f>IF(A3511="","",IF(SUMPRODUCT((Ввод!$F$12:$F$31&lt;&gt;"")*(Ввод!$F$12:$F$31&lt;=A3511)*(Ввод!$G$12:$G$31&gt;=A3511))&gt;0,1,0))</f>
        <v/>
      </c>
      <c r="G3511" t="str">
        <f t="shared" si="109"/>
        <v/>
      </c>
    </row>
    <row r="3512" spans="1:7" x14ac:dyDescent="0.3">
      <c r="A3512" s="21" t="str">
        <f>IF(A3511="","",IF(A3511+1&gt;Ввод!$B$4,"",A3511+1))</f>
        <v/>
      </c>
      <c r="B3512" s="23" t="str">
        <f>IF(A3512="","",IFERROR(INDEX(Ввод!$B$12:$B$71,MATCH(A3512,Ввод!$D$12:$D$71,1)),""))</f>
        <v/>
      </c>
      <c r="C3512" t="str">
        <f t="shared" si="108"/>
        <v/>
      </c>
      <c r="D3512" t="str">
        <f>IF(A3512="","",SUMIFS(Акты!$D$5:$D$16,Акты!$E$5:$E$16,"&lt;="&amp;A3512)-SUMIFS(Оплаты!$B$6:$B$505,Оплаты!$A$6:$A$505,"&lt;"&amp;A3512,Оплаты!$D$6:$D$505,"&lt;&gt;"))</f>
        <v/>
      </c>
      <c r="E3512" t="str">
        <f>IF(A3512="","",IF(SUMPRODUCT((Ввод!$F$12:$F$31&lt;&gt;"")*(Ввод!$F$12:$F$31&lt;=A3512)*(Ввод!$G$12:$G$31&gt;=A3512))&gt;0,1,0))</f>
        <v/>
      </c>
      <c r="G3512" t="str">
        <f t="shared" si="109"/>
        <v/>
      </c>
    </row>
    <row r="3513" spans="1:7" x14ac:dyDescent="0.3">
      <c r="A3513" s="21" t="str">
        <f>IF(A3512="","",IF(A3512+1&gt;Ввод!$B$4,"",A3512+1))</f>
        <v/>
      </c>
      <c r="B3513" s="23" t="str">
        <f>IF(A3513="","",IFERROR(INDEX(Ввод!$B$12:$B$71,MATCH(A3513,Ввод!$D$12:$D$71,1)),""))</f>
        <v/>
      </c>
      <c r="C3513" t="str">
        <f t="shared" si="108"/>
        <v/>
      </c>
      <c r="D3513" t="str">
        <f>IF(A3513="","",SUMIFS(Акты!$D$5:$D$16,Акты!$E$5:$E$16,"&lt;="&amp;A3513)-SUMIFS(Оплаты!$B$6:$B$505,Оплаты!$A$6:$A$505,"&lt;"&amp;A3513,Оплаты!$D$6:$D$505,"&lt;&gt;"))</f>
        <v/>
      </c>
      <c r="E3513" t="str">
        <f>IF(A3513="","",IF(SUMPRODUCT((Ввод!$F$12:$F$31&lt;&gt;"")*(Ввод!$F$12:$F$31&lt;=A3513)*(Ввод!$G$12:$G$31&gt;=A3513))&gt;0,1,0))</f>
        <v/>
      </c>
      <c r="G3513" t="str">
        <f t="shared" si="109"/>
        <v/>
      </c>
    </row>
    <row r="3514" spans="1:7" x14ac:dyDescent="0.3">
      <c r="A3514" s="21" t="str">
        <f>IF(A3513="","",IF(A3513+1&gt;Ввод!$B$4,"",A3513+1))</f>
        <v/>
      </c>
      <c r="B3514" s="23" t="str">
        <f>IF(A3514="","",IFERROR(INDEX(Ввод!$B$12:$B$71,MATCH(A3514,Ввод!$D$12:$D$71,1)),""))</f>
        <v/>
      </c>
      <c r="C3514" t="str">
        <f t="shared" si="108"/>
        <v/>
      </c>
      <c r="D3514" t="str">
        <f>IF(A3514="","",SUMIFS(Акты!$D$5:$D$16,Акты!$E$5:$E$16,"&lt;="&amp;A3514)-SUMIFS(Оплаты!$B$6:$B$505,Оплаты!$A$6:$A$505,"&lt;"&amp;A3514,Оплаты!$D$6:$D$505,"&lt;&gt;"))</f>
        <v/>
      </c>
      <c r="E3514" t="str">
        <f>IF(A3514="","",IF(SUMPRODUCT((Ввод!$F$12:$F$31&lt;&gt;"")*(Ввод!$F$12:$F$31&lt;=A3514)*(Ввод!$G$12:$G$31&gt;=A3514))&gt;0,1,0))</f>
        <v/>
      </c>
      <c r="G3514" t="str">
        <f t="shared" si="109"/>
        <v/>
      </c>
    </row>
    <row r="3515" spans="1:7" x14ac:dyDescent="0.3">
      <c r="A3515" s="21" t="str">
        <f>IF(A3514="","",IF(A3514+1&gt;Ввод!$B$4,"",A3514+1))</f>
        <v/>
      </c>
      <c r="B3515" s="23" t="str">
        <f>IF(A3515="","",IFERROR(INDEX(Ввод!$B$12:$B$71,MATCH(A3515,Ввод!$D$12:$D$71,1)),""))</f>
        <v/>
      </c>
      <c r="C3515" t="str">
        <f t="shared" si="108"/>
        <v/>
      </c>
      <c r="D3515" t="str">
        <f>IF(A3515="","",SUMIFS(Акты!$D$5:$D$16,Акты!$E$5:$E$16,"&lt;="&amp;A3515)-SUMIFS(Оплаты!$B$6:$B$505,Оплаты!$A$6:$A$505,"&lt;"&amp;A3515,Оплаты!$D$6:$D$505,"&lt;&gt;"))</f>
        <v/>
      </c>
      <c r="E3515" t="str">
        <f>IF(A3515="","",IF(SUMPRODUCT((Ввод!$F$12:$F$31&lt;&gt;"")*(Ввод!$F$12:$F$31&lt;=A3515)*(Ввод!$G$12:$G$31&gt;=A3515))&gt;0,1,0))</f>
        <v/>
      </c>
      <c r="G3515" t="str">
        <f t="shared" si="109"/>
        <v/>
      </c>
    </row>
    <row r="3516" spans="1:7" x14ac:dyDescent="0.3">
      <c r="A3516" s="21" t="str">
        <f>IF(A3515="","",IF(A3515+1&gt;Ввод!$B$4,"",A3515+1))</f>
        <v/>
      </c>
      <c r="B3516" s="23" t="str">
        <f>IF(A3516="","",IFERROR(INDEX(Ввод!$B$12:$B$71,MATCH(A3516,Ввод!$D$12:$D$71,1)),""))</f>
        <v/>
      </c>
      <c r="C3516" t="str">
        <f t="shared" si="108"/>
        <v/>
      </c>
      <c r="D3516" t="str">
        <f>IF(A3516="","",SUMIFS(Акты!$D$5:$D$16,Акты!$E$5:$E$16,"&lt;="&amp;A3516)-SUMIFS(Оплаты!$B$6:$B$505,Оплаты!$A$6:$A$505,"&lt;"&amp;A3516,Оплаты!$D$6:$D$505,"&lt;&gt;"))</f>
        <v/>
      </c>
      <c r="E3516" t="str">
        <f>IF(A3516="","",IF(SUMPRODUCT((Ввод!$F$12:$F$31&lt;&gt;"")*(Ввод!$F$12:$F$31&lt;=A3516)*(Ввод!$G$12:$G$31&gt;=A3516))&gt;0,1,0))</f>
        <v/>
      </c>
      <c r="G3516" t="str">
        <f t="shared" si="109"/>
        <v/>
      </c>
    </row>
    <row r="3517" spans="1:7" x14ac:dyDescent="0.3">
      <c r="A3517" s="21" t="str">
        <f>IF(A3516="","",IF(A3516+1&gt;Ввод!$B$4,"",A3516+1))</f>
        <v/>
      </c>
      <c r="B3517" s="23" t="str">
        <f>IF(A3517="","",IFERROR(INDEX(Ввод!$B$12:$B$71,MATCH(A3517,Ввод!$D$12:$D$71,1)),""))</f>
        <v/>
      </c>
      <c r="C3517" t="str">
        <f t="shared" si="108"/>
        <v/>
      </c>
      <c r="D3517" t="str">
        <f>IF(A3517="","",SUMIFS(Акты!$D$5:$D$16,Акты!$E$5:$E$16,"&lt;="&amp;A3517)-SUMIFS(Оплаты!$B$6:$B$505,Оплаты!$A$6:$A$505,"&lt;"&amp;A3517,Оплаты!$D$6:$D$505,"&lt;&gt;"))</f>
        <v/>
      </c>
      <c r="E3517" t="str">
        <f>IF(A3517="","",IF(SUMPRODUCT((Ввод!$F$12:$F$31&lt;&gt;"")*(Ввод!$F$12:$F$31&lt;=A3517)*(Ввод!$G$12:$G$31&gt;=A3517))&gt;0,1,0))</f>
        <v/>
      </c>
      <c r="G3517" t="str">
        <f t="shared" si="109"/>
        <v/>
      </c>
    </row>
    <row r="3518" spans="1:7" x14ac:dyDescent="0.3">
      <c r="A3518" s="21" t="str">
        <f>IF(A3517="","",IF(A3517+1&gt;Ввод!$B$4,"",A3517+1))</f>
        <v/>
      </c>
      <c r="B3518" s="23" t="str">
        <f>IF(A3518="","",IFERROR(INDEX(Ввод!$B$12:$B$71,MATCH(A3518,Ввод!$D$12:$D$71,1)),""))</f>
        <v/>
      </c>
      <c r="C3518" t="str">
        <f t="shared" si="108"/>
        <v/>
      </c>
      <c r="D3518" t="str">
        <f>IF(A3518="","",SUMIFS(Акты!$D$5:$D$16,Акты!$E$5:$E$16,"&lt;="&amp;A3518)-SUMIFS(Оплаты!$B$6:$B$505,Оплаты!$A$6:$A$505,"&lt;"&amp;A3518,Оплаты!$D$6:$D$505,"&lt;&gt;"))</f>
        <v/>
      </c>
      <c r="E3518" t="str">
        <f>IF(A3518="","",IF(SUMPRODUCT((Ввод!$F$12:$F$31&lt;&gt;"")*(Ввод!$F$12:$F$31&lt;=A3518)*(Ввод!$G$12:$G$31&gt;=A3518))&gt;0,1,0))</f>
        <v/>
      </c>
      <c r="G3518" t="str">
        <f t="shared" si="109"/>
        <v/>
      </c>
    </row>
    <row r="3519" spans="1:7" x14ac:dyDescent="0.3">
      <c r="A3519" s="21" t="str">
        <f>IF(A3518="","",IF(A3518+1&gt;Ввод!$B$4,"",A3518+1))</f>
        <v/>
      </c>
      <c r="B3519" s="23" t="str">
        <f>IF(A3519="","",IFERROR(INDEX(Ввод!$B$12:$B$71,MATCH(A3519,Ввод!$D$12:$D$71,1)),""))</f>
        <v/>
      </c>
      <c r="C3519" t="str">
        <f t="shared" si="108"/>
        <v/>
      </c>
      <c r="D3519" t="str">
        <f>IF(A3519="","",SUMIFS(Акты!$D$5:$D$16,Акты!$E$5:$E$16,"&lt;="&amp;A3519)-SUMIFS(Оплаты!$B$6:$B$505,Оплаты!$A$6:$A$505,"&lt;"&amp;A3519,Оплаты!$D$6:$D$505,"&lt;&gt;"))</f>
        <v/>
      </c>
      <c r="E3519" t="str">
        <f>IF(A3519="","",IF(SUMPRODUCT((Ввод!$F$12:$F$31&lt;&gt;"")*(Ввод!$F$12:$F$31&lt;=A3519)*(Ввод!$G$12:$G$31&gt;=A3519))&gt;0,1,0))</f>
        <v/>
      </c>
      <c r="G3519" t="str">
        <f t="shared" si="109"/>
        <v/>
      </c>
    </row>
    <row r="3520" spans="1:7" x14ac:dyDescent="0.3">
      <c r="A3520" s="21" t="str">
        <f>IF(A3519="","",IF(A3519+1&gt;Ввод!$B$4,"",A3519+1))</f>
        <v/>
      </c>
      <c r="B3520" s="23" t="str">
        <f>IF(A3520="","",IFERROR(INDEX(Ввод!$B$12:$B$71,MATCH(A3520,Ввод!$D$12:$D$71,1)),""))</f>
        <v/>
      </c>
      <c r="C3520" t="str">
        <f t="shared" si="108"/>
        <v/>
      </c>
      <c r="D3520" t="str">
        <f>IF(A3520="","",SUMIFS(Акты!$D$5:$D$16,Акты!$E$5:$E$16,"&lt;="&amp;A3520)-SUMIFS(Оплаты!$B$6:$B$505,Оплаты!$A$6:$A$505,"&lt;"&amp;A3520,Оплаты!$D$6:$D$505,"&lt;&gt;"))</f>
        <v/>
      </c>
      <c r="E3520" t="str">
        <f>IF(A3520="","",IF(SUMPRODUCT((Ввод!$F$12:$F$31&lt;&gt;"")*(Ввод!$F$12:$F$31&lt;=A3520)*(Ввод!$G$12:$G$31&gt;=A3520))&gt;0,1,0))</f>
        <v/>
      </c>
      <c r="G3520" t="str">
        <f t="shared" si="109"/>
        <v/>
      </c>
    </row>
    <row r="3521" spans="1:7" x14ac:dyDescent="0.3">
      <c r="A3521" s="21" t="str">
        <f>IF(A3520="","",IF(A3520+1&gt;Ввод!$B$4,"",A3520+1))</f>
        <v/>
      </c>
      <c r="B3521" s="23" t="str">
        <f>IF(A3521="","",IFERROR(INDEX(Ввод!$B$12:$B$71,MATCH(A3521,Ввод!$D$12:$D$71,1)),""))</f>
        <v/>
      </c>
      <c r="C3521" t="str">
        <f t="shared" si="108"/>
        <v/>
      </c>
      <c r="D3521" t="str">
        <f>IF(A3521="","",SUMIFS(Акты!$D$5:$D$16,Акты!$E$5:$E$16,"&lt;="&amp;A3521)-SUMIFS(Оплаты!$B$6:$B$505,Оплаты!$A$6:$A$505,"&lt;"&amp;A3521,Оплаты!$D$6:$D$505,"&lt;&gt;"))</f>
        <v/>
      </c>
      <c r="E3521" t="str">
        <f>IF(A3521="","",IF(SUMPRODUCT((Ввод!$F$12:$F$31&lt;&gt;"")*(Ввод!$F$12:$F$31&lt;=A3521)*(Ввод!$G$12:$G$31&gt;=A3521))&gt;0,1,0))</f>
        <v/>
      </c>
      <c r="G3521" t="str">
        <f t="shared" si="109"/>
        <v/>
      </c>
    </row>
    <row r="3522" spans="1:7" x14ac:dyDescent="0.3">
      <c r="A3522" s="21" t="str">
        <f>IF(A3521="","",IF(A3521+1&gt;Ввод!$B$4,"",A3521+1))</f>
        <v/>
      </c>
      <c r="B3522" s="23" t="str">
        <f>IF(A3522="","",IFERROR(INDEX(Ввод!$B$12:$B$71,MATCH(A3522,Ввод!$D$12:$D$71,1)),""))</f>
        <v/>
      </c>
      <c r="C3522" t="str">
        <f t="shared" ref="C3522:C3585" si="110">IF(A3522="","",DATE(YEAR(A3522),12,31)-DATE(YEAR(A3522),1,1)+1)</f>
        <v/>
      </c>
      <c r="D3522" t="str">
        <f>IF(A3522="","",SUMIFS(Акты!$D$5:$D$16,Акты!$E$5:$E$16,"&lt;="&amp;A3522)-SUMIFS(Оплаты!$B$6:$B$505,Оплаты!$A$6:$A$505,"&lt;"&amp;A3522,Оплаты!$D$6:$D$505,"&lt;&gt;"))</f>
        <v/>
      </c>
      <c r="E3522" t="str">
        <f>IF(A3522="","",IF(SUMPRODUCT((Ввод!$F$12:$F$31&lt;&gt;"")*(Ввод!$F$12:$F$31&lt;=A3522)*(Ввод!$G$12:$G$31&gt;=A3522))&gt;0,1,0))</f>
        <v/>
      </c>
      <c r="G3522" t="str">
        <f t="shared" si="109"/>
        <v/>
      </c>
    </row>
    <row r="3523" spans="1:7" x14ac:dyDescent="0.3">
      <c r="A3523" s="21" t="str">
        <f>IF(A3522="","",IF(A3522+1&gt;Ввод!$B$4,"",A3522+1))</f>
        <v/>
      </c>
      <c r="B3523" s="23" t="str">
        <f>IF(A3523="","",IFERROR(INDEX(Ввод!$B$12:$B$71,MATCH(A3523,Ввод!$D$12:$D$71,1)),""))</f>
        <v/>
      </c>
      <c r="C3523" t="str">
        <f t="shared" si="110"/>
        <v/>
      </c>
      <c r="D3523" t="str">
        <f>IF(A3523="","",SUMIFS(Акты!$D$5:$D$16,Акты!$E$5:$E$16,"&lt;="&amp;A3523)-SUMIFS(Оплаты!$B$6:$B$505,Оплаты!$A$6:$A$505,"&lt;"&amp;A3523,Оплаты!$D$6:$D$505,"&lt;&gt;"))</f>
        <v/>
      </c>
      <c r="E3523" t="str">
        <f>IF(A3523="","",IF(SUMPRODUCT((Ввод!$F$12:$F$31&lt;&gt;"")*(Ввод!$F$12:$F$31&lt;=A3523)*(Ввод!$G$12:$G$31&gt;=A3523))&gt;0,1,0))</f>
        <v/>
      </c>
      <c r="G3523" t="str">
        <f t="shared" ref="G3523:G3586" si="111">IF(A3523="","",IF(OR(B3523&lt;&gt;B3522,C3523&lt;&gt;C3522,E3523&lt;&gt;E3522),G3522+1,G3522))</f>
        <v/>
      </c>
    </row>
    <row r="3524" spans="1:7" x14ac:dyDescent="0.3">
      <c r="A3524" s="21" t="str">
        <f>IF(A3523="","",IF(A3523+1&gt;Ввод!$B$4,"",A3523+1))</f>
        <v/>
      </c>
      <c r="B3524" s="23" t="str">
        <f>IF(A3524="","",IFERROR(INDEX(Ввод!$B$12:$B$71,MATCH(A3524,Ввод!$D$12:$D$71,1)),""))</f>
        <v/>
      </c>
      <c r="C3524" t="str">
        <f t="shared" si="110"/>
        <v/>
      </c>
      <c r="D3524" t="str">
        <f>IF(A3524="","",SUMIFS(Акты!$D$5:$D$16,Акты!$E$5:$E$16,"&lt;="&amp;A3524)-SUMIFS(Оплаты!$B$6:$B$505,Оплаты!$A$6:$A$505,"&lt;"&amp;A3524,Оплаты!$D$6:$D$505,"&lt;&gt;"))</f>
        <v/>
      </c>
      <c r="E3524" t="str">
        <f>IF(A3524="","",IF(SUMPRODUCT((Ввод!$F$12:$F$31&lt;&gt;"")*(Ввод!$F$12:$F$31&lt;=A3524)*(Ввод!$G$12:$G$31&gt;=A3524))&gt;0,1,0))</f>
        <v/>
      </c>
      <c r="G3524" t="str">
        <f t="shared" si="111"/>
        <v/>
      </c>
    </row>
    <row r="3525" spans="1:7" x14ac:dyDescent="0.3">
      <c r="A3525" s="21" t="str">
        <f>IF(A3524="","",IF(A3524+1&gt;Ввод!$B$4,"",A3524+1))</f>
        <v/>
      </c>
      <c r="B3525" s="23" t="str">
        <f>IF(A3525="","",IFERROR(INDEX(Ввод!$B$12:$B$71,MATCH(A3525,Ввод!$D$12:$D$71,1)),""))</f>
        <v/>
      </c>
      <c r="C3525" t="str">
        <f t="shared" si="110"/>
        <v/>
      </c>
      <c r="D3525" t="str">
        <f>IF(A3525="","",SUMIFS(Акты!$D$5:$D$16,Акты!$E$5:$E$16,"&lt;="&amp;A3525)-SUMIFS(Оплаты!$B$6:$B$505,Оплаты!$A$6:$A$505,"&lt;"&amp;A3525,Оплаты!$D$6:$D$505,"&lt;&gt;"))</f>
        <v/>
      </c>
      <c r="E3525" t="str">
        <f>IF(A3525="","",IF(SUMPRODUCT((Ввод!$F$12:$F$31&lt;&gt;"")*(Ввод!$F$12:$F$31&lt;=A3525)*(Ввод!$G$12:$G$31&gt;=A3525))&gt;0,1,0))</f>
        <v/>
      </c>
      <c r="G3525" t="str">
        <f t="shared" si="111"/>
        <v/>
      </c>
    </row>
    <row r="3526" spans="1:7" x14ac:dyDescent="0.3">
      <c r="A3526" s="21" t="str">
        <f>IF(A3525="","",IF(A3525+1&gt;Ввод!$B$4,"",A3525+1))</f>
        <v/>
      </c>
      <c r="B3526" s="23" t="str">
        <f>IF(A3526="","",IFERROR(INDEX(Ввод!$B$12:$B$71,MATCH(A3526,Ввод!$D$12:$D$71,1)),""))</f>
        <v/>
      </c>
      <c r="C3526" t="str">
        <f t="shared" si="110"/>
        <v/>
      </c>
      <c r="D3526" t="str">
        <f>IF(A3526="","",SUMIFS(Акты!$D$5:$D$16,Акты!$E$5:$E$16,"&lt;="&amp;A3526)-SUMIFS(Оплаты!$B$6:$B$505,Оплаты!$A$6:$A$505,"&lt;"&amp;A3526,Оплаты!$D$6:$D$505,"&lt;&gt;"))</f>
        <v/>
      </c>
      <c r="E3526" t="str">
        <f>IF(A3526="","",IF(SUMPRODUCT((Ввод!$F$12:$F$31&lt;&gt;"")*(Ввод!$F$12:$F$31&lt;=A3526)*(Ввод!$G$12:$G$31&gt;=A3526))&gt;0,1,0))</f>
        <v/>
      </c>
      <c r="G3526" t="str">
        <f t="shared" si="111"/>
        <v/>
      </c>
    </row>
    <row r="3527" spans="1:7" x14ac:dyDescent="0.3">
      <c r="A3527" s="21" t="str">
        <f>IF(A3526="","",IF(A3526+1&gt;Ввод!$B$4,"",A3526+1))</f>
        <v/>
      </c>
      <c r="B3527" s="23" t="str">
        <f>IF(A3527="","",IFERROR(INDEX(Ввод!$B$12:$B$71,MATCH(A3527,Ввод!$D$12:$D$71,1)),""))</f>
        <v/>
      </c>
      <c r="C3527" t="str">
        <f t="shared" si="110"/>
        <v/>
      </c>
      <c r="D3527" t="str">
        <f>IF(A3527="","",SUMIFS(Акты!$D$5:$D$16,Акты!$E$5:$E$16,"&lt;="&amp;A3527)-SUMIFS(Оплаты!$B$6:$B$505,Оплаты!$A$6:$A$505,"&lt;"&amp;A3527,Оплаты!$D$6:$D$505,"&lt;&gt;"))</f>
        <v/>
      </c>
      <c r="E3527" t="str">
        <f>IF(A3527="","",IF(SUMPRODUCT((Ввод!$F$12:$F$31&lt;&gt;"")*(Ввод!$F$12:$F$31&lt;=A3527)*(Ввод!$G$12:$G$31&gt;=A3527))&gt;0,1,0))</f>
        <v/>
      </c>
      <c r="G3527" t="str">
        <f t="shared" si="111"/>
        <v/>
      </c>
    </row>
    <row r="3528" spans="1:7" x14ac:dyDescent="0.3">
      <c r="A3528" s="21" t="str">
        <f>IF(A3527="","",IF(A3527+1&gt;Ввод!$B$4,"",A3527+1))</f>
        <v/>
      </c>
      <c r="B3528" s="23" t="str">
        <f>IF(A3528="","",IFERROR(INDEX(Ввод!$B$12:$B$71,MATCH(A3528,Ввод!$D$12:$D$71,1)),""))</f>
        <v/>
      </c>
      <c r="C3528" t="str">
        <f t="shared" si="110"/>
        <v/>
      </c>
      <c r="D3528" t="str">
        <f>IF(A3528="","",SUMIFS(Акты!$D$5:$D$16,Акты!$E$5:$E$16,"&lt;="&amp;A3528)-SUMIFS(Оплаты!$B$6:$B$505,Оплаты!$A$6:$A$505,"&lt;"&amp;A3528,Оплаты!$D$6:$D$505,"&lt;&gt;"))</f>
        <v/>
      </c>
      <c r="E3528" t="str">
        <f>IF(A3528="","",IF(SUMPRODUCT((Ввод!$F$12:$F$31&lt;&gt;"")*(Ввод!$F$12:$F$31&lt;=A3528)*(Ввод!$G$12:$G$31&gt;=A3528))&gt;0,1,0))</f>
        <v/>
      </c>
      <c r="G3528" t="str">
        <f t="shared" si="111"/>
        <v/>
      </c>
    </row>
    <row r="3529" spans="1:7" x14ac:dyDescent="0.3">
      <c r="A3529" s="21" t="str">
        <f>IF(A3528="","",IF(A3528+1&gt;Ввод!$B$4,"",A3528+1))</f>
        <v/>
      </c>
      <c r="B3529" s="23" t="str">
        <f>IF(A3529="","",IFERROR(INDEX(Ввод!$B$12:$B$71,MATCH(A3529,Ввод!$D$12:$D$71,1)),""))</f>
        <v/>
      </c>
      <c r="C3529" t="str">
        <f t="shared" si="110"/>
        <v/>
      </c>
      <c r="D3529" t="str">
        <f>IF(A3529="","",SUMIFS(Акты!$D$5:$D$16,Акты!$E$5:$E$16,"&lt;="&amp;A3529)-SUMIFS(Оплаты!$B$6:$B$505,Оплаты!$A$6:$A$505,"&lt;"&amp;A3529,Оплаты!$D$6:$D$505,"&lt;&gt;"))</f>
        <v/>
      </c>
      <c r="E3529" t="str">
        <f>IF(A3529="","",IF(SUMPRODUCT((Ввод!$F$12:$F$31&lt;&gt;"")*(Ввод!$F$12:$F$31&lt;=A3529)*(Ввод!$G$12:$G$31&gt;=A3529))&gt;0,1,0))</f>
        <v/>
      </c>
      <c r="G3529" t="str">
        <f t="shared" si="111"/>
        <v/>
      </c>
    </row>
    <row r="3530" spans="1:7" x14ac:dyDescent="0.3">
      <c r="A3530" s="21" t="str">
        <f>IF(A3529="","",IF(A3529+1&gt;Ввод!$B$4,"",A3529+1))</f>
        <v/>
      </c>
      <c r="B3530" s="23" t="str">
        <f>IF(A3530="","",IFERROR(INDEX(Ввод!$B$12:$B$71,MATCH(A3530,Ввод!$D$12:$D$71,1)),""))</f>
        <v/>
      </c>
      <c r="C3530" t="str">
        <f t="shared" si="110"/>
        <v/>
      </c>
      <c r="D3530" t="str">
        <f>IF(A3530="","",SUMIFS(Акты!$D$5:$D$16,Акты!$E$5:$E$16,"&lt;="&amp;A3530)-SUMIFS(Оплаты!$B$6:$B$505,Оплаты!$A$6:$A$505,"&lt;"&amp;A3530,Оплаты!$D$6:$D$505,"&lt;&gt;"))</f>
        <v/>
      </c>
      <c r="E3530" t="str">
        <f>IF(A3530="","",IF(SUMPRODUCT((Ввод!$F$12:$F$31&lt;&gt;"")*(Ввод!$F$12:$F$31&lt;=A3530)*(Ввод!$G$12:$G$31&gt;=A3530))&gt;0,1,0))</f>
        <v/>
      </c>
      <c r="G3530" t="str">
        <f t="shared" si="111"/>
        <v/>
      </c>
    </row>
    <row r="3531" spans="1:7" x14ac:dyDescent="0.3">
      <c r="A3531" s="21" t="str">
        <f>IF(A3530="","",IF(A3530+1&gt;Ввод!$B$4,"",A3530+1))</f>
        <v/>
      </c>
      <c r="B3531" s="23" t="str">
        <f>IF(A3531="","",IFERROR(INDEX(Ввод!$B$12:$B$71,MATCH(A3531,Ввод!$D$12:$D$71,1)),""))</f>
        <v/>
      </c>
      <c r="C3531" t="str">
        <f t="shared" si="110"/>
        <v/>
      </c>
      <c r="D3531" t="str">
        <f>IF(A3531="","",SUMIFS(Акты!$D$5:$D$16,Акты!$E$5:$E$16,"&lt;="&amp;A3531)-SUMIFS(Оплаты!$B$6:$B$505,Оплаты!$A$6:$A$505,"&lt;"&amp;A3531,Оплаты!$D$6:$D$505,"&lt;&gt;"))</f>
        <v/>
      </c>
      <c r="E3531" t="str">
        <f>IF(A3531="","",IF(SUMPRODUCT((Ввод!$F$12:$F$31&lt;&gt;"")*(Ввод!$F$12:$F$31&lt;=A3531)*(Ввод!$G$12:$G$31&gt;=A3531))&gt;0,1,0))</f>
        <v/>
      </c>
      <c r="G3531" t="str">
        <f t="shared" si="111"/>
        <v/>
      </c>
    </row>
    <row r="3532" spans="1:7" x14ac:dyDescent="0.3">
      <c r="A3532" s="21" t="str">
        <f>IF(A3531="","",IF(A3531+1&gt;Ввод!$B$4,"",A3531+1))</f>
        <v/>
      </c>
      <c r="B3532" s="23" t="str">
        <f>IF(A3532="","",IFERROR(INDEX(Ввод!$B$12:$B$71,MATCH(A3532,Ввод!$D$12:$D$71,1)),""))</f>
        <v/>
      </c>
      <c r="C3532" t="str">
        <f t="shared" si="110"/>
        <v/>
      </c>
      <c r="D3532" t="str">
        <f>IF(A3532="","",SUMIFS(Акты!$D$5:$D$16,Акты!$E$5:$E$16,"&lt;="&amp;A3532)-SUMIFS(Оплаты!$B$6:$B$505,Оплаты!$A$6:$A$505,"&lt;"&amp;A3532,Оплаты!$D$6:$D$505,"&lt;&gt;"))</f>
        <v/>
      </c>
      <c r="E3532" t="str">
        <f>IF(A3532="","",IF(SUMPRODUCT((Ввод!$F$12:$F$31&lt;&gt;"")*(Ввод!$F$12:$F$31&lt;=A3532)*(Ввод!$G$12:$G$31&gt;=A3532))&gt;0,1,0))</f>
        <v/>
      </c>
      <c r="G3532" t="str">
        <f t="shared" si="111"/>
        <v/>
      </c>
    </row>
    <row r="3533" spans="1:7" x14ac:dyDescent="0.3">
      <c r="A3533" s="21" t="str">
        <f>IF(A3532="","",IF(A3532+1&gt;Ввод!$B$4,"",A3532+1))</f>
        <v/>
      </c>
      <c r="B3533" s="23" t="str">
        <f>IF(A3533="","",IFERROR(INDEX(Ввод!$B$12:$B$71,MATCH(A3533,Ввод!$D$12:$D$71,1)),""))</f>
        <v/>
      </c>
      <c r="C3533" t="str">
        <f t="shared" si="110"/>
        <v/>
      </c>
      <c r="D3533" t="str">
        <f>IF(A3533="","",SUMIFS(Акты!$D$5:$D$16,Акты!$E$5:$E$16,"&lt;="&amp;A3533)-SUMIFS(Оплаты!$B$6:$B$505,Оплаты!$A$6:$A$505,"&lt;"&amp;A3533,Оплаты!$D$6:$D$505,"&lt;&gt;"))</f>
        <v/>
      </c>
      <c r="E3533" t="str">
        <f>IF(A3533="","",IF(SUMPRODUCT((Ввод!$F$12:$F$31&lt;&gt;"")*(Ввод!$F$12:$F$31&lt;=A3533)*(Ввод!$G$12:$G$31&gt;=A3533))&gt;0,1,0))</f>
        <v/>
      </c>
      <c r="G3533" t="str">
        <f t="shared" si="111"/>
        <v/>
      </c>
    </row>
    <row r="3534" spans="1:7" x14ac:dyDescent="0.3">
      <c r="A3534" s="21" t="str">
        <f>IF(A3533="","",IF(A3533+1&gt;Ввод!$B$4,"",A3533+1))</f>
        <v/>
      </c>
      <c r="B3534" s="23" t="str">
        <f>IF(A3534="","",IFERROR(INDEX(Ввод!$B$12:$B$71,MATCH(A3534,Ввод!$D$12:$D$71,1)),""))</f>
        <v/>
      </c>
      <c r="C3534" t="str">
        <f t="shared" si="110"/>
        <v/>
      </c>
      <c r="D3534" t="str">
        <f>IF(A3534="","",SUMIFS(Акты!$D$5:$D$16,Акты!$E$5:$E$16,"&lt;="&amp;A3534)-SUMIFS(Оплаты!$B$6:$B$505,Оплаты!$A$6:$A$505,"&lt;"&amp;A3534,Оплаты!$D$6:$D$505,"&lt;&gt;"))</f>
        <v/>
      </c>
      <c r="E3534" t="str">
        <f>IF(A3534="","",IF(SUMPRODUCT((Ввод!$F$12:$F$31&lt;&gt;"")*(Ввод!$F$12:$F$31&lt;=A3534)*(Ввод!$G$12:$G$31&gt;=A3534))&gt;0,1,0))</f>
        <v/>
      </c>
      <c r="G3534" t="str">
        <f t="shared" si="111"/>
        <v/>
      </c>
    </row>
    <row r="3535" spans="1:7" x14ac:dyDescent="0.3">
      <c r="A3535" s="21" t="str">
        <f>IF(A3534="","",IF(A3534+1&gt;Ввод!$B$4,"",A3534+1))</f>
        <v/>
      </c>
      <c r="B3535" s="23" t="str">
        <f>IF(A3535="","",IFERROR(INDEX(Ввод!$B$12:$B$71,MATCH(A3535,Ввод!$D$12:$D$71,1)),""))</f>
        <v/>
      </c>
      <c r="C3535" t="str">
        <f t="shared" si="110"/>
        <v/>
      </c>
      <c r="D3535" t="str">
        <f>IF(A3535="","",SUMIFS(Акты!$D$5:$D$16,Акты!$E$5:$E$16,"&lt;="&amp;A3535)-SUMIFS(Оплаты!$B$6:$B$505,Оплаты!$A$6:$A$505,"&lt;"&amp;A3535,Оплаты!$D$6:$D$505,"&lt;&gt;"))</f>
        <v/>
      </c>
      <c r="E3535" t="str">
        <f>IF(A3535="","",IF(SUMPRODUCT((Ввод!$F$12:$F$31&lt;&gt;"")*(Ввод!$F$12:$F$31&lt;=A3535)*(Ввод!$G$12:$G$31&gt;=A3535))&gt;0,1,0))</f>
        <v/>
      </c>
      <c r="G3535" t="str">
        <f t="shared" si="111"/>
        <v/>
      </c>
    </row>
    <row r="3536" spans="1:7" x14ac:dyDescent="0.3">
      <c r="A3536" s="21" t="str">
        <f>IF(A3535="","",IF(A3535+1&gt;Ввод!$B$4,"",A3535+1))</f>
        <v/>
      </c>
      <c r="B3536" s="23" t="str">
        <f>IF(A3536="","",IFERROR(INDEX(Ввод!$B$12:$B$71,MATCH(A3536,Ввод!$D$12:$D$71,1)),""))</f>
        <v/>
      </c>
      <c r="C3536" t="str">
        <f t="shared" si="110"/>
        <v/>
      </c>
      <c r="D3536" t="str">
        <f>IF(A3536="","",SUMIFS(Акты!$D$5:$D$16,Акты!$E$5:$E$16,"&lt;="&amp;A3536)-SUMIFS(Оплаты!$B$6:$B$505,Оплаты!$A$6:$A$505,"&lt;"&amp;A3536,Оплаты!$D$6:$D$505,"&lt;&gt;"))</f>
        <v/>
      </c>
      <c r="E3536" t="str">
        <f>IF(A3536="","",IF(SUMPRODUCT((Ввод!$F$12:$F$31&lt;&gt;"")*(Ввод!$F$12:$F$31&lt;=A3536)*(Ввод!$G$12:$G$31&gt;=A3536))&gt;0,1,0))</f>
        <v/>
      </c>
      <c r="G3536" t="str">
        <f t="shared" si="111"/>
        <v/>
      </c>
    </row>
    <row r="3537" spans="1:7" x14ac:dyDescent="0.3">
      <c r="A3537" s="21" t="str">
        <f>IF(A3536="","",IF(A3536+1&gt;Ввод!$B$4,"",A3536+1))</f>
        <v/>
      </c>
      <c r="B3537" s="23" t="str">
        <f>IF(A3537="","",IFERROR(INDEX(Ввод!$B$12:$B$71,MATCH(A3537,Ввод!$D$12:$D$71,1)),""))</f>
        <v/>
      </c>
      <c r="C3537" t="str">
        <f t="shared" si="110"/>
        <v/>
      </c>
      <c r="D3537" t="str">
        <f>IF(A3537="","",SUMIFS(Акты!$D$5:$D$16,Акты!$E$5:$E$16,"&lt;="&amp;A3537)-SUMIFS(Оплаты!$B$6:$B$505,Оплаты!$A$6:$A$505,"&lt;"&amp;A3537,Оплаты!$D$6:$D$505,"&lt;&gt;"))</f>
        <v/>
      </c>
      <c r="E3537" t="str">
        <f>IF(A3537="","",IF(SUMPRODUCT((Ввод!$F$12:$F$31&lt;&gt;"")*(Ввод!$F$12:$F$31&lt;=A3537)*(Ввод!$G$12:$G$31&gt;=A3537))&gt;0,1,0))</f>
        <v/>
      </c>
      <c r="G3537" t="str">
        <f t="shared" si="111"/>
        <v/>
      </c>
    </row>
    <row r="3538" spans="1:7" x14ac:dyDescent="0.3">
      <c r="A3538" s="21" t="str">
        <f>IF(A3537="","",IF(A3537+1&gt;Ввод!$B$4,"",A3537+1))</f>
        <v/>
      </c>
      <c r="B3538" s="23" t="str">
        <f>IF(A3538="","",IFERROR(INDEX(Ввод!$B$12:$B$71,MATCH(A3538,Ввод!$D$12:$D$71,1)),""))</f>
        <v/>
      </c>
      <c r="C3538" t="str">
        <f t="shared" si="110"/>
        <v/>
      </c>
      <c r="D3538" t="str">
        <f>IF(A3538="","",SUMIFS(Акты!$D$5:$D$16,Акты!$E$5:$E$16,"&lt;="&amp;A3538)-SUMIFS(Оплаты!$B$6:$B$505,Оплаты!$A$6:$A$505,"&lt;"&amp;A3538,Оплаты!$D$6:$D$505,"&lt;&gt;"))</f>
        <v/>
      </c>
      <c r="E3538" t="str">
        <f>IF(A3538="","",IF(SUMPRODUCT((Ввод!$F$12:$F$31&lt;&gt;"")*(Ввод!$F$12:$F$31&lt;=A3538)*(Ввод!$G$12:$G$31&gt;=A3538))&gt;0,1,0))</f>
        <v/>
      </c>
      <c r="G3538" t="str">
        <f t="shared" si="111"/>
        <v/>
      </c>
    </row>
    <row r="3539" spans="1:7" x14ac:dyDescent="0.3">
      <c r="A3539" s="21" t="str">
        <f>IF(A3538="","",IF(A3538+1&gt;Ввод!$B$4,"",A3538+1))</f>
        <v/>
      </c>
      <c r="B3539" s="23" t="str">
        <f>IF(A3539="","",IFERROR(INDEX(Ввод!$B$12:$B$71,MATCH(A3539,Ввод!$D$12:$D$71,1)),""))</f>
        <v/>
      </c>
      <c r="C3539" t="str">
        <f t="shared" si="110"/>
        <v/>
      </c>
      <c r="D3539" t="str">
        <f>IF(A3539="","",SUMIFS(Акты!$D$5:$D$16,Акты!$E$5:$E$16,"&lt;="&amp;A3539)-SUMIFS(Оплаты!$B$6:$B$505,Оплаты!$A$6:$A$505,"&lt;"&amp;A3539,Оплаты!$D$6:$D$505,"&lt;&gt;"))</f>
        <v/>
      </c>
      <c r="E3539" t="str">
        <f>IF(A3539="","",IF(SUMPRODUCT((Ввод!$F$12:$F$31&lt;&gt;"")*(Ввод!$F$12:$F$31&lt;=A3539)*(Ввод!$G$12:$G$31&gt;=A3539))&gt;0,1,0))</f>
        <v/>
      </c>
      <c r="G3539" t="str">
        <f t="shared" si="111"/>
        <v/>
      </c>
    </row>
    <row r="3540" spans="1:7" x14ac:dyDescent="0.3">
      <c r="A3540" s="21" t="str">
        <f>IF(A3539="","",IF(A3539+1&gt;Ввод!$B$4,"",A3539+1))</f>
        <v/>
      </c>
      <c r="B3540" s="23" t="str">
        <f>IF(A3540="","",IFERROR(INDEX(Ввод!$B$12:$B$71,MATCH(A3540,Ввод!$D$12:$D$71,1)),""))</f>
        <v/>
      </c>
      <c r="C3540" t="str">
        <f t="shared" si="110"/>
        <v/>
      </c>
      <c r="D3540" t="str">
        <f>IF(A3540="","",SUMIFS(Акты!$D$5:$D$16,Акты!$E$5:$E$16,"&lt;="&amp;A3540)-SUMIFS(Оплаты!$B$6:$B$505,Оплаты!$A$6:$A$505,"&lt;"&amp;A3540,Оплаты!$D$6:$D$505,"&lt;&gt;"))</f>
        <v/>
      </c>
      <c r="E3540" t="str">
        <f>IF(A3540="","",IF(SUMPRODUCT((Ввод!$F$12:$F$31&lt;&gt;"")*(Ввод!$F$12:$F$31&lt;=A3540)*(Ввод!$G$12:$G$31&gt;=A3540))&gt;0,1,0))</f>
        <v/>
      </c>
      <c r="G3540" t="str">
        <f t="shared" si="111"/>
        <v/>
      </c>
    </row>
    <row r="3541" spans="1:7" x14ac:dyDescent="0.3">
      <c r="A3541" s="21" t="str">
        <f>IF(A3540="","",IF(A3540+1&gt;Ввод!$B$4,"",A3540+1))</f>
        <v/>
      </c>
      <c r="B3541" s="23" t="str">
        <f>IF(A3541="","",IFERROR(INDEX(Ввод!$B$12:$B$71,MATCH(A3541,Ввод!$D$12:$D$71,1)),""))</f>
        <v/>
      </c>
      <c r="C3541" t="str">
        <f t="shared" si="110"/>
        <v/>
      </c>
      <c r="D3541" t="str">
        <f>IF(A3541="","",SUMIFS(Акты!$D$5:$D$16,Акты!$E$5:$E$16,"&lt;="&amp;A3541)-SUMIFS(Оплаты!$B$6:$B$505,Оплаты!$A$6:$A$505,"&lt;"&amp;A3541,Оплаты!$D$6:$D$505,"&lt;&gt;"))</f>
        <v/>
      </c>
      <c r="E3541" t="str">
        <f>IF(A3541="","",IF(SUMPRODUCT((Ввод!$F$12:$F$31&lt;&gt;"")*(Ввод!$F$12:$F$31&lt;=A3541)*(Ввод!$G$12:$G$31&gt;=A3541))&gt;0,1,0))</f>
        <v/>
      </c>
      <c r="G3541" t="str">
        <f t="shared" si="111"/>
        <v/>
      </c>
    </row>
    <row r="3542" spans="1:7" x14ac:dyDescent="0.3">
      <c r="A3542" s="21" t="str">
        <f>IF(A3541="","",IF(A3541+1&gt;Ввод!$B$4,"",A3541+1))</f>
        <v/>
      </c>
      <c r="B3542" s="23" t="str">
        <f>IF(A3542="","",IFERROR(INDEX(Ввод!$B$12:$B$71,MATCH(A3542,Ввод!$D$12:$D$71,1)),""))</f>
        <v/>
      </c>
      <c r="C3542" t="str">
        <f t="shared" si="110"/>
        <v/>
      </c>
      <c r="D3542" t="str">
        <f>IF(A3542="","",SUMIFS(Акты!$D$5:$D$16,Акты!$E$5:$E$16,"&lt;="&amp;A3542)-SUMIFS(Оплаты!$B$6:$B$505,Оплаты!$A$6:$A$505,"&lt;"&amp;A3542,Оплаты!$D$6:$D$505,"&lt;&gt;"))</f>
        <v/>
      </c>
      <c r="E3542" t="str">
        <f>IF(A3542="","",IF(SUMPRODUCT((Ввод!$F$12:$F$31&lt;&gt;"")*(Ввод!$F$12:$F$31&lt;=A3542)*(Ввод!$G$12:$G$31&gt;=A3542))&gt;0,1,0))</f>
        <v/>
      </c>
      <c r="G3542" t="str">
        <f t="shared" si="111"/>
        <v/>
      </c>
    </row>
    <row r="3543" spans="1:7" x14ac:dyDescent="0.3">
      <c r="A3543" s="21" t="str">
        <f>IF(A3542="","",IF(A3542+1&gt;Ввод!$B$4,"",A3542+1))</f>
        <v/>
      </c>
      <c r="B3543" s="23" t="str">
        <f>IF(A3543="","",IFERROR(INDEX(Ввод!$B$12:$B$71,MATCH(A3543,Ввод!$D$12:$D$71,1)),""))</f>
        <v/>
      </c>
      <c r="C3543" t="str">
        <f t="shared" si="110"/>
        <v/>
      </c>
      <c r="D3543" t="str">
        <f>IF(A3543="","",SUMIFS(Акты!$D$5:$D$16,Акты!$E$5:$E$16,"&lt;="&amp;A3543)-SUMIFS(Оплаты!$B$6:$B$505,Оплаты!$A$6:$A$505,"&lt;"&amp;A3543,Оплаты!$D$6:$D$505,"&lt;&gt;"))</f>
        <v/>
      </c>
      <c r="E3543" t="str">
        <f>IF(A3543="","",IF(SUMPRODUCT((Ввод!$F$12:$F$31&lt;&gt;"")*(Ввод!$F$12:$F$31&lt;=A3543)*(Ввод!$G$12:$G$31&gt;=A3543))&gt;0,1,0))</f>
        <v/>
      </c>
      <c r="G3543" t="str">
        <f t="shared" si="111"/>
        <v/>
      </c>
    </row>
    <row r="3544" spans="1:7" x14ac:dyDescent="0.3">
      <c r="A3544" s="21" t="str">
        <f>IF(A3543="","",IF(A3543+1&gt;Ввод!$B$4,"",A3543+1))</f>
        <v/>
      </c>
      <c r="B3544" s="23" t="str">
        <f>IF(A3544="","",IFERROR(INDEX(Ввод!$B$12:$B$71,MATCH(A3544,Ввод!$D$12:$D$71,1)),""))</f>
        <v/>
      </c>
      <c r="C3544" t="str">
        <f t="shared" si="110"/>
        <v/>
      </c>
      <c r="D3544" t="str">
        <f>IF(A3544="","",SUMIFS(Акты!$D$5:$D$16,Акты!$E$5:$E$16,"&lt;="&amp;A3544)-SUMIFS(Оплаты!$B$6:$B$505,Оплаты!$A$6:$A$505,"&lt;"&amp;A3544,Оплаты!$D$6:$D$505,"&lt;&gt;"))</f>
        <v/>
      </c>
      <c r="E3544" t="str">
        <f>IF(A3544="","",IF(SUMPRODUCT((Ввод!$F$12:$F$31&lt;&gt;"")*(Ввод!$F$12:$F$31&lt;=A3544)*(Ввод!$G$12:$G$31&gt;=A3544))&gt;0,1,0))</f>
        <v/>
      </c>
      <c r="G3544" t="str">
        <f t="shared" si="111"/>
        <v/>
      </c>
    </row>
    <row r="3545" spans="1:7" x14ac:dyDescent="0.3">
      <c r="A3545" s="21" t="str">
        <f>IF(A3544="","",IF(A3544+1&gt;Ввод!$B$4,"",A3544+1))</f>
        <v/>
      </c>
      <c r="B3545" s="23" t="str">
        <f>IF(A3545="","",IFERROR(INDEX(Ввод!$B$12:$B$71,MATCH(A3545,Ввод!$D$12:$D$71,1)),""))</f>
        <v/>
      </c>
      <c r="C3545" t="str">
        <f t="shared" si="110"/>
        <v/>
      </c>
      <c r="D3545" t="str">
        <f>IF(A3545="","",SUMIFS(Акты!$D$5:$D$16,Акты!$E$5:$E$16,"&lt;="&amp;A3545)-SUMIFS(Оплаты!$B$6:$B$505,Оплаты!$A$6:$A$505,"&lt;"&amp;A3545,Оплаты!$D$6:$D$505,"&lt;&gt;"))</f>
        <v/>
      </c>
      <c r="E3545" t="str">
        <f>IF(A3545="","",IF(SUMPRODUCT((Ввод!$F$12:$F$31&lt;&gt;"")*(Ввод!$F$12:$F$31&lt;=A3545)*(Ввод!$G$12:$G$31&gt;=A3545))&gt;0,1,0))</f>
        <v/>
      </c>
      <c r="G3545" t="str">
        <f t="shared" si="111"/>
        <v/>
      </c>
    </row>
    <row r="3546" spans="1:7" x14ac:dyDescent="0.3">
      <c r="A3546" s="21" t="str">
        <f>IF(A3545="","",IF(A3545+1&gt;Ввод!$B$4,"",A3545+1))</f>
        <v/>
      </c>
      <c r="B3546" s="23" t="str">
        <f>IF(A3546="","",IFERROR(INDEX(Ввод!$B$12:$B$71,MATCH(A3546,Ввод!$D$12:$D$71,1)),""))</f>
        <v/>
      </c>
      <c r="C3546" t="str">
        <f t="shared" si="110"/>
        <v/>
      </c>
      <c r="D3546" t="str">
        <f>IF(A3546="","",SUMIFS(Акты!$D$5:$D$16,Акты!$E$5:$E$16,"&lt;="&amp;A3546)-SUMIFS(Оплаты!$B$6:$B$505,Оплаты!$A$6:$A$505,"&lt;"&amp;A3546,Оплаты!$D$6:$D$505,"&lt;&gt;"))</f>
        <v/>
      </c>
      <c r="E3546" t="str">
        <f>IF(A3546="","",IF(SUMPRODUCT((Ввод!$F$12:$F$31&lt;&gt;"")*(Ввод!$F$12:$F$31&lt;=A3546)*(Ввод!$G$12:$G$31&gt;=A3546))&gt;0,1,0))</f>
        <v/>
      </c>
      <c r="G3546" t="str">
        <f t="shared" si="111"/>
        <v/>
      </c>
    </row>
    <row r="3547" spans="1:7" x14ac:dyDescent="0.3">
      <c r="A3547" s="21" t="str">
        <f>IF(A3546="","",IF(A3546+1&gt;Ввод!$B$4,"",A3546+1))</f>
        <v/>
      </c>
      <c r="B3547" s="23" t="str">
        <f>IF(A3547="","",IFERROR(INDEX(Ввод!$B$12:$B$71,MATCH(A3547,Ввод!$D$12:$D$71,1)),""))</f>
        <v/>
      </c>
      <c r="C3547" t="str">
        <f t="shared" si="110"/>
        <v/>
      </c>
      <c r="D3547" t="str">
        <f>IF(A3547="","",SUMIFS(Акты!$D$5:$D$16,Акты!$E$5:$E$16,"&lt;="&amp;A3547)-SUMIFS(Оплаты!$B$6:$B$505,Оплаты!$A$6:$A$505,"&lt;"&amp;A3547,Оплаты!$D$6:$D$505,"&lt;&gt;"))</f>
        <v/>
      </c>
      <c r="E3547" t="str">
        <f>IF(A3547="","",IF(SUMPRODUCT((Ввод!$F$12:$F$31&lt;&gt;"")*(Ввод!$F$12:$F$31&lt;=A3547)*(Ввод!$G$12:$G$31&gt;=A3547))&gt;0,1,0))</f>
        <v/>
      </c>
      <c r="G3547" t="str">
        <f t="shared" si="111"/>
        <v/>
      </c>
    </row>
    <row r="3548" spans="1:7" x14ac:dyDescent="0.3">
      <c r="A3548" s="21" t="str">
        <f>IF(A3547="","",IF(A3547+1&gt;Ввод!$B$4,"",A3547+1))</f>
        <v/>
      </c>
      <c r="B3548" s="23" t="str">
        <f>IF(A3548="","",IFERROR(INDEX(Ввод!$B$12:$B$71,MATCH(A3548,Ввод!$D$12:$D$71,1)),""))</f>
        <v/>
      </c>
      <c r="C3548" t="str">
        <f t="shared" si="110"/>
        <v/>
      </c>
      <c r="D3548" t="str">
        <f>IF(A3548="","",SUMIFS(Акты!$D$5:$D$16,Акты!$E$5:$E$16,"&lt;="&amp;A3548)-SUMIFS(Оплаты!$B$6:$B$505,Оплаты!$A$6:$A$505,"&lt;"&amp;A3548,Оплаты!$D$6:$D$505,"&lt;&gt;"))</f>
        <v/>
      </c>
      <c r="E3548" t="str">
        <f>IF(A3548="","",IF(SUMPRODUCT((Ввод!$F$12:$F$31&lt;&gt;"")*(Ввод!$F$12:$F$31&lt;=A3548)*(Ввод!$G$12:$G$31&gt;=A3548))&gt;0,1,0))</f>
        <v/>
      </c>
      <c r="G3548" t="str">
        <f t="shared" si="111"/>
        <v/>
      </c>
    </row>
    <row r="3549" spans="1:7" x14ac:dyDescent="0.3">
      <c r="A3549" s="21" t="str">
        <f>IF(A3548="","",IF(A3548+1&gt;Ввод!$B$4,"",A3548+1))</f>
        <v/>
      </c>
      <c r="B3549" s="23" t="str">
        <f>IF(A3549="","",IFERROR(INDEX(Ввод!$B$12:$B$71,MATCH(A3549,Ввод!$D$12:$D$71,1)),""))</f>
        <v/>
      </c>
      <c r="C3549" t="str">
        <f t="shared" si="110"/>
        <v/>
      </c>
      <c r="D3549" t="str">
        <f>IF(A3549="","",SUMIFS(Акты!$D$5:$D$16,Акты!$E$5:$E$16,"&lt;="&amp;A3549)-SUMIFS(Оплаты!$B$6:$B$505,Оплаты!$A$6:$A$505,"&lt;"&amp;A3549,Оплаты!$D$6:$D$505,"&lt;&gt;"))</f>
        <v/>
      </c>
      <c r="E3549" t="str">
        <f>IF(A3549="","",IF(SUMPRODUCT((Ввод!$F$12:$F$31&lt;&gt;"")*(Ввод!$F$12:$F$31&lt;=A3549)*(Ввод!$G$12:$G$31&gt;=A3549))&gt;0,1,0))</f>
        <v/>
      </c>
      <c r="G3549" t="str">
        <f t="shared" si="111"/>
        <v/>
      </c>
    </row>
    <row r="3550" spans="1:7" x14ac:dyDescent="0.3">
      <c r="A3550" s="21" t="str">
        <f>IF(A3549="","",IF(A3549+1&gt;Ввод!$B$4,"",A3549+1))</f>
        <v/>
      </c>
      <c r="B3550" s="23" t="str">
        <f>IF(A3550="","",IFERROR(INDEX(Ввод!$B$12:$B$71,MATCH(A3550,Ввод!$D$12:$D$71,1)),""))</f>
        <v/>
      </c>
      <c r="C3550" t="str">
        <f t="shared" si="110"/>
        <v/>
      </c>
      <c r="D3550" t="str">
        <f>IF(A3550="","",SUMIFS(Акты!$D$5:$D$16,Акты!$E$5:$E$16,"&lt;="&amp;A3550)-SUMIFS(Оплаты!$B$6:$B$505,Оплаты!$A$6:$A$505,"&lt;"&amp;A3550,Оплаты!$D$6:$D$505,"&lt;&gt;"))</f>
        <v/>
      </c>
      <c r="E3550" t="str">
        <f>IF(A3550="","",IF(SUMPRODUCT((Ввод!$F$12:$F$31&lt;&gt;"")*(Ввод!$F$12:$F$31&lt;=A3550)*(Ввод!$G$12:$G$31&gt;=A3550))&gt;0,1,0))</f>
        <v/>
      </c>
      <c r="G3550" t="str">
        <f t="shared" si="111"/>
        <v/>
      </c>
    </row>
    <row r="3551" spans="1:7" x14ac:dyDescent="0.3">
      <c r="A3551" s="21" t="str">
        <f>IF(A3550="","",IF(A3550+1&gt;Ввод!$B$4,"",A3550+1))</f>
        <v/>
      </c>
      <c r="B3551" s="23" t="str">
        <f>IF(A3551="","",IFERROR(INDEX(Ввод!$B$12:$B$71,MATCH(A3551,Ввод!$D$12:$D$71,1)),""))</f>
        <v/>
      </c>
      <c r="C3551" t="str">
        <f t="shared" si="110"/>
        <v/>
      </c>
      <c r="D3551" t="str">
        <f>IF(A3551="","",SUMIFS(Акты!$D$5:$D$16,Акты!$E$5:$E$16,"&lt;="&amp;A3551)-SUMIFS(Оплаты!$B$6:$B$505,Оплаты!$A$6:$A$505,"&lt;"&amp;A3551,Оплаты!$D$6:$D$505,"&lt;&gt;"))</f>
        <v/>
      </c>
      <c r="E3551" t="str">
        <f>IF(A3551="","",IF(SUMPRODUCT((Ввод!$F$12:$F$31&lt;&gt;"")*(Ввод!$F$12:$F$31&lt;=A3551)*(Ввод!$G$12:$G$31&gt;=A3551))&gt;0,1,0))</f>
        <v/>
      </c>
      <c r="G3551" t="str">
        <f t="shared" si="111"/>
        <v/>
      </c>
    </row>
    <row r="3552" spans="1:7" x14ac:dyDescent="0.3">
      <c r="A3552" s="21" t="str">
        <f>IF(A3551="","",IF(A3551+1&gt;Ввод!$B$4,"",A3551+1))</f>
        <v/>
      </c>
      <c r="B3552" s="23" t="str">
        <f>IF(A3552="","",IFERROR(INDEX(Ввод!$B$12:$B$71,MATCH(A3552,Ввод!$D$12:$D$71,1)),""))</f>
        <v/>
      </c>
      <c r="C3552" t="str">
        <f t="shared" si="110"/>
        <v/>
      </c>
      <c r="D3552" t="str">
        <f>IF(A3552="","",SUMIFS(Акты!$D$5:$D$16,Акты!$E$5:$E$16,"&lt;="&amp;A3552)-SUMIFS(Оплаты!$B$6:$B$505,Оплаты!$A$6:$A$505,"&lt;"&amp;A3552,Оплаты!$D$6:$D$505,"&lt;&gt;"))</f>
        <v/>
      </c>
      <c r="E3552" t="str">
        <f>IF(A3552="","",IF(SUMPRODUCT((Ввод!$F$12:$F$31&lt;&gt;"")*(Ввод!$F$12:$F$31&lt;=A3552)*(Ввод!$G$12:$G$31&gt;=A3552))&gt;0,1,0))</f>
        <v/>
      </c>
      <c r="G3552" t="str">
        <f t="shared" si="111"/>
        <v/>
      </c>
    </row>
    <row r="3553" spans="1:7" x14ac:dyDescent="0.3">
      <c r="A3553" s="21" t="str">
        <f>IF(A3552="","",IF(A3552+1&gt;Ввод!$B$4,"",A3552+1))</f>
        <v/>
      </c>
      <c r="B3553" s="23" t="str">
        <f>IF(A3553="","",IFERROR(INDEX(Ввод!$B$12:$B$71,MATCH(A3553,Ввод!$D$12:$D$71,1)),""))</f>
        <v/>
      </c>
      <c r="C3553" t="str">
        <f t="shared" si="110"/>
        <v/>
      </c>
      <c r="D3553" t="str">
        <f>IF(A3553="","",SUMIFS(Акты!$D$5:$D$16,Акты!$E$5:$E$16,"&lt;="&amp;A3553)-SUMIFS(Оплаты!$B$6:$B$505,Оплаты!$A$6:$A$505,"&lt;"&amp;A3553,Оплаты!$D$6:$D$505,"&lt;&gt;"))</f>
        <v/>
      </c>
      <c r="E3553" t="str">
        <f>IF(A3553="","",IF(SUMPRODUCT((Ввод!$F$12:$F$31&lt;&gt;"")*(Ввод!$F$12:$F$31&lt;=A3553)*(Ввод!$G$12:$G$31&gt;=A3553))&gt;0,1,0))</f>
        <v/>
      </c>
      <c r="G3553" t="str">
        <f t="shared" si="111"/>
        <v/>
      </c>
    </row>
    <row r="3554" spans="1:7" x14ac:dyDescent="0.3">
      <c r="A3554" s="21" t="str">
        <f>IF(A3553="","",IF(A3553+1&gt;Ввод!$B$4,"",A3553+1))</f>
        <v/>
      </c>
      <c r="B3554" s="23" t="str">
        <f>IF(A3554="","",IFERROR(INDEX(Ввод!$B$12:$B$71,MATCH(A3554,Ввод!$D$12:$D$71,1)),""))</f>
        <v/>
      </c>
      <c r="C3554" t="str">
        <f t="shared" si="110"/>
        <v/>
      </c>
      <c r="D3554" t="str">
        <f>IF(A3554="","",SUMIFS(Акты!$D$5:$D$16,Акты!$E$5:$E$16,"&lt;="&amp;A3554)-SUMIFS(Оплаты!$B$6:$B$505,Оплаты!$A$6:$A$505,"&lt;"&amp;A3554,Оплаты!$D$6:$D$505,"&lt;&gt;"))</f>
        <v/>
      </c>
      <c r="E3554" t="str">
        <f>IF(A3554="","",IF(SUMPRODUCT((Ввод!$F$12:$F$31&lt;&gt;"")*(Ввод!$F$12:$F$31&lt;=A3554)*(Ввод!$G$12:$G$31&gt;=A3554))&gt;0,1,0))</f>
        <v/>
      </c>
      <c r="G3554" t="str">
        <f t="shared" si="111"/>
        <v/>
      </c>
    </row>
    <row r="3555" spans="1:7" x14ac:dyDescent="0.3">
      <c r="A3555" s="21" t="str">
        <f>IF(A3554="","",IF(A3554+1&gt;Ввод!$B$4,"",A3554+1))</f>
        <v/>
      </c>
      <c r="B3555" s="23" t="str">
        <f>IF(A3555="","",IFERROR(INDEX(Ввод!$B$12:$B$71,MATCH(A3555,Ввод!$D$12:$D$71,1)),""))</f>
        <v/>
      </c>
      <c r="C3555" t="str">
        <f t="shared" si="110"/>
        <v/>
      </c>
      <c r="D3555" t="str">
        <f>IF(A3555="","",SUMIFS(Акты!$D$5:$D$16,Акты!$E$5:$E$16,"&lt;="&amp;A3555)-SUMIFS(Оплаты!$B$6:$B$505,Оплаты!$A$6:$A$505,"&lt;"&amp;A3555,Оплаты!$D$6:$D$505,"&lt;&gt;"))</f>
        <v/>
      </c>
      <c r="E3555" t="str">
        <f>IF(A3555="","",IF(SUMPRODUCT((Ввод!$F$12:$F$31&lt;&gt;"")*(Ввод!$F$12:$F$31&lt;=A3555)*(Ввод!$G$12:$G$31&gt;=A3555))&gt;0,1,0))</f>
        <v/>
      </c>
      <c r="G3555" t="str">
        <f t="shared" si="111"/>
        <v/>
      </c>
    </row>
    <row r="3556" spans="1:7" x14ac:dyDescent="0.3">
      <c r="A3556" s="21" t="str">
        <f>IF(A3555="","",IF(A3555+1&gt;Ввод!$B$4,"",A3555+1))</f>
        <v/>
      </c>
      <c r="B3556" s="23" t="str">
        <f>IF(A3556="","",IFERROR(INDEX(Ввод!$B$12:$B$71,MATCH(A3556,Ввод!$D$12:$D$71,1)),""))</f>
        <v/>
      </c>
      <c r="C3556" t="str">
        <f t="shared" si="110"/>
        <v/>
      </c>
      <c r="D3556" t="str">
        <f>IF(A3556="","",SUMIFS(Акты!$D$5:$D$16,Акты!$E$5:$E$16,"&lt;="&amp;A3556)-SUMIFS(Оплаты!$B$6:$B$505,Оплаты!$A$6:$A$505,"&lt;"&amp;A3556,Оплаты!$D$6:$D$505,"&lt;&gt;"))</f>
        <v/>
      </c>
      <c r="E3556" t="str">
        <f>IF(A3556="","",IF(SUMPRODUCT((Ввод!$F$12:$F$31&lt;&gt;"")*(Ввод!$F$12:$F$31&lt;=A3556)*(Ввод!$G$12:$G$31&gt;=A3556))&gt;0,1,0))</f>
        <v/>
      </c>
      <c r="G3556" t="str">
        <f t="shared" si="111"/>
        <v/>
      </c>
    </row>
    <row r="3557" spans="1:7" x14ac:dyDescent="0.3">
      <c r="A3557" s="21" t="str">
        <f>IF(A3556="","",IF(A3556+1&gt;Ввод!$B$4,"",A3556+1))</f>
        <v/>
      </c>
      <c r="B3557" s="23" t="str">
        <f>IF(A3557="","",IFERROR(INDEX(Ввод!$B$12:$B$71,MATCH(A3557,Ввод!$D$12:$D$71,1)),""))</f>
        <v/>
      </c>
      <c r="C3557" t="str">
        <f t="shared" si="110"/>
        <v/>
      </c>
      <c r="D3557" t="str">
        <f>IF(A3557="","",SUMIFS(Акты!$D$5:$D$16,Акты!$E$5:$E$16,"&lt;="&amp;A3557)-SUMIFS(Оплаты!$B$6:$B$505,Оплаты!$A$6:$A$505,"&lt;"&amp;A3557,Оплаты!$D$6:$D$505,"&lt;&gt;"))</f>
        <v/>
      </c>
      <c r="E3557" t="str">
        <f>IF(A3557="","",IF(SUMPRODUCT((Ввод!$F$12:$F$31&lt;&gt;"")*(Ввод!$F$12:$F$31&lt;=A3557)*(Ввод!$G$12:$G$31&gt;=A3557))&gt;0,1,0))</f>
        <v/>
      </c>
      <c r="G3557" t="str">
        <f t="shared" si="111"/>
        <v/>
      </c>
    </row>
    <row r="3558" spans="1:7" x14ac:dyDescent="0.3">
      <c r="A3558" s="21" t="str">
        <f>IF(A3557="","",IF(A3557+1&gt;Ввод!$B$4,"",A3557+1))</f>
        <v/>
      </c>
      <c r="B3558" s="23" t="str">
        <f>IF(A3558="","",IFERROR(INDEX(Ввод!$B$12:$B$71,MATCH(A3558,Ввод!$D$12:$D$71,1)),""))</f>
        <v/>
      </c>
      <c r="C3558" t="str">
        <f t="shared" si="110"/>
        <v/>
      </c>
      <c r="D3558" t="str">
        <f>IF(A3558="","",SUMIFS(Акты!$D$5:$D$16,Акты!$E$5:$E$16,"&lt;="&amp;A3558)-SUMIFS(Оплаты!$B$6:$B$505,Оплаты!$A$6:$A$505,"&lt;"&amp;A3558,Оплаты!$D$6:$D$505,"&lt;&gt;"))</f>
        <v/>
      </c>
      <c r="E3558" t="str">
        <f>IF(A3558="","",IF(SUMPRODUCT((Ввод!$F$12:$F$31&lt;&gt;"")*(Ввод!$F$12:$F$31&lt;=A3558)*(Ввод!$G$12:$G$31&gt;=A3558))&gt;0,1,0))</f>
        <v/>
      </c>
      <c r="G3558" t="str">
        <f t="shared" si="111"/>
        <v/>
      </c>
    </row>
    <row r="3559" spans="1:7" x14ac:dyDescent="0.3">
      <c r="A3559" s="21" t="str">
        <f>IF(A3558="","",IF(A3558+1&gt;Ввод!$B$4,"",A3558+1))</f>
        <v/>
      </c>
      <c r="B3559" s="23" t="str">
        <f>IF(A3559="","",IFERROR(INDEX(Ввод!$B$12:$B$71,MATCH(A3559,Ввод!$D$12:$D$71,1)),""))</f>
        <v/>
      </c>
      <c r="C3559" t="str">
        <f t="shared" si="110"/>
        <v/>
      </c>
      <c r="D3559" t="str">
        <f>IF(A3559="","",SUMIFS(Акты!$D$5:$D$16,Акты!$E$5:$E$16,"&lt;="&amp;A3559)-SUMIFS(Оплаты!$B$6:$B$505,Оплаты!$A$6:$A$505,"&lt;"&amp;A3559,Оплаты!$D$6:$D$505,"&lt;&gt;"))</f>
        <v/>
      </c>
      <c r="E3559" t="str">
        <f>IF(A3559="","",IF(SUMPRODUCT((Ввод!$F$12:$F$31&lt;&gt;"")*(Ввод!$F$12:$F$31&lt;=A3559)*(Ввод!$G$12:$G$31&gt;=A3559))&gt;0,1,0))</f>
        <v/>
      </c>
      <c r="G3559" t="str">
        <f t="shared" si="111"/>
        <v/>
      </c>
    </row>
    <row r="3560" spans="1:7" x14ac:dyDescent="0.3">
      <c r="A3560" s="21" t="str">
        <f>IF(A3559="","",IF(A3559+1&gt;Ввод!$B$4,"",A3559+1))</f>
        <v/>
      </c>
      <c r="B3560" s="23" t="str">
        <f>IF(A3560="","",IFERROR(INDEX(Ввод!$B$12:$B$71,MATCH(A3560,Ввод!$D$12:$D$71,1)),""))</f>
        <v/>
      </c>
      <c r="C3560" t="str">
        <f t="shared" si="110"/>
        <v/>
      </c>
      <c r="D3560" t="str">
        <f>IF(A3560="","",SUMIFS(Акты!$D$5:$D$16,Акты!$E$5:$E$16,"&lt;="&amp;A3560)-SUMIFS(Оплаты!$B$6:$B$505,Оплаты!$A$6:$A$505,"&lt;"&amp;A3560,Оплаты!$D$6:$D$505,"&lt;&gt;"))</f>
        <v/>
      </c>
      <c r="E3560" t="str">
        <f>IF(A3560="","",IF(SUMPRODUCT((Ввод!$F$12:$F$31&lt;&gt;"")*(Ввод!$F$12:$F$31&lt;=A3560)*(Ввод!$G$12:$G$31&gt;=A3560))&gt;0,1,0))</f>
        <v/>
      </c>
      <c r="G3560" t="str">
        <f t="shared" si="111"/>
        <v/>
      </c>
    </row>
    <row r="3561" spans="1:7" x14ac:dyDescent="0.3">
      <c r="A3561" s="21" t="str">
        <f>IF(A3560="","",IF(A3560+1&gt;Ввод!$B$4,"",A3560+1))</f>
        <v/>
      </c>
      <c r="B3561" s="23" t="str">
        <f>IF(A3561="","",IFERROR(INDEX(Ввод!$B$12:$B$71,MATCH(A3561,Ввод!$D$12:$D$71,1)),""))</f>
        <v/>
      </c>
      <c r="C3561" t="str">
        <f t="shared" si="110"/>
        <v/>
      </c>
      <c r="D3561" t="str">
        <f>IF(A3561="","",SUMIFS(Акты!$D$5:$D$16,Акты!$E$5:$E$16,"&lt;="&amp;A3561)-SUMIFS(Оплаты!$B$6:$B$505,Оплаты!$A$6:$A$505,"&lt;"&amp;A3561,Оплаты!$D$6:$D$505,"&lt;&gt;"))</f>
        <v/>
      </c>
      <c r="E3561" t="str">
        <f>IF(A3561="","",IF(SUMPRODUCT((Ввод!$F$12:$F$31&lt;&gt;"")*(Ввод!$F$12:$F$31&lt;=A3561)*(Ввод!$G$12:$G$31&gt;=A3561))&gt;0,1,0))</f>
        <v/>
      </c>
      <c r="G3561" t="str">
        <f t="shared" si="111"/>
        <v/>
      </c>
    </row>
    <row r="3562" spans="1:7" x14ac:dyDescent="0.3">
      <c r="A3562" s="21" t="str">
        <f>IF(A3561="","",IF(A3561+1&gt;Ввод!$B$4,"",A3561+1))</f>
        <v/>
      </c>
      <c r="B3562" s="23" t="str">
        <f>IF(A3562="","",IFERROR(INDEX(Ввод!$B$12:$B$71,MATCH(A3562,Ввод!$D$12:$D$71,1)),""))</f>
        <v/>
      </c>
      <c r="C3562" t="str">
        <f t="shared" si="110"/>
        <v/>
      </c>
      <c r="D3562" t="str">
        <f>IF(A3562="","",SUMIFS(Акты!$D$5:$D$16,Акты!$E$5:$E$16,"&lt;="&amp;A3562)-SUMIFS(Оплаты!$B$6:$B$505,Оплаты!$A$6:$A$505,"&lt;"&amp;A3562,Оплаты!$D$6:$D$505,"&lt;&gt;"))</f>
        <v/>
      </c>
      <c r="E3562" t="str">
        <f>IF(A3562="","",IF(SUMPRODUCT((Ввод!$F$12:$F$31&lt;&gt;"")*(Ввод!$F$12:$F$31&lt;=A3562)*(Ввод!$G$12:$G$31&gt;=A3562))&gt;0,1,0))</f>
        <v/>
      </c>
      <c r="G3562" t="str">
        <f t="shared" si="111"/>
        <v/>
      </c>
    </row>
    <row r="3563" spans="1:7" x14ac:dyDescent="0.3">
      <c r="A3563" s="21" t="str">
        <f>IF(A3562="","",IF(A3562+1&gt;Ввод!$B$4,"",A3562+1))</f>
        <v/>
      </c>
      <c r="B3563" s="23" t="str">
        <f>IF(A3563="","",IFERROR(INDEX(Ввод!$B$12:$B$71,MATCH(A3563,Ввод!$D$12:$D$71,1)),""))</f>
        <v/>
      </c>
      <c r="C3563" t="str">
        <f t="shared" si="110"/>
        <v/>
      </c>
      <c r="D3563" t="str">
        <f>IF(A3563="","",SUMIFS(Акты!$D$5:$D$16,Акты!$E$5:$E$16,"&lt;="&amp;A3563)-SUMIFS(Оплаты!$B$6:$B$505,Оплаты!$A$6:$A$505,"&lt;"&amp;A3563,Оплаты!$D$6:$D$505,"&lt;&gt;"))</f>
        <v/>
      </c>
      <c r="E3563" t="str">
        <f>IF(A3563="","",IF(SUMPRODUCT((Ввод!$F$12:$F$31&lt;&gt;"")*(Ввод!$F$12:$F$31&lt;=A3563)*(Ввод!$G$12:$G$31&gt;=A3563))&gt;0,1,0))</f>
        <v/>
      </c>
      <c r="G3563" t="str">
        <f t="shared" si="111"/>
        <v/>
      </c>
    </row>
    <row r="3564" spans="1:7" x14ac:dyDescent="0.3">
      <c r="A3564" s="21" t="str">
        <f>IF(A3563="","",IF(A3563+1&gt;Ввод!$B$4,"",A3563+1))</f>
        <v/>
      </c>
      <c r="B3564" s="23" t="str">
        <f>IF(A3564="","",IFERROR(INDEX(Ввод!$B$12:$B$71,MATCH(A3564,Ввод!$D$12:$D$71,1)),""))</f>
        <v/>
      </c>
      <c r="C3564" t="str">
        <f t="shared" si="110"/>
        <v/>
      </c>
      <c r="D3564" t="str">
        <f>IF(A3564="","",SUMIFS(Акты!$D$5:$D$16,Акты!$E$5:$E$16,"&lt;="&amp;A3564)-SUMIFS(Оплаты!$B$6:$B$505,Оплаты!$A$6:$A$505,"&lt;"&amp;A3564,Оплаты!$D$6:$D$505,"&lt;&gt;"))</f>
        <v/>
      </c>
      <c r="E3564" t="str">
        <f>IF(A3564="","",IF(SUMPRODUCT((Ввод!$F$12:$F$31&lt;&gt;"")*(Ввод!$F$12:$F$31&lt;=A3564)*(Ввод!$G$12:$G$31&gt;=A3564))&gt;0,1,0))</f>
        <v/>
      </c>
      <c r="G3564" t="str">
        <f t="shared" si="111"/>
        <v/>
      </c>
    </row>
    <row r="3565" spans="1:7" x14ac:dyDescent="0.3">
      <c r="A3565" s="21" t="str">
        <f>IF(A3564="","",IF(A3564+1&gt;Ввод!$B$4,"",A3564+1))</f>
        <v/>
      </c>
      <c r="B3565" s="23" t="str">
        <f>IF(A3565="","",IFERROR(INDEX(Ввод!$B$12:$B$71,MATCH(A3565,Ввод!$D$12:$D$71,1)),""))</f>
        <v/>
      </c>
      <c r="C3565" t="str">
        <f t="shared" si="110"/>
        <v/>
      </c>
      <c r="D3565" t="str">
        <f>IF(A3565="","",SUMIFS(Акты!$D$5:$D$16,Акты!$E$5:$E$16,"&lt;="&amp;A3565)-SUMIFS(Оплаты!$B$6:$B$505,Оплаты!$A$6:$A$505,"&lt;"&amp;A3565,Оплаты!$D$6:$D$505,"&lt;&gt;"))</f>
        <v/>
      </c>
      <c r="E3565" t="str">
        <f>IF(A3565="","",IF(SUMPRODUCT((Ввод!$F$12:$F$31&lt;&gt;"")*(Ввод!$F$12:$F$31&lt;=A3565)*(Ввод!$G$12:$G$31&gt;=A3565))&gt;0,1,0))</f>
        <v/>
      </c>
      <c r="G3565" t="str">
        <f t="shared" si="111"/>
        <v/>
      </c>
    </row>
    <row r="3566" spans="1:7" x14ac:dyDescent="0.3">
      <c r="A3566" s="21" t="str">
        <f>IF(A3565="","",IF(A3565+1&gt;Ввод!$B$4,"",A3565+1))</f>
        <v/>
      </c>
      <c r="B3566" s="23" t="str">
        <f>IF(A3566="","",IFERROR(INDEX(Ввод!$B$12:$B$71,MATCH(A3566,Ввод!$D$12:$D$71,1)),""))</f>
        <v/>
      </c>
      <c r="C3566" t="str">
        <f t="shared" si="110"/>
        <v/>
      </c>
      <c r="D3566" t="str">
        <f>IF(A3566="","",SUMIFS(Акты!$D$5:$D$16,Акты!$E$5:$E$16,"&lt;="&amp;A3566)-SUMIFS(Оплаты!$B$6:$B$505,Оплаты!$A$6:$A$505,"&lt;"&amp;A3566,Оплаты!$D$6:$D$505,"&lt;&gt;"))</f>
        <v/>
      </c>
      <c r="E3566" t="str">
        <f>IF(A3566="","",IF(SUMPRODUCT((Ввод!$F$12:$F$31&lt;&gt;"")*(Ввод!$F$12:$F$31&lt;=A3566)*(Ввод!$G$12:$G$31&gt;=A3566))&gt;0,1,0))</f>
        <v/>
      </c>
      <c r="G3566" t="str">
        <f t="shared" si="111"/>
        <v/>
      </c>
    </row>
    <row r="3567" spans="1:7" x14ac:dyDescent="0.3">
      <c r="A3567" s="21" t="str">
        <f>IF(A3566="","",IF(A3566+1&gt;Ввод!$B$4,"",A3566+1))</f>
        <v/>
      </c>
      <c r="B3567" s="23" t="str">
        <f>IF(A3567="","",IFERROR(INDEX(Ввод!$B$12:$B$71,MATCH(A3567,Ввод!$D$12:$D$71,1)),""))</f>
        <v/>
      </c>
      <c r="C3567" t="str">
        <f t="shared" si="110"/>
        <v/>
      </c>
      <c r="D3567" t="str">
        <f>IF(A3567="","",SUMIFS(Акты!$D$5:$D$16,Акты!$E$5:$E$16,"&lt;="&amp;A3567)-SUMIFS(Оплаты!$B$6:$B$505,Оплаты!$A$6:$A$505,"&lt;"&amp;A3567,Оплаты!$D$6:$D$505,"&lt;&gt;"))</f>
        <v/>
      </c>
      <c r="E3567" t="str">
        <f>IF(A3567="","",IF(SUMPRODUCT((Ввод!$F$12:$F$31&lt;&gt;"")*(Ввод!$F$12:$F$31&lt;=A3567)*(Ввод!$G$12:$G$31&gt;=A3567))&gt;0,1,0))</f>
        <v/>
      </c>
      <c r="G3567" t="str">
        <f t="shared" si="111"/>
        <v/>
      </c>
    </row>
    <row r="3568" spans="1:7" x14ac:dyDescent="0.3">
      <c r="A3568" s="21" t="str">
        <f>IF(A3567="","",IF(A3567+1&gt;Ввод!$B$4,"",A3567+1))</f>
        <v/>
      </c>
      <c r="B3568" s="23" t="str">
        <f>IF(A3568="","",IFERROR(INDEX(Ввод!$B$12:$B$71,MATCH(A3568,Ввод!$D$12:$D$71,1)),""))</f>
        <v/>
      </c>
      <c r="C3568" t="str">
        <f t="shared" si="110"/>
        <v/>
      </c>
      <c r="D3568" t="str">
        <f>IF(A3568="","",SUMIFS(Акты!$D$5:$D$16,Акты!$E$5:$E$16,"&lt;="&amp;A3568)-SUMIFS(Оплаты!$B$6:$B$505,Оплаты!$A$6:$A$505,"&lt;"&amp;A3568,Оплаты!$D$6:$D$505,"&lt;&gt;"))</f>
        <v/>
      </c>
      <c r="E3568" t="str">
        <f>IF(A3568="","",IF(SUMPRODUCT((Ввод!$F$12:$F$31&lt;&gt;"")*(Ввод!$F$12:$F$31&lt;=A3568)*(Ввод!$G$12:$G$31&gt;=A3568))&gt;0,1,0))</f>
        <v/>
      </c>
      <c r="G3568" t="str">
        <f t="shared" si="111"/>
        <v/>
      </c>
    </row>
    <row r="3569" spans="1:7" x14ac:dyDescent="0.3">
      <c r="A3569" s="21" t="str">
        <f>IF(A3568="","",IF(A3568+1&gt;Ввод!$B$4,"",A3568+1))</f>
        <v/>
      </c>
      <c r="B3569" s="23" t="str">
        <f>IF(A3569="","",IFERROR(INDEX(Ввод!$B$12:$B$71,MATCH(A3569,Ввод!$D$12:$D$71,1)),""))</f>
        <v/>
      </c>
      <c r="C3569" t="str">
        <f t="shared" si="110"/>
        <v/>
      </c>
      <c r="D3569" t="str">
        <f>IF(A3569="","",SUMIFS(Акты!$D$5:$D$16,Акты!$E$5:$E$16,"&lt;="&amp;A3569)-SUMIFS(Оплаты!$B$6:$B$505,Оплаты!$A$6:$A$505,"&lt;"&amp;A3569,Оплаты!$D$6:$D$505,"&lt;&gt;"))</f>
        <v/>
      </c>
      <c r="E3569" t="str">
        <f>IF(A3569="","",IF(SUMPRODUCT((Ввод!$F$12:$F$31&lt;&gt;"")*(Ввод!$F$12:$F$31&lt;=A3569)*(Ввод!$G$12:$G$31&gt;=A3569))&gt;0,1,0))</f>
        <v/>
      </c>
      <c r="G3569" t="str">
        <f t="shared" si="111"/>
        <v/>
      </c>
    </row>
    <row r="3570" spans="1:7" x14ac:dyDescent="0.3">
      <c r="A3570" s="21" t="str">
        <f>IF(A3569="","",IF(A3569+1&gt;Ввод!$B$4,"",A3569+1))</f>
        <v/>
      </c>
      <c r="B3570" s="23" t="str">
        <f>IF(A3570="","",IFERROR(INDEX(Ввод!$B$12:$B$71,MATCH(A3570,Ввод!$D$12:$D$71,1)),""))</f>
        <v/>
      </c>
      <c r="C3570" t="str">
        <f t="shared" si="110"/>
        <v/>
      </c>
      <c r="D3570" t="str">
        <f>IF(A3570="","",SUMIFS(Акты!$D$5:$D$16,Акты!$E$5:$E$16,"&lt;="&amp;A3570)-SUMIFS(Оплаты!$B$6:$B$505,Оплаты!$A$6:$A$505,"&lt;"&amp;A3570,Оплаты!$D$6:$D$505,"&lt;&gt;"))</f>
        <v/>
      </c>
      <c r="E3570" t="str">
        <f>IF(A3570="","",IF(SUMPRODUCT((Ввод!$F$12:$F$31&lt;&gt;"")*(Ввод!$F$12:$F$31&lt;=A3570)*(Ввод!$G$12:$G$31&gt;=A3570))&gt;0,1,0))</f>
        <v/>
      </c>
      <c r="G3570" t="str">
        <f t="shared" si="111"/>
        <v/>
      </c>
    </row>
    <row r="3571" spans="1:7" x14ac:dyDescent="0.3">
      <c r="A3571" s="21" t="str">
        <f>IF(A3570="","",IF(A3570+1&gt;Ввод!$B$4,"",A3570+1))</f>
        <v/>
      </c>
      <c r="B3571" s="23" t="str">
        <f>IF(A3571="","",IFERROR(INDEX(Ввод!$B$12:$B$71,MATCH(A3571,Ввод!$D$12:$D$71,1)),""))</f>
        <v/>
      </c>
      <c r="C3571" t="str">
        <f t="shared" si="110"/>
        <v/>
      </c>
      <c r="D3571" t="str">
        <f>IF(A3571="","",SUMIFS(Акты!$D$5:$D$16,Акты!$E$5:$E$16,"&lt;="&amp;A3571)-SUMIFS(Оплаты!$B$6:$B$505,Оплаты!$A$6:$A$505,"&lt;"&amp;A3571,Оплаты!$D$6:$D$505,"&lt;&gt;"))</f>
        <v/>
      </c>
      <c r="E3571" t="str">
        <f>IF(A3571="","",IF(SUMPRODUCT((Ввод!$F$12:$F$31&lt;&gt;"")*(Ввод!$F$12:$F$31&lt;=A3571)*(Ввод!$G$12:$G$31&gt;=A3571))&gt;0,1,0))</f>
        <v/>
      </c>
      <c r="G3571" t="str">
        <f t="shared" si="111"/>
        <v/>
      </c>
    </row>
    <row r="3572" spans="1:7" x14ac:dyDescent="0.3">
      <c r="A3572" s="21" t="str">
        <f>IF(A3571="","",IF(A3571+1&gt;Ввод!$B$4,"",A3571+1))</f>
        <v/>
      </c>
      <c r="B3572" s="23" t="str">
        <f>IF(A3572="","",IFERROR(INDEX(Ввод!$B$12:$B$71,MATCH(A3572,Ввод!$D$12:$D$71,1)),""))</f>
        <v/>
      </c>
      <c r="C3572" t="str">
        <f t="shared" si="110"/>
        <v/>
      </c>
      <c r="D3572" t="str">
        <f>IF(A3572="","",SUMIFS(Акты!$D$5:$D$16,Акты!$E$5:$E$16,"&lt;="&amp;A3572)-SUMIFS(Оплаты!$B$6:$B$505,Оплаты!$A$6:$A$505,"&lt;"&amp;A3572,Оплаты!$D$6:$D$505,"&lt;&gt;"))</f>
        <v/>
      </c>
      <c r="E3572" t="str">
        <f>IF(A3572="","",IF(SUMPRODUCT((Ввод!$F$12:$F$31&lt;&gt;"")*(Ввод!$F$12:$F$31&lt;=A3572)*(Ввод!$G$12:$G$31&gt;=A3572))&gt;0,1,0))</f>
        <v/>
      </c>
      <c r="G3572" t="str">
        <f t="shared" si="111"/>
        <v/>
      </c>
    </row>
    <row r="3573" spans="1:7" x14ac:dyDescent="0.3">
      <c r="A3573" s="21" t="str">
        <f>IF(A3572="","",IF(A3572+1&gt;Ввод!$B$4,"",A3572+1))</f>
        <v/>
      </c>
      <c r="B3573" s="23" t="str">
        <f>IF(A3573="","",IFERROR(INDEX(Ввод!$B$12:$B$71,MATCH(A3573,Ввод!$D$12:$D$71,1)),""))</f>
        <v/>
      </c>
      <c r="C3573" t="str">
        <f t="shared" si="110"/>
        <v/>
      </c>
      <c r="D3573" t="str">
        <f>IF(A3573="","",SUMIFS(Акты!$D$5:$D$16,Акты!$E$5:$E$16,"&lt;="&amp;A3573)-SUMIFS(Оплаты!$B$6:$B$505,Оплаты!$A$6:$A$505,"&lt;"&amp;A3573,Оплаты!$D$6:$D$505,"&lt;&gt;"))</f>
        <v/>
      </c>
      <c r="E3573" t="str">
        <f>IF(A3573="","",IF(SUMPRODUCT((Ввод!$F$12:$F$31&lt;&gt;"")*(Ввод!$F$12:$F$31&lt;=A3573)*(Ввод!$G$12:$G$31&gt;=A3573))&gt;0,1,0))</f>
        <v/>
      </c>
      <c r="G3573" t="str">
        <f t="shared" si="111"/>
        <v/>
      </c>
    </row>
    <row r="3574" spans="1:7" x14ac:dyDescent="0.3">
      <c r="A3574" s="21" t="str">
        <f>IF(A3573="","",IF(A3573+1&gt;Ввод!$B$4,"",A3573+1))</f>
        <v/>
      </c>
      <c r="B3574" s="23" t="str">
        <f>IF(A3574="","",IFERROR(INDEX(Ввод!$B$12:$B$71,MATCH(A3574,Ввод!$D$12:$D$71,1)),""))</f>
        <v/>
      </c>
      <c r="C3574" t="str">
        <f t="shared" si="110"/>
        <v/>
      </c>
      <c r="D3574" t="str">
        <f>IF(A3574="","",SUMIFS(Акты!$D$5:$D$16,Акты!$E$5:$E$16,"&lt;="&amp;A3574)-SUMIFS(Оплаты!$B$6:$B$505,Оплаты!$A$6:$A$505,"&lt;"&amp;A3574,Оплаты!$D$6:$D$505,"&lt;&gt;"))</f>
        <v/>
      </c>
      <c r="E3574" t="str">
        <f>IF(A3574="","",IF(SUMPRODUCT((Ввод!$F$12:$F$31&lt;&gt;"")*(Ввод!$F$12:$F$31&lt;=A3574)*(Ввод!$G$12:$G$31&gt;=A3574))&gt;0,1,0))</f>
        <v/>
      </c>
      <c r="G3574" t="str">
        <f t="shared" si="111"/>
        <v/>
      </c>
    </row>
    <row r="3575" spans="1:7" x14ac:dyDescent="0.3">
      <c r="A3575" s="21" t="str">
        <f>IF(A3574="","",IF(A3574+1&gt;Ввод!$B$4,"",A3574+1))</f>
        <v/>
      </c>
      <c r="B3575" s="23" t="str">
        <f>IF(A3575="","",IFERROR(INDEX(Ввод!$B$12:$B$71,MATCH(A3575,Ввод!$D$12:$D$71,1)),""))</f>
        <v/>
      </c>
      <c r="C3575" t="str">
        <f t="shared" si="110"/>
        <v/>
      </c>
      <c r="D3575" t="str">
        <f>IF(A3575="","",SUMIFS(Акты!$D$5:$D$16,Акты!$E$5:$E$16,"&lt;="&amp;A3575)-SUMIFS(Оплаты!$B$6:$B$505,Оплаты!$A$6:$A$505,"&lt;"&amp;A3575,Оплаты!$D$6:$D$505,"&lt;&gt;"))</f>
        <v/>
      </c>
      <c r="E3575" t="str">
        <f>IF(A3575="","",IF(SUMPRODUCT((Ввод!$F$12:$F$31&lt;&gt;"")*(Ввод!$F$12:$F$31&lt;=A3575)*(Ввод!$G$12:$G$31&gt;=A3575))&gt;0,1,0))</f>
        <v/>
      </c>
      <c r="G3575" t="str">
        <f t="shared" si="111"/>
        <v/>
      </c>
    </row>
    <row r="3576" spans="1:7" x14ac:dyDescent="0.3">
      <c r="A3576" s="21" t="str">
        <f>IF(A3575="","",IF(A3575+1&gt;Ввод!$B$4,"",A3575+1))</f>
        <v/>
      </c>
      <c r="B3576" s="23" t="str">
        <f>IF(A3576="","",IFERROR(INDEX(Ввод!$B$12:$B$71,MATCH(A3576,Ввод!$D$12:$D$71,1)),""))</f>
        <v/>
      </c>
      <c r="C3576" t="str">
        <f t="shared" si="110"/>
        <v/>
      </c>
      <c r="D3576" t="str">
        <f>IF(A3576="","",SUMIFS(Акты!$D$5:$D$16,Акты!$E$5:$E$16,"&lt;="&amp;A3576)-SUMIFS(Оплаты!$B$6:$B$505,Оплаты!$A$6:$A$505,"&lt;"&amp;A3576,Оплаты!$D$6:$D$505,"&lt;&gt;"))</f>
        <v/>
      </c>
      <c r="E3576" t="str">
        <f>IF(A3576="","",IF(SUMPRODUCT((Ввод!$F$12:$F$31&lt;&gt;"")*(Ввод!$F$12:$F$31&lt;=A3576)*(Ввод!$G$12:$G$31&gt;=A3576))&gt;0,1,0))</f>
        <v/>
      </c>
      <c r="G3576" t="str">
        <f t="shared" si="111"/>
        <v/>
      </c>
    </row>
    <row r="3577" spans="1:7" x14ac:dyDescent="0.3">
      <c r="A3577" s="21" t="str">
        <f>IF(A3576="","",IF(A3576+1&gt;Ввод!$B$4,"",A3576+1))</f>
        <v/>
      </c>
      <c r="B3577" s="23" t="str">
        <f>IF(A3577="","",IFERROR(INDEX(Ввод!$B$12:$B$71,MATCH(A3577,Ввод!$D$12:$D$71,1)),""))</f>
        <v/>
      </c>
      <c r="C3577" t="str">
        <f t="shared" si="110"/>
        <v/>
      </c>
      <c r="D3577" t="str">
        <f>IF(A3577="","",SUMIFS(Акты!$D$5:$D$16,Акты!$E$5:$E$16,"&lt;="&amp;A3577)-SUMIFS(Оплаты!$B$6:$B$505,Оплаты!$A$6:$A$505,"&lt;"&amp;A3577,Оплаты!$D$6:$D$505,"&lt;&gt;"))</f>
        <v/>
      </c>
      <c r="E3577" t="str">
        <f>IF(A3577="","",IF(SUMPRODUCT((Ввод!$F$12:$F$31&lt;&gt;"")*(Ввод!$F$12:$F$31&lt;=A3577)*(Ввод!$G$12:$G$31&gt;=A3577))&gt;0,1,0))</f>
        <v/>
      </c>
      <c r="G3577" t="str">
        <f t="shared" si="111"/>
        <v/>
      </c>
    </row>
    <row r="3578" spans="1:7" x14ac:dyDescent="0.3">
      <c r="A3578" s="21" t="str">
        <f>IF(A3577="","",IF(A3577+1&gt;Ввод!$B$4,"",A3577+1))</f>
        <v/>
      </c>
      <c r="B3578" s="23" t="str">
        <f>IF(A3578="","",IFERROR(INDEX(Ввод!$B$12:$B$71,MATCH(A3578,Ввод!$D$12:$D$71,1)),""))</f>
        <v/>
      </c>
      <c r="C3578" t="str">
        <f t="shared" si="110"/>
        <v/>
      </c>
      <c r="D3578" t="str">
        <f>IF(A3578="","",SUMIFS(Акты!$D$5:$D$16,Акты!$E$5:$E$16,"&lt;="&amp;A3578)-SUMIFS(Оплаты!$B$6:$B$505,Оплаты!$A$6:$A$505,"&lt;"&amp;A3578,Оплаты!$D$6:$D$505,"&lt;&gt;"))</f>
        <v/>
      </c>
      <c r="E3578" t="str">
        <f>IF(A3578="","",IF(SUMPRODUCT((Ввод!$F$12:$F$31&lt;&gt;"")*(Ввод!$F$12:$F$31&lt;=A3578)*(Ввод!$G$12:$G$31&gt;=A3578))&gt;0,1,0))</f>
        <v/>
      </c>
      <c r="G3578" t="str">
        <f t="shared" si="111"/>
        <v/>
      </c>
    </row>
    <row r="3579" spans="1:7" x14ac:dyDescent="0.3">
      <c r="A3579" s="21" t="str">
        <f>IF(A3578="","",IF(A3578+1&gt;Ввод!$B$4,"",A3578+1))</f>
        <v/>
      </c>
      <c r="B3579" s="23" t="str">
        <f>IF(A3579="","",IFERROR(INDEX(Ввод!$B$12:$B$71,MATCH(A3579,Ввод!$D$12:$D$71,1)),""))</f>
        <v/>
      </c>
      <c r="C3579" t="str">
        <f t="shared" si="110"/>
        <v/>
      </c>
      <c r="D3579" t="str">
        <f>IF(A3579="","",SUMIFS(Акты!$D$5:$D$16,Акты!$E$5:$E$16,"&lt;="&amp;A3579)-SUMIFS(Оплаты!$B$6:$B$505,Оплаты!$A$6:$A$505,"&lt;"&amp;A3579,Оплаты!$D$6:$D$505,"&lt;&gt;"))</f>
        <v/>
      </c>
      <c r="E3579" t="str">
        <f>IF(A3579="","",IF(SUMPRODUCT((Ввод!$F$12:$F$31&lt;&gt;"")*(Ввод!$F$12:$F$31&lt;=A3579)*(Ввод!$G$12:$G$31&gt;=A3579))&gt;0,1,0))</f>
        <v/>
      </c>
      <c r="G3579" t="str">
        <f t="shared" si="111"/>
        <v/>
      </c>
    </row>
    <row r="3580" spans="1:7" x14ac:dyDescent="0.3">
      <c r="A3580" s="21" t="str">
        <f>IF(A3579="","",IF(A3579+1&gt;Ввод!$B$4,"",A3579+1))</f>
        <v/>
      </c>
      <c r="B3580" s="23" t="str">
        <f>IF(A3580="","",IFERROR(INDEX(Ввод!$B$12:$B$71,MATCH(A3580,Ввод!$D$12:$D$71,1)),""))</f>
        <v/>
      </c>
      <c r="C3580" t="str">
        <f t="shared" si="110"/>
        <v/>
      </c>
      <c r="D3580" t="str">
        <f>IF(A3580="","",SUMIFS(Акты!$D$5:$D$16,Акты!$E$5:$E$16,"&lt;="&amp;A3580)-SUMIFS(Оплаты!$B$6:$B$505,Оплаты!$A$6:$A$505,"&lt;"&amp;A3580,Оплаты!$D$6:$D$505,"&lt;&gt;"))</f>
        <v/>
      </c>
      <c r="E3580" t="str">
        <f>IF(A3580="","",IF(SUMPRODUCT((Ввод!$F$12:$F$31&lt;&gt;"")*(Ввод!$F$12:$F$31&lt;=A3580)*(Ввод!$G$12:$G$31&gt;=A3580))&gt;0,1,0))</f>
        <v/>
      </c>
      <c r="G3580" t="str">
        <f t="shared" si="111"/>
        <v/>
      </c>
    </row>
    <row r="3581" spans="1:7" x14ac:dyDescent="0.3">
      <c r="A3581" s="21" t="str">
        <f>IF(A3580="","",IF(A3580+1&gt;Ввод!$B$4,"",A3580+1))</f>
        <v/>
      </c>
      <c r="B3581" s="23" t="str">
        <f>IF(A3581="","",IFERROR(INDEX(Ввод!$B$12:$B$71,MATCH(A3581,Ввод!$D$12:$D$71,1)),""))</f>
        <v/>
      </c>
      <c r="C3581" t="str">
        <f t="shared" si="110"/>
        <v/>
      </c>
      <c r="D3581" t="str">
        <f>IF(A3581="","",SUMIFS(Акты!$D$5:$D$16,Акты!$E$5:$E$16,"&lt;="&amp;A3581)-SUMIFS(Оплаты!$B$6:$B$505,Оплаты!$A$6:$A$505,"&lt;"&amp;A3581,Оплаты!$D$6:$D$505,"&lt;&gt;"))</f>
        <v/>
      </c>
      <c r="E3581" t="str">
        <f>IF(A3581="","",IF(SUMPRODUCT((Ввод!$F$12:$F$31&lt;&gt;"")*(Ввод!$F$12:$F$31&lt;=A3581)*(Ввод!$G$12:$G$31&gt;=A3581))&gt;0,1,0))</f>
        <v/>
      </c>
      <c r="G3581" t="str">
        <f t="shared" si="111"/>
        <v/>
      </c>
    </row>
    <row r="3582" spans="1:7" x14ac:dyDescent="0.3">
      <c r="A3582" s="21" t="str">
        <f>IF(A3581="","",IF(A3581+1&gt;Ввод!$B$4,"",A3581+1))</f>
        <v/>
      </c>
      <c r="B3582" s="23" t="str">
        <f>IF(A3582="","",IFERROR(INDEX(Ввод!$B$12:$B$71,MATCH(A3582,Ввод!$D$12:$D$71,1)),""))</f>
        <v/>
      </c>
      <c r="C3582" t="str">
        <f t="shared" si="110"/>
        <v/>
      </c>
      <c r="D3582" t="str">
        <f>IF(A3582="","",SUMIFS(Акты!$D$5:$D$16,Акты!$E$5:$E$16,"&lt;="&amp;A3582)-SUMIFS(Оплаты!$B$6:$B$505,Оплаты!$A$6:$A$505,"&lt;"&amp;A3582,Оплаты!$D$6:$D$505,"&lt;&gt;"))</f>
        <v/>
      </c>
      <c r="E3582" t="str">
        <f>IF(A3582="","",IF(SUMPRODUCT((Ввод!$F$12:$F$31&lt;&gt;"")*(Ввод!$F$12:$F$31&lt;=A3582)*(Ввод!$G$12:$G$31&gt;=A3582))&gt;0,1,0))</f>
        <v/>
      </c>
      <c r="G3582" t="str">
        <f t="shared" si="111"/>
        <v/>
      </c>
    </row>
    <row r="3583" spans="1:7" x14ac:dyDescent="0.3">
      <c r="A3583" s="21" t="str">
        <f>IF(A3582="","",IF(A3582+1&gt;Ввод!$B$4,"",A3582+1))</f>
        <v/>
      </c>
      <c r="B3583" s="23" t="str">
        <f>IF(A3583="","",IFERROR(INDEX(Ввод!$B$12:$B$71,MATCH(A3583,Ввод!$D$12:$D$71,1)),""))</f>
        <v/>
      </c>
      <c r="C3583" t="str">
        <f t="shared" si="110"/>
        <v/>
      </c>
      <c r="D3583" t="str">
        <f>IF(A3583="","",SUMIFS(Акты!$D$5:$D$16,Акты!$E$5:$E$16,"&lt;="&amp;A3583)-SUMIFS(Оплаты!$B$6:$B$505,Оплаты!$A$6:$A$505,"&lt;"&amp;A3583,Оплаты!$D$6:$D$505,"&lt;&gt;"))</f>
        <v/>
      </c>
      <c r="E3583" t="str">
        <f>IF(A3583="","",IF(SUMPRODUCT((Ввод!$F$12:$F$31&lt;&gt;"")*(Ввод!$F$12:$F$31&lt;=A3583)*(Ввод!$G$12:$G$31&gt;=A3583))&gt;0,1,0))</f>
        <v/>
      </c>
      <c r="G3583" t="str">
        <f t="shared" si="111"/>
        <v/>
      </c>
    </row>
    <row r="3584" spans="1:7" x14ac:dyDescent="0.3">
      <c r="A3584" s="21" t="str">
        <f>IF(A3583="","",IF(A3583+1&gt;Ввод!$B$4,"",A3583+1))</f>
        <v/>
      </c>
      <c r="B3584" s="23" t="str">
        <f>IF(A3584="","",IFERROR(INDEX(Ввод!$B$12:$B$71,MATCH(A3584,Ввод!$D$12:$D$71,1)),""))</f>
        <v/>
      </c>
      <c r="C3584" t="str">
        <f t="shared" si="110"/>
        <v/>
      </c>
      <c r="D3584" t="str">
        <f>IF(A3584="","",SUMIFS(Акты!$D$5:$D$16,Акты!$E$5:$E$16,"&lt;="&amp;A3584)-SUMIFS(Оплаты!$B$6:$B$505,Оплаты!$A$6:$A$505,"&lt;"&amp;A3584,Оплаты!$D$6:$D$505,"&lt;&gt;"))</f>
        <v/>
      </c>
      <c r="E3584" t="str">
        <f>IF(A3584="","",IF(SUMPRODUCT((Ввод!$F$12:$F$31&lt;&gt;"")*(Ввод!$F$12:$F$31&lt;=A3584)*(Ввод!$G$12:$G$31&gt;=A3584))&gt;0,1,0))</f>
        <v/>
      </c>
      <c r="G3584" t="str">
        <f t="shared" si="111"/>
        <v/>
      </c>
    </row>
    <row r="3585" spans="1:7" x14ac:dyDescent="0.3">
      <c r="A3585" s="21" t="str">
        <f>IF(A3584="","",IF(A3584+1&gt;Ввод!$B$4,"",A3584+1))</f>
        <v/>
      </c>
      <c r="B3585" s="23" t="str">
        <f>IF(A3585="","",IFERROR(INDEX(Ввод!$B$12:$B$71,MATCH(A3585,Ввод!$D$12:$D$71,1)),""))</f>
        <v/>
      </c>
      <c r="C3585" t="str">
        <f t="shared" si="110"/>
        <v/>
      </c>
      <c r="D3585" t="str">
        <f>IF(A3585="","",SUMIFS(Акты!$D$5:$D$16,Акты!$E$5:$E$16,"&lt;="&amp;A3585)-SUMIFS(Оплаты!$B$6:$B$505,Оплаты!$A$6:$A$505,"&lt;"&amp;A3585,Оплаты!$D$6:$D$505,"&lt;&gt;"))</f>
        <v/>
      </c>
      <c r="E3585" t="str">
        <f>IF(A3585="","",IF(SUMPRODUCT((Ввод!$F$12:$F$31&lt;&gt;"")*(Ввод!$F$12:$F$31&lt;=A3585)*(Ввод!$G$12:$G$31&gt;=A3585))&gt;0,1,0))</f>
        <v/>
      </c>
      <c r="G3585" t="str">
        <f t="shared" si="111"/>
        <v/>
      </c>
    </row>
    <row r="3586" spans="1:7" x14ac:dyDescent="0.3">
      <c r="A3586" s="21" t="str">
        <f>IF(A3585="","",IF(A3585+1&gt;Ввод!$B$4,"",A3585+1))</f>
        <v/>
      </c>
      <c r="B3586" s="23" t="str">
        <f>IF(A3586="","",IFERROR(INDEX(Ввод!$B$12:$B$71,MATCH(A3586,Ввод!$D$12:$D$71,1)),""))</f>
        <v/>
      </c>
      <c r="C3586" t="str">
        <f t="shared" ref="C3586:C3649" si="112">IF(A3586="","",DATE(YEAR(A3586),12,31)-DATE(YEAR(A3586),1,1)+1)</f>
        <v/>
      </c>
      <c r="D3586" t="str">
        <f>IF(A3586="","",SUMIFS(Акты!$D$5:$D$16,Акты!$E$5:$E$16,"&lt;="&amp;A3586)-SUMIFS(Оплаты!$B$6:$B$505,Оплаты!$A$6:$A$505,"&lt;"&amp;A3586,Оплаты!$D$6:$D$505,"&lt;&gt;"))</f>
        <v/>
      </c>
      <c r="E3586" t="str">
        <f>IF(A3586="","",IF(SUMPRODUCT((Ввод!$F$12:$F$31&lt;&gt;"")*(Ввод!$F$12:$F$31&lt;=A3586)*(Ввод!$G$12:$G$31&gt;=A3586))&gt;0,1,0))</f>
        <v/>
      </c>
      <c r="G3586" t="str">
        <f t="shared" si="111"/>
        <v/>
      </c>
    </row>
    <row r="3587" spans="1:7" x14ac:dyDescent="0.3">
      <c r="A3587" s="21" t="str">
        <f>IF(A3586="","",IF(A3586+1&gt;Ввод!$B$4,"",A3586+1))</f>
        <v/>
      </c>
      <c r="B3587" s="23" t="str">
        <f>IF(A3587="","",IFERROR(INDEX(Ввод!$B$12:$B$71,MATCH(A3587,Ввод!$D$12:$D$71,1)),""))</f>
        <v/>
      </c>
      <c r="C3587" t="str">
        <f t="shared" si="112"/>
        <v/>
      </c>
      <c r="D3587" t="str">
        <f>IF(A3587="","",SUMIFS(Акты!$D$5:$D$16,Акты!$E$5:$E$16,"&lt;="&amp;A3587)-SUMIFS(Оплаты!$B$6:$B$505,Оплаты!$A$6:$A$505,"&lt;"&amp;A3587,Оплаты!$D$6:$D$505,"&lt;&gt;"))</f>
        <v/>
      </c>
      <c r="E3587" t="str">
        <f>IF(A3587="","",IF(SUMPRODUCT((Ввод!$F$12:$F$31&lt;&gt;"")*(Ввод!$F$12:$F$31&lt;=A3587)*(Ввод!$G$12:$G$31&gt;=A3587))&gt;0,1,0))</f>
        <v/>
      </c>
      <c r="G3587" t="str">
        <f t="shared" ref="G3587:G3650" si="113">IF(A3587="","",IF(OR(B3587&lt;&gt;B3586,C3587&lt;&gt;C3586,E3587&lt;&gt;E3586),G3586+1,G3586))</f>
        <v/>
      </c>
    </row>
    <row r="3588" spans="1:7" x14ac:dyDescent="0.3">
      <c r="A3588" s="21" t="str">
        <f>IF(A3587="","",IF(A3587+1&gt;Ввод!$B$4,"",A3587+1))</f>
        <v/>
      </c>
      <c r="B3588" s="23" t="str">
        <f>IF(A3588="","",IFERROR(INDEX(Ввод!$B$12:$B$71,MATCH(A3588,Ввод!$D$12:$D$71,1)),""))</f>
        <v/>
      </c>
      <c r="C3588" t="str">
        <f t="shared" si="112"/>
        <v/>
      </c>
      <c r="D3588" t="str">
        <f>IF(A3588="","",SUMIFS(Акты!$D$5:$D$16,Акты!$E$5:$E$16,"&lt;="&amp;A3588)-SUMIFS(Оплаты!$B$6:$B$505,Оплаты!$A$6:$A$505,"&lt;"&amp;A3588,Оплаты!$D$6:$D$505,"&lt;&gt;"))</f>
        <v/>
      </c>
      <c r="E3588" t="str">
        <f>IF(A3588="","",IF(SUMPRODUCT((Ввод!$F$12:$F$31&lt;&gt;"")*(Ввод!$F$12:$F$31&lt;=A3588)*(Ввод!$G$12:$G$31&gt;=A3588))&gt;0,1,0))</f>
        <v/>
      </c>
      <c r="G3588" t="str">
        <f t="shared" si="113"/>
        <v/>
      </c>
    </row>
    <row r="3589" spans="1:7" x14ac:dyDescent="0.3">
      <c r="A3589" s="21" t="str">
        <f>IF(A3588="","",IF(A3588+1&gt;Ввод!$B$4,"",A3588+1))</f>
        <v/>
      </c>
      <c r="B3589" s="23" t="str">
        <f>IF(A3589="","",IFERROR(INDEX(Ввод!$B$12:$B$71,MATCH(A3589,Ввод!$D$12:$D$71,1)),""))</f>
        <v/>
      </c>
      <c r="C3589" t="str">
        <f t="shared" si="112"/>
        <v/>
      </c>
      <c r="D3589" t="str">
        <f>IF(A3589="","",SUMIFS(Акты!$D$5:$D$16,Акты!$E$5:$E$16,"&lt;="&amp;A3589)-SUMIFS(Оплаты!$B$6:$B$505,Оплаты!$A$6:$A$505,"&lt;"&amp;A3589,Оплаты!$D$6:$D$505,"&lt;&gt;"))</f>
        <v/>
      </c>
      <c r="E3589" t="str">
        <f>IF(A3589="","",IF(SUMPRODUCT((Ввод!$F$12:$F$31&lt;&gt;"")*(Ввод!$F$12:$F$31&lt;=A3589)*(Ввод!$G$12:$G$31&gt;=A3589))&gt;0,1,0))</f>
        <v/>
      </c>
      <c r="G3589" t="str">
        <f t="shared" si="113"/>
        <v/>
      </c>
    </row>
    <row r="3590" spans="1:7" x14ac:dyDescent="0.3">
      <c r="A3590" s="21" t="str">
        <f>IF(A3589="","",IF(A3589+1&gt;Ввод!$B$4,"",A3589+1))</f>
        <v/>
      </c>
      <c r="B3590" s="23" t="str">
        <f>IF(A3590="","",IFERROR(INDEX(Ввод!$B$12:$B$71,MATCH(A3590,Ввод!$D$12:$D$71,1)),""))</f>
        <v/>
      </c>
      <c r="C3590" t="str">
        <f t="shared" si="112"/>
        <v/>
      </c>
      <c r="D3590" t="str">
        <f>IF(A3590="","",SUMIFS(Акты!$D$5:$D$16,Акты!$E$5:$E$16,"&lt;="&amp;A3590)-SUMIFS(Оплаты!$B$6:$B$505,Оплаты!$A$6:$A$505,"&lt;"&amp;A3590,Оплаты!$D$6:$D$505,"&lt;&gt;"))</f>
        <v/>
      </c>
      <c r="E3590" t="str">
        <f>IF(A3590="","",IF(SUMPRODUCT((Ввод!$F$12:$F$31&lt;&gt;"")*(Ввод!$F$12:$F$31&lt;=A3590)*(Ввод!$G$12:$G$31&gt;=A3590))&gt;0,1,0))</f>
        <v/>
      </c>
      <c r="G3590" t="str">
        <f t="shared" si="113"/>
        <v/>
      </c>
    </row>
    <row r="3591" spans="1:7" x14ac:dyDescent="0.3">
      <c r="A3591" s="21" t="str">
        <f>IF(A3590="","",IF(A3590+1&gt;Ввод!$B$4,"",A3590+1))</f>
        <v/>
      </c>
      <c r="B3591" s="23" t="str">
        <f>IF(A3591="","",IFERROR(INDEX(Ввод!$B$12:$B$71,MATCH(A3591,Ввод!$D$12:$D$71,1)),""))</f>
        <v/>
      </c>
      <c r="C3591" t="str">
        <f t="shared" si="112"/>
        <v/>
      </c>
      <c r="D3591" t="str">
        <f>IF(A3591="","",SUMIFS(Акты!$D$5:$D$16,Акты!$E$5:$E$16,"&lt;="&amp;A3591)-SUMIFS(Оплаты!$B$6:$B$505,Оплаты!$A$6:$A$505,"&lt;"&amp;A3591,Оплаты!$D$6:$D$505,"&lt;&gt;"))</f>
        <v/>
      </c>
      <c r="E3591" t="str">
        <f>IF(A3591="","",IF(SUMPRODUCT((Ввод!$F$12:$F$31&lt;&gt;"")*(Ввод!$F$12:$F$31&lt;=A3591)*(Ввод!$G$12:$G$31&gt;=A3591))&gt;0,1,0))</f>
        <v/>
      </c>
      <c r="G3591" t="str">
        <f t="shared" si="113"/>
        <v/>
      </c>
    </row>
    <row r="3592" spans="1:7" x14ac:dyDescent="0.3">
      <c r="A3592" s="21" t="str">
        <f>IF(A3591="","",IF(A3591+1&gt;Ввод!$B$4,"",A3591+1))</f>
        <v/>
      </c>
      <c r="B3592" s="23" t="str">
        <f>IF(A3592="","",IFERROR(INDEX(Ввод!$B$12:$B$71,MATCH(A3592,Ввод!$D$12:$D$71,1)),""))</f>
        <v/>
      </c>
      <c r="C3592" t="str">
        <f t="shared" si="112"/>
        <v/>
      </c>
      <c r="D3592" t="str">
        <f>IF(A3592="","",SUMIFS(Акты!$D$5:$D$16,Акты!$E$5:$E$16,"&lt;="&amp;A3592)-SUMIFS(Оплаты!$B$6:$B$505,Оплаты!$A$6:$A$505,"&lt;"&amp;A3592,Оплаты!$D$6:$D$505,"&lt;&gt;"))</f>
        <v/>
      </c>
      <c r="E3592" t="str">
        <f>IF(A3592="","",IF(SUMPRODUCT((Ввод!$F$12:$F$31&lt;&gt;"")*(Ввод!$F$12:$F$31&lt;=A3592)*(Ввод!$G$12:$G$31&gt;=A3592))&gt;0,1,0))</f>
        <v/>
      </c>
      <c r="G3592" t="str">
        <f t="shared" si="113"/>
        <v/>
      </c>
    </row>
    <row r="3593" spans="1:7" x14ac:dyDescent="0.3">
      <c r="A3593" s="21" t="str">
        <f>IF(A3592="","",IF(A3592+1&gt;Ввод!$B$4,"",A3592+1))</f>
        <v/>
      </c>
      <c r="B3593" s="23" t="str">
        <f>IF(A3593="","",IFERROR(INDEX(Ввод!$B$12:$B$71,MATCH(A3593,Ввод!$D$12:$D$71,1)),""))</f>
        <v/>
      </c>
      <c r="C3593" t="str">
        <f t="shared" si="112"/>
        <v/>
      </c>
      <c r="D3593" t="str">
        <f>IF(A3593="","",SUMIFS(Акты!$D$5:$D$16,Акты!$E$5:$E$16,"&lt;="&amp;A3593)-SUMIFS(Оплаты!$B$6:$B$505,Оплаты!$A$6:$A$505,"&lt;"&amp;A3593,Оплаты!$D$6:$D$505,"&lt;&gt;"))</f>
        <v/>
      </c>
      <c r="E3593" t="str">
        <f>IF(A3593="","",IF(SUMPRODUCT((Ввод!$F$12:$F$31&lt;&gt;"")*(Ввод!$F$12:$F$31&lt;=A3593)*(Ввод!$G$12:$G$31&gt;=A3593))&gt;0,1,0))</f>
        <v/>
      </c>
      <c r="G3593" t="str">
        <f t="shared" si="113"/>
        <v/>
      </c>
    </row>
    <row r="3594" spans="1:7" x14ac:dyDescent="0.3">
      <c r="A3594" s="21" t="str">
        <f>IF(A3593="","",IF(A3593+1&gt;Ввод!$B$4,"",A3593+1))</f>
        <v/>
      </c>
      <c r="B3594" s="23" t="str">
        <f>IF(A3594="","",IFERROR(INDEX(Ввод!$B$12:$B$71,MATCH(A3594,Ввод!$D$12:$D$71,1)),""))</f>
        <v/>
      </c>
      <c r="C3594" t="str">
        <f t="shared" si="112"/>
        <v/>
      </c>
      <c r="D3594" t="str">
        <f>IF(A3594="","",SUMIFS(Акты!$D$5:$D$16,Акты!$E$5:$E$16,"&lt;="&amp;A3594)-SUMIFS(Оплаты!$B$6:$B$505,Оплаты!$A$6:$A$505,"&lt;"&amp;A3594,Оплаты!$D$6:$D$505,"&lt;&gt;"))</f>
        <v/>
      </c>
      <c r="E3594" t="str">
        <f>IF(A3594="","",IF(SUMPRODUCT((Ввод!$F$12:$F$31&lt;&gt;"")*(Ввод!$F$12:$F$31&lt;=A3594)*(Ввод!$G$12:$G$31&gt;=A3594))&gt;0,1,0))</f>
        <v/>
      </c>
      <c r="G3594" t="str">
        <f t="shared" si="113"/>
        <v/>
      </c>
    </row>
    <row r="3595" spans="1:7" x14ac:dyDescent="0.3">
      <c r="A3595" s="21" t="str">
        <f>IF(A3594="","",IF(A3594+1&gt;Ввод!$B$4,"",A3594+1))</f>
        <v/>
      </c>
      <c r="B3595" s="23" t="str">
        <f>IF(A3595="","",IFERROR(INDEX(Ввод!$B$12:$B$71,MATCH(A3595,Ввод!$D$12:$D$71,1)),""))</f>
        <v/>
      </c>
      <c r="C3595" t="str">
        <f t="shared" si="112"/>
        <v/>
      </c>
      <c r="D3595" t="str">
        <f>IF(A3595="","",SUMIFS(Акты!$D$5:$D$16,Акты!$E$5:$E$16,"&lt;="&amp;A3595)-SUMIFS(Оплаты!$B$6:$B$505,Оплаты!$A$6:$A$505,"&lt;"&amp;A3595,Оплаты!$D$6:$D$505,"&lt;&gt;"))</f>
        <v/>
      </c>
      <c r="E3595" t="str">
        <f>IF(A3595="","",IF(SUMPRODUCT((Ввод!$F$12:$F$31&lt;&gt;"")*(Ввод!$F$12:$F$31&lt;=A3595)*(Ввод!$G$12:$G$31&gt;=A3595))&gt;0,1,0))</f>
        <v/>
      </c>
      <c r="G3595" t="str">
        <f t="shared" si="113"/>
        <v/>
      </c>
    </row>
    <row r="3596" spans="1:7" x14ac:dyDescent="0.3">
      <c r="A3596" s="21" t="str">
        <f>IF(A3595="","",IF(A3595+1&gt;Ввод!$B$4,"",A3595+1))</f>
        <v/>
      </c>
      <c r="B3596" s="23" t="str">
        <f>IF(A3596="","",IFERROR(INDEX(Ввод!$B$12:$B$71,MATCH(A3596,Ввод!$D$12:$D$71,1)),""))</f>
        <v/>
      </c>
      <c r="C3596" t="str">
        <f t="shared" si="112"/>
        <v/>
      </c>
      <c r="D3596" t="str">
        <f>IF(A3596="","",SUMIFS(Акты!$D$5:$D$16,Акты!$E$5:$E$16,"&lt;="&amp;A3596)-SUMIFS(Оплаты!$B$6:$B$505,Оплаты!$A$6:$A$505,"&lt;"&amp;A3596,Оплаты!$D$6:$D$505,"&lt;&gt;"))</f>
        <v/>
      </c>
      <c r="E3596" t="str">
        <f>IF(A3596="","",IF(SUMPRODUCT((Ввод!$F$12:$F$31&lt;&gt;"")*(Ввод!$F$12:$F$31&lt;=A3596)*(Ввод!$G$12:$G$31&gt;=A3596))&gt;0,1,0))</f>
        <v/>
      </c>
      <c r="G3596" t="str">
        <f t="shared" si="113"/>
        <v/>
      </c>
    </row>
    <row r="3597" spans="1:7" x14ac:dyDescent="0.3">
      <c r="A3597" s="21" t="str">
        <f>IF(A3596="","",IF(A3596+1&gt;Ввод!$B$4,"",A3596+1))</f>
        <v/>
      </c>
      <c r="B3597" s="23" t="str">
        <f>IF(A3597="","",IFERROR(INDEX(Ввод!$B$12:$B$71,MATCH(A3597,Ввод!$D$12:$D$71,1)),""))</f>
        <v/>
      </c>
      <c r="C3597" t="str">
        <f t="shared" si="112"/>
        <v/>
      </c>
      <c r="D3597" t="str">
        <f>IF(A3597="","",SUMIFS(Акты!$D$5:$D$16,Акты!$E$5:$E$16,"&lt;="&amp;A3597)-SUMIFS(Оплаты!$B$6:$B$505,Оплаты!$A$6:$A$505,"&lt;"&amp;A3597,Оплаты!$D$6:$D$505,"&lt;&gt;"))</f>
        <v/>
      </c>
      <c r="E3597" t="str">
        <f>IF(A3597="","",IF(SUMPRODUCT((Ввод!$F$12:$F$31&lt;&gt;"")*(Ввод!$F$12:$F$31&lt;=A3597)*(Ввод!$G$12:$G$31&gt;=A3597))&gt;0,1,0))</f>
        <v/>
      </c>
      <c r="G3597" t="str">
        <f t="shared" si="113"/>
        <v/>
      </c>
    </row>
    <row r="3598" spans="1:7" x14ac:dyDescent="0.3">
      <c r="A3598" s="21" t="str">
        <f>IF(A3597="","",IF(A3597+1&gt;Ввод!$B$4,"",A3597+1))</f>
        <v/>
      </c>
      <c r="B3598" s="23" t="str">
        <f>IF(A3598="","",IFERROR(INDEX(Ввод!$B$12:$B$71,MATCH(A3598,Ввод!$D$12:$D$71,1)),""))</f>
        <v/>
      </c>
      <c r="C3598" t="str">
        <f t="shared" si="112"/>
        <v/>
      </c>
      <c r="D3598" t="str">
        <f>IF(A3598="","",SUMIFS(Акты!$D$5:$D$16,Акты!$E$5:$E$16,"&lt;="&amp;A3598)-SUMIFS(Оплаты!$B$6:$B$505,Оплаты!$A$6:$A$505,"&lt;"&amp;A3598,Оплаты!$D$6:$D$505,"&lt;&gt;"))</f>
        <v/>
      </c>
      <c r="E3598" t="str">
        <f>IF(A3598="","",IF(SUMPRODUCT((Ввод!$F$12:$F$31&lt;&gt;"")*(Ввод!$F$12:$F$31&lt;=A3598)*(Ввод!$G$12:$G$31&gt;=A3598))&gt;0,1,0))</f>
        <v/>
      </c>
      <c r="G3598" t="str">
        <f t="shared" si="113"/>
        <v/>
      </c>
    </row>
    <row r="3599" spans="1:7" x14ac:dyDescent="0.3">
      <c r="A3599" s="21" t="str">
        <f>IF(A3598="","",IF(A3598+1&gt;Ввод!$B$4,"",A3598+1))</f>
        <v/>
      </c>
      <c r="B3599" s="23" t="str">
        <f>IF(A3599="","",IFERROR(INDEX(Ввод!$B$12:$B$71,MATCH(A3599,Ввод!$D$12:$D$71,1)),""))</f>
        <v/>
      </c>
      <c r="C3599" t="str">
        <f t="shared" si="112"/>
        <v/>
      </c>
      <c r="D3599" t="str">
        <f>IF(A3599="","",SUMIFS(Акты!$D$5:$D$16,Акты!$E$5:$E$16,"&lt;="&amp;A3599)-SUMIFS(Оплаты!$B$6:$B$505,Оплаты!$A$6:$A$505,"&lt;"&amp;A3599,Оплаты!$D$6:$D$505,"&lt;&gt;"))</f>
        <v/>
      </c>
      <c r="E3599" t="str">
        <f>IF(A3599="","",IF(SUMPRODUCT((Ввод!$F$12:$F$31&lt;&gt;"")*(Ввод!$F$12:$F$31&lt;=A3599)*(Ввод!$G$12:$G$31&gt;=A3599))&gt;0,1,0))</f>
        <v/>
      </c>
      <c r="G3599" t="str">
        <f t="shared" si="113"/>
        <v/>
      </c>
    </row>
    <row r="3600" spans="1:7" x14ac:dyDescent="0.3">
      <c r="A3600" s="21" t="str">
        <f>IF(A3599="","",IF(A3599+1&gt;Ввод!$B$4,"",A3599+1))</f>
        <v/>
      </c>
      <c r="B3600" s="23" t="str">
        <f>IF(A3600="","",IFERROR(INDEX(Ввод!$B$12:$B$71,MATCH(A3600,Ввод!$D$12:$D$71,1)),""))</f>
        <v/>
      </c>
      <c r="C3600" t="str">
        <f t="shared" si="112"/>
        <v/>
      </c>
      <c r="D3600" t="str">
        <f>IF(A3600="","",SUMIFS(Акты!$D$5:$D$16,Акты!$E$5:$E$16,"&lt;="&amp;A3600)-SUMIFS(Оплаты!$B$6:$B$505,Оплаты!$A$6:$A$505,"&lt;"&amp;A3600,Оплаты!$D$6:$D$505,"&lt;&gt;"))</f>
        <v/>
      </c>
      <c r="E3600" t="str">
        <f>IF(A3600="","",IF(SUMPRODUCT((Ввод!$F$12:$F$31&lt;&gt;"")*(Ввод!$F$12:$F$31&lt;=A3600)*(Ввод!$G$12:$G$31&gt;=A3600))&gt;0,1,0))</f>
        <v/>
      </c>
      <c r="G3600" t="str">
        <f t="shared" si="113"/>
        <v/>
      </c>
    </row>
    <row r="3601" spans="1:7" x14ac:dyDescent="0.3">
      <c r="A3601" s="21" t="str">
        <f>IF(A3600="","",IF(A3600+1&gt;Ввод!$B$4,"",A3600+1))</f>
        <v/>
      </c>
      <c r="B3601" s="23" t="str">
        <f>IF(A3601="","",IFERROR(INDEX(Ввод!$B$12:$B$71,MATCH(A3601,Ввод!$D$12:$D$71,1)),""))</f>
        <v/>
      </c>
      <c r="C3601" t="str">
        <f t="shared" si="112"/>
        <v/>
      </c>
      <c r="D3601" t="str">
        <f>IF(A3601="","",SUMIFS(Акты!$D$5:$D$16,Акты!$E$5:$E$16,"&lt;="&amp;A3601)-SUMIFS(Оплаты!$B$6:$B$505,Оплаты!$A$6:$A$505,"&lt;"&amp;A3601,Оплаты!$D$6:$D$505,"&lt;&gt;"))</f>
        <v/>
      </c>
      <c r="E3601" t="str">
        <f>IF(A3601="","",IF(SUMPRODUCT((Ввод!$F$12:$F$31&lt;&gt;"")*(Ввод!$F$12:$F$31&lt;=A3601)*(Ввод!$G$12:$G$31&gt;=A3601))&gt;0,1,0))</f>
        <v/>
      </c>
      <c r="G3601" t="str">
        <f t="shared" si="113"/>
        <v/>
      </c>
    </row>
    <row r="3602" spans="1:7" x14ac:dyDescent="0.3">
      <c r="A3602" s="21" t="str">
        <f>IF(A3601="","",IF(A3601+1&gt;Ввод!$B$4,"",A3601+1))</f>
        <v/>
      </c>
      <c r="B3602" s="23" t="str">
        <f>IF(A3602="","",IFERROR(INDEX(Ввод!$B$12:$B$71,MATCH(A3602,Ввод!$D$12:$D$71,1)),""))</f>
        <v/>
      </c>
      <c r="C3602" t="str">
        <f t="shared" si="112"/>
        <v/>
      </c>
      <c r="D3602" t="str">
        <f>IF(A3602="","",SUMIFS(Акты!$D$5:$D$16,Акты!$E$5:$E$16,"&lt;="&amp;A3602)-SUMIFS(Оплаты!$B$6:$B$505,Оплаты!$A$6:$A$505,"&lt;"&amp;A3602,Оплаты!$D$6:$D$505,"&lt;&gt;"))</f>
        <v/>
      </c>
      <c r="E3602" t="str">
        <f>IF(A3602="","",IF(SUMPRODUCT((Ввод!$F$12:$F$31&lt;&gt;"")*(Ввод!$F$12:$F$31&lt;=A3602)*(Ввод!$G$12:$G$31&gt;=A3602))&gt;0,1,0))</f>
        <v/>
      </c>
      <c r="G3602" t="str">
        <f t="shared" si="113"/>
        <v/>
      </c>
    </row>
    <row r="3603" spans="1:7" x14ac:dyDescent="0.3">
      <c r="A3603" s="21" t="str">
        <f>IF(A3602="","",IF(A3602+1&gt;Ввод!$B$4,"",A3602+1))</f>
        <v/>
      </c>
      <c r="B3603" s="23" t="str">
        <f>IF(A3603="","",IFERROR(INDEX(Ввод!$B$12:$B$71,MATCH(A3603,Ввод!$D$12:$D$71,1)),""))</f>
        <v/>
      </c>
      <c r="C3603" t="str">
        <f t="shared" si="112"/>
        <v/>
      </c>
      <c r="D3603" t="str">
        <f>IF(A3603="","",SUMIFS(Акты!$D$5:$D$16,Акты!$E$5:$E$16,"&lt;="&amp;A3603)-SUMIFS(Оплаты!$B$6:$B$505,Оплаты!$A$6:$A$505,"&lt;"&amp;A3603,Оплаты!$D$6:$D$505,"&lt;&gt;"))</f>
        <v/>
      </c>
      <c r="E3603" t="str">
        <f>IF(A3603="","",IF(SUMPRODUCT((Ввод!$F$12:$F$31&lt;&gt;"")*(Ввод!$F$12:$F$31&lt;=A3603)*(Ввод!$G$12:$G$31&gt;=A3603))&gt;0,1,0))</f>
        <v/>
      </c>
      <c r="G3603" t="str">
        <f t="shared" si="113"/>
        <v/>
      </c>
    </row>
    <row r="3604" spans="1:7" x14ac:dyDescent="0.3">
      <c r="A3604" s="21" t="str">
        <f>IF(A3603="","",IF(A3603+1&gt;Ввод!$B$4,"",A3603+1))</f>
        <v/>
      </c>
      <c r="B3604" s="23" t="str">
        <f>IF(A3604="","",IFERROR(INDEX(Ввод!$B$12:$B$71,MATCH(A3604,Ввод!$D$12:$D$71,1)),""))</f>
        <v/>
      </c>
      <c r="C3604" t="str">
        <f t="shared" si="112"/>
        <v/>
      </c>
      <c r="D3604" t="str">
        <f>IF(A3604="","",SUMIFS(Акты!$D$5:$D$16,Акты!$E$5:$E$16,"&lt;="&amp;A3604)-SUMIFS(Оплаты!$B$6:$B$505,Оплаты!$A$6:$A$505,"&lt;"&amp;A3604,Оплаты!$D$6:$D$505,"&lt;&gt;"))</f>
        <v/>
      </c>
      <c r="E3604" t="str">
        <f>IF(A3604="","",IF(SUMPRODUCT((Ввод!$F$12:$F$31&lt;&gt;"")*(Ввод!$F$12:$F$31&lt;=A3604)*(Ввод!$G$12:$G$31&gt;=A3604))&gt;0,1,0))</f>
        <v/>
      </c>
      <c r="G3604" t="str">
        <f t="shared" si="113"/>
        <v/>
      </c>
    </row>
    <row r="3605" spans="1:7" x14ac:dyDescent="0.3">
      <c r="A3605" s="21" t="str">
        <f>IF(A3604="","",IF(A3604+1&gt;Ввод!$B$4,"",A3604+1))</f>
        <v/>
      </c>
      <c r="B3605" s="23" t="str">
        <f>IF(A3605="","",IFERROR(INDEX(Ввод!$B$12:$B$71,MATCH(A3605,Ввод!$D$12:$D$71,1)),""))</f>
        <v/>
      </c>
      <c r="C3605" t="str">
        <f t="shared" si="112"/>
        <v/>
      </c>
      <c r="D3605" t="str">
        <f>IF(A3605="","",SUMIFS(Акты!$D$5:$D$16,Акты!$E$5:$E$16,"&lt;="&amp;A3605)-SUMIFS(Оплаты!$B$6:$B$505,Оплаты!$A$6:$A$505,"&lt;"&amp;A3605,Оплаты!$D$6:$D$505,"&lt;&gt;"))</f>
        <v/>
      </c>
      <c r="E3605" t="str">
        <f>IF(A3605="","",IF(SUMPRODUCT((Ввод!$F$12:$F$31&lt;&gt;"")*(Ввод!$F$12:$F$31&lt;=A3605)*(Ввод!$G$12:$G$31&gt;=A3605))&gt;0,1,0))</f>
        <v/>
      </c>
      <c r="G3605" t="str">
        <f t="shared" si="113"/>
        <v/>
      </c>
    </row>
    <row r="3606" spans="1:7" x14ac:dyDescent="0.3">
      <c r="A3606" s="21" t="str">
        <f>IF(A3605="","",IF(A3605+1&gt;Ввод!$B$4,"",A3605+1))</f>
        <v/>
      </c>
      <c r="B3606" s="23" t="str">
        <f>IF(A3606="","",IFERROR(INDEX(Ввод!$B$12:$B$71,MATCH(A3606,Ввод!$D$12:$D$71,1)),""))</f>
        <v/>
      </c>
      <c r="C3606" t="str">
        <f t="shared" si="112"/>
        <v/>
      </c>
      <c r="D3606" t="str">
        <f>IF(A3606="","",SUMIFS(Акты!$D$5:$D$16,Акты!$E$5:$E$16,"&lt;="&amp;A3606)-SUMIFS(Оплаты!$B$6:$B$505,Оплаты!$A$6:$A$505,"&lt;"&amp;A3606,Оплаты!$D$6:$D$505,"&lt;&gt;"))</f>
        <v/>
      </c>
      <c r="E3606" t="str">
        <f>IF(A3606="","",IF(SUMPRODUCT((Ввод!$F$12:$F$31&lt;&gt;"")*(Ввод!$F$12:$F$31&lt;=A3606)*(Ввод!$G$12:$G$31&gt;=A3606))&gt;0,1,0))</f>
        <v/>
      </c>
      <c r="G3606" t="str">
        <f t="shared" si="113"/>
        <v/>
      </c>
    </row>
    <row r="3607" spans="1:7" x14ac:dyDescent="0.3">
      <c r="A3607" s="21" t="str">
        <f>IF(A3606="","",IF(A3606+1&gt;Ввод!$B$4,"",A3606+1))</f>
        <v/>
      </c>
      <c r="B3607" s="23" t="str">
        <f>IF(A3607="","",IFERROR(INDEX(Ввод!$B$12:$B$71,MATCH(A3607,Ввод!$D$12:$D$71,1)),""))</f>
        <v/>
      </c>
      <c r="C3607" t="str">
        <f t="shared" si="112"/>
        <v/>
      </c>
      <c r="D3607" t="str">
        <f>IF(A3607="","",SUMIFS(Акты!$D$5:$D$16,Акты!$E$5:$E$16,"&lt;="&amp;A3607)-SUMIFS(Оплаты!$B$6:$B$505,Оплаты!$A$6:$A$505,"&lt;"&amp;A3607,Оплаты!$D$6:$D$505,"&lt;&gt;"))</f>
        <v/>
      </c>
      <c r="E3607" t="str">
        <f>IF(A3607="","",IF(SUMPRODUCT((Ввод!$F$12:$F$31&lt;&gt;"")*(Ввод!$F$12:$F$31&lt;=A3607)*(Ввод!$G$12:$G$31&gt;=A3607))&gt;0,1,0))</f>
        <v/>
      </c>
      <c r="G3607" t="str">
        <f t="shared" si="113"/>
        <v/>
      </c>
    </row>
    <row r="3608" spans="1:7" x14ac:dyDescent="0.3">
      <c r="A3608" s="21" t="str">
        <f>IF(A3607="","",IF(A3607+1&gt;Ввод!$B$4,"",A3607+1))</f>
        <v/>
      </c>
      <c r="B3608" s="23" t="str">
        <f>IF(A3608="","",IFERROR(INDEX(Ввод!$B$12:$B$71,MATCH(A3608,Ввод!$D$12:$D$71,1)),""))</f>
        <v/>
      </c>
      <c r="C3608" t="str">
        <f t="shared" si="112"/>
        <v/>
      </c>
      <c r="D3608" t="str">
        <f>IF(A3608="","",SUMIFS(Акты!$D$5:$D$16,Акты!$E$5:$E$16,"&lt;="&amp;A3608)-SUMIFS(Оплаты!$B$6:$B$505,Оплаты!$A$6:$A$505,"&lt;"&amp;A3608,Оплаты!$D$6:$D$505,"&lt;&gt;"))</f>
        <v/>
      </c>
      <c r="E3608" t="str">
        <f>IF(A3608="","",IF(SUMPRODUCT((Ввод!$F$12:$F$31&lt;&gt;"")*(Ввод!$F$12:$F$31&lt;=A3608)*(Ввод!$G$12:$G$31&gt;=A3608))&gt;0,1,0))</f>
        <v/>
      </c>
      <c r="G3608" t="str">
        <f t="shared" si="113"/>
        <v/>
      </c>
    </row>
    <row r="3609" spans="1:7" x14ac:dyDescent="0.3">
      <c r="A3609" s="21" t="str">
        <f>IF(A3608="","",IF(A3608+1&gt;Ввод!$B$4,"",A3608+1))</f>
        <v/>
      </c>
      <c r="B3609" s="23" t="str">
        <f>IF(A3609="","",IFERROR(INDEX(Ввод!$B$12:$B$71,MATCH(A3609,Ввод!$D$12:$D$71,1)),""))</f>
        <v/>
      </c>
      <c r="C3609" t="str">
        <f t="shared" si="112"/>
        <v/>
      </c>
      <c r="D3609" t="str">
        <f>IF(A3609="","",SUMIFS(Акты!$D$5:$D$16,Акты!$E$5:$E$16,"&lt;="&amp;A3609)-SUMIFS(Оплаты!$B$6:$B$505,Оплаты!$A$6:$A$505,"&lt;"&amp;A3609,Оплаты!$D$6:$D$505,"&lt;&gt;"))</f>
        <v/>
      </c>
      <c r="E3609" t="str">
        <f>IF(A3609="","",IF(SUMPRODUCT((Ввод!$F$12:$F$31&lt;&gt;"")*(Ввод!$F$12:$F$31&lt;=A3609)*(Ввод!$G$12:$G$31&gt;=A3609))&gt;0,1,0))</f>
        <v/>
      </c>
      <c r="G3609" t="str">
        <f t="shared" si="113"/>
        <v/>
      </c>
    </row>
    <row r="3610" spans="1:7" x14ac:dyDescent="0.3">
      <c r="A3610" s="21" t="str">
        <f>IF(A3609="","",IF(A3609+1&gt;Ввод!$B$4,"",A3609+1))</f>
        <v/>
      </c>
      <c r="B3610" s="23" t="str">
        <f>IF(A3610="","",IFERROR(INDEX(Ввод!$B$12:$B$71,MATCH(A3610,Ввод!$D$12:$D$71,1)),""))</f>
        <v/>
      </c>
      <c r="C3610" t="str">
        <f t="shared" si="112"/>
        <v/>
      </c>
      <c r="D3610" t="str">
        <f>IF(A3610="","",SUMIFS(Акты!$D$5:$D$16,Акты!$E$5:$E$16,"&lt;="&amp;A3610)-SUMIFS(Оплаты!$B$6:$B$505,Оплаты!$A$6:$A$505,"&lt;"&amp;A3610,Оплаты!$D$6:$D$505,"&lt;&gt;"))</f>
        <v/>
      </c>
      <c r="E3610" t="str">
        <f>IF(A3610="","",IF(SUMPRODUCT((Ввод!$F$12:$F$31&lt;&gt;"")*(Ввод!$F$12:$F$31&lt;=A3610)*(Ввод!$G$12:$G$31&gt;=A3610))&gt;0,1,0))</f>
        <v/>
      </c>
      <c r="G3610" t="str">
        <f t="shared" si="113"/>
        <v/>
      </c>
    </row>
    <row r="3611" spans="1:7" x14ac:dyDescent="0.3">
      <c r="A3611" s="21" t="str">
        <f>IF(A3610="","",IF(A3610+1&gt;Ввод!$B$4,"",A3610+1))</f>
        <v/>
      </c>
      <c r="B3611" s="23" t="str">
        <f>IF(A3611="","",IFERROR(INDEX(Ввод!$B$12:$B$71,MATCH(A3611,Ввод!$D$12:$D$71,1)),""))</f>
        <v/>
      </c>
      <c r="C3611" t="str">
        <f t="shared" si="112"/>
        <v/>
      </c>
      <c r="D3611" t="str">
        <f>IF(A3611="","",SUMIFS(Акты!$D$5:$D$16,Акты!$E$5:$E$16,"&lt;="&amp;A3611)-SUMIFS(Оплаты!$B$6:$B$505,Оплаты!$A$6:$A$505,"&lt;"&amp;A3611,Оплаты!$D$6:$D$505,"&lt;&gt;"))</f>
        <v/>
      </c>
      <c r="E3611" t="str">
        <f>IF(A3611="","",IF(SUMPRODUCT((Ввод!$F$12:$F$31&lt;&gt;"")*(Ввод!$F$12:$F$31&lt;=A3611)*(Ввод!$G$12:$G$31&gt;=A3611))&gt;0,1,0))</f>
        <v/>
      </c>
      <c r="G3611" t="str">
        <f t="shared" si="113"/>
        <v/>
      </c>
    </row>
    <row r="3612" spans="1:7" x14ac:dyDescent="0.3">
      <c r="A3612" s="21" t="str">
        <f>IF(A3611="","",IF(A3611+1&gt;Ввод!$B$4,"",A3611+1))</f>
        <v/>
      </c>
      <c r="B3612" s="23" t="str">
        <f>IF(A3612="","",IFERROR(INDEX(Ввод!$B$12:$B$71,MATCH(A3612,Ввод!$D$12:$D$71,1)),""))</f>
        <v/>
      </c>
      <c r="C3612" t="str">
        <f t="shared" si="112"/>
        <v/>
      </c>
      <c r="D3612" t="str">
        <f>IF(A3612="","",SUMIFS(Акты!$D$5:$D$16,Акты!$E$5:$E$16,"&lt;="&amp;A3612)-SUMIFS(Оплаты!$B$6:$B$505,Оплаты!$A$6:$A$505,"&lt;"&amp;A3612,Оплаты!$D$6:$D$505,"&lt;&gt;"))</f>
        <v/>
      </c>
      <c r="E3612" t="str">
        <f>IF(A3612="","",IF(SUMPRODUCT((Ввод!$F$12:$F$31&lt;&gt;"")*(Ввод!$F$12:$F$31&lt;=A3612)*(Ввод!$G$12:$G$31&gt;=A3612))&gt;0,1,0))</f>
        <v/>
      </c>
      <c r="G3612" t="str">
        <f t="shared" si="113"/>
        <v/>
      </c>
    </row>
    <row r="3613" spans="1:7" x14ac:dyDescent="0.3">
      <c r="A3613" s="21" t="str">
        <f>IF(A3612="","",IF(A3612+1&gt;Ввод!$B$4,"",A3612+1))</f>
        <v/>
      </c>
      <c r="B3613" s="23" t="str">
        <f>IF(A3613="","",IFERROR(INDEX(Ввод!$B$12:$B$71,MATCH(A3613,Ввод!$D$12:$D$71,1)),""))</f>
        <v/>
      </c>
      <c r="C3613" t="str">
        <f t="shared" si="112"/>
        <v/>
      </c>
      <c r="D3613" t="str">
        <f>IF(A3613="","",SUMIFS(Акты!$D$5:$D$16,Акты!$E$5:$E$16,"&lt;="&amp;A3613)-SUMIFS(Оплаты!$B$6:$B$505,Оплаты!$A$6:$A$505,"&lt;"&amp;A3613,Оплаты!$D$6:$D$505,"&lt;&gt;"))</f>
        <v/>
      </c>
      <c r="E3613" t="str">
        <f>IF(A3613="","",IF(SUMPRODUCT((Ввод!$F$12:$F$31&lt;&gt;"")*(Ввод!$F$12:$F$31&lt;=A3613)*(Ввод!$G$12:$G$31&gt;=A3613))&gt;0,1,0))</f>
        <v/>
      </c>
      <c r="G3613" t="str">
        <f t="shared" si="113"/>
        <v/>
      </c>
    </row>
    <row r="3614" spans="1:7" x14ac:dyDescent="0.3">
      <c r="A3614" s="21" t="str">
        <f>IF(A3613="","",IF(A3613+1&gt;Ввод!$B$4,"",A3613+1))</f>
        <v/>
      </c>
      <c r="B3614" s="23" t="str">
        <f>IF(A3614="","",IFERROR(INDEX(Ввод!$B$12:$B$71,MATCH(A3614,Ввод!$D$12:$D$71,1)),""))</f>
        <v/>
      </c>
      <c r="C3614" t="str">
        <f t="shared" si="112"/>
        <v/>
      </c>
      <c r="D3614" t="str">
        <f>IF(A3614="","",SUMIFS(Акты!$D$5:$D$16,Акты!$E$5:$E$16,"&lt;="&amp;A3614)-SUMIFS(Оплаты!$B$6:$B$505,Оплаты!$A$6:$A$505,"&lt;"&amp;A3614,Оплаты!$D$6:$D$505,"&lt;&gt;"))</f>
        <v/>
      </c>
      <c r="E3614" t="str">
        <f>IF(A3614="","",IF(SUMPRODUCT((Ввод!$F$12:$F$31&lt;&gt;"")*(Ввод!$F$12:$F$31&lt;=A3614)*(Ввод!$G$12:$G$31&gt;=A3614))&gt;0,1,0))</f>
        <v/>
      </c>
      <c r="G3614" t="str">
        <f t="shared" si="113"/>
        <v/>
      </c>
    </row>
    <row r="3615" spans="1:7" x14ac:dyDescent="0.3">
      <c r="A3615" s="21" t="str">
        <f>IF(A3614="","",IF(A3614+1&gt;Ввод!$B$4,"",A3614+1))</f>
        <v/>
      </c>
      <c r="B3615" s="23" t="str">
        <f>IF(A3615="","",IFERROR(INDEX(Ввод!$B$12:$B$71,MATCH(A3615,Ввод!$D$12:$D$71,1)),""))</f>
        <v/>
      </c>
      <c r="C3615" t="str">
        <f t="shared" si="112"/>
        <v/>
      </c>
      <c r="D3615" t="str">
        <f>IF(A3615="","",SUMIFS(Акты!$D$5:$D$16,Акты!$E$5:$E$16,"&lt;="&amp;A3615)-SUMIFS(Оплаты!$B$6:$B$505,Оплаты!$A$6:$A$505,"&lt;"&amp;A3615,Оплаты!$D$6:$D$505,"&lt;&gt;"))</f>
        <v/>
      </c>
      <c r="E3615" t="str">
        <f>IF(A3615="","",IF(SUMPRODUCT((Ввод!$F$12:$F$31&lt;&gt;"")*(Ввод!$F$12:$F$31&lt;=A3615)*(Ввод!$G$12:$G$31&gt;=A3615))&gt;0,1,0))</f>
        <v/>
      </c>
      <c r="G3615" t="str">
        <f t="shared" si="113"/>
        <v/>
      </c>
    </row>
    <row r="3616" spans="1:7" x14ac:dyDescent="0.3">
      <c r="A3616" s="21" t="str">
        <f>IF(A3615="","",IF(A3615+1&gt;Ввод!$B$4,"",A3615+1))</f>
        <v/>
      </c>
      <c r="B3616" s="23" t="str">
        <f>IF(A3616="","",IFERROR(INDEX(Ввод!$B$12:$B$71,MATCH(A3616,Ввод!$D$12:$D$71,1)),""))</f>
        <v/>
      </c>
      <c r="C3616" t="str">
        <f t="shared" si="112"/>
        <v/>
      </c>
      <c r="D3616" t="str">
        <f>IF(A3616="","",SUMIFS(Акты!$D$5:$D$16,Акты!$E$5:$E$16,"&lt;="&amp;A3616)-SUMIFS(Оплаты!$B$6:$B$505,Оплаты!$A$6:$A$505,"&lt;"&amp;A3616,Оплаты!$D$6:$D$505,"&lt;&gt;"))</f>
        <v/>
      </c>
      <c r="E3616" t="str">
        <f>IF(A3616="","",IF(SUMPRODUCT((Ввод!$F$12:$F$31&lt;&gt;"")*(Ввод!$F$12:$F$31&lt;=A3616)*(Ввод!$G$12:$G$31&gt;=A3616))&gt;0,1,0))</f>
        <v/>
      </c>
      <c r="G3616" t="str">
        <f t="shared" si="113"/>
        <v/>
      </c>
    </row>
    <row r="3617" spans="1:7" x14ac:dyDescent="0.3">
      <c r="A3617" s="21" t="str">
        <f>IF(A3616="","",IF(A3616+1&gt;Ввод!$B$4,"",A3616+1))</f>
        <v/>
      </c>
      <c r="B3617" s="23" t="str">
        <f>IF(A3617="","",IFERROR(INDEX(Ввод!$B$12:$B$71,MATCH(A3617,Ввод!$D$12:$D$71,1)),""))</f>
        <v/>
      </c>
      <c r="C3617" t="str">
        <f t="shared" si="112"/>
        <v/>
      </c>
      <c r="D3617" t="str">
        <f>IF(A3617="","",SUMIFS(Акты!$D$5:$D$16,Акты!$E$5:$E$16,"&lt;="&amp;A3617)-SUMIFS(Оплаты!$B$6:$B$505,Оплаты!$A$6:$A$505,"&lt;"&amp;A3617,Оплаты!$D$6:$D$505,"&lt;&gt;"))</f>
        <v/>
      </c>
      <c r="E3617" t="str">
        <f>IF(A3617="","",IF(SUMPRODUCT((Ввод!$F$12:$F$31&lt;&gt;"")*(Ввод!$F$12:$F$31&lt;=A3617)*(Ввод!$G$12:$G$31&gt;=A3617))&gt;0,1,0))</f>
        <v/>
      </c>
      <c r="G3617" t="str">
        <f t="shared" si="113"/>
        <v/>
      </c>
    </row>
    <row r="3618" spans="1:7" x14ac:dyDescent="0.3">
      <c r="A3618" s="21" t="str">
        <f>IF(A3617="","",IF(A3617+1&gt;Ввод!$B$4,"",A3617+1))</f>
        <v/>
      </c>
      <c r="B3618" s="23" t="str">
        <f>IF(A3618="","",IFERROR(INDEX(Ввод!$B$12:$B$71,MATCH(A3618,Ввод!$D$12:$D$71,1)),""))</f>
        <v/>
      </c>
      <c r="C3618" t="str">
        <f t="shared" si="112"/>
        <v/>
      </c>
      <c r="D3618" t="str">
        <f>IF(A3618="","",SUMIFS(Акты!$D$5:$D$16,Акты!$E$5:$E$16,"&lt;="&amp;A3618)-SUMIFS(Оплаты!$B$6:$B$505,Оплаты!$A$6:$A$505,"&lt;"&amp;A3618,Оплаты!$D$6:$D$505,"&lt;&gt;"))</f>
        <v/>
      </c>
      <c r="E3618" t="str">
        <f>IF(A3618="","",IF(SUMPRODUCT((Ввод!$F$12:$F$31&lt;&gt;"")*(Ввод!$F$12:$F$31&lt;=A3618)*(Ввод!$G$12:$G$31&gt;=A3618))&gt;0,1,0))</f>
        <v/>
      </c>
      <c r="G3618" t="str">
        <f t="shared" si="113"/>
        <v/>
      </c>
    </row>
    <row r="3619" spans="1:7" x14ac:dyDescent="0.3">
      <c r="A3619" s="21" t="str">
        <f>IF(A3618="","",IF(A3618+1&gt;Ввод!$B$4,"",A3618+1))</f>
        <v/>
      </c>
      <c r="B3619" s="23" t="str">
        <f>IF(A3619="","",IFERROR(INDEX(Ввод!$B$12:$B$71,MATCH(A3619,Ввод!$D$12:$D$71,1)),""))</f>
        <v/>
      </c>
      <c r="C3619" t="str">
        <f t="shared" si="112"/>
        <v/>
      </c>
      <c r="D3619" t="str">
        <f>IF(A3619="","",SUMIFS(Акты!$D$5:$D$16,Акты!$E$5:$E$16,"&lt;="&amp;A3619)-SUMIFS(Оплаты!$B$6:$B$505,Оплаты!$A$6:$A$505,"&lt;"&amp;A3619,Оплаты!$D$6:$D$505,"&lt;&gt;"))</f>
        <v/>
      </c>
      <c r="E3619" t="str">
        <f>IF(A3619="","",IF(SUMPRODUCT((Ввод!$F$12:$F$31&lt;&gt;"")*(Ввод!$F$12:$F$31&lt;=A3619)*(Ввод!$G$12:$G$31&gt;=A3619))&gt;0,1,0))</f>
        <v/>
      </c>
      <c r="G3619" t="str">
        <f t="shared" si="113"/>
        <v/>
      </c>
    </row>
    <row r="3620" spans="1:7" x14ac:dyDescent="0.3">
      <c r="A3620" s="21" t="str">
        <f>IF(A3619="","",IF(A3619+1&gt;Ввод!$B$4,"",A3619+1))</f>
        <v/>
      </c>
      <c r="B3620" s="23" t="str">
        <f>IF(A3620="","",IFERROR(INDEX(Ввод!$B$12:$B$71,MATCH(A3620,Ввод!$D$12:$D$71,1)),""))</f>
        <v/>
      </c>
      <c r="C3620" t="str">
        <f t="shared" si="112"/>
        <v/>
      </c>
      <c r="D3620" t="str">
        <f>IF(A3620="","",SUMIFS(Акты!$D$5:$D$16,Акты!$E$5:$E$16,"&lt;="&amp;A3620)-SUMIFS(Оплаты!$B$6:$B$505,Оплаты!$A$6:$A$505,"&lt;"&amp;A3620,Оплаты!$D$6:$D$505,"&lt;&gt;"))</f>
        <v/>
      </c>
      <c r="E3620" t="str">
        <f>IF(A3620="","",IF(SUMPRODUCT((Ввод!$F$12:$F$31&lt;&gt;"")*(Ввод!$F$12:$F$31&lt;=A3620)*(Ввод!$G$12:$G$31&gt;=A3620))&gt;0,1,0))</f>
        <v/>
      </c>
      <c r="G3620" t="str">
        <f t="shared" si="113"/>
        <v/>
      </c>
    </row>
    <row r="3621" spans="1:7" x14ac:dyDescent="0.3">
      <c r="A3621" s="21" t="str">
        <f>IF(A3620="","",IF(A3620+1&gt;Ввод!$B$4,"",A3620+1))</f>
        <v/>
      </c>
      <c r="B3621" s="23" t="str">
        <f>IF(A3621="","",IFERROR(INDEX(Ввод!$B$12:$B$71,MATCH(A3621,Ввод!$D$12:$D$71,1)),""))</f>
        <v/>
      </c>
      <c r="C3621" t="str">
        <f t="shared" si="112"/>
        <v/>
      </c>
      <c r="D3621" t="str">
        <f>IF(A3621="","",SUMIFS(Акты!$D$5:$D$16,Акты!$E$5:$E$16,"&lt;="&amp;A3621)-SUMIFS(Оплаты!$B$6:$B$505,Оплаты!$A$6:$A$505,"&lt;"&amp;A3621,Оплаты!$D$6:$D$505,"&lt;&gt;"))</f>
        <v/>
      </c>
      <c r="E3621" t="str">
        <f>IF(A3621="","",IF(SUMPRODUCT((Ввод!$F$12:$F$31&lt;&gt;"")*(Ввод!$F$12:$F$31&lt;=A3621)*(Ввод!$G$12:$G$31&gt;=A3621))&gt;0,1,0))</f>
        <v/>
      </c>
      <c r="G3621" t="str">
        <f t="shared" si="113"/>
        <v/>
      </c>
    </row>
    <row r="3622" spans="1:7" x14ac:dyDescent="0.3">
      <c r="A3622" s="21" t="str">
        <f>IF(A3621="","",IF(A3621+1&gt;Ввод!$B$4,"",A3621+1))</f>
        <v/>
      </c>
      <c r="B3622" s="23" t="str">
        <f>IF(A3622="","",IFERROR(INDEX(Ввод!$B$12:$B$71,MATCH(A3622,Ввод!$D$12:$D$71,1)),""))</f>
        <v/>
      </c>
      <c r="C3622" t="str">
        <f t="shared" si="112"/>
        <v/>
      </c>
      <c r="D3622" t="str">
        <f>IF(A3622="","",SUMIFS(Акты!$D$5:$D$16,Акты!$E$5:$E$16,"&lt;="&amp;A3622)-SUMIFS(Оплаты!$B$6:$B$505,Оплаты!$A$6:$A$505,"&lt;"&amp;A3622,Оплаты!$D$6:$D$505,"&lt;&gt;"))</f>
        <v/>
      </c>
      <c r="E3622" t="str">
        <f>IF(A3622="","",IF(SUMPRODUCT((Ввод!$F$12:$F$31&lt;&gt;"")*(Ввод!$F$12:$F$31&lt;=A3622)*(Ввод!$G$12:$G$31&gt;=A3622))&gt;0,1,0))</f>
        <v/>
      </c>
      <c r="G3622" t="str">
        <f t="shared" si="113"/>
        <v/>
      </c>
    </row>
    <row r="3623" spans="1:7" x14ac:dyDescent="0.3">
      <c r="A3623" s="21" t="str">
        <f>IF(A3622="","",IF(A3622+1&gt;Ввод!$B$4,"",A3622+1))</f>
        <v/>
      </c>
      <c r="B3623" s="23" t="str">
        <f>IF(A3623="","",IFERROR(INDEX(Ввод!$B$12:$B$71,MATCH(A3623,Ввод!$D$12:$D$71,1)),""))</f>
        <v/>
      </c>
      <c r="C3623" t="str">
        <f t="shared" si="112"/>
        <v/>
      </c>
      <c r="D3623" t="str">
        <f>IF(A3623="","",SUMIFS(Акты!$D$5:$D$16,Акты!$E$5:$E$16,"&lt;="&amp;A3623)-SUMIFS(Оплаты!$B$6:$B$505,Оплаты!$A$6:$A$505,"&lt;"&amp;A3623,Оплаты!$D$6:$D$505,"&lt;&gt;"))</f>
        <v/>
      </c>
      <c r="E3623" t="str">
        <f>IF(A3623="","",IF(SUMPRODUCT((Ввод!$F$12:$F$31&lt;&gt;"")*(Ввод!$F$12:$F$31&lt;=A3623)*(Ввод!$G$12:$G$31&gt;=A3623))&gt;0,1,0))</f>
        <v/>
      </c>
      <c r="G3623" t="str">
        <f t="shared" si="113"/>
        <v/>
      </c>
    </row>
    <row r="3624" spans="1:7" x14ac:dyDescent="0.3">
      <c r="A3624" s="21" t="str">
        <f>IF(A3623="","",IF(A3623+1&gt;Ввод!$B$4,"",A3623+1))</f>
        <v/>
      </c>
      <c r="B3624" s="23" t="str">
        <f>IF(A3624="","",IFERROR(INDEX(Ввод!$B$12:$B$71,MATCH(A3624,Ввод!$D$12:$D$71,1)),""))</f>
        <v/>
      </c>
      <c r="C3624" t="str">
        <f t="shared" si="112"/>
        <v/>
      </c>
      <c r="D3624" t="str">
        <f>IF(A3624="","",SUMIFS(Акты!$D$5:$D$16,Акты!$E$5:$E$16,"&lt;="&amp;A3624)-SUMIFS(Оплаты!$B$6:$B$505,Оплаты!$A$6:$A$505,"&lt;"&amp;A3624,Оплаты!$D$6:$D$505,"&lt;&gt;"))</f>
        <v/>
      </c>
      <c r="E3624" t="str">
        <f>IF(A3624="","",IF(SUMPRODUCT((Ввод!$F$12:$F$31&lt;&gt;"")*(Ввод!$F$12:$F$31&lt;=A3624)*(Ввод!$G$12:$G$31&gt;=A3624))&gt;0,1,0))</f>
        <v/>
      </c>
      <c r="G3624" t="str">
        <f t="shared" si="113"/>
        <v/>
      </c>
    </row>
    <row r="3625" spans="1:7" x14ac:dyDescent="0.3">
      <c r="A3625" s="21" t="str">
        <f>IF(A3624="","",IF(A3624+1&gt;Ввод!$B$4,"",A3624+1))</f>
        <v/>
      </c>
      <c r="B3625" s="23" t="str">
        <f>IF(A3625="","",IFERROR(INDEX(Ввод!$B$12:$B$71,MATCH(A3625,Ввод!$D$12:$D$71,1)),""))</f>
        <v/>
      </c>
      <c r="C3625" t="str">
        <f t="shared" si="112"/>
        <v/>
      </c>
      <c r="D3625" t="str">
        <f>IF(A3625="","",SUMIFS(Акты!$D$5:$D$16,Акты!$E$5:$E$16,"&lt;="&amp;A3625)-SUMIFS(Оплаты!$B$6:$B$505,Оплаты!$A$6:$A$505,"&lt;"&amp;A3625,Оплаты!$D$6:$D$505,"&lt;&gt;"))</f>
        <v/>
      </c>
      <c r="E3625" t="str">
        <f>IF(A3625="","",IF(SUMPRODUCT((Ввод!$F$12:$F$31&lt;&gt;"")*(Ввод!$F$12:$F$31&lt;=A3625)*(Ввод!$G$12:$G$31&gt;=A3625))&gt;0,1,0))</f>
        <v/>
      </c>
      <c r="G3625" t="str">
        <f t="shared" si="113"/>
        <v/>
      </c>
    </row>
    <row r="3626" spans="1:7" x14ac:dyDescent="0.3">
      <c r="A3626" s="21" t="str">
        <f>IF(A3625="","",IF(A3625+1&gt;Ввод!$B$4,"",A3625+1))</f>
        <v/>
      </c>
      <c r="B3626" s="23" t="str">
        <f>IF(A3626="","",IFERROR(INDEX(Ввод!$B$12:$B$71,MATCH(A3626,Ввод!$D$12:$D$71,1)),""))</f>
        <v/>
      </c>
      <c r="C3626" t="str">
        <f t="shared" si="112"/>
        <v/>
      </c>
      <c r="D3626" t="str">
        <f>IF(A3626="","",SUMIFS(Акты!$D$5:$D$16,Акты!$E$5:$E$16,"&lt;="&amp;A3626)-SUMIFS(Оплаты!$B$6:$B$505,Оплаты!$A$6:$A$505,"&lt;"&amp;A3626,Оплаты!$D$6:$D$505,"&lt;&gt;"))</f>
        <v/>
      </c>
      <c r="E3626" t="str">
        <f>IF(A3626="","",IF(SUMPRODUCT((Ввод!$F$12:$F$31&lt;&gt;"")*(Ввод!$F$12:$F$31&lt;=A3626)*(Ввод!$G$12:$G$31&gt;=A3626))&gt;0,1,0))</f>
        <v/>
      </c>
      <c r="G3626" t="str">
        <f t="shared" si="113"/>
        <v/>
      </c>
    </row>
    <row r="3627" spans="1:7" x14ac:dyDescent="0.3">
      <c r="A3627" s="21" t="str">
        <f>IF(A3626="","",IF(A3626+1&gt;Ввод!$B$4,"",A3626+1))</f>
        <v/>
      </c>
      <c r="B3627" s="23" t="str">
        <f>IF(A3627="","",IFERROR(INDEX(Ввод!$B$12:$B$71,MATCH(A3627,Ввод!$D$12:$D$71,1)),""))</f>
        <v/>
      </c>
      <c r="C3627" t="str">
        <f t="shared" si="112"/>
        <v/>
      </c>
      <c r="D3627" t="str">
        <f>IF(A3627="","",SUMIFS(Акты!$D$5:$D$16,Акты!$E$5:$E$16,"&lt;="&amp;A3627)-SUMIFS(Оплаты!$B$6:$B$505,Оплаты!$A$6:$A$505,"&lt;"&amp;A3627,Оплаты!$D$6:$D$505,"&lt;&gt;"))</f>
        <v/>
      </c>
      <c r="E3627" t="str">
        <f>IF(A3627="","",IF(SUMPRODUCT((Ввод!$F$12:$F$31&lt;&gt;"")*(Ввод!$F$12:$F$31&lt;=A3627)*(Ввод!$G$12:$G$31&gt;=A3627))&gt;0,1,0))</f>
        <v/>
      </c>
      <c r="G3627" t="str">
        <f t="shared" si="113"/>
        <v/>
      </c>
    </row>
    <row r="3628" spans="1:7" x14ac:dyDescent="0.3">
      <c r="A3628" s="21" t="str">
        <f>IF(A3627="","",IF(A3627+1&gt;Ввод!$B$4,"",A3627+1))</f>
        <v/>
      </c>
      <c r="B3628" s="23" t="str">
        <f>IF(A3628="","",IFERROR(INDEX(Ввод!$B$12:$B$71,MATCH(A3628,Ввод!$D$12:$D$71,1)),""))</f>
        <v/>
      </c>
      <c r="C3628" t="str">
        <f t="shared" si="112"/>
        <v/>
      </c>
      <c r="D3628" t="str">
        <f>IF(A3628="","",SUMIFS(Акты!$D$5:$D$16,Акты!$E$5:$E$16,"&lt;="&amp;A3628)-SUMIFS(Оплаты!$B$6:$B$505,Оплаты!$A$6:$A$505,"&lt;"&amp;A3628,Оплаты!$D$6:$D$505,"&lt;&gt;"))</f>
        <v/>
      </c>
      <c r="E3628" t="str">
        <f>IF(A3628="","",IF(SUMPRODUCT((Ввод!$F$12:$F$31&lt;&gt;"")*(Ввод!$F$12:$F$31&lt;=A3628)*(Ввод!$G$12:$G$31&gt;=A3628))&gt;0,1,0))</f>
        <v/>
      </c>
      <c r="G3628" t="str">
        <f t="shared" si="113"/>
        <v/>
      </c>
    </row>
    <row r="3629" spans="1:7" x14ac:dyDescent="0.3">
      <c r="A3629" s="21" t="str">
        <f>IF(A3628="","",IF(A3628+1&gt;Ввод!$B$4,"",A3628+1))</f>
        <v/>
      </c>
      <c r="B3629" s="23" t="str">
        <f>IF(A3629="","",IFERROR(INDEX(Ввод!$B$12:$B$71,MATCH(A3629,Ввод!$D$12:$D$71,1)),""))</f>
        <v/>
      </c>
      <c r="C3629" t="str">
        <f t="shared" si="112"/>
        <v/>
      </c>
      <c r="D3629" t="str">
        <f>IF(A3629="","",SUMIFS(Акты!$D$5:$D$16,Акты!$E$5:$E$16,"&lt;="&amp;A3629)-SUMIFS(Оплаты!$B$6:$B$505,Оплаты!$A$6:$A$505,"&lt;"&amp;A3629,Оплаты!$D$6:$D$505,"&lt;&gt;"))</f>
        <v/>
      </c>
      <c r="E3629" t="str">
        <f>IF(A3629="","",IF(SUMPRODUCT((Ввод!$F$12:$F$31&lt;&gt;"")*(Ввод!$F$12:$F$31&lt;=A3629)*(Ввод!$G$12:$G$31&gt;=A3629))&gt;0,1,0))</f>
        <v/>
      </c>
      <c r="G3629" t="str">
        <f t="shared" si="113"/>
        <v/>
      </c>
    </row>
    <row r="3630" spans="1:7" x14ac:dyDescent="0.3">
      <c r="A3630" s="21" t="str">
        <f>IF(A3629="","",IF(A3629+1&gt;Ввод!$B$4,"",A3629+1))</f>
        <v/>
      </c>
      <c r="B3630" s="23" t="str">
        <f>IF(A3630="","",IFERROR(INDEX(Ввод!$B$12:$B$71,MATCH(A3630,Ввод!$D$12:$D$71,1)),""))</f>
        <v/>
      </c>
      <c r="C3630" t="str">
        <f t="shared" si="112"/>
        <v/>
      </c>
      <c r="D3630" t="str">
        <f>IF(A3630="","",SUMIFS(Акты!$D$5:$D$16,Акты!$E$5:$E$16,"&lt;="&amp;A3630)-SUMIFS(Оплаты!$B$6:$B$505,Оплаты!$A$6:$A$505,"&lt;"&amp;A3630,Оплаты!$D$6:$D$505,"&lt;&gt;"))</f>
        <v/>
      </c>
      <c r="E3630" t="str">
        <f>IF(A3630="","",IF(SUMPRODUCT((Ввод!$F$12:$F$31&lt;&gt;"")*(Ввод!$F$12:$F$31&lt;=A3630)*(Ввод!$G$12:$G$31&gt;=A3630))&gt;0,1,0))</f>
        <v/>
      </c>
      <c r="G3630" t="str">
        <f t="shared" si="113"/>
        <v/>
      </c>
    </row>
    <row r="3631" spans="1:7" x14ac:dyDescent="0.3">
      <c r="A3631" s="21" t="str">
        <f>IF(A3630="","",IF(A3630+1&gt;Ввод!$B$4,"",A3630+1))</f>
        <v/>
      </c>
      <c r="B3631" s="23" t="str">
        <f>IF(A3631="","",IFERROR(INDEX(Ввод!$B$12:$B$71,MATCH(A3631,Ввод!$D$12:$D$71,1)),""))</f>
        <v/>
      </c>
      <c r="C3631" t="str">
        <f t="shared" si="112"/>
        <v/>
      </c>
      <c r="D3631" t="str">
        <f>IF(A3631="","",SUMIFS(Акты!$D$5:$D$16,Акты!$E$5:$E$16,"&lt;="&amp;A3631)-SUMIFS(Оплаты!$B$6:$B$505,Оплаты!$A$6:$A$505,"&lt;"&amp;A3631,Оплаты!$D$6:$D$505,"&lt;&gt;"))</f>
        <v/>
      </c>
      <c r="E3631" t="str">
        <f>IF(A3631="","",IF(SUMPRODUCT((Ввод!$F$12:$F$31&lt;&gt;"")*(Ввод!$F$12:$F$31&lt;=A3631)*(Ввод!$G$12:$G$31&gt;=A3631))&gt;0,1,0))</f>
        <v/>
      </c>
      <c r="G3631" t="str">
        <f t="shared" si="113"/>
        <v/>
      </c>
    </row>
    <row r="3632" spans="1:7" x14ac:dyDescent="0.3">
      <c r="A3632" s="21" t="str">
        <f>IF(A3631="","",IF(A3631+1&gt;Ввод!$B$4,"",A3631+1))</f>
        <v/>
      </c>
      <c r="B3632" s="23" t="str">
        <f>IF(A3632="","",IFERROR(INDEX(Ввод!$B$12:$B$71,MATCH(A3632,Ввод!$D$12:$D$71,1)),""))</f>
        <v/>
      </c>
      <c r="C3632" t="str">
        <f t="shared" si="112"/>
        <v/>
      </c>
      <c r="D3632" t="str">
        <f>IF(A3632="","",SUMIFS(Акты!$D$5:$D$16,Акты!$E$5:$E$16,"&lt;="&amp;A3632)-SUMIFS(Оплаты!$B$6:$B$505,Оплаты!$A$6:$A$505,"&lt;"&amp;A3632,Оплаты!$D$6:$D$505,"&lt;&gt;"))</f>
        <v/>
      </c>
      <c r="E3632" t="str">
        <f>IF(A3632="","",IF(SUMPRODUCT((Ввод!$F$12:$F$31&lt;&gt;"")*(Ввод!$F$12:$F$31&lt;=A3632)*(Ввод!$G$12:$G$31&gt;=A3632))&gt;0,1,0))</f>
        <v/>
      </c>
      <c r="G3632" t="str">
        <f t="shared" si="113"/>
        <v/>
      </c>
    </row>
    <row r="3633" spans="1:7" x14ac:dyDescent="0.3">
      <c r="A3633" s="21" t="str">
        <f>IF(A3632="","",IF(A3632+1&gt;Ввод!$B$4,"",A3632+1))</f>
        <v/>
      </c>
      <c r="B3633" s="23" t="str">
        <f>IF(A3633="","",IFERROR(INDEX(Ввод!$B$12:$B$71,MATCH(A3633,Ввод!$D$12:$D$71,1)),""))</f>
        <v/>
      </c>
      <c r="C3633" t="str">
        <f t="shared" si="112"/>
        <v/>
      </c>
      <c r="D3633" t="str">
        <f>IF(A3633="","",SUMIFS(Акты!$D$5:$D$16,Акты!$E$5:$E$16,"&lt;="&amp;A3633)-SUMIFS(Оплаты!$B$6:$B$505,Оплаты!$A$6:$A$505,"&lt;"&amp;A3633,Оплаты!$D$6:$D$505,"&lt;&gt;"))</f>
        <v/>
      </c>
      <c r="E3633" t="str">
        <f>IF(A3633="","",IF(SUMPRODUCT((Ввод!$F$12:$F$31&lt;&gt;"")*(Ввод!$F$12:$F$31&lt;=A3633)*(Ввод!$G$12:$G$31&gt;=A3633))&gt;0,1,0))</f>
        <v/>
      </c>
      <c r="G3633" t="str">
        <f t="shared" si="113"/>
        <v/>
      </c>
    </row>
    <row r="3634" spans="1:7" x14ac:dyDescent="0.3">
      <c r="A3634" s="21" t="str">
        <f>IF(A3633="","",IF(A3633+1&gt;Ввод!$B$4,"",A3633+1))</f>
        <v/>
      </c>
      <c r="B3634" s="23" t="str">
        <f>IF(A3634="","",IFERROR(INDEX(Ввод!$B$12:$B$71,MATCH(A3634,Ввод!$D$12:$D$71,1)),""))</f>
        <v/>
      </c>
      <c r="C3634" t="str">
        <f t="shared" si="112"/>
        <v/>
      </c>
      <c r="D3634" t="str">
        <f>IF(A3634="","",SUMIFS(Акты!$D$5:$D$16,Акты!$E$5:$E$16,"&lt;="&amp;A3634)-SUMIFS(Оплаты!$B$6:$B$505,Оплаты!$A$6:$A$505,"&lt;"&amp;A3634,Оплаты!$D$6:$D$505,"&lt;&gt;"))</f>
        <v/>
      </c>
      <c r="E3634" t="str">
        <f>IF(A3634="","",IF(SUMPRODUCT((Ввод!$F$12:$F$31&lt;&gt;"")*(Ввод!$F$12:$F$31&lt;=A3634)*(Ввод!$G$12:$G$31&gt;=A3634))&gt;0,1,0))</f>
        <v/>
      </c>
      <c r="G3634" t="str">
        <f t="shared" si="113"/>
        <v/>
      </c>
    </row>
    <row r="3635" spans="1:7" x14ac:dyDescent="0.3">
      <c r="A3635" s="21" t="str">
        <f>IF(A3634="","",IF(A3634+1&gt;Ввод!$B$4,"",A3634+1))</f>
        <v/>
      </c>
      <c r="B3635" s="23" t="str">
        <f>IF(A3635="","",IFERROR(INDEX(Ввод!$B$12:$B$71,MATCH(A3635,Ввод!$D$12:$D$71,1)),""))</f>
        <v/>
      </c>
      <c r="C3635" t="str">
        <f t="shared" si="112"/>
        <v/>
      </c>
      <c r="D3635" t="str">
        <f>IF(A3635="","",SUMIFS(Акты!$D$5:$D$16,Акты!$E$5:$E$16,"&lt;="&amp;A3635)-SUMIFS(Оплаты!$B$6:$B$505,Оплаты!$A$6:$A$505,"&lt;"&amp;A3635,Оплаты!$D$6:$D$505,"&lt;&gt;"))</f>
        <v/>
      </c>
      <c r="E3635" t="str">
        <f>IF(A3635="","",IF(SUMPRODUCT((Ввод!$F$12:$F$31&lt;&gt;"")*(Ввод!$F$12:$F$31&lt;=A3635)*(Ввод!$G$12:$G$31&gt;=A3635))&gt;0,1,0))</f>
        <v/>
      </c>
      <c r="G3635" t="str">
        <f t="shared" si="113"/>
        <v/>
      </c>
    </row>
    <row r="3636" spans="1:7" x14ac:dyDescent="0.3">
      <c r="A3636" s="21" t="str">
        <f>IF(A3635="","",IF(A3635+1&gt;Ввод!$B$4,"",A3635+1))</f>
        <v/>
      </c>
      <c r="B3636" s="23" t="str">
        <f>IF(A3636="","",IFERROR(INDEX(Ввод!$B$12:$B$71,MATCH(A3636,Ввод!$D$12:$D$71,1)),""))</f>
        <v/>
      </c>
      <c r="C3636" t="str">
        <f t="shared" si="112"/>
        <v/>
      </c>
      <c r="D3636" t="str">
        <f>IF(A3636="","",SUMIFS(Акты!$D$5:$D$16,Акты!$E$5:$E$16,"&lt;="&amp;A3636)-SUMIFS(Оплаты!$B$6:$B$505,Оплаты!$A$6:$A$505,"&lt;"&amp;A3636,Оплаты!$D$6:$D$505,"&lt;&gt;"))</f>
        <v/>
      </c>
      <c r="E3636" t="str">
        <f>IF(A3636="","",IF(SUMPRODUCT((Ввод!$F$12:$F$31&lt;&gt;"")*(Ввод!$F$12:$F$31&lt;=A3636)*(Ввод!$G$12:$G$31&gt;=A3636))&gt;0,1,0))</f>
        <v/>
      </c>
      <c r="G3636" t="str">
        <f t="shared" si="113"/>
        <v/>
      </c>
    </row>
    <row r="3637" spans="1:7" x14ac:dyDescent="0.3">
      <c r="A3637" s="21" t="str">
        <f>IF(A3636="","",IF(A3636+1&gt;Ввод!$B$4,"",A3636+1))</f>
        <v/>
      </c>
      <c r="B3637" s="23" t="str">
        <f>IF(A3637="","",IFERROR(INDEX(Ввод!$B$12:$B$71,MATCH(A3637,Ввод!$D$12:$D$71,1)),""))</f>
        <v/>
      </c>
      <c r="C3637" t="str">
        <f t="shared" si="112"/>
        <v/>
      </c>
      <c r="D3637" t="str">
        <f>IF(A3637="","",SUMIFS(Акты!$D$5:$D$16,Акты!$E$5:$E$16,"&lt;="&amp;A3637)-SUMIFS(Оплаты!$B$6:$B$505,Оплаты!$A$6:$A$505,"&lt;"&amp;A3637,Оплаты!$D$6:$D$505,"&lt;&gt;"))</f>
        <v/>
      </c>
      <c r="E3637" t="str">
        <f>IF(A3637="","",IF(SUMPRODUCT((Ввод!$F$12:$F$31&lt;&gt;"")*(Ввод!$F$12:$F$31&lt;=A3637)*(Ввод!$G$12:$G$31&gt;=A3637))&gt;0,1,0))</f>
        <v/>
      </c>
      <c r="G3637" t="str">
        <f t="shared" si="113"/>
        <v/>
      </c>
    </row>
    <row r="3638" spans="1:7" x14ac:dyDescent="0.3">
      <c r="A3638" s="21" t="str">
        <f>IF(A3637="","",IF(A3637+1&gt;Ввод!$B$4,"",A3637+1))</f>
        <v/>
      </c>
      <c r="B3638" s="23" t="str">
        <f>IF(A3638="","",IFERROR(INDEX(Ввод!$B$12:$B$71,MATCH(A3638,Ввод!$D$12:$D$71,1)),""))</f>
        <v/>
      </c>
      <c r="C3638" t="str">
        <f t="shared" si="112"/>
        <v/>
      </c>
      <c r="D3638" t="str">
        <f>IF(A3638="","",SUMIFS(Акты!$D$5:$D$16,Акты!$E$5:$E$16,"&lt;="&amp;A3638)-SUMIFS(Оплаты!$B$6:$B$505,Оплаты!$A$6:$A$505,"&lt;"&amp;A3638,Оплаты!$D$6:$D$505,"&lt;&gt;"))</f>
        <v/>
      </c>
      <c r="E3638" t="str">
        <f>IF(A3638="","",IF(SUMPRODUCT((Ввод!$F$12:$F$31&lt;&gt;"")*(Ввод!$F$12:$F$31&lt;=A3638)*(Ввод!$G$12:$G$31&gt;=A3638))&gt;0,1,0))</f>
        <v/>
      </c>
      <c r="G3638" t="str">
        <f t="shared" si="113"/>
        <v/>
      </c>
    </row>
    <row r="3639" spans="1:7" x14ac:dyDescent="0.3">
      <c r="A3639" s="21" t="str">
        <f>IF(A3638="","",IF(A3638+1&gt;Ввод!$B$4,"",A3638+1))</f>
        <v/>
      </c>
      <c r="B3639" s="23" t="str">
        <f>IF(A3639="","",IFERROR(INDEX(Ввод!$B$12:$B$71,MATCH(A3639,Ввод!$D$12:$D$71,1)),""))</f>
        <v/>
      </c>
      <c r="C3639" t="str">
        <f t="shared" si="112"/>
        <v/>
      </c>
      <c r="D3639" t="str">
        <f>IF(A3639="","",SUMIFS(Акты!$D$5:$D$16,Акты!$E$5:$E$16,"&lt;="&amp;A3639)-SUMIFS(Оплаты!$B$6:$B$505,Оплаты!$A$6:$A$505,"&lt;"&amp;A3639,Оплаты!$D$6:$D$505,"&lt;&gt;"))</f>
        <v/>
      </c>
      <c r="E3639" t="str">
        <f>IF(A3639="","",IF(SUMPRODUCT((Ввод!$F$12:$F$31&lt;&gt;"")*(Ввод!$F$12:$F$31&lt;=A3639)*(Ввод!$G$12:$G$31&gt;=A3639))&gt;0,1,0))</f>
        <v/>
      </c>
      <c r="G3639" t="str">
        <f t="shared" si="113"/>
        <v/>
      </c>
    </row>
    <row r="3640" spans="1:7" x14ac:dyDescent="0.3">
      <c r="A3640" s="21" t="str">
        <f>IF(A3639="","",IF(A3639+1&gt;Ввод!$B$4,"",A3639+1))</f>
        <v/>
      </c>
      <c r="B3640" s="23" t="str">
        <f>IF(A3640="","",IFERROR(INDEX(Ввод!$B$12:$B$71,MATCH(A3640,Ввод!$D$12:$D$71,1)),""))</f>
        <v/>
      </c>
      <c r="C3640" t="str">
        <f t="shared" si="112"/>
        <v/>
      </c>
      <c r="D3640" t="str">
        <f>IF(A3640="","",SUMIFS(Акты!$D$5:$D$16,Акты!$E$5:$E$16,"&lt;="&amp;A3640)-SUMIFS(Оплаты!$B$6:$B$505,Оплаты!$A$6:$A$505,"&lt;"&amp;A3640,Оплаты!$D$6:$D$505,"&lt;&gt;"))</f>
        <v/>
      </c>
      <c r="E3640" t="str">
        <f>IF(A3640="","",IF(SUMPRODUCT((Ввод!$F$12:$F$31&lt;&gt;"")*(Ввод!$F$12:$F$31&lt;=A3640)*(Ввод!$G$12:$G$31&gt;=A3640))&gt;0,1,0))</f>
        <v/>
      </c>
      <c r="G3640" t="str">
        <f t="shared" si="113"/>
        <v/>
      </c>
    </row>
    <row r="3641" spans="1:7" x14ac:dyDescent="0.3">
      <c r="A3641" s="21" t="str">
        <f>IF(A3640="","",IF(A3640+1&gt;Ввод!$B$4,"",A3640+1))</f>
        <v/>
      </c>
      <c r="B3641" s="23" t="str">
        <f>IF(A3641="","",IFERROR(INDEX(Ввод!$B$12:$B$71,MATCH(A3641,Ввод!$D$12:$D$71,1)),""))</f>
        <v/>
      </c>
      <c r="C3641" t="str">
        <f t="shared" si="112"/>
        <v/>
      </c>
      <c r="D3641" t="str">
        <f>IF(A3641="","",SUMIFS(Акты!$D$5:$D$16,Акты!$E$5:$E$16,"&lt;="&amp;A3641)-SUMIFS(Оплаты!$B$6:$B$505,Оплаты!$A$6:$A$505,"&lt;"&amp;A3641,Оплаты!$D$6:$D$505,"&lt;&gt;"))</f>
        <v/>
      </c>
      <c r="E3641" t="str">
        <f>IF(A3641="","",IF(SUMPRODUCT((Ввод!$F$12:$F$31&lt;&gt;"")*(Ввод!$F$12:$F$31&lt;=A3641)*(Ввод!$G$12:$G$31&gt;=A3641))&gt;0,1,0))</f>
        <v/>
      </c>
      <c r="G3641" t="str">
        <f t="shared" si="113"/>
        <v/>
      </c>
    </row>
    <row r="3642" spans="1:7" x14ac:dyDescent="0.3">
      <c r="A3642" s="21" t="str">
        <f>IF(A3641="","",IF(A3641+1&gt;Ввод!$B$4,"",A3641+1))</f>
        <v/>
      </c>
      <c r="B3642" s="23" t="str">
        <f>IF(A3642="","",IFERROR(INDEX(Ввод!$B$12:$B$71,MATCH(A3642,Ввод!$D$12:$D$71,1)),""))</f>
        <v/>
      </c>
      <c r="C3642" t="str">
        <f t="shared" si="112"/>
        <v/>
      </c>
      <c r="D3642" t="str">
        <f>IF(A3642="","",SUMIFS(Акты!$D$5:$D$16,Акты!$E$5:$E$16,"&lt;="&amp;A3642)-SUMIFS(Оплаты!$B$6:$B$505,Оплаты!$A$6:$A$505,"&lt;"&amp;A3642,Оплаты!$D$6:$D$505,"&lt;&gt;"))</f>
        <v/>
      </c>
      <c r="E3642" t="str">
        <f>IF(A3642="","",IF(SUMPRODUCT((Ввод!$F$12:$F$31&lt;&gt;"")*(Ввод!$F$12:$F$31&lt;=A3642)*(Ввод!$G$12:$G$31&gt;=A3642))&gt;0,1,0))</f>
        <v/>
      </c>
      <c r="G3642" t="str">
        <f t="shared" si="113"/>
        <v/>
      </c>
    </row>
    <row r="3643" spans="1:7" x14ac:dyDescent="0.3">
      <c r="A3643" s="21" t="str">
        <f>IF(A3642="","",IF(A3642+1&gt;Ввод!$B$4,"",A3642+1))</f>
        <v/>
      </c>
      <c r="B3643" s="23" t="str">
        <f>IF(A3643="","",IFERROR(INDEX(Ввод!$B$12:$B$71,MATCH(A3643,Ввод!$D$12:$D$71,1)),""))</f>
        <v/>
      </c>
      <c r="C3643" t="str">
        <f t="shared" si="112"/>
        <v/>
      </c>
      <c r="D3643" t="str">
        <f>IF(A3643="","",SUMIFS(Акты!$D$5:$D$16,Акты!$E$5:$E$16,"&lt;="&amp;A3643)-SUMIFS(Оплаты!$B$6:$B$505,Оплаты!$A$6:$A$505,"&lt;"&amp;A3643,Оплаты!$D$6:$D$505,"&lt;&gt;"))</f>
        <v/>
      </c>
      <c r="E3643" t="str">
        <f>IF(A3643="","",IF(SUMPRODUCT((Ввод!$F$12:$F$31&lt;&gt;"")*(Ввод!$F$12:$F$31&lt;=A3643)*(Ввод!$G$12:$G$31&gt;=A3643))&gt;0,1,0))</f>
        <v/>
      </c>
      <c r="G3643" t="str">
        <f t="shared" si="113"/>
        <v/>
      </c>
    </row>
    <row r="3644" spans="1:7" x14ac:dyDescent="0.3">
      <c r="A3644" s="21" t="str">
        <f>IF(A3643="","",IF(A3643+1&gt;Ввод!$B$4,"",A3643+1))</f>
        <v/>
      </c>
      <c r="B3644" s="23" t="str">
        <f>IF(A3644="","",IFERROR(INDEX(Ввод!$B$12:$B$71,MATCH(A3644,Ввод!$D$12:$D$71,1)),""))</f>
        <v/>
      </c>
      <c r="C3644" t="str">
        <f t="shared" si="112"/>
        <v/>
      </c>
      <c r="D3644" t="str">
        <f>IF(A3644="","",SUMIFS(Акты!$D$5:$D$16,Акты!$E$5:$E$16,"&lt;="&amp;A3644)-SUMIFS(Оплаты!$B$6:$B$505,Оплаты!$A$6:$A$505,"&lt;"&amp;A3644,Оплаты!$D$6:$D$505,"&lt;&gt;"))</f>
        <v/>
      </c>
      <c r="E3644" t="str">
        <f>IF(A3644="","",IF(SUMPRODUCT((Ввод!$F$12:$F$31&lt;&gt;"")*(Ввод!$F$12:$F$31&lt;=A3644)*(Ввод!$G$12:$G$31&gt;=A3644))&gt;0,1,0))</f>
        <v/>
      </c>
      <c r="G3644" t="str">
        <f t="shared" si="113"/>
        <v/>
      </c>
    </row>
    <row r="3645" spans="1:7" x14ac:dyDescent="0.3">
      <c r="A3645" s="21" t="str">
        <f>IF(A3644="","",IF(A3644+1&gt;Ввод!$B$4,"",A3644+1))</f>
        <v/>
      </c>
      <c r="B3645" s="23" t="str">
        <f>IF(A3645="","",IFERROR(INDEX(Ввод!$B$12:$B$71,MATCH(A3645,Ввод!$D$12:$D$71,1)),""))</f>
        <v/>
      </c>
      <c r="C3645" t="str">
        <f t="shared" si="112"/>
        <v/>
      </c>
      <c r="D3645" t="str">
        <f>IF(A3645="","",SUMIFS(Акты!$D$5:$D$16,Акты!$E$5:$E$16,"&lt;="&amp;A3645)-SUMIFS(Оплаты!$B$6:$B$505,Оплаты!$A$6:$A$505,"&lt;"&amp;A3645,Оплаты!$D$6:$D$505,"&lt;&gt;"))</f>
        <v/>
      </c>
      <c r="E3645" t="str">
        <f>IF(A3645="","",IF(SUMPRODUCT((Ввод!$F$12:$F$31&lt;&gt;"")*(Ввод!$F$12:$F$31&lt;=A3645)*(Ввод!$G$12:$G$31&gt;=A3645))&gt;0,1,0))</f>
        <v/>
      </c>
      <c r="G3645" t="str">
        <f t="shared" si="113"/>
        <v/>
      </c>
    </row>
    <row r="3646" spans="1:7" x14ac:dyDescent="0.3">
      <c r="A3646" s="21" t="str">
        <f>IF(A3645="","",IF(A3645+1&gt;Ввод!$B$4,"",A3645+1))</f>
        <v/>
      </c>
      <c r="B3646" s="23" t="str">
        <f>IF(A3646="","",IFERROR(INDEX(Ввод!$B$12:$B$71,MATCH(A3646,Ввод!$D$12:$D$71,1)),""))</f>
        <v/>
      </c>
      <c r="C3646" t="str">
        <f t="shared" si="112"/>
        <v/>
      </c>
      <c r="D3646" t="str">
        <f>IF(A3646="","",SUMIFS(Акты!$D$5:$D$16,Акты!$E$5:$E$16,"&lt;="&amp;A3646)-SUMIFS(Оплаты!$B$6:$B$505,Оплаты!$A$6:$A$505,"&lt;"&amp;A3646,Оплаты!$D$6:$D$505,"&lt;&gt;"))</f>
        <v/>
      </c>
      <c r="E3646" t="str">
        <f>IF(A3646="","",IF(SUMPRODUCT((Ввод!$F$12:$F$31&lt;&gt;"")*(Ввод!$F$12:$F$31&lt;=A3646)*(Ввод!$G$12:$G$31&gt;=A3646))&gt;0,1,0))</f>
        <v/>
      </c>
      <c r="G3646" t="str">
        <f t="shared" si="113"/>
        <v/>
      </c>
    </row>
    <row r="3647" spans="1:7" x14ac:dyDescent="0.3">
      <c r="A3647" s="21" t="str">
        <f>IF(A3646="","",IF(A3646+1&gt;Ввод!$B$4,"",A3646+1))</f>
        <v/>
      </c>
      <c r="B3647" s="23" t="str">
        <f>IF(A3647="","",IFERROR(INDEX(Ввод!$B$12:$B$71,MATCH(A3647,Ввод!$D$12:$D$71,1)),""))</f>
        <v/>
      </c>
      <c r="C3647" t="str">
        <f t="shared" si="112"/>
        <v/>
      </c>
      <c r="D3647" t="str">
        <f>IF(A3647="","",SUMIFS(Акты!$D$5:$D$16,Акты!$E$5:$E$16,"&lt;="&amp;A3647)-SUMIFS(Оплаты!$B$6:$B$505,Оплаты!$A$6:$A$505,"&lt;"&amp;A3647,Оплаты!$D$6:$D$505,"&lt;&gt;"))</f>
        <v/>
      </c>
      <c r="E3647" t="str">
        <f>IF(A3647="","",IF(SUMPRODUCT((Ввод!$F$12:$F$31&lt;&gt;"")*(Ввод!$F$12:$F$31&lt;=A3647)*(Ввод!$G$12:$G$31&gt;=A3647))&gt;0,1,0))</f>
        <v/>
      </c>
      <c r="G3647" t="str">
        <f t="shared" si="113"/>
        <v/>
      </c>
    </row>
    <row r="3648" spans="1:7" x14ac:dyDescent="0.3">
      <c r="A3648" s="21" t="str">
        <f>IF(A3647="","",IF(A3647+1&gt;Ввод!$B$4,"",A3647+1))</f>
        <v/>
      </c>
      <c r="B3648" s="23" t="str">
        <f>IF(A3648="","",IFERROR(INDEX(Ввод!$B$12:$B$71,MATCH(A3648,Ввод!$D$12:$D$71,1)),""))</f>
        <v/>
      </c>
      <c r="C3648" t="str">
        <f t="shared" si="112"/>
        <v/>
      </c>
      <c r="D3648" t="str">
        <f>IF(A3648="","",SUMIFS(Акты!$D$5:$D$16,Акты!$E$5:$E$16,"&lt;="&amp;A3648)-SUMIFS(Оплаты!$B$6:$B$505,Оплаты!$A$6:$A$505,"&lt;"&amp;A3648,Оплаты!$D$6:$D$505,"&lt;&gt;"))</f>
        <v/>
      </c>
      <c r="E3648" t="str">
        <f>IF(A3648="","",IF(SUMPRODUCT((Ввод!$F$12:$F$31&lt;&gt;"")*(Ввод!$F$12:$F$31&lt;=A3648)*(Ввод!$G$12:$G$31&gt;=A3648))&gt;0,1,0))</f>
        <v/>
      </c>
      <c r="G3648" t="str">
        <f t="shared" si="113"/>
        <v/>
      </c>
    </row>
    <row r="3649" spans="1:7" x14ac:dyDescent="0.3">
      <c r="A3649" s="21" t="str">
        <f>IF(A3648="","",IF(A3648+1&gt;Ввод!$B$4,"",A3648+1))</f>
        <v/>
      </c>
      <c r="B3649" s="23" t="str">
        <f>IF(A3649="","",IFERROR(INDEX(Ввод!$B$12:$B$71,MATCH(A3649,Ввод!$D$12:$D$71,1)),""))</f>
        <v/>
      </c>
      <c r="C3649" t="str">
        <f t="shared" si="112"/>
        <v/>
      </c>
      <c r="D3649" t="str">
        <f>IF(A3649="","",SUMIFS(Акты!$D$5:$D$16,Акты!$E$5:$E$16,"&lt;="&amp;A3649)-SUMIFS(Оплаты!$B$6:$B$505,Оплаты!$A$6:$A$505,"&lt;"&amp;A3649,Оплаты!$D$6:$D$505,"&lt;&gt;"))</f>
        <v/>
      </c>
      <c r="E3649" t="str">
        <f>IF(A3649="","",IF(SUMPRODUCT((Ввод!$F$12:$F$31&lt;&gt;"")*(Ввод!$F$12:$F$31&lt;=A3649)*(Ввод!$G$12:$G$31&gt;=A3649))&gt;0,1,0))</f>
        <v/>
      </c>
      <c r="G3649" t="str">
        <f t="shared" si="113"/>
        <v/>
      </c>
    </row>
    <row r="3650" spans="1:7" x14ac:dyDescent="0.3">
      <c r="A3650" s="21" t="str">
        <f>IF(A3649="","",IF(A3649+1&gt;Ввод!$B$4,"",A3649+1))</f>
        <v/>
      </c>
      <c r="B3650" s="23" t="str">
        <f>IF(A3650="","",IFERROR(INDEX(Ввод!$B$12:$B$71,MATCH(A3650,Ввод!$D$12:$D$71,1)),""))</f>
        <v/>
      </c>
      <c r="C3650" t="str">
        <f t="shared" ref="C3650:C3713" si="114">IF(A3650="","",DATE(YEAR(A3650),12,31)-DATE(YEAR(A3650),1,1)+1)</f>
        <v/>
      </c>
      <c r="D3650" t="str">
        <f>IF(A3650="","",SUMIFS(Акты!$D$5:$D$16,Акты!$E$5:$E$16,"&lt;="&amp;A3650)-SUMIFS(Оплаты!$B$6:$B$505,Оплаты!$A$6:$A$505,"&lt;"&amp;A3650,Оплаты!$D$6:$D$505,"&lt;&gt;"))</f>
        <v/>
      </c>
      <c r="E3650" t="str">
        <f>IF(A3650="","",IF(SUMPRODUCT((Ввод!$F$12:$F$31&lt;&gt;"")*(Ввод!$F$12:$F$31&lt;=A3650)*(Ввод!$G$12:$G$31&gt;=A3650))&gt;0,1,0))</f>
        <v/>
      </c>
      <c r="G3650" t="str">
        <f t="shared" si="113"/>
        <v/>
      </c>
    </row>
    <row r="3651" spans="1:7" x14ac:dyDescent="0.3">
      <c r="A3651" s="21" t="str">
        <f>IF(A3650="","",IF(A3650+1&gt;Ввод!$B$4,"",A3650+1))</f>
        <v/>
      </c>
      <c r="B3651" s="23" t="str">
        <f>IF(A3651="","",IFERROR(INDEX(Ввод!$B$12:$B$71,MATCH(A3651,Ввод!$D$12:$D$71,1)),""))</f>
        <v/>
      </c>
      <c r="C3651" t="str">
        <f t="shared" si="114"/>
        <v/>
      </c>
      <c r="D3651" t="str">
        <f>IF(A3651="","",SUMIFS(Акты!$D$5:$D$16,Акты!$E$5:$E$16,"&lt;="&amp;A3651)-SUMIFS(Оплаты!$B$6:$B$505,Оплаты!$A$6:$A$505,"&lt;"&amp;A3651,Оплаты!$D$6:$D$505,"&lt;&gt;"))</f>
        <v/>
      </c>
      <c r="E3651" t="str">
        <f>IF(A3651="","",IF(SUMPRODUCT((Ввод!$F$12:$F$31&lt;&gt;"")*(Ввод!$F$12:$F$31&lt;=A3651)*(Ввод!$G$12:$G$31&gt;=A3651))&gt;0,1,0))</f>
        <v/>
      </c>
      <c r="G3651" t="str">
        <f t="shared" ref="G3651:G3714" si="115">IF(A3651="","",IF(OR(B3651&lt;&gt;B3650,C3651&lt;&gt;C3650,E3651&lt;&gt;E3650),G3650+1,G3650))</f>
        <v/>
      </c>
    </row>
    <row r="3652" spans="1:7" x14ac:dyDescent="0.3">
      <c r="A3652" s="21" t="str">
        <f>IF(A3651="","",IF(A3651+1&gt;Ввод!$B$4,"",A3651+1))</f>
        <v/>
      </c>
      <c r="B3652" s="23" t="str">
        <f>IF(A3652="","",IFERROR(INDEX(Ввод!$B$12:$B$71,MATCH(A3652,Ввод!$D$12:$D$71,1)),""))</f>
        <v/>
      </c>
      <c r="C3652" t="str">
        <f t="shared" si="114"/>
        <v/>
      </c>
      <c r="D3652" t="str">
        <f>IF(A3652="","",SUMIFS(Акты!$D$5:$D$16,Акты!$E$5:$E$16,"&lt;="&amp;A3652)-SUMIFS(Оплаты!$B$6:$B$505,Оплаты!$A$6:$A$505,"&lt;"&amp;A3652,Оплаты!$D$6:$D$505,"&lt;&gt;"))</f>
        <v/>
      </c>
      <c r="E3652" t="str">
        <f>IF(A3652="","",IF(SUMPRODUCT((Ввод!$F$12:$F$31&lt;&gt;"")*(Ввод!$F$12:$F$31&lt;=A3652)*(Ввод!$G$12:$G$31&gt;=A3652))&gt;0,1,0))</f>
        <v/>
      </c>
      <c r="G3652" t="str">
        <f t="shared" si="115"/>
        <v/>
      </c>
    </row>
    <row r="3653" spans="1:7" x14ac:dyDescent="0.3">
      <c r="A3653" s="21" t="str">
        <f>IF(A3652="","",IF(A3652+1&gt;Ввод!$B$4,"",A3652+1))</f>
        <v/>
      </c>
      <c r="B3653" s="23" t="str">
        <f>IF(A3653="","",IFERROR(INDEX(Ввод!$B$12:$B$71,MATCH(A3653,Ввод!$D$12:$D$71,1)),""))</f>
        <v/>
      </c>
      <c r="C3653" t="str">
        <f t="shared" si="114"/>
        <v/>
      </c>
      <c r="D3653" t="str">
        <f>IF(A3653="","",SUMIFS(Акты!$D$5:$D$16,Акты!$E$5:$E$16,"&lt;="&amp;A3653)-SUMIFS(Оплаты!$B$6:$B$505,Оплаты!$A$6:$A$505,"&lt;"&amp;A3653,Оплаты!$D$6:$D$505,"&lt;&gt;"))</f>
        <v/>
      </c>
      <c r="E3653" t="str">
        <f>IF(A3653="","",IF(SUMPRODUCT((Ввод!$F$12:$F$31&lt;&gt;"")*(Ввод!$F$12:$F$31&lt;=A3653)*(Ввод!$G$12:$G$31&gt;=A3653))&gt;0,1,0))</f>
        <v/>
      </c>
      <c r="G3653" t="str">
        <f t="shared" si="115"/>
        <v/>
      </c>
    </row>
    <row r="3654" spans="1:7" x14ac:dyDescent="0.3">
      <c r="A3654" s="21" t="str">
        <f>IF(A3653="","",IF(A3653+1&gt;Ввод!$B$4,"",A3653+1))</f>
        <v/>
      </c>
      <c r="B3654" s="23" t="str">
        <f>IF(A3654="","",IFERROR(INDEX(Ввод!$B$12:$B$71,MATCH(A3654,Ввод!$D$12:$D$71,1)),""))</f>
        <v/>
      </c>
      <c r="C3654" t="str">
        <f t="shared" si="114"/>
        <v/>
      </c>
      <c r="D3654" t="str">
        <f>IF(A3654="","",SUMIFS(Акты!$D$5:$D$16,Акты!$E$5:$E$16,"&lt;="&amp;A3654)-SUMIFS(Оплаты!$B$6:$B$505,Оплаты!$A$6:$A$505,"&lt;"&amp;A3654,Оплаты!$D$6:$D$505,"&lt;&gt;"))</f>
        <v/>
      </c>
      <c r="E3654" t="str">
        <f>IF(A3654="","",IF(SUMPRODUCT((Ввод!$F$12:$F$31&lt;&gt;"")*(Ввод!$F$12:$F$31&lt;=A3654)*(Ввод!$G$12:$G$31&gt;=A3654))&gt;0,1,0))</f>
        <v/>
      </c>
      <c r="G3654" t="str">
        <f t="shared" si="115"/>
        <v/>
      </c>
    </row>
    <row r="3655" spans="1:7" x14ac:dyDescent="0.3">
      <c r="A3655" s="21" t="str">
        <f>IF(A3654="","",IF(A3654+1&gt;Ввод!$B$4,"",A3654+1))</f>
        <v/>
      </c>
      <c r="B3655" s="23" t="str">
        <f>IF(A3655="","",IFERROR(INDEX(Ввод!$B$12:$B$71,MATCH(A3655,Ввод!$D$12:$D$71,1)),""))</f>
        <v/>
      </c>
      <c r="C3655" t="str">
        <f t="shared" si="114"/>
        <v/>
      </c>
      <c r="D3655" t="str">
        <f>IF(A3655="","",SUMIFS(Акты!$D$5:$D$16,Акты!$E$5:$E$16,"&lt;="&amp;A3655)-SUMIFS(Оплаты!$B$6:$B$505,Оплаты!$A$6:$A$505,"&lt;"&amp;A3655,Оплаты!$D$6:$D$505,"&lt;&gt;"))</f>
        <v/>
      </c>
      <c r="E3655" t="str">
        <f>IF(A3655="","",IF(SUMPRODUCT((Ввод!$F$12:$F$31&lt;&gt;"")*(Ввод!$F$12:$F$31&lt;=A3655)*(Ввод!$G$12:$G$31&gt;=A3655))&gt;0,1,0))</f>
        <v/>
      </c>
      <c r="G3655" t="str">
        <f t="shared" si="115"/>
        <v/>
      </c>
    </row>
    <row r="3656" spans="1:7" x14ac:dyDescent="0.3">
      <c r="A3656" s="21" t="str">
        <f>IF(A3655="","",IF(A3655+1&gt;Ввод!$B$4,"",A3655+1))</f>
        <v/>
      </c>
      <c r="B3656" s="23" t="str">
        <f>IF(A3656="","",IFERROR(INDEX(Ввод!$B$12:$B$71,MATCH(A3656,Ввод!$D$12:$D$71,1)),""))</f>
        <v/>
      </c>
      <c r="C3656" t="str">
        <f t="shared" si="114"/>
        <v/>
      </c>
      <c r="D3656" t="str">
        <f>IF(A3656="","",SUMIFS(Акты!$D$5:$D$16,Акты!$E$5:$E$16,"&lt;="&amp;A3656)-SUMIFS(Оплаты!$B$6:$B$505,Оплаты!$A$6:$A$505,"&lt;"&amp;A3656,Оплаты!$D$6:$D$505,"&lt;&gt;"))</f>
        <v/>
      </c>
      <c r="E3656" t="str">
        <f>IF(A3656="","",IF(SUMPRODUCT((Ввод!$F$12:$F$31&lt;&gt;"")*(Ввод!$F$12:$F$31&lt;=A3656)*(Ввод!$G$12:$G$31&gt;=A3656))&gt;0,1,0))</f>
        <v/>
      </c>
      <c r="G3656" t="str">
        <f t="shared" si="115"/>
        <v/>
      </c>
    </row>
    <row r="3657" spans="1:7" x14ac:dyDescent="0.3">
      <c r="A3657" s="21" t="str">
        <f>IF(A3656="","",IF(A3656+1&gt;Ввод!$B$4,"",A3656+1))</f>
        <v/>
      </c>
      <c r="B3657" s="23" t="str">
        <f>IF(A3657="","",IFERROR(INDEX(Ввод!$B$12:$B$71,MATCH(A3657,Ввод!$D$12:$D$71,1)),""))</f>
        <v/>
      </c>
      <c r="C3657" t="str">
        <f t="shared" si="114"/>
        <v/>
      </c>
      <c r="D3657" t="str">
        <f>IF(A3657="","",SUMIFS(Акты!$D$5:$D$16,Акты!$E$5:$E$16,"&lt;="&amp;A3657)-SUMIFS(Оплаты!$B$6:$B$505,Оплаты!$A$6:$A$505,"&lt;"&amp;A3657,Оплаты!$D$6:$D$505,"&lt;&gt;"))</f>
        <v/>
      </c>
      <c r="E3657" t="str">
        <f>IF(A3657="","",IF(SUMPRODUCT((Ввод!$F$12:$F$31&lt;&gt;"")*(Ввод!$F$12:$F$31&lt;=A3657)*(Ввод!$G$12:$G$31&gt;=A3657))&gt;0,1,0))</f>
        <v/>
      </c>
      <c r="G3657" t="str">
        <f t="shared" si="115"/>
        <v/>
      </c>
    </row>
    <row r="3658" spans="1:7" x14ac:dyDescent="0.3">
      <c r="A3658" s="21" t="str">
        <f>IF(A3657="","",IF(A3657+1&gt;Ввод!$B$4,"",A3657+1))</f>
        <v/>
      </c>
      <c r="B3658" s="23" t="str">
        <f>IF(A3658="","",IFERROR(INDEX(Ввод!$B$12:$B$71,MATCH(A3658,Ввод!$D$12:$D$71,1)),""))</f>
        <v/>
      </c>
      <c r="C3658" t="str">
        <f t="shared" si="114"/>
        <v/>
      </c>
      <c r="D3658" t="str">
        <f>IF(A3658="","",SUMIFS(Акты!$D$5:$D$16,Акты!$E$5:$E$16,"&lt;="&amp;A3658)-SUMIFS(Оплаты!$B$6:$B$505,Оплаты!$A$6:$A$505,"&lt;"&amp;A3658,Оплаты!$D$6:$D$505,"&lt;&gt;"))</f>
        <v/>
      </c>
      <c r="E3658" t="str">
        <f>IF(A3658="","",IF(SUMPRODUCT((Ввод!$F$12:$F$31&lt;&gt;"")*(Ввод!$F$12:$F$31&lt;=A3658)*(Ввод!$G$12:$G$31&gt;=A3658))&gt;0,1,0))</f>
        <v/>
      </c>
      <c r="G3658" t="str">
        <f t="shared" si="115"/>
        <v/>
      </c>
    </row>
    <row r="3659" spans="1:7" x14ac:dyDescent="0.3">
      <c r="A3659" s="21" t="str">
        <f>IF(A3658="","",IF(A3658+1&gt;Ввод!$B$4,"",A3658+1))</f>
        <v/>
      </c>
      <c r="B3659" s="23" t="str">
        <f>IF(A3659="","",IFERROR(INDEX(Ввод!$B$12:$B$71,MATCH(A3659,Ввод!$D$12:$D$71,1)),""))</f>
        <v/>
      </c>
      <c r="C3659" t="str">
        <f t="shared" si="114"/>
        <v/>
      </c>
      <c r="D3659" t="str">
        <f>IF(A3659="","",SUMIFS(Акты!$D$5:$D$16,Акты!$E$5:$E$16,"&lt;="&amp;A3659)-SUMIFS(Оплаты!$B$6:$B$505,Оплаты!$A$6:$A$505,"&lt;"&amp;A3659,Оплаты!$D$6:$D$505,"&lt;&gt;"))</f>
        <v/>
      </c>
      <c r="E3659" t="str">
        <f>IF(A3659="","",IF(SUMPRODUCT((Ввод!$F$12:$F$31&lt;&gt;"")*(Ввод!$F$12:$F$31&lt;=A3659)*(Ввод!$G$12:$G$31&gt;=A3659))&gt;0,1,0))</f>
        <v/>
      </c>
      <c r="G3659" t="str">
        <f t="shared" si="115"/>
        <v/>
      </c>
    </row>
    <row r="3660" spans="1:7" x14ac:dyDescent="0.3">
      <c r="A3660" s="21" t="str">
        <f>IF(A3659="","",IF(A3659+1&gt;Ввод!$B$4,"",A3659+1))</f>
        <v/>
      </c>
      <c r="B3660" s="23" t="str">
        <f>IF(A3660="","",IFERROR(INDEX(Ввод!$B$12:$B$71,MATCH(A3660,Ввод!$D$12:$D$71,1)),""))</f>
        <v/>
      </c>
      <c r="C3660" t="str">
        <f t="shared" si="114"/>
        <v/>
      </c>
      <c r="D3660" t="str">
        <f>IF(A3660="","",SUMIFS(Акты!$D$5:$D$16,Акты!$E$5:$E$16,"&lt;="&amp;A3660)-SUMIFS(Оплаты!$B$6:$B$505,Оплаты!$A$6:$A$505,"&lt;"&amp;A3660,Оплаты!$D$6:$D$505,"&lt;&gt;"))</f>
        <v/>
      </c>
      <c r="E3660" t="str">
        <f>IF(A3660="","",IF(SUMPRODUCT((Ввод!$F$12:$F$31&lt;&gt;"")*(Ввод!$F$12:$F$31&lt;=A3660)*(Ввод!$G$12:$G$31&gt;=A3660))&gt;0,1,0))</f>
        <v/>
      </c>
      <c r="G3660" t="str">
        <f t="shared" si="115"/>
        <v/>
      </c>
    </row>
    <row r="3661" spans="1:7" x14ac:dyDescent="0.3">
      <c r="A3661" s="21" t="str">
        <f>IF(A3660="","",IF(A3660+1&gt;Ввод!$B$4,"",A3660+1))</f>
        <v/>
      </c>
      <c r="B3661" s="23" t="str">
        <f>IF(A3661="","",IFERROR(INDEX(Ввод!$B$12:$B$71,MATCH(A3661,Ввод!$D$12:$D$71,1)),""))</f>
        <v/>
      </c>
      <c r="C3661" t="str">
        <f t="shared" si="114"/>
        <v/>
      </c>
      <c r="D3661" t="str">
        <f>IF(A3661="","",SUMIFS(Акты!$D$5:$D$16,Акты!$E$5:$E$16,"&lt;="&amp;A3661)-SUMIFS(Оплаты!$B$6:$B$505,Оплаты!$A$6:$A$505,"&lt;"&amp;A3661,Оплаты!$D$6:$D$505,"&lt;&gt;"))</f>
        <v/>
      </c>
      <c r="E3661" t="str">
        <f>IF(A3661="","",IF(SUMPRODUCT((Ввод!$F$12:$F$31&lt;&gt;"")*(Ввод!$F$12:$F$31&lt;=A3661)*(Ввод!$G$12:$G$31&gt;=A3661))&gt;0,1,0))</f>
        <v/>
      </c>
      <c r="G3661" t="str">
        <f t="shared" si="115"/>
        <v/>
      </c>
    </row>
    <row r="3662" spans="1:7" x14ac:dyDescent="0.3">
      <c r="A3662" s="21" t="str">
        <f>IF(A3661="","",IF(A3661+1&gt;Ввод!$B$4,"",A3661+1))</f>
        <v/>
      </c>
      <c r="B3662" s="23" t="str">
        <f>IF(A3662="","",IFERROR(INDEX(Ввод!$B$12:$B$71,MATCH(A3662,Ввод!$D$12:$D$71,1)),""))</f>
        <v/>
      </c>
      <c r="C3662" t="str">
        <f t="shared" si="114"/>
        <v/>
      </c>
      <c r="D3662" t="str">
        <f>IF(A3662="","",SUMIFS(Акты!$D$5:$D$16,Акты!$E$5:$E$16,"&lt;="&amp;A3662)-SUMIFS(Оплаты!$B$6:$B$505,Оплаты!$A$6:$A$505,"&lt;"&amp;A3662,Оплаты!$D$6:$D$505,"&lt;&gt;"))</f>
        <v/>
      </c>
      <c r="E3662" t="str">
        <f>IF(A3662="","",IF(SUMPRODUCT((Ввод!$F$12:$F$31&lt;&gt;"")*(Ввод!$F$12:$F$31&lt;=A3662)*(Ввод!$G$12:$G$31&gt;=A3662))&gt;0,1,0))</f>
        <v/>
      </c>
      <c r="G3662" t="str">
        <f t="shared" si="115"/>
        <v/>
      </c>
    </row>
    <row r="3663" spans="1:7" x14ac:dyDescent="0.3">
      <c r="A3663" s="21" t="str">
        <f>IF(A3662="","",IF(A3662+1&gt;Ввод!$B$4,"",A3662+1))</f>
        <v/>
      </c>
      <c r="B3663" s="23" t="str">
        <f>IF(A3663="","",IFERROR(INDEX(Ввод!$B$12:$B$71,MATCH(A3663,Ввод!$D$12:$D$71,1)),""))</f>
        <v/>
      </c>
      <c r="C3663" t="str">
        <f t="shared" si="114"/>
        <v/>
      </c>
      <c r="D3663" t="str">
        <f>IF(A3663="","",SUMIFS(Акты!$D$5:$D$16,Акты!$E$5:$E$16,"&lt;="&amp;A3663)-SUMIFS(Оплаты!$B$6:$B$505,Оплаты!$A$6:$A$505,"&lt;"&amp;A3663,Оплаты!$D$6:$D$505,"&lt;&gt;"))</f>
        <v/>
      </c>
      <c r="E3663" t="str">
        <f>IF(A3663="","",IF(SUMPRODUCT((Ввод!$F$12:$F$31&lt;&gt;"")*(Ввод!$F$12:$F$31&lt;=A3663)*(Ввод!$G$12:$G$31&gt;=A3663))&gt;0,1,0))</f>
        <v/>
      </c>
      <c r="G3663" t="str">
        <f t="shared" si="115"/>
        <v/>
      </c>
    </row>
    <row r="3664" spans="1:7" x14ac:dyDescent="0.3">
      <c r="A3664" s="21" t="str">
        <f>IF(A3663="","",IF(A3663+1&gt;Ввод!$B$4,"",A3663+1))</f>
        <v/>
      </c>
      <c r="B3664" s="23" t="str">
        <f>IF(A3664="","",IFERROR(INDEX(Ввод!$B$12:$B$71,MATCH(A3664,Ввод!$D$12:$D$71,1)),""))</f>
        <v/>
      </c>
      <c r="C3664" t="str">
        <f t="shared" si="114"/>
        <v/>
      </c>
      <c r="D3664" t="str">
        <f>IF(A3664="","",SUMIFS(Акты!$D$5:$D$16,Акты!$E$5:$E$16,"&lt;="&amp;A3664)-SUMIFS(Оплаты!$B$6:$B$505,Оплаты!$A$6:$A$505,"&lt;"&amp;A3664,Оплаты!$D$6:$D$505,"&lt;&gt;"))</f>
        <v/>
      </c>
      <c r="E3664" t="str">
        <f>IF(A3664="","",IF(SUMPRODUCT((Ввод!$F$12:$F$31&lt;&gt;"")*(Ввод!$F$12:$F$31&lt;=A3664)*(Ввод!$G$12:$G$31&gt;=A3664))&gt;0,1,0))</f>
        <v/>
      </c>
      <c r="G3664" t="str">
        <f t="shared" si="115"/>
        <v/>
      </c>
    </row>
    <row r="3665" spans="1:7" x14ac:dyDescent="0.3">
      <c r="A3665" s="21" t="str">
        <f>IF(A3664="","",IF(A3664+1&gt;Ввод!$B$4,"",A3664+1))</f>
        <v/>
      </c>
      <c r="B3665" s="23" t="str">
        <f>IF(A3665="","",IFERROR(INDEX(Ввод!$B$12:$B$71,MATCH(A3665,Ввод!$D$12:$D$71,1)),""))</f>
        <v/>
      </c>
      <c r="C3665" t="str">
        <f t="shared" si="114"/>
        <v/>
      </c>
      <c r="D3665" t="str">
        <f>IF(A3665="","",SUMIFS(Акты!$D$5:$D$16,Акты!$E$5:$E$16,"&lt;="&amp;A3665)-SUMIFS(Оплаты!$B$6:$B$505,Оплаты!$A$6:$A$505,"&lt;"&amp;A3665,Оплаты!$D$6:$D$505,"&lt;&gt;"))</f>
        <v/>
      </c>
      <c r="E3665" t="str">
        <f>IF(A3665="","",IF(SUMPRODUCT((Ввод!$F$12:$F$31&lt;&gt;"")*(Ввод!$F$12:$F$31&lt;=A3665)*(Ввод!$G$12:$G$31&gt;=A3665))&gt;0,1,0))</f>
        <v/>
      </c>
      <c r="G3665" t="str">
        <f t="shared" si="115"/>
        <v/>
      </c>
    </row>
    <row r="3666" spans="1:7" x14ac:dyDescent="0.3">
      <c r="A3666" s="21" t="str">
        <f>IF(A3665="","",IF(A3665+1&gt;Ввод!$B$4,"",A3665+1))</f>
        <v/>
      </c>
      <c r="B3666" s="23" t="str">
        <f>IF(A3666="","",IFERROR(INDEX(Ввод!$B$12:$B$71,MATCH(A3666,Ввод!$D$12:$D$71,1)),""))</f>
        <v/>
      </c>
      <c r="C3666" t="str">
        <f t="shared" si="114"/>
        <v/>
      </c>
      <c r="D3666" t="str">
        <f>IF(A3666="","",SUMIFS(Акты!$D$5:$D$16,Акты!$E$5:$E$16,"&lt;="&amp;A3666)-SUMIFS(Оплаты!$B$6:$B$505,Оплаты!$A$6:$A$505,"&lt;"&amp;A3666,Оплаты!$D$6:$D$505,"&lt;&gt;"))</f>
        <v/>
      </c>
      <c r="E3666" t="str">
        <f>IF(A3666="","",IF(SUMPRODUCT((Ввод!$F$12:$F$31&lt;&gt;"")*(Ввод!$F$12:$F$31&lt;=A3666)*(Ввод!$G$12:$G$31&gt;=A3666))&gt;0,1,0))</f>
        <v/>
      </c>
      <c r="G3666" t="str">
        <f t="shared" si="115"/>
        <v/>
      </c>
    </row>
    <row r="3667" spans="1:7" x14ac:dyDescent="0.3">
      <c r="A3667" s="21" t="str">
        <f>IF(A3666="","",IF(A3666+1&gt;Ввод!$B$4,"",A3666+1))</f>
        <v/>
      </c>
      <c r="B3667" s="23" t="str">
        <f>IF(A3667="","",IFERROR(INDEX(Ввод!$B$12:$B$71,MATCH(A3667,Ввод!$D$12:$D$71,1)),""))</f>
        <v/>
      </c>
      <c r="C3667" t="str">
        <f t="shared" si="114"/>
        <v/>
      </c>
      <c r="D3667" t="str">
        <f>IF(A3667="","",SUMIFS(Акты!$D$5:$D$16,Акты!$E$5:$E$16,"&lt;="&amp;A3667)-SUMIFS(Оплаты!$B$6:$B$505,Оплаты!$A$6:$A$505,"&lt;"&amp;A3667,Оплаты!$D$6:$D$505,"&lt;&gt;"))</f>
        <v/>
      </c>
      <c r="E3667" t="str">
        <f>IF(A3667="","",IF(SUMPRODUCT((Ввод!$F$12:$F$31&lt;&gt;"")*(Ввод!$F$12:$F$31&lt;=A3667)*(Ввод!$G$12:$G$31&gt;=A3667))&gt;0,1,0))</f>
        <v/>
      </c>
      <c r="G3667" t="str">
        <f t="shared" si="115"/>
        <v/>
      </c>
    </row>
    <row r="3668" spans="1:7" x14ac:dyDescent="0.3">
      <c r="A3668" s="21" t="str">
        <f>IF(A3667="","",IF(A3667+1&gt;Ввод!$B$4,"",A3667+1))</f>
        <v/>
      </c>
      <c r="B3668" s="23" t="str">
        <f>IF(A3668="","",IFERROR(INDEX(Ввод!$B$12:$B$71,MATCH(A3668,Ввод!$D$12:$D$71,1)),""))</f>
        <v/>
      </c>
      <c r="C3668" t="str">
        <f t="shared" si="114"/>
        <v/>
      </c>
      <c r="D3668" t="str">
        <f>IF(A3668="","",SUMIFS(Акты!$D$5:$D$16,Акты!$E$5:$E$16,"&lt;="&amp;A3668)-SUMIFS(Оплаты!$B$6:$B$505,Оплаты!$A$6:$A$505,"&lt;"&amp;A3668,Оплаты!$D$6:$D$505,"&lt;&gt;"))</f>
        <v/>
      </c>
      <c r="E3668" t="str">
        <f>IF(A3668="","",IF(SUMPRODUCT((Ввод!$F$12:$F$31&lt;&gt;"")*(Ввод!$F$12:$F$31&lt;=A3668)*(Ввод!$G$12:$G$31&gt;=A3668))&gt;0,1,0))</f>
        <v/>
      </c>
      <c r="G3668" t="str">
        <f t="shared" si="115"/>
        <v/>
      </c>
    </row>
    <row r="3669" spans="1:7" x14ac:dyDescent="0.3">
      <c r="A3669" s="21" t="str">
        <f>IF(A3668="","",IF(A3668+1&gt;Ввод!$B$4,"",A3668+1))</f>
        <v/>
      </c>
      <c r="B3669" s="23" t="str">
        <f>IF(A3669="","",IFERROR(INDEX(Ввод!$B$12:$B$71,MATCH(A3669,Ввод!$D$12:$D$71,1)),""))</f>
        <v/>
      </c>
      <c r="C3669" t="str">
        <f t="shared" si="114"/>
        <v/>
      </c>
      <c r="D3669" t="str">
        <f>IF(A3669="","",SUMIFS(Акты!$D$5:$D$16,Акты!$E$5:$E$16,"&lt;="&amp;A3669)-SUMIFS(Оплаты!$B$6:$B$505,Оплаты!$A$6:$A$505,"&lt;"&amp;A3669,Оплаты!$D$6:$D$505,"&lt;&gt;"))</f>
        <v/>
      </c>
      <c r="E3669" t="str">
        <f>IF(A3669="","",IF(SUMPRODUCT((Ввод!$F$12:$F$31&lt;&gt;"")*(Ввод!$F$12:$F$31&lt;=A3669)*(Ввод!$G$12:$G$31&gt;=A3669))&gt;0,1,0))</f>
        <v/>
      </c>
      <c r="G3669" t="str">
        <f t="shared" si="115"/>
        <v/>
      </c>
    </row>
    <row r="3670" spans="1:7" x14ac:dyDescent="0.3">
      <c r="A3670" s="21" t="str">
        <f>IF(A3669="","",IF(A3669+1&gt;Ввод!$B$4,"",A3669+1))</f>
        <v/>
      </c>
      <c r="B3670" s="23" t="str">
        <f>IF(A3670="","",IFERROR(INDEX(Ввод!$B$12:$B$71,MATCH(A3670,Ввод!$D$12:$D$71,1)),""))</f>
        <v/>
      </c>
      <c r="C3670" t="str">
        <f t="shared" si="114"/>
        <v/>
      </c>
      <c r="D3670" t="str">
        <f>IF(A3670="","",SUMIFS(Акты!$D$5:$D$16,Акты!$E$5:$E$16,"&lt;="&amp;A3670)-SUMIFS(Оплаты!$B$6:$B$505,Оплаты!$A$6:$A$505,"&lt;"&amp;A3670,Оплаты!$D$6:$D$505,"&lt;&gt;"))</f>
        <v/>
      </c>
      <c r="E3670" t="str">
        <f>IF(A3670="","",IF(SUMPRODUCT((Ввод!$F$12:$F$31&lt;&gt;"")*(Ввод!$F$12:$F$31&lt;=A3670)*(Ввод!$G$12:$G$31&gt;=A3670))&gt;0,1,0))</f>
        <v/>
      </c>
      <c r="G3670" t="str">
        <f t="shared" si="115"/>
        <v/>
      </c>
    </row>
    <row r="3671" spans="1:7" x14ac:dyDescent="0.3">
      <c r="A3671" s="21" t="str">
        <f>IF(A3670="","",IF(A3670+1&gt;Ввод!$B$4,"",A3670+1))</f>
        <v/>
      </c>
      <c r="B3671" s="23" t="str">
        <f>IF(A3671="","",IFERROR(INDEX(Ввод!$B$12:$B$71,MATCH(A3671,Ввод!$D$12:$D$71,1)),""))</f>
        <v/>
      </c>
      <c r="C3671" t="str">
        <f t="shared" si="114"/>
        <v/>
      </c>
      <c r="D3671" t="str">
        <f>IF(A3671="","",SUMIFS(Акты!$D$5:$D$16,Акты!$E$5:$E$16,"&lt;="&amp;A3671)-SUMIFS(Оплаты!$B$6:$B$505,Оплаты!$A$6:$A$505,"&lt;"&amp;A3671,Оплаты!$D$6:$D$505,"&lt;&gt;"))</f>
        <v/>
      </c>
      <c r="E3671" t="str">
        <f>IF(A3671="","",IF(SUMPRODUCT((Ввод!$F$12:$F$31&lt;&gt;"")*(Ввод!$F$12:$F$31&lt;=A3671)*(Ввод!$G$12:$G$31&gt;=A3671))&gt;0,1,0))</f>
        <v/>
      </c>
      <c r="G3671" t="str">
        <f t="shared" si="115"/>
        <v/>
      </c>
    </row>
    <row r="3672" spans="1:7" x14ac:dyDescent="0.3">
      <c r="A3672" s="21" t="str">
        <f>IF(A3671="","",IF(A3671+1&gt;Ввод!$B$4,"",A3671+1))</f>
        <v/>
      </c>
      <c r="B3672" s="23" t="str">
        <f>IF(A3672="","",IFERROR(INDEX(Ввод!$B$12:$B$71,MATCH(A3672,Ввод!$D$12:$D$71,1)),""))</f>
        <v/>
      </c>
      <c r="C3672" t="str">
        <f t="shared" si="114"/>
        <v/>
      </c>
      <c r="D3672" t="str">
        <f>IF(A3672="","",SUMIFS(Акты!$D$5:$D$16,Акты!$E$5:$E$16,"&lt;="&amp;A3672)-SUMIFS(Оплаты!$B$6:$B$505,Оплаты!$A$6:$A$505,"&lt;"&amp;A3672,Оплаты!$D$6:$D$505,"&lt;&gt;"))</f>
        <v/>
      </c>
      <c r="E3672" t="str">
        <f>IF(A3672="","",IF(SUMPRODUCT((Ввод!$F$12:$F$31&lt;&gt;"")*(Ввод!$F$12:$F$31&lt;=A3672)*(Ввод!$G$12:$G$31&gt;=A3672))&gt;0,1,0))</f>
        <v/>
      </c>
      <c r="G3672" t="str">
        <f t="shared" si="115"/>
        <v/>
      </c>
    </row>
    <row r="3673" spans="1:7" x14ac:dyDescent="0.3">
      <c r="A3673" s="21" t="str">
        <f>IF(A3672="","",IF(A3672+1&gt;Ввод!$B$4,"",A3672+1))</f>
        <v/>
      </c>
      <c r="B3673" s="23" t="str">
        <f>IF(A3673="","",IFERROR(INDEX(Ввод!$B$12:$B$71,MATCH(A3673,Ввод!$D$12:$D$71,1)),""))</f>
        <v/>
      </c>
      <c r="C3673" t="str">
        <f t="shared" si="114"/>
        <v/>
      </c>
      <c r="D3673" t="str">
        <f>IF(A3673="","",SUMIFS(Акты!$D$5:$D$16,Акты!$E$5:$E$16,"&lt;="&amp;A3673)-SUMIFS(Оплаты!$B$6:$B$505,Оплаты!$A$6:$A$505,"&lt;"&amp;A3673,Оплаты!$D$6:$D$505,"&lt;&gt;"))</f>
        <v/>
      </c>
      <c r="E3673" t="str">
        <f>IF(A3673="","",IF(SUMPRODUCT((Ввод!$F$12:$F$31&lt;&gt;"")*(Ввод!$F$12:$F$31&lt;=A3673)*(Ввод!$G$12:$G$31&gt;=A3673))&gt;0,1,0))</f>
        <v/>
      </c>
      <c r="G3673" t="str">
        <f t="shared" si="115"/>
        <v/>
      </c>
    </row>
    <row r="3674" spans="1:7" x14ac:dyDescent="0.3">
      <c r="A3674" s="21" t="str">
        <f>IF(A3673="","",IF(A3673+1&gt;Ввод!$B$4,"",A3673+1))</f>
        <v/>
      </c>
      <c r="B3674" s="23" t="str">
        <f>IF(A3674="","",IFERROR(INDEX(Ввод!$B$12:$B$71,MATCH(A3674,Ввод!$D$12:$D$71,1)),""))</f>
        <v/>
      </c>
      <c r="C3674" t="str">
        <f t="shared" si="114"/>
        <v/>
      </c>
      <c r="D3674" t="str">
        <f>IF(A3674="","",SUMIFS(Акты!$D$5:$D$16,Акты!$E$5:$E$16,"&lt;="&amp;A3674)-SUMIFS(Оплаты!$B$6:$B$505,Оплаты!$A$6:$A$505,"&lt;"&amp;A3674,Оплаты!$D$6:$D$505,"&lt;&gt;"))</f>
        <v/>
      </c>
      <c r="E3674" t="str">
        <f>IF(A3674="","",IF(SUMPRODUCT((Ввод!$F$12:$F$31&lt;&gt;"")*(Ввод!$F$12:$F$31&lt;=A3674)*(Ввод!$G$12:$G$31&gt;=A3674))&gt;0,1,0))</f>
        <v/>
      </c>
      <c r="G3674" t="str">
        <f t="shared" si="115"/>
        <v/>
      </c>
    </row>
    <row r="3675" spans="1:7" x14ac:dyDescent="0.3">
      <c r="A3675" s="21" t="str">
        <f>IF(A3674="","",IF(A3674+1&gt;Ввод!$B$4,"",A3674+1))</f>
        <v/>
      </c>
      <c r="B3675" s="23" t="str">
        <f>IF(A3675="","",IFERROR(INDEX(Ввод!$B$12:$B$71,MATCH(A3675,Ввод!$D$12:$D$71,1)),""))</f>
        <v/>
      </c>
      <c r="C3675" t="str">
        <f t="shared" si="114"/>
        <v/>
      </c>
      <c r="D3675" t="str">
        <f>IF(A3675="","",SUMIFS(Акты!$D$5:$D$16,Акты!$E$5:$E$16,"&lt;="&amp;A3675)-SUMIFS(Оплаты!$B$6:$B$505,Оплаты!$A$6:$A$505,"&lt;"&amp;A3675,Оплаты!$D$6:$D$505,"&lt;&gt;"))</f>
        <v/>
      </c>
      <c r="E3675" t="str">
        <f>IF(A3675="","",IF(SUMPRODUCT((Ввод!$F$12:$F$31&lt;&gt;"")*(Ввод!$F$12:$F$31&lt;=A3675)*(Ввод!$G$12:$G$31&gt;=A3675))&gt;0,1,0))</f>
        <v/>
      </c>
      <c r="G3675" t="str">
        <f t="shared" si="115"/>
        <v/>
      </c>
    </row>
    <row r="3676" spans="1:7" x14ac:dyDescent="0.3">
      <c r="A3676" s="21" t="str">
        <f>IF(A3675="","",IF(A3675+1&gt;Ввод!$B$4,"",A3675+1))</f>
        <v/>
      </c>
      <c r="B3676" s="23" t="str">
        <f>IF(A3676="","",IFERROR(INDEX(Ввод!$B$12:$B$71,MATCH(A3676,Ввод!$D$12:$D$71,1)),""))</f>
        <v/>
      </c>
      <c r="C3676" t="str">
        <f t="shared" si="114"/>
        <v/>
      </c>
      <c r="D3676" t="str">
        <f>IF(A3676="","",SUMIFS(Акты!$D$5:$D$16,Акты!$E$5:$E$16,"&lt;="&amp;A3676)-SUMIFS(Оплаты!$B$6:$B$505,Оплаты!$A$6:$A$505,"&lt;"&amp;A3676,Оплаты!$D$6:$D$505,"&lt;&gt;"))</f>
        <v/>
      </c>
      <c r="E3676" t="str">
        <f>IF(A3676="","",IF(SUMPRODUCT((Ввод!$F$12:$F$31&lt;&gt;"")*(Ввод!$F$12:$F$31&lt;=A3676)*(Ввод!$G$12:$G$31&gt;=A3676))&gt;0,1,0))</f>
        <v/>
      </c>
      <c r="G3676" t="str">
        <f t="shared" si="115"/>
        <v/>
      </c>
    </row>
    <row r="3677" spans="1:7" x14ac:dyDescent="0.3">
      <c r="A3677" s="21" t="str">
        <f>IF(A3676="","",IF(A3676+1&gt;Ввод!$B$4,"",A3676+1))</f>
        <v/>
      </c>
      <c r="B3677" s="23" t="str">
        <f>IF(A3677="","",IFERROR(INDEX(Ввод!$B$12:$B$71,MATCH(A3677,Ввод!$D$12:$D$71,1)),""))</f>
        <v/>
      </c>
      <c r="C3677" t="str">
        <f t="shared" si="114"/>
        <v/>
      </c>
      <c r="D3677" t="str">
        <f>IF(A3677="","",SUMIFS(Акты!$D$5:$D$16,Акты!$E$5:$E$16,"&lt;="&amp;A3677)-SUMIFS(Оплаты!$B$6:$B$505,Оплаты!$A$6:$A$505,"&lt;"&amp;A3677,Оплаты!$D$6:$D$505,"&lt;&gt;"))</f>
        <v/>
      </c>
      <c r="E3677" t="str">
        <f>IF(A3677="","",IF(SUMPRODUCT((Ввод!$F$12:$F$31&lt;&gt;"")*(Ввод!$F$12:$F$31&lt;=A3677)*(Ввод!$G$12:$G$31&gt;=A3677))&gt;0,1,0))</f>
        <v/>
      </c>
      <c r="G3677" t="str">
        <f t="shared" si="115"/>
        <v/>
      </c>
    </row>
    <row r="3678" spans="1:7" x14ac:dyDescent="0.3">
      <c r="A3678" s="21" t="str">
        <f>IF(A3677="","",IF(A3677+1&gt;Ввод!$B$4,"",A3677+1))</f>
        <v/>
      </c>
      <c r="B3678" s="23" t="str">
        <f>IF(A3678="","",IFERROR(INDEX(Ввод!$B$12:$B$71,MATCH(A3678,Ввод!$D$12:$D$71,1)),""))</f>
        <v/>
      </c>
      <c r="C3678" t="str">
        <f t="shared" si="114"/>
        <v/>
      </c>
      <c r="D3678" t="str">
        <f>IF(A3678="","",SUMIFS(Акты!$D$5:$D$16,Акты!$E$5:$E$16,"&lt;="&amp;A3678)-SUMIFS(Оплаты!$B$6:$B$505,Оплаты!$A$6:$A$505,"&lt;"&amp;A3678,Оплаты!$D$6:$D$505,"&lt;&gt;"))</f>
        <v/>
      </c>
      <c r="E3678" t="str">
        <f>IF(A3678="","",IF(SUMPRODUCT((Ввод!$F$12:$F$31&lt;&gt;"")*(Ввод!$F$12:$F$31&lt;=A3678)*(Ввод!$G$12:$G$31&gt;=A3678))&gt;0,1,0))</f>
        <v/>
      </c>
      <c r="G3678" t="str">
        <f t="shared" si="115"/>
        <v/>
      </c>
    </row>
    <row r="3679" spans="1:7" x14ac:dyDescent="0.3">
      <c r="A3679" s="21" t="str">
        <f>IF(A3678="","",IF(A3678+1&gt;Ввод!$B$4,"",A3678+1))</f>
        <v/>
      </c>
      <c r="B3679" s="23" t="str">
        <f>IF(A3679="","",IFERROR(INDEX(Ввод!$B$12:$B$71,MATCH(A3679,Ввод!$D$12:$D$71,1)),""))</f>
        <v/>
      </c>
      <c r="C3679" t="str">
        <f t="shared" si="114"/>
        <v/>
      </c>
      <c r="D3679" t="str">
        <f>IF(A3679="","",SUMIFS(Акты!$D$5:$D$16,Акты!$E$5:$E$16,"&lt;="&amp;A3679)-SUMIFS(Оплаты!$B$6:$B$505,Оплаты!$A$6:$A$505,"&lt;"&amp;A3679,Оплаты!$D$6:$D$505,"&lt;&gt;"))</f>
        <v/>
      </c>
      <c r="E3679" t="str">
        <f>IF(A3679="","",IF(SUMPRODUCT((Ввод!$F$12:$F$31&lt;&gt;"")*(Ввод!$F$12:$F$31&lt;=A3679)*(Ввод!$G$12:$G$31&gt;=A3679))&gt;0,1,0))</f>
        <v/>
      </c>
      <c r="G3679" t="str">
        <f t="shared" si="115"/>
        <v/>
      </c>
    </row>
    <row r="3680" spans="1:7" x14ac:dyDescent="0.3">
      <c r="A3680" s="21" t="str">
        <f>IF(A3679="","",IF(A3679+1&gt;Ввод!$B$4,"",A3679+1))</f>
        <v/>
      </c>
      <c r="B3680" s="23" t="str">
        <f>IF(A3680="","",IFERROR(INDEX(Ввод!$B$12:$B$71,MATCH(A3680,Ввод!$D$12:$D$71,1)),""))</f>
        <v/>
      </c>
      <c r="C3680" t="str">
        <f t="shared" si="114"/>
        <v/>
      </c>
      <c r="D3680" t="str">
        <f>IF(A3680="","",SUMIFS(Акты!$D$5:$D$16,Акты!$E$5:$E$16,"&lt;="&amp;A3680)-SUMIFS(Оплаты!$B$6:$B$505,Оплаты!$A$6:$A$505,"&lt;"&amp;A3680,Оплаты!$D$6:$D$505,"&lt;&gt;"))</f>
        <v/>
      </c>
      <c r="E3680" t="str">
        <f>IF(A3680="","",IF(SUMPRODUCT((Ввод!$F$12:$F$31&lt;&gt;"")*(Ввод!$F$12:$F$31&lt;=A3680)*(Ввод!$G$12:$G$31&gt;=A3680))&gt;0,1,0))</f>
        <v/>
      </c>
      <c r="G3680" t="str">
        <f t="shared" si="115"/>
        <v/>
      </c>
    </row>
    <row r="3681" spans="1:7" x14ac:dyDescent="0.3">
      <c r="A3681" s="21" t="str">
        <f>IF(A3680="","",IF(A3680+1&gt;Ввод!$B$4,"",A3680+1))</f>
        <v/>
      </c>
      <c r="B3681" s="23" t="str">
        <f>IF(A3681="","",IFERROR(INDEX(Ввод!$B$12:$B$71,MATCH(A3681,Ввод!$D$12:$D$71,1)),""))</f>
        <v/>
      </c>
      <c r="C3681" t="str">
        <f t="shared" si="114"/>
        <v/>
      </c>
      <c r="D3681" t="str">
        <f>IF(A3681="","",SUMIFS(Акты!$D$5:$D$16,Акты!$E$5:$E$16,"&lt;="&amp;A3681)-SUMIFS(Оплаты!$B$6:$B$505,Оплаты!$A$6:$A$505,"&lt;"&amp;A3681,Оплаты!$D$6:$D$505,"&lt;&gt;"))</f>
        <v/>
      </c>
      <c r="E3681" t="str">
        <f>IF(A3681="","",IF(SUMPRODUCT((Ввод!$F$12:$F$31&lt;&gt;"")*(Ввод!$F$12:$F$31&lt;=A3681)*(Ввод!$G$12:$G$31&gt;=A3681))&gt;0,1,0))</f>
        <v/>
      </c>
      <c r="G3681" t="str">
        <f t="shared" si="115"/>
        <v/>
      </c>
    </row>
    <row r="3682" spans="1:7" x14ac:dyDescent="0.3">
      <c r="A3682" s="21" t="str">
        <f>IF(A3681="","",IF(A3681+1&gt;Ввод!$B$4,"",A3681+1))</f>
        <v/>
      </c>
      <c r="B3682" s="23" t="str">
        <f>IF(A3682="","",IFERROR(INDEX(Ввод!$B$12:$B$71,MATCH(A3682,Ввод!$D$12:$D$71,1)),""))</f>
        <v/>
      </c>
      <c r="C3682" t="str">
        <f t="shared" si="114"/>
        <v/>
      </c>
      <c r="D3682" t="str">
        <f>IF(A3682="","",SUMIFS(Акты!$D$5:$D$16,Акты!$E$5:$E$16,"&lt;="&amp;A3682)-SUMIFS(Оплаты!$B$6:$B$505,Оплаты!$A$6:$A$505,"&lt;"&amp;A3682,Оплаты!$D$6:$D$505,"&lt;&gt;"))</f>
        <v/>
      </c>
      <c r="E3682" t="str">
        <f>IF(A3682="","",IF(SUMPRODUCT((Ввод!$F$12:$F$31&lt;&gt;"")*(Ввод!$F$12:$F$31&lt;=A3682)*(Ввод!$G$12:$G$31&gt;=A3682))&gt;0,1,0))</f>
        <v/>
      </c>
      <c r="G3682" t="str">
        <f t="shared" si="115"/>
        <v/>
      </c>
    </row>
    <row r="3683" spans="1:7" x14ac:dyDescent="0.3">
      <c r="A3683" s="21" t="str">
        <f>IF(A3682="","",IF(A3682+1&gt;Ввод!$B$4,"",A3682+1))</f>
        <v/>
      </c>
      <c r="B3683" s="23" t="str">
        <f>IF(A3683="","",IFERROR(INDEX(Ввод!$B$12:$B$71,MATCH(A3683,Ввод!$D$12:$D$71,1)),""))</f>
        <v/>
      </c>
      <c r="C3683" t="str">
        <f t="shared" si="114"/>
        <v/>
      </c>
      <c r="D3683" t="str">
        <f>IF(A3683="","",SUMIFS(Акты!$D$5:$D$16,Акты!$E$5:$E$16,"&lt;="&amp;A3683)-SUMIFS(Оплаты!$B$6:$B$505,Оплаты!$A$6:$A$505,"&lt;"&amp;A3683,Оплаты!$D$6:$D$505,"&lt;&gt;"))</f>
        <v/>
      </c>
      <c r="E3683" t="str">
        <f>IF(A3683="","",IF(SUMPRODUCT((Ввод!$F$12:$F$31&lt;&gt;"")*(Ввод!$F$12:$F$31&lt;=A3683)*(Ввод!$G$12:$G$31&gt;=A3683))&gt;0,1,0))</f>
        <v/>
      </c>
      <c r="G3683" t="str">
        <f t="shared" si="115"/>
        <v/>
      </c>
    </row>
    <row r="3684" spans="1:7" x14ac:dyDescent="0.3">
      <c r="A3684" s="21" t="str">
        <f>IF(A3683="","",IF(A3683+1&gt;Ввод!$B$4,"",A3683+1))</f>
        <v/>
      </c>
      <c r="B3684" s="23" t="str">
        <f>IF(A3684="","",IFERROR(INDEX(Ввод!$B$12:$B$71,MATCH(A3684,Ввод!$D$12:$D$71,1)),""))</f>
        <v/>
      </c>
      <c r="C3684" t="str">
        <f t="shared" si="114"/>
        <v/>
      </c>
      <c r="D3684" t="str">
        <f>IF(A3684="","",SUMIFS(Акты!$D$5:$D$16,Акты!$E$5:$E$16,"&lt;="&amp;A3684)-SUMIFS(Оплаты!$B$6:$B$505,Оплаты!$A$6:$A$505,"&lt;"&amp;A3684,Оплаты!$D$6:$D$505,"&lt;&gt;"))</f>
        <v/>
      </c>
      <c r="E3684" t="str">
        <f>IF(A3684="","",IF(SUMPRODUCT((Ввод!$F$12:$F$31&lt;&gt;"")*(Ввод!$F$12:$F$31&lt;=A3684)*(Ввод!$G$12:$G$31&gt;=A3684))&gt;0,1,0))</f>
        <v/>
      </c>
      <c r="G3684" t="str">
        <f t="shared" si="115"/>
        <v/>
      </c>
    </row>
    <row r="3685" spans="1:7" x14ac:dyDescent="0.3">
      <c r="A3685" s="21" t="str">
        <f>IF(A3684="","",IF(A3684+1&gt;Ввод!$B$4,"",A3684+1))</f>
        <v/>
      </c>
      <c r="B3685" s="23" t="str">
        <f>IF(A3685="","",IFERROR(INDEX(Ввод!$B$12:$B$71,MATCH(A3685,Ввод!$D$12:$D$71,1)),""))</f>
        <v/>
      </c>
      <c r="C3685" t="str">
        <f t="shared" si="114"/>
        <v/>
      </c>
      <c r="D3685" t="str">
        <f>IF(A3685="","",SUMIFS(Акты!$D$5:$D$16,Акты!$E$5:$E$16,"&lt;="&amp;A3685)-SUMIFS(Оплаты!$B$6:$B$505,Оплаты!$A$6:$A$505,"&lt;"&amp;A3685,Оплаты!$D$6:$D$505,"&lt;&gt;"))</f>
        <v/>
      </c>
      <c r="E3685" t="str">
        <f>IF(A3685="","",IF(SUMPRODUCT((Ввод!$F$12:$F$31&lt;&gt;"")*(Ввод!$F$12:$F$31&lt;=A3685)*(Ввод!$G$12:$G$31&gt;=A3685))&gt;0,1,0))</f>
        <v/>
      </c>
      <c r="G3685" t="str">
        <f t="shared" si="115"/>
        <v/>
      </c>
    </row>
    <row r="3686" spans="1:7" x14ac:dyDescent="0.3">
      <c r="A3686" s="21" t="str">
        <f>IF(A3685="","",IF(A3685+1&gt;Ввод!$B$4,"",A3685+1))</f>
        <v/>
      </c>
      <c r="B3686" s="23" t="str">
        <f>IF(A3686="","",IFERROR(INDEX(Ввод!$B$12:$B$71,MATCH(A3686,Ввод!$D$12:$D$71,1)),""))</f>
        <v/>
      </c>
      <c r="C3686" t="str">
        <f t="shared" si="114"/>
        <v/>
      </c>
      <c r="D3686" t="str">
        <f>IF(A3686="","",SUMIFS(Акты!$D$5:$D$16,Акты!$E$5:$E$16,"&lt;="&amp;A3686)-SUMIFS(Оплаты!$B$6:$B$505,Оплаты!$A$6:$A$505,"&lt;"&amp;A3686,Оплаты!$D$6:$D$505,"&lt;&gt;"))</f>
        <v/>
      </c>
      <c r="E3686" t="str">
        <f>IF(A3686="","",IF(SUMPRODUCT((Ввод!$F$12:$F$31&lt;&gt;"")*(Ввод!$F$12:$F$31&lt;=A3686)*(Ввод!$G$12:$G$31&gt;=A3686))&gt;0,1,0))</f>
        <v/>
      </c>
      <c r="G3686" t="str">
        <f t="shared" si="115"/>
        <v/>
      </c>
    </row>
    <row r="3687" spans="1:7" x14ac:dyDescent="0.3">
      <c r="A3687" s="21" t="str">
        <f>IF(A3686="","",IF(A3686+1&gt;Ввод!$B$4,"",A3686+1))</f>
        <v/>
      </c>
      <c r="B3687" s="23" t="str">
        <f>IF(A3687="","",IFERROR(INDEX(Ввод!$B$12:$B$71,MATCH(A3687,Ввод!$D$12:$D$71,1)),""))</f>
        <v/>
      </c>
      <c r="C3687" t="str">
        <f t="shared" si="114"/>
        <v/>
      </c>
      <c r="D3687" t="str">
        <f>IF(A3687="","",SUMIFS(Акты!$D$5:$D$16,Акты!$E$5:$E$16,"&lt;="&amp;A3687)-SUMIFS(Оплаты!$B$6:$B$505,Оплаты!$A$6:$A$505,"&lt;"&amp;A3687,Оплаты!$D$6:$D$505,"&lt;&gt;"))</f>
        <v/>
      </c>
      <c r="E3687" t="str">
        <f>IF(A3687="","",IF(SUMPRODUCT((Ввод!$F$12:$F$31&lt;&gt;"")*(Ввод!$F$12:$F$31&lt;=A3687)*(Ввод!$G$12:$G$31&gt;=A3687))&gt;0,1,0))</f>
        <v/>
      </c>
      <c r="G3687" t="str">
        <f t="shared" si="115"/>
        <v/>
      </c>
    </row>
    <row r="3688" spans="1:7" x14ac:dyDescent="0.3">
      <c r="A3688" s="21" t="str">
        <f>IF(A3687="","",IF(A3687+1&gt;Ввод!$B$4,"",A3687+1))</f>
        <v/>
      </c>
      <c r="B3688" s="23" t="str">
        <f>IF(A3688="","",IFERROR(INDEX(Ввод!$B$12:$B$71,MATCH(A3688,Ввод!$D$12:$D$71,1)),""))</f>
        <v/>
      </c>
      <c r="C3688" t="str">
        <f t="shared" si="114"/>
        <v/>
      </c>
      <c r="D3688" t="str">
        <f>IF(A3688="","",SUMIFS(Акты!$D$5:$D$16,Акты!$E$5:$E$16,"&lt;="&amp;A3688)-SUMIFS(Оплаты!$B$6:$B$505,Оплаты!$A$6:$A$505,"&lt;"&amp;A3688,Оплаты!$D$6:$D$505,"&lt;&gt;"))</f>
        <v/>
      </c>
      <c r="E3688" t="str">
        <f>IF(A3688="","",IF(SUMPRODUCT((Ввод!$F$12:$F$31&lt;&gt;"")*(Ввод!$F$12:$F$31&lt;=A3688)*(Ввод!$G$12:$G$31&gt;=A3688))&gt;0,1,0))</f>
        <v/>
      </c>
      <c r="G3688" t="str">
        <f t="shared" si="115"/>
        <v/>
      </c>
    </row>
    <row r="3689" spans="1:7" x14ac:dyDescent="0.3">
      <c r="A3689" s="21" t="str">
        <f>IF(A3688="","",IF(A3688+1&gt;Ввод!$B$4,"",A3688+1))</f>
        <v/>
      </c>
      <c r="B3689" s="23" t="str">
        <f>IF(A3689="","",IFERROR(INDEX(Ввод!$B$12:$B$71,MATCH(A3689,Ввод!$D$12:$D$71,1)),""))</f>
        <v/>
      </c>
      <c r="C3689" t="str">
        <f t="shared" si="114"/>
        <v/>
      </c>
      <c r="D3689" t="str">
        <f>IF(A3689="","",SUMIFS(Акты!$D$5:$D$16,Акты!$E$5:$E$16,"&lt;="&amp;A3689)-SUMIFS(Оплаты!$B$6:$B$505,Оплаты!$A$6:$A$505,"&lt;"&amp;A3689,Оплаты!$D$6:$D$505,"&lt;&gt;"))</f>
        <v/>
      </c>
      <c r="E3689" t="str">
        <f>IF(A3689="","",IF(SUMPRODUCT((Ввод!$F$12:$F$31&lt;&gt;"")*(Ввод!$F$12:$F$31&lt;=A3689)*(Ввод!$G$12:$G$31&gt;=A3689))&gt;0,1,0))</f>
        <v/>
      </c>
      <c r="G3689" t="str">
        <f t="shared" si="115"/>
        <v/>
      </c>
    </row>
    <row r="3690" spans="1:7" x14ac:dyDescent="0.3">
      <c r="A3690" s="21" t="str">
        <f>IF(A3689="","",IF(A3689+1&gt;Ввод!$B$4,"",A3689+1))</f>
        <v/>
      </c>
      <c r="B3690" s="23" t="str">
        <f>IF(A3690="","",IFERROR(INDEX(Ввод!$B$12:$B$71,MATCH(A3690,Ввод!$D$12:$D$71,1)),""))</f>
        <v/>
      </c>
      <c r="C3690" t="str">
        <f t="shared" si="114"/>
        <v/>
      </c>
      <c r="D3690" t="str">
        <f>IF(A3690="","",SUMIFS(Акты!$D$5:$D$16,Акты!$E$5:$E$16,"&lt;="&amp;A3690)-SUMIFS(Оплаты!$B$6:$B$505,Оплаты!$A$6:$A$505,"&lt;"&amp;A3690,Оплаты!$D$6:$D$505,"&lt;&gt;"))</f>
        <v/>
      </c>
      <c r="E3690" t="str">
        <f>IF(A3690="","",IF(SUMPRODUCT((Ввод!$F$12:$F$31&lt;&gt;"")*(Ввод!$F$12:$F$31&lt;=A3690)*(Ввод!$G$12:$G$31&gt;=A3690))&gt;0,1,0))</f>
        <v/>
      </c>
      <c r="G3690" t="str">
        <f t="shared" si="115"/>
        <v/>
      </c>
    </row>
    <row r="3691" spans="1:7" x14ac:dyDescent="0.3">
      <c r="A3691" s="21" t="str">
        <f>IF(A3690="","",IF(A3690+1&gt;Ввод!$B$4,"",A3690+1))</f>
        <v/>
      </c>
      <c r="B3691" s="23" t="str">
        <f>IF(A3691="","",IFERROR(INDEX(Ввод!$B$12:$B$71,MATCH(A3691,Ввод!$D$12:$D$71,1)),""))</f>
        <v/>
      </c>
      <c r="C3691" t="str">
        <f t="shared" si="114"/>
        <v/>
      </c>
      <c r="D3691" t="str">
        <f>IF(A3691="","",SUMIFS(Акты!$D$5:$D$16,Акты!$E$5:$E$16,"&lt;="&amp;A3691)-SUMIFS(Оплаты!$B$6:$B$505,Оплаты!$A$6:$A$505,"&lt;"&amp;A3691,Оплаты!$D$6:$D$505,"&lt;&gt;"))</f>
        <v/>
      </c>
      <c r="E3691" t="str">
        <f>IF(A3691="","",IF(SUMPRODUCT((Ввод!$F$12:$F$31&lt;&gt;"")*(Ввод!$F$12:$F$31&lt;=A3691)*(Ввод!$G$12:$G$31&gt;=A3691))&gt;0,1,0))</f>
        <v/>
      </c>
      <c r="G3691" t="str">
        <f t="shared" si="115"/>
        <v/>
      </c>
    </row>
    <row r="3692" spans="1:7" x14ac:dyDescent="0.3">
      <c r="A3692" s="21" t="str">
        <f>IF(A3691="","",IF(A3691+1&gt;Ввод!$B$4,"",A3691+1))</f>
        <v/>
      </c>
      <c r="B3692" s="23" t="str">
        <f>IF(A3692="","",IFERROR(INDEX(Ввод!$B$12:$B$71,MATCH(A3692,Ввод!$D$12:$D$71,1)),""))</f>
        <v/>
      </c>
      <c r="C3692" t="str">
        <f t="shared" si="114"/>
        <v/>
      </c>
      <c r="D3692" t="str">
        <f>IF(A3692="","",SUMIFS(Акты!$D$5:$D$16,Акты!$E$5:$E$16,"&lt;="&amp;A3692)-SUMIFS(Оплаты!$B$6:$B$505,Оплаты!$A$6:$A$505,"&lt;"&amp;A3692,Оплаты!$D$6:$D$505,"&lt;&gt;"))</f>
        <v/>
      </c>
      <c r="E3692" t="str">
        <f>IF(A3692="","",IF(SUMPRODUCT((Ввод!$F$12:$F$31&lt;&gt;"")*(Ввод!$F$12:$F$31&lt;=A3692)*(Ввод!$G$12:$G$31&gt;=A3692))&gt;0,1,0))</f>
        <v/>
      </c>
      <c r="G3692" t="str">
        <f t="shared" si="115"/>
        <v/>
      </c>
    </row>
    <row r="3693" spans="1:7" x14ac:dyDescent="0.3">
      <c r="A3693" s="21" t="str">
        <f>IF(A3692="","",IF(A3692+1&gt;Ввод!$B$4,"",A3692+1))</f>
        <v/>
      </c>
      <c r="B3693" s="23" t="str">
        <f>IF(A3693="","",IFERROR(INDEX(Ввод!$B$12:$B$71,MATCH(A3693,Ввод!$D$12:$D$71,1)),""))</f>
        <v/>
      </c>
      <c r="C3693" t="str">
        <f t="shared" si="114"/>
        <v/>
      </c>
      <c r="D3693" t="str">
        <f>IF(A3693="","",SUMIFS(Акты!$D$5:$D$16,Акты!$E$5:$E$16,"&lt;="&amp;A3693)-SUMIFS(Оплаты!$B$6:$B$505,Оплаты!$A$6:$A$505,"&lt;"&amp;A3693,Оплаты!$D$6:$D$505,"&lt;&gt;"))</f>
        <v/>
      </c>
      <c r="E3693" t="str">
        <f>IF(A3693="","",IF(SUMPRODUCT((Ввод!$F$12:$F$31&lt;&gt;"")*(Ввод!$F$12:$F$31&lt;=A3693)*(Ввод!$G$12:$G$31&gt;=A3693))&gt;0,1,0))</f>
        <v/>
      </c>
      <c r="G3693" t="str">
        <f t="shared" si="115"/>
        <v/>
      </c>
    </row>
    <row r="3694" spans="1:7" x14ac:dyDescent="0.3">
      <c r="A3694" s="21" t="str">
        <f>IF(A3693="","",IF(A3693+1&gt;Ввод!$B$4,"",A3693+1))</f>
        <v/>
      </c>
      <c r="B3694" s="23" t="str">
        <f>IF(A3694="","",IFERROR(INDEX(Ввод!$B$12:$B$71,MATCH(A3694,Ввод!$D$12:$D$71,1)),""))</f>
        <v/>
      </c>
      <c r="C3694" t="str">
        <f t="shared" si="114"/>
        <v/>
      </c>
      <c r="D3694" t="str">
        <f>IF(A3694="","",SUMIFS(Акты!$D$5:$D$16,Акты!$E$5:$E$16,"&lt;="&amp;A3694)-SUMIFS(Оплаты!$B$6:$B$505,Оплаты!$A$6:$A$505,"&lt;"&amp;A3694,Оплаты!$D$6:$D$505,"&lt;&gt;"))</f>
        <v/>
      </c>
      <c r="E3694" t="str">
        <f>IF(A3694="","",IF(SUMPRODUCT((Ввод!$F$12:$F$31&lt;&gt;"")*(Ввод!$F$12:$F$31&lt;=A3694)*(Ввод!$G$12:$G$31&gt;=A3694))&gt;0,1,0))</f>
        <v/>
      </c>
      <c r="G3694" t="str">
        <f t="shared" si="115"/>
        <v/>
      </c>
    </row>
    <row r="3695" spans="1:7" x14ac:dyDescent="0.3">
      <c r="A3695" s="21" t="str">
        <f>IF(A3694="","",IF(A3694+1&gt;Ввод!$B$4,"",A3694+1))</f>
        <v/>
      </c>
      <c r="B3695" s="23" t="str">
        <f>IF(A3695="","",IFERROR(INDEX(Ввод!$B$12:$B$71,MATCH(A3695,Ввод!$D$12:$D$71,1)),""))</f>
        <v/>
      </c>
      <c r="C3695" t="str">
        <f t="shared" si="114"/>
        <v/>
      </c>
      <c r="D3695" t="str">
        <f>IF(A3695="","",SUMIFS(Акты!$D$5:$D$16,Акты!$E$5:$E$16,"&lt;="&amp;A3695)-SUMIFS(Оплаты!$B$6:$B$505,Оплаты!$A$6:$A$505,"&lt;"&amp;A3695,Оплаты!$D$6:$D$505,"&lt;&gt;"))</f>
        <v/>
      </c>
      <c r="E3695" t="str">
        <f>IF(A3695="","",IF(SUMPRODUCT((Ввод!$F$12:$F$31&lt;&gt;"")*(Ввод!$F$12:$F$31&lt;=A3695)*(Ввод!$G$12:$G$31&gt;=A3695))&gt;0,1,0))</f>
        <v/>
      </c>
      <c r="G3695" t="str">
        <f t="shared" si="115"/>
        <v/>
      </c>
    </row>
    <row r="3696" spans="1:7" x14ac:dyDescent="0.3">
      <c r="A3696" s="21" t="str">
        <f>IF(A3695="","",IF(A3695+1&gt;Ввод!$B$4,"",A3695+1))</f>
        <v/>
      </c>
      <c r="B3696" s="23" t="str">
        <f>IF(A3696="","",IFERROR(INDEX(Ввод!$B$12:$B$71,MATCH(A3696,Ввод!$D$12:$D$71,1)),""))</f>
        <v/>
      </c>
      <c r="C3696" t="str">
        <f t="shared" si="114"/>
        <v/>
      </c>
      <c r="D3696" t="str">
        <f>IF(A3696="","",SUMIFS(Акты!$D$5:$D$16,Акты!$E$5:$E$16,"&lt;="&amp;A3696)-SUMIFS(Оплаты!$B$6:$B$505,Оплаты!$A$6:$A$505,"&lt;"&amp;A3696,Оплаты!$D$6:$D$505,"&lt;&gt;"))</f>
        <v/>
      </c>
      <c r="E3696" t="str">
        <f>IF(A3696="","",IF(SUMPRODUCT((Ввод!$F$12:$F$31&lt;&gt;"")*(Ввод!$F$12:$F$31&lt;=A3696)*(Ввод!$G$12:$G$31&gt;=A3696))&gt;0,1,0))</f>
        <v/>
      </c>
      <c r="G3696" t="str">
        <f t="shared" si="115"/>
        <v/>
      </c>
    </row>
    <row r="3697" spans="1:7" x14ac:dyDescent="0.3">
      <c r="A3697" s="21" t="str">
        <f>IF(A3696="","",IF(A3696+1&gt;Ввод!$B$4,"",A3696+1))</f>
        <v/>
      </c>
      <c r="B3697" s="23" t="str">
        <f>IF(A3697="","",IFERROR(INDEX(Ввод!$B$12:$B$71,MATCH(A3697,Ввод!$D$12:$D$71,1)),""))</f>
        <v/>
      </c>
      <c r="C3697" t="str">
        <f t="shared" si="114"/>
        <v/>
      </c>
      <c r="D3697" t="str">
        <f>IF(A3697="","",SUMIFS(Акты!$D$5:$D$16,Акты!$E$5:$E$16,"&lt;="&amp;A3697)-SUMIFS(Оплаты!$B$6:$B$505,Оплаты!$A$6:$A$505,"&lt;"&amp;A3697,Оплаты!$D$6:$D$505,"&lt;&gt;"))</f>
        <v/>
      </c>
      <c r="E3697" t="str">
        <f>IF(A3697="","",IF(SUMPRODUCT((Ввод!$F$12:$F$31&lt;&gt;"")*(Ввод!$F$12:$F$31&lt;=A3697)*(Ввод!$G$12:$G$31&gt;=A3697))&gt;0,1,0))</f>
        <v/>
      </c>
      <c r="G3697" t="str">
        <f t="shared" si="115"/>
        <v/>
      </c>
    </row>
    <row r="3698" spans="1:7" x14ac:dyDescent="0.3">
      <c r="A3698" s="21" t="str">
        <f>IF(A3697="","",IF(A3697+1&gt;Ввод!$B$4,"",A3697+1))</f>
        <v/>
      </c>
      <c r="B3698" s="23" t="str">
        <f>IF(A3698="","",IFERROR(INDEX(Ввод!$B$12:$B$71,MATCH(A3698,Ввод!$D$12:$D$71,1)),""))</f>
        <v/>
      </c>
      <c r="C3698" t="str">
        <f t="shared" si="114"/>
        <v/>
      </c>
      <c r="D3698" t="str">
        <f>IF(A3698="","",SUMIFS(Акты!$D$5:$D$16,Акты!$E$5:$E$16,"&lt;="&amp;A3698)-SUMIFS(Оплаты!$B$6:$B$505,Оплаты!$A$6:$A$505,"&lt;"&amp;A3698,Оплаты!$D$6:$D$505,"&lt;&gt;"))</f>
        <v/>
      </c>
      <c r="E3698" t="str">
        <f>IF(A3698="","",IF(SUMPRODUCT((Ввод!$F$12:$F$31&lt;&gt;"")*(Ввод!$F$12:$F$31&lt;=A3698)*(Ввод!$G$12:$G$31&gt;=A3698))&gt;0,1,0))</f>
        <v/>
      </c>
      <c r="G3698" t="str">
        <f t="shared" si="115"/>
        <v/>
      </c>
    </row>
    <row r="3699" spans="1:7" x14ac:dyDescent="0.3">
      <c r="A3699" s="21" t="str">
        <f>IF(A3698="","",IF(A3698+1&gt;Ввод!$B$4,"",A3698+1))</f>
        <v/>
      </c>
      <c r="B3699" s="23" t="str">
        <f>IF(A3699="","",IFERROR(INDEX(Ввод!$B$12:$B$71,MATCH(A3699,Ввод!$D$12:$D$71,1)),""))</f>
        <v/>
      </c>
      <c r="C3699" t="str">
        <f t="shared" si="114"/>
        <v/>
      </c>
      <c r="D3699" t="str">
        <f>IF(A3699="","",SUMIFS(Акты!$D$5:$D$16,Акты!$E$5:$E$16,"&lt;="&amp;A3699)-SUMIFS(Оплаты!$B$6:$B$505,Оплаты!$A$6:$A$505,"&lt;"&amp;A3699,Оплаты!$D$6:$D$505,"&lt;&gt;"))</f>
        <v/>
      </c>
      <c r="E3699" t="str">
        <f>IF(A3699="","",IF(SUMPRODUCT((Ввод!$F$12:$F$31&lt;&gt;"")*(Ввод!$F$12:$F$31&lt;=A3699)*(Ввод!$G$12:$G$31&gt;=A3699))&gt;0,1,0))</f>
        <v/>
      </c>
      <c r="G3699" t="str">
        <f t="shared" si="115"/>
        <v/>
      </c>
    </row>
    <row r="3700" spans="1:7" x14ac:dyDescent="0.3">
      <c r="A3700" s="21" t="str">
        <f>IF(A3699="","",IF(A3699+1&gt;Ввод!$B$4,"",A3699+1))</f>
        <v/>
      </c>
      <c r="B3700" s="23" t="str">
        <f>IF(A3700="","",IFERROR(INDEX(Ввод!$B$12:$B$71,MATCH(A3700,Ввод!$D$12:$D$71,1)),""))</f>
        <v/>
      </c>
      <c r="C3700" t="str">
        <f t="shared" si="114"/>
        <v/>
      </c>
      <c r="D3700" t="str">
        <f>IF(A3700="","",SUMIFS(Акты!$D$5:$D$16,Акты!$E$5:$E$16,"&lt;="&amp;A3700)-SUMIFS(Оплаты!$B$6:$B$505,Оплаты!$A$6:$A$505,"&lt;"&amp;A3700,Оплаты!$D$6:$D$505,"&lt;&gt;"))</f>
        <v/>
      </c>
      <c r="E3700" t="str">
        <f>IF(A3700="","",IF(SUMPRODUCT((Ввод!$F$12:$F$31&lt;&gt;"")*(Ввод!$F$12:$F$31&lt;=A3700)*(Ввод!$G$12:$G$31&gt;=A3700))&gt;0,1,0))</f>
        <v/>
      </c>
      <c r="G3700" t="str">
        <f t="shared" si="115"/>
        <v/>
      </c>
    </row>
    <row r="3701" spans="1:7" x14ac:dyDescent="0.3">
      <c r="A3701" s="21" t="str">
        <f>IF(A3700="","",IF(A3700+1&gt;Ввод!$B$4,"",A3700+1))</f>
        <v/>
      </c>
      <c r="B3701" s="23" t="str">
        <f>IF(A3701="","",IFERROR(INDEX(Ввод!$B$12:$B$71,MATCH(A3701,Ввод!$D$12:$D$71,1)),""))</f>
        <v/>
      </c>
      <c r="C3701" t="str">
        <f t="shared" si="114"/>
        <v/>
      </c>
      <c r="D3701" t="str">
        <f>IF(A3701="","",SUMIFS(Акты!$D$5:$D$16,Акты!$E$5:$E$16,"&lt;="&amp;A3701)-SUMIFS(Оплаты!$B$6:$B$505,Оплаты!$A$6:$A$505,"&lt;"&amp;A3701,Оплаты!$D$6:$D$505,"&lt;&gt;"))</f>
        <v/>
      </c>
      <c r="E3701" t="str">
        <f>IF(A3701="","",IF(SUMPRODUCT((Ввод!$F$12:$F$31&lt;&gt;"")*(Ввод!$F$12:$F$31&lt;=A3701)*(Ввод!$G$12:$G$31&gt;=A3701))&gt;0,1,0))</f>
        <v/>
      </c>
      <c r="G3701" t="str">
        <f t="shared" si="115"/>
        <v/>
      </c>
    </row>
    <row r="3702" spans="1:7" x14ac:dyDescent="0.3">
      <c r="A3702" s="21" t="str">
        <f>IF(A3701="","",IF(A3701+1&gt;Ввод!$B$4,"",A3701+1))</f>
        <v/>
      </c>
      <c r="B3702" s="23" t="str">
        <f>IF(A3702="","",IFERROR(INDEX(Ввод!$B$12:$B$71,MATCH(A3702,Ввод!$D$12:$D$71,1)),""))</f>
        <v/>
      </c>
      <c r="C3702" t="str">
        <f t="shared" si="114"/>
        <v/>
      </c>
      <c r="D3702" t="str">
        <f>IF(A3702="","",SUMIFS(Акты!$D$5:$D$16,Акты!$E$5:$E$16,"&lt;="&amp;A3702)-SUMIFS(Оплаты!$B$6:$B$505,Оплаты!$A$6:$A$505,"&lt;"&amp;A3702,Оплаты!$D$6:$D$505,"&lt;&gt;"))</f>
        <v/>
      </c>
      <c r="E3702" t="str">
        <f>IF(A3702="","",IF(SUMPRODUCT((Ввод!$F$12:$F$31&lt;&gt;"")*(Ввод!$F$12:$F$31&lt;=A3702)*(Ввод!$G$12:$G$31&gt;=A3702))&gt;0,1,0))</f>
        <v/>
      </c>
      <c r="G3702" t="str">
        <f t="shared" si="115"/>
        <v/>
      </c>
    </row>
    <row r="3703" spans="1:7" x14ac:dyDescent="0.3">
      <c r="A3703" s="21" t="str">
        <f>IF(A3702="","",IF(A3702+1&gt;Ввод!$B$4,"",A3702+1))</f>
        <v/>
      </c>
      <c r="B3703" s="23" t="str">
        <f>IF(A3703="","",IFERROR(INDEX(Ввод!$B$12:$B$71,MATCH(A3703,Ввод!$D$12:$D$71,1)),""))</f>
        <v/>
      </c>
      <c r="C3703" t="str">
        <f t="shared" si="114"/>
        <v/>
      </c>
      <c r="D3703" t="str">
        <f>IF(A3703="","",SUMIFS(Акты!$D$5:$D$16,Акты!$E$5:$E$16,"&lt;="&amp;A3703)-SUMIFS(Оплаты!$B$6:$B$505,Оплаты!$A$6:$A$505,"&lt;"&amp;A3703,Оплаты!$D$6:$D$505,"&lt;&gt;"))</f>
        <v/>
      </c>
      <c r="E3703" t="str">
        <f>IF(A3703="","",IF(SUMPRODUCT((Ввод!$F$12:$F$31&lt;&gt;"")*(Ввод!$F$12:$F$31&lt;=A3703)*(Ввод!$G$12:$G$31&gt;=A3703))&gt;0,1,0))</f>
        <v/>
      </c>
      <c r="G3703" t="str">
        <f t="shared" si="115"/>
        <v/>
      </c>
    </row>
    <row r="3704" spans="1:7" x14ac:dyDescent="0.3">
      <c r="A3704" s="21" t="str">
        <f>IF(A3703="","",IF(A3703+1&gt;Ввод!$B$4,"",A3703+1))</f>
        <v/>
      </c>
      <c r="B3704" s="23" t="str">
        <f>IF(A3704="","",IFERROR(INDEX(Ввод!$B$12:$B$71,MATCH(A3704,Ввод!$D$12:$D$71,1)),""))</f>
        <v/>
      </c>
      <c r="C3704" t="str">
        <f t="shared" si="114"/>
        <v/>
      </c>
      <c r="D3704" t="str">
        <f>IF(A3704="","",SUMIFS(Акты!$D$5:$D$16,Акты!$E$5:$E$16,"&lt;="&amp;A3704)-SUMIFS(Оплаты!$B$6:$B$505,Оплаты!$A$6:$A$505,"&lt;"&amp;A3704,Оплаты!$D$6:$D$505,"&lt;&gt;"))</f>
        <v/>
      </c>
      <c r="E3704" t="str">
        <f>IF(A3704="","",IF(SUMPRODUCT((Ввод!$F$12:$F$31&lt;&gt;"")*(Ввод!$F$12:$F$31&lt;=A3704)*(Ввод!$G$12:$G$31&gt;=A3704))&gt;0,1,0))</f>
        <v/>
      </c>
      <c r="G3704" t="str">
        <f t="shared" si="115"/>
        <v/>
      </c>
    </row>
    <row r="3705" spans="1:7" x14ac:dyDescent="0.3">
      <c r="A3705" s="21" t="str">
        <f>IF(A3704="","",IF(A3704+1&gt;Ввод!$B$4,"",A3704+1))</f>
        <v/>
      </c>
      <c r="B3705" s="23" t="str">
        <f>IF(A3705="","",IFERROR(INDEX(Ввод!$B$12:$B$71,MATCH(A3705,Ввод!$D$12:$D$71,1)),""))</f>
        <v/>
      </c>
      <c r="C3705" t="str">
        <f t="shared" si="114"/>
        <v/>
      </c>
      <c r="D3705" t="str">
        <f>IF(A3705="","",SUMIFS(Акты!$D$5:$D$16,Акты!$E$5:$E$16,"&lt;="&amp;A3705)-SUMIFS(Оплаты!$B$6:$B$505,Оплаты!$A$6:$A$505,"&lt;"&amp;A3705,Оплаты!$D$6:$D$505,"&lt;&gt;"))</f>
        <v/>
      </c>
      <c r="E3705" t="str">
        <f>IF(A3705="","",IF(SUMPRODUCT((Ввод!$F$12:$F$31&lt;&gt;"")*(Ввод!$F$12:$F$31&lt;=A3705)*(Ввод!$G$12:$G$31&gt;=A3705))&gt;0,1,0))</f>
        <v/>
      </c>
      <c r="G3705" t="str">
        <f t="shared" si="115"/>
        <v/>
      </c>
    </row>
    <row r="3706" spans="1:7" x14ac:dyDescent="0.3">
      <c r="A3706" s="21" t="str">
        <f>IF(A3705="","",IF(A3705+1&gt;Ввод!$B$4,"",A3705+1))</f>
        <v/>
      </c>
      <c r="B3706" s="23" t="str">
        <f>IF(A3706="","",IFERROR(INDEX(Ввод!$B$12:$B$71,MATCH(A3706,Ввод!$D$12:$D$71,1)),""))</f>
        <v/>
      </c>
      <c r="C3706" t="str">
        <f t="shared" si="114"/>
        <v/>
      </c>
      <c r="D3706" t="str">
        <f>IF(A3706="","",SUMIFS(Акты!$D$5:$D$16,Акты!$E$5:$E$16,"&lt;="&amp;A3706)-SUMIFS(Оплаты!$B$6:$B$505,Оплаты!$A$6:$A$505,"&lt;"&amp;A3706,Оплаты!$D$6:$D$505,"&lt;&gt;"))</f>
        <v/>
      </c>
      <c r="E3706" t="str">
        <f>IF(A3706="","",IF(SUMPRODUCT((Ввод!$F$12:$F$31&lt;&gt;"")*(Ввод!$F$12:$F$31&lt;=A3706)*(Ввод!$G$12:$G$31&gt;=A3706))&gt;0,1,0))</f>
        <v/>
      </c>
      <c r="G3706" t="str">
        <f t="shared" si="115"/>
        <v/>
      </c>
    </row>
    <row r="3707" spans="1:7" x14ac:dyDescent="0.3">
      <c r="A3707" s="21" t="str">
        <f>IF(A3706="","",IF(A3706+1&gt;Ввод!$B$4,"",A3706+1))</f>
        <v/>
      </c>
      <c r="B3707" s="23" t="str">
        <f>IF(A3707="","",IFERROR(INDEX(Ввод!$B$12:$B$71,MATCH(A3707,Ввод!$D$12:$D$71,1)),""))</f>
        <v/>
      </c>
      <c r="C3707" t="str">
        <f t="shared" si="114"/>
        <v/>
      </c>
      <c r="D3707" t="str">
        <f>IF(A3707="","",SUMIFS(Акты!$D$5:$D$16,Акты!$E$5:$E$16,"&lt;="&amp;A3707)-SUMIFS(Оплаты!$B$6:$B$505,Оплаты!$A$6:$A$505,"&lt;"&amp;A3707,Оплаты!$D$6:$D$505,"&lt;&gt;"))</f>
        <v/>
      </c>
      <c r="E3707" t="str">
        <f>IF(A3707="","",IF(SUMPRODUCT((Ввод!$F$12:$F$31&lt;&gt;"")*(Ввод!$F$12:$F$31&lt;=A3707)*(Ввод!$G$12:$G$31&gt;=A3707))&gt;0,1,0))</f>
        <v/>
      </c>
      <c r="G3707" t="str">
        <f t="shared" si="115"/>
        <v/>
      </c>
    </row>
    <row r="3708" spans="1:7" x14ac:dyDescent="0.3">
      <c r="A3708" s="21" t="str">
        <f>IF(A3707="","",IF(A3707+1&gt;Ввод!$B$4,"",A3707+1))</f>
        <v/>
      </c>
      <c r="B3708" s="23" t="str">
        <f>IF(A3708="","",IFERROR(INDEX(Ввод!$B$12:$B$71,MATCH(A3708,Ввод!$D$12:$D$71,1)),""))</f>
        <v/>
      </c>
      <c r="C3708" t="str">
        <f t="shared" si="114"/>
        <v/>
      </c>
      <c r="D3708" t="str">
        <f>IF(A3708="","",SUMIFS(Акты!$D$5:$D$16,Акты!$E$5:$E$16,"&lt;="&amp;A3708)-SUMIFS(Оплаты!$B$6:$B$505,Оплаты!$A$6:$A$505,"&lt;"&amp;A3708,Оплаты!$D$6:$D$505,"&lt;&gt;"))</f>
        <v/>
      </c>
      <c r="E3708" t="str">
        <f>IF(A3708="","",IF(SUMPRODUCT((Ввод!$F$12:$F$31&lt;&gt;"")*(Ввод!$F$12:$F$31&lt;=A3708)*(Ввод!$G$12:$G$31&gt;=A3708))&gt;0,1,0))</f>
        <v/>
      </c>
      <c r="G3708" t="str">
        <f t="shared" si="115"/>
        <v/>
      </c>
    </row>
    <row r="3709" spans="1:7" x14ac:dyDescent="0.3">
      <c r="A3709" s="21" t="str">
        <f>IF(A3708="","",IF(A3708+1&gt;Ввод!$B$4,"",A3708+1))</f>
        <v/>
      </c>
      <c r="B3709" s="23" t="str">
        <f>IF(A3709="","",IFERROR(INDEX(Ввод!$B$12:$B$71,MATCH(A3709,Ввод!$D$12:$D$71,1)),""))</f>
        <v/>
      </c>
      <c r="C3709" t="str">
        <f t="shared" si="114"/>
        <v/>
      </c>
      <c r="D3709" t="str">
        <f>IF(A3709="","",SUMIFS(Акты!$D$5:$D$16,Акты!$E$5:$E$16,"&lt;="&amp;A3709)-SUMIFS(Оплаты!$B$6:$B$505,Оплаты!$A$6:$A$505,"&lt;"&amp;A3709,Оплаты!$D$6:$D$505,"&lt;&gt;"))</f>
        <v/>
      </c>
      <c r="E3709" t="str">
        <f>IF(A3709="","",IF(SUMPRODUCT((Ввод!$F$12:$F$31&lt;&gt;"")*(Ввод!$F$12:$F$31&lt;=A3709)*(Ввод!$G$12:$G$31&gt;=A3709))&gt;0,1,0))</f>
        <v/>
      </c>
      <c r="G3709" t="str">
        <f t="shared" si="115"/>
        <v/>
      </c>
    </row>
    <row r="3710" spans="1:7" x14ac:dyDescent="0.3">
      <c r="A3710" s="21" t="str">
        <f>IF(A3709="","",IF(A3709+1&gt;Ввод!$B$4,"",A3709+1))</f>
        <v/>
      </c>
      <c r="B3710" s="23" t="str">
        <f>IF(A3710="","",IFERROR(INDEX(Ввод!$B$12:$B$71,MATCH(A3710,Ввод!$D$12:$D$71,1)),""))</f>
        <v/>
      </c>
      <c r="C3710" t="str">
        <f t="shared" si="114"/>
        <v/>
      </c>
      <c r="D3710" t="str">
        <f>IF(A3710="","",SUMIFS(Акты!$D$5:$D$16,Акты!$E$5:$E$16,"&lt;="&amp;A3710)-SUMIFS(Оплаты!$B$6:$B$505,Оплаты!$A$6:$A$505,"&lt;"&amp;A3710,Оплаты!$D$6:$D$505,"&lt;&gt;"))</f>
        <v/>
      </c>
      <c r="E3710" t="str">
        <f>IF(A3710="","",IF(SUMPRODUCT((Ввод!$F$12:$F$31&lt;&gt;"")*(Ввод!$F$12:$F$31&lt;=A3710)*(Ввод!$G$12:$G$31&gt;=A3710))&gt;0,1,0))</f>
        <v/>
      </c>
      <c r="G3710" t="str">
        <f t="shared" si="115"/>
        <v/>
      </c>
    </row>
    <row r="3711" spans="1:7" x14ac:dyDescent="0.3">
      <c r="A3711" s="21" t="str">
        <f>IF(A3710="","",IF(A3710+1&gt;Ввод!$B$4,"",A3710+1))</f>
        <v/>
      </c>
      <c r="B3711" s="23" t="str">
        <f>IF(A3711="","",IFERROR(INDEX(Ввод!$B$12:$B$71,MATCH(A3711,Ввод!$D$12:$D$71,1)),""))</f>
        <v/>
      </c>
      <c r="C3711" t="str">
        <f t="shared" si="114"/>
        <v/>
      </c>
      <c r="D3711" t="str">
        <f>IF(A3711="","",SUMIFS(Акты!$D$5:$D$16,Акты!$E$5:$E$16,"&lt;="&amp;A3711)-SUMIFS(Оплаты!$B$6:$B$505,Оплаты!$A$6:$A$505,"&lt;"&amp;A3711,Оплаты!$D$6:$D$505,"&lt;&gt;"))</f>
        <v/>
      </c>
      <c r="E3711" t="str">
        <f>IF(A3711="","",IF(SUMPRODUCT((Ввод!$F$12:$F$31&lt;&gt;"")*(Ввод!$F$12:$F$31&lt;=A3711)*(Ввод!$G$12:$G$31&gt;=A3711))&gt;0,1,0))</f>
        <v/>
      </c>
      <c r="G3711" t="str">
        <f t="shared" si="115"/>
        <v/>
      </c>
    </row>
    <row r="3712" spans="1:7" x14ac:dyDescent="0.3">
      <c r="A3712" s="21" t="str">
        <f>IF(A3711="","",IF(A3711+1&gt;Ввод!$B$4,"",A3711+1))</f>
        <v/>
      </c>
      <c r="B3712" s="23" t="str">
        <f>IF(A3712="","",IFERROR(INDEX(Ввод!$B$12:$B$71,MATCH(A3712,Ввод!$D$12:$D$71,1)),""))</f>
        <v/>
      </c>
      <c r="C3712" t="str">
        <f t="shared" si="114"/>
        <v/>
      </c>
      <c r="D3712" t="str">
        <f>IF(A3712="","",SUMIFS(Акты!$D$5:$D$16,Акты!$E$5:$E$16,"&lt;="&amp;A3712)-SUMIFS(Оплаты!$B$6:$B$505,Оплаты!$A$6:$A$505,"&lt;"&amp;A3712,Оплаты!$D$6:$D$505,"&lt;&gt;"))</f>
        <v/>
      </c>
      <c r="E3712" t="str">
        <f>IF(A3712="","",IF(SUMPRODUCT((Ввод!$F$12:$F$31&lt;&gt;"")*(Ввод!$F$12:$F$31&lt;=A3712)*(Ввод!$G$12:$G$31&gt;=A3712))&gt;0,1,0))</f>
        <v/>
      </c>
      <c r="G3712" t="str">
        <f t="shared" si="115"/>
        <v/>
      </c>
    </row>
    <row r="3713" spans="1:7" x14ac:dyDescent="0.3">
      <c r="A3713" s="21" t="str">
        <f>IF(A3712="","",IF(A3712+1&gt;Ввод!$B$4,"",A3712+1))</f>
        <v/>
      </c>
      <c r="B3713" s="23" t="str">
        <f>IF(A3713="","",IFERROR(INDEX(Ввод!$B$12:$B$71,MATCH(A3713,Ввод!$D$12:$D$71,1)),""))</f>
        <v/>
      </c>
      <c r="C3713" t="str">
        <f t="shared" si="114"/>
        <v/>
      </c>
      <c r="D3713" t="str">
        <f>IF(A3713="","",SUMIFS(Акты!$D$5:$D$16,Акты!$E$5:$E$16,"&lt;="&amp;A3713)-SUMIFS(Оплаты!$B$6:$B$505,Оплаты!$A$6:$A$505,"&lt;"&amp;A3713,Оплаты!$D$6:$D$505,"&lt;&gt;"))</f>
        <v/>
      </c>
      <c r="E3713" t="str">
        <f>IF(A3713="","",IF(SUMPRODUCT((Ввод!$F$12:$F$31&lt;&gt;"")*(Ввод!$F$12:$F$31&lt;=A3713)*(Ввод!$G$12:$G$31&gt;=A3713))&gt;0,1,0))</f>
        <v/>
      </c>
      <c r="G3713" t="str">
        <f t="shared" si="115"/>
        <v/>
      </c>
    </row>
    <row r="3714" spans="1:7" x14ac:dyDescent="0.3">
      <c r="A3714" s="21" t="str">
        <f>IF(A3713="","",IF(A3713+1&gt;Ввод!$B$4,"",A3713+1))</f>
        <v/>
      </c>
      <c r="B3714" s="23" t="str">
        <f>IF(A3714="","",IFERROR(INDEX(Ввод!$B$12:$B$71,MATCH(A3714,Ввод!$D$12:$D$71,1)),""))</f>
        <v/>
      </c>
      <c r="C3714" t="str">
        <f t="shared" ref="C3714:C3777" si="116">IF(A3714="","",DATE(YEAR(A3714),12,31)-DATE(YEAR(A3714),1,1)+1)</f>
        <v/>
      </c>
      <c r="D3714" t="str">
        <f>IF(A3714="","",SUMIFS(Акты!$D$5:$D$16,Акты!$E$5:$E$16,"&lt;="&amp;A3714)-SUMIFS(Оплаты!$B$6:$B$505,Оплаты!$A$6:$A$505,"&lt;"&amp;A3714,Оплаты!$D$6:$D$505,"&lt;&gt;"))</f>
        <v/>
      </c>
      <c r="E3714" t="str">
        <f>IF(A3714="","",IF(SUMPRODUCT((Ввод!$F$12:$F$31&lt;&gt;"")*(Ввод!$F$12:$F$31&lt;=A3714)*(Ввод!$G$12:$G$31&gt;=A3714))&gt;0,1,0))</f>
        <v/>
      </c>
      <c r="G3714" t="str">
        <f t="shared" si="115"/>
        <v/>
      </c>
    </row>
    <row r="3715" spans="1:7" x14ac:dyDescent="0.3">
      <c r="A3715" s="21" t="str">
        <f>IF(A3714="","",IF(A3714+1&gt;Ввод!$B$4,"",A3714+1))</f>
        <v/>
      </c>
      <c r="B3715" s="23" t="str">
        <f>IF(A3715="","",IFERROR(INDEX(Ввод!$B$12:$B$71,MATCH(A3715,Ввод!$D$12:$D$71,1)),""))</f>
        <v/>
      </c>
      <c r="C3715" t="str">
        <f t="shared" si="116"/>
        <v/>
      </c>
      <c r="D3715" t="str">
        <f>IF(A3715="","",SUMIFS(Акты!$D$5:$D$16,Акты!$E$5:$E$16,"&lt;="&amp;A3715)-SUMIFS(Оплаты!$B$6:$B$505,Оплаты!$A$6:$A$505,"&lt;"&amp;A3715,Оплаты!$D$6:$D$505,"&lt;&gt;"))</f>
        <v/>
      </c>
      <c r="E3715" t="str">
        <f>IF(A3715="","",IF(SUMPRODUCT((Ввод!$F$12:$F$31&lt;&gt;"")*(Ввод!$F$12:$F$31&lt;=A3715)*(Ввод!$G$12:$G$31&gt;=A3715))&gt;0,1,0))</f>
        <v/>
      </c>
      <c r="G3715" t="str">
        <f t="shared" ref="G3715:G3778" si="117">IF(A3715="","",IF(OR(B3715&lt;&gt;B3714,C3715&lt;&gt;C3714,E3715&lt;&gt;E3714),G3714+1,G3714))</f>
        <v/>
      </c>
    </row>
    <row r="3716" spans="1:7" x14ac:dyDescent="0.3">
      <c r="A3716" s="21" t="str">
        <f>IF(A3715="","",IF(A3715+1&gt;Ввод!$B$4,"",A3715+1))</f>
        <v/>
      </c>
      <c r="B3716" s="23" t="str">
        <f>IF(A3716="","",IFERROR(INDEX(Ввод!$B$12:$B$71,MATCH(A3716,Ввод!$D$12:$D$71,1)),""))</f>
        <v/>
      </c>
      <c r="C3716" t="str">
        <f t="shared" si="116"/>
        <v/>
      </c>
      <c r="D3716" t="str">
        <f>IF(A3716="","",SUMIFS(Акты!$D$5:$D$16,Акты!$E$5:$E$16,"&lt;="&amp;A3716)-SUMIFS(Оплаты!$B$6:$B$505,Оплаты!$A$6:$A$505,"&lt;"&amp;A3716,Оплаты!$D$6:$D$505,"&lt;&gt;"))</f>
        <v/>
      </c>
      <c r="E3716" t="str">
        <f>IF(A3716="","",IF(SUMPRODUCT((Ввод!$F$12:$F$31&lt;&gt;"")*(Ввод!$F$12:$F$31&lt;=A3716)*(Ввод!$G$12:$G$31&gt;=A3716))&gt;0,1,0))</f>
        <v/>
      </c>
      <c r="G3716" t="str">
        <f t="shared" si="117"/>
        <v/>
      </c>
    </row>
    <row r="3717" spans="1:7" x14ac:dyDescent="0.3">
      <c r="A3717" s="21" t="str">
        <f>IF(A3716="","",IF(A3716+1&gt;Ввод!$B$4,"",A3716+1))</f>
        <v/>
      </c>
      <c r="B3717" s="23" t="str">
        <f>IF(A3717="","",IFERROR(INDEX(Ввод!$B$12:$B$71,MATCH(A3717,Ввод!$D$12:$D$71,1)),""))</f>
        <v/>
      </c>
      <c r="C3717" t="str">
        <f t="shared" si="116"/>
        <v/>
      </c>
      <c r="D3717" t="str">
        <f>IF(A3717="","",SUMIFS(Акты!$D$5:$D$16,Акты!$E$5:$E$16,"&lt;="&amp;A3717)-SUMIFS(Оплаты!$B$6:$B$505,Оплаты!$A$6:$A$505,"&lt;"&amp;A3717,Оплаты!$D$6:$D$505,"&lt;&gt;"))</f>
        <v/>
      </c>
      <c r="E3717" t="str">
        <f>IF(A3717="","",IF(SUMPRODUCT((Ввод!$F$12:$F$31&lt;&gt;"")*(Ввод!$F$12:$F$31&lt;=A3717)*(Ввод!$G$12:$G$31&gt;=A3717))&gt;0,1,0))</f>
        <v/>
      </c>
      <c r="G3717" t="str">
        <f t="shared" si="117"/>
        <v/>
      </c>
    </row>
    <row r="3718" spans="1:7" x14ac:dyDescent="0.3">
      <c r="A3718" s="21" t="str">
        <f>IF(A3717="","",IF(A3717+1&gt;Ввод!$B$4,"",A3717+1))</f>
        <v/>
      </c>
      <c r="B3718" s="23" t="str">
        <f>IF(A3718="","",IFERROR(INDEX(Ввод!$B$12:$B$71,MATCH(A3718,Ввод!$D$12:$D$71,1)),""))</f>
        <v/>
      </c>
      <c r="C3718" t="str">
        <f t="shared" si="116"/>
        <v/>
      </c>
      <c r="D3718" t="str">
        <f>IF(A3718="","",SUMIFS(Акты!$D$5:$D$16,Акты!$E$5:$E$16,"&lt;="&amp;A3718)-SUMIFS(Оплаты!$B$6:$B$505,Оплаты!$A$6:$A$505,"&lt;"&amp;A3718,Оплаты!$D$6:$D$505,"&lt;&gt;"))</f>
        <v/>
      </c>
      <c r="E3718" t="str">
        <f>IF(A3718="","",IF(SUMPRODUCT((Ввод!$F$12:$F$31&lt;&gt;"")*(Ввод!$F$12:$F$31&lt;=A3718)*(Ввод!$G$12:$G$31&gt;=A3718))&gt;0,1,0))</f>
        <v/>
      </c>
      <c r="G3718" t="str">
        <f t="shared" si="117"/>
        <v/>
      </c>
    </row>
    <row r="3719" spans="1:7" x14ac:dyDescent="0.3">
      <c r="A3719" s="21" t="str">
        <f>IF(A3718="","",IF(A3718+1&gt;Ввод!$B$4,"",A3718+1))</f>
        <v/>
      </c>
      <c r="B3719" s="23" t="str">
        <f>IF(A3719="","",IFERROR(INDEX(Ввод!$B$12:$B$71,MATCH(A3719,Ввод!$D$12:$D$71,1)),""))</f>
        <v/>
      </c>
      <c r="C3719" t="str">
        <f t="shared" si="116"/>
        <v/>
      </c>
      <c r="D3719" t="str">
        <f>IF(A3719="","",SUMIFS(Акты!$D$5:$D$16,Акты!$E$5:$E$16,"&lt;="&amp;A3719)-SUMIFS(Оплаты!$B$6:$B$505,Оплаты!$A$6:$A$505,"&lt;"&amp;A3719,Оплаты!$D$6:$D$505,"&lt;&gt;"))</f>
        <v/>
      </c>
      <c r="E3719" t="str">
        <f>IF(A3719="","",IF(SUMPRODUCT((Ввод!$F$12:$F$31&lt;&gt;"")*(Ввод!$F$12:$F$31&lt;=A3719)*(Ввод!$G$12:$G$31&gt;=A3719))&gt;0,1,0))</f>
        <v/>
      </c>
      <c r="G3719" t="str">
        <f t="shared" si="117"/>
        <v/>
      </c>
    </row>
    <row r="3720" spans="1:7" x14ac:dyDescent="0.3">
      <c r="A3720" s="21" t="str">
        <f>IF(A3719="","",IF(A3719+1&gt;Ввод!$B$4,"",A3719+1))</f>
        <v/>
      </c>
      <c r="B3720" s="23" t="str">
        <f>IF(A3720="","",IFERROR(INDEX(Ввод!$B$12:$B$71,MATCH(A3720,Ввод!$D$12:$D$71,1)),""))</f>
        <v/>
      </c>
      <c r="C3720" t="str">
        <f t="shared" si="116"/>
        <v/>
      </c>
      <c r="D3720" t="str">
        <f>IF(A3720="","",SUMIFS(Акты!$D$5:$D$16,Акты!$E$5:$E$16,"&lt;="&amp;A3720)-SUMIFS(Оплаты!$B$6:$B$505,Оплаты!$A$6:$A$505,"&lt;"&amp;A3720,Оплаты!$D$6:$D$505,"&lt;&gt;"))</f>
        <v/>
      </c>
      <c r="E3720" t="str">
        <f>IF(A3720="","",IF(SUMPRODUCT((Ввод!$F$12:$F$31&lt;&gt;"")*(Ввод!$F$12:$F$31&lt;=A3720)*(Ввод!$G$12:$G$31&gt;=A3720))&gt;0,1,0))</f>
        <v/>
      </c>
      <c r="G3720" t="str">
        <f t="shared" si="117"/>
        <v/>
      </c>
    </row>
    <row r="3721" spans="1:7" x14ac:dyDescent="0.3">
      <c r="A3721" s="21" t="str">
        <f>IF(A3720="","",IF(A3720+1&gt;Ввод!$B$4,"",A3720+1))</f>
        <v/>
      </c>
      <c r="B3721" s="23" t="str">
        <f>IF(A3721="","",IFERROR(INDEX(Ввод!$B$12:$B$71,MATCH(A3721,Ввод!$D$12:$D$71,1)),""))</f>
        <v/>
      </c>
      <c r="C3721" t="str">
        <f t="shared" si="116"/>
        <v/>
      </c>
      <c r="D3721" t="str">
        <f>IF(A3721="","",SUMIFS(Акты!$D$5:$D$16,Акты!$E$5:$E$16,"&lt;="&amp;A3721)-SUMIFS(Оплаты!$B$6:$B$505,Оплаты!$A$6:$A$505,"&lt;"&amp;A3721,Оплаты!$D$6:$D$505,"&lt;&gt;"))</f>
        <v/>
      </c>
      <c r="E3721" t="str">
        <f>IF(A3721="","",IF(SUMPRODUCT((Ввод!$F$12:$F$31&lt;&gt;"")*(Ввод!$F$12:$F$31&lt;=A3721)*(Ввод!$G$12:$G$31&gt;=A3721))&gt;0,1,0))</f>
        <v/>
      </c>
      <c r="G3721" t="str">
        <f t="shared" si="117"/>
        <v/>
      </c>
    </row>
    <row r="3722" spans="1:7" x14ac:dyDescent="0.3">
      <c r="A3722" s="21" t="str">
        <f>IF(A3721="","",IF(A3721+1&gt;Ввод!$B$4,"",A3721+1))</f>
        <v/>
      </c>
      <c r="B3722" s="23" t="str">
        <f>IF(A3722="","",IFERROR(INDEX(Ввод!$B$12:$B$71,MATCH(A3722,Ввод!$D$12:$D$71,1)),""))</f>
        <v/>
      </c>
      <c r="C3722" t="str">
        <f t="shared" si="116"/>
        <v/>
      </c>
      <c r="D3722" t="str">
        <f>IF(A3722="","",SUMIFS(Акты!$D$5:$D$16,Акты!$E$5:$E$16,"&lt;="&amp;A3722)-SUMIFS(Оплаты!$B$6:$B$505,Оплаты!$A$6:$A$505,"&lt;"&amp;A3722,Оплаты!$D$6:$D$505,"&lt;&gt;"))</f>
        <v/>
      </c>
      <c r="E3722" t="str">
        <f>IF(A3722="","",IF(SUMPRODUCT((Ввод!$F$12:$F$31&lt;&gt;"")*(Ввод!$F$12:$F$31&lt;=A3722)*(Ввод!$G$12:$G$31&gt;=A3722))&gt;0,1,0))</f>
        <v/>
      </c>
      <c r="G3722" t="str">
        <f t="shared" si="117"/>
        <v/>
      </c>
    </row>
    <row r="3723" spans="1:7" x14ac:dyDescent="0.3">
      <c r="A3723" s="21" t="str">
        <f>IF(A3722="","",IF(A3722+1&gt;Ввод!$B$4,"",A3722+1))</f>
        <v/>
      </c>
      <c r="B3723" s="23" t="str">
        <f>IF(A3723="","",IFERROR(INDEX(Ввод!$B$12:$B$71,MATCH(A3723,Ввод!$D$12:$D$71,1)),""))</f>
        <v/>
      </c>
      <c r="C3723" t="str">
        <f t="shared" si="116"/>
        <v/>
      </c>
      <c r="D3723" t="str">
        <f>IF(A3723="","",SUMIFS(Акты!$D$5:$D$16,Акты!$E$5:$E$16,"&lt;="&amp;A3723)-SUMIFS(Оплаты!$B$6:$B$505,Оплаты!$A$6:$A$505,"&lt;"&amp;A3723,Оплаты!$D$6:$D$505,"&lt;&gt;"))</f>
        <v/>
      </c>
      <c r="E3723" t="str">
        <f>IF(A3723="","",IF(SUMPRODUCT((Ввод!$F$12:$F$31&lt;&gt;"")*(Ввод!$F$12:$F$31&lt;=A3723)*(Ввод!$G$12:$G$31&gt;=A3723))&gt;0,1,0))</f>
        <v/>
      </c>
      <c r="G3723" t="str">
        <f t="shared" si="117"/>
        <v/>
      </c>
    </row>
    <row r="3724" spans="1:7" x14ac:dyDescent="0.3">
      <c r="A3724" s="21" t="str">
        <f>IF(A3723="","",IF(A3723+1&gt;Ввод!$B$4,"",A3723+1))</f>
        <v/>
      </c>
      <c r="B3724" s="23" t="str">
        <f>IF(A3724="","",IFERROR(INDEX(Ввод!$B$12:$B$71,MATCH(A3724,Ввод!$D$12:$D$71,1)),""))</f>
        <v/>
      </c>
      <c r="C3724" t="str">
        <f t="shared" si="116"/>
        <v/>
      </c>
      <c r="D3724" t="str">
        <f>IF(A3724="","",SUMIFS(Акты!$D$5:$D$16,Акты!$E$5:$E$16,"&lt;="&amp;A3724)-SUMIFS(Оплаты!$B$6:$B$505,Оплаты!$A$6:$A$505,"&lt;"&amp;A3724,Оплаты!$D$6:$D$505,"&lt;&gt;"))</f>
        <v/>
      </c>
      <c r="E3724" t="str">
        <f>IF(A3724="","",IF(SUMPRODUCT((Ввод!$F$12:$F$31&lt;&gt;"")*(Ввод!$F$12:$F$31&lt;=A3724)*(Ввод!$G$12:$G$31&gt;=A3724))&gt;0,1,0))</f>
        <v/>
      </c>
      <c r="G3724" t="str">
        <f t="shared" si="117"/>
        <v/>
      </c>
    </row>
    <row r="3725" spans="1:7" x14ac:dyDescent="0.3">
      <c r="A3725" s="21" t="str">
        <f>IF(A3724="","",IF(A3724+1&gt;Ввод!$B$4,"",A3724+1))</f>
        <v/>
      </c>
      <c r="B3725" s="23" t="str">
        <f>IF(A3725="","",IFERROR(INDEX(Ввод!$B$12:$B$71,MATCH(A3725,Ввод!$D$12:$D$71,1)),""))</f>
        <v/>
      </c>
      <c r="C3725" t="str">
        <f t="shared" si="116"/>
        <v/>
      </c>
      <c r="D3725" t="str">
        <f>IF(A3725="","",SUMIFS(Акты!$D$5:$D$16,Акты!$E$5:$E$16,"&lt;="&amp;A3725)-SUMIFS(Оплаты!$B$6:$B$505,Оплаты!$A$6:$A$505,"&lt;"&amp;A3725,Оплаты!$D$6:$D$505,"&lt;&gt;"))</f>
        <v/>
      </c>
      <c r="E3725" t="str">
        <f>IF(A3725="","",IF(SUMPRODUCT((Ввод!$F$12:$F$31&lt;&gt;"")*(Ввод!$F$12:$F$31&lt;=A3725)*(Ввод!$G$12:$G$31&gt;=A3725))&gt;0,1,0))</f>
        <v/>
      </c>
      <c r="G3725" t="str">
        <f t="shared" si="117"/>
        <v/>
      </c>
    </row>
    <row r="3726" spans="1:7" x14ac:dyDescent="0.3">
      <c r="A3726" s="21" t="str">
        <f>IF(A3725="","",IF(A3725+1&gt;Ввод!$B$4,"",A3725+1))</f>
        <v/>
      </c>
      <c r="B3726" s="23" t="str">
        <f>IF(A3726="","",IFERROR(INDEX(Ввод!$B$12:$B$71,MATCH(A3726,Ввод!$D$12:$D$71,1)),""))</f>
        <v/>
      </c>
      <c r="C3726" t="str">
        <f t="shared" si="116"/>
        <v/>
      </c>
      <c r="D3726" t="str">
        <f>IF(A3726="","",SUMIFS(Акты!$D$5:$D$16,Акты!$E$5:$E$16,"&lt;="&amp;A3726)-SUMIFS(Оплаты!$B$6:$B$505,Оплаты!$A$6:$A$505,"&lt;"&amp;A3726,Оплаты!$D$6:$D$505,"&lt;&gt;"))</f>
        <v/>
      </c>
      <c r="E3726" t="str">
        <f>IF(A3726="","",IF(SUMPRODUCT((Ввод!$F$12:$F$31&lt;&gt;"")*(Ввод!$F$12:$F$31&lt;=A3726)*(Ввод!$G$12:$G$31&gt;=A3726))&gt;0,1,0))</f>
        <v/>
      </c>
      <c r="G3726" t="str">
        <f t="shared" si="117"/>
        <v/>
      </c>
    </row>
    <row r="3727" spans="1:7" x14ac:dyDescent="0.3">
      <c r="A3727" s="21" t="str">
        <f>IF(A3726="","",IF(A3726+1&gt;Ввод!$B$4,"",A3726+1))</f>
        <v/>
      </c>
      <c r="B3727" s="23" t="str">
        <f>IF(A3727="","",IFERROR(INDEX(Ввод!$B$12:$B$71,MATCH(A3727,Ввод!$D$12:$D$71,1)),""))</f>
        <v/>
      </c>
      <c r="C3727" t="str">
        <f t="shared" si="116"/>
        <v/>
      </c>
      <c r="D3727" t="str">
        <f>IF(A3727="","",SUMIFS(Акты!$D$5:$D$16,Акты!$E$5:$E$16,"&lt;="&amp;A3727)-SUMIFS(Оплаты!$B$6:$B$505,Оплаты!$A$6:$A$505,"&lt;"&amp;A3727,Оплаты!$D$6:$D$505,"&lt;&gt;"))</f>
        <v/>
      </c>
      <c r="E3727" t="str">
        <f>IF(A3727="","",IF(SUMPRODUCT((Ввод!$F$12:$F$31&lt;&gt;"")*(Ввод!$F$12:$F$31&lt;=A3727)*(Ввод!$G$12:$G$31&gt;=A3727))&gt;0,1,0))</f>
        <v/>
      </c>
      <c r="G3727" t="str">
        <f t="shared" si="117"/>
        <v/>
      </c>
    </row>
    <row r="3728" spans="1:7" x14ac:dyDescent="0.3">
      <c r="A3728" s="21" t="str">
        <f>IF(A3727="","",IF(A3727+1&gt;Ввод!$B$4,"",A3727+1))</f>
        <v/>
      </c>
      <c r="B3728" s="23" t="str">
        <f>IF(A3728="","",IFERROR(INDEX(Ввод!$B$12:$B$71,MATCH(A3728,Ввод!$D$12:$D$71,1)),""))</f>
        <v/>
      </c>
      <c r="C3728" t="str">
        <f t="shared" si="116"/>
        <v/>
      </c>
      <c r="D3728" t="str">
        <f>IF(A3728="","",SUMIFS(Акты!$D$5:$D$16,Акты!$E$5:$E$16,"&lt;="&amp;A3728)-SUMIFS(Оплаты!$B$6:$B$505,Оплаты!$A$6:$A$505,"&lt;"&amp;A3728,Оплаты!$D$6:$D$505,"&lt;&gt;"))</f>
        <v/>
      </c>
      <c r="E3728" t="str">
        <f>IF(A3728="","",IF(SUMPRODUCT((Ввод!$F$12:$F$31&lt;&gt;"")*(Ввод!$F$12:$F$31&lt;=A3728)*(Ввод!$G$12:$G$31&gt;=A3728))&gt;0,1,0))</f>
        <v/>
      </c>
      <c r="G3728" t="str">
        <f t="shared" si="117"/>
        <v/>
      </c>
    </row>
    <row r="3729" spans="1:7" x14ac:dyDescent="0.3">
      <c r="A3729" s="21" t="str">
        <f>IF(A3728="","",IF(A3728+1&gt;Ввод!$B$4,"",A3728+1))</f>
        <v/>
      </c>
      <c r="B3729" s="23" t="str">
        <f>IF(A3729="","",IFERROR(INDEX(Ввод!$B$12:$B$71,MATCH(A3729,Ввод!$D$12:$D$71,1)),""))</f>
        <v/>
      </c>
      <c r="C3729" t="str">
        <f t="shared" si="116"/>
        <v/>
      </c>
      <c r="D3729" t="str">
        <f>IF(A3729="","",SUMIFS(Акты!$D$5:$D$16,Акты!$E$5:$E$16,"&lt;="&amp;A3729)-SUMIFS(Оплаты!$B$6:$B$505,Оплаты!$A$6:$A$505,"&lt;"&amp;A3729,Оплаты!$D$6:$D$505,"&lt;&gt;"))</f>
        <v/>
      </c>
      <c r="E3729" t="str">
        <f>IF(A3729="","",IF(SUMPRODUCT((Ввод!$F$12:$F$31&lt;&gt;"")*(Ввод!$F$12:$F$31&lt;=A3729)*(Ввод!$G$12:$G$31&gt;=A3729))&gt;0,1,0))</f>
        <v/>
      </c>
      <c r="G3729" t="str">
        <f t="shared" si="117"/>
        <v/>
      </c>
    </row>
    <row r="3730" spans="1:7" x14ac:dyDescent="0.3">
      <c r="A3730" s="21" t="str">
        <f>IF(A3729="","",IF(A3729+1&gt;Ввод!$B$4,"",A3729+1))</f>
        <v/>
      </c>
      <c r="B3730" s="23" t="str">
        <f>IF(A3730="","",IFERROR(INDEX(Ввод!$B$12:$B$71,MATCH(A3730,Ввод!$D$12:$D$71,1)),""))</f>
        <v/>
      </c>
      <c r="C3730" t="str">
        <f t="shared" si="116"/>
        <v/>
      </c>
      <c r="D3730" t="str">
        <f>IF(A3730="","",SUMIFS(Акты!$D$5:$D$16,Акты!$E$5:$E$16,"&lt;="&amp;A3730)-SUMIFS(Оплаты!$B$6:$B$505,Оплаты!$A$6:$A$505,"&lt;"&amp;A3730,Оплаты!$D$6:$D$505,"&lt;&gt;"))</f>
        <v/>
      </c>
      <c r="E3730" t="str">
        <f>IF(A3730="","",IF(SUMPRODUCT((Ввод!$F$12:$F$31&lt;&gt;"")*(Ввод!$F$12:$F$31&lt;=A3730)*(Ввод!$G$12:$G$31&gt;=A3730))&gt;0,1,0))</f>
        <v/>
      </c>
      <c r="G3730" t="str">
        <f t="shared" si="117"/>
        <v/>
      </c>
    </row>
    <row r="3731" spans="1:7" x14ac:dyDescent="0.3">
      <c r="A3731" s="21" t="str">
        <f>IF(A3730="","",IF(A3730+1&gt;Ввод!$B$4,"",A3730+1))</f>
        <v/>
      </c>
      <c r="B3731" s="23" t="str">
        <f>IF(A3731="","",IFERROR(INDEX(Ввод!$B$12:$B$71,MATCH(A3731,Ввод!$D$12:$D$71,1)),""))</f>
        <v/>
      </c>
      <c r="C3731" t="str">
        <f t="shared" si="116"/>
        <v/>
      </c>
      <c r="D3731" t="str">
        <f>IF(A3731="","",SUMIFS(Акты!$D$5:$D$16,Акты!$E$5:$E$16,"&lt;="&amp;A3731)-SUMIFS(Оплаты!$B$6:$B$505,Оплаты!$A$6:$A$505,"&lt;"&amp;A3731,Оплаты!$D$6:$D$505,"&lt;&gt;"))</f>
        <v/>
      </c>
      <c r="E3731" t="str">
        <f>IF(A3731="","",IF(SUMPRODUCT((Ввод!$F$12:$F$31&lt;&gt;"")*(Ввод!$F$12:$F$31&lt;=A3731)*(Ввод!$G$12:$G$31&gt;=A3731))&gt;0,1,0))</f>
        <v/>
      </c>
      <c r="G3731" t="str">
        <f t="shared" si="117"/>
        <v/>
      </c>
    </row>
    <row r="3732" spans="1:7" x14ac:dyDescent="0.3">
      <c r="A3732" s="21" t="str">
        <f>IF(A3731="","",IF(A3731+1&gt;Ввод!$B$4,"",A3731+1))</f>
        <v/>
      </c>
      <c r="B3732" s="23" t="str">
        <f>IF(A3732="","",IFERROR(INDEX(Ввод!$B$12:$B$71,MATCH(A3732,Ввод!$D$12:$D$71,1)),""))</f>
        <v/>
      </c>
      <c r="C3732" t="str">
        <f t="shared" si="116"/>
        <v/>
      </c>
      <c r="D3732" t="str">
        <f>IF(A3732="","",SUMIFS(Акты!$D$5:$D$16,Акты!$E$5:$E$16,"&lt;="&amp;A3732)-SUMIFS(Оплаты!$B$6:$B$505,Оплаты!$A$6:$A$505,"&lt;"&amp;A3732,Оплаты!$D$6:$D$505,"&lt;&gt;"))</f>
        <v/>
      </c>
      <c r="E3732" t="str">
        <f>IF(A3732="","",IF(SUMPRODUCT((Ввод!$F$12:$F$31&lt;&gt;"")*(Ввод!$F$12:$F$31&lt;=A3732)*(Ввод!$G$12:$G$31&gt;=A3732))&gt;0,1,0))</f>
        <v/>
      </c>
      <c r="G3732" t="str">
        <f t="shared" si="117"/>
        <v/>
      </c>
    </row>
    <row r="3733" spans="1:7" x14ac:dyDescent="0.3">
      <c r="A3733" s="21" t="str">
        <f>IF(A3732="","",IF(A3732+1&gt;Ввод!$B$4,"",A3732+1))</f>
        <v/>
      </c>
      <c r="B3733" s="23" t="str">
        <f>IF(A3733="","",IFERROR(INDEX(Ввод!$B$12:$B$71,MATCH(A3733,Ввод!$D$12:$D$71,1)),""))</f>
        <v/>
      </c>
      <c r="C3733" t="str">
        <f t="shared" si="116"/>
        <v/>
      </c>
      <c r="D3733" t="str">
        <f>IF(A3733="","",SUMIFS(Акты!$D$5:$D$16,Акты!$E$5:$E$16,"&lt;="&amp;A3733)-SUMIFS(Оплаты!$B$6:$B$505,Оплаты!$A$6:$A$505,"&lt;"&amp;A3733,Оплаты!$D$6:$D$505,"&lt;&gt;"))</f>
        <v/>
      </c>
      <c r="E3733" t="str">
        <f>IF(A3733="","",IF(SUMPRODUCT((Ввод!$F$12:$F$31&lt;&gt;"")*(Ввод!$F$12:$F$31&lt;=A3733)*(Ввод!$G$12:$G$31&gt;=A3733))&gt;0,1,0))</f>
        <v/>
      </c>
      <c r="G3733" t="str">
        <f t="shared" si="117"/>
        <v/>
      </c>
    </row>
    <row r="3734" spans="1:7" x14ac:dyDescent="0.3">
      <c r="A3734" s="21" t="str">
        <f>IF(A3733="","",IF(A3733+1&gt;Ввод!$B$4,"",A3733+1))</f>
        <v/>
      </c>
      <c r="B3734" s="23" t="str">
        <f>IF(A3734="","",IFERROR(INDEX(Ввод!$B$12:$B$71,MATCH(A3734,Ввод!$D$12:$D$71,1)),""))</f>
        <v/>
      </c>
      <c r="C3734" t="str">
        <f t="shared" si="116"/>
        <v/>
      </c>
      <c r="D3734" t="str">
        <f>IF(A3734="","",SUMIFS(Акты!$D$5:$D$16,Акты!$E$5:$E$16,"&lt;="&amp;A3734)-SUMIFS(Оплаты!$B$6:$B$505,Оплаты!$A$6:$A$505,"&lt;"&amp;A3734,Оплаты!$D$6:$D$505,"&lt;&gt;"))</f>
        <v/>
      </c>
      <c r="E3734" t="str">
        <f>IF(A3734="","",IF(SUMPRODUCT((Ввод!$F$12:$F$31&lt;&gt;"")*(Ввод!$F$12:$F$31&lt;=A3734)*(Ввод!$G$12:$G$31&gt;=A3734))&gt;0,1,0))</f>
        <v/>
      </c>
      <c r="G3734" t="str">
        <f t="shared" si="117"/>
        <v/>
      </c>
    </row>
    <row r="3735" spans="1:7" x14ac:dyDescent="0.3">
      <c r="A3735" s="21" t="str">
        <f>IF(A3734="","",IF(A3734+1&gt;Ввод!$B$4,"",A3734+1))</f>
        <v/>
      </c>
      <c r="B3735" s="23" t="str">
        <f>IF(A3735="","",IFERROR(INDEX(Ввод!$B$12:$B$71,MATCH(A3735,Ввод!$D$12:$D$71,1)),""))</f>
        <v/>
      </c>
      <c r="C3735" t="str">
        <f t="shared" si="116"/>
        <v/>
      </c>
      <c r="D3735" t="str">
        <f>IF(A3735="","",SUMIFS(Акты!$D$5:$D$16,Акты!$E$5:$E$16,"&lt;="&amp;A3735)-SUMIFS(Оплаты!$B$6:$B$505,Оплаты!$A$6:$A$505,"&lt;"&amp;A3735,Оплаты!$D$6:$D$505,"&lt;&gt;"))</f>
        <v/>
      </c>
      <c r="E3735" t="str">
        <f>IF(A3735="","",IF(SUMPRODUCT((Ввод!$F$12:$F$31&lt;&gt;"")*(Ввод!$F$12:$F$31&lt;=A3735)*(Ввод!$G$12:$G$31&gt;=A3735))&gt;0,1,0))</f>
        <v/>
      </c>
      <c r="G3735" t="str">
        <f t="shared" si="117"/>
        <v/>
      </c>
    </row>
    <row r="3736" spans="1:7" x14ac:dyDescent="0.3">
      <c r="A3736" s="21" t="str">
        <f>IF(A3735="","",IF(A3735+1&gt;Ввод!$B$4,"",A3735+1))</f>
        <v/>
      </c>
      <c r="B3736" s="23" t="str">
        <f>IF(A3736="","",IFERROR(INDEX(Ввод!$B$12:$B$71,MATCH(A3736,Ввод!$D$12:$D$71,1)),""))</f>
        <v/>
      </c>
      <c r="C3736" t="str">
        <f t="shared" si="116"/>
        <v/>
      </c>
      <c r="D3736" t="str">
        <f>IF(A3736="","",SUMIFS(Акты!$D$5:$D$16,Акты!$E$5:$E$16,"&lt;="&amp;A3736)-SUMIFS(Оплаты!$B$6:$B$505,Оплаты!$A$6:$A$505,"&lt;"&amp;A3736,Оплаты!$D$6:$D$505,"&lt;&gt;"))</f>
        <v/>
      </c>
      <c r="E3736" t="str">
        <f>IF(A3736="","",IF(SUMPRODUCT((Ввод!$F$12:$F$31&lt;&gt;"")*(Ввод!$F$12:$F$31&lt;=A3736)*(Ввод!$G$12:$G$31&gt;=A3736))&gt;0,1,0))</f>
        <v/>
      </c>
      <c r="G3736" t="str">
        <f t="shared" si="117"/>
        <v/>
      </c>
    </row>
    <row r="3737" spans="1:7" x14ac:dyDescent="0.3">
      <c r="A3737" s="21" t="str">
        <f>IF(A3736="","",IF(A3736+1&gt;Ввод!$B$4,"",A3736+1))</f>
        <v/>
      </c>
      <c r="B3737" s="23" t="str">
        <f>IF(A3737="","",IFERROR(INDEX(Ввод!$B$12:$B$71,MATCH(A3737,Ввод!$D$12:$D$71,1)),""))</f>
        <v/>
      </c>
      <c r="C3737" t="str">
        <f t="shared" si="116"/>
        <v/>
      </c>
      <c r="D3737" t="str">
        <f>IF(A3737="","",SUMIFS(Акты!$D$5:$D$16,Акты!$E$5:$E$16,"&lt;="&amp;A3737)-SUMIFS(Оплаты!$B$6:$B$505,Оплаты!$A$6:$A$505,"&lt;"&amp;A3737,Оплаты!$D$6:$D$505,"&lt;&gt;"))</f>
        <v/>
      </c>
      <c r="E3737" t="str">
        <f>IF(A3737="","",IF(SUMPRODUCT((Ввод!$F$12:$F$31&lt;&gt;"")*(Ввод!$F$12:$F$31&lt;=A3737)*(Ввод!$G$12:$G$31&gt;=A3737))&gt;0,1,0))</f>
        <v/>
      </c>
      <c r="G3737" t="str">
        <f t="shared" si="117"/>
        <v/>
      </c>
    </row>
    <row r="3738" spans="1:7" x14ac:dyDescent="0.3">
      <c r="A3738" s="21" t="str">
        <f>IF(A3737="","",IF(A3737+1&gt;Ввод!$B$4,"",A3737+1))</f>
        <v/>
      </c>
      <c r="B3738" s="23" t="str">
        <f>IF(A3738="","",IFERROR(INDEX(Ввод!$B$12:$B$71,MATCH(A3738,Ввод!$D$12:$D$71,1)),""))</f>
        <v/>
      </c>
      <c r="C3738" t="str">
        <f t="shared" si="116"/>
        <v/>
      </c>
      <c r="D3738" t="str">
        <f>IF(A3738="","",SUMIFS(Акты!$D$5:$D$16,Акты!$E$5:$E$16,"&lt;="&amp;A3738)-SUMIFS(Оплаты!$B$6:$B$505,Оплаты!$A$6:$A$505,"&lt;"&amp;A3738,Оплаты!$D$6:$D$505,"&lt;&gt;"))</f>
        <v/>
      </c>
      <c r="E3738" t="str">
        <f>IF(A3738="","",IF(SUMPRODUCT((Ввод!$F$12:$F$31&lt;&gt;"")*(Ввод!$F$12:$F$31&lt;=A3738)*(Ввод!$G$12:$G$31&gt;=A3738))&gt;0,1,0))</f>
        <v/>
      </c>
      <c r="G3738" t="str">
        <f t="shared" si="117"/>
        <v/>
      </c>
    </row>
    <row r="3739" spans="1:7" x14ac:dyDescent="0.3">
      <c r="A3739" s="21" t="str">
        <f>IF(A3738="","",IF(A3738+1&gt;Ввод!$B$4,"",A3738+1))</f>
        <v/>
      </c>
      <c r="B3739" s="23" t="str">
        <f>IF(A3739="","",IFERROR(INDEX(Ввод!$B$12:$B$71,MATCH(A3739,Ввод!$D$12:$D$71,1)),""))</f>
        <v/>
      </c>
      <c r="C3739" t="str">
        <f t="shared" si="116"/>
        <v/>
      </c>
      <c r="D3739" t="str">
        <f>IF(A3739="","",SUMIFS(Акты!$D$5:$D$16,Акты!$E$5:$E$16,"&lt;="&amp;A3739)-SUMIFS(Оплаты!$B$6:$B$505,Оплаты!$A$6:$A$505,"&lt;"&amp;A3739,Оплаты!$D$6:$D$505,"&lt;&gt;"))</f>
        <v/>
      </c>
      <c r="E3739" t="str">
        <f>IF(A3739="","",IF(SUMPRODUCT((Ввод!$F$12:$F$31&lt;&gt;"")*(Ввод!$F$12:$F$31&lt;=A3739)*(Ввод!$G$12:$G$31&gt;=A3739))&gt;0,1,0))</f>
        <v/>
      </c>
      <c r="G3739" t="str">
        <f t="shared" si="117"/>
        <v/>
      </c>
    </row>
    <row r="3740" spans="1:7" x14ac:dyDescent="0.3">
      <c r="A3740" s="21" t="str">
        <f>IF(A3739="","",IF(A3739+1&gt;Ввод!$B$4,"",A3739+1))</f>
        <v/>
      </c>
      <c r="B3740" s="23" t="str">
        <f>IF(A3740="","",IFERROR(INDEX(Ввод!$B$12:$B$71,MATCH(A3740,Ввод!$D$12:$D$71,1)),""))</f>
        <v/>
      </c>
      <c r="C3740" t="str">
        <f t="shared" si="116"/>
        <v/>
      </c>
      <c r="D3740" t="str">
        <f>IF(A3740="","",SUMIFS(Акты!$D$5:$D$16,Акты!$E$5:$E$16,"&lt;="&amp;A3740)-SUMIFS(Оплаты!$B$6:$B$505,Оплаты!$A$6:$A$505,"&lt;"&amp;A3740,Оплаты!$D$6:$D$505,"&lt;&gt;"))</f>
        <v/>
      </c>
      <c r="E3740" t="str">
        <f>IF(A3740="","",IF(SUMPRODUCT((Ввод!$F$12:$F$31&lt;&gt;"")*(Ввод!$F$12:$F$31&lt;=A3740)*(Ввод!$G$12:$G$31&gt;=A3740))&gt;0,1,0))</f>
        <v/>
      </c>
      <c r="G3740" t="str">
        <f t="shared" si="117"/>
        <v/>
      </c>
    </row>
    <row r="3741" spans="1:7" x14ac:dyDescent="0.3">
      <c r="A3741" s="21" t="str">
        <f>IF(A3740="","",IF(A3740+1&gt;Ввод!$B$4,"",A3740+1))</f>
        <v/>
      </c>
      <c r="B3741" s="23" t="str">
        <f>IF(A3741="","",IFERROR(INDEX(Ввод!$B$12:$B$71,MATCH(A3741,Ввод!$D$12:$D$71,1)),""))</f>
        <v/>
      </c>
      <c r="C3741" t="str">
        <f t="shared" si="116"/>
        <v/>
      </c>
      <c r="D3741" t="str">
        <f>IF(A3741="","",SUMIFS(Акты!$D$5:$D$16,Акты!$E$5:$E$16,"&lt;="&amp;A3741)-SUMIFS(Оплаты!$B$6:$B$505,Оплаты!$A$6:$A$505,"&lt;"&amp;A3741,Оплаты!$D$6:$D$505,"&lt;&gt;"))</f>
        <v/>
      </c>
      <c r="E3741" t="str">
        <f>IF(A3741="","",IF(SUMPRODUCT((Ввод!$F$12:$F$31&lt;&gt;"")*(Ввод!$F$12:$F$31&lt;=A3741)*(Ввод!$G$12:$G$31&gt;=A3741))&gt;0,1,0))</f>
        <v/>
      </c>
      <c r="G3741" t="str">
        <f t="shared" si="117"/>
        <v/>
      </c>
    </row>
    <row r="3742" spans="1:7" x14ac:dyDescent="0.3">
      <c r="A3742" s="21" t="str">
        <f>IF(A3741="","",IF(A3741+1&gt;Ввод!$B$4,"",A3741+1))</f>
        <v/>
      </c>
      <c r="B3742" s="23" t="str">
        <f>IF(A3742="","",IFERROR(INDEX(Ввод!$B$12:$B$71,MATCH(A3742,Ввод!$D$12:$D$71,1)),""))</f>
        <v/>
      </c>
      <c r="C3742" t="str">
        <f t="shared" si="116"/>
        <v/>
      </c>
      <c r="D3742" t="str">
        <f>IF(A3742="","",SUMIFS(Акты!$D$5:$D$16,Акты!$E$5:$E$16,"&lt;="&amp;A3742)-SUMIFS(Оплаты!$B$6:$B$505,Оплаты!$A$6:$A$505,"&lt;"&amp;A3742,Оплаты!$D$6:$D$505,"&lt;&gt;"))</f>
        <v/>
      </c>
      <c r="E3742" t="str">
        <f>IF(A3742="","",IF(SUMPRODUCT((Ввод!$F$12:$F$31&lt;&gt;"")*(Ввод!$F$12:$F$31&lt;=A3742)*(Ввод!$G$12:$G$31&gt;=A3742))&gt;0,1,0))</f>
        <v/>
      </c>
      <c r="G3742" t="str">
        <f t="shared" si="117"/>
        <v/>
      </c>
    </row>
    <row r="3743" spans="1:7" x14ac:dyDescent="0.3">
      <c r="A3743" s="21" t="str">
        <f>IF(A3742="","",IF(A3742+1&gt;Ввод!$B$4,"",A3742+1))</f>
        <v/>
      </c>
      <c r="B3743" s="23" t="str">
        <f>IF(A3743="","",IFERROR(INDEX(Ввод!$B$12:$B$71,MATCH(A3743,Ввод!$D$12:$D$71,1)),""))</f>
        <v/>
      </c>
      <c r="C3743" t="str">
        <f t="shared" si="116"/>
        <v/>
      </c>
      <c r="D3743" t="str">
        <f>IF(A3743="","",SUMIFS(Акты!$D$5:$D$16,Акты!$E$5:$E$16,"&lt;="&amp;A3743)-SUMIFS(Оплаты!$B$6:$B$505,Оплаты!$A$6:$A$505,"&lt;"&amp;A3743,Оплаты!$D$6:$D$505,"&lt;&gt;"))</f>
        <v/>
      </c>
      <c r="E3743" t="str">
        <f>IF(A3743="","",IF(SUMPRODUCT((Ввод!$F$12:$F$31&lt;&gt;"")*(Ввод!$F$12:$F$31&lt;=A3743)*(Ввод!$G$12:$G$31&gt;=A3743))&gt;0,1,0))</f>
        <v/>
      </c>
      <c r="G3743" t="str">
        <f t="shared" si="117"/>
        <v/>
      </c>
    </row>
    <row r="3744" spans="1:7" x14ac:dyDescent="0.3">
      <c r="A3744" s="21" t="str">
        <f>IF(A3743="","",IF(A3743+1&gt;Ввод!$B$4,"",A3743+1))</f>
        <v/>
      </c>
      <c r="B3744" s="23" t="str">
        <f>IF(A3744="","",IFERROR(INDEX(Ввод!$B$12:$B$71,MATCH(A3744,Ввод!$D$12:$D$71,1)),""))</f>
        <v/>
      </c>
      <c r="C3744" t="str">
        <f t="shared" si="116"/>
        <v/>
      </c>
      <c r="D3744" t="str">
        <f>IF(A3744="","",SUMIFS(Акты!$D$5:$D$16,Акты!$E$5:$E$16,"&lt;="&amp;A3744)-SUMIFS(Оплаты!$B$6:$B$505,Оплаты!$A$6:$A$505,"&lt;"&amp;A3744,Оплаты!$D$6:$D$505,"&lt;&gt;"))</f>
        <v/>
      </c>
      <c r="E3744" t="str">
        <f>IF(A3744="","",IF(SUMPRODUCT((Ввод!$F$12:$F$31&lt;&gt;"")*(Ввод!$F$12:$F$31&lt;=A3744)*(Ввод!$G$12:$G$31&gt;=A3744))&gt;0,1,0))</f>
        <v/>
      </c>
      <c r="G3744" t="str">
        <f t="shared" si="117"/>
        <v/>
      </c>
    </row>
    <row r="3745" spans="1:7" x14ac:dyDescent="0.3">
      <c r="A3745" s="21" t="str">
        <f>IF(A3744="","",IF(A3744+1&gt;Ввод!$B$4,"",A3744+1))</f>
        <v/>
      </c>
      <c r="B3745" s="23" t="str">
        <f>IF(A3745="","",IFERROR(INDEX(Ввод!$B$12:$B$71,MATCH(A3745,Ввод!$D$12:$D$71,1)),""))</f>
        <v/>
      </c>
      <c r="C3745" t="str">
        <f t="shared" si="116"/>
        <v/>
      </c>
      <c r="D3745" t="str">
        <f>IF(A3745="","",SUMIFS(Акты!$D$5:$D$16,Акты!$E$5:$E$16,"&lt;="&amp;A3745)-SUMIFS(Оплаты!$B$6:$B$505,Оплаты!$A$6:$A$505,"&lt;"&amp;A3745,Оплаты!$D$6:$D$505,"&lt;&gt;"))</f>
        <v/>
      </c>
      <c r="E3745" t="str">
        <f>IF(A3745="","",IF(SUMPRODUCT((Ввод!$F$12:$F$31&lt;&gt;"")*(Ввод!$F$12:$F$31&lt;=A3745)*(Ввод!$G$12:$G$31&gt;=A3745))&gt;0,1,0))</f>
        <v/>
      </c>
      <c r="G3745" t="str">
        <f t="shared" si="117"/>
        <v/>
      </c>
    </row>
    <row r="3746" spans="1:7" x14ac:dyDescent="0.3">
      <c r="A3746" s="21" t="str">
        <f>IF(A3745="","",IF(A3745+1&gt;Ввод!$B$4,"",A3745+1))</f>
        <v/>
      </c>
      <c r="B3746" s="23" t="str">
        <f>IF(A3746="","",IFERROR(INDEX(Ввод!$B$12:$B$71,MATCH(A3746,Ввод!$D$12:$D$71,1)),""))</f>
        <v/>
      </c>
      <c r="C3746" t="str">
        <f t="shared" si="116"/>
        <v/>
      </c>
      <c r="D3746" t="str">
        <f>IF(A3746="","",SUMIFS(Акты!$D$5:$D$16,Акты!$E$5:$E$16,"&lt;="&amp;A3746)-SUMIFS(Оплаты!$B$6:$B$505,Оплаты!$A$6:$A$505,"&lt;"&amp;A3746,Оплаты!$D$6:$D$505,"&lt;&gt;"))</f>
        <v/>
      </c>
      <c r="E3746" t="str">
        <f>IF(A3746="","",IF(SUMPRODUCT((Ввод!$F$12:$F$31&lt;&gt;"")*(Ввод!$F$12:$F$31&lt;=A3746)*(Ввод!$G$12:$G$31&gt;=A3746))&gt;0,1,0))</f>
        <v/>
      </c>
      <c r="G3746" t="str">
        <f t="shared" si="117"/>
        <v/>
      </c>
    </row>
    <row r="3747" spans="1:7" x14ac:dyDescent="0.3">
      <c r="A3747" s="21" t="str">
        <f>IF(A3746="","",IF(A3746+1&gt;Ввод!$B$4,"",A3746+1))</f>
        <v/>
      </c>
      <c r="B3747" s="23" t="str">
        <f>IF(A3747="","",IFERROR(INDEX(Ввод!$B$12:$B$71,MATCH(A3747,Ввод!$D$12:$D$71,1)),""))</f>
        <v/>
      </c>
      <c r="C3747" t="str">
        <f t="shared" si="116"/>
        <v/>
      </c>
      <c r="D3747" t="str">
        <f>IF(A3747="","",SUMIFS(Акты!$D$5:$D$16,Акты!$E$5:$E$16,"&lt;="&amp;A3747)-SUMIFS(Оплаты!$B$6:$B$505,Оплаты!$A$6:$A$505,"&lt;"&amp;A3747,Оплаты!$D$6:$D$505,"&lt;&gt;"))</f>
        <v/>
      </c>
      <c r="E3747" t="str">
        <f>IF(A3747="","",IF(SUMPRODUCT((Ввод!$F$12:$F$31&lt;&gt;"")*(Ввод!$F$12:$F$31&lt;=A3747)*(Ввод!$G$12:$G$31&gt;=A3747))&gt;0,1,0))</f>
        <v/>
      </c>
      <c r="G3747" t="str">
        <f t="shared" si="117"/>
        <v/>
      </c>
    </row>
    <row r="3748" spans="1:7" x14ac:dyDescent="0.3">
      <c r="A3748" s="21" t="str">
        <f>IF(A3747="","",IF(A3747+1&gt;Ввод!$B$4,"",A3747+1))</f>
        <v/>
      </c>
      <c r="B3748" s="23" t="str">
        <f>IF(A3748="","",IFERROR(INDEX(Ввод!$B$12:$B$71,MATCH(A3748,Ввод!$D$12:$D$71,1)),""))</f>
        <v/>
      </c>
      <c r="C3748" t="str">
        <f t="shared" si="116"/>
        <v/>
      </c>
      <c r="D3748" t="str">
        <f>IF(A3748="","",SUMIFS(Акты!$D$5:$D$16,Акты!$E$5:$E$16,"&lt;="&amp;A3748)-SUMIFS(Оплаты!$B$6:$B$505,Оплаты!$A$6:$A$505,"&lt;"&amp;A3748,Оплаты!$D$6:$D$505,"&lt;&gt;"))</f>
        <v/>
      </c>
      <c r="E3748" t="str">
        <f>IF(A3748="","",IF(SUMPRODUCT((Ввод!$F$12:$F$31&lt;&gt;"")*(Ввод!$F$12:$F$31&lt;=A3748)*(Ввод!$G$12:$G$31&gt;=A3748))&gt;0,1,0))</f>
        <v/>
      </c>
      <c r="G3748" t="str">
        <f t="shared" si="117"/>
        <v/>
      </c>
    </row>
    <row r="3749" spans="1:7" x14ac:dyDescent="0.3">
      <c r="A3749" s="21" t="str">
        <f>IF(A3748="","",IF(A3748+1&gt;Ввод!$B$4,"",A3748+1))</f>
        <v/>
      </c>
      <c r="B3749" s="23" t="str">
        <f>IF(A3749="","",IFERROR(INDEX(Ввод!$B$12:$B$71,MATCH(A3749,Ввод!$D$12:$D$71,1)),""))</f>
        <v/>
      </c>
      <c r="C3749" t="str">
        <f t="shared" si="116"/>
        <v/>
      </c>
      <c r="D3749" t="str">
        <f>IF(A3749="","",SUMIFS(Акты!$D$5:$D$16,Акты!$E$5:$E$16,"&lt;="&amp;A3749)-SUMIFS(Оплаты!$B$6:$B$505,Оплаты!$A$6:$A$505,"&lt;"&amp;A3749,Оплаты!$D$6:$D$505,"&lt;&gt;"))</f>
        <v/>
      </c>
      <c r="E3749" t="str">
        <f>IF(A3749="","",IF(SUMPRODUCT((Ввод!$F$12:$F$31&lt;&gt;"")*(Ввод!$F$12:$F$31&lt;=A3749)*(Ввод!$G$12:$G$31&gt;=A3749))&gt;0,1,0))</f>
        <v/>
      </c>
      <c r="G3749" t="str">
        <f t="shared" si="117"/>
        <v/>
      </c>
    </row>
    <row r="3750" spans="1:7" x14ac:dyDescent="0.3">
      <c r="A3750" s="21" t="str">
        <f>IF(A3749="","",IF(A3749+1&gt;Ввод!$B$4,"",A3749+1))</f>
        <v/>
      </c>
      <c r="B3750" s="23" t="str">
        <f>IF(A3750="","",IFERROR(INDEX(Ввод!$B$12:$B$71,MATCH(A3750,Ввод!$D$12:$D$71,1)),""))</f>
        <v/>
      </c>
      <c r="C3750" t="str">
        <f t="shared" si="116"/>
        <v/>
      </c>
      <c r="D3750" t="str">
        <f>IF(A3750="","",SUMIFS(Акты!$D$5:$D$16,Акты!$E$5:$E$16,"&lt;="&amp;A3750)-SUMIFS(Оплаты!$B$6:$B$505,Оплаты!$A$6:$A$505,"&lt;"&amp;A3750,Оплаты!$D$6:$D$505,"&lt;&gt;"))</f>
        <v/>
      </c>
      <c r="E3750" t="str">
        <f>IF(A3750="","",IF(SUMPRODUCT((Ввод!$F$12:$F$31&lt;&gt;"")*(Ввод!$F$12:$F$31&lt;=A3750)*(Ввод!$G$12:$G$31&gt;=A3750))&gt;0,1,0))</f>
        <v/>
      </c>
      <c r="G3750" t="str">
        <f t="shared" si="117"/>
        <v/>
      </c>
    </row>
    <row r="3751" spans="1:7" x14ac:dyDescent="0.3">
      <c r="A3751" s="21" t="str">
        <f>IF(A3750="","",IF(A3750+1&gt;Ввод!$B$4,"",A3750+1))</f>
        <v/>
      </c>
      <c r="B3751" s="23" t="str">
        <f>IF(A3751="","",IFERROR(INDEX(Ввод!$B$12:$B$71,MATCH(A3751,Ввод!$D$12:$D$71,1)),""))</f>
        <v/>
      </c>
      <c r="C3751" t="str">
        <f t="shared" si="116"/>
        <v/>
      </c>
      <c r="D3751" t="str">
        <f>IF(A3751="","",SUMIFS(Акты!$D$5:$D$16,Акты!$E$5:$E$16,"&lt;="&amp;A3751)-SUMIFS(Оплаты!$B$6:$B$505,Оплаты!$A$6:$A$505,"&lt;"&amp;A3751,Оплаты!$D$6:$D$505,"&lt;&gt;"))</f>
        <v/>
      </c>
      <c r="E3751" t="str">
        <f>IF(A3751="","",IF(SUMPRODUCT((Ввод!$F$12:$F$31&lt;&gt;"")*(Ввод!$F$12:$F$31&lt;=A3751)*(Ввод!$G$12:$G$31&gt;=A3751))&gt;0,1,0))</f>
        <v/>
      </c>
      <c r="G3751" t="str">
        <f t="shared" si="117"/>
        <v/>
      </c>
    </row>
    <row r="3752" spans="1:7" x14ac:dyDescent="0.3">
      <c r="A3752" s="21" t="str">
        <f>IF(A3751="","",IF(A3751+1&gt;Ввод!$B$4,"",A3751+1))</f>
        <v/>
      </c>
      <c r="B3752" s="23" t="str">
        <f>IF(A3752="","",IFERROR(INDEX(Ввод!$B$12:$B$71,MATCH(A3752,Ввод!$D$12:$D$71,1)),""))</f>
        <v/>
      </c>
      <c r="C3752" t="str">
        <f t="shared" si="116"/>
        <v/>
      </c>
      <c r="D3752" t="str">
        <f>IF(A3752="","",SUMIFS(Акты!$D$5:$D$16,Акты!$E$5:$E$16,"&lt;="&amp;A3752)-SUMIFS(Оплаты!$B$6:$B$505,Оплаты!$A$6:$A$505,"&lt;"&amp;A3752,Оплаты!$D$6:$D$505,"&lt;&gt;"))</f>
        <v/>
      </c>
      <c r="E3752" t="str">
        <f>IF(A3752="","",IF(SUMPRODUCT((Ввод!$F$12:$F$31&lt;&gt;"")*(Ввод!$F$12:$F$31&lt;=A3752)*(Ввод!$G$12:$G$31&gt;=A3752))&gt;0,1,0))</f>
        <v/>
      </c>
      <c r="G3752" t="str">
        <f t="shared" si="117"/>
        <v/>
      </c>
    </row>
    <row r="3753" spans="1:7" x14ac:dyDescent="0.3">
      <c r="A3753" s="21" t="str">
        <f>IF(A3752="","",IF(A3752+1&gt;Ввод!$B$4,"",A3752+1))</f>
        <v/>
      </c>
      <c r="B3753" s="23" t="str">
        <f>IF(A3753="","",IFERROR(INDEX(Ввод!$B$12:$B$71,MATCH(A3753,Ввод!$D$12:$D$71,1)),""))</f>
        <v/>
      </c>
      <c r="C3753" t="str">
        <f t="shared" si="116"/>
        <v/>
      </c>
      <c r="D3753" t="str">
        <f>IF(A3753="","",SUMIFS(Акты!$D$5:$D$16,Акты!$E$5:$E$16,"&lt;="&amp;A3753)-SUMIFS(Оплаты!$B$6:$B$505,Оплаты!$A$6:$A$505,"&lt;"&amp;A3753,Оплаты!$D$6:$D$505,"&lt;&gt;"))</f>
        <v/>
      </c>
      <c r="E3753" t="str">
        <f>IF(A3753="","",IF(SUMPRODUCT((Ввод!$F$12:$F$31&lt;&gt;"")*(Ввод!$F$12:$F$31&lt;=A3753)*(Ввод!$G$12:$G$31&gt;=A3753))&gt;0,1,0))</f>
        <v/>
      </c>
      <c r="G3753" t="str">
        <f t="shared" si="117"/>
        <v/>
      </c>
    </row>
    <row r="3754" spans="1:7" x14ac:dyDescent="0.3">
      <c r="A3754" s="21" t="str">
        <f>IF(A3753="","",IF(A3753+1&gt;Ввод!$B$4,"",A3753+1))</f>
        <v/>
      </c>
      <c r="B3754" s="23" t="str">
        <f>IF(A3754="","",IFERROR(INDEX(Ввод!$B$12:$B$71,MATCH(A3754,Ввод!$D$12:$D$71,1)),""))</f>
        <v/>
      </c>
      <c r="C3754" t="str">
        <f t="shared" si="116"/>
        <v/>
      </c>
      <c r="D3754" t="str">
        <f>IF(A3754="","",SUMIFS(Акты!$D$5:$D$16,Акты!$E$5:$E$16,"&lt;="&amp;A3754)-SUMIFS(Оплаты!$B$6:$B$505,Оплаты!$A$6:$A$505,"&lt;"&amp;A3754,Оплаты!$D$6:$D$505,"&lt;&gt;"))</f>
        <v/>
      </c>
      <c r="E3754" t="str">
        <f>IF(A3754="","",IF(SUMPRODUCT((Ввод!$F$12:$F$31&lt;&gt;"")*(Ввод!$F$12:$F$31&lt;=A3754)*(Ввод!$G$12:$G$31&gt;=A3754))&gt;0,1,0))</f>
        <v/>
      </c>
      <c r="G3754" t="str">
        <f t="shared" si="117"/>
        <v/>
      </c>
    </row>
    <row r="3755" spans="1:7" x14ac:dyDescent="0.3">
      <c r="A3755" s="21" t="str">
        <f>IF(A3754="","",IF(A3754+1&gt;Ввод!$B$4,"",A3754+1))</f>
        <v/>
      </c>
      <c r="B3755" s="23" t="str">
        <f>IF(A3755="","",IFERROR(INDEX(Ввод!$B$12:$B$71,MATCH(A3755,Ввод!$D$12:$D$71,1)),""))</f>
        <v/>
      </c>
      <c r="C3755" t="str">
        <f t="shared" si="116"/>
        <v/>
      </c>
      <c r="D3755" t="str">
        <f>IF(A3755="","",SUMIFS(Акты!$D$5:$D$16,Акты!$E$5:$E$16,"&lt;="&amp;A3755)-SUMIFS(Оплаты!$B$6:$B$505,Оплаты!$A$6:$A$505,"&lt;"&amp;A3755,Оплаты!$D$6:$D$505,"&lt;&gt;"))</f>
        <v/>
      </c>
      <c r="E3755" t="str">
        <f>IF(A3755="","",IF(SUMPRODUCT((Ввод!$F$12:$F$31&lt;&gt;"")*(Ввод!$F$12:$F$31&lt;=A3755)*(Ввод!$G$12:$G$31&gt;=A3755))&gt;0,1,0))</f>
        <v/>
      </c>
      <c r="G3755" t="str">
        <f t="shared" si="117"/>
        <v/>
      </c>
    </row>
    <row r="3756" spans="1:7" x14ac:dyDescent="0.3">
      <c r="A3756" s="21" t="str">
        <f>IF(A3755="","",IF(A3755+1&gt;Ввод!$B$4,"",A3755+1))</f>
        <v/>
      </c>
      <c r="B3756" s="23" t="str">
        <f>IF(A3756="","",IFERROR(INDEX(Ввод!$B$12:$B$71,MATCH(A3756,Ввод!$D$12:$D$71,1)),""))</f>
        <v/>
      </c>
      <c r="C3756" t="str">
        <f t="shared" si="116"/>
        <v/>
      </c>
      <c r="D3756" t="str">
        <f>IF(A3756="","",SUMIFS(Акты!$D$5:$D$16,Акты!$E$5:$E$16,"&lt;="&amp;A3756)-SUMIFS(Оплаты!$B$6:$B$505,Оплаты!$A$6:$A$505,"&lt;"&amp;A3756,Оплаты!$D$6:$D$505,"&lt;&gt;"))</f>
        <v/>
      </c>
      <c r="E3756" t="str">
        <f>IF(A3756="","",IF(SUMPRODUCT((Ввод!$F$12:$F$31&lt;&gt;"")*(Ввод!$F$12:$F$31&lt;=A3756)*(Ввод!$G$12:$G$31&gt;=A3756))&gt;0,1,0))</f>
        <v/>
      </c>
      <c r="G3756" t="str">
        <f t="shared" si="117"/>
        <v/>
      </c>
    </row>
    <row r="3757" spans="1:7" x14ac:dyDescent="0.3">
      <c r="A3757" s="21" t="str">
        <f>IF(A3756="","",IF(A3756+1&gt;Ввод!$B$4,"",A3756+1))</f>
        <v/>
      </c>
      <c r="B3757" s="23" t="str">
        <f>IF(A3757="","",IFERROR(INDEX(Ввод!$B$12:$B$71,MATCH(A3757,Ввод!$D$12:$D$71,1)),""))</f>
        <v/>
      </c>
      <c r="C3757" t="str">
        <f t="shared" si="116"/>
        <v/>
      </c>
      <c r="D3757" t="str">
        <f>IF(A3757="","",SUMIFS(Акты!$D$5:$D$16,Акты!$E$5:$E$16,"&lt;="&amp;A3757)-SUMIFS(Оплаты!$B$6:$B$505,Оплаты!$A$6:$A$505,"&lt;"&amp;A3757,Оплаты!$D$6:$D$505,"&lt;&gt;"))</f>
        <v/>
      </c>
      <c r="E3757" t="str">
        <f>IF(A3757="","",IF(SUMPRODUCT((Ввод!$F$12:$F$31&lt;&gt;"")*(Ввод!$F$12:$F$31&lt;=A3757)*(Ввод!$G$12:$G$31&gt;=A3757))&gt;0,1,0))</f>
        <v/>
      </c>
      <c r="G3757" t="str">
        <f t="shared" si="117"/>
        <v/>
      </c>
    </row>
    <row r="3758" spans="1:7" x14ac:dyDescent="0.3">
      <c r="A3758" s="21" t="str">
        <f>IF(A3757="","",IF(A3757+1&gt;Ввод!$B$4,"",A3757+1))</f>
        <v/>
      </c>
      <c r="B3758" s="23" t="str">
        <f>IF(A3758="","",IFERROR(INDEX(Ввод!$B$12:$B$71,MATCH(A3758,Ввод!$D$12:$D$71,1)),""))</f>
        <v/>
      </c>
      <c r="C3758" t="str">
        <f t="shared" si="116"/>
        <v/>
      </c>
      <c r="D3758" t="str">
        <f>IF(A3758="","",SUMIFS(Акты!$D$5:$D$16,Акты!$E$5:$E$16,"&lt;="&amp;A3758)-SUMIFS(Оплаты!$B$6:$B$505,Оплаты!$A$6:$A$505,"&lt;"&amp;A3758,Оплаты!$D$6:$D$505,"&lt;&gt;"))</f>
        <v/>
      </c>
      <c r="E3758" t="str">
        <f>IF(A3758="","",IF(SUMPRODUCT((Ввод!$F$12:$F$31&lt;&gt;"")*(Ввод!$F$12:$F$31&lt;=A3758)*(Ввод!$G$12:$G$31&gt;=A3758))&gt;0,1,0))</f>
        <v/>
      </c>
      <c r="G3758" t="str">
        <f t="shared" si="117"/>
        <v/>
      </c>
    </row>
    <row r="3759" spans="1:7" x14ac:dyDescent="0.3">
      <c r="A3759" s="21" t="str">
        <f>IF(A3758="","",IF(A3758+1&gt;Ввод!$B$4,"",A3758+1))</f>
        <v/>
      </c>
      <c r="B3759" s="23" t="str">
        <f>IF(A3759="","",IFERROR(INDEX(Ввод!$B$12:$B$71,MATCH(A3759,Ввод!$D$12:$D$71,1)),""))</f>
        <v/>
      </c>
      <c r="C3759" t="str">
        <f t="shared" si="116"/>
        <v/>
      </c>
      <c r="D3759" t="str">
        <f>IF(A3759="","",SUMIFS(Акты!$D$5:$D$16,Акты!$E$5:$E$16,"&lt;="&amp;A3759)-SUMIFS(Оплаты!$B$6:$B$505,Оплаты!$A$6:$A$505,"&lt;"&amp;A3759,Оплаты!$D$6:$D$505,"&lt;&gt;"))</f>
        <v/>
      </c>
      <c r="E3759" t="str">
        <f>IF(A3759="","",IF(SUMPRODUCT((Ввод!$F$12:$F$31&lt;&gt;"")*(Ввод!$F$12:$F$31&lt;=A3759)*(Ввод!$G$12:$G$31&gt;=A3759))&gt;0,1,0))</f>
        <v/>
      </c>
      <c r="G3759" t="str">
        <f t="shared" si="117"/>
        <v/>
      </c>
    </row>
    <row r="3760" spans="1:7" x14ac:dyDescent="0.3">
      <c r="A3760" s="21" t="str">
        <f>IF(A3759="","",IF(A3759+1&gt;Ввод!$B$4,"",A3759+1))</f>
        <v/>
      </c>
      <c r="B3760" s="23" t="str">
        <f>IF(A3760="","",IFERROR(INDEX(Ввод!$B$12:$B$71,MATCH(A3760,Ввод!$D$12:$D$71,1)),""))</f>
        <v/>
      </c>
      <c r="C3760" t="str">
        <f t="shared" si="116"/>
        <v/>
      </c>
      <c r="D3760" t="str">
        <f>IF(A3760="","",SUMIFS(Акты!$D$5:$D$16,Акты!$E$5:$E$16,"&lt;="&amp;A3760)-SUMIFS(Оплаты!$B$6:$B$505,Оплаты!$A$6:$A$505,"&lt;"&amp;A3760,Оплаты!$D$6:$D$505,"&lt;&gt;"))</f>
        <v/>
      </c>
      <c r="E3760" t="str">
        <f>IF(A3760="","",IF(SUMPRODUCT((Ввод!$F$12:$F$31&lt;&gt;"")*(Ввод!$F$12:$F$31&lt;=A3760)*(Ввод!$G$12:$G$31&gt;=A3760))&gt;0,1,0))</f>
        <v/>
      </c>
      <c r="G3760" t="str">
        <f t="shared" si="117"/>
        <v/>
      </c>
    </row>
    <row r="3761" spans="1:7" x14ac:dyDescent="0.3">
      <c r="A3761" s="21" t="str">
        <f>IF(A3760="","",IF(A3760+1&gt;Ввод!$B$4,"",A3760+1))</f>
        <v/>
      </c>
      <c r="B3761" s="23" t="str">
        <f>IF(A3761="","",IFERROR(INDEX(Ввод!$B$12:$B$71,MATCH(A3761,Ввод!$D$12:$D$71,1)),""))</f>
        <v/>
      </c>
      <c r="C3761" t="str">
        <f t="shared" si="116"/>
        <v/>
      </c>
      <c r="D3761" t="str">
        <f>IF(A3761="","",SUMIFS(Акты!$D$5:$D$16,Акты!$E$5:$E$16,"&lt;="&amp;A3761)-SUMIFS(Оплаты!$B$6:$B$505,Оплаты!$A$6:$A$505,"&lt;"&amp;A3761,Оплаты!$D$6:$D$505,"&lt;&gt;"))</f>
        <v/>
      </c>
      <c r="E3761" t="str">
        <f>IF(A3761="","",IF(SUMPRODUCT((Ввод!$F$12:$F$31&lt;&gt;"")*(Ввод!$F$12:$F$31&lt;=A3761)*(Ввод!$G$12:$G$31&gt;=A3761))&gt;0,1,0))</f>
        <v/>
      </c>
      <c r="G3761" t="str">
        <f t="shared" si="117"/>
        <v/>
      </c>
    </row>
    <row r="3762" spans="1:7" x14ac:dyDescent="0.3">
      <c r="A3762" s="21" t="str">
        <f>IF(A3761="","",IF(A3761+1&gt;Ввод!$B$4,"",A3761+1))</f>
        <v/>
      </c>
      <c r="B3762" s="23" t="str">
        <f>IF(A3762="","",IFERROR(INDEX(Ввод!$B$12:$B$71,MATCH(A3762,Ввод!$D$12:$D$71,1)),""))</f>
        <v/>
      </c>
      <c r="C3762" t="str">
        <f t="shared" si="116"/>
        <v/>
      </c>
      <c r="D3762" t="str">
        <f>IF(A3762="","",SUMIFS(Акты!$D$5:$D$16,Акты!$E$5:$E$16,"&lt;="&amp;A3762)-SUMIFS(Оплаты!$B$6:$B$505,Оплаты!$A$6:$A$505,"&lt;"&amp;A3762,Оплаты!$D$6:$D$505,"&lt;&gt;"))</f>
        <v/>
      </c>
      <c r="E3762" t="str">
        <f>IF(A3762="","",IF(SUMPRODUCT((Ввод!$F$12:$F$31&lt;&gt;"")*(Ввод!$F$12:$F$31&lt;=A3762)*(Ввод!$G$12:$G$31&gt;=A3762))&gt;0,1,0))</f>
        <v/>
      </c>
      <c r="G3762" t="str">
        <f t="shared" si="117"/>
        <v/>
      </c>
    </row>
    <row r="3763" spans="1:7" x14ac:dyDescent="0.3">
      <c r="A3763" s="21" t="str">
        <f>IF(A3762="","",IF(A3762+1&gt;Ввод!$B$4,"",A3762+1))</f>
        <v/>
      </c>
      <c r="B3763" s="23" t="str">
        <f>IF(A3763="","",IFERROR(INDEX(Ввод!$B$12:$B$71,MATCH(A3763,Ввод!$D$12:$D$71,1)),""))</f>
        <v/>
      </c>
      <c r="C3763" t="str">
        <f t="shared" si="116"/>
        <v/>
      </c>
      <c r="D3763" t="str">
        <f>IF(A3763="","",SUMIFS(Акты!$D$5:$D$16,Акты!$E$5:$E$16,"&lt;="&amp;A3763)-SUMIFS(Оплаты!$B$6:$B$505,Оплаты!$A$6:$A$505,"&lt;"&amp;A3763,Оплаты!$D$6:$D$505,"&lt;&gt;"))</f>
        <v/>
      </c>
      <c r="E3763" t="str">
        <f>IF(A3763="","",IF(SUMPRODUCT((Ввод!$F$12:$F$31&lt;&gt;"")*(Ввод!$F$12:$F$31&lt;=A3763)*(Ввод!$G$12:$G$31&gt;=A3763))&gt;0,1,0))</f>
        <v/>
      </c>
      <c r="G3763" t="str">
        <f t="shared" si="117"/>
        <v/>
      </c>
    </row>
    <row r="3764" spans="1:7" x14ac:dyDescent="0.3">
      <c r="A3764" s="21" t="str">
        <f>IF(A3763="","",IF(A3763+1&gt;Ввод!$B$4,"",A3763+1))</f>
        <v/>
      </c>
      <c r="B3764" s="23" t="str">
        <f>IF(A3764="","",IFERROR(INDEX(Ввод!$B$12:$B$71,MATCH(A3764,Ввод!$D$12:$D$71,1)),""))</f>
        <v/>
      </c>
      <c r="C3764" t="str">
        <f t="shared" si="116"/>
        <v/>
      </c>
      <c r="D3764" t="str">
        <f>IF(A3764="","",SUMIFS(Акты!$D$5:$D$16,Акты!$E$5:$E$16,"&lt;="&amp;A3764)-SUMIFS(Оплаты!$B$6:$B$505,Оплаты!$A$6:$A$505,"&lt;"&amp;A3764,Оплаты!$D$6:$D$505,"&lt;&gt;"))</f>
        <v/>
      </c>
      <c r="E3764" t="str">
        <f>IF(A3764="","",IF(SUMPRODUCT((Ввод!$F$12:$F$31&lt;&gt;"")*(Ввод!$F$12:$F$31&lt;=A3764)*(Ввод!$G$12:$G$31&gt;=A3764))&gt;0,1,0))</f>
        <v/>
      </c>
      <c r="G3764" t="str">
        <f t="shared" si="117"/>
        <v/>
      </c>
    </row>
    <row r="3765" spans="1:7" x14ac:dyDescent="0.3">
      <c r="A3765" s="21" t="str">
        <f>IF(A3764="","",IF(A3764+1&gt;Ввод!$B$4,"",A3764+1))</f>
        <v/>
      </c>
      <c r="B3765" s="23" t="str">
        <f>IF(A3765="","",IFERROR(INDEX(Ввод!$B$12:$B$71,MATCH(A3765,Ввод!$D$12:$D$71,1)),""))</f>
        <v/>
      </c>
      <c r="C3765" t="str">
        <f t="shared" si="116"/>
        <v/>
      </c>
      <c r="D3765" t="str">
        <f>IF(A3765="","",SUMIFS(Акты!$D$5:$D$16,Акты!$E$5:$E$16,"&lt;="&amp;A3765)-SUMIFS(Оплаты!$B$6:$B$505,Оплаты!$A$6:$A$505,"&lt;"&amp;A3765,Оплаты!$D$6:$D$505,"&lt;&gt;"))</f>
        <v/>
      </c>
      <c r="E3765" t="str">
        <f>IF(A3765="","",IF(SUMPRODUCT((Ввод!$F$12:$F$31&lt;&gt;"")*(Ввод!$F$12:$F$31&lt;=A3765)*(Ввод!$G$12:$G$31&gt;=A3765))&gt;0,1,0))</f>
        <v/>
      </c>
      <c r="G3765" t="str">
        <f t="shared" si="117"/>
        <v/>
      </c>
    </row>
    <row r="3766" spans="1:7" x14ac:dyDescent="0.3">
      <c r="A3766" s="21" t="str">
        <f>IF(A3765="","",IF(A3765+1&gt;Ввод!$B$4,"",A3765+1))</f>
        <v/>
      </c>
      <c r="B3766" s="23" t="str">
        <f>IF(A3766="","",IFERROR(INDEX(Ввод!$B$12:$B$71,MATCH(A3766,Ввод!$D$12:$D$71,1)),""))</f>
        <v/>
      </c>
      <c r="C3766" t="str">
        <f t="shared" si="116"/>
        <v/>
      </c>
      <c r="D3766" t="str">
        <f>IF(A3766="","",SUMIFS(Акты!$D$5:$D$16,Акты!$E$5:$E$16,"&lt;="&amp;A3766)-SUMIFS(Оплаты!$B$6:$B$505,Оплаты!$A$6:$A$505,"&lt;"&amp;A3766,Оплаты!$D$6:$D$505,"&lt;&gt;"))</f>
        <v/>
      </c>
      <c r="E3766" t="str">
        <f>IF(A3766="","",IF(SUMPRODUCT((Ввод!$F$12:$F$31&lt;&gt;"")*(Ввод!$F$12:$F$31&lt;=A3766)*(Ввод!$G$12:$G$31&gt;=A3766))&gt;0,1,0))</f>
        <v/>
      </c>
      <c r="G3766" t="str">
        <f t="shared" si="117"/>
        <v/>
      </c>
    </row>
    <row r="3767" spans="1:7" x14ac:dyDescent="0.3">
      <c r="A3767" s="21" t="str">
        <f>IF(A3766="","",IF(A3766+1&gt;Ввод!$B$4,"",A3766+1))</f>
        <v/>
      </c>
      <c r="B3767" s="23" t="str">
        <f>IF(A3767="","",IFERROR(INDEX(Ввод!$B$12:$B$71,MATCH(A3767,Ввод!$D$12:$D$71,1)),""))</f>
        <v/>
      </c>
      <c r="C3767" t="str">
        <f t="shared" si="116"/>
        <v/>
      </c>
      <c r="D3767" t="str">
        <f>IF(A3767="","",SUMIFS(Акты!$D$5:$D$16,Акты!$E$5:$E$16,"&lt;="&amp;A3767)-SUMIFS(Оплаты!$B$6:$B$505,Оплаты!$A$6:$A$505,"&lt;"&amp;A3767,Оплаты!$D$6:$D$505,"&lt;&gt;"))</f>
        <v/>
      </c>
      <c r="E3767" t="str">
        <f>IF(A3767="","",IF(SUMPRODUCT((Ввод!$F$12:$F$31&lt;&gt;"")*(Ввод!$F$12:$F$31&lt;=A3767)*(Ввод!$G$12:$G$31&gt;=A3767))&gt;0,1,0))</f>
        <v/>
      </c>
      <c r="G3767" t="str">
        <f t="shared" si="117"/>
        <v/>
      </c>
    </row>
    <row r="3768" spans="1:7" x14ac:dyDescent="0.3">
      <c r="A3768" s="21" t="str">
        <f>IF(A3767="","",IF(A3767+1&gt;Ввод!$B$4,"",A3767+1))</f>
        <v/>
      </c>
      <c r="B3768" s="23" t="str">
        <f>IF(A3768="","",IFERROR(INDEX(Ввод!$B$12:$B$71,MATCH(A3768,Ввод!$D$12:$D$71,1)),""))</f>
        <v/>
      </c>
      <c r="C3768" t="str">
        <f t="shared" si="116"/>
        <v/>
      </c>
      <c r="D3768" t="str">
        <f>IF(A3768="","",SUMIFS(Акты!$D$5:$D$16,Акты!$E$5:$E$16,"&lt;="&amp;A3768)-SUMIFS(Оплаты!$B$6:$B$505,Оплаты!$A$6:$A$505,"&lt;"&amp;A3768,Оплаты!$D$6:$D$505,"&lt;&gt;"))</f>
        <v/>
      </c>
      <c r="E3768" t="str">
        <f>IF(A3768="","",IF(SUMPRODUCT((Ввод!$F$12:$F$31&lt;&gt;"")*(Ввод!$F$12:$F$31&lt;=A3768)*(Ввод!$G$12:$G$31&gt;=A3768))&gt;0,1,0))</f>
        <v/>
      </c>
      <c r="G3768" t="str">
        <f t="shared" si="117"/>
        <v/>
      </c>
    </row>
    <row r="3769" spans="1:7" x14ac:dyDescent="0.3">
      <c r="A3769" s="21" t="str">
        <f>IF(A3768="","",IF(A3768+1&gt;Ввод!$B$4,"",A3768+1))</f>
        <v/>
      </c>
      <c r="B3769" s="23" t="str">
        <f>IF(A3769="","",IFERROR(INDEX(Ввод!$B$12:$B$71,MATCH(A3769,Ввод!$D$12:$D$71,1)),""))</f>
        <v/>
      </c>
      <c r="C3769" t="str">
        <f t="shared" si="116"/>
        <v/>
      </c>
      <c r="D3769" t="str">
        <f>IF(A3769="","",SUMIFS(Акты!$D$5:$D$16,Акты!$E$5:$E$16,"&lt;="&amp;A3769)-SUMIFS(Оплаты!$B$6:$B$505,Оплаты!$A$6:$A$505,"&lt;"&amp;A3769,Оплаты!$D$6:$D$505,"&lt;&gt;"))</f>
        <v/>
      </c>
      <c r="E3769" t="str">
        <f>IF(A3769="","",IF(SUMPRODUCT((Ввод!$F$12:$F$31&lt;&gt;"")*(Ввод!$F$12:$F$31&lt;=A3769)*(Ввод!$G$12:$G$31&gt;=A3769))&gt;0,1,0))</f>
        <v/>
      </c>
      <c r="G3769" t="str">
        <f t="shared" si="117"/>
        <v/>
      </c>
    </row>
    <row r="3770" spans="1:7" x14ac:dyDescent="0.3">
      <c r="A3770" s="21" t="str">
        <f>IF(A3769="","",IF(A3769+1&gt;Ввод!$B$4,"",A3769+1))</f>
        <v/>
      </c>
      <c r="B3770" s="23" t="str">
        <f>IF(A3770="","",IFERROR(INDEX(Ввод!$B$12:$B$71,MATCH(A3770,Ввод!$D$12:$D$71,1)),""))</f>
        <v/>
      </c>
      <c r="C3770" t="str">
        <f t="shared" si="116"/>
        <v/>
      </c>
      <c r="D3770" t="str">
        <f>IF(A3770="","",SUMIFS(Акты!$D$5:$D$16,Акты!$E$5:$E$16,"&lt;="&amp;A3770)-SUMIFS(Оплаты!$B$6:$B$505,Оплаты!$A$6:$A$505,"&lt;"&amp;A3770,Оплаты!$D$6:$D$505,"&lt;&gt;"))</f>
        <v/>
      </c>
      <c r="E3770" t="str">
        <f>IF(A3770="","",IF(SUMPRODUCT((Ввод!$F$12:$F$31&lt;&gt;"")*(Ввод!$F$12:$F$31&lt;=A3770)*(Ввод!$G$12:$G$31&gt;=A3770))&gt;0,1,0))</f>
        <v/>
      </c>
      <c r="G3770" t="str">
        <f t="shared" si="117"/>
        <v/>
      </c>
    </row>
    <row r="3771" spans="1:7" x14ac:dyDescent="0.3">
      <c r="A3771" s="21" t="str">
        <f>IF(A3770="","",IF(A3770+1&gt;Ввод!$B$4,"",A3770+1))</f>
        <v/>
      </c>
      <c r="B3771" s="23" t="str">
        <f>IF(A3771="","",IFERROR(INDEX(Ввод!$B$12:$B$71,MATCH(A3771,Ввод!$D$12:$D$71,1)),""))</f>
        <v/>
      </c>
      <c r="C3771" t="str">
        <f t="shared" si="116"/>
        <v/>
      </c>
      <c r="D3771" t="str">
        <f>IF(A3771="","",SUMIFS(Акты!$D$5:$D$16,Акты!$E$5:$E$16,"&lt;="&amp;A3771)-SUMIFS(Оплаты!$B$6:$B$505,Оплаты!$A$6:$A$505,"&lt;"&amp;A3771,Оплаты!$D$6:$D$505,"&lt;&gt;"))</f>
        <v/>
      </c>
      <c r="E3771" t="str">
        <f>IF(A3771="","",IF(SUMPRODUCT((Ввод!$F$12:$F$31&lt;&gt;"")*(Ввод!$F$12:$F$31&lt;=A3771)*(Ввод!$G$12:$G$31&gt;=A3771))&gt;0,1,0))</f>
        <v/>
      </c>
      <c r="G3771" t="str">
        <f t="shared" si="117"/>
        <v/>
      </c>
    </row>
    <row r="3772" spans="1:7" x14ac:dyDescent="0.3">
      <c r="A3772" s="21" t="str">
        <f>IF(A3771="","",IF(A3771+1&gt;Ввод!$B$4,"",A3771+1))</f>
        <v/>
      </c>
      <c r="B3772" s="23" t="str">
        <f>IF(A3772="","",IFERROR(INDEX(Ввод!$B$12:$B$71,MATCH(A3772,Ввод!$D$12:$D$71,1)),""))</f>
        <v/>
      </c>
      <c r="C3772" t="str">
        <f t="shared" si="116"/>
        <v/>
      </c>
      <c r="D3772" t="str">
        <f>IF(A3772="","",SUMIFS(Акты!$D$5:$D$16,Акты!$E$5:$E$16,"&lt;="&amp;A3772)-SUMIFS(Оплаты!$B$6:$B$505,Оплаты!$A$6:$A$505,"&lt;"&amp;A3772,Оплаты!$D$6:$D$505,"&lt;&gt;"))</f>
        <v/>
      </c>
      <c r="E3772" t="str">
        <f>IF(A3772="","",IF(SUMPRODUCT((Ввод!$F$12:$F$31&lt;&gt;"")*(Ввод!$F$12:$F$31&lt;=A3772)*(Ввод!$G$12:$G$31&gt;=A3772))&gt;0,1,0))</f>
        <v/>
      </c>
      <c r="G3772" t="str">
        <f t="shared" si="117"/>
        <v/>
      </c>
    </row>
    <row r="3773" spans="1:7" x14ac:dyDescent="0.3">
      <c r="A3773" s="21" t="str">
        <f>IF(A3772="","",IF(A3772+1&gt;Ввод!$B$4,"",A3772+1))</f>
        <v/>
      </c>
      <c r="B3773" s="23" t="str">
        <f>IF(A3773="","",IFERROR(INDEX(Ввод!$B$12:$B$71,MATCH(A3773,Ввод!$D$12:$D$71,1)),""))</f>
        <v/>
      </c>
      <c r="C3773" t="str">
        <f t="shared" si="116"/>
        <v/>
      </c>
      <c r="D3773" t="str">
        <f>IF(A3773="","",SUMIFS(Акты!$D$5:$D$16,Акты!$E$5:$E$16,"&lt;="&amp;A3773)-SUMIFS(Оплаты!$B$6:$B$505,Оплаты!$A$6:$A$505,"&lt;"&amp;A3773,Оплаты!$D$6:$D$505,"&lt;&gt;"))</f>
        <v/>
      </c>
      <c r="E3773" t="str">
        <f>IF(A3773="","",IF(SUMPRODUCT((Ввод!$F$12:$F$31&lt;&gt;"")*(Ввод!$F$12:$F$31&lt;=A3773)*(Ввод!$G$12:$G$31&gt;=A3773))&gt;0,1,0))</f>
        <v/>
      </c>
      <c r="G3773" t="str">
        <f t="shared" si="117"/>
        <v/>
      </c>
    </row>
    <row r="3774" spans="1:7" x14ac:dyDescent="0.3">
      <c r="A3774" s="21" t="str">
        <f>IF(A3773="","",IF(A3773+1&gt;Ввод!$B$4,"",A3773+1))</f>
        <v/>
      </c>
      <c r="B3774" s="23" t="str">
        <f>IF(A3774="","",IFERROR(INDEX(Ввод!$B$12:$B$71,MATCH(A3774,Ввод!$D$12:$D$71,1)),""))</f>
        <v/>
      </c>
      <c r="C3774" t="str">
        <f t="shared" si="116"/>
        <v/>
      </c>
      <c r="D3774" t="str">
        <f>IF(A3774="","",SUMIFS(Акты!$D$5:$D$16,Акты!$E$5:$E$16,"&lt;="&amp;A3774)-SUMIFS(Оплаты!$B$6:$B$505,Оплаты!$A$6:$A$505,"&lt;"&amp;A3774,Оплаты!$D$6:$D$505,"&lt;&gt;"))</f>
        <v/>
      </c>
      <c r="E3774" t="str">
        <f>IF(A3774="","",IF(SUMPRODUCT((Ввод!$F$12:$F$31&lt;&gt;"")*(Ввод!$F$12:$F$31&lt;=A3774)*(Ввод!$G$12:$G$31&gt;=A3774))&gt;0,1,0))</f>
        <v/>
      </c>
      <c r="G3774" t="str">
        <f t="shared" si="117"/>
        <v/>
      </c>
    </row>
    <row r="3775" spans="1:7" x14ac:dyDescent="0.3">
      <c r="A3775" s="21" t="str">
        <f>IF(A3774="","",IF(A3774+1&gt;Ввод!$B$4,"",A3774+1))</f>
        <v/>
      </c>
      <c r="B3775" s="23" t="str">
        <f>IF(A3775="","",IFERROR(INDEX(Ввод!$B$12:$B$71,MATCH(A3775,Ввод!$D$12:$D$71,1)),""))</f>
        <v/>
      </c>
      <c r="C3775" t="str">
        <f t="shared" si="116"/>
        <v/>
      </c>
      <c r="D3775" t="str">
        <f>IF(A3775="","",SUMIFS(Акты!$D$5:$D$16,Акты!$E$5:$E$16,"&lt;="&amp;A3775)-SUMIFS(Оплаты!$B$6:$B$505,Оплаты!$A$6:$A$505,"&lt;"&amp;A3775,Оплаты!$D$6:$D$505,"&lt;&gt;"))</f>
        <v/>
      </c>
      <c r="E3775" t="str">
        <f>IF(A3775="","",IF(SUMPRODUCT((Ввод!$F$12:$F$31&lt;&gt;"")*(Ввод!$F$12:$F$31&lt;=A3775)*(Ввод!$G$12:$G$31&gt;=A3775))&gt;0,1,0))</f>
        <v/>
      </c>
      <c r="G3775" t="str">
        <f t="shared" si="117"/>
        <v/>
      </c>
    </row>
    <row r="3776" spans="1:7" x14ac:dyDescent="0.3">
      <c r="A3776" s="21" t="str">
        <f>IF(A3775="","",IF(A3775+1&gt;Ввод!$B$4,"",A3775+1))</f>
        <v/>
      </c>
      <c r="B3776" s="23" t="str">
        <f>IF(A3776="","",IFERROR(INDEX(Ввод!$B$12:$B$71,MATCH(A3776,Ввод!$D$12:$D$71,1)),""))</f>
        <v/>
      </c>
      <c r="C3776" t="str">
        <f t="shared" si="116"/>
        <v/>
      </c>
      <c r="D3776" t="str">
        <f>IF(A3776="","",SUMIFS(Акты!$D$5:$D$16,Акты!$E$5:$E$16,"&lt;="&amp;A3776)-SUMIFS(Оплаты!$B$6:$B$505,Оплаты!$A$6:$A$505,"&lt;"&amp;A3776,Оплаты!$D$6:$D$505,"&lt;&gt;"))</f>
        <v/>
      </c>
      <c r="E3776" t="str">
        <f>IF(A3776="","",IF(SUMPRODUCT((Ввод!$F$12:$F$31&lt;&gt;"")*(Ввод!$F$12:$F$31&lt;=A3776)*(Ввод!$G$12:$G$31&gt;=A3776))&gt;0,1,0))</f>
        <v/>
      </c>
      <c r="G3776" t="str">
        <f t="shared" si="117"/>
        <v/>
      </c>
    </row>
    <row r="3777" spans="1:7" x14ac:dyDescent="0.3">
      <c r="A3777" s="21" t="str">
        <f>IF(A3776="","",IF(A3776+1&gt;Ввод!$B$4,"",A3776+1))</f>
        <v/>
      </c>
      <c r="B3777" s="23" t="str">
        <f>IF(A3777="","",IFERROR(INDEX(Ввод!$B$12:$B$71,MATCH(A3777,Ввод!$D$12:$D$71,1)),""))</f>
        <v/>
      </c>
      <c r="C3777" t="str">
        <f t="shared" si="116"/>
        <v/>
      </c>
      <c r="D3777" t="str">
        <f>IF(A3777="","",SUMIFS(Акты!$D$5:$D$16,Акты!$E$5:$E$16,"&lt;="&amp;A3777)-SUMIFS(Оплаты!$B$6:$B$505,Оплаты!$A$6:$A$505,"&lt;"&amp;A3777,Оплаты!$D$6:$D$505,"&lt;&gt;"))</f>
        <v/>
      </c>
      <c r="E3777" t="str">
        <f>IF(A3777="","",IF(SUMPRODUCT((Ввод!$F$12:$F$31&lt;&gt;"")*(Ввод!$F$12:$F$31&lt;=A3777)*(Ввод!$G$12:$G$31&gt;=A3777))&gt;0,1,0))</f>
        <v/>
      </c>
      <c r="G3777" t="str">
        <f t="shared" si="117"/>
        <v/>
      </c>
    </row>
    <row r="3778" spans="1:7" x14ac:dyDescent="0.3">
      <c r="A3778" s="21" t="str">
        <f>IF(A3777="","",IF(A3777+1&gt;Ввод!$B$4,"",A3777+1))</f>
        <v/>
      </c>
      <c r="B3778" s="23" t="str">
        <f>IF(A3778="","",IFERROR(INDEX(Ввод!$B$12:$B$71,MATCH(A3778,Ввод!$D$12:$D$71,1)),""))</f>
        <v/>
      </c>
      <c r="C3778" t="str">
        <f t="shared" ref="C3778:C3841" si="118">IF(A3778="","",DATE(YEAR(A3778),12,31)-DATE(YEAR(A3778),1,1)+1)</f>
        <v/>
      </c>
      <c r="D3778" t="str">
        <f>IF(A3778="","",SUMIFS(Акты!$D$5:$D$16,Акты!$E$5:$E$16,"&lt;="&amp;A3778)-SUMIFS(Оплаты!$B$6:$B$505,Оплаты!$A$6:$A$505,"&lt;"&amp;A3778,Оплаты!$D$6:$D$505,"&lt;&gt;"))</f>
        <v/>
      </c>
      <c r="E3778" t="str">
        <f>IF(A3778="","",IF(SUMPRODUCT((Ввод!$F$12:$F$31&lt;&gt;"")*(Ввод!$F$12:$F$31&lt;=A3778)*(Ввод!$G$12:$G$31&gt;=A3778))&gt;0,1,0))</f>
        <v/>
      </c>
      <c r="G3778" t="str">
        <f t="shared" si="117"/>
        <v/>
      </c>
    </row>
    <row r="3779" spans="1:7" x14ac:dyDescent="0.3">
      <c r="A3779" s="21" t="str">
        <f>IF(A3778="","",IF(A3778+1&gt;Ввод!$B$4,"",A3778+1))</f>
        <v/>
      </c>
      <c r="B3779" s="23" t="str">
        <f>IF(A3779="","",IFERROR(INDEX(Ввод!$B$12:$B$71,MATCH(A3779,Ввод!$D$12:$D$71,1)),""))</f>
        <v/>
      </c>
      <c r="C3779" t="str">
        <f t="shared" si="118"/>
        <v/>
      </c>
      <c r="D3779" t="str">
        <f>IF(A3779="","",SUMIFS(Акты!$D$5:$D$16,Акты!$E$5:$E$16,"&lt;="&amp;A3779)-SUMIFS(Оплаты!$B$6:$B$505,Оплаты!$A$6:$A$505,"&lt;"&amp;A3779,Оплаты!$D$6:$D$505,"&lt;&gt;"))</f>
        <v/>
      </c>
      <c r="E3779" t="str">
        <f>IF(A3779="","",IF(SUMPRODUCT((Ввод!$F$12:$F$31&lt;&gt;"")*(Ввод!$F$12:$F$31&lt;=A3779)*(Ввод!$G$12:$G$31&gt;=A3779))&gt;0,1,0))</f>
        <v/>
      </c>
      <c r="G3779" t="str">
        <f t="shared" ref="G3779:G3842" si="119">IF(A3779="","",IF(OR(B3779&lt;&gt;B3778,C3779&lt;&gt;C3778,E3779&lt;&gt;E3778),G3778+1,G3778))</f>
        <v/>
      </c>
    </row>
    <row r="3780" spans="1:7" x14ac:dyDescent="0.3">
      <c r="A3780" s="21" t="str">
        <f>IF(A3779="","",IF(A3779+1&gt;Ввод!$B$4,"",A3779+1))</f>
        <v/>
      </c>
      <c r="B3780" s="23" t="str">
        <f>IF(A3780="","",IFERROR(INDEX(Ввод!$B$12:$B$71,MATCH(A3780,Ввод!$D$12:$D$71,1)),""))</f>
        <v/>
      </c>
      <c r="C3780" t="str">
        <f t="shared" si="118"/>
        <v/>
      </c>
      <c r="D3780" t="str">
        <f>IF(A3780="","",SUMIFS(Акты!$D$5:$D$16,Акты!$E$5:$E$16,"&lt;="&amp;A3780)-SUMIFS(Оплаты!$B$6:$B$505,Оплаты!$A$6:$A$505,"&lt;"&amp;A3780,Оплаты!$D$6:$D$505,"&lt;&gt;"))</f>
        <v/>
      </c>
      <c r="E3780" t="str">
        <f>IF(A3780="","",IF(SUMPRODUCT((Ввод!$F$12:$F$31&lt;&gt;"")*(Ввод!$F$12:$F$31&lt;=A3780)*(Ввод!$G$12:$G$31&gt;=A3780))&gt;0,1,0))</f>
        <v/>
      </c>
      <c r="G3780" t="str">
        <f t="shared" si="119"/>
        <v/>
      </c>
    </row>
    <row r="3781" spans="1:7" x14ac:dyDescent="0.3">
      <c r="A3781" s="21" t="str">
        <f>IF(A3780="","",IF(A3780+1&gt;Ввод!$B$4,"",A3780+1))</f>
        <v/>
      </c>
      <c r="B3781" s="23" t="str">
        <f>IF(A3781="","",IFERROR(INDEX(Ввод!$B$12:$B$71,MATCH(A3781,Ввод!$D$12:$D$71,1)),""))</f>
        <v/>
      </c>
      <c r="C3781" t="str">
        <f t="shared" si="118"/>
        <v/>
      </c>
      <c r="D3781" t="str">
        <f>IF(A3781="","",SUMIFS(Акты!$D$5:$D$16,Акты!$E$5:$E$16,"&lt;="&amp;A3781)-SUMIFS(Оплаты!$B$6:$B$505,Оплаты!$A$6:$A$505,"&lt;"&amp;A3781,Оплаты!$D$6:$D$505,"&lt;&gt;"))</f>
        <v/>
      </c>
      <c r="E3781" t="str">
        <f>IF(A3781="","",IF(SUMPRODUCT((Ввод!$F$12:$F$31&lt;&gt;"")*(Ввод!$F$12:$F$31&lt;=A3781)*(Ввод!$G$12:$G$31&gt;=A3781))&gt;0,1,0))</f>
        <v/>
      </c>
      <c r="G3781" t="str">
        <f t="shared" si="119"/>
        <v/>
      </c>
    </row>
    <row r="3782" spans="1:7" x14ac:dyDescent="0.3">
      <c r="A3782" s="21" t="str">
        <f>IF(A3781="","",IF(A3781+1&gt;Ввод!$B$4,"",A3781+1))</f>
        <v/>
      </c>
      <c r="B3782" s="23" t="str">
        <f>IF(A3782="","",IFERROR(INDEX(Ввод!$B$12:$B$71,MATCH(A3782,Ввод!$D$12:$D$71,1)),""))</f>
        <v/>
      </c>
      <c r="C3782" t="str">
        <f t="shared" si="118"/>
        <v/>
      </c>
      <c r="D3782" t="str">
        <f>IF(A3782="","",SUMIFS(Акты!$D$5:$D$16,Акты!$E$5:$E$16,"&lt;="&amp;A3782)-SUMIFS(Оплаты!$B$6:$B$505,Оплаты!$A$6:$A$505,"&lt;"&amp;A3782,Оплаты!$D$6:$D$505,"&lt;&gt;"))</f>
        <v/>
      </c>
      <c r="E3782" t="str">
        <f>IF(A3782="","",IF(SUMPRODUCT((Ввод!$F$12:$F$31&lt;&gt;"")*(Ввод!$F$12:$F$31&lt;=A3782)*(Ввод!$G$12:$G$31&gt;=A3782))&gt;0,1,0))</f>
        <v/>
      </c>
      <c r="G3782" t="str">
        <f t="shared" si="119"/>
        <v/>
      </c>
    </row>
    <row r="3783" spans="1:7" x14ac:dyDescent="0.3">
      <c r="A3783" s="21" t="str">
        <f>IF(A3782="","",IF(A3782+1&gt;Ввод!$B$4,"",A3782+1))</f>
        <v/>
      </c>
      <c r="B3783" s="23" t="str">
        <f>IF(A3783="","",IFERROR(INDEX(Ввод!$B$12:$B$71,MATCH(A3783,Ввод!$D$12:$D$71,1)),""))</f>
        <v/>
      </c>
      <c r="C3783" t="str">
        <f t="shared" si="118"/>
        <v/>
      </c>
      <c r="D3783" t="str">
        <f>IF(A3783="","",SUMIFS(Акты!$D$5:$D$16,Акты!$E$5:$E$16,"&lt;="&amp;A3783)-SUMIFS(Оплаты!$B$6:$B$505,Оплаты!$A$6:$A$505,"&lt;"&amp;A3783,Оплаты!$D$6:$D$505,"&lt;&gt;"))</f>
        <v/>
      </c>
      <c r="E3783" t="str">
        <f>IF(A3783="","",IF(SUMPRODUCT((Ввод!$F$12:$F$31&lt;&gt;"")*(Ввод!$F$12:$F$31&lt;=A3783)*(Ввод!$G$12:$G$31&gt;=A3783))&gt;0,1,0))</f>
        <v/>
      </c>
      <c r="G3783" t="str">
        <f t="shared" si="119"/>
        <v/>
      </c>
    </row>
    <row r="3784" spans="1:7" x14ac:dyDescent="0.3">
      <c r="A3784" s="21" t="str">
        <f>IF(A3783="","",IF(A3783+1&gt;Ввод!$B$4,"",A3783+1))</f>
        <v/>
      </c>
      <c r="B3784" s="23" t="str">
        <f>IF(A3784="","",IFERROR(INDEX(Ввод!$B$12:$B$71,MATCH(A3784,Ввод!$D$12:$D$71,1)),""))</f>
        <v/>
      </c>
      <c r="C3784" t="str">
        <f t="shared" si="118"/>
        <v/>
      </c>
      <c r="D3784" t="str">
        <f>IF(A3784="","",SUMIFS(Акты!$D$5:$D$16,Акты!$E$5:$E$16,"&lt;="&amp;A3784)-SUMIFS(Оплаты!$B$6:$B$505,Оплаты!$A$6:$A$505,"&lt;"&amp;A3784,Оплаты!$D$6:$D$505,"&lt;&gt;"))</f>
        <v/>
      </c>
      <c r="E3784" t="str">
        <f>IF(A3784="","",IF(SUMPRODUCT((Ввод!$F$12:$F$31&lt;&gt;"")*(Ввод!$F$12:$F$31&lt;=A3784)*(Ввод!$G$12:$G$31&gt;=A3784))&gt;0,1,0))</f>
        <v/>
      </c>
      <c r="G3784" t="str">
        <f t="shared" si="119"/>
        <v/>
      </c>
    </row>
    <row r="3785" spans="1:7" x14ac:dyDescent="0.3">
      <c r="A3785" s="21" t="str">
        <f>IF(A3784="","",IF(A3784+1&gt;Ввод!$B$4,"",A3784+1))</f>
        <v/>
      </c>
      <c r="B3785" s="23" t="str">
        <f>IF(A3785="","",IFERROR(INDEX(Ввод!$B$12:$B$71,MATCH(A3785,Ввод!$D$12:$D$71,1)),""))</f>
        <v/>
      </c>
      <c r="C3785" t="str">
        <f t="shared" si="118"/>
        <v/>
      </c>
      <c r="D3785" t="str">
        <f>IF(A3785="","",SUMIFS(Акты!$D$5:$D$16,Акты!$E$5:$E$16,"&lt;="&amp;A3785)-SUMIFS(Оплаты!$B$6:$B$505,Оплаты!$A$6:$A$505,"&lt;"&amp;A3785,Оплаты!$D$6:$D$505,"&lt;&gt;"))</f>
        <v/>
      </c>
      <c r="E3785" t="str">
        <f>IF(A3785="","",IF(SUMPRODUCT((Ввод!$F$12:$F$31&lt;&gt;"")*(Ввод!$F$12:$F$31&lt;=A3785)*(Ввод!$G$12:$G$31&gt;=A3785))&gt;0,1,0))</f>
        <v/>
      </c>
      <c r="G3785" t="str">
        <f t="shared" si="119"/>
        <v/>
      </c>
    </row>
    <row r="3786" spans="1:7" x14ac:dyDescent="0.3">
      <c r="A3786" s="21" t="str">
        <f>IF(A3785="","",IF(A3785+1&gt;Ввод!$B$4,"",A3785+1))</f>
        <v/>
      </c>
      <c r="B3786" s="23" t="str">
        <f>IF(A3786="","",IFERROR(INDEX(Ввод!$B$12:$B$71,MATCH(A3786,Ввод!$D$12:$D$71,1)),""))</f>
        <v/>
      </c>
      <c r="C3786" t="str">
        <f t="shared" si="118"/>
        <v/>
      </c>
      <c r="D3786" t="str">
        <f>IF(A3786="","",SUMIFS(Акты!$D$5:$D$16,Акты!$E$5:$E$16,"&lt;="&amp;A3786)-SUMIFS(Оплаты!$B$6:$B$505,Оплаты!$A$6:$A$505,"&lt;"&amp;A3786,Оплаты!$D$6:$D$505,"&lt;&gt;"))</f>
        <v/>
      </c>
      <c r="E3786" t="str">
        <f>IF(A3786="","",IF(SUMPRODUCT((Ввод!$F$12:$F$31&lt;&gt;"")*(Ввод!$F$12:$F$31&lt;=A3786)*(Ввод!$G$12:$G$31&gt;=A3786))&gt;0,1,0))</f>
        <v/>
      </c>
      <c r="G3786" t="str">
        <f t="shared" si="119"/>
        <v/>
      </c>
    </row>
    <row r="3787" spans="1:7" x14ac:dyDescent="0.3">
      <c r="A3787" s="21" t="str">
        <f>IF(A3786="","",IF(A3786+1&gt;Ввод!$B$4,"",A3786+1))</f>
        <v/>
      </c>
      <c r="B3787" s="23" t="str">
        <f>IF(A3787="","",IFERROR(INDEX(Ввод!$B$12:$B$71,MATCH(A3787,Ввод!$D$12:$D$71,1)),""))</f>
        <v/>
      </c>
      <c r="C3787" t="str">
        <f t="shared" si="118"/>
        <v/>
      </c>
      <c r="D3787" t="str">
        <f>IF(A3787="","",SUMIFS(Акты!$D$5:$D$16,Акты!$E$5:$E$16,"&lt;="&amp;A3787)-SUMIFS(Оплаты!$B$6:$B$505,Оплаты!$A$6:$A$505,"&lt;"&amp;A3787,Оплаты!$D$6:$D$505,"&lt;&gt;"))</f>
        <v/>
      </c>
      <c r="E3787" t="str">
        <f>IF(A3787="","",IF(SUMPRODUCT((Ввод!$F$12:$F$31&lt;&gt;"")*(Ввод!$F$12:$F$31&lt;=A3787)*(Ввод!$G$12:$G$31&gt;=A3787))&gt;0,1,0))</f>
        <v/>
      </c>
      <c r="G3787" t="str">
        <f t="shared" si="119"/>
        <v/>
      </c>
    </row>
    <row r="3788" spans="1:7" x14ac:dyDescent="0.3">
      <c r="A3788" s="21" t="str">
        <f>IF(A3787="","",IF(A3787+1&gt;Ввод!$B$4,"",A3787+1))</f>
        <v/>
      </c>
      <c r="B3788" s="23" t="str">
        <f>IF(A3788="","",IFERROR(INDEX(Ввод!$B$12:$B$71,MATCH(A3788,Ввод!$D$12:$D$71,1)),""))</f>
        <v/>
      </c>
      <c r="C3788" t="str">
        <f t="shared" si="118"/>
        <v/>
      </c>
      <c r="D3788" t="str">
        <f>IF(A3788="","",SUMIFS(Акты!$D$5:$D$16,Акты!$E$5:$E$16,"&lt;="&amp;A3788)-SUMIFS(Оплаты!$B$6:$B$505,Оплаты!$A$6:$A$505,"&lt;"&amp;A3788,Оплаты!$D$6:$D$505,"&lt;&gt;"))</f>
        <v/>
      </c>
      <c r="E3788" t="str">
        <f>IF(A3788="","",IF(SUMPRODUCT((Ввод!$F$12:$F$31&lt;&gt;"")*(Ввод!$F$12:$F$31&lt;=A3788)*(Ввод!$G$12:$G$31&gt;=A3788))&gt;0,1,0))</f>
        <v/>
      </c>
      <c r="G3788" t="str">
        <f t="shared" si="119"/>
        <v/>
      </c>
    </row>
    <row r="3789" spans="1:7" x14ac:dyDescent="0.3">
      <c r="A3789" s="21" t="str">
        <f>IF(A3788="","",IF(A3788+1&gt;Ввод!$B$4,"",A3788+1))</f>
        <v/>
      </c>
      <c r="B3789" s="23" t="str">
        <f>IF(A3789="","",IFERROR(INDEX(Ввод!$B$12:$B$71,MATCH(A3789,Ввод!$D$12:$D$71,1)),""))</f>
        <v/>
      </c>
      <c r="C3789" t="str">
        <f t="shared" si="118"/>
        <v/>
      </c>
      <c r="D3789" t="str">
        <f>IF(A3789="","",SUMIFS(Акты!$D$5:$D$16,Акты!$E$5:$E$16,"&lt;="&amp;A3789)-SUMIFS(Оплаты!$B$6:$B$505,Оплаты!$A$6:$A$505,"&lt;"&amp;A3789,Оплаты!$D$6:$D$505,"&lt;&gt;"))</f>
        <v/>
      </c>
      <c r="E3789" t="str">
        <f>IF(A3789="","",IF(SUMPRODUCT((Ввод!$F$12:$F$31&lt;&gt;"")*(Ввод!$F$12:$F$31&lt;=A3789)*(Ввод!$G$12:$G$31&gt;=A3789))&gt;0,1,0))</f>
        <v/>
      </c>
      <c r="G3789" t="str">
        <f t="shared" si="119"/>
        <v/>
      </c>
    </row>
    <row r="3790" spans="1:7" x14ac:dyDescent="0.3">
      <c r="A3790" s="21" t="str">
        <f>IF(A3789="","",IF(A3789+1&gt;Ввод!$B$4,"",A3789+1))</f>
        <v/>
      </c>
      <c r="B3790" s="23" t="str">
        <f>IF(A3790="","",IFERROR(INDEX(Ввод!$B$12:$B$71,MATCH(A3790,Ввод!$D$12:$D$71,1)),""))</f>
        <v/>
      </c>
      <c r="C3790" t="str">
        <f t="shared" si="118"/>
        <v/>
      </c>
      <c r="D3790" t="str">
        <f>IF(A3790="","",SUMIFS(Акты!$D$5:$D$16,Акты!$E$5:$E$16,"&lt;="&amp;A3790)-SUMIFS(Оплаты!$B$6:$B$505,Оплаты!$A$6:$A$505,"&lt;"&amp;A3790,Оплаты!$D$6:$D$505,"&lt;&gt;"))</f>
        <v/>
      </c>
      <c r="E3790" t="str">
        <f>IF(A3790="","",IF(SUMPRODUCT((Ввод!$F$12:$F$31&lt;&gt;"")*(Ввод!$F$12:$F$31&lt;=A3790)*(Ввод!$G$12:$G$31&gt;=A3790))&gt;0,1,0))</f>
        <v/>
      </c>
      <c r="G3790" t="str">
        <f t="shared" si="119"/>
        <v/>
      </c>
    </row>
    <row r="3791" spans="1:7" x14ac:dyDescent="0.3">
      <c r="A3791" s="21" t="str">
        <f>IF(A3790="","",IF(A3790+1&gt;Ввод!$B$4,"",A3790+1))</f>
        <v/>
      </c>
      <c r="B3791" s="23" t="str">
        <f>IF(A3791="","",IFERROR(INDEX(Ввод!$B$12:$B$71,MATCH(A3791,Ввод!$D$12:$D$71,1)),""))</f>
        <v/>
      </c>
      <c r="C3791" t="str">
        <f t="shared" si="118"/>
        <v/>
      </c>
      <c r="D3791" t="str">
        <f>IF(A3791="","",SUMIFS(Акты!$D$5:$D$16,Акты!$E$5:$E$16,"&lt;="&amp;A3791)-SUMIFS(Оплаты!$B$6:$B$505,Оплаты!$A$6:$A$505,"&lt;"&amp;A3791,Оплаты!$D$6:$D$505,"&lt;&gt;"))</f>
        <v/>
      </c>
      <c r="E3791" t="str">
        <f>IF(A3791="","",IF(SUMPRODUCT((Ввод!$F$12:$F$31&lt;&gt;"")*(Ввод!$F$12:$F$31&lt;=A3791)*(Ввод!$G$12:$G$31&gt;=A3791))&gt;0,1,0))</f>
        <v/>
      </c>
      <c r="G3791" t="str">
        <f t="shared" si="119"/>
        <v/>
      </c>
    </row>
    <row r="3792" spans="1:7" x14ac:dyDescent="0.3">
      <c r="A3792" s="21" t="str">
        <f>IF(A3791="","",IF(A3791+1&gt;Ввод!$B$4,"",A3791+1))</f>
        <v/>
      </c>
      <c r="B3792" s="23" t="str">
        <f>IF(A3792="","",IFERROR(INDEX(Ввод!$B$12:$B$71,MATCH(A3792,Ввод!$D$12:$D$71,1)),""))</f>
        <v/>
      </c>
      <c r="C3792" t="str">
        <f t="shared" si="118"/>
        <v/>
      </c>
      <c r="D3792" t="str">
        <f>IF(A3792="","",SUMIFS(Акты!$D$5:$D$16,Акты!$E$5:$E$16,"&lt;="&amp;A3792)-SUMIFS(Оплаты!$B$6:$B$505,Оплаты!$A$6:$A$505,"&lt;"&amp;A3792,Оплаты!$D$6:$D$505,"&lt;&gt;"))</f>
        <v/>
      </c>
      <c r="E3792" t="str">
        <f>IF(A3792="","",IF(SUMPRODUCT((Ввод!$F$12:$F$31&lt;&gt;"")*(Ввод!$F$12:$F$31&lt;=A3792)*(Ввод!$G$12:$G$31&gt;=A3792))&gt;0,1,0))</f>
        <v/>
      </c>
      <c r="G3792" t="str">
        <f t="shared" si="119"/>
        <v/>
      </c>
    </row>
    <row r="3793" spans="1:7" x14ac:dyDescent="0.3">
      <c r="A3793" s="21" t="str">
        <f>IF(A3792="","",IF(A3792+1&gt;Ввод!$B$4,"",A3792+1))</f>
        <v/>
      </c>
      <c r="B3793" s="23" t="str">
        <f>IF(A3793="","",IFERROR(INDEX(Ввод!$B$12:$B$71,MATCH(A3793,Ввод!$D$12:$D$71,1)),""))</f>
        <v/>
      </c>
      <c r="C3793" t="str">
        <f t="shared" si="118"/>
        <v/>
      </c>
      <c r="D3793" t="str">
        <f>IF(A3793="","",SUMIFS(Акты!$D$5:$D$16,Акты!$E$5:$E$16,"&lt;="&amp;A3793)-SUMIFS(Оплаты!$B$6:$B$505,Оплаты!$A$6:$A$505,"&lt;"&amp;A3793,Оплаты!$D$6:$D$505,"&lt;&gt;"))</f>
        <v/>
      </c>
      <c r="E3793" t="str">
        <f>IF(A3793="","",IF(SUMPRODUCT((Ввод!$F$12:$F$31&lt;&gt;"")*(Ввод!$F$12:$F$31&lt;=A3793)*(Ввод!$G$12:$G$31&gt;=A3793))&gt;0,1,0))</f>
        <v/>
      </c>
      <c r="G3793" t="str">
        <f t="shared" si="119"/>
        <v/>
      </c>
    </row>
    <row r="3794" spans="1:7" x14ac:dyDescent="0.3">
      <c r="A3794" s="21" t="str">
        <f>IF(A3793="","",IF(A3793+1&gt;Ввод!$B$4,"",A3793+1))</f>
        <v/>
      </c>
      <c r="B3794" s="23" t="str">
        <f>IF(A3794="","",IFERROR(INDEX(Ввод!$B$12:$B$71,MATCH(A3794,Ввод!$D$12:$D$71,1)),""))</f>
        <v/>
      </c>
      <c r="C3794" t="str">
        <f t="shared" si="118"/>
        <v/>
      </c>
      <c r="D3794" t="str">
        <f>IF(A3794="","",SUMIFS(Акты!$D$5:$D$16,Акты!$E$5:$E$16,"&lt;="&amp;A3794)-SUMIFS(Оплаты!$B$6:$B$505,Оплаты!$A$6:$A$505,"&lt;"&amp;A3794,Оплаты!$D$6:$D$505,"&lt;&gt;"))</f>
        <v/>
      </c>
      <c r="E3794" t="str">
        <f>IF(A3794="","",IF(SUMPRODUCT((Ввод!$F$12:$F$31&lt;&gt;"")*(Ввод!$F$12:$F$31&lt;=A3794)*(Ввод!$G$12:$G$31&gt;=A3794))&gt;0,1,0))</f>
        <v/>
      </c>
      <c r="G3794" t="str">
        <f t="shared" si="119"/>
        <v/>
      </c>
    </row>
    <row r="3795" spans="1:7" x14ac:dyDescent="0.3">
      <c r="A3795" s="21" t="str">
        <f>IF(A3794="","",IF(A3794+1&gt;Ввод!$B$4,"",A3794+1))</f>
        <v/>
      </c>
      <c r="B3795" s="23" t="str">
        <f>IF(A3795="","",IFERROR(INDEX(Ввод!$B$12:$B$71,MATCH(A3795,Ввод!$D$12:$D$71,1)),""))</f>
        <v/>
      </c>
      <c r="C3795" t="str">
        <f t="shared" si="118"/>
        <v/>
      </c>
      <c r="D3795" t="str">
        <f>IF(A3795="","",SUMIFS(Акты!$D$5:$D$16,Акты!$E$5:$E$16,"&lt;="&amp;A3795)-SUMIFS(Оплаты!$B$6:$B$505,Оплаты!$A$6:$A$505,"&lt;"&amp;A3795,Оплаты!$D$6:$D$505,"&lt;&gt;"))</f>
        <v/>
      </c>
      <c r="E3795" t="str">
        <f>IF(A3795="","",IF(SUMPRODUCT((Ввод!$F$12:$F$31&lt;&gt;"")*(Ввод!$F$12:$F$31&lt;=A3795)*(Ввод!$G$12:$G$31&gt;=A3795))&gt;0,1,0))</f>
        <v/>
      </c>
      <c r="G3795" t="str">
        <f t="shared" si="119"/>
        <v/>
      </c>
    </row>
    <row r="3796" spans="1:7" x14ac:dyDescent="0.3">
      <c r="A3796" s="21" t="str">
        <f>IF(A3795="","",IF(A3795+1&gt;Ввод!$B$4,"",A3795+1))</f>
        <v/>
      </c>
      <c r="B3796" s="23" t="str">
        <f>IF(A3796="","",IFERROR(INDEX(Ввод!$B$12:$B$71,MATCH(A3796,Ввод!$D$12:$D$71,1)),""))</f>
        <v/>
      </c>
      <c r="C3796" t="str">
        <f t="shared" si="118"/>
        <v/>
      </c>
      <c r="D3796" t="str">
        <f>IF(A3796="","",SUMIFS(Акты!$D$5:$D$16,Акты!$E$5:$E$16,"&lt;="&amp;A3796)-SUMIFS(Оплаты!$B$6:$B$505,Оплаты!$A$6:$A$505,"&lt;"&amp;A3796,Оплаты!$D$6:$D$505,"&lt;&gt;"))</f>
        <v/>
      </c>
      <c r="E3796" t="str">
        <f>IF(A3796="","",IF(SUMPRODUCT((Ввод!$F$12:$F$31&lt;&gt;"")*(Ввод!$F$12:$F$31&lt;=A3796)*(Ввод!$G$12:$G$31&gt;=A3796))&gt;0,1,0))</f>
        <v/>
      </c>
      <c r="G3796" t="str">
        <f t="shared" si="119"/>
        <v/>
      </c>
    </row>
    <row r="3797" spans="1:7" x14ac:dyDescent="0.3">
      <c r="A3797" s="21" t="str">
        <f>IF(A3796="","",IF(A3796+1&gt;Ввод!$B$4,"",A3796+1))</f>
        <v/>
      </c>
      <c r="B3797" s="23" t="str">
        <f>IF(A3797="","",IFERROR(INDEX(Ввод!$B$12:$B$71,MATCH(A3797,Ввод!$D$12:$D$71,1)),""))</f>
        <v/>
      </c>
      <c r="C3797" t="str">
        <f t="shared" si="118"/>
        <v/>
      </c>
      <c r="D3797" t="str">
        <f>IF(A3797="","",SUMIFS(Акты!$D$5:$D$16,Акты!$E$5:$E$16,"&lt;="&amp;A3797)-SUMIFS(Оплаты!$B$6:$B$505,Оплаты!$A$6:$A$505,"&lt;"&amp;A3797,Оплаты!$D$6:$D$505,"&lt;&gt;"))</f>
        <v/>
      </c>
      <c r="E3797" t="str">
        <f>IF(A3797="","",IF(SUMPRODUCT((Ввод!$F$12:$F$31&lt;&gt;"")*(Ввод!$F$12:$F$31&lt;=A3797)*(Ввод!$G$12:$G$31&gt;=A3797))&gt;0,1,0))</f>
        <v/>
      </c>
      <c r="G3797" t="str">
        <f t="shared" si="119"/>
        <v/>
      </c>
    </row>
    <row r="3798" spans="1:7" x14ac:dyDescent="0.3">
      <c r="A3798" s="21" t="str">
        <f>IF(A3797="","",IF(A3797+1&gt;Ввод!$B$4,"",A3797+1))</f>
        <v/>
      </c>
      <c r="B3798" s="23" t="str">
        <f>IF(A3798="","",IFERROR(INDEX(Ввод!$B$12:$B$71,MATCH(A3798,Ввод!$D$12:$D$71,1)),""))</f>
        <v/>
      </c>
      <c r="C3798" t="str">
        <f t="shared" si="118"/>
        <v/>
      </c>
      <c r="D3798" t="str">
        <f>IF(A3798="","",SUMIFS(Акты!$D$5:$D$16,Акты!$E$5:$E$16,"&lt;="&amp;A3798)-SUMIFS(Оплаты!$B$6:$B$505,Оплаты!$A$6:$A$505,"&lt;"&amp;A3798,Оплаты!$D$6:$D$505,"&lt;&gt;"))</f>
        <v/>
      </c>
      <c r="E3798" t="str">
        <f>IF(A3798="","",IF(SUMPRODUCT((Ввод!$F$12:$F$31&lt;&gt;"")*(Ввод!$F$12:$F$31&lt;=A3798)*(Ввод!$G$12:$G$31&gt;=A3798))&gt;0,1,0))</f>
        <v/>
      </c>
      <c r="G3798" t="str">
        <f t="shared" si="119"/>
        <v/>
      </c>
    </row>
    <row r="3799" spans="1:7" x14ac:dyDescent="0.3">
      <c r="A3799" s="21" t="str">
        <f>IF(A3798="","",IF(A3798+1&gt;Ввод!$B$4,"",A3798+1))</f>
        <v/>
      </c>
      <c r="B3799" s="23" t="str">
        <f>IF(A3799="","",IFERROR(INDEX(Ввод!$B$12:$B$71,MATCH(A3799,Ввод!$D$12:$D$71,1)),""))</f>
        <v/>
      </c>
      <c r="C3799" t="str">
        <f t="shared" si="118"/>
        <v/>
      </c>
      <c r="D3799" t="str">
        <f>IF(A3799="","",SUMIFS(Акты!$D$5:$D$16,Акты!$E$5:$E$16,"&lt;="&amp;A3799)-SUMIFS(Оплаты!$B$6:$B$505,Оплаты!$A$6:$A$505,"&lt;"&amp;A3799,Оплаты!$D$6:$D$505,"&lt;&gt;"))</f>
        <v/>
      </c>
      <c r="E3799" t="str">
        <f>IF(A3799="","",IF(SUMPRODUCT((Ввод!$F$12:$F$31&lt;&gt;"")*(Ввод!$F$12:$F$31&lt;=A3799)*(Ввод!$G$12:$G$31&gt;=A3799))&gt;0,1,0))</f>
        <v/>
      </c>
      <c r="G3799" t="str">
        <f t="shared" si="119"/>
        <v/>
      </c>
    </row>
    <row r="3800" spans="1:7" x14ac:dyDescent="0.3">
      <c r="A3800" s="21" t="str">
        <f>IF(A3799="","",IF(A3799+1&gt;Ввод!$B$4,"",A3799+1))</f>
        <v/>
      </c>
      <c r="B3800" s="23" t="str">
        <f>IF(A3800="","",IFERROR(INDEX(Ввод!$B$12:$B$71,MATCH(A3800,Ввод!$D$12:$D$71,1)),""))</f>
        <v/>
      </c>
      <c r="C3800" t="str">
        <f t="shared" si="118"/>
        <v/>
      </c>
      <c r="D3800" t="str">
        <f>IF(A3800="","",SUMIFS(Акты!$D$5:$D$16,Акты!$E$5:$E$16,"&lt;="&amp;A3800)-SUMIFS(Оплаты!$B$6:$B$505,Оплаты!$A$6:$A$505,"&lt;"&amp;A3800,Оплаты!$D$6:$D$505,"&lt;&gt;"))</f>
        <v/>
      </c>
      <c r="E3800" t="str">
        <f>IF(A3800="","",IF(SUMPRODUCT((Ввод!$F$12:$F$31&lt;&gt;"")*(Ввод!$F$12:$F$31&lt;=A3800)*(Ввод!$G$12:$G$31&gt;=A3800))&gt;0,1,0))</f>
        <v/>
      </c>
      <c r="G3800" t="str">
        <f t="shared" si="119"/>
        <v/>
      </c>
    </row>
    <row r="3801" spans="1:7" x14ac:dyDescent="0.3">
      <c r="A3801" s="21" t="str">
        <f>IF(A3800="","",IF(A3800+1&gt;Ввод!$B$4,"",A3800+1))</f>
        <v/>
      </c>
      <c r="B3801" s="23" t="str">
        <f>IF(A3801="","",IFERROR(INDEX(Ввод!$B$12:$B$71,MATCH(A3801,Ввод!$D$12:$D$71,1)),""))</f>
        <v/>
      </c>
      <c r="C3801" t="str">
        <f t="shared" si="118"/>
        <v/>
      </c>
      <c r="D3801" t="str">
        <f>IF(A3801="","",SUMIFS(Акты!$D$5:$D$16,Акты!$E$5:$E$16,"&lt;="&amp;A3801)-SUMIFS(Оплаты!$B$6:$B$505,Оплаты!$A$6:$A$505,"&lt;"&amp;A3801,Оплаты!$D$6:$D$505,"&lt;&gt;"))</f>
        <v/>
      </c>
      <c r="E3801" t="str">
        <f>IF(A3801="","",IF(SUMPRODUCT((Ввод!$F$12:$F$31&lt;&gt;"")*(Ввод!$F$12:$F$31&lt;=A3801)*(Ввод!$G$12:$G$31&gt;=A3801))&gt;0,1,0))</f>
        <v/>
      </c>
      <c r="G3801" t="str">
        <f t="shared" si="119"/>
        <v/>
      </c>
    </row>
    <row r="3802" spans="1:7" x14ac:dyDescent="0.3">
      <c r="A3802" s="21" t="str">
        <f>IF(A3801="","",IF(A3801+1&gt;Ввод!$B$4,"",A3801+1))</f>
        <v/>
      </c>
      <c r="B3802" s="23" t="str">
        <f>IF(A3802="","",IFERROR(INDEX(Ввод!$B$12:$B$71,MATCH(A3802,Ввод!$D$12:$D$71,1)),""))</f>
        <v/>
      </c>
      <c r="C3802" t="str">
        <f t="shared" si="118"/>
        <v/>
      </c>
      <c r="D3802" t="str">
        <f>IF(A3802="","",SUMIFS(Акты!$D$5:$D$16,Акты!$E$5:$E$16,"&lt;="&amp;A3802)-SUMIFS(Оплаты!$B$6:$B$505,Оплаты!$A$6:$A$505,"&lt;"&amp;A3802,Оплаты!$D$6:$D$505,"&lt;&gt;"))</f>
        <v/>
      </c>
      <c r="E3802" t="str">
        <f>IF(A3802="","",IF(SUMPRODUCT((Ввод!$F$12:$F$31&lt;&gt;"")*(Ввод!$F$12:$F$31&lt;=A3802)*(Ввод!$G$12:$G$31&gt;=A3802))&gt;0,1,0))</f>
        <v/>
      </c>
      <c r="G3802" t="str">
        <f t="shared" si="119"/>
        <v/>
      </c>
    </row>
    <row r="3803" spans="1:7" x14ac:dyDescent="0.3">
      <c r="A3803" s="21" t="str">
        <f>IF(A3802="","",IF(A3802+1&gt;Ввод!$B$4,"",A3802+1))</f>
        <v/>
      </c>
      <c r="B3803" s="23" t="str">
        <f>IF(A3803="","",IFERROR(INDEX(Ввод!$B$12:$B$71,MATCH(A3803,Ввод!$D$12:$D$71,1)),""))</f>
        <v/>
      </c>
      <c r="C3803" t="str">
        <f t="shared" si="118"/>
        <v/>
      </c>
      <c r="D3803" t="str">
        <f>IF(A3803="","",SUMIFS(Акты!$D$5:$D$16,Акты!$E$5:$E$16,"&lt;="&amp;A3803)-SUMIFS(Оплаты!$B$6:$B$505,Оплаты!$A$6:$A$505,"&lt;"&amp;A3803,Оплаты!$D$6:$D$505,"&lt;&gt;"))</f>
        <v/>
      </c>
      <c r="E3803" t="str">
        <f>IF(A3803="","",IF(SUMPRODUCT((Ввод!$F$12:$F$31&lt;&gt;"")*(Ввод!$F$12:$F$31&lt;=A3803)*(Ввод!$G$12:$G$31&gt;=A3803))&gt;0,1,0))</f>
        <v/>
      </c>
      <c r="G3803" t="str">
        <f t="shared" si="119"/>
        <v/>
      </c>
    </row>
    <row r="3804" spans="1:7" x14ac:dyDescent="0.3">
      <c r="A3804" s="21" t="str">
        <f>IF(A3803="","",IF(A3803+1&gt;Ввод!$B$4,"",A3803+1))</f>
        <v/>
      </c>
      <c r="B3804" s="23" t="str">
        <f>IF(A3804="","",IFERROR(INDEX(Ввод!$B$12:$B$71,MATCH(A3804,Ввод!$D$12:$D$71,1)),""))</f>
        <v/>
      </c>
      <c r="C3804" t="str">
        <f t="shared" si="118"/>
        <v/>
      </c>
      <c r="D3804" t="str">
        <f>IF(A3804="","",SUMIFS(Акты!$D$5:$D$16,Акты!$E$5:$E$16,"&lt;="&amp;A3804)-SUMIFS(Оплаты!$B$6:$B$505,Оплаты!$A$6:$A$505,"&lt;"&amp;A3804,Оплаты!$D$6:$D$505,"&lt;&gt;"))</f>
        <v/>
      </c>
      <c r="E3804" t="str">
        <f>IF(A3804="","",IF(SUMPRODUCT((Ввод!$F$12:$F$31&lt;&gt;"")*(Ввод!$F$12:$F$31&lt;=A3804)*(Ввод!$G$12:$G$31&gt;=A3804))&gt;0,1,0))</f>
        <v/>
      </c>
      <c r="G3804" t="str">
        <f t="shared" si="119"/>
        <v/>
      </c>
    </row>
    <row r="3805" spans="1:7" x14ac:dyDescent="0.3">
      <c r="A3805" s="21" t="str">
        <f>IF(A3804="","",IF(A3804+1&gt;Ввод!$B$4,"",A3804+1))</f>
        <v/>
      </c>
      <c r="B3805" s="23" t="str">
        <f>IF(A3805="","",IFERROR(INDEX(Ввод!$B$12:$B$71,MATCH(A3805,Ввод!$D$12:$D$71,1)),""))</f>
        <v/>
      </c>
      <c r="C3805" t="str">
        <f t="shared" si="118"/>
        <v/>
      </c>
      <c r="D3805" t="str">
        <f>IF(A3805="","",SUMIFS(Акты!$D$5:$D$16,Акты!$E$5:$E$16,"&lt;="&amp;A3805)-SUMIFS(Оплаты!$B$6:$B$505,Оплаты!$A$6:$A$505,"&lt;"&amp;A3805,Оплаты!$D$6:$D$505,"&lt;&gt;"))</f>
        <v/>
      </c>
      <c r="E3805" t="str">
        <f>IF(A3805="","",IF(SUMPRODUCT((Ввод!$F$12:$F$31&lt;&gt;"")*(Ввод!$F$12:$F$31&lt;=A3805)*(Ввод!$G$12:$G$31&gt;=A3805))&gt;0,1,0))</f>
        <v/>
      </c>
      <c r="G3805" t="str">
        <f t="shared" si="119"/>
        <v/>
      </c>
    </row>
    <row r="3806" spans="1:7" x14ac:dyDescent="0.3">
      <c r="A3806" s="21" t="str">
        <f>IF(A3805="","",IF(A3805+1&gt;Ввод!$B$4,"",A3805+1))</f>
        <v/>
      </c>
      <c r="B3806" s="23" t="str">
        <f>IF(A3806="","",IFERROR(INDEX(Ввод!$B$12:$B$71,MATCH(A3806,Ввод!$D$12:$D$71,1)),""))</f>
        <v/>
      </c>
      <c r="C3806" t="str">
        <f t="shared" si="118"/>
        <v/>
      </c>
      <c r="D3806" t="str">
        <f>IF(A3806="","",SUMIFS(Акты!$D$5:$D$16,Акты!$E$5:$E$16,"&lt;="&amp;A3806)-SUMIFS(Оплаты!$B$6:$B$505,Оплаты!$A$6:$A$505,"&lt;"&amp;A3806,Оплаты!$D$6:$D$505,"&lt;&gt;"))</f>
        <v/>
      </c>
      <c r="E3806" t="str">
        <f>IF(A3806="","",IF(SUMPRODUCT((Ввод!$F$12:$F$31&lt;&gt;"")*(Ввод!$F$12:$F$31&lt;=A3806)*(Ввод!$G$12:$G$31&gt;=A3806))&gt;0,1,0))</f>
        <v/>
      </c>
      <c r="G3806" t="str">
        <f t="shared" si="119"/>
        <v/>
      </c>
    </row>
    <row r="3807" spans="1:7" x14ac:dyDescent="0.3">
      <c r="A3807" s="21" t="str">
        <f>IF(A3806="","",IF(A3806+1&gt;Ввод!$B$4,"",A3806+1))</f>
        <v/>
      </c>
      <c r="B3807" s="23" t="str">
        <f>IF(A3807="","",IFERROR(INDEX(Ввод!$B$12:$B$71,MATCH(A3807,Ввод!$D$12:$D$71,1)),""))</f>
        <v/>
      </c>
      <c r="C3807" t="str">
        <f t="shared" si="118"/>
        <v/>
      </c>
      <c r="D3807" t="str">
        <f>IF(A3807="","",SUMIFS(Акты!$D$5:$D$16,Акты!$E$5:$E$16,"&lt;="&amp;A3807)-SUMIFS(Оплаты!$B$6:$B$505,Оплаты!$A$6:$A$505,"&lt;"&amp;A3807,Оплаты!$D$6:$D$505,"&lt;&gt;"))</f>
        <v/>
      </c>
      <c r="E3807" t="str">
        <f>IF(A3807="","",IF(SUMPRODUCT((Ввод!$F$12:$F$31&lt;&gt;"")*(Ввод!$F$12:$F$31&lt;=A3807)*(Ввод!$G$12:$G$31&gt;=A3807))&gt;0,1,0))</f>
        <v/>
      </c>
      <c r="G3807" t="str">
        <f t="shared" si="119"/>
        <v/>
      </c>
    </row>
    <row r="3808" spans="1:7" x14ac:dyDescent="0.3">
      <c r="A3808" s="21" t="str">
        <f>IF(A3807="","",IF(A3807+1&gt;Ввод!$B$4,"",A3807+1))</f>
        <v/>
      </c>
      <c r="B3808" s="23" t="str">
        <f>IF(A3808="","",IFERROR(INDEX(Ввод!$B$12:$B$71,MATCH(A3808,Ввод!$D$12:$D$71,1)),""))</f>
        <v/>
      </c>
      <c r="C3808" t="str">
        <f t="shared" si="118"/>
        <v/>
      </c>
      <c r="D3808" t="str">
        <f>IF(A3808="","",SUMIFS(Акты!$D$5:$D$16,Акты!$E$5:$E$16,"&lt;="&amp;A3808)-SUMIFS(Оплаты!$B$6:$B$505,Оплаты!$A$6:$A$505,"&lt;"&amp;A3808,Оплаты!$D$6:$D$505,"&lt;&gt;"))</f>
        <v/>
      </c>
      <c r="E3808" t="str">
        <f>IF(A3808="","",IF(SUMPRODUCT((Ввод!$F$12:$F$31&lt;&gt;"")*(Ввод!$F$12:$F$31&lt;=A3808)*(Ввод!$G$12:$G$31&gt;=A3808))&gt;0,1,0))</f>
        <v/>
      </c>
      <c r="G3808" t="str">
        <f t="shared" si="119"/>
        <v/>
      </c>
    </row>
    <row r="3809" spans="1:7" x14ac:dyDescent="0.3">
      <c r="A3809" s="21" t="str">
        <f>IF(A3808="","",IF(A3808+1&gt;Ввод!$B$4,"",A3808+1))</f>
        <v/>
      </c>
      <c r="B3809" s="23" t="str">
        <f>IF(A3809="","",IFERROR(INDEX(Ввод!$B$12:$B$71,MATCH(A3809,Ввод!$D$12:$D$71,1)),""))</f>
        <v/>
      </c>
      <c r="C3809" t="str">
        <f t="shared" si="118"/>
        <v/>
      </c>
      <c r="D3809" t="str">
        <f>IF(A3809="","",SUMIFS(Акты!$D$5:$D$16,Акты!$E$5:$E$16,"&lt;="&amp;A3809)-SUMIFS(Оплаты!$B$6:$B$505,Оплаты!$A$6:$A$505,"&lt;"&amp;A3809,Оплаты!$D$6:$D$505,"&lt;&gt;"))</f>
        <v/>
      </c>
      <c r="E3809" t="str">
        <f>IF(A3809="","",IF(SUMPRODUCT((Ввод!$F$12:$F$31&lt;&gt;"")*(Ввод!$F$12:$F$31&lt;=A3809)*(Ввод!$G$12:$G$31&gt;=A3809))&gt;0,1,0))</f>
        <v/>
      </c>
      <c r="G3809" t="str">
        <f t="shared" si="119"/>
        <v/>
      </c>
    </row>
    <row r="3810" spans="1:7" x14ac:dyDescent="0.3">
      <c r="A3810" s="21" t="str">
        <f>IF(A3809="","",IF(A3809+1&gt;Ввод!$B$4,"",A3809+1))</f>
        <v/>
      </c>
      <c r="B3810" s="23" t="str">
        <f>IF(A3810="","",IFERROR(INDEX(Ввод!$B$12:$B$71,MATCH(A3810,Ввод!$D$12:$D$71,1)),""))</f>
        <v/>
      </c>
      <c r="C3810" t="str">
        <f t="shared" si="118"/>
        <v/>
      </c>
      <c r="D3810" t="str">
        <f>IF(A3810="","",SUMIFS(Акты!$D$5:$D$16,Акты!$E$5:$E$16,"&lt;="&amp;A3810)-SUMIFS(Оплаты!$B$6:$B$505,Оплаты!$A$6:$A$505,"&lt;"&amp;A3810,Оплаты!$D$6:$D$505,"&lt;&gt;"))</f>
        <v/>
      </c>
      <c r="E3810" t="str">
        <f>IF(A3810="","",IF(SUMPRODUCT((Ввод!$F$12:$F$31&lt;&gt;"")*(Ввод!$F$12:$F$31&lt;=A3810)*(Ввод!$G$12:$G$31&gt;=A3810))&gt;0,1,0))</f>
        <v/>
      </c>
      <c r="G3810" t="str">
        <f t="shared" si="119"/>
        <v/>
      </c>
    </row>
    <row r="3811" spans="1:7" x14ac:dyDescent="0.3">
      <c r="A3811" s="21" t="str">
        <f>IF(A3810="","",IF(A3810+1&gt;Ввод!$B$4,"",A3810+1))</f>
        <v/>
      </c>
      <c r="B3811" s="23" t="str">
        <f>IF(A3811="","",IFERROR(INDEX(Ввод!$B$12:$B$71,MATCH(A3811,Ввод!$D$12:$D$71,1)),""))</f>
        <v/>
      </c>
      <c r="C3811" t="str">
        <f t="shared" si="118"/>
        <v/>
      </c>
      <c r="D3811" t="str">
        <f>IF(A3811="","",SUMIFS(Акты!$D$5:$D$16,Акты!$E$5:$E$16,"&lt;="&amp;A3811)-SUMIFS(Оплаты!$B$6:$B$505,Оплаты!$A$6:$A$505,"&lt;"&amp;A3811,Оплаты!$D$6:$D$505,"&lt;&gt;"))</f>
        <v/>
      </c>
      <c r="E3811" t="str">
        <f>IF(A3811="","",IF(SUMPRODUCT((Ввод!$F$12:$F$31&lt;&gt;"")*(Ввод!$F$12:$F$31&lt;=A3811)*(Ввод!$G$12:$G$31&gt;=A3811))&gt;0,1,0))</f>
        <v/>
      </c>
      <c r="G3811" t="str">
        <f t="shared" si="119"/>
        <v/>
      </c>
    </row>
    <row r="3812" spans="1:7" x14ac:dyDescent="0.3">
      <c r="A3812" s="21" t="str">
        <f>IF(A3811="","",IF(A3811+1&gt;Ввод!$B$4,"",A3811+1))</f>
        <v/>
      </c>
      <c r="B3812" s="23" t="str">
        <f>IF(A3812="","",IFERROR(INDEX(Ввод!$B$12:$B$71,MATCH(A3812,Ввод!$D$12:$D$71,1)),""))</f>
        <v/>
      </c>
      <c r="C3812" t="str">
        <f t="shared" si="118"/>
        <v/>
      </c>
      <c r="D3812" t="str">
        <f>IF(A3812="","",SUMIFS(Акты!$D$5:$D$16,Акты!$E$5:$E$16,"&lt;="&amp;A3812)-SUMIFS(Оплаты!$B$6:$B$505,Оплаты!$A$6:$A$505,"&lt;"&amp;A3812,Оплаты!$D$6:$D$505,"&lt;&gt;"))</f>
        <v/>
      </c>
      <c r="E3812" t="str">
        <f>IF(A3812="","",IF(SUMPRODUCT((Ввод!$F$12:$F$31&lt;&gt;"")*(Ввод!$F$12:$F$31&lt;=A3812)*(Ввод!$G$12:$G$31&gt;=A3812))&gt;0,1,0))</f>
        <v/>
      </c>
      <c r="G3812" t="str">
        <f t="shared" si="119"/>
        <v/>
      </c>
    </row>
    <row r="3813" spans="1:7" x14ac:dyDescent="0.3">
      <c r="A3813" s="21" t="str">
        <f>IF(A3812="","",IF(A3812+1&gt;Ввод!$B$4,"",A3812+1))</f>
        <v/>
      </c>
      <c r="B3813" s="23" t="str">
        <f>IF(A3813="","",IFERROR(INDEX(Ввод!$B$12:$B$71,MATCH(A3813,Ввод!$D$12:$D$71,1)),""))</f>
        <v/>
      </c>
      <c r="C3813" t="str">
        <f t="shared" si="118"/>
        <v/>
      </c>
      <c r="D3813" t="str">
        <f>IF(A3813="","",SUMIFS(Акты!$D$5:$D$16,Акты!$E$5:$E$16,"&lt;="&amp;A3813)-SUMIFS(Оплаты!$B$6:$B$505,Оплаты!$A$6:$A$505,"&lt;"&amp;A3813,Оплаты!$D$6:$D$505,"&lt;&gt;"))</f>
        <v/>
      </c>
      <c r="E3813" t="str">
        <f>IF(A3813="","",IF(SUMPRODUCT((Ввод!$F$12:$F$31&lt;&gt;"")*(Ввод!$F$12:$F$31&lt;=A3813)*(Ввод!$G$12:$G$31&gt;=A3813))&gt;0,1,0))</f>
        <v/>
      </c>
      <c r="G3813" t="str">
        <f t="shared" si="119"/>
        <v/>
      </c>
    </row>
    <row r="3814" spans="1:7" x14ac:dyDescent="0.3">
      <c r="A3814" s="21" t="str">
        <f>IF(A3813="","",IF(A3813+1&gt;Ввод!$B$4,"",A3813+1))</f>
        <v/>
      </c>
      <c r="B3814" s="23" t="str">
        <f>IF(A3814="","",IFERROR(INDEX(Ввод!$B$12:$B$71,MATCH(A3814,Ввод!$D$12:$D$71,1)),""))</f>
        <v/>
      </c>
      <c r="C3814" t="str">
        <f t="shared" si="118"/>
        <v/>
      </c>
      <c r="D3814" t="str">
        <f>IF(A3814="","",SUMIFS(Акты!$D$5:$D$16,Акты!$E$5:$E$16,"&lt;="&amp;A3814)-SUMIFS(Оплаты!$B$6:$B$505,Оплаты!$A$6:$A$505,"&lt;"&amp;A3814,Оплаты!$D$6:$D$505,"&lt;&gt;"))</f>
        <v/>
      </c>
      <c r="E3814" t="str">
        <f>IF(A3814="","",IF(SUMPRODUCT((Ввод!$F$12:$F$31&lt;&gt;"")*(Ввод!$F$12:$F$31&lt;=A3814)*(Ввод!$G$12:$G$31&gt;=A3814))&gt;0,1,0))</f>
        <v/>
      </c>
      <c r="G3814" t="str">
        <f t="shared" si="119"/>
        <v/>
      </c>
    </row>
    <row r="3815" spans="1:7" x14ac:dyDescent="0.3">
      <c r="A3815" s="21" t="str">
        <f>IF(A3814="","",IF(A3814+1&gt;Ввод!$B$4,"",A3814+1))</f>
        <v/>
      </c>
      <c r="B3815" s="23" t="str">
        <f>IF(A3815="","",IFERROR(INDEX(Ввод!$B$12:$B$71,MATCH(A3815,Ввод!$D$12:$D$71,1)),""))</f>
        <v/>
      </c>
      <c r="C3815" t="str">
        <f t="shared" si="118"/>
        <v/>
      </c>
      <c r="D3815" t="str">
        <f>IF(A3815="","",SUMIFS(Акты!$D$5:$D$16,Акты!$E$5:$E$16,"&lt;="&amp;A3815)-SUMIFS(Оплаты!$B$6:$B$505,Оплаты!$A$6:$A$505,"&lt;"&amp;A3815,Оплаты!$D$6:$D$505,"&lt;&gt;"))</f>
        <v/>
      </c>
      <c r="E3815" t="str">
        <f>IF(A3815="","",IF(SUMPRODUCT((Ввод!$F$12:$F$31&lt;&gt;"")*(Ввод!$F$12:$F$31&lt;=A3815)*(Ввод!$G$12:$G$31&gt;=A3815))&gt;0,1,0))</f>
        <v/>
      </c>
      <c r="G3815" t="str">
        <f t="shared" si="119"/>
        <v/>
      </c>
    </row>
    <row r="3816" spans="1:7" x14ac:dyDescent="0.3">
      <c r="A3816" s="21" t="str">
        <f>IF(A3815="","",IF(A3815+1&gt;Ввод!$B$4,"",A3815+1))</f>
        <v/>
      </c>
      <c r="B3816" s="23" t="str">
        <f>IF(A3816="","",IFERROR(INDEX(Ввод!$B$12:$B$71,MATCH(A3816,Ввод!$D$12:$D$71,1)),""))</f>
        <v/>
      </c>
      <c r="C3816" t="str">
        <f t="shared" si="118"/>
        <v/>
      </c>
      <c r="D3816" t="str">
        <f>IF(A3816="","",SUMIFS(Акты!$D$5:$D$16,Акты!$E$5:$E$16,"&lt;="&amp;A3816)-SUMIFS(Оплаты!$B$6:$B$505,Оплаты!$A$6:$A$505,"&lt;"&amp;A3816,Оплаты!$D$6:$D$505,"&lt;&gt;"))</f>
        <v/>
      </c>
      <c r="E3816" t="str">
        <f>IF(A3816="","",IF(SUMPRODUCT((Ввод!$F$12:$F$31&lt;&gt;"")*(Ввод!$F$12:$F$31&lt;=A3816)*(Ввод!$G$12:$G$31&gt;=A3816))&gt;0,1,0))</f>
        <v/>
      </c>
      <c r="G3816" t="str">
        <f t="shared" si="119"/>
        <v/>
      </c>
    </row>
    <row r="3817" spans="1:7" x14ac:dyDescent="0.3">
      <c r="A3817" s="21" t="str">
        <f>IF(A3816="","",IF(A3816+1&gt;Ввод!$B$4,"",A3816+1))</f>
        <v/>
      </c>
      <c r="B3817" s="23" t="str">
        <f>IF(A3817="","",IFERROR(INDEX(Ввод!$B$12:$B$71,MATCH(A3817,Ввод!$D$12:$D$71,1)),""))</f>
        <v/>
      </c>
      <c r="C3817" t="str">
        <f t="shared" si="118"/>
        <v/>
      </c>
      <c r="D3817" t="str">
        <f>IF(A3817="","",SUMIFS(Акты!$D$5:$D$16,Акты!$E$5:$E$16,"&lt;="&amp;A3817)-SUMIFS(Оплаты!$B$6:$B$505,Оплаты!$A$6:$A$505,"&lt;"&amp;A3817,Оплаты!$D$6:$D$505,"&lt;&gt;"))</f>
        <v/>
      </c>
      <c r="E3817" t="str">
        <f>IF(A3817="","",IF(SUMPRODUCT((Ввод!$F$12:$F$31&lt;&gt;"")*(Ввод!$F$12:$F$31&lt;=A3817)*(Ввод!$G$12:$G$31&gt;=A3817))&gt;0,1,0))</f>
        <v/>
      </c>
      <c r="G3817" t="str">
        <f t="shared" si="119"/>
        <v/>
      </c>
    </row>
    <row r="3818" spans="1:7" x14ac:dyDescent="0.3">
      <c r="A3818" s="21" t="str">
        <f>IF(A3817="","",IF(A3817+1&gt;Ввод!$B$4,"",A3817+1))</f>
        <v/>
      </c>
      <c r="B3818" s="23" t="str">
        <f>IF(A3818="","",IFERROR(INDEX(Ввод!$B$12:$B$71,MATCH(A3818,Ввод!$D$12:$D$71,1)),""))</f>
        <v/>
      </c>
      <c r="C3818" t="str">
        <f t="shared" si="118"/>
        <v/>
      </c>
      <c r="D3818" t="str">
        <f>IF(A3818="","",SUMIFS(Акты!$D$5:$D$16,Акты!$E$5:$E$16,"&lt;="&amp;A3818)-SUMIFS(Оплаты!$B$6:$B$505,Оплаты!$A$6:$A$505,"&lt;"&amp;A3818,Оплаты!$D$6:$D$505,"&lt;&gt;"))</f>
        <v/>
      </c>
      <c r="E3818" t="str">
        <f>IF(A3818="","",IF(SUMPRODUCT((Ввод!$F$12:$F$31&lt;&gt;"")*(Ввод!$F$12:$F$31&lt;=A3818)*(Ввод!$G$12:$G$31&gt;=A3818))&gt;0,1,0))</f>
        <v/>
      </c>
      <c r="G3818" t="str">
        <f t="shared" si="119"/>
        <v/>
      </c>
    </row>
    <row r="3819" spans="1:7" x14ac:dyDescent="0.3">
      <c r="A3819" s="21" t="str">
        <f>IF(A3818="","",IF(A3818+1&gt;Ввод!$B$4,"",A3818+1))</f>
        <v/>
      </c>
      <c r="B3819" s="23" t="str">
        <f>IF(A3819="","",IFERROR(INDEX(Ввод!$B$12:$B$71,MATCH(A3819,Ввод!$D$12:$D$71,1)),""))</f>
        <v/>
      </c>
      <c r="C3819" t="str">
        <f t="shared" si="118"/>
        <v/>
      </c>
      <c r="D3819" t="str">
        <f>IF(A3819="","",SUMIFS(Акты!$D$5:$D$16,Акты!$E$5:$E$16,"&lt;="&amp;A3819)-SUMIFS(Оплаты!$B$6:$B$505,Оплаты!$A$6:$A$505,"&lt;"&amp;A3819,Оплаты!$D$6:$D$505,"&lt;&gt;"))</f>
        <v/>
      </c>
      <c r="E3819" t="str">
        <f>IF(A3819="","",IF(SUMPRODUCT((Ввод!$F$12:$F$31&lt;&gt;"")*(Ввод!$F$12:$F$31&lt;=A3819)*(Ввод!$G$12:$G$31&gt;=A3819))&gt;0,1,0))</f>
        <v/>
      </c>
      <c r="G3819" t="str">
        <f t="shared" si="119"/>
        <v/>
      </c>
    </row>
    <row r="3820" spans="1:7" x14ac:dyDescent="0.3">
      <c r="A3820" s="21" t="str">
        <f>IF(A3819="","",IF(A3819+1&gt;Ввод!$B$4,"",A3819+1))</f>
        <v/>
      </c>
      <c r="B3820" s="23" t="str">
        <f>IF(A3820="","",IFERROR(INDEX(Ввод!$B$12:$B$71,MATCH(A3820,Ввод!$D$12:$D$71,1)),""))</f>
        <v/>
      </c>
      <c r="C3820" t="str">
        <f t="shared" si="118"/>
        <v/>
      </c>
      <c r="D3820" t="str">
        <f>IF(A3820="","",SUMIFS(Акты!$D$5:$D$16,Акты!$E$5:$E$16,"&lt;="&amp;A3820)-SUMIFS(Оплаты!$B$6:$B$505,Оплаты!$A$6:$A$505,"&lt;"&amp;A3820,Оплаты!$D$6:$D$505,"&lt;&gt;"))</f>
        <v/>
      </c>
      <c r="E3820" t="str">
        <f>IF(A3820="","",IF(SUMPRODUCT((Ввод!$F$12:$F$31&lt;&gt;"")*(Ввод!$F$12:$F$31&lt;=A3820)*(Ввод!$G$12:$G$31&gt;=A3820))&gt;0,1,0))</f>
        <v/>
      </c>
      <c r="G3820" t="str">
        <f t="shared" si="119"/>
        <v/>
      </c>
    </row>
    <row r="3821" spans="1:7" x14ac:dyDescent="0.3">
      <c r="A3821" s="21" t="str">
        <f>IF(A3820="","",IF(A3820+1&gt;Ввод!$B$4,"",A3820+1))</f>
        <v/>
      </c>
      <c r="B3821" s="23" t="str">
        <f>IF(A3821="","",IFERROR(INDEX(Ввод!$B$12:$B$71,MATCH(A3821,Ввод!$D$12:$D$71,1)),""))</f>
        <v/>
      </c>
      <c r="C3821" t="str">
        <f t="shared" si="118"/>
        <v/>
      </c>
      <c r="D3821" t="str">
        <f>IF(A3821="","",SUMIFS(Акты!$D$5:$D$16,Акты!$E$5:$E$16,"&lt;="&amp;A3821)-SUMIFS(Оплаты!$B$6:$B$505,Оплаты!$A$6:$A$505,"&lt;"&amp;A3821,Оплаты!$D$6:$D$505,"&lt;&gt;"))</f>
        <v/>
      </c>
      <c r="E3821" t="str">
        <f>IF(A3821="","",IF(SUMPRODUCT((Ввод!$F$12:$F$31&lt;&gt;"")*(Ввод!$F$12:$F$31&lt;=A3821)*(Ввод!$G$12:$G$31&gt;=A3821))&gt;0,1,0))</f>
        <v/>
      </c>
      <c r="G3821" t="str">
        <f t="shared" si="119"/>
        <v/>
      </c>
    </row>
    <row r="3822" spans="1:7" x14ac:dyDescent="0.3">
      <c r="A3822" s="21" t="str">
        <f>IF(A3821="","",IF(A3821+1&gt;Ввод!$B$4,"",A3821+1))</f>
        <v/>
      </c>
      <c r="B3822" s="23" t="str">
        <f>IF(A3822="","",IFERROR(INDEX(Ввод!$B$12:$B$71,MATCH(A3822,Ввод!$D$12:$D$71,1)),""))</f>
        <v/>
      </c>
      <c r="C3822" t="str">
        <f t="shared" si="118"/>
        <v/>
      </c>
      <c r="D3822" t="str">
        <f>IF(A3822="","",SUMIFS(Акты!$D$5:$D$16,Акты!$E$5:$E$16,"&lt;="&amp;A3822)-SUMIFS(Оплаты!$B$6:$B$505,Оплаты!$A$6:$A$505,"&lt;"&amp;A3822,Оплаты!$D$6:$D$505,"&lt;&gt;"))</f>
        <v/>
      </c>
      <c r="E3822" t="str">
        <f>IF(A3822="","",IF(SUMPRODUCT((Ввод!$F$12:$F$31&lt;&gt;"")*(Ввод!$F$12:$F$31&lt;=A3822)*(Ввод!$G$12:$G$31&gt;=A3822))&gt;0,1,0))</f>
        <v/>
      </c>
      <c r="G3822" t="str">
        <f t="shared" si="119"/>
        <v/>
      </c>
    </row>
    <row r="3823" spans="1:7" x14ac:dyDescent="0.3">
      <c r="A3823" s="21" t="str">
        <f>IF(A3822="","",IF(A3822+1&gt;Ввод!$B$4,"",A3822+1))</f>
        <v/>
      </c>
      <c r="B3823" s="23" t="str">
        <f>IF(A3823="","",IFERROR(INDEX(Ввод!$B$12:$B$71,MATCH(A3823,Ввод!$D$12:$D$71,1)),""))</f>
        <v/>
      </c>
      <c r="C3823" t="str">
        <f t="shared" si="118"/>
        <v/>
      </c>
      <c r="D3823" t="str">
        <f>IF(A3823="","",SUMIFS(Акты!$D$5:$D$16,Акты!$E$5:$E$16,"&lt;="&amp;A3823)-SUMIFS(Оплаты!$B$6:$B$505,Оплаты!$A$6:$A$505,"&lt;"&amp;A3823,Оплаты!$D$6:$D$505,"&lt;&gt;"))</f>
        <v/>
      </c>
      <c r="E3823" t="str">
        <f>IF(A3823="","",IF(SUMPRODUCT((Ввод!$F$12:$F$31&lt;&gt;"")*(Ввод!$F$12:$F$31&lt;=A3823)*(Ввод!$G$12:$G$31&gt;=A3823))&gt;0,1,0))</f>
        <v/>
      </c>
      <c r="G3823" t="str">
        <f t="shared" si="119"/>
        <v/>
      </c>
    </row>
    <row r="3824" spans="1:7" x14ac:dyDescent="0.3">
      <c r="A3824" s="21" t="str">
        <f>IF(A3823="","",IF(A3823+1&gt;Ввод!$B$4,"",A3823+1))</f>
        <v/>
      </c>
      <c r="B3824" s="23" t="str">
        <f>IF(A3824="","",IFERROR(INDEX(Ввод!$B$12:$B$71,MATCH(A3824,Ввод!$D$12:$D$71,1)),""))</f>
        <v/>
      </c>
      <c r="C3824" t="str">
        <f t="shared" si="118"/>
        <v/>
      </c>
      <c r="D3824" t="str">
        <f>IF(A3824="","",SUMIFS(Акты!$D$5:$D$16,Акты!$E$5:$E$16,"&lt;="&amp;A3824)-SUMIFS(Оплаты!$B$6:$B$505,Оплаты!$A$6:$A$505,"&lt;"&amp;A3824,Оплаты!$D$6:$D$505,"&lt;&gt;"))</f>
        <v/>
      </c>
      <c r="E3824" t="str">
        <f>IF(A3824="","",IF(SUMPRODUCT((Ввод!$F$12:$F$31&lt;&gt;"")*(Ввод!$F$12:$F$31&lt;=A3824)*(Ввод!$G$12:$G$31&gt;=A3824))&gt;0,1,0))</f>
        <v/>
      </c>
      <c r="G3824" t="str">
        <f t="shared" si="119"/>
        <v/>
      </c>
    </row>
    <row r="3825" spans="1:7" x14ac:dyDescent="0.3">
      <c r="A3825" s="21" t="str">
        <f>IF(A3824="","",IF(A3824+1&gt;Ввод!$B$4,"",A3824+1))</f>
        <v/>
      </c>
      <c r="B3825" s="23" t="str">
        <f>IF(A3825="","",IFERROR(INDEX(Ввод!$B$12:$B$71,MATCH(A3825,Ввод!$D$12:$D$71,1)),""))</f>
        <v/>
      </c>
      <c r="C3825" t="str">
        <f t="shared" si="118"/>
        <v/>
      </c>
      <c r="D3825" t="str">
        <f>IF(A3825="","",SUMIFS(Акты!$D$5:$D$16,Акты!$E$5:$E$16,"&lt;="&amp;A3825)-SUMIFS(Оплаты!$B$6:$B$505,Оплаты!$A$6:$A$505,"&lt;"&amp;A3825,Оплаты!$D$6:$D$505,"&lt;&gt;"))</f>
        <v/>
      </c>
      <c r="E3825" t="str">
        <f>IF(A3825="","",IF(SUMPRODUCT((Ввод!$F$12:$F$31&lt;&gt;"")*(Ввод!$F$12:$F$31&lt;=A3825)*(Ввод!$G$12:$G$31&gt;=A3825))&gt;0,1,0))</f>
        <v/>
      </c>
      <c r="G3825" t="str">
        <f t="shared" si="119"/>
        <v/>
      </c>
    </row>
    <row r="3826" spans="1:7" x14ac:dyDescent="0.3">
      <c r="A3826" s="21" t="str">
        <f>IF(A3825="","",IF(A3825+1&gt;Ввод!$B$4,"",A3825+1))</f>
        <v/>
      </c>
      <c r="B3826" s="23" t="str">
        <f>IF(A3826="","",IFERROR(INDEX(Ввод!$B$12:$B$71,MATCH(A3826,Ввод!$D$12:$D$71,1)),""))</f>
        <v/>
      </c>
      <c r="C3826" t="str">
        <f t="shared" si="118"/>
        <v/>
      </c>
      <c r="D3826" t="str">
        <f>IF(A3826="","",SUMIFS(Акты!$D$5:$D$16,Акты!$E$5:$E$16,"&lt;="&amp;A3826)-SUMIFS(Оплаты!$B$6:$B$505,Оплаты!$A$6:$A$505,"&lt;"&amp;A3826,Оплаты!$D$6:$D$505,"&lt;&gt;"))</f>
        <v/>
      </c>
      <c r="E3826" t="str">
        <f>IF(A3826="","",IF(SUMPRODUCT((Ввод!$F$12:$F$31&lt;&gt;"")*(Ввод!$F$12:$F$31&lt;=A3826)*(Ввод!$G$12:$G$31&gt;=A3826))&gt;0,1,0))</f>
        <v/>
      </c>
      <c r="G3826" t="str">
        <f t="shared" si="119"/>
        <v/>
      </c>
    </row>
    <row r="3827" spans="1:7" x14ac:dyDescent="0.3">
      <c r="A3827" s="21" t="str">
        <f>IF(A3826="","",IF(A3826+1&gt;Ввод!$B$4,"",A3826+1))</f>
        <v/>
      </c>
      <c r="B3827" s="23" t="str">
        <f>IF(A3827="","",IFERROR(INDEX(Ввод!$B$12:$B$71,MATCH(A3827,Ввод!$D$12:$D$71,1)),""))</f>
        <v/>
      </c>
      <c r="C3827" t="str">
        <f t="shared" si="118"/>
        <v/>
      </c>
      <c r="D3827" t="str">
        <f>IF(A3827="","",SUMIFS(Акты!$D$5:$D$16,Акты!$E$5:$E$16,"&lt;="&amp;A3827)-SUMIFS(Оплаты!$B$6:$B$505,Оплаты!$A$6:$A$505,"&lt;"&amp;A3827,Оплаты!$D$6:$D$505,"&lt;&gt;"))</f>
        <v/>
      </c>
      <c r="E3827" t="str">
        <f>IF(A3827="","",IF(SUMPRODUCT((Ввод!$F$12:$F$31&lt;&gt;"")*(Ввод!$F$12:$F$31&lt;=A3827)*(Ввод!$G$12:$G$31&gt;=A3827))&gt;0,1,0))</f>
        <v/>
      </c>
      <c r="G3827" t="str">
        <f t="shared" si="119"/>
        <v/>
      </c>
    </row>
    <row r="3828" spans="1:7" x14ac:dyDescent="0.3">
      <c r="A3828" s="21" t="str">
        <f>IF(A3827="","",IF(A3827+1&gt;Ввод!$B$4,"",A3827+1))</f>
        <v/>
      </c>
      <c r="B3828" s="23" t="str">
        <f>IF(A3828="","",IFERROR(INDEX(Ввод!$B$12:$B$71,MATCH(A3828,Ввод!$D$12:$D$71,1)),""))</f>
        <v/>
      </c>
      <c r="C3828" t="str">
        <f t="shared" si="118"/>
        <v/>
      </c>
      <c r="D3828" t="str">
        <f>IF(A3828="","",SUMIFS(Акты!$D$5:$D$16,Акты!$E$5:$E$16,"&lt;="&amp;A3828)-SUMIFS(Оплаты!$B$6:$B$505,Оплаты!$A$6:$A$505,"&lt;"&amp;A3828,Оплаты!$D$6:$D$505,"&lt;&gt;"))</f>
        <v/>
      </c>
      <c r="E3828" t="str">
        <f>IF(A3828="","",IF(SUMPRODUCT((Ввод!$F$12:$F$31&lt;&gt;"")*(Ввод!$F$12:$F$31&lt;=A3828)*(Ввод!$G$12:$G$31&gt;=A3828))&gt;0,1,0))</f>
        <v/>
      </c>
      <c r="G3828" t="str">
        <f t="shared" si="119"/>
        <v/>
      </c>
    </row>
    <row r="3829" spans="1:7" x14ac:dyDescent="0.3">
      <c r="A3829" s="21" t="str">
        <f>IF(A3828="","",IF(A3828+1&gt;Ввод!$B$4,"",A3828+1))</f>
        <v/>
      </c>
      <c r="B3829" s="23" t="str">
        <f>IF(A3829="","",IFERROR(INDEX(Ввод!$B$12:$B$71,MATCH(A3829,Ввод!$D$12:$D$71,1)),""))</f>
        <v/>
      </c>
      <c r="C3829" t="str">
        <f t="shared" si="118"/>
        <v/>
      </c>
      <c r="D3829" t="str">
        <f>IF(A3829="","",SUMIFS(Акты!$D$5:$D$16,Акты!$E$5:$E$16,"&lt;="&amp;A3829)-SUMIFS(Оплаты!$B$6:$B$505,Оплаты!$A$6:$A$505,"&lt;"&amp;A3829,Оплаты!$D$6:$D$505,"&lt;&gt;"))</f>
        <v/>
      </c>
      <c r="E3829" t="str">
        <f>IF(A3829="","",IF(SUMPRODUCT((Ввод!$F$12:$F$31&lt;&gt;"")*(Ввод!$F$12:$F$31&lt;=A3829)*(Ввод!$G$12:$G$31&gt;=A3829))&gt;0,1,0))</f>
        <v/>
      </c>
      <c r="G3829" t="str">
        <f t="shared" si="119"/>
        <v/>
      </c>
    </row>
    <row r="3830" spans="1:7" x14ac:dyDescent="0.3">
      <c r="A3830" s="21" t="str">
        <f>IF(A3829="","",IF(A3829+1&gt;Ввод!$B$4,"",A3829+1))</f>
        <v/>
      </c>
      <c r="B3830" s="23" t="str">
        <f>IF(A3830="","",IFERROR(INDEX(Ввод!$B$12:$B$71,MATCH(A3830,Ввод!$D$12:$D$71,1)),""))</f>
        <v/>
      </c>
      <c r="C3830" t="str">
        <f t="shared" si="118"/>
        <v/>
      </c>
      <c r="D3830" t="str">
        <f>IF(A3830="","",SUMIFS(Акты!$D$5:$D$16,Акты!$E$5:$E$16,"&lt;="&amp;A3830)-SUMIFS(Оплаты!$B$6:$B$505,Оплаты!$A$6:$A$505,"&lt;"&amp;A3830,Оплаты!$D$6:$D$505,"&lt;&gt;"))</f>
        <v/>
      </c>
      <c r="E3830" t="str">
        <f>IF(A3830="","",IF(SUMPRODUCT((Ввод!$F$12:$F$31&lt;&gt;"")*(Ввод!$F$12:$F$31&lt;=A3830)*(Ввод!$G$12:$G$31&gt;=A3830))&gt;0,1,0))</f>
        <v/>
      </c>
      <c r="G3830" t="str">
        <f t="shared" si="119"/>
        <v/>
      </c>
    </row>
    <row r="3831" spans="1:7" x14ac:dyDescent="0.3">
      <c r="A3831" s="21" t="str">
        <f>IF(A3830="","",IF(A3830+1&gt;Ввод!$B$4,"",A3830+1))</f>
        <v/>
      </c>
      <c r="B3831" s="23" t="str">
        <f>IF(A3831="","",IFERROR(INDEX(Ввод!$B$12:$B$71,MATCH(A3831,Ввод!$D$12:$D$71,1)),""))</f>
        <v/>
      </c>
      <c r="C3831" t="str">
        <f t="shared" si="118"/>
        <v/>
      </c>
      <c r="D3831" t="str">
        <f>IF(A3831="","",SUMIFS(Акты!$D$5:$D$16,Акты!$E$5:$E$16,"&lt;="&amp;A3831)-SUMIFS(Оплаты!$B$6:$B$505,Оплаты!$A$6:$A$505,"&lt;"&amp;A3831,Оплаты!$D$6:$D$505,"&lt;&gt;"))</f>
        <v/>
      </c>
      <c r="E3831" t="str">
        <f>IF(A3831="","",IF(SUMPRODUCT((Ввод!$F$12:$F$31&lt;&gt;"")*(Ввод!$F$12:$F$31&lt;=A3831)*(Ввод!$G$12:$G$31&gt;=A3831))&gt;0,1,0))</f>
        <v/>
      </c>
      <c r="G3831" t="str">
        <f t="shared" si="119"/>
        <v/>
      </c>
    </row>
    <row r="3832" spans="1:7" x14ac:dyDescent="0.3">
      <c r="A3832" s="21" t="str">
        <f>IF(A3831="","",IF(A3831+1&gt;Ввод!$B$4,"",A3831+1))</f>
        <v/>
      </c>
      <c r="B3832" s="23" t="str">
        <f>IF(A3832="","",IFERROR(INDEX(Ввод!$B$12:$B$71,MATCH(A3832,Ввод!$D$12:$D$71,1)),""))</f>
        <v/>
      </c>
      <c r="C3832" t="str">
        <f t="shared" si="118"/>
        <v/>
      </c>
      <c r="D3832" t="str">
        <f>IF(A3832="","",SUMIFS(Акты!$D$5:$D$16,Акты!$E$5:$E$16,"&lt;="&amp;A3832)-SUMIFS(Оплаты!$B$6:$B$505,Оплаты!$A$6:$A$505,"&lt;"&amp;A3832,Оплаты!$D$6:$D$505,"&lt;&gt;"))</f>
        <v/>
      </c>
      <c r="E3832" t="str">
        <f>IF(A3832="","",IF(SUMPRODUCT((Ввод!$F$12:$F$31&lt;&gt;"")*(Ввод!$F$12:$F$31&lt;=A3832)*(Ввод!$G$12:$G$31&gt;=A3832))&gt;0,1,0))</f>
        <v/>
      </c>
      <c r="G3832" t="str">
        <f t="shared" si="119"/>
        <v/>
      </c>
    </row>
    <row r="3833" spans="1:7" x14ac:dyDescent="0.3">
      <c r="A3833" s="21" t="str">
        <f>IF(A3832="","",IF(A3832+1&gt;Ввод!$B$4,"",A3832+1))</f>
        <v/>
      </c>
      <c r="B3833" s="23" t="str">
        <f>IF(A3833="","",IFERROR(INDEX(Ввод!$B$12:$B$71,MATCH(A3833,Ввод!$D$12:$D$71,1)),""))</f>
        <v/>
      </c>
      <c r="C3833" t="str">
        <f t="shared" si="118"/>
        <v/>
      </c>
      <c r="D3833" t="str">
        <f>IF(A3833="","",SUMIFS(Акты!$D$5:$D$16,Акты!$E$5:$E$16,"&lt;="&amp;A3833)-SUMIFS(Оплаты!$B$6:$B$505,Оплаты!$A$6:$A$505,"&lt;"&amp;A3833,Оплаты!$D$6:$D$505,"&lt;&gt;"))</f>
        <v/>
      </c>
      <c r="E3833" t="str">
        <f>IF(A3833="","",IF(SUMPRODUCT((Ввод!$F$12:$F$31&lt;&gt;"")*(Ввод!$F$12:$F$31&lt;=A3833)*(Ввод!$G$12:$G$31&gt;=A3833))&gt;0,1,0))</f>
        <v/>
      </c>
      <c r="G3833" t="str">
        <f t="shared" si="119"/>
        <v/>
      </c>
    </row>
    <row r="3834" spans="1:7" x14ac:dyDescent="0.3">
      <c r="A3834" s="21" t="str">
        <f>IF(A3833="","",IF(A3833+1&gt;Ввод!$B$4,"",A3833+1))</f>
        <v/>
      </c>
      <c r="B3834" s="23" t="str">
        <f>IF(A3834="","",IFERROR(INDEX(Ввод!$B$12:$B$71,MATCH(A3834,Ввод!$D$12:$D$71,1)),""))</f>
        <v/>
      </c>
      <c r="C3834" t="str">
        <f t="shared" si="118"/>
        <v/>
      </c>
      <c r="D3834" t="str">
        <f>IF(A3834="","",SUMIFS(Акты!$D$5:$D$16,Акты!$E$5:$E$16,"&lt;="&amp;A3834)-SUMIFS(Оплаты!$B$6:$B$505,Оплаты!$A$6:$A$505,"&lt;"&amp;A3834,Оплаты!$D$6:$D$505,"&lt;&gt;"))</f>
        <v/>
      </c>
      <c r="E3834" t="str">
        <f>IF(A3834="","",IF(SUMPRODUCT((Ввод!$F$12:$F$31&lt;&gt;"")*(Ввод!$F$12:$F$31&lt;=A3834)*(Ввод!$G$12:$G$31&gt;=A3834))&gt;0,1,0))</f>
        <v/>
      </c>
      <c r="G3834" t="str">
        <f t="shared" si="119"/>
        <v/>
      </c>
    </row>
    <row r="3835" spans="1:7" x14ac:dyDescent="0.3">
      <c r="A3835" s="21" t="str">
        <f>IF(A3834="","",IF(A3834+1&gt;Ввод!$B$4,"",A3834+1))</f>
        <v/>
      </c>
      <c r="B3835" s="23" t="str">
        <f>IF(A3835="","",IFERROR(INDEX(Ввод!$B$12:$B$71,MATCH(A3835,Ввод!$D$12:$D$71,1)),""))</f>
        <v/>
      </c>
      <c r="C3835" t="str">
        <f t="shared" si="118"/>
        <v/>
      </c>
      <c r="D3835" t="str">
        <f>IF(A3835="","",SUMIFS(Акты!$D$5:$D$16,Акты!$E$5:$E$16,"&lt;="&amp;A3835)-SUMIFS(Оплаты!$B$6:$B$505,Оплаты!$A$6:$A$505,"&lt;"&amp;A3835,Оплаты!$D$6:$D$505,"&lt;&gt;"))</f>
        <v/>
      </c>
      <c r="E3835" t="str">
        <f>IF(A3835="","",IF(SUMPRODUCT((Ввод!$F$12:$F$31&lt;&gt;"")*(Ввод!$F$12:$F$31&lt;=A3835)*(Ввод!$G$12:$G$31&gt;=A3835))&gt;0,1,0))</f>
        <v/>
      </c>
      <c r="G3835" t="str">
        <f t="shared" si="119"/>
        <v/>
      </c>
    </row>
    <row r="3836" spans="1:7" x14ac:dyDescent="0.3">
      <c r="A3836" s="21" t="str">
        <f>IF(A3835="","",IF(A3835+1&gt;Ввод!$B$4,"",A3835+1))</f>
        <v/>
      </c>
      <c r="B3836" s="23" t="str">
        <f>IF(A3836="","",IFERROR(INDEX(Ввод!$B$12:$B$71,MATCH(A3836,Ввод!$D$12:$D$71,1)),""))</f>
        <v/>
      </c>
      <c r="C3836" t="str">
        <f t="shared" si="118"/>
        <v/>
      </c>
      <c r="D3836" t="str">
        <f>IF(A3836="","",SUMIFS(Акты!$D$5:$D$16,Акты!$E$5:$E$16,"&lt;="&amp;A3836)-SUMIFS(Оплаты!$B$6:$B$505,Оплаты!$A$6:$A$505,"&lt;"&amp;A3836,Оплаты!$D$6:$D$505,"&lt;&gt;"))</f>
        <v/>
      </c>
      <c r="E3836" t="str">
        <f>IF(A3836="","",IF(SUMPRODUCT((Ввод!$F$12:$F$31&lt;&gt;"")*(Ввод!$F$12:$F$31&lt;=A3836)*(Ввод!$G$12:$G$31&gt;=A3836))&gt;0,1,0))</f>
        <v/>
      </c>
      <c r="G3836" t="str">
        <f t="shared" si="119"/>
        <v/>
      </c>
    </row>
    <row r="3837" spans="1:7" x14ac:dyDescent="0.3">
      <c r="A3837" s="21" t="str">
        <f>IF(A3836="","",IF(A3836+1&gt;Ввод!$B$4,"",A3836+1))</f>
        <v/>
      </c>
      <c r="B3837" s="23" t="str">
        <f>IF(A3837="","",IFERROR(INDEX(Ввод!$B$12:$B$71,MATCH(A3837,Ввод!$D$12:$D$71,1)),""))</f>
        <v/>
      </c>
      <c r="C3837" t="str">
        <f t="shared" si="118"/>
        <v/>
      </c>
      <c r="D3837" t="str">
        <f>IF(A3837="","",SUMIFS(Акты!$D$5:$D$16,Акты!$E$5:$E$16,"&lt;="&amp;A3837)-SUMIFS(Оплаты!$B$6:$B$505,Оплаты!$A$6:$A$505,"&lt;"&amp;A3837,Оплаты!$D$6:$D$505,"&lt;&gt;"))</f>
        <v/>
      </c>
      <c r="E3837" t="str">
        <f>IF(A3837="","",IF(SUMPRODUCT((Ввод!$F$12:$F$31&lt;&gt;"")*(Ввод!$F$12:$F$31&lt;=A3837)*(Ввод!$G$12:$G$31&gt;=A3837))&gt;0,1,0))</f>
        <v/>
      </c>
      <c r="G3837" t="str">
        <f t="shared" si="119"/>
        <v/>
      </c>
    </row>
    <row r="3838" spans="1:7" x14ac:dyDescent="0.3">
      <c r="A3838" s="21" t="str">
        <f>IF(A3837="","",IF(A3837+1&gt;Ввод!$B$4,"",A3837+1))</f>
        <v/>
      </c>
      <c r="B3838" s="23" t="str">
        <f>IF(A3838="","",IFERROR(INDEX(Ввод!$B$12:$B$71,MATCH(A3838,Ввод!$D$12:$D$71,1)),""))</f>
        <v/>
      </c>
      <c r="C3838" t="str">
        <f t="shared" si="118"/>
        <v/>
      </c>
      <c r="D3838" t="str">
        <f>IF(A3838="","",SUMIFS(Акты!$D$5:$D$16,Акты!$E$5:$E$16,"&lt;="&amp;A3838)-SUMIFS(Оплаты!$B$6:$B$505,Оплаты!$A$6:$A$505,"&lt;"&amp;A3838,Оплаты!$D$6:$D$505,"&lt;&gt;"))</f>
        <v/>
      </c>
      <c r="E3838" t="str">
        <f>IF(A3838="","",IF(SUMPRODUCT((Ввод!$F$12:$F$31&lt;&gt;"")*(Ввод!$F$12:$F$31&lt;=A3838)*(Ввод!$G$12:$G$31&gt;=A3838))&gt;0,1,0))</f>
        <v/>
      </c>
      <c r="G3838" t="str">
        <f t="shared" si="119"/>
        <v/>
      </c>
    </row>
    <row r="3839" spans="1:7" x14ac:dyDescent="0.3">
      <c r="A3839" s="21" t="str">
        <f>IF(A3838="","",IF(A3838+1&gt;Ввод!$B$4,"",A3838+1))</f>
        <v/>
      </c>
      <c r="B3839" s="23" t="str">
        <f>IF(A3839="","",IFERROR(INDEX(Ввод!$B$12:$B$71,MATCH(A3839,Ввод!$D$12:$D$71,1)),""))</f>
        <v/>
      </c>
      <c r="C3839" t="str">
        <f t="shared" si="118"/>
        <v/>
      </c>
      <c r="D3839" t="str">
        <f>IF(A3839="","",SUMIFS(Акты!$D$5:$D$16,Акты!$E$5:$E$16,"&lt;="&amp;A3839)-SUMIFS(Оплаты!$B$6:$B$505,Оплаты!$A$6:$A$505,"&lt;"&amp;A3839,Оплаты!$D$6:$D$505,"&lt;&gt;"))</f>
        <v/>
      </c>
      <c r="E3839" t="str">
        <f>IF(A3839="","",IF(SUMPRODUCT((Ввод!$F$12:$F$31&lt;&gt;"")*(Ввод!$F$12:$F$31&lt;=A3839)*(Ввод!$G$12:$G$31&gt;=A3839))&gt;0,1,0))</f>
        <v/>
      </c>
      <c r="G3839" t="str">
        <f t="shared" si="119"/>
        <v/>
      </c>
    </row>
    <row r="3840" spans="1:7" x14ac:dyDescent="0.3">
      <c r="A3840" s="21" t="str">
        <f>IF(A3839="","",IF(A3839+1&gt;Ввод!$B$4,"",A3839+1))</f>
        <v/>
      </c>
      <c r="B3840" s="23" t="str">
        <f>IF(A3840="","",IFERROR(INDEX(Ввод!$B$12:$B$71,MATCH(A3840,Ввод!$D$12:$D$71,1)),""))</f>
        <v/>
      </c>
      <c r="C3840" t="str">
        <f t="shared" si="118"/>
        <v/>
      </c>
      <c r="D3840" t="str">
        <f>IF(A3840="","",SUMIFS(Акты!$D$5:$D$16,Акты!$E$5:$E$16,"&lt;="&amp;A3840)-SUMIFS(Оплаты!$B$6:$B$505,Оплаты!$A$6:$A$505,"&lt;"&amp;A3840,Оплаты!$D$6:$D$505,"&lt;&gt;"))</f>
        <v/>
      </c>
      <c r="E3840" t="str">
        <f>IF(A3840="","",IF(SUMPRODUCT((Ввод!$F$12:$F$31&lt;&gt;"")*(Ввод!$F$12:$F$31&lt;=A3840)*(Ввод!$G$12:$G$31&gt;=A3840))&gt;0,1,0))</f>
        <v/>
      </c>
      <c r="G3840" t="str">
        <f t="shared" si="119"/>
        <v/>
      </c>
    </row>
    <row r="3841" spans="1:7" x14ac:dyDescent="0.3">
      <c r="A3841" s="21" t="str">
        <f>IF(A3840="","",IF(A3840+1&gt;Ввод!$B$4,"",A3840+1))</f>
        <v/>
      </c>
      <c r="B3841" s="23" t="str">
        <f>IF(A3841="","",IFERROR(INDEX(Ввод!$B$12:$B$71,MATCH(A3841,Ввод!$D$12:$D$71,1)),""))</f>
        <v/>
      </c>
      <c r="C3841" t="str">
        <f t="shared" si="118"/>
        <v/>
      </c>
      <c r="D3841" t="str">
        <f>IF(A3841="","",SUMIFS(Акты!$D$5:$D$16,Акты!$E$5:$E$16,"&lt;="&amp;A3841)-SUMIFS(Оплаты!$B$6:$B$505,Оплаты!$A$6:$A$505,"&lt;"&amp;A3841,Оплаты!$D$6:$D$505,"&lt;&gt;"))</f>
        <v/>
      </c>
      <c r="E3841" t="str">
        <f>IF(A3841="","",IF(SUMPRODUCT((Ввод!$F$12:$F$31&lt;&gt;"")*(Ввод!$F$12:$F$31&lt;=A3841)*(Ввод!$G$12:$G$31&gt;=A3841))&gt;0,1,0))</f>
        <v/>
      </c>
      <c r="G3841" t="str">
        <f t="shared" si="119"/>
        <v/>
      </c>
    </row>
    <row r="3842" spans="1:7" x14ac:dyDescent="0.3">
      <c r="A3842" s="21" t="str">
        <f>IF(A3841="","",IF(A3841+1&gt;Ввод!$B$4,"",A3841+1))</f>
        <v/>
      </c>
      <c r="B3842" s="23" t="str">
        <f>IF(A3842="","",IFERROR(INDEX(Ввод!$B$12:$B$71,MATCH(A3842,Ввод!$D$12:$D$71,1)),""))</f>
        <v/>
      </c>
      <c r="C3842" t="str">
        <f t="shared" ref="C3842:C3905" si="120">IF(A3842="","",DATE(YEAR(A3842),12,31)-DATE(YEAR(A3842),1,1)+1)</f>
        <v/>
      </c>
      <c r="D3842" t="str">
        <f>IF(A3842="","",SUMIFS(Акты!$D$5:$D$16,Акты!$E$5:$E$16,"&lt;="&amp;A3842)-SUMIFS(Оплаты!$B$6:$B$505,Оплаты!$A$6:$A$505,"&lt;"&amp;A3842,Оплаты!$D$6:$D$505,"&lt;&gt;"))</f>
        <v/>
      </c>
      <c r="E3842" t="str">
        <f>IF(A3842="","",IF(SUMPRODUCT((Ввод!$F$12:$F$31&lt;&gt;"")*(Ввод!$F$12:$F$31&lt;=A3842)*(Ввод!$G$12:$G$31&gt;=A3842))&gt;0,1,0))</f>
        <v/>
      </c>
      <c r="G3842" t="str">
        <f t="shared" si="119"/>
        <v/>
      </c>
    </row>
    <row r="3843" spans="1:7" x14ac:dyDescent="0.3">
      <c r="A3843" s="21" t="str">
        <f>IF(A3842="","",IF(A3842+1&gt;Ввод!$B$4,"",A3842+1))</f>
        <v/>
      </c>
      <c r="B3843" s="23" t="str">
        <f>IF(A3843="","",IFERROR(INDEX(Ввод!$B$12:$B$71,MATCH(A3843,Ввод!$D$12:$D$71,1)),""))</f>
        <v/>
      </c>
      <c r="C3843" t="str">
        <f t="shared" si="120"/>
        <v/>
      </c>
      <c r="D3843" t="str">
        <f>IF(A3843="","",SUMIFS(Акты!$D$5:$D$16,Акты!$E$5:$E$16,"&lt;="&amp;A3843)-SUMIFS(Оплаты!$B$6:$B$505,Оплаты!$A$6:$A$505,"&lt;"&amp;A3843,Оплаты!$D$6:$D$505,"&lt;&gt;"))</f>
        <v/>
      </c>
      <c r="E3843" t="str">
        <f>IF(A3843="","",IF(SUMPRODUCT((Ввод!$F$12:$F$31&lt;&gt;"")*(Ввод!$F$12:$F$31&lt;=A3843)*(Ввод!$G$12:$G$31&gt;=A3843))&gt;0,1,0))</f>
        <v/>
      </c>
      <c r="G3843" t="str">
        <f t="shared" ref="G3843:G3906" si="121">IF(A3843="","",IF(OR(B3843&lt;&gt;B3842,C3843&lt;&gt;C3842,E3843&lt;&gt;E3842),G3842+1,G3842))</f>
        <v/>
      </c>
    </row>
    <row r="3844" spans="1:7" x14ac:dyDescent="0.3">
      <c r="A3844" s="21" t="str">
        <f>IF(A3843="","",IF(A3843+1&gt;Ввод!$B$4,"",A3843+1))</f>
        <v/>
      </c>
      <c r="B3844" s="23" t="str">
        <f>IF(A3844="","",IFERROR(INDEX(Ввод!$B$12:$B$71,MATCH(A3844,Ввод!$D$12:$D$71,1)),""))</f>
        <v/>
      </c>
      <c r="C3844" t="str">
        <f t="shared" si="120"/>
        <v/>
      </c>
      <c r="D3844" t="str">
        <f>IF(A3844="","",SUMIFS(Акты!$D$5:$D$16,Акты!$E$5:$E$16,"&lt;="&amp;A3844)-SUMIFS(Оплаты!$B$6:$B$505,Оплаты!$A$6:$A$505,"&lt;"&amp;A3844,Оплаты!$D$6:$D$505,"&lt;&gt;"))</f>
        <v/>
      </c>
      <c r="E3844" t="str">
        <f>IF(A3844="","",IF(SUMPRODUCT((Ввод!$F$12:$F$31&lt;&gt;"")*(Ввод!$F$12:$F$31&lt;=A3844)*(Ввод!$G$12:$G$31&gt;=A3844))&gt;0,1,0))</f>
        <v/>
      </c>
      <c r="G3844" t="str">
        <f t="shared" si="121"/>
        <v/>
      </c>
    </row>
    <row r="3845" spans="1:7" x14ac:dyDescent="0.3">
      <c r="A3845" s="21" t="str">
        <f>IF(A3844="","",IF(A3844+1&gt;Ввод!$B$4,"",A3844+1))</f>
        <v/>
      </c>
      <c r="B3845" s="23" t="str">
        <f>IF(A3845="","",IFERROR(INDEX(Ввод!$B$12:$B$71,MATCH(A3845,Ввод!$D$12:$D$71,1)),""))</f>
        <v/>
      </c>
      <c r="C3845" t="str">
        <f t="shared" si="120"/>
        <v/>
      </c>
      <c r="D3845" t="str">
        <f>IF(A3845="","",SUMIFS(Акты!$D$5:$D$16,Акты!$E$5:$E$16,"&lt;="&amp;A3845)-SUMIFS(Оплаты!$B$6:$B$505,Оплаты!$A$6:$A$505,"&lt;"&amp;A3845,Оплаты!$D$6:$D$505,"&lt;&gt;"))</f>
        <v/>
      </c>
      <c r="E3845" t="str">
        <f>IF(A3845="","",IF(SUMPRODUCT((Ввод!$F$12:$F$31&lt;&gt;"")*(Ввод!$F$12:$F$31&lt;=A3845)*(Ввод!$G$12:$G$31&gt;=A3845))&gt;0,1,0))</f>
        <v/>
      </c>
      <c r="G3845" t="str">
        <f t="shared" si="121"/>
        <v/>
      </c>
    </row>
    <row r="3846" spans="1:7" x14ac:dyDescent="0.3">
      <c r="A3846" s="21" t="str">
        <f>IF(A3845="","",IF(A3845+1&gt;Ввод!$B$4,"",A3845+1))</f>
        <v/>
      </c>
      <c r="B3846" s="23" t="str">
        <f>IF(A3846="","",IFERROR(INDEX(Ввод!$B$12:$B$71,MATCH(A3846,Ввод!$D$12:$D$71,1)),""))</f>
        <v/>
      </c>
      <c r="C3846" t="str">
        <f t="shared" si="120"/>
        <v/>
      </c>
      <c r="D3846" t="str">
        <f>IF(A3846="","",SUMIFS(Акты!$D$5:$D$16,Акты!$E$5:$E$16,"&lt;="&amp;A3846)-SUMIFS(Оплаты!$B$6:$B$505,Оплаты!$A$6:$A$505,"&lt;"&amp;A3846,Оплаты!$D$6:$D$505,"&lt;&gt;"))</f>
        <v/>
      </c>
      <c r="E3846" t="str">
        <f>IF(A3846="","",IF(SUMPRODUCT((Ввод!$F$12:$F$31&lt;&gt;"")*(Ввод!$F$12:$F$31&lt;=A3846)*(Ввод!$G$12:$G$31&gt;=A3846))&gt;0,1,0))</f>
        <v/>
      </c>
      <c r="G3846" t="str">
        <f t="shared" si="121"/>
        <v/>
      </c>
    </row>
    <row r="3847" spans="1:7" x14ac:dyDescent="0.3">
      <c r="A3847" s="21" t="str">
        <f>IF(A3846="","",IF(A3846+1&gt;Ввод!$B$4,"",A3846+1))</f>
        <v/>
      </c>
      <c r="B3847" s="23" t="str">
        <f>IF(A3847="","",IFERROR(INDEX(Ввод!$B$12:$B$71,MATCH(A3847,Ввод!$D$12:$D$71,1)),""))</f>
        <v/>
      </c>
      <c r="C3847" t="str">
        <f t="shared" si="120"/>
        <v/>
      </c>
      <c r="D3847" t="str">
        <f>IF(A3847="","",SUMIFS(Акты!$D$5:$D$16,Акты!$E$5:$E$16,"&lt;="&amp;A3847)-SUMIFS(Оплаты!$B$6:$B$505,Оплаты!$A$6:$A$505,"&lt;"&amp;A3847,Оплаты!$D$6:$D$505,"&lt;&gt;"))</f>
        <v/>
      </c>
      <c r="E3847" t="str">
        <f>IF(A3847="","",IF(SUMPRODUCT((Ввод!$F$12:$F$31&lt;&gt;"")*(Ввод!$F$12:$F$31&lt;=A3847)*(Ввод!$G$12:$G$31&gt;=A3847))&gt;0,1,0))</f>
        <v/>
      </c>
      <c r="G3847" t="str">
        <f t="shared" si="121"/>
        <v/>
      </c>
    </row>
    <row r="3848" spans="1:7" x14ac:dyDescent="0.3">
      <c r="A3848" s="21" t="str">
        <f>IF(A3847="","",IF(A3847+1&gt;Ввод!$B$4,"",A3847+1))</f>
        <v/>
      </c>
      <c r="B3848" s="23" t="str">
        <f>IF(A3848="","",IFERROR(INDEX(Ввод!$B$12:$B$71,MATCH(A3848,Ввод!$D$12:$D$71,1)),""))</f>
        <v/>
      </c>
      <c r="C3848" t="str">
        <f t="shared" si="120"/>
        <v/>
      </c>
      <c r="D3848" t="str">
        <f>IF(A3848="","",SUMIFS(Акты!$D$5:$D$16,Акты!$E$5:$E$16,"&lt;="&amp;A3848)-SUMIFS(Оплаты!$B$6:$B$505,Оплаты!$A$6:$A$505,"&lt;"&amp;A3848,Оплаты!$D$6:$D$505,"&lt;&gt;"))</f>
        <v/>
      </c>
      <c r="E3848" t="str">
        <f>IF(A3848="","",IF(SUMPRODUCT((Ввод!$F$12:$F$31&lt;&gt;"")*(Ввод!$F$12:$F$31&lt;=A3848)*(Ввод!$G$12:$G$31&gt;=A3848))&gt;0,1,0))</f>
        <v/>
      </c>
      <c r="G3848" t="str">
        <f t="shared" si="121"/>
        <v/>
      </c>
    </row>
    <row r="3849" spans="1:7" x14ac:dyDescent="0.3">
      <c r="A3849" s="21" t="str">
        <f>IF(A3848="","",IF(A3848+1&gt;Ввод!$B$4,"",A3848+1))</f>
        <v/>
      </c>
      <c r="B3849" s="23" t="str">
        <f>IF(A3849="","",IFERROR(INDEX(Ввод!$B$12:$B$71,MATCH(A3849,Ввод!$D$12:$D$71,1)),""))</f>
        <v/>
      </c>
      <c r="C3849" t="str">
        <f t="shared" si="120"/>
        <v/>
      </c>
      <c r="D3849" t="str">
        <f>IF(A3849="","",SUMIFS(Акты!$D$5:$D$16,Акты!$E$5:$E$16,"&lt;="&amp;A3849)-SUMIFS(Оплаты!$B$6:$B$505,Оплаты!$A$6:$A$505,"&lt;"&amp;A3849,Оплаты!$D$6:$D$505,"&lt;&gt;"))</f>
        <v/>
      </c>
      <c r="E3849" t="str">
        <f>IF(A3849="","",IF(SUMPRODUCT((Ввод!$F$12:$F$31&lt;&gt;"")*(Ввод!$F$12:$F$31&lt;=A3849)*(Ввод!$G$12:$G$31&gt;=A3849))&gt;0,1,0))</f>
        <v/>
      </c>
      <c r="G3849" t="str">
        <f t="shared" si="121"/>
        <v/>
      </c>
    </row>
    <row r="3850" spans="1:7" x14ac:dyDescent="0.3">
      <c r="A3850" s="21" t="str">
        <f>IF(A3849="","",IF(A3849+1&gt;Ввод!$B$4,"",A3849+1))</f>
        <v/>
      </c>
      <c r="B3850" s="23" t="str">
        <f>IF(A3850="","",IFERROR(INDEX(Ввод!$B$12:$B$71,MATCH(A3850,Ввод!$D$12:$D$71,1)),""))</f>
        <v/>
      </c>
      <c r="C3850" t="str">
        <f t="shared" si="120"/>
        <v/>
      </c>
      <c r="D3850" t="str">
        <f>IF(A3850="","",SUMIFS(Акты!$D$5:$D$16,Акты!$E$5:$E$16,"&lt;="&amp;A3850)-SUMIFS(Оплаты!$B$6:$B$505,Оплаты!$A$6:$A$505,"&lt;"&amp;A3850,Оплаты!$D$6:$D$505,"&lt;&gt;"))</f>
        <v/>
      </c>
      <c r="E3850" t="str">
        <f>IF(A3850="","",IF(SUMPRODUCT((Ввод!$F$12:$F$31&lt;&gt;"")*(Ввод!$F$12:$F$31&lt;=A3850)*(Ввод!$G$12:$G$31&gt;=A3850))&gt;0,1,0))</f>
        <v/>
      </c>
      <c r="G3850" t="str">
        <f t="shared" si="121"/>
        <v/>
      </c>
    </row>
    <row r="3851" spans="1:7" x14ac:dyDescent="0.3">
      <c r="A3851" s="21" t="str">
        <f>IF(A3850="","",IF(A3850+1&gt;Ввод!$B$4,"",A3850+1))</f>
        <v/>
      </c>
      <c r="B3851" s="23" t="str">
        <f>IF(A3851="","",IFERROR(INDEX(Ввод!$B$12:$B$71,MATCH(A3851,Ввод!$D$12:$D$71,1)),""))</f>
        <v/>
      </c>
      <c r="C3851" t="str">
        <f t="shared" si="120"/>
        <v/>
      </c>
      <c r="D3851" t="str">
        <f>IF(A3851="","",SUMIFS(Акты!$D$5:$D$16,Акты!$E$5:$E$16,"&lt;="&amp;A3851)-SUMIFS(Оплаты!$B$6:$B$505,Оплаты!$A$6:$A$505,"&lt;"&amp;A3851,Оплаты!$D$6:$D$505,"&lt;&gt;"))</f>
        <v/>
      </c>
      <c r="E3851" t="str">
        <f>IF(A3851="","",IF(SUMPRODUCT((Ввод!$F$12:$F$31&lt;&gt;"")*(Ввод!$F$12:$F$31&lt;=A3851)*(Ввод!$G$12:$G$31&gt;=A3851))&gt;0,1,0))</f>
        <v/>
      </c>
      <c r="G3851" t="str">
        <f t="shared" si="121"/>
        <v/>
      </c>
    </row>
    <row r="3852" spans="1:7" x14ac:dyDescent="0.3">
      <c r="A3852" s="21" t="str">
        <f>IF(A3851="","",IF(A3851+1&gt;Ввод!$B$4,"",A3851+1))</f>
        <v/>
      </c>
      <c r="B3852" s="23" t="str">
        <f>IF(A3852="","",IFERROR(INDEX(Ввод!$B$12:$B$71,MATCH(A3852,Ввод!$D$12:$D$71,1)),""))</f>
        <v/>
      </c>
      <c r="C3852" t="str">
        <f t="shared" si="120"/>
        <v/>
      </c>
      <c r="D3852" t="str">
        <f>IF(A3852="","",SUMIFS(Акты!$D$5:$D$16,Акты!$E$5:$E$16,"&lt;="&amp;A3852)-SUMIFS(Оплаты!$B$6:$B$505,Оплаты!$A$6:$A$505,"&lt;"&amp;A3852,Оплаты!$D$6:$D$505,"&lt;&gt;"))</f>
        <v/>
      </c>
      <c r="E3852" t="str">
        <f>IF(A3852="","",IF(SUMPRODUCT((Ввод!$F$12:$F$31&lt;&gt;"")*(Ввод!$F$12:$F$31&lt;=A3852)*(Ввод!$G$12:$G$31&gt;=A3852))&gt;0,1,0))</f>
        <v/>
      </c>
      <c r="G3852" t="str">
        <f t="shared" si="121"/>
        <v/>
      </c>
    </row>
    <row r="3853" spans="1:7" x14ac:dyDescent="0.3">
      <c r="A3853" s="21" t="str">
        <f>IF(A3852="","",IF(A3852+1&gt;Ввод!$B$4,"",A3852+1))</f>
        <v/>
      </c>
      <c r="B3853" s="23" t="str">
        <f>IF(A3853="","",IFERROR(INDEX(Ввод!$B$12:$B$71,MATCH(A3853,Ввод!$D$12:$D$71,1)),""))</f>
        <v/>
      </c>
      <c r="C3853" t="str">
        <f t="shared" si="120"/>
        <v/>
      </c>
      <c r="D3853" t="str">
        <f>IF(A3853="","",SUMIFS(Акты!$D$5:$D$16,Акты!$E$5:$E$16,"&lt;="&amp;A3853)-SUMIFS(Оплаты!$B$6:$B$505,Оплаты!$A$6:$A$505,"&lt;"&amp;A3853,Оплаты!$D$6:$D$505,"&lt;&gt;"))</f>
        <v/>
      </c>
      <c r="E3853" t="str">
        <f>IF(A3853="","",IF(SUMPRODUCT((Ввод!$F$12:$F$31&lt;&gt;"")*(Ввод!$F$12:$F$31&lt;=A3853)*(Ввод!$G$12:$G$31&gt;=A3853))&gt;0,1,0))</f>
        <v/>
      </c>
      <c r="G3853" t="str">
        <f t="shared" si="121"/>
        <v/>
      </c>
    </row>
    <row r="3854" spans="1:7" x14ac:dyDescent="0.3">
      <c r="A3854" s="21" t="str">
        <f>IF(A3853="","",IF(A3853+1&gt;Ввод!$B$4,"",A3853+1))</f>
        <v/>
      </c>
      <c r="B3854" s="23" t="str">
        <f>IF(A3854="","",IFERROR(INDEX(Ввод!$B$12:$B$71,MATCH(A3854,Ввод!$D$12:$D$71,1)),""))</f>
        <v/>
      </c>
      <c r="C3854" t="str">
        <f t="shared" si="120"/>
        <v/>
      </c>
      <c r="D3854" t="str">
        <f>IF(A3854="","",SUMIFS(Акты!$D$5:$D$16,Акты!$E$5:$E$16,"&lt;="&amp;A3854)-SUMIFS(Оплаты!$B$6:$B$505,Оплаты!$A$6:$A$505,"&lt;"&amp;A3854,Оплаты!$D$6:$D$505,"&lt;&gt;"))</f>
        <v/>
      </c>
      <c r="E3854" t="str">
        <f>IF(A3854="","",IF(SUMPRODUCT((Ввод!$F$12:$F$31&lt;&gt;"")*(Ввод!$F$12:$F$31&lt;=A3854)*(Ввод!$G$12:$G$31&gt;=A3854))&gt;0,1,0))</f>
        <v/>
      </c>
      <c r="G3854" t="str">
        <f t="shared" si="121"/>
        <v/>
      </c>
    </row>
    <row r="3855" spans="1:7" x14ac:dyDescent="0.3">
      <c r="A3855" s="21" t="str">
        <f>IF(A3854="","",IF(A3854+1&gt;Ввод!$B$4,"",A3854+1))</f>
        <v/>
      </c>
      <c r="B3855" s="23" t="str">
        <f>IF(A3855="","",IFERROR(INDEX(Ввод!$B$12:$B$71,MATCH(A3855,Ввод!$D$12:$D$71,1)),""))</f>
        <v/>
      </c>
      <c r="C3855" t="str">
        <f t="shared" si="120"/>
        <v/>
      </c>
      <c r="D3855" t="str">
        <f>IF(A3855="","",SUMIFS(Акты!$D$5:$D$16,Акты!$E$5:$E$16,"&lt;="&amp;A3855)-SUMIFS(Оплаты!$B$6:$B$505,Оплаты!$A$6:$A$505,"&lt;"&amp;A3855,Оплаты!$D$6:$D$505,"&lt;&gt;"))</f>
        <v/>
      </c>
      <c r="E3855" t="str">
        <f>IF(A3855="","",IF(SUMPRODUCT((Ввод!$F$12:$F$31&lt;&gt;"")*(Ввод!$F$12:$F$31&lt;=A3855)*(Ввод!$G$12:$G$31&gt;=A3855))&gt;0,1,0))</f>
        <v/>
      </c>
      <c r="G3855" t="str">
        <f t="shared" si="121"/>
        <v/>
      </c>
    </row>
    <row r="3856" spans="1:7" x14ac:dyDescent="0.3">
      <c r="A3856" s="21" t="str">
        <f>IF(A3855="","",IF(A3855+1&gt;Ввод!$B$4,"",A3855+1))</f>
        <v/>
      </c>
      <c r="B3856" s="23" t="str">
        <f>IF(A3856="","",IFERROR(INDEX(Ввод!$B$12:$B$71,MATCH(A3856,Ввод!$D$12:$D$71,1)),""))</f>
        <v/>
      </c>
      <c r="C3856" t="str">
        <f t="shared" si="120"/>
        <v/>
      </c>
      <c r="D3856" t="str">
        <f>IF(A3856="","",SUMIFS(Акты!$D$5:$D$16,Акты!$E$5:$E$16,"&lt;="&amp;A3856)-SUMIFS(Оплаты!$B$6:$B$505,Оплаты!$A$6:$A$505,"&lt;"&amp;A3856,Оплаты!$D$6:$D$505,"&lt;&gt;"))</f>
        <v/>
      </c>
      <c r="E3856" t="str">
        <f>IF(A3856="","",IF(SUMPRODUCT((Ввод!$F$12:$F$31&lt;&gt;"")*(Ввод!$F$12:$F$31&lt;=A3856)*(Ввод!$G$12:$G$31&gt;=A3856))&gt;0,1,0))</f>
        <v/>
      </c>
      <c r="G3856" t="str">
        <f t="shared" si="121"/>
        <v/>
      </c>
    </row>
    <row r="3857" spans="1:7" x14ac:dyDescent="0.3">
      <c r="A3857" s="21" t="str">
        <f>IF(A3856="","",IF(A3856+1&gt;Ввод!$B$4,"",A3856+1))</f>
        <v/>
      </c>
      <c r="B3857" s="23" t="str">
        <f>IF(A3857="","",IFERROR(INDEX(Ввод!$B$12:$B$71,MATCH(A3857,Ввод!$D$12:$D$71,1)),""))</f>
        <v/>
      </c>
      <c r="C3857" t="str">
        <f t="shared" si="120"/>
        <v/>
      </c>
      <c r="D3857" t="str">
        <f>IF(A3857="","",SUMIFS(Акты!$D$5:$D$16,Акты!$E$5:$E$16,"&lt;="&amp;A3857)-SUMIFS(Оплаты!$B$6:$B$505,Оплаты!$A$6:$A$505,"&lt;"&amp;A3857,Оплаты!$D$6:$D$505,"&lt;&gt;"))</f>
        <v/>
      </c>
      <c r="E3857" t="str">
        <f>IF(A3857="","",IF(SUMPRODUCT((Ввод!$F$12:$F$31&lt;&gt;"")*(Ввод!$F$12:$F$31&lt;=A3857)*(Ввод!$G$12:$G$31&gt;=A3857))&gt;0,1,0))</f>
        <v/>
      </c>
      <c r="G3857" t="str">
        <f t="shared" si="121"/>
        <v/>
      </c>
    </row>
    <row r="3858" spans="1:7" x14ac:dyDescent="0.3">
      <c r="A3858" s="21" t="str">
        <f>IF(A3857="","",IF(A3857+1&gt;Ввод!$B$4,"",A3857+1))</f>
        <v/>
      </c>
      <c r="B3858" s="23" t="str">
        <f>IF(A3858="","",IFERROR(INDEX(Ввод!$B$12:$B$71,MATCH(A3858,Ввод!$D$12:$D$71,1)),""))</f>
        <v/>
      </c>
      <c r="C3858" t="str">
        <f t="shared" si="120"/>
        <v/>
      </c>
      <c r="D3858" t="str">
        <f>IF(A3858="","",SUMIFS(Акты!$D$5:$D$16,Акты!$E$5:$E$16,"&lt;="&amp;A3858)-SUMIFS(Оплаты!$B$6:$B$505,Оплаты!$A$6:$A$505,"&lt;"&amp;A3858,Оплаты!$D$6:$D$505,"&lt;&gt;"))</f>
        <v/>
      </c>
      <c r="E3858" t="str">
        <f>IF(A3858="","",IF(SUMPRODUCT((Ввод!$F$12:$F$31&lt;&gt;"")*(Ввод!$F$12:$F$31&lt;=A3858)*(Ввод!$G$12:$G$31&gt;=A3858))&gt;0,1,0))</f>
        <v/>
      </c>
      <c r="G3858" t="str">
        <f t="shared" si="121"/>
        <v/>
      </c>
    </row>
    <row r="3859" spans="1:7" x14ac:dyDescent="0.3">
      <c r="A3859" s="21" t="str">
        <f>IF(A3858="","",IF(A3858+1&gt;Ввод!$B$4,"",A3858+1))</f>
        <v/>
      </c>
      <c r="B3859" s="23" t="str">
        <f>IF(A3859="","",IFERROR(INDEX(Ввод!$B$12:$B$71,MATCH(A3859,Ввод!$D$12:$D$71,1)),""))</f>
        <v/>
      </c>
      <c r="C3859" t="str">
        <f t="shared" si="120"/>
        <v/>
      </c>
      <c r="D3859" t="str">
        <f>IF(A3859="","",SUMIFS(Акты!$D$5:$D$16,Акты!$E$5:$E$16,"&lt;="&amp;A3859)-SUMIFS(Оплаты!$B$6:$B$505,Оплаты!$A$6:$A$505,"&lt;"&amp;A3859,Оплаты!$D$6:$D$505,"&lt;&gt;"))</f>
        <v/>
      </c>
      <c r="E3859" t="str">
        <f>IF(A3859="","",IF(SUMPRODUCT((Ввод!$F$12:$F$31&lt;&gt;"")*(Ввод!$F$12:$F$31&lt;=A3859)*(Ввод!$G$12:$G$31&gt;=A3859))&gt;0,1,0))</f>
        <v/>
      </c>
      <c r="G3859" t="str">
        <f t="shared" si="121"/>
        <v/>
      </c>
    </row>
    <row r="3860" spans="1:7" x14ac:dyDescent="0.3">
      <c r="A3860" s="21" t="str">
        <f>IF(A3859="","",IF(A3859+1&gt;Ввод!$B$4,"",A3859+1))</f>
        <v/>
      </c>
      <c r="B3860" s="23" t="str">
        <f>IF(A3860="","",IFERROR(INDEX(Ввод!$B$12:$B$71,MATCH(A3860,Ввод!$D$12:$D$71,1)),""))</f>
        <v/>
      </c>
      <c r="C3860" t="str">
        <f t="shared" si="120"/>
        <v/>
      </c>
      <c r="D3860" t="str">
        <f>IF(A3860="","",SUMIFS(Акты!$D$5:$D$16,Акты!$E$5:$E$16,"&lt;="&amp;A3860)-SUMIFS(Оплаты!$B$6:$B$505,Оплаты!$A$6:$A$505,"&lt;"&amp;A3860,Оплаты!$D$6:$D$505,"&lt;&gt;"))</f>
        <v/>
      </c>
      <c r="E3860" t="str">
        <f>IF(A3860="","",IF(SUMPRODUCT((Ввод!$F$12:$F$31&lt;&gt;"")*(Ввод!$F$12:$F$31&lt;=A3860)*(Ввод!$G$12:$G$31&gt;=A3860))&gt;0,1,0))</f>
        <v/>
      </c>
      <c r="G3860" t="str">
        <f t="shared" si="121"/>
        <v/>
      </c>
    </row>
    <row r="3861" spans="1:7" x14ac:dyDescent="0.3">
      <c r="A3861" s="21" t="str">
        <f>IF(A3860="","",IF(A3860+1&gt;Ввод!$B$4,"",A3860+1))</f>
        <v/>
      </c>
      <c r="B3861" s="23" t="str">
        <f>IF(A3861="","",IFERROR(INDEX(Ввод!$B$12:$B$71,MATCH(A3861,Ввод!$D$12:$D$71,1)),""))</f>
        <v/>
      </c>
      <c r="C3861" t="str">
        <f t="shared" si="120"/>
        <v/>
      </c>
      <c r="D3861" t="str">
        <f>IF(A3861="","",SUMIFS(Акты!$D$5:$D$16,Акты!$E$5:$E$16,"&lt;="&amp;A3861)-SUMIFS(Оплаты!$B$6:$B$505,Оплаты!$A$6:$A$505,"&lt;"&amp;A3861,Оплаты!$D$6:$D$505,"&lt;&gt;"))</f>
        <v/>
      </c>
      <c r="E3861" t="str">
        <f>IF(A3861="","",IF(SUMPRODUCT((Ввод!$F$12:$F$31&lt;&gt;"")*(Ввод!$F$12:$F$31&lt;=A3861)*(Ввод!$G$12:$G$31&gt;=A3861))&gt;0,1,0))</f>
        <v/>
      </c>
      <c r="G3861" t="str">
        <f t="shared" si="121"/>
        <v/>
      </c>
    </row>
    <row r="3862" spans="1:7" x14ac:dyDescent="0.3">
      <c r="A3862" s="21" t="str">
        <f>IF(A3861="","",IF(A3861+1&gt;Ввод!$B$4,"",A3861+1))</f>
        <v/>
      </c>
      <c r="B3862" s="23" t="str">
        <f>IF(A3862="","",IFERROR(INDEX(Ввод!$B$12:$B$71,MATCH(A3862,Ввод!$D$12:$D$71,1)),""))</f>
        <v/>
      </c>
      <c r="C3862" t="str">
        <f t="shared" si="120"/>
        <v/>
      </c>
      <c r="D3862" t="str">
        <f>IF(A3862="","",SUMIFS(Акты!$D$5:$D$16,Акты!$E$5:$E$16,"&lt;="&amp;A3862)-SUMIFS(Оплаты!$B$6:$B$505,Оплаты!$A$6:$A$505,"&lt;"&amp;A3862,Оплаты!$D$6:$D$505,"&lt;&gt;"))</f>
        <v/>
      </c>
      <c r="E3862" t="str">
        <f>IF(A3862="","",IF(SUMPRODUCT((Ввод!$F$12:$F$31&lt;&gt;"")*(Ввод!$F$12:$F$31&lt;=A3862)*(Ввод!$G$12:$G$31&gt;=A3862))&gt;0,1,0))</f>
        <v/>
      </c>
      <c r="G3862" t="str">
        <f t="shared" si="121"/>
        <v/>
      </c>
    </row>
    <row r="3863" spans="1:7" x14ac:dyDescent="0.3">
      <c r="A3863" s="21" t="str">
        <f>IF(A3862="","",IF(A3862+1&gt;Ввод!$B$4,"",A3862+1))</f>
        <v/>
      </c>
      <c r="B3863" s="23" t="str">
        <f>IF(A3863="","",IFERROR(INDEX(Ввод!$B$12:$B$71,MATCH(A3863,Ввод!$D$12:$D$71,1)),""))</f>
        <v/>
      </c>
      <c r="C3863" t="str">
        <f t="shared" si="120"/>
        <v/>
      </c>
      <c r="D3863" t="str">
        <f>IF(A3863="","",SUMIFS(Акты!$D$5:$D$16,Акты!$E$5:$E$16,"&lt;="&amp;A3863)-SUMIFS(Оплаты!$B$6:$B$505,Оплаты!$A$6:$A$505,"&lt;"&amp;A3863,Оплаты!$D$6:$D$505,"&lt;&gt;"))</f>
        <v/>
      </c>
      <c r="E3863" t="str">
        <f>IF(A3863="","",IF(SUMPRODUCT((Ввод!$F$12:$F$31&lt;&gt;"")*(Ввод!$F$12:$F$31&lt;=A3863)*(Ввод!$G$12:$G$31&gt;=A3863))&gt;0,1,0))</f>
        <v/>
      </c>
      <c r="G3863" t="str">
        <f t="shared" si="121"/>
        <v/>
      </c>
    </row>
    <row r="3864" spans="1:7" x14ac:dyDescent="0.3">
      <c r="A3864" s="21" t="str">
        <f>IF(A3863="","",IF(A3863+1&gt;Ввод!$B$4,"",A3863+1))</f>
        <v/>
      </c>
      <c r="B3864" s="23" t="str">
        <f>IF(A3864="","",IFERROR(INDEX(Ввод!$B$12:$B$71,MATCH(A3864,Ввод!$D$12:$D$71,1)),""))</f>
        <v/>
      </c>
      <c r="C3864" t="str">
        <f t="shared" si="120"/>
        <v/>
      </c>
      <c r="D3864" t="str">
        <f>IF(A3864="","",SUMIFS(Акты!$D$5:$D$16,Акты!$E$5:$E$16,"&lt;="&amp;A3864)-SUMIFS(Оплаты!$B$6:$B$505,Оплаты!$A$6:$A$505,"&lt;"&amp;A3864,Оплаты!$D$6:$D$505,"&lt;&gt;"))</f>
        <v/>
      </c>
      <c r="E3864" t="str">
        <f>IF(A3864="","",IF(SUMPRODUCT((Ввод!$F$12:$F$31&lt;&gt;"")*(Ввод!$F$12:$F$31&lt;=A3864)*(Ввод!$G$12:$G$31&gt;=A3864))&gt;0,1,0))</f>
        <v/>
      </c>
      <c r="G3864" t="str">
        <f t="shared" si="121"/>
        <v/>
      </c>
    </row>
    <row r="3865" spans="1:7" x14ac:dyDescent="0.3">
      <c r="A3865" s="21" t="str">
        <f>IF(A3864="","",IF(A3864+1&gt;Ввод!$B$4,"",A3864+1))</f>
        <v/>
      </c>
      <c r="B3865" s="23" t="str">
        <f>IF(A3865="","",IFERROR(INDEX(Ввод!$B$12:$B$71,MATCH(A3865,Ввод!$D$12:$D$71,1)),""))</f>
        <v/>
      </c>
      <c r="C3865" t="str">
        <f t="shared" si="120"/>
        <v/>
      </c>
      <c r="D3865" t="str">
        <f>IF(A3865="","",SUMIFS(Акты!$D$5:$D$16,Акты!$E$5:$E$16,"&lt;="&amp;A3865)-SUMIFS(Оплаты!$B$6:$B$505,Оплаты!$A$6:$A$505,"&lt;"&amp;A3865,Оплаты!$D$6:$D$505,"&lt;&gt;"))</f>
        <v/>
      </c>
      <c r="E3865" t="str">
        <f>IF(A3865="","",IF(SUMPRODUCT((Ввод!$F$12:$F$31&lt;&gt;"")*(Ввод!$F$12:$F$31&lt;=A3865)*(Ввод!$G$12:$G$31&gt;=A3865))&gt;0,1,0))</f>
        <v/>
      </c>
      <c r="G3865" t="str">
        <f t="shared" si="121"/>
        <v/>
      </c>
    </row>
    <row r="3866" spans="1:7" x14ac:dyDescent="0.3">
      <c r="A3866" s="21" t="str">
        <f>IF(A3865="","",IF(A3865+1&gt;Ввод!$B$4,"",A3865+1))</f>
        <v/>
      </c>
      <c r="B3866" s="23" t="str">
        <f>IF(A3866="","",IFERROR(INDEX(Ввод!$B$12:$B$71,MATCH(A3866,Ввод!$D$12:$D$71,1)),""))</f>
        <v/>
      </c>
      <c r="C3866" t="str">
        <f t="shared" si="120"/>
        <v/>
      </c>
      <c r="D3866" t="str">
        <f>IF(A3866="","",SUMIFS(Акты!$D$5:$D$16,Акты!$E$5:$E$16,"&lt;="&amp;A3866)-SUMIFS(Оплаты!$B$6:$B$505,Оплаты!$A$6:$A$505,"&lt;"&amp;A3866,Оплаты!$D$6:$D$505,"&lt;&gt;"))</f>
        <v/>
      </c>
      <c r="E3866" t="str">
        <f>IF(A3866="","",IF(SUMPRODUCT((Ввод!$F$12:$F$31&lt;&gt;"")*(Ввод!$F$12:$F$31&lt;=A3866)*(Ввод!$G$12:$G$31&gt;=A3866))&gt;0,1,0))</f>
        <v/>
      </c>
      <c r="G3866" t="str">
        <f t="shared" si="121"/>
        <v/>
      </c>
    </row>
    <row r="3867" spans="1:7" x14ac:dyDescent="0.3">
      <c r="A3867" s="21" t="str">
        <f>IF(A3866="","",IF(A3866+1&gt;Ввод!$B$4,"",A3866+1))</f>
        <v/>
      </c>
      <c r="B3867" s="23" t="str">
        <f>IF(A3867="","",IFERROR(INDEX(Ввод!$B$12:$B$71,MATCH(A3867,Ввод!$D$12:$D$71,1)),""))</f>
        <v/>
      </c>
      <c r="C3867" t="str">
        <f t="shared" si="120"/>
        <v/>
      </c>
      <c r="D3867" t="str">
        <f>IF(A3867="","",SUMIFS(Акты!$D$5:$D$16,Акты!$E$5:$E$16,"&lt;="&amp;A3867)-SUMIFS(Оплаты!$B$6:$B$505,Оплаты!$A$6:$A$505,"&lt;"&amp;A3867,Оплаты!$D$6:$D$505,"&lt;&gt;"))</f>
        <v/>
      </c>
      <c r="E3867" t="str">
        <f>IF(A3867="","",IF(SUMPRODUCT((Ввод!$F$12:$F$31&lt;&gt;"")*(Ввод!$F$12:$F$31&lt;=A3867)*(Ввод!$G$12:$G$31&gt;=A3867))&gt;0,1,0))</f>
        <v/>
      </c>
      <c r="G3867" t="str">
        <f t="shared" si="121"/>
        <v/>
      </c>
    </row>
    <row r="3868" spans="1:7" x14ac:dyDescent="0.3">
      <c r="A3868" s="21" t="str">
        <f>IF(A3867="","",IF(A3867+1&gt;Ввод!$B$4,"",A3867+1))</f>
        <v/>
      </c>
      <c r="B3868" s="23" t="str">
        <f>IF(A3868="","",IFERROR(INDEX(Ввод!$B$12:$B$71,MATCH(A3868,Ввод!$D$12:$D$71,1)),""))</f>
        <v/>
      </c>
      <c r="C3868" t="str">
        <f t="shared" si="120"/>
        <v/>
      </c>
      <c r="D3868" t="str">
        <f>IF(A3868="","",SUMIFS(Акты!$D$5:$D$16,Акты!$E$5:$E$16,"&lt;="&amp;A3868)-SUMIFS(Оплаты!$B$6:$B$505,Оплаты!$A$6:$A$505,"&lt;"&amp;A3868,Оплаты!$D$6:$D$505,"&lt;&gt;"))</f>
        <v/>
      </c>
      <c r="E3868" t="str">
        <f>IF(A3868="","",IF(SUMPRODUCT((Ввод!$F$12:$F$31&lt;&gt;"")*(Ввод!$F$12:$F$31&lt;=A3868)*(Ввод!$G$12:$G$31&gt;=A3868))&gt;0,1,0))</f>
        <v/>
      </c>
      <c r="G3868" t="str">
        <f t="shared" si="121"/>
        <v/>
      </c>
    </row>
    <row r="3869" spans="1:7" x14ac:dyDescent="0.3">
      <c r="A3869" s="21" t="str">
        <f>IF(A3868="","",IF(A3868+1&gt;Ввод!$B$4,"",A3868+1))</f>
        <v/>
      </c>
      <c r="B3869" s="23" t="str">
        <f>IF(A3869="","",IFERROR(INDEX(Ввод!$B$12:$B$71,MATCH(A3869,Ввод!$D$12:$D$71,1)),""))</f>
        <v/>
      </c>
      <c r="C3869" t="str">
        <f t="shared" si="120"/>
        <v/>
      </c>
      <c r="D3869" t="str">
        <f>IF(A3869="","",SUMIFS(Акты!$D$5:$D$16,Акты!$E$5:$E$16,"&lt;="&amp;A3869)-SUMIFS(Оплаты!$B$6:$B$505,Оплаты!$A$6:$A$505,"&lt;"&amp;A3869,Оплаты!$D$6:$D$505,"&lt;&gt;"))</f>
        <v/>
      </c>
      <c r="E3869" t="str">
        <f>IF(A3869="","",IF(SUMPRODUCT((Ввод!$F$12:$F$31&lt;&gt;"")*(Ввод!$F$12:$F$31&lt;=A3869)*(Ввод!$G$12:$G$31&gt;=A3869))&gt;0,1,0))</f>
        <v/>
      </c>
      <c r="G3869" t="str">
        <f t="shared" si="121"/>
        <v/>
      </c>
    </row>
    <row r="3870" spans="1:7" x14ac:dyDescent="0.3">
      <c r="A3870" s="21" t="str">
        <f>IF(A3869="","",IF(A3869+1&gt;Ввод!$B$4,"",A3869+1))</f>
        <v/>
      </c>
      <c r="B3870" s="23" t="str">
        <f>IF(A3870="","",IFERROR(INDEX(Ввод!$B$12:$B$71,MATCH(A3870,Ввод!$D$12:$D$71,1)),""))</f>
        <v/>
      </c>
      <c r="C3870" t="str">
        <f t="shared" si="120"/>
        <v/>
      </c>
      <c r="D3870" t="str">
        <f>IF(A3870="","",SUMIFS(Акты!$D$5:$D$16,Акты!$E$5:$E$16,"&lt;="&amp;A3870)-SUMIFS(Оплаты!$B$6:$B$505,Оплаты!$A$6:$A$505,"&lt;"&amp;A3870,Оплаты!$D$6:$D$505,"&lt;&gt;"))</f>
        <v/>
      </c>
      <c r="E3870" t="str">
        <f>IF(A3870="","",IF(SUMPRODUCT((Ввод!$F$12:$F$31&lt;&gt;"")*(Ввод!$F$12:$F$31&lt;=A3870)*(Ввод!$G$12:$G$31&gt;=A3870))&gt;0,1,0))</f>
        <v/>
      </c>
      <c r="G3870" t="str">
        <f t="shared" si="121"/>
        <v/>
      </c>
    </row>
    <row r="3871" spans="1:7" x14ac:dyDescent="0.3">
      <c r="A3871" s="21" t="str">
        <f>IF(A3870="","",IF(A3870+1&gt;Ввод!$B$4,"",A3870+1))</f>
        <v/>
      </c>
      <c r="B3871" s="23" t="str">
        <f>IF(A3871="","",IFERROR(INDEX(Ввод!$B$12:$B$71,MATCH(A3871,Ввод!$D$12:$D$71,1)),""))</f>
        <v/>
      </c>
      <c r="C3871" t="str">
        <f t="shared" si="120"/>
        <v/>
      </c>
      <c r="D3871" t="str">
        <f>IF(A3871="","",SUMIFS(Акты!$D$5:$D$16,Акты!$E$5:$E$16,"&lt;="&amp;A3871)-SUMIFS(Оплаты!$B$6:$B$505,Оплаты!$A$6:$A$505,"&lt;"&amp;A3871,Оплаты!$D$6:$D$505,"&lt;&gt;"))</f>
        <v/>
      </c>
      <c r="E3871" t="str">
        <f>IF(A3871="","",IF(SUMPRODUCT((Ввод!$F$12:$F$31&lt;&gt;"")*(Ввод!$F$12:$F$31&lt;=A3871)*(Ввод!$G$12:$G$31&gt;=A3871))&gt;0,1,0))</f>
        <v/>
      </c>
      <c r="G3871" t="str">
        <f t="shared" si="121"/>
        <v/>
      </c>
    </row>
    <row r="3872" spans="1:7" x14ac:dyDescent="0.3">
      <c r="A3872" s="21" t="str">
        <f>IF(A3871="","",IF(A3871+1&gt;Ввод!$B$4,"",A3871+1))</f>
        <v/>
      </c>
      <c r="B3872" s="23" t="str">
        <f>IF(A3872="","",IFERROR(INDEX(Ввод!$B$12:$B$71,MATCH(A3872,Ввод!$D$12:$D$71,1)),""))</f>
        <v/>
      </c>
      <c r="C3872" t="str">
        <f t="shared" si="120"/>
        <v/>
      </c>
      <c r="D3872" t="str">
        <f>IF(A3872="","",SUMIFS(Акты!$D$5:$D$16,Акты!$E$5:$E$16,"&lt;="&amp;A3872)-SUMIFS(Оплаты!$B$6:$B$505,Оплаты!$A$6:$A$505,"&lt;"&amp;A3872,Оплаты!$D$6:$D$505,"&lt;&gt;"))</f>
        <v/>
      </c>
      <c r="E3872" t="str">
        <f>IF(A3872="","",IF(SUMPRODUCT((Ввод!$F$12:$F$31&lt;&gt;"")*(Ввод!$F$12:$F$31&lt;=A3872)*(Ввод!$G$12:$G$31&gt;=A3872))&gt;0,1,0))</f>
        <v/>
      </c>
      <c r="G3872" t="str">
        <f t="shared" si="121"/>
        <v/>
      </c>
    </row>
    <row r="3873" spans="1:7" x14ac:dyDescent="0.3">
      <c r="A3873" s="21" t="str">
        <f>IF(A3872="","",IF(A3872+1&gt;Ввод!$B$4,"",A3872+1))</f>
        <v/>
      </c>
      <c r="B3873" s="23" t="str">
        <f>IF(A3873="","",IFERROR(INDEX(Ввод!$B$12:$B$71,MATCH(A3873,Ввод!$D$12:$D$71,1)),""))</f>
        <v/>
      </c>
      <c r="C3873" t="str">
        <f t="shared" si="120"/>
        <v/>
      </c>
      <c r="D3873" t="str">
        <f>IF(A3873="","",SUMIFS(Акты!$D$5:$D$16,Акты!$E$5:$E$16,"&lt;="&amp;A3873)-SUMIFS(Оплаты!$B$6:$B$505,Оплаты!$A$6:$A$505,"&lt;"&amp;A3873,Оплаты!$D$6:$D$505,"&lt;&gt;"))</f>
        <v/>
      </c>
      <c r="E3873" t="str">
        <f>IF(A3873="","",IF(SUMPRODUCT((Ввод!$F$12:$F$31&lt;&gt;"")*(Ввод!$F$12:$F$31&lt;=A3873)*(Ввод!$G$12:$G$31&gt;=A3873))&gt;0,1,0))</f>
        <v/>
      </c>
      <c r="G3873" t="str">
        <f t="shared" si="121"/>
        <v/>
      </c>
    </row>
    <row r="3874" spans="1:7" x14ac:dyDescent="0.3">
      <c r="A3874" s="21" t="str">
        <f>IF(A3873="","",IF(A3873+1&gt;Ввод!$B$4,"",A3873+1))</f>
        <v/>
      </c>
      <c r="B3874" s="23" t="str">
        <f>IF(A3874="","",IFERROR(INDEX(Ввод!$B$12:$B$71,MATCH(A3874,Ввод!$D$12:$D$71,1)),""))</f>
        <v/>
      </c>
      <c r="C3874" t="str">
        <f t="shared" si="120"/>
        <v/>
      </c>
      <c r="D3874" t="str">
        <f>IF(A3874="","",SUMIFS(Акты!$D$5:$D$16,Акты!$E$5:$E$16,"&lt;="&amp;A3874)-SUMIFS(Оплаты!$B$6:$B$505,Оплаты!$A$6:$A$505,"&lt;"&amp;A3874,Оплаты!$D$6:$D$505,"&lt;&gt;"))</f>
        <v/>
      </c>
      <c r="E3874" t="str">
        <f>IF(A3874="","",IF(SUMPRODUCT((Ввод!$F$12:$F$31&lt;&gt;"")*(Ввод!$F$12:$F$31&lt;=A3874)*(Ввод!$G$12:$G$31&gt;=A3874))&gt;0,1,0))</f>
        <v/>
      </c>
      <c r="G3874" t="str">
        <f t="shared" si="121"/>
        <v/>
      </c>
    </row>
    <row r="3875" spans="1:7" x14ac:dyDescent="0.3">
      <c r="A3875" s="21" t="str">
        <f>IF(A3874="","",IF(A3874+1&gt;Ввод!$B$4,"",A3874+1))</f>
        <v/>
      </c>
      <c r="B3875" s="23" t="str">
        <f>IF(A3875="","",IFERROR(INDEX(Ввод!$B$12:$B$71,MATCH(A3875,Ввод!$D$12:$D$71,1)),""))</f>
        <v/>
      </c>
      <c r="C3875" t="str">
        <f t="shared" si="120"/>
        <v/>
      </c>
      <c r="D3875" t="str">
        <f>IF(A3875="","",SUMIFS(Акты!$D$5:$D$16,Акты!$E$5:$E$16,"&lt;="&amp;A3875)-SUMIFS(Оплаты!$B$6:$B$505,Оплаты!$A$6:$A$505,"&lt;"&amp;A3875,Оплаты!$D$6:$D$505,"&lt;&gt;"))</f>
        <v/>
      </c>
      <c r="E3875" t="str">
        <f>IF(A3875="","",IF(SUMPRODUCT((Ввод!$F$12:$F$31&lt;&gt;"")*(Ввод!$F$12:$F$31&lt;=A3875)*(Ввод!$G$12:$G$31&gt;=A3875))&gt;0,1,0))</f>
        <v/>
      </c>
      <c r="G3875" t="str">
        <f t="shared" si="121"/>
        <v/>
      </c>
    </row>
    <row r="3876" spans="1:7" x14ac:dyDescent="0.3">
      <c r="A3876" s="21" t="str">
        <f>IF(A3875="","",IF(A3875+1&gt;Ввод!$B$4,"",A3875+1))</f>
        <v/>
      </c>
      <c r="B3876" s="23" t="str">
        <f>IF(A3876="","",IFERROR(INDEX(Ввод!$B$12:$B$71,MATCH(A3876,Ввод!$D$12:$D$71,1)),""))</f>
        <v/>
      </c>
      <c r="C3876" t="str">
        <f t="shared" si="120"/>
        <v/>
      </c>
      <c r="D3876" t="str">
        <f>IF(A3876="","",SUMIFS(Акты!$D$5:$D$16,Акты!$E$5:$E$16,"&lt;="&amp;A3876)-SUMIFS(Оплаты!$B$6:$B$505,Оплаты!$A$6:$A$505,"&lt;"&amp;A3876,Оплаты!$D$6:$D$505,"&lt;&gt;"))</f>
        <v/>
      </c>
      <c r="E3876" t="str">
        <f>IF(A3876="","",IF(SUMPRODUCT((Ввод!$F$12:$F$31&lt;&gt;"")*(Ввод!$F$12:$F$31&lt;=A3876)*(Ввод!$G$12:$G$31&gt;=A3876))&gt;0,1,0))</f>
        <v/>
      </c>
      <c r="G3876" t="str">
        <f t="shared" si="121"/>
        <v/>
      </c>
    </row>
    <row r="3877" spans="1:7" x14ac:dyDescent="0.3">
      <c r="A3877" s="21" t="str">
        <f>IF(A3876="","",IF(A3876+1&gt;Ввод!$B$4,"",A3876+1))</f>
        <v/>
      </c>
      <c r="B3877" s="23" t="str">
        <f>IF(A3877="","",IFERROR(INDEX(Ввод!$B$12:$B$71,MATCH(A3877,Ввод!$D$12:$D$71,1)),""))</f>
        <v/>
      </c>
      <c r="C3877" t="str">
        <f t="shared" si="120"/>
        <v/>
      </c>
      <c r="D3877" t="str">
        <f>IF(A3877="","",SUMIFS(Акты!$D$5:$D$16,Акты!$E$5:$E$16,"&lt;="&amp;A3877)-SUMIFS(Оплаты!$B$6:$B$505,Оплаты!$A$6:$A$505,"&lt;"&amp;A3877,Оплаты!$D$6:$D$505,"&lt;&gt;"))</f>
        <v/>
      </c>
      <c r="E3877" t="str">
        <f>IF(A3877="","",IF(SUMPRODUCT((Ввод!$F$12:$F$31&lt;&gt;"")*(Ввод!$F$12:$F$31&lt;=A3877)*(Ввод!$G$12:$G$31&gt;=A3877))&gt;0,1,0))</f>
        <v/>
      </c>
      <c r="G3877" t="str">
        <f t="shared" si="121"/>
        <v/>
      </c>
    </row>
    <row r="3878" spans="1:7" x14ac:dyDescent="0.3">
      <c r="A3878" s="21" t="str">
        <f>IF(A3877="","",IF(A3877+1&gt;Ввод!$B$4,"",A3877+1))</f>
        <v/>
      </c>
      <c r="B3878" s="23" t="str">
        <f>IF(A3878="","",IFERROR(INDEX(Ввод!$B$12:$B$71,MATCH(A3878,Ввод!$D$12:$D$71,1)),""))</f>
        <v/>
      </c>
      <c r="C3878" t="str">
        <f t="shared" si="120"/>
        <v/>
      </c>
      <c r="D3878" t="str">
        <f>IF(A3878="","",SUMIFS(Акты!$D$5:$D$16,Акты!$E$5:$E$16,"&lt;="&amp;A3878)-SUMIFS(Оплаты!$B$6:$B$505,Оплаты!$A$6:$A$505,"&lt;"&amp;A3878,Оплаты!$D$6:$D$505,"&lt;&gt;"))</f>
        <v/>
      </c>
      <c r="E3878" t="str">
        <f>IF(A3878="","",IF(SUMPRODUCT((Ввод!$F$12:$F$31&lt;&gt;"")*(Ввод!$F$12:$F$31&lt;=A3878)*(Ввод!$G$12:$G$31&gt;=A3878))&gt;0,1,0))</f>
        <v/>
      </c>
      <c r="G3878" t="str">
        <f t="shared" si="121"/>
        <v/>
      </c>
    </row>
    <row r="3879" spans="1:7" x14ac:dyDescent="0.3">
      <c r="A3879" s="21" t="str">
        <f>IF(A3878="","",IF(A3878+1&gt;Ввод!$B$4,"",A3878+1))</f>
        <v/>
      </c>
      <c r="B3879" s="23" t="str">
        <f>IF(A3879="","",IFERROR(INDEX(Ввод!$B$12:$B$71,MATCH(A3879,Ввод!$D$12:$D$71,1)),""))</f>
        <v/>
      </c>
      <c r="C3879" t="str">
        <f t="shared" si="120"/>
        <v/>
      </c>
      <c r="D3879" t="str">
        <f>IF(A3879="","",SUMIFS(Акты!$D$5:$D$16,Акты!$E$5:$E$16,"&lt;="&amp;A3879)-SUMIFS(Оплаты!$B$6:$B$505,Оплаты!$A$6:$A$505,"&lt;"&amp;A3879,Оплаты!$D$6:$D$505,"&lt;&gt;"))</f>
        <v/>
      </c>
      <c r="E3879" t="str">
        <f>IF(A3879="","",IF(SUMPRODUCT((Ввод!$F$12:$F$31&lt;&gt;"")*(Ввод!$F$12:$F$31&lt;=A3879)*(Ввод!$G$12:$G$31&gt;=A3879))&gt;0,1,0))</f>
        <v/>
      </c>
      <c r="G3879" t="str">
        <f t="shared" si="121"/>
        <v/>
      </c>
    </row>
    <row r="3880" spans="1:7" x14ac:dyDescent="0.3">
      <c r="A3880" s="21" t="str">
        <f>IF(A3879="","",IF(A3879+1&gt;Ввод!$B$4,"",A3879+1))</f>
        <v/>
      </c>
      <c r="B3880" s="23" t="str">
        <f>IF(A3880="","",IFERROR(INDEX(Ввод!$B$12:$B$71,MATCH(A3880,Ввод!$D$12:$D$71,1)),""))</f>
        <v/>
      </c>
      <c r="C3880" t="str">
        <f t="shared" si="120"/>
        <v/>
      </c>
      <c r="D3880" t="str">
        <f>IF(A3880="","",SUMIFS(Акты!$D$5:$D$16,Акты!$E$5:$E$16,"&lt;="&amp;A3880)-SUMIFS(Оплаты!$B$6:$B$505,Оплаты!$A$6:$A$505,"&lt;"&amp;A3880,Оплаты!$D$6:$D$505,"&lt;&gt;"))</f>
        <v/>
      </c>
      <c r="E3880" t="str">
        <f>IF(A3880="","",IF(SUMPRODUCT((Ввод!$F$12:$F$31&lt;&gt;"")*(Ввод!$F$12:$F$31&lt;=A3880)*(Ввод!$G$12:$G$31&gt;=A3880))&gt;0,1,0))</f>
        <v/>
      </c>
      <c r="G3880" t="str">
        <f t="shared" si="121"/>
        <v/>
      </c>
    </row>
    <row r="3881" spans="1:7" x14ac:dyDescent="0.3">
      <c r="A3881" s="21" t="str">
        <f>IF(A3880="","",IF(A3880+1&gt;Ввод!$B$4,"",A3880+1))</f>
        <v/>
      </c>
      <c r="B3881" s="23" t="str">
        <f>IF(A3881="","",IFERROR(INDEX(Ввод!$B$12:$B$71,MATCH(A3881,Ввод!$D$12:$D$71,1)),""))</f>
        <v/>
      </c>
      <c r="C3881" t="str">
        <f t="shared" si="120"/>
        <v/>
      </c>
      <c r="D3881" t="str">
        <f>IF(A3881="","",SUMIFS(Акты!$D$5:$D$16,Акты!$E$5:$E$16,"&lt;="&amp;A3881)-SUMIFS(Оплаты!$B$6:$B$505,Оплаты!$A$6:$A$505,"&lt;"&amp;A3881,Оплаты!$D$6:$D$505,"&lt;&gt;"))</f>
        <v/>
      </c>
      <c r="E3881" t="str">
        <f>IF(A3881="","",IF(SUMPRODUCT((Ввод!$F$12:$F$31&lt;&gt;"")*(Ввод!$F$12:$F$31&lt;=A3881)*(Ввод!$G$12:$G$31&gt;=A3881))&gt;0,1,0))</f>
        <v/>
      </c>
      <c r="G3881" t="str">
        <f t="shared" si="121"/>
        <v/>
      </c>
    </row>
    <row r="3882" spans="1:7" x14ac:dyDescent="0.3">
      <c r="A3882" s="21" t="str">
        <f>IF(A3881="","",IF(A3881+1&gt;Ввод!$B$4,"",A3881+1))</f>
        <v/>
      </c>
      <c r="B3882" s="23" t="str">
        <f>IF(A3882="","",IFERROR(INDEX(Ввод!$B$12:$B$71,MATCH(A3882,Ввод!$D$12:$D$71,1)),""))</f>
        <v/>
      </c>
      <c r="C3882" t="str">
        <f t="shared" si="120"/>
        <v/>
      </c>
      <c r="D3882" t="str">
        <f>IF(A3882="","",SUMIFS(Акты!$D$5:$D$16,Акты!$E$5:$E$16,"&lt;="&amp;A3882)-SUMIFS(Оплаты!$B$6:$B$505,Оплаты!$A$6:$A$505,"&lt;"&amp;A3882,Оплаты!$D$6:$D$505,"&lt;&gt;"))</f>
        <v/>
      </c>
      <c r="E3882" t="str">
        <f>IF(A3882="","",IF(SUMPRODUCT((Ввод!$F$12:$F$31&lt;&gt;"")*(Ввод!$F$12:$F$31&lt;=A3882)*(Ввод!$G$12:$G$31&gt;=A3882))&gt;0,1,0))</f>
        <v/>
      </c>
      <c r="G3882" t="str">
        <f t="shared" si="121"/>
        <v/>
      </c>
    </row>
    <row r="3883" spans="1:7" x14ac:dyDescent="0.3">
      <c r="A3883" s="21" t="str">
        <f>IF(A3882="","",IF(A3882+1&gt;Ввод!$B$4,"",A3882+1))</f>
        <v/>
      </c>
      <c r="B3883" s="23" t="str">
        <f>IF(A3883="","",IFERROR(INDEX(Ввод!$B$12:$B$71,MATCH(A3883,Ввод!$D$12:$D$71,1)),""))</f>
        <v/>
      </c>
      <c r="C3883" t="str">
        <f t="shared" si="120"/>
        <v/>
      </c>
      <c r="D3883" t="str">
        <f>IF(A3883="","",SUMIFS(Акты!$D$5:$D$16,Акты!$E$5:$E$16,"&lt;="&amp;A3883)-SUMIFS(Оплаты!$B$6:$B$505,Оплаты!$A$6:$A$505,"&lt;"&amp;A3883,Оплаты!$D$6:$D$505,"&lt;&gt;"))</f>
        <v/>
      </c>
      <c r="E3883" t="str">
        <f>IF(A3883="","",IF(SUMPRODUCT((Ввод!$F$12:$F$31&lt;&gt;"")*(Ввод!$F$12:$F$31&lt;=A3883)*(Ввод!$G$12:$G$31&gt;=A3883))&gt;0,1,0))</f>
        <v/>
      </c>
      <c r="G3883" t="str">
        <f t="shared" si="121"/>
        <v/>
      </c>
    </row>
    <row r="3884" spans="1:7" x14ac:dyDescent="0.3">
      <c r="A3884" s="21" t="str">
        <f>IF(A3883="","",IF(A3883+1&gt;Ввод!$B$4,"",A3883+1))</f>
        <v/>
      </c>
      <c r="B3884" s="23" t="str">
        <f>IF(A3884="","",IFERROR(INDEX(Ввод!$B$12:$B$71,MATCH(A3884,Ввод!$D$12:$D$71,1)),""))</f>
        <v/>
      </c>
      <c r="C3884" t="str">
        <f t="shared" si="120"/>
        <v/>
      </c>
      <c r="D3884" t="str">
        <f>IF(A3884="","",SUMIFS(Акты!$D$5:$D$16,Акты!$E$5:$E$16,"&lt;="&amp;A3884)-SUMIFS(Оплаты!$B$6:$B$505,Оплаты!$A$6:$A$505,"&lt;"&amp;A3884,Оплаты!$D$6:$D$505,"&lt;&gt;"))</f>
        <v/>
      </c>
      <c r="E3884" t="str">
        <f>IF(A3884="","",IF(SUMPRODUCT((Ввод!$F$12:$F$31&lt;&gt;"")*(Ввод!$F$12:$F$31&lt;=A3884)*(Ввод!$G$12:$G$31&gt;=A3884))&gt;0,1,0))</f>
        <v/>
      </c>
      <c r="G3884" t="str">
        <f t="shared" si="121"/>
        <v/>
      </c>
    </row>
    <row r="3885" spans="1:7" x14ac:dyDescent="0.3">
      <c r="A3885" s="21" t="str">
        <f>IF(A3884="","",IF(A3884+1&gt;Ввод!$B$4,"",A3884+1))</f>
        <v/>
      </c>
      <c r="B3885" s="23" t="str">
        <f>IF(A3885="","",IFERROR(INDEX(Ввод!$B$12:$B$71,MATCH(A3885,Ввод!$D$12:$D$71,1)),""))</f>
        <v/>
      </c>
      <c r="C3885" t="str">
        <f t="shared" si="120"/>
        <v/>
      </c>
      <c r="D3885" t="str">
        <f>IF(A3885="","",SUMIFS(Акты!$D$5:$D$16,Акты!$E$5:$E$16,"&lt;="&amp;A3885)-SUMIFS(Оплаты!$B$6:$B$505,Оплаты!$A$6:$A$505,"&lt;"&amp;A3885,Оплаты!$D$6:$D$505,"&lt;&gt;"))</f>
        <v/>
      </c>
      <c r="E3885" t="str">
        <f>IF(A3885="","",IF(SUMPRODUCT((Ввод!$F$12:$F$31&lt;&gt;"")*(Ввод!$F$12:$F$31&lt;=A3885)*(Ввод!$G$12:$G$31&gt;=A3885))&gt;0,1,0))</f>
        <v/>
      </c>
      <c r="G3885" t="str">
        <f t="shared" si="121"/>
        <v/>
      </c>
    </row>
    <row r="3886" spans="1:7" x14ac:dyDescent="0.3">
      <c r="A3886" s="21" t="str">
        <f>IF(A3885="","",IF(A3885+1&gt;Ввод!$B$4,"",A3885+1))</f>
        <v/>
      </c>
      <c r="B3886" s="23" t="str">
        <f>IF(A3886="","",IFERROR(INDEX(Ввод!$B$12:$B$71,MATCH(A3886,Ввод!$D$12:$D$71,1)),""))</f>
        <v/>
      </c>
      <c r="C3886" t="str">
        <f t="shared" si="120"/>
        <v/>
      </c>
      <c r="D3886" t="str">
        <f>IF(A3886="","",SUMIFS(Акты!$D$5:$D$16,Акты!$E$5:$E$16,"&lt;="&amp;A3886)-SUMIFS(Оплаты!$B$6:$B$505,Оплаты!$A$6:$A$505,"&lt;"&amp;A3886,Оплаты!$D$6:$D$505,"&lt;&gt;"))</f>
        <v/>
      </c>
      <c r="E3886" t="str">
        <f>IF(A3886="","",IF(SUMPRODUCT((Ввод!$F$12:$F$31&lt;&gt;"")*(Ввод!$F$12:$F$31&lt;=A3886)*(Ввод!$G$12:$G$31&gt;=A3886))&gt;0,1,0))</f>
        <v/>
      </c>
      <c r="G3886" t="str">
        <f t="shared" si="121"/>
        <v/>
      </c>
    </row>
    <row r="3887" spans="1:7" x14ac:dyDescent="0.3">
      <c r="A3887" s="21" t="str">
        <f>IF(A3886="","",IF(A3886+1&gt;Ввод!$B$4,"",A3886+1))</f>
        <v/>
      </c>
      <c r="B3887" s="23" t="str">
        <f>IF(A3887="","",IFERROR(INDEX(Ввод!$B$12:$B$71,MATCH(A3887,Ввод!$D$12:$D$71,1)),""))</f>
        <v/>
      </c>
      <c r="C3887" t="str">
        <f t="shared" si="120"/>
        <v/>
      </c>
      <c r="D3887" t="str">
        <f>IF(A3887="","",SUMIFS(Акты!$D$5:$D$16,Акты!$E$5:$E$16,"&lt;="&amp;A3887)-SUMIFS(Оплаты!$B$6:$B$505,Оплаты!$A$6:$A$505,"&lt;"&amp;A3887,Оплаты!$D$6:$D$505,"&lt;&gt;"))</f>
        <v/>
      </c>
      <c r="E3887" t="str">
        <f>IF(A3887="","",IF(SUMPRODUCT((Ввод!$F$12:$F$31&lt;&gt;"")*(Ввод!$F$12:$F$31&lt;=A3887)*(Ввод!$G$12:$G$31&gt;=A3887))&gt;0,1,0))</f>
        <v/>
      </c>
      <c r="G3887" t="str">
        <f t="shared" si="121"/>
        <v/>
      </c>
    </row>
    <row r="3888" spans="1:7" x14ac:dyDescent="0.3">
      <c r="A3888" s="21" t="str">
        <f>IF(A3887="","",IF(A3887+1&gt;Ввод!$B$4,"",A3887+1))</f>
        <v/>
      </c>
      <c r="B3888" s="23" t="str">
        <f>IF(A3888="","",IFERROR(INDEX(Ввод!$B$12:$B$71,MATCH(A3888,Ввод!$D$12:$D$71,1)),""))</f>
        <v/>
      </c>
      <c r="C3888" t="str">
        <f t="shared" si="120"/>
        <v/>
      </c>
      <c r="D3888" t="str">
        <f>IF(A3888="","",SUMIFS(Акты!$D$5:$D$16,Акты!$E$5:$E$16,"&lt;="&amp;A3888)-SUMIFS(Оплаты!$B$6:$B$505,Оплаты!$A$6:$A$505,"&lt;"&amp;A3888,Оплаты!$D$6:$D$505,"&lt;&gt;"))</f>
        <v/>
      </c>
      <c r="E3888" t="str">
        <f>IF(A3888="","",IF(SUMPRODUCT((Ввод!$F$12:$F$31&lt;&gt;"")*(Ввод!$F$12:$F$31&lt;=A3888)*(Ввод!$G$12:$G$31&gt;=A3888))&gt;0,1,0))</f>
        <v/>
      </c>
      <c r="G3888" t="str">
        <f t="shared" si="121"/>
        <v/>
      </c>
    </row>
    <row r="3889" spans="1:7" x14ac:dyDescent="0.3">
      <c r="A3889" s="21" t="str">
        <f>IF(A3888="","",IF(A3888+1&gt;Ввод!$B$4,"",A3888+1))</f>
        <v/>
      </c>
      <c r="B3889" s="23" t="str">
        <f>IF(A3889="","",IFERROR(INDEX(Ввод!$B$12:$B$71,MATCH(A3889,Ввод!$D$12:$D$71,1)),""))</f>
        <v/>
      </c>
      <c r="C3889" t="str">
        <f t="shared" si="120"/>
        <v/>
      </c>
      <c r="D3889" t="str">
        <f>IF(A3889="","",SUMIFS(Акты!$D$5:$D$16,Акты!$E$5:$E$16,"&lt;="&amp;A3889)-SUMIFS(Оплаты!$B$6:$B$505,Оплаты!$A$6:$A$505,"&lt;"&amp;A3889,Оплаты!$D$6:$D$505,"&lt;&gt;"))</f>
        <v/>
      </c>
      <c r="E3889" t="str">
        <f>IF(A3889="","",IF(SUMPRODUCT((Ввод!$F$12:$F$31&lt;&gt;"")*(Ввод!$F$12:$F$31&lt;=A3889)*(Ввод!$G$12:$G$31&gt;=A3889))&gt;0,1,0))</f>
        <v/>
      </c>
      <c r="G3889" t="str">
        <f t="shared" si="121"/>
        <v/>
      </c>
    </row>
    <row r="3890" spans="1:7" x14ac:dyDescent="0.3">
      <c r="A3890" s="21" t="str">
        <f>IF(A3889="","",IF(A3889+1&gt;Ввод!$B$4,"",A3889+1))</f>
        <v/>
      </c>
      <c r="B3890" s="23" t="str">
        <f>IF(A3890="","",IFERROR(INDEX(Ввод!$B$12:$B$71,MATCH(A3890,Ввод!$D$12:$D$71,1)),""))</f>
        <v/>
      </c>
      <c r="C3890" t="str">
        <f t="shared" si="120"/>
        <v/>
      </c>
      <c r="D3890" t="str">
        <f>IF(A3890="","",SUMIFS(Акты!$D$5:$D$16,Акты!$E$5:$E$16,"&lt;="&amp;A3890)-SUMIFS(Оплаты!$B$6:$B$505,Оплаты!$A$6:$A$505,"&lt;"&amp;A3890,Оплаты!$D$6:$D$505,"&lt;&gt;"))</f>
        <v/>
      </c>
      <c r="E3890" t="str">
        <f>IF(A3890="","",IF(SUMPRODUCT((Ввод!$F$12:$F$31&lt;&gt;"")*(Ввод!$F$12:$F$31&lt;=A3890)*(Ввод!$G$12:$G$31&gt;=A3890))&gt;0,1,0))</f>
        <v/>
      </c>
      <c r="G3890" t="str">
        <f t="shared" si="121"/>
        <v/>
      </c>
    </row>
    <row r="3891" spans="1:7" x14ac:dyDescent="0.3">
      <c r="A3891" s="21" t="str">
        <f>IF(A3890="","",IF(A3890+1&gt;Ввод!$B$4,"",A3890+1))</f>
        <v/>
      </c>
      <c r="B3891" s="23" t="str">
        <f>IF(A3891="","",IFERROR(INDEX(Ввод!$B$12:$B$71,MATCH(A3891,Ввод!$D$12:$D$71,1)),""))</f>
        <v/>
      </c>
      <c r="C3891" t="str">
        <f t="shared" si="120"/>
        <v/>
      </c>
      <c r="D3891" t="str">
        <f>IF(A3891="","",SUMIFS(Акты!$D$5:$D$16,Акты!$E$5:$E$16,"&lt;="&amp;A3891)-SUMIFS(Оплаты!$B$6:$B$505,Оплаты!$A$6:$A$505,"&lt;"&amp;A3891,Оплаты!$D$6:$D$505,"&lt;&gt;"))</f>
        <v/>
      </c>
      <c r="E3891" t="str">
        <f>IF(A3891="","",IF(SUMPRODUCT((Ввод!$F$12:$F$31&lt;&gt;"")*(Ввод!$F$12:$F$31&lt;=A3891)*(Ввод!$G$12:$G$31&gt;=A3891))&gt;0,1,0))</f>
        <v/>
      </c>
      <c r="G3891" t="str">
        <f t="shared" si="121"/>
        <v/>
      </c>
    </row>
    <row r="3892" spans="1:7" x14ac:dyDescent="0.3">
      <c r="A3892" s="21" t="str">
        <f>IF(A3891="","",IF(A3891+1&gt;Ввод!$B$4,"",A3891+1))</f>
        <v/>
      </c>
      <c r="B3892" s="23" t="str">
        <f>IF(A3892="","",IFERROR(INDEX(Ввод!$B$12:$B$71,MATCH(A3892,Ввод!$D$12:$D$71,1)),""))</f>
        <v/>
      </c>
      <c r="C3892" t="str">
        <f t="shared" si="120"/>
        <v/>
      </c>
      <c r="D3892" t="str">
        <f>IF(A3892="","",SUMIFS(Акты!$D$5:$D$16,Акты!$E$5:$E$16,"&lt;="&amp;A3892)-SUMIFS(Оплаты!$B$6:$B$505,Оплаты!$A$6:$A$505,"&lt;"&amp;A3892,Оплаты!$D$6:$D$505,"&lt;&gt;"))</f>
        <v/>
      </c>
      <c r="E3892" t="str">
        <f>IF(A3892="","",IF(SUMPRODUCT((Ввод!$F$12:$F$31&lt;&gt;"")*(Ввод!$F$12:$F$31&lt;=A3892)*(Ввод!$G$12:$G$31&gt;=A3892))&gt;0,1,0))</f>
        <v/>
      </c>
      <c r="G3892" t="str">
        <f t="shared" si="121"/>
        <v/>
      </c>
    </row>
    <row r="3893" spans="1:7" x14ac:dyDescent="0.3">
      <c r="A3893" s="21" t="str">
        <f>IF(A3892="","",IF(A3892+1&gt;Ввод!$B$4,"",A3892+1))</f>
        <v/>
      </c>
      <c r="B3893" s="23" t="str">
        <f>IF(A3893="","",IFERROR(INDEX(Ввод!$B$12:$B$71,MATCH(A3893,Ввод!$D$12:$D$71,1)),""))</f>
        <v/>
      </c>
      <c r="C3893" t="str">
        <f t="shared" si="120"/>
        <v/>
      </c>
      <c r="D3893" t="str">
        <f>IF(A3893="","",SUMIFS(Акты!$D$5:$D$16,Акты!$E$5:$E$16,"&lt;="&amp;A3893)-SUMIFS(Оплаты!$B$6:$B$505,Оплаты!$A$6:$A$505,"&lt;"&amp;A3893,Оплаты!$D$6:$D$505,"&lt;&gt;"))</f>
        <v/>
      </c>
      <c r="E3893" t="str">
        <f>IF(A3893="","",IF(SUMPRODUCT((Ввод!$F$12:$F$31&lt;&gt;"")*(Ввод!$F$12:$F$31&lt;=A3893)*(Ввод!$G$12:$G$31&gt;=A3893))&gt;0,1,0))</f>
        <v/>
      </c>
      <c r="G3893" t="str">
        <f t="shared" si="121"/>
        <v/>
      </c>
    </row>
    <row r="3894" spans="1:7" x14ac:dyDescent="0.3">
      <c r="A3894" s="21" t="str">
        <f>IF(A3893="","",IF(A3893+1&gt;Ввод!$B$4,"",A3893+1))</f>
        <v/>
      </c>
      <c r="B3894" s="23" t="str">
        <f>IF(A3894="","",IFERROR(INDEX(Ввод!$B$12:$B$71,MATCH(A3894,Ввод!$D$12:$D$71,1)),""))</f>
        <v/>
      </c>
      <c r="C3894" t="str">
        <f t="shared" si="120"/>
        <v/>
      </c>
      <c r="D3894" t="str">
        <f>IF(A3894="","",SUMIFS(Акты!$D$5:$D$16,Акты!$E$5:$E$16,"&lt;="&amp;A3894)-SUMIFS(Оплаты!$B$6:$B$505,Оплаты!$A$6:$A$505,"&lt;"&amp;A3894,Оплаты!$D$6:$D$505,"&lt;&gt;"))</f>
        <v/>
      </c>
      <c r="E3894" t="str">
        <f>IF(A3894="","",IF(SUMPRODUCT((Ввод!$F$12:$F$31&lt;&gt;"")*(Ввод!$F$12:$F$31&lt;=A3894)*(Ввод!$G$12:$G$31&gt;=A3894))&gt;0,1,0))</f>
        <v/>
      </c>
      <c r="G3894" t="str">
        <f t="shared" si="121"/>
        <v/>
      </c>
    </row>
    <row r="3895" spans="1:7" x14ac:dyDescent="0.3">
      <c r="A3895" s="21" t="str">
        <f>IF(A3894="","",IF(A3894+1&gt;Ввод!$B$4,"",A3894+1))</f>
        <v/>
      </c>
      <c r="B3895" s="23" t="str">
        <f>IF(A3895="","",IFERROR(INDEX(Ввод!$B$12:$B$71,MATCH(A3895,Ввод!$D$12:$D$71,1)),""))</f>
        <v/>
      </c>
      <c r="C3895" t="str">
        <f t="shared" si="120"/>
        <v/>
      </c>
      <c r="D3895" t="str">
        <f>IF(A3895="","",SUMIFS(Акты!$D$5:$D$16,Акты!$E$5:$E$16,"&lt;="&amp;A3895)-SUMIFS(Оплаты!$B$6:$B$505,Оплаты!$A$6:$A$505,"&lt;"&amp;A3895,Оплаты!$D$6:$D$505,"&lt;&gt;"))</f>
        <v/>
      </c>
      <c r="E3895" t="str">
        <f>IF(A3895="","",IF(SUMPRODUCT((Ввод!$F$12:$F$31&lt;&gt;"")*(Ввод!$F$12:$F$31&lt;=A3895)*(Ввод!$G$12:$G$31&gt;=A3895))&gt;0,1,0))</f>
        <v/>
      </c>
      <c r="G3895" t="str">
        <f t="shared" si="121"/>
        <v/>
      </c>
    </row>
    <row r="3896" spans="1:7" x14ac:dyDescent="0.3">
      <c r="A3896" s="21" t="str">
        <f>IF(A3895="","",IF(A3895+1&gt;Ввод!$B$4,"",A3895+1))</f>
        <v/>
      </c>
      <c r="B3896" s="23" t="str">
        <f>IF(A3896="","",IFERROR(INDEX(Ввод!$B$12:$B$71,MATCH(A3896,Ввод!$D$12:$D$71,1)),""))</f>
        <v/>
      </c>
      <c r="C3896" t="str">
        <f t="shared" si="120"/>
        <v/>
      </c>
      <c r="D3896" t="str">
        <f>IF(A3896="","",SUMIFS(Акты!$D$5:$D$16,Акты!$E$5:$E$16,"&lt;="&amp;A3896)-SUMIFS(Оплаты!$B$6:$B$505,Оплаты!$A$6:$A$505,"&lt;"&amp;A3896,Оплаты!$D$6:$D$505,"&lt;&gt;"))</f>
        <v/>
      </c>
      <c r="E3896" t="str">
        <f>IF(A3896="","",IF(SUMPRODUCT((Ввод!$F$12:$F$31&lt;&gt;"")*(Ввод!$F$12:$F$31&lt;=A3896)*(Ввод!$G$12:$G$31&gt;=A3896))&gt;0,1,0))</f>
        <v/>
      </c>
      <c r="G3896" t="str">
        <f t="shared" si="121"/>
        <v/>
      </c>
    </row>
    <row r="3897" spans="1:7" x14ac:dyDescent="0.3">
      <c r="A3897" s="21" t="str">
        <f>IF(A3896="","",IF(A3896+1&gt;Ввод!$B$4,"",A3896+1))</f>
        <v/>
      </c>
      <c r="B3897" s="23" t="str">
        <f>IF(A3897="","",IFERROR(INDEX(Ввод!$B$12:$B$71,MATCH(A3897,Ввод!$D$12:$D$71,1)),""))</f>
        <v/>
      </c>
      <c r="C3897" t="str">
        <f t="shared" si="120"/>
        <v/>
      </c>
      <c r="D3897" t="str">
        <f>IF(A3897="","",SUMIFS(Акты!$D$5:$D$16,Акты!$E$5:$E$16,"&lt;="&amp;A3897)-SUMIFS(Оплаты!$B$6:$B$505,Оплаты!$A$6:$A$505,"&lt;"&amp;A3897,Оплаты!$D$6:$D$505,"&lt;&gt;"))</f>
        <v/>
      </c>
      <c r="E3897" t="str">
        <f>IF(A3897="","",IF(SUMPRODUCT((Ввод!$F$12:$F$31&lt;&gt;"")*(Ввод!$F$12:$F$31&lt;=A3897)*(Ввод!$G$12:$G$31&gt;=A3897))&gt;0,1,0))</f>
        <v/>
      </c>
      <c r="G3897" t="str">
        <f t="shared" si="121"/>
        <v/>
      </c>
    </row>
    <row r="3898" spans="1:7" x14ac:dyDescent="0.3">
      <c r="A3898" s="21" t="str">
        <f>IF(A3897="","",IF(A3897+1&gt;Ввод!$B$4,"",A3897+1))</f>
        <v/>
      </c>
      <c r="B3898" s="23" t="str">
        <f>IF(A3898="","",IFERROR(INDEX(Ввод!$B$12:$B$71,MATCH(A3898,Ввод!$D$12:$D$71,1)),""))</f>
        <v/>
      </c>
      <c r="C3898" t="str">
        <f t="shared" si="120"/>
        <v/>
      </c>
      <c r="D3898" t="str">
        <f>IF(A3898="","",SUMIFS(Акты!$D$5:$D$16,Акты!$E$5:$E$16,"&lt;="&amp;A3898)-SUMIFS(Оплаты!$B$6:$B$505,Оплаты!$A$6:$A$505,"&lt;"&amp;A3898,Оплаты!$D$6:$D$505,"&lt;&gt;"))</f>
        <v/>
      </c>
      <c r="E3898" t="str">
        <f>IF(A3898="","",IF(SUMPRODUCT((Ввод!$F$12:$F$31&lt;&gt;"")*(Ввод!$F$12:$F$31&lt;=A3898)*(Ввод!$G$12:$G$31&gt;=A3898))&gt;0,1,0))</f>
        <v/>
      </c>
      <c r="G3898" t="str">
        <f t="shared" si="121"/>
        <v/>
      </c>
    </row>
    <row r="3899" spans="1:7" x14ac:dyDescent="0.3">
      <c r="A3899" s="21" t="str">
        <f>IF(A3898="","",IF(A3898+1&gt;Ввод!$B$4,"",A3898+1))</f>
        <v/>
      </c>
      <c r="B3899" s="23" t="str">
        <f>IF(A3899="","",IFERROR(INDEX(Ввод!$B$12:$B$71,MATCH(A3899,Ввод!$D$12:$D$71,1)),""))</f>
        <v/>
      </c>
      <c r="C3899" t="str">
        <f t="shared" si="120"/>
        <v/>
      </c>
      <c r="D3899" t="str">
        <f>IF(A3899="","",SUMIFS(Акты!$D$5:$D$16,Акты!$E$5:$E$16,"&lt;="&amp;A3899)-SUMIFS(Оплаты!$B$6:$B$505,Оплаты!$A$6:$A$505,"&lt;"&amp;A3899,Оплаты!$D$6:$D$505,"&lt;&gt;"))</f>
        <v/>
      </c>
      <c r="E3899" t="str">
        <f>IF(A3899="","",IF(SUMPRODUCT((Ввод!$F$12:$F$31&lt;&gt;"")*(Ввод!$F$12:$F$31&lt;=A3899)*(Ввод!$G$12:$G$31&gt;=A3899))&gt;0,1,0))</f>
        <v/>
      </c>
      <c r="G3899" t="str">
        <f t="shared" si="121"/>
        <v/>
      </c>
    </row>
    <row r="3900" spans="1:7" x14ac:dyDescent="0.3">
      <c r="A3900" s="21" t="str">
        <f>IF(A3899="","",IF(A3899+1&gt;Ввод!$B$4,"",A3899+1))</f>
        <v/>
      </c>
      <c r="B3900" s="23" t="str">
        <f>IF(A3900="","",IFERROR(INDEX(Ввод!$B$12:$B$71,MATCH(A3900,Ввод!$D$12:$D$71,1)),""))</f>
        <v/>
      </c>
      <c r="C3900" t="str">
        <f t="shared" si="120"/>
        <v/>
      </c>
      <c r="D3900" t="str">
        <f>IF(A3900="","",SUMIFS(Акты!$D$5:$D$16,Акты!$E$5:$E$16,"&lt;="&amp;A3900)-SUMIFS(Оплаты!$B$6:$B$505,Оплаты!$A$6:$A$505,"&lt;"&amp;A3900,Оплаты!$D$6:$D$505,"&lt;&gt;"))</f>
        <v/>
      </c>
      <c r="E3900" t="str">
        <f>IF(A3900="","",IF(SUMPRODUCT((Ввод!$F$12:$F$31&lt;&gt;"")*(Ввод!$F$12:$F$31&lt;=A3900)*(Ввод!$G$12:$G$31&gt;=A3900))&gt;0,1,0))</f>
        <v/>
      </c>
      <c r="G3900" t="str">
        <f t="shared" si="121"/>
        <v/>
      </c>
    </row>
    <row r="3901" spans="1:7" x14ac:dyDescent="0.3">
      <c r="A3901" s="21" t="str">
        <f>IF(A3900="","",IF(A3900+1&gt;Ввод!$B$4,"",A3900+1))</f>
        <v/>
      </c>
      <c r="B3901" s="23" t="str">
        <f>IF(A3901="","",IFERROR(INDEX(Ввод!$B$12:$B$71,MATCH(A3901,Ввод!$D$12:$D$71,1)),""))</f>
        <v/>
      </c>
      <c r="C3901" t="str">
        <f t="shared" si="120"/>
        <v/>
      </c>
      <c r="D3901" t="str">
        <f>IF(A3901="","",SUMIFS(Акты!$D$5:$D$16,Акты!$E$5:$E$16,"&lt;="&amp;A3901)-SUMIFS(Оплаты!$B$6:$B$505,Оплаты!$A$6:$A$505,"&lt;"&amp;A3901,Оплаты!$D$6:$D$505,"&lt;&gt;"))</f>
        <v/>
      </c>
      <c r="E3901" t="str">
        <f>IF(A3901="","",IF(SUMPRODUCT((Ввод!$F$12:$F$31&lt;&gt;"")*(Ввод!$F$12:$F$31&lt;=A3901)*(Ввод!$G$12:$G$31&gt;=A3901))&gt;0,1,0))</f>
        <v/>
      </c>
      <c r="G3901" t="str">
        <f t="shared" si="121"/>
        <v/>
      </c>
    </row>
    <row r="3902" spans="1:7" x14ac:dyDescent="0.3">
      <c r="A3902" s="21" t="str">
        <f>IF(A3901="","",IF(A3901+1&gt;Ввод!$B$4,"",A3901+1))</f>
        <v/>
      </c>
      <c r="B3902" s="23" t="str">
        <f>IF(A3902="","",IFERROR(INDEX(Ввод!$B$12:$B$71,MATCH(A3902,Ввод!$D$12:$D$71,1)),""))</f>
        <v/>
      </c>
      <c r="C3902" t="str">
        <f t="shared" si="120"/>
        <v/>
      </c>
      <c r="D3902" t="str">
        <f>IF(A3902="","",SUMIFS(Акты!$D$5:$D$16,Акты!$E$5:$E$16,"&lt;="&amp;A3902)-SUMIFS(Оплаты!$B$6:$B$505,Оплаты!$A$6:$A$505,"&lt;"&amp;A3902,Оплаты!$D$6:$D$505,"&lt;&gt;"))</f>
        <v/>
      </c>
      <c r="E3902" t="str">
        <f>IF(A3902="","",IF(SUMPRODUCT((Ввод!$F$12:$F$31&lt;&gt;"")*(Ввод!$F$12:$F$31&lt;=A3902)*(Ввод!$G$12:$G$31&gt;=A3902))&gt;0,1,0))</f>
        <v/>
      </c>
      <c r="G3902" t="str">
        <f t="shared" si="121"/>
        <v/>
      </c>
    </row>
    <row r="3903" spans="1:7" x14ac:dyDescent="0.3">
      <c r="A3903" s="21" t="str">
        <f>IF(A3902="","",IF(A3902+1&gt;Ввод!$B$4,"",A3902+1))</f>
        <v/>
      </c>
      <c r="B3903" s="23" t="str">
        <f>IF(A3903="","",IFERROR(INDEX(Ввод!$B$12:$B$71,MATCH(A3903,Ввод!$D$12:$D$71,1)),""))</f>
        <v/>
      </c>
      <c r="C3903" t="str">
        <f t="shared" si="120"/>
        <v/>
      </c>
      <c r="D3903" t="str">
        <f>IF(A3903="","",SUMIFS(Акты!$D$5:$D$16,Акты!$E$5:$E$16,"&lt;="&amp;A3903)-SUMIFS(Оплаты!$B$6:$B$505,Оплаты!$A$6:$A$505,"&lt;"&amp;A3903,Оплаты!$D$6:$D$505,"&lt;&gt;"))</f>
        <v/>
      </c>
      <c r="E3903" t="str">
        <f>IF(A3903="","",IF(SUMPRODUCT((Ввод!$F$12:$F$31&lt;&gt;"")*(Ввод!$F$12:$F$31&lt;=A3903)*(Ввод!$G$12:$G$31&gt;=A3903))&gt;0,1,0))</f>
        <v/>
      </c>
      <c r="G3903" t="str">
        <f t="shared" si="121"/>
        <v/>
      </c>
    </row>
    <row r="3904" spans="1:7" x14ac:dyDescent="0.3">
      <c r="A3904" s="21" t="str">
        <f>IF(A3903="","",IF(A3903+1&gt;Ввод!$B$4,"",A3903+1))</f>
        <v/>
      </c>
      <c r="B3904" s="23" t="str">
        <f>IF(A3904="","",IFERROR(INDEX(Ввод!$B$12:$B$71,MATCH(A3904,Ввод!$D$12:$D$71,1)),""))</f>
        <v/>
      </c>
      <c r="C3904" t="str">
        <f t="shared" si="120"/>
        <v/>
      </c>
      <c r="D3904" t="str">
        <f>IF(A3904="","",SUMIFS(Акты!$D$5:$D$16,Акты!$E$5:$E$16,"&lt;="&amp;A3904)-SUMIFS(Оплаты!$B$6:$B$505,Оплаты!$A$6:$A$505,"&lt;"&amp;A3904,Оплаты!$D$6:$D$505,"&lt;&gt;"))</f>
        <v/>
      </c>
      <c r="E3904" t="str">
        <f>IF(A3904="","",IF(SUMPRODUCT((Ввод!$F$12:$F$31&lt;&gt;"")*(Ввод!$F$12:$F$31&lt;=A3904)*(Ввод!$G$12:$G$31&gt;=A3904))&gt;0,1,0))</f>
        <v/>
      </c>
      <c r="G3904" t="str">
        <f t="shared" si="121"/>
        <v/>
      </c>
    </row>
    <row r="3905" spans="1:7" x14ac:dyDescent="0.3">
      <c r="A3905" s="21" t="str">
        <f>IF(A3904="","",IF(A3904+1&gt;Ввод!$B$4,"",A3904+1))</f>
        <v/>
      </c>
      <c r="B3905" s="23" t="str">
        <f>IF(A3905="","",IFERROR(INDEX(Ввод!$B$12:$B$71,MATCH(A3905,Ввод!$D$12:$D$71,1)),""))</f>
        <v/>
      </c>
      <c r="C3905" t="str">
        <f t="shared" si="120"/>
        <v/>
      </c>
      <c r="D3905" t="str">
        <f>IF(A3905="","",SUMIFS(Акты!$D$5:$D$16,Акты!$E$5:$E$16,"&lt;="&amp;A3905)-SUMIFS(Оплаты!$B$6:$B$505,Оплаты!$A$6:$A$505,"&lt;"&amp;A3905,Оплаты!$D$6:$D$505,"&lt;&gt;"))</f>
        <v/>
      </c>
      <c r="E3905" t="str">
        <f>IF(A3905="","",IF(SUMPRODUCT((Ввод!$F$12:$F$31&lt;&gt;"")*(Ввод!$F$12:$F$31&lt;=A3905)*(Ввод!$G$12:$G$31&gt;=A3905))&gt;0,1,0))</f>
        <v/>
      </c>
      <c r="G3905" t="str">
        <f t="shared" si="121"/>
        <v/>
      </c>
    </row>
    <row r="3906" spans="1:7" x14ac:dyDescent="0.3">
      <c r="A3906" s="21" t="str">
        <f>IF(A3905="","",IF(A3905+1&gt;Ввод!$B$4,"",A3905+1))</f>
        <v/>
      </c>
      <c r="B3906" s="23" t="str">
        <f>IF(A3906="","",IFERROR(INDEX(Ввод!$B$12:$B$71,MATCH(A3906,Ввод!$D$12:$D$71,1)),""))</f>
        <v/>
      </c>
      <c r="C3906" t="str">
        <f t="shared" ref="C3906:C3969" si="122">IF(A3906="","",DATE(YEAR(A3906),12,31)-DATE(YEAR(A3906),1,1)+1)</f>
        <v/>
      </c>
      <c r="D3906" t="str">
        <f>IF(A3906="","",SUMIFS(Акты!$D$5:$D$16,Акты!$E$5:$E$16,"&lt;="&amp;A3906)-SUMIFS(Оплаты!$B$6:$B$505,Оплаты!$A$6:$A$505,"&lt;"&amp;A3906,Оплаты!$D$6:$D$505,"&lt;&gt;"))</f>
        <v/>
      </c>
      <c r="E3906" t="str">
        <f>IF(A3906="","",IF(SUMPRODUCT((Ввод!$F$12:$F$31&lt;&gt;"")*(Ввод!$F$12:$F$31&lt;=A3906)*(Ввод!$G$12:$G$31&gt;=A3906))&gt;0,1,0))</f>
        <v/>
      </c>
      <c r="G3906" t="str">
        <f t="shared" si="121"/>
        <v/>
      </c>
    </row>
    <row r="3907" spans="1:7" x14ac:dyDescent="0.3">
      <c r="A3907" s="21" t="str">
        <f>IF(A3906="","",IF(A3906+1&gt;Ввод!$B$4,"",A3906+1))</f>
        <v/>
      </c>
      <c r="B3907" s="23" t="str">
        <f>IF(A3907="","",IFERROR(INDEX(Ввод!$B$12:$B$71,MATCH(A3907,Ввод!$D$12:$D$71,1)),""))</f>
        <v/>
      </c>
      <c r="C3907" t="str">
        <f t="shared" si="122"/>
        <v/>
      </c>
      <c r="D3907" t="str">
        <f>IF(A3907="","",SUMIFS(Акты!$D$5:$D$16,Акты!$E$5:$E$16,"&lt;="&amp;A3907)-SUMIFS(Оплаты!$B$6:$B$505,Оплаты!$A$6:$A$505,"&lt;"&amp;A3907,Оплаты!$D$6:$D$505,"&lt;&gt;"))</f>
        <v/>
      </c>
      <c r="E3907" t="str">
        <f>IF(A3907="","",IF(SUMPRODUCT((Ввод!$F$12:$F$31&lt;&gt;"")*(Ввод!$F$12:$F$31&lt;=A3907)*(Ввод!$G$12:$G$31&gt;=A3907))&gt;0,1,0))</f>
        <v/>
      </c>
      <c r="G3907" t="str">
        <f t="shared" ref="G3907:G3970" si="123">IF(A3907="","",IF(OR(B3907&lt;&gt;B3906,C3907&lt;&gt;C3906,E3907&lt;&gt;E3906),G3906+1,G3906))</f>
        <v/>
      </c>
    </row>
    <row r="3908" spans="1:7" x14ac:dyDescent="0.3">
      <c r="A3908" s="21" t="str">
        <f>IF(A3907="","",IF(A3907+1&gt;Ввод!$B$4,"",A3907+1))</f>
        <v/>
      </c>
      <c r="B3908" s="23" t="str">
        <f>IF(A3908="","",IFERROR(INDEX(Ввод!$B$12:$B$71,MATCH(A3908,Ввод!$D$12:$D$71,1)),""))</f>
        <v/>
      </c>
      <c r="C3908" t="str">
        <f t="shared" si="122"/>
        <v/>
      </c>
      <c r="D3908" t="str">
        <f>IF(A3908="","",SUMIFS(Акты!$D$5:$D$16,Акты!$E$5:$E$16,"&lt;="&amp;A3908)-SUMIFS(Оплаты!$B$6:$B$505,Оплаты!$A$6:$A$505,"&lt;"&amp;A3908,Оплаты!$D$6:$D$505,"&lt;&gt;"))</f>
        <v/>
      </c>
      <c r="E3908" t="str">
        <f>IF(A3908="","",IF(SUMPRODUCT((Ввод!$F$12:$F$31&lt;&gt;"")*(Ввод!$F$12:$F$31&lt;=A3908)*(Ввод!$G$12:$G$31&gt;=A3908))&gt;0,1,0))</f>
        <v/>
      </c>
      <c r="G3908" t="str">
        <f t="shared" si="123"/>
        <v/>
      </c>
    </row>
    <row r="3909" spans="1:7" x14ac:dyDescent="0.3">
      <c r="A3909" s="21" t="str">
        <f>IF(A3908="","",IF(A3908+1&gt;Ввод!$B$4,"",A3908+1))</f>
        <v/>
      </c>
      <c r="B3909" s="23" t="str">
        <f>IF(A3909="","",IFERROR(INDEX(Ввод!$B$12:$B$71,MATCH(A3909,Ввод!$D$12:$D$71,1)),""))</f>
        <v/>
      </c>
      <c r="C3909" t="str">
        <f t="shared" si="122"/>
        <v/>
      </c>
      <c r="D3909" t="str">
        <f>IF(A3909="","",SUMIFS(Акты!$D$5:$D$16,Акты!$E$5:$E$16,"&lt;="&amp;A3909)-SUMIFS(Оплаты!$B$6:$B$505,Оплаты!$A$6:$A$505,"&lt;"&amp;A3909,Оплаты!$D$6:$D$505,"&lt;&gt;"))</f>
        <v/>
      </c>
      <c r="E3909" t="str">
        <f>IF(A3909="","",IF(SUMPRODUCT((Ввод!$F$12:$F$31&lt;&gt;"")*(Ввод!$F$12:$F$31&lt;=A3909)*(Ввод!$G$12:$G$31&gt;=A3909))&gt;0,1,0))</f>
        <v/>
      </c>
      <c r="G3909" t="str">
        <f t="shared" si="123"/>
        <v/>
      </c>
    </row>
    <row r="3910" spans="1:7" x14ac:dyDescent="0.3">
      <c r="A3910" s="21" t="str">
        <f>IF(A3909="","",IF(A3909+1&gt;Ввод!$B$4,"",A3909+1))</f>
        <v/>
      </c>
      <c r="B3910" s="23" t="str">
        <f>IF(A3910="","",IFERROR(INDEX(Ввод!$B$12:$B$71,MATCH(A3910,Ввод!$D$12:$D$71,1)),""))</f>
        <v/>
      </c>
      <c r="C3910" t="str">
        <f t="shared" si="122"/>
        <v/>
      </c>
      <c r="D3910" t="str">
        <f>IF(A3910="","",SUMIFS(Акты!$D$5:$D$16,Акты!$E$5:$E$16,"&lt;="&amp;A3910)-SUMIFS(Оплаты!$B$6:$B$505,Оплаты!$A$6:$A$505,"&lt;"&amp;A3910,Оплаты!$D$6:$D$505,"&lt;&gt;"))</f>
        <v/>
      </c>
      <c r="E3910" t="str">
        <f>IF(A3910="","",IF(SUMPRODUCT((Ввод!$F$12:$F$31&lt;&gt;"")*(Ввод!$F$12:$F$31&lt;=A3910)*(Ввод!$G$12:$G$31&gt;=A3910))&gt;0,1,0))</f>
        <v/>
      </c>
      <c r="G3910" t="str">
        <f t="shared" si="123"/>
        <v/>
      </c>
    </row>
    <row r="3911" spans="1:7" x14ac:dyDescent="0.3">
      <c r="A3911" s="21" t="str">
        <f>IF(A3910="","",IF(A3910+1&gt;Ввод!$B$4,"",A3910+1))</f>
        <v/>
      </c>
      <c r="B3911" s="23" t="str">
        <f>IF(A3911="","",IFERROR(INDEX(Ввод!$B$12:$B$71,MATCH(A3911,Ввод!$D$12:$D$71,1)),""))</f>
        <v/>
      </c>
      <c r="C3911" t="str">
        <f t="shared" si="122"/>
        <v/>
      </c>
      <c r="D3911" t="str">
        <f>IF(A3911="","",SUMIFS(Акты!$D$5:$D$16,Акты!$E$5:$E$16,"&lt;="&amp;A3911)-SUMIFS(Оплаты!$B$6:$B$505,Оплаты!$A$6:$A$505,"&lt;"&amp;A3911,Оплаты!$D$6:$D$505,"&lt;&gt;"))</f>
        <v/>
      </c>
      <c r="E3911" t="str">
        <f>IF(A3911="","",IF(SUMPRODUCT((Ввод!$F$12:$F$31&lt;&gt;"")*(Ввод!$F$12:$F$31&lt;=A3911)*(Ввод!$G$12:$G$31&gt;=A3911))&gt;0,1,0))</f>
        <v/>
      </c>
      <c r="G3911" t="str">
        <f t="shared" si="123"/>
        <v/>
      </c>
    </row>
    <row r="3912" spans="1:7" x14ac:dyDescent="0.3">
      <c r="A3912" s="21" t="str">
        <f>IF(A3911="","",IF(A3911+1&gt;Ввод!$B$4,"",A3911+1))</f>
        <v/>
      </c>
      <c r="B3912" s="23" t="str">
        <f>IF(A3912="","",IFERROR(INDEX(Ввод!$B$12:$B$71,MATCH(A3912,Ввод!$D$12:$D$71,1)),""))</f>
        <v/>
      </c>
      <c r="C3912" t="str">
        <f t="shared" si="122"/>
        <v/>
      </c>
      <c r="D3912" t="str">
        <f>IF(A3912="","",SUMIFS(Акты!$D$5:$D$16,Акты!$E$5:$E$16,"&lt;="&amp;A3912)-SUMIFS(Оплаты!$B$6:$B$505,Оплаты!$A$6:$A$505,"&lt;"&amp;A3912,Оплаты!$D$6:$D$505,"&lt;&gt;"))</f>
        <v/>
      </c>
      <c r="E3912" t="str">
        <f>IF(A3912="","",IF(SUMPRODUCT((Ввод!$F$12:$F$31&lt;&gt;"")*(Ввод!$F$12:$F$31&lt;=A3912)*(Ввод!$G$12:$G$31&gt;=A3912))&gt;0,1,0))</f>
        <v/>
      </c>
      <c r="G3912" t="str">
        <f t="shared" si="123"/>
        <v/>
      </c>
    </row>
    <row r="3913" spans="1:7" x14ac:dyDescent="0.3">
      <c r="A3913" s="21" t="str">
        <f>IF(A3912="","",IF(A3912+1&gt;Ввод!$B$4,"",A3912+1))</f>
        <v/>
      </c>
      <c r="B3913" s="23" t="str">
        <f>IF(A3913="","",IFERROR(INDEX(Ввод!$B$12:$B$71,MATCH(A3913,Ввод!$D$12:$D$71,1)),""))</f>
        <v/>
      </c>
      <c r="C3913" t="str">
        <f t="shared" si="122"/>
        <v/>
      </c>
      <c r="D3913" t="str">
        <f>IF(A3913="","",SUMIFS(Акты!$D$5:$D$16,Акты!$E$5:$E$16,"&lt;="&amp;A3913)-SUMIFS(Оплаты!$B$6:$B$505,Оплаты!$A$6:$A$505,"&lt;"&amp;A3913,Оплаты!$D$6:$D$505,"&lt;&gt;"))</f>
        <v/>
      </c>
      <c r="E3913" t="str">
        <f>IF(A3913="","",IF(SUMPRODUCT((Ввод!$F$12:$F$31&lt;&gt;"")*(Ввод!$F$12:$F$31&lt;=A3913)*(Ввод!$G$12:$G$31&gt;=A3913))&gt;0,1,0))</f>
        <v/>
      </c>
      <c r="G3913" t="str">
        <f t="shared" si="123"/>
        <v/>
      </c>
    </row>
    <row r="3914" spans="1:7" x14ac:dyDescent="0.3">
      <c r="A3914" s="21" t="str">
        <f>IF(A3913="","",IF(A3913+1&gt;Ввод!$B$4,"",A3913+1))</f>
        <v/>
      </c>
      <c r="B3914" s="23" t="str">
        <f>IF(A3914="","",IFERROR(INDEX(Ввод!$B$12:$B$71,MATCH(A3914,Ввод!$D$12:$D$71,1)),""))</f>
        <v/>
      </c>
      <c r="C3914" t="str">
        <f t="shared" si="122"/>
        <v/>
      </c>
      <c r="D3914" t="str">
        <f>IF(A3914="","",SUMIFS(Акты!$D$5:$D$16,Акты!$E$5:$E$16,"&lt;="&amp;A3914)-SUMIFS(Оплаты!$B$6:$B$505,Оплаты!$A$6:$A$505,"&lt;"&amp;A3914,Оплаты!$D$6:$D$505,"&lt;&gt;"))</f>
        <v/>
      </c>
      <c r="E3914" t="str">
        <f>IF(A3914="","",IF(SUMPRODUCT((Ввод!$F$12:$F$31&lt;&gt;"")*(Ввод!$F$12:$F$31&lt;=A3914)*(Ввод!$G$12:$G$31&gt;=A3914))&gt;0,1,0))</f>
        <v/>
      </c>
      <c r="G3914" t="str">
        <f t="shared" si="123"/>
        <v/>
      </c>
    </row>
    <row r="3915" spans="1:7" x14ac:dyDescent="0.3">
      <c r="A3915" s="21" t="str">
        <f>IF(A3914="","",IF(A3914+1&gt;Ввод!$B$4,"",A3914+1))</f>
        <v/>
      </c>
      <c r="B3915" s="23" t="str">
        <f>IF(A3915="","",IFERROR(INDEX(Ввод!$B$12:$B$71,MATCH(A3915,Ввод!$D$12:$D$71,1)),""))</f>
        <v/>
      </c>
      <c r="C3915" t="str">
        <f t="shared" si="122"/>
        <v/>
      </c>
      <c r="D3915" t="str">
        <f>IF(A3915="","",SUMIFS(Акты!$D$5:$D$16,Акты!$E$5:$E$16,"&lt;="&amp;A3915)-SUMIFS(Оплаты!$B$6:$B$505,Оплаты!$A$6:$A$505,"&lt;"&amp;A3915,Оплаты!$D$6:$D$505,"&lt;&gt;"))</f>
        <v/>
      </c>
      <c r="E3915" t="str">
        <f>IF(A3915="","",IF(SUMPRODUCT((Ввод!$F$12:$F$31&lt;&gt;"")*(Ввод!$F$12:$F$31&lt;=A3915)*(Ввод!$G$12:$G$31&gt;=A3915))&gt;0,1,0))</f>
        <v/>
      </c>
      <c r="G3915" t="str">
        <f t="shared" si="123"/>
        <v/>
      </c>
    </row>
    <row r="3916" spans="1:7" x14ac:dyDescent="0.3">
      <c r="A3916" s="21" t="str">
        <f>IF(A3915="","",IF(A3915+1&gt;Ввод!$B$4,"",A3915+1))</f>
        <v/>
      </c>
      <c r="B3916" s="23" t="str">
        <f>IF(A3916="","",IFERROR(INDEX(Ввод!$B$12:$B$71,MATCH(A3916,Ввод!$D$12:$D$71,1)),""))</f>
        <v/>
      </c>
      <c r="C3916" t="str">
        <f t="shared" si="122"/>
        <v/>
      </c>
      <c r="D3916" t="str">
        <f>IF(A3916="","",SUMIFS(Акты!$D$5:$D$16,Акты!$E$5:$E$16,"&lt;="&amp;A3916)-SUMIFS(Оплаты!$B$6:$B$505,Оплаты!$A$6:$A$505,"&lt;"&amp;A3916,Оплаты!$D$6:$D$505,"&lt;&gt;"))</f>
        <v/>
      </c>
      <c r="E3916" t="str">
        <f>IF(A3916="","",IF(SUMPRODUCT((Ввод!$F$12:$F$31&lt;&gt;"")*(Ввод!$F$12:$F$31&lt;=A3916)*(Ввод!$G$12:$G$31&gt;=A3916))&gt;0,1,0))</f>
        <v/>
      </c>
      <c r="G3916" t="str">
        <f t="shared" si="123"/>
        <v/>
      </c>
    </row>
    <row r="3917" spans="1:7" x14ac:dyDescent="0.3">
      <c r="A3917" s="21" t="str">
        <f>IF(A3916="","",IF(A3916+1&gt;Ввод!$B$4,"",A3916+1))</f>
        <v/>
      </c>
      <c r="B3917" s="23" t="str">
        <f>IF(A3917="","",IFERROR(INDEX(Ввод!$B$12:$B$71,MATCH(A3917,Ввод!$D$12:$D$71,1)),""))</f>
        <v/>
      </c>
      <c r="C3917" t="str">
        <f t="shared" si="122"/>
        <v/>
      </c>
      <c r="D3917" t="str">
        <f>IF(A3917="","",SUMIFS(Акты!$D$5:$D$16,Акты!$E$5:$E$16,"&lt;="&amp;A3917)-SUMIFS(Оплаты!$B$6:$B$505,Оплаты!$A$6:$A$505,"&lt;"&amp;A3917,Оплаты!$D$6:$D$505,"&lt;&gt;"))</f>
        <v/>
      </c>
      <c r="E3917" t="str">
        <f>IF(A3917="","",IF(SUMPRODUCT((Ввод!$F$12:$F$31&lt;&gt;"")*(Ввод!$F$12:$F$31&lt;=A3917)*(Ввод!$G$12:$G$31&gt;=A3917))&gt;0,1,0))</f>
        <v/>
      </c>
      <c r="G3917" t="str">
        <f t="shared" si="123"/>
        <v/>
      </c>
    </row>
    <row r="3918" spans="1:7" x14ac:dyDescent="0.3">
      <c r="A3918" s="21" t="str">
        <f>IF(A3917="","",IF(A3917+1&gt;Ввод!$B$4,"",A3917+1))</f>
        <v/>
      </c>
      <c r="B3918" s="23" t="str">
        <f>IF(A3918="","",IFERROR(INDEX(Ввод!$B$12:$B$71,MATCH(A3918,Ввод!$D$12:$D$71,1)),""))</f>
        <v/>
      </c>
      <c r="C3918" t="str">
        <f t="shared" si="122"/>
        <v/>
      </c>
      <c r="D3918" t="str">
        <f>IF(A3918="","",SUMIFS(Акты!$D$5:$D$16,Акты!$E$5:$E$16,"&lt;="&amp;A3918)-SUMIFS(Оплаты!$B$6:$B$505,Оплаты!$A$6:$A$505,"&lt;"&amp;A3918,Оплаты!$D$6:$D$505,"&lt;&gt;"))</f>
        <v/>
      </c>
      <c r="E3918" t="str">
        <f>IF(A3918="","",IF(SUMPRODUCT((Ввод!$F$12:$F$31&lt;&gt;"")*(Ввод!$F$12:$F$31&lt;=A3918)*(Ввод!$G$12:$G$31&gt;=A3918))&gt;0,1,0))</f>
        <v/>
      </c>
      <c r="G3918" t="str">
        <f t="shared" si="123"/>
        <v/>
      </c>
    </row>
    <row r="3919" spans="1:7" x14ac:dyDescent="0.3">
      <c r="A3919" s="21" t="str">
        <f>IF(A3918="","",IF(A3918+1&gt;Ввод!$B$4,"",A3918+1))</f>
        <v/>
      </c>
      <c r="B3919" s="23" t="str">
        <f>IF(A3919="","",IFERROR(INDEX(Ввод!$B$12:$B$71,MATCH(A3919,Ввод!$D$12:$D$71,1)),""))</f>
        <v/>
      </c>
      <c r="C3919" t="str">
        <f t="shared" si="122"/>
        <v/>
      </c>
      <c r="D3919" t="str">
        <f>IF(A3919="","",SUMIFS(Акты!$D$5:$D$16,Акты!$E$5:$E$16,"&lt;="&amp;A3919)-SUMIFS(Оплаты!$B$6:$B$505,Оплаты!$A$6:$A$505,"&lt;"&amp;A3919,Оплаты!$D$6:$D$505,"&lt;&gt;"))</f>
        <v/>
      </c>
      <c r="E3919" t="str">
        <f>IF(A3919="","",IF(SUMPRODUCT((Ввод!$F$12:$F$31&lt;&gt;"")*(Ввод!$F$12:$F$31&lt;=A3919)*(Ввод!$G$12:$G$31&gt;=A3919))&gt;0,1,0))</f>
        <v/>
      </c>
      <c r="G3919" t="str">
        <f t="shared" si="123"/>
        <v/>
      </c>
    </row>
    <row r="3920" spans="1:7" x14ac:dyDescent="0.3">
      <c r="A3920" s="21" t="str">
        <f>IF(A3919="","",IF(A3919+1&gt;Ввод!$B$4,"",A3919+1))</f>
        <v/>
      </c>
      <c r="B3920" s="23" t="str">
        <f>IF(A3920="","",IFERROR(INDEX(Ввод!$B$12:$B$71,MATCH(A3920,Ввод!$D$12:$D$71,1)),""))</f>
        <v/>
      </c>
      <c r="C3920" t="str">
        <f t="shared" si="122"/>
        <v/>
      </c>
      <c r="D3920" t="str">
        <f>IF(A3920="","",SUMIFS(Акты!$D$5:$D$16,Акты!$E$5:$E$16,"&lt;="&amp;A3920)-SUMIFS(Оплаты!$B$6:$B$505,Оплаты!$A$6:$A$505,"&lt;"&amp;A3920,Оплаты!$D$6:$D$505,"&lt;&gt;"))</f>
        <v/>
      </c>
      <c r="E3920" t="str">
        <f>IF(A3920="","",IF(SUMPRODUCT((Ввод!$F$12:$F$31&lt;&gt;"")*(Ввод!$F$12:$F$31&lt;=A3920)*(Ввод!$G$12:$G$31&gt;=A3920))&gt;0,1,0))</f>
        <v/>
      </c>
      <c r="G3920" t="str">
        <f t="shared" si="123"/>
        <v/>
      </c>
    </row>
    <row r="3921" spans="1:7" x14ac:dyDescent="0.3">
      <c r="A3921" s="21" t="str">
        <f>IF(A3920="","",IF(A3920+1&gt;Ввод!$B$4,"",A3920+1))</f>
        <v/>
      </c>
      <c r="B3921" s="23" t="str">
        <f>IF(A3921="","",IFERROR(INDEX(Ввод!$B$12:$B$71,MATCH(A3921,Ввод!$D$12:$D$71,1)),""))</f>
        <v/>
      </c>
      <c r="C3921" t="str">
        <f t="shared" si="122"/>
        <v/>
      </c>
      <c r="D3921" t="str">
        <f>IF(A3921="","",SUMIFS(Акты!$D$5:$D$16,Акты!$E$5:$E$16,"&lt;="&amp;A3921)-SUMIFS(Оплаты!$B$6:$B$505,Оплаты!$A$6:$A$505,"&lt;"&amp;A3921,Оплаты!$D$6:$D$505,"&lt;&gt;"))</f>
        <v/>
      </c>
      <c r="E3921" t="str">
        <f>IF(A3921="","",IF(SUMPRODUCT((Ввод!$F$12:$F$31&lt;&gt;"")*(Ввод!$F$12:$F$31&lt;=A3921)*(Ввод!$G$12:$G$31&gt;=A3921))&gt;0,1,0))</f>
        <v/>
      </c>
      <c r="G3921" t="str">
        <f t="shared" si="123"/>
        <v/>
      </c>
    </row>
    <row r="3922" spans="1:7" x14ac:dyDescent="0.3">
      <c r="A3922" s="21" t="str">
        <f>IF(A3921="","",IF(A3921+1&gt;Ввод!$B$4,"",A3921+1))</f>
        <v/>
      </c>
      <c r="B3922" s="23" t="str">
        <f>IF(A3922="","",IFERROR(INDEX(Ввод!$B$12:$B$71,MATCH(A3922,Ввод!$D$12:$D$71,1)),""))</f>
        <v/>
      </c>
      <c r="C3922" t="str">
        <f t="shared" si="122"/>
        <v/>
      </c>
      <c r="D3922" t="str">
        <f>IF(A3922="","",SUMIFS(Акты!$D$5:$D$16,Акты!$E$5:$E$16,"&lt;="&amp;A3922)-SUMIFS(Оплаты!$B$6:$B$505,Оплаты!$A$6:$A$505,"&lt;"&amp;A3922,Оплаты!$D$6:$D$505,"&lt;&gt;"))</f>
        <v/>
      </c>
      <c r="E3922" t="str">
        <f>IF(A3922="","",IF(SUMPRODUCT((Ввод!$F$12:$F$31&lt;&gt;"")*(Ввод!$F$12:$F$31&lt;=A3922)*(Ввод!$G$12:$G$31&gt;=A3922))&gt;0,1,0))</f>
        <v/>
      </c>
      <c r="G3922" t="str">
        <f t="shared" si="123"/>
        <v/>
      </c>
    </row>
    <row r="3923" spans="1:7" x14ac:dyDescent="0.3">
      <c r="A3923" s="21" t="str">
        <f>IF(A3922="","",IF(A3922+1&gt;Ввод!$B$4,"",A3922+1))</f>
        <v/>
      </c>
      <c r="B3923" s="23" t="str">
        <f>IF(A3923="","",IFERROR(INDEX(Ввод!$B$12:$B$71,MATCH(A3923,Ввод!$D$12:$D$71,1)),""))</f>
        <v/>
      </c>
      <c r="C3923" t="str">
        <f t="shared" si="122"/>
        <v/>
      </c>
      <c r="D3923" t="str">
        <f>IF(A3923="","",SUMIFS(Акты!$D$5:$D$16,Акты!$E$5:$E$16,"&lt;="&amp;A3923)-SUMIFS(Оплаты!$B$6:$B$505,Оплаты!$A$6:$A$505,"&lt;"&amp;A3923,Оплаты!$D$6:$D$505,"&lt;&gt;"))</f>
        <v/>
      </c>
      <c r="E3923" t="str">
        <f>IF(A3923="","",IF(SUMPRODUCT((Ввод!$F$12:$F$31&lt;&gt;"")*(Ввод!$F$12:$F$31&lt;=A3923)*(Ввод!$G$12:$G$31&gt;=A3923))&gt;0,1,0))</f>
        <v/>
      </c>
      <c r="G3923" t="str">
        <f t="shared" si="123"/>
        <v/>
      </c>
    </row>
    <row r="3924" spans="1:7" x14ac:dyDescent="0.3">
      <c r="A3924" s="21" t="str">
        <f>IF(A3923="","",IF(A3923+1&gt;Ввод!$B$4,"",A3923+1))</f>
        <v/>
      </c>
      <c r="B3924" s="23" t="str">
        <f>IF(A3924="","",IFERROR(INDEX(Ввод!$B$12:$B$71,MATCH(A3924,Ввод!$D$12:$D$71,1)),""))</f>
        <v/>
      </c>
      <c r="C3924" t="str">
        <f t="shared" si="122"/>
        <v/>
      </c>
      <c r="D3924" t="str">
        <f>IF(A3924="","",SUMIFS(Акты!$D$5:$D$16,Акты!$E$5:$E$16,"&lt;="&amp;A3924)-SUMIFS(Оплаты!$B$6:$B$505,Оплаты!$A$6:$A$505,"&lt;"&amp;A3924,Оплаты!$D$6:$D$505,"&lt;&gt;"))</f>
        <v/>
      </c>
      <c r="E3924" t="str">
        <f>IF(A3924="","",IF(SUMPRODUCT((Ввод!$F$12:$F$31&lt;&gt;"")*(Ввод!$F$12:$F$31&lt;=A3924)*(Ввод!$G$12:$G$31&gt;=A3924))&gt;0,1,0))</f>
        <v/>
      </c>
      <c r="G3924" t="str">
        <f t="shared" si="123"/>
        <v/>
      </c>
    </row>
    <row r="3925" spans="1:7" x14ac:dyDescent="0.3">
      <c r="A3925" s="21" t="str">
        <f>IF(A3924="","",IF(A3924+1&gt;Ввод!$B$4,"",A3924+1))</f>
        <v/>
      </c>
      <c r="B3925" s="23" t="str">
        <f>IF(A3925="","",IFERROR(INDEX(Ввод!$B$12:$B$71,MATCH(A3925,Ввод!$D$12:$D$71,1)),""))</f>
        <v/>
      </c>
      <c r="C3925" t="str">
        <f t="shared" si="122"/>
        <v/>
      </c>
      <c r="D3925" t="str">
        <f>IF(A3925="","",SUMIFS(Акты!$D$5:$D$16,Акты!$E$5:$E$16,"&lt;="&amp;A3925)-SUMIFS(Оплаты!$B$6:$B$505,Оплаты!$A$6:$A$505,"&lt;"&amp;A3925,Оплаты!$D$6:$D$505,"&lt;&gt;"))</f>
        <v/>
      </c>
      <c r="E3925" t="str">
        <f>IF(A3925="","",IF(SUMPRODUCT((Ввод!$F$12:$F$31&lt;&gt;"")*(Ввод!$F$12:$F$31&lt;=A3925)*(Ввод!$G$12:$G$31&gt;=A3925))&gt;0,1,0))</f>
        <v/>
      </c>
      <c r="G3925" t="str">
        <f t="shared" si="123"/>
        <v/>
      </c>
    </row>
    <row r="3926" spans="1:7" x14ac:dyDescent="0.3">
      <c r="A3926" s="21" t="str">
        <f>IF(A3925="","",IF(A3925+1&gt;Ввод!$B$4,"",A3925+1))</f>
        <v/>
      </c>
      <c r="B3926" s="23" t="str">
        <f>IF(A3926="","",IFERROR(INDEX(Ввод!$B$12:$B$71,MATCH(A3926,Ввод!$D$12:$D$71,1)),""))</f>
        <v/>
      </c>
      <c r="C3926" t="str">
        <f t="shared" si="122"/>
        <v/>
      </c>
      <c r="D3926" t="str">
        <f>IF(A3926="","",SUMIFS(Акты!$D$5:$D$16,Акты!$E$5:$E$16,"&lt;="&amp;A3926)-SUMIFS(Оплаты!$B$6:$B$505,Оплаты!$A$6:$A$505,"&lt;"&amp;A3926,Оплаты!$D$6:$D$505,"&lt;&gt;"))</f>
        <v/>
      </c>
      <c r="E3926" t="str">
        <f>IF(A3926="","",IF(SUMPRODUCT((Ввод!$F$12:$F$31&lt;&gt;"")*(Ввод!$F$12:$F$31&lt;=A3926)*(Ввод!$G$12:$G$31&gt;=A3926))&gt;0,1,0))</f>
        <v/>
      </c>
      <c r="G3926" t="str">
        <f t="shared" si="123"/>
        <v/>
      </c>
    </row>
    <row r="3927" spans="1:7" x14ac:dyDescent="0.3">
      <c r="A3927" s="21" t="str">
        <f>IF(A3926="","",IF(A3926+1&gt;Ввод!$B$4,"",A3926+1))</f>
        <v/>
      </c>
      <c r="B3927" s="23" t="str">
        <f>IF(A3927="","",IFERROR(INDEX(Ввод!$B$12:$B$71,MATCH(A3927,Ввод!$D$12:$D$71,1)),""))</f>
        <v/>
      </c>
      <c r="C3927" t="str">
        <f t="shared" si="122"/>
        <v/>
      </c>
      <c r="D3927" t="str">
        <f>IF(A3927="","",SUMIFS(Акты!$D$5:$D$16,Акты!$E$5:$E$16,"&lt;="&amp;A3927)-SUMIFS(Оплаты!$B$6:$B$505,Оплаты!$A$6:$A$505,"&lt;"&amp;A3927,Оплаты!$D$6:$D$505,"&lt;&gt;"))</f>
        <v/>
      </c>
      <c r="E3927" t="str">
        <f>IF(A3927="","",IF(SUMPRODUCT((Ввод!$F$12:$F$31&lt;&gt;"")*(Ввод!$F$12:$F$31&lt;=A3927)*(Ввод!$G$12:$G$31&gt;=A3927))&gt;0,1,0))</f>
        <v/>
      </c>
      <c r="G3927" t="str">
        <f t="shared" si="123"/>
        <v/>
      </c>
    </row>
    <row r="3928" spans="1:7" x14ac:dyDescent="0.3">
      <c r="A3928" s="21" t="str">
        <f>IF(A3927="","",IF(A3927+1&gt;Ввод!$B$4,"",A3927+1))</f>
        <v/>
      </c>
      <c r="B3928" s="23" t="str">
        <f>IF(A3928="","",IFERROR(INDEX(Ввод!$B$12:$B$71,MATCH(A3928,Ввод!$D$12:$D$71,1)),""))</f>
        <v/>
      </c>
      <c r="C3928" t="str">
        <f t="shared" si="122"/>
        <v/>
      </c>
      <c r="D3928" t="str">
        <f>IF(A3928="","",SUMIFS(Акты!$D$5:$D$16,Акты!$E$5:$E$16,"&lt;="&amp;A3928)-SUMIFS(Оплаты!$B$6:$B$505,Оплаты!$A$6:$A$505,"&lt;"&amp;A3928,Оплаты!$D$6:$D$505,"&lt;&gt;"))</f>
        <v/>
      </c>
      <c r="E3928" t="str">
        <f>IF(A3928="","",IF(SUMPRODUCT((Ввод!$F$12:$F$31&lt;&gt;"")*(Ввод!$F$12:$F$31&lt;=A3928)*(Ввод!$G$12:$G$31&gt;=A3928))&gt;0,1,0))</f>
        <v/>
      </c>
      <c r="G3928" t="str">
        <f t="shared" si="123"/>
        <v/>
      </c>
    </row>
    <row r="3929" spans="1:7" x14ac:dyDescent="0.3">
      <c r="A3929" s="21" t="str">
        <f>IF(A3928="","",IF(A3928+1&gt;Ввод!$B$4,"",A3928+1))</f>
        <v/>
      </c>
      <c r="B3929" s="23" t="str">
        <f>IF(A3929="","",IFERROR(INDEX(Ввод!$B$12:$B$71,MATCH(A3929,Ввод!$D$12:$D$71,1)),""))</f>
        <v/>
      </c>
      <c r="C3929" t="str">
        <f t="shared" si="122"/>
        <v/>
      </c>
      <c r="D3929" t="str">
        <f>IF(A3929="","",SUMIFS(Акты!$D$5:$D$16,Акты!$E$5:$E$16,"&lt;="&amp;A3929)-SUMIFS(Оплаты!$B$6:$B$505,Оплаты!$A$6:$A$505,"&lt;"&amp;A3929,Оплаты!$D$6:$D$505,"&lt;&gt;"))</f>
        <v/>
      </c>
      <c r="E3929" t="str">
        <f>IF(A3929="","",IF(SUMPRODUCT((Ввод!$F$12:$F$31&lt;&gt;"")*(Ввод!$F$12:$F$31&lt;=A3929)*(Ввод!$G$12:$G$31&gt;=A3929))&gt;0,1,0))</f>
        <v/>
      </c>
      <c r="G3929" t="str">
        <f t="shared" si="123"/>
        <v/>
      </c>
    </row>
    <row r="3930" spans="1:7" x14ac:dyDescent="0.3">
      <c r="A3930" s="21" t="str">
        <f>IF(A3929="","",IF(A3929+1&gt;Ввод!$B$4,"",A3929+1))</f>
        <v/>
      </c>
      <c r="B3930" s="23" t="str">
        <f>IF(A3930="","",IFERROR(INDEX(Ввод!$B$12:$B$71,MATCH(A3930,Ввод!$D$12:$D$71,1)),""))</f>
        <v/>
      </c>
      <c r="C3930" t="str">
        <f t="shared" si="122"/>
        <v/>
      </c>
      <c r="D3930" t="str">
        <f>IF(A3930="","",SUMIFS(Акты!$D$5:$D$16,Акты!$E$5:$E$16,"&lt;="&amp;A3930)-SUMIFS(Оплаты!$B$6:$B$505,Оплаты!$A$6:$A$505,"&lt;"&amp;A3930,Оплаты!$D$6:$D$505,"&lt;&gt;"))</f>
        <v/>
      </c>
      <c r="E3930" t="str">
        <f>IF(A3930="","",IF(SUMPRODUCT((Ввод!$F$12:$F$31&lt;&gt;"")*(Ввод!$F$12:$F$31&lt;=A3930)*(Ввод!$G$12:$G$31&gt;=A3930))&gt;0,1,0))</f>
        <v/>
      </c>
      <c r="G3930" t="str">
        <f t="shared" si="123"/>
        <v/>
      </c>
    </row>
    <row r="3931" spans="1:7" x14ac:dyDescent="0.3">
      <c r="A3931" s="21" t="str">
        <f>IF(A3930="","",IF(A3930+1&gt;Ввод!$B$4,"",A3930+1))</f>
        <v/>
      </c>
      <c r="B3931" s="23" t="str">
        <f>IF(A3931="","",IFERROR(INDEX(Ввод!$B$12:$B$71,MATCH(A3931,Ввод!$D$12:$D$71,1)),""))</f>
        <v/>
      </c>
      <c r="C3931" t="str">
        <f t="shared" si="122"/>
        <v/>
      </c>
      <c r="D3931" t="str">
        <f>IF(A3931="","",SUMIFS(Акты!$D$5:$D$16,Акты!$E$5:$E$16,"&lt;="&amp;A3931)-SUMIFS(Оплаты!$B$6:$B$505,Оплаты!$A$6:$A$505,"&lt;"&amp;A3931,Оплаты!$D$6:$D$505,"&lt;&gt;"))</f>
        <v/>
      </c>
      <c r="E3931" t="str">
        <f>IF(A3931="","",IF(SUMPRODUCT((Ввод!$F$12:$F$31&lt;&gt;"")*(Ввод!$F$12:$F$31&lt;=A3931)*(Ввод!$G$12:$G$31&gt;=A3931))&gt;0,1,0))</f>
        <v/>
      </c>
      <c r="G3931" t="str">
        <f t="shared" si="123"/>
        <v/>
      </c>
    </row>
    <row r="3932" spans="1:7" x14ac:dyDescent="0.3">
      <c r="A3932" s="21" t="str">
        <f>IF(A3931="","",IF(A3931+1&gt;Ввод!$B$4,"",A3931+1))</f>
        <v/>
      </c>
      <c r="B3932" s="23" t="str">
        <f>IF(A3932="","",IFERROR(INDEX(Ввод!$B$12:$B$71,MATCH(A3932,Ввод!$D$12:$D$71,1)),""))</f>
        <v/>
      </c>
      <c r="C3932" t="str">
        <f t="shared" si="122"/>
        <v/>
      </c>
      <c r="D3932" t="str">
        <f>IF(A3932="","",SUMIFS(Акты!$D$5:$D$16,Акты!$E$5:$E$16,"&lt;="&amp;A3932)-SUMIFS(Оплаты!$B$6:$B$505,Оплаты!$A$6:$A$505,"&lt;"&amp;A3932,Оплаты!$D$6:$D$505,"&lt;&gt;"))</f>
        <v/>
      </c>
      <c r="E3932" t="str">
        <f>IF(A3932="","",IF(SUMPRODUCT((Ввод!$F$12:$F$31&lt;&gt;"")*(Ввод!$F$12:$F$31&lt;=A3932)*(Ввод!$G$12:$G$31&gt;=A3932))&gt;0,1,0))</f>
        <v/>
      </c>
      <c r="G3932" t="str">
        <f t="shared" si="123"/>
        <v/>
      </c>
    </row>
    <row r="3933" spans="1:7" x14ac:dyDescent="0.3">
      <c r="A3933" s="21" t="str">
        <f>IF(A3932="","",IF(A3932+1&gt;Ввод!$B$4,"",A3932+1))</f>
        <v/>
      </c>
      <c r="B3933" s="23" t="str">
        <f>IF(A3933="","",IFERROR(INDEX(Ввод!$B$12:$B$71,MATCH(A3933,Ввод!$D$12:$D$71,1)),""))</f>
        <v/>
      </c>
      <c r="C3933" t="str">
        <f t="shared" si="122"/>
        <v/>
      </c>
      <c r="D3933" t="str">
        <f>IF(A3933="","",SUMIFS(Акты!$D$5:$D$16,Акты!$E$5:$E$16,"&lt;="&amp;A3933)-SUMIFS(Оплаты!$B$6:$B$505,Оплаты!$A$6:$A$505,"&lt;"&amp;A3933,Оплаты!$D$6:$D$505,"&lt;&gt;"))</f>
        <v/>
      </c>
      <c r="E3933" t="str">
        <f>IF(A3933="","",IF(SUMPRODUCT((Ввод!$F$12:$F$31&lt;&gt;"")*(Ввод!$F$12:$F$31&lt;=A3933)*(Ввод!$G$12:$G$31&gt;=A3933))&gt;0,1,0))</f>
        <v/>
      </c>
      <c r="G3933" t="str">
        <f t="shared" si="123"/>
        <v/>
      </c>
    </row>
    <row r="3934" spans="1:7" x14ac:dyDescent="0.3">
      <c r="A3934" s="21" t="str">
        <f>IF(A3933="","",IF(A3933+1&gt;Ввод!$B$4,"",A3933+1))</f>
        <v/>
      </c>
      <c r="B3934" s="23" t="str">
        <f>IF(A3934="","",IFERROR(INDEX(Ввод!$B$12:$B$71,MATCH(A3934,Ввод!$D$12:$D$71,1)),""))</f>
        <v/>
      </c>
      <c r="C3934" t="str">
        <f t="shared" si="122"/>
        <v/>
      </c>
      <c r="D3934" t="str">
        <f>IF(A3934="","",SUMIFS(Акты!$D$5:$D$16,Акты!$E$5:$E$16,"&lt;="&amp;A3934)-SUMIFS(Оплаты!$B$6:$B$505,Оплаты!$A$6:$A$505,"&lt;"&amp;A3934,Оплаты!$D$6:$D$505,"&lt;&gt;"))</f>
        <v/>
      </c>
      <c r="E3934" t="str">
        <f>IF(A3934="","",IF(SUMPRODUCT((Ввод!$F$12:$F$31&lt;&gt;"")*(Ввод!$F$12:$F$31&lt;=A3934)*(Ввод!$G$12:$G$31&gt;=A3934))&gt;0,1,0))</f>
        <v/>
      </c>
      <c r="G3934" t="str">
        <f t="shared" si="123"/>
        <v/>
      </c>
    </row>
    <row r="3935" spans="1:7" x14ac:dyDescent="0.3">
      <c r="A3935" s="21" t="str">
        <f>IF(A3934="","",IF(A3934+1&gt;Ввод!$B$4,"",A3934+1))</f>
        <v/>
      </c>
      <c r="B3935" s="23" t="str">
        <f>IF(A3935="","",IFERROR(INDEX(Ввод!$B$12:$B$71,MATCH(A3935,Ввод!$D$12:$D$71,1)),""))</f>
        <v/>
      </c>
      <c r="C3935" t="str">
        <f t="shared" si="122"/>
        <v/>
      </c>
      <c r="D3935" t="str">
        <f>IF(A3935="","",SUMIFS(Акты!$D$5:$D$16,Акты!$E$5:$E$16,"&lt;="&amp;A3935)-SUMIFS(Оплаты!$B$6:$B$505,Оплаты!$A$6:$A$505,"&lt;"&amp;A3935,Оплаты!$D$6:$D$505,"&lt;&gt;"))</f>
        <v/>
      </c>
      <c r="E3935" t="str">
        <f>IF(A3935="","",IF(SUMPRODUCT((Ввод!$F$12:$F$31&lt;&gt;"")*(Ввод!$F$12:$F$31&lt;=A3935)*(Ввод!$G$12:$G$31&gt;=A3935))&gt;0,1,0))</f>
        <v/>
      </c>
      <c r="G3935" t="str">
        <f t="shared" si="123"/>
        <v/>
      </c>
    </row>
    <row r="3936" spans="1:7" x14ac:dyDescent="0.3">
      <c r="A3936" s="21" t="str">
        <f>IF(A3935="","",IF(A3935+1&gt;Ввод!$B$4,"",A3935+1))</f>
        <v/>
      </c>
      <c r="B3936" s="23" t="str">
        <f>IF(A3936="","",IFERROR(INDEX(Ввод!$B$12:$B$71,MATCH(A3936,Ввод!$D$12:$D$71,1)),""))</f>
        <v/>
      </c>
      <c r="C3936" t="str">
        <f t="shared" si="122"/>
        <v/>
      </c>
      <c r="D3936" t="str">
        <f>IF(A3936="","",SUMIFS(Акты!$D$5:$D$16,Акты!$E$5:$E$16,"&lt;="&amp;A3936)-SUMIFS(Оплаты!$B$6:$B$505,Оплаты!$A$6:$A$505,"&lt;"&amp;A3936,Оплаты!$D$6:$D$505,"&lt;&gt;"))</f>
        <v/>
      </c>
      <c r="E3936" t="str">
        <f>IF(A3936="","",IF(SUMPRODUCT((Ввод!$F$12:$F$31&lt;&gt;"")*(Ввод!$F$12:$F$31&lt;=A3936)*(Ввод!$G$12:$G$31&gt;=A3936))&gt;0,1,0))</f>
        <v/>
      </c>
      <c r="G3936" t="str">
        <f t="shared" si="123"/>
        <v/>
      </c>
    </row>
    <row r="3937" spans="1:7" x14ac:dyDescent="0.3">
      <c r="A3937" s="21" t="str">
        <f>IF(A3936="","",IF(A3936+1&gt;Ввод!$B$4,"",A3936+1))</f>
        <v/>
      </c>
      <c r="B3937" s="23" t="str">
        <f>IF(A3937="","",IFERROR(INDEX(Ввод!$B$12:$B$71,MATCH(A3937,Ввод!$D$12:$D$71,1)),""))</f>
        <v/>
      </c>
      <c r="C3937" t="str">
        <f t="shared" si="122"/>
        <v/>
      </c>
      <c r="D3937" t="str">
        <f>IF(A3937="","",SUMIFS(Акты!$D$5:$D$16,Акты!$E$5:$E$16,"&lt;="&amp;A3937)-SUMIFS(Оплаты!$B$6:$B$505,Оплаты!$A$6:$A$505,"&lt;"&amp;A3937,Оплаты!$D$6:$D$505,"&lt;&gt;"))</f>
        <v/>
      </c>
      <c r="E3937" t="str">
        <f>IF(A3937="","",IF(SUMPRODUCT((Ввод!$F$12:$F$31&lt;&gt;"")*(Ввод!$F$12:$F$31&lt;=A3937)*(Ввод!$G$12:$G$31&gt;=A3937))&gt;0,1,0))</f>
        <v/>
      </c>
      <c r="G3937" t="str">
        <f t="shared" si="123"/>
        <v/>
      </c>
    </row>
    <row r="3938" spans="1:7" x14ac:dyDescent="0.3">
      <c r="A3938" s="21" t="str">
        <f>IF(A3937="","",IF(A3937+1&gt;Ввод!$B$4,"",A3937+1))</f>
        <v/>
      </c>
      <c r="B3938" s="23" t="str">
        <f>IF(A3938="","",IFERROR(INDEX(Ввод!$B$12:$B$71,MATCH(A3938,Ввод!$D$12:$D$71,1)),""))</f>
        <v/>
      </c>
      <c r="C3938" t="str">
        <f t="shared" si="122"/>
        <v/>
      </c>
      <c r="D3938" t="str">
        <f>IF(A3938="","",SUMIFS(Акты!$D$5:$D$16,Акты!$E$5:$E$16,"&lt;="&amp;A3938)-SUMIFS(Оплаты!$B$6:$B$505,Оплаты!$A$6:$A$505,"&lt;"&amp;A3938,Оплаты!$D$6:$D$505,"&lt;&gt;"))</f>
        <v/>
      </c>
      <c r="E3938" t="str">
        <f>IF(A3938="","",IF(SUMPRODUCT((Ввод!$F$12:$F$31&lt;&gt;"")*(Ввод!$F$12:$F$31&lt;=A3938)*(Ввод!$G$12:$G$31&gt;=A3938))&gt;0,1,0))</f>
        <v/>
      </c>
      <c r="G3938" t="str">
        <f t="shared" si="123"/>
        <v/>
      </c>
    </row>
    <row r="3939" spans="1:7" x14ac:dyDescent="0.3">
      <c r="A3939" s="21" t="str">
        <f>IF(A3938="","",IF(A3938+1&gt;Ввод!$B$4,"",A3938+1))</f>
        <v/>
      </c>
      <c r="B3939" s="23" t="str">
        <f>IF(A3939="","",IFERROR(INDEX(Ввод!$B$12:$B$71,MATCH(A3939,Ввод!$D$12:$D$71,1)),""))</f>
        <v/>
      </c>
      <c r="C3939" t="str">
        <f t="shared" si="122"/>
        <v/>
      </c>
      <c r="D3939" t="str">
        <f>IF(A3939="","",SUMIFS(Акты!$D$5:$D$16,Акты!$E$5:$E$16,"&lt;="&amp;A3939)-SUMIFS(Оплаты!$B$6:$B$505,Оплаты!$A$6:$A$505,"&lt;"&amp;A3939,Оплаты!$D$6:$D$505,"&lt;&gt;"))</f>
        <v/>
      </c>
      <c r="E3939" t="str">
        <f>IF(A3939="","",IF(SUMPRODUCT((Ввод!$F$12:$F$31&lt;&gt;"")*(Ввод!$F$12:$F$31&lt;=A3939)*(Ввод!$G$12:$G$31&gt;=A3939))&gt;0,1,0))</f>
        <v/>
      </c>
      <c r="G3939" t="str">
        <f t="shared" si="123"/>
        <v/>
      </c>
    </row>
    <row r="3940" spans="1:7" x14ac:dyDescent="0.3">
      <c r="A3940" s="21" t="str">
        <f>IF(A3939="","",IF(A3939+1&gt;Ввод!$B$4,"",A3939+1))</f>
        <v/>
      </c>
      <c r="B3940" s="23" t="str">
        <f>IF(A3940="","",IFERROR(INDEX(Ввод!$B$12:$B$71,MATCH(A3940,Ввод!$D$12:$D$71,1)),""))</f>
        <v/>
      </c>
      <c r="C3940" t="str">
        <f t="shared" si="122"/>
        <v/>
      </c>
      <c r="D3940" t="str">
        <f>IF(A3940="","",SUMIFS(Акты!$D$5:$D$16,Акты!$E$5:$E$16,"&lt;="&amp;A3940)-SUMIFS(Оплаты!$B$6:$B$505,Оплаты!$A$6:$A$505,"&lt;"&amp;A3940,Оплаты!$D$6:$D$505,"&lt;&gt;"))</f>
        <v/>
      </c>
      <c r="E3940" t="str">
        <f>IF(A3940="","",IF(SUMPRODUCT((Ввод!$F$12:$F$31&lt;&gt;"")*(Ввод!$F$12:$F$31&lt;=A3940)*(Ввод!$G$12:$G$31&gt;=A3940))&gt;0,1,0))</f>
        <v/>
      </c>
      <c r="G3940" t="str">
        <f t="shared" si="123"/>
        <v/>
      </c>
    </row>
    <row r="3941" spans="1:7" x14ac:dyDescent="0.3">
      <c r="A3941" s="21" t="str">
        <f>IF(A3940="","",IF(A3940+1&gt;Ввод!$B$4,"",A3940+1))</f>
        <v/>
      </c>
      <c r="B3941" s="23" t="str">
        <f>IF(A3941="","",IFERROR(INDEX(Ввод!$B$12:$B$71,MATCH(A3941,Ввод!$D$12:$D$71,1)),""))</f>
        <v/>
      </c>
      <c r="C3941" t="str">
        <f t="shared" si="122"/>
        <v/>
      </c>
      <c r="D3941" t="str">
        <f>IF(A3941="","",SUMIFS(Акты!$D$5:$D$16,Акты!$E$5:$E$16,"&lt;="&amp;A3941)-SUMIFS(Оплаты!$B$6:$B$505,Оплаты!$A$6:$A$505,"&lt;"&amp;A3941,Оплаты!$D$6:$D$505,"&lt;&gt;"))</f>
        <v/>
      </c>
      <c r="E3941" t="str">
        <f>IF(A3941="","",IF(SUMPRODUCT((Ввод!$F$12:$F$31&lt;&gt;"")*(Ввод!$F$12:$F$31&lt;=A3941)*(Ввод!$G$12:$G$31&gt;=A3941))&gt;0,1,0))</f>
        <v/>
      </c>
      <c r="G3941" t="str">
        <f t="shared" si="123"/>
        <v/>
      </c>
    </row>
    <row r="3942" spans="1:7" x14ac:dyDescent="0.3">
      <c r="A3942" s="21" t="str">
        <f>IF(A3941="","",IF(A3941+1&gt;Ввод!$B$4,"",A3941+1))</f>
        <v/>
      </c>
      <c r="B3942" s="23" t="str">
        <f>IF(A3942="","",IFERROR(INDEX(Ввод!$B$12:$B$71,MATCH(A3942,Ввод!$D$12:$D$71,1)),""))</f>
        <v/>
      </c>
      <c r="C3942" t="str">
        <f t="shared" si="122"/>
        <v/>
      </c>
      <c r="D3942" t="str">
        <f>IF(A3942="","",SUMIFS(Акты!$D$5:$D$16,Акты!$E$5:$E$16,"&lt;="&amp;A3942)-SUMIFS(Оплаты!$B$6:$B$505,Оплаты!$A$6:$A$505,"&lt;"&amp;A3942,Оплаты!$D$6:$D$505,"&lt;&gt;"))</f>
        <v/>
      </c>
      <c r="E3942" t="str">
        <f>IF(A3942="","",IF(SUMPRODUCT((Ввод!$F$12:$F$31&lt;&gt;"")*(Ввод!$F$12:$F$31&lt;=A3942)*(Ввод!$G$12:$G$31&gt;=A3942))&gt;0,1,0))</f>
        <v/>
      </c>
      <c r="G3942" t="str">
        <f t="shared" si="123"/>
        <v/>
      </c>
    </row>
    <row r="3943" spans="1:7" x14ac:dyDescent="0.3">
      <c r="A3943" s="21" t="str">
        <f>IF(A3942="","",IF(A3942+1&gt;Ввод!$B$4,"",A3942+1))</f>
        <v/>
      </c>
      <c r="B3943" s="23" t="str">
        <f>IF(A3943="","",IFERROR(INDEX(Ввод!$B$12:$B$71,MATCH(A3943,Ввод!$D$12:$D$71,1)),""))</f>
        <v/>
      </c>
      <c r="C3943" t="str">
        <f t="shared" si="122"/>
        <v/>
      </c>
      <c r="D3943" t="str">
        <f>IF(A3943="","",SUMIFS(Акты!$D$5:$D$16,Акты!$E$5:$E$16,"&lt;="&amp;A3943)-SUMIFS(Оплаты!$B$6:$B$505,Оплаты!$A$6:$A$505,"&lt;"&amp;A3943,Оплаты!$D$6:$D$505,"&lt;&gt;"))</f>
        <v/>
      </c>
      <c r="E3943" t="str">
        <f>IF(A3943="","",IF(SUMPRODUCT((Ввод!$F$12:$F$31&lt;&gt;"")*(Ввод!$F$12:$F$31&lt;=A3943)*(Ввод!$G$12:$G$31&gt;=A3943))&gt;0,1,0))</f>
        <v/>
      </c>
      <c r="G3943" t="str">
        <f t="shared" si="123"/>
        <v/>
      </c>
    </row>
    <row r="3944" spans="1:7" x14ac:dyDescent="0.3">
      <c r="A3944" s="21" t="str">
        <f>IF(A3943="","",IF(A3943+1&gt;Ввод!$B$4,"",A3943+1))</f>
        <v/>
      </c>
      <c r="B3944" s="23" t="str">
        <f>IF(A3944="","",IFERROR(INDEX(Ввод!$B$12:$B$71,MATCH(A3944,Ввод!$D$12:$D$71,1)),""))</f>
        <v/>
      </c>
      <c r="C3944" t="str">
        <f t="shared" si="122"/>
        <v/>
      </c>
      <c r="D3944" t="str">
        <f>IF(A3944="","",SUMIFS(Акты!$D$5:$D$16,Акты!$E$5:$E$16,"&lt;="&amp;A3944)-SUMIFS(Оплаты!$B$6:$B$505,Оплаты!$A$6:$A$505,"&lt;"&amp;A3944,Оплаты!$D$6:$D$505,"&lt;&gt;"))</f>
        <v/>
      </c>
      <c r="E3944" t="str">
        <f>IF(A3944="","",IF(SUMPRODUCT((Ввод!$F$12:$F$31&lt;&gt;"")*(Ввод!$F$12:$F$31&lt;=A3944)*(Ввод!$G$12:$G$31&gt;=A3944))&gt;0,1,0))</f>
        <v/>
      </c>
      <c r="G3944" t="str">
        <f t="shared" si="123"/>
        <v/>
      </c>
    </row>
    <row r="3945" spans="1:7" x14ac:dyDescent="0.3">
      <c r="A3945" s="21" t="str">
        <f>IF(A3944="","",IF(A3944+1&gt;Ввод!$B$4,"",A3944+1))</f>
        <v/>
      </c>
      <c r="B3945" s="23" t="str">
        <f>IF(A3945="","",IFERROR(INDEX(Ввод!$B$12:$B$71,MATCH(A3945,Ввод!$D$12:$D$71,1)),""))</f>
        <v/>
      </c>
      <c r="C3945" t="str">
        <f t="shared" si="122"/>
        <v/>
      </c>
      <c r="D3945" t="str">
        <f>IF(A3945="","",SUMIFS(Акты!$D$5:$D$16,Акты!$E$5:$E$16,"&lt;="&amp;A3945)-SUMIFS(Оплаты!$B$6:$B$505,Оплаты!$A$6:$A$505,"&lt;"&amp;A3945,Оплаты!$D$6:$D$505,"&lt;&gt;"))</f>
        <v/>
      </c>
      <c r="E3945" t="str">
        <f>IF(A3945="","",IF(SUMPRODUCT((Ввод!$F$12:$F$31&lt;&gt;"")*(Ввод!$F$12:$F$31&lt;=A3945)*(Ввод!$G$12:$G$31&gt;=A3945))&gt;0,1,0))</f>
        <v/>
      </c>
      <c r="G3945" t="str">
        <f t="shared" si="123"/>
        <v/>
      </c>
    </row>
    <row r="3946" spans="1:7" x14ac:dyDescent="0.3">
      <c r="A3946" s="21" t="str">
        <f>IF(A3945="","",IF(A3945+1&gt;Ввод!$B$4,"",A3945+1))</f>
        <v/>
      </c>
      <c r="B3946" s="23" t="str">
        <f>IF(A3946="","",IFERROR(INDEX(Ввод!$B$12:$B$71,MATCH(A3946,Ввод!$D$12:$D$71,1)),""))</f>
        <v/>
      </c>
      <c r="C3946" t="str">
        <f t="shared" si="122"/>
        <v/>
      </c>
      <c r="D3946" t="str">
        <f>IF(A3946="","",SUMIFS(Акты!$D$5:$D$16,Акты!$E$5:$E$16,"&lt;="&amp;A3946)-SUMIFS(Оплаты!$B$6:$B$505,Оплаты!$A$6:$A$505,"&lt;"&amp;A3946,Оплаты!$D$6:$D$505,"&lt;&gt;"))</f>
        <v/>
      </c>
      <c r="E3946" t="str">
        <f>IF(A3946="","",IF(SUMPRODUCT((Ввод!$F$12:$F$31&lt;&gt;"")*(Ввод!$F$12:$F$31&lt;=A3946)*(Ввод!$G$12:$G$31&gt;=A3946))&gt;0,1,0))</f>
        <v/>
      </c>
      <c r="G3946" t="str">
        <f t="shared" si="123"/>
        <v/>
      </c>
    </row>
    <row r="3947" spans="1:7" x14ac:dyDescent="0.3">
      <c r="A3947" s="21" t="str">
        <f>IF(A3946="","",IF(A3946+1&gt;Ввод!$B$4,"",A3946+1))</f>
        <v/>
      </c>
      <c r="B3947" s="23" t="str">
        <f>IF(A3947="","",IFERROR(INDEX(Ввод!$B$12:$B$71,MATCH(A3947,Ввод!$D$12:$D$71,1)),""))</f>
        <v/>
      </c>
      <c r="C3947" t="str">
        <f t="shared" si="122"/>
        <v/>
      </c>
      <c r="D3947" t="str">
        <f>IF(A3947="","",SUMIFS(Акты!$D$5:$D$16,Акты!$E$5:$E$16,"&lt;="&amp;A3947)-SUMIFS(Оплаты!$B$6:$B$505,Оплаты!$A$6:$A$505,"&lt;"&amp;A3947,Оплаты!$D$6:$D$505,"&lt;&gt;"))</f>
        <v/>
      </c>
      <c r="E3947" t="str">
        <f>IF(A3947="","",IF(SUMPRODUCT((Ввод!$F$12:$F$31&lt;&gt;"")*(Ввод!$F$12:$F$31&lt;=A3947)*(Ввод!$G$12:$G$31&gt;=A3947))&gt;0,1,0))</f>
        <v/>
      </c>
      <c r="G3947" t="str">
        <f t="shared" si="123"/>
        <v/>
      </c>
    </row>
    <row r="3948" spans="1:7" x14ac:dyDescent="0.3">
      <c r="A3948" s="21" t="str">
        <f>IF(A3947="","",IF(A3947+1&gt;Ввод!$B$4,"",A3947+1))</f>
        <v/>
      </c>
      <c r="B3948" s="23" t="str">
        <f>IF(A3948="","",IFERROR(INDEX(Ввод!$B$12:$B$71,MATCH(A3948,Ввод!$D$12:$D$71,1)),""))</f>
        <v/>
      </c>
      <c r="C3948" t="str">
        <f t="shared" si="122"/>
        <v/>
      </c>
      <c r="D3948" t="str">
        <f>IF(A3948="","",SUMIFS(Акты!$D$5:$D$16,Акты!$E$5:$E$16,"&lt;="&amp;A3948)-SUMIFS(Оплаты!$B$6:$B$505,Оплаты!$A$6:$A$505,"&lt;"&amp;A3948,Оплаты!$D$6:$D$505,"&lt;&gt;"))</f>
        <v/>
      </c>
      <c r="E3948" t="str">
        <f>IF(A3948="","",IF(SUMPRODUCT((Ввод!$F$12:$F$31&lt;&gt;"")*(Ввод!$F$12:$F$31&lt;=A3948)*(Ввод!$G$12:$G$31&gt;=A3948))&gt;0,1,0))</f>
        <v/>
      </c>
      <c r="G3948" t="str">
        <f t="shared" si="123"/>
        <v/>
      </c>
    </row>
    <row r="3949" spans="1:7" x14ac:dyDescent="0.3">
      <c r="A3949" s="21" t="str">
        <f>IF(A3948="","",IF(A3948+1&gt;Ввод!$B$4,"",A3948+1))</f>
        <v/>
      </c>
      <c r="B3949" s="23" t="str">
        <f>IF(A3949="","",IFERROR(INDEX(Ввод!$B$12:$B$71,MATCH(A3949,Ввод!$D$12:$D$71,1)),""))</f>
        <v/>
      </c>
      <c r="C3949" t="str">
        <f t="shared" si="122"/>
        <v/>
      </c>
      <c r="D3949" t="str">
        <f>IF(A3949="","",SUMIFS(Акты!$D$5:$D$16,Акты!$E$5:$E$16,"&lt;="&amp;A3949)-SUMIFS(Оплаты!$B$6:$B$505,Оплаты!$A$6:$A$505,"&lt;"&amp;A3949,Оплаты!$D$6:$D$505,"&lt;&gt;"))</f>
        <v/>
      </c>
      <c r="E3949" t="str">
        <f>IF(A3949="","",IF(SUMPRODUCT((Ввод!$F$12:$F$31&lt;&gt;"")*(Ввод!$F$12:$F$31&lt;=A3949)*(Ввод!$G$12:$G$31&gt;=A3949))&gt;0,1,0))</f>
        <v/>
      </c>
      <c r="G3949" t="str">
        <f t="shared" si="123"/>
        <v/>
      </c>
    </row>
    <row r="3950" spans="1:7" x14ac:dyDescent="0.3">
      <c r="A3950" s="21" t="str">
        <f>IF(A3949="","",IF(A3949+1&gt;Ввод!$B$4,"",A3949+1))</f>
        <v/>
      </c>
      <c r="B3950" s="23" t="str">
        <f>IF(A3950="","",IFERROR(INDEX(Ввод!$B$12:$B$71,MATCH(A3950,Ввод!$D$12:$D$71,1)),""))</f>
        <v/>
      </c>
      <c r="C3950" t="str">
        <f t="shared" si="122"/>
        <v/>
      </c>
      <c r="D3950" t="str">
        <f>IF(A3950="","",SUMIFS(Акты!$D$5:$D$16,Акты!$E$5:$E$16,"&lt;="&amp;A3950)-SUMIFS(Оплаты!$B$6:$B$505,Оплаты!$A$6:$A$505,"&lt;"&amp;A3950,Оплаты!$D$6:$D$505,"&lt;&gt;"))</f>
        <v/>
      </c>
      <c r="E3950" t="str">
        <f>IF(A3950="","",IF(SUMPRODUCT((Ввод!$F$12:$F$31&lt;&gt;"")*(Ввод!$F$12:$F$31&lt;=A3950)*(Ввод!$G$12:$G$31&gt;=A3950))&gt;0,1,0))</f>
        <v/>
      </c>
      <c r="G3950" t="str">
        <f t="shared" si="123"/>
        <v/>
      </c>
    </row>
    <row r="3951" spans="1:7" x14ac:dyDescent="0.3">
      <c r="A3951" s="21" t="str">
        <f>IF(A3950="","",IF(A3950+1&gt;Ввод!$B$4,"",A3950+1))</f>
        <v/>
      </c>
      <c r="B3951" s="23" t="str">
        <f>IF(A3951="","",IFERROR(INDEX(Ввод!$B$12:$B$71,MATCH(A3951,Ввод!$D$12:$D$71,1)),""))</f>
        <v/>
      </c>
      <c r="C3951" t="str">
        <f t="shared" si="122"/>
        <v/>
      </c>
      <c r="D3951" t="str">
        <f>IF(A3951="","",SUMIFS(Акты!$D$5:$D$16,Акты!$E$5:$E$16,"&lt;="&amp;A3951)-SUMIFS(Оплаты!$B$6:$B$505,Оплаты!$A$6:$A$505,"&lt;"&amp;A3951,Оплаты!$D$6:$D$505,"&lt;&gt;"))</f>
        <v/>
      </c>
      <c r="E3951" t="str">
        <f>IF(A3951="","",IF(SUMPRODUCT((Ввод!$F$12:$F$31&lt;&gt;"")*(Ввод!$F$12:$F$31&lt;=A3951)*(Ввод!$G$12:$G$31&gt;=A3951))&gt;0,1,0))</f>
        <v/>
      </c>
      <c r="G3951" t="str">
        <f t="shared" si="123"/>
        <v/>
      </c>
    </row>
    <row r="3952" spans="1:7" x14ac:dyDescent="0.3">
      <c r="A3952" s="21" t="str">
        <f>IF(A3951="","",IF(A3951+1&gt;Ввод!$B$4,"",A3951+1))</f>
        <v/>
      </c>
      <c r="B3952" s="23" t="str">
        <f>IF(A3952="","",IFERROR(INDEX(Ввод!$B$12:$B$71,MATCH(A3952,Ввод!$D$12:$D$71,1)),""))</f>
        <v/>
      </c>
      <c r="C3952" t="str">
        <f t="shared" si="122"/>
        <v/>
      </c>
      <c r="D3952" t="str">
        <f>IF(A3952="","",SUMIFS(Акты!$D$5:$D$16,Акты!$E$5:$E$16,"&lt;="&amp;A3952)-SUMIFS(Оплаты!$B$6:$B$505,Оплаты!$A$6:$A$505,"&lt;"&amp;A3952,Оплаты!$D$6:$D$505,"&lt;&gt;"))</f>
        <v/>
      </c>
      <c r="E3952" t="str">
        <f>IF(A3952="","",IF(SUMPRODUCT((Ввод!$F$12:$F$31&lt;&gt;"")*(Ввод!$F$12:$F$31&lt;=A3952)*(Ввод!$G$12:$G$31&gt;=A3952))&gt;0,1,0))</f>
        <v/>
      </c>
      <c r="G3952" t="str">
        <f t="shared" si="123"/>
        <v/>
      </c>
    </row>
    <row r="3953" spans="1:7" x14ac:dyDescent="0.3">
      <c r="A3953" s="21" t="str">
        <f>IF(A3952="","",IF(A3952+1&gt;Ввод!$B$4,"",A3952+1))</f>
        <v/>
      </c>
      <c r="B3953" s="23" t="str">
        <f>IF(A3953="","",IFERROR(INDEX(Ввод!$B$12:$B$71,MATCH(A3953,Ввод!$D$12:$D$71,1)),""))</f>
        <v/>
      </c>
      <c r="C3953" t="str">
        <f t="shared" si="122"/>
        <v/>
      </c>
      <c r="D3953" t="str">
        <f>IF(A3953="","",SUMIFS(Акты!$D$5:$D$16,Акты!$E$5:$E$16,"&lt;="&amp;A3953)-SUMIFS(Оплаты!$B$6:$B$505,Оплаты!$A$6:$A$505,"&lt;"&amp;A3953,Оплаты!$D$6:$D$505,"&lt;&gt;"))</f>
        <v/>
      </c>
      <c r="E3953" t="str">
        <f>IF(A3953="","",IF(SUMPRODUCT((Ввод!$F$12:$F$31&lt;&gt;"")*(Ввод!$F$12:$F$31&lt;=A3953)*(Ввод!$G$12:$G$31&gt;=A3953))&gt;0,1,0))</f>
        <v/>
      </c>
      <c r="G3953" t="str">
        <f t="shared" si="123"/>
        <v/>
      </c>
    </row>
    <row r="3954" spans="1:7" x14ac:dyDescent="0.3">
      <c r="A3954" s="21" t="str">
        <f>IF(A3953="","",IF(A3953+1&gt;Ввод!$B$4,"",A3953+1))</f>
        <v/>
      </c>
      <c r="B3954" s="23" t="str">
        <f>IF(A3954="","",IFERROR(INDEX(Ввод!$B$12:$B$71,MATCH(A3954,Ввод!$D$12:$D$71,1)),""))</f>
        <v/>
      </c>
      <c r="C3954" t="str">
        <f t="shared" si="122"/>
        <v/>
      </c>
      <c r="D3954" t="str">
        <f>IF(A3954="","",SUMIFS(Акты!$D$5:$D$16,Акты!$E$5:$E$16,"&lt;="&amp;A3954)-SUMIFS(Оплаты!$B$6:$B$505,Оплаты!$A$6:$A$505,"&lt;"&amp;A3954,Оплаты!$D$6:$D$505,"&lt;&gt;"))</f>
        <v/>
      </c>
      <c r="E3954" t="str">
        <f>IF(A3954="","",IF(SUMPRODUCT((Ввод!$F$12:$F$31&lt;&gt;"")*(Ввод!$F$12:$F$31&lt;=A3954)*(Ввод!$G$12:$G$31&gt;=A3954))&gt;0,1,0))</f>
        <v/>
      </c>
      <c r="G3954" t="str">
        <f t="shared" si="123"/>
        <v/>
      </c>
    </row>
    <row r="3955" spans="1:7" x14ac:dyDescent="0.3">
      <c r="A3955" s="21" t="str">
        <f>IF(A3954="","",IF(A3954+1&gt;Ввод!$B$4,"",A3954+1))</f>
        <v/>
      </c>
      <c r="B3955" s="23" t="str">
        <f>IF(A3955="","",IFERROR(INDEX(Ввод!$B$12:$B$71,MATCH(A3955,Ввод!$D$12:$D$71,1)),""))</f>
        <v/>
      </c>
      <c r="C3955" t="str">
        <f t="shared" si="122"/>
        <v/>
      </c>
      <c r="D3955" t="str">
        <f>IF(A3955="","",SUMIFS(Акты!$D$5:$D$16,Акты!$E$5:$E$16,"&lt;="&amp;A3955)-SUMIFS(Оплаты!$B$6:$B$505,Оплаты!$A$6:$A$505,"&lt;"&amp;A3955,Оплаты!$D$6:$D$505,"&lt;&gt;"))</f>
        <v/>
      </c>
      <c r="E3955" t="str">
        <f>IF(A3955="","",IF(SUMPRODUCT((Ввод!$F$12:$F$31&lt;&gt;"")*(Ввод!$F$12:$F$31&lt;=A3955)*(Ввод!$G$12:$G$31&gt;=A3955))&gt;0,1,0))</f>
        <v/>
      </c>
      <c r="G3955" t="str">
        <f t="shared" si="123"/>
        <v/>
      </c>
    </row>
    <row r="3956" spans="1:7" x14ac:dyDescent="0.3">
      <c r="A3956" s="21" t="str">
        <f>IF(A3955="","",IF(A3955+1&gt;Ввод!$B$4,"",A3955+1))</f>
        <v/>
      </c>
      <c r="B3956" s="23" t="str">
        <f>IF(A3956="","",IFERROR(INDEX(Ввод!$B$12:$B$71,MATCH(A3956,Ввод!$D$12:$D$71,1)),""))</f>
        <v/>
      </c>
      <c r="C3956" t="str">
        <f t="shared" si="122"/>
        <v/>
      </c>
      <c r="D3956" t="str">
        <f>IF(A3956="","",SUMIFS(Акты!$D$5:$D$16,Акты!$E$5:$E$16,"&lt;="&amp;A3956)-SUMIFS(Оплаты!$B$6:$B$505,Оплаты!$A$6:$A$505,"&lt;"&amp;A3956,Оплаты!$D$6:$D$505,"&lt;&gt;"))</f>
        <v/>
      </c>
      <c r="E3956" t="str">
        <f>IF(A3956="","",IF(SUMPRODUCT((Ввод!$F$12:$F$31&lt;&gt;"")*(Ввод!$F$12:$F$31&lt;=A3956)*(Ввод!$G$12:$G$31&gt;=A3956))&gt;0,1,0))</f>
        <v/>
      </c>
      <c r="G3956" t="str">
        <f t="shared" si="123"/>
        <v/>
      </c>
    </row>
    <row r="3957" spans="1:7" x14ac:dyDescent="0.3">
      <c r="A3957" s="21" t="str">
        <f>IF(A3956="","",IF(A3956+1&gt;Ввод!$B$4,"",A3956+1))</f>
        <v/>
      </c>
      <c r="B3957" s="23" t="str">
        <f>IF(A3957="","",IFERROR(INDEX(Ввод!$B$12:$B$71,MATCH(A3957,Ввод!$D$12:$D$71,1)),""))</f>
        <v/>
      </c>
      <c r="C3957" t="str">
        <f t="shared" si="122"/>
        <v/>
      </c>
      <c r="D3957" t="str">
        <f>IF(A3957="","",SUMIFS(Акты!$D$5:$D$16,Акты!$E$5:$E$16,"&lt;="&amp;A3957)-SUMIFS(Оплаты!$B$6:$B$505,Оплаты!$A$6:$A$505,"&lt;"&amp;A3957,Оплаты!$D$6:$D$505,"&lt;&gt;"))</f>
        <v/>
      </c>
      <c r="E3957" t="str">
        <f>IF(A3957="","",IF(SUMPRODUCT((Ввод!$F$12:$F$31&lt;&gt;"")*(Ввод!$F$12:$F$31&lt;=A3957)*(Ввод!$G$12:$G$31&gt;=A3957))&gt;0,1,0))</f>
        <v/>
      </c>
      <c r="G3957" t="str">
        <f t="shared" si="123"/>
        <v/>
      </c>
    </row>
    <row r="3958" spans="1:7" x14ac:dyDescent="0.3">
      <c r="A3958" s="21" t="str">
        <f>IF(A3957="","",IF(A3957+1&gt;Ввод!$B$4,"",A3957+1))</f>
        <v/>
      </c>
      <c r="B3958" s="23" t="str">
        <f>IF(A3958="","",IFERROR(INDEX(Ввод!$B$12:$B$71,MATCH(A3958,Ввод!$D$12:$D$71,1)),""))</f>
        <v/>
      </c>
      <c r="C3958" t="str">
        <f t="shared" si="122"/>
        <v/>
      </c>
      <c r="D3958" t="str">
        <f>IF(A3958="","",SUMIFS(Акты!$D$5:$D$16,Акты!$E$5:$E$16,"&lt;="&amp;A3958)-SUMIFS(Оплаты!$B$6:$B$505,Оплаты!$A$6:$A$505,"&lt;"&amp;A3958,Оплаты!$D$6:$D$505,"&lt;&gt;"))</f>
        <v/>
      </c>
      <c r="E3958" t="str">
        <f>IF(A3958="","",IF(SUMPRODUCT((Ввод!$F$12:$F$31&lt;&gt;"")*(Ввод!$F$12:$F$31&lt;=A3958)*(Ввод!$G$12:$G$31&gt;=A3958))&gt;0,1,0))</f>
        <v/>
      </c>
      <c r="G3958" t="str">
        <f t="shared" si="123"/>
        <v/>
      </c>
    </row>
    <row r="3959" spans="1:7" x14ac:dyDescent="0.3">
      <c r="A3959" s="21" t="str">
        <f>IF(A3958="","",IF(A3958+1&gt;Ввод!$B$4,"",A3958+1))</f>
        <v/>
      </c>
      <c r="B3959" s="23" t="str">
        <f>IF(A3959="","",IFERROR(INDEX(Ввод!$B$12:$B$71,MATCH(A3959,Ввод!$D$12:$D$71,1)),""))</f>
        <v/>
      </c>
      <c r="C3959" t="str">
        <f t="shared" si="122"/>
        <v/>
      </c>
      <c r="D3959" t="str">
        <f>IF(A3959="","",SUMIFS(Акты!$D$5:$D$16,Акты!$E$5:$E$16,"&lt;="&amp;A3959)-SUMIFS(Оплаты!$B$6:$B$505,Оплаты!$A$6:$A$505,"&lt;"&amp;A3959,Оплаты!$D$6:$D$505,"&lt;&gt;"))</f>
        <v/>
      </c>
      <c r="E3959" t="str">
        <f>IF(A3959="","",IF(SUMPRODUCT((Ввод!$F$12:$F$31&lt;&gt;"")*(Ввод!$F$12:$F$31&lt;=A3959)*(Ввод!$G$12:$G$31&gt;=A3959))&gt;0,1,0))</f>
        <v/>
      </c>
      <c r="G3959" t="str">
        <f t="shared" si="123"/>
        <v/>
      </c>
    </row>
    <row r="3960" spans="1:7" x14ac:dyDescent="0.3">
      <c r="A3960" s="21" t="str">
        <f>IF(A3959="","",IF(A3959+1&gt;Ввод!$B$4,"",A3959+1))</f>
        <v/>
      </c>
      <c r="B3960" s="23" t="str">
        <f>IF(A3960="","",IFERROR(INDEX(Ввод!$B$12:$B$71,MATCH(A3960,Ввод!$D$12:$D$71,1)),""))</f>
        <v/>
      </c>
      <c r="C3960" t="str">
        <f t="shared" si="122"/>
        <v/>
      </c>
      <c r="D3960" t="str">
        <f>IF(A3960="","",SUMIFS(Акты!$D$5:$D$16,Акты!$E$5:$E$16,"&lt;="&amp;A3960)-SUMIFS(Оплаты!$B$6:$B$505,Оплаты!$A$6:$A$505,"&lt;"&amp;A3960,Оплаты!$D$6:$D$505,"&lt;&gt;"))</f>
        <v/>
      </c>
      <c r="E3960" t="str">
        <f>IF(A3960="","",IF(SUMPRODUCT((Ввод!$F$12:$F$31&lt;&gt;"")*(Ввод!$F$12:$F$31&lt;=A3960)*(Ввод!$G$12:$G$31&gt;=A3960))&gt;0,1,0))</f>
        <v/>
      </c>
      <c r="G3960" t="str">
        <f t="shared" si="123"/>
        <v/>
      </c>
    </row>
    <row r="3961" spans="1:7" x14ac:dyDescent="0.3">
      <c r="A3961" s="21" t="str">
        <f>IF(A3960="","",IF(A3960+1&gt;Ввод!$B$4,"",A3960+1))</f>
        <v/>
      </c>
      <c r="B3961" s="23" t="str">
        <f>IF(A3961="","",IFERROR(INDEX(Ввод!$B$12:$B$71,MATCH(A3961,Ввод!$D$12:$D$71,1)),""))</f>
        <v/>
      </c>
      <c r="C3961" t="str">
        <f t="shared" si="122"/>
        <v/>
      </c>
      <c r="D3961" t="str">
        <f>IF(A3961="","",SUMIFS(Акты!$D$5:$D$16,Акты!$E$5:$E$16,"&lt;="&amp;A3961)-SUMIFS(Оплаты!$B$6:$B$505,Оплаты!$A$6:$A$505,"&lt;"&amp;A3961,Оплаты!$D$6:$D$505,"&lt;&gt;"))</f>
        <v/>
      </c>
      <c r="E3961" t="str">
        <f>IF(A3961="","",IF(SUMPRODUCT((Ввод!$F$12:$F$31&lt;&gt;"")*(Ввод!$F$12:$F$31&lt;=A3961)*(Ввод!$G$12:$G$31&gt;=A3961))&gt;0,1,0))</f>
        <v/>
      </c>
      <c r="G3961" t="str">
        <f t="shared" si="123"/>
        <v/>
      </c>
    </row>
    <row r="3962" spans="1:7" x14ac:dyDescent="0.3">
      <c r="A3962" s="21" t="str">
        <f>IF(A3961="","",IF(A3961+1&gt;Ввод!$B$4,"",A3961+1))</f>
        <v/>
      </c>
      <c r="B3962" s="23" t="str">
        <f>IF(A3962="","",IFERROR(INDEX(Ввод!$B$12:$B$71,MATCH(A3962,Ввод!$D$12:$D$71,1)),""))</f>
        <v/>
      </c>
      <c r="C3962" t="str">
        <f t="shared" si="122"/>
        <v/>
      </c>
      <c r="D3962" t="str">
        <f>IF(A3962="","",SUMIFS(Акты!$D$5:$D$16,Акты!$E$5:$E$16,"&lt;="&amp;A3962)-SUMIFS(Оплаты!$B$6:$B$505,Оплаты!$A$6:$A$505,"&lt;"&amp;A3962,Оплаты!$D$6:$D$505,"&lt;&gt;"))</f>
        <v/>
      </c>
      <c r="E3962" t="str">
        <f>IF(A3962="","",IF(SUMPRODUCT((Ввод!$F$12:$F$31&lt;&gt;"")*(Ввод!$F$12:$F$31&lt;=A3962)*(Ввод!$G$12:$G$31&gt;=A3962))&gt;0,1,0))</f>
        <v/>
      </c>
      <c r="G3962" t="str">
        <f t="shared" si="123"/>
        <v/>
      </c>
    </row>
    <row r="3963" spans="1:7" x14ac:dyDescent="0.3">
      <c r="A3963" s="21" t="str">
        <f>IF(A3962="","",IF(A3962+1&gt;Ввод!$B$4,"",A3962+1))</f>
        <v/>
      </c>
      <c r="B3963" s="23" t="str">
        <f>IF(A3963="","",IFERROR(INDEX(Ввод!$B$12:$B$71,MATCH(A3963,Ввод!$D$12:$D$71,1)),""))</f>
        <v/>
      </c>
      <c r="C3963" t="str">
        <f t="shared" si="122"/>
        <v/>
      </c>
      <c r="D3963" t="str">
        <f>IF(A3963="","",SUMIFS(Акты!$D$5:$D$16,Акты!$E$5:$E$16,"&lt;="&amp;A3963)-SUMIFS(Оплаты!$B$6:$B$505,Оплаты!$A$6:$A$505,"&lt;"&amp;A3963,Оплаты!$D$6:$D$505,"&lt;&gt;"))</f>
        <v/>
      </c>
      <c r="E3963" t="str">
        <f>IF(A3963="","",IF(SUMPRODUCT((Ввод!$F$12:$F$31&lt;&gt;"")*(Ввод!$F$12:$F$31&lt;=A3963)*(Ввод!$G$12:$G$31&gt;=A3963))&gt;0,1,0))</f>
        <v/>
      </c>
      <c r="G3963" t="str">
        <f t="shared" si="123"/>
        <v/>
      </c>
    </row>
    <row r="3964" spans="1:7" x14ac:dyDescent="0.3">
      <c r="A3964" s="21" t="str">
        <f>IF(A3963="","",IF(A3963+1&gt;Ввод!$B$4,"",A3963+1))</f>
        <v/>
      </c>
      <c r="B3964" s="23" t="str">
        <f>IF(A3964="","",IFERROR(INDEX(Ввод!$B$12:$B$71,MATCH(A3964,Ввод!$D$12:$D$71,1)),""))</f>
        <v/>
      </c>
      <c r="C3964" t="str">
        <f t="shared" si="122"/>
        <v/>
      </c>
      <c r="D3964" t="str">
        <f>IF(A3964="","",SUMIFS(Акты!$D$5:$D$16,Акты!$E$5:$E$16,"&lt;="&amp;A3964)-SUMIFS(Оплаты!$B$6:$B$505,Оплаты!$A$6:$A$505,"&lt;"&amp;A3964,Оплаты!$D$6:$D$505,"&lt;&gt;"))</f>
        <v/>
      </c>
      <c r="E3964" t="str">
        <f>IF(A3964="","",IF(SUMPRODUCT((Ввод!$F$12:$F$31&lt;&gt;"")*(Ввод!$F$12:$F$31&lt;=A3964)*(Ввод!$G$12:$G$31&gt;=A3964))&gt;0,1,0))</f>
        <v/>
      </c>
      <c r="G3964" t="str">
        <f t="shared" si="123"/>
        <v/>
      </c>
    </row>
    <row r="3965" spans="1:7" x14ac:dyDescent="0.3">
      <c r="A3965" s="21" t="str">
        <f>IF(A3964="","",IF(A3964+1&gt;Ввод!$B$4,"",A3964+1))</f>
        <v/>
      </c>
      <c r="B3965" s="23" t="str">
        <f>IF(A3965="","",IFERROR(INDEX(Ввод!$B$12:$B$71,MATCH(A3965,Ввод!$D$12:$D$71,1)),""))</f>
        <v/>
      </c>
      <c r="C3965" t="str">
        <f t="shared" si="122"/>
        <v/>
      </c>
      <c r="D3965" t="str">
        <f>IF(A3965="","",SUMIFS(Акты!$D$5:$D$16,Акты!$E$5:$E$16,"&lt;="&amp;A3965)-SUMIFS(Оплаты!$B$6:$B$505,Оплаты!$A$6:$A$505,"&lt;"&amp;A3965,Оплаты!$D$6:$D$505,"&lt;&gt;"))</f>
        <v/>
      </c>
      <c r="E3965" t="str">
        <f>IF(A3965="","",IF(SUMPRODUCT((Ввод!$F$12:$F$31&lt;&gt;"")*(Ввод!$F$12:$F$31&lt;=A3965)*(Ввод!$G$12:$G$31&gt;=A3965))&gt;0,1,0))</f>
        <v/>
      </c>
      <c r="G3965" t="str">
        <f t="shared" si="123"/>
        <v/>
      </c>
    </row>
    <row r="3966" spans="1:7" x14ac:dyDescent="0.3">
      <c r="A3966" s="21" t="str">
        <f>IF(A3965="","",IF(A3965+1&gt;Ввод!$B$4,"",A3965+1))</f>
        <v/>
      </c>
      <c r="B3966" s="23" t="str">
        <f>IF(A3966="","",IFERROR(INDEX(Ввод!$B$12:$B$71,MATCH(A3966,Ввод!$D$12:$D$71,1)),""))</f>
        <v/>
      </c>
      <c r="C3966" t="str">
        <f t="shared" si="122"/>
        <v/>
      </c>
      <c r="D3966" t="str">
        <f>IF(A3966="","",SUMIFS(Акты!$D$5:$D$16,Акты!$E$5:$E$16,"&lt;="&amp;A3966)-SUMIFS(Оплаты!$B$6:$B$505,Оплаты!$A$6:$A$505,"&lt;"&amp;A3966,Оплаты!$D$6:$D$505,"&lt;&gt;"))</f>
        <v/>
      </c>
      <c r="E3966" t="str">
        <f>IF(A3966="","",IF(SUMPRODUCT((Ввод!$F$12:$F$31&lt;&gt;"")*(Ввод!$F$12:$F$31&lt;=A3966)*(Ввод!$G$12:$G$31&gt;=A3966))&gt;0,1,0))</f>
        <v/>
      </c>
      <c r="G3966" t="str">
        <f t="shared" si="123"/>
        <v/>
      </c>
    </row>
    <row r="3967" spans="1:7" x14ac:dyDescent="0.3">
      <c r="A3967" s="21" t="str">
        <f>IF(A3966="","",IF(A3966+1&gt;Ввод!$B$4,"",A3966+1))</f>
        <v/>
      </c>
      <c r="B3967" s="23" t="str">
        <f>IF(A3967="","",IFERROR(INDEX(Ввод!$B$12:$B$71,MATCH(A3967,Ввод!$D$12:$D$71,1)),""))</f>
        <v/>
      </c>
      <c r="C3967" t="str">
        <f t="shared" si="122"/>
        <v/>
      </c>
      <c r="D3967" t="str">
        <f>IF(A3967="","",SUMIFS(Акты!$D$5:$D$16,Акты!$E$5:$E$16,"&lt;="&amp;A3967)-SUMIFS(Оплаты!$B$6:$B$505,Оплаты!$A$6:$A$505,"&lt;"&amp;A3967,Оплаты!$D$6:$D$505,"&lt;&gt;"))</f>
        <v/>
      </c>
      <c r="E3967" t="str">
        <f>IF(A3967="","",IF(SUMPRODUCT((Ввод!$F$12:$F$31&lt;&gt;"")*(Ввод!$F$12:$F$31&lt;=A3967)*(Ввод!$G$12:$G$31&gt;=A3967))&gt;0,1,0))</f>
        <v/>
      </c>
      <c r="G3967" t="str">
        <f t="shared" si="123"/>
        <v/>
      </c>
    </row>
    <row r="3968" spans="1:7" x14ac:dyDescent="0.3">
      <c r="A3968" s="21" t="str">
        <f>IF(A3967="","",IF(A3967+1&gt;Ввод!$B$4,"",A3967+1))</f>
        <v/>
      </c>
      <c r="B3968" s="23" t="str">
        <f>IF(A3968="","",IFERROR(INDEX(Ввод!$B$12:$B$71,MATCH(A3968,Ввод!$D$12:$D$71,1)),""))</f>
        <v/>
      </c>
      <c r="C3968" t="str">
        <f t="shared" si="122"/>
        <v/>
      </c>
      <c r="D3968" t="str">
        <f>IF(A3968="","",SUMIFS(Акты!$D$5:$D$16,Акты!$E$5:$E$16,"&lt;="&amp;A3968)-SUMIFS(Оплаты!$B$6:$B$505,Оплаты!$A$6:$A$505,"&lt;"&amp;A3968,Оплаты!$D$6:$D$505,"&lt;&gt;"))</f>
        <v/>
      </c>
      <c r="E3968" t="str">
        <f>IF(A3968="","",IF(SUMPRODUCT((Ввод!$F$12:$F$31&lt;&gt;"")*(Ввод!$F$12:$F$31&lt;=A3968)*(Ввод!$G$12:$G$31&gt;=A3968))&gt;0,1,0))</f>
        <v/>
      </c>
      <c r="G3968" t="str">
        <f t="shared" si="123"/>
        <v/>
      </c>
    </row>
    <row r="3969" spans="1:7" x14ac:dyDescent="0.3">
      <c r="A3969" s="21" t="str">
        <f>IF(A3968="","",IF(A3968+1&gt;Ввод!$B$4,"",A3968+1))</f>
        <v/>
      </c>
      <c r="B3969" s="23" t="str">
        <f>IF(A3969="","",IFERROR(INDEX(Ввод!$B$12:$B$71,MATCH(A3969,Ввод!$D$12:$D$71,1)),""))</f>
        <v/>
      </c>
      <c r="C3969" t="str">
        <f t="shared" si="122"/>
        <v/>
      </c>
      <c r="D3969" t="str">
        <f>IF(A3969="","",SUMIFS(Акты!$D$5:$D$16,Акты!$E$5:$E$16,"&lt;="&amp;A3969)-SUMIFS(Оплаты!$B$6:$B$505,Оплаты!$A$6:$A$505,"&lt;"&amp;A3969,Оплаты!$D$6:$D$505,"&lt;&gt;"))</f>
        <v/>
      </c>
      <c r="E3969" t="str">
        <f>IF(A3969="","",IF(SUMPRODUCT((Ввод!$F$12:$F$31&lt;&gt;"")*(Ввод!$F$12:$F$31&lt;=A3969)*(Ввод!$G$12:$G$31&gt;=A3969))&gt;0,1,0))</f>
        <v/>
      </c>
      <c r="G3969" t="str">
        <f t="shared" si="123"/>
        <v/>
      </c>
    </row>
    <row r="3970" spans="1:7" x14ac:dyDescent="0.3">
      <c r="A3970" s="21" t="str">
        <f>IF(A3969="","",IF(A3969+1&gt;Ввод!$B$4,"",A3969+1))</f>
        <v/>
      </c>
      <c r="B3970" s="23" t="str">
        <f>IF(A3970="","",IFERROR(INDEX(Ввод!$B$12:$B$71,MATCH(A3970,Ввод!$D$12:$D$71,1)),""))</f>
        <v/>
      </c>
      <c r="C3970" t="str">
        <f t="shared" ref="C3970:C4000" si="124">IF(A3970="","",DATE(YEAR(A3970),12,31)-DATE(YEAR(A3970),1,1)+1)</f>
        <v/>
      </c>
      <c r="D3970" t="str">
        <f>IF(A3970="","",SUMIFS(Акты!$D$5:$D$16,Акты!$E$5:$E$16,"&lt;="&amp;A3970)-SUMIFS(Оплаты!$B$6:$B$505,Оплаты!$A$6:$A$505,"&lt;"&amp;A3970,Оплаты!$D$6:$D$505,"&lt;&gt;"))</f>
        <v/>
      </c>
      <c r="E3970" t="str">
        <f>IF(A3970="","",IF(SUMPRODUCT((Ввод!$F$12:$F$31&lt;&gt;"")*(Ввод!$F$12:$F$31&lt;=A3970)*(Ввод!$G$12:$G$31&gt;=A3970))&gt;0,1,0))</f>
        <v/>
      </c>
      <c r="G3970" t="str">
        <f t="shared" si="123"/>
        <v/>
      </c>
    </row>
    <row r="3971" spans="1:7" x14ac:dyDescent="0.3">
      <c r="A3971" s="21" t="str">
        <f>IF(A3970="","",IF(A3970+1&gt;Ввод!$B$4,"",A3970+1))</f>
        <v/>
      </c>
      <c r="B3971" s="23" t="str">
        <f>IF(A3971="","",IFERROR(INDEX(Ввод!$B$12:$B$71,MATCH(A3971,Ввод!$D$12:$D$71,1)),""))</f>
        <v/>
      </c>
      <c r="C3971" t="str">
        <f t="shared" si="124"/>
        <v/>
      </c>
      <c r="D3971" t="str">
        <f>IF(A3971="","",SUMIFS(Акты!$D$5:$D$16,Акты!$E$5:$E$16,"&lt;="&amp;A3971)-SUMIFS(Оплаты!$B$6:$B$505,Оплаты!$A$6:$A$505,"&lt;"&amp;A3971,Оплаты!$D$6:$D$505,"&lt;&gt;"))</f>
        <v/>
      </c>
      <c r="E3971" t="str">
        <f>IF(A3971="","",IF(SUMPRODUCT((Ввод!$F$12:$F$31&lt;&gt;"")*(Ввод!$F$12:$F$31&lt;=A3971)*(Ввод!$G$12:$G$31&gt;=A3971))&gt;0,1,0))</f>
        <v/>
      </c>
      <c r="G3971" t="str">
        <f t="shared" ref="G3971:G4000" si="125">IF(A3971="","",IF(OR(B3971&lt;&gt;B3970,C3971&lt;&gt;C3970,E3971&lt;&gt;E3970),G3970+1,G3970))</f>
        <v/>
      </c>
    </row>
    <row r="3972" spans="1:7" x14ac:dyDescent="0.3">
      <c r="A3972" s="21" t="str">
        <f>IF(A3971="","",IF(A3971+1&gt;Ввод!$B$4,"",A3971+1))</f>
        <v/>
      </c>
      <c r="B3972" s="23" t="str">
        <f>IF(A3972="","",IFERROR(INDEX(Ввод!$B$12:$B$71,MATCH(A3972,Ввод!$D$12:$D$71,1)),""))</f>
        <v/>
      </c>
      <c r="C3972" t="str">
        <f t="shared" si="124"/>
        <v/>
      </c>
      <c r="D3972" t="str">
        <f>IF(A3972="","",SUMIFS(Акты!$D$5:$D$16,Акты!$E$5:$E$16,"&lt;="&amp;A3972)-SUMIFS(Оплаты!$B$6:$B$505,Оплаты!$A$6:$A$505,"&lt;"&amp;A3972,Оплаты!$D$6:$D$505,"&lt;&gt;"))</f>
        <v/>
      </c>
      <c r="E3972" t="str">
        <f>IF(A3972="","",IF(SUMPRODUCT((Ввод!$F$12:$F$31&lt;&gt;"")*(Ввод!$F$12:$F$31&lt;=A3972)*(Ввод!$G$12:$G$31&gt;=A3972))&gt;0,1,0))</f>
        <v/>
      </c>
      <c r="G3972" t="str">
        <f t="shared" si="125"/>
        <v/>
      </c>
    </row>
    <row r="3973" spans="1:7" x14ac:dyDescent="0.3">
      <c r="A3973" s="21" t="str">
        <f>IF(A3972="","",IF(A3972+1&gt;Ввод!$B$4,"",A3972+1))</f>
        <v/>
      </c>
      <c r="B3973" s="23" t="str">
        <f>IF(A3973="","",IFERROR(INDEX(Ввод!$B$12:$B$71,MATCH(A3973,Ввод!$D$12:$D$71,1)),""))</f>
        <v/>
      </c>
      <c r="C3973" t="str">
        <f t="shared" si="124"/>
        <v/>
      </c>
      <c r="D3973" t="str">
        <f>IF(A3973="","",SUMIFS(Акты!$D$5:$D$16,Акты!$E$5:$E$16,"&lt;="&amp;A3973)-SUMIFS(Оплаты!$B$6:$B$505,Оплаты!$A$6:$A$505,"&lt;"&amp;A3973,Оплаты!$D$6:$D$505,"&lt;&gt;"))</f>
        <v/>
      </c>
      <c r="E3973" t="str">
        <f>IF(A3973="","",IF(SUMPRODUCT((Ввод!$F$12:$F$31&lt;&gt;"")*(Ввод!$F$12:$F$31&lt;=A3973)*(Ввод!$G$12:$G$31&gt;=A3973))&gt;0,1,0))</f>
        <v/>
      </c>
      <c r="G3973" t="str">
        <f t="shared" si="125"/>
        <v/>
      </c>
    </row>
    <row r="3974" spans="1:7" x14ac:dyDescent="0.3">
      <c r="A3974" s="21" t="str">
        <f>IF(A3973="","",IF(A3973+1&gt;Ввод!$B$4,"",A3973+1))</f>
        <v/>
      </c>
      <c r="B3974" s="23" t="str">
        <f>IF(A3974="","",IFERROR(INDEX(Ввод!$B$12:$B$71,MATCH(A3974,Ввод!$D$12:$D$71,1)),""))</f>
        <v/>
      </c>
      <c r="C3974" t="str">
        <f t="shared" si="124"/>
        <v/>
      </c>
      <c r="D3974" t="str">
        <f>IF(A3974="","",SUMIFS(Акты!$D$5:$D$16,Акты!$E$5:$E$16,"&lt;="&amp;A3974)-SUMIFS(Оплаты!$B$6:$B$505,Оплаты!$A$6:$A$505,"&lt;"&amp;A3974,Оплаты!$D$6:$D$505,"&lt;&gt;"))</f>
        <v/>
      </c>
      <c r="E3974" t="str">
        <f>IF(A3974="","",IF(SUMPRODUCT((Ввод!$F$12:$F$31&lt;&gt;"")*(Ввод!$F$12:$F$31&lt;=A3974)*(Ввод!$G$12:$G$31&gt;=A3974))&gt;0,1,0))</f>
        <v/>
      </c>
      <c r="G3974" t="str">
        <f t="shared" si="125"/>
        <v/>
      </c>
    </row>
    <row r="3975" spans="1:7" x14ac:dyDescent="0.3">
      <c r="A3975" s="21" t="str">
        <f>IF(A3974="","",IF(A3974+1&gt;Ввод!$B$4,"",A3974+1))</f>
        <v/>
      </c>
      <c r="B3975" s="23" t="str">
        <f>IF(A3975="","",IFERROR(INDEX(Ввод!$B$12:$B$71,MATCH(A3975,Ввод!$D$12:$D$71,1)),""))</f>
        <v/>
      </c>
      <c r="C3975" t="str">
        <f t="shared" si="124"/>
        <v/>
      </c>
      <c r="D3975" t="str">
        <f>IF(A3975="","",SUMIFS(Акты!$D$5:$D$16,Акты!$E$5:$E$16,"&lt;="&amp;A3975)-SUMIFS(Оплаты!$B$6:$B$505,Оплаты!$A$6:$A$505,"&lt;"&amp;A3975,Оплаты!$D$6:$D$505,"&lt;&gt;"))</f>
        <v/>
      </c>
      <c r="E3975" t="str">
        <f>IF(A3975="","",IF(SUMPRODUCT((Ввод!$F$12:$F$31&lt;&gt;"")*(Ввод!$F$12:$F$31&lt;=A3975)*(Ввод!$G$12:$G$31&gt;=A3975))&gt;0,1,0))</f>
        <v/>
      </c>
      <c r="G3975" t="str">
        <f t="shared" si="125"/>
        <v/>
      </c>
    </row>
    <row r="3976" spans="1:7" x14ac:dyDescent="0.3">
      <c r="A3976" s="21" t="str">
        <f>IF(A3975="","",IF(A3975+1&gt;Ввод!$B$4,"",A3975+1))</f>
        <v/>
      </c>
      <c r="B3976" s="23" t="str">
        <f>IF(A3976="","",IFERROR(INDEX(Ввод!$B$12:$B$71,MATCH(A3976,Ввод!$D$12:$D$71,1)),""))</f>
        <v/>
      </c>
      <c r="C3976" t="str">
        <f t="shared" si="124"/>
        <v/>
      </c>
      <c r="D3976" t="str">
        <f>IF(A3976="","",SUMIFS(Акты!$D$5:$D$16,Акты!$E$5:$E$16,"&lt;="&amp;A3976)-SUMIFS(Оплаты!$B$6:$B$505,Оплаты!$A$6:$A$505,"&lt;"&amp;A3976,Оплаты!$D$6:$D$505,"&lt;&gt;"))</f>
        <v/>
      </c>
      <c r="E3976" t="str">
        <f>IF(A3976="","",IF(SUMPRODUCT((Ввод!$F$12:$F$31&lt;&gt;"")*(Ввод!$F$12:$F$31&lt;=A3976)*(Ввод!$G$12:$G$31&gt;=A3976))&gt;0,1,0))</f>
        <v/>
      </c>
      <c r="G3976" t="str">
        <f t="shared" si="125"/>
        <v/>
      </c>
    </row>
    <row r="3977" spans="1:7" x14ac:dyDescent="0.3">
      <c r="A3977" s="21" t="str">
        <f>IF(A3976="","",IF(A3976+1&gt;Ввод!$B$4,"",A3976+1))</f>
        <v/>
      </c>
      <c r="B3977" s="23" t="str">
        <f>IF(A3977="","",IFERROR(INDEX(Ввод!$B$12:$B$71,MATCH(A3977,Ввод!$D$12:$D$71,1)),""))</f>
        <v/>
      </c>
      <c r="C3977" t="str">
        <f t="shared" si="124"/>
        <v/>
      </c>
      <c r="D3977" t="str">
        <f>IF(A3977="","",SUMIFS(Акты!$D$5:$D$16,Акты!$E$5:$E$16,"&lt;="&amp;A3977)-SUMIFS(Оплаты!$B$6:$B$505,Оплаты!$A$6:$A$505,"&lt;"&amp;A3977,Оплаты!$D$6:$D$505,"&lt;&gt;"))</f>
        <v/>
      </c>
      <c r="E3977" t="str">
        <f>IF(A3977="","",IF(SUMPRODUCT((Ввод!$F$12:$F$31&lt;&gt;"")*(Ввод!$F$12:$F$31&lt;=A3977)*(Ввод!$G$12:$G$31&gt;=A3977))&gt;0,1,0))</f>
        <v/>
      </c>
      <c r="G3977" t="str">
        <f t="shared" si="125"/>
        <v/>
      </c>
    </row>
    <row r="3978" spans="1:7" x14ac:dyDescent="0.3">
      <c r="A3978" s="21" t="str">
        <f>IF(A3977="","",IF(A3977+1&gt;Ввод!$B$4,"",A3977+1))</f>
        <v/>
      </c>
      <c r="B3978" s="23" t="str">
        <f>IF(A3978="","",IFERROR(INDEX(Ввод!$B$12:$B$71,MATCH(A3978,Ввод!$D$12:$D$71,1)),""))</f>
        <v/>
      </c>
      <c r="C3978" t="str">
        <f t="shared" si="124"/>
        <v/>
      </c>
      <c r="D3978" t="str">
        <f>IF(A3978="","",SUMIFS(Акты!$D$5:$D$16,Акты!$E$5:$E$16,"&lt;="&amp;A3978)-SUMIFS(Оплаты!$B$6:$B$505,Оплаты!$A$6:$A$505,"&lt;"&amp;A3978,Оплаты!$D$6:$D$505,"&lt;&gt;"))</f>
        <v/>
      </c>
      <c r="E3978" t="str">
        <f>IF(A3978="","",IF(SUMPRODUCT((Ввод!$F$12:$F$31&lt;&gt;"")*(Ввод!$F$12:$F$31&lt;=A3978)*(Ввод!$G$12:$G$31&gt;=A3978))&gt;0,1,0))</f>
        <v/>
      </c>
      <c r="G3978" t="str">
        <f t="shared" si="125"/>
        <v/>
      </c>
    </row>
    <row r="3979" spans="1:7" x14ac:dyDescent="0.3">
      <c r="A3979" s="21" t="str">
        <f>IF(A3978="","",IF(A3978+1&gt;Ввод!$B$4,"",A3978+1))</f>
        <v/>
      </c>
      <c r="B3979" s="23" t="str">
        <f>IF(A3979="","",IFERROR(INDEX(Ввод!$B$12:$B$71,MATCH(A3979,Ввод!$D$12:$D$71,1)),""))</f>
        <v/>
      </c>
      <c r="C3979" t="str">
        <f t="shared" si="124"/>
        <v/>
      </c>
      <c r="D3979" t="str">
        <f>IF(A3979="","",SUMIFS(Акты!$D$5:$D$16,Акты!$E$5:$E$16,"&lt;="&amp;A3979)-SUMIFS(Оплаты!$B$6:$B$505,Оплаты!$A$6:$A$505,"&lt;"&amp;A3979,Оплаты!$D$6:$D$505,"&lt;&gt;"))</f>
        <v/>
      </c>
      <c r="E3979" t="str">
        <f>IF(A3979="","",IF(SUMPRODUCT((Ввод!$F$12:$F$31&lt;&gt;"")*(Ввод!$F$12:$F$31&lt;=A3979)*(Ввод!$G$12:$G$31&gt;=A3979))&gt;0,1,0))</f>
        <v/>
      </c>
      <c r="G3979" t="str">
        <f t="shared" si="125"/>
        <v/>
      </c>
    </row>
    <row r="3980" spans="1:7" x14ac:dyDescent="0.3">
      <c r="A3980" s="21" t="str">
        <f>IF(A3979="","",IF(A3979+1&gt;Ввод!$B$4,"",A3979+1))</f>
        <v/>
      </c>
      <c r="B3980" s="23" t="str">
        <f>IF(A3980="","",IFERROR(INDEX(Ввод!$B$12:$B$71,MATCH(A3980,Ввод!$D$12:$D$71,1)),""))</f>
        <v/>
      </c>
      <c r="C3980" t="str">
        <f t="shared" si="124"/>
        <v/>
      </c>
      <c r="D3980" t="str">
        <f>IF(A3980="","",SUMIFS(Акты!$D$5:$D$16,Акты!$E$5:$E$16,"&lt;="&amp;A3980)-SUMIFS(Оплаты!$B$6:$B$505,Оплаты!$A$6:$A$505,"&lt;"&amp;A3980,Оплаты!$D$6:$D$505,"&lt;&gt;"))</f>
        <v/>
      </c>
      <c r="E3980" t="str">
        <f>IF(A3980="","",IF(SUMPRODUCT((Ввод!$F$12:$F$31&lt;&gt;"")*(Ввод!$F$12:$F$31&lt;=A3980)*(Ввод!$G$12:$G$31&gt;=A3980))&gt;0,1,0))</f>
        <v/>
      </c>
      <c r="G3980" t="str">
        <f t="shared" si="125"/>
        <v/>
      </c>
    </row>
    <row r="3981" spans="1:7" x14ac:dyDescent="0.3">
      <c r="A3981" s="21" t="str">
        <f>IF(A3980="","",IF(A3980+1&gt;Ввод!$B$4,"",A3980+1))</f>
        <v/>
      </c>
      <c r="B3981" s="23" t="str">
        <f>IF(A3981="","",IFERROR(INDEX(Ввод!$B$12:$B$71,MATCH(A3981,Ввод!$D$12:$D$71,1)),""))</f>
        <v/>
      </c>
      <c r="C3981" t="str">
        <f t="shared" si="124"/>
        <v/>
      </c>
      <c r="D3981" t="str">
        <f>IF(A3981="","",SUMIFS(Акты!$D$5:$D$16,Акты!$E$5:$E$16,"&lt;="&amp;A3981)-SUMIFS(Оплаты!$B$6:$B$505,Оплаты!$A$6:$A$505,"&lt;"&amp;A3981,Оплаты!$D$6:$D$505,"&lt;&gt;"))</f>
        <v/>
      </c>
      <c r="E3981" t="str">
        <f>IF(A3981="","",IF(SUMPRODUCT((Ввод!$F$12:$F$31&lt;&gt;"")*(Ввод!$F$12:$F$31&lt;=A3981)*(Ввод!$G$12:$G$31&gt;=A3981))&gt;0,1,0))</f>
        <v/>
      </c>
      <c r="G3981" t="str">
        <f t="shared" si="125"/>
        <v/>
      </c>
    </row>
    <row r="3982" spans="1:7" x14ac:dyDescent="0.3">
      <c r="A3982" s="21" t="str">
        <f>IF(A3981="","",IF(A3981+1&gt;Ввод!$B$4,"",A3981+1))</f>
        <v/>
      </c>
      <c r="B3982" s="23" t="str">
        <f>IF(A3982="","",IFERROR(INDEX(Ввод!$B$12:$B$71,MATCH(A3982,Ввод!$D$12:$D$71,1)),""))</f>
        <v/>
      </c>
      <c r="C3982" t="str">
        <f t="shared" si="124"/>
        <v/>
      </c>
      <c r="D3982" t="str">
        <f>IF(A3982="","",SUMIFS(Акты!$D$5:$D$16,Акты!$E$5:$E$16,"&lt;="&amp;A3982)-SUMIFS(Оплаты!$B$6:$B$505,Оплаты!$A$6:$A$505,"&lt;"&amp;A3982,Оплаты!$D$6:$D$505,"&lt;&gt;"))</f>
        <v/>
      </c>
      <c r="E3982" t="str">
        <f>IF(A3982="","",IF(SUMPRODUCT((Ввод!$F$12:$F$31&lt;&gt;"")*(Ввод!$F$12:$F$31&lt;=A3982)*(Ввод!$G$12:$G$31&gt;=A3982))&gt;0,1,0))</f>
        <v/>
      </c>
      <c r="G3982" t="str">
        <f t="shared" si="125"/>
        <v/>
      </c>
    </row>
    <row r="3983" spans="1:7" x14ac:dyDescent="0.3">
      <c r="A3983" s="21" t="str">
        <f>IF(A3982="","",IF(A3982+1&gt;Ввод!$B$4,"",A3982+1))</f>
        <v/>
      </c>
      <c r="B3983" s="23" t="str">
        <f>IF(A3983="","",IFERROR(INDEX(Ввод!$B$12:$B$71,MATCH(A3983,Ввод!$D$12:$D$71,1)),""))</f>
        <v/>
      </c>
      <c r="C3983" t="str">
        <f t="shared" si="124"/>
        <v/>
      </c>
      <c r="D3983" t="str">
        <f>IF(A3983="","",SUMIFS(Акты!$D$5:$D$16,Акты!$E$5:$E$16,"&lt;="&amp;A3983)-SUMIFS(Оплаты!$B$6:$B$505,Оплаты!$A$6:$A$505,"&lt;"&amp;A3983,Оплаты!$D$6:$D$505,"&lt;&gt;"))</f>
        <v/>
      </c>
      <c r="E3983" t="str">
        <f>IF(A3983="","",IF(SUMPRODUCT((Ввод!$F$12:$F$31&lt;&gt;"")*(Ввод!$F$12:$F$31&lt;=A3983)*(Ввод!$G$12:$G$31&gt;=A3983))&gt;0,1,0))</f>
        <v/>
      </c>
      <c r="G3983" t="str">
        <f t="shared" si="125"/>
        <v/>
      </c>
    </row>
    <row r="3984" spans="1:7" x14ac:dyDescent="0.3">
      <c r="A3984" s="21" t="str">
        <f>IF(A3983="","",IF(A3983+1&gt;Ввод!$B$4,"",A3983+1))</f>
        <v/>
      </c>
      <c r="B3984" s="23" t="str">
        <f>IF(A3984="","",IFERROR(INDEX(Ввод!$B$12:$B$71,MATCH(A3984,Ввод!$D$12:$D$71,1)),""))</f>
        <v/>
      </c>
      <c r="C3984" t="str">
        <f t="shared" si="124"/>
        <v/>
      </c>
      <c r="D3984" t="str">
        <f>IF(A3984="","",SUMIFS(Акты!$D$5:$D$16,Акты!$E$5:$E$16,"&lt;="&amp;A3984)-SUMIFS(Оплаты!$B$6:$B$505,Оплаты!$A$6:$A$505,"&lt;"&amp;A3984,Оплаты!$D$6:$D$505,"&lt;&gt;"))</f>
        <v/>
      </c>
      <c r="E3984" t="str">
        <f>IF(A3984="","",IF(SUMPRODUCT((Ввод!$F$12:$F$31&lt;&gt;"")*(Ввод!$F$12:$F$31&lt;=A3984)*(Ввод!$G$12:$G$31&gt;=A3984))&gt;0,1,0))</f>
        <v/>
      </c>
      <c r="G3984" t="str">
        <f t="shared" si="125"/>
        <v/>
      </c>
    </row>
    <row r="3985" spans="1:7" x14ac:dyDescent="0.3">
      <c r="A3985" s="21" t="str">
        <f>IF(A3984="","",IF(A3984+1&gt;Ввод!$B$4,"",A3984+1))</f>
        <v/>
      </c>
      <c r="B3985" s="23" t="str">
        <f>IF(A3985="","",IFERROR(INDEX(Ввод!$B$12:$B$71,MATCH(A3985,Ввод!$D$12:$D$71,1)),""))</f>
        <v/>
      </c>
      <c r="C3985" t="str">
        <f t="shared" si="124"/>
        <v/>
      </c>
      <c r="D3985" t="str">
        <f>IF(A3985="","",SUMIFS(Акты!$D$5:$D$16,Акты!$E$5:$E$16,"&lt;="&amp;A3985)-SUMIFS(Оплаты!$B$6:$B$505,Оплаты!$A$6:$A$505,"&lt;"&amp;A3985,Оплаты!$D$6:$D$505,"&lt;&gt;"))</f>
        <v/>
      </c>
      <c r="E3985" t="str">
        <f>IF(A3985="","",IF(SUMPRODUCT((Ввод!$F$12:$F$31&lt;&gt;"")*(Ввод!$F$12:$F$31&lt;=A3985)*(Ввод!$G$12:$G$31&gt;=A3985))&gt;0,1,0))</f>
        <v/>
      </c>
      <c r="G3985" t="str">
        <f t="shared" si="125"/>
        <v/>
      </c>
    </row>
    <row r="3986" spans="1:7" x14ac:dyDescent="0.3">
      <c r="A3986" s="21" t="str">
        <f>IF(A3985="","",IF(A3985+1&gt;Ввод!$B$4,"",A3985+1))</f>
        <v/>
      </c>
      <c r="B3986" s="23" t="str">
        <f>IF(A3986="","",IFERROR(INDEX(Ввод!$B$12:$B$71,MATCH(A3986,Ввод!$D$12:$D$71,1)),""))</f>
        <v/>
      </c>
      <c r="C3986" t="str">
        <f t="shared" si="124"/>
        <v/>
      </c>
      <c r="D3986" t="str">
        <f>IF(A3986="","",SUMIFS(Акты!$D$5:$D$16,Акты!$E$5:$E$16,"&lt;="&amp;A3986)-SUMIFS(Оплаты!$B$6:$B$505,Оплаты!$A$6:$A$505,"&lt;"&amp;A3986,Оплаты!$D$6:$D$505,"&lt;&gt;"))</f>
        <v/>
      </c>
      <c r="E3986" t="str">
        <f>IF(A3986="","",IF(SUMPRODUCT((Ввод!$F$12:$F$31&lt;&gt;"")*(Ввод!$F$12:$F$31&lt;=A3986)*(Ввод!$G$12:$G$31&gt;=A3986))&gt;0,1,0))</f>
        <v/>
      </c>
      <c r="G3986" t="str">
        <f t="shared" si="125"/>
        <v/>
      </c>
    </row>
    <row r="3987" spans="1:7" x14ac:dyDescent="0.3">
      <c r="A3987" s="21" t="str">
        <f>IF(A3986="","",IF(A3986+1&gt;Ввод!$B$4,"",A3986+1))</f>
        <v/>
      </c>
      <c r="B3987" s="23" t="str">
        <f>IF(A3987="","",IFERROR(INDEX(Ввод!$B$12:$B$71,MATCH(A3987,Ввод!$D$12:$D$71,1)),""))</f>
        <v/>
      </c>
      <c r="C3987" t="str">
        <f t="shared" si="124"/>
        <v/>
      </c>
      <c r="D3987" t="str">
        <f>IF(A3987="","",SUMIFS(Акты!$D$5:$D$16,Акты!$E$5:$E$16,"&lt;="&amp;A3987)-SUMIFS(Оплаты!$B$6:$B$505,Оплаты!$A$6:$A$505,"&lt;"&amp;A3987,Оплаты!$D$6:$D$505,"&lt;&gt;"))</f>
        <v/>
      </c>
      <c r="E3987" t="str">
        <f>IF(A3987="","",IF(SUMPRODUCT((Ввод!$F$12:$F$31&lt;&gt;"")*(Ввод!$F$12:$F$31&lt;=A3987)*(Ввод!$G$12:$G$31&gt;=A3987))&gt;0,1,0))</f>
        <v/>
      </c>
      <c r="G3987" t="str">
        <f t="shared" si="125"/>
        <v/>
      </c>
    </row>
    <row r="3988" spans="1:7" x14ac:dyDescent="0.3">
      <c r="A3988" s="21" t="str">
        <f>IF(A3987="","",IF(A3987+1&gt;Ввод!$B$4,"",A3987+1))</f>
        <v/>
      </c>
      <c r="B3988" s="23" t="str">
        <f>IF(A3988="","",IFERROR(INDEX(Ввод!$B$12:$B$71,MATCH(A3988,Ввод!$D$12:$D$71,1)),""))</f>
        <v/>
      </c>
      <c r="C3988" t="str">
        <f t="shared" si="124"/>
        <v/>
      </c>
      <c r="D3988" t="str">
        <f>IF(A3988="","",SUMIFS(Акты!$D$5:$D$16,Акты!$E$5:$E$16,"&lt;="&amp;A3988)-SUMIFS(Оплаты!$B$6:$B$505,Оплаты!$A$6:$A$505,"&lt;"&amp;A3988,Оплаты!$D$6:$D$505,"&lt;&gt;"))</f>
        <v/>
      </c>
      <c r="E3988" t="str">
        <f>IF(A3988="","",IF(SUMPRODUCT((Ввод!$F$12:$F$31&lt;&gt;"")*(Ввод!$F$12:$F$31&lt;=A3988)*(Ввод!$G$12:$G$31&gt;=A3988))&gt;0,1,0))</f>
        <v/>
      </c>
      <c r="G3988" t="str">
        <f t="shared" si="125"/>
        <v/>
      </c>
    </row>
    <row r="3989" spans="1:7" x14ac:dyDescent="0.3">
      <c r="A3989" s="21" t="str">
        <f>IF(A3988="","",IF(A3988+1&gt;Ввод!$B$4,"",A3988+1))</f>
        <v/>
      </c>
      <c r="B3989" s="23" t="str">
        <f>IF(A3989="","",IFERROR(INDEX(Ввод!$B$12:$B$71,MATCH(A3989,Ввод!$D$12:$D$71,1)),""))</f>
        <v/>
      </c>
      <c r="C3989" t="str">
        <f t="shared" si="124"/>
        <v/>
      </c>
      <c r="D3989" t="str">
        <f>IF(A3989="","",SUMIFS(Акты!$D$5:$D$16,Акты!$E$5:$E$16,"&lt;="&amp;A3989)-SUMIFS(Оплаты!$B$6:$B$505,Оплаты!$A$6:$A$505,"&lt;"&amp;A3989,Оплаты!$D$6:$D$505,"&lt;&gt;"))</f>
        <v/>
      </c>
      <c r="E3989" t="str">
        <f>IF(A3989="","",IF(SUMPRODUCT((Ввод!$F$12:$F$31&lt;&gt;"")*(Ввод!$F$12:$F$31&lt;=A3989)*(Ввод!$G$12:$G$31&gt;=A3989))&gt;0,1,0))</f>
        <v/>
      </c>
      <c r="G3989" t="str">
        <f t="shared" si="125"/>
        <v/>
      </c>
    </row>
    <row r="3990" spans="1:7" x14ac:dyDescent="0.3">
      <c r="A3990" s="21" t="str">
        <f>IF(A3989="","",IF(A3989+1&gt;Ввод!$B$4,"",A3989+1))</f>
        <v/>
      </c>
      <c r="B3990" s="23" t="str">
        <f>IF(A3990="","",IFERROR(INDEX(Ввод!$B$12:$B$71,MATCH(A3990,Ввод!$D$12:$D$71,1)),""))</f>
        <v/>
      </c>
      <c r="C3990" t="str">
        <f t="shared" si="124"/>
        <v/>
      </c>
      <c r="D3990" t="str">
        <f>IF(A3990="","",SUMIFS(Акты!$D$5:$D$16,Акты!$E$5:$E$16,"&lt;="&amp;A3990)-SUMIFS(Оплаты!$B$6:$B$505,Оплаты!$A$6:$A$505,"&lt;"&amp;A3990,Оплаты!$D$6:$D$505,"&lt;&gt;"))</f>
        <v/>
      </c>
      <c r="E3990" t="str">
        <f>IF(A3990="","",IF(SUMPRODUCT((Ввод!$F$12:$F$31&lt;&gt;"")*(Ввод!$F$12:$F$31&lt;=A3990)*(Ввод!$G$12:$G$31&gt;=A3990))&gt;0,1,0))</f>
        <v/>
      </c>
      <c r="G3990" t="str">
        <f t="shared" si="125"/>
        <v/>
      </c>
    </row>
    <row r="3991" spans="1:7" x14ac:dyDescent="0.3">
      <c r="A3991" s="21" t="str">
        <f>IF(A3990="","",IF(A3990+1&gt;Ввод!$B$4,"",A3990+1))</f>
        <v/>
      </c>
      <c r="B3991" s="23" t="str">
        <f>IF(A3991="","",IFERROR(INDEX(Ввод!$B$12:$B$71,MATCH(A3991,Ввод!$D$12:$D$71,1)),""))</f>
        <v/>
      </c>
      <c r="C3991" t="str">
        <f t="shared" si="124"/>
        <v/>
      </c>
      <c r="D3991" t="str">
        <f>IF(A3991="","",SUMIFS(Акты!$D$5:$D$16,Акты!$E$5:$E$16,"&lt;="&amp;A3991)-SUMIFS(Оплаты!$B$6:$B$505,Оплаты!$A$6:$A$505,"&lt;"&amp;A3991,Оплаты!$D$6:$D$505,"&lt;&gt;"))</f>
        <v/>
      </c>
      <c r="E3991" t="str">
        <f>IF(A3991="","",IF(SUMPRODUCT((Ввод!$F$12:$F$31&lt;&gt;"")*(Ввод!$F$12:$F$31&lt;=A3991)*(Ввод!$G$12:$G$31&gt;=A3991))&gt;0,1,0))</f>
        <v/>
      </c>
      <c r="G3991" t="str">
        <f t="shared" si="125"/>
        <v/>
      </c>
    </row>
    <row r="3992" spans="1:7" x14ac:dyDescent="0.3">
      <c r="A3992" s="21" t="str">
        <f>IF(A3991="","",IF(A3991+1&gt;Ввод!$B$4,"",A3991+1))</f>
        <v/>
      </c>
      <c r="B3992" s="23" t="str">
        <f>IF(A3992="","",IFERROR(INDEX(Ввод!$B$12:$B$71,MATCH(A3992,Ввод!$D$12:$D$71,1)),""))</f>
        <v/>
      </c>
      <c r="C3992" t="str">
        <f t="shared" si="124"/>
        <v/>
      </c>
      <c r="D3992" t="str">
        <f>IF(A3992="","",SUMIFS(Акты!$D$5:$D$16,Акты!$E$5:$E$16,"&lt;="&amp;A3992)-SUMIFS(Оплаты!$B$6:$B$505,Оплаты!$A$6:$A$505,"&lt;"&amp;A3992,Оплаты!$D$6:$D$505,"&lt;&gt;"))</f>
        <v/>
      </c>
      <c r="E3992" t="str">
        <f>IF(A3992="","",IF(SUMPRODUCT((Ввод!$F$12:$F$31&lt;&gt;"")*(Ввод!$F$12:$F$31&lt;=A3992)*(Ввод!$G$12:$G$31&gt;=A3992))&gt;0,1,0))</f>
        <v/>
      </c>
      <c r="G3992" t="str">
        <f t="shared" si="125"/>
        <v/>
      </c>
    </row>
    <row r="3993" spans="1:7" x14ac:dyDescent="0.3">
      <c r="A3993" s="21" t="str">
        <f>IF(A3992="","",IF(A3992+1&gt;Ввод!$B$4,"",A3992+1))</f>
        <v/>
      </c>
      <c r="B3993" s="23" t="str">
        <f>IF(A3993="","",IFERROR(INDEX(Ввод!$B$12:$B$71,MATCH(A3993,Ввод!$D$12:$D$71,1)),""))</f>
        <v/>
      </c>
      <c r="C3993" t="str">
        <f t="shared" si="124"/>
        <v/>
      </c>
      <c r="D3993" t="str">
        <f>IF(A3993="","",SUMIFS(Акты!$D$5:$D$16,Акты!$E$5:$E$16,"&lt;="&amp;A3993)-SUMIFS(Оплаты!$B$6:$B$505,Оплаты!$A$6:$A$505,"&lt;"&amp;A3993,Оплаты!$D$6:$D$505,"&lt;&gt;"))</f>
        <v/>
      </c>
      <c r="E3993" t="str">
        <f>IF(A3993="","",IF(SUMPRODUCT((Ввод!$F$12:$F$31&lt;&gt;"")*(Ввод!$F$12:$F$31&lt;=A3993)*(Ввод!$G$12:$G$31&gt;=A3993))&gt;0,1,0))</f>
        <v/>
      </c>
      <c r="G3993" t="str">
        <f t="shared" si="125"/>
        <v/>
      </c>
    </row>
    <row r="3994" spans="1:7" x14ac:dyDescent="0.3">
      <c r="A3994" s="21" t="str">
        <f>IF(A3993="","",IF(A3993+1&gt;Ввод!$B$4,"",A3993+1))</f>
        <v/>
      </c>
      <c r="B3994" s="23" t="str">
        <f>IF(A3994="","",IFERROR(INDEX(Ввод!$B$12:$B$71,MATCH(A3994,Ввод!$D$12:$D$71,1)),""))</f>
        <v/>
      </c>
      <c r="C3994" t="str">
        <f t="shared" si="124"/>
        <v/>
      </c>
      <c r="D3994" t="str">
        <f>IF(A3994="","",SUMIFS(Акты!$D$5:$D$16,Акты!$E$5:$E$16,"&lt;="&amp;A3994)-SUMIFS(Оплаты!$B$6:$B$505,Оплаты!$A$6:$A$505,"&lt;"&amp;A3994,Оплаты!$D$6:$D$505,"&lt;&gt;"))</f>
        <v/>
      </c>
      <c r="E3994" t="str">
        <f>IF(A3994="","",IF(SUMPRODUCT((Ввод!$F$12:$F$31&lt;&gt;"")*(Ввод!$F$12:$F$31&lt;=A3994)*(Ввод!$G$12:$G$31&gt;=A3994))&gt;0,1,0))</f>
        <v/>
      </c>
      <c r="G3994" t="str">
        <f t="shared" si="125"/>
        <v/>
      </c>
    </row>
    <row r="3995" spans="1:7" x14ac:dyDescent="0.3">
      <c r="A3995" s="21" t="str">
        <f>IF(A3994="","",IF(A3994+1&gt;Ввод!$B$4,"",A3994+1))</f>
        <v/>
      </c>
      <c r="B3995" s="23" t="str">
        <f>IF(A3995="","",IFERROR(INDEX(Ввод!$B$12:$B$71,MATCH(A3995,Ввод!$D$12:$D$71,1)),""))</f>
        <v/>
      </c>
      <c r="C3995" t="str">
        <f t="shared" si="124"/>
        <v/>
      </c>
      <c r="D3995" t="str">
        <f>IF(A3995="","",SUMIFS(Акты!$D$5:$D$16,Акты!$E$5:$E$16,"&lt;="&amp;A3995)-SUMIFS(Оплаты!$B$6:$B$505,Оплаты!$A$6:$A$505,"&lt;"&amp;A3995,Оплаты!$D$6:$D$505,"&lt;&gt;"))</f>
        <v/>
      </c>
      <c r="E3995" t="str">
        <f>IF(A3995="","",IF(SUMPRODUCT((Ввод!$F$12:$F$31&lt;&gt;"")*(Ввод!$F$12:$F$31&lt;=A3995)*(Ввод!$G$12:$G$31&gt;=A3995))&gt;0,1,0))</f>
        <v/>
      </c>
      <c r="G3995" t="str">
        <f t="shared" si="125"/>
        <v/>
      </c>
    </row>
    <row r="3996" spans="1:7" x14ac:dyDescent="0.3">
      <c r="A3996" s="21" t="str">
        <f>IF(A3995="","",IF(A3995+1&gt;Ввод!$B$4,"",A3995+1))</f>
        <v/>
      </c>
      <c r="B3996" s="23" t="str">
        <f>IF(A3996="","",IFERROR(INDEX(Ввод!$B$12:$B$71,MATCH(A3996,Ввод!$D$12:$D$71,1)),""))</f>
        <v/>
      </c>
      <c r="C3996" t="str">
        <f t="shared" si="124"/>
        <v/>
      </c>
      <c r="D3996" t="str">
        <f>IF(A3996="","",SUMIFS(Акты!$D$5:$D$16,Акты!$E$5:$E$16,"&lt;="&amp;A3996)-SUMIFS(Оплаты!$B$6:$B$505,Оплаты!$A$6:$A$505,"&lt;"&amp;A3996,Оплаты!$D$6:$D$505,"&lt;&gt;"))</f>
        <v/>
      </c>
      <c r="E3996" t="str">
        <f>IF(A3996="","",IF(SUMPRODUCT((Ввод!$F$12:$F$31&lt;&gt;"")*(Ввод!$F$12:$F$31&lt;=A3996)*(Ввод!$G$12:$G$31&gt;=A3996))&gt;0,1,0))</f>
        <v/>
      </c>
      <c r="G3996" t="str">
        <f t="shared" si="125"/>
        <v/>
      </c>
    </row>
    <row r="3997" spans="1:7" x14ac:dyDescent="0.3">
      <c r="A3997" s="21" t="str">
        <f>IF(A3996="","",IF(A3996+1&gt;Ввод!$B$4,"",A3996+1))</f>
        <v/>
      </c>
      <c r="B3997" s="23" t="str">
        <f>IF(A3997="","",IFERROR(INDEX(Ввод!$B$12:$B$71,MATCH(A3997,Ввод!$D$12:$D$71,1)),""))</f>
        <v/>
      </c>
      <c r="C3997" t="str">
        <f t="shared" si="124"/>
        <v/>
      </c>
      <c r="D3997" t="str">
        <f>IF(A3997="","",SUMIFS(Акты!$D$5:$D$16,Акты!$E$5:$E$16,"&lt;="&amp;A3997)-SUMIFS(Оплаты!$B$6:$B$505,Оплаты!$A$6:$A$505,"&lt;"&amp;A3997,Оплаты!$D$6:$D$505,"&lt;&gt;"))</f>
        <v/>
      </c>
      <c r="E3997" t="str">
        <f>IF(A3997="","",IF(SUMPRODUCT((Ввод!$F$12:$F$31&lt;&gt;"")*(Ввод!$F$12:$F$31&lt;=A3997)*(Ввод!$G$12:$G$31&gt;=A3997))&gt;0,1,0))</f>
        <v/>
      </c>
      <c r="G3997" t="str">
        <f t="shared" si="125"/>
        <v/>
      </c>
    </row>
    <row r="3998" spans="1:7" x14ac:dyDescent="0.3">
      <c r="A3998" s="21" t="str">
        <f>IF(A3997="","",IF(A3997+1&gt;Ввод!$B$4,"",A3997+1))</f>
        <v/>
      </c>
      <c r="B3998" s="23" t="str">
        <f>IF(A3998="","",IFERROR(INDEX(Ввод!$B$12:$B$71,MATCH(A3998,Ввод!$D$12:$D$71,1)),""))</f>
        <v/>
      </c>
      <c r="C3998" t="str">
        <f t="shared" si="124"/>
        <v/>
      </c>
      <c r="D3998" t="str">
        <f>IF(A3998="","",SUMIFS(Акты!$D$5:$D$16,Акты!$E$5:$E$16,"&lt;="&amp;A3998)-SUMIFS(Оплаты!$B$6:$B$505,Оплаты!$A$6:$A$505,"&lt;"&amp;A3998,Оплаты!$D$6:$D$505,"&lt;&gt;"))</f>
        <v/>
      </c>
      <c r="E3998" t="str">
        <f>IF(A3998="","",IF(SUMPRODUCT((Ввод!$F$12:$F$31&lt;&gt;"")*(Ввод!$F$12:$F$31&lt;=A3998)*(Ввод!$G$12:$G$31&gt;=A3998))&gt;0,1,0))</f>
        <v/>
      </c>
      <c r="G3998" t="str">
        <f t="shared" si="125"/>
        <v/>
      </c>
    </row>
    <row r="3999" spans="1:7" x14ac:dyDescent="0.3">
      <c r="A3999" s="21" t="str">
        <f>IF(A3998="","",IF(A3998+1&gt;Ввод!$B$4,"",A3998+1))</f>
        <v/>
      </c>
      <c r="B3999" s="23" t="str">
        <f>IF(A3999="","",IFERROR(INDEX(Ввод!$B$12:$B$71,MATCH(A3999,Ввод!$D$12:$D$71,1)),""))</f>
        <v/>
      </c>
      <c r="C3999" t="str">
        <f t="shared" si="124"/>
        <v/>
      </c>
      <c r="D3999" t="str">
        <f>IF(A3999="","",SUMIFS(Акты!$D$5:$D$16,Акты!$E$5:$E$16,"&lt;="&amp;A3999)-SUMIFS(Оплаты!$B$6:$B$505,Оплаты!$A$6:$A$505,"&lt;"&amp;A3999,Оплаты!$D$6:$D$505,"&lt;&gt;"))</f>
        <v/>
      </c>
      <c r="E3999" t="str">
        <f>IF(A3999="","",IF(SUMPRODUCT((Ввод!$F$12:$F$31&lt;&gt;"")*(Ввод!$F$12:$F$31&lt;=A3999)*(Ввод!$G$12:$G$31&gt;=A3999))&gt;0,1,0))</f>
        <v/>
      </c>
      <c r="G3999" t="str">
        <f t="shared" si="125"/>
        <v/>
      </c>
    </row>
    <row r="4000" spans="1:7" x14ac:dyDescent="0.3">
      <c r="A4000" s="21" t="str">
        <f>IF(A3999="","",IF(A3999+1&gt;Ввод!$B$4,"",A3999+1))</f>
        <v/>
      </c>
      <c r="B4000" s="23" t="str">
        <f>IF(A4000="","",IFERROR(INDEX(Ввод!$B$12:$B$71,MATCH(A4000,Ввод!$D$12:$D$71,1)),""))</f>
        <v/>
      </c>
      <c r="C4000" t="str">
        <f t="shared" si="124"/>
        <v/>
      </c>
      <c r="D4000" t="str">
        <f>IF(A4000="","",SUMIFS(Акты!$D$5:$D$16,Акты!$E$5:$E$16,"&lt;="&amp;A4000)-SUMIFS(Оплаты!$B$6:$B$505,Оплаты!$A$6:$A$505,"&lt;"&amp;A4000,Оплаты!$D$6:$D$505,"&lt;&gt;"))</f>
        <v/>
      </c>
      <c r="E4000" t="str">
        <f>IF(A4000="","",IF(SUMPRODUCT((Ввод!$F$12:$F$31&lt;&gt;"")*(Ввод!$F$12:$F$31&lt;=A4000)*(Ввод!$G$12:$G$31&gt;=A4000))&gt;0,1,0))</f>
        <v/>
      </c>
      <c r="G4000" t="str">
        <f t="shared" si="125"/>
        <v/>
      </c>
    </row>
  </sheetData>
  <mergeCells count="1">
    <mergeCell ref="I1:N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Как пользоваться</vt:lpstr>
      <vt:lpstr>Акты</vt:lpstr>
      <vt:lpstr>Ввод</vt:lpstr>
      <vt:lpstr>Оплаты</vt:lpstr>
      <vt:lpstr>Расчёт</vt:lpstr>
      <vt:lpstr>Проверки</vt:lpstr>
      <vt:lpstr>Интервалы</vt:lpstr>
      <vt:lpstr>По дням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2026-10-05T06:02:11Z</dcterms:modified>
</cp:coreProperties>
</file>