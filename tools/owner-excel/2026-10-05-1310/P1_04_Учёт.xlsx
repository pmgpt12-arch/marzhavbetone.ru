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BushlanovDM\Downloads\Excel_check_2026-10-05_1223\"/>
    </mc:Choice>
  </mc:AlternateContent>
  <xr:revisionPtr revIDLastSave="0" documentId="13_ncr:1_{0476B932-E4C3-4E91-A983-3BC1882E86B8}" xr6:coauthVersionLast="36" xr6:coauthVersionMax="36" xr10:uidLastSave="{00000000-0000-0000-0000-000000000000}"/>
  <bookViews>
    <workbookView xWindow="0" yWindow="0" windowWidth="23040" windowHeight="9060" activeTab="4" xr2:uid="{00000000-000D-0000-FFFF-FFFF00000000}"/>
  </bookViews>
  <sheets>
    <sheet name="Взаиморасчёты" sheetId="1" r:id="rId1"/>
    <sheet name="Долг по актам" sheetId="2" r:id="rId2"/>
    <sheet name="Акт сверки" sheetId="3" r:id="rId3"/>
    <sheet name="Реестр передачи" sheetId="4" r:id="rId4"/>
    <sheet name="Реестр приложений" sheetId="5" r:id="rId5"/>
  </sheets>
  <definedNames>
    <definedName name="_xlnm.Print_Titles" localSheetId="2">'Акт сверки'!$12:$12</definedName>
    <definedName name="_xlnm.Print_Area" localSheetId="2">'Акт сверки'!$A$1:$J$51</definedName>
  </definedNames>
  <calcPr calcId="191029"/>
</workbook>
</file>

<file path=xl/calcChain.xml><?xml version="1.0" encoding="utf-8"?>
<calcChain xmlns="http://schemas.openxmlformats.org/spreadsheetml/2006/main">
  <c r="I56" i="5" l="1"/>
  <c r="K304" i="4"/>
  <c r="K303" i="4"/>
  <c r="K302" i="4"/>
  <c r="K301" i="4"/>
  <c r="K300" i="4"/>
  <c r="K299" i="4"/>
  <c r="K298" i="4"/>
  <c r="K297" i="4"/>
  <c r="K296" i="4"/>
  <c r="K295" i="4"/>
  <c r="K294" i="4"/>
  <c r="K293" i="4"/>
  <c r="K292" i="4"/>
  <c r="K291" i="4"/>
  <c r="K290" i="4"/>
  <c r="K289" i="4"/>
  <c r="K288" i="4"/>
  <c r="K287" i="4"/>
  <c r="K286" i="4"/>
  <c r="K285" i="4"/>
  <c r="K284" i="4"/>
  <c r="K283" i="4"/>
  <c r="K282" i="4"/>
  <c r="K281" i="4"/>
  <c r="K280" i="4"/>
  <c r="K279" i="4"/>
  <c r="K278" i="4"/>
  <c r="K277" i="4"/>
  <c r="K276" i="4"/>
  <c r="K275" i="4"/>
  <c r="K274" i="4"/>
  <c r="K273" i="4"/>
  <c r="K272" i="4"/>
  <c r="K271" i="4"/>
  <c r="K270" i="4"/>
  <c r="K269" i="4"/>
  <c r="K268" i="4"/>
  <c r="K267" i="4"/>
  <c r="K266" i="4"/>
  <c r="K265" i="4"/>
  <c r="K264" i="4"/>
  <c r="K263" i="4"/>
  <c r="K262" i="4"/>
  <c r="K261" i="4"/>
  <c r="K260" i="4"/>
  <c r="K259" i="4"/>
  <c r="K258" i="4"/>
  <c r="K257" i="4"/>
  <c r="K256" i="4"/>
  <c r="K255" i="4"/>
  <c r="K254" i="4"/>
  <c r="K253" i="4"/>
  <c r="K252" i="4"/>
  <c r="K251" i="4"/>
  <c r="K250" i="4"/>
  <c r="K249" i="4"/>
  <c r="K248" i="4"/>
  <c r="K247" i="4"/>
  <c r="K246" i="4"/>
  <c r="K245" i="4"/>
  <c r="K244" i="4"/>
  <c r="K243" i="4"/>
  <c r="K242" i="4"/>
  <c r="K241" i="4"/>
  <c r="K240" i="4"/>
  <c r="K239" i="4"/>
  <c r="K238" i="4"/>
  <c r="K237" i="4"/>
  <c r="K236" i="4"/>
  <c r="K235" i="4"/>
  <c r="K234" i="4"/>
  <c r="K233" i="4"/>
  <c r="K232" i="4"/>
  <c r="K231" i="4"/>
  <c r="K230" i="4"/>
  <c r="K229" i="4"/>
  <c r="K228" i="4"/>
  <c r="K227" i="4"/>
  <c r="K226" i="4"/>
  <c r="K225" i="4"/>
  <c r="K224" i="4"/>
  <c r="K223" i="4"/>
  <c r="K222" i="4"/>
  <c r="K221" i="4"/>
  <c r="K220" i="4"/>
  <c r="K219" i="4"/>
  <c r="K218" i="4"/>
  <c r="K217" i="4"/>
  <c r="K216" i="4"/>
  <c r="K215" i="4"/>
  <c r="K214" i="4"/>
  <c r="K213" i="4"/>
  <c r="K212" i="4"/>
  <c r="K211" i="4"/>
  <c r="K210" i="4"/>
  <c r="K209" i="4"/>
  <c r="K208" i="4"/>
  <c r="K207" i="4"/>
  <c r="K206" i="4"/>
  <c r="K205" i="4"/>
  <c r="K204" i="4"/>
  <c r="K203" i="4"/>
  <c r="K202" i="4"/>
  <c r="K201" i="4"/>
  <c r="K200" i="4"/>
  <c r="K199" i="4"/>
  <c r="K198" i="4"/>
  <c r="K197" i="4"/>
  <c r="K196" i="4"/>
  <c r="K195" i="4"/>
  <c r="K194" i="4"/>
  <c r="K193" i="4"/>
  <c r="K192" i="4"/>
  <c r="K191" i="4"/>
  <c r="K190" i="4"/>
  <c r="K189" i="4"/>
  <c r="K188" i="4"/>
  <c r="K187" i="4"/>
  <c r="K186" i="4"/>
  <c r="K185" i="4"/>
  <c r="K184" i="4"/>
  <c r="K183" i="4"/>
  <c r="K182" i="4"/>
  <c r="K181" i="4"/>
  <c r="K180" i="4"/>
  <c r="K179" i="4"/>
  <c r="K178" i="4"/>
  <c r="K177" i="4"/>
  <c r="K176" i="4"/>
  <c r="K175" i="4"/>
  <c r="K174" i="4"/>
  <c r="K173" i="4"/>
  <c r="K172" i="4"/>
  <c r="K171" i="4"/>
  <c r="K170" i="4"/>
  <c r="K169" i="4"/>
  <c r="K168" i="4"/>
  <c r="K167" i="4"/>
  <c r="K166" i="4"/>
  <c r="K165" i="4"/>
  <c r="K164" i="4"/>
  <c r="K163" i="4"/>
  <c r="K162" i="4"/>
  <c r="K161" i="4"/>
  <c r="K160" i="4"/>
  <c r="K159" i="4"/>
  <c r="K158" i="4"/>
  <c r="K157" i="4"/>
  <c r="K156" i="4"/>
  <c r="K155" i="4"/>
  <c r="K154" i="4"/>
  <c r="K153" i="4"/>
  <c r="K152" i="4"/>
  <c r="K151" i="4"/>
  <c r="K150" i="4"/>
  <c r="K149" i="4"/>
  <c r="K148" i="4"/>
  <c r="K147" i="4"/>
  <c r="K146" i="4"/>
  <c r="K145" i="4"/>
  <c r="K144" i="4"/>
  <c r="K143" i="4"/>
  <c r="K142" i="4"/>
  <c r="K141" i="4"/>
  <c r="K140" i="4"/>
  <c r="K139" i="4"/>
  <c r="K138" i="4"/>
  <c r="K137" i="4"/>
  <c r="K136" i="4"/>
  <c r="K135" i="4"/>
  <c r="K134" i="4"/>
  <c r="K133" i="4"/>
  <c r="K132" i="4"/>
  <c r="K131" i="4"/>
  <c r="K130" i="4"/>
  <c r="K129" i="4"/>
  <c r="K128" i="4"/>
  <c r="K127" i="4"/>
  <c r="K126" i="4"/>
  <c r="K125" i="4"/>
  <c r="K124" i="4"/>
  <c r="K123" i="4"/>
  <c r="K122" i="4"/>
  <c r="K121" i="4"/>
  <c r="K120" i="4"/>
  <c r="K119" i="4"/>
  <c r="K118" i="4"/>
  <c r="K117" i="4"/>
  <c r="K116" i="4"/>
  <c r="K115" i="4"/>
  <c r="K114" i="4"/>
  <c r="K113" i="4"/>
  <c r="K112" i="4"/>
  <c r="K111" i="4"/>
  <c r="K110" i="4"/>
  <c r="K109" i="4"/>
  <c r="K108" i="4"/>
  <c r="K107" i="4"/>
  <c r="K106" i="4"/>
  <c r="K105" i="4"/>
  <c r="K104" i="4"/>
  <c r="K103" i="4"/>
  <c r="K102" i="4"/>
  <c r="K101" i="4"/>
  <c r="K100" i="4"/>
  <c r="K99" i="4"/>
  <c r="K98" i="4"/>
  <c r="K97" i="4"/>
  <c r="K96" i="4"/>
  <c r="K95" i="4"/>
  <c r="K94" i="4"/>
  <c r="K93" i="4"/>
  <c r="K92" i="4"/>
  <c r="K91" i="4"/>
  <c r="K90" i="4"/>
  <c r="K89" i="4"/>
  <c r="K88" i="4"/>
  <c r="K87" i="4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306" i="4" s="1"/>
  <c r="I43" i="3"/>
  <c r="H43" i="3"/>
  <c r="G42" i="3"/>
  <c r="E42" i="3"/>
  <c r="D42" i="3"/>
  <c r="C42" i="3"/>
  <c r="B42" i="3"/>
  <c r="G41" i="3"/>
  <c r="E41" i="3"/>
  <c r="D41" i="3"/>
  <c r="C41" i="3"/>
  <c r="B41" i="3"/>
  <c r="G40" i="3"/>
  <c r="E40" i="3"/>
  <c r="D40" i="3"/>
  <c r="C40" i="3"/>
  <c r="B40" i="3"/>
  <c r="G39" i="3"/>
  <c r="E39" i="3"/>
  <c r="D39" i="3"/>
  <c r="C39" i="3"/>
  <c r="B39" i="3"/>
  <c r="G38" i="3"/>
  <c r="E38" i="3"/>
  <c r="D38" i="3"/>
  <c r="C38" i="3"/>
  <c r="B38" i="3"/>
  <c r="G37" i="3"/>
  <c r="E37" i="3"/>
  <c r="D37" i="3"/>
  <c r="C37" i="3"/>
  <c r="B37" i="3"/>
  <c r="G36" i="3"/>
  <c r="E36" i="3"/>
  <c r="D36" i="3"/>
  <c r="C36" i="3"/>
  <c r="B36" i="3"/>
  <c r="G35" i="3"/>
  <c r="E35" i="3"/>
  <c r="D35" i="3"/>
  <c r="C35" i="3"/>
  <c r="B35" i="3"/>
  <c r="G34" i="3"/>
  <c r="E34" i="3"/>
  <c r="D34" i="3"/>
  <c r="C34" i="3"/>
  <c r="B34" i="3"/>
  <c r="G33" i="3"/>
  <c r="E33" i="3"/>
  <c r="D33" i="3"/>
  <c r="C33" i="3"/>
  <c r="B33" i="3"/>
  <c r="G32" i="3"/>
  <c r="E32" i="3"/>
  <c r="D32" i="3"/>
  <c r="C32" i="3"/>
  <c r="B32" i="3"/>
  <c r="G31" i="3"/>
  <c r="E31" i="3"/>
  <c r="D31" i="3"/>
  <c r="C31" i="3"/>
  <c r="B31" i="3"/>
  <c r="G30" i="3"/>
  <c r="E30" i="3"/>
  <c r="D30" i="3"/>
  <c r="C30" i="3"/>
  <c r="B30" i="3"/>
  <c r="G29" i="3"/>
  <c r="E29" i="3"/>
  <c r="D29" i="3"/>
  <c r="C29" i="3"/>
  <c r="B29" i="3"/>
  <c r="G28" i="3"/>
  <c r="E28" i="3"/>
  <c r="D28" i="3"/>
  <c r="C28" i="3"/>
  <c r="B28" i="3"/>
  <c r="G27" i="3"/>
  <c r="E27" i="3"/>
  <c r="D27" i="3"/>
  <c r="C27" i="3"/>
  <c r="B27" i="3"/>
  <c r="G26" i="3"/>
  <c r="E26" i="3"/>
  <c r="D26" i="3"/>
  <c r="C26" i="3"/>
  <c r="B26" i="3"/>
  <c r="G25" i="3"/>
  <c r="E25" i="3"/>
  <c r="D25" i="3"/>
  <c r="C25" i="3"/>
  <c r="B25" i="3"/>
  <c r="G24" i="3"/>
  <c r="E24" i="3"/>
  <c r="D24" i="3"/>
  <c r="C24" i="3"/>
  <c r="B24" i="3"/>
  <c r="H23" i="3"/>
  <c r="G23" i="3"/>
  <c r="E23" i="3"/>
  <c r="D23" i="3"/>
  <c r="C23" i="3"/>
  <c r="B23" i="3"/>
  <c r="G22" i="3"/>
  <c r="E22" i="3"/>
  <c r="D22" i="3"/>
  <c r="C22" i="3"/>
  <c r="B22" i="3"/>
  <c r="G21" i="3"/>
  <c r="F21" i="3"/>
  <c r="E21" i="3"/>
  <c r="D21" i="3"/>
  <c r="C21" i="3"/>
  <c r="B21" i="3"/>
  <c r="G20" i="3"/>
  <c r="E20" i="3"/>
  <c r="D20" i="3"/>
  <c r="C20" i="3"/>
  <c r="B20" i="3"/>
  <c r="G19" i="3"/>
  <c r="E19" i="3"/>
  <c r="D19" i="3"/>
  <c r="C19" i="3"/>
  <c r="B19" i="3"/>
  <c r="G18" i="3"/>
  <c r="E18" i="3"/>
  <c r="D18" i="3"/>
  <c r="C18" i="3"/>
  <c r="B18" i="3"/>
  <c r="G17" i="3"/>
  <c r="E17" i="3"/>
  <c r="D17" i="3"/>
  <c r="C17" i="3"/>
  <c r="B17" i="3"/>
  <c r="G16" i="3"/>
  <c r="E16" i="3"/>
  <c r="D16" i="3"/>
  <c r="C16" i="3"/>
  <c r="B16" i="3"/>
  <c r="G15" i="3"/>
  <c r="E15" i="3"/>
  <c r="D15" i="3"/>
  <c r="C15" i="3"/>
  <c r="B15" i="3"/>
  <c r="G14" i="3"/>
  <c r="E14" i="3"/>
  <c r="D14" i="3"/>
  <c r="C14" i="3"/>
  <c r="B14" i="3"/>
  <c r="G13" i="3"/>
  <c r="E13" i="3"/>
  <c r="D13" i="3"/>
  <c r="C13" i="3"/>
  <c r="B13" i="3"/>
  <c r="C3" i="3"/>
  <c r="G43" i="3" s="1"/>
  <c r="N34" i="2"/>
  <c r="O34" i="2" s="1"/>
  <c r="M34" i="2"/>
  <c r="H42" i="3" s="1"/>
  <c r="I34" i="2"/>
  <c r="F34" i="2"/>
  <c r="E34" i="2"/>
  <c r="O33" i="2"/>
  <c r="N33" i="2"/>
  <c r="L33" i="2"/>
  <c r="F41" i="3" s="1"/>
  <c r="I33" i="2"/>
  <c r="H33" i="2"/>
  <c r="F33" i="2"/>
  <c r="E33" i="2"/>
  <c r="K33" i="2" s="1"/>
  <c r="O32" i="2"/>
  <c r="N32" i="2"/>
  <c r="L32" i="2"/>
  <c r="F40" i="3" s="1"/>
  <c r="K32" i="2"/>
  <c r="J32" i="2"/>
  <c r="I32" i="2"/>
  <c r="H32" i="2"/>
  <c r="G32" i="2"/>
  <c r="F32" i="2"/>
  <c r="E32" i="2"/>
  <c r="M32" i="2" s="1"/>
  <c r="H40" i="3" s="1"/>
  <c r="N31" i="2"/>
  <c r="O31" i="2" s="1"/>
  <c r="K31" i="2"/>
  <c r="J31" i="2"/>
  <c r="I31" i="2"/>
  <c r="G31" i="2"/>
  <c r="F31" i="2"/>
  <c r="E31" i="2"/>
  <c r="M31" i="2" s="1"/>
  <c r="H39" i="3" s="1"/>
  <c r="N30" i="2"/>
  <c r="O30" i="2" s="1"/>
  <c r="I30" i="2"/>
  <c r="F30" i="2"/>
  <c r="E30" i="2"/>
  <c r="O29" i="2"/>
  <c r="N29" i="2"/>
  <c r="L29" i="2"/>
  <c r="F37" i="3" s="1"/>
  <c r="I29" i="2"/>
  <c r="H29" i="2"/>
  <c r="F29" i="2"/>
  <c r="E29" i="2"/>
  <c r="K29" i="2" s="1"/>
  <c r="O28" i="2"/>
  <c r="N28" i="2"/>
  <c r="L28" i="2"/>
  <c r="F36" i="3" s="1"/>
  <c r="K28" i="2"/>
  <c r="J28" i="2"/>
  <c r="I28" i="2"/>
  <c r="H28" i="2"/>
  <c r="G28" i="2"/>
  <c r="F28" i="2"/>
  <c r="E28" i="2"/>
  <c r="M28" i="2" s="1"/>
  <c r="H36" i="3" s="1"/>
  <c r="N27" i="2"/>
  <c r="O27" i="2" s="1"/>
  <c r="K27" i="2"/>
  <c r="J27" i="2"/>
  <c r="I27" i="2"/>
  <c r="G27" i="2"/>
  <c r="F27" i="2"/>
  <c r="E27" i="2"/>
  <c r="M27" i="2" s="1"/>
  <c r="H35" i="3" s="1"/>
  <c r="N26" i="2"/>
  <c r="O26" i="2" s="1"/>
  <c r="I26" i="2"/>
  <c r="F26" i="2"/>
  <c r="E26" i="2"/>
  <c r="M26" i="2" s="1"/>
  <c r="H34" i="3" s="1"/>
  <c r="O25" i="2"/>
  <c r="N25" i="2"/>
  <c r="L25" i="2"/>
  <c r="F33" i="3" s="1"/>
  <c r="I25" i="2"/>
  <c r="H25" i="2"/>
  <c r="F25" i="2"/>
  <c r="E25" i="2"/>
  <c r="K25" i="2" s="1"/>
  <c r="O24" i="2"/>
  <c r="N24" i="2"/>
  <c r="L24" i="2"/>
  <c r="F32" i="3" s="1"/>
  <c r="K24" i="2"/>
  <c r="J24" i="2"/>
  <c r="I24" i="2"/>
  <c r="H24" i="2"/>
  <c r="G24" i="2"/>
  <c r="F24" i="2"/>
  <c r="E24" i="2"/>
  <c r="M24" i="2" s="1"/>
  <c r="H32" i="3" s="1"/>
  <c r="N23" i="2"/>
  <c r="O23" i="2" s="1"/>
  <c r="K23" i="2"/>
  <c r="J23" i="2"/>
  <c r="I23" i="2"/>
  <c r="G23" i="2"/>
  <c r="F23" i="2"/>
  <c r="E23" i="2"/>
  <c r="M23" i="2" s="1"/>
  <c r="H31" i="3" s="1"/>
  <c r="N22" i="2"/>
  <c r="O22" i="2" s="1"/>
  <c r="I22" i="2"/>
  <c r="F22" i="2"/>
  <c r="E22" i="2"/>
  <c r="M22" i="2" s="1"/>
  <c r="H30" i="3" s="1"/>
  <c r="O21" i="2"/>
  <c r="N21" i="2"/>
  <c r="L21" i="2"/>
  <c r="F29" i="3" s="1"/>
  <c r="I21" i="2"/>
  <c r="H21" i="2"/>
  <c r="F21" i="2"/>
  <c r="E21" i="2"/>
  <c r="K21" i="2" s="1"/>
  <c r="O20" i="2"/>
  <c r="N20" i="2"/>
  <c r="L20" i="2"/>
  <c r="F28" i="3" s="1"/>
  <c r="K20" i="2"/>
  <c r="J20" i="2"/>
  <c r="I20" i="2"/>
  <c r="H20" i="2"/>
  <c r="G20" i="2"/>
  <c r="F20" i="2"/>
  <c r="E20" i="2"/>
  <c r="M20" i="2" s="1"/>
  <c r="H28" i="3" s="1"/>
  <c r="N19" i="2"/>
  <c r="O19" i="2" s="1"/>
  <c r="K19" i="2"/>
  <c r="J19" i="2"/>
  <c r="I19" i="2"/>
  <c r="G19" i="2"/>
  <c r="F19" i="2"/>
  <c r="E19" i="2"/>
  <c r="M19" i="2" s="1"/>
  <c r="H27" i="3" s="1"/>
  <c r="N18" i="2"/>
  <c r="O18" i="2" s="1"/>
  <c r="M18" i="2"/>
  <c r="H26" i="3" s="1"/>
  <c r="I18" i="2"/>
  <c r="F18" i="2"/>
  <c r="E18" i="2"/>
  <c r="O17" i="2"/>
  <c r="N17" i="2"/>
  <c r="L17" i="2"/>
  <c r="F25" i="3" s="1"/>
  <c r="I17" i="2"/>
  <c r="H17" i="2"/>
  <c r="F17" i="2"/>
  <c r="E17" i="2"/>
  <c r="K17" i="2" s="1"/>
  <c r="O16" i="2"/>
  <c r="N16" i="2"/>
  <c r="L16" i="2"/>
  <c r="F24" i="3" s="1"/>
  <c r="K16" i="2"/>
  <c r="J16" i="2"/>
  <c r="I16" i="2"/>
  <c r="H16" i="2"/>
  <c r="G16" i="2"/>
  <c r="F16" i="2"/>
  <c r="E16" i="2"/>
  <c r="M16" i="2" s="1"/>
  <c r="H24" i="3" s="1"/>
  <c r="N15" i="2"/>
  <c r="O15" i="2" s="1"/>
  <c r="K15" i="2"/>
  <c r="J15" i="2"/>
  <c r="I15" i="2"/>
  <c r="G15" i="2"/>
  <c r="F15" i="2"/>
  <c r="E15" i="2"/>
  <c r="M15" i="2" s="1"/>
  <c r="N14" i="2"/>
  <c r="O14" i="2" s="1"/>
  <c r="I14" i="2"/>
  <c r="F14" i="2"/>
  <c r="E14" i="2"/>
  <c r="O13" i="2"/>
  <c r="N13" i="2"/>
  <c r="L13" i="2"/>
  <c r="I13" i="2"/>
  <c r="H13" i="2"/>
  <c r="F13" i="2"/>
  <c r="E13" i="2"/>
  <c r="K13" i="2" s="1"/>
  <c r="O12" i="2"/>
  <c r="N12" i="2"/>
  <c r="L12" i="2"/>
  <c r="F20" i="3" s="1"/>
  <c r="K12" i="2"/>
  <c r="J12" i="2"/>
  <c r="I12" i="2"/>
  <c r="H12" i="2"/>
  <c r="G12" i="2"/>
  <c r="F12" i="2"/>
  <c r="E12" i="2"/>
  <c r="M12" i="2" s="1"/>
  <c r="H20" i="3" s="1"/>
  <c r="N11" i="2"/>
  <c r="O11" i="2" s="1"/>
  <c r="K11" i="2"/>
  <c r="J11" i="2"/>
  <c r="I11" i="2"/>
  <c r="G11" i="2"/>
  <c r="F11" i="2"/>
  <c r="E11" i="2"/>
  <c r="M11" i="2" s="1"/>
  <c r="H19" i="3" s="1"/>
  <c r="N10" i="2"/>
  <c r="O10" i="2" s="1"/>
  <c r="K10" i="2"/>
  <c r="J10" i="2"/>
  <c r="I10" i="2"/>
  <c r="G10" i="2"/>
  <c r="F10" i="2"/>
  <c r="E10" i="2"/>
  <c r="M10" i="2" s="1"/>
  <c r="H18" i="3" s="1"/>
  <c r="N9" i="2"/>
  <c r="O9" i="2" s="1"/>
  <c r="K9" i="2"/>
  <c r="J9" i="2"/>
  <c r="I9" i="2"/>
  <c r="G9" i="2"/>
  <c r="F9" i="2"/>
  <c r="E9" i="2"/>
  <c r="M9" i="2" s="1"/>
  <c r="H17" i="3" s="1"/>
  <c r="N8" i="2"/>
  <c r="O8" i="2" s="1"/>
  <c r="K8" i="2"/>
  <c r="J8" i="2"/>
  <c r="I8" i="2"/>
  <c r="G8" i="2"/>
  <c r="F8" i="2"/>
  <c r="E8" i="2"/>
  <c r="M8" i="2" s="1"/>
  <c r="H16" i="3" s="1"/>
  <c r="N7" i="2"/>
  <c r="O7" i="2" s="1"/>
  <c r="K7" i="2"/>
  <c r="J7" i="2"/>
  <c r="I7" i="2"/>
  <c r="G7" i="2"/>
  <c r="F7" i="2"/>
  <c r="E7" i="2"/>
  <c r="M7" i="2" s="1"/>
  <c r="H15" i="3" s="1"/>
  <c r="R6" i="2"/>
  <c r="N6" i="2"/>
  <c r="O6" i="2" s="1"/>
  <c r="K6" i="2"/>
  <c r="J6" i="2"/>
  <c r="I6" i="2"/>
  <c r="G6" i="2"/>
  <c r="F6" i="2"/>
  <c r="E6" i="2"/>
  <c r="M6" i="2" s="1"/>
  <c r="H14" i="3" s="1"/>
  <c r="N5" i="2"/>
  <c r="K5" i="2"/>
  <c r="J5" i="2"/>
  <c r="I5" i="2"/>
  <c r="G5" i="2"/>
  <c r="F5" i="2"/>
  <c r="E5" i="2"/>
  <c r="M5" i="2" s="1"/>
  <c r="H13" i="3" s="1"/>
  <c r="J504" i="1"/>
  <c r="I504" i="1"/>
  <c r="H504" i="1"/>
  <c r="G504" i="1"/>
  <c r="J503" i="1"/>
  <c r="I503" i="1"/>
  <c r="H503" i="1"/>
  <c r="G503" i="1"/>
  <c r="J502" i="1"/>
  <c r="I502" i="1"/>
  <c r="H502" i="1"/>
  <c r="G502" i="1"/>
  <c r="J501" i="1"/>
  <c r="I501" i="1"/>
  <c r="H501" i="1"/>
  <c r="G501" i="1"/>
  <c r="J500" i="1"/>
  <c r="I500" i="1"/>
  <c r="H500" i="1"/>
  <c r="G500" i="1"/>
  <c r="J499" i="1"/>
  <c r="I499" i="1"/>
  <c r="H499" i="1"/>
  <c r="G499" i="1"/>
  <c r="J498" i="1"/>
  <c r="I498" i="1"/>
  <c r="H498" i="1"/>
  <c r="G498" i="1"/>
  <c r="J497" i="1"/>
  <c r="I497" i="1"/>
  <c r="H497" i="1"/>
  <c r="G497" i="1"/>
  <c r="J496" i="1"/>
  <c r="I496" i="1"/>
  <c r="H496" i="1"/>
  <c r="G496" i="1"/>
  <c r="J495" i="1"/>
  <c r="I495" i="1"/>
  <c r="H495" i="1"/>
  <c r="G495" i="1"/>
  <c r="J494" i="1"/>
  <c r="I494" i="1"/>
  <c r="H494" i="1"/>
  <c r="G494" i="1"/>
  <c r="J493" i="1"/>
  <c r="I493" i="1"/>
  <c r="H493" i="1"/>
  <c r="G493" i="1"/>
  <c r="J492" i="1"/>
  <c r="I492" i="1"/>
  <c r="H492" i="1"/>
  <c r="G492" i="1"/>
  <c r="J491" i="1"/>
  <c r="I491" i="1"/>
  <c r="H491" i="1"/>
  <c r="G491" i="1"/>
  <c r="J490" i="1"/>
  <c r="I490" i="1"/>
  <c r="H490" i="1"/>
  <c r="G490" i="1"/>
  <c r="J489" i="1"/>
  <c r="I489" i="1"/>
  <c r="H489" i="1"/>
  <c r="G489" i="1"/>
  <c r="J488" i="1"/>
  <c r="I488" i="1"/>
  <c r="H488" i="1"/>
  <c r="G488" i="1"/>
  <c r="J487" i="1"/>
  <c r="I487" i="1"/>
  <c r="H487" i="1"/>
  <c r="G487" i="1"/>
  <c r="J486" i="1"/>
  <c r="I486" i="1"/>
  <c r="H486" i="1"/>
  <c r="G486" i="1"/>
  <c r="J485" i="1"/>
  <c r="I485" i="1"/>
  <c r="H485" i="1"/>
  <c r="G485" i="1"/>
  <c r="J484" i="1"/>
  <c r="I484" i="1"/>
  <c r="H484" i="1"/>
  <c r="G484" i="1"/>
  <c r="J483" i="1"/>
  <c r="I483" i="1"/>
  <c r="H483" i="1"/>
  <c r="G483" i="1"/>
  <c r="J482" i="1"/>
  <c r="I482" i="1"/>
  <c r="H482" i="1"/>
  <c r="G482" i="1"/>
  <c r="J481" i="1"/>
  <c r="I481" i="1"/>
  <c r="H481" i="1"/>
  <c r="G481" i="1"/>
  <c r="J480" i="1"/>
  <c r="I480" i="1"/>
  <c r="H480" i="1"/>
  <c r="G480" i="1"/>
  <c r="J479" i="1"/>
  <c r="I479" i="1"/>
  <c r="H479" i="1"/>
  <c r="G479" i="1"/>
  <c r="J478" i="1"/>
  <c r="I478" i="1"/>
  <c r="H478" i="1"/>
  <c r="G478" i="1"/>
  <c r="J477" i="1"/>
  <c r="I477" i="1"/>
  <c r="H477" i="1"/>
  <c r="G477" i="1"/>
  <c r="J476" i="1"/>
  <c r="I476" i="1"/>
  <c r="H476" i="1"/>
  <c r="G476" i="1"/>
  <c r="J475" i="1"/>
  <c r="I475" i="1"/>
  <c r="H475" i="1"/>
  <c r="G475" i="1"/>
  <c r="J474" i="1"/>
  <c r="I474" i="1"/>
  <c r="H474" i="1"/>
  <c r="G474" i="1"/>
  <c r="J473" i="1"/>
  <c r="I473" i="1"/>
  <c r="H473" i="1"/>
  <c r="G473" i="1"/>
  <c r="J472" i="1"/>
  <c r="I472" i="1"/>
  <c r="H472" i="1"/>
  <c r="G472" i="1"/>
  <c r="J471" i="1"/>
  <c r="I471" i="1"/>
  <c r="H471" i="1"/>
  <c r="G471" i="1"/>
  <c r="J470" i="1"/>
  <c r="I470" i="1"/>
  <c r="H470" i="1"/>
  <c r="G470" i="1"/>
  <c r="J469" i="1"/>
  <c r="I469" i="1"/>
  <c r="H469" i="1"/>
  <c r="G469" i="1"/>
  <c r="J468" i="1"/>
  <c r="I468" i="1"/>
  <c r="H468" i="1"/>
  <c r="G468" i="1"/>
  <c r="J467" i="1"/>
  <c r="I467" i="1"/>
  <c r="H467" i="1"/>
  <c r="G467" i="1"/>
  <c r="J466" i="1"/>
  <c r="I466" i="1"/>
  <c r="H466" i="1"/>
  <c r="G466" i="1"/>
  <c r="J465" i="1"/>
  <c r="I465" i="1"/>
  <c r="H465" i="1"/>
  <c r="G465" i="1"/>
  <c r="J464" i="1"/>
  <c r="I464" i="1"/>
  <c r="H464" i="1"/>
  <c r="G464" i="1"/>
  <c r="J463" i="1"/>
  <c r="I463" i="1"/>
  <c r="H463" i="1"/>
  <c r="G463" i="1"/>
  <c r="J462" i="1"/>
  <c r="I462" i="1"/>
  <c r="H462" i="1"/>
  <c r="G462" i="1"/>
  <c r="J461" i="1"/>
  <c r="I461" i="1"/>
  <c r="H461" i="1"/>
  <c r="G461" i="1"/>
  <c r="J460" i="1"/>
  <c r="I460" i="1"/>
  <c r="H460" i="1"/>
  <c r="G460" i="1"/>
  <c r="J459" i="1"/>
  <c r="I459" i="1"/>
  <c r="H459" i="1"/>
  <c r="G459" i="1"/>
  <c r="J458" i="1"/>
  <c r="I458" i="1"/>
  <c r="H458" i="1"/>
  <c r="G458" i="1"/>
  <c r="J457" i="1"/>
  <c r="I457" i="1"/>
  <c r="H457" i="1"/>
  <c r="G457" i="1"/>
  <c r="J456" i="1"/>
  <c r="I456" i="1"/>
  <c r="H456" i="1"/>
  <c r="G456" i="1"/>
  <c r="J455" i="1"/>
  <c r="I455" i="1"/>
  <c r="H455" i="1"/>
  <c r="G455" i="1"/>
  <c r="J454" i="1"/>
  <c r="I454" i="1"/>
  <c r="H454" i="1"/>
  <c r="G454" i="1"/>
  <c r="J453" i="1"/>
  <c r="I453" i="1"/>
  <c r="H453" i="1"/>
  <c r="G453" i="1"/>
  <c r="J452" i="1"/>
  <c r="I452" i="1"/>
  <c r="H452" i="1"/>
  <c r="G452" i="1"/>
  <c r="J451" i="1"/>
  <c r="I451" i="1"/>
  <c r="H451" i="1"/>
  <c r="G451" i="1"/>
  <c r="J450" i="1"/>
  <c r="I450" i="1"/>
  <c r="H450" i="1"/>
  <c r="G450" i="1"/>
  <c r="J449" i="1"/>
  <c r="I449" i="1"/>
  <c r="H449" i="1"/>
  <c r="G449" i="1"/>
  <c r="J448" i="1"/>
  <c r="I448" i="1"/>
  <c r="H448" i="1"/>
  <c r="G448" i="1"/>
  <c r="J447" i="1"/>
  <c r="I447" i="1"/>
  <c r="H447" i="1"/>
  <c r="G447" i="1"/>
  <c r="J446" i="1"/>
  <c r="I446" i="1"/>
  <c r="H446" i="1"/>
  <c r="G446" i="1"/>
  <c r="J445" i="1"/>
  <c r="I445" i="1"/>
  <c r="H445" i="1"/>
  <c r="G445" i="1"/>
  <c r="J444" i="1"/>
  <c r="I444" i="1"/>
  <c r="H444" i="1"/>
  <c r="G444" i="1"/>
  <c r="J443" i="1"/>
  <c r="I443" i="1"/>
  <c r="H443" i="1"/>
  <c r="G443" i="1"/>
  <c r="J442" i="1"/>
  <c r="I442" i="1"/>
  <c r="H442" i="1"/>
  <c r="G442" i="1"/>
  <c r="J441" i="1"/>
  <c r="I441" i="1"/>
  <c r="H441" i="1"/>
  <c r="G441" i="1"/>
  <c r="J440" i="1"/>
  <c r="I440" i="1"/>
  <c r="H440" i="1"/>
  <c r="G440" i="1"/>
  <c r="J439" i="1"/>
  <c r="I439" i="1"/>
  <c r="H439" i="1"/>
  <c r="G439" i="1"/>
  <c r="J438" i="1"/>
  <c r="I438" i="1"/>
  <c r="H438" i="1"/>
  <c r="G438" i="1"/>
  <c r="J437" i="1"/>
  <c r="I437" i="1"/>
  <c r="H437" i="1"/>
  <c r="G437" i="1"/>
  <c r="J436" i="1"/>
  <c r="I436" i="1"/>
  <c r="H436" i="1"/>
  <c r="G436" i="1"/>
  <c r="J435" i="1"/>
  <c r="I435" i="1"/>
  <c r="H435" i="1"/>
  <c r="G435" i="1"/>
  <c r="J434" i="1"/>
  <c r="I434" i="1"/>
  <c r="H434" i="1"/>
  <c r="G434" i="1"/>
  <c r="J433" i="1"/>
  <c r="I433" i="1"/>
  <c r="H433" i="1"/>
  <c r="G433" i="1"/>
  <c r="J432" i="1"/>
  <c r="I432" i="1"/>
  <c r="H432" i="1"/>
  <c r="G432" i="1"/>
  <c r="J431" i="1"/>
  <c r="I431" i="1"/>
  <c r="H431" i="1"/>
  <c r="G431" i="1"/>
  <c r="J430" i="1"/>
  <c r="I430" i="1"/>
  <c r="H430" i="1"/>
  <c r="G430" i="1"/>
  <c r="J429" i="1"/>
  <c r="I429" i="1"/>
  <c r="H429" i="1"/>
  <c r="G429" i="1"/>
  <c r="J428" i="1"/>
  <c r="I428" i="1"/>
  <c r="H428" i="1"/>
  <c r="G428" i="1"/>
  <c r="J427" i="1"/>
  <c r="I427" i="1"/>
  <c r="H427" i="1"/>
  <c r="G427" i="1"/>
  <c r="J426" i="1"/>
  <c r="I426" i="1"/>
  <c r="H426" i="1"/>
  <c r="G426" i="1"/>
  <c r="J425" i="1"/>
  <c r="I425" i="1"/>
  <c r="H425" i="1"/>
  <c r="G425" i="1"/>
  <c r="J424" i="1"/>
  <c r="I424" i="1"/>
  <c r="H424" i="1"/>
  <c r="G424" i="1"/>
  <c r="J423" i="1"/>
  <c r="I423" i="1"/>
  <c r="H423" i="1"/>
  <c r="G423" i="1"/>
  <c r="J422" i="1"/>
  <c r="I422" i="1"/>
  <c r="H422" i="1"/>
  <c r="G422" i="1"/>
  <c r="J421" i="1"/>
  <c r="I421" i="1"/>
  <c r="H421" i="1"/>
  <c r="G421" i="1"/>
  <c r="J420" i="1"/>
  <c r="I420" i="1"/>
  <c r="H420" i="1"/>
  <c r="G420" i="1"/>
  <c r="J419" i="1"/>
  <c r="I419" i="1"/>
  <c r="H419" i="1"/>
  <c r="G419" i="1"/>
  <c r="J418" i="1"/>
  <c r="I418" i="1"/>
  <c r="H418" i="1"/>
  <c r="G418" i="1"/>
  <c r="J417" i="1"/>
  <c r="I417" i="1"/>
  <c r="H417" i="1"/>
  <c r="G417" i="1"/>
  <c r="J416" i="1"/>
  <c r="I416" i="1"/>
  <c r="H416" i="1"/>
  <c r="G416" i="1"/>
  <c r="J415" i="1"/>
  <c r="I415" i="1"/>
  <c r="H415" i="1"/>
  <c r="G415" i="1"/>
  <c r="J414" i="1"/>
  <c r="I414" i="1"/>
  <c r="H414" i="1"/>
  <c r="G414" i="1"/>
  <c r="J413" i="1"/>
  <c r="I413" i="1"/>
  <c r="H413" i="1"/>
  <c r="G413" i="1"/>
  <c r="J412" i="1"/>
  <c r="I412" i="1"/>
  <c r="H412" i="1"/>
  <c r="G412" i="1"/>
  <c r="J411" i="1"/>
  <c r="I411" i="1"/>
  <c r="H411" i="1"/>
  <c r="G411" i="1"/>
  <c r="J410" i="1"/>
  <c r="I410" i="1"/>
  <c r="H410" i="1"/>
  <c r="G410" i="1"/>
  <c r="J409" i="1"/>
  <c r="I409" i="1"/>
  <c r="H409" i="1"/>
  <c r="G409" i="1"/>
  <c r="J408" i="1"/>
  <c r="I408" i="1"/>
  <c r="H408" i="1"/>
  <c r="G408" i="1"/>
  <c r="J407" i="1"/>
  <c r="I407" i="1"/>
  <c r="H407" i="1"/>
  <c r="G407" i="1"/>
  <c r="J406" i="1"/>
  <c r="I406" i="1"/>
  <c r="H406" i="1"/>
  <c r="G406" i="1"/>
  <c r="J405" i="1"/>
  <c r="I405" i="1"/>
  <c r="H405" i="1"/>
  <c r="G405" i="1"/>
  <c r="J404" i="1"/>
  <c r="I404" i="1"/>
  <c r="H404" i="1"/>
  <c r="G404" i="1"/>
  <c r="J403" i="1"/>
  <c r="I403" i="1"/>
  <c r="H403" i="1"/>
  <c r="G403" i="1"/>
  <c r="J402" i="1"/>
  <c r="I402" i="1"/>
  <c r="H402" i="1"/>
  <c r="G402" i="1"/>
  <c r="J401" i="1"/>
  <c r="I401" i="1"/>
  <c r="H401" i="1"/>
  <c r="G401" i="1"/>
  <c r="J400" i="1"/>
  <c r="I400" i="1"/>
  <c r="H400" i="1"/>
  <c r="G400" i="1"/>
  <c r="J399" i="1"/>
  <c r="I399" i="1"/>
  <c r="H399" i="1"/>
  <c r="G399" i="1"/>
  <c r="J398" i="1"/>
  <c r="I398" i="1"/>
  <c r="H398" i="1"/>
  <c r="G398" i="1"/>
  <c r="J397" i="1"/>
  <c r="I397" i="1"/>
  <c r="H397" i="1"/>
  <c r="G397" i="1"/>
  <c r="J396" i="1"/>
  <c r="I396" i="1"/>
  <c r="H396" i="1"/>
  <c r="G396" i="1"/>
  <c r="J395" i="1"/>
  <c r="I395" i="1"/>
  <c r="H395" i="1"/>
  <c r="G395" i="1"/>
  <c r="J394" i="1"/>
  <c r="I394" i="1"/>
  <c r="H394" i="1"/>
  <c r="G394" i="1"/>
  <c r="J393" i="1"/>
  <c r="I393" i="1"/>
  <c r="H393" i="1"/>
  <c r="G393" i="1"/>
  <c r="J392" i="1"/>
  <c r="I392" i="1"/>
  <c r="H392" i="1"/>
  <c r="G392" i="1"/>
  <c r="J391" i="1"/>
  <c r="I391" i="1"/>
  <c r="H391" i="1"/>
  <c r="G391" i="1"/>
  <c r="J390" i="1"/>
  <c r="I390" i="1"/>
  <c r="H390" i="1"/>
  <c r="G390" i="1"/>
  <c r="J389" i="1"/>
  <c r="I389" i="1"/>
  <c r="H389" i="1"/>
  <c r="G389" i="1"/>
  <c r="J388" i="1"/>
  <c r="I388" i="1"/>
  <c r="H388" i="1"/>
  <c r="G388" i="1"/>
  <c r="J387" i="1"/>
  <c r="I387" i="1"/>
  <c r="H387" i="1"/>
  <c r="G387" i="1"/>
  <c r="J386" i="1"/>
  <c r="I386" i="1"/>
  <c r="H386" i="1"/>
  <c r="G386" i="1"/>
  <c r="J385" i="1"/>
  <c r="I385" i="1"/>
  <c r="H385" i="1"/>
  <c r="G385" i="1"/>
  <c r="J384" i="1"/>
  <c r="I384" i="1"/>
  <c r="H384" i="1"/>
  <c r="G384" i="1"/>
  <c r="J383" i="1"/>
  <c r="I383" i="1"/>
  <c r="H383" i="1"/>
  <c r="G383" i="1"/>
  <c r="J382" i="1"/>
  <c r="I382" i="1"/>
  <c r="H382" i="1"/>
  <c r="G382" i="1"/>
  <c r="J381" i="1"/>
  <c r="I381" i="1"/>
  <c r="H381" i="1"/>
  <c r="G381" i="1"/>
  <c r="J380" i="1"/>
  <c r="I380" i="1"/>
  <c r="H380" i="1"/>
  <c r="G380" i="1"/>
  <c r="J379" i="1"/>
  <c r="I379" i="1"/>
  <c r="H379" i="1"/>
  <c r="G379" i="1"/>
  <c r="J378" i="1"/>
  <c r="I378" i="1"/>
  <c r="H378" i="1"/>
  <c r="G378" i="1"/>
  <c r="J377" i="1"/>
  <c r="I377" i="1"/>
  <c r="H377" i="1"/>
  <c r="G377" i="1"/>
  <c r="J376" i="1"/>
  <c r="I376" i="1"/>
  <c r="H376" i="1"/>
  <c r="G376" i="1"/>
  <c r="J375" i="1"/>
  <c r="I375" i="1"/>
  <c r="H375" i="1"/>
  <c r="G375" i="1"/>
  <c r="J374" i="1"/>
  <c r="I374" i="1"/>
  <c r="H374" i="1"/>
  <c r="G374" i="1"/>
  <c r="J373" i="1"/>
  <c r="I373" i="1"/>
  <c r="H373" i="1"/>
  <c r="G373" i="1"/>
  <c r="J372" i="1"/>
  <c r="I372" i="1"/>
  <c r="H372" i="1"/>
  <c r="G372" i="1"/>
  <c r="J371" i="1"/>
  <c r="I371" i="1"/>
  <c r="H371" i="1"/>
  <c r="G371" i="1"/>
  <c r="J370" i="1"/>
  <c r="I370" i="1"/>
  <c r="H370" i="1"/>
  <c r="G370" i="1"/>
  <c r="J369" i="1"/>
  <c r="I369" i="1"/>
  <c r="H369" i="1"/>
  <c r="G369" i="1"/>
  <c r="J368" i="1"/>
  <c r="I368" i="1"/>
  <c r="H368" i="1"/>
  <c r="G368" i="1"/>
  <c r="J367" i="1"/>
  <c r="I367" i="1"/>
  <c r="H367" i="1"/>
  <c r="G367" i="1"/>
  <c r="J366" i="1"/>
  <c r="I366" i="1"/>
  <c r="H366" i="1"/>
  <c r="G366" i="1"/>
  <c r="J365" i="1"/>
  <c r="I365" i="1"/>
  <c r="H365" i="1"/>
  <c r="G365" i="1"/>
  <c r="J364" i="1"/>
  <c r="I364" i="1"/>
  <c r="H364" i="1"/>
  <c r="G364" i="1"/>
  <c r="J363" i="1"/>
  <c r="I363" i="1"/>
  <c r="H363" i="1"/>
  <c r="G363" i="1"/>
  <c r="J362" i="1"/>
  <c r="I362" i="1"/>
  <c r="H362" i="1"/>
  <c r="G362" i="1"/>
  <c r="J361" i="1"/>
  <c r="I361" i="1"/>
  <c r="H361" i="1"/>
  <c r="G361" i="1"/>
  <c r="J360" i="1"/>
  <c r="I360" i="1"/>
  <c r="H360" i="1"/>
  <c r="G360" i="1"/>
  <c r="J359" i="1"/>
  <c r="I359" i="1"/>
  <c r="H359" i="1"/>
  <c r="G359" i="1"/>
  <c r="J358" i="1"/>
  <c r="I358" i="1"/>
  <c r="H358" i="1"/>
  <c r="G358" i="1"/>
  <c r="J357" i="1"/>
  <c r="I357" i="1"/>
  <c r="H357" i="1"/>
  <c r="G357" i="1"/>
  <c r="J356" i="1"/>
  <c r="I356" i="1"/>
  <c r="H356" i="1"/>
  <c r="G356" i="1"/>
  <c r="J355" i="1"/>
  <c r="I355" i="1"/>
  <c r="H355" i="1"/>
  <c r="G355" i="1"/>
  <c r="J354" i="1"/>
  <c r="I354" i="1"/>
  <c r="H354" i="1"/>
  <c r="G354" i="1"/>
  <c r="J353" i="1"/>
  <c r="I353" i="1"/>
  <c r="H353" i="1"/>
  <c r="G353" i="1"/>
  <c r="J352" i="1"/>
  <c r="I352" i="1"/>
  <c r="H352" i="1"/>
  <c r="G352" i="1"/>
  <c r="J351" i="1"/>
  <c r="I351" i="1"/>
  <c r="H351" i="1"/>
  <c r="G351" i="1"/>
  <c r="J350" i="1"/>
  <c r="I350" i="1"/>
  <c r="H350" i="1"/>
  <c r="G350" i="1"/>
  <c r="J349" i="1"/>
  <c r="I349" i="1"/>
  <c r="H349" i="1"/>
  <c r="G349" i="1"/>
  <c r="J348" i="1"/>
  <c r="I348" i="1"/>
  <c r="H348" i="1"/>
  <c r="G348" i="1"/>
  <c r="J347" i="1"/>
  <c r="I347" i="1"/>
  <c r="H347" i="1"/>
  <c r="G347" i="1"/>
  <c r="J346" i="1"/>
  <c r="I346" i="1"/>
  <c r="H346" i="1"/>
  <c r="G346" i="1"/>
  <c r="J345" i="1"/>
  <c r="I345" i="1"/>
  <c r="H345" i="1"/>
  <c r="G345" i="1"/>
  <c r="J344" i="1"/>
  <c r="I344" i="1"/>
  <c r="H344" i="1"/>
  <c r="G344" i="1"/>
  <c r="J343" i="1"/>
  <c r="I343" i="1"/>
  <c r="H343" i="1"/>
  <c r="G343" i="1"/>
  <c r="J342" i="1"/>
  <c r="I342" i="1"/>
  <c r="H342" i="1"/>
  <c r="G342" i="1"/>
  <c r="J341" i="1"/>
  <c r="I341" i="1"/>
  <c r="H341" i="1"/>
  <c r="G341" i="1"/>
  <c r="J340" i="1"/>
  <c r="I340" i="1"/>
  <c r="H340" i="1"/>
  <c r="G340" i="1"/>
  <c r="J339" i="1"/>
  <c r="I339" i="1"/>
  <c r="H339" i="1"/>
  <c r="G339" i="1"/>
  <c r="J338" i="1"/>
  <c r="I338" i="1"/>
  <c r="H338" i="1"/>
  <c r="G338" i="1"/>
  <c r="J337" i="1"/>
  <c r="I337" i="1"/>
  <c r="H337" i="1"/>
  <c r="G337" i="1"/>
  <c r="J336" i="1"/>
  <c r="I336" i="1"/>
  <c r="H336" i="1"/>
  <c r="G336" i="1"/>
  <c r="J335" i="1"/>
  <c r="I335" i="1"/>
  <c r="H335" i="1"/>
  <c r="G335" i="1"/>
  <c r="J334" i="1"/>
  <c r="I334" i="1"/>
  <c r="H334" i="1"/>
  <c r="G334" i="1"/>
  <c r="J333" i="1"/>
  <c r="I333" i="1"/>
  <c r="H333" i="1"/>
  <c r="G333" i="1"/>
  <c r="J332" i="1"/>
  <c r="I332" i="1"/>
  <c r="H332" i="1"/>
  <c r="G332" i="1"/>
  <c r="J331" i="1"/>
  <c r="I331" i="1"/>
  <c r="H331" i="1"/>
  <c r="G331" i="1"/>
  <c r="J330" i="1"/>
  <c r="I330" i="1"/>
  <c r="H330" i="1"/>
  <c r="G330" i="1"/>
  <c r="J329" i="1"/>
  <c r="I329" i="1"/>
  <c r="H329" i="1"/>
  <c r="G329" i="1"/>
  <c r="J328" i="1"/>
  <c r="I328" i="1"/>
  <c r="H328" i="1"/>
  <c r="G328" i="1"/>
  <c r="J327" i="1"/>
  <c r="I327" i="1"/>
  <c r="H327" i="1"/>
  <c r="G327" i="1"/>
  <c r="J326" i="1"/>
  <c r="I326" i="1"/>
  <c r="H326" i="1"/>
  <c r="G326" i="1"/>
  <c r="J325" i="1"/>
  <c r="I325" i="1"/>
  <c r="H325" i="1"/>
  <c r="G325" i="1"/>
  <c r="J324" i="1"/>
  <c r="I324" i="1"/>
  <c r="H324" i="1"/>
  <c r="G324" i="1"/>
  <c r="J323" i="1"/>
  <c r="I323" i="1"/>
  <c r="H323" i="1"/>
  <c r="G323" i="1"/>
  <c r="J322" i="1"/>
  <c r="I322" i="1"/>
  <c r="H322" i="1"/>
  <c r="G322" i="1"/>
  <c r="J321" i="1"/>
  <c r="I321" i="1"/>
  <c r="H321" i="1"/>
  <c r="G321" i="1"/>
  <c r="J320" i="1"/>
  <c r="I320" i="1"/>
  <c r="H320" i="1"/>
  <c r="G320" i="1"/>
  <c r="J319" i="1"/>
  <c r="I319" i="1"/>
  <c r="H319" i="1"/>
  <c r="G319" i="1"/>
  <c r="J318" i="1"/>
  <c r="I318" i="1"/>
  <c r="H318" i="1"/>
  <c r="G318" i="1"/>
  <c r="J317" i="1"/>
  <c r="I317" i="1"/>
  <c r="H317" i="1"/>
  <c r="G317" i="1"/>
  <c r="J316" i="1"/>
  <c r="I316" i="1"/>
  <c r="H316" i="1"/>
  <c r="G316" i="1"/>
  <c r="J315" i="1"/>
  <c r="I315" i="1"/>
  <c r="H315" i="1"/>
  <c r="G315" i="1"/>
  <c r="J314" i="1"/>
  <c r="I314" i="1"/>
  <c r="H314" i="1"/>
  <c r="G314" i="1"/>
  <c r="J313" i="1"/>
  <c r="I313" i="1"/>
  <c r="H313" i="1"/>
  <c r="G313" i="1"/>
  <c r="J312" i="1"/>
  <c r="I312" i="1"/>
  <c r="H312" i="1"/>
  <c r="G312" i="1"/>
  <c r="J311" i="1"/>
  <c r="I311" i="1"/>
  <c r="H311" i="1"/>
  <c r="G311" i="1"/>
  <c r="J310" i="1"/>
  <c r="I310" i="1"/>
  <c r="H310" i="1"/>
  <c r="G310" i="1"/>
  <c r="J309" i="1"/>
  <c r="I309" i="1"/>
  <c r="H309" i="1"/>
  <c r="G309" i="1"/>
  <c r="J308" i="1"/>
  <c r="I308" i="1"/>
  <c r="H308" i="1"/>
  <c r="G308" i="1"/>
  <c r="J307" i="1"/>
  <c r="I307" i="1"/>
  <c r="H307" i="1"/>
  <c r="G307" i="1"/>
  <c r="J306" i="1"/>
  <c r="I306" i="1"/>
  <c r="H306" i="1"/>
  <c r="G306" i="1"/>
  <c r="J305" i="1"/>
  <c r="I305" i="1"/>
  <c r="H305" i="1"/>
  <c r="G305" i="1"/>
  <c r="J304" i="1"/>
  <c r="I304" i="1"/>
  <c r="H304" i="1"/>
  <c r="G304" i="1"/>
  <c r="J303" i="1"/>
  <c r="I303" i="1"/>
  <c r="H303" i="1"/>
  <c r="G303" i="1"/>
  <c r="J302" i="1"/>
  <c r="I302" i="1"/>
  <c r="H302" i="1"/>
  <c r="G302" i="1"/>
  <c r="J301" i="1"/>
  <c r="I301" i="1"/>
  <c r="H301" i="1"/>
  <c r="G301" i="1"/>
  <c r="J300" i="1"/>
  <c r="I300" i="1"/>
  <c r="H300" i="1"/>
  <c r="G300" i="1"/>
  <c r="J299" i="1"/>
  <c r="I299" i="1"/>
  <c r="H299" i="1"/>
  <c r="G299" i="1"/>
  <c r="J298" i="1"/>
  <c r="I298" i="1"/>
  <c r="H298" i="1"/>
  <c r="G298" i="1"/>
  <c r="J297" i="1"/>
  <c r="I297" i="1"/>
  <c r="H297" i="1"/>
  <c r="G297" i="1"/>
  <c r="J296" i="1"/>
  <c r="I296" i="1"/>
  <c r="H296" i="1"/>
  <c r="G296" i="1"/>
  <c r="J295" i="1"/>
  <c r="I295" i="1"/>
  <c r="H295" i="1"/>
  <c r="G295" i="1"/>
  <c r="J294" i="1"/>
  <c r="I294" i="1"/>
  <c r="H294" i="1"/>
  <c r="G294" i="1"/>
  <c r="J293" i="1"/>
  <c r="I293" i="1"/>
  <c r="H293" i="1"/>
  <c r="G293" i="1"/>
  <c r="J292" i="1"/>
  <c r="I292" i="1"/>
  <c r="H292" i="1"/>
  <c r="G292" i="1"/>
  <c r="J291" i="1"/>
  <c r="I291" i="1"/>
  <c r="H291" i="1"/>
  <c r="G291" i="1"/>
  <c r="J290" i="1"/>
  <c r="I290" i="1"/>
  <c r="H290" i="1"/>
  <c r="G290" i="1"/>
  <c r="J289" i="1"/>
  <c r="I289" i="1"/>
  <c r="H289" i="1"/>
  <c r="G289" i="1"/>
  <c r="J288" i="1"/>
  <c r="I288" i="1"/>
  <c r="H288" i="1"/>
  <c r="G288" i="1"/>
  <c r="J287" i="1"/>
  <c r="I287" i="1"/>
  <c r="H287" i="1"/>
  <c r="G287" i="1"/>
  <c r="J286" i="1"/>
  <c r="I286" i="1"/>
  <c r="H286" i="1"/>
  <c r="G286" i="1"/>
  <c r="J285" i="1"/>
  <c r="I285" i="1"/>
  <c r="H285" i="1"/>
  <c r="G285" i="1"/>
  <c r="J284" i="1"/>
  <c r="I284" i="1"/>
  <c r="H284" i="1"/>
  <c r="G284" i="1"/>
  <c r="J283" i="1"/>
  <c r="I283" i="1"/>
  <c r="H283" i="1"/>
  <c r="G283" i="1"/>
  <c r="J282" i="1"/>
  <c r="I282" i="1"/>
  <c r="H282" i="1"/>
  <c r="G282" i="1"/>
  <c r="J281" i="1"/>
  <c r="I281" i="1"/>
  <c r="H281" i="1"/>
  <c r="G281" i="1"/>
  <c r="J280" i="1"/>
  <c r="I280" i="1"/>
  <c r="H280" i="1"/>
  <c r="G280" i="1"/>
  <c r="J279" i="1"/>
  <c r="I279" i="1"/>
  <c r="H279" i="1"/>
  <c r="G279" i="1"/>
  <c r="J278" i="1"/>
  <c r="I278" i="1"/>
  <c r="H278" i="1"/>
  <c r="G278" i="1"/>
  <c r="J277" i="1"/>
  <c r="I277" i="1"/>
  <c r="H277" i="1"/>
  <c r="G277" i="1"/>
  <c r="J276" i="1"/>
  <c r="I276" i="1"/>
  <c r="H276" i="1"/>
  <c r="G276" i="1"/>
  <c r="J275" i="1"/>
  <c r="I275" i="1"/>
  <c r="H275" i="1"/>
  <c r="G275" i="1"/>
  <c r="J274" i="1"/>
  <c r="I274" i="1"/>
  <c r="H274" i="1"/>
  <c r="G274" i="1"/>
  <c r="J273" i="1"/>
  <c r="I273" i="1"/>
  <c r="H273" i="1"/>
  <c r="G273" i="1"/>
  <c r="J272" i="1"/>
  <c r="I272" i="1"/>
  <c r="H272" i="1"/>
  <c r="G272" i="1"/>
  <c r="J271" i="1"/>
  <c r="I271" i="1"/>
  <c r="H271" i="1"/>
  <c r="G271" i="1"/>
  <c r="J270" i="1"/>
  <c r="I270" i="1"/>
  <c r="H270" i="1"/>
  <c r="G270" i="1"/>
  <c r="J269" i="1"/>
  <c r="I269" i="1"/>
  <c r="H269" i="1"/>
  <c r="G269" i="1"/>
  <c r="J268" i="1"/>
  <c r="I268" i="1"/>
  <c r="H268" i="1"/>
  <c r="G268" i="1"/>
  <c r="J267" i="1"/>
  <c r="I267" i="1"/>
  <c r="H267" i="1"/>
  <c r="G267" i="1"/>
  <c r="J266" i="1"/>
  <c r="I266" i="1"/>
  <c r="H266" i="1"/>
  <c r="G266" i="1"/>
  <c r="J265" i="1"/>
  <c r="I265" i="1"/>
  <c r="H265" i="1"/>
  <c r="G265" i="1"/>
  <c r="J264" i="1"/>
  <c r="I264" i="1"/>
  <c r="H264" i="1"/>
  <c r="G264" i="1"/>
  <c r="J263" i="1"/>
  <c r="I263" i="1"/>
  <c r="H263" i="1"/>
  <c r="G263" i="1"/>
  <c r="J262" i="1"/>
  <c r="I262" i="1"/>
  <c r="H262" i="1"/>
  <c r="G262" i="1"/>
  <c r="J261" i="1"/>
  <c r="I261" i="1"/>
  <c r="H261" i="1"/>
  <c r="G261" i="1"/>
  <c r="J260" i="1"/>
  <c r="I260" i="1"/>
  <c r="H260" i="1"/>
  <c r="G260" i="1"/>
  <c r="J259" i="1"/>
  <c r="I259" i="1"/>
  <c r="H259" i="1"/>
  <c r="G259" i="1"/>
  <c r="J258" i="1"/>
  <c r="I258" i="1"/>
  <c r="H258" i="1"/>
  <c r="G258" i="1"/>
  <c r="J257" i="1"/>
  <c r="I257" i="1"/>
  <c r="H257" i="1"/>
  <c r="G257" i="1"/>
  <c r="J256" i="1"/>
  <c r="I256" i="1"/>
  <c r="H256" i="1"/>
  <c r="G256" i="1"/>
  <c r="J255" i="1"/>
  <c r="I255" i="1"/>
  <c r="H255" i="1"/>
  <c r="G255" i="1"/>
  <c r="J254" i="1"/>
  <c r="I254" i="1"/>
  <c r="H254" i="1"/>
  <c r="G254" i="1"/>
  <c r="J253" i="1"/>
  <c r="I253" i="1"/>
  <c r="H253" i="1"/>
  <c r="G253" i="1"/>
  <c r="J252" i="1"/>
  <c r="I252" i="1"/>
  <c r="H252" i="1"/>
  <c r="G252" i="1"/>
  <c r="J251" i="1"/>
  <c r="I251" i="1"/>
  <c r="H251" i="1"/>
  <c r="G251" i="1"/>
  <c r="J250" i="1"/>
  <c r="I250" i="1"/>
  <c r="H250" i="1"/>
  <c r="G250" i="1"/>
  <c r="J249" i="1"/>
  <c r="I249" i="1"/>
  <c r="H249" i="1"/>
  <c r="G249" i="1"/>
  <c r="J248" i="1"/>
  <c r="I248" i="1"/>
  <c r="H248" i="1"/>
  <c r="G248" i="1"/>
  <c r="J247" i="1"/>
  <c r="I247" i="1"/>
  <c r="H247" i="1"/>
  <c r="G247" i="1"/>
  <c r="J246" i="1"/>
  <c r="I246" i="1"/>
  <c r="H246" i="1"/>
  <c r="G246" i="1"/>
  <c r="J245" i="1"/>
  <c r="I245" i="1"/>
  <c r="H245" i="1"/>
  <c r="G245" i="1"/>
  <c r="J244" i="1"/>
  <c r="I244" i="1"/>
  <c r="H244" i="1"/>
  <c r="G244" i="1"/>
  <c r="J243" i="1"/>
  <c r="I243" i="1"/>
  <c r="H243" i="1"/>
  <c r="G243" i="1"/>
  <c r="J242" i="1"/>
  <c r="I242" i="1"/>
  <c r="H242" i="1"/>
  <c r="G242" i="1"/>
  <c r="J241" i="1"/>
  <c r="I241" i="1"/>
  <c r="H241" i="1"/>
  <c r="G241" i="1"/>
  <c r="J240" i="1"/>
  <c r="I240" i="1"/>
  <c r="H240" i="1"/>
  <c r="G240" i="1"/>
  <c r="J239" i="1"/>
  <c r="I239" i="1"/>
  <c r="H239" i="1"/>
  <c r="G239" i="1"/>
  <c r="J238" i="1"/>
  <c r="I238" i="1"/>
  <c r="H238" i="1"/>
  <c r="G238" i="1"/>
  <c r="J237" i="1"/>
  <c r="I237" i="1"/>
  <c r="H237" i="1"/>
  <c r="G237" i="1"/>
  <c r="J236" i="1"/>
  <c r="I236" i="1"/>
  <c r="H236" i="1"/>
  <c r="G236" i="1"/>
  <c r="J235" i="1"/>
  <c r="I235" i="1"/>
  <c r="H235" i="1"/>
  <c r="G235" i="1"/>
  <c r="J234" i="1"/>
  <c r="I234" i="1"/>
  <c r="H234" i="1"/>
  <c r="G234" i="1"/>
  <c r="J233" i="1"/>
  <c r="I233" i="1"/>
  <c r="H233" i="1"/>
  <c r="G233" i="1"/>
  <c r="J232" i="1"/>
  <c r="I232" i="1"/>
  <c r="H232" i="1"/>
  <c r="G232" i="1"/>
  <c r="J231" i="1"/>
  <c r="I231" i="1"/>
  <c r="H231" i="1"/>
  <c r="G231" i="1"/>
  <c r="J230" i="1"/>
  <c r="I230" i="1"/>
  <c r="H230" i="1"/>
  <c r="G230" i="1"/>
  <c r="J229" i="1"/>
  <c r="I229" i="1"/>
  <c r="H229" i="1"/>
  <c r="G229" i="1"/>
  <c r="J228" i="1"/>
  <c r="I228" i="1"/>
  <c r="H228" i="1"/>
  <c r="G228" i="1"/>
  <c r="J227" i="1"/>
  <c r="I227" i="1"/>
  <c r="H227" i="1"/>
  <c r="G227" i="1"/>
  <c r="J226" i="1"/>
  <c r="I226" i="1"/>
  <c r="H226" i="1"/>
  <c r="G226" i="1"/>
  <c r="J225" i="1"/>
  <c r="I225" i="1"/>
  <c r="H225" i="1"/>
  <c r="G225" i="1"/>
  <c r="J224" i="1"/>
  <c r="I224" i="1"/>
  <c r="H224" i="1"/>
  <c r="G224" i="1"/>
  <c r="J223" i="1"/>
  <c r="I223" i="1"/>
  <c r="H223" i="1"/>
  <c r="G223" i="1"/>
  <c r="J222" i="1"/>
  <c r="I222" i="1"/>
  <c r="H222" i="1"/>
  <c r="G222" i="1"/>
  <c r="J221" i="1"/>
  <c r="I221" i="1"/>
  <c r="H221" i="1"/>
  <c r="G221" i="1"/>
  <c r="J220" i="1"/>
  <c r="I220" i="1"/>
  <c r="H220" i="1"/>
  <c r="G220" i="1"/>
  <c r="J219" i="1"/>
  <c r="I219" i="1"/>
  <c r="H219" i="1"/>
  <c r="G219" i="1"/>
  <c r="J218" i="1"/>
  <c r="I218" i="1"/>
  <c r="H218" i="1"/>
  <c r="G218" i="1"/>
  <c r="J217" i="1"/>
  <c r="I217" i="1"/>
  <c r="H217" i="1"/>
  <c r="G217" i="1"/>
  <c r="J216" i="1"/>
  <c r="I216" i="1"/>
  <c r="H216" i="1"/>
  <c r="G216" i="1"/>
  <c r="J215" i="1"/>
  <c r="I215" i="1"/>
  <c r="H215" i="1"/>
  <c r="G215" i="1"/>
  <c r="J214" i="1"/>
  <c r="I214" i="1"/>
  <c r="H214" i="1"/>
  <c r="G214" i="1"/>
  <c r="J213" i="1"/>
  <c r="I213" i="1"/>
  <c r="H213" i="1"/>
  <c r="G213" i="1"/>
  <c r="J212" i="1"/>
  <c r="I212" i="1"/>
  <c r="H212" i="1"/>
  <c r="G212" i="1"/>
  <c r="J211" i="1"/>
  <c r="I211" i="1"/>
  <c r="H211" i="1"/>
  <c r="G211" i="1"/>
  <c r="J210" i="1"/>
  <c r="I210" i="1"/>
  <c r="H210" i="1"/>
  <c r="G210" i="1"/>
  <c r="J209" i="1"/>
  <c r="I209" i="1"/>
  <c r="H209" i="1"/>
  <c r="G209" i="1"/>
  <c r="J208" i="1"/>
  <c r="I208" i="1"/>
  <c r="H208" i="1"/>
  <c r="G208" i="1"/>
  <c r="J207" i="1"/>
  <c r="I207" i="1"/>
  <c r="H207" i="1"/>
  <c r="G207" i="1"/>
  <c r="J206" i="1"/>
  <c r="I206" i="1"/>
  <c r="H206" i="1"/>
  <c r="G206" i="1"/>
  <c r="J205" i="1"/>
  <c r="I205" i="1"/>
  <c r="H205" i="1"/>
  <c r="G205" i="1"/>
  <c r="J204" i="1"/>
  <c r="I204" i="1"/>
  <c r="H204" i="1"/>
  <c r="G204" i="1"/>
  <c r="J203" i="1"/>
  <c r="I203" i="1"/>
  <c r="H203" i="1"/>
  <c r="G203" i="1"/>
  <c r="J202" i="1"/>
  <c r="I202" i="1"/>
  <c r="H202" i="1"/>
  <c r="G202" i="1"/>
  <c r="J201" i="1"/>
  <c r="I201" i="1"/>
  <c r="H201" i="1"/>
  <c r="G201" i="1"/>
  <c r="J200" i="1"/>
  <c r="I200" i="1"/>
  <c r="H200" i="1"/>
  <c r="G200" i="1"/>
  <c r="J199" i="1"/>
  <c r="I199" i="1"/>
  <c r="H199" i="1"/>
  <c r="G199" i="1"/>
  <c r="J198" i="1"/>
  <c r="I198" i="1"/>
  <c r="H198" i="1"/>
  <c r="G198" i="1"/>
  <c r="J197" i="1"/>
  <c r="I197" i="1"/>
  <c r="H197" i="1"/>
  <c r="G197" i="1"/>
  <c r="J196" i="1"/>
  <c r="I196" i="1"/>
  <c r="H196" i="1"/>
  <c r="G196" i="1"/>
  <c r="J195" i="1"/>
  <c r="I195" i="1"/>
  <c r="H195" i="1"/>
  <c r="G195" i="1"/>
  <c r="J194" i="1"/>
  <c r="I194" i="1"/>
  <c r="H194" i="1"/>
  <c r="G194" i="1"/>
  <c r="J193" i="1"/>
  <c r="I193" i="1"/>
  <c r="H193" i="1"/>
  <c r="G193" i="1"/>
  <c r="J192" i="1"/>
  <c r="I192" i="1"/>
  <c r="H192" i="1"/>
  <c r="G192" i="1"/>
  <c r="J191" i="1"/>
  <c r="I191" i="1"/>
  <c r="H191" i="1"/>
  <c r="G191" i="1"/>
  <c r="J190" i="1"/>
  <c r="I190" i="1"/>
  <c r="H190" i="1"/>
  <c r="G190" i="1"/>
  <c r="J189" i="1"/>
  <c r="I189" i="1"/>
  <c r="H189" i="1"/>
  <c r="G189" i="1"/>
  <c r="J188" i="1"/>
  <c r="I188" i="1"/>
  <c r="H188" i="1"/>
  <c r="G188" i="1"/>
  <c r="J187" i="1"/>
  <c r="I187" i="1"/>
  <c r="H187" i="1"/>
  <c r="G187" i="1"/>
  <c r="J186" i="1"/>
  <c r="I186" i="1"/>
  <c r="H186" i="1"/>
  <c r="G186" i="1"/>
  <c r="J185" i="1"/>
  <c r="I185" i="1"/>
  <c r="H185" i="1"/>
  <c r="G185" i="1"/>
  <c r="J184" i="1"/>
  <c r="I184" i="1"/>
  <c r="H184" i="1"/>
  <c r="G184" i="1"/>
  <c r="J183" i="1"/>
  <c r="I183" i="1"/>
  <c r="H183" i="1"/>
  <c r="G183" i="1"/>
  <c r="J182" i="1"/>
  <c r="I182" i="1"/>
  <c r="H182" i="1"/>
  <c r="G182" i="1"/>
  <c r="J181" i="1"/>
  <c r="I181" i="1"/>
  <c r="H181" i="1"/>
  <c r="G181" i="1"/>
  <c r="J180" i="1"/>
  <c r="I180" i="1"/>
  <c r="H180" i="1"/>
  <c r="G180" i="1"/>
  <c r="J179" i="1"/>
  <c r="I179" i="1"/>
  <c r="H179" i="1"/>
  <c r="G179" i="1"/>
  <c r="J178" i="1"/>
  <c r="I178" i="1"/>
  <c r="H178" i="1"/>
  <c r="G178" i="1"/>
  <c r="J177" i="1"/>
  <c r="I177" i="1"/>
  <c r="H177" i="1"/>
  <c r="G177" i="1"/>
  <c r="J176" i="1"/>
  <c r="I176" i="1"/>
  <c r="H176" i="1"/>
  <c r="G176" i="1"/>
  <c r="J175" i="1"/>
  <c r="I175" i="1"/>
  <c r="H175" i="1"/>
  <c r="G175" i="1"/>
  <c r="J174" i="1"/>
  <c r="I174" i="1"/>
  <c r="H174" i="1"/>
  <c r="G174" i="1"/>
  <c r="J173" i="1"/>
  <c r="I173" i="1"/>
  <c r="H173" i="1"/>
  <c r="G173" i="1"/>
  <c r="J172" i="1"/>
  <c r="I172" i="1"/>
  <c r="H172" i="1"/>
  <c r="G172" i="1"/>
  <c r="J171" i="1"/>
  <c r="I171" i="1"/>
  <c r="H171" i="1"/>
  <c r="G171" i="1"/>
  <c r="J170" i="1"/>
  <c r="I170" i="1"/>
  <c r="H170" i="1"/>
  <c r="G170" i="1"/>
  <c r="J169" i="1"/>
  <c r="I169" i="1"/>
  <c r="H169" i="1"/>
  <c r="G169" i="1"/>
  <c r="J168" i="1"/>
  <c r="I168" i="1"/>
  <c r="H168" i="1"/>
  <c r="G168" i="1"/>
  <c r="J167" i="1"/>
  <c r="I167" i="1"/>
  <c r="H167" i="1"/>
  <c r="G167" i="1"/>
  <c r="J166" i="1"/>
  <c r="I166" i="1"/>
  <c r="H166" i="1"/>
  <c r="G166" i="1"/>
  <c r="J165" i="1"/>
  <c r="I165" i="1"/>
  <c r="H165" i="1"/>
  <c r="G165" i="1"/>
  <c r="J164" i="1"/>
  <c r="I164" i="1"/>
  <c r="H164" i="1"/>
  <c r="G164" i="1"/>
  <c r="J163" i="1"/>
  <c r="I163" i="1"/>
  <c r="H163" i="1"/>
  <c r="G163" i="1"/>
  <c r="J162" i="1"/>
  <c r="I162" i="1"/>
  <c r="H162" i="1"/>
  <c r="G162" i="1"/>
  <c r="J161" i="1"/>
  <c r="I161" i="1"/>
  <c r="H161" i="1"/>
  <c r="G161" i="1"/>
  <c r="J160" i="1"/>
  <c r="I160" i="1"/>
  <c r="H160" i="1"/>
  <c r="G160" i="1"/>
  <c r="J159" i="1"/>
  <c r="I159" i="1"/>
  <c r="H159" i="1"/>
  <c r="G159" i="1"/>
  <c r="J158" i="1"/>
  <c r="I158" i="1"/>
  <c r="H158" i="1"/>
  <c r="G158" i="1"/>
  <c r="J157" i="1"/>
  <c r="I157" i="1"/>
  <c r="H157" i="1"/>
  <c r="G157" i="1"/>
  <c r="J156" i="1"/>
  <c r="I156" i="1"/>
  <c r="H156" i="1"/>
  <c r="G156" i="1"/>
  <c r="J155" i="1"/>
  <c r="I155" i="1"/>
  <c r="H155" i="1"/>
  <c r="G155" i="1"/>
  <c r="J154" i="1"/>
  <c r="I154" i="1"/>
  <c r="H154" i="1"/>
  <c r="G154" i="1"/>
  <c r="J153" i="1"/>
  <c r="I153" i="1"/>
  <c r="H153" i="1"/>
  <c r="G153" i="1"/>
  <c r="J152" i="1"/>
  <c r="I152" i="1"/>
  <c r="H152" i="1"/>
  <c r="G152" i="1"/>
  <c r="J151" i="1"/>
  <c r="I151" i="1"/>
  <c r="H151" i="1"/>
  <c r="G151" i="1"/>
  <c r="J150" i="1"/>
  <c r="I150" i="1"/>
  <c r="H150" i="1"/>
  <c r="G150" i="1"/>
  <c r="J149" i="1"/>
  <c r="I149" i="1"/>
  <c r="H149" i="1"/>
  <c r="G149" i="1"/>
  <c r="J148" i="1"/>
  <c r="I148" i="1"/>
  <c r="H148" i="1"/>
  <c r="G148" i="1"/>
  <c r="J147" i="1"/>
  <c r="I147" i="1"/>
  <c r="H147" i="1"/>
  <c r="G147" i="1"/>
  <c r="J146" i="1"/>
  <c r="I146" i="1"/>
  <c r="H146" i="1"/>
  <c r="G146" i="1"/>
  <c r="J145" i="1"/>
  <c r="I145" i="1"/>
  <c r="H145" i="1"/>
  <c r="G145" i="1"/>
  <c r="J144" i="1"/>
  <c r="I144" i="1"/>
  <c r="H144" i="1"/>
  <c r="G144" i="1"/>
  <c r="J143" i="1"/>
  <c r="I143" i="1"/>
  <c r="H143" i="1"/>
  <c r="G143" i="1"/>
  <c r="J142" i="1"/>
  <c r="I142" i="1"/>
  <c r="H142" i="1"/>
  <c r="G142" i="1"/>
  <c r="J141" i="1"/>
  <c r="I141" i="1"/>
  <c r="H141" i="1"/>
  <c r="G141" i="1"/>
  <c r="J140" i="1"/>
  <c r="I140" i="1"/>
  <c r="H140" i="1"/>
  <c r="G140" i="1"/>
  <c r="J139" i="1"/>
  <c r="I139" i="1"/>
  <c r="H139" i="1"/>
  <c r="G139" i="1"/>
  <c r="J138" i="1"/>
  <c r="I138" i="1"/>
  <c r="H138" i="1"/>
  <c r="G138" i="1"/>
  <c r="J137" i="1"/>
  <c r="I137" i="1"/>
  <c r="H137" i="1"/>
  <c r="G137" i="1"/>
  <c r="J136" i="1"/>
  <c r="I136" i="1"/>
  <c r="H136" i="1"/>
  <c r="G136" i="1"/>
  <c r="J135" i="1"/>
  <c r="I135" i="1"/>
  <c r="H135" i="1"/>
  <c r="G135" i="1"/>
  <c r="J134" i="1"/>
  <c r="I134" i="1"/>
  <c r="H134" i="1"/>
  <c r="G134" i="1"/>
  <c r="J133" i="1"/>
  <c r="I133" i="1"/>
  <c r="H133" i="1"/>
  <c r="G133" i="1"/>
  <c r="J132" i="1"/>
  <c r="I132" i="1"/>
  <c r="H132" i="1"/>
  <c r="G132" i="1"/>
  <c r="J131" i="1"/>
  <c r="I131" i="1"/>
  <c r="H131" i="1"/>
  <c r="G131" i="1"/>
  <c r="J130" i="1"/>
  <c r="I130" i="1"/>
  <c r="H130" i="1"/>
  <c r="G130" i="1"/>
  <c r="J129" i="1"/>
  <c r="I129" i="1"/>
  <c r="H129" i="1"/>
  <c r="G129" i="1"/>
  <c r="J128" i="1"/>
  <c r="I128" i="1"/>
  <c r="H128" i="1"/>
  <c r="G128" i="1"/>
  <c r="J127" i="1"/>
  <c r="I127" i="1"/>
  <c r="H127" i="1"/>
  <c r="G127" i="1"/>
  <c r="J126" i="1"/>
  <c r="I126" i="1"/>
  <c r="H126" i="1"/>
  <c r="G126" i="1"/>
  <c r="J125" i="1"/>
  <c r="I125" i="1"/>
  <c r="H125" i="1"/>
  <c r="G125" i="1"/>
  <c r="J124" i="1"/>
  <c r="I124" i="1"/>
  <c r="H124" i="1"/>
  <c r="G124" i="1"/>
  <c r="J123" i="1"/>
  <c r="I123" i="1"/>
  <c r="H123" i="1"/>
  <c r="G123" i="1"/>
  <c r="J122" i="1"/>
  <c r="I122" i="1"/>
  <c r="H122" i="1"/>
  <c r="G122" i="1"/>
  <c r="J121" i="1"/>
  <c r="I121" i="1"/>
  <c r="H121" i="1"/>
  <c r="G121" i="1"/>
  <c r="J120" i="1"/>
  <c r="I120" i="1"/>
  <c r="H120" i="1"/>
  <c r="G120" i="1"/>
  <c r="J119" i="1"/>
  <c r="I119" i="1"/>
  <c r="H119" i="1"/>
  <c r="G119" i="1"/>
  <c r="J118" i="1"/>
  <c r="I118" i="1"/>
  <c r="H118" i="1"/>
  <c r="G118" i="1"/>
  <c r="J117" i="1"/>
  <c r="I117" i="1"/>
  <c r="H117" i="1"/>
  <c r="G117" i="1"/>
  <c r="J116" i="1"/>
  <c r="I116" i="1"/>
  <c r="H116" i="1"/>
  <c r="G116" i="1"/>
  <c r="J115" i="1"/>
  <c r="I115" i="1"/>
  <c r="H115" i="1"/>
  <c r="G115" i="1"/>
  <c r="J114" i="1"/>
  <c r="I114" i="1"/>
  <c r="H114" i="1"/>
  <c r="G114" i="1"/>
  <c r="J113" i="1"/>
  <c r="I113" i="1"/>
  <c r="H113" i="1"/>
  <c r="G113" i="1"/>
  <c r="J112" i="1"/>
  <c r="I112" i="1"/>
  <c r="H112" i="1"/>
  <c r="G112" i="1"/>
  <c r="J111" i="1"/>
  <c r="I111" i="1"/>
  <c r="H111" i="1"/>
  <c r="G111" i="1"/>
  <c r="J110" i="1"/>
  <c r="I110" i="1"/>
  <c r="H110" i="1"/>
  <c r="G110" i="1"/>
  <c r="J109" i="1"/>
  <c r="I109" i="1"/>
  <c r="H109" i="1"/>
  <c r="G109" i="1"/>
  <c r="J108" i="1"/>
  <c r="I108" i="1"/>
  <c r="H108" i="1"/>
  <c r="G108" i="1"/>
  <c r="J107" i="1"/>
  <c r="I107" i="1"/>
  <c r="H107" i="1"/>
  <c r="G107" i="1"/>
  <c r="J106" i="1"/>
  <c r="I106" i="1"/>
  <c r="H106" i="1"/>
  <c r="G106" i="1"/>
  <c r="J105" i="1"/>
  <c r="I105" i="1"/>
  <c r="H105" i="1"/>
  <c r="G105" i="1"/>
  <c r="J104" i="1"/>
  <c r="I104" i="1"/>
  <c r="H104" i="1"/>
  <c r="G104" i="1"/>
  <c r="J103" i="1"/>
  <c r="I103" i="1"/>
  <c r="H103" i="1"/>
  <c r="G103" i="1"/>
  <c r="J102" i="1"/>
  <c r="I102" i="1"/>
  <c r="H102" i="1"/>
  <c r="G102" i="1"/>
  <c r="J101" i="1"/>
  <c r="I101" i="1"/>
  <c r="H101" i="1"/>
  <c r="G101" i="1"/>
  <c r="J100" i="1"/>
  <c r="I100" i="1"/>
  <c r="H100" i="1"/>
  <c r="G100" i="1"/>
  <c r="J99" i="1"/>
  <c r="I99" i="1"/>
  <c r="H99" i="1"/>
  <c r="G99" i="1"/>
  <c r="J98" i="1"/>
  <c r="I98" i="1"/>
  <c r="H98" i="1"/>
  <c r="G98" i="1"/>
  <c r="J97" i="1"/>
  <c r="I97" i="1"/>
  <c r="H97" i="1"/>
  <c r="G97" i="1"/>
  <c r="J96" i="1"/>
  <c r="I96" i="1"/>
  <c r="H96" i="1"/>
  <c r="G96" i="1"/>
  <c r="J95" i="1"/>
  <c r="I95" i="1"/>
  <c r="H95" i="1"/>
  <c r="G95" i="1"/>
  <c r="J94" i="1"/>
  <c r="I94" i="1"/>
  <c r="H94" i="1"/>
  <c r="G94" i="1"/>
  <c r="J93" i="1"/>
  <c r="I93" i="1"/>
  <c r="H93" i="1"/>
  <c r="G93" i="1"/>
  <c r="J92" i="1"/>
  <c r="I92" i="1"/>
  <c r="H92" i="1"/>
  <c r="G92" i="1"/>
  <c r="J91" i="1"/>
  <c r="I91" i="1"/>
  <c r="H91" i="1"/>
  <c r="G91" i="1"/>
  <c r="J90" i="1"/>
  <c r="I90" i="1"/>
  <c r="H90" i="1"/>
  <c r="G90" i="1"/>
  <c r="J89" i="1"/>
  <c r="I89" i="1"/>
  <c r="H89" i="1"/>
  <c r="G89" i="1"/>
  <c r="J88" i="1"/>
  <c r="I88" i="1"/>
  <c r="H88" i="1"/>
  <c r="G88" i="1"/>
  <c r="J87" i="1"/>
  <c r="I87" i="1"/>
  <c r="H87" i="1"/>
  <c r="G87" i="1"/>
  <c r="J86" i="1"/>
  <c r="I86" i="1"/>
  <c r="H86" i="1"/>
  <c r="G86" i="1"/>
  <c r="J85" i="1"/>
  <c r="I85" i="1"/>
  <c r="H85" i="1"/>
  <c r="G85" i="1"/>
  <c r="J84" i="1"/>
  <c r="I84" i="1"/>
  <c r="H84" i="1"/>
  <c r="G84" i="1"/>
  <c r="J83" i="1"/>
  <c r="I83" i="1"/>
  <c r="H83" i="1"/>
  <c r="G83" i="1"/>
  <c r="J82" i="1"/>
  <c r="I82" i="1"/>
  <c r="H82" i="1"/>
  <c r="G82" i="1"/>
  <c r="J81" i="1"/>
  <c r="I81" i="1"/>
  <c r="H81" i="1"/>
  <c r="G81" i="1"/>
  <c r="J80" i="1"/>
  <c r="I80" i="1"/>
  <c r="H80" i="1"/>
  <c r="G80" i="1"/>
  <c r="J79" i="1"/>
  <c r="I79" i="1"/>
  <c r="H79" i="1"/>
  <c r="G79" i="1"/>
  <c r="J78" i="1"/>
  <c r="I78" i="1"/>
  <c r="H78" i="1"/>
  <c r="G78" i="1"/>
  <c r="J77" i="1"/>
  <c r="I77" i="1"/>
  <c r="H77" i="1"/>
  <c r="G77" i="1"/>
  <c r="J76" i="1"/>
  <c r="I76" i="1"/>
  <c r="H76" i="1"/>
  <c r="G76" i="1"/>
  <c r="J75" i="1"/>
  <c r="I75" i="1"/>
  <c r="H75" i="1"/>
  <c r="G75" i="1"/>
  <c r="J74" i="1"/>
  <c r="I74" i="1"/>
  <c r="H74" i="1"/>
  <c r="G74" i="1"/>
  <c r="J73" i="1"/>
  <c r="I73" i="1"/>
  <c r="H73" i="1"/>
  <c r="G73" i="1"/>
  <c r="J72" i="1"/>
  <c r="I72" i="1"/>
  <c r="H72" i="1"/>
  <c r="G72" i="1"/>
  <c r="J71" i="1"/>
  <c r="I71" i="1"/>
  <c r="H71" i="1"/>
  <c r="G71" i="1"/>
  <c r="J70" i="1"/>
  <c r="I70" i="1"/>
  <c r="H70" i="1"/>
  <c r="G70" i="1"/>
  <c r="J69" i="1"/>
  <c r="I69" i="1"/>
  <c r="H69" i="1"/>
  <c r="G69" i="1"/>
  <c r="J68" i="1"/>
  <c r="I68" i="1"/>
  <c r="H68" i="1"/>
  <c r="G68" i="1"/>
  <c r="J67" i="1"/>
  <c r="I67" i="1"/>
  <c r="H67" i="1"/>
  <c r="G67" i="1"/>
  <c r="J66" i="1"/>
  <c r="I66" i="1"/>
  <c r="H66" i="1"/>
  <c r="G66" i="1"/>
  <c r="J65" i="1"/>
  <c r="I65" i="1"/>
  <c r="H65" i="1"/>
  <c r="G65" i="1"/>
  <c r="J64" i="1"/>
  <c r="I64" i="1"/>
  <c r="H64" i="1"/>
  <c r="G64" i="1"/>
  <c r="J63" i="1"/>
  <c r="I63" i="1"/>
  <c r="H63" i="1"/>
  <c r="G63" i="1"/>
  <c r="J62" i="1"/>
  <c r="I62" i="1"/>
  <c r="H62" i="1"/>
  <c r="G62" i="1"/>
  <c r="J61" i="1"/>
  <c r="I61" i="1"/>
  <c r="H61" i="1"/>
  <c r="G61" i="1"/>
  <c r="J60" i="1"/>
  <c r="I60" i="1"/>
  <c r="H60" i="1"/>
  <c r="G60" i="1"/>
  <c r="J59" i="1"/>
  <c r="I59" i="1"/>
  <c r="H59" i="1"/>
  <c r="G59" i="1"/>
  <c r="J58" i="1"/>
  <c r="I58" i="1"/>
  <c r="H58" i="1"/>
  <c r="G58" i="1"/>
  <c r="J57" i="1"/>
  <c r="I57" i="1"/>
  <c r="H57" i="1"/>
  <c r="G57" i="1"/>
  <c r="J56" i="1"/>
  <c r="I56" i="1"/>
  <c r="H56" i="1"/>
  <c r="G56" i="1"/>
  <c r="J55" i="1"/>
  <c r="I55" i="1"/>
  <c r="H55" i="1"/>
  <c r="G55" i="1"/>
  <c r="J54" i="1"/>
  <c r="I54" i="1"/>
  <c r="H54" i="1"/>
  <c r="G54" i="1"/>
  <c r="J53" i="1"/>
  <c r="I53" i="1"/>
  <c r="H53" i="1"/>
  <c r="G53" i="1"/>
  <c r="J52" i="1"/>
  <c r="I52" i="1"/>
  <c r="H52" i="1"/>
  <c r="G52" i="1"/>
  <c r="J51" i="1"/>
  <c r="I51" i="1"/>
  <c r="H51" i="1"/>
  <c r="G51" i="1"/>
  <c r="J50" i="1"/>
  <c r="I50" i="1"/>
  <c r="H50" i="1"/>
  <c r="G50" i="1"/>
  <c r="J49" i="1"/>
  <c r="I49" i="1"/>
  <c r="H49" i="1"/>
  <c r="G49" i="1"/>
  <c r="J48" i="1"/>
  <c r="I48" i="1"/>
  <c r="H48" i="1"/>
  <c r="G48" i="1"/>
  <c r="J47" i="1"/>
  <c r="I47" i="1"/>
  <c r="H47" i="1"/>
  <c r="G47" i="1"/>
  <c r="J46" i="1"/>
  <c r="I46" i="1"/>
  <c r="H46" i="1"/>
  <c r="G46" i="1"/>
  <c r="J45" i="1"/>
  <c r="I45" i="1"/>
  <c r="H45" i="1"/>
  <c r="G45" i="1"/>
  <c r="J44" i="1"/>
  <c r="I44" i="1"/>
  <c r="H44" i="1"/>
  <c r="G44" i="1"/>
  <c r="J43" i="1"/>
  <c r="I43" i="1"/>
  <c r="H43" i="1"/>
  <c r="G43" i="1"/>
  <c r="J42" i="1"/>
  <c r="I42" i="1"/>
  <c r="H42" i="1"/>
  <c r="G42" i="1"/>
  <c r="J41" i="1"/>
  <c r="I41" i="1"/>
  <c r="H41" i="1"/>
  <c r="G41" i="1"/>
  <c r="J40" i="1"/>
  <c r="I40" i="1"/>
  <c r="H40" i="1"/>
  <c r="G40" i="1"/>
  <c r="J39" i="1"/>
  <c r="I39" i="1"/>
  <c r="H39" i="1"/>
  <c r="G39" i="1"/>
  <c r="J38" i="1"/>
  <c r="I38" i="1"/>
  <c r="H38" i="1"/>
  <c r="G38" i="1"/>
  <c r="J37" i="1"/>
  <c r="I37" i="1"/>
  <c r="H37" i="1"/>
  <c r="G37" i="1"/>
  <c r="J36" i="1"/>
  <c r="I36" i="1"/>
  <c r="H36" i="1"/>
  <c r="G36" i="1"/>
  <c r="J35" i="1"/>
  <c r="I35" i="1"/>
  <c r="H35" i="1"/>
  <c r="G35" i="1"/>
  <c r="J34" i="1"/>
  <c r="I34" i="1"/>
  <c r="H34" i="1"/>
  <c r="G34" i="1"/>
  <c r="J33" i="1"/>
  <c r="I33" i="1"/>
  <c r="H33" i="1"/>
  <c r="G33" i="1"/>
  <c r="J32" i="1"/>
  <c r="I32" i="1"/>
  <c r="H32" i="1"/>
  <c r="G32" i="1"/>
  <c r="J31" i="1"/>
  <c r="I31" i="1"/>
  <c r="H31" i="1"/>
  <c r="G31" i="1"/>
  <c r="J30" i="1"/>
  <c r="I30" i="1"/>
  <c r="H30" i="1"/>
  <c r="G30" i="1"/>
  <c r="J29" i="1"/>
  <c r="I29" i="1"/>
  <c r="H29" i="1"/>
  <c r="G29" i="1"/>
  <c r="J28" i="1"/>
  <c r="I28" i="1"/>
  <c r="H28" i="1"/>
  <c r="G28" i="1"/>
  <c r="J27" i="1"/>
  <c r="I27" i="1"/>
  <c r="H27" i="1"/>
  <c r="G27" i="1"/>
  <c r="J26" i="1"/>
  <c r="I26" i="1"/>
  <c r="H26" i="1"/>
  <c r="G26" i="1"/>
  <c r="J25" i="1"/>
  <c r="I25" i="1"/>
  <c r="H25" i="1"/>
  <c r="G25" i="1"/>
  <c r="J24" i="1"/>
  <c r="I24" i="1"/>
  <c r="H24" i="1"/>
  <c r="G24" i="1"/>
  <c r="J23" i="1"/>
  <c r="I23" i="1"/>
  <c r="H23" i="1"/>
  <c r="G23" i="1"/>
  <c r="J22" i="1"/>
  <c r="I22" i="1"/>
  <c r="H22" i="1"/>
  <c r="G22" i="1"/>
  <c r="J21" i="1"/>
  <c r="I21" i="1"/>
  <c r="H21" i="1"/>
  <c r="G21" i="1"/>
  <c r="J20" i="1"/>
  <c r="I20" i="1"/>
  <c r="H20" i="1"/>
  <c r="G20" i="1"/>
  <c r="J19" i="1"/>
  <c r="I19" i="1"/>
  <c r="H19" i="1"/>
  <c r="G19" i="1"/>
  <c r="J18" i="1"/>
  <c r="I18" i="1"/>
  <c r="H18" i="1"/>
  <c r="G18" i="1"/>
  <c r="J17" i="1"/>
  <c r="I17" i="1"/>
  <c r="H17" i="1"/>
  <c r="G17" i="1"/>
  <c r="J16" i="1"/>
  <c r="I16" i="1"/>
  <c r="H16" i="1"/>
  <c r="G16" i="1"/>
  <c r="J15" i="1"/>
  <c r="I15" i="1"/>
  <c r="H15" i="1"/>
  <c r="G15" i="1"/>
  <c r="M14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J10" i="1"/>
  <c r="I10" i="1"/>
  <c r="H10" i="1"/>
  <c r="G10" i="1"/>
  <c r="M9" i="1"/>
  <c r="J9" i="1"/>
  <c r="I9" i="1"/>
  <c r="H9" i="1"/>
  <c r="G9" i="1"/>
  <c r="J8" i="1"/>
  <c r="I8" i="1"/>
  <c r="H8" i="1"/>
  <c r="G8" i="1"/>
  <c r="M7" i="1"/>
  <c r="J7" i="1"/>
  <c r="I7" i="1"/>
  <c r="H7" i="1"/>
  <c r="G7" i="1"/>
  <c r="M6" i="1"/>
  <c r="J6" i="1"/>
  <c r="I6" i="1"/>
  <c r="H6" i="1"/>
  <c r="G6" i="1"/>
  <c r="M5" i="1"/>
  <c r="J5" i="1"/>
  <c r="I5" i="1"/>
  <c r="H5" i="1"/>
  <c r="G5" i="1"/>
  <c r="M4" i="1"/>
  <c r="M10" i="1" l="1"/>
  <c r="L14" i="2"/>
  <c r="F22" i="3" s="1"/>
  <c r="H14" i="2"/>
  <c r="K14" i="2"/>
  <c r="G14" i="2"/>
  <c r="J14" i="2"/>
  <c r="M8" i="1"/>
  <c r="M13" i="1" s="1"/>
  <c r="M15" i="1"/>
  <c r="L18" i="2"/>
  <c r="F26" i="3" s="1"/>
  <c r="H18" i="2"/>
  <c r="K18" i="2"/>
  <c r="G18" i="2"/>
  <c r="J18" i="2"/>
  <c r="L34" i="2"/>
  <c r="F42" i="3" s="1"/>
  <c r="H34" i="2"/>
  <c r="K34" i="2"/>
  <c r="G34" i="2"/>
  <c r="J34" i="2"/>
  <c r="L30" i="2"/>
  <c r="F38" i="3" s="1"/>
  <c r="H30" i="2"/>
  <c r="K30" i="2"/>
  <c r="G30" i="2"/>
  <c r="J30" i="2"/>
  <c r="L22" i="2"/>
  <c r="F30" i="3" s="1"/>
  <c r="H22" i="2"/>
  <c r="K22" i="2"/>
  <c r="G22" i="2"/>
  <c r="J22" i="2"/>
  <c r="R5" i="2"/>
  <c r="O5" i="2"/>
  <c r="R4" i="2" s="1"/>
  <c r="M14" i="2"/>
  <c r="H22" i="3" s="1"/>
  <c r="L26" i="2"/>
  <c r="F34" i="3" s="1"/>
  <c r="H26" i="2"/>
  <c r="K26" i="2"/>
  <c r="G26" i="2"/>
  <c r="J26" i="2"/>
  <c r="M30" i="2"/>
  <c r="H38" i="3" s="1"/>
  <c r="M13" i="2"/>
  <c r="H21" i="3" s="1"/>
  <c r="M17" i="2"/>
  <c r="H25" i="3" s="1"/>
  <c r="M21" i="2"/>
  <c r="H29" i="3" s="1"/>
  <c r="M25" i="2"/>
  <c r="H33" i="3" s="1"/>
  <c r="M29" i="2"/>
  <c r="H37" i="3" s="1"/>
  <c r="M33" i="2"/>
  <c r="H41" i="3" s="1"/>
  <c r="H5" i="2"/>
  <c r="L5" i="2"/>
  <c r="F13" i="3" s="1"/>
  <c r="H6" i="2"/>
  <c r="L6" i="2"/>
  <c r="F14" i="3" s="1"/>
  <c r="H7" i="2"/>
  <c r="L7" i="2"/>
  <c r="F15" i="3" s="1"/>
  <c r="H8" i="2"/>
  <c r="L8" i="2"/>
  <c r="F16" i="3" s="1"/>
  <c r="H9" i="2"/>
  <c r="L9" i="2"/>
  <c r="F17" i="3" s="1"/>
  <c r="H10" i="2"/>
  <c r="L10" i="2"/>
  <c r="F18" i="3" s="1"/>
  <c r="H11" i="2"/>
  <c r="L11" i="2"/>
  <c r="F19" i="3" s="1"/>
  <c r="J13" i="2"/>
  <c r="H15" i="2"/>
  <c r="L15" i="2"/>
  <c r="F23" i="3" s="1"/>
  <c r="J17" i="2"/>
  <c r="H19" i="2"/>
  <c r="L19" i="2"/>
  <c r="F27" i="3" s="1"/>
  <c r="J21" i="2"/>
  <c r="H23" i="2"/>
  <c r="L23" i="2"/>
  <c r="F31" i="3" s="1"/>
  <c r="J25" i="2"/>
  <c r="H27" i="2"/>
  <c r="L27" i="2"/>
  <c r="F35" i="3" s="1"/>
  <c r="J29" i="2"/>
  <c r="H31" i="2"/>
  <c r="L31" i="2"/>
  <c r="F39" i="3" s="1"/>
  <c r="J33" i="2"/>
  <c r="F43" i="3"/>
  <c r="A45" i="3"/>
  <c r="G13" i="2"/>
  <c r="G17" i="2"/>
  <c r="G21" i="2"/>
  <c r="G25" i="2"/>
  <c r="G29" i="2"/>
  <c r="G33" i="2"/>
  <c r="R10" i="2" l="1"/>
  <c r="R9" i="2"/>
  <c r="R8" i="2"/>
  <c r="R7" i="2"/>
  <c r="M11" i="1"/>
  <c r="M12" i="1" s="1"/>
</calcChain>
</file>

<file path=xl/sharedStrings.xml><?xml version="1.0" encoding="utf-8"?>
<sst xmlns="http://schemas.openxmlformats.org/spreadsheetml/2006/main" count="125" uniqueCount="111">
  <si>
    <t>Реестр взаиморасчётов</t>
  </si>
  <si>
    <t>Одна строка — одна операция. Начисления вводите положительными суммами, оплаты и зачёты — тоже положительными: знак ставит тип операции. Каждая операция, влияющая на долг, относится к конкретному акту: идентификатор акта в колонке F должен совпадать со строкой листа «Долг по актам». Система не распределяет платежи между актами сама — очередность зачёта определяется назначением платежа и договором, и правовой вывод за вас никто не делает. Спорные операции — «Удержание», «Зачёт встречного требования», «Неустойка заявлена», «Допработы без соглашения (спорно)» — общий долг не уменьшают: их сумма показывается отдельно как спорная часть, у каждой обязателен акт. В расчёт процентов и претензию идёт только бесспорная часть. Строк 500; записи ниже таблицы блокируют итог, а не отбрасываются.</t>
  </si>
  <si>
    <t>№</t>
  </si>
  <si>
    <t>Дата</t>
  </si>
  <si>
    <t>Тип операции</t>
  </si>
  <si>
    <t>Документ (№, дата)</t>
  </si>
  <si>
    <t>Сумма, руб.</t>
  </si>
  <si>
    <t>Акт (идентификатор, как в «Долг по актам»)</t>
  </si>
  <si>
    <t>Влияние на общий долг</t>
  </si>
  <si>
    <t>Спорная сумма (границы B2, B5)</t>
  </si>
  <si>
    <t>Проверка строки</t>
  </si>
  <si>
    <t>Общий долг нарастающим итогом</t>
  </si>
  <si>
    <t>Начислено по актам</t>
  </si>
  <si>
    <t>Оплачено</t>
  </si>
  <si>
    <t>Зачтён аванс</t>
  </si>
  <si>
    <t>Корректировки</t>
  </si>
  <si>
    <t>Спорные операции (удержание, зачёт встречного требования, неустойка, допработы без соглашения)</t>
  </si>
  <si>
    <t>Операций ниже таблицы (не учтены)</t>
  </si>
  <si>
    <t>ОБЩИЙ ДОЛГ ПО ДАННЫМ СУБПОДРЯДЧИКА, руб.</t>
  </si>
  <si>
    <t>СПОРНАЯ ЧАСТЬ, руб. (в том числе оспаривается Заказчиком)</t>
  </si>
  <si>
    <t>БЕССПОРНАЯ ЧАСТЬ, руб. (общий долг − спорная часть; по актам — лист «Долг по актам»)</t>
  </si>
  <si>
    <t>Граница</t>
  </si>
  <si>
    <t>Операций без типа или суммы</t>
  </si>
  <si>
    <t>Строк с ошибкой в колонке «Проверка строки»</t>
  </si>
  <si>
    <t>Общий долг — ТЕКУЩИЙ остаток: из него уже вычтены все оплаты, в том числе поступившие после начала просрочки. В расчёт процентов (файл 08) его переносить нельзя — там нужен бесспорный долг на первый день просрочки по каждому акту. Спорная часть в расчёт процентов и претензию не идёт: её оценка — у специалиста. Числа по актам берите на листе «Долг по актам», для заказчика — лист «Акт сверки».</t>
  </si>
  <si>
    <t>Долг по актам: что переносить в расчёт процентов</t>
  </si>
  <si>
    <t>Одна строка — один акт (или часть долга) со своим сроком оплаты. Начисления, оплаты, зачёты и спорные операции берутся из листа «Взаиморасчёты» по идентификатору акта. Колонка H — общий долг на первый день просрочки, колонка I — спорная часть по акту (удержание, зачёт встречного требования, неустойка, допработы без соглашения). В файл 08, лист «Акты», переносится только бесспорная часть: колонка J — бесспорный долг на первый день просрочки (в колонку D файла 08), колонка M — текущий бесспорный остаток (в колонку F файла 08, для сверки). Проценты на спорную часть книга не считает ни за какой период. Оплаты, поступившие в первый день просрочки и позже, переносятся в файл 08, лист «Оплаты», с тем же идентификатором акта.</t>
  </si>
  <si>
    <t>Акт (идентификатор)</t>
  </si>
  <si>
    <t>Документ (КС-2 / акт: №, дата)</t>
  </si>
  <si>
    <t>Последний день срока оплаты по этому акту</t>
  </si>
  <si>
    <t>Первый день просрочки</t>
  </si>
  <si>
    <t>Начислено и скорректировано, руб.</t>
  </si>
  <si>
    <t>Оплачено и зачтено до первого дня просрочки, руб.</t>
  </si>
  <si>
    <t>Общий на первый день просрочки, руб.</t>
  </si>
  <si>
    <t>Спорно по акту, руб. (в расчёт и претензию не идёт)</t>
  </si>
  <si>
    <t>Бесспорный на первый день просрочки, руб. → файл 08, «Акты», колонка D</t>
  </si>
  <si>
    <t>Оплачено с первого дня просрочки, руб. → файл 08, «Оплаты»</t>
  </si>
  <si>
    <t>Текущий общий остаток по акту, руб. → акт сверки</t>
  </si>
  <si>
    <t>Текущий бесспорный остаток, руб. → файл 08, «Акты», колонка F (сверка); акт сверки</t>
  </si>
  <si>
    <t>Проверка</t>
  </si>
  <si>
    <t>Переносить в файл 08</t>
  </si>
  <si>
    <t>Актов к переносу в файл 08</t>
  </si>
  <si>
    <t>Строк с ошибкой в колонке «Проверка»</t>
  </si>
  <si>
    <t>Записей ниже таблицы (не учтены)</t>
  </si>
  <si>
    <t>Общий долг на первый день просрочки, всего по переносимым актам, руб.</t>
  </si>
  <si>
    <t>Спорно, всего по переносимым актам, руб.</t>
  </si>
  <si>
    <t>БЕССПОРНЫЙ ДОЛГ НА ПЕРВЫЙ ДЕНЬ ПРОСРОЧКИ, всего по переносимым актам, руб.</t>
  </si>
  <si>
    <t>Текущий бесспорный остаток, всего по переносимым актам, руб.</t>
  </si>
  <si>
    <t>АКТ СВЕРКИ ВЗАИМНЫХ РАСЧЁТОВ</t>
  </si>
  <si>
    <t>Рабочая форма для направления заказчику. Заполняется автоматически из листов «Взаиморасчёты» и «Долг по актам»: впишите только стороны, договор и дату сверки. Показывает общий долг по данным Субподрядчика и отдельной графой — сумму, которую оспаривает Заказчик (удержание, зачёт встречного требования, неустойка, допработы без соглашения). Графу «По данным Заказчика» заполняет Заказчик. Правовое значение подписанного акта сверки и порядок работы со спорной частью — вопрос к специалисту; система их не оценивает.</t>
  </si>
  <si>
    <t>Статус</t>
  </si>
  <si>
    <t>Субподрядчик</t>
  </si>
  <si>
    <t>наименование, ИНН</t>
  </si>
  <si>
    <t>Заказчик</t>
  </si>
  <si>
    <t>Договор</t>
  </si>
  <si>
    <t>№, дата</t>
  </si>
  <si>
    <t>Дата сверки</t>
  </si>
  <si>
    <t>дата</t>
  </si>
  <si>
    <t>Суммы — по данным Субподрядчика. Общий долг = начислено и скорректировано − оплачено и зачтено. «В том числе оспаривается Заказчиком» общий долг не уменьшает: это его часть, которую Заказчик не признаёт.</t>
  </si>
  <si>
    <t>Оплачено и зачтено, руб.</t>
  </si>
  <si>
    <t>Общий долг по данным Субподрядчика, руб.</t>
  </si>
  <si>
    <t>в том числе оспаривается Заказчиком, руб.</t>
  </si>
  <si>
    <t>Бесспорная часть, руб.</t>
  </si>
  <si>
    <t>По данным Заказчика, руб.</t>
  </si>
  <si>
    <t>Расхождение, комментарий Заказчика</t>
  </si>
  <si>
    <t>ИТОГО</t>
  </si>
  <si>
    <t>По данным Заказчика задолженность составляет: ____________________ руб.</t>
  </si>
  <si>
    <t>От Субподрядчика</t>
  </si>
  <si>
    <t>От Заказчика</t>
  </si>
  <si>
    <t>Должность, ФИО: ______________________</t>
  </si>
  <si>
    <t>Подпись: ______________   М. П.</t>
  </si>
  <si>
    <t>Дата: ____________</t>
  </si>
  <si>
    <t>Реестр передачи документов и доказательств передачи</t>
  </si>
  <si>
    <t>Одна строка — одно ваше отправление: уведомление, претензия, копия иска. Без доказательства направления документ для спора считается ненаправленным. Порядок — файл 07. Входящие документы заказчика (гарантийное письмо, ответ, возражения, акт сверки) сюда не вносятся: их отметка — в файле 02, «Контроль ответа», и строкой в «Реестре приложений».</t>
  </si>
  <si>
    <t>Документ</t>
  </si>
  <si>
    <t>№ и дата документа</t>
  </si>
  <si>
    <t>Листов</t>
  </si>
  <si>
    <t>Адресат и адрес (ЕГРЮЛ / договор)</t>
  </si>
  <si>
    <t>Способ</t>
  </si>
  <si>
    <t>Дата отправки</t>
  </si>
  <si>
    <t>Идентификатор (трек, № ЭДО, вх. №)</t>
  </si>
  <si>
    <t>Дата получения</t>
  </si>
  <si>
    <t>Доказательство (где хранится)</t>
  </si>
  <si>
    <t>Отправлений без доказательства</t>
  </si>
  <si>
    <t>Реестр приложений к претензии и иску</t>
  </si>
  <si>
    <t>Что прикладывается, в каком виде и где лежит. Из этого реестра собирается список приложений претензии (файл 09) и иска (файл 10). Входящие документы заказчика — гарантийное письмо, протокол или соглашение, подписанный им акт сверки, возражения — вносятся сюда же: отдельного реестра входящих нет.</t>
  </si>
  <si>
    <t>№ и дата</t>
  </si>
  <si>
    <t>Копия / оригинал</t>
  </si>
  <si>
    <t>К претензии</t>
  </si>
  <si>
    <t>К иску</t>
  </si>
  <si>
    <t>Где лежит (папка, файл)</t>
  </si>
  <si>
    <t>Есть</t>
  </si>
  <si>
    <t>Договор и дополнительные соглашения</t>
  </si>
  <si>
    <t>Акты КС-2 / акты выполненных работ</t>
  </si>
  <si>
    <t>Справки КС-3</t>
  </si>
  <si>
    <t>Доказательства передачи актов</t>
  </si>
  <si>
    <t>Переписка с заказчиком об оплате</t>
  </si>
  <si>
    <t>Реестр взаиморасчётов / акт сверки</t>
  </si>
  <si>
    <t>Платёжные поручения</t>
  </si>
  <si>
    <t>Расчёт процентов по ст. 395 ГК РФ</t>
  </si>
  <si>
    <t>Претензия и доказательство её направления</t>
  </si>
  <si>
    <t>Выписка ЕГРЮЛ на истца</t>
  </si>
  <si>
    <t>Выписка ЕГРЮЛ на ответчика</t>
  </si>
  <si>
    <t>Документ об уплате государственной пошлины</t>
  </si>
  <si>
    <t>Доказательство направления иска ответчику</t>
  </si>
  <si>
    <t>Доверенность представителя</t>
  </si>
  <si>
    <t>Гарантийное письмо заказчика</t>
  </si>
  <si>
    <t>Протокол переговоров / соглашение</t>
  </si>
  <si>
    <t>Акт сверки, подписанный Заказчиком</t>
  </si>
  <si>
    <t>Возражения Заказчика</t>
  </si>
  <si>
    <t>Нужно к иску, но 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</si>
</sst>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3"/>
      <name val="Calibri"/>
      <family val="2"/>
      <charset val="204"/>
    </font>
    <font>
      <sz val="11"/>
      <color rgb="FF1F4E79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4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164" fontId="3" fillId="3" borderId="1" xfId="0" applyNumberFormat="1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4" fontId="3" fillId="3" borderId="1" xfId="0" applyNumberFormat="1" applyFont="1" applyFill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1" fillId="0" borderId="0" xfId="0" applyFont="1"/>
    <xf numFmtId="4" fontId="1" fillId="0" borderId="1" xfId="0" applyNumberFormat="1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164" fontId="3" fillId="3" borderId="1" xfId="0" applyNumberFormat="1" applyFont="1" applyFill="1" applyBorder="1"/>
    <xf numFmtId="0" fontId="3" fillId="3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04"/>
  <sheetViews>
    <sheetView workbookViewId="0">
      <selection activeCell="A2" sqref="A2:J2"/>
    </sheetView>
  </sheetViews>
  <sheetFormatPr defaultRowHeight="14.4" x14ac:dyDescent="0.3"/>
  <cols>
    <col min="1" max="1" width="5" customWidth="1"/>
    <col min="2" max="2" width="9.109375" customWidth="1"/>
    <col min="3" max="3" width="16.6640625" customWidth="1"/>
    <col min="4" max="4" width="22.6640625" customWidth="1"/>
    <col min="5" max="5" width="16" customWidth="1"/>
    <col min="6" max="6" width="23.109375" customWidth="1"/>
    <col min="7" max="7" width="10.5546875" customWidth="1"/>
    <col min="8" max="8" width="16.88671875" customWidth="1"/>
    <col min="9" max="9" width="18.6640625" customWidth="1"/>
    <col min="10" max="10" width="15.77734375" customWidth="1"/>
    <col min="11" max="11" width="6.33203125" customWidth="1"/>
    <col min="12" max="12" width="46" customWidth="1"/>
    <col min="13" max="13" width="21.44140625" customWidth="1"/>
  </cols>
  <sheetData>
    <row r="1" spans="1:13" ht="18" customHeight="1" x14ac:dyDescent="0.3">
      <c r="A1" s="13" t="s">
        <v>0</v>
      </c>
      <c r="B1" s="12"/>
      <c r="C1" s="12"/>
      <c r="D1" s="12"/>
      <c r="E1" s="12"/>
      <c r="F1" s="12"/>
      <c r="G1" s="12"/>
      <c r="H1" s="12"/>
      <c r="I1" s="12"/>
      <c r="J1" s="12"/>
    </row>
    <row r="2" spans="1:13" ht="72.599999999999994" customHeight="1" x14ac:dyDescent="0.3">
      <c r="A2" s="14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4" spans="1:13" ht="43.2" x14ac:dyDescent="0.3">
      <c r="A4" s="17" t="s">
        <v>2</v>
      </c>
      <c r="B4" s="17" t="s">
        <v>3</v>
      </c>
      <c r="C4" s="17" t="s">
        <v>4</v>
      </c>
      <c r="D4" s="17" t="s">
        <v>5</v>
      </c>
      <c r="E4" s="17" t="s">
        <v>6</v>
      </c>
      <c r="F4" s="17" t="s">
        <v>7</v>
      </c>
      <c r="G4" s="17" t="s">
        <v>8</v>
      </c>
      <c r="H4" s="17" t="s">
        <v>9</v>
      </c>
      <c r="I4" s="17" t="s">
        <v>10</v>
      </c>
      <c r="J4" s="17" t="s">
        <v>11</v>
      </c>
      <c r="L4" s="2" t="s">
        <v>12</v>
      </c>
      <c r="M4" s="3">
        <f>SUMIF(C5:C504,"Начисление по акту",E5:E504)</f>
        <v>0</v>
      </c>
    </row>
    <row r="5" spans="1:13" x14ac:dyDescent="0.3">
      <c r="A5" s="4">
        <v>1</v>
      </c>
      <c r="B5" s="5"/>
      <c r="C5" s="6"/>
      <c r="D5" s="6"/>
      <c r="E5" s="7"/>
      <c r="F5" s="6"/>
      <c r="G5" s="3">
        <f t="shared" ref="G5:G68" si="0">IF(OR(C5="",E5=""),0,IF(C5="Начисление по акту",E5,IF(OR(C5="Оплата",C5="Зачёт аванса по договору"),-E5,IF(C5="Корректировка (подписана обеими сторонами)",E5,0))))</f>
        <v>0</v>
      </c>
      <c r="H5" s="3">
        <f t="shared" ref="H5:H68" si="1">IF(OR(C5="Удержание",C5="Зачёт встречного требования",C5="Неустойка заявлена",C5="Допработы без соглашения (спорно)"),N(E5),0)</f>
        <v>0</v>
      </c>
      <c r="I5" s="4" t="str">
        <f>IF(AND(B5="",C5="",D5="",E5="",F5=""),"",IF(OR(B5="",C5="",E5=""),"БЛОК: нужны дата, тип операции и сумма",IF(N(E5)&lt;=0,"БЛОК: сумма должна быть больше нуля",IF(AND(H5&lt;&gt;0,F5=""),"БЛОК: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отделить",IF(AND(G5&lt;&gt;0,F5=""),"БЛОК: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нельзя",IF(AND(F5&lt;&gt;"",COUNTIF('Долг по актам'!$B$5:$B$34,F5)=0),"БЛОК: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договору")&gt;0)*($C$5:$C$504&lt;&gt;C5)*($E$5:$E$504=E5)*(($D$5:$D$504=D5)*(D5&lt;&gt;"")+($B$5:$B$504=B5)*(B5&lt;&gt;"")&gt;0))&gt;0,"БЛОК: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5" s="3" t="str">
        <f>IF(AND(B5="",C5="",E5=""),"",SUM($G$5:G5))</f>
        <v/>
      </c>
      <c r="L5" s="2" t="s">
        <v>13</v>
      </c>
      <c r="M5" s="3">
        <f>SUMIF(C5:C504,"Оплата",E5:E504)</f>
        <v>0</v>
      </c>
    </row>
    <row r="6" spans="1:13" x14ac:dyDescent="0.3">
      <c r="A6" s="4">
        <v>2</v>
      </c>
      <c r="B6" s="5"/>
      <c r="C6" s="6"/>
      <c r="D6" s="6"/>
      <c r="E6" s="7"/>
      <c r="F6" s="6"/>
      <c r="G6" s="3">
        <f t="shared" si="0"/>
        <v>0</v>
      </c>
      <c r="H6" s="3">
        <f t="shared" si="1"/>
        <v>0</v>
      </c>
      <c r="I6" s="4" t="str">
        <f>IF(AND(B6="",C6="",D6="",E6="",F6=""),"",IF(OR(B6="",C6="",E6=""),"БЛОК: нужны дата, тип операции и сумма",IF(N(E6)&lt;=0,"БЛОК: сумма должна быть больше нуля",IF(AND(H6&lt;&gt;0,F6=""),"БЛОК: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отделить",IF(AND(G6&lt;&gt;0,F6=""),"БЛОК: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нельзя",IF(AND(F6&lt;&gt;"",COUNTIF('Долг по актам'!$B$5:$B$34,F6)=0),"БЛОК: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договору")&gt;0)*($C$5:$C$504&lt;&gt;C6)*($E$5:$E$504=E6)*(($D$5:$D$504=D6)*(D6&lt;&gt;"")+($B$5:$B$504=B6)*(B6&lt;&gt;"")&gt;0))&gt;0,"БЛОК: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6" s="3" t="str">
        <f>IF(AND(B6="",C6="",E6=""),"",SUM($G$5:G6))</f>
        <v/>
      </c>
      <c r="L6" s="2" t="s">
        <v>14</v>
      </c>
      <c r="M6" s="3">
        <f>SUMIF(C5:C504,"Зачёт аванса по договору",E5:E504)</f>
        <v>0</v>
      </c>
    </row>
    <row r="7" spans="1:13" x14ac:dyDescent="0.3">
      <c r="A7" s="4">
        <v>3</v>
      </c>
      <c r="B7" s="5"/>
      <c r="C7" s="6"/>
      <c r="D7" s="6"/>
      <c r="E7" s="7"/>
      <c r="F7" s="6"/>
      <c r="G7" s="3">
        <f t="shared" si="0"/>
        <v>0</v>
      </c>
      <c r="H7" s="3">
        <f t="shared" si="1"/>
        <v>0</v>
      </c>
      <c r="I7" s="4" t="str">
        <f>IF(AND(B7="",C7="",D7="",E7="",F7=""),"",IF(OR(B7="",C7="",E7=""),"БЛОК: нужны дата, тип операции и сумма",IF(N(E7)&lt;=0,"БЛОК: сумма должна быть больше нуля",IF(AND(H7&lt;&gt;0,F7=""),"БЛОК: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отделить",IF(AND(G7&lt;&gt;0,F7=""),"БЛОК: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нельзя",IF(AND(F7&lt;&gt;"",COUNTIF('Долг по актам'!$B$5:$B$34,F7)=0),"БЛОК: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договору")&gt;0)*($C$5:$C$504&lt;&gt;C7)*($E$5:$E$504=E7)*(($D$5:$D$504=D7)*(D7&lt;&gt;"")+($B$5:$B$504=B7)*(B7&lt;&gt;"")&gt;0))&gt;0,"БЛОК: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7" s="3" t="str">
        <f>IF(AND(B7="",C7="",E7=""),"",SUM($G$5:G7))</f>
        <v/>
      </c>
      <c r="L7" s="2" t="s">
        <v>15</v>
      </c>
      <c r="M7" s="3">
        <f>SUMIF(C5:C504,"Корректировка (подписана обеими сторонами)",E5:E504)</f>
        <v>0</v>
      </c>
    </row>
    <row r="8" spans="1:13" ht="43.2" x14ac:dyDescent="0.3">
      <c r="A8" s="4">
        <v>4</v>
      </c>
      <c r="B8" s="5"/>
      <c r="C8" s="6"/>
      <c r="D8" s="6"/>
      <c r="E8" s="7"/>
      <c r="F8" s="6"/>
      <c r="G8" s="3">
        <f t="shared" si="0"/>
        <v>0</v>
      </c>
      <c r="H8" s="3">
        <f t="shared" si="1"/>
        <v>0</v>
      </c>
      <c r="I8" s="4" t="str">
        <f>IF(AND(B8="",C8="",D8="",E8="",F8=""),"",IF(OR(B8="",C8="",E8=""),"БЛОК: нужны дата, тип операции и сумма",IF(N(E8)&lt;=0,"БЛОК: сумма должна быть больше нуля",IF(AND(H8&lt;&gt;0,F8=""),"БЛОК: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отделить",IF(AND(G8&lt;&gt;0,F8=""),"БЛОК: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нельзя",IF(AND(F8&lt;&gt;"",COUNTIF('Долг по актам'!$B$5:$B$34,F8)=0),"БЛОК: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договору")&gt;0)*($C$5:$C$504&lt;&gt;C8)*($E$5:$E$504=E8)*(($D$5:$D$504=D8)*(D8&lt;&gt;"")+($B$5:$B$504=B8)*(B8&lt;&gt;"")&gt;0))&gt;0,"БЛОК: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8" s="3" t="str">
        <f>IF(AND(B8="",C8="",E8=""),"",SUM($G$5:G8))</f>
        <v/>
      </c>
      <c r="L8" s="2" t="s">
        <v>16</v>
      </c>
      <c r="M8" s="3">
        <f>SUM(H5:H504)</f>
        <v>0</v>
      </c>
    </row>
    <row r="9" spans="1:13" x14ac:dyDescent="0.3">
      <c r="A9" s="4">
        <v>5</v>
      </c>
      <c r="B9" s="5"/>
      <c r="C9" s="6"/>
      <c r="D9" s="6"/>
      <c r="E9" s="7"/>
      <c r="F9" s="6"/>
      <c r="G9" s="3">
        <f t="shared" si="0"/>
        <v>0</v>
      </c>
      <c r="H9" s="3">
        <f t="shared" si="1"/>
        <v>0</v>
      </c>
      <c r="I9" s="4" t="str">
        <f>IF(AND(B9="",C9="",D9="",E9="",F9=""),"",IF(OR(B9="",C9="",E9=""),"БЛОК: нужны дата, тип операции и сумма",IF(N(E9)&lt;=0,"БЛОК: сумма должна быть больше нуля",IF(AND(H9&lt;&gt;0,F9=""),"БЛОК: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отделить",IF(AND(G9&lt;&gt;0,F9=""),"БЛОК: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нельзя",IF(AND(F9&lt;&gt;"",COUNTIF('Долг по актам'!$B$5:$B$34,F9)=0),"БЛОК: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договору")&gt;0)*($C$5:$C$504&lt;&gt;C9)*($E$5:$E$504=E9)*(($D$5:$D$504=D9)*(D9&lt;&gt;"")+($B$5:$B$504=B9)*(B9&lt;&gt;"")&gt;0))&gt;0,"БЛОК: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9" s="3" t="str">
        <f>IF(AND(B9="",C9="",E9=""),"",SUM($G$5:G9))</f>
        <v/>
      </c>
      <c r="L9" s="2" t="s">
        <v>17</v>
      </c>
      <c r="M9" s="3">
        <f>COUNTA(A505:J3000)</f>
        <v>0</v>
      </c>
    </row>
    <row r="10" spans="1:13" ht="28.8" x14ac:dyDescent="0.3">
      <c r="A10" s="4">
        <v>6</v>
      </c>
      <c r="B10" s="5"/>
      <c r="C10" s="6"/>
      <c r="D10" s="6"/>
      <c r="E10" s="7"/>
      <c r="F10" s="6"/>
      <c r="G10" s="3">
        <f t="shared" si="0"/>
        <v>0</v>
      </c>
      <c r="H10" s="3">
        <f t="shared" si="1"/>
        <v>0</v>
      </c>
      <c r="I10" s="4" t="str">
        <f>IF(AND(B10="",C10="",D10="",E10="",F10=""),"",IF(OR(B10="",C10="",E10=""),"БЛОК: нужны дата, тип операции и сумма",IF(N(E10)&lt;=0,"БЛОК: сумма должна быть больше нуля",IF(AND(H10&lt;&gt;0,F10=""),"БЛОК: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отделить",IF(AND(G10&lt;&gt;0,F10=""),"БЛОК: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нельзя",IF(AND(F10&lt;&gt;"",COUNTIF('Долг по актам'!$B$5:$B$34,F10)=0),"БЛОК: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договору")&gt;0)*($C$5:$C$504&lt;&gt;C10)*($E$5:$E$504=E10)*(($D$5:$D$504=D10)*(D10&lt;&gt;"")+($B$5:$B$504=B10)*(B10&lt;&gt;"")&gt;0))&gt;0,"БЛОК: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0" s="3" t="str">
        <f>IF(AND(B10="",C10="",E10=""),"",SUM($G$5:G10))</f>
        <v/>
      </c>
      <c r="L10" s="2" t="s">
        <v>18</v>
      </c>
      <c r="M10" s="3">
        <f>IF(OR(M9&gt;0,M14&gt;0,M15&gt;0),"ИТОГ ЗАБЛОКИРОВАН: см. колонку «Проверка строки» и строки свода",M4-M5-M6+M7)</f>
        <v>0</v>
      </c>
    </row>
    <row r="11" spans="1:13" ht="28.8" x14ac:dyDescent="0.3">
      <c r="A11" s="4">
        <v>7</v>
      </c>
      <c r="B11" s="5"/>
      <c r="C11" s="6"/>
      <c r="D11" s="6"/>
      <c r="E11" s="7"/>
      <c r="F11" s="6"/>
      <c r="G11" s="3">
        <f t="shared" si="0"/>
        <v>0</v>
      </c>
      <c r="H11" s="3">
        <f t="shared" si="1"/>
        <v>0</v>
      </c>
      <c r="I11" s="4" t="str">
        <f>IF(AND(B11="",C11="",D11="",E11="",F11=""),"",IF(OR(B11="",C11="",E11=""),"БЛОК: нужны дата, тип операции и сумма",IF(N(E11)&lt;=0,"БЛОК: сумма должна быть больше нуля",IF(AND(H11&lt;&gt;0,F11=""),"БЛОК: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отделить",IF(AND(G11&lt;&gt;0,F11=""),"БЛОК: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нельзя",IF(AND(F11&lt;&gt;"",COUNTIF('Долг по актам'!$B$5:$B$34,F11)=0),"БЛОК: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договору")&gt;0)*($C$5:$C$504&lt;&gt;C11)*($E$5:$E$504=E11)*(($D$5:$D$504=D11)*(D11&lt;&gt;"")+($B$5:$B$504=B11)*(B11&lt;&gt;"")&gt;0))&gt;0,"БЛОК: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1" s="3" t="str">
        <f>IF(AND(B11="",C11="",E11=""),"",SUM($G$5:G11))</f>
        <v/>
      </c>
      <c r="L11" s="2" t="s">
        <v>19</v>
      </c>
      <c r="M11" s="3">
        <f>IF(NOT(ISNUMBER(M10)),"ИТОГ ЗАБЛОКИРОВАН: см. строку общего долга",M8)</f>
        <v>0</v>
      </c>
    </row>
    <row r="12" spans="1:13" ht="28.8" x14ac:dyDescent="0.3">
      <c r="A12" s="4">
        <v>8</v>
      </c>
      <c r="B12" s="5"/>
      <c r="C12" s="6"/>
      <c r="D12" s="6"/>
      <c r="E12" s="7"/>
      <c r="F12" s="6"/>
      <c r="G12" s="3">
        <f t="shared" si="0"/>
        <v>0</v>
      </c>
      <c r="H12" s="3">
        <f t="shared" si="1"/>
        <v>0</v>
      </c>
      <c r="I12" s="4" t="str">
        <f>IF(AND(B12="",C12="",D12="",E12="",F12=""),"",IF(OR(B12="",C12="",E12=""),"БЛОК: нужны дата, тип операции и сумма",IF(N(E12)&lt;=0,"БЛОК: сумма должна быть больше нуля",IF(AND(H12&lt;&gt;0,F12=""),"БЛОК: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отделить",IF(AND(G12&lt;&gt;0,F12=""),"БЛОК: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нельзя",IF(AND(F12&lt;&gt;"",COUNTIF('Долг по актам'!$B$5:$B$34,F12)=0),"БЛОК: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договору")&gt;0)*($C$5:$C$504&lt;&gt;C12)*($E$5:$E$504=E12)*(($D$5:$D$504=D12)*(D12&lt;&gt;"")+($B$5:$B$504=B12)*(B12&lt;&gt;"")&gt;0))&gt;0,"БЛОК: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2" s="3" t="str">
        <f>IF(AND(B12="",C12="",E12=""),"",SUM($G$5:G12))</f>
        <v/>
      </c>
      <c r="L12" s="2" t="s">
        <v>20</v>
      </c>
      <c r="M12" s="3">
        <f>IF(NOT(ISNUMBER(M10)),"ИТОГ ЗАБЛОКИРОВАН: см. строку общего долга",IF(OR(M11&gt;M10,COUNTIF('Долг по актам'!$N$5:$N$34,"БЛОК: спорная*")&gt;0),"БЛОК: спорная часть больше общего долга (в целом или по акту) — проверьте суммы спорных операций и акты, к которым они отнесены: бесспорная часть не может быть отрицательной",M10-M11))</f>
        <v>0</v>
      </c>
    </row>
    <row r="13" spans="1:13" x14ac:dyDescent="0.3">
      <c r="A13" s="4">
        <v>9</v>
      </c>
      <c r="B13" s="5"/>
      <c r="C13" s="6"/>
      <c r="D13" s="6"/>
      <c r="E13" s="7"/>
      <c r="F13" s="6"/>
      <c r="G13" s="3">
        <f t="shared" si="0"/>
        <v>0</v>
      </c>
      <c r="H13" s="3">
        <f t="shared" si="1"/>
        <v>0</v>
      </c>
      <c r="I13" s="4" t="str">
        <f>IF(AND(B13="",C13="",D13="",E13="",F13=""),"",IF(OR(B13="",C13="",E13=""),"БЛОК: нужны дата, тип операции и сумма",IF(N(E13)&lt;=0,"БЛОК: сумма должна быть больше нуля",IF(AND(H13&lt;&gt;0,F13=""),"БЛОК: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отделить",IF(AND(G13&lt;&gt;0,F13=""),"БЛОК: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нельзя",IF(AND(F13&lt;&gt;"",COUNTIF('Долг по актам'!$B$5:$B$34,F13)=0),"БЛОК: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договору")&gt;0)*($C$5:$C$504&lt;&gt;C13)*($E$5:$E$504=E13)*(($D$5:$D$504=D13)*(D13&lt;&gt;"")+($B$5:$B$504=B13)*(B13&lt;&gt;"")&gt;0))&gt;0,"БЛОК: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3" s="3" t="str">
        <f>IF(AND(B13="",C13="",E13=""),"",SUM($G$5:G13))</f>
        <v/>
      </c>
      <c r="L13" s="2" t="s">
        <v>21</v>
      </c>
      <c r="M13" s="3" t="str">
        <f>IF(M8&gt;0,TRIM(IF(M8-SUMIF(C5:C504,"Допработы без соглашения (спорно)",E5:E504)&gt;0,"ГРАНИЦА B2: удержание, зачёт встречного требования, неустойка на сумму "&amp;FIXED(M8-SUMIF(C5:C504,"Допработы без соглашения (спорно)",E5:E504),2)&amp;" руб. — к специалисту. ","")&amp;IF(SUMIF(C5:C504,"Допработы без соглашения (спорно)",E5:E504)&gt;0,"ГРАНИЦА B5: допработы без соглашения на сумму "&amp;FIXED(SUMIF(C5:C504,"Допработы без соглашения (спорно)",E5:E504),2)&amp;" руб. — к специалисту.","")),"нет")</f>
        <v>нет</v>
      </c>
    </row>
    <row r="14" spans="1:13" x14ac:dyDescent="0.3">
      <c r="A14" s="4">
        <v>10</v>
      </c>
      <c r="B14" s="5"/>
      <c r="C14" s="6"/>
      <c r="D14" s="6"/>
      <c r="E14" s="7"/>
      <c r="F14" s="6"/>
      <c r="G14" s="3">
        <f t="shared" si="0"/>
        <v>0</v>
      </c>
      <c r="H14" s="3">
        <f t="shared" si="1"/>
        <v>0</v>
      </c>
      <c r="I14" s="4" t="str">
        <f>IF(AND(B14="",C14="",D14="",E14="",F14=""),"",IF(OR(B14="",C14="",E14=""),"БЛОК: нужны дата, тип операции и сумма",IF(N(E14)&lt;=0,"БЛОК: сумма должна быть больше нуля",IF(AND(H14&lt;&gt;0,F14=""),"БЛОК: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отделить",IF(AND(G14&lt;&gt;0,F14=""),"БЛОК: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нельзя",IF(AND(F14&lt;&gt;"",COUNTIF('Долг по актам'!$B$5:$B$34,F14)=0),"БЛОК: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договору")&gt;0)*($C$5:$C$504&lt;&gt;C14)*($E$5:$E$504=E14)*(($D$5:$D$504=D14)*(D14&lt;&gt;"")+($B$5:$B$504=B14)*(B14&lt;&gt;"")&gt;0))&gt;0,"БЛОК: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4" s="3" t="str">
        <f>IF(AND(B14="",C14="",E14=""),"",SUM($G$5:G14))</f>
        <v/>
      </c>
      <c r="L14" s="2" t="s">
        <v>22</v>
      </c>
      <c r="M14" s="3">
        <f>SUMPRODUCT((B5:B504&lt;&gt;"")*(((C5:C504="")+(E5:E504=""))&gt;0))</f>
        <v>0</v>
      </c>
    </row>
    <row r="15" spans="1:13" x14ac:dyDescent="0.3">
      <c r="A15" s="4">
        <v>11</v>
      </c>
      <c r="B15" s="5"/>
      <c r="C15" s="6"/>
      <c r="D15" s="6"/>
      <c r="E15" s="7"/>
      <c r="F15" s="6"/>
      <c r="G15" s="3">
        <f t="shared" si="0"/>
        <v>0</v>
      </c>
      <c r="H15" s="3">
        <f t="shared" si="1"/>
        <v>0</v>
      </c>
      <c r="I15" s="4" t="str">
        <f>IF(AND(B15="",C15="",D15="",E15="",F15=""),"",IF(OR(B15="",C15="",E15=""),"БЛОК: нужны дата, тип операции и сумма",IF(N(E15)&lt;=0,"БЛОК: сумма должна быть больше нуля",IF(AND(H15&lt;&gt;0,F15=""),"БЛОК: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отделить",IF(AND(G15&lt;&gt;0,F15=""),"БЛОК: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нельзя",IF(AND(F15&lt;&gt;"",COUNTIF('Долг по актам'!$B$5:$B$34,F15)=0),"БЛОК: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договору")&gt;0)*($C$5:$C$504&lt;&gt;C15)*($E$5:$E$504=E15)*(($D$5:$D$504=D15)*(D15&lt;&gt;"")+($B$5:$B$504=B15)*(B15&lt;&gt;"")&gt;0))&gt;0,"БЛОК: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5" s="3" t="str">
        <f>IF(AND(B15="",C15="",E15=""),"",SUM($G$5:G15))</f>
        <v/>
      </c>
      <c r="L15" s="2" t="s">
        <v>23</v>
      </c>
      <c r="M15" s="3">
        <f>COUNTIF(I5:I504,"БЛОК*")</f>
        <v>0</v>
      </c>
    </row>
    <row r="16" spans="1:13" x14ac:dyDescent="0.3">
      <c r="A16" s="4">
        <v>12</v>
      </c>
      <c r="B16" s="5"/>
      <c r="C16" s="6"/>
      <c r="D16" s="6"/>
      <c r="E16" s="7"/>
      <c r="F16" s="6"/>
      <c r="G16" s="3">
        <f t="shared" si="0"/>
        <v>0</v>
      </c>
      <c r="H16" s="3">
        <f t="shared" si="1"/>
        <v>0</v>
      </c>
      <c r="I16" s="4" t="str">
        <f>IF(AND(B16="",C16="",D16="",E16="",F16=""),"",IF(OR(B16="",C16="",E16=""),"БЛОК: нужны дата, тип операции и сумма",IF(N(E16)&lt;=0,"БЛОК: сумма должна быть больше нуля",IF(AND(H16&lt;&gt;0,F16=""),"БЛОК: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отделить",IF(AND(G16&lt;&gt;0,F16=""),"БЛОК: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нельзя",IF(AND(F16&lt;&gt;"",COUNTIF('Долг по актам'!$B$5:$B$34,F16)=0),"БЛОК: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договору")&gt;0)*($C$5:$C$504&lt;&gt;C16)*($E$5:$E$504=E16)*(($D$5:$D$504=D16)*(D16&lt;&gt;"")+($B$5:$B$504=B16)*(B16&lt;&gt;"")&gt;0))&gt;0,"БЛОК: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6" s="3" t="str">
        <f>IF(AND(B16="",C16="",E16=""),"",SUM($G$5:G16))</f>
        <v/>
      </c>
    </row>
    <row r="17" spans="1:13" x14ac:dyDescent="0.3">
      <c r="A17" s="4">
        <v>13</v>
      </c>
      <c r="B17" s="5"/>
      <c r="C17" s="6"/>
      <c r="D17" s="6"/>
      <c r="E17" s="7"/>
      <c r="F17" s="6"/>
      <c r="G17" s="3">
        <f t="shared" si="0"/>
        <v>0</v>
      </c>
      <c r="H17" s="3">
        <f t="shared" si="1"/>
        <v>0</v>
      </c>
      <c r="I17" s="4" t="str">
        <f>IF(AND(B17="",C17="",D17="",E17="",F17=""),"",IF(OR(B17="",C17="",E17=""),"БЛОК: нужны дата, тип операции и сумма",IF(N(E17)&lt;=0,"БЛОК: сумма должна быть больше нуля",IF(AND(H17&lt;&gt;0,F17=""),"БЛОК: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отделить",IF(AND(G17&lt;&gt;0,F17=""),"БЛОК: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нельзя",IF(AND(F17&lt;&gt;"",COUNTIF('Долг по актам'!$B$5:$B$34,F17)=0),"БЛОК: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договору")&gt;0)*($C$5:$C$504&lt;&gt;C17)*($E$5:$E$504=E17)*(($D$5:$D$504=D17)*(D17&lt;&gt;"")+($B$5:$B$504=B17)*(B17&lt;&gt;"")&gt;0))&gt;0,"БЛОК: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7" s="3" t="str">
        <f>IF(AND(B17="",C17="",E17=""),"",SUM($G$5:G17))</f>
        <v/>
      </c>
    </row>
    <row r="18" spans="1:13" x14ac:dyDescent="0.3">
      <c r="A18" s="4">
        <v>14</v>
      </c>
      <c r="B18" s="5"/>
      <c r="C18" s="6"/>
      <c r="D18" s="6"/>
      <c r="E18" s="7"/>
      <c r="F18" s="6"/>
      <c r="G18" s="3">
        <f t="shared" si="0"/>
        <v>0</v>
      </c>
      <c r="H18" s="3">
        <f t="shared" si="1"/>
        <v>0</v>
      </c>
      <c r="I18" s="4" t="str">
        <f>IF(AND(B18="",C18="",D18="",E18="",F18=""),"",IF(OR(B18="",C18="",E18=""),"БЛОК: нужны дата, тип операции и сумма",IF(N(E18)&lt;=0,"БЛОК: сумма должна быть больше нуля",IF(AND(H18&lt;&gt;0,F18=""),"БЛОК: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отделить",IF(AND(G18&lt;&gt;0,F18=""),"БЛОК: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нельзя",IF(AND(F18&lt;&gt;"",COUNTIF('Долг по актам'!$B$5:$B$34,F18)=0),"БЛОК: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договору")&gt;0)*($C$5:$C$504&lt;&gt;C18)*($E$5:$E$504=E18)*(($D$5:$D$504=D18)*(D18&lt;&gt;"")+($B$5:$B$504=B18)*(B18&lt;&gt;"")&gt;0))&gt;0,"БЛОК: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8" s="3" t="str">
        <f>IF(AND(B18="",C18="",E18=""),"",SUM($G$5:G18))</f>
        <v/>
      </c>
      <c r="L18" s="11" t="s">
        <v>24</v>
      </c>
      <c r="M18" s="12"/>
    </row>
    <row r="19" spans="1:13" x14ac:dyDescent="0.3">
      <c r="A19" s="4">
        <v>15</v>
      </c>
      <c r="B19" s="5"/>
      <c r="C19" s="6"/>
      <c r="D19" s="6"/>
      <c r="E19" s="7"/>
      <c r="F19" s="6"/>
      <c r="G19" s="3">
        <f t="shared" si="0"/>
        <v>0</v>
      </c>
      <c r="H19" s="3">
        <f t="shared" si="1"/>
        <v>0</v>
      </c>
      <c r="I19" s="4" t="str">
        <f>IF(AND(B19="",C19="",D19="",E19="",F19=""),"",IF(OR(B19="",C19="",E19=""),"БЛОК: нужны дата, тип операции и сумма",IF(N(E19)&lt;=0,"БЛОК: сумма должна быть больше нуля",IF(AND(H19&lt;&gt;0,F19=""),"БЛОК: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отделить",IF(AND(G19&lt;&gt;0,F19=""),"БЛОК: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нельзя",IF(AND(F19&lt;&gt;"",COUNTIF('Долг по актам'!$B$5:$B$34,F19)=0),"БЛОК: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договору")&gt;0)*($C$5:$C$504&lt;&gt;C19)*($E$5:$E$504=E19)*(($D$5:$D$504=D19)*(D19&lt;&gt;"")+($B$5:$B$504=B19)*(B19&lt;&gt;"")&gt;0))&gt;0,"БЛОК: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9" s="3" t="str">
        <f>IF(AND(B19="",C19="",E19=""),"",SUM($G$5:G19))</f>
        <v/>
      </c>
      <c r="L19" s="12"/>
      <c r="M19" s="12"/>
    </row>
    <row r="20" spans="1:13" x14ac:dyDescent="0.3">
      <c r="A20" s="4">
        <v>16</v>
      </c>
      <c r="B20" s="5"/>
      <c r="C20" s="6"/>
      <c r="D20" s="6"/>
      <c r="E20" s="7"/>
      <c r="F20" s="6"/>
      <c r="G20" s="3">
        <f t="shared" si="0"/>
        <v>0</v>
      </c>
      <c r="H20" s="3">
        <f t="shared" si="1"/>
        <v>0</v>
      </c>
      <c r="I20" s="4" t="str">
        <f>IF(AND(B20="",C20="",D20="",E20="",F20=""),"",IF(OR(B20="",C20="",E20=""),"БЛОК: нужны дата, тип операции и сумма",IF(N(E20)&lt;=0,"БЛОК: сумма должна быть больше нуля",IF(AND(H20&lt;&gt;0,F20=""),"БЛОК: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отделить",IF(AND(G20&lt;&gt;0,F20=""),"БЛОК: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нельзя",IF(AND(F20&lt;&gt;"",COUNTIF('Долг по актам'!$B$5:$B$34,F20)=0),"БЛОК: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договору")&gt;0)*($C$5:$C$504&lt;&gt;C20)*($E$5:$E$504=E20)*(($D$5:$D$504=D20)*(D20&lt;&gt;"")+($B$5:$B$504=B20)*(B20&lt;&gt;"")&gt;0))&gt;0,"БЛОК: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0" s="3" t="str">
        <f>IF(AND(B20="",C20="",E20=""),"",SUM($G$5:G20))</f>
        <v/>
      </c>
      <c r="L20" s="12"/>
      <c r="M20" s="12"/>
    </row>
    <row r="21" spans="1:13" x14ac:dyDescent="0.3">
      <c r="A21" s="4">
        <v>17</v>
      </c>
      <c r="B21" s="5"/>
      <c r="C21" s="6"/>
      <c r="D21" s="6"/>
      <c r="E21" s="7"/>
      <c r="F21" s="6"/>
      <c r="G21" s="3">
        <f t="shared" si="0"/>
        <v>0</v>
      </c>
      <c r="H21" s="3">
        <f t="shared" si="1"/>
        <v>0</v>
      </c>
      <c r="I21" s="4" t="str">
        <f>IF(AND(B21="",C21="",D21="",E21="",F21=""),"",IF(OR(B21="",C21="",E21=""),"БЛОК: нужны дата, тип операции и сумма",IF(N(E21)&lt;=0,"БЛОК: сумма должна быть больше нуля",IF(AND(H21&lt;&gt;0,F21=""),"БЛОК: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отделить",IF(AND(G21&lt;&gt;0,F21=""),"БЛОК: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нельзя",IF(AND(F21&lt;&gt;"",COUNTIF('Долг по актам'!$B$5:$B$34,F21)=0),"БЛОК: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договору")&gt;0)*($C$5:$C$504&lt;&gt;C21)*($E$5:$E$504=E21)*(($D$5:$D$504=D21)*(D21&lt;&gt;"")+($B$5:$B$504=B21)*(B21&lt;&gt;"")&gt;0))&gt;0,"БЛОК: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1" s="3" t="str">
        <f>IF(AND(B21="",C21="",E21=""),"",SUM($G$5:G21))</f>
        <v/>
      </c>
      <c r="L21" s="12"/>
      <c r="M21" s="12"/>
    </row>
    <row r="22" spans="1:13" x14ac:dyDescent="0.3">
      <c r="A22" s="4">
        <v>18</v>
      </c>
      <c r="B22" s="5"/>
      <c r="C22" s="6"/>
      <c r="D22" s="6"/>
      <c r="E22" s="7"/>
      <c r="F22" s="6"/>
      <c r="G22" s="3">
        <f t="shared" si="0"/>
        <v>0</v>
      </c>
      <c r="H22" s="3">
        <f t="shared" si="1"/>
        <v>0</v>
      </c>
      <c r="I22" s="4" t="str">
        <f>IF(AND(B22="",C22="",D22="",E22="",F22=""),"",IF(OR(B22="",C22="",E22=""),"БЛОК: нужны дата, тип операции и сумма",IF(N(E22)&lt;=0,"БЛОК: сумма должна быть больше нуля",IF(AND(H22&lt;&gt;0,F22=""),"БЛОК: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отделить",IF(AND(G22&lt;&gt;0,F22=""),"БЛОК: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нельзя",IF(AND(F22&lt;&gt;"",COUNTIF('Долг по актам'!$B$5:$B$34,F22)=0),"БЛОК: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договору")&gt;0)*($C$5:$C$504&lt;&gt;C22)*($E$5:$E$504=E22)*(($D$5:$D$504=D22)*(D22&lt;&gt;"")+($B$5:$B$504=B22)*(B22&lt;&gt;"")&gt;0))&gt;0,"БЛОК: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2" s="3" t="str">
        <f>IF(AND(B22="",C22="",E22=""),"",SUM($G$5:G22))</f>
        <v/>
      </c>
      <c r="L22" s="12"/>
      <c r="M22" s="12"/>
    </row>
    <row r="23" spans="1:13" x14ac:dyDescent="0.3">
      <c r="A23" s="4">
        <v>19</v>
      </c>
      <c r="B23" s="5"/>
      <c r="C23" s="6"/>
      <c r="D23" s="6"/>
      <c r="E23" s="7"/>
      <c r="F23" s="6"/>
      <c r="G23" s="3">
        <f t="shared" si="0"/>
        <v>0</v>
      </c>
      <c r="H23" s="3">
        <f t="shared" si="1"/>
        <v>0</v>
      </c>
      <c r="I23" s="4" t="str">
        <f>IF(AND(B23="",C23="",D23="",E23="",F23=""),"",IF(OR(B23="",C23="",E23=""),"БЛОК: нужны дата, тип операции и сумма",IF(N(E23)&lt;=0,"БЛОК: сумма должна быть больше нуля",IF(AND(H23&lt;&gt;0,F23=""),"БЛОК: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отделить",IF(AND(G23&lt;&gt;0,F23=""),"БЛОК: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нельзя",IF(AND(F23&lt;&gt;"",COUNTIF('Долг по актам'!$B$5:$B$34,F23)=0),"БЛОК: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договору")&gt;0)*($C$5:$C$504&lt;&gt;C23)*($E$5:$E$504=E23)*(($D$5:$D$504=D23)*(D23&lt;&gt;"")+($B$5:$B$504=B23)*(B23&lt;&gt;"")&gt;0))&gt;0,"БЛОК: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3" s="3" t="str">
        <f>IF(AND(B23="",C23="",E23=""),"",SUM($G$5:G23))</f>
        <v/>
      </c>
      <c r="L23" s="12"/>
      <c r="M23" s="12"/>
    </row>
    <row r="24" spans="1:13" x14ac:dyDescent="0.3">
      <c r="A24" s="4">
        <v>20</v>
      </c>
      <c r="B24" s="5"/>
      <c r="C24" s="6"/>
      <c r="D24" s="6"/>
      <c r="E24" s="7"/>
      <c r="F24" s="6"/>
      <c r="G24" s="3">
        <f t="shared" si="0"/>
        <v>0</v>
      </c>
      <c r="H24" s="3">
        <f t="shared" si="1"/>
        <v>0</v>
      </c>
      <c r="I24" s="4" t="str">
        <f>IF(AND(B24="",C24="",D24="",E24="",F24=""),"",IF(OR(B24="",C24="",E24=""),"БЛОК: нужны дата, тип операции и сумма",IF(N(E24)&lt;=0,"БЛОК: сумма должна быть больше нуля",IF(AND(H24&lt;&gt;0,F24=""),"БЛОК: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отделить",IF(AND(G24&lt;&gt;0,F24=""),"БЛОК: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нельзя",IF(AND(F24&lt;&gt;"",COUNTIF('Долг по актам'!$B$5:$B$34,F24)=0),"БЛОК: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договору")&gt;0)*($C$5:$C$504&lt;&gt;C24)*($E$5:$E$504=E24)*(($D$5:$D$504=D24)*(D24&lt;&gt;"")+($B$5:$B$504=B24)*(B24&lt;&gt;"")&gt;0))&gt;0,"БЛОК: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4" s="3" t="str">
        <f>IF(AND(B24="",C24="",E24=""),"",SUM($G$5:G24))</f>
        <v/>
      </c>
      <c r="L24" s="12"/>
      <c r="M24" s="12"/>
    </row>
    <row r="25" spans="1:13" x14ac:dyDescent="0.3">
      <c r="A25" s="4">
        <v>21</v>
      </c>
      <c r="B25" s="5"/>
      <c r="C25" s="6"/>
      <c r="D25" s="6"/>
      <c r="E25" s="7"/>
      <c r="F25" s="6"/>
      <c r="G25" s="3">
        <f t="shared" si="0"/>
        <v>0</v>
      </c>
      <c r="H25" s="3">
        <f t="shared" si="1"/>
        <v>0</v>
      </c>
      <c r="I25" s="4" t="str">
        <f>IF(AND(B25="",C25="",D25="",E25="",F25=""),"",IF(OR(B25="",C25="",E25=""),"БЛОК: нужны дата, тип операции и сумма",IF(N(E25)&lt;=0,"БЛОК: сумма должна быть больше нуля",IF(AND(H25&lt;&gt;0,F25=""),"БЛОК: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отделить",IF(AND(G25&lt;&gt;0,F25=""),"БЛОК: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нельзя",IF(AND(F25&lt;&gt;"",COUNTIF('Долг по актам'!$B$5:$B$34,F25)=0),"БЛОК: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договору")&gt;0)*($C$5:$C$504&lt;&gt;C25)*($E$5:$E$504=E25)*(($D$5:$D$504=D25)*(D25&lt;&gt;"")+($B$5:$B$504=B25)*(B25&lt;&gt;"")&gt;0))&gt;0,"БЛОК: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5" s="3" t="str">
        <f>IF(AND(B25="",C25="",E25=""),"",SUM($G$5:G25))</f>
        <v/>
      </c>
    </row>
    <row r="26" spans="1:13" x14ac:dyDescent="0.3">
      <c r="A26" s="4">
        <v>22</v>
      </c>
      <c r="B26" s="5"/>
      <c r="C26" s="6"/>
      <c r="D26" s="6"/>
      <c r="E26" s="7"/>
      <c r="F26" s="6"/>
      <c r="G26" s="3">
        <f t="shared" si="0"/>
        <v>0</v>
      </c>
      <c r="H26" s="3">
        <f t="shared" si="1"/>
        <v>0</v>
      </c>
      <c r="I26" s="4" t="str">
        <f>IF(AND(B26="",C26="",D26="",E26="",F26=""),"",IF(OR(B26="",C26="",E26=""),"БЛОК: нужны дата, тип операции и сумма",IF(N(E26)&lt;=0,"БЛОК: сумма должна быть больше нуля",IF(AND(H26&lt;&gt;0,F26=""),"БЛОК: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отделить",IF(AND(G26&lt;&gt;0,F26=""),"БЛОК: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нельзя",IF(AND(F26&lt;&gt;"",COUNTIF('Долг по актам'!$B$5:$B$34,F26)=0),"БЛОК: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договору")&gt;0)*($C$5:$C$504&lt;&gt;C26)*($E$5:$E$504=E26)*(($D$5:$D$504=D26)*(D26&lt;&gt;"")+($B$5:$B$504=B26)*(B26&lt;&gt;"")&gt;0))&gt;0,"БЛОК: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6" s="3" t="str">
        <f>IF(AND(B26="",C26="",E26=""),"",SUM($G$5:G26))</f>
        <v/>
      </c>
    </row>
    <row r="27" spans="1:13" x14ac:dyDescent="0.3">
      <c r="A27" s="4">
        <v>23</v>
      </c>
      <c r="B27" s="5"/>
      <c r="C27" s="6"/>
      <c r="D27" s="6"/>
      <c r="E27" s="7"/>
      <c r="F27" s="6"/>
      <c r="G27" s="3">
        <f t="shared" si="0"/>
        <v>0</v>
      </c>
      <c r="H27" s="3">
        <f t="shared" si="1"/>
        <v>0</v>
      </c>
      <c r="I27" s="4" t="str">
        <f>IF(AND(B27="",C27="",D27="",E27="",F27=""),"",IF(OR(B27="",C27="",E27=""),"БЛОК: нужны дата, тип операции и сумма",IF(N(E27)&lt;=0,"БЛОК: сумма должна быть больше нуля",IF(AND(H27&lt;&gt;0,F27=""),"БЛОК: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отделить",IF(AND(G27&lt;&gt;0,F27=""),"БЛОК: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нельзя",IF(AND(F27&lt;&gt;"",COUNTIF('Долг по актам'!$B$5:$B$34,F27)=0),"БЛОК: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договору")&gt;0)*($C$5:$C$504&lt;&gt;C27)*($E$5:$E$504=E27)*(($D$5:$D$504=D27)*(D27&lt;&gt;"")+($B$5:$B$504=B27)*(B27&lt;&gt;"")&gt;0))&gt;0,"БЛОК: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7" s="3" t="str">
        <f>IF(AND(B27="",C27="",E27=""),"",SUM($G$5:G27))</f>
        <v/>
      </c>
    </row>
    <row r="28" spans="1:13" x14ac:dyDescent="0.3">
      <c r="A28" s="4">
        <v>24</v>
      </c>
      <c r="B28" s="5"/>
      <c r="C28" s="6"/>
      <c r="D28" s="6"/>
      <c r="E28" s="7"/>
      <c r="F28" s="6"/>
      <c r="G28" s="3">
        <f t="shared" si="0"/>
        <v>0</v>
      </c>
      <c r="H28" s="3">
        <f t="shared" si="1"/>
        <v>0</v>
      </c>
      <c r="I28" s="4" t="str">
        <f>IF(AND(B28="",C28="",D28="",E28="",F28=""),"",IF(OR(B28="",C28="",E28=""),"БЛОК: нужны дата, тип операции и сумма",IF(N(E28)&lt;=0,"БЛОК: сумма должна быть больше нуля",IF(AND(H28&lt;&gt;0,F28=""),"БЛОК: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отделить",IF(AND(G28&lt;&gt;0,F28=""),"БЛОК: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нельзя",IF(AND(F28&lt;&gt;"",COUNTIF('Долг по актам'!$B$5:$B$34,F28)=0),"БЛОК: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договору")&gt;0)*($C$5:$C$504&lt;&gt;C28)*($E$5:$E$504=E28)*(($D$5:$D$504=D28)*(D28&lt;&gt;"")+($B$5:$B$504=B28)*(B28&lt;&gt;"")&gt;0))&gt;0,"БЛОК: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8" s="3" t="str">
        <f>IF(AND(B28="",C28="",E28=""),"",SUM($G$5:G28))</f>
        <v/>
      </c>
    </row>
    <row r="29" spans="1:13" x14ac:dyDescent="0.3">
      <c r="A29" s="4">
        <v>25</v>
      </c>
      <c r="B29" s="5"/>
      <c r="C29" s="6"/>
      <c r="D29" s="6"/>
      <c r="E29" s="7"/>
      <c r="F29" s="6"/>
      <c r="G29" s="3">
        <f t="shared" si="0"/>
        <v>0</v>
      </c>
      <c r="H29" s="3">
        <f t="shared" si="1"/>
        <v>0</v>
      </c>
      <c r="I29" s="4" t="str">
        <f>IF(AND(B29="",C29="",D29="",E29="",F29=""),"",IF(OR(B29="",C29="",E29=""),"БЛОК: нужны дата, тип операции и сумма",IF(N(E29)&lt;=0,"БЛОК: сумма должна быть больше нуля",IF(AND(H29&lt;&gt;0,F29=""),"БЛОК: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отделить",IF(AND(G29&lt;&gt;0,F29=""),"БЛОК: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нельзя",IF(AND(F29&lt;&gt;"",COUNTIF('Долг по актам'!$B$5:$B$34,F29)=0),"БЛОК: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договору")&gt;0)*($C$5:$C$504&lt;&gt;C29)*($E$5:$E$504=E29)*(($D$5:$D$504=D29)*(D29&lt;&gt;"")+($B$5:$B$504=B29)*(B29&lt;&gt;"")&gt;0))&gt;0,"БЛОК: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9" s="3" t="str">
        <f>IF(AND(B29="",C29="",E29=""),"",SUM($G$5:G29))</f>
        <v/>
      </c>
    </row>
    <row r="30" spans="1:13" x14ac:dyDescent="0.3">
      <c r="A30" s="4">
        <v>26</v>
      </c>
      <c r="B30" s="5"/>
      <c r="C30" s="6"/>
      <c r="D30" s="6"/>
      <c r="E30" s="7"/>
      <c r="F30" s="6"/>
      <c r="G30" s="3">
        <f t="shared" si="0"/>
        <v>0</v>
      </c>
      <c r="H30" s="3">
        <f t="shared" si="1"/>
        <v>0</v>
      </c>
      <c r="I30" s="4" t="str">
        <f>IF(AND(B30="",C30="",D30="",E30="",F30=""),"",IF(OR(B30="",C30="",E30=""),"БЛОК: нужны дата, тип операции и сумма",IF(N(E30)&lt;=0,"БЛОК: сумма должна быть больше нуля",IF(AND(H30&lt;&gt;0,F30=""),"БЛОК: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отделить",IF(AND(G30&lt;&gt;0,F30=""),"БЛОК: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нельзя",IF(AND(F30&lt;&gt;"",COUNTIF('Долг по актам'!$B$5:$B$34,F30)=0),"БЛОК: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договору")&gt;0)*($C$5:$C$504&lt;&gt;C30)*($E$5:$E$504=E30)*(($D$5:$D$504=D30)*(D30&lt;&gt;"")+($B$5:$B$504=B30)*(B30&lt;&gt;"")&gt;0))&gt;0,"БЛОК: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0" s="3" t="str">
        <f>IF(AND(B30="",C30="",E30=""),"",SUM($G$5:G30))</f>
        <v/>
      </c>
    </row>
    <row r="31" spans="1:13" x14ac:dyDescent="0.3">
      <c r="A31" s="4">
        <v>27</v>
      </c>
      <c r="B31" s="5"/>
      <c r="C31" s="6"/>
      <c r="D31" s="6"/>
      <c r="E31" s="7"/>
      <c r="F31" s="6"/>
      <c r="G31" s="3">
        <f t="shared" si="0"/>
        <v>0</v>
      </c>
      <c r="H31" s="3">
        <f t="shared" si="1"/>
        <v>0</v>
      </c>
      <c r="I31" s="4" t="str">
        <f>IF(AND(B31="",C31="",D31="",E31="",F31=""),"",IF(OR(B31="",C31="",E31=""),"БЛОК: нужны дата, тип операции и сумма",IF(N(E31)&lt;=0,"БЛОК: сумма должна быть больше нуля",IF(AND(H31&lt;&gt;0,F31=""),"БЛОК: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отделить",IF(AND(G31&lt;&gt;0,F31=""),"БЛОК: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нельзя",IF(AND(F31&lt;&gt;"",COUNTIF('Долг по актам'!$B$5:$B$34,F31)=0),"БЛОК: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договору")&gt;0)*($C$5:$C$504&lt;&gt;C31)*($E$5:$E$504=E31)*(($D$5:$D$504=D31)*(D31&lt;&gt;"")+($B$5:$B$504=B31)*(B31&lt;&gt;"")&gt;0))&gt;0,"БЛОК: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1" s="3" t="str">
        <f>IF(AND(B31="",C31="",E31=""),"",SUM($G$5:G31))</f>
        <v/>
      </c>
    </row>
    <row r="32" spans="1:13" x14ac:dyDescent="0.3">
      <c r="A32" s="4">
        <v>28</v>
      </c>
      <c r="B32" s="5"/>
      <c r="C32" s="6"/>
      <c r="D32" s="6"/>
      <c r="E32" s="7"/>
      <c r="F32" s="6"/>
      <c r="G32" s="3">
        <f t="shared" si="0"/>
        <v>0</v>
      </c>
      <c r="H32" s="3">
        <f t="shared" si="1"/>
        <v>0</v>
      </c>
      <c r="I32" s="4" t="str">
        <f>IF(AND(B32="",C32="",D32="",E32="",F32=""),"",IF(OR(B32="",C32="",E32=""),"БЛОК: нужны дата, тип операции и сумма",IF(N(E32)&lt;=0,"БЛОК: сумма должна быть больше нуля",IF(AND(H32&lt;&gt;0,F32=""),"БЛОК: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отделить",IF(AND(G32&lt;&gt;0,F32=""),"БЛОК: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нельзя",IF(AND(F32&lt;&gt;"",COUNTIF('Долг по актам'!$B$5:$B$34,F32)=0),"БЛОК: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договору")&gt;0)*($C$5:$C$504&lt;&gt;C32)*($E$5:$E$504=E32)*(($D$5:$D$504=D32)*(D32&lt;&gt;"")+($B$5:$B$504=B32)*(B32&lt;&gt;"")&gt;0))&gt;0,"БЛОК: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2" s="3" t="str">
        <f>IF(AND(B32="",C32="",E32=""),"",SUM($G$5:G32))</f>
        <v/>
      </c>
    </row>
    <row r="33" spans="1:10" x14ac:dyDescent="0.3">
      <c r="A33" s="4">
        <v>29</v>
      </c>
      <c r="B33" s="5"/>
      <c r="C33" s="6"/>
      <c r="D33" s="6"/>
      <c r="E33" s="7"/>
      <c r="F33" s="6"/>
      <c r="G33" s="3">
        <f t="shared" si="0"/>
        <v>0</v>
      </c>
      <c r="H33" s="3">
        <f t="shared" si="1"/>
        <v>0</v>
      </c>
      <c r="I33" s="4" t="str">
        <f>IF(AND(B33="",C33="",D33="",E33="",F33=""),"",IF(OR(B33="",C33="",E33=""),"БЛОК: нужны дата, тип операции и сумма",IF(N(E33)&lt;=0,"БЛОК: сумма должна быть больше нуля",IF(AND(H33&lt;&gt;0,F33=""),"БЛОК: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отделить",IF(AND(G33&lt;&gt;0,F33=""),"БЛОК: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нельзя",IF(AND(F33&lt;&gt;"",COUNTIF('Долг по актам'!$B$5:$B$34,F33)=0),"БЛОК: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договору")&gt;0)*($C$5:$C$504&lt;&gt;C33)*($E$5:$E$504=E33)*(($D$5:$D$504=D33)*(D33&lt;&gt;"")+($B$5:$B$504=B33)*(B33&lt;&gt;"")&gt;0))&gt;0,"БЛОК: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3" s="3" t="str">
        <f>IF(AND(B33="",C33="",E33=""),"",SUM($G$5:G33))</f>
        <v/>
      </c>
    </row>
    <row r="34" spans="1:10" x14ac:dyDescent="0.3">
      <c r="A34" s="4">
        <v>30</v>
      </c>
      <c r="B34" s="5"/>
      <c r="C34" s="6"/>
      <c r="D34" s="6"/>
      <c r="E34" s="7"/>
      <c r="F34" s="6"/>
      <c r="G34" s="3">
        <f t="shared" si="0"/>
        <v>0</v>
      </c>
      <c r="H34" s="3">
        <f t="shared" si="1"/>
        <v>0</v>
      </c>
      <c r="I34" s="4" t="str">
        <f>IF(AND(B34="",C34="",D34="",E34="",F34=""),"",IF(OR(B34="",C34="",E34=""),"БЛОК: нужны дата, тип операции и сумма",IF(N(E34)&lt;=0,"БЛОК: сумма должна быть больше нуля",IF(AND(H34&lt;&gt;0,F34=""),"БЛОК: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отделить",IF(AND(G34&lt;&gt;0,F34=""),"БЛОК: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нельзя",IF(AND(F34&lt;&gt;"",COUNTIF('Долг по актам'!$B$5:$B$34,F34)=0),"БЛОК: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договору")&gt;0)*($C$5:$C$504&lt;&gt;C34)*($E$5:$E$504=E34)*(($D$5:$D$504=D34)*(D34&lt;&gt;"")+($B$5:$B$504=B34)*(B34&lt;&gt;"")&gt;0))&gt;0,"БЛОК: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4" s="3" t="str">
        <f>IF(AND(B34="",C34="",E34=""),"",SUM($G$5:G34))</f>
        <v/>
      </c>
    </row>
    <row r="35" spans="1:10" x14ac:dyDescent="0.3">
      <c r="A35" s="4">
        <v>31</v>
      </c>
      <c r="B35" s="5"/>
      <c r="C35" s="6"/>
      <c r="D35" s="6"/>
      <c r="E35" s="7"/>
      <c r="F35" s="6"/>
      <c r="G35" s="3">
        <f t="shared" si="0"/>
        <v>0</v>
      </c>
      <c r="H35" s="3">
        <f t="shared" si="1"/>
        <v>0</v>
      </c>
      <c r="I35" s="4" t="str">
        <f>IF(AND(B35="",C35="",D35="",E35="",F35=""),"",IF(OR(B35="",C35="",E35=""),"БЛОК: нужны дата, тип операции и сумма",IF(N(E35)&lt;=0,"БЛОК: сумма должна быть больше нуля",IF(AND(H35&lt;&gt;0,F35=""),"БЛОК: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отделить",IF(AND(G35&lt;&gt;0,F35=""),"БЛОК: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нельзя",IF(AND(F35&lt;&gt;"",COUNTIF('Долг по актам'!$B$5:$B$34,F35)=0),"БЛОК: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договору")&gt;0)*($C$5:$C$504&lt;&gt;C35)*($E$5:$E$504=E35)*(($D$5:$D$504=D35)*(D35&lt;&gt;"")+($B$5:$B$504=B35)*(B35&lt;&gt;"")&gt;0))&gt;0,"БЛОК: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5" s="3" t="str">
        <f>IF(AND(B35="",C35="",E35=""),"",SUM($G$5:G35))</f>
        <v/>
      </c>
    </row>
    <row r="36" spans="1:10" x14ac:dyDescent="0.3">
      <c r="A36" s="4">
        <v>32</v>
      </c>
      <c r="B36" s="5"/>
      <c r="C36" s="6"/>
      <c r="D36" s="6"/>
      <c r="E36" s="7"/>
      <c r="F36" s="6"/>
      <c r="G36" s="3">
        <f t="shared" si="0"/>
        <v>0</v>
      </c>
      <c r="H36" s="3">
        <f t="shared" si="1"/>
        <v>0</v>
      </c>
      <c r="I36" s="4" t="str">
        <f>IF(AND(B36="",C36="",D36="",E36="",F36=""),"",IF(OR(B36="",C36="",E36=""),"БЛОК: нужны дата, тип операции и сумма",IF(N(E36)&lt;=0,"БЛОК: сумма должна быть больше нуля",IF(AND(H36&lt;&gt;0,F36=""),"БЛОК: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отделить",IF(AND(G36&lt;&gt;0,F36=""),"БЛОК: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нельзя",IF(AND(F36&lt;&gt;"",COUNTIF('Долг по актам'!$B$5:$B$34,F36)=0),"БЛОК: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договору")&gt;0)*($C$5:$C$504&lt;&gt;C36)*($E$5:$E$504=E36)*(($D$5:$D$504=D36)*(D36&lt;&gt;"")+($B$5:$B$504=B36)*(B36&lt;&gt;"")&gt;0))&gt;0,"БЛОК: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6" s="3" t="str">
        <f>IF(AND(B36="",C36="",E36=""),"",SUM($G$5:G36))</f>
        <v/>
      </c>
    </row>
    <row r="37" spans="1:10" x14ac:dyDescent="0.3">
      <c r="A37" s="4">
        <v>33</v>
      </c>
      <c r="B37" s="5"/>
      <c r="C37" s="6"/>
      <c r="D37" s="6"/>
      <c r="E37" s="7"/>
      <c r="F37" s="6"/>
      <c r="G37" s="3">
        <f t="shared" si="0"/>
        <v>0</v>
      </c>
      <c r="H37" s="3">
        <f t="shared" si="1"/>
        <v>0</v>
      </c>
      <c r="I37" s="4" t="str">
        <f>IF(AND(B37="",C37="",D37="",E37="",F37=""),"",IF(OR(B37="",C37="",E37=""),"БЛОК: нужны дата, тип операции и сумма",IF(N(E37)&lt;=0,"БЛОК: сумма должна быть больше нуля",IF(AND(H37&lt;&gt;0,F37=""),"БЛОК: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отделить",IF(AND(G37&lt;&gt;0,F37=""),"БЛОК: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нельзя",IF(AND(F37&lt;&gt;"",COUNTIF('Долг по актам'!$B$5:$B$34,F37)=0),"БЛОК: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договору")&gt;0)*($C$5:$C$504&lt;&gt;C37)*($E$5:$E$504=E37)*(($D$5:$D$504=D37)*(D37&lt;&gt;"")+($B$5:$B$504=B37)*(B37&lt;&gt;"")&gt;0))&gt;0,"БЛОК: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7" s="3" t="str">
        <f>IF(AND(B37="",C37="",E37=""),"",SUM($G$5:G37))</f>
        <v/>
      </c>
    </row>
    <row r="38" spans="1:10" x14ac:dyDescent="0.3">
      <c r="A38" s="4">
        <v>34</v>
      </c>
      <c r="B38" s="5"/>
      <c r="C38" s="6"/>
      <c r="D38" s="6"/>
      <c r="E38" s="7"/>
      <c r="F38" s="6"/>
      <c r="G38" s="3">
        <f t="shared" si="0"/>
        <v>0</v>
      </c>
      <c r="H38" s="3">
        <f t="shared" si="1"/>
        <v>0</v>
      </c>
      <c r="I38" s="4" t="str">
        <f>IF(AND(B38="",C38="",D38="",E38="",F38=""),"",IF(OR(B38="",C38="",E38=""),"БЛОК: нужны дата, тип операции и сумма",IF(N(E38)&lt;=0,"БЛОК: сумма должна быть больше нуля",IF(AND(H38&lt;&gt;0,F38=""),"БЛОК: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отделить",IF(AND(G38&lt;&gt;0,F38=""),"БЛОК: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нельзя",IF(AND(F38&lt;&gt;"",COUNTIF('Долг по актам'!$B$5:$B$34,F38)=0),"БЛОК: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договору")&gt;0)*($C$5:$C$504&lt;&gt;C38)*($E$5:$E$504=E38)*(($D$5:$D$504=D38)*(D38&lt;&gt;"")+($B$5:$B$504=B38)*(B38&lt;&gt;"")&gt;0))&gt;0,"БЛОК: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8" s="3" t="str">
        <f>IF(AND(B38="",C38="",E38=""),"",SUM($G$5:G38))</f>
        <v/>
      </c>
    </row>
    <row r="39" spans="1:10" x14ac:dyDescent="0.3">
      <c r="A39" s="4">
        <v>35</v>
      </c>
      <c r="B39" s="5"/>
      <c r="C39" s="6"/>
      <c r="D39" s="6"/>
      <c r="E39" s="7"/>
      <c r="F39" s="6"/>
      <c r="G39" s="3">
        <f t="shared" si="0"/>
        <v>0</v>
      </c>
      <c r="H39" s="3">
        <f t="shared" si="1"/>
        <v>0</v>
      </c>
      <c r="I39" s="4" t="str">
        <f>IF(AND(B39="",C39="",D39="",E39="",F39=""),"",IF(OR(B39="",C39="",E39=""),"БЛОК: нужны дата, тип операции и сумма",IF(N(E39)&lt;=0,"БЛОК: сумма должна быть больше нуля",IF(AND(H39&lt;&gt;0,F39=""),"БЛОК: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отделить",IF(AND(G39&lt;&gt;0,F39=""),"БЛОК: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нельзя",IF(AND(F39&lt;&gt;"",COUNTIF('Долг по актам'!$B$5:$B$34,F39)=0),"БЛОК: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договору")&gt;0)*($C$5:$C$504&lt;&gt;C39)*($E$5:$E$504=E39)*(($D$5:$D$504=D39)*(D39&lt;&gt;"")+($B$5:$B$504=B39)*(B39&lt;&gt;"")&gt;0))&gt;0,"БЛОК: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9" s="3" t="str">
        <f>IF(AND(B39="",C39="",E39=""),"",SUM($G$5:G39))</f>
        <v/>
      </c>
    </row>
    <row r="40" spans="1:10" x14ac:dyDescent="0.3">
      <c r="A40" s="4">
        <v>36</v>
      </c>
      <c r="B40" s="5"/>
      <c r="C40" s="6"/>
      <c r="D40" s="6"/>
      <c r="E40" s="7"/>
      <c r="F40" s="6"/>
      <c r="G40" s="3">
        <f t="shared" si="0"/>
        <v>0</v>
      </c>
      <c r="H40" s="3">
        <f t="shared" si="1"/>
        <v>0</v>
      </c>
      <c r="I40" s="4" t="str">
        <f>IF(AND(B40="",C40="",D40="",E40="",F40=""),"",IF(OR(B40="",C40="",E40=""),"БЛОК: нужны дата, тип операции и сумма",IF(N(E40)&lt;=0,"БЛОК: сумма должна быть больше нуля",IF(AND(H40&lt;&gt;0,F40=""),"БЛОК: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отделить",IF(AND(G40&lt;&gt;0,F40=""),"БЛОК: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нельзя",IF(AND(F40&lt;&gt;"",COUNTIF('Долг по актам'!$B$5:$B$34,F40)=0),"БЛОК: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договору")&gt;0)*($C$5:$C$504&lt;&gt;C40)*($E$5:$E$504=E40)*(($D$5:$D$504=D40)*(D40&lt;&gt;"")+($B$5:$B$504=B40)*(B40&lt;&gt;"")&gt;0))&gt;0,"БЛОК: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0" s="3" t="str">
        <f>IF(AND(B40="",C40="",E40=""),"",SUM($G$5:G40))</f>
        <v/>
      </c>
    </row>
    <row r="41" spans="1:10" x14ac:dyDescent="0.3">
      <c r="A41" s="4">
        <v>37</v>
      </c>
      <c r="B41" s="5"/>
      <c r="C41" s="6"/>
      <c r="D41" s="6"/>
      <c r="E41" s="7"/>
      <c r="F41" s="6"/>
      <c r="G41" s="3">
        <f t="shared" si="0"/>
        <v>0</v>
      </c>
      <c r="H41" s="3">
        <f t="shared" si="1"/>
        <v>0</v>
      </c>
      <c r="I41" s="4" t="str">
        <f>IF(AND(B41="",C41="",D41="",E41="",F41=""),"",IF(OR(B41="",C41="",E41=""),"БЛОК: нужны дата, тип операции и сумма",IF(N(E41)&lt;=0,"БЛОК: сумма должна быть больше нуля",IF(AND(H41&lt;&gt;0,F41=""),"БЛОК: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отделить",IF(AND(G41&lt;&gt;0,F41=""),"БЛОК: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нельзя",IF(AND(F41&lt;&gt;"",COUNTIF('Долг по актам'!$B$5:$B$34,F41)=0),"БЛОК: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договору")&gt;0)*($C$5:$C$504&lt;&gt;C41)*($E$5:$E$504=E41)*(($D$5:$D$504=D41)*(D41&lt;&gt;"")+($B$5:$B$504=B41)*(B41&lt;&gt;"")&gt;0))&gt;0,"БЛОК: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1" s="3" t="str">
        <f>IF(AND(B41="",C41="",E41=""),"",SUM($G$5:G41))</f>
        <v/>
      </c>
    </row>
    <row r="42" spans="1:10" x14ac:dyDescent="0.3">
      <c r="A42" s="4">
        <v>38</v>
      </c>
      <c r="B42" s="5"/>
      <c r="C42" s="6"/>
      <c r="D42" s="6"/>
      <c r="E42" s="7"/>
      <c r="F42" s="6"/>
      <c r="G42" s="3">
        <f t="shared" si="0"/>
        <v>0</v>
      </c>
      <c r="H42" s="3">
        <f t="shared" si="1"/>
        <v>0</v>
      </c>
      <c r="I42" s="4" t="str">
        <f>IF(AND(B42="",C42="",D42="",E42="",F42=""),"",IF(OR(B42="",C42="",E42=""),"БЛОК: нужны дата, тип операции и сумма",IF(N(E42)&lt;=0,"БЛОК: сумма должна быть больше нуля",IF(AND(H42&lt;&gt;0,F42=""),"БЛОК: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отделить",IF(AND(G42&lt;&gt;0,F42=""),"БЛОК: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нельзя",IF(AND(F42&lt;&gt;"",COUNTIF('Долг по актам'!$B$5:$B$34,F42)=0),"БЛОК: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договору")&gt;0)*($C$5:$C$504&lt;&gt;C42)*($E$5:$E$504=E42)*(($D$5:$D$504=D42)*(D42&lt;&gt;"")+($B$5:$B$504=B42)*(B42&lt;&gt;"")&gt;0))&gt;0,"БЛОК: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2" s="3" t="str">
        <f>IF(AND(B42="",C42="",E42=""),"",SUM($G$5:G42))</f>
        <v/>
      </c>
    </row>
    <row r="43" spans="1:10" x14ac:dyDescent="0.3">
      <c r="A43" s="4">
        <v>39</v>
      </c>
      <c r="B43" s="5"/>
      <c r="C43" s="6"/>
      <c r="D43" s="6"/>
      <c r="E43" s="7"/>
      <c r="F43" s="6"/>
      <c r="G43" s="3">
        <f t="shared" si="0"/>
        <v>0</v>
      </c>
      <c r="H43" s="3">
        <f t="shared" si="1"/>
        <v>0</v>
      </c>
      <c r="I43" s="4" t="str">
        <f>IF(AND(B43="",C43="",D43="",E43="",F43=""),"",IF(OR(B43="",C43="",E43=""),"БЛОК: нужны дата, тип операции и сумма",IF(N(E43)&lt;=0,"БЛОК: сумма должна быть больше нуля",IF(AND(H43&lt;&gt;0,F43=""),"БЛОК: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отделить",IF(AND(G43&lt;&gt;0,F43=""),"БЛОК: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нельзя",IF(AND(F43&lt;&gt;"",COUNTIF('Долг по актам'!$B$5:$B$34,F43)=0),"БЛОК: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договору")&gt;0)*($C$5:$C$504&lt;&gt;C43)*($E$5:$E$504=E43)*(($D$5:$D$504=D43)*(D43&lt;&gt;"")+($B$5:$B$504=B43)*(B43&lt;&gt;"")&gt;0))&gt;0,"БЛОК: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3" s="3" t="str">
        <f>IF(AND(B43="",C43="",E43=""),"",SUM($G$5:G43))</f>
        <v/>
      </c>
    </row>
    <row r="44" spans="1:10" x14ac:dyDescent="0.3">
      <c r="A44" s="4">
        <v>40</v>
      </c>
      <c r="B44" s="5"/>
      <c r="C44" s="6"/>
      <c r="D44" s="6"/>
      <c r="E44" s="7"/>
      <c r="F44" s="6"/>
      <c r="G44" s="3">
        <f t="shared" si="0"/>
        <v>0</v>
      </c>
      <c r="H44" s="3">
        <f t="shared" si="1"/>
        <v>0</v>
      </c>
      <c r="I44" s="4" t="str">
        <f>IF(AND(B44="",C44="",D44="",E44="",F44=""),"",IF(OR(B44="",C44="",E44=""),"БЛОК: нужны дата, тип операции и сумма",IF(N(E44)&lt;=0,"БЛОК: сумма должна быть больше нуля",IF(AND(H44&lt;&gt;0,F44=""),"БЛОК: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отделить",IF(AND(G44&lt;&gt;0,F44=""),"БЛОК: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нельзя",IF(AND(F44&lt;&gt;"",COUNTIF('Долг по актам'!$B$5:$B$34,F44)=0),"БЛОК: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договору")&gt;0)*($C$5:$C$504&lt;&gt;C44)*($E$5:$E$504=E44)*(($D$5:$D$504=D44)*(D44&lt;&gt;"")+($B$5:$B$504=B44)*(B44&lt;&gt;"")&gt;0))&gt;0,"БЛОК: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4" s="3" t="str">
        <f>IF(AND(B44="",C44="",E44=""),"",SUM($G$5:G44))</f>
        <v/>
      </c>
    </row>
    <row r="45" spans="1:10" x14ac:dyDescent="0.3">
      <c r="A45" s="4">
        <v>41</v>
      </c>
      <c r="B45" s="5"/>
      <c r="C45" s="6"/>
      <c r="D45" s="6"/>
      <c r="E45" s="7"/>
      <c r="F45" s="6"/>
      <c r="G45" s="3">
        <f t="shared" si="0"/>
        <v>0</v>
      </c>
      <c r="H45" s="3">
        <f t="shared" si="1"/>
        <v>0</v>
      </c>
      <c r="I45" s="4" t="str">
        <f>IF(AND(B45="",C45="",D45="",E45="",F45=""),"",IF(OR(B45="",C45="",E45=""),"БЛОК: нужны дата, тип операции и сумма",IF(N(E45)&lt;=0,"БЛОК: сумма должна быть больше нуля",IF(AND(H45&lt;&gt;0,F45=""),"БЛОК: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отделить",IF(AND(G45&lt;&gt;0,F45=""),"БЛОК: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нельзя",IF(AND(F45&lt;&gt;"",COUNTIF('Долг по актам'!$B$5:$B$34,F45)=0),"БЛОК: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договору")&gt;0)*($C$5:$C$504&lt;&gt;C45)*($E$5:$E$504=E45)*(($D$5:$D$504=D45)*(D45&lt;&gt;"")+($B$5:$B$504=B45)*(B45&lt;&gt;"")&gt;0))&gt;0,"БЛОК: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5" s="3" t="str">
        <f>IF(AND(B45="",C45="",E45=""),"",SUM($G$5:G45))</f>
        <v/>
      </c>
    </row>
    <row r="46" spans="1:10" x14ac:dyDescent="0.3">
      <c r="A46" s="4">
        <v>42</v>
      </c>
      <c r="B46" s="5"/>
      <c r="C46" s="6"/>
      <c r="D46" s="6"/>
      <c r="E46" s="7"/>
      <c r="F46" s="6"/>
      <c r="G46" s="3">
        <f t="shared" si="0"/>
        <v>0</v>
      </c>
      <c r="H46" s="3">
        <f t="shared" si="1"/>
        <v>0</v>
      </c>
      <c r="I46" s="4" t="str">
        <f>IF(AND(B46="",C46="",D46="",E46="",F46=""),"",IF(OR(B46="",C46="",E46=""),"БЛОК: нужны дата, тип операции и сумма",IF(N(E46)&lt;=0,"БЛОК: сумма должна быть больше нуля",IF(AND(H46&lt;&gt;0,F46=""),"БЛОК: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отделить",IF(AND(G46&lt;&gt;0,F46=""),"БЛОК: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нельзя",IF(AND(F46&lt;&gt;"",COUNTIF('Долг по актам'!$B$5:$B$34,F46)=0),"БЛОК: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договору")&gt;0)*($C$5:$C$504&lt;&gt;C46)*($E$5:$E$504=E46)*(($D$5:$D$504=D46)*(D46&lt;&gt;"")+($B$5:$B$504=B46)*(B46&lt;&gt;"")&gt;0))&gt;0,"БЛОК: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6" s="3" t="str">
        <f>IF(AND(B46="",C46="",E46=""),"",SUM($G$5:G46))</f>
        <v/>
      </c>
    </row>
    <row r="47" spans="1:10" x14ac:dyDescent="0.3">
      <c r="A47" s="4">
        <v>43</v>
      </c>
      <c r="B47" s="5"/>
      <c r="C47" s="6"/>
      <c r="D47" s="6"/>
      <c r="E47" s="7"/>
      <c r="F47" s="6"/>
      <c r="G47" s="3">
        <f t="shared" si="0"/>
        <v>0</v>
      </c>
      <c r="H47" s="3">
        <f t="shared" si="1"/>
        <v>0</v>
      </c>
      <c r="I47" s="4" t="str">
        <f>IF(AND(B47="",C47="",D47="",E47="",F47=""),"",IF(OR(B47="",C47="",E47=""),"БЛОК: нужны дата, тип операции и сумма",IF(N(E47)&lt;=0,"БЛОК: сумма должна быть больше нуля",IF(AND(H47&lt;&gt;0,F47=""),"БЛОК: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отделить",IF(AND(G47&lt;&gt;0,F47=""),"БЛОК: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нельзя",IF(AND(F47&lt;&gt;"",COUNTIF('Долг по актам'!$B$5:$B$34,F47)=0),"БЛОК: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договору")&gt;0)*($C$5:$C$504&lt;&gt;C47)*($E$5:$E$504=E47)*(($D$5:$D$504=D47)*(D47&lt;&gt;"")+($B$5:$B$504=B47)*(B47&lt;&gt;"")&gt;0))&gt;0,"БЛОК: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7" s="3" t="str">
        <f>IF(AND(B47="",C47="",E47=""),"",SUM($G$5:G47))</f>
        <v/>
      </c>
    </row>
    <row r="48" spans="1:10" x14ac:dyDescent="0.3">
      <c r="A48" s="4">
        <v>44</v>
      </c>
      <c r="B48" s="5"/>
      <c r="C48" s="6"/>
      <c r="D48" s="6"/>
      <c r="E48" s="7"/>
      <c r="F48" s="6"/>
      <c r="G48" s="3">
        <f t="shared" si="0"/>
        <v>0</v>
      </c>
      <c r="H48" s="3">
        <f t="shared" si="1"/>
        <v>0</v>
      </c>
      <c r="I48" s="4" t="str">
        <f>IF(AND(B48="",C48="",D48="",E48="",F48=""),"",IF(OR(B48="",C48="",E48=""),"БЛОК: нужны дата, тип операции и сумма",IF(N(E48)&lt;=0,"БЛОК: сумма должна быть больше нуля",IF(AND(H48&lt;&gt;0,F48=""),"БЛОК: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отделить",IF(AND(G48&lt;&gt;0,F48=""),"БЛОК: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нельзя",IF(AND(F48&lt;&gt;"",COUNTIF('Долг по актам'!$B$5:$B$34,F48)=0),"БЛОК: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договору")&gt;0)*($C$5:$C$504&lt;&gt;C48)*($E$5:$E$504=E48)*(($D$5:$D$504=D48)*(D48&lt;&gt;"")+($B$5:$B$504=B48)*(B48&lt;&gt;"")&gt;0))&gt;0,"БЛОК: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8" s="3" t="str">
        <f>IF(AND(B48="",C48="",E48=""),"",SUM($G$5:G48))</f>
        <v/>
      </c>
    </row>
    <row r="49" spans="1:10" x14ac:dyDescent="0.3">
      <c r="A49" s="4">
        <v>45</v>
      </c>
      <c r="B49" s="5"/>
      <c r="C49" s="6"/>
      <c r="D49" s="6"/>
      <c r="E49" s="7"/>
      <c r="F49" s="6"/>
      <c r="G49" s="3">
        <f t="shared" si="0"/>
        <v>0</v>
      </c>
      <c r="H49" s="3">
        <f t="shared" si="1"/>
        <v>0</v>
      </c>
      <c r="I49" s="4" t="str">
        <f>IF(AND(B49="",C49="",D49="",E49="",F49=""),"",IF(OR(B49="",C49="",E49=""),"БЛОК: нужны дата, тип операции и сумма",IF(N(E49)&lt;=0,"БЛОК: сумма должна быть больше нуля",IF(AND(H49&lt;&gt;0,F49=""),"БЛОК: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отделить",IF(AND(G49&lt;&gt;0,F49=""),"БЛОК: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нельзя",IF(AND(F49&lt;&gt;"",COUNTIF('Долг по актам'!$B$5:$B$34,F49)=0),"БЛОК: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договору")&gt;0)*($C$5:$C$504&lt;&gt;C49)*($E$5:$E$504=E49)*(($D$5:$D$504=D49)*(D49&lt;&gt;"")+($B$5:$B$504=B49)*(B49&lt;&gt;"")&gt;0))&gt;0,"БЛОК: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9" s="3" t="str">
        <f>IF(AND(B49="",C49="",E49=""),"",SUM($G$5:G49))</f>
        <v/>
      </c>
    </row>
    <row r="50" spans="1:10" x14ac:dyDescent="0.3">
      <c r="A50" s="4">
        <v>46</v>
      </c>
      <c r="B50" s="5"/>
      <c r="C50" s="6"/>
      <c r="D50" s="6"/>
      <c r="E50" s="7"/>
      <c r="F50" s="6"/>
      <c r="G50" s="3">
        <f t="shared" si="0"/>
        <v>0</v>
      </c>
      <c r="H50" s="3">
        <f t="shared" si="1"/>
        <v>0</v>
      </c>
      <c r="I50" s="4" t="str">
        <f>IF(AND(B50="",C50="",D50="",E50="",F50=""),"",IF(OR(B50="",C50="",E50=""),"БЛОК: нужны дата, тип операции и сумма",IF(N(E50)&lt;=0,"БЛОК: сумма должна быть больше нуля",IF(AND(H50&lt;&gt;0,F50=""),"БЛОК: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отделить",IF(AND(G50&lt;&gt;0,F50=""),"БЛОК: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нельзя",IF(AND(F50&lt;&gt;"",COUNTIF('Долг по актам'!$B$5:$B$34,F50)=0),"БЛОК: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договору")&gt;0)*($C$5:$C$504&lt;&gt;C50)*($E$5:$E$504=E50)*(($D$5:$D$504=D50)*(D50&lt;&gt;"")+($B$5:$B$504=B50)*(B50&lt;&gt;"")&gt;0))&gt;0,"БЛОК: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50" s="3" t="str">
        <f>IF(AND(B50="",C50="",E50=""),"",SUM($G$5:G50))</f>
        <v/>
      </c>
    </row>
    <row r="51" spans="1:10" x14ac:dyDescent="0.3">
      <c r="A51" s="4">
        <v>47</v>
      </c>
      <c r="B51" s="5"/>
      <c r="C51" s="6"/>
      <c r="D51" s="6"/>
      <c r="E51" s="7"/>
      <c r="F51" s="6"/>
      <c r="G51" s="3">
        <f t="shared" si="0"/>
        <v>0</v>
      </c>
      <c r="H51" s="3">
        <f t="shared" si="1"/>
        <v>0</v>
      </c>
      <c r="I51" s="4" t="str">
        <f>IF(AND(B51="",C51="",D51="",E51="",F51=""),"",IF(OR(B51="",C51="",E51=""),"БЛОК: нужны дата, тип операции и сумма",IF(N(E51)&lt;=0,"БЛОК: сумма должна быть больше нуля",IF(AND(H51&lt;&gt;0,F51=""),"БЛОК: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отделить",IF(AND(G51&lt;&gt;0,F51=""),"БЛОК: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нельзя",IF(AND(F51&lt;&gt;"",COUNTIF('Долг по актам'!$B$5:$B$34,F51)=0),"БЛОК: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договору")&gt;0)*($C$5:$C$504&lt;&gt;C51)*($E$5:$E$504=E51)*(($D$5:$D$504=D51)*(D51&lt;&gt;"")+($B$5:$B$504=B51)*(B51&lt;&gt;"")&gt;0))&gt;0,"БЛОК: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51" s="3" t="str">
        <f>IF(AND(B51="",C51="",E51=""),"",SUM($G$5:G51))</f>
        <v/>
      </c>
    </row>
    <row r="52" spans="1:10" x14ac:dyDescent="0.3">
      <c r="A52" s="4">
        <v>48</v>
      </c>
      <c r="B52" s="5"/>
      <c r="C52" s="6"/>
      <c r="D52" s="6"/>
      <c r="E52" s="7"/>
      <c r="F52" s="6"/>
      <c r="G52" s="3">
        <f t="shared" si="0"/>
        <v>0</v>
      </c>
      <c r="H52" s="3">
        <f t="shared" si="1"/>
        <v>0</v>
      </c>
      <c r="I52" s="4" t="str">
        <f>IF(AND(B52="",C52="",D52="",E52="",F52=""),"",IF(OR(B52="",C52="",E52=""),"БЛОК: нужны дата, тип операции и сумма",IF(N(E52)&lt;=0,"БЛОК: сумма должна быть больше нуля",IF(AND(H52&lt;&gt;0,F52=""),"БЛОК: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отделить",IF(AND(G52&lt;&gt;0,F52=""),"БЛОК: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нельзя",IF(AND(F52&lt;&gt;"",COUNTIF('Долг по актам'!$B$5:$B$34,F52)=0),"БЛОК: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договору")&gt;0)*($C$5:$C$504&lt;&gt;C52)*($E$5:$E$504=E52)*(($D$5:$D$504=D52)*(D52&lt;&gt;"")+($B$5:$B$504=B52)*(B52&lt;&gt;"")&gt;0))&gt;0,"БЛОК: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52" s="3" t="str">
        <f>IF(AND(B52="",C52="",E52=""),"",SUM($G$5:G52))</f>
        <v/>
      </c>
    </row>
    <row r="53" spans="1:10" x14ac:dyDescent="0.3">
      <c r="A53" s="4">
        <v>49</v>
      </c>
      <c r="B53" s="5"/>
      <c r="C53" s="6"/>
      <c r="D53" s="6"/>
      <c r="E53" s="7"/>
      <c r="F53" s="6"/>
      <c r="G53" s="3">
        <f t="shared" si="0"/>
        <v>0</v>
      </c>
      <c r="H53" s="3">
        <f t="shared" si="1"/>
        <v>0</v>
      </c>
      <c r="I53" s="4" t="str">
        <f>IF(AND(B53="",C53="",D53="",E53="",F53=""),"",IF(OR(B53="",C53="",E53=""),"БЛОК: нужны дата, тип операции и сумма",IF(N(E53)&lt;=0,"БЛОК: сумма должна быть больше нуля",IF(AND(H53&lt;&gt;0,F53=""),"БЛОК: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отделить",IF(AND(G53&lt;&gt;0,F53=""),"БЛОК: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нельзя",IF(AND(F53&lt;&gt;"",COUNTIF('Долг по актам'!$B$5:$B$34,F53)=0),"БЛОК: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договору")&gt;0)*($C$5:$C$504&lt;&gt;C53)*($E$5:$E$504=E53)*(($D$5:$D$504=D53)*(D53&lt;&gt;"")+($B$5:$B$504=B53)*(B53&lt;&gt;"")&gt;0))&gt;0,"БЛОК: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53" s="3" t="str">
        <f>IF(AND(B53="",C53="",E53=""),"",SUM($G$5:G53))</f>
        <v/>
      </c>
    </row>
    <row r="54" spans="1:10" x14ac:dyDescent="0.3">
      <c r="A54" s="4">
        <v>50</v>
      </c>
      <c r="B54" s="5"/>
      <c r="C54" s="6"/>
      <c r="D54" s="6"/>
      <c r="E54" s="7"/>
      <c r="F54" s="6"/>
      <c r="G54" s="3">
        <f t="shared" si="0"/>
        <v>0</v>
      </c>
      <c r="H54" s="3">
        <f t="shared" si="1"/>
        <v>0</v>
      </c>
      <c r="I54" s="4" t="str">
        <f>IF(AND(B54="",C54="",D54="",E54="",F54=""),"",IF(OR(B54="",C54="",E54=""),"БЛОК: нужны дата, тип операции и сумма",IF(N(E54)&lt;=0,"БЛОК: сумма должна быть больше нуля",IF(AND(H54&lt;&gt;0,F54=""),"БЛОК: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отделить",IF(AND(G54&lt;&gt;0,F54=""),"БЛОК: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нельзя",IF(AND(F54&lt;&gt;"",COUNTIF('Долг по актам'!$B$5:$B$34,F54)=0),"БЛОК: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договору")&gt;0)*($C$5:$C$504&lt;&gt;C54)*($E$5:$E$504=E54)*(($D$5:$D$504=D54)*(D54&lt;&gt;"")+($B$5:$B$504=B54)*(B54&lt;&gt;"")&gt;0))&gt;0,"БЛОК: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54" s="3" t="str">
        <f>IF(AND(B54="",C54="",E54=""),"",SUM($G$5:G54))</f>
        <v/>
      </c>
    </row>
    <row r="55" spans="1:10" x14ac:dyDescent="0.3">
      <c r="A55" s="4">
        <v>51</v>
      </c>
      <c r="B55" s="5"/>
      <c r="C55" s="6"/>
      <c r="D55" s="6"/>
      <c r="E55" s="7"/>
      <c r="F55" s="6"/>
      <c r="G55" s="3">
        <f t="shared" si="0"/>
        <v>0</v>
      </c>
      <c r="H55" s="3">
        <f t="shared" si="1"/>
        <v>0</v>
      </c>
      <c r="I55" s="4" t="str">
        <f>IF(AND(B55="",C55="",D55="",E55="",F55=""),"",IF(OR(B55="",C55="",E55=""),"БЛОК: нужны дата, тип операции и сумма",IF(N(E55)&lt;=0,"БЛОК: сумма должна быть больше нуля",IF(AND(H55&lt;&gt;0,F55=""),"БЛОК: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отделить",IF(AND(G55&lt;&gt;0,F55=""),"БЛОК: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нельзя",IF(AND(F55&lt;&gt;"",COUNTIF('Долг по актам'!$B$5:$B$34,F55)=0),"БЛОК: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договору")&gt;0)*($C$5:$C$504&lt;&gt;C55)*($E$5:$E$504=E55)*(($D$5:$D$504=D55)*(D55&lt;&gt;"")+($B$5:$B$504=B55)*(B55&lt;&gt;"")&gt;0))&gt;0,"БЛОК: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55" s="3" t="str">
        <f>IF(AND(B55="",C55="",E55=""),"",SUM($G$5:G55))</f>
        <v/>
      </c>
    </row>
    <row r="56" spans="1:10" x14ac:dyDescent="0.3">
      <c r="A56" s="4">
        <v>52</v>
      </c>
      <c r="B56" s="5"/>
      <c r="C56" s="6"/>
      <c r="D56" s="6"/>
      <c r="E56" s="7"/>
      <c r="F56" s="6"/>
      <c r="G56" s="3">
        <f t="shared" si="0"/>
        <v>0</v>
      </c>
      <c r="H56" s="3">
        <f t="shared" si="1"/>
        <v>0</v>
      </c>
      <c r="I56" s="4" t="str">
        <f>IF(AND(B56="",C56="",D56="",E56="",F56=""),"",IF(OR(B56="",C56="",E56=""),"БЛОК: нужны дата, тип операции и сумма",IF(N(E56)&lt;=0,"БЛОК: сумма должна быть больше нуля",IF(AND(H56&lt;&gt;0,F56=""),"БЛОК: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отделить",IF(AND(G56&lt;&gt;0,F56=""),"БЛОК: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нельзя",IF(AND(F56&lt;&gt;"",COUNTIF('Долг по актам'!$B$5:$B$34,F56)=0),"БЛОК: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договору")&gt;0)*($C$5:$C$504&lt;&gt;C56)*($E$5:$E$504=E56)*(($D$5:$D$504=D56)*(D56&lt;&gt;"")+($B$5:$B$504=B56)*(B56&lt;&gt;"")&gt;0))&gt;0,"БЛОК: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56" s="3" t="str">
        <f>IF(AND(B56="",C56="",E56=""),"",SUM($G$5:G56))</f>
        <v/>
      </c>
    </row>
    <row r="57" spans="1:10" x14ac:dyDescent="0.3">
      <c r="A57" s="4">
        <v>53</v>
      </c>
      <c r="B57" s="5"/>
      <c r="C57" s="6"/>
      <c r="D57" s="6"/>
      <c r="E57" s="7"/>
      <c r="F57" s="6"/>
      <c r="G57" s="3">
        <f t="shared" si="0"/>
        <v>0</v>
      </c>
      <c r="H57" s="3">
        <f t="shared" si="1"/>
        <v>0</v>
      </c>
      <c r="I57" s="4" t="str">
        <f>IF(AND(B57="",C57="",D57="",E57="",F57=""),"",IF(OR(B57="",C57="",E57=""),"БЛОК: нужны дата, тип операции и сумма",IF(N(E57)&lt;=0,"БЛОК: сумма должна быть больше нуля",IF(AND(H57&lt;&gt;0,F57=""),"БЛОК: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отделить",IF(AND(G57&lt;&gt;0,F57=""),"БЛОК: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нельзя",IF(AND(F57&lt;&gt;"",COUNTIF('Долг по актам'!$B$5:$B$34,F57)=0),"БЛОК: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договору")&gt;0)*($C$5:$C$504&lt;&gt;C57)*($E$5:$E$504=E57)*(($D$5:$D$504=D57)*(D57&lt;&gt;"")+($B$5:$B$504=B57)*(B57&lt;&gt;"")&gt;0))&gt;0,"БЛОК: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57" s="3" t="str">
        <f>IF(AND(B57="",C57="",E57=""),"",SUM($G$5:G57))</f>
        <v/>
      </c>
    </row>
    <row r="58" spans="1:10" x14ac:dyDescent="0.3">
      <c r="A58" s="4">
        <v>54</v>
      </c>
      <c r="B58" s="5"/>
      <c r="C58" s="6"/>
      <c r="D58" s="6"/>
      <c r="E58" s="7"/>
      <c r="F58" s="6"/>
      <c r="G58" s="3">
        <f t="shared" si="0"/>
        <v>0</v>
      </c>
      <c r="H58" s="3">
        <f t="shared" si="1"/>
        <v>0</v>
      </c>
      <c r="I58" s="4" t="str">
        <f>IF(AND(B58="",C58="",D58="",E58="",F58=""),"",IF(OR(B58="",C58="",E58=""),"БЛОК: нужны дата, тип операции и сумма",IF(N(E58)&lt;=0,"БЛОК: сумма должна быть больше нуля",IF(AND(H58&lt;&gt;0,F58=""),"БЛОК: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отделить",IF(AND(G58&lt;&gt;0,F58=""),"БЛОК: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нельзя",IF(AND(F58&lt;&gt;"",COUNTIF('Долг по актам'!$B$5:$B$34,F58)=0),"БЛОК: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договору")&gt;0)*($C$5:$C$504&lt;&gt;C58)*($E$5:$E$504=E58)*(($D$5:$D$504=D58)*(D58&lt;&gt;"")+($B$5:$B$504=B58)*(B58&lt;&gt;"")&gt;0))&gt;0,"БЛОК: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58" s="3" t="str">
        <f>IF(AND(B58="",C58="",E58=""),"",SUM($G$5:G58))</f>
        <v/>
      </c>
    </row>
    <row r="59" spans="1:10" x14ac:dyDescent="0.3">
      <c r="A59" s="4">
        <v>55</v>
      </c>
      <c r="B59" s="5"/>
      <c r="C59" s="6"/>
      <c r="D59" s="6"/>
      <c r="E59" s="7"/>
      <c r="F59" s="6"/>
      <c r="G59" s="3">
        <f t="shared" si="0"/>
        <v>0</v>
      </c>
      <c r="H59" s="3">
        <f t="shared" si="1"/>
        <v>0</v>
      </c>
      <c r="I59" s="4" t="str">
        <f>IF(AND(B59="",C59="",D59="",E59="",F59=""),"",IF(OR(B59="",C59="",E59=""),"БЛОК: нужны дата, тип операции и сумма",IF(N(E59)&lt;=0,"БЛОК: сумма должна быть больше нуля",IF(AND(H59&lt;&gt;0,F59=""),"БЛОК: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отделить",IF(AND(G59&lt;&gt;0,F59=""),"БЛОК: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нельзя",IF(AND(F59&lt;&gt;"",COUNTIF('Долг по актам'!$B$5:$B$34,F59)=0),"БЛОК: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договору")&gt;0)*($C$5:$C$504&lt;&gt;C59)*($E$5:$E$504=E59)*(($D$5:$D$504=D59)*(D59&lt;&gt;"")+($B$5:$B$504=B59)*(B59&lt;&gt;"")&gt;0))&gt;0,"БЛОК: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59" s="3" t="str">
        <f>IF(AND(B59="",C59="",E59=""),"",SUM($G$5:G59))</f>
        <v/>
      </c>
    </row>
    <row r="60" spans="1:10" x14ac:dyDescent="0.3">
      <c r="A60" s="4">
        <v>56</v>
      </c>
      <c r="B60" s="5"/>
      <c r="C60" s="6"/>
      <c r="D60" s="6"/>
      <c r="E60" s="7"/>
      <c r="F60" s="6"/>
      <c r="G60" s="3">
        <f t="shared" si="0"/>
        <v>0</v>
      </c>
      <c r="H60" s="3">
        <f t="shared" si="1"/>
        <v>0</v>
      </c>
      <c r="I60" s="4" t="str">
        <f>IF(AND(B60="",C60="",D60="",E60="",F60=""),"",IF(OR(B60="",C60="",E60=""),"БЛОК: нужны дата, тип операции и сумма",IF(N(E60)&lt;=0,"БЛОК: сумма должна быть больше нуля",IF(AND(H60&lt;&gt;0,F60=""),"БЛОК: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отделить",IF(AND(G60&lt;&gt;0,F60=""),"БЛОК: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нельзя",IF(AND(F60&lt;&gt;"",COUNTIF('Долг по актам'!$B$5:$B$34,F60)=0),"БЛОК: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договору")&gt;0)*($C$5:$C$504&lt;&gt;C60)*($E$5:$E$504=E60)*(($D$5:$D$504=D60)*(D60&lt;&gt;"")+($B$5:$B$504=B60)*(B60&lt;&gt;"")&gt;0))&gt;0,"БЛОК: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60" s="3" t="str">
        <f>IF(AND(B60="",C60="",E60=""),"",SUM($G$5:G60))</f>
        <v/>
      </c>
    </row>
    <row r="61" spans="1:10" x14ac:dyDescent="0.3">
      <c r="A61" s="4">
        <v>57</v>
      </c>
      <c r="B61" s="5"/>
      <c r="C61" s="6"/>
      <c r="D61" s="6"/>
      <c r="E61" s="7"/>
      <c r="F61" s="6"/>
      <c r="G61" s="3">
        <f t="shared" si="0"/>
        <v>0</v>
      </c>
      <c r="H61" s="3">
        <f t="shared" si="1"/>
        <v>0</v>
      </c>
      <c r="I61" s="4" t="str">
        <f>IF(AND(B61="",C61="",D61="",E61="",F61=""),"",IF(OR(B61="",C61="",E61=""),"БЛОК: нужны дата, тип операции и сумма",IF(N(E61)&lt;=0,"БЛОК: сумма должна быть больше нуля",IF(AND(H61&lt;&gt;0,F61=""),"БЛОК: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отделить",IF(AND(G61&lt;&gt;0,F61=""),"БЛОК: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нельзя",IF(AND(F61&lt;&gt;"",COUNTIF('Долг по актам'!$B$5:$B$34,F61)=0),"БЛОК: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договору")&gt;0)*($C$5:$C$504&lt;&gt;C61)*($E$5:$E$504=E61)*(($D$5:$D$504=D61)*(D61&lt;&gt;"")+($B$5:$B$504=B61)*(B61&lt;&gt;"")&gt;0))&gt;0,"БЛОК: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61" s="3" t="str">
        <f>IF(AND(B61="",C61="",E61=""),"",SUM($G$5:G61))</f>
        <v/>
      </c>
    </row>
    <row r="62" spans="1:10" x14ac:dyDescent="0.3">
      <c r="A62" s="4">
        <v>58</v>
      </c>
      <c r="B62" s="5"/>
      <c r="C62" s="6"/>
      <c r="D62" s="6"/>
      <c r="E62" s="7"/>
      <c r="F62" s="6"/>
      <c r="G62" s="3">
        <f t="shared" si="0"/>
        <v>0</v>
      </c>
      <c r="H62" s="3">
        <f t="shared" si="1"/>
        <v>0</v>
      </c>
      <c r="I62" s="4" t="str">
        <f>IF(AND(B62="",C62="",D62="",E62="",F62=""),"",IF(OR(B62="",C62="",E62=""),"БЛОК: нужны дата, тип операции и сумма",IF(N(E62)&lt;=0,"БЛОК: сумма должна быть больше нуля",IF(AND(H62&lt;&gt;0,F62=""),"БЛОК: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отделить",IF(AND(G62&lt;&gt;0,F62=""),"БЛОК: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нельзя",IF(AND(F62&lt;&gt;"",COUNTIF('Долг по актам'!$B$5:$B$34,F62)=0),"БЛОК: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договору")&gt;0)*($C$5:$C$504&lt;&gt;C62)*($E$5:$E$504=E62)*(($D$5:$D$504=D62)*(D62&lt;&gt;"")+($B$5:$B$504=B62)*(B62&lt;&gt;"")&gt;0))&gt;0,"БЛОК: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62" s="3" t="str">
        <f>IF(AND(B62="",C62="",E62=""),"",SUM($G$5:G62))</f>
        <v/>
      </c>
    </row>
    <row r="63" spans="1:10" x14ac:dyDescent="0.3">
      <c r="A63" s="4">
        <v>59</v>
      </c>
      <c r="B63" s="5"/>
      <c r="C63" s="6"/>
      <c r="D63" s="6"/>
      <c r="E63" s="7"/>
      <c r="F63" s="6"/>
      <c r="G63" s="3">
        <f t="shared" si="0"/>
        <v>0</v>
      </c>
      <c r="H63" s="3">
        <f t="shared" si="1"/>
        <v>0</v>
      </c>
      <c r="I63" s="4" t="str">
        <f>IF(AND(B63="",C63="",D63="",E63="",F63=""),"",IF(OR(B63="",C63="",E63=""),"БЛОК: нужны дата, тип операции и сумма",IF(N(E63)&lt;=0,"БЛОК: сумма должна быть больше нуля",IF(AND(H63&lt;&gt;0,F63=""),"БЛОК: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отделить",IF(AND(G63&lt;&gt;0,F63=""),"БЛОК: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нельзя",IF(AND(F63&lt;&gt;"",COUNTIF('Долг по актам'!$B$5:$B$34,F63)=0),"БЛОК: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договору")&gt;0)*($C$5:$C$504&lt;&gt;C63)*($E$5:$E$504=E63)*(($D$5:$D$504=D63)*(D63&lt;&gt;"")+($B$5:$B$504=B63)*(B63&lt;&gt;"")&gt;0))&gt;0,"БЛОК: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63" s="3" t="str">
        <f>IF(AND(B63="",C63="",E63=""),"",SUM($G$5:G63))</f>
        <v/>
      </c>
    </row>
    <row r="64" spans="1:10" x14ac:dyDescent="0.3">
      <c r="A64" s="4">
        <v>60</v>
      </c>
      <c r="B64" s="5"/>
      <c r="C64" s="6"/>
      <c r="D64" s="6"/>
      <c r="E64" s="7"/>
      <c r="F64" s="6"/>
      <c r="G64" s="3">
        <f t="shared" si="0"/>
        <v>0</v>
      </c>
      <c r="H64" s="3">
        <f t="shared" si="1"/>
        <v>0</v>
      </c>
      <c r="I64" s="4" t="str">
        <f>IF(AND(B64="",C64="",D64="",E64="",F64=""),"",IF(OR(B64="",C64="",E64=""),"БЛОК: нужны дата, тип операции и сумма",IF(N(E64)&lt;=0,"БЛОК: сумма должна быть больше нуля",IF(AND(H64&lt;&gt;0,F64=""),"БЛОК: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отделить",IF(AND(G64&lt;&gt;0,F64=""),"БЛОК: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нельзя",IF(AND(F64&lt;&gt;"",COUNTIF('Долг по актам'!$B$5:$B$34,F64)=0),"БЛОК: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договору")&gt;0)*($C$5:$C$504&lt;&gt;C64)*($E$5:$E$504=E64)*(($D$5:$D$504=D64)*(D64&lt;&gt;"")+($B$5:$B$504=B64)*(B64&lt;&gt;"")&gt;0))&gt;0,"БЛОК: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64" s="3" t="str">
        <f>IF(AND(B64="",C64="",E64=""),"",SUM($G$5:G64))</f>
        <v/>
      </c>
    </row>
    <row r="65" spans="1:10" x14ac:dyDescent="0.3">
      <c r="A65" s="4">
        <v>61</v>
      </c>
      <c r="B65" s="5"/>
      <c r="C65" s="6"/>
      <c r="D65" s="6"/>
      <c r="E65" s="7"/>
      <c r="F65" s="6"/>
      <c r="G65" s="3">
        <f t="shared" si="0"/>
        <v>0</v>
      </c>
      <c r="H65" s="3">
        <f t="shared" si="1"/>
        <v>0</v>
      </c>
      <c r="I65" s="4" t="str">
        <f>IF(AND(B65="",C65="",D65="",E65="",F65=""),"",IF(OR(B65="",C65="",E65=""),"БЛОК: нужны дата, тип операции и сумма",IF(N(E65)&lt;=0,"БЛОК: сумма должна быть больше нуля",IF(AND(H65&lt;&gt;0,F65=""),"БЛОК: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отделить",IF(AND(G65&lt;&gt;0,F65=""),"БЛОК: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нельзя",IF(AND(F65&lt;&gt;"",COUNTIF('Долг по актам'!$B$5:$B$34,F65)=0),"БЛОК: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договору")&gt;0)*($C$5:$C$504&lt;&gt;C65)*($E$5:$E$504=E65)*(($D$5:$D$504=D65)*(D65&lt;&gt;"")+($B$5:$B$504=B65)*(B65&lt;&gt;"")&gt;0))&gt;0,"БЛОК: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65" s="3" t="str">
        <f>IF(AND(B65="",C65="",E65=""),"",SUM($G$5:G65))</f>
        <v/>
      </c>
    </row>
    <row r="66" spans="1:10" x14ac:dyDescent="0.3">
      <c r="A66" s="4">
        <v>62</v>
      </c>
      <c r="B66" s="5"/>
      <c r="C66" s="6"/>
      <c r="D66" s="6"/>
      <c r="E66" s="7"/>
      <c r="F66" s="6"/>
      <c r="G66" s="3">
        <f t="shared" si="0"/>
        <v>0</v>
      </c>
      <c r="H66" s="3">
        <f t="shared" si="1"/>
        <v>0</v>
      </c>
      <c r="I66" s="4" t="str">
        <f>IF(AND(B66="",C66="",D66="",E66="",F66=""),"",IF(OR(B66="",C66="",E66=""),"БЛОК: нужны дата, тип операции и сумма",IF(N(E66)&lt;=0,"БЛОК: сумма должна быть больше нуля",IF(AND(H66&lt;&gt;0,F66=""),"БЛОК: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отделить",IF(AND(G66&lt;&gt;0,F66=""),"БЛОК: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нельзя",IF(AND(F66&lt;&gt;"",COUNTIF('Долг по актам'!$B$5:$B$34,F66)=0),"БЛОК: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договору")&gt;0)*($C$5:$C$504&lt;&gt;C66)*($E$5:$E$504=E66)*(($D$5:$D$504=D66)*(D66&lt;&gt;"")+($B$5:$B$504=B66)*(B66&lt;&gt;"")&gt;0))&gt;0,"БЛОК: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66" s="3" t="str">
        <f>IF(AND(B66="",C66="",E66=""),"",SUM($G$5:G66))</f>
        <v/>
      </c>
    </row>
    <row r="67" spans="1:10" x14ac:dyDescent="0.3">
      <c r="A67" s="4">
        <v>63</v>
      </c>
      <c r="B67" s="5"/>
      <c r="C67" s="6"/>
      <c r="D67" s="6"/>
      <c r="E67" s="7"/>
      <c r="F67" s="6"/>
      <c r="G67" s="3">
        <f t="shared" si="0"/>
        <v>0</v>
      </c>
      <c r="H67" s="3">
        <f t="shared" si="1"/>
        <v>0</v>
      </c>
      <c r="I67" s="4" t="str">
        <f>IF(AND(B67="",C67="",D67="",E67="",F67=""),"",IF(OR(B67="",C67="",E67=""),"БЛОК: нужны дата, тип операции и сумма",IF(N(E67)&lt;=0,"БЛОК: сумма должна быть больше нуля",IF(AND(H67&lt;&gt;0,F67=""),"БЛОК: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отделить",IF(AND(G67&lt;&gt;0,F67=""),"БЛОК: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нельзя",IF(AND(F67&lt;&gt;"",COUNTIF('Долг по актам'!$B$5:$B$34,F67)=0),"БЛОК: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договору")&gt;0)*($C$5:$C$504&lt;&gt;C67)*($E$5:$E$504=E67)*(($D$5:$D$504=D67)*(D67&lt;&gt;"")+($B$5:$B$504=B67)*(B67&lt;&gt;"")&gt;0))&gt;0,"БЛОК: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67" s="3" t="str">
        <f>IF(AND(B67="",C67="",E67=""),"",SUM($G$5:G67))</f>
        <v/>
      </c>
    </row>
    <row r="68" spans="1:10" x14ac:dyDescent="0.3">
      <c r="A68" s="4">
        <v>64</v>
      </c>
      <c r="B68" s="5"/>
      <c r="C68" s="6"/>
      <c r="D68" s="6"/>
      <c r="E68" s="7"/>
      <c r="F68" s="6"/>
      <c r="G68" s="3">
        <f t="shared" si="0"/>
        <v>0</v>
      </c>
      <c r="H68" s="3">
        <f t="shared" si="1"/>
        <v>0</v>
      </c>
      <c r="I68" s="4" t="str">
        <f>IF(AND(B68="",C68="",D68="",E68="",F68=""),"",IF(OR(B68="",C68="",E68=""),"БЛОК: нужны дата, тип операции и сумма",IF(N(E68)&lt;=0,"БЛОК: сумма должна быть больше нуля",IF(AND(H68&lt;&gt;0,F68=""),"БЛОК: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отделить",IF(AND(G68&lt;&gt;0,F68=""),"БЛОК: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нельзя",IF(AND(F68&lt;&gt;"",COUNTIF('Долг по актам'!$B$5:$B$34,F68)=0),"БЛОК: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договору")&gt;0)*($C$5:$C$504&lt;&gt;C68)*($E$5:$E$504=E68)*(($D$5:$D$504=D68)*(D68&lt;&gt;"")+($B$5:$B$504=B68)*(B68&lt;&gt;"")&gt;0))&gt;0,"БЛОК: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68" s="3" t="str">
        <f>IF(AND(B68="",C68="",E68=""),"",SUM($G$5:G68))</f>
        <v/>
      </c>
    </row>
    <row r="69" spans="1:10" x14ac:dyDescent="0.3">
      <c r="A69" s="4">
        <v>65</v>
      </c>
      <c r="B69" s="5"/>
      <c r="C69" s="6"/>
      <c r="D69" s="6"/>
      <c r="E69" s="7"/>
      <c r="F69" s="6"/>
      <c r="G69" s="3">
        <f t="shared" ref="G69:G132" si="2">IF(OR(C69="",E69=""),0,IF(C69="Начисление по акту",E69,IF(OR(C69="Оплата",C69="Зачёт аванса по договору"),-E69,IF(C69="Корректировка (подписана обеими сторонами)",E69,0))))</f>
        <v>0</v>
      </c>
      <c r="H69" s="3">
        <f t="shared" ref="H69:H132" si="3">IF(OR(C69="Удержание",C69="Зачёт встречного требования",C69="Неустойка заявлена",C69="Допработы без соглашения (спорно)"),N(E69),0)</f>
        <v>0</v>
      </c>
      <c r="I69" s="4" t="str">
        <f>IF(AND(B69="",C69="",D69="",E69="",F69=""),"",IF(OR(B69="",C69="",E69=""),"БЛОК: нужны дата, тип операции и сумма",IF(N(E69)&lt;=0,"БЛОК: сумма должна быть больше нуля",IF(AND(H69&lt;&gt;0,F69=""),"БЛОК: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отделить",IF(AND(G69&lt;&gt;0,F69=""),"БЛОК: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нельзя",IF(AND(F69&lt;&gt;"",COUNTIF('Долг по актам'!$B$5:$B$34,F69)=0),"БЛОК: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договору")&gt;0)*($C$5:$C$504&lt;&gt;C69)*($E$5:$E$504=E69)*(($D$5:$D$504=D69)*(D69&lt;&gt;"")+($B$5:$B$504=B69)*(B69&lt;&gt;"")&gt;0))&gt;0,"БЛОК: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69" s="3" t="str">
        <f>IF(AND(B69="",C69="",E69=""),"",SUM($G$5:G69))</f>
        <v/>
      </c>
    </row>
    <row r="70" spans="1:10" x14ac:dyDescent="0.3">
      <c r="A70" s="4">
        <v>66</v>
      </c>
      <c r="B70" s="5"/>
      <c r="C70" s="6"/>
      <c r="D70" s="6"/>
      <c r="E70" s="7"/>
      <c r="F70" s="6"/>
      <c r="G70" s="3">
        <f t="shared" si="2"/>
        <v>0</v>
      </c>
      <c r="H70" s="3">
        <f t="shared" si="3"/>
        <v>0</v>
      </c>
      <c r="I70" s="4" t="str">
        <f>IF(AND(B70="",C70="",D70="",E70="",F70=""),"",IF(OR(B70="",C70="",E70=""),"БЛОК: нужны дата, тип операции и сумма",IF(N(E70)&lt;=0,"БЛОК: сумма должна быть больше нуля",IF(AND(H70&lt;&gt;0,F70=""),"БЛОК: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отделить",IF(AND(G70&lt;&gt;0,F70=""),"БЛОК: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нельзя",IF(AND(F70&lt;&gt;"",COUNTIF('Долг по актам'!$B$5:$B$34,F70)=0),"БЛОК: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договору")&gt;0)*($C$5:$C$504&lt;&gt;C70)*($E$5:$E$504=E70)*(($D$5:$D$504=D70)*(D70&lt;&gt;"")+($B$5:$B$504=B70)*(B70&lt;&gt;"")&gt;0))&gt;0,"БЛОК: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70" s="3" t="str">
        <f>IF(AND(B70="",C70="",E70=""),"",SUM($G$5:G70))</f>
        <v/>
      </c>
    </row>
    <row r="71" spans="1:10" x14ac:dyDescent="0.3">
      <c r="A71" s="4">
        <v>67</v>
      </c>
      <c r="B71" s="5"/>
      <c r="C71" s="6"/>
      <c r="D71" s="6"/>
      <c r="E71" s="7"/>
      <c r="F71" s="6"/>
      <c r="G71" s="3">
        <f t="shared" si="2"/>
        <v>0</v>
      </c>
      <c r="H71" s="3">
        <f t="shared" si="3"/>
        <v>0</v>
      </c>
      <c r="I71" s="4" t="str">
        <f>IF(AND(B71="",C71="",D71="",E71="",F71=""),"",IF(OR(B71="",C71="",E71=""),"БЛОК: нужны дата, тип операции и сумма",IF(N(E71)&lt;=0,"БЛОК: сумма должна быть больше нуля",IF(AND(H71&lt;&gt;0,F71=""),"БЛОК: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отделить",IF(AND(G71&lt;&gt;0,F71=""),"БЛОК: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нельзя",IF(AND(F71&lt;&gt;"",COUNTIF('Долг по актам'!$B$5:$B$34,F71)=0),"БЛОК: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договору")&gt;0)*($C$5:$C$504&lt;&gt;C71)*($E$5:$E$504=E71)*(($D$5:$D$504=D71)*(D71&lt;&gt;"")+($B$5:$B$504=B71)*(B71&lt;&gt;"")&gt;0))&gt;0,"БЛОК: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71" s="3" t="str">
        <f>IF(AND(B71="",C71="",E71=""),"",SUM($G$5:G71))</f>
        <v/>
      </c>
    </row>
    <row r="72" spans="1:10" x14ac:dyDescent="0.3">
      <c r="A72" s="4">
        <v>68</v>
      </c>
      <c r="B72" s="5"/>
      <c r="C72" s="6"/>
      <c r="D72" s="6"/>
      <c r="E72" s="7"/>
      <c r="F72" s="6"/>
      <c r="G72" s="3">
        <f t="shared" si="2"/>
        <v>0</v>
      </c>
      <c r="H72" s="3">
        <f t="shared" si="3"/>
        <v>0</v>
      </c>
      <c r="I72" s="4" t="str">
        <f>IF(AND(B72="",C72="",D72="",E72="",F72=""),"",IF(OR(B72="",C72="",E72=""),"БЛОК: нужны дата, тип операции и сумма",IF(N(E72)&lt;=0,"БЛОК: сумма должна быть больше нуля",IF(AND(H72&lt;&gt;0,F72=""),"БЛОК: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отделить",IF(AND(G72&lt;&gt;0,F72=""),"БЛОК: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нельзя",IF(AND(F72&lt;&gt;"",COUNTIF('Долг по актам'!$B$5:$B$34,F72)=0),"БЛОК: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договору")&gt;0)*($C$5:$C$504&lt;&gt;C72)*($E$5:$E$504=E72)*(($D$5:$D$504=D72)*(D72&lt;&gt;"")+($B$5:$B$504=B72)*(B72&lt;&gt;"")&gt;0))&gt;0,"БЛОК: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72" s="3" t="str">
        <f>IF(AND(B72="",C72="",E72=""),"",SUM($G$5:G72))</f>
        <v/>
      </c>
    </row>
    <row r="73" spans="1:10" x14ac:dyDescent="0.3">
      <c r="A73" s="4">
        <v>69</v>
      </c>
      <c r="B73" s="5"/>
      <c r="C73" s="6"/>
      <c r="D73" s="6"/>
      <c r="E73" s="7"/>
      <c r="F73" s="6"/>
      <c r="G73" s="3">
        <f t="shared" si="2"/>
        <v>0</v>
      </c>
      <c r="H73" s="3">
        <f t="shared" si="3"/>
        <v>0</v>
      </c>
      <c r="I73" s="4" t="str">
        <f>IF(AND(B73="",C73="",D73="",E73="",F73=""),"",IF(OR(B73="",C73="",E73=""),"БЛОК: нужны дата, тип операции и сумма",IF(N(E73)&lt;=0,"БЛОК: сумма должна быть больше нуля",IF(AND(H73&lt;&gt;0,F73=""),"БЛОК: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отделить",IF(AND(G73&lt;&gt;0,F73=""),"БЛОК: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нельзя",IF(AND(F73&lt;&gt;"",COUNTIF('Долг по актам'!$B$5:$B$34,F73)=0),"БЛОК: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договору")&gt;0)*($C$5:$C$504&lt;&gt;C73)*($E$5:$E$504=E73)*(($D$5:$D$504=D73)*(D73&lt;&gt;"")+($B$5:$B$504=B73)*(B73&lt;&gt;"")&gt;0))&gt;0,"БЛОК: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73" s="3" t="str">
        <f>IF(AND(B73="",C73="",E73=""),"",SUM($G$5:G73))</f>
        <v/>
      </c>
    </row>
    <row r="74" spans="1:10" x14ac:dyDescent="0.3">
      <c r="A74" s="4">
        <v>70</v>
      </c>
      <c r="B74" s="5"/>
      <c r="C74" s="6"/>
      <c r="D74" s="6"/>
      <c r="E74" s="7"/>
      <c r="F74" s="6"/>
      <c r="G74" s="3">
        <f t="shared" si="2"/>
        <v>0</v>
      </c>
      <c r="H74" s="3">
        <f t="shared" si="3"/>
        <v>0</v>
      </c>
      <c r="I74" s="4" t="str">
        <f>IF(AND(B74="",C74="",D74="",E74="",F74=""),"",IF(OR(B74="",C74="",E74=""),"БЛОК: нужны дата, тип операции и сумма",IF(N(E74)&lt;=0,"БЛОК: сумма должна быть больше нуля",IF(AND(H74&lt;&gt;0,F74=""),"БЛОК: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отделить",IF(AND(G74&lt;&gt;0,F74=""),"БЛОК: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нельзя",IF(AND(F74&lt;&gt;"",COUNTIF('Долг по актам'!$B$5:$B$34,F74)=0),"БЛОК: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договору")&gt;0)*($C$5:$C$504&lt;&gt;C74)*($E$5:$E$504=E74)*(($D$5:$D$504=D74)*(D74&lt;&gt;"")+($B$5:$B$504=B74)*(B74&lt;&gt;"")&gt;0))&gt;0,"БЛОК: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74" s="3" t="str">
        <f>IF(AND(B74="",C74="",E74=""),"",SUM($G$5:G74))</f>
        <v/>
      </c>
    </row>
    <row r="75" spans="1:10" x14ac:dyDescent="0.3">
      <c r="A75" s="4">
        <v>71</v>
      </c>
      <c r="B75" s="5"/>
      <c r="C75" s="6"/>
      <c r="D75" s="6"/>
      <c r="E75" s="7"/>
      <c r="F75" s="6"/>
      <c r="G75" s="3">
        <f t="shared" si="2"/>
        <v>0</v>
      </c>
      <c r="H75" s="3">
        <f t="shared" si="3"/>
        <v>0</v>
      </c>
      <c r="I75" s="4" t="str">
        <f>IF(AND(B75="",C75="",D75="",E75="",F75=""),"",IF(OR(B75="",C75="",E75=""),"БЛОК: нужны дата, тип операции и сумма",IF(N(E75)&lt;=0,"БЛОК: сумма должна быть больше нуля",IF(AND(H75&lt;&gt;0,F75=""),"БЛОК: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отделить",IF(AND(G75&lt;&gt;0,F75=""),"БЛОК: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нельзя",IF(AND(F75&lt;&gt;"",COUNTIF('Долг по актам'!$B$5:$B$34,F75)=0),"БЛОК: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договору")&gt;0)*($C$5:$C$504&lt;&gt;C75)*($E$5:$E$504=E75)*(($D$5:$D$504=D75)*(D75&lt;&gt;"")+($B$5:$B$504=B75)*(B75&lt;&gt;"")&gt;0))&gt;0,"БЛОК: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75" s="3" t="str">
        <f>IF(AND(B75="",C75="",E75=""),"",SUM($G$5:G75))</f>
        <v/>
      </c>
    </row>
    <row r="76" spans="1:10" x14ac:dyDescent="0.3">
      <c r="A76" s="4">
        <v>72</v>
      </c>
      <c r="B76" s="5"/>
      <c r="C76" s="6"/>
      <c r="D76" s="6"/>
      <c r="E76" s="7"/>
      <c r="F76" s="6"/>
      <c r="G76" s="3">
        <f t="shared" si="2"/>
        <v>0</v>
      </c>
      <c r="H76" s="3">
        <f t="shared" si="3"/>
        <v>0</v>
      </c>
      <c r="I76" s="4" t="str">
        <f>IF(AND(B76="",C76="",D76="",E76="",F76=""),"",IF(OR(B76="",C76="",E76=""),"БЛОК: нужны дата, тип операции и сумма",IF(N(E76)&lt;=0,"БЛОК: сумма должна быть больше нуля",IF(AND(H76&lt;&gt;0,F76=""),"БЛОК: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отделить",IF(AND(G76&lt;&gt;0,F76=""),"БЛОК: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нельзя",IF(AND(F76&lt;&gt;"",COUNTIF('Долг по актам'!$B$5:$B$34,F76)=0),"БЛОК: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договору")&gt;0)*($C$5:$C$504&lt;&gt;C76)*($E$5:$E$504=E76)*(($D$5:$D$504=D76)*(D76&lt;&gt;"")+($B$5:$B$504=B76)*(B76&lt;&gt;"")&gt;0))&gt;0,"БЛОК: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76" s="3" t="str">
        <f>IF(AND(B76="",C76="",E76=""),"",SUM($G$5:G76))</f>
        <v/>
      </c>
    </row>
    <row r="77" spans="1:10" x14ac:dyDescent="0.3">
      <c r="A77" s="4">
        <v>73</v>
      </c>
      <c r="B77" s="5"/>
      <c r="C77" s="6"/>
      <c r="D77" s="6"/>
      <c r="E77" s="7"/>
      <c r="F77" s="6"/>
      <c r="G77" s="3">
        <f t="shared" si="2"/>
        <v>0</v>
      </c>
      <c r="H77" s="3">
        <f t="shared" si="3"/>
        <v>0</v>
      </c>
      <c r="I77" s="4" t="str">
        <f>IF(AND(B77="",C77="",D77="",E77="",F77=""),"",IF(OR(B77="",C77="",E77=""),"БЛОК: нужны дата, тип операции и сумма",IF(N(E77)&lt;=0,"БЛОК: сумма должна быть больше нуля",IF(AND(H77&lt;&gt;0,F77=""),"БЛОК: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отделить",IF(AND(G77&lt;&gt;0,F77=""),"БЛОК: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нельзя",IF(AND(F77&lt;&gt;"",COUNTIF('Долг по актам'!$B$5:$B$34,F77)=0),"БЛОК: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договору")&gt;0)*($C$5:$C$504&lt;&gt;C77)*($E$5:$E$504=E77)*(($D$5:$D$504=D77)*(D77&lt;&gt;"")+($B$5:$B$504=B77)*(B77&lt;&gt;"")&gt;0))&gt;0,"БЛОК: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77" s="3" t="str">
        <f>IF(AND(B77="",C77="",E77=""),"",SUM($G$5:G77))</f>
        <v/>
      </c>
    </row>
    <row r="78" spans="1:10" x14ac:dyDescent="0.3">
      <c r="A78" s="4">
        <v>74</v>
      </c>
      <c r="B78" s="5"/>
      <c r="C78" s="6"/>
      <c r="D78" s="6"/>
      <c r="E78" s="7"/>
      <c r="F78" s="6"/>
      <c r="G78" s="3">
        <f t="shared" si="2"/>
        <v>0</v>
      </c>
      <c r="H78" s="3">
        <f t="shared" si="3"/>
        <v>0</v>
      </c>
      <c r="I78" s="4" t="str">
        <f>IF(AND(B78="",C78="",D78="",E78="",F78=""),"",IF(OR(B78="",C78="",E78=""),"БЛОК: нужны дата, тип операции и сумма",IF(N(E78)&lt;=0,"БЛОК: сумма должна быть больше нуля",IF(AND(H78&lt;&gt;0,F78=""),"БЛОК: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отделить",IF(AND(G78&lt;&gt;0,F78=""),"БЛОК: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нельзя",IF(AND(F78&lt;&gt;"",COUNTIF('Долг по актам'!$B$5:$B$34,F78)=0),"БЛОК: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договору")&gt;0)*($C$5:$C$504&lt;&gt;C78)*($E$5:$E$504=E78)*(($D$5:$D$504=D78)*(D78&lt;&gt;"")+($B$5:$B$504=B78)*(B78&lt;&gt;"")&gt;0))&gt;0,"БЛОК: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78" s="3" t="str">
        <f>IF(AND(B78="",C78="",E78=""),"",SUM($G$5:G78))</f>
        <v/>
      </c>
    </row>
    <row r="79" spans="1:10" x14ac:dyDescent="0.3">
      <c r="A79" s="4">
        <v>75</v>
      </c>
      <c r="B79" s="5"/>
      <c r="C79" s="6"/>
      <c r="D79" s="6"/>
      <c r="E79" s="7"/>
      <c r="F79" s="6"/>
      <c r="G79" s="3">
        <f t="shared" si="2"/>
        <v>0</v>
      </c>
      <c r="H79" s="3">
        <f t="shared" si="3"/>
        <v>0</v>
      </c>
      <c r="I79" s="4" t="str">
        <f>IF(AND(B79="",C79="",D79="",E79="",F79=""),"",IF(OR(B79="",C79="",E79=""),"БЛОК: нужны дата, тип операции и сумма",IF(N(E79)&lt;=0,"БЛОК: сумма должна быть больше нуля",IF(AND(H79&lt;&gt;0,F79=""),"БЛОК: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отделить",IF(AND(G79&lt;&gt;0,F79=""),"БЛОК: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нельзя",IF(AND(F79&lt;&gt;"",COUNTIF('Долг по актам'!$B$5:$B$34,F79)=0),"БЛОК: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договору")&gt;0)*($C$5:$C$504&lt;&gt;C79)*($E$5:$E$504=E79)*(($D$5:$D$504=D79)*(D79&lt;&gt;"")+($B$5:$B$504=B79)*(B79&lt;&gt;"")&gt;0))&gt;0,"БЛОК: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79" s="3" t="str">
        <f>IF(AND(B79="",C79="",E79=""),"",SUM($G$5:G79))</f>
        <v/>
      </c>
    </row>
    <row r="80" spans="1:10" x14ac:dyDescent="0.3">
      <c r="A80" s="4">
        <v>76</v>
      </c>
      <c r="B80" s="5"/>
      <c r="C80" s="6"/>
      <c r="D80" s="6"/>
      <c r="E80" s="7"/>
      <c r="F80" s="6"/>
      <c r="G80" s="3">
        <f t="shared" si="2"/>
        <v>0</v>
      </c>
      <c r="H80" s="3">
        <f t="shared" si="3"/>
        <v>0</v>
      </c>
      <c r="I80" s="4" t="str">
        <f>IF(AND(B80="",C80="",D80="",E80="",F80=""),"",IF(OR(B80="",C80="",E80=""),"БЛОК: нужны дата, тип операции и сумма",IF(N(E80)&lt;=0,"БЛОК: сумма должна быть больше нуля",IF(AND(H80&lt;&gt;0,F80=""),"БЛОК: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отделить",IF(AND(G80&lt;&gt;0,F80=""),"БЛОК: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нельзя",IF(AND(F80&lt;&gt;"",COUNTIF('Долг по актам'!$B$5:$B$34,F80)=0),"БЛОК: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договору")&gt;0)*($C$5:$C$504&lt;&gt;C80)*($E$5:$E$504=E80)*(($D$5:$D$504=D80)*(D80&lt;&gt;"")+($B$5:$B$504=B80)*(B80&lt;&gt;"")&gt;0))&gt;0,"БЛОК: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80" s="3" t="str">
        <f>IF(AND(B80="",C80="",E80=""),"",SUM($G$5:G80))</f>
        <v/>
      </c>
    </row>
    <row r="81" spans="1:10" x14ac:dyDescent="0.3">
      <c r="A81" s="4">
        <v>77</v>
      </c>
      <c r="B81" s="5"/>
      <c r="C81" s="6"/>
      <c r="D81" s="6"/>
      <c r="E81" s="7"/>
      <c r="F81" s="6"/>
      <c r="G81" s="3">
        <f t="shared" si="2"/>
        <v>0</v>
      </c>
      <c r="H81" s="3">
        <f t="shared" si="3"/>
        <v>0</v>
      </c>
      <c r="I81" s="4" t="str">
        <f>IF(AND(B81="",C81="",D81="",E81="",F81=""),"",IF(OR(B81="",C81="",E81=""),"БЛОК: нужны дата, тип операции и сумма",IF(N(E81)&lt;=0,"БЛОК: сумма должна быть больше нуля",IF(AND(H81&lt;&gt;0,F81=""),"БЛОК: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отделить",IF(AND(G81&lt;&gt;0,F81=""),"БЛОК: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нельзя",IF(AND(F81&lt;&gt;"",COUNTIF('Долг по актам'!$B$5:$B$34,F81)=0),"БЛОК: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договору")&gt;0)*($C$5:$C$504&lt;&gt;C81)*($E$5:$E$504=E81)*(($D$5:$D$504=D81)*(D81&lt;&gt;"")+($B$5:$B$504=B81)*(B81&lt;&gt;"")&gt;0))&gt;0,"БЛОК: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81" s="3" t="str">
        <f>IF(AND(B81="",C81="",E81=""),"",SUM($G$5:G81))</f>
        <v/>
      </c>
    </row>
    <row r="82" spans="1:10" x14ac:dyDescent="0.3">
      <c r="A82" s="4">
        <v>78</v>
      </c>
      <c r="B82" s="5"/>
      <c r="C82" s="6"/>
      <c r="D82" s="6"/>
      <c r="E82" s="7"/>
      <c r="F82" s="6"/>
      <c r="G82" s="3">
        <f t="shared" si="2"/>
        <v>0</v>
      </c>
      <c r="H82" s="3">
        <f t="shared" si="3"/>
        <v>0</v>
      </c>
      <c r="I82" s="4" t="str">
        <f>IF(AND(B82="",C82="",D82="",E82="",F82=""),"",IF(OR(B82="",C82="",E82=""),"БЛОК: нужны дата, тип операции и сумма",IF(N(E82)&lt;=0,"БЛОК: сумма должна быть больше нуля",IF(AND(H82&lt;&gt;0,F82=""),"БЛОК: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отделить",IF(AND(G82&lt;&gt;0,F82=""),"БЛОК: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нельзя",IF(AND(F82&lt;&gt;"",COUNTIF('Долг по актам'!$B$5:$B$34,F82)=0),"БЛОК: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договору")&gt;0)*($C$5:$C$504&lt;&gt;C82)*($E$5:$E$504=E82)*(($D$5:$D$504=D82)*(D82&lt;&gt;"")+($B$5:$B$504=B82)*(B82&lt;&gt;"")&gt;0))&gt;0,"БЛОК: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82" s="3" t="str">
        <f>IF(AND(B82="",C82="",E82=""),"",SUM($G$5:G82))</f>
        <v/>
      </c>
    </row>
    <row r="83" spans="1:10" x14ac:dyDescent="0.3">
      <c r="A83" s="4">
        <v>79</v>
      </c>
      <c r="B83" s="5"/>
      <c r="C83" s="6"/>
      <c r="D83" s="6"/>
      <c r="E83" s="7"/>
      <c r="F83" s="6"/>
      <c r="G83" s="3">
        <f t="shared" si="2"/>
        <v>0</v>
      </c>
      <c r="H83" s="3">
        <f t="shared" si="3"/>
        <v>0</v>
      </c>
      <c r="I83" s="4" t="str">
        <f>IF(AND(B83="",C83="",D83="",E83="",F83=""),"",IF(OR(B83="",C83="",E83=""),"БЛОК: нужны дата, тип операции и сумма",IF(N(E83)&lt;=0,"БЛОК: сумма должна быть больше нуля",IF(AND(H83&lt;&gt;0,F83=""),"БЛОК: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отделить",IF(AND(G83&lt;&gt;0,F83=""),"БЛОК: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нельзя",IF(AND(F83&lt;&gt;"",COUNTIF('Долг по актам'!$B$5:$B$34,F83)=0),"БЛОК: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договору")&gt;0)*($C$5:$C$504&lt;&gt;C83)*($E$5:$E$504=E83)*(($D$5:$D$504=D83)*(D83&lt;&gt;"")+($B$5:$B$504=B83)*(B83&lt;&gt;"")&gt;0))&gt;0,"БЛОК: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83" s="3" t="str">
        <f>IF(AND(B83="",C83="",E83=""),"",SUM($G$5:G83))</f>
        <v/>
      </c>
    </row>
    <row r="84" spans="1:10" x14ac:dyDescent="0.3">
      <c r="A84" s="4">
        <v>80</v>
      </c>
      <c r="B84" s="5"/>
      <c r="C84" s="6"/>
      <c r="D84" s="6"/>
      <c r="E84" s="7"/>
      <c r="F84" s="6"/>
      <c r="G84" s="3">
        <f t="shared" si="2"/>
        <v>0</v>
      </c>
      <c r="H84" s="3">
        <f t="shared" si="3"/>
        <v>0</v>
      </c>
      <c r="I84" s="4" t="str">
        <f>IF(AND(B84="",C84="",D84="",E84="",F84=""),"",IF(OR(B84="",C84="",E84=""),"БЛОК: нужны дата, тип операции и сумма",IF(N(E84)&lt;=0,"БЛОК: сумма должна быть больше нуля",IF(AND(H84&lt;&gt;0,F84=""),"БЛОК: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отделить",IF(AND(G84&lt;&gt;0,F84=""),"БЛОК: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нельзя",IF(AND(F84&lt;&gt;"",COUNTIF('Долг по актам'!$B$5:$B$34,F84)=0),"БЛОК: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договору")&gt;0)*($C$5:$C$504&lt;&gt;C84)*($E$5:$E$504=E84)*(($D$5:$D$504=D84)*(D84&lt;&gt;"")+($B$5:$B$504=B84)*(B84&lt;&gt;"")&gt;0))&gt;0,"БЛОК: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84" s="3" t="str">
        <f>IF(AND(B84="",C84="",E84=""),"",SUM($G$5:G84))</f>
        <v/>
      </c>
    </row>
    <row r="85" spans="1:10" x14ac:dyDescent="0.3">
      <c r="A85" s="4">
        <v>81</v>
      </c>
      <c r="B85" s="5"/>
      <c r="C85" s="6"/>
      <c r="D85" s="6"/>
      <c r="E85" s="7"/>
      <c r="F85" s="6"/>
      <c r="G85" s="3">
        <f t="shared" si="2"/>
        <v>0</v>
      </c>
      <c r="H85" s="3">
        <f t="shared" si="3"/>
        <v>0</v>
      </c>
      <c r="I85" s="4" t="str">
        <f>IF(AND(B85="",C85="",D85="",E85="",F85=""),"",IF(OR(B85="",C85="",E85=""),"БЛОК: нужны дата, тип операции и сумма",IF(N(E85)&lt;=0,"БЛОК: сумма должна быть больше нуля",IF(AND(H85&lt;&gt;0,F85=""),"БЛОК: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отделить",IF(AND(G85&lt;&gt;0,F85=""),"БЛОК: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нельзя",IF(AND(F85&lt;&gt;"",COUNTIF('Долг по актам'!$B$5:$B$34,F85)=0),"БЛОК: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договору")&gt;0)*($C$5:$C$504&lt;&gt;C85)*($E$5:$E$504=E85)*(($D$5:$D$504=D85)*(D85&lt;&gt;"")+($B$5:$B$504=B85)*(B85&lt;&gt;"")&gt;0))&gt;0,"БЛОК: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85" s="3" t="str">
        <f>IF(AND(B85="",C85="",E85=""),"",SUM($G$5:G85))</f>
        <v/>
      </c>
    </row>
    <row r="86" spans="1:10" x14ac:dyDescent="0.3">
      <c r="A86" s="4">
        <v>82</v>
      </c>
      <c r="B86" s="5"/>
      <c r="C86" s="6"/>
      <c r="D86" s="6"/>
      <c r="E86" s="7"/>
      <c r="F86" s="6"/>
      <c r="G86" s="3">
        <f t="shared" si="2"/>
        <v>0</v>
      </c>
      <c r="H86" s="3">
        <f t="shared" si="3"/>
        <v>0</v>
      </c>
      <c r="I86" s="4" t="str">
        <f>IF(AND(B86="",C86="",D86="",E86="",F86=""),"",IF(OR(B86="",C86="",E86=""),"БЛОК: нужны дата, тип операции и сумма",IF(N(E86)&lt;=0,"БЛОК: сумма должна быть больше нуля",IF(AND(H86&lt;&gt;0,F86=""),"БЛОК: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отделить",IF(AND(G86&lt;&gt;0,F86=""),"БЛОК: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нельзя",IF(AND(F86&lt;&gt;"",COUNTIF('Долг по актам'!$B$5:$B$34,F86)=0),"БЛОК: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договору")&gt;0)*($C$5:$C$504&lt;&gt;C86)*($E$5:$E$504=E86)*(($D$5:$D$504=D86)*(D86&lt;&gt;"")+($B$5:$B$504=B86)*(B86&lt;&gt;"")&gt;0))&gt;0,"БЛОК: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86" s="3" t="str">
        <f>IF(AND(B86="",C86="",E86=""),"",SUM($G$5:G86))</f>
        <v/>
      </c>
    </row>
    <row r="87" spans="1:10" x14ac:dyDescent="0.3">
      <c r="A87" s="4">
        <v>83</v>
      </c>
      <c r="B87" s="5"/>
      <c r="C87" s="6"/>
      <c r="D87" s="6"/>
      <c r="E87" s="7"/>
      <c r="F87" s="6"/>
      <c r="G87" s="3">
        <f t="shared" si="2"/>
        <v>0</v>
      </c>
      <c r="H87" s="3">
        <f t="shared" si="3"/>
        <v>0</v>
      </c>
      <c r="I87" s="4" t="str">
        <f>IF(AND(B87="",C87="",D87="",E87="",F87=""),"",IF(OR(B87="",C87="",E87=""),"БЛОК: нужны дата, тип операции и сумма",IF(N(E87)&lt;=0,"БЛОК: сумма должна быть больше нуля",IF(AND(H87&lt;&gt;0,F87=""),"БЛОК: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отделить",IF(AND(G87&lt;&gt;0,F87=""),"БЛОК: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нельзя",IF(AND(F87&lt;&gt;"",COUNTIF('Долг по актам'!$B$5:$B$34,F87)=0),"БЛОК: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договору")&gt;0)*($C$5:$C$504&lt;&gt;C87)*($E$5:$E$504=E87)*(($D$5:$D$504=D87)*(D87&lt;&gt;"")+($B$5:$B$504=B87)*(B87&lt;&gt;"")&gt;0))&gt;0,"БЛОК: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87" s="3" t="str">
        <f>IF(AND(B87="",C87="",E87=""),"",SUM($G$5:G87))</f>
        <v/>
      </c>
    </row>
    <row r="88" spans="1:10" x14ac:dyDescent="0.3">
      <c r="A88" s="4">
        <v>84</v>
      </c>
      <c r="B88" s="5"/>
      <c r="C88" s="6"/>
      <c r="D88" s="6"/>
      <c r="E88" s="7"/>
      <c r="F88" s="6"/>
      <c r="G88" s="3">
        <f t="shared" si="2"/>
        <v>0</v>
      </c>
      <c r="H88" s="3">
        <f t="shared" si="3"/>
        <v>0</v>
      </c>
      <c r="I88" s="4" t="str">
        <f>IF(AND(B88="",C88="",D88="",E88="",F88=""),"",IF(OR(B88="",C88="",E88=""),"БЛОК: нужны дата, тип операции и сумма",IF(N(E88)&lt;=0,"БЛОК: сумма должна быть больше нуля",IF(AND(H88&lt;&gt;0,F88=""),"БЛОК: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отделить",IF(AND(G88&lt;&gt;0,F88=""),"БЛОК: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нельзя",IF(AND(F88&lt;&gt;"",COUNTIF('Долг по актам'!$B$5:$B$34,F88)=0),"БЛОК: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договору")&gt;0)*($C$5:$C$504&lt;&gt;C88)*($E$5:$E$504=E88)*(($D$5:$D$504=D88)*(D88&lt;&gt;"")+($B$5:$B$504=B88)*(B88&lt;&gt;"")&gt;0))&gt;0,"БЛОК: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88" s="3" t="str">
        <f>IF(AND(B88="",C88="",E88=""),"",SUM($G$5:G88))</f>
        <v/>
      </c>
    </row>
    <row r="89" spans="1:10" x14ac:dyDescent="0.3">
      <c r="A89" s="4">
        <v>85</v>
      </c>
      <c r="B89" s="5"/>
      <c r="C89" s="6"/>
      <c r="D89" s="6"/>
      <c r="E89" s="7"/>
      <c r="F89" s="6"/>
      <c r="G89" s="3">
        <f t="shared" si="2"/>
        <v>0</v>
      </c>
      <c r="H89" s="3">
        <f t="shared" si="3"/>
        <v>0</v>
      </c>
      <c r="I89" s="4" t="str">
        <f>IF(AND(B89="",C89="",D89="",E89="",F89=""),"",IF(OR(B89="",C89="",E89=""),"БЛОК: нужны дата, тип операции и сумма",IF(N(E89)&lt;=0,"БЛОК: сумма должна быть больше нуля",IF(AND(H89&lt;&gt;0,F89=""),"БЛОК: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отделить",IF(AND(G89&lt;&gt;0,F89=""),"БЛОК: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нельзя",IF(AND(F89&lt;&gt;"",COUNTIF('Долг по актам'!$B$5:$B$34,F89)=0),"БЛОК: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договору")&gt;0)*($C$5:$C$504&lt;&gt;C89)*($E$5:$E$504=E89)*(($D$5:$D$504=D89)*(D89&lt;&gt;"")+($B$5:$B$504=B89)*(B89&lt;&gt;"")&gt;0))&gt;0,"БЛОК: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89" s="3" t="str">
        <f>IF(AND(B89="",C89="",E89=""),"",SUM($G$5:G89))</f>
        <v/>
      </c>
    </row>
    <row r="90" spans="1:10" x14ac:dyDescent="0.3">
      <c r="A90" s="4">
        <v>86</v>
      </c>
      <c r="B90" s="5"/>
      <c r="C90" s="6"/>
      <c r="D90" s="6"/>
      <c r="E90" s="7"/>
      <c r="F90" s="6"/>
      <c r="G90" s="3">
        <f t="shared" si="2"/>
        <v>0</v>
      </c>
      <c r="H90" s="3">
        <f t="shared" si="3"/>
        <v>0</v>
      </c>
      <c r="I90" s="4" t="str">
        <f>IF(AND(B90="",C90="",D90="",E90="",F90=""),"",IF(OR(B90="",C90="",E90=""),"БЛОК: нужны дата, тип операции и сумма",IF(N(E90)&lt;=0,"БЛОК: сумма должна быть больше нуля",IF(AND(H90&lt;&gt;0,F90=""),"БЛОК: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отделить",IF(AND(G90&lt;&gt;0,F90=""),"БЛОК: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нельзя",IF(AND(F90&lt;&gt;"",COUNTIF('Долг по актам'!$B$5:$B$34,F90)=0),"БЛОК: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договору")&gt;0)*($C$5:$C$504&lt;&gt;C90)*($E$5:$E$504=E90)*(($D$5:$D$504=D90)*(D90&lt;&gt;"")+($B$5:$B$504=B90)*(B90&lt;&gt;"")&gt;0))&gt;0,"БЛОК: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90" s="3" t="str">
        <f>IF(AND(B90="",C90="",E90=""),"",SUM($G$5:G90))</f>
        <v/>
      </c>
    </row>
    <row r="91" spans="1:10" x14ac:dyDescent="0.3">
      <c r="A91" s="4">
        <v>87</v>
      </c>
      <c r="B91" s="5"/>
      <c r="C91" s="6"/>
      <c r="D91" s="6"/>
      <c r="E91" s="7"/>
      <c r="F91" s="6"/>
      <c r="G91" s="3">
        <f t="shared" si="2"/>
        <v>0</v>
      </c>
      <c r="H91" s="3">
        <f t="shared" si="3"/>
        <v>0</v>
      </c>
      <c r="I91" s="4" t="str">
        <f>IF(AND(B91="",C91="",D91="",E91="",F91=""),"",IF(OR(B91="",C91="",E91=""),"БЛОК: нужны дата, тип операции и сумма",IF(N(E91)&lt;=0,"БЛОК: сумма должна быть больше нуля",IF(AND(H91&lt;&gt;0,F91=""),"БЛОК: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отделить",IF(AND(G91&lt;&gt;0,F91=""),"БЛОК: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нельзя",IF(AND(F91&lt;&gt;"",COUNTIF('Долг по актам'!$B$5:$B$34,F91)=0),"БЛОК: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договору")&gt;0)*($C$5:$C$504&lt;&gt;C91)*($E$5:$E$504=E91)*(($D$5:$D$504=D91)*(D91&lt;&gt;"")+($B$5:$B$504=B91)*(B91&lt;&gt;"")&gt;0))&gt;0,"БЛОК: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91" s="3" t="str">
        <f>IF(AND(B91="",C91="",E91=""),"",SUM($G$5:G91))</f>
        <v/>
      </c>
    </row>
    <row r="92" spans="1:10" x14ac:dyDescent="0.3">
      <c r="A92" s="4">
        <v>88</v>
      </c>
      <c r="B92" s="5"/>
      <c r="C92" s="6"/>
      <c r="D92" s="6"/>
      <c r="E92" s="7"/>
      <c r="F92" s="6"/>
      <c r="G92" s="3">
        <f t="shared" si="2"/>
        <v>0</v>
      </c>
      <c r="H92" s="3">
        <f t="shared" si="3"/>
        <v>0</v>
      </c>
      <c r="I92" s="4" t="str">
        <f>IF(AND(B92="",C92="",D92="",E92="",F92=""),"",IF(OR(B92="",C92="",E92=""),"БЛОК: нужны дата, тип операции и сумма",IF(N(E92)&lt;=0,"БЛОК: сумма должна быть больше нуля",IF(AND(H92&lt;&gt;0,F92=""),"БЛОК: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отделить",IF(AND(G92&lt;&gt;0,F92=""),"БЛОК: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нельзя",IF(AND(F92&lt;&gt;"",COUNTIF('Долг по актам'!$B$5:$B$34,F92)=0),"БЛОК: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договору")&gt;0)*($C$5:$C$504&lt;&gt;C92)*($E$5:$E$504=E92)*(($D$5:$D$504=D92)*(D92&lt;&gt;"")+($B$5:$B$504=B92)*(B92&lt;&gt;"")&gt;0))&gt;0,"БЛОК: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92" s="3" t="str">
        <f>IF(AND(B92="",C92="",E92=""),"",SUM($G$5:G92))</f>
        <v/>
      </c>
    </row>
    <row r="93" spans="1:10" x14ac:dyDescent="0.3">
      <c r="A93" s="4">
        <v>89</v>
      </c>
      <c r="B93" s="5"/>
      <c r="C93" s="6"/>
      <c r="D93" s="6"/>
      <c r="E93" s="7"/>
      <c r="F93" s="6"/>
      <c r="G93" s="3">
        <f t="shared" si="2"/>
        <v>0</v>
      </c>
      <c r="H93" s="3">
        <f t="shared" si="3"/>
        <v>0</v>
      </c>
      <c r="I93" s="4" t="str">
        <f>IF(AND(B93="",C93="",D93="",E93="",F93=""),"",IF(OR(B93="",C93="",E93=""),"БЛОК: нужны дата, тип операции и сумма",IF(N(E93)&lt;=0,"БЛОК: сумма должна быть больше нуля",IF(AND(H93&lt;&gt;0,F93=""),"БЛОК: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отделить",IF(AND(G93&lt;&gt;0,F93=""),"БЛОК: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нельзя",IF(AND(F93&lt;&gt;"",COUNTIF('Долг по актам'!$B$5:$B$34,F93)=0),"БЛОК: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договору")&gt;0)*($C$5:$C$504&lt;&gt;C93)*($E$5:$E$504=E93)*(($D$5:$D$504=D93)*(D93&lt;&gt;"")+($B$5:$B$504=B93)*(B93&lt;&gt;"")&gt;0))&gt;0,"БЛОК: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93" s="3" t="str">
        <f>IF(AND(B93="",C93="",E93=""),"",SUM($G$5:G93))</f>
        <v/>
      </c>
    </row>
    <row r="94" spans="1:10" x14ac:dyDescent="0.3">
      <c r="A94" s="4">
        <v>90</v>
      </c>
      <c r="B94" s="5"/>
      <c r="C94" s="6"/>
      <c r="D94" s="6"/>
      <c r="E94" s="7"/>
      <c r="F94" s="6"/>
      <c r="G94" s="3">
        <f t="shared" si="2"/>
        <v>0</v>
      </c>
      <c r="H94" s="3">
        <f t="shared" si="3"/>
        <v>0</v>
      </c>
      <c r="I94" s="4" t="str">
        <f>IF(AND(B94="",C94="",D94="",E94="",F94=""),"",IF(OR(B94="",C94="",E94=""),"БЛОК: нужны дата, тип операции и сумма",IF(N(E94)&lt;=0,"БЛОК: сумма должна быть больше нуля",IF(AND(H94&lt;&gt;0,F94=""),"БЛОК: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отделить",IF(AND(G94&lt;&gt;0,F94=""),"БЛОК: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нельзя",IF(AND(F94&lt;&gt;"",COUNTIF('Долг по актам'!$B$5:$B$34,F94)=0),"БЛОК: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договору")&gt;0)*($C$5:$C$504&lt;&gt;C94)*($E$5:$E$504=E94)*(($D$5:$D$504=D94)*(D94&lt;&gt;"")+($B$5:$B$504=B94)*(B94&lt;&gt;"")&gt;0))&gt;0,"БЛОК: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94" s="3" t="str">
        <f>IF(AND(B94="",C94="",E94=""),"",SUM($G$5:G94))</f>
        <v/>
      </c>
    </row>
    <row r="95" spans="1:10" x14ac:dyDescent="0.3">
      <c r="A95" s="4">
        <v>91</v>
      </c>
      <c r="B95" s="5"/>
      <c r="C95" s="6"/>
      <c r="D95" s="6"/>
      <c r="E95" s="7"/>
      <c r="F95" s="6"/>
      <c r="G95" s="3">
        <f t="shared" si="2"/>
        <v>0</v>
      </c>
      <c r="H95" s="3">
        <f t="shared" si="3"/>
        <v>0</v>
      </c>
      <c r="I95" s="4" t="str">
        <f>IF(AND(B95="",C95="",D95="",E95="",F95=""),"",IF(OR(B95="",C95="",E95=""),"БЛОК: нужны дата, тип операции и сумма",IF(N(E95)&lt;=0,"БЛОК: сумма должна быть больше нуля",IF(AND(H95&lt;&gt;0,F95=""),"БЛОК: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отделить",IF(AND(G95&lt;&gt;0,F95=""),"БЛОК: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нельзя",IF(AND(F95&lt;&gt;"",COUNTIF('Долг по актам'!$B$5:$B$34,F95)=0),"БЛОК: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договору")&gt;0)*($C$5:$C$504&lt;&gt;C95)*($E$5:$E$504=E95)*(($D$5:$D$504=D95)*(D95&lt;&gt;"")+($B$5:$B$504=B95)*(B95&lt;&gt;"")&gt;0))&gt;0,"БЛОК: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95" s="3" t="str">
        <f>IF(AND(B95="",C95="",E95=""),"",SUM($G$5:G95))</f>
        <v/>
      </c>
    </row>
    <row r="96" spans="1:10" x14ac:dyDescent="0.3">
      <c r="A96" s="4">
        <v>92</v>
      </c>
      <c r="B96" s="5"/>
      <c r="C96" s="6"/>
      <c r="D96" s="6"/>
      <c r="E96" s="7"/>
      <c r="F96" s="6"/>
      <c r="G96" s="3">
        <f t="shared" si="2"/>
        <v>0</v>
      </c>
      <c r="H96" s="3">
        <f t="shared" si="3"/>
        <v>0</v>
      </c>
      <c r="I96" s="4" t="str">
        <f>IF(AND(B96="",C96="",D96="",E96="",F96=""),"",IF(OR(B96="",C96="",E96=""),"БЛОК: нужны дата, тип операции и сумма",IF(N(E96)&lt;=0,"БЛОК: сумма должна быть больше нуля",IF(AND(H96&lt;&gt;0,F96=""),"БЛОК: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отделить",IF(AND(G96&lt;&gt;0,F96=""),"БЛОК: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нельзя",IF(AND(F96&lt;&gt;"",COUNTIF('Долг по актам'!$B$5:$B$34,F96)=0),"БЛОК: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договору")&gt;0)*($C$5:$C$504&lt;&gt;C96)*($E$5:$E$504=E96)*(($D$5:$D$504=D96)*(D96&lt;&gt;"")+($B$5:$B$504=B96)*(B96&lt;&gt;"")&gt;0))&gt;0,"БЛОК: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96" s="3" t="str">
        <f>IF(AND(B96="",C96="",E96=""),"",SUM($G$5:G96))</f>
        <v/>
      </c>
    </row>
    <row r="97" spans="1:10" x14ac:dyDescent="0.3">
      <c r="A97" s="4">
        <v>93</v>
      </c>
      <c r="B97" s="5"/>
      <c r="C97" s="6"/>
      <c r="D97" s="6"/>
      <c r="E97" s="7"/>
      <c r="F97" s="6"/>
      <c r="G97" s="3">
        <f t="shared" si="2"/>
        <v>0</v>
      </c>
      <c r="H97" s="3">
        <f t="shared" si="3"/>
        <v>0</v>
      </c>
      <c r="I97" s="4" t="str">
        <f>IF(AND(B97="",C97="",D97="",E97="",F97=""),"",IF(OR(B97="",C97="",E97=""),"БЛОК: нужны дата, тип операции и сумма",IF(N(E97)&lt;=0,"БЛОК: сумма должна быть больше нуля",IF(AND(H97&lt;&gt;0,F97=""),"БЛОК: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отделить",IF(AND(G97&lt;&gt;0,F97=""),"БЛОК: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нельзя",IF(AND(F97&lt;&gt;"",COUNTIF('Долг по актам'!$B$5:$B$34,F97)=0),"БЛОК: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договору")&gt;0)*($C$5:$C$504&lt;&gt;C97)*($E$5:$E$504=E97)*(($D$5:$D$504=D97)*(D97&lt;&gt;"")+($B$5:$B$504=B97)*(B97&lt;&gt;"")&gt;0))&gt;0,"БЛОК: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97" s="3" t="str">
        <f>IF(AND(B97="",C97="",E97=""),"",SUM($G$5:G97))</f>
        <v/>
      </c>
    </row>
    <row r="98" spans="1:10" x14ac:dyDescent="0.3">
      <c r="A98" s="4">
        <v>94</v>
      </c>
      <c r="B98" s="5"/>
      <c r="C98" s="6"/>
      <c r="D98" s="6"/>
      <c r="E98" s="7"/>
      <c r="F98" s="6"/>
      <c r="G98" s="3">
        <f t="shared" si="2"/>
        <v>0</v>
      </c>
      <c r="H98" s="3">
        <f t="shared" si="3"/>
        <v>0</v>
      </c>
      <c r="I98" s="4" t="str">
        <f>IF(AND(B98="",C98="",D98="",E98="",F98=""),"",IF(OR(B98="",C98="",E98=""),"БЛОК: нужны дата, тип операции и сумма",IF(N(E98)&lt;=0,"БЛОК: сумма должна быть больше нуля",IF(AND(H98&lt;&gt;0,F98=""),"БЛОК: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отделить",IF(AND(G98&lt;&gt;0,F98=""),"БЛОК: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нельзя",IF(AND(F98&lt;&gt;"",COUNTIF('Долг по актам'!$B$5:$B$34,F98)=0),"БЛОК: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договору")&gt;0)*($C$5:$C$504&lt;&gt;C98)*($E$5:$E$504=E98)*(($D$5:$D$504=D98)*(D98&lt;&gt;"")+($B$5:$B$504=B98)*(B98&lt;&gt;"")&gt;0))&gt;0,"БЛОК: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98" s="3" t="str">
        <f>IF(AND(B98="",C98="",E98=""),"",SUM($G$5:G98))</f>
        <v/>
      </c>
    </row>
    <row r="99" spans="1:10" x14ac:dyDescent="0.3">
      <c r="A99" s="4">
        <v>95</v>
      </c>
      <c r="B99" s="5"/>
      <c r="C99" s="6"/>
      <c r="D99" s="6"/>
      <c r="E99" s="7"/>
      <c r="F99" s="6"/>
      <c r="G99" s="3">
        <f t="shared" si="2"/>
        <v>0</v>
      </c>
      <c r="H99" s="3">
        <f t="shared" si="3"/>
        <v>0</v>
      </c>
      <c r="I99" s="4" t="str">
        <f>IF(AND(B99="",C99="",D99="",E99="",F99=""),"",IF(OR(B99="",C99="",E99=""),"БЛОК: нужны дата, тип операции и сумма",IF(N(E99)&lt;=0,"БЛОК: сумма должна быть больше нуля",IF(AND(H99&lt;&gt;0,F99=""),"БЛОК: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отделить",IF(AND(G99&lt;&gt;0,F99=""),"БЛОК: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нельзя",IF(AND(F99&lt;&gt;"",COUNTIF('Долг по актам'!$B$5:$B$34,F99)=0),"БЛОК: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договору")&gt;0)*($C$5:$C$504&lt;&gt;C99)*($E$5:$E$504=E99)*(($D$5:$D$504=D99)*(D99&lt;&gt;"")+($B$5:$B$504=B99)*(B99&lt;&gt;"")&gt;0))&gt;0,"БЛОК: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99" s="3" t="str">
        <f>IF(AND(B99="",C99="",E99=""),"",SUM($G$5:G99))</f>
        <v/>
      </c>
    </row>
    <row r="100" spans="1:10" x14ac:dyDescent="0.3">
      <c r="A100" s="4">
        <v>96</v>
      </c>
      <c r="B100" s="5"/>
      <c r="C100" s="6"/>
      <c r="D100" s="6"/>
      <c r="E100" s="7"/>
      <c r="F100" s="6"/>
      <c r="G100" s="3">
        <f t="shared" si="2"/>
        <v>0</v>
      </c>
      <c r="H100" s="3">
        <f t="shared" si="3"/>
        <v>0</v>
      </c>
      <c r="I100" s="4" t="str">
        <f>IF(AND(B100="",C100="",D100="",E100="",F100=""),"",IF(OR(B100="",C100="",E100=""),"БЛОК: нужны дата, тип операции и сумма",IF(N(E100)&lt;=0,"БЛОК: сумма должна быть больше нуля",IF(AND(H100&lt;&gt;0,F100=""),"БЛОК: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отделить",IF(AND(G100&lt;&gt;0,F100=""),"БЛОК: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нельзя",IF(AND(F100&lt;&gt;"",COUNTIF('Долг по актам'!$B$5:$B$34,F100)=0),"БЛОК: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договору")&gt;0)*($C$5:$C$504&lt;&gt;C100)*($E$5:$E$504=E100)*(($D$5:$D$504=D100)*(D100&lt;&gt;"")+($B$5:$B$504=B100)*(B100&lt;&gt;"")&gt;0))&gt;0,"БЛОК: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00" s="3" t="str">
        <f>IF(AND(B100="",C100="",E100=""),"",SUM($G$5:G100))</f>
        <v/>
      </c>
    </row>
    <row r="101" spans="1:10" x14ac:dyDescent="0.3">
      <c r="A101" s="4">
        <v>97</v>
      </c>
      <c r="B101" s="5"/>
      <c r="C101" s="6"/>
      <c r="D101" s="6"/>
      <c r="E101" s="7"/>
      <c r="F101" s="6"/>
      <c r="G101" s="3">
        <f t="shared" si="2"/>
        <v>0</v>
      </c>
      <c r="H101" s="3">
        <f t="shared" si="3"/>
        <v>0</v>
      </c>
      <c r="I101" s="4" t="str">
        <f>IF(AND(B101="",C101="",D101="",E101="",F101=""),"",IF(OR(B101="",C101="",E101=""),"БЛОК: нужны дата, тип операции и сумма",IF(N(E101)&lt;=0,"БЛОК: сумма должна быть больше нуля",IF(AND(H101&lt;&gt;0,F101=""),"БЛОК: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отделить",IF(AND(G101&lt;&gt;0,F101=""),"БЛОК: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нельзя",IF(AND(F101&lt;&gt;"",COUNTIF('Долг по актам'!$B$5:$B$34,F101)=0),"БЛОК: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договору")&gt;0)*($C$5:$C$504&lt;&gt;C101)*($E$5:$E$504=E101)*(($D$5:$D$504=D101)*(D101&lt;&gt;"")+($B$5:$B$504=B101)*(B101&lt;&gt;"")&gt;0))&gt;0,"БЛОК: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01" s="3" t="str">
        <f>IF(AND(B101="",C101="",E101=""),"",SUM($G$5:G101))</f>
        <v/>
      </c>
    </row>
    <row r="102" spans="1:10" x14ac:dyDescent="0.3">
      <c r="A102" s="4">
        <v>98</v>
      </c>
      <c r="B102" s="5"/>
      <c r="C102" s="6"/>
      <c r="D102" s="6"/>
      <c r="E102" s="7"/>
      <c r="F102" s="6"/>
      <c r="G102" s="3">
        <f t="shared" si="2"/>
        <v>0</v>
      </c>
      <c r="H102" s="3">
        <f t="shared" si="3"/>
        <v>0</v>
      </c>
      <c r="I102" s="4" t="str">
        <f>IF(AND(B102="",C102="",D102="",E102="",F102=""),"",IF(OR(B102="",C102="",E102=""),"БЛОК: нужны дата, тип операции и сумма",IF(N(E102)&lt;=0,"БЛОК: сумма должна быть больше нуля",IF(AND(H102&lt;&gt;0,F102=""),"БЛОК: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отделить",IF(AND(G102&lt;&gt;0,F102=""),"БЛОК: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нельзя",IF(AND(F102&lt;&gt;"",COUNTIF('Долг по актам'!$B$5:$B$34,F102)=0),"БЛОК: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договору")&gt;0)*($C$5:$C$504&lt;&gt;C102)*($E$5:$E$504=E102)*(($D$5:$D$504=D102)*(D102&lt;&gt;"")+($B$5:$B$504=B102)*(B102&lt;&gt;"")&gt;0))&gt;0,"БЛОК: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02" s="3" t="str">
        <f>IF(AND(B102="",C102="",E102=""),"",SUM($G$5:G102))</f>
        <v/>
      </c>
    </row>
    <row r="103" spans="1:10" x14ac:dyDescent="0.3">
      <c r="A103" s="4">
        <v>99</v>
      </c>
      <c r="B103" s="5"/>
      <c r="C103" s="6"/>
      <c r="D103" s="6"/>
      <c r="E103" s="7"/>
      <c r="F103" s="6"/>
      <c r="G103" s="3">
        <f t="shared" si="2"/>
        <v>0</v>
      </c>
      <c r="H103" s="3">
        <f t="shared" si="3"/>
        <v>0</v>
      </c>
      <c r="I103" s="4" t="str">
        <f>IF(AND(B103="",C103="",D103="",E103="",F103=""),"",IF(OR(B103="",C103="",E103=""),"БЛОК: нужны дата, тип операции и сумма",IF(N(E103)&lt;=0,"БЛОК: сумма должна быть больше нуля",IF(AND(H103&lt;&gt;0,F103=""),"БЛОК: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отделить",IF(AND(G103&lt;&gt;0,F103=""),"БЛОК: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нельзя",IF(AND(F103&lt;&gt;"",COUNTIF('Долг по актам'!$B$5:$B$34,F103)=0),"БЛОК: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договору")&gt;0)*($C$5:$C$504&lt;&gt;C103)*($E$5:$E$504=E103)*(($D$5:$D$504=D103)*(D103&lt;&gt;"")+($B$5:$B$504=B103)*(B103&lt;&gt;"")&gt;0))&gt;0,"БЛОК: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03" s="3" t="str">
        <f>IF(AND(B103="",C103="",E103=""),"",SUM($G$5:G103))</f>
        <v/>
      </c>
    </row>
    <row r="104" spans="1:10" x14ac:dyDescent="0.3">
      <c r="A104" s="4">
        <v>100</v>
      </c>
      <c r="B104" s="5"/>
      <c r="C104" s="6"/>
      <c r="D104" s="6"/>
      <c r="E104" s="7"/>
      <c r="F104" s="6"/>
      <c r="G104" s="3">
        <f t="shared" si="2"/>
        <v>0</v>
      </c>
      <c r="H104" s="3">
        <f t="shared" si="3"/>
        <v>0</v>
      </c>
      <c r="I104" s="4" t="str">
        <f>IF(AND(B104="",C104="",D104="",E104="",F104=""),"",IF(OR(B104="",C104="",E104=""),"БЛОК: нужны дата, тип операции и сумма",IF(N(E104)&lt;=0,"БЛОК: сумма должна быть больше нуля",IF(AND(H104&lt;&gt;0,F104=""),"БЛОК: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отделить",IF(AND(G104&lt;&gt;0,F104=""),"БЛОК: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нельзя",IF(AND(F104&lt;&gt;"",COUNTIF('Долг по актам'!$B$5:$B$34,F104)=0),"БЛОК: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договору")&gt;0)*($C$5:$C$504&lt;&gt;C104)*($E$5:$E$504=E104)*(($D$5:$D$504=D104)*(D104&lt;&gt;"")+($B$5:$B$504=B104)*(B104&lt;&gt;"")&gt;0))&gt;0,"БЛОК: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04" s="3" t="str">
        <f>IF(AND(B104="",C104="",E104=""),"",SUM($G$5:G104))</f>
        <v/>
      </c>
    </row>
    <row r="105" spans="1:10" x14ac:dyDescent="0.3">
      <c r="A105" s="4">
        <v>101</v>
      </c>
      <c r="B105" s="5"/>
      <c r="C105" s="6"/>
      <c r="D105" s="6"/>
      <c r="E105" s="7"/>
      <c r="F105" s="6"/>
      <c r="G105" s="3">
        <f t="shared" si="2"/>
        <v>0</v>
      </c>
      <c r="H105" s="3">
        <f t="shared" si="3"/>
        <v>0</v>
      </c>
      <c r="I105" s="4" t="str">
        <f>IF(AND(B105="",C105="",D105="",E105="",F105=""),"",IF(OR(B105="",C105="",E105=""),"БЛОК: нужны дата, тип операции и сумма",IF(N(E105)&lt;=0,"БЛОК: сумма должна быть больше нуля",IF(AND(H105&lt;&gt;0,F105=""),"БЛОК: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отделить",IF(AND(G105&lt;&gt;0,F105=""),"БЛОК: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нельзя",IF(AND(F105&lt;&gt;"",COUNTIF('Долг по актам'!$B$5:$B$34,F105)=0),"БЛОК: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договору")&gt;0)*($C$5:$C$504&lt;&gt;C105)*($E$5:$E$504=E105)*(($D$5:$D$504=D105)*(D105&lt;&gt;"")+($B$5:$B$504=B105)*(B105&lt;&gt;"")&gt;0))&gt;0,"БЛОК: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05" s="3" t="str">
        <f>IF(AND(B105="",C105="",E105=""),"",SUM($G$5:G105))</f>
        <v/>
      </c>
    </row>
    <row r="106" spans="1:10" x14ac:dyDescent="0.3">
      <c r="A106" s="4">
        <v>102</v>
      </c>
      <c r="B106" s="5"/>
      <c r="C106" s="6"/>
      <c r="D106" s="6"/>
      <c r="E106" s="7"/>
      <c r="F106" s="6"/>
      <c r="G106" s="3">
        <f t="shared" si="2"/>
        <v>0</v>
      </c>
      <c r="H106" s="3">
        <f t="shared" si="3"/>
        <v>0</v>
      </c>
      <c r="I106" s="4" t="str">
        <f>IF(AND(B106="",C106="",D106="",E106="",F106=""),"",IF(OR(B106="",C106="",E106=""),"БЛОК: нужны дата, тип операции и сумма",IF(N(E106)&lt;=0,"БЛОК: сумма должна быть больше нуля",IF(AND(H106&lt;&gt;0,F106=""),"БЛОК: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отделить",IF(AND(G106&lt;&gt;0,F106=""),"БЛОК: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нельзя",IF(AND(F106&lt;&gt;"",COUNTIF('Долг по актам'!$B$5:$B$34,F106)=0),"БЛОК: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договору")&gt;0)*($C$5:$C$504&lt;&gt;C106)*($E$5:$E$504=E106)*(($D$5:$D$504=D106)*(D106&lt;&gt;"")+($B$5:$B$504=B106)*(B106&lt;&gt;"")&gt;0))&gt;0,"БЛОК: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06" s="3" t="str">
        <f>IF(AND(B106="",C106="",E106=""),"",SUM($G$5:G106))</f>
        <v/>
      </c>
    </row>
    <row r="107" spans="1:10" x14ac:dyDescent="0.3">
      <c r="A107" s="4">
        <v>103</v>
      </c>
      <c r="B107" s="5"/>
      <c r="C107" s="6"/>
      <c r="D107" s="6"/>
      <c r="E107" s="7"/>
      <c r="F107" s="6"/>
      <c r="G107" s="3">
        <f t="shared" si="2"/>
        <v>0</v>
      </c>
      <c r="H107" s="3">
        <f t="shared" si="3"/>
        <v>0</v>
      </c>
      <c r="I107" s="4" t="str">
        <f>IF(AND(B107="",C107="",D107="",E107="",F107=""),"",IF(OR(B107="",C107="",E107=""),"БЛОК: нужны дата, тип операции и сумма",IF(N(E107)&lt;=0,"БЛОК: сумма должна быть больше нуля",IF(AND(H107&lt;&gt;0,F107=""),"БЛОК: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отделить",IF(AND(G107&lt;&gt;0,F107=""),"БЛОК: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нельзя",IF(AND(F107&lt;&gt;"",COUNTIF('Долг по актам'!$B$5:$B$34,F107)=0),"БЛОК: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договору")&gt;0)*($C$5:$C$504&lt;&gt;C107)*($E$5:$E$504=E107)*(($D$5:$D$504=D107)*(D107&lt;&gt;"")+($B$5:$B$504=B107)*(B107&lt;&gt;"")&gt;0))&gt;0,"БЛОК: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07" s="3" t="str">
        <f>IF(AND(B107="",C107="",E107=""),"",SUM($G$5:G107))</f>
        <v/>
      </c>
    </row>
    <row r="108" spans="1:10" x14ac:dyDescent="0.3">
      <c r="A108" s="4">
        <v>104</v>
      </c>
      <c r="B108" s="5"/>
      <c r="C108" s="6"/>
      <c r="D108" s="6"/>
      <c r="E108" s="7"/>
      <c r="F108" s="6"/>
      <c r="G108" s="3">
        <f t="shared" si="2"/>
        <v>0</v>
      </c>
      <c r="H108" s="3">
        <f t="shared" si="3"/>
        <v>0</v>
      </c>
      <c r="I108" s="4" t="str">
        <f>IF(AND(B108="",C108="",D108="",E108="",F108=""),"",IF(OR(B108="",C108="",E108=""),"БЛОК: нужны дата, тип операции и сумма",IF(N(E108)&lt;=0,"БЛОК: сумма должна быть больше нуля",IF(AND(H108&lt;&gt;0,F108=""),"БЛОК: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отделить",IF(AND(G108&lt;&gt;0,F108=""),"БЛОК: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нельзя",IF(AND(F108&lt;&gt;"",COUNTIF('Долг по актам'!$B$5:$B$34,F108)=0),"БЛОК: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договору")&gt;0)*($C$5:$C$504&lt;&gt;C108)*($E$5:$E$504=E108)*(($D$5:$D$504=D108)*(D108&lt;&gt;"")+($B$5:$B$504=B108)*(B108&lt;&gt;"")&gt;0))&gt;0,"БЛОК: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08" s="3" t="str">
        <f>IF(AND(B108="",C108="",E108=""),"",SUM($G$5:G108))</f>
        <v/>
      </c>
    </row>
    <row r="109" spans="1:10" x14ac:dyDescent="0.3">
      <c r="A109" s="4">
        <v>105</v>
      </c>
      <c r="B109" s="5"/>
      <c r="C109" s="6"/>
      <c r="D109" s="6"/>
      <c r="E109" s="7"/>
      <c r="F109" s="6"/>
      <c r="G109" s="3">
        <f t="shared" si="2"/>
        <v>0</v>
      </c>
      <c r="H109" s="3">
        <f t="shared" si="3"/>
        <v>0</v>
      </c>
      <c r="I109" s="4" t="str">
        <f>IF(AND(B109="",C109="",D109="",E109="",F109=""),"",IF(OR(B109="",C109="",E109=""),"БЛОК: нужны дата, тип операции и сумма",IF(N(E109)&lt;=0,"БЛОК: сумма должна быть больше нуля",IF(AND(H109&lt;&gt;0,F109=""),"БЛОК: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отделить",IF(AND(G109&lt;&gt;0,F109=""),"БЛОК: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нельзя",IF(AND(F109&lt;&gt;"",COUNTIF('Долг по актам'!$B$5:$B$34,F109)=0),"БЛОК: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договору")&gt;0)*($C$5:$C$504&lt;&gt;C109)*($E$5:$E$504=E109)*(($D$5:$D$504=D109)*(D109&lt;&gt;"")+($B$5:$B$504=B109)*(B109&lt;&gt;"")&gt;0))&gt;0,"БЛОК: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09" s="3" t="str">
        <f>IF(AND(B109="",C109="",E109=""),"",SUM($G$5:G109))</f>
        <v/>
      </c>
    </row>
    <row r="110" spans="1:10" x14ac:dyDescent="0.3">
      <c r="A110" s="4">
        <v>106</v>
      </c>
      <c r="B110" s="5"/>
      <c r="C110" s="6"/>
      <c r="D110" s="6"/>
      <c r="E110" s="7"/>
      <c r="F110" s="6"/>
      <c r="G110" s="3">
        <f t="shared" si="2"/>
        <v>0</v>
      </c>
      <c r="H110" s="3">
        <f t="shared" si="3"/>
        <v>0</v>
      </c>
      <c r="I110" s="4" t="str">
        <f>IF(AND(B110="",C110="",D110="",E110="",F110=""),"",IF(OR(B110="",C110="",E110=""),"БЛОК: нужны дата, тип операции и сумма",IF(N(E110)&lt;=0,"БЛОК: сумма должна быть больше нуля",IF(AND(H110&lt;&gt;0,F110=""),"БЛОК: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отделить",IF(AND(G110&lt;&gt;0,F110=""),"БЛОК: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нельзя",IF(AND(F110&lt;&gt;"",COUNTIF('Долг по актам'!$B$5:$B$34,F110)=0),"БЛОК: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договору")&gt;0)*($C$5:$C$504&lt;&gt;C110)*($E$5:$E$504=E110)*(($D$5:$D$504=D110)*(D110&lt;&gt;"")+($B$5:$B$504=B110)*(B110&lt;&gt;"")&gt;0))&gt;0,"БЛОК: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10" s="3" t="str">
        <f>IF(AND(B110="",C110="",E110=""),"",SUM($G$5:G110))</f>
        <v/>
      </c>
    </row>
    <row r="111" spans="1:10" x14ac:dyDescent="0.3">
      <c r="A111" s="4">
        <v>107</v>
      </c>
      <c r="B111" s="5"/>
      <c r="C111" s="6"/>
      <c r="D111" s="6"/>
      <c r="E111" s="7"/>
      <c r="F111" s="6"/>
      <c r="G111" s="3">
        <f t="shared" si="2"/>
        <v>0</v>
      </c>
      <c r="H111" s="3">
        <f t="shared" si="3"/>
        <v>0</v>
      </c>
      <c r="I111" s="4" t="str">
        <f>IF(AND(B111="",C111="",D111="",E111="",F111=""),"",IF(OR(B111="",C111="",E111=""),"БЛОК: нужны дата, тип операции и сумма",IF(N(E111)&lt;=0,"БЛОК: сумма должна быть больше нуля",IF(AND(H111&lt;&gt;0,F111=""),"БЛОК: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отделить",IF(AND(G111&lt;&gt;0,F111=""),"БЛОК: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нельзя",IF(AND(F111&lt;&gt;"",COUNTIF('Долг по актам'!$B$5:$B$34,F111)=0),"БЛОК: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договору")&gt;0)*($C$5:$C$504&lt;&gt;C111)*($E$5:$E$504=E111)*(($D$5:$D$504=D111)*(D111&lt;&gt;"")+($B$5:$B$504=B111)*(B111&lt;&gt;"")&gt;0))&gt;0,"БЛОК: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11" s="3" t="str">
        <f>IF(AND(B111="",C111="",E111=""),"",SUM($G$5:G111))</f>
        <v/>
      </c>
    </row>
    <row r="112" spans="1:10" x14ac:dyDescent="0.3">
      <c r="A112" s="4">
        <v>108</v>
      </c>
      <c r="B112" s="5"/>
      <c r="C112" s="6"/>
      <c r="D112" s="6"/>
      <c r="E112" s="7"/>
      <c r="F112" s="6"/>
      <c r="G112" s="3">
        <f t="shared" si="2"/>
        <v>0</v>
      </c>
      <c r="H112" s="3">
        <f t="shared" si="3"/>
        <v>0</v>
      </c>
      <c r="I112" s="4" t="str">
        <f>IF(AND(B112="",C112="",D112="",E112="",F112=""),"",IF(OR(B112="",C112="",E112=""),"БЛОК: нужны дата, тип операции и сумма",IF(N(E112)&lt;=0,"БЛОК: сумма должна быть больше нуля",IF(AND(H112&lt;&gt;0,F112=""),"БЛОК: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отделить",IF(AND(G112&lt;&gt;0,F112=""),"БЛОК: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нельзя",IF(AND(F112&lt;&gt;"",COUNTIF('Долг по актам'!$B$5:$B$34,F112)=0),"БЛОК: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договору")&gt;0)*($C$5:$C$504&lt;&gt;C112)*($E$5:$E$504=E112)*(($D$5:$D$504=D112)*(D112&lt;&gt;"")+($B$5:$B$504=B112)*(B112&lt;&gt;"")&gt;0))&gt;0,"БЛОК: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12" s="3" t="str">
        <f>IF(AND(B112="",C112="",E112=""),"",SUM($G$5:G112))</f>
        <v/>
      </c>
    </row>
    <row r="113" spans="1:10" x14ac:dyDescent="0.3">
      <c r="A113" s="4">
        <v>109</v>
      </c>
      <c r="B113" s="5"/>
      <c r="C113" s="6"/>
      <c r="D113" s="6"/>
      <c r="E113" s="7"/>
      <c r="F113" s="6"/>
      <c r="G113" s="3">
        <f t="shared" si="2"/>
        <v>0</v>
      </c>
      <c r="H113" s="3">
        <f t="shared" si="3"/>
        <v>0</v>
      </c>
      <c r="I113" s="4" t="str">
        <f>IF(AND(B113="",C113="",D113="",E113="",F113=""),"",IF(OR(B113="",C113="",E113=""),"БЛОК: нужны дата, тип операции и сумма",IF(N(E113)&lt;=0,"БЛОК: сумма должна быть больше нуля",IF(AND(H113&lt;&gt;0,F113=""),"БЛОК: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отделить",IF(AND(G113&lt;&gt;0,F113=""),"БЛОК: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нельзя",IF(AND(F113&lt;&gt;"",COUNTIF('Долг по актам'!$B$5:$B$34,F113)=0),"БЛОК: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договору")&gt;0)*($C$5:$C$504&lt;&gt;C113)*($E$5:$E$504=E113)*(($D$5:$D$504=D113)*(D113&lt;&gt;"")+($B$5:$B$504=B113)*(B113&lt;&gt;"")&gt;0))&gt;0,"БЛОК: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13" s="3" t="str">
        <f>IF(AND(B113="",C113="",E113=""),"",SUM($G$5:G113))</f>
        <v/>
      </c>
    </row>
    <row r="114" spans="1:10" x14ac:dyDescent="0.3">
      <c r="A114" s="4">
        <v>110</v>
      </c>
      <c r="B114" s="5"/>
      <c r="C114" s="6"/>
      <c r="D114" s="6"/>
      <c r="E114" s="7"/>
      <c r="F114" s="6"/>
      <c r="G114" s="3">
        <f t="shared" si="2"/>
        <v>0</v>
      </c>
      <c r="H114" s="3">
        <f t="shared" si="3"/>
        <v>0</v>
      </c>
      <c r="I114" s="4" t="str">
        <f>IF(AND(B114="",C114="",D114="",E114="",F114=""),"",IF(OR(B114="",C114="",E114=""),"БЛОК: нужны дата, тип операции и сумма",IF(N(E114)&lt;=0,"БЛОК: сумма должна быть больше нуля",IF(AND(H114&lt;&gt;0,F114=""),"БЛОК: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отделить",IF(AND(G114&lt;&gt;0,F114=""),"БЛОК: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нельзя",IF(AND(F114&lt;&gt;"",COUNTIF('Долг по актам'!$B$5:$B$34,F114)=0),"БЛОК: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договору")&gt;0)*($C$5:$C$504&lt;&gt;C114)*($E$5:$E$504=E114)*(($D$5:$D$504=D114)*(D114&lt;&gt;"")+($B$5:$B$504=B114)*(B114&lt;&gt;"")&gt;0))&gt;0,"БЛОК: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14" s="3" t="str">
        <f>IF(AND(B114="",C114="",E114=""),"",SUM($G$5:G114))</f>
        <v/>
      </c>
    </row>
    <row r="115" spans="1:10" x14ac:dyDescent="0.3">
      <c r="A115" s="4">
        <v>111</v>
      </c>
      <c r="B115" s="5"/>
      <c r="C115" s="6"/>
      <c r="D115" s="6"/>
      <c r="E115" s="7"/>
      <c r="F115" s="6"/>
      <c r="G115" s="3">
        <f t="shared" si="2"/>
        <v>0</v>
      </c>
      <c r="H115" s="3">
        <f t="shared" si="3"/>
        <v>0</v>
      </c>
      <c r="I115" s="4" t="str">
        <f>IF(AND(B115="",C115="",D115="",E115="",F115=""),"",IF(OR(B115="",C115="",E115=""),"БЛОК: нужны дата, тип операции и сумма",IF(N(E115)&lt;=0,"БЛОК: сумма должна быть больше нуля",IF(AND(H115&lt;&gt;0,F115=""),"БЛОК: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отделить",IF(AND(G115&lt;&gt;0,F115=""),"БЛОК: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нельзя",IF(AND(F115&lt;&gt;"",COUNTIF('Долг по актам'!$B$5:$B$34,F115)=0),"БЛОК: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договору")&gt;0)*($C$5:$C$504&lt;&gt;C115)*($E$5:$E$504=E115)*(($D$5:$D$504=D115)*(D115&lt;&gt;"")+($B$5:$B$504=B115)*(B115&lt;&gt;"")&gt;0))&gt;0,"БЛОК: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15" s="3" t="str">
        <f>IF(AND(B115="",C115="",E115=""),"",SUM($G$5:G115))</f>
        <v/>
      </c>
    </row>
    <row r="116" spans="1:10" x14ac:dyDescent="0.3">
      <c r="A116" s="4">
        <v>112</v>
      </c>
      <c r="B116" s="5"/>
      <c r="C116" s="6"/>
      <c r="D116" s="6"/>
      <c r="E116" s="7"/>
      <c r="F116" s="6"/>
      <c r="G116" s="3">
        <f t="shared" si="2"/>
        <v>0</v>
      </c>
      <c r="H116" s="3">
        <f t="shared" si="3"/>
        <v>0</v>
      </c>
      <c r="I116" s="4" t="str">
        <f>IF(AND(B116="",C116="",D116="",E116="",F116=""),"",IF(OR(B116="",C116="",E116=""),"БЛОК: нужны дата, тип операции и сумма",IF(N(E116)&lt;=0,"БЛОК: сумма должна быть больше нуля",IF(AND(H116&lt;&gt;0,F116=""),"БЛОК: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отделить",IF(AND(G116&lt;&gt;0,F116=""),"БЛОК: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нельзя",IF(AND(F116&lt;&gt;"",COUNTIF('Долг по актам'!$B$5:$B$34,F116)=0),"БЛОК: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договору")&gt;0)*($C$5:$C$504&lt;&gt;C116)*($E$5:$E$504=E116)*(($D$5:$D$504=D116)*(D116&lt;&gt;"")+($B$5:$B$504=B116)*(B116&lt;&gt;"")&gt;0))&gt;0,"БЛОК: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16" s="3" t="str">
        <f>IF(AND(B116="",C116="",E116=""),"",SUM($G$5:G116))</f>
        <v/>
      </c>
    </row>
    <row r="117" spans="1:10" x14ac:dyDescent="0.3">
      <c r="A117" s="4">
        <v>113</v>
      </c>
      <c r="B117" s="5"/>
      <c r="C117" s="6"/>
      <c r="D117" s="6"/>
      <c r="E117" s="7"/>
      <c r="F117" s="6"/>
      <c r="G117" s="3">
        <f t="shared" si="2"/>
        <v>0</v>
      </c>
      <c r="H117" s="3">
        <f t="shared" si="3"/>
        <v>0</v>
      </c>
      <c r="I117" s="4" t="str">
        <f>IF(AND(B117="",C117="",D117="",E117="",F117=""),"",IF(OR(B117="",C117="",E117=""),"БЛОК: нужны дата, тип операции и сумма",IF(N(E117)&lt;=0,"БЛОК: сумма должна быть больше нуля",IF(AND(H117&lt;&gt;0,F117=""),"БЛОК: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отделить",IF(AND(G117&lt;&gt;0,F117=""),"БЛОК: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нельзя",IF(AND(F117&lt;&gt;"",COUNTIF('Долг по актам'!$B$5:$B$34,F117)=0),"БЛОК: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договору")&gt;0)*($C$5:$C$504&lt;&gt;C117)*($E$5:$E$504=E117)*(($D$5:$D$504=D117)*(D117&lt;&gt;"")+($B$5:$B$504=B117)*(B117&lt;&gt;"")&gt;0))&gt;0,"БЛОК: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17" s="3" t="str">
        <f>IF(AND(B117="",C117="",E117=""),"",SUM($G$5:G117))</f>
        <v/>
      </c>
    </row>
    <row r="118" spans="1:10" x14ac:dyDescent="0.3">
      <c r="A118" s="4">
        <v>114</v>
      </c>
      <c r="B118" s="5"/>
      <c r="C118" s="6"/>
      <c r="D118" s="6"/>
      <c r="E118" s="7"/>
      <c r="F118" s="6"/>
      <c r="G118" s="3">
        <f t="shared" si="2"/>
        <v>0</v>
      </c>
      <c r="H118" s="3">
        <f t="shared" si="3"/>
        <v>0</v>
      </c>
      <c r="I118" s="4" t="str">
        <f>IF(AND(B118="",C118="",D118="",E118="",F118=""),"",IF(OR(B118="",C118="",E118=""),"БЛОК: нужны дата, тип операции и сумма",IF(N(E118)&lt;=0,"БЛОК: сумма должна быть больше нуля",IF(AND(H118&lt;&gt;0,F118=""),"БЛОК: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отделить",IF(AND(G118&lt;&gt;0,F118=""),"БЛОК: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нельзя",IF(AND(F118&lt;&gt;"",COUNTIF('Долг по актам'!$B$5:$B$34,F118)=0),"БЛОК: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договору")&gt;0)*($C$5:$C$504&lt;&gt;C118)*($E$5:$E$504=E118)*(($D$5:$D$504=D118)*(D118&lt;&gt;"")+($B$5:$B$504=B118)*(B118&lt;&gt;"")&gt;0))&gt;0,"БЛОК: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18" s="3" t="str">
        <f>IF(AND(B118="",C118="",E118=""),"",SUM($G$5:G118))</f>
        <v/>
      </c>
    </row>
    <row r="119" spans="1:10" x14ac:dyDescent="0.3">
      <c r="A119" s="4">
        <v>115</v>
      </c>
      <c r="B119" s="5"/>
      <c r="C119" s="6"/>
      <c r="D119" s="6"/>
      <c r="E119" s="7"/>
      <c r="F119" s="6"/>
      <c r="G119" s="3">
        <f t="shared" si="2"/>
        <v>0</v>
      </c>
      <c r="H119" s="3">
        <f t="shared" si="3"/>
        <v>0</v>
      </c>
      <c r="I119" s="4" t="str">
        <f>IF(AND(B119="",C119="",D119="",E119="",F119=""),"",IF(OR(B119="",C119="",E119=""),"БЛОК: нужны дата, тип операции и сумма",IF(N(E119)&lt;=0,"БЛОК: сумма должна быть больше нуля",IF(AND(H119&lt;&gt;0,F119=""),"БЛОК: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отделить",IF(AND(G119&lt;&gt;0,F119=""),"БЛОК: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нельзя",IF(AND(F119&lt;&gt;"",COUNTIF('Долг по актам'!$B$5:$B$34,F119)=0),"БЛОК: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договору")&gt;0)*($C$5:$C$504&lt;&gt;C119)*($E$5:$E$504=E119)*(($D$5:$D$504=D119)*(D119&lt;&gt;"")+($B$5:$B$504=B119)*(B119&lt;&gt;"")&gt;0))&gt;0,"БЛОК: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19" s="3" t="str">
        <f>IF(AND(B119="",C119="",E119=""),"",SUM($G$5:G119))</f>
        <v/>
      </c>
    </row>
    <row r="120" spans="1:10" x14ac:dyDescent="0.3">
      <c r="A120" s="4">
        <v>116</v>
      </c>
      <c r="B120" s="5"/>
      <c r="C120" s="6"/>
      <c r="D120" s="6"/>
      <c r="E120" s="7"/>
      <c r="F120" s="6"/>
      <c r="G120" s="3">
        <f t="shared" si="2"/>
        <v>0</v>
      </c>
      <c r="H120" s="3">
        <f t="shared" si="3"/>
        <v>0</v>
      </c>
      <c r="I120" s="4" t="str">
        <f>IF(AND(B120="",C120="",D120="",E120="",F120=""),"",IF(OR(B120="",C120="",E120=""),"БЛОК: нужны дата, тип операции и сумма",IF(N(E120)&lt;=0,"БЛОК: сумма должна быть больше нуля",IF(AND(H120&lt;&gt;0,F120=""),"БЛОК: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отделить",IF(AND(G120&lt;&gt;0,F120=""),"БЛОК: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нельзя",IF(AND(F120&lt;&gt;"",COUNTIF('Долг по актам'!$B$5:$B$34,F120)=0),"БЛОК: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договору")&gt;0)*($C$5:$C$504&lt;&gt;C120)*($E$5:$E$504=E120)*(($D$5:$D$504=D120)*(D120&lt;&gt;"")+($B$5:$B$504=B120)*(B120&lt;&gt;"")&gt;0))&gt;0,"БЛОК: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20" s="3" t="str">
        <f>IF(AND(B120="",C120="",E120=""),"",SUM($G$5:G120))</f>
        <v/>
      </c>
    </row>
    <row r="121" spans="1:10" x14ac:dyDescent="0.3">
      <c r="A121" s="4">
        <v>117</v>
      </c>
      <c r="B121" s="5"/>
      <c r="C121" s="6"/>
      <c r="D121" s="6"/>
      <c r="E121" s="7"/>
      <c r="F121" s="6"/>
      <c r="G121" s="3">
        <f t="shared" si="2"/>
        <v>0</v>
      </c>
      <c r="H121" s="3">
        <f t="shared" si="3"/>
        <v>0</v>
      </c>
      <c r="I121" s="4" t="str">
        <f>IF(AND(B121="",C121="",D121="",E121="",F121=""),"",IF(OR(B121="",C121="",E121=""),"БЛОК: нужны дата, тип операции и сумма",IF(N(E121)&lt;=0,"БЛОК: сумма должна быть больше нуля",IF(AND(H121&lt;&gt;0,F121=""),"БЛОК: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отделить",IF(AND(G121&lt;&gt;0,F121=""),"БЛОК: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нельзя",IF(AND(F121&lt;&gt;"",COUNTIF('Долг по актам'!$B$5:$B$34,F121)=0),"БЛОК: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договору")&gt;0)*($C$5:$C$504&lt;&gt;C121)*($E$5:$E$504=E121)*(($D$5:$D$504=D121)*(D121&lt;&gt;"")+($B$5:$B$504=B121)*(B121&lt;&gt;"")&gt;0))&gt;0,"БЛОК: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21" s="3" t="str">
        <f>IF(AND(B121="",C121="",E121=""),"",SUM($G$5:G121))</f>
        <v/>
      </c>
    </row>
    <row r="122" spans="1:10" x14ac:dyDescent="0.3">
      <c r="A122" s="4">
        <v>118</v>
      </c>
      <c r="B122" s="5"/>
      <c r="C122" s="6"/>
      <c r="D122" s="6"/>
      <c r="E122" s="7"/>
      <c r="F122" s="6"/>
      <c r="G122" s="3">
        <f t="shared" si="2"/>
        <v>0</v>
      </c>
      <c r="H122" s="3">
        <f t="shared" si="3"/>
        <v>0</v>
      </c>
      <c r="I122" s="4" t="str">
        <f>IF(AND(B122="",C122="",D122="",E122="",F122=""),"",IF(OR(B122="",C122="",E122=""),"БЛОК: нужны дата, тип операции и сумма",IF(N(E122)&lt;=0,"БЛОК: сумма должна быть больше нуля",IF(AND(H122&lt;&gt;0,F122=""),"БЛОК: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отделить",IF(AND(G122&lt;&gt;0,F122=""),"БЛОК: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нельзя",IF(AND(F122&lt;&gt;"",COUNTIF('Долг по актам'!$B$5:$B$34,F122)=0),"БЛОК: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договору")&gt;0)*($C$5:$C$504&lt;&gt;C122)*($E$5:$E$504=E122)*(($D$5:$D$504=D122)*(D122&lt;&gt;"")+($B$5:$B$504=B122)*(B122&lt;&gt;"")&gt;0))&gt;0,"БЛОК: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22" s="3" t="str">
        <f>IF(AND(B122="",C122="",E122=""),"",SUM($G$5:G122))</f>
        <v/>
      </c>
    </row>
    <row r="123" spans="1:10" x14ac:dyDescent="0.3">
      <c r="A123" s="4">
        <v>119</v>
      </c>
      <c r="B123" s="5"/>
      <c r="C123" s="6"/>
      <c r="D123" s="6"/>
      <c r="E123" s="7"/>
      <c r="F123" s="6"/>
      <c r="G123" s="3">
        <f t="shared" si="2"/>
        <v>0</v>
      </c>
      <c r="H123" s="3">
        <f t="shared" si="3"/>
        <v>0</v>
      </c>
      <c r="I123" s="4" t="str">
        <f>IF(AND(B123="",C123="",D123="",E123="",F123=""),"",IF(OR(B123="",C123="",E123=""),"БЛОК: нужны дата, тип операции и сумма",IF(N(E123)&lt;=0,"БЛОК: сумма должна быть больше нуля",IF(AND(H123&lt;&gt;0,F123=""),"БЛОК: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отделить",IF(AND(G123&lt;&gt;0,F123=""),"БЛОК: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нельзя",IF(AND(F123&lt;&gt;"",COUNTIF('Долг по актам'!$B$5:$B$34,F123)=0),"БЛОК: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договору")&gt;0)*($C$5:$C$504&lt;&gt;C123)*($E$5:$E$504=E123)*(($D$5:$D$504=D123)*(D123&lt;&gt;"")+($B$5:$B$504=B123)*(B123&lt;&gt;"")&gt;0))&gt;0,"БЛОК: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23" s="3" t="str">
        <f>IF(AND(B123="",C123="",E123=""),"",SUM($G$5:G123))</f>
        <v/>
      </c>
    </row>
    <row r="124" spans="1:10" x14ac:dyDescent="0.3">
      <c r="A124" s="4">
        <v>120</v>
      </c>
      <c r="B124" s="5"/>
      <c r="C124" s="6"/>
      <c r="D124" s="6"/>
      <c r="E124" s="7"/>
      <c r="F124" s="6"/>
      <c r="G124" s="3">
        <f t="shared" si="2"/>
        <v>0</v>
      </c>
      <c r="H124" s="3">
        <f t="shared" si="3"/>
        <v>0</v>
      </c>
      <c r="I124" s="4" t="str">
        <f>IF(AND(B124="",C124="",D124="",E124="",F124=""),"",IF(OR(B124="",C124="",E124=""),"БЛОК: нужны дата, тип операции и сумма",IF(N(E124)&lt;=0,"БЛОК: сумма должна быть больше нуля",IF(AND(H124&lt;&gt;0,F124=""),"БЛОК: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отделить",IF(AND(G124&lt;&gt;0,F124=""),"БЛОК: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нельзя",IF(AND(F124&lt;&gt;"",COUNTIF('Долг по актам'!$B$5:$B$34,F124)=0),"БЛОК: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договору")&gt;0)*($C$5:$C$504&lt;&gt;C124)*($E$5:$E$504=E124)*(($D$5:$D$504=D124)*(D124&lt;&gt;"")+($B$5:$B$504=B124)*(B124&lt;&gt;"")&gt;0))&gt;0,"БЛОК: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24" s="3" t="str">
        <f>IF(AND(B124="",C124="",E124=""),"",SUM($G$5:G124))</f>
        <v/>
      </c>
    </row>
    <row r="125" spans="1:10" x14ac:dyDescent="0.3">
      <c r="A125" s="4">
        <v>121</v>
      </c>
      <c r="B125" s="5"/>
      <c r="C125" s="6"/>
      <c r="D125" s="6"/>
      <c r="E125" s="7"/>
      <c r="F125" s="6"/>
      <c r="G125" s="3">
        <f t="shared" si="2"/>
        <v>0</v>
      </c>
      <c r="H125" s="3">
        <f t="shared" si="3"/>
        <v>0</v>
      </c>
      <c r="I125" s="4" t="str">
        <f>IF(AND(B125="",C125="",D125="",E125="",F125=""),"",IF(OR(B125="",C125="",E125=""),"БЛОК: нужны дата, тип операции и сумма",IF(N(E125)&lt;=0,"БЛОК: сумма должна быть больше нуля",IF(AND(H125&lt;&gt;0,F125=""),"БЛОК: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отделить",IF(AND(G125&lt;&gt;0,F125=""),"БЛОК: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нельзя",IF(AND(F125&lt;&gt;"",COUNTIF('Долг по актам'!$B$5:$B$34,F125)=0),"БЛОК: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договору")&gt;0)*($C$5:$C$504&lt;&gt;C125)*($E$5:$E$504=E125)*(($D$5:$D$504=D125)*(D125&lt;&gt;"")+($B$5:$B$504=B125)*(B125&lt;&gt;"")&gt;0))&gt;0,"БЛОК: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25" s="3" t="str">
        <f>IF(AND(B125="",C125="",E125=""),"",SUM($G$5:G125))</f>
        <v/>
      </c>
    </row>
    <row r="126" spans="1:10" x14ac:dyDescent="0.3">
      <c r="A126" s="4">
        <v>122</v>
      </c>
      <c r="B126" s="5"/>
      <c r="C126" s="6"/>
      <c r="D126" s="6"/>
      <c r="E126" s="7"/>
      <c r="F126" s="6"/>
      <c r="G126" s="3">
        <f t="shared" si="2"/>
        <v>0</v>
      </c>
      <c r="H126" s="3">
        <f t="shared" si="3"/>
        <v>0</v>
      </c>
      <c r="I126" s="4" t="str">
        <f>IF(AND(B126="",C126="",D126="",E126="",F126=""),"",IF(OR(B126="",C126="",E126=""),"БЛОК: нужны дата, тип операции и сумма",IF(N(E126)&lt;=0,"БЛОК: сумма должна быть больше нуля",IF(AND(H126&lt;&gt;0,F126=""),"БЛОК: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отделить",IF(AND(G126&lt;&gt;0,F126=""),"БЛОК: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нельзя",IF(AND(F126&lt;&gt;"",COUNTIF('Долг по актам'!$B$5:$B$34,F126)=0),"БЛОК: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договору")&gt;0)*($C$5:$C$504&lt;&gt;C126)*($E$5:$E$504=E126)*(($D$5:$D$504=D126)*(D126&lt;&gt;"")+($B$5:$B$504=B126)*(B126&lt;&gt;"")&gt;0))&gt;0,"БЛОК: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26" s="3" t="str">
        <f>IF(AND(B126="",C126="",E126=""),"",SUM($G$5:G126))</f>
        <v/>
      </c>
    </row>
    <row r="127" spans="1:10" x14ac:dyDescent="0.3">
      <c r="A127" s="4">
        <v>123</v>
      </c>
      <c r="B127" s="5"/>
      <c r="C127" s="6"/>
      <c r="D127" s="6"/>
      <c r="E127" s="7"/>
      <c r="F127" s="6"/>
      <c r="G127" s="3">
        <f t="shared" si="2"/>
        <v>0</v>
      </c>
      <c r="H127" s="3">
        <f t="shared" si="3"/>
        <v>0</v>
      </c>
      <c r="I127" s="4" t="str">
        <f>IF(AND(B127="",C127="",D127="",E127="",F127=""),"",IF(OR(B127="",C127="",E127=""),"БЛОК: нужны дата, тип операции и сумма",IF(N(E127)&lt;=0,"БЛОК: сумма должна быть больше нуля",IF(AND(H127&lt;&gt;0,F127=""),"БЛОК: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отделить",IF(AND(G127&lt;&gt;0,F127=""),"БЛОК: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нельзя",IF(AND(F127&lt;&gt;"",COUNTIF('Долг по актам'!$B$5:$B$34,F127)=0),"БЛОК: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договору")&gt;0)*($C$5:$C$504&lt;&gt;C127)*($E$5:$E$504=E127)*(($D$5:$D$504=D127)*(D127&lt;&gt;"")+($B$5:$B$504=B127)*(B127&lt;&gt;"")&gt;0))&gt;0,"БЛОК: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27" s="3" t="str">
        <f>IF(AND(B127="",C127="",E127=""),"",SUM($G$5:G127))</f>
        <v/>
      </c>
    </row>
    <row r="128" spans="1:10" x14ac:dyDescent="0.3">
      <c r="A128" s="4">
        <v>124</v>
      </c>
      <c r="B128" s="5"/>
      <c r="C128" s="6"/>
      <c r="D128" s="6"/>
      <c r="E128" s="7"/>
      <c r="F128" s="6"/>
      <c r="G128" s="3">
        <f t="shared" si="2"/>
        <v>0</v>
      </c>
      <c r="H128" s="3">
        <f t="shared" si="3"/>
        <v>0</v>
      </c>
      <c r="I128" s="4" t="str">
        <f>IF(AND(B128="",C128="",D128="",E128="",F128=""),"",IF(OR(B128="",C128="",E128=""),"БЛОК: нужны дата, тип операции и сумма",IF(N(E128)&lt;=0,"БЛОК: сумма должна быть больше нуля",IF(AND(H128&lt;&gt;0,F128=""),"БЛОК: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отделить",IF(AND(G128&lt;&gt;0,F128=""),"БЛОК: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нельзя",IF(AND(F128&lt;&gt;"",COUNTIF('Долг по актам'!$B$5:$B$34,F128)=0),"БЛОК: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договору")&gt;0)*($C$5:$C$504&lt;&gt;C128)*($E$5:$E$504=E128)*(($D$5:$D$504=D128)*(D128&lt;&gt;"")+($B$5:$B$504=B128)*(B128&lt;&gt;"")&gt;0))&gt;0,"БЛОК: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28" s="3" t="str">
        <f>IF(AND(B128="",C128="",E128=""),"",SUM($G$5:G128))</f>
        <v/>
      </c>
    </row>
    <row r="129" spans="1:10" x14ac:dyDescent="0.3">
      <c r="A129" s="4">
        <v>125</v>
      </c>
      <c r="B129" s="5"/>
      <c r="C129" s="6"/>
      <c r="D129" s="6"/>
      <c r="E129" s="7"/>
      <c r="F129" s="6"/>
      <c r="G129" s="3">
        <f t="shared" si="2"/>
        <v>0</v>
      </c>
      <c r="H129" s="3">
        <f t="shared" si="3"/>
        <v>0</v>
      </c>
      <c r="I129" s="4" t="str">
        <f>IF(AND(B129="",C129="",D129="",E129="",F129=""),"",IF(OR(B129="",C129="",E129=""),"БЛОК: нужны дата, тип операции и сумма",IF(N(E129)&lt;=0,"БЛОК: сумма должна быть больше нуля",IF(AND(H129&lt;&gt;0,F129=""),"БЛОК: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отделить",IF(AND(G129&lt;&gt;0,F129=""),"БЛОК: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нельзя",IF(AND(F129&lt;&gt;"",COUNTIF('Долг по актам'!$B$5:$B$34,F129)=0),"БЛОК: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договору")&gt;0)*($C$5:$C$504&lt;&gt;C129)*($E$5:$E$504=E129)*(($D$5:$D$504=D129)*(D129&lt;&gt;"")+($B$5:$B$504=B129)*(B129&lt;&gt;"")&gt;0))&gt;0,"БЛОК: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29" s="3" t="str">
        <f>IF(AND(B129="",C129="",E129=""),"",SUM($G$5:G129))</f>
        <v/>
      </c>
    </row>
    <row r="130" spans="1:10" x14ac:dyDescent="0.3">
      <c r="A130" s="4">
        <v>126</v>
      </c>
      <c r="B130" s="5"/>
      <c r="C130" s="6"/>
      <c r="D130" s="6"/>
      <c r="E130" s="7"/>
      <c r="F130" s="6"/>
      <c r="G130" s="3">
        <f t="shared" si="2"/>
        <v>0</v>
      </c>
      <c r="H130" s="3">
        <f t="shared" si="3"/>
        <v>0</v>
      </c>
      <c r="I130" s="4" t="str">
        <f>IF(AND(B130="",C130="",D130="",E130="",F130=""),"",IF(OR(B130="",C130="",E130=""),"БЛОК: нужны дата, тип операции и сумма",IF(N(E130)&lt;=0,"БЛОК: сумма должна быть больше нуля",IF(AND(H130&lt;&gt;0,F130=""),"БЛОК: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отделить",IF(AND(G130&lt;&gt;0,F130=""),"БЛОК: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нельзя",IF(AND(F130&lt;&gt;"",COUNTIF('Долг по актам'!$B$5:$B$34,F130)=0),"БЛОК: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договору")&gt;0)*($C$5:$C$504&lt;&gt;C130)*($E$5:$E$504=E130)*(($D$5:$D$504=D130)*(D130&lt;&gt;"")+($B$5:$B$504=B130)*(B130&lt;&gt;"")&gt;0))&gt;0,"БЛОК: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30" s="3" t="str">
        <f>IF(AND(B130="",C130="",E130=""),"",SUM($G$5:G130))</f>
        <v/>
      </c>
    </row>
    <row r="131" spans="1:10" x14ac:dyDescent="0.3">
      <c r="A131" s="4">
        <v>127</v>
      </c>
      <c r="B131" s="5"/>
      <c r="C131" s="6"/>
      <c r="D131" s="6"/>
      <c r="E131" s="7"/>
      <c r="F131" s="6"/>
      <c r="G131" s="3">
        <f t="shared" si="2"/>
        <v>0</v>
      </c>
      <c r="H131" s="3">
        <f t="shared" si="3"/>
        <v>0</v>
      </c>
      <c r="I131" s="4" t="str">
        <f>IF(AND(B131="",C131="",D131="",E131="",F131=""),"",IF(OR(B131="",C131="",E131=""),"БЛОК: нужны дата, тип операции и сумма",IF(N(E131)&lt;=0,"БЛОК: сумма должна быть больше нуля",IF(AND(H131&lt;&gt;0,F131=""),"БЛОК: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отделить",IF(AND(G131&lt;&gt;0,F131=""),"БЛОК: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нельзя",IF(AND(F131&lt;&gt;"",COUNTIF('Долг по актам'!$B$5:$B$34,F131)=0),"БЛОК: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договору")&gt;0)*($C$5:$C$504&lt;&gt;C131)*($E$5:$E$504=E131)*(($D$5:$D$504=D131)*(D131&lt;&gt;"")+($B$5:$B$504=B131)*(B131&lt;&gt;"")&gt;0))&gt;0,"БЛОК: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31" s="3" t="str">
        <f>IF(AND(B131="",C131="",E131=""),"",SUM($G$5:G131))</f>
        <v/>
      </c>
    </row>
    <row r="132" spans="1:10" x14ac:dyDescent="0.3">
      <c r="A132" s="4">
        <v>128</v>
      </c>
      <c r="B132" s="5"/>
      <c r="C132" s="6"/>
      <c r="D132" s="6"/>
      <c r="E132" s="7"/>
      <c r="F132" s="6"/>
      <c r="G132" s="3">
        <f t="shared" si="2"/>
        <v>0</v>
      </c>
      <c r="H132" s="3">
        <f t="shared" si="3"/>
        <v>0</v>
      </c>
      <c r="I132" s="4" t="str">
        <f>IF(AND(B132="",C132="",D132="",E132="",F132=""),"",IF(OR(B132="",C132="",E132=""),"БЛОК: нужны дата, тип операции и сумма",IF(N(E132)&lt;=0,"БЛОК: сумма должна быть больше нуля",IF(AND(H132&lt;&gt;0,F132=""),"БЛОК: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отделить",IF(AND(G132&lt;&gt;0,F132=""),"БЛОК: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нельзя",IF(AND(F132&lt;&gt;"",COUNTIF('Долг по актам'!$B$5:$B$34,F132)=0),"БЛОК: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договору")&gt;0)*($C$5:$C$504&lt;&gt;C132)*($E$5:$E$504=E132)*(($D$5:$D$504=D132)*(D132&lt;&gt;"")+($B$5:$B$504=B132)*(B132&lt;&gt;"")&gt;0))&gt;0,"БЛОК: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32" s="3" t="str">
        <f>IF(AND(B132="",C132="",E132=""),"",SUM($G$5:G132))</f>
        <v/>
      </c>
    </row>
    <row r="133" spans="1:10" x14ac:dyDescent="0.3">
      <c r="A133" s="4">
        <v>129</v>
      </c>
      <c r="B133" s="5"/>
      <c r="C133" s="6"/>
      <c r="D133" s="6"/>
      <c r="E133" s="7"/>
      <c r="F133" s="6"/>
      <c r="G133" s="3">
        <f t="shared" ref="G133:G196" si="4">IF(OR(C133="",E133=""),0,IF(C133="Начисление по акту",E133,IF(OR(C133="Оплата",C133="Зачёт аванса по договору"),-E133,IF(C133="Корректировка (подписана обеими сторонами)",E133,0))))</f>
        <v>0</v>
      </c>
      <c r="H133" s="3">
        <f t="shared" ref="H133:H196" si="5">IF(OR(C133="Удержание",C133="Зачёт встречного требования",C133="Неустойка заявлена",C133="Допработы без соглашения (спорно)"),N(E133),0)</f>
        <v>0</v>
      </c>
      <c r="I133" s="4" t="str">
        <f>IF(AND(B133="",C133="",D133="",E133="",F133=""),"",IF(OR(B133="",C133="",E133=""),"БЛОК: нужны дата, тип операции и сумма",IF(N(E133)&lt;=0,"БЛОК: сумма должна быть больше нуля",IF(AND(H133&lt;&gt;0,F133=""),"БЛОК: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отделить",IF(AND(G133&lt;&gt;0,F133=""),"БЛОК: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нельзя",IF(AND(F133&lt;&gt;"",COUNTIF('Долг по актам'!$B$5:$B$34,F133)=0),"БЛОК: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договору")&gt;0)*($C$5:$C$504&lt;&gt;C133)*($E$5:$E$504=E133)*(($D$5:$D$504=D133)*(D133&lt;&gt;"")+($B$5:$B$504=B133)*(B133&lt;&gt;"")&gt;0))&gt;0,"БЛОК: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33" s="3" t="str">
        <f>IF(AND(B133="",C133="",E133=""),"",SUM($G$5:G133))</f>
        <v/>
      </c>
    </row>
    <row r="134" spans="1:10" x14ac:dyDescent="0.3">
      <c r="A134" s="4">
        <v>130</v>
      </c>
      <c r="B134" s="5"/>
      <c r="C134" s="6"/>
      <c r="D134" s="6"/>
      <c r="E134" s="7"/>
      <c r="F134" s="6"/>
      <c r="G134" s="3">
        <f t="shared" si="4"/>
        <v>0</v>
      </c>
      <c r="H134" s="3">
        <f t="shared" si="5"/>
        <v>0</v>
      </c>
      <c r="I134" s="4" t="str">
        <f>IF(AND(B134="",C134="",D134="",E134="",F134=""),"",IF(OR(B134="",C134="",E134=""),"БЛОК: нужны дата, тип операции и сумма",IF(N(E134)&lt;=0,"БЛОК: сумма должна быть больше нуля",IF(AND(H134&lt;&gt;0,F134=""),"БЛОК: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отделить",IF(AND(G134&lt;&gt;0,F134=""),"БЛОК: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нельзя",IF(AND(F134&lt;&gt;"",COUNTIF('Долг по актам'!$B$5:$B$34,F134)=0),"БЛОК: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договору")&gt;0)*($C$5:$C$504&lt;&gt;C134)*($E$5:$E$504=E134)*(($D$5:$D$504=D134)*(D134&lt;&gt;"")+($B$5:$B$504=B134)*(B134&lt;&gt;"")&gt;0))&gt;0,"БЛОК: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34" s="3" t="str">
        <f>IF(AND(B134="",C134="",E134=""),"",SUM($G$5:G134))</f>
        <v/>
      </c>
    </row>
    <row r="135" spans="1:10" x14ac:dyDescent="0.3">
      <c r="A135" s="4">
        <v>131</v>
      </c>
      <c r="B135" s="5"/>
      <c r="C135" s="6"/>
      <c r="D135" s="6"/>
      <c r="E135" s="7"/>
      <c r="F135" s="6"/>
      <c r="G135" s="3">
        <f t="shared" si="4"/>
        <v>0</v>
      </c>
      <c r="H135" s="3">
        <f t="shared" si="5"/>
        <v>0</v>
      </c>
      <c r="I135" s="4" t="str">
        <f>IF(AND(B135="",C135="",D135="",E135="",F135=""),"",IF(OR(B135="",C135="",E135=""),"БЛОК: нужны дата, тип операции и сумма",IF(N(E135)&lt;=0,"БЛОК: сумма должна быть больше нуля",IF(AND(H135&lt;&gt;0,F135=""),"БЛОК: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отделить",IF(AND(G135&lt;&gt;0,F135=""),"БЛОК: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нельзя",IF(AND(F135&lt;&gt;"",COUNTIF('Долг по актам'!$B$5:$B$34,F135)=0),"БЛОК: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договору")&gt;0)*($C$5:$C$504&lt;&gt;C135)*($E$5:$E$504=E135)*(($D$5:$D$504=D135)*(D135&lt;&gt;"")+($B$5:$B$504=B135)*(B135&lt;&gt;"")&gt;0))&gt;0,"БЛОК: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35" s="3" t="str">
        <f>IF(AND(B135="",C135="",E135=""),"",SUM($G$5:G135))</f>
        <v/>
      </c>
    </row>
    <row r="136" spans="1:10" x14ac:dyDescent="0.3">
      <c r="A136" s="4">
        <v>132</v>
      </c>
      <c r="B136" s="5"/>
      <c r="C136" s="6"/>
      <c r="D136" s="6"/>
      <c r="E136" s="7"/>
      <c r="F136" s="6"/>
      <c r="G136" s="3">
        <f t="shared" si="4"/>
        <v>0</v>
      </c>
      <c r="H136" s="3">
        <f t="shared" si="5"/>
        <v>0</v>
      </c>
      <c r="I136" s="4" t="str">
        <f>IF(AND(B136="",C136="",D136="",E136="",F136=""),"",IF(OR(B136="",C136="",E136=""),"БЛОК: нужны дата, тип операции и сумма",IF(N(E136)&lt;=0,"БЛОК: сумма должна быть больше нуля",IF(AND(H136&lt;&gt;0,F136=""),"БЛОК: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отделить",IF(AND(G136&lt;&gt;0,F136=""),"БЛОК: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нельзя",IF(AND(F136&lt;&gt;"",COUNTIF('Долг по актам'!$B$5:$B$34,F136)=0),"БЛОК: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договору")&gt;0)*($C$5:$C$504&lt;&gt;C136)*($E$5:$E$504=E136)*(($D$5:$D$504=D136)*(D136&lt;&gt;"")+($B$5:$B$504=B136)*(B136&lt;&gt;"")&gt;0))&gt;0,"БЛОК: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36" s="3" t="str">
        <f>IF(AND(B136="",C136="",E136=""),"",SUM($G$5:G136))</f>
        <v/>
      </c>
    </row>
    <row r="137" spans="1:10" x14ac:dyDescent="0.3">
      <c r="A137" s="4">
        <v>133</v>
      </c>
      <c r="B137" s="5"/>
      <c r="C137" s="6"/>
      <c r="D137" s="6"/>
      <c r="E137" s="7"/>
      <c r="F137" s="6"/>
      <c r="G137" s="3">
        <f t="shared" si="4"/>
        <v>0</v>
      </c>
      <c r="H137" s="3">
        <f t="shared" si="5"/>
        <v>0</v>
      </c>
      <c r="I137" s="4" t="str">
        <f>IF(AND(B137="",C137="",D137="",E137="",F137=""),"",IF(OR(B137="",C137="",E137=""),"БЛОК: нужны дата, тип операции и сумма",IF(N(E137)&lt;=0,"БЛОК: сумма должна быть больше нуля",IF(AND(H137&lt;&gt;0,F137=""),"БЛОК: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отделить",IF(AND(G137&lt;&gt;0,F137=""),"БЛОК: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нельзя",IF(AND(F137&lt;&gt;"",COUNTIF('Долг по актам'!$B$5:$B$34,F137)=0),"БЛОК: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договору")&gt;0)*($C$5:$C$504&lt;&gt;C137)*($E$5:$E$504=E137)*(($D$5:$D$504=D137)*(D137&lt;&gt;"")+($B$5:$B$504=B137)*(B137&lt;&gt;"")&gt;0))&gt;0,"БЛОК: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37" s="3" t="str">
        <f>IF(AND(B137="",C137="",E137=""),"",SUM($G$5:G137))</f>
        <v/>
      </c>
    </row>
    <row r="138" spans="1:10" x14ac:dyDescent="0.3">
      <c r="A138" s="4">
        <v>134</v>
      </c>
      <c r="B138" s="5"/>
      <c r="C138" s="6"/>
      <c r="D138" s="6"/>
      <c r="E138" s="7"/>
      <c r="F138" s="6"/>
      <c r="G138" s="3">
        <f t="shared" si="4"/>
        <v>0</v>
      </c>
      <c r="H138" s="3">
        <f t="shared" si="5"/>
        <v>0</v>
      </c>
      <c r="I138" s="4" t="str">
        <f>IF(AND(B138="",C138="",D138="",E138="",F138=""),"",IF(OR(B138="",C138="",E138=""),"БЛОК: нужны дата, тип операции и сумма",IF(N(E138)&lt;=0,"БЛОК: сумма должна быть больше нуля",IF(AND(H138&lt;&gt;0,F138=""),"БЛОК: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отделить",IF(AND(G138&lt;&gt;0,F138=""),"БЛОК: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нельзя",IF(AND(F138&lt;&gt;"",COUNTIF('Долг по актам'!$B$5:$B$34,F138)=0),"БЛОК: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договору")&gt;0)*($C$5:$C$504&lt;&gt;C138)*($E$5:$E$504=E138)*(($D$5:$D$504=D138)*(D138&lt;&gt;"")+($B$5:$B$504=B138)*(B138&lt;&gt;"")&gt;0))&gt;0,"БЛОК: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38" s="3" t="str">
        <f>IF(AND(B138="",C138="",E138=""),"",SUM($G$5:G138))</f>
        <v/>
      </c>
    </row>
    <row r="139" spans="1:10" x14ac:dyDescent="0.3">
      <c r="A139" s="4">
        <v>135</v>
      </c>
      <c r="B139" s="5"/>
      <c r="C139" s="6"/>
      <c r="D139" s="6"/>
      <c r="E139" s="7"/>
      <c r="F139" s="6"/>
      <c r="G139" s="3">
        <f t="shared" si="4"/>
        <v>0</v>
      </c>
      <c r="H139" s="3">
        <f t="shared" si="5"/>
        <v>0</v>
      </c>
      <c r="I139" s="4" t="str">
        <f>IF(AND(B139="",C139="",D139="",E139="",F139=""),"",IF(OR(B139="",C139="",E139=""),"БЛОК: нужны дата, тип операции и сумма",IF(N(E139)&lt;=0,"БЛОК: сумма должна быть больше нуля",IF(AND(H139&lt;&gt;0,F139=""),"БЛОК: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отделить",IF(AND(G139&lt;&gt;0,F139=""),"БЛОК: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нельзя",IF(AND(F139&lt;&gt;"",COUNTIF('Долг по актам'!$B$5:$B$34,F139)=0),"БЛОК: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договору")&gt;0)*($C$5:$C$504&lt;&gt;C139)*($E$5:$E$504=E139)*(($D$5:$D$504=D139)*(D139&lt;&gt;"")+($B$5:$B$504=B139)*(B139&lt;&gt;"")&gt;0))&gt;0,"БЛОК: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39" s="3" t="str">
        <f>IF(AND(B139="",C139="",E139=""),"",SUM($G$5:G139))</f>
        <v/>
      </c>
    </row>
    <row r="140" spans="1:10" x14ac:dyDescent="0.3">
      <c r="A140" s="4">
        <v>136</v>
      </c>
      <c r="B140" s="5"/>
      <c r="C140" s="6"/>
      <c r="D140" s="6"/>
      <c r="E140" s="7"/>
      <c r="F140" s="6"/>
      <c r="G140" s="3">
        <f t="shared" si="4"/>
        <v>0</v>
      </c>
      <c r="H140" s="3">
        <f t="shared" si="5"/>
        <v>0</v>
      </c>
      <c r="I140" s="4" t="str">
        <f>IF(AND(B140="",C140="",D140="",E140="",F140=""),"",IF(OR(B140="",C140="",E140=""),"БЛОК: нужны дата, тип операции и сумма",IF(N(E140)&lt;=0,"БЛОК: сумма должна быть больше нуля",IF(AND(H140&lt;&gt;0,F140=""),"БЛОК: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отделить",IF(AND(G140&lt;&gt;0,F140=""),"БЛОК: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нельзя",IF(AND(F140&lt;&gt;"",COUNTIF('Долг по актам'!$B$5:$B$34,F140)=0),"БЛОК: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договору")&gt;0)*($C$5:$C$504&lt;&gt;C140)*($E$5:$E$504=E140)*(($D$5:$D$504=D140)*(D140&lt;&gt;"")+($B$5:$B$504=B140)*(B140&lt;&gt;"")&gt;0))&gt;0,"БЛОК: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40" s="3" t="str">
        <f>IF(AND(B140="",C140="",E140=""),"",SUM($G$5:G140))</f>
        <v/>
      </c>
    </row>
    <row r="141" spans="1:10" x14ac:dyDescent="0.3">
      <c r="A141" s="4">
        <v>137</v>
      </c>
      <c r="B141" s="5"/>
      <c r="C141" s="6"/>
      <c r="D141" s="6"/>
      <c r="E141" s="7"/>
      <c r="F141" s="6"/>
      <c r="G141" s="3">
        <f t="shared" si="4"/>
        <v>0</v>
      </c>
      <c r="H141" s="3">
        <f t="shared" si="5"/>
        <v>0</v>
      </c>
      <c r="I141" s="4" t="str">
        <f>IF(AND(B141="",C141="",D141="",E141="",F141=""),"",IF(OR(B141="",C141="",E141=""),"БЛОК: нужны дата, тип операции и сумма",IF(N(E141)&lt;=0,"БЛОК: сумма должна быть больше нуля",IF(AND(H141&lt;&gt;0,F141=""),"БЛОК: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отделить",IF(AND(G141&lt;&gt;0,F141=""),"БЛОК: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нельзя",IF(AND(F141&lt;&gt;"",COUNTIF('Долг по актам'!$B$5:$B$34,F141)=0),"БЛОК: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договору")&gt;0)*($C$5:$C$504&lt;&gt;C141)*($E$5:$E$504=E141)*(($D$5:$D$504=D141)*(D141&lt;&gt;"")+($B$5:$B$504=B141)*(B141&lt;&gt;"")&gt;0))&gt;0,"БЛОК: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41" s="3" t="str">
        <f>IF(AND(B141="",C141="",E141=""),"",SUM($G$5:G141))</f>
        <v/>
      </c>
    </row>
    <row r="142" spans="1:10" x14ac:dyDescent="0.3">
      <c r="A142" s="4">
        <v>138</v>
      </c>
      <c r="B142" s="5"/>
      <c r="C142" s="6"/>
      <c r="D142" s="6"/>
      <c r="E142" s="7"/>
      <c r="F142" s="6"/>
      <c r="G142" s="3">
        <f t="shared" si="4"/>
        <v>0</v>
      </c>
      <c r="H142" s="3">
        <f t="shared" si="5"/>
        <v>0</v>
      </c>
      <c r="I142" s="4" t="str">
        <f>IF(AND(B142="",C142="",D142="",E142="",F142=""),"",IF(OR(B142="",C142="",E142=""),"БЛОК: нужны дата, тип операции и сумма",IF(N(E142)&lt;=0,"БЛОК: сумма должна быть больше нуля",IF(AND(H142&lt;&gt;0,F142=""),"БЛОК: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отделить",IF(AND(G142&lt;&gt;0,F142=""),"БЛОК: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нельзя",IF(AND(F142&lt;&gt;"",COUNTIF('Долг по актам'!$B$5:$B$34,F142)=0),"БЛОК: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договору")&gt;0)*($C$5:$C$504&lt;&gt;C142)*($E$5:$E$504=E142)*(($D$5:$D$504=D142)*(D142&lt;&gt;"")+($B$5:$B$504=B142)*(B142&lt;&gt;"")&gt;0))&gt;0,"БЛОК: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42" s="3" t="str">
        <f>IF(AND(B142="",C142="",E142=""),"",SUM($G$5:G142))</f>
        <v/>
      </c>
    </row>
    <row r="143" spans="1:10" x14ac:dyDescent="0.3">
      <c r="A143" s="4">
        <v>139</v>
      </c>
      <c r="B143" s="5"/>
      <c r="C143" s="6"/>
      <c r="D143" s="6"/>
      <c r="E143" s="7"/>
      <c r="F143" s="6"/>
      <c r="G143" s="3">
        <f t="shared" si="4"/>
        <v>0</v>
      </c>
      <c r="H143" s="3">
        <f t="shared" si="5"/>
        <v>0</v>
      </c>
      <c r="I143" s="4" t="str">
        <f>IF(AND(B143="",C143="",D143="",E143="",F143=""),"",IF(OR(B143="",C143="",E143=""),"БЛОК: нужны дата, тип операции и сумма",IF(N(E143)&lt;=0,"БЛОК: сумма должна быть больше нуля",IF(AND(H143&lt;&gt;0,F143=""),"БЛОК: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отделить",IF(AND(G143&lt;&gt;0,F143=""),"БЛОК: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нельзя",IF(AND(F143&lt;&gt;"",COUNTIF('Долг по актам'!$B$5:$B$34,F143)=0),"БЛОК: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договору")&gt;0)*($C$5:$C$504&lt;&gt;C143)*($E$5:$E$504=E143)*(($D$5:$D$504=D143)*(D143&lt;&gt;"")+($B$5:$B$504=B143)*(B143&lt;&gt;"")&gt;0))&gt;0,"БЛОК: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43" s="3" t="str">
        <f>IF(AND(B143="",C143="",E143=""),"",SUM($G$5:G143))</f>
        <v/>
      </c>
    </row>
    <row r="144" spans="1:10" x14ac:dyDescent="0.3">
      <c r="A144" s="4">
        <v>140</v>
      </c>
      <c r="B144" s="5"/>
      <c r="C144" s="6"/>
      <c r="D144" s="6"/>
      <c r="E144" s="7"/>
      <c r="F144" s="6"/>
      <c r="G144" s="3">
        <f t="shared" si="4"/>
        <v>0</v>
      </c>
      <c r="H144" s="3">
        <f t="shared" si="5"/>
        <v>0</v>
      </c>
      <c r="I144" s="4" t="str">
        <f>IF(AND(B144="",C144="",D144="",E144="",F144=""),"",IF(OR(B144="",C144="",E144=""),"БЛОК: нужны дата, тип операции и сумма",IF(N(E144)&lt;=0,"БЛОК: сумма должна быть больше нуля",IF(AND(H144&lt;&gt;0,F144=""),"БЛОК: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отделить",IF(AND(G144&lt;&gt;0,F144=""),"БЛОК: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нельзя",IF(AND(F144&lt;&gt;"",COUNTIF('Долг по актам'!$B$5:$B$34,F144)=0),"БЛОК: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договору")&gt;0)*($C$5:$C$504&lt;&gt;C144)*($E$5:$E$504=E144)*(($D$5:$D$504=D144)*(D144&lt;&gt;"")+($B$5:$B$504=B144)*(B144&lt;&gt;"")&gt;0))&gt;0,"БЛОК: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44" s="3" t="str">
        <f>IF(AND(B144="",C144="",E144=""),"",SUM($G$5:G144))</f>
        <v/>
      </c>
    </row>
    <row r="145" spans="1:10" x14ac:dyDescent="0.3">
      <c r="A145" s="4">
        <v>141</v>
      </c>
      <c r="B145" s="5"/>
      <c r="C145" s="6"/>
      <c r="D145" s="6"/>
      <c r="E145" s="7"/>
      <c r="F145" s="6"/>
      <c r="G145" s="3">
        <f t="shared" si="4"/>
        <v>0</v>
      </c>
      <c r="H145" s="3">
        <f t="shared" si="5"/>
        <v>0</v>
      </c>
      <c r="I145" s="4" t="str">
        <f>IF(AND(B145="",C145="",D145="",E145="",F145=""),"",IF(OR(B145="",C145="",E145=""),"БЛОК: нужны дата, тип операции и сумма",IF(N(E145)&lt;=0,"БЛОК: сумма должна быть больше нуля",IF(AND(H145&lt;&gt;0,F145=""),"БЛОК: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отделить",IF(AND(G145&lt;&gt;0,F145=""),"БЛОК: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нельзя",IF(AND(F145&lt;&gt;"",COUNTIF('Долг по актам'!$B$5:$B$34,F145)=0),"БЛОК: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договору")&gt;0)*($C$5:$C$504&lt;&gt;C145)*($E$5:$E$504=E145)*(($D$5:$D$504=D145)*(D145&lt;&gt;"")+($B$5:$B$504=B145)*(B145&lt;&gt;"")&gt;0))&gt;0,"БЛОК: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45" s="3" t="str">
        <f>IF(AND(B145="",C145="",E145=""),"",SUM($G$5:G145))</f>
        <v/>
      </c>
    </row>
    <row r="146" spans="1:10" x14ac:dyDescent="0.3">
      <c r="A146" s="4">
        <v>142</v>
      </c>
      <c r="B146" s="5"/>
      <c r="C146" s="6"/>
      <c r="D146" s="6"/>
      <c r="E146" s="7"/>
      <c r="F146" s="6"/>
      <c r="G146" s="3">
        <f t="shared" si="4"/>
        <v>0</v>
      </c>
      <c r="H146" s="3">
        <f t="shared" si="5"/>
        <v>0</v>
      </c>
      <c r="I146" s="4" t="str">
        <f>IF(AND(B146="",C146="",D146="",E146="",F146=""),"",IF(OR(B146="",C146="",E146=""),"БЛОК: нужны дата, тип операции и сумма",IF(N(E146)&lt;=0,"БЛОК: сумма должна быть больше нуля",IF(AND(H146&lt;&gt;0,F146=""),"БЛОК: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отделить",IF(AND(G146&lt;&gt;0,F146=""),"БЛОК: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нельзя",IF(AND(F146&lt;&gt;"",COUNTIF('Долг по актам'!$B$5:$B$34,F146)=0),"БЛОК: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договору")&gt;0)*($C$5:$C$504&lt;&gt;C146)*($E$5:$E$504=E146)*(($D$5:$D$504=D146)*(D146&lt;&gt;"")+($B$5:$B$504=B146)*(B146&lt;&gt;"")&gt;0))&gt;0,"БЛОК: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46" s="3" t="str">
        <f>IF(AND(B146="",C146="",E146=""),"",SUM($G$5:G146))</f>
        <v/>
      </c>
    </row>
    <row r="147" spans="1:10" x14ac:dyDescent="0.3">
      <c r="A147" s="4">
        <v>143</v>
      </c>
      <c r="B147" s="5"/>
      <c r="C147" s="6"/>
      <c r="D147" s="6"/>
      <c r="E147" s="7"/>
      <c r="F147" s="6"/>
      <c r="G147" s="3">
        <f t="shared" si="4"/>
        <v>0</v>
      </c>
      <c r="H147" s="3">
        <f t="shared" si="5"/>
        <v>0</v>
      </c>
      <c r="I147" s="4" t="str">
        <f>IF(AND(B147="",C147="",D147="",E147="",F147=""),"",IF(OR(B147="",C147="",E147=""),"БЛОК: нужны дата, тип операции и сумма",IF(N(E147)&lt;=0,"БЛОК: сумма должна быть больше нуля",IF(AND(H147&lt;&gt;0,F147=""),"БЛОК: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отделить",IF(AND(G147&lt;&gt;0,F147=""),"БЛОК: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нельзя",IF(AND(F147&lt;&gt;"",COUNTIF('Долг по актам'!$B$5:$B$34,F147)=0),"БЛОК: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договору")&gt;0)*($C$5:$C$504&lt;&gt;C147)*($E$5:$E$504=E147)*(($D$5:$D$504=D147)*(D147&lt;&gt;"")+($B$5:$B$504=B147)*(B147&lt;&gt;"")&gt;0))&gt;0,"БЛОК: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47" s="3" t="str">
        <f>IF(AND(B147="",C147="",E147=""),"",SUM($G$5:G147))</f>
        <v/>
      </c>
    </row>
    <row r="148" spans="1:10" x14ac:dyDescent="0.3">
      <c r="A148" s="4">
        <v>144</v>
      </c>
      <c r="B148" s="5"/>
      <c r="C148" s="6"/>
      <c r="D148" s="6"/>
      <c r="E148" s="7"/>
      <c r="F148" s="6"/>
      <c r="G148" s="3">
        <f t="shared" si="4"/>
        <v>0</v>
      </c>
      <c r="H148" s="3">
        <f t="shared" si="5"/>
        <v>0</v>
      </c>
      <c r="I148" s="4" t="str">
        <f>IF(AND(B148="",C148="",D148="",E148="",F148=""),"",IF(OR(B148="",C148="",E148=""),"БЛОК: нужны дата, тип операции и сумма",IF(N(E148)&lt;=0,"БЛОК: сумма должна быть больше нуля",IF(AND(H148&lt;&gt;0,F148=""),"БЛОК: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отделить",IF(AND(G148&lt;&gt;0,F148=""),"БЛОК: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нельзя",IF(AND(F148&lt;&gt;"",COUNTIF('Долг по актам'!$B$5:$B$34,F148)=0),"БЛОК: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договору")&gt;0)*($C$5:$C$504&lt;&gt;C148)*($E$5:$E$504=E148)*(($D$5:$D$504=D148)*(D148&lt;&gt;"")+($B$5:$B$504=B148)*(B148&lt;&gt;"")&gt;0))&gt;0,"БЛОК: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48" s="3" t="str">
        <f>IF(AND(B148="",C148="",E148=""),"",SUM($G$5:G148))</f>
        <v/>
      </c>
    </row>
    <row r="149" spans="1:10" x14ac:dyDescent="0.3">
      <c r="A149" s="4">
        <v>145</v>
      </c>
      <c r="B149" s="5"/>
      <c r="C149" s="6"/>
      <c r="D149" s="6"/>
      <c r="E149" s="7"/>
      <c r="F149" s="6"/>
      <c r="G149" s="3">
        <f t="shared" si="4"/>
        <v>0</v>
      </c>
      <c r="H149" s="3">
        <f t="shared" si="5"/>
        <v>0</v>
      </c>
      <c r="I149" s="4" t="str">
        <f>IF(AND(B149="",C149="",D149="",E149="",F149=""),"",IF(OR(B149="",C149="",E149=""),"БЛОК: нужны дата, тип операции и сумма",IF(N(E149)&lt;=0,"БЛОК: сумма должна быть больше нуля",IF(AND(H149&lt;&gt;0,F149=""),"БЛОК: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отделить",IF(AND(G149&lt;&gt;0,F149=""),"БЛОК: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нельзя",IF(AND(F149&lt;&gt;"",COUNTIF('Долг по актам'!$B$5:$B$34,F149)=0),"БЛОК: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договору")&gt;0)*($C$5:$C$504&lt;&gt;C149)*($E$5:$E$504=E149)*(($D$5:$D$504=D149)*(D149&lt;&gt;"")+($B$5:$B$504=B149)*(B149&lt;&gt;"")&gt;0))&gt;0,"БЛОК: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49" s="3" t="str">
        <f>IF(AND(B149="",C149="",E149=""),"",SUM($G$5:G149))</f>
        <v/>
      </c>
    </row>
    <row r="150" spans="1:10" x14ac:dyDescent="0.3">
      <c r="A150" s="4">
        <v>146</v>
      </c>
      <c r="B150" s="5"/>
      <c r="C150" s="6"/>
      <c r="D150" s="6"/>
      <c r="E150" s="7"/>
      <c r="F150" s="6"/>
      <c r="G150" s="3">
        <f t="shared" si="4"/>
        <v>0</v>
      </c>
      <c r="H150" s="3">
        <f t="shared" si="5"/>
        <v>0</v>
      </c>
      <c r="I150" s="4" t="str">
        <f>IF(AND(B150="",C150="",D150="",E150="",F150=""),"",IF(OR(B150="",C150="",E150=""),"БЛОК: нужны дата, тип операции и сумма",IF(N(E150)&lt;=0,"БЛОК: сумма должна быть больше нуля",IF(AND(H150&lt;&gt;0,F150=""),"БЛОК: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отделить",IF(AND(G150&lt;&gt;0,F150=""),"БЛОК: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нельзя",IF(AND(F150&lt;&gt;"",COUNTIF('Долг по актам'!$B$5:$B$34,F150)=0),"БЛОК: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договору")&gt;0)*($C$5:$C$504&lt;&gt;C150)*($E$5:$E$504=E150)*(($D$5:$D$504=D150)*(D150&lt;&gt;"")+($B$5:$B$504=B150)*(B150&lt;&gt;"")&gt;0))&gt;0,"БЛОК: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50" s="3" t="str">
        <f>IF(AND(B150="",C150="",E150=""),"",SUM($G$5:G150))</f>
        <v/>
      </c>
    </row>
    <row r="151" spans="1:10" x14ac:dyDescent="0.3">
      <c r="A151" s="4">
        <v>147</v>
      </c>
      <c r="B151" s="5"/>
      <c r="C151" s="6"/>
      <c r="D151" s="6"/>
      <c r="E151" s="7"/>
      <c r="F151" s="6"/>
      <c r="G151" s="3">
        <f t="shared" si="4"/>
        <v>0</v>
      </c>
      <c r="H151" s="3">
        <f t="shared" si="5"/>
        <v>0</v>
      </c>
      <c r="I151" s="4" t="str">
        <f>IF(AND(B151="",C151="",D151="",E151="",F151=""),"",IF(OR(B151="",C151="",E151=""),"БЛОК: нужны дата, тип операции и сумма",IF(N(E151)&lt;=0,"БЛОК: сумма должна быть больше нуля",IF(AND(H151&lt;&gt;0,F151=""),"БЛОК: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отделить",IF(AND(G151&lt;&gt;0,F151=""),"БЛОК: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нельзя",IF(AND(F151&lt;&gt;"",COUNTIF('Долг по актам'!$B$5:$B$34,F151)=0),"БЛОК: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договору")&gt;0)*($C$5:$C$504&lt;&gt;C151)*($E$5:$E$504=E151)*(($D$5:$D$504=D151)*(D151&lt;&gt;"")+($B$5:$B$504=B151)*(B151&lt;&gt;"")&gt;0))&gt;0,"БЛОК: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51" s="3" t="str">
        <f>IF(AND(B151="",C151="",E151=""),"",SUM($G$5:G151))</f>
        <v/>
      </c>
    </row>
    <row r="152" spans="1:10" x14ac:dyDescent="0.3">
      <c r="A152" s="4">
        <v>148</v>
      </c>
      <c r="B152" s="5"/>
      <c r="C152" s="6"/>
      <c r="D152" s="6"/>
      <c r="E152" s="7"/>
      <c r="F152" s="6"/>
      <c r="G152" s="3">
        <f t="shared" si="4"/>
        <v>0</v>
      </c>
      <c r="H152" s="3">
        <f t="shared" si="5"/>
        <v>0</v>
      </c>
      <c r="I152" s="4" t="str">
        <f>IF(AND(B152="",C152="",D152="",E152="",F152=""),"",IF(OR(B152="",C152="",E152=""),"БЛОК: нужны дата, тип операции и сумма",IF(N(E152)&lt;=0,"БЛОК: сумма должна быть больше нуля",IF(AND(H152&lt;&gt;0,F152=""),"БЛОК: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отделить",IF(AND(G152&lt;&gt;0,F152=""),"БЛОК: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нельзя",IF(AND(F152&lt;&gt;"",COUNTIF('Долг по актам'!$B$5:$B$34,F152)=0),"БЛОК: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договору")&gt;0)*($C$5:$C$504&lt;&gt;C152)*($E$5:$E$504=E152)*(($D$5:$D$504=D152)*(D152&lt;&gt;"")+($B$5:$B$504=B152)*(B152&lt;&gt;"")&gt;0))&gt;0,"БЛОК: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52" s="3" t="str">
        <f>IF(AND(B152="",C152="",E152=""),"",SUM($G$5:G152))</f>
        <v/>
      </c>
    </row>
    <row r="153" spans="1:10" x14ac:dyDescent="0.3">
      <c r="A153" s="4">
        <v>149</v>
      </c>
      <c r="B153" s="5"/>
      <c r="C153" s="6"/>
      <c r="D153" s="6"/>
      <c r="E153" s="7"/>
      <c r="F153" s="6"/>
      <c r="G153" s="3">
        <f t="shared" si="4"/>
        <v>0</v>
      </c>
      <c r="H153" s="3">
        <f t="shared" si="5"/>
        <v>0</v>
      </c>
      <c r="I153" s="4" t="str">
        <f>IF(AND(B153="",C153="",D153="",E153="",F153=""),"",IF(OR(B153="",C153="",E153=""),"БЛОК: нужны дата, тип операции и сумма",IF(N(E153)&lt;=0,"БЛОК: сумма должна быть больше нуля",IF(AND(H153&lt;&gt;0,F153=""),"БЛОК: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отделить",IF(AND(G153&lt;&gt;0,F153=""),"БЛОК: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нельзя",IF(AND(F153&lt;&gt;"",COUNTIF('Долг по актам'!$B$5:$B$34,F153)=0),"БЛОК: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договору")&gt;0)*($C$5:$C$504&lt;&gt;C153)*($E$5:$E$504=E153)*(($D$5:$D$504=D153)*(D153&lt;&gt;"")+($B$5:$B$504=B153)*(B153&lt;&gt;"")&gt;0))&gt;0,"БЛОК: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53" s="3" t="str">
        <f>IF(AND(B153="",C153="",E153=""),"",SUM($G$5:G153))</f>
        <v/>
      </c>
    </row>
    <row r="154" spans="1:10" x14ac:dyDescent="0.3">
      <c r="A154" s="4">
        <v>150</v>
      </c>
      <c r="B154" s="5"/>
      <c r="C154" s="6"/>
      <c r="D154" s="6"/>
      <c r="E154" s="7"/>
      <c r="F154" s="6"/>
      <c r="G154" s="3">
        <f t="shared" si="4"/>
        <v>0</v>
      </c>
      <c r="H154" s="3">
        <f t="shared" si="5"/>
        <v>0</v>
      </c>
      <c r="I154" s="4" t="str">
        <f>IF(AND(B154="",C154="",D154="",E154="",F154=""),"",IF(OR(B154="",C154="",E154=""),"БЛОК: нужны дата, тип операции и сумма",IF(N(E154)&lt;=0,"БЛОК: сумма должна быть больше нуля",IF(AND(H154&lt;&gt;0,F154=""),"БЛОК: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отделить",IF(AND(G154&lt;&gt;0,F154=""),"БЛОК: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нельзя",IF(AND(F154&lt;&gt;"",COUNTIF('Долг по актам'!$B$5:$B$34,F154)=0),"БЛОК: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договору")&gt;0)*($C$5:$C$504&lt;&gt;C154)*($E$5:$E$504=E154)*(($D$5:$D$504=D154)*(D154&lt;&gt;"")+($B$5:$B$504=B154)*(B154&lt;&gt;"")&gt;0))&gt;0,"БЛОК: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54" s="3" t="str">
        <f>IF(AND(B154="",C154="",E154=""),"",SUM($G$5:G154))</f>
        <v/>
      </c>
    </row>
    <row r="155" spans="1:10" x14ac:dyDescent="0.3">
      <c r="A155" s="4">
        <v>151</v>
      </c>
      <c r="B155" s="5"/>
      <c r="C155" s="6"/>
      <c r="D155" s="6"/>
      <c r="E155" s="7"/>
      <c r="F155" s="6"/>
      <c r="G155" s="3">
        <f t="shared" si="4"/>
        <v>0</v>
      </c>
      <c r="H155" s="3">
        <f t="shared" si="5"/>
        <v>0</v>
      </c>
      <c r="I155" s="4" t="str">
        <f>IF(AND(B155="",C155="",D155="",E155="",F155=""),"",IF(OR(B155="",C155="",E155=""),"БЛОК: нужны дата, тип операции и сумма",IF(N(E155)&lt;=0,"БЛОК: сумма должна быть больше нуля",IF(AND(H155&lt;&gt;0,F155=""),"БЛОК: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отделить",IF(AND(G155&lt;&gt;0,F155=""),"БЛОК: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нельзя",IF(AND(F155&lt;&gt;"",COUNTIF('Долг по актам'!$B$5:$B$34,F155)=0),"БЛОК: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договору")&gt;0)*($C$5:$C$504&lt;&gt;C155)*($E$5:$E$504=E155)*(($D$5:$D$504=D155)*(D155&lt;&gt;"")+($B$5:$B$504=B155)*(B155&lt;&gt;"")&gt;0))&gt;0,"БЛОК: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55" s="3" t="str">
        <f>IF(AND(B155="",C155="",E155=""),"",SUM($G$5:G155))</f>
        <v/>
      </c>
    </row>
    <row r="156" spans="1:10" x14ac:dyDescent="0.3">
      <c r="A156" s="4">
        <v>152</v>
      </c>
      <c r="B156" s="5"/>
      <c r="C156" s="6"/>
      <c r="D156" s="6"/>
      <c r="E156" s="7"/>
      <c r="F156" s="6"/>
      <c r="G156" s="3">
        <f t="shared" si="4"/>
        <v>0</v>
      </c>
      <c r="H156" s="3">
        <f t="shared" si="5"/>
        <v>0</v>
      </c>
      <c r="I156" s="4" t="str">
        <f>IF(AND(B156="",C156="",D156="",E156="",F156=""),"",IF(OR(B156="",C156="",E156=""),"БЛОК: нужны дата, тип операции и сумма",IF(N(E156)&lt;=0,"БЛОК: сумма должна быть больше нуля",IF(AND(H156&lt;&gt;0,F156=""),"БЛОК: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отделить",IF(AND(G156&lt;&gt;0,F156=""),"БЛОК: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нельзя",IF(AND(F156&lt;&gt;"",COUNTIF('Долг по актам'!$B$5:$B$34,F156)=0),"БЛОК: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договору")&gt;0)*($C$5:$C$504&lt;&gt;C156)*($E$5:$E$504=E156)*(($D$5:$D$504=D156)*(D156&lt;&gt;"")+($B$5:$B$504=B156)*(B156&lt;&gt;"")&gt;0))&gt;0,"БЛОК: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56" s="3" t="str">
        <f>IF(AND(B156="",C156="",E156=""),"",SUM($G$5:G156))</f>
        <v/>
      </c>
    </row>
    <row r="157" spans="1:10" x14ac:dyDescent="0.3">
      <c r="A157" s="4">
        <v>153</v>
      </c>
      <c r="B157" s="5"/>
      <c r="C157" s="6"/>
      <c r="D157" s="6"/>
      <c r="E157" s="7"/>
      <c r="F157" s="6"/>
      <c r="G157" s="3">
        <f t="shared" si="4"/>
        <v>0</v>
      </c>
      <c r="H157" s="3">
        <f t="shared" si="5"/>
        <v>0</v>
      </c>
      <c r="I157" s="4" t="str">
        <f>IF(AND(B157="",C157="",D157="",E157="",F157=""),"",IF(OR(B157="",C157="",E157=""),"БЛОК: нужны дата, тип операции и сумма",IF(N(E157)&lt;=0,"БЛОК: сумма должна быть больше нуля",IF(AND(H157&lt;&gt;0,F157=""),"БЛОК: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отделить",IF(AND(G157&lt;&gt;0,F157=""),"БЛОК: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нельзя",IF(AND(F157&lt;&gt;"",COUNTIF('Долг по актам'!$B$5:$B$34,F157)=0),"БЛОК: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договору")&gt;0)*($C$5:$C$504&lt;&gt;C157)*($E$5:$E$504=E157)*(($D$5:$D$504=D157)*(D157&lt;&gt;"")+($B$5:$B$504=B157)*(B157&lt;&gt;"")&gt;0))&gt;0,"БЛОК: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57" s="3" t="str">
        <f>IF(AND(B157="",C157="",E157=""),"",SUM($G$5:G157))</f>
        <v/>
      </c>
    </row>
    <row r="158" spans="1:10" x14ac:dyDescent="0.3">
      <c r="A158" s="4">
        <v>154</v>
      </c>
      <c r="B158" s="5"/>
      <c r="C158" s="6"/>
      <c r="D158" s="6"/>
      <c r="E158" s="7"/>
      <c r="F158" s="6"/>
      <c r="G158" s="3">
        <f t="shared" si="4"/>
        <v>0</v>
      </c>
      <c r="H158" s="3">
        <f t="shared" si="5"/>
        <v>0</v>
      </c>
      <c r="I158" s="4" t="str">
        <f>IF(AND(B158="",C158="",D158="",E158="",F158=""),"",IF(OR(B158="",C158="",E158=""),"БЛОК: нужны дата, тип операции и сумма",IF(N(E158)&lt;=0,"БЛОК: сумма должна быть больше нуля",IF(AND(H158&lt;&gt;0,F158=""),"БЛОК: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отделить",IF(AND(G158&lt;&gt;0,F158=""),"БЛОК: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нельзя",IF(AND(F158&lt;&gt;"",COUNTIF('Долг по актам'!$B$5:$B$34,F158)=0),"БЛОК: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договору")&gt;0)*($C$5:$C$504&lt;&gt;C158)*($E$5:$E$504=E158)*(($D$5:$D$504=D158)*(D158&lt;&gt;"")+($B$5:$B$504=B158)*(B158&lt;&gt;"")&gt;0))&gt;0,"БЛОК: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58" s="3" t="str">
        <f>IF(AND(B158="",C158="",E158=""),"",SUM($G$5:G158))</f>
        <v/>
      </c>
    </row>
    <row r="159" spans="1:10" x14ac:dyDescent="0.3">
      <c r="A159" s="4">
        <v>155</v>
      </c>
      <c r="B159" s="5"/>
      <c r="C159" s="6"/>
      <c r="D159" s="6"/>
      <c r="E159" s="7"/>
      <c r="F159" s="6"/>
      <c r="G159" s="3">
        <f t="shared" si="4"/>
        <v>0</v>
      </c>
      <c r="H159" s="3">
        <f t="shared" si="5"/>
        <v>0</v>
      </c>
      <c r="I159" s="4" t="str">
        <f>IF(AND(B159="",C159="",D159="",E159="",F159=""),"",IF(OR(B159="",C159="",E159=""),"БЛОК: нужны дата, тип операции и сумма",IF(N(E159)&lt;=0,"БЛОК: сумма должна быть больше нуля",IF(AND(H159&lt;&gt;0,F159=""),"БЛОК: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отделить",IF(AND(G159&lt;&gt;0,F159=""),"БЛОК: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нельзя",IF(AND(F159&lt;&gt;"",COUNTIF('Долг по актам'!$B$5:$B$34,F159)=0),"БЛОК: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договору")&gt;0)*($C$5:$C$504&lt;&gt;C159)*($E$5:$E$504=E159)*(($D$5:$D$504=D159)*(D159&lt;&gt;"")+($B$5:$B$504=B159)*(B159&lt;&gt;"")&gt;0))&gt;0,"БЛОК: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59" s="3" t="str">
        <f>IF(AND(B159="",C159="",E159=""),"",SUM($G$5:G159))</f>
        <v/>
      </c>
    </row>
    <row r="160" spans="1:10" x14ac:dyDescent="0.3">
      <c r="A160" s="4">
        <v>156</v>
      </c>
      <c r="B160" s="5"/>
      <c r="C160" s="6"/>
      <c r="D160" s="6"/>
      <c r="E160" s="7"/>
      <c r="F160" s="6"/>
      <c r="G160" s="3">
        <f t="shared" si="4"/>
        <v>0</v>
      </c>
      <c r="H160" s="3">
        <f t="shared" si="5"/>
        <v>0</v>
      </c>
      <c r="I160" s="4" t="str">
        <f>IF(AND(B160="",C160="",D160="",E160="",F160=""),"",IF(OR(B160="",C160="",E160=""),"БЛОК: нужны дата, тип операции и сумма",IF(N(E160)&lt;=0,"БЛОК: сумма должна быть больше нуля",IF(AND(H160&lt;&gt;0,F160=""),"БЛОК: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отделить",IF(AND(G160&lt;&gt;0,F160=""),"БЛОК: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нельзя",IF(AND(F160&lt;&gt;"",COUNTIF('Долг по актам'!$B$5:$B$34,F160)=0),"БЛОК: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договору")&gt;0)*($C$5:$C$504&lt;&gt;C160)*($E$5:$E$504=E160)*(($D$5:$D$504=D160)*(D160&lt;&gt;"")+($B$5:$B$504=B160)*(B160&lt;&gt;"")&gt;0))&gt;0,"БЛОК: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60" s="3" t="str">
        <f>IF(AND(B160="",C160="",E160=""),"",SUM($G$5:G160))</f>
        <v/>
      </c>
    </row>
    <row r="161" spans="1:10" x14ac:dyDescent="0.3">
      <c r="A161" s="4">
        <v>157</v>
      </c>
      <c r="B161" s="5"/>
      <c r="C161" s="6"/>
      <c r="D161" s="6"/>
      <c r="E161" s="7"/>
      <c r="F161" s="6"/>
      <c r="G161" s="3">
        <f t="shared" si="4"/>
        <v>0</v>
      </c>
      <c r="H161" s="3">
        <f t="shared" si="5"/>
        <v>0</v>
      </c>
      <c r="I161" s="4" t="str">
        <f>IF(AND(B161="",C161="",D161="",E161="",F161=""),"",IF(OR(B161="",C161="",E161=""),"БЛОК: нужны дата, тип операции и сумма",IF(N(E161)&lt;=0,"БЛОК: сумма должна быть больше нуля",IF(AND(H161&lt;&gt;0,F161=""),"БЛОК: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отделить",IF(AND(G161&lt;&gt;0,F161=""),"БЛОК: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нельзя",IF(AND(F161&lt;&gt;"",COUNTIF('Долг по актам'!$B$5:$B$34,F161)=0),"БЛОК: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договору")&gt;0)*($C$5:$C$504&lt;&gt;C161)*($E$5:$E$504=E161)*(($D$5:$D$504=D161)*(D161&lt;&gt;"")+($B$5:$B$504=B161)*(B161&lt;&gt;"")&gt;0))&gt;0,"БЛОК: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61" s="3" t="str">
        <f>IF(AND(B161="",C161="",E161=""),"",SUM($G$5:G161))</f>
        <v/>
      </c>
    </row>
    <row r="162" spans="1:10" x14ac:dyDescent="0.3">
      <c r="A162" s="4">
        <v>158</v>
      </c>
      <c r="B162" s="5"/>
      <c r="C162" s="6"/>
      <c r="D162" s="6"/>
      <c r="E162" s="7"/>
      <c r="F162" s="6"/>
      <c r="G162" s="3">
        <f t="shared" si="4"/>
        <v>0</v>
      </c>
      <c r="H162" s="3">
        <f t="shared" si="5"/>
        <v>0</v>
      </c>
      <c r="I162" s="4" t="str">
        <f>IF(AND(B162="",C162="",D162="",E162="",F162=""),"",IF(OR(B162="",C162="",E162=""),"БЛОК: нужны дата, тип операции и сумма",IF(N(E162)&lt;=0,"БЛОК: сумма должна быть больше нуля",IF(AND(H162&lt;&gt;0,F162=""),"БЛОК: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отделить",IF(AND(G162&lt;&gt;0,F162=""),"БЛОК: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нельзя",IF(AND(F162&lt;&gt;"",COUNTIF('Долг по актам'!$B$5:$B$34,F162)=0),"БЛОК: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договору")&gt;0)*($C$5:$C$504&lt;&gt;C162)*($E$5:$E$504=E162)*(($D$5:$D$504=D162)*(D162&lt;&gt;"")+($B$5:$B$504=B162)*(B162&lt;&gt;"")&gt;0))&gt;0,"БЛОК: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62" s="3" t="str">
        <f>IF(AND(B162="",C162="",E162=""),"",SUM($G$5:G162))</f>
        <v/>
      </c>
    </row>
    <row r="163" spans="1:10" x14ac:dyDescent="0.3">
      <c r="A163" s="4">
        <v>159</v>
      </c>
      <c r="B163" s="5"/>
      <c r="C163" s="6"/>
      <c r="D163" s="6"/>
      <c r="E163" s="7"/>
      <c r="F163" s="6"/>
      <c r="G163" s="3">
        <f t="shared" si="4"/>
        <v>0</v>
      </c>
      <c r="H163" s="3">
        <f t="shared" si="5"/>
        <v>0</v>
      </c>
      <c r="I163" s="4" t="str">
        <f>IF(AND(B163="",C163="",D163="",E163="",F163=""),"",IF(OR(B163="",C163="",E163=""),"БЛОК: нужны дата, тип операции и сумма",IF(N(E163)&lt;=0,"БЛОК: сумма должна быть больше нуля",IF(AND(H163&lt;&gt;0,F163=""),"БЛОК: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отделить",IF(AND(G163&lt;&gt;0,F163=""),"БЛОК: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нельзя",IF(AND(F163&lt;&gt;"",COUNTIF('Долг по актам'!$B$5:$B$34,F163)=0),"БЛОК: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договору")&gt;0)*($C$5:$C$504&lt;&gt;C163)*($E$5:$E$504=E163)*(($D$5:$D$504=D163)*(D163&lt;&gt;"")+($B$5:$B$504=B163)*(B163&lt;&gt;"")&gt;0))&gt;0,"БЛОК: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63" s="3" t="str">
        <f>IF(AND(B163="",C163="",E163=""),"",SUM($G$5:G163))</f>
        <v/>
      </c>
    </row>
    <row r="164" spans="1:10" x14ac:dyDescent="0.3">
      <c r="A164" s="4">
        <v>160</v>
      </c>
      <c r="B164" s="5"/>
      <c r="C164" s="6"/>
      <c r="D164" s="6"/>
      <c r="E164" s="7"/>
      <c r="F164" s="6"/>
      <c r="G164" s="3">
        <f t="shared" si="4"/>
        <v>0</v>
      </c>
      <c r="H164" s="3">
        <f t="shared" si="5"/>
        <v>0</v>
      </c>
      <c r="I164" s="4" t="str">
        <f>IF(AND(B164="",C164="",D164="",E164="",F164=""),"",IF(OR(B164="",C164="",E164=""),"БЛОК: нужны дата, тип операции и сумма",IF(N(E164)&lt;=0,"БЛОК: сумма должна быть больше нуля",IF(AND(H164&lt;&gt;0,F164=""),"БЛОК: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отделить",IF(AND(G164&lt;&gt;0,F164=""),"БЛОК: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нельзя",IF(AND(F164&lt;&gt;"",COUNTIF('Долг по актам'!$B$5:$B$34,F164)=0),"БЛОК: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договору")&gt;0)*($C$5:$C$504&lt;&gt;C164)*($E$5:$E$504=E164)*(($D$5:$D$504=D164)*(D164&lt;&gt;"")+($B$5:$B$504=B164)*(B164&lt;&gt;"")&gt;0))&gt;0,"БЛОК: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64" s="3" t="str">
        <f>IF(AND(B164="",C164="",E164=""),"",SUM($G$5:G164))</f>
        <v/>
      </c>
    </row>
    <row r="165" spans="1:10" x14ac:dyDescent="0.3">
      <c r="A165" s="4">
        <v>161</v>
      </c>
      <c r="B165" s="5"/>
      <c r="C165" s="6"/>
      <c r="D165" s="6"/>
      <c r="E165" s="7"/>
      <c r="F165" s="6"/>
      <c r="G165" s="3">
        <f t="shared" si="4"/>
        <v>0</v>
      </c>
      <c r="H165" s="3">
        <f t="shared" si="5"/>
        <v>0</v>
      </c>
      <c r="I165" s="4" t="str">
        <f>IF(AND(B165="",C165="",D165="",E165="",F165=""),"",IF(OR(B165="",C165="",E165=""),"БЛОК: нужны дата, тип операции и сумма",IF(N(E165)&lt;=0,"БЛОК: сумма должна быть больше нуля",IF(AND(H165&lt;&gt;0,F165=""),"БЛОК: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отделить",IF(AND(G165&lt;&gt;0,F165=""),"БЛОК: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нельзя",IF(AND(F165&lt;&gt;"",COUNTIF('Долг по актам'!$B$5:$B$34,F165)=0),"БЛОК: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договору")&gt;0)*($C$5:$C$504&lt;&gt;C165)*($E$5:$E$504=E165)*(($D$5:$D$504=D165)*(D165&lt;&gt;"")+($B$5:$B$504=B165)*(B165&lt;&gt;"")&gt;0))&gt;0,"БЛОК: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65" s="3" t="str">
        <f>IF(AND(B165="",C165="",E165=""),"",SUM($G$5:G165))</f>
        <v/>
      </c>
    </row>
    <row r="166" spans="1:10" x14ac:dyDescent="0.3">
      <c r="A166" s="4">
        <v>162</v>
      </c>
      <c r="B166" s="5"/>
      <c r="C166" s="6"/>
      <c r="D166" s="6"/>
      <c r="E166" s="7"/>
      <c r="F166" s="6"/>
      <c r="G166" s="3">
        <f t="shared" si="4"/>
        <v>0</v>
      </c>
      <c r="H166" s="3">
        <f t="shared" si="5"/>
        <v>0</v>
      </c>
      <c r="I166" s="4" t="str">
        <f>IF(AND(B166="",C166="",D166="",E166="",F166=""),"",IF(OR(B166="",C166="",E166=""),"БЛОК: нужны дата, тип операции и сумма",IF(N(E166)&lt;=0,"БЛОК: сумма должна быть больше нуля",IF(AND(H166&lt;&gt;0,F166=""),"БЛОК: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отделить",IF(AND(G166&lt;&gt;0,F166=""),"БЛОК: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нельзя",IF(AND(F166&lt;&gt;"",COUNTIF('Долг по актам'!$B$5:$B$34,F166)=0),"БЛОК: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договору")&gt;0)*($C$5:$C$504&lt;&gt;C166)*($E$5:$E$504=E166)*(($D$5:$D$504=D166)*(D166&lt;&gt;"")+($B$5:$B$504=B166)*(B166&lt;&gt;"")&gt;0))&gt;0,"БЛОК: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66" s="3" t="str">
        <f>IF(AND(B166="",C166="",E166=""),"",SUM($G$5:G166))</f>
        <v/>
      </c>
    </row>
    <row r="167" spans="1:10" x14ac:dyDescent="0.3">
      <c r="A167" s="4">
        <v>163</v>
      </c>
      <c r="B167" s="5"/>
      <c r="C167" s="6"/>
      <c r="D167" s="6"/>
      <c r="E167" s="7"/>
      <c r="F167" s="6"/>
      <c r="G167" s="3">
        <f t="shared" si="4"/>
        <v>0</v>
      </c>
      <c r="H167" s="3">
        <f t="shared" si="5"/>
        <v>0</v>
      </c>
      <c r="I167" s="4" t="str">
        <f>IF(AND(B167="",C167="",D167="",E167="",F167=""),"",IF(OR(B167="",C167="",E167=""),"БЛОК: нужны дата, тип операции и сумма",IF(N(E167)&lt;=0,"БЛОК: сумма должна быть больше нуля",IF(AND(H167&lt;&gt;0,F167=""),"БЛОК: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отделить",IF(AND(G167&lt;&gt;0,F167=""),"БЛОК: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нельзя",IF(AND(F167&lt;&gt;"",COUNTIF('Долг по актам'!$B$5:$B$34,F167)=0),"БЛОК: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договору")&gt;0)*($C$5:$C$504&lt;&gt;C167)*($E$5:$E$504=E167)*(($D$5:$D$504=D167)*(D167&lt;&gt;"")+($B$5:$B$504=B167)*(B167&lt;&gt;"")&gt;0))&gt;0,"БЛОК: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67" s="3" t="str">
        <f>IF(AND(B167="",C167="",E167=""),"",SUM($G$5:G167))</f>
        <v/>
      </c>
    </row>
    <row r="168" spans="1:10" x14ac:dyDescent="0.3">
      <c r="A168" s="4">
        <v>164</v>
      </c>
      <c r="B168" s="5"/>
      <c r="C168" s="6"/>
      <c r="D168" s="6"/>
      <c r="E168" s="7"/>
      <c r="F168" s="6"/>
      <c r="G168" s="3">
        <f t="shared" si="4"/>
        <v>0</v>
      </c>
      <c r="H168" s="3">
        <f t="shared" si="5"/>
        <v>0</v>
      </c>
      <c r="I168" s="4" t="str">
        <f>IF(AND(B168="",C168="",D168="",E168="",F168=""),"",IF(OR(B168="",C168="",E168=""),"БЛОК: нужны дата, тип операции и сумма",IF(N(E168)&lt;=0,"БЛОК: сумма должна быть больше нуля",IF(AND(H168&lt;&gt;0,F168=""),"БЛОК: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отделить",IF(AND(G168&lt;&gt;0,F168=""),"БЛОК: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нельзя",IF(AND(F168&lt;&gt;"",COUNTIF('Долг по актам'!$B$5:$B$34,F168)=0),"БЛОК: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договору")&gt;0)*($C$5:$C$504&lt;&gt;C168)*($E$5:$E$504=E168)*(($D$5:$D$504=D168)*(D168&lt;&gt;"")+($B$5:$B$504=B168)*(B168&lt;&gt;"")&gt;0))&gt;0,"БЛОК: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68" s="3" t="str">
        <f>IF(AND(B168="",C168="",E168=""),"",SUM($G$5:G168))</f>
        <v/>
      </c>
    </row>
    <row r="169" spans="1:10" x14ac:dyDescent="0.3">
      <c r="A169" s="4">
        <v>165</v>
      </c>
      <c r="B169" s="5"/>
      <c r="C169" s="6"/>
      <c r="D169" s="6"/>
      <c r="E169" s="7"/>
      <c r="F169" s="6"/>
      <c r="G169" s="3">
        <f t="shared" si="4"/>
        <v>0</v>
      </c>
      <c r="H169" s="3">
        <f t="shared" si="5"/>
        <v>0</v>
      </c>
      <c r="I169" s="4" t="str">
        <f>IF(AND(B169="",C169="",D169="",E169="",F169=""),"",IF(OR(B169="",C169="",E169=""),"БЛОК: нужны дата, тип операции и сумма",IF(N(E169)&lt;=0,"БЛОК: сумма должна быть больше нуля",IF(AND(H169&lt;&gt;0,F169=""),"БЛОК: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отделить",IF(AND(G169&lt;&gt;0,F169=""),"БЛОК: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нельзя",IF(AND(F169&lt;&gt;"",COUNTIF('Долг по актам'!$B$5:$B$34,F169)=0),"БЛОК: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договору")&gt;0)*($C$5:$C$504&lt;&gt;C169)*($E$5:$E$504=E169)*(($D$5:$D$504=D169)*(D169&lt;&gt;"")+($B$5:$B$504=B169)*(B169&lt;&gt;"")&gt;0))&gt;0,"БЛОК: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69" s="3" t="str">
        <f>IF(AND(B169="",C169="",E169=""),"",SUM($G$5:G169))</f>
        <v/>
      </c>
    </row>
    <row r="170" spans="1:10" x14ac:dyDescent="0.3">
      <c r="A170" s="4">
        <v>166</v>
      </c>
      <c r="B170" s="5"/>
      <c r="C170" s="6"/>
      <c r="D170" s="6"/>
      <c r="E170" s="7"/>
      <c r="F170" s="6"/>
      <c r="G170" s="3">
        <f t="shared" si="4"/>
        <v>0</v>
      </c>
      <c r="H170" s="3">
        <f t="shared" si="5"/>
        <v>0</v>
      </c>
      <c r="I170" s="4" t="str">
        <f>IF(AND(B170="",C170="",D170="",E170="",F170=""),"",IF(OR(B170="",C170="",E170=""),"БЛОК: нужны дата, тип операции и сумма",IF(N(E170)&lt;=0,"БЛОК: сумма должна быть больше нуля",IF(AND(H170&lt;&gt;0,F170=""),"БЛОК: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отделить",IF(AND(G170&lt;&gt;0,F170=""),"БЛОК: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нельзя",IF(AND(F170&lt;&gt;"",COUNTIF('Долг по актам'!$B$5:$B$34,F170)=0),"БЛОК: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договору")&gt;0)*($C$5:$C$504&lt;&gt;C170)*($E$5:$E$504=E170)*(($D$5:$D$504=D170)*(D170&lt;&gt;"")+($B$5:$B$504=B170)*(B170&lt;&gt;"")&gt;0))&gt;0,"БЛОК: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70" s="3" t="str">
        <f>IF(AND(B170="",C170="",E170=""),"",SUM($G$5:G170))</f>
        <v/>
      </c>
    </row>
    <row r="171" spans="1:10" x14ac:dyDescent="0.3">
      <c r="A171" s="4">
        <v>167</v>
      </c>
      <c r="B171" s="5"/>
      <c r="C171" s="6"/>
      <c r="D171" s="6"/>
      <c r="E171" s="7"/>
      <c r="F171" s="6"/>
      <c r="G171" s="3">
        <f t="shared" si="4"/>
        <v>0</v>
      </c>
      <c r="H171" s="3">
        <f t="shared" si="5"/>
        <v>0</v>
      </c>
      <c r="I171" s="4" t="str">
        <f>IF(AND(B171="",C171="",D171="",E171="",F171=""),"",IF(OR(B171="",C171="",E171=""),"БЛОК: нужны дата, тип операции и сумма",IF(N(E171)&lt;=0,"БЛОК: сумма должна быть больше нуля",IF(AND(H171&lt;&gt;0,F171=""),"БЛОК: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отделить",IF(AND(G171&lt;&gt;0,F171=""),"БЛОК: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нельзя",IF(AND(F171&lt;&gt;"",COUNTIF('Долг по актам'!$B$5:$B$34,F171)=0),"БЛОК: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договору")&gt;0)*($C$5:$C$504&lt;&gt;C171)*($E$5:$E$504=E171)*(($D$5:$D$504=D171)*(D171&lt;&gt;"")+($B$5:$B$504=B171)*(B171&lt;&gt;"")&gt;0))&gt;0,"БЛОК: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71" s="3" t="str">
        <f>IF(AND(B171="",C171="",E171=""),"",SUM($G$5:G171))</f>
        <v/>
      </c>
    </row>
    <row r="172" spans="1:10" x14ac:dyDescent="0.3">
      <c r="A172" s="4">
        <v>168</v>
      </c>
      <c r="B172" s="5"/>
      <c r="C172" s="6"/>
      <c r="D172" s="6"/>
      <c r="E172" s="7"/>
      <c r="F172" s="6"/>
      <c r="G172" s="3">
        <f t="shared" si="4"/>
        <v>0</v>
      </c>
      <c r="H172" s="3">
        <f t="shared" si="5"/>
        <v>0</v>
      </c>
      <c r="I172" s="4" t="str">
        <f>IF(AND(B172="",C172="",D172="",E172="",F172=""),"",IF(OR(B172="",C172="",E172=""),"БЛОК: нужны дата, тип операции и сумма",IF(N(E172)&lt;=0,"БЛОК: сумма должна быть больше нуля",IF(AND(H172&lt;&gt;0,F172=""),"БЛОК: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отделить",IF(AND(G172&lt;&gt;0,F172=""),"БЛОК: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нельзя",IF(AND(F172&lt;&gt;"",COUNTIF('Долг по актам'!$B$5:$B$34,F172)=0),"БЛОК: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договору")&gt;0)*($C$5:$C$504&lt;&gt;C172)*($E$5:$E$504=E172)*(($D$5:$D$504=D172)*(D172&lt;&gt;"")+($B$5:$B$504=B172)*(B172&lt;&gt;"")&gt;0))&gt;0,"БЛОК: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72" s="3" t="str">
        <f>IF(AND(B172="",C172="",E172=""),"",SUM($G$5:G172))</f>
        <v/>
      </c>
    </row>
    <row r="173" spans="1:10" x14ac:dyDescent="0.3">
      <c r="A173" s="4">
        <v>169</v>
      </c>
      <c r="B173" s="5"/>
      <c r="C173" s="6"/>
      <c r="D173" s="6"/>
      <c r="E173" s="7"/>
      <c r="F173" s="6"/>
      <c r="G173" s="3">
        <f t="shared" si="4"/>
        <v>0</v>
      </c>
      <c r="H173" s="3">
        <f t="shared" si="5"/>
        <v>0</v>
      </c>
      <c r="I173" s="4" t="str">
        <f>IF(AND(B173="",C173="",D173="",E173="",F173=""),"",IF(OR(B173="",C173="",E173=""),"БЛОК: нужны дата, тип операции и сумма",IF(N(E173)&lt;=0,"БЛОК: сумма должна быть больше нуля",IF(AND(H173&lt;&gt;0,F173=""),"БЛОК: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отделить",IF(AND(G173&lt;&gt;0,F173=""),"БЛОК: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нельзя",IF(AND(F173&lt;&gt;"",COUNTIF('Долг по актам'!$B$5:$B$34,F173)=0),"БЛОК: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договору")&gt;0)*($C$5:$C$504&lt;&gt;C173)*($E$5:$E$504=E173)*(($D$5:$D$504=D173)*(D173&lt;&gt;"")+($B$5:$B$504=B173)*(B173&lt;&gt;"")&gt;0))&gt;0,"БЛОК: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73" s="3" t="str">
        <f>IF(AND(B173="",C173="",E173=""),"",SUM($G$5:G173))</f>
        <v/>
      </c>
    </row>
    <row r="174" spans="1:10" x14ac:dyDescent="0.3">
      <c r="A174" s="4">
        <v>170</v>
      </c>
      <c r="B174" s="5"/>
      <c r="C174" s="6"/>
      <c r="D174" s="6"/>
      <c r="E174" s="7"/>
      <c r="F174" s="6"/>
      <c r="G174" s="3">
        <f t="shared" si="4"/>
        <v>0</v>
      </c>
      <c r="H174" s="3">
        <f t="shared" si="5"/>
        <v>0</v>
      </c>
      <c r="I174" s="4" t="str">
        <f>IF(AND(B174="",C174="",D174="",E174="",F174=""),"",IF(OR(B174="",C174="",E174=""),"БЛОК: нужны дата, тип операции и сумма",IF(N(E174)&lt;=0,"БЛОК: сумма должна быть больше нуля",IF(AND(H174&lt;&gt;0,F174=""),"БЛОК: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отделить",IF(AND(G174&lt;&gt;0,F174=""),"БЛОК: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нельзя",IF(AND(F174&lt;&gt;"",COUNTIF('Долг по актам'!$B$5:$B$34,F174)=0),"БЛОК: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договору")&gt;0)*($C$5:$C$504&lt;&gt;C174)*($E$5:$E$504=E174)*(($D$5:$D$504=D174)*(D174&lt;&gt;"")+($B$5:$B$504=B174)*(B174&lt;&gt;"")&gt;0))&gt;0,"БЛОК: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74" s="3" t="str">
        <f>IF(AND(B174="",C174="",E174=""),"",SUM($G$5:G174))</f>
        <v/>
      </c>
    </row>
    <row r="175" spans="1:10" x14ac:dyDescent="0.3">
      <c r="A175" s="4">
        <v>171</v>
      </c>
      <c r="B175" s="5"/>
      <c r="C175" s="6"/>
      <c r="D175" s="6"/>
      <c r="E175" s="7"/>
      <c r="F175" s="6"/>
      <c r="G175" s="3">
        <f t="shared" si="4"/>
        <v>0</v>
      </c>
      <c r="H175" s="3">
        <f t="shared" si="5"/>
        <v>0</v>
      </c>
      <c r="I175" s="4" t="str">
        <f>IF(AND(B175="",C175="",D175="",E175="",F175=""),"",IF(OR(B175="",C175="",E175=""),"БЛОК: нужны дата, тип операции и сумма",IF(N(E175)&lt;=0,"БЛОК: сумма должна быть больше нуля",IF(AND(H175&lt;&gt;0,F175=""),"БЛОК: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отделить",IF(AND(G175&lt;&gt;0,F175=""),"БЛОК: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нельзя",IF(AND(F175&lt;&gt;"",COUNTIF('Долг по актам'!$B$5:$B$34,F175)=0),"БЛОК: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договору")&gt;0)*($C$5:$C$504&lt;&gt;C175)*($E$5:$E$504=E175)*(($D$5:$D$504=D175)*(D175&lt;&gt;"")+($B$5:$B$504=B175)*(B175&lt;&gt;"")&gt;0))&gt;0,"БЛОК: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75" s="3" t="str">
        <f>IF(AND(B175="",C175="",E175=""),"",SUM($G$5:G175))</f>
        <v/>
      </c>
    </row>
    <row r="176" spans="1:10" x14ac:dyDescent="0.3">
      <c r="A176" s="4">
        <v>172</v>
      </c>
      <c r="B176" s="5"/>
      <c r="C176" s="6"/>
      <c r="D176" s="6"/>
      <c r="E176" s="7"/>
      <c r="F176" s="6"/>
      <c r="G176" s="3">
        <f t="shared" si="4"/>
        <v>0</v>
      </c>
      <c r="H176" s="3">
        <f t="shared" si="5"/>
        <v>0</v>
      </c>
      <c r="I176" s="4" t="str">
        <f>IF(AND(B176="",C176="",D176="",E176="",F176=""),"",IF(OR(B176="",C176="",E176=""),"БЛОК: нужны дата, тип операции и сумма",IF(N(E176)&lt;=0,"БЛОК: сумма должна быть больше нуля",IF(AND(H176&lt;&gt;0,F176=""),"БЛОК: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отделить",IF(AND(G176&lt;&gt;0,F176=""),"БЛОК: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нельзя",IF(AND(F176&lt;&gt;"",COUNTIF('Долг по актам'!$B$5:$B$34,F176)=0),"БЛОК: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договору")&gt;0)*($C$5:$C$504&lt;&gt;C176)*($E$5:$E$504=E176)*(($D$5:$D$504=D176)*(D176&lt;&gt;"")+($B$5:$B$504=B176)*(B176&lt;&gt;"")&gt;0))&gt;0,"БЛОК: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76" s="3" t="str">
        <f>IF(AND(B176="",C176="",E176=""),"",SUM($G$5:G176))</f>
        <v/>
      </c>
    </row>
    <row r="177" spans="1:10" x14ac:dyDescent="0.3">
      <c r="A177" s="4">
        <v>173</v>
      </c>
      <c r="B177" s="5"/>
      <c r="C177" s="6"/>
      <c r="D177" s="6"/>
      <c r="E177" s="7"/>
      <c r="F177" s="6"/>
      <c r="G177" s="3">
        <f t="shared" si="4"/>
        <v>0</v>
      </c>
      <c r="H177" s="3">
        <f t="shared" si="5"/>
        <v>0</v>
      </c>
      <c r="I177" s="4" t="str">
        <f>IF(AND(B177="",C177="",D177="",E177="",F177=""),"",IF(OR(B177="",C177="",E177=""),"БЛОК: нужны дата, тип операции и сумма",IF(N(E177)&lt;=0,"БЛОК: сумма должна быть больше нуля",IF(AND(H177&lt;&gt;0,F177=""),"БЛОК: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отделить",IF(AND(G177&lt;&gt;0,F177=""),"БЛОК: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нельзя",IF(AND(F177&lt;&gt;"",COUNTIF('Долг по актам'!$B$5:$B$34,F177)=0),"БЛОК: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договору")&gt;0)*($C$5:$C$504&lt;&gt;C177)*($E$5:$E$504=E177)*(($D$5:$D$504=D177)*(D177&lt;&gt;"")+($B$5:$B$504=B177)*(B177&lt;&gt;"")&gt;0))&gt;0,"БЛОК: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77" s="3" t="str">
        <f>IF(AND(B177="",C177="",E177=""),"",SUM($G$5:G177))</f>
        <v/>
      </c>
    </row>
    <row r="178" spans="1:10" x14ac:dyDescent="0.3">
      <c r="A178" s="4">
        <v>174</v>
      </c>
      <c r="B178" s="5"/>
      <c r="C178" s="6"/>
      <c r="D178" s="6"/>
      <c r="E178" s="7"/>
      <c r="F178" s="6"/>
      <c r="G178" s="3">
        <f t="shared" si="4"/>
        <v>0</v>
      </c>
      <c r="H178" s="3">
        <f t="shared" si="5"/>
        <v>0</v>
      </c>
      <c r="I178" s="4" t="str">
        <f>IF(AND(B178="",C178="",D178="",E178="",F178=""),"",IF(OR(B178="",C178="",E178=""),"БЛОК: нужны дата, тип операции и сумма",IF(N(E178)&lt;=0,"БЛОК: сумма должна быть больше нуля",IF(AND(H178&lt;&gt;0,F178=""),"БЛОК: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отделить",IF(AND(G178&lt;&gt;0,F178=""),"БЛОК: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нельзя",IF(AND(F178&lt;&gt;"",COUNTIF('Долг по актам'!$B$5:$B$34,F178)=0),"БЛОК: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договору")&gt;0)*($C$5:$C$504&lt;&gt;C178)*($E$5:$E$504=E178)*(($D$5:$D$504=D178)*(D178&lt;&gt;"")+($B$5:$B$504=B178)*(B178&lt;&gt;"")&gt;0))&gt;0,"БЛОК: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78" s="3" t="str">
        <f>IF(AND(B178="",C178="",E178=""),"",SUM($G$5:G178))</f>
        <v/>
      </c>
    </row>
    <row r="179" spans="1:10" x14ac:dyDescent="0.3">
      <c r="A179" s="4">
        <v>175</v>
      </c>
      <c r="B179" s="5"/>
      <c r="C179" s="6"/>
      <c r="D179" s="6"/>
      <c r="E179" s="7"/>
      <c r="F179" s="6"/>
      <c r="G179" s="3">
        <f t="shared" si="4"/>
        <v>0</v>
      </c>
      <c r="H179" s="3">
        <f t="shared" si="5"/>
        <v>0</v>
      </c>
      <c r="I179" s="4" t="str">
        <f>IF(AND(B179="",C179="",D179="",E179="",F179=""),"",IF(OR(B179="",C179="",E179=""),"БЛОК: нужны дата, тип операции и сумма",IF(N(E179)&lt;=0,"БЛОК: сумма должна быть больше нуля",IF(AND(H179&lt;&gt;0,F179=""),"БЛОК: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отделить",IF(AND(G179&lt;&gt;0,F179=""),"БЛОК: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нельзя",IF(AND(F179&lt;&gt;"",COUNTIF('Долг по актам'!$B$5:$B$34,F179)=0),"БЛОК: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договору")&gt;0)*($C$5:$C$504&lt;&gt;C179)*($E$5:$E$504=E179)*(($D$5:$D$504=D179)*(D179&lt;&gt;"")+($B$5:$B$504=B179)*(B179&lt;&gt;"")&gt;0))&gt;0,"БЛОК: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79" s="3" t="str">
        <f>IF(AND(B179="",C179="",E179=""),"",SUM($G$5:G179))</f>
        <v/>
      </c>
    </row>
    <row r="180" spans="1:10" x14ac:dyDescent="0.3">
      <c r="A180" s="4">
        <v>176</v>
      </c>
      <c r="B180" s="5"/>
      <c r="C180" s="6"/>
      <c r="D180" s="6"/>
      <c r="E180" s="7"/>
      <c r="F180" s="6"/>
      <c r="G180" s="3">
        <f t="shared" si="4"/>
        <v>0</v>
      </c>
      <c r="H180" s="3">
        <f t="shared" si="5"/>
        <v>0</v>
      </c>
      <c r="I180" s="4" t="str">
        <f>IF(AND(B180="",C180="",D180="",E180="",F180=""),"",IF(OR(B180="",C180="",E180=""),"БЛОК: нужны дата, тип операции и сумма",IF(N(E180)&lt;=0,"БЛОК: сумма должна быть больше нуля",IF(AND(H180&lt;&gt;0,F180=""),"БЛОК: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отделить",IF(AND(G180&lt;&gt;0,F180=""),"БЛОК: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нельзя",IF(AND(F180&lt;&gt;"",COUNTIF('Долг по актам'!$B$5:$B$34,F180)=0),"БЛОК: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договору")&gt;0)*($C$5:$C$504&lt;&gt;C180)*($E$5:$E$504=E180)*(($D$5:$D$504=D180)*(D180&lt;&gt;"")+($B$5:$B$504=B180)*(B180&lt;&gt;"")&gt;0))&gt;0,"БЛОК: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80" s="3" t="str">
        <f>IF(AND(B180="",C180="",E180=""),"",SUM($G$5:G180))</f>
        <v/>
      </c>
    </row>
    <row r="181" spans="1:10" x14ac:dyDescent="0.3">
      <c r="A181" s="4">
        <v>177</v>
      </c>
      <c r="B181" s="5"/>
      <c r="C181" s="6"/>
      <c r="D181" s="6"/>
      <c r="E181" s="7"/>
      <c r="F181" s="6"/>
      <c r="G181" s="3">
        <f t="shared" si="4"/>
        <v>0</v>
      </c>
      <c r="H181" s="3">
        <f t="shared" si="5"/>
        <v>0</v>
      </c>
      <c r="I181" s="4" t="str">
        <f>IF(AND(B181="",C181="",D181="",E181="",F181=""),"",IF(OR(B181="",C181="",E181=""),"БЛОК: нужны дата, тип операции и сумма",IF(N(E181)&lt;=0,"БЛОК: сумма должна быть больше нуля",IF(AND(H181&lt;&gt;0,F181=""),"БЛОК: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отделить",IF(AND(G181&lt;&gt;0,F181=""),"БЛОК: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нельзя",IF(AND(F181&lt;&gt;"",COUNTIF('Долг по актам'!$B$5:$B$34,F181)=0),"БЛОК: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договору")&gt;0)*($C$5:$C$504&lt;&gt;C181)*($E$5:$E$504=E181)*(($D$5:$D$504=D181)*(D181&lt;&gt;"")+($B$5:$B$504=B181)*(B181&lt;&gt;"")&gt;0))&gt;0,"БЛОК: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81" s="3" t="str">
        <f>IF(AND(B181="",C181="",E181=""),"",SUM($G$5:G181))</f>
        <v/>
      </c>
    </row>
    <row r="182" spans="1:10" x14ac:dyDescent="0.3">
      <c r="A182" s="4">
        <v>178</v>
      </c>
      <c r="B182" s="5"/>
      <c r="C182" s="6"/>
      <c r="D182" s="6"/>
      <c r="E182" s="7"/>
      <c r="F182" s="6"/>
      <c r="G182" s="3">
        <f t="shared" si="4"/>
        <v>0</v>
      </c>
      <c r="H182" s="3">
        <f t="shared" si="5"/>
        <v>0</v>
      </c>
      <c r="I182" s="4" t="str">
        <f>IF(AND(B182="",C182="",D182="",E182="",F182=""),"",IF(OR(B182="",C182="",E182=""),"БЛОК: нужны дата, тип операции и сумма",IF(N(E182)&lt;=0,"БЛОК: сумма должна быть больше нуля",IF(AND(H182&lt;&gt;0,F182=""),"БЛОК: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отделить",IF(AND(G182&lt;&gt;0,F182=""),"БЛОК: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нельзя",IF(AND(F182&lt;&gt;"",COUNTIF('Долг по актам'!$B$5:$B$34,F182)=0),"БЛОК: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договору")&gt;0)*($C$5:$C$504&lt;&gt;C182)*($E$5:$E$504=E182)*(($D$5:$D$504=D182)*(D182&lt;&gt;"")+($B$5:$B$504=B182)*(B182&lt;&gt;"")&gt;0))&gt;0,"БЛОК: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82" s="3" t="str">
        <f>IF(AND(B182="",C182="",E182=""),"",SUM($G$5:G182))</f>
        <v/>
      </c>
    </row>
    <row r="183" spans="1:10" x14ac:dyDescent="0.3">
      <c r="A183" s="4">
        <v>179</v>
      </c>
      <c r="B183" s="5"/>
      <c r="C183" s="6"/>
      <c r="D183" s="6"/>
      <c r="E183" s="7"/>
      <c r="F183" s="6"/>
      <c r="G183" s="3">
        <f t="shared" si="4"/>
        <v>0</v>
      </c>
      <c r="H183" s="3">
        <f t="shared" si="5"/>
        <v>0</v>
      </c>
      <c r="I183" s="4" t="str">
        <f>IF(AND(B183="",C183="",D183="",E183="",F183=""),"",IF(OR(B183="",C183="",E183=""),"БЛОК: нужны дата, тип операции и сумма",IF(N(E183)&lt;=0,"БЛОК: сумма должна быть больше нуля",IF(AND(H183&lt;&gt;0,F183=""),"БЛОК: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отделить",IF(AND(G183&lt;&gt;0,F183=""),"БЛОК: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нельзя",IF(AND(F183&lt;&gt;"",COUNTIF('Долг по актам'!$B$5:$B$34,F183)=0),"БЛОК: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договору")&gt;0)*($C$5:$C$504&lt;&gt;C183)*($E$5:$E$504=E183)*(($D$5:$D$504=D183)*(D183&lt;&gt;"")+($B$5:$B$504=B183)*(B183&lt;&gt;"")&gt;0))&gt;0,"БЛОК: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83" s="3" t="str">
        <f>IF(AND(B183="",C183="",E183=""),"",SUM($G$5:G183))</f>
        <v/>
      </c>
    </row>
    <row r="184" spans="1:10" x14ac:dyDescent="0.3">
      <c r="A184" s="4">
        <v>180</v>
      </c>
      <c r="B184" s="5"/>
      <c r="C184" s="6"/>
      <c r="D184" s="6"/>
      <c r="E184" s="7"/>
      <c r="F184" s="6"/>
      <c r="G184" s="3">
        <f t="shared" si="4"/>
        <v>0</v>
      </c>
      <c r="H184" s="3">
        <f t="shared" si="5"/>
        <v>0</v>
      </c>
      <c r="I184" s="4" t="str">
        <f>IF(AND(B184="",C184="",D184="",E184="",F184=""),"",IF(OR(B184="",C184="",E184=""),"БЛОК: нужны дата, тип операции и сумма",IF(N(E184)&lt;=0,"БЛОК: сумма должна быть больше нуля",IF(AND(H184&lt;&gt;0,F184=""),"БЛОК: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отделить",IF(AND(G184&lt;&gt;0,F184=""),"БЛОК: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нельзя",IF(AND(F184&lt;&gt;"",COUNTIF('Долг по актам'!$B$5:$B$34,F184)=0),"БЛОК: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договору")&gt;0)*($C$5:$C$504&lt;&gt;C184)*($E$5:$E$504=E184)*(($D$5:$D$504=D184)*(D184&lt;&gt;"")+($B$5:$B$504=B184)*(B184&lt;&gt;"")&gt;0))&gt;0,"БЛОК: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84" s="3" t="str">
        <f>IF(AND(B184="",C184="",E184=""),"",SUM($G$5:G184))</f>
        <v/>
      </c>
    </row>
    <row r="185" spans="1:10" x14ac:dyDescent="0.3">
      <c r="A185" s="4">
        <v>181</v>
      </c>
      <c r="B185" s="5"/>
      <c r="C185" s="6"/>
      <c r="D185" s="6"/>
      <c r="E185" s="7"/>
      <c r="F185" s="6"/>
      <c r="G185" s="3">
        <f t="shared" si="4"/>
        <v>0</v>
      </c>
      <c r="H185" s="3">
        <f t="shared" si="5"/>
        <v>0</v>
      </c>
      <c r="I185" s="4" t="str">
        <f>IF(AND(B185="",C185="",D185="",E185="",F185=""),"",IF(OR(B185="",C185="",E185=""),"БЛОК: нужны дата, тип операции и сумма",IF(N(E185)&lt;=0,"БЛОК: сумма должна быть больше нуля",IF(AND(H185&lt;&gt;0,F185=""),"БЛОК: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отделить",IF(AND(G185&lt;&gt;0,F185=""),"БЛОК: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нельзя",IF(AND(F185&lt;&gt;"",COUNTIF('Долг по актам'!$B$5:$B$34,F185)=0),"БЛОК: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договору")&gt;0)*($C$5:$C$504&lt;&gt;C185)*($E$5:$E$504=E185)*(($D$5:$D$504=D185)*(D185&lt;&gt;"")+($B$5:$B$504=B185)*(B185&lt;&gt;"")&gt;0))&gt;0,"БЛОК: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85" s="3" t="str">
        <f>IF(AND(B185="",C185="",E185=""),"",SUM($G$5:G185))</f>
        <v/>
      </c>
    </row>
    <row r="186" spans="1:10" x14ac:dyDescent="0.3">
      <c r="A186" s="4">
        <v>182</v>
      </c>
      <c r="B186" s="5"/>
      <c r="C186" s="6"/>
      <c r="D186" s="6"/>
      <c r="E186" s="7"/>
      <c r="F186" s="6"/>
      <c r="G186" s="3">
        <f t="shared" si="4"/>
        <v>0</v>
      </c>
      <c r="H186" s="3">
        <f t="shared" si="5"/>
        <v>0</v>
      </c>
      <c r="I186" s="4" t="str">
        <f>IF(AND(B186="",C186="",D186="",E186="",F186=""),"",IF(OR(B186="",C186="",E186=""),"БЛОК: нужны дата, тип операции и сумма",IF(N(E186)&lt;=0,"БЛОК: сумма должна быть больше нуля",IF(AND(H186&lt;&gt;0,F186=""),"БЛОК: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отделить",IF(AND(G186&lt;&gt;0,F186=""),"БЛОК: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нельзя",IF(AND(F186&lt;&gt;"",COUNTIF('Долг по актам'!$B$5:$B$34,F186)=0),"БЛОК: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договору")&gt;0)*($C$5:$C$504&lt;&gt;C186)*($E$5:$E$504=E186)*(($D$5:$D$504=D186)*(D186&lt;&gt;"")+($B$5:$B$504=B186)*(B186&lt;&gt;"")&gt;0))&gt;0,"БЛОК: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86" s="3" t="str">
        <f>IF(AND(B186="",C186="",E186=""),"",SUM($G$5:G186))</f>
        <v/>
      </c>
    </row>
    <row r="187" spans="1:10" x14ac:dyDescent="0.3">
      <c r="A187" s="4">
        <v>183</v>
      </c>
      <c r="B187" s="5"/>
      <c r="C187" s="6"/>
      <c r="D187" s="6"/>
      <c r="E187" s="7"/>
      <c r="F187" s="6"/>
      <c r="G187" s="3">
        <f t="shared" si="4"/>
        <v>0</v>
      </c>
      <c r="H187" s="3">
        <f t="shared" si="5"/>
        <v>0</v>
      </c>
      <c r="I187" s="4" t="str">
        <f>IF(AND(B187="",C187="",D187="",E187="",F187=""),"",IF(OR(B187="",C187="",E187=""),"БЛОК: нужны дата, тип операции и сумма",IF(N(E187)&lt;=0,"БЛОК: сумма должна быть больше нуля",IF(AND(H187&lt;&gt;0,F187=""),"БЛОК: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отделить",IF(AND(G187&lt;&gt;0,F187=""),"БЛОК: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нельзя",IF(AND(F187&lt;&gt;"",COUNTIF('Долг по актам'!$B$5:$B$34,F187)=0),"БЛОК: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договору")&gt;0)*($C$5:$C$504&lt;&gt;C187)*($E$5:$E$504=E187)*(($D$5:$D$504=D187)*(D187&lt;&gt;"")+($B$5:$B$504=B187)*(B187&lt;&gt;"")&gt;0))&gt;0,"БЛОК: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87" s="3" t="str">
        <f>IF(AND(B187="",C187="",E187=""),"",SUM($G$5:G187))</f>
        <v/>
      </c>
    </row>
    <row r="188" spans="1:10" x14ac:dyDescent="0.3">
      <c r="A188" s="4">
        <v>184</v>
      </c>
      <c r="B188" s="5"/>
      <c r="C188" s="6"/>
      <c r="D188" s="6"/>
      <c r="E188" s="7"/>
      <c r="F188" s="6"/>
      <c r="G188" s="3">
        <f t="shared" si="4"/>
        <v>0</v>
      </c>
      <c r="H188" s="3">
        <f t="shared" si="5"/>
        <v>0</v>
      </c>
      <c r="I188" s="4" t="str">
        <f>IF(AND(B188="",C188="",D188="",E188="",F188=""),"",IF(OR(B188="",C188="",E188=""),"БЛОК: нужны дата, тип операции и сумма",IF(N(E188)&lt;=0,"БЛОК: сумма должна быть больше нуля",IF(AND(H188&lt;&gt;0,F188=""),"БЛОК: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отделить",IF(AND(G188&lt;&gt;0,F188=""),"БЛОК: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нельзя",IF(AND(F188&lt;&gt;"",COUNTIF('Долг по актам'!$B$5:$B$34,F188)=0),"БЛОК: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договору")&gt;0)*($C$5:$C$504&lt;&gt;C188)*($E$5:$E$504=E188)*(($D$5:$D$504=D188)*(D188&lt;&gt;"")+($B$5:$B$504=B188)*(B188&lt;&gt;"")&gt;0))&gt;0,"БЛОК: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88" s="3" t="str">
        <f>IF(AND(B188="",C188="",E188=""),"",SUM($G$5:G188))</f>
        <v/>
      </c>
    </row>
    <row r="189" spans="1:10" x14ac:dyDescent="0.3">
      <c r="A189" s="4">
        <v>185</v>
      </c>
      <c r="B189" s="5"/>
      <c r="C189" s="6"/>
      <c r="D189" s="6"/>
      <c r="E189" s="7"/>
      <c r="F189" s="6"/>
      <c r="G189" s="3">
        <f t="shared" si="4"/>
        <v>0</v>
      </c>
      <c r="H189" s="3">
        <f t="shared" si="5"/>
        <v>0</v>
      </c>
      <c r="I189" s="4" t="str">
        <f>IF(AND(B189="",C189="",D189="",E189="",F189=""),"",IF(OR(B189="",C189="",E189=""),"БЛОК: нужны дата, тип операции и сумма",IF(N(E189)&lt;=0,"БЛОК: сумма должна быть больше нуля",IF(AND(H189&lt;&gt;0,F189=""),"БЛОК: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отделить",IF(AND(G189&lt;&gt;0,F189=""),"БЛОК: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нельзя",IF(AND(F189&lt;&gt;"",COUNTIF('Долг по актам'!$B$5:$B$34,F189)=0),"БЛОК: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договору")&gt;0)*($C$5:$C$504&lt;&gt;C189)*($E$5:$E$504=E189)*(($D$5:$D$504=D189)*(D189&lt;&gt;"")+($B$5:$B$504=B189)*(B189&lt;&gt;"")&gt;0))&gt;0,"БЛОК: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89" s="3" t="str">
        <f>IF(AND(B189="",C189="",E189=""),"",SUM($G$5:G189))</f>
        <v/>
      </c>
    </row>
    <row r="190" spans="1:10" x14ac:dyDescent="0.3">
      <c r="A190" s="4">
        <v>186</v>
      </c>
      <c r="B190" s="5"/>
      <c r="C190" s="6"/>
      <c r="D190" s="6"/>
      <c r="E190" s="7"/>
      <c r="F190" s="6"/>
      <c r="G190" s="3">
        <f t="shared" si="4"/>
        <v>0</v>
      </c>
      <c r="H190" s="3">
        <f t="shared" si="5"/>
        <v>0</v>
      </c>
      <c r="I190" s="4" t="str">
        <f>IF(AND(B190="",C190="",D190="",E190="",F190=""),"",IF(OR(B190="",C190="",E190=""),"БЛОК: нужны дата, тип операции и сумма",IF(N(E190)&lt;=0,"БЛОК: сумма должна быть больше нуля",IF(AND(H190&lt;&gt;0,F190=""),"БЛОК: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отделить",IF(AND(G190&lt;&gt;0,F190=""),"БЛОК: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нельзя",IF(AND(F190&lt;&gt;"",COUNTIF('Долг по актам'!$B$5:$B$34,F190)=0),"БЛОК: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договору")&gt;0)*($C$5:$C$504&lt;&gt;C190)*($E$5:$E$504=E190)*(($D$5:$D$504=D190)*(D190&lt;&gt;"")+($B$5:$B$504=B190)*(B190&lt;&gt;"")&gt;0))&gt;0,"БЛОК: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90" s="3" t="str">
        <f>IF(AND(B190="",C190="",E190=""),"",SUM($G$5:G190))</f>
        <v/>
      </c>
    </row>
    <row r="191" spans="1:10" x14ac:dyDescent="0.3">
      <c r="A191" s="4">
        <v>187</v>
      </c>
      <c r="B191" s="5"/>
      <c r="C191" s="6"/>
      <c r="D191" s="6"/>
      <c r="E191" s="7"/>
      <c r="F191" s="6"/>
      <c r="G191" s="3">
        <f t="shared" si="4"/>
        <v>0</v>
      </c>
      <c r="H191" s="3">
        <f t="shared" si="5"/>
        <v>0</v>
      </c>
      <c r="I191" s="4" t="str">
        <f>IF(AND(B191="",C191="",D191="",E191="",F191=""),"",IF(OR(B191="",C191="",E191=""),"БЛОК: нужны дата, тип операции и сумма",IF(N(E191)&lt;=0,"БЛОК: сумма должна быть больше нуля",IF(AND(H191&lt;&gt;0,F191=""),"БЛОК: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отделить",IF(AND(G191&lt;&gt;0,F191=""),"БЛОК: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нельзя",IF(AND(F191&lt;&gt;"",COUNTIF('Долг по актам'!$B$5:$B$34,F191)=0),"БЛОК: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договору")&gt;0)*($C$5:$C$504&lt;&gt;C191)*($E$5:$E$504=E191)*(($D$5:$D$504=D191)*(D191&lt;&gt;"")+($B$5:$B$504=B191)*(B191&lt;&gt;"")&gt;0))&gt;0,"БЛОК: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91" s="3" t="str">
        <f>IF(AND(B191="",C191="",E191=""),"",SUM($G$5:G191))</f>
        <v/>
      </c>
    </row>
    <row r="192" spans="1:10" x14ac:dyDescent="0.3">
      <c r="A192" s="4">
        <v>188</v>
      </c>
      <c r="B192" s="5"/>
      <c r="C192" s="6"/>
      <c r="D192" s="6"/>
      <c r="E192" s="7"/>
      <c r="F192" s="6"/>
      <c r="G192" s="3">
        <f t="shared" si="4"/>
        <v>0</v>
      </c>
      <c r="H192" s="3">
        <f t="shared" si="5"/>
        <v>0</v>
      </c>
      <c r="I192" s="4" t="str">
        <f>IF(AND(B192="",C192="",D192="",E192="",F192=""),"",IF(OR(B192="",C192="",E192=""),"БЛОК: нужны дата, тип операции и сумма",IF(N(E192)&lt;=0,"БЛОК: сумма должна быть больше нуля",IF(AND(H192&lt;&gt;0,F192=""),"БЛОК: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отделить",IF(AND(G192&lt;&gt;0,F192=""),"БЛОК: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нельзя",IF(AND(F192&lt;&gt;"",COUNTIF('Долг по актам'!$B$5:$B$34,F192)=0),"БЛОК: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договору")&gt;0)*($C$5:$C$504&lt;&gt;C192)*($E$5:$E$504=E192)*(($D$5:$D$504=D192)*(D192&lt;&gt;"")+($B$5:$B$504=B192)*(B192&lt;&gt;"")&gt;0))&gt;0,"БЛОК: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92" s="3" t="str">
        <f>IF(AND(B192="",C192="",E192=""),"",SUM($G$5:G192))</f>
        <v/>
      </c>
    </row>
    <row r="193" spans="1:10" x14ac:dyDescent="0.3">
      <c r="A193" s="4">
        <v>189</v>
      </c>
      <c r="B193" s="5"/>
      <c r="C193" s="6"/>
      <c r="D193" s="6"/>
      <c r="E193" s="7"/>
      <c r="F193" s="6"/>
      <c r="G193" s="3">
        <f t="shared" si="4"/>
        <v>0</v>
      </c>
      <c r="H193" s="3">
        <f t="shared" si="5"/>
        <v>0</v>
      </c>
      <c r="I193" s="4" t="str">
        <f>IF(AND(B193="",C193="",D193="",E193="",F193=""),"",IF(OR(B193="",C193="",E193=""),"БЛОК: нужны дата, тип операции и сумма",IF(N(E193)&lt;=0,"БЛОК: сумма должна быть больше нуля",IF(AND(H193&lt;&gt;0,F193=""),"БЛОК: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отделить",IF(AND(G193&lt;&gt;0,F193=""),"БЛОК: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нельзя",IF(AND(F193&lt;&gt;"",COUNTIF('Долг по актам'!$B$5:$B$34,F193)=0),"БЛОК: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договору")&gt;0)*($C$5:$C$504&lt;&gt;C193)*($E$5:$E$504=E193)*(($D$5:$D$504=D193)*(D193&lt;&gt;"")+($B$5:$B$504=B193)*(B193&lt;&gt;"")&gt;0))&gt;0,"БЛОК: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93" s="3" t="str">
        <f>IF(AND(B193="",C193="",E193=""),"",SUM($G$5:G193))</f>
        <v/>
      </c>
    </row>
    <row r="194" spans="1:10" x14ac:dyDescent="0.3">
      <c r="A194" s="4">
        <v>190</v>
      </c>
      <c r="B194" s="5"/>
      <c r="C194" s="6"/>
      <c r="D194" s="6"/>
      <c r="E194" s="7"/>
      <c r="F194" s="6"/>
      <c r="G194" s="3">
        <f t="shared" si="4"/>
        <v>0</v>
      </c>
      <c r="H194" s="3">
        <f t="shared" si="5"/>
        <v>0</v>
      </c>
      <c r="I194" s="4" t="str">
        <f>IF(AND(B194="",C194="",D194="",E194="",F194=""),"",IF(OR(B194="",C194="",E194=""),"БЛОК: нужны дата, тип операции и сумма",IF(N(E194)&lt;=0,"БЛОК: сумма должна быть больше нуля",IF(AND(H194&lt;&gt;0,F194=""),"БЛОК: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отделить",IF(AND(G194&lt;&gt;0,F194=""),"БЛОК: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нельзя",IF(AND(F194&lt;&gt;"",COUNTIF('Долг по актам'!$B$5:$B$34,F194)=0),"БЛОК: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договору")&gt;0)*($C$5:$C$504&lt;&gt;C194)*($E$5:$E$504=E194)*(($D$5:$D$504=D194)*(D194&lt;&gt;"")+($B$5:$B$504=B194)*(B194&lt;&gt;"")&gt;0))&gt;0,"БЛОК: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94" s="3" t="str">
        <f>IF(AND(B194="",C194="",E194=""),"",SUM($G$5:G194))</f>
        <v/>
      </c>
    </row>
    <row r="195" spans="1:10" x14ac:dyDescent="0.3">
      <c r="A195" s="4">
        <v>191</v>
      </c>
      <c r="B195" s="5"/>
      <c r="C195" s="6"/>
      <c r="D195" s="6"/>
      <c r="E195" s="7"/>
      <c r="F195" s="6"/>
      <c r="G195" s="3">
        <f t="shared" si="4"/>
        <v>0</v>
      </c>
      <c r="H195" s="3">
        <f t="shared" si="5"/>
        <v>0</v>
      </c>
      <c r="I195" s="4" t="str">
        <f>IF(AND(B195="",C195="",D195="",E195="",F195=""),"",IF(OR(B195="",C195="",E195=""),"БЛОК: нужны дата, тип операции и сумма",IF(N(E195)&lt;=0,"БЛОК: сумма должна быть больше нуля",IF(AND(H195&lt;&gt;0,F195=""),"БЛОК: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отделить",IF(AND(G195&lt;&gt;0,F195=""),"БЛОК: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нельзя",IF(AND(F195&lt;&gt;"",COUNTIF('Долг по актам'!$B$5:$B$34,F195)=0),"БЛОК: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договору")&gt;0)*($C$5:$C$504&lt;&gt;C195)*($E$5:$E$504=E195)*(($D$5:$D$504=D195)*(D195&lt;&gt;"")+($B$5:$B$504=B195)*(B195&lt;&gt;"")&gt;0))&gt;0,"БЛОК: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95" s="3" t="str">
        <f>IF(AND(B195="",C195="",E195=""),"",SUM($G$5:G195))</f>
        <v/>
      </c>
    </row>
    <row r="196" spans="1:10" x14ac:dyDescent="0.3">
      <c r="A196" s="4">
        <v>192</v>
      </c>
      <c r="B196" s="5"/>
      <c r="C196" s="6"/>
      <c r="D196" s="6"/>
      <c r="E196" s="7"/>
      <c r="F196" s="6"/>
      <c r="G196" s="3">
        <f t="shared" si="4"/>
        <v>0</v>
      </c>
      <c r="H196" s="3">
        <f t="shared" si="5"/>
        <v>0</v>
      </c>
      <c r="I196" s="4" t="str">
        <f>IF(AND(B196="",C196="",D196="",E196="",F196=""),"",IF(OR(B196="",C196="",E196=""),"БЛОК: нужны дата, тип операции и сумма",IF(N(E196)&lt;=0,"БЛОК: сумма должна быть больше нуля",IF(AND(H196&lt;&gt;0,F196=""),"БЛОК: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отделить",IF(AND(G196&lt;&gt;0,F196=""),"БЛОК: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нельзя",IF(AND(F196&lt;&gt;"",COUNTIF('Долг по актам'!$B$5:$B$34,F196)=0),"БЛОК: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договору")&gt;0)*($C$5:$C$504&lt;&gt;C196)*($E$5:$E$504=E196)*(($D$5:$D$504=D196)*(D196&lt;&gt;"")+($B$5:$B$504=B196)*(B196&lt;&gt;"")&gt;0))&gt;0,"БЛОК: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96" s="3" t="str">
        <f>IF(AND(B196="",C196="",E196=""),"",SUM($G$5:G196))</f>
        <v/>
      </c>
    </row>
    <row r="197" spans="1:10" x14ac:dyDescent="0.3">
      <c r="A197" s="4">
        <v>193</v>
      </c>
      <c r="B197" s="5"/>
      <c r="C197" s="6"/>
      <c r="D197" s="6"/>
      <c r="E197" s="7"/>
      <c r="F197" s="6"/>
      <c r="G197" s="3">
        <f t="shared" ref="G197:G260" si="6">IF(OR(C197="",E197=""),0,IF(C197="Начисление по акту",E197,IF(OR(C197="Оплата",C197="Зачёт аванса по договору"),-E197,IF(C197="Корректировка (подписана обеими сторонами)",E197,0))))</f>
        <v>0</v>
      </c>
      <c r="H197" s="3">
        <f t="shared" ref="H197:H260" si="7">IF(OR(C197="Удержание",C197="Зачёт встречного требования",C197="Неустойка заявлена",C197="Допработы без соглашения (спорно)"),N(E197),0)</f>
        <v>0</v>
      </c>
      <c r="I197" s="4" t="str">
        <f>IF(AND(B197="",C197="",D197="",E197="",F197=""),"",IF(OR(B197="",C197="",E197=""),"БЛОК: нужны дата, тип операции и сумма",IF(N(E197)&lt;=0,"БЛОК: сумма должна быть больше нуля",IF(AND(H197&lt;&gt;0,F197=""),"БЛОК: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отделить",IF(AND(G197&lt;&gt;0,F197=""),"БЛОК: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нельзя",IF(AND(F197&lt;&gt;"",COUNTIF('Долг по актам'!$B$5:$B$34,F197)=0),"БЛОК: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договору")&gt;0)*($C$5:$C$504&lt;&gt;C197)*($E$5:$E$504=E197)*(($D$5:$D$504=D197)*(D197&lt;&gt;"")+($B$5:$B$504=B197)*(B197&lt;&gt;"")&gt;0))&gt;0,"БЛОК: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97" s="3" t="str">
        <f>IF(AND(B197="",C197="",E197=""),"",SUM($G$5:G197))</f>
        <v/>
      </c>
    </row>
    <row r="198" spans="1:10" x14ac:dyDescent="0.3">
      <c r="A198" s="4">
        <v>194</v>
      </c>
      <c r="B198" s="5"/>
      <c r="C198" s="6"/>
      <c r="D198" s="6"/>
      <c r="E198" s="7"/>
      <c r="F198" s="6"/>
      <c r="G198" s="3">
        <f t="shared" si="6"/>
        <v>0</v>
      </c>
      <c r="H198" s="3">
        <f t="shared" si="7"/>
        <v>0</v>
      </c>
      <c r="I198" s="4" t="str">
        <f>IF(AND(B198="",C198="",D198="",E198="",F198=""),"",IF(OR(B198="",C198="",E198=""),"БЛОК: нужны дата, тип операции и сумма",IF(N(E198)&lt;=0,"БЛОК: сумма должна быть больше нуля",IF(AND(H198&lt;&gt;0,F198=""),"БЛОК: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отделить",IF(AND(G198&lt;&gt;0,F198=""),"БЛОК: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нельзя",IF(AND(F198&lt;&gt;"",COUNTIF('Долг по актам'!$B$5:$B$34,F198)=0),"БЛОК: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договору")&gt;0)*($C$5:$C$504&lt;&gt;C198)*($E$5:$E$504=E198)*(($D$5:$D$504=D198)*(D198&lt;&gt;"")+($B$5:$B$504=B198)*(B198&lt;&gt;"")&gt;0))&gt;0,"БЛОК: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98" s="3" t="str">
        <f>IF(AND(B198="",C198="",E198=""),"",SUM($G$5:G198))</f>
        <v/>
      </c>
    </row>
    <row r="199" spans="1:10" x14ac:dyDescent="0.3">
      <c r="A199" s="4">
        <v>195</v>
      </c>
      <c r="B199" s="5"/>
      <c r="C199" s="6"/>
      <c r="D199" s="6"/>
      <c r="E199" s="7"/>
      <c r="F199" s="6"/>
      <c r="G199" s="3">
        <f t="shared" si="6"/>
        <v>0</v>
      </c>
      <c r="H199" s="3">
        <f t="shared" si="7"/>
        <v>0</v>
      </c>
      <c r="I199" s="4" t="str">
        <f>IF(AND(B199="",C199="",D199="",E199="",F199=""),"",IF(OR(B199="",C199="",E199=""),"БЛОК: нужны дата, тип операции и сумма",IF(N(E199)&lt;=0,"БЛОК: сумма должна быть больше нуля",IF(AND(H199&lt;&gt;0,F199=""),"БЛОК: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отделить",IF(AND(G199&lt;&gt;0,F199=""),"БЛОК: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нельзя",IF(AND(F199&lt;&gt;"",COUNTIF('Долг по актам'!$B$5:$B$34,F199)=0),"БЛОК: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договору")&gt;0)*($C$5:$C$504&lt;&gt;C199)*($E$5:$E$504=E199)*(($D$5:$D$504=D199)*(D199&lt;&gt;"")+($B$5:$B$504=B199)*(B199&lt;&gt;"")&gt;0))&gt;0,"БЛОК: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199" s="3" t="str">
        <f>IF(AND(B199="",C199="",E199=""),"",SUM($G$5:G199))</f>
        <v/>
      </c>
    </row>
    <row r="200" spans="1:10" x14ac:dyDescent="0.3">
      <c r="A200" s="4">
        <v>196</v>
      </c>
      <c r="B200" s="5"/>
      <c r="C200" s="6"/>
      <c r="D200" s="6"/>
      <c r="E200" s="7"/>
      <c r="F200" s="6"/>
      <c r="G200" s="3">
        <f t="shared" si="6"/>
        <v>0</v>
      </c>
      <c r="H200" s="3">
        <f t="shared" si="7"/>
        <v>0</v>
      </c>
      <c r="I200" s="4" t="str">
        <f>IF(AND(B200="",C200="",D200="",E200="",F200=""),"",IF(OR(B200="",C200="",E200=""),"БЛОК: нужны дата, тип операции и сумма",IF(N(E200)&lt;=0,"БЛОК: сумма должна быть больше нуля",IF(AND(H200&lt;&gt;0,F200=""),"БЛОК: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отделить",IF(AND(G200&lt;&gt;0,F200=""),"БЛОК: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нельзя",IF(AND(F200&lt;&gt;"",COUNTIF('Долг по актам'!$B$5:$B$34,F200)=0),"БЛОК: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договору")&gt;0)*($C$5:$C$504&lt;&gt;C200)*($E$5:$E$504=E200)*(($D$5:$D$504=D200)*(D200&lt;&gt;"")+($B$5:$B$504=B200)*(B200&lt;&gt;"")&gt;0))&gt;0,"БЛОК: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00" s="3" t="str">
        <f>IF(AND(B200="",C200="",E200=""),"",SUM($G$5:G200))</f>
        <v/>
      </c>
    </row>
    <row r="201" spans="1:10" x14ac:dyDescent="0.3">
      <c r="A201" s="4">
        <v>197</v>
      </c>
      <c r="B201" s="5"/>
      <c r="C201" s="6"/>
      <c r="D201" s="6"/>
      <c r="E201" s="7"/>
      <c r="F201" s="6"/>
      <c r="G201" s="3">
        <f t="shared" si="6"/>
        <v>0</v>
      </c>
      <c r="H201" s="3">
        <f t="shared" si="7"/>
        <v>0</v>
      </c>
      <c r="I201" s="4" t="str">
        <f>IF(AND(B201="",C201="",D201="",E201="",F201=""),"",IF(OR(B201="",C201="",E201=""),"БЛОК: нужны дата, тип операции и сумма",IF(N(E201)&lt;=0,"БЛОК: сумма должна быть больше нуля",IF(AND(H201&lt;&gt;0,F201=""),"БЛОК: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отделить",IF(AND(G201&lt;&gt;0,F201=""),"БЛОК: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нельзя",IF(AND(F201&lt;&gt;"",COUNTIF('Долг по актам'!$B$5:$B$34,F201)=0),"БЛОК: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договору")&gt;0)*($C$5:$C$504&lt;&gt;C201)*($E$5:$E$504=E201)*(($D$5:$D$504=D201)*(D201&lt;&gt;"")+($B$5:$B$504=B201)*(B201&lt;&gt;"")&gt;0))&gt;0,"БЛОК: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01" s="3" t="str">
        <f>IF(AND(B201="",C201="",E201=""),"",SUM($G$5:G201))</f>
        <v/>
      </c>
    </row>
    <row r="202" spans="1:10" x14ac:dyDescent="0.3">
      <c r="A202" s="4">
        <v>198</v>
      </c>
      <c r="B202" s="5"/>
      <c r="C202" s="6"/>
      <c r="D202" s="6"/>
      <c r="E202" s="7"/>
      <c r="F202" s="6"/>
      <c r="G202" s="3">
        <f t="shared" si="6"/>
        <v>0</v>
      </c>
      <c r="H202" s="3">
        <f t="shared" si="7"/>
        <v>0</v>
      </c>
      <c r="I202" s="4" t="str">
        <f>IF(AND(B202="",C202="",D202="",E202="",F202=""),"",IF(OR(B202="",C202="",E202=""),"БЛОК: нужны дата, тип операции и сумма",IF(N(E202)&lt;=0,"БЛОК: сумма должна быть больше нуля",IF(AND(H202&lt;&gt;0,F202=""),"БЛОК: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отделить",IF(AND(G202&lt;&gt;0,F202=""),"БЛОК: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нельзя",IF(AND(F202&lt;&gt;"",COUNTIF('Долг по актам'!$B$5:$B$34,F202)=0),"БЛОК: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договору")&gt;0)*($C$5:$C$504&lt;&gt;C202)*($E$5:$E$504=E202)*(($D$5:$D$504=D202)*(D202&lt;&gt;"")+($B$5:$B$504=B202)*(B202&lt;&gt;"")&gt;0))&gt;0,"БЛОК: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02" s="3" t="str">
        <f>IF(AND(B202="",C202="",E202=""),"",SUM($G$5:G202))</f>
        <v/>
      </c>
    </row>
    <row r="203" spans="1:10" x14ac:dyDescent="0.3">
      <c r="A203" s="4">
        <v>199</v>
      </c>
      <c r="B203" s="5"/>
      <c r="C203" s="6"/>
      <c r="D203" s="6"/>
      <c r="E203" s="7"/>
      <c r="F203" s="6"/>
      <c r="G203" s="3">
        <f t="shared" si="6"/>
        <v>0</v>
      </c>
      <c r="H203" s="3">
        <f t="shared" si="7"/>
        <v>0</v>
      </c>
      <c r="I203" s="4" t="str">
        <f>IF(AND(B203="",C203="",D203="",E203="",F203=""),"",IF(OR(B203="",C203="",E203=""),"БЛОК: нужны дата, тип операции и сумма",IF(N(E203)&lt;=0,"БЛОК: сумма должна быть больше нуля",IF(AND(H203&lt;&gt;0,F203=""),"БЛОК: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отделить",IF(AND(G203&lt;&gt;0,F203=""),"БЛОК: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нельзя",IF(AND(F203&lt;&gt;"",COUNTIF('Долг по актам'!$B$5:$B$34,F203)=0),"БЛОК: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договору")&gt;0)*($C$5:$C$504&lt;&gt;C203)*($E$5:$E$504=E203)*(($D$5:$D$504=D203)*(D203&lt;&gt;"")+($B$5:$B$504=B203)*(B203&lt;&gt;"")&gt;0))&gt;0,"БЛОК: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03" s="3" t="str">
        <f>IF(AND(B203="",C203="",E203=""),"",SUM($G$5:G203))</f>
        <v/>
      </c>
    </row>
    <row r="204" spans="1:10" x14ac:dyDescent="0.3">
      <c r="A204" s="4">
        <v>200</v>
      </c>
      <c r="B204" s="5"/>
      <c r="C204" s="6"/>
      <c r="D204" s="6"/>
      <c r="E204" s="7"/>
      <c r="F204" s="6"/>
      <c r="G204" s="3">
        <f t="shared" si="6"/>
        <v>0</v>
      </c>
      <c r="H204" s="3">
        <f t="shared" si="7"/>
        <v>0</v>
      </c>
      <c r="I204" s="4" t="str">
        <f>IF(AND(B204="",C204="",D204="",E204="",F204=""),"",IF(OR(B204="",C204="",E204=""),"БЛОК: нужны дата, тип операции и сумма",IF(N(E204)&lt;=0,"БЛОК: сумма должна быть больше нуля",IF(AND(H204&lt;&gt;0,F204=""),"БЛОК: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отделить",IF(AND(G204&lt;&gt;0,F204=""),"БЛОК: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нельзя",IF(AND(F204&lt;&gt;"",COUNTIF('Долг по актам'!$B$5:$B$34,F204)=0),"БЛОК: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договору")&gt;0)*($C$5:$C$504&lt;&gt;C204)*($E$5:$E$504=E204)*(($D$5:$D$504=D204)*(D204&lt;&gt;"")+($B$5:$B$504=B204)*(B204&lt;&gt;"")&gt;0))&gt;0,"БЛОК: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04" s="3" t="str">
        <f>IF(AND(B204="",C204="",E204=""),"",SUM($G$5:G204))</f>
        <v/>
      </c>
    </row>
    <row r="205" spans="1:10" x14ac:dyDescent="0.3">
      <c r="A205" s="4">
        <v>201</v>
      </c>
      <c r="B205" s="5"/>
      <c r="C205" s="6"/>
      <c r="D205" s="6"/>
      <c r="E205" s="7"/>
      <c r="F205" s="6"/>
      <c r="G205" s="3">
        <f t="shared" si="6"/>
        <v>0</v>
      </c>
      <c r="H205" s="3">
        <f t="shared" si="7"/>
        <v>0</v>
      </c>
      <c r="I205" s="4" t="str">
        <f>IF(AND(B205="",C205="",D205="",E205="",F205=""),"",IF(OR(B205="",C205="",E205=""),"БЛОК: нужны дата, тип операции и сумма",IF(N(E205)&lt;=0,"БЛОК: сумма должна быть больше нуля",IF(AND(H205&lt;&gt;0,F205=""),"БЛОК: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отделить",IF(AND(G205&lt;&gt;0,F205=""),"БЛОК: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нельзя",IF(AND(F205&lt;&gt;"",COUNTIF('Долг по актам'!$B$5:$B$34,F205)=0),"БЛОК: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договору")&gt;0)*($C$5:$C$504&lt;&gt;C205)*($E$5:$E$504=E205)*(($D$5:$D$504=D205)*(D205&lt;&gt;"")+($B$5:$B$504=B205)*(B205&lt;&gt;"")&gt;0))&gt;0,"БЛОК: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05" s="3" t="str">
        <f>IF(AND(B205="",C205="",E205=""),"",SUM($G$5:G205))</f>
        <v/>
      </c>
    </row>
    <row r="206" spans="1:10" x14ac:dyDescent="0.3">
      <c r="A206" s="4">
        <v>202</v>
      </c>
      <c r="B206" s="5"/>
      <c r="C206" s="6"/>
      <c r="D206" s="6"/>
      <c r="E206" s="7"/>
      <c r="F206" s="6"/>
      <c r="G206" s="3">
        <f t="shared" si="6"/>
        <v>0</v>
      </c>
      <c r="H206" s="3">
        <f t="shared" si="7"/>
        <v>0</v>
      </c>
      <c r="I206" s="4" t="str">
        <f>IF(AND(B206="",C206="",D206="",E206="",F206=""),"",IF(OR(B206="",C206="",E206=""),"БЛОК: нужны дата, тип операции и сумма",IF(N(E206)&lt;=0,"БЛОК: сумма должна быть больше нуля",IF(AND(H206&lt;&gt;0,F206=""),"БЛОК: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отделить",IF(AND(G206&lt;&gt;0,F206=""),"БЛОК: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нельзя",IF(AND(F206&lt;&gt;"",COUNTIF('Долг по актам'!$B$5:$B$34,F206)=0),"БЛОК: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договору")&gt;0)*($C$5:$C$504&lt;&gt;C206)*($E$5:$E$504=E206)*(($D$5:$D$504=D206)*(D206&lt;&gt;"")+($B$5:$B$504=B206)*(B206&lt;&gt;"")&gt;0))&gt;0,"БЛОК: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06" s="3" t="str">
        <f>IF(AND(B206="",C206="",E206=""),"",SUM($G$5:G206))</f>
        <v/>
      </c>
    </row>
    <row r="207" spans="1:10" x14ac:dyDescent="0.3">
      <c r="A207" s="4">
        <v>203</v>
      </c>
      <c r="B207" s="5"/>
      <c r="C207" s="6"/>
      <c r="D207" s="6"/>
      <c r="E207" s="7"/>
      <c r="F207" s="6"/>
      <c r="G207" s="3">
        <f t="shared" si="6"/>
        <v>0</v>
      </c>
      <c r="H207" s="3">
        <f t="shared" si="7"/>
        <v>0</v>
      </c>
      <c r="I207" s="4" t="str">
        <f>IF(AND(B207="",C207="",D207="",E207="",F207=""),"",IF(OR(B207="",C207="",E207=""),"БЛОК: нужны дата, тип операции и сумма",IF(N(E207)&lt;=0,"БЛОК: сумма должна быть больше нуля",IF(AND(H207&lt;&gt;0,F207=""),"БЛОК: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отделить",IF(AND(G207&lt;&gt;0,F207=""),"БЛОК: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нельзя",IF(AND(F207&lt;&gt;"",COUNTIF('Долг по актам'!$B$5:$B$34,F207)=0),"БЛОК: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договору")&gt;0)*($C$5:$C$504&lt;&gt;C207)*($E$5:$E$504=E207)*(($D$5:$D$504=D207)*(D207&lt;&gt;"")+($B$5:$B$504=B207)*(B207&lt;&gt;"")&gt;0))&gt;0,"БЛОК: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07" s="3" t="str">
        <f>IF(AND(B207="",C207="",E207=""),"",SUM($G$5:G207))</f>
        <v/>
      </c>
    </row>
    <row r="208" spans="1:10" x14ac:dyDescent="0.3">
      <c r="A208" s="4">
        <v>204</v>
      </c>
      <c r="B208" s="5"/>
      <c r="C208" s="6"/>
      <c r="D208" s="6"/>
      <c r="E208" s="7"/>
      <c r="F208" s="6"/>
      <c r="G208" s="3">
        <f t="shared" si="6"/>
        <v>0</v>
      </c>
      <c r="H208" s="3">
        <f t="shared" si="7"/>
        <v>0</v>
      </c>
      <c r="I208" s="4" t="str">
        <f>IF(AND(B208="",C208="",D208="",E208="",F208=""),"",IF(OR(B208="",C208="",E208=""),"БЛОК: нужны дата, тип операции и сумма",IF(N(E208)&lt;=0,"БЛОК: сумма должна быть больше нуля",IF(AND(H208&lt;&gt;0,F208=""),"БЛОК: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отделить",IF(AND(G208&lt;&gt;0,F208=""),"БЛОК: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нельзя",IF(AND(F208&lt;&gt;"",COUNTIF('Долг по актам'!$B$5:$B$34,F208)=0),"БЛОК: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договору")&gt;0)*($C$5:$C$504&lt;&gt;C208)*($E$5:$E$504=E208)*(($D$5:$D$504=D208)*(D208&lt;&gt;"")+($B$5:$B$504=B208)*(B208&lt;&gt;"")&gt;0))&gt;0,"БЛОК: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08" s="3" t="str">
        <f>IF(AND(B208="",C208="",E208=""),"",SUM($G$5:G208))</f>
        <v/>
      </c>
    </row>
    <row r="209" spans="1:10" x14ac:dyDescent="0.3">
      <c r="A209" s="4">
        <v>205</v>
      </c>
      <c r="B209" s="5"/>
      <c r="C209" s="6"/>
      <c r="D209" s="6"/>
      <c r="E209" s="7"/>
      <c r="F209" s="6"/>
      <c r="G209" s="3">
        <f t="shared" si="6"/>
        <v>0</v>
      </c>
      <c r="H209" s="3">
        <f t="shared" si="7"/>
        <v>0</v>
      </c>
      <c r="I209" s="4" t="str">
        <f>IF(AND(B209="",C209="",D209="",E209="",F209=""),"",IF(OR(B209="",C209="",E209=""),"БЛОК: нужны дата, тип операции и сумма",IF(N(E209)&lt;=0,"БЛОК: сумма должна быть больше нуля",IF(AND(H209&lt;&gt;0,F209=""),"БЛОК: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отделить",IF(AND(G209&lt;&gt;0,F209=""),"БЛОК: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нельзя",IF(AND(F209&lt;&gt;"",COUNTIF('Долг по актам'!$B$5:$B$34,F209)=0),"БЛОК: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договору")&gt;0)*($C$5:$C$504&lt;&gt;C209)*($E$5:$E$504=E209)*(($D$5:$D$504=D209)*(D209&lt;&gt;"")+($B$5:$B$504=B209)*(B209&lt;&gt;"")&gt;0))&gt;0,"БЛОК: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09" s="3" t="str">
        <f>IF(AND(B209="",C209="",E209=""),"",SUM($G$5:G209))</f>
        <v/>
      </c>
    </row>
    <row r="210" spans="1:10" x14ac:dyDescent="0.3">
      <c r="A210" s="4">
        <v>206</v>
      </c>
      <c r="B210" s="5"/>
      <c r="C210" s="6"/>
      <c r="D210" s="6"/>
      <c r="E210" s="7"/>
      <c r="F210" s="6"/>
      <c r="G210" s="3">
        <f t="shared" si="6"/>
        <v>0</v>
      </c>
      <c r="H210" s="3">
        <f t="shared" si="7"/>
        <v>0</v>
      </c>
      <c r="I210" s="4" t="str">
        <f>IF(AND(B210="",C210="",D210="",E210="",F210=""),"",IF(OR(B210="",C210="",E210=""),"БЛОК: нужны дата, тип операции и сумма",IF(N(E210)&lt;=0,"БЛОК: сумма должна быть больше нуля",IF(AND(H210&lt;&gt;0,F210=""),"БЛОК: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отделить",IF(AND(G210&lt;&gt;0,F210=""),"БЛОК: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нельзя",IF(AND(F210&lt;&gt;"",COUNTIF('Долг по актам'!$B$5:$B$34,F210)=0),"БЛОК: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договору")&gt;0)*($C$5:$C$504&lt;&gt;C210)*($E$5:$E$504=E210)*(($D$5:$D$504=D210)*(D210&lt;&gt;"")+($B$5:$B$504=B210)*(B210&lt;&gt;"")&gt;0))&gt;0,"БЛОК: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10" s="3" t="str">
        <f>IF(AND(B210="",C210="",E210=""),"",SUM($G$5:G210))</f>
        <v/>
      </c>
    </row>
    <row r="211" spans="1:10" x14ac:dyDescent="0.3">
      <c r="A211" s="4">
        <v>207</v>
      </c>
      <c r="B211" s="5"/>
      <c r="C211" s="6"/>
      <c r="D211" s="6"/>
      <c r="E211" s="7"/>
      <c r="F211" s="6"/>
      <c r="G211" s="3">
        <f t="shared" si="6"/>
        <v>0</v>
      </c>
      <c r="H211" s="3">
        <f t="shared" si="7"/>
        <v>0</v>
      </c>
      <c r="I211" s="4" t="str">
        <f>IF(AND(B211="",C211="",D211="",E211="",F211=""),"",IF(OR(B211="",C211="",E211=""),"БЛОК: нужны дата, тип операции и сумма",IF(N(E211)&lt;=0,"БЛОК: сумма должна быть больше нуля",IF(AND(H211&lt;&gt;0,F211=""),"БЛОК: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отделить",IF(AND(G211&lt;&gt;0,F211=""),"БЛОК: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нельзя",IF(AND(F211&lt;&gt;"",COUNTIF('Долг по актам'!$B$5:$B$34,F211)=0),"БЛОК: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договору")&gt;0)*($C$5:$C$504&lt;&gt;C211)*($E$5:$E$504=E211)*(($D$5:$D$504=D211)*(D211&lt;&gt;"")+($B$5:$B$504=B211)*(B211&lt;&gt;"")&gt;0))&gt;0,"БЛОК: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11" s="3" t="str">
        <f>IF(AND(B211="",C211="",E211=""),"",SUM($G$5:G211))</f>
        <v/>
      </c>
    </row>
    <row r="212" spans="1:10" x14ac:dyDescent="0.3">
      <c r="A212" s="4">
        <v>208</v>
      </c>
      <c r="B212" s="5"/>
      <c r="C212" s="6"/>
      <c r="D212" s="6"/>
      <c r="E212" s="7"/>
      <c r="F212" s="6"/>
      <c r="G212" s="3">
        <f t="shared" si="6"/>
        <v>0</v>
      </c>
      <c r="H212" s="3">
        <f t="shared" si="7"/>
        <v>0</v>
      </c>
      <c r="I212" s="4" t="str">
        <f>IF(AND(B212="",C212="",D212="",E212="",F212=""),"",IF(OR(B212="",C212="",E212=""),"БЛОК: нужны дата, тип операции и сумма",IF(N(E212)&lt;=0,"БЛОК: сумма должна быть больше нуля",IF(AND(H212&lt;&gt;0,F212=""),"БЛОК: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отделить",IF(AND(G212&lt;&gt;0,F212=""),"БЛОК: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нельзя",IF(AND(F212&lt;&gt;"",COUNTIF('Долг по актам'!$B$5:$B$34,F212)=0),"БЛОК: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договору")&gt;0)*($C$5:$C$504&lt;&gt;C212)*($E$5:$E$504=E212)*(($D$5:$D$504=D212)*(D212&lt;&gt;"")+($B$5:$B$504=B212)*(B212&lt;&gt;"")&gt;0))&gt;0,"БЛОК: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12" s="3" t="str">
        <f>IF(AND(B212="",C212="",E212=""),"",SUM($G$5:G212))</f>
        <v/>
      </c>
    </row>
    <row r="213" spans="1:10" x14ac:dyDescent="0.3">
      <c r="A213" s="4">
        <v>209</v>
      </c>
      <c r="B213" s="5"/>
      <c r="C213" s="6"/>
      <c r="D213" s="6"/>
      <c r="E213" s="7"/>
      <c r="F213" s="6"/>
      <c r="G213" s="3">
        <f t="shared" si="6"/>
        <v>0</v>
      </c>
      <c r="H213" s="3">
        <f t="shared" si="7"/>
        <v>0</v>
      </c>
      <c r="I213" s="4" t="str">
        <f>IF(AND(B213="",C213="",D213="",E213="",F213=""),"",IF(OR(B213="",C213="",E213=""),"БЛОК: нужны дата, тип операции и сумма",IF(N(E213)&lt;=0,"БЛОК: сумма должна быть больше нуля",IF(AND(H213&lt;&gt;0,F213=""),"БЛОК: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отделить",IF(AND(G213&lt;&gt;0,F213=""),"БЛОК: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нельзя",IF(AND(F213&lt;&gt;"",COUNTIF('Долг по актам'!$B$5:$B$34,F213)=0),"БЛОК: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договору")&gt;0)*($C$5:$C$504&lt;&gt;C213)*($E$5:$E$504=E213)*(($D$5:$D$504=D213)*(D213&lt;&gt;"")+($B$5:$B$504=B213)*(B213&lt;&gt;"")&gt;0))&gt;0,"БЛОК: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13" s="3" t="str">
        <f>IF(AND(B213="",C213="",E213=""),"",SUM($G$5:G213))</f>
        <v/>
      </c>
    </row>
    <row r="214" spans="1:10" x14ac:dyDescent="0.3">
      <c r="A214" s="4">
        <v>210</v>
      </c>
      <c r="B214" s="5"/>
      <c r="C214" s="6"/>
      <c r="D214" s="6"/>
      <c r="E214" s="7"/>
      <c r="F214" s="6"/>
      <c r="G214" s="3">
        <f t="shared" si="6"/>
        <v>0</v>
      </c>
      <c r="H214" s="3">
        <f t="shared" si="7"/>
        <v>0</v>
      </c>
      <c r="I214" s="4" t="str">
        <f>IF(AND(B214="",C214="",D214="",E214="",F214=""),"",IF(OR(B214="",C214="",E214=""),"БЛОК: нужны дата, тип операции и сумма",IF(N(E214)&lt;=0,"БЛОК: сумма должна быть больше нуля",IF(AND(H214&lt;&gt;0,F214=""),"БЛОК: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отделить",IF(AND(G214&lt;&gt;0,F214=""),"БЛОК: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нельзя",IF(AND(F214&lt;&gt;"",COUNTIF('Долг по актам'!$B$5:$B$34,F214)=0),"БЛОК: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договору")&gt;0)*($C$5:$C$504&lt;&gt;C214)*($E$5:$E$504=E214)*(($D$5:$D$504=D214)*(D214&lt;&gt;"")+($B$5:$B$504=B214)*(B214&lt;&gt;"")&gt;0))&gt;0,"БЛОК: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14" s="3" t="str">
        <f>IF(AND(B214="",C214="",E214=""),"",SUM($G$5:G214))</f>
        <v/>
      </c>
    </row>
    <row r="215" spans="1:10" x14ac:dyDescent="0.3">
      <c r="A215" s="4">
        <v>211</v>
      </c>
      <c r="B215" s="5"/>
      <c r="C215" s="6"/>
      <c r="D215" s="6"/>
      <c r="E215" s="7"/>
      <c r="F215" s="6"/>
      <c r="G215" s="3">
        <f t="shared" si="6"/>
        <v>0</v>
      </c>
      <c r="H215" s="3">
        <f t="shared" si="7"/>
        <v>0</v>
      </c>
      <c r="I215" s="4" t="str">
        <f>IF(AND(B215="",C215="",D215="",E215="",F215=""),"",IF(OR(B215="",C215="",E215=""),"БЛОК: нужны дата, тип операции и сумма",IF(N(E215)&lt;=0,"БЛОК: сумма должна быть больше нуля",IF(AND(H215&lt;&gt;0,F215=""),"БЛОК: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отделить",IF(AND(G215&lt;&gt;0,F215=""),"БЛОК: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нельзя",IF(AND(F215&lt;&gt;"",COUNTIF('Долг по актам'!$B$5:$B$34,F215)=0),"БЛОК: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договору")&gt;0)*($C$5:$C$504&lt;&gt;C215)*($E$5:$E$504=E215)*(($D$5:$D$504=D215)*(D215&lt;&gt;"")+($B$5:$B$504=B215)*(B215&lt;&gt;"")&gt;0))&gt;0,"БЛОК: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15" s="3" t="str">
        <f>IF(AND(B215="",C215="",E215=""),"",SUM($G$5:G215))</f>
        <v/>
      </c>
    </row>
    <row r="216" spans="1:10" x14ac:dyDescent="0.3">
      <c r="A216" s="4">
        <v>212</v>
      </c>
      <c r="B216" s="5"/>
      <c r="C216" s="6"/>
      <c r="D216" s="6"/>
      <c r="E216" s="7"/>
      <c r="F216" s="6"/>
      <c r="G216" s="3">
        <f t="shared" si="6"/>
        <v>0</v>
      </c>
      <c r="H216" s="3">
        <f t="shared" si="7"/>
        <v>0</v>
      </c>
      <c r="I216" s="4" t="str">
        <f>IF(AND(B216="",C216="",D216="",E216="",F216=""),"",IF(OR(B216="",C216="",E216=""),"БЛОК: нужны дата, тип операции и сумма",IF(N(E216)&lt;=0,"БЛОК: сумма должна быть больше нуля",IF(AND(H216&lt;&gt;0,F216=""),"БЛОК: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отделить",IF(AND(G216&lt;&gt;0,F216=""),"БЛОК: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нельзя",IF(AND(F216&lt;&gt;"",COUNTIF('Долг по актам'!$B$5:$B$34,F216)=0),"БЛОК: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договору")&gt;0)*($C$5:$C$504&lt;&gt;C216)*($E$5:$E$504=E216)*(($D$5:$D$504=D216)*(D216&lt;&gt;"")+($B$5:$B$504=B216)*(B216&lt;&gt;"")&gt;0))&gt;0,"БЛОК: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16" s="3" t="str">
        <f>IF(AND(B216="",C216="",E216=""),"",SUM($G$5:G216))</f>
        <v/>
      </c>
    </row>
    <row r="217" spans="1:10" x14ac:dyDescent="0.3">
      <c r="A217" s="4">
        <v>213</v>
      </c>
      <c r="B217" s="5"/>
      <c r="C217" s="6"/>
      <c r="D217" s="6"/>
      <c r="E217" s="7"/>
      <c r="F217" s="6"/>
      <c r="G217" s="3">
        <f t="shared" si="6"/>
        <v>0</v>
      </c>
      <c r="H217" s="3">
        <f t="shared" si="7"/>
        <v>0</v>
      </c>
      <c r="I217" s="4" t="str">
        <f>IF(AND(B217="",C217="",D217="",E217="",F217=""),"",IF(OR(B217="",C217="",E217=""),"БЛОК: нужны дата, тип операции и сумма",IF(N(E217)&lt;=0,"БЛОК: сумма должна быть больше нуля",IF(AND(H217&lt;&gt;0,F217=""),"БЛОК: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отделить",IF(AND(G217&lt;&gt;0,F217=""),"БЛОК: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нельзя",IF(AND(F217&lt;&gt;"",COUNTIF('Долг по актам'!$B$5:$B$34,F217)=0),"БЛОК: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договору")&gt;0)*($C$5:$C$504&lt;&gt;C217)*($E$5:$E$504=E217)*(($D$5:$D$504=D217)*(D217&lt;&gt;"")+($B$5:$B$504=B217)*(B217&lt;&gt;"")&gt;0))&gt;0,"БЛОК: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17" s="3" t="str">
        <f>IF(AND(B217="",C217="",E217=""),"",SUM($G$5:G217))</f>
        <v/>
      </c>
    </row>
    <row r="218" spans="1:10" x14ac:dyDescent="0.3">
      <c r="A218" s="4">
        <v>214</v>
      </c>
      <c r="B218" s="5"/>
      <c r="C218" s="6"/>
      <c r="D218" s="6"/>
      <c r="E218" s="7"/>
      <c r="F218" s="6"/>
      <c r="G218" s="3">
        <f t="shared" si="6"/>
        <v>0</v>
      </c>
      <c r="H218" s="3">
        <f t="shared" si="7"/>
        <v>0</v>
      </c>
      <c r="I218" s="4" t="str">
        <f>IF(AND(B218="",C218="",D218="",E218="",F218=""),"",IF(OR(B218="",C218="",E218=""),"БЛОК: нужны дата, тип операции и сумма",IF(N(E218)&lt;=0,"БЛОК: сумма должна быть больше нуля",IF(AND(H218&lt;&gt;0,F218=""),"БЛОК: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отделить",IF(AND(G218&lt;&gt;0,F218=""),"БЛОК: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нельзя",IF(AND(F218&lt;&gt;"",COUNTIF('Долг по актам'!$B$5:$B$34,F218)=0),"БЛОК: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договору")&gt;0)*($C$5:$C$504&lt;&gt;C218)*($E$5:$E$504=E218)*(($D$5:$D$504=D218)*(D218&lt;&gt;"")+($B$5:$B$504=B218)*(B218&lt;&gt;"")&gt;0))&gt;0,"БЛОК: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18" s="3" t="str">
        <f>IF(AND(B218="",C218="",E218=""),"",SUM($G$5:G218))</f>
        <v/>
      </c>
    </row>
    <row r="219" spans="1:10" x14ac:dyDescent="0.3">
      <c r="A219" s="4">
        <v>215</v>
      </c>
      <c r="B219" s="5"/>
      <c r="C219" s="6"/>
      <c r="D219" s="6"/>
      <c r="E219" s="7"/>
      <c r="F219" s="6"/>
      <c r="G219" s="3">
        <f t="shared" si="6"/>
        <v>0</v>
      </c>
      <c r="H219" s="3">
        <f t="shared" si="7"/>
        <v>0</v>
      </c>
      <c r="I219" s="4" t="str">
        <f>IF(AND(B219="",C219="",D219="",E219="",F219=""),"",IF(OR(B219="",C219="",E219=""),"БЛОК: нужны дата, тип операции и сумма",IF(N(E219)&lt;=0,"БЛОК: сумма должна быть больше нуля",IF(AND(H219&lt;&gt;0,F219=""),"БЛОК: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отделить",IF(AND(G219&lt;&gt;0,F219=""),"БЛОК: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нельзя",IF(AND(F219&lt;&gt;"",COUNTIF('Долг по актам'!$B$5:$B$34,F219)=0),"БЛОК: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договору")&gt;0)*($C$5:$C$504&lt;&gt;C219)*($E$5:$E$504=E219)*(($D$5:$D$504=D219)*(D219&lt;&gt;"")+($B$5:$B$504=B219)*(B219&lt;&gt;"")&gt;0))&gt;0,"БЛОК: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19" s="3" t="str">
        <f>IF(AND(B219="",C219="",E219=""),"",SUM($G$5:G219))</f>
        <v/>
      </c>
    </row>
    <row r="220" spans="1:10" x14ac:dyDescent="0.3">
      <c r="A220" s="4">
        <v>216</v>
      </c>
      <c r="B220" s="5"/>
      <c r="C220" s="6"/>
      <c r="D220" s="6"/>
      <c r="E220" s="7"/>
      <c r="F220" s="6"/>
      <c r="G220" s="3">
        <f t="shared" si="6"/>
        <v>0</v>
      </c>
      <c r="H220" s="3">
        <f t="shared" si="7"/>
        <v>0</v>
      </c>
      <c r="I220" s="4" t="str">
        <f>IF(AND(B220="",C220="",D220="",E220="",F220=""),"",IF(OR(B220="",C220="",E220=""),"БЛОК: нужны дата, тип операции и сумма",IF(N(E220)&lt;=0,"БЛОК: сумма должна быть больше нуля",IF(AND(H220&lt;&gt;0,F220=""),"БЛОК: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отделить",IF(AND(G220&lt;&gt;0,F220=""),"БЛОК: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нельзя",IF(AND(F220&lt;&gt;"",COUNTIF('Долг по актам'!$B$5:$B$34,F220)=0),"БЛОК: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договору")&gt;0)*($C$5:$C$504&lt;&gt;C220)*($E$5:$E$504=E220)*(($D$5:$D$504=D220)*(D220&lt;&gt;"")+($B$5:$B$504=B220)*(B220&lt;&gt;"")&gt;0))&gt;0,"БЛОК: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20" s="3" t="str">
        <f>IF(AND(B220="",C220="",E220=""),"",SUM($G$5:G220))</f>
        <v/>
      </c>
    </row>
    <row r="221" spans="1:10" x14ac:dyDescent="0.3">
      <c r="A221" s="4">
        <v>217</v>
      </c>
      <c r="B221" s="5"/>
      <c r="C221" s="6"/>
      <c r="D221" s="6"/>
      <c r="E221" s="7"/>
      <c r="F221" s="6"/>
      <c r="G221" s="3">
        <f t="shared" si="6"/>
        <v>0</v>
      </c>
      <c r="H221" s="3">
        <f t="shared" si="7"/>
        <v>0</v>
      </c>
      <c r="I221" s="4" t="str">
        <f>IF(AND(B221="",C221="",D221="",E221="",F221=""),"",IF(OR(B221="",C221="",E221=""),"БЛОК: нужны дата, тип операции и сумма",IF(N(E221)&lt;=0,"БЛОК: сумма должна быть больше нуля",IF(AND(H221&lt;&gt;0,F221=""),"БЛОК: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отделить",IF(AND(G221&lt;&gt;0,F221=""),"БЛОК: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нельзя",IF(AND(F221&lt;&gt;"",COUNTIF('Долг по актам'!$B$5:$B$34,F221)=0),"БЛОК: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договору")&gt;0)*($C$5:$C$504&lt;&gt;C221)*($E$5:$E$504=E221)*(($D$5:$D$504=D221)*(D221&lt;&gt;"")+($B$5:$B$504=B221)*(B221&lt;&gt;"")&gt;0))&gt;0,"БЛОК: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21" s="3" t="str">
        <f>IF(AND(B221="",C221="",E221=""),"",SUM($G$5:G221))</f>
        <v/>
      </c>
    </row>
    <row r="222" spans="1:10" x14ac:dyDescent="0.3">
      <c r="A222" s="4">
        <v>218</v>
      </c>
      <c r="B222" s="5"/>
      <c r="C222" s="6"/>
      <c r="D222" s="6"/>
      <c r="E222" s="7"/>
      <c r="F222" s="6"/>
      <c r="G222" s="3">
        <f t="shared" si="6"/>
        <v>0</v>
      </c>
      <c r="H222" s="3">
        <f t="shared" si="7"/>
        <v>0</v>
      </c>
      <c r="I222" s="4" t="str">
        <f>IF(AND(B222="",C222="",D222="",E222="",F222=""),"",IF(OR(B222="",C222="",E222=""),"БЛОК: нужны дата, тип операции и сумма",IF(N(E222)&lt;=0,"БЛОК: сумма должна быть больше нуля",IF(AND(H222&lt;&gt;0,F222=""),"БЛОК: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отделить",IF(AND(G222&lt;&gt;0,F222=""),"БЛОК: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нельзя",IF(AND(F222&lt;&gt;"",COUNTIF('Долг по актам'!$B$5:$B$34,F222)=0),"БЛОК: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договору")&gt;0)*($C$5:$C$504&lt;&gt;C222)*($E$5:$E$504=E222)*(($D$5:$D$504=D222)*(D222&lt;&gt;"")+($B$5:$B$504=B222)*(B222&lt;&gt;"")&gt;0))&gt;0,"БЛОК: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22" s="3" t="str">
        <f>IF(AND(B222="",C222="",E222=""),"",SUM($G$5:G222))</f>
        <v/>
      </c>
    </row>
    <row r="223" spans="1:10" x14ac:dyDescent="0.3">
      <c r="A223" s="4">
        <v>219</v>
      </c>
      <c r="B223" s="5"/>
      <c r="C223" s="6"/>
      <c r="D223" s="6"/>
      <c r="E223" s="7"/>
      <c r="F223" s="6"/>
      <c r="G223" s="3">
        <f t="shared" si="6"/>
        <v>0</v>
      </c>
      <c r="H223" s="3">
        <f t="shared" si="7"/>
        <v>0</v>
      </c>
      <c r="I223" s="4" t="str">
        <f>IF(AND(B223="",C223="",D223="",E223="",F223=""),"",IF(OR(B223="",C223="",E223=""),"БЛОК: нужны дата, тип операции и сумма",IF(N(E223)&lt;=0,"БЛОК: сумма должна быть больше нуля",IF(AND(H223&lt;&gt;0,F223=""),"БЛОК: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отделить",IF(AND(G223&lt;&gt;0,F223=""),"БЛОК: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нельзя",IF(AND(F223&lt;&gt;"",COUNTIF('Долг по актам'!$B$5:$B$34,F223)=0),"БЛОК: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договору")&gt;0)*($C$5:$C$504&lt;&gt;C223)*($E$5:$E$504=E223)*(($D$5:$D$504=D223)*(D223&lt;&gt;"")+($B$5:$B$504=B223)*(B223&lt;&gt;"")&gt;0))&gt;0,"БЛОК: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23" s="3" t="str">
        <f>IF(AND(B223="",C223="",E223=""),"",SUM($G$5:G223))</f>
        <v/>
      </c>
    </row>
    <row r="224" spans="1:10" x14ac:dyDescent="0.3">
      <c r="A224" s="4">
        <v>220</v>
      </c>
      <c r="B224" s="5"/>
      <c r="C224" s="6"/>
      <c r="D224" s="6"/>
      <c r="E224" s="7"/>
      <c r="F224" s="6"/>
      <c r="G224" s="3">
        <f t="shared" si="6"/>
        <v>0</v>
      </c>
      <c r="H224" s="3">
        <f t="shared" si="7"/>
        <v>0</v>
      </c>
      <c r="I224" s="4" t="str">
        <f>IF(AND(B224="",C224="",D224="",E224="",F224=""),"",IF(OR(B224="",C224="",E224=""),"БЛОК: нужны дата, тип операции и сумма",IF(N(E224)&lt;=0,"БЛОК: сумма должна быть больше нуля",IF(AND(H224&lt;&gt;0,F224=""),"БЛОК: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отделить",IF(AND(G224&lt;&gt;0,F224=""),"БЛОК: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нельзя",IF(AND(F224&lt;&gt;"",COUNTIF('Долг по актам'!$B$5:$B$34,F224)=0),"БЛОК: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договору")&gt;0)*($C$5:$C$504&lt;&gt;C224)*($E$5:$E$504=E224)*(($D$5:$D$504=D224)*(D224&lt;&gt;"")+($B$5:$B$504=B224)*(B224&lt;&gt;"")&gt;0))&gt;0,"БЛОК: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24" s="3" t="str">
        <f>IF(AND(B224="",C224="",E224=""),"",SUM($G$5:G224))</f>
        <v/>
      </c>
    </row>
    <row r="225" spans="1:10" x14ac:dyDescent="0.3">
      <c r="A225" s="4">
        <v>221</v>
      </c>
      <c r="B225" s="5"/>
      <c r="C225" s="6"/>
      <c r="D225" s="6"/>
      <c r="E225" s="7"/>
      <c r="F225" s="6"/>
      <c r="G225" s="3">
        <f t="shared" si="6"/>
        <v>0</v>
      </c>
      <c r="H225" s="3">
        <f t="shared" si="7"/>
        <v>0</v>
      </c>
      <c r="I225" s="4" t="str">
        <f>IF(AND(B225="",C225="",D225="",E225="",F225=""),"",IF(OR(B225="",C225="",E225=""),"БЛОК: нужны дата, тип операции и сумма",IF(N(E225)&lt;=0,"БЛОК: сумма должна быть больше нуля",IF(AND(H225&lt;&gt;0,F225=""),"БЛОК: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отделить",IF(AND(G225&lt;&gt;0,F225=""),"БЛОК: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нельзя",IF(AND(F225&lt;&gt;"",COUNTIF('Долг по актам'!$B$5:$B$34,F225)=0),"БЛОК: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договору")&gt;0)*($C$5:$C$504&lt;&gt;C225)*($E$5:$E$504=E225)*(($D$5:$D$504=D225)*(D225&lt;&gt;"")+($B$5:$B$504=B225)*(B225&lt;&gt;"")&gt;0))&gt;0,"БЛОК: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25" s="3" t="str">
        <f>IF(AND(B225="",C225="",E225=""),"",SUM($G$5:G225))</f>
        <v/>
      </c>
    </row>
    <row r="226" spans="1:10" x14ac:dyDescent="0.3">
      <c r="A226" s="4">
        <v>222</v>
      </c>
      <c r="B226" s="5"/>
      <c r="C226" s="6"/>
      <c r="D226" s="6"/>
      <c r="E226" s="7"/>
      <c r="F226" s="6"/>
      <c r="G226" s="3">
        <f t="shared" si="6"/>
        <v>0</v>
      </c>
      <c r="H226" s="3">
        <f t="shared" si="7"/>
        <v>0</v>
      </c>
      <c r="I226" s="4" t="str">
        <f>IF(AND(B226="",C226="",D226="",E226="",F226=""),"",IF(OR(B226="",C226="",E226=""),"БЛОК: нужны дата, тип операции и сумма",IF(N(E226)&lt;=0,"БЛОК: сумма должна быть больше нуля",IF(AND(H226&lt;&gt;0,F226=""),"БЛОК: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отделить",IF(AND(G226&lt;&gt;0,F226=""),"БЛОК: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нельзя",IF(AND(F226&lt;&gt;"",COUNTIF('Долг по актам'!$B$5:$B$34,F226)=0),"БЛОК: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договору")&gt;0)*($C$5:$C$504&lt;&gt;C226)*($E$5:$E$504=E226)*(($D$5:$D$504=D226)*(D226&lt;&gt;"")+($B$5:$B$504=B226)*(B226&lt;&gt;"")&gt;0))&gt;0,"БЛОК: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26" s="3" t="str">
        <f>IF(AND(B226="",C226="",E226=""),"",SUM($G$5:G226))</f>
        <v/>
      </c>
    </row>
    <row r="227" spans="1:10" x14ac:dyDescent="0.3">
      <c r="A227" s="4">
        <v>223</v>
      </c>
      <c r="B227" s="5"/>
      <c r="C227" s="6"/>
      <c r="D227" s="6"/>
      <c r="E227" s="7"/>
      <c r="F227" s="6"/>
      <c r="G227" s="3">
        <f t="shared" si="6"/>
        <v>0</v>
      </c>
      <c r="H227" s="3">
        <f t="shared" si="7"/>
        <v>0</v>
      </c>
      <c r="I227" s="4" t="str">
        <f>IF(AND(B227="",C227="",D227="",E227="",F227=""),"",IF(OR(B227="",C227="",E227=""),"БЛОК: нужны дата, тип операции и сумма",IF(N(E227)&lt;=0,"БЛОК: сумма должна быть больше нуля",IF(AND(H227&lt;&gt;0,F227=""),"БЛОК: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отделить",IF(AND(G227&lt;&gt;0,F227=""),"БЛОК: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нельзя",IF(AND(F227&lt;&gt;"",COUNTIF('Долг по актам'!$B$5:$B$34,F227)=0),"БЛОК: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договору")&gt;0)*($C$5:$C$504&lt;&gt;C227)*($E$5:$E$504=E227)*(($D$5:$D$504=D227)*(D227&lt;&gt;"")+($B$5:$B$504=B227)*(B227&lt;&gt;"")&gt;0))&gt;0,"БЛОК: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27" s="3" t="str">
        <f>IF(AND(B227="",C227="",E227=""),"",SUM($G$5:G227))</f>
        <v/>
      </c>
    </row>
    <row r="228" spans="1:10" x14ac:dyDescent="0.3">
      <c r="A228" s="4">
        <v>224</v>
      </c>
      <c r="B228" s="5"/>
      <c r="C228" s="6"/>
      <c r="D228" s="6"/>
      <c r="E228" s="7"/>
      <c r="F228" s="6"/>
      <c r="G228" s="3">
        <f t="shared" si="6"/>
        <v>0</v>
      </c>
      <c r="H228" s="3">
        <f t="shared" si="7"/>
        <v>0</v>
      </c>
      <c r="I228" s="4" t="str">
        <f>IF(AND(B228="",C228="",D228="",E228="",F228=""),"",IF(OR(B228="",C228="",E228=""),"БЛОК: нужны дата, тип операции и сумма",IF(N(E228)&lt;=0,"БЛОК: сумма должна быть больше нуля",IF(AND(H228&lt;&gt;0,F228=""),"БЛОК: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отделить",IF(AND(G228&lt;&gt;0,F228=""),"БЛОК: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нельзя",IF(AND(F228&lt;&gt;"",COUNTIF('Долг по актам'!$B$5:$B$34,F228)=0),"БЛОК: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договору")&gt;0)*($C$5:$C$504&lt;&gt;C228)*($E$5:$E$504=E228)*(($D$5:$D$504=D228)*(D228&lt;&gt;"")+($B$5:$B$504=B228)*(B228&lt;&gt;"")&gt;0))&gt;0,"БЛОК: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28" s="3" t="str">
        <f>IF(AND(B228="",C228="",E228=""),"",SUM($G$5:G228))</f>
        <v/>
      </c>
    </row>
    <row r="229" spans="1:10" x14ac:dyDescent="0.3">
      <c r="A229" s="4">
        <v>225</v>
      </c>
      <c r="B229" s="5"/>
      <c r="C229" s="6"/>
      <c r="D229" s="6"/>
      <c r="E229" s="7"/>
      <c r="F229" s="6"/>
      <c r="G229" s="3">
        <f t="shared" si="6"/>
        <v>0</v>
      </c>
      <c r="H229" s="3">
        <f t="shared" si="7"/>
        <v>0</v>
      </c>
      <c r="I229" s="4" t="str">
        <f>IF(AND(B229="",C229="",D229="",E229="",F229=""),"",IF(OR(B229="",C229="",E229=""),"БЛОК: нужны дата, тип операции и сумма",IF(N(E229)&lt;=0,"БЛОК: сумма должна быть больше нуля",IF(AND(H229&lt;&gt;0,F229=""),"БЛОК: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отделить",IF(AND(G229&lt;&gt;0,F229=""),"БЛОК: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нельзя",IF(AND(F229&lt;&gt;"",COUNTIF('Долг по актам'!$B$5:$B$34,F229)=0),"БЛОК: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договору")&gt;0)*($C$5:$C$504&lt;&gt;C229)*($E$5:$E$504=E229)*(($D$5:$D$504=D229)*(D229&lt;&gt;"")+($B$5:$B$504=B229)*(B229&lt;&gt;"")&gt;0))&gt;0,"БЛОК: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29" s="3" t="str">
        <f>IF(AND(B229="",C229="",E229=""),"",SUM($G$5:G229))</f>
        <v/>
      </c>
    </row>
    <row r="230" spans="1:10" x14ac:dyDescent="0.3">
      <c r="A230" s="4">
        <v>226</v>
      </c>
      <c r="B230" s="5"/>
      <c r="C230" s="6"/>
      <c r="D230" s="6"/>
      <c r="E230" s="7"/>
      <c r="F230" s="6"/>
      <c r="G230" s="3">
        <f t="shared" si="6"/>
        <v>0</v>
      </c>
      <c r="H230" s="3">
        <f t="shared" si="7"/>
        <v>0</v>
      </c>
      <c r="I230" s="4" t="str">
        <f>IF(AND(B230="",C230="",D230="",E230="",F230=""),"",IF(OR(B230="",C230="",E230=""),"БЛОК: нужны дата, тип операции и сумма",IF(N(E230)&lt;=0,"БЛОК: сумма должна быть больше нуля",IF(AND(H230&lt;&gt;0,F230=""),"БЛОК: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отделить",IF(AND(G230&lt;&gt;0,F230=""),"БЛОК: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нельзя",IF(AND(F230&lt;&gt;"",COUNTIF('Долг по актам'!$B$5:$B$34,F230)=0),"БЛОК: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договору")&gt;0)*($C$5:$C$504&lt;&gt;C230)*($E$5:$E$504=E230)*(($D$5:$D$504=D230)*(D230&lt;&gt;"")+($B$5:$B$504=B230)*(B230&lt;&gt;"")&gt;0))&gt;0,"БЛОК: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30" s="3" t="str">
        <f>IF(AND(B230="",C230="",E230=""),"",SUM($G$5:G230))</f>
        <v/>
      </c>
    </row>
    <row r="231" spans="1:10" x14ac:dyDescent="0.3">
      <c r="A231" s="4">
        <v>227</v>
      </c>
      <c r="B231" s="5"/>
      <c r="C231" s="6"/>
      <c r="D231" s="6"/>
      <c r="E231" s="7"/>
      <c r="F231" s="6"/>
      <c r="G231" s="3">
        <f t="shared" si="6"/>
        <v>0</v>
      </c>
      <c r="H231" s="3">
        <f t="shared" si="7"/>
        <v>0</v>
      </c>
      <c r="I231" s="4" t="str">
        <f>IF(AND(B231="",C231="",D231="",E231="",F231=""),"",IF(OR(B231="",C231="",E231=""),"БЛОК: нужны дата, тип операции и сумма",IF(N(E231)&lt;=0,"БЛОК: сумма должна быть больше нуля",IF(AND(H231&lt;&gt;0,F231=""),"БЛОК: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отделить",IF(AND(G231&lt;&gt;0,F231=""),"БЛОК: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нельзя",IF(AND(F231&lt;&gt;"",COUNTIF('Долг по актам'!$B$5:$B$34,F231)=0),"БЛОК: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договору")&gt;0)*($C$5:$C$504&lt;&gt;C231)*($E$5:$E$504=E231)*(($D$5:$D$504=D231)*(D231&lt;&gt;"")+($B$5:$B$504=B231)*(B231&lt;&gt;"")&gt;0))&gt;0,"БЛОК: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31" s="3" t="str">
        <f>IF(AND(B231="",C231="",E231=""),"",SUM($G$5:G231))</f>
        <v/>
      </c>
    </row>
    <row r="232" spans="1:10" x14ac:dyDescent="0.3">
      <c r="A232" s="4">
        <v>228</v>
      </c>
      <c r="B232" s="5"/>
      <c r="C232" s="6"/>
      <c r="D232" s="6"/>
      <c r="E232" s="7"/>
      <c r="F232" s="6"/>
      <c r="G232" s="3">
        <f t="shared" si="6"/>
        <v>0</v>
      </c>
      <c r="H232" s="3">
        <f t="shared" si="7"/>
        <v>0</v>
      </c>
      <c r="I232" s="4" t="str">
        <f>IF(AND(B232="",C232="",D232="",E232="",F232=""),"",IF(OR(B232="",C232="",E232=""),"БЛОК: нужны дата, тип операции и сумма",IF(N(E232)&lt;=0,"БЛОК: сумма должна быть больше нуля",IF(AND(H232&lt;&gt;0,F232=""),"БЛОК: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отделить",IF(AND(G232&lt;&gt;0,F232=""),"БЛОК: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нельзя",IF(AND(F232&lt;&gt;"",COUNTIF('Долг по актам'!$B$5:$B$34,F232)=0),"БЛОК: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договору")&gt;0)*($C$5:$C$504&lt;&gt;C232)*($E$5:$E$504=E232)*(($D$5:$D$504=D232)*(D232&lt;&gt;"")+($B$5:$B$504=B232)*(B232&lt;&gt;"")&gt;0))&gt;0,"БЛОК: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32" s="3" t="str">
        <f>IF(AND(B232="",C232="",E232=""),"",SUM($G$5:G232))</f>
        <v/>
      </c>
    </row>
    <row r="233" spans="1:10" x14ac:dyDescent="0.3">
      <c r="A233" s="4">
        <v>229</v>
      </c>
      <c r="B233" s="5"/>
      <c r="C233" s="6"/>
      <c r="D233" s="6"/>
      <c r="E233" s="7"/>
      <c r="F233" s="6"/>
      <c r="G233" s="3">
        <f t="shared" si="6"/>
        <v>0</v>
      </c>
      <c r="H233" s="3">
        <f t="shared" si="7"/>
        <v>0</v>
      </c>
      <c r="I233" s="4" t="str">
        <f>IF(AND(B233="",C233="",D233="",E233="",F233=""),"",IF(OR(B233="",C233="",E233=""),"БЛОК: нужны дата, тип операции и сумма",IF(N(E233)&lt;=0,"БЛОК: сумма должна быть больше нуля",IF(AND(H233&lt;&gt;0,F233=""),"БЛОК: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отделить",IF(AND(G233&lt;&gt;0,F233=""),"БЛОК: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нельзя",IF(AND(F233&lt;&gt;"",COUNTIF('Долг по актам'!$B$5:$B$34,F233)=0),"БЛОК: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договору")&gt;0)*($C$5:$C$504&lt;&gt;C233)*($E$5:$E$504=E233)*(($D$5:$D$504=D233)*(D233&lt;&gt;"")+($B$5:$B$504=B233)*(B233&lt;&gt;"")&gt;0))&gt;0,"БЛОК: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33" s="3" t="str">
        <f>IF(AND(B233="",C233="",E233=""),"",SUM($G$5:G233))</f>
        <v/>
      </c>
    </row>
    <row r="234" spans="1:10" x14ac:dyDescent="0.3">
      <c r="A234" s="4">
        <v>230</v>
      </c>
      <c r="B234" s="5"/>
      <c r="C234" s="6"/>
      <c r="D234" s="6"/>
      <c r="E234" s="7"/>
      <c r="F234" s="6"/>
      <c r="G234" s="3">
        <f t="shared" si="6"/>
        <v>0</v>
      </c>
      <c r="H234" s="3">
        <f t="shared" si="7"/>
        <v>0</v>
      </c>
      <c r="I234" s="4" t="str">
        <f>IF(AND(B234="",C234="",D234="",E234="",F234=""),"",IF(OR(B234="",C234="",E234=""),"БЛОК: нужны дата, тип операции и сумма",IF(N(E234)&lt;=0,"БЛОК: сумма должна быть больше нуля",IF(AND(H234&lt;&gt;0,F234=""),"БЛОК: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отделить",IF(AND(G234&lt;&gt;0,F234=""),"БЛОК: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нельзя",IF(AND(F234&lt;&gt;"",COUNTIF('Долг по актам'!$B$5:$B$34,F234)=0),"БЛОК: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договору")&gt;0)*($C$5:$C$504&lt;&gt;C234)*($E$5:$E$504=E234)*(($D$5:$D$504=D234)*(D234&lt;&gt;"")+($B$5:$B$504=B234)*(B234&lt;&gt;"")&gt;0))&gt;0,"БЛОК: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34" s="3" t="str">
        <f>IF(AND(B234="",C234="",E234=""),"",SUM($G$5:G234))</f>
        <v/>
      </c>
    </row>
    <row r="235" spans="1:10" x14ac:dyDescent="0.3">
      <c r="A235" s="4">
        <v>231</v>
      </c>
      <c r="B235" s="5"/>
      <c r="C235" s="6"/>
      <c r="D235" s="6"/>
      <c r="E235" s="7"/>
      <c r="F235" s="6"/>
      <c r="G235" s="3">
        <f t="shared" si="6"/>
        <v>0</v>
      </c>
      <c r="H235" s="3">
        <f t="shared" si="7"/>
        <v>0</v>
      </c>
      <c r="I235" s="4" t="str">
        <f>IF(AND(B235="",C235="",D235="",E235="",F235=""),"",IF(OR(B235="",C235="",E235=""),"БЛОК: нужны дата, тип операции и сумма",IF(N(E235)&lt;=0,"БЛОК: сумма должна быть больше нуля",IF(AND(H235&lt;&gt;0,F235=""),"БЛОК: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отделить",IF(AND(G235&lt;&gt;0,F235=""),"БЛОК: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нельзя",IF(AND(F235&lt;&gt;"",COUNTIF('Долг по актам'!$B$5:$B$34,F235)=0),"БЛОК: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договору")&gt;0)*($C$5:$C$504&lt;&gt;C235)*($E$5:$E$504=E235)*(($D$5:$D$504=D235)*(D235&lt;&gt;"")+($B$5:$B$504=B235)*(B235&lt;&gt;"")&gt;0))&gt;0,"БЛОК: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35" s="3" t="str">
        <f>IF(AND(B235="",C235="",E235=""),"",SUM($G$5:G235))</f>
        <v/>
      </c>
    </row>
    <row r="236" spans="1:10" x14ac:dyDescent="0.3">
      <c r="A236" s="4">
        <v>232</v>
      </c>
      <c r="B236" s="5"/>
      <c r="C236" s="6"/>
      <c r="D236" s="6"/>
      <c r="E236" s="7"/>
      <c r="F236" s="6"/>
      <c r="G236" s="3">
        <f t="shared" si="6"/>
        <v>0</v>
      </c>
      <c r="H236" s="3">
        <f t="shared" si="7"/>
        <v>0</v>
      </c>
      <c r="I236" s="4" t="str">
        <f>IF(AND(B236="",C236="",D236="",E236="",F236=""),"",IF(OR(B236="",C236="",E236=""),"БЛОК: нужны дата, тип операции и сумма",IF(N(E236)&lt;=0,"БЛОК: сумма должна быть больше нуля",IF(AND(H236&lt;&gt;0,F236=""),"БЛОК: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отделить",IF(AND(G236&lt;&gt;0,F236=""),"БЛОК: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нельзя",IF(AND(F236&lt;&gt;"",COUNTIF('Долг по актам'!$B$5:$B$34,F236)=0),"БЛОК: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договору")&gt;0)*($C$5:$C$504&lt;&gt;C236)*($E$5:$E$504=E236)*(($D$5:$D$504=D236)*(D236&lt;&gt;"")+($B$5:$B$504=B236)*(B236&lt;&gt;"")&gt;0))&gt;0,"БЛОК: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36" s="3" t="str">
        <f>IF(AND(B236="",C236="",E236=""),"",SUM($G$5:G236))</f>
        <v/>
      </c>
    </row>
    <row r="237" spans="1:10" x14ac:dyDescent="0.3">
      <c r="A237" s="4">
        <v>233</v>
      </c>
      <c r="B237" s="5"/>
      <c r="C237" s="6"/>
      <c r="D237" s="6"/>
      <c r="E237" s="7"/>
      <c r="F237" s="6"/>
      <c r="G237" s="3">
        <f t="shared" si="6"/>
        <v>0</v>
      </c>
      <c r="H237" s="3">
        <f t="shared" si="7"/>
        <v>0</v>
      </c>
      <c r="I237" s="4" t="str">
        <f>IF(AND(B237="",C237="",D237="",E237="",F237=""),"",IF(OR(B237="",C237="",E237=""),"БЛОК: нужны дата, тип операции и сумма",IF(N(E237)&lt;=0,"БЛОК: сумма должна быть больше нуля",IF(AND(H237&lt;&gt;0,F237=""),"БЛОК: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отделить",IF(AND(G237&lt;&gt;0,F237=""),"БЛОК: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нельзя",IF(AND(F237&lt;&gt;"",COUNTIF('Долг по актам'!$B$5:$B$34,F237)=0),"БЛОК: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договору")&gt;0)*($C$5:$C$504&lt;&gt;C237)*($E$5:$E$504=E237)*(($D$5:$D$504=D237)*(D237&lt;&gt;"")+($B$5:$B$504=B237)*(B237&lt;&gt;"")&gt;0))&gt;0,"БЛОК: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37" s="3" t="str">
        <f>IF(AND(B237="",C237="",E237=""),"",SUM($G$5:G237))</f>
        <v/>
      </c>
    </row>
    <row r="238" spans="1:10" x14ac:dyDescent="0.3">
      <c r="A238" s="4">
        <v>234</v>
      </c>
      <c r="B238" s="5"/>
      <c r="C238" s="6"/>
      <c r="D238" s="6"/>
      <c r="E238" s="7"/>
      <c r="F238" s="6"/>
      <c r="G238" s="3">
        <f t="shared" si="6"/>
        <v>0</v>
      </c>
      <c r="H238" s="3">
        <f t="shared" si="7"/>
        <v>0</v>
      </c>
      <c r="I238" s="4" t="str">
        <f>IF(AND(B238="",C238="",D238="",E238="",F238=""),"",IF(OR(B238="",C238="",E238=""),"БЛОК: нужны дата, тип операции и сумма",IF(N(E238)&lt;=0,"БЛОК: сумма должна быть больше нуля",IF(AND(H238&lt;&gt;0,F238=""),"БЛОК: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отделить",IF(AND(G238&lt;&gt;0,F238=""),"БЛОК: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нельзя",IF(AND(F238&lt;&gt;"",COUNTIF('Долг по актам'!$B$5:$B$34,F238)=0),"БЛОК: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договору")&gt;0)*($C$5:$C$504&lt;&gt;C238)*($E$5:$E$504=E238)*(($D$5:$D$504=D238)*(D238&lt;&gt;"")+($B$5:$B$504=B238)*(B238&lt;&gt;"")&gt;0))&gt;0,"БЛОК: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38" s="3" t="str">
        <f>IF(AND(B238="",C238="",E238=""),"",SUM($G$5:G238))</f>
        <v/>
      </c>
    </row>
    <row r="239" spans="1:10" x14ac:dyDescent="0.3">
      <c r="A239" s="4">
        <v>235</v>
      </c>
      <c r="B239" s="5"/>
      <c r="C239" s="6"/>
      <c r="D239" s="6"/>
      <c r="E239" s="7"/>
      <c r="F239" s="6"/>
      <c r="G239" s="3">
        <f t="shared" si="6"/>
        <v>0</v>
      </c>
      <c r="H239" s="3">
        <f t="shared" si="7"/>
        <v>0</v>
      </c>
      <c r="I239" s="4" t="str">
        <f>IF(AND(B239="",C239="",D239="",E239="",F239=""),"",IF(OR(B239="",C239="",E239=""),"БЛОК: нужны дата, тип операции и сумма",IF(N(E239)&lt;=0,"БЛОК: сумма должна быть больше нуля",IF(AND(H239&lt;&gt;0,F239=""),"БЛОК: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отделить",IF(AND(G239&lt;&gt;0,F239=""),"БЛОК: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нельзя",IF(AND(F239&lt;&gt;"",COUNTIF('Долг по актам'!$B$5:$B$34,F239)=0),"БЛОК: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договору")&gt;0)*($C$5:$C$504&lt;&gt;C239)*($E$5:$E$504=E239)*(($D$5:$D$504=D239)*(D239&lt;&gt;"")+($B$5:$B$504=B239)*(B239&lt;&gt;"")&gt;0))&gt;0,"БЛОК: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39" s="3" t="str">
        <f>IF(AND(B239="",C239="",E239=""),"",SUM($G$5:G239))</f>
        <v/>
      </c>
    </row>
    <row r="240" spans="1:10" x14ac:dyDescent="0.3">
      <c r="A240" s="4">
        <v>236</v>
      </c>
      <c r="B240" s="5"/>
      <c r="C240" s="6"/>
      <c r="D240" s="6"/>
      <c r="E240" s="7"/>
      <c r="F240" s="6"/>
      <c r="G240" s="3">
        <f t="shared" si="6"/>
        <v>0</v>
      </c>
      <c r="H240" s="3">
        <f t="shared" si="7"/>
        <v>0</v>
      </c>
      <c r="I240" s="4" t="str">
        <f>IF(AND(B240="",C240="",D240="",E240="",F240=""),"",IF(OR(B240="",C240="",E240=""),"БЛОК: нужны дата, тип операции и сумма",IF(N(E240)&lt;=0,"БЛОК: сумма должна быть больше нуля",IF(AND(H240&lt;&gt;0,F240=""),"БЛОК: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отделить",IF(AND(G240&lt;&gt;0,F240=""),"БЛОК: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нельзя",IF(AND(F240&lt;&gt;"",COUNTIF('Долг по актам'!$B$5:$B$34,F240)=0),"БЛОК: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договору")&gt;0)*($C$5:$C$504&lt;&gt;C240)*($E$5:$E$504=E240)*(($D$5:$D$504=D240)*(D240&lt;&gt;"")+($B$5:$B$504=B240)*(B240&lt;&gt;"")&gt;0))&gt;0,"БЛОК: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40" s="3" t="str">
        <f>IF(AND(B240="",C240="",E240=""),"",SUM($G$5:G240))</f>
        <v/>
      </c>
    </row>
    <row r="241" spans="1:10" x14ac:dyDescent="0.3">
      <c r="A241" s="4">
        <v>237</v>
      </c>
      <c r="B241" s="5"/>
      <c r="C241" s="6"/>
      <c r="D241" s="6"/>
      <c r="E241" s="7"/>
      <c r="F241" s="6"/>
      <c r="G241" s="3">
        <f t="shared" si="6"/>
        <v>0</v>
      </c>
      <c r="H241" s="3">
        <f t="shared" si="7"/>
        <v>0</v>
      </c>
      <c r="I241" s="4" t="str">
        <f>IF(AND(B241="",C241="",D241="",E241="",F241=""),"",IF(OR(B241="",C241="",E241=""),"БЛОК: нужны дата, тип операции и сумма",IF(N(E241)&lt;=0,"БЛОК: сумма должна быть больше нуля",IF(AND(H241&lt;&gt;0,F241=""),"БЛОК: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отделить",IF(AND(G241&lt;&gt;0,F241=""),"БЛОК: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нельзя",IF(AND(F241&lt;&gt;"",COUNTIF('Долг по актам'!$B$5:$B$34,F241)=0),"БЛОК: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договору")&gt;0)*($C$5:$C$504&lt;&gt;C241)*($E$5:$E$504=E241)*(($D$5:$D$504=D241)*(D241&lt;&gt;"")+($B$5:$B$504=B241)*(B241&lt;&gt;"")&gt;0))&gt;0,"БЛОК: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41" s="3" t="str">
        <f>IF(AND(B241="",C241="",E241=""),"",SUM($G$5:G241))</f>
        <v/>
      </c>
    </row>
    <row r="242" spans="1:10" x14ac:dyDescent="0.3">
      <c r="A242" s="4">
        <v>238</v>
      </c>
      <c r="B242" s="5"/>
      <c r="C242" s="6"/>
      <c r="D242" s="6"/>
      <c r="E242" s="7"/>
      <c r="F242" s="6"/>
      <c r="G242" s="3">
        <f t="shared" si="6"/>
        <v>0</v>
      </c>
      <c r="H242" s="3">
        <f t="shared" si="7"/>
        <v>0</v>
      </c>
      <c r="I242" s="4" t="str">
        <f>IF(AND(B242="",C242="",D242="",E242="",F242=""),"",IF(OR(B242="",C242="",E242=""),"БЛОК: нужны дата, тип операции и сумма",IF(N(E242)&lt;=0,"БЛОК: сумма должна быть больше нуля",IF(AND(H242&lt;&gt;0,F242=""),"БЛОК: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отделить",IF(AND(G242&lt;&gt;0,F242=""),"БЛОК: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нельзя",IF(AND(F242&lt;&gt;"",COUNTIF('Долг по актам'!$B$5:$B$34,F242)=0),"БЛОК: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договору")&gt;0)*($C$5:$C$504&lt;&gt;C242)*($E$5:$E$504=E242)*(($D$5:$D$504=D242)*(D242&lt;&gt;"")+($B$5:$B$504=B242)*(B242&lt;&gt;"")&gt;0))&gt;0,"БЛОК: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42" s="3" t="str">
        <f>IF(AND(B242="",C242="",E242=""),"",SUM($G$5:G242))</f>
        <v/>
      </c>
    </row>
    <row r="243" spans="1:10" x14ac:dyDescent="0.3">
      <c r="A243" s="4">
        <v>239</v>
      </c>
      <c r="B243" s="5"/>
      <c r="C243" s="6"/>
      <c r="D243" s="6"/>
      <c r="E243" s="7"/>
      <c r="F243" s="6"/>
      <c r="G243" s="3">
        <f t="shared" si="6"/>
        <v>0</v>
      </c>
      <c r="H243" s="3">
        <f t="shared" si="7"/>
        <v>0</v>
      </c>
      <c r="I243" s="4" t="str">
        <f>IF(AND(B243="",C243="",D243="",E243="",F243=""),"",IF(OR(B243="",C243="",E243=""),"БЛОК: нужны дата, тип операции и сумма",IF(N(E243)&lt;=0,"БЛОК: сумма должна быть больше нуля",IF(AND(H243&lt;&gt;0,F243=""),"БЛОК: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отделить",IF(AND(G243&lt;&gt;0,F243=""),"БЛОК: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нельзя",IF(AND(F243&lt;&gt;"",COUNTIF('Долг по актам'!$B$5:$B$34,F243)=0),"БЛОК: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договору")&gt;0)*($C$5:$C$504&lt;&gt;C243)*($E$5:$E$504=E243)*(($D$5:$D$504=D243)*(D243&lt;&gt;"")+($B$5:$B$504=B243)*(B243&lt;&gt;"")&gt;0))&gt;0,"БЛОК: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43" s="3" t="str">
        <f>IF(AND(B243="",C243="",E243=""),"",SUM($G$5:G243))</f>
        <v/>
      </c>
    </row>
    <row r="244" spans="1:10" x14ac:dyDescent="0.3">
      <c r="A244" s="4">
        <v>240</v>
      </c>
      <c r="B244" s="5"/>
      <c r="C244" s="6"/>
      <c r="D244" s="6"/>
      <c r="E244" s="7"/>
      <c r="F244" s="6"/>
      <c r="G244" s="3">
        <f t="shared" si="6"/>
        <v>0</v>
      </c>
      <c r="H244" s="3">
        <f t="shared" si="7"/>
        <v>0</v>
      </c>
      <c r="I244" s="4" t="str">
        <f>IF(AND(B244="",C244="",D244="",E244="",F244=""),"",IF(OR(B244="",C244="",E244=""),"БЛОК: нужны дата, тип операции и сумма",IF(N(E244)&lt;=0,"БЛОК: сумма должна быть больше нуля",IF(AND(H244&lt;&gt;0,F244=""),"БЛОК: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отделить",IF(AND(G244&lt;&gt;0,F244=""),"БЛОК: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нельзя",IF(AND(F244&lt;&gt;"",COUNTIF('Долг по актам'!$B$5:$B$34,F244)=0),"БЛОК: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договору")&gt;0)*($C$5:$C$504&lt;&gt;C244)*($E$5:$E$504=E244)*(($D$5:$D$504=D244)*(D244&lt;&gt;"")+($B$5:$B$504=B244)*(B244&lt;&gt;"")&gt;0))&gt;0,"БЛОК: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44" s="3" t="str">
        <f>IF(AND(B244="",C244="",E244=""),"",SUM($G$5:G244))</f>
        <v/>
      </c>
    </row>
    <row r="245" spans="1:10" x14ac:dyDescent="0.3">
      <c r="A245" s="4">
        <v>241</v>
      </c>
      <c r="B245" s="5"/>
      <c r="C245" s="6"/>
      <c r="D245" s="6"/>
      <c r="E245" s="7"/>
      <c r="F245" s="6"/>
      <c r="G245" s="3">
        <f t="shared" si="6"/>
        <v>0</v>
      </c>
      <c r="H245" s="3">
        <f t="shared" si="7"/>
        <v>0</v>
      </c>
      <c r="I245" s="4" t="str">
        <f>IF(AND(B245="",C245="",D245="",E245="",F245=""),"",IF(OR(B245="",C245="",E245=""),"БЛОК: нужны дата, тип операции и сумма",IF(N(E245)&lt;=0,"БЛОК: сумма должна быть больше нуля",IF(AND(H245&lt;&gt;0,F245=""),"БЛОК: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отделить",IF(AND(G245&lt;&gt;0,F245=""),"БЛОК: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нельзя",IF(AND(F245&lt;&gt;"",COUNTIF('Долг по актам'!$B$5:$B$34,F245)=0),"БЛОК: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договору")&gt;0)*($C$5:$C$504&lt;&gt;C245)*($E$5:$E$504=E245)*(($D$5:$D$504=D245)*(D245&lt;&gt;"")+($B$5:$B$504=B245)*(B245&lt;&gt;"")&gt;0))&gt;0,"БЛОК: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45" s="3" t="str">
        <f>IF(AND(B245="",C245="",E245=""),"",SUM($G$5:G245))</f>
        <v/>
      </c>
    </row>
    <row r="246" spans="1:10" x14ac:dyDescent="0.3">
      <c r="A246" s="4">
        <v>242</v>
      </c>
      <c r="B246" s="5"/>
      <c r="C246" s="6"/>
      <c r="D246" s="6"/>
      <c r="E246" s="7"/>
      <c r="F246" s="6"/>
      <c r="G246" s="3">
        <f t="shared" si="6"/>
        <v>0</v>
      </c>
      <c r="H246" s="3">
        <f t="shared" si="7"/>
        <v>0</v>
      </c>
      <c r="I246" s="4" t="str">
        <f>IF(AND(B246="",C246="",D246="",E246="",F246=""),"",IF(OR(B246="",C246="",E246=""),"БЛОК: нужны дата, тип операции и сумма",IF(N(E246)&lt;=0,"БЛОК: сумма должна быть больше нуля",IF(AND(H246&lt;&gt;0,F246=""),"БЛОК: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отделить",IF(AND(G246&lt;&gt;0,F246=""),"БЛОК: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нельзя",IF(AND(F246&lt;&gt;"",COUNTIF('Долг по актам'!$B$5:$B$34,F246)=0),"БЛОК: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договору")&gt;0)*($C$5:$C$504&lt;&gt;C246)*($E$5:$E$504=E246)*(($D$5:$D$504=D246)*(D246&lt;&gt;"")+($B$5:$B$504=B246)*(B246&lt;&gt;"")&gt;0))&gt;0,"БЛОК: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46" s="3" t="str">
        <f>IF(AND(B246="",C246="",E246=""),"",SUM($G$5:G246))</f>
        <v/>
      </c>
    </row>
    <row r="247" spans="1:10" x14ac:dyDescent="0.3">
      <c r="A247" s="4">
        <v>243</v>
      </c>
      <c r="B247" s="5"/>
      <c r="C247" s="6"/>
      <c r="D247" s="6"/>
      <c r="E247" s="7"/>
      <c r="F247" s="6"/>
      <c r="G247" s="3">
        <f t="shared" si="6"/>
        <v>0</v>
      </c>
      <c r="H247" s="3">
        <f t="shared" si="7"/>
        <v>0</v>
      </c>
      <c r="I247" s="4" t="str">
        <f>IF(AND(B247="",C247="",D247="",E247="",F247=""),"",IF(OR(B247="",C247="",E247=""),"БЛОК: нужны дата, тип операции и сумма",IF(N(E247)&lt;=0,"БЛОК: сумма должна быть больше нуля",IF(AND(H247&lt;&gt;0,F247=""),"БЛОК: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отделить",IF(AND(G247&lt;&gt;0,F247=""),"БЛОК: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нельзя",IF(AND(F247&lt;&gt;"",COUNTIF('Долг по актам'!$B$5:$B$34,F247)=0),"БЛОК: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договору")&gt;0)*($C$5:$C$504&lt;&gt;C247)*($E$5:$E$504=E247)*(($D$5:$D$504=D247)*(D247&lt;&gt;"")+($B$5:$B$504=B247)*(B247&lt;&gt;"")&gt;0))&gt;0,"БЛОК: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47" s="3" t="str">
        <f>IF(AND(B247="",C247="",E247=""),"",SUM($G$5:G247))</f>
        <v/>
      </c>
    </row>
    <row r="248" spans="1:10" x14ac:dyDescent="0.3">
      <c r="A248" s="4">
        <v>244</v>
      </c>
      <c r="B248" s="5"/>
      <c r="C248" s="6"/>
      <c r="D248" s="6"/>
      <c r="E248" s="7"/>
      <c r="F248" s="6"/>
      <c r="G248" s="3">
        <f t="shared" si="6"/>
        <v>0</v>
      </c>
      <c r="H248" s="3">
        <f t="shared" si="7"/>
        <v>0</v>
      </c>
      <c r="I248" s="4" t="str">
        <f>IF(AND(B248="",C248="",D248="",E248="",F248=""),"",IF(OR(B248="",C248="",E248=""),"БЛОК: нужны дата, тип операции и сумма",IF(N(E248)&lt;=0,"БЛОК: сумма должна быть больше нуля",IF(AND(H248&lt;&gt;0,F248=""),"БЛОК: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отделить",IF(AND(G248&lt;&gt;0,F248=""),"БЛОК: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нельзя",IF(AND(F248&lt;&gt;"",COUNTIF('Долг по актам'!$B$5:$B$34,F248)=0),"БЛОК: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договору")&gt;0)*($C$5:$C$504&lt;&gt;C248)*($E$5:$E$504=E248)*(($D$5:$D$504=D248)*(D248&lt;&gt;"")+($B$5:$B$504=B248)*(B248&lt;&gt;"")&gt;0))&gt;0,"БЛОК: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48" s="3" t="str">
        <f>IF(AND(B248="",C248="",E248=""),"",SUM($G$5:G248))</f>
        <v/>
      </c>
    </row>
    <row r="249" spans="1:10" x14ac:dyDescent="0.3">
      <c r="A249" s="4">
        <v>245</v>
      </c>
      <c r="B249" s="5"/>
      <c r="C249" s="6"/>
      <c r="D249" s="6"/>
      <c r="E249" s="7"/>
      <c r="F249" s="6"/>
      <c r="G249" s="3">
        <f t="shared" si="6"/>
        <v>0</v>
      </c>
      <c r="H249" s="3">
        <f t="shared" si="7"/>
        <v>0</v>
      </c>
      <c r="I249" s="4" t="str">
        <f>IF(AND(B249="",C249="",D249="",E249="",F249=""),"",IF(OR(B249="",C249="",E249=""),"БЛОК: нужны дата, тип операции и сумма",IF(N(E249)&lt;=0,"БЛОК: сумма должна быть больше нуля",IF(AND(H249&lt;&gt;0,F249=""),"БЛОК: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отделить",IF(AND(G249&lt;&gt;0,F249=""),"БЛОК: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нельзя",IF(AND(F249&lt;&gt;"",COUNTIF('Долг по актам'!$B$5:$B$34,F249)=0),"БЛОК: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договору")&gt;0)*($C$5:$C$504&lt;&gt;C249)*($E$5:$E$504=E249)*(($D$5:$D$504=D249)*(D249&lt;&gt;"")+($B$5:$B$504=B249)*(B249&lt;&gt;"")&gt;0))&gt;0,"БЛОК: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49" s="3" t="str">
        <f>IF(AND(B249="",C249="",E249=""),"",SUM($G$5:G249))</f>
        <v/>
      </c>
    </row>
    <row r="250" spans="1:10" x14ac:dyDescent="0.3">
      <c r="A250" s="4">
        <v>246</v>
      </c>
      <c r="B250" s="5"/>
      <c r="C250" s="6"/>
      <c r="D250" s="6"/>
      <c r="E250" s="7"/>
      <c r="F250" s="6"/>
      <c r="G250" s="3">
        <f t="shared" si="6"/>
        <v>0</v>
      </c>
      <c r="H250" s="3">
        <f t="shared" si="7"/>
        <v>0</v>
      </c>
      <c r="I250" s="4" t="str">
        <f>IF(AND(B250="",C250="",D250="",E250="",F250=""),"",IF(OR(B250="",C250="",E250=""),"БЛОК: нужны дата, тип операции и сумма",IF(N(E250)&lt;=0,"БЛОК: сумма должна быть больше нуля",IF(AND(H250&lt;&gt;0,F250=""),"БЛОК: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отделить",IF(AND(G250&lt;&gt;0,F250=""),"БЛОК: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нельзя",IF(AND(F250&lt;&gt;"",COUNTIF('Долг по актам'!$B$5:$B$34,F250)=0),"БЛОК: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договору")&gt;0)*($C$5:$C$504&lt;&gt;C250)*($E$5:$E$504=E250)*(($D$5:$D$504=D250)*(D250&lt;&gt;"")+($B$5:$B$504=B250)*(B250&lt;&gt;"")&gt;0))&gt;0,"БЛОК: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50" s="3" t="str">
        <f>IF(AND(B250="",C250="",E250=""),"",SUM($G$5:G250))</f>
        <v/>
      </c>
    </row>
    <row r="251" spans="1:10" x14ac:dyDescent="0.3">
      <c r="A251" s="4">
        <v>247</v>
      </c>
      <c r="B251" s="5"/>
      <c r="C251" s="6"/>
      <c r="D251" s="6"/>
      <c r="E251" s="7"/>
      <c r="F251" s="6"/>
      <c r="G251" s="3">
        <f t="shared" si="6"/>
        <v>0</v>
      </c>
      <c r="H251" s="3">
        <f t="shared" si="7"/>
        <v>0</v>
      </c>
      <c r="I251" s="4" t="str">
        <f>IF(AND(B251="",C251="",D251="",E251="",F251=""),"",IF(OR(B251="",C251="",E251=""),"БЛОК: нужны дата, тип операции и сумма",IF(N(E251)&lt;=0,"БЛОК: сумма должна быть больше нуля",IF(AND(H251&lt;&gt;0,F251=""),"БЛОК: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отделить",IF(AND(G251&lt;&gt;0,F251=""),"БЛОК: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нельзя",IF(AND(F251&lt;&gt;"",COUNTIF('Долг по актам'!$B$5:$B$34,F251)=0),"БЛОК: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договору")&gt;0)*($C$5:$C$504&lt;&gt;C251)*($E$5:$E$504=E251)*(($D$5:$D$504=D251)*(D251&lt;&gt;"")+($B$5:$B$504=B251)*(B251&lt;&gt;"")&gt;0))&gt;0,"БЛОК: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51" s="3" t="str">
        <f>IF(AND(B251="",C251="",E251=""),"",SUM($G$5:G251))</f>
        <v/>
      </c>
    </row>
    <row r="252" spans="1:10" x14ac:dyDescent="0.3">
      <c r="A252" s="4">
        <v>248</v>
      </c>
      <c r="B252" s="5"/>
      <c r="C252" s="6"/>
      <c r="D252" s="6"/>
      <c r="E252" s="7"/>
      <c r="F252" s="6"/>
      <c r="G252" s="3">
        <f t="shared" si="6"/>
        <v>0</v>
      </c>
      <c r="H252" s="3">
        <f t="shared" si="7"/>
        <v>0</v>
      </c>
      <c r="I252" s="4" t="str">
        <f>IF(AND(B252="",C252="",D252="",E252="",F252=""),"",IF(OR(B252="",C252="",E252=""),"БЛОК: нужны дата, тип операции и сумма",IF(N(E252)&lt;=0,"БЛОК: сумма должна быть больше нуля",IF(AND(H252&lt;&gt;0,F252=""),"БЛОК: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отделить",IF(AND(G252&lt;&gt;0,F252=""),"БЛОК: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нельзя",IF(AND(F252&lt;&gt;"",COUNTIF('Долг по актам'!$B$5:$B$34,F252)=0),"БЛОК: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договору")&gt;0)*($C$5:$C$504&lt;&gt;C252)*($E$5:$E$504=E252)*(($D$5:$D$504=D252)*(D252&lt;&gt;"")+($B$5:$B$504=B252)*(B252&lt;&gt;"")&gt;0))&gt;0,"БЛОК: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52" s="3" t="str">
        <f>IF(AND(B252="",C252="",E252=""),"",SUM($G$5:G252))</f>
        <v/>
      </c>
    </row>
    <row r="253" spans="1:10" x14ac:dyDescent="0.3">
      <c r="A253" s="4">
        <v>249</v>
      </c>
      <c r="B253" s="5"/>
      <c r="C253" s="6"/>
      <c r="D253" s="6"/>
      <c r="E253" s="7"/>
      <c r="F253" s="6"/>
      <c r="G253" s="3">
        <f t="shared" si="6"/>
        <v>0</v>
      </c>
      <c r="H253" s="3">
        <f t="shared" si="7"/>
        <v>0</v>
      </c>
      <c r="I253" s="4" t="str">
        <f>IF(AND(B253="",C253="",D253="",E253="",F253=""),"",IF(OR(B253="",C253="",E253=""),"БЛОК: нужны дата, тип операции и сумма",IF(N(E253)&lt;=0,"БЛОК: сумма должна быть больше нуля",IF(AND(H253&lt;&gt;0,F253=""),"БЛОК: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отделить",IF(AND(G253&lt;&gt;0,F253=""),"БЛОК: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нельзя",IF(AND(F253&lt;&gt;"",COUNTIF('Долг по актам'!$B$5:$B$34,F253)=0),"БЛОК: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договору")&gt;0)*($C$5:$C$504&lt;&gt;C253)*($E$5:$E$504=E253)*(($D$5:$D$504=D253)*(D253&lt;&gt;"")+($B$5:$B$504=B253)*(B253&lt;&gt;"")&gt;0))&gt;0,"БЛОК: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53" s="3" t="str">
        <f>IF(AND(B253="",C253="",E253=""),"",SUM($G$5:G253))</f>
        <v/>
      </c>
    </row>
    <row r="254" spans="1:10" x14ac:dyDescent="0.3">
      <c r="A254" s="4">
        <v>250</v>
      </c>
      <c r="B254" s="5"/>
      <c r="C254" s="6"/>
      <c r="D254" s="6"/>
      <c r="E254" s="7"/>
      <c r="F254" s="6"/>
      <c r="G254" s="3">
        <f t="shared" si="6"/>
        <v>0</v>
      </c>
      <c r="H254" s="3">
        <f t="shared" si="7"/>
        <v>0</v>
      </c>
      <c r="I254" s="4" t="str">
        <f>IF(AND(B254="",C254="",D254="",E254="",F254=""),"",IF(OR(B254="",C254="",E254=""),"БЛОК: нужны дата, тип операции и сумма",IF(N(E254)&lt;=0,"БЛОК: сумма должна быть больше нуля",IF(AND(H254&lt;&gt;0,F254=""),"БЛОК: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отделить",IF(AND(G254&lt;&gt;0,F254=""),"БЛОК: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нельзя",IF(AND(F254&lt;&gt;"",COUNTIF('Долг по актам'!$B$5:$B$34,F254)=0),"БЛОК: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договору")&gt;0)*($C$5:$C$504&lt;&gt;C254)*($E$5:$E$504=E254)*(($D$5:$D$504=D254)*(D254&lt;&gt;"")+($B$5:$B$504=B254)*(B254&lt;&gt;"")&gt;0))&gt;0,"БЛОК: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54" s="3" t="str">
        <f>IF(AND(B254="",C254="",E254=""),"",SUM($G$5:G254))</f>
        <v/>
      </c>
    </row>
    <row r="255" spans="1:10" x14ac:dyDescent="0.3">
      <c r="A255" s="4">
        <v>251</v>
      </c>
      <c r="B255" s="5"/>
      <c r="C255" s="6"/>
      <c r="D255" s="6"/>
      <c r="E255" s="7"/>
      <c r="F255" s="6"/>
      <c r="G255" s="3">
        <f t="shared" si="6"/>
        <v>0</v>
      </c>
      <c r="H255" s="3">
        <f t="shared" si="7"/>
        <v>0</v>
      </c>
      <c r="I255" s="4" t="str">
        <f>IF(AND(B255="",C255="",D255="",E255="",F255=""),"",IF(OR(B255="",C255="",E255=""),"БЛОК: нужны дата, тип операции и сумма",IF(N(E255)&lt;=0,"БЛОК: сумма должна быть больше нуля",IF(AND(H255&lt;&gt;0,F255=""),"БЛОК: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отделить",IF(AND(G255&lt;&gt;0,F255=""),"БЛОК: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нельзя",IF(AND(F255&lt;&gt;"",COUNTIF('Долг по актам'!$B$5:$B$34,F255)=0),"БЛОК: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договору")&gt;0)*($C$5:$C$504&lt;&gt;C255)*($E$5:$E$504=E255)*(($D$5:$D$504=D255)*(D255&lt;&gt;"")+($B$5:$B$504=B255)*(B255&lt;&gt;"")&gt;0))&gt;0,"БЛОК: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55" s="3" t="str">
        <f>IF(AND(B255="",C255="",E255=""),"",SUM($G$5:G255))</f>
        <v/>
      </c>
    </row>
    <row r="256" spans="1:10" x14ac:dyDescent="0.3">
      <c r="A256" s="4">
        <v>252</v>
      </c>
      <c r="B256" s="5"/>
      <c r="C256" s="6"/>
      <c r="D256" s="6"/>
      <c r="E256" s="7"/>
      <c r="F256" s="6"/>
      <c r="G256" s="3">
        <f t="shared" si="6"/>
        <v>0</v>
      </c>
      <c r="H256" s="3">
        <f t="shared" si="7"/>
        <v>0</v>
      </c>
      <c r="I256" s="4" t="str">
        <f>IF(AND(B256="",C256="",D256="",E256="",F256=""),"",IF(OR(B256="",C256="",E256=""),"БЛОК: нужны дата, тип операции и сумма",IF(N(E256)&lt;=0,"БЛОК: сумма должна быть больше нуля",IF(AND(H256&lt;&gt;0,F256=""),"БЛОК: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отделить",IF(AND(G256&lt;&gt;0,F256=""),"БЛОК: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нельзя",IF(AND(F256&lt;&gt;"",COUNTIF('Долг по актам'!$B$5:$B$34,F256)=0),"БЛОК: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договору")&gt;0)*($C$5:$C$504&lt;&gt;C256)*($E$5:$E$504=E256)*(($D$5:$D$504=D256)*(D256&lt;&gt;"")+($B$5:$B$504=B256)*(B256&lt;&gt;"")&gt;0))&gt;0,"БЛОК: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56" s="3" t="str">
        <f>IF(AND(B256="",C256="",E256=""),"",SUM($G$5:G256))</f>
        <v/>
      </c>
    </row>
    <row r="257" spans="1:10" x14ac:dyDescent="0.3">
      <c r="A257" s="4">
        <v>253</v>
      </c>
      <c r="B257" s="5"/>
      <c r="C257" s="6"/>
      <c r="D257" s="6"/>
      <c r="E257" s="7"/>
      <c r="F257" s="6"/>
      <c r="G257" s="3">
        <f t="shared" si="6"/>
        <v>0</v>
      </c>
      <c r="H257" s="3">
        <f t="shared" si="7"/>
        <v>0</v>
      </c>
      <c r="I257" s="4" t="str">
        <f>IF(AND(B257="",C257="",D257="",E257="",F257=""),"",IF(OR(B257="",C257="",E257=""),"БЛОК: нужны дата, тип операции и сумма",IF(N(E257)&lt;=0,"БЛОК: сумма должна быть больше нуля",IF(AND(H257&lt;&gt;0,F257=""),"БЛОК: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отделить",IF(AND(G257&lt;&gt;0,F257=""),"БЛОК: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нельзя",IF(AND(F257&lt;&gt;"",COUNTIF('Долг по актам'!$B$5:$B$34,F257)=0),"БЛОК: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договору")&gt;0)*($C$5:$C$504&lt;&gt;C257)*($E$5:$E$504=E257)*(($D$5:$D$504=D257)*(D257&lt;&gt;"")+($B$5:$B$504=B257)*(B257&lt;&gt;"")&gt;0))&gt;0,"БЛОК: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57" s="3" t="str">
        <f>IF(AND(B257="",C257="",E257=""),"",SUM($G$5:G257))</f>
        <v/>
      </c>
    </row>
    <row r="258" spans="1:10" x14ac:dyDescent="0.3">
      <c r="A258" s="4">
        <v>254</v>
      </c>
      <c r="B258" s="5"/>
      <c r="C258" s="6"/>
      <c r="D258" s="6"/>
      <c r="E258" s="7"/>
      <c r="F258" s="6"/>
      <c r="G258" s="3">
        <f t="shared" si="6"/>
        <v>0</v>
      </c>
      <c r="H258" s="3">
        <f t="shared" si="7"/>
        <v>0</v>
      </c>
      <c r="I258" s="4" t="str">
        <f>IF(AND(B258="",C258="",D258="",E258="",F258=""),"",IF(OR(B258="",C258="",E258=""),"БЛОК: нужны дата, тип операции и сумма",IF(N(E258)&lt;=0,"БЛОК: сумма должна быть больше нуля",IF(AND(H258&lt;&gt;0,F258=""),"БЛОК: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отделить",IF(AND(G258&lt;&gt;0,F258=""),"БЛОК: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нельзя",IF(AND(F258&lt;&gt;"",COUNTIF('Долг по актам'!$B$5:$B$34,F258)=0),"БЛОК: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договору")&gt;0)*($C$5:$C$504&lt;&gt;C258)*($E$5:$E$504=E258)*(($D$5:$D$504=D258)*(D258&lt;&gt;"")+($B$5:$B$504=B258)*(B258&lt;&gt;"")&gt;0))&gt;0,"БЛОК: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58" s="3" t="str">
        <f>IF(AND(B258="",C258="",E258=""),"",SUM($G$5:G258))</f>
        <v/>
      </c>
    </row>
    <row r="259" spans="1:10" x14ac:dyDescent="0.3">
      <c r="A259" s="4">
        <v>255</v>
      </c>
      <c r="B259" s="5"/>
      <c r="C259" s="6"/>
      <c r="D259" s="6"/>
      <c r="E259" s="7"/>
      <c r="F259" s="6"/>
      <c r="G259" s="3">
        <f t="shared" si="6"/>
        <v>0</v>
      </c>
      <c r="H259" s="3">
        <f t="shared" si="7"/>
        <v>0</v>
      </c>
      <c r="I259" s="4" t="str">
        <f>IF(AND(B259="",C259="",D259="",E259="",F259=""),"",IF(OR(B259="",C259="",E259=""),"БЛОК: нужны дата, тип операции и сумма",IF(N(E259)&lt;=0,"БЛОК: сумма должна быть больше нуля",IF(AND(H259&lt;&gt;0,F259=""),"БЛОК: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отделить",IF(AND(G259&lt;&gt;0,F259=""),"БЛОК: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нельзя",IF(AND(F259&lt;&gt;"",COUNTIF('Долг по актам'!$B$5:$B$34,F259)=0),"БЛОК: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договору")&gt;0)*($C$5:$C$504&lt;&gt;C259)*($E$5:$E$504=E259)*(($D$5:$D$504=D259)*(D259&lt;&gt;"")+($B$5:$B$504=B259)*(B259&lt;&gt;"")&gt;0))&gt;0,"БЛОК: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59" s="3" t="str">
        <f>IF(AND(B259="",C259="",E259=""),"",SUM($G$5:G259))</f>
        <v/>
      </c>
    </row>
    <row r="260" spans="1:10" x14ac:dyDescent="0.3">
      <c r="A260" s="4">
        <v>256</v>
      </c>
      <c r="B260" s="5"/>
      <c r="C260" s="6"/>
      <c r="D260" s="6"/>
      <c r="E260" s="7"/>
      <c r="F260" s="6"/>
      <c r="G260" s="3">
        <f t="shared" si="6"/>
        <v>0</v>
      </c>
      <c r="H260" s="3">
        <f t="shared" si="7"/>
        <v>0</v>
      </c>
      <c r="I260" s="4" t="str">
        <f>IF(AND(B260="",C260="",D260="",E260="",F260=""),"",IF(OR(B260="",C260="",E260=""),"БЛОК: нужны дата, тип операции и сумма",IF(N(E260)&lt;=0,"БЛОК: сумма должна быть больше нуля",IF(AND(H260&lt;&gt;0,F260=""),"БЛОК: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отделить",IF(AND(G260&lt;&gt;0,F260=""),"БЛОК: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нельзя",IF(AND(F260&lt;&gt;"",COUNTIF('Долг по актам'!$B$5:$B$34,F260)=0),"БЛОК: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договору")&gt;0)*($C$5:$C$504&lt;&gt;C260)*($E$5:$E$504=E260)*(($D$5:$D$504=D260)*(D260&lt;&gt;"")+($B$5:$B$504=B260)*(B260&lt;&gt;"")&gt;0))&gt;0,"БЛОК: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60" s="3" t="str">
        <f>IF(AND(B260="",C260="",E260=""),"",SUM($G$5:G260))</f>
        <v/>
      </c>
    </row>
    <row r="261" spans="1:10" x14ac:dyDescent="0.3">
      <c r="A261" s="4">
        <v>257</v>
      </c>
      <c r="B261" s="5"/>
      <c r="C261" s="6"/>
      <c r="D261" s="6"/>
      <c r="E261" s="7"/>
      <c r="F261" s="6"/>
      <c r="G261" s="3">
        <f t="shared" ref="G261:G324" si="8">IF(OR(C261="",E261=""),0,IF(C261="Начисление по акту",E261,IF(OR(C261="Оплата",C261="Зачёт аванса по договору"),-E261,IF(C261="Корректировка (подписана обеими сторонами)",E261,0))))</f>
        <v>0</v>
      </c>
      <c r="H261" s="3">
        <f t="shared" ref="H261:H324" si="9">IF(OR(C261="Удержание",C261="Зачёт встречного требования",C261="Неустойка заявлена",C261="Допработы без соглашения (спорно)"),N(E261),0)</f>
        <v>0</v>
      </c>
      <c r="I261" s="4" t="str">
        <f>IF(AND(B261="",C261="",D261="",E261="",F261=""),"",IF(OR(B261="",C261="",E261=""),"БЛОК: нужны дата, тип операции и сумма",IF(N(E261)&lt;=0,"БЛОК: сумма должна быть больше нуля",IF(AND(H261&lt;&gt;0,F261=""),"БЛОК: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отделить",IF(AND(G261&lt;&gt;0,F261=""),"БЛОК: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нельзя",IF(AND(F261&lt;&gt;"",COUNTIF('Долг по актам'!$B$5:$B$34,F261)=0),"БЛОК: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договору")&gt;0)*($C$5:$C$504&lt;&gt;C261)*($E$5:$E$504=E261)*(($D$5:$D$504=D261)*(D261&lt;&gt;"")+($B$5:$B$504=B261)*(B261&lt;&gt;"")&gt;0))&gt;0,"БЛОК: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61" s="3" t="str">
        <f>IF(AND(B261="",C261="",E261=""),"",SUM($G$5:G261))</f>
        <v/>
      </c>
    </row>
    <row r="262" spans="1:10" x14ac:dyDescent="0.3">
      <c r="A262" s="4">
        <v>258</v>
      </c>
      <c r="B262" s="5"/>
      <c r="C262" s="6"/>
      <c r="D262" s="6"/>
      <c r="E262" s="7"/>
      <c r="F262" s="6"/>
      <c r="G262" s="3">
        <f t="shared" si="8"/>
        <v>0</v>
      </c>
      <c r="H262" s="3">
        <f t="shared" si="9"/>
        <v>0</v>
      </c>
      <c r="I262" s="4" t="str">
        <f>IF(AND(B262="",C262="",D262="",E262="",F262=""),"",IF(OR(B262="",C262="",E262=""),"БЛОК: нужны дата, тип операции и сумма",IF(N(E262)&lt;=0,"БЛОК: сумма должна быть больше нуля",IF(AND(H262&lt;&gt;0,F262=""),"БЛОК: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отделить",IF(AND(G262&lt;&gt;0,F262=""),"БЛОК: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нельзя",IF(AND(F262&lt;&gt;"",COUNTIF('Долг по актам'!$B$5:$B$34,F262)=0),"БЛОК: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договору")&gt;0)*($C$5:$C$504&lt;&gt;C262)*($E$5:$E$504=E262)*(($D$5:$D$504=D262)*(D262&lt;&gt;"")+($B$5:$B$504=B262)*(B262&lt;&gt;"")&gt;0))&gt;0,"БЛОК: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62" s="3" t="str">
        <f>IF(AND(B262="",C262="",E262=""),"",SUM($G$5:G262))</f>
        <v/>
      </c>
    </row>
    <row r="263" spans="1:10" x14ac:dyDescent="0.3">
      <c r="A263" s="4">
        <v>259</v>
      </c>
      <c r="B263" s="5"/>
      <c r="C263" s="6"/>
      <c r="D263" s="6"/>
      <c r="E263" s="7"/>
      <c r="F263" s="6"/>
      <c r="G263" s="3">
        <f t="shared" si="8"/>
        <v>0</v>
      </c>
      <c r="H263" s="3">
        <f t="shared" si="9"/>
        <v>0</v>
      </c>
      <c r="I263" s="4" t="str">
        <f>IF(AND(B263="",C263="",D263="",E263="",F263=""),"",IF(OR(B263="",C263="",E263=""),"БЛОК: нужны дата, тип операции и сумма",IF(N(E263)&lt;=0,"БЛОК: сумма должна быть больше нуля",IF(AND(H263&lt;&gt;0,F263=""),"БЛОК: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отделить",IF(AND(G263&lt;&gt;0,F263=""),"БЛОК: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нельзя",IF(AND(F263&lt;&gt;"",COUNTIF('Долг по актам'!$B$5:$B$34,F263)=0),"БЛОК: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договору")&gt;0)*($C$5:$C$504&lt;&gt;C263)*($E$5:$E$504=E263)*(($D$5:$D$504=D263)*(D263&lt;&gt;"")+($B$5:$B$504=B263)*(B263&lt;&gt;"")&gt;0))&gt;0,"БЛОК: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63" s="3" t="str">
        <f>IF(AND(B263="",C263="",E263=""),"",SUM($G$5:G263))</f>
        <v/>
      </c>
    </row>
    <row r="264" spans="1:10" x14ac:dyDescent="0.3">
      <c r="A264" s="4">
        <v>260</v>
      </c>
      <c r="B264" s="5"/>
      <c r="C264" s="6"/>
      <c r="D264" s="6"/>
      <c r="E264" s="7"/>
      <c r="F264" s="6"/>
      <c r="G264" s="3">
        <f t="shared" si="8"/>
        <v>0</v>
      </c>
      <c r="H264" s="3">
        <f t="shared" si="9"/>
        <v>0</v>
      </c>
      <c r="I264" s="4" t="str">
        <f>IF(AND(B264="",C264="",D264="",E264="",F264=""),"",IF(OR(B264="",C264="",E264=""),"БЛОК: нужны дата, тип операции и сумма",IF(N(E264)&lt;=0,"БЛОК: сумма должна быть больше нуля",IF(AND(H264&lt;&gt;0,F264=""),"БЛОК: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отделить",IF(AND(G264&lt;&gt;0,F264=""),"БЛОК: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нельзя",IF(AND(F264&lt;&gt;"",COUNTIF('Долг по актам'!$B$5:$B$34,F264)=0),"БЛОК: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договору")&gt;0)*($C$5:$C$504&lt;&gt;C264)*($E$5:$E$504=E264)*(($D$5:$D$504=D264)*(D264&lt;&gt;"")+($B$5:$B$504=B264)*(B264&lt;&gt;"")&gt;0))&gt;0,"БЛОК: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64" s="3" t="str">
        <f>IF(AND(B264="",C264="",E264=""),"",SUM($G$5:G264))</f>
        <v/>
      </c>
    </row>
    <row r="265" spans="1:10" x14ac:dyDescent="0.3">
      <c r="A265" s="4">
        <v>261</v>
      </c>
      <c r="B265" s="5"/>
      <c r="C265" s="6"/>
      <c r="D265" s="6"/>
      <c r="E265" s="7"/>
      <c r="F265" s="6"/>
      <c r="G265" s="3">
        <f t="shared" si="8"/>
        <v>0</v>
      </c>
      <c r="H265" s="3">
        <f t="shared" si="9"/>
        <v>0</v>
      </c>
      <c r="I265" s="4" t="str">
        <f>IF(AND(B265="",C265="",D265="",E265="",F265=""),"",IF(OR(B265="",C265="",E265=""),"БЛОК: нужны дата, тип операции и сумма",IF(N(E265)&lt;=0,"БЛОК: сумма должна быть больше нуля",IF(AND(H265&lt;&gt;0,F265=""),"БЛОК: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отделить",IF(AND(G265&lt;&gt;0,F265=""),"БЛОК: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нельзя",IF(AND(F265&lt;&gt;"",COUNTIF('Долг по актам'!$B$5:$B$34,F265)=0),"БЛОК: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договору")&gt;0)*($C$5:$C$504&lt;&gt;C265)*($E$5:$E$504=E265)*(($D$5:$D$504=D265)*(D265&lt;&gt;"")+($B$5:$B$504=B265)*(B265&lt;&gt;"")&gt;0))&gt;0,"БЛОК: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65" s="3" t="str">
        <f>IF(AND(B265="",C265="",E265=""),"",SUM($G$5:G265))</f>
        <v/>
      </c>
    </row>
    <row r="266" spans="1:10" x14ac:dyDescent="0.3">
      <c r="A266" s="4">
        <v>262</v>
      </c>
      <c r="B266" s="5"/>
      <c r="C266" s="6"/>
      <c r="D266" s="6"/>
      <c r="E266" s="7"/>
      <c r="F266" s="6"/>
      <c r="G266" s="3">
        <f t="shared" si="8"/>
        <v>0</v>
      </c>
      <c r="H266" s="3">
        <f t="shared" si="9"/>
        <v>0</v>
      </c>
      <c r="I266" s="4" t="str">
        <f>IF(AND(B266="",C266="",D266="",E266="",F266=""),"",IF(OR(B266="",C266="",E266=""),"БЛОК: нужны дата, тип операции и сумма",IF(N(E266)&lt;=0,"БЛОК: сумма должна быть больше нуля",IF(AND(H266&lt;&gt;0,F266=""),"БЛОК: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отделить",IF(AND(G266&lt;&gt;0,F266=""),"БЛОК: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нельзя",IF(AND(F266&lt;&gt;"",COUNTIF('Долг по актам'!$B$5:$B$34,F266)=0),"БЛОК: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договору")&gt;0)*($C$5:$C$504&lt;&gt;C266)*($E$5:$E$504=E266)*(($D$5:$D$504=D266)*(D266&lt;&gt;"")+($B$5:$B$504=B266)*(B266&lt;&gt;"")&gt;0))&gt;0,"БЛОК: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66" s="3" t="str">
        <f>IF(AND(B266="",C266="",E266=""),"",SUM($G$5:G266))</f>
        <v/>
      </c>
    </row>
    <row r="267" spans="1:10" x14ac:dyDescent="0.3">
      <c r="A267" s="4">
        <v>263</v>
      </c>
      <c r="B267" s="5"/>
      <c r="C267" s="6"/>
      <c r="D267" s="6"/>
      <c r="E267" s="7"/>
      <c r="F267" s="6"/>
      <c r="G267" s="3">
        <f t="shared" si="8"/>
        <v>0</v>
      </c>
      <c r="H267" s="3">
        <f t="shared" si="9"/>
        <v>0</v>
      </c>
      <c r="I267" s="4" t="str">
        <f>IF(AND(B267="",C267="",D267="",E267="",F267=""),"",IF(OR(B267="",C267="",E267=""),"БЛОК: нужны дата, тип операции и сумма",IF(N(E267)&lt;=0,"БЛОК: сумма должна быть больше нуля",IF(AND(H267&lt;&gt;0,F267=""),"БЛОК: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отделить",IF(AND(G267&lt;&gt;0,F267=""),"БЛОК: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нельзя",IF(AND(F267&lt;&gt;"",COUNTIF('Долг по актам'!$B$5:$B$34,F267)=0),"БЛОК: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договору")&gt;0)*($C$5:$C$504&lt;&gt;C267)*($E$5:$E$504=E267)*(($D$5:$D$504=D267)*(D267&lt;&gt;"")+($B$5:$B$504=B267)*(B267&lt;&gt;"")&gt;0))&gt;0,"БЛОК: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67" s="3" t="str">
        <f>IF(AND(B267="",C267="",E267=""),"",SUM($G$5:G267))</f>
        <v/>
      </c>
    </row>
    <row r="268" spans="1:10" x14ac:dyDescent="0.3">
      <c r="A268" s="4">
        <v>264</v>
      </c>
      <c r="B268" s="5"/>
      <c r="C268" s="6"/>
      <c r="D268" s="6"/>
      <c r="E268" s="7"/>
      <c r="F268" s="6"/>
      <c r="G268" s="3">
        <f t="shared" si="8"/>
        <v>0</v>
      </c>
      <c r="H268" s="3">
        <f t="shared" si="9"/>
        <v>0</v>
      </c>
      <c r="I268" s="4" t="str">
        <f>IF(AND(B268="",C268="",D268="",E268="",F268=""),"",IF(OR(B268="",C268="",E268=""),"БЛОК: нужны дата, тип операции и сумма",IF(N(E268)&lt;=0,"БЛОК: сумма должна быть больше нуля",IF(AND(H268&lt;&gt;0,F268=""),"БЛОК: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отделить",IF(AND(G268&lt;&gt;0,F268=""),"БЛОК: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нельзя",IF(AND(F268&lt;&gt;"",COUNTIF('Долг по актам'!$B$5:$B$34,F268)=0),"БЛОК: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договору")&gt;0)*($C$5:$C$504&lt;&gt;C268)*($E$5:$E$504=E268)*(($D$5:$D$504=D268)*(D268&lt;&gt;"")+($B$5:$B$504=B268)*(B268&lt;&gt;"")&gt;0))&gt;0,"БЛОК: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68" s="3" t="str">
        <f>IF(AND(B268="",C268="",E268=""),"",SUM($G$5:G268))</f>
        <v/>
      </c>
    </row>
    <row r="269" spans="1:10" x14ac:dyDescent="0.3">
      <c r="A269" s="4">
        <v>265</v>
      </c>
      <c r="B269" s="5"/>
      <c r="C269" s="6"/>
      <c r="D269" s="6"/>
      <c r="E269" s="7"/>
      <c r="F269" s="6"/>
      <c r="G269" s="3">
        <f t="shared" si="8"/>
        <v>0</v>
      </c>
      <c r="H269" s="3">
        <f t="shared" si="9"/>
        <v>0</v>
      </c>
      <c r="I269" s="4" t="str">
        <f>IF(AND(B269="",C269="",D269="",E269="",F269=""),"",IF(OR(B269="",C269="",E269=""),"БЛОК: нужны дата, тип операции и сумма",IF(N(E269)&lt;=0,"БЛОК: сумма должна быть больше нуля",IF(AND(H269&lt;&gt;0,F269=""),"БЛОК: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отделить",IF(AND(G269&lt;&gt;0,F269=""),"БЛОК: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нельзя",IF(AND(F269&lt;&gt;"",COUNTIF('Долг по актам'!$B$5:$B$34,F269)=0),"БЛОК: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договору")&gt;0)*($C$5:$C$504&lt;&gt;C269)*($E$5:$E$504=E269)*(($D$5:$D$504=D269)*(D269&lt;&gt;"")+($B$5:$B$504=B269)*(B269&lt;&gt;"")&gt;0))&gt;0,"БЛОК: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69" s="3" t="str">
        <f>IF(AND(B269="",C269="",E269=""),"",SUM($G$5:G269))</f>
        <v/>
      </c>
    </row>
    <row r="270" spans="1:10" x14ac:dyDescent="0.3">
      <c r="A270" s="4">
        <v>266</v>
      </c>
      <c r="B270" s="5"/>
      <c r="C270" s="6"/>
      <c r="D270" s="6"/>
      <c r="E270" s="7"/>
      <c r="F270" s="6"/>
      <c r="G270" s="3">
        <f t="shared" si="8"/>
        <v>0</v>
      </c>
      <c r="H270" s="3">
        <f t="shared" si="9"/>
        <v>0</v>
      </c>
      <c r="I270" s="4" t="str">
        <f>IF(AND(B270="",C270="",D270="",E270="",F270=""),"",IF(OR(B270="",C270="",E270=""),"БЛОК: нужны дата, тип операции и сумма",IF(N(E270)&lt;=0,"БЛОК: сумма должна быть больше нуля",IF(AND(H270&lt;&gt;0,F270=""),"БЛОК: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отделить",IF(AND(G270&lt;&gt;0,F270=""),"БЛОК: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нельзя",IF(AND(F270&lt;&gt;"",COUNTIF('Долг по актам'!$B$5:$B$34,F270)=0),"БЛОК: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договору")&gt;0)*($C$5:$C$504&lt;&gt;C270)*($E$5:$E$504=E270)*(($D$5:$D$504=D270)*(D270&lt;&gt;"")+($B$5:$B$504=B270)*(B270&lt;&gt;"")&gt;0))&gt;0,"БЛОК: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70" s="3" t="str">
        <f>IF(AND(B270="",C270="",E270=""),"",SUM($G$5:G270))</f>
        <v/>
      </c>
    </row>
    <row r="271" spans="1:10" x14ac:dyDescent="0.3">
      <c r="A271" s="4">
        <v>267</v>
      </c>
      <c r="B271" s="5"/>
      <c r="C271" s="6"/>
      <c r="D271" s="6"/>
      <c r="E271" s="7"/>
      <c r="F271" s="6"/>
      <c r="G271" s="3">
        <f t="shared" si="8"/>
        <v>0</v>
      </c>
      <c r="H271" s="3">
        <f t="shared" si="9"/>
        <v>0</v>
      </c>
      <c r="I271" s="4" t="str">
        <f>IF(AND(B271="",C271="",D271="",E271="",F271=""),"",IF(OR(B271="",C271="",E271=""),"БЛОК: нужны дата, тип операции и сумма",IF(N(E271)&lt;=0,"БЛОК: сумма должна быть больше нуля",IF(AND(H271&lt;&gt;0,F271=""),"БЛОК: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отделить",IF(AND(G271&lt;&gt;0,F271=""),"БЛОК: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нельзя",IF(AND(F271&lt;&gt;"",COUNTIF('Долг по актам'!$B$5:$B$34,F271)=0),"БЛОК: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договору")&gt;0)*($C$5:$C$504&lt;&gt;C271)*($E$5:$E$504=E271)*(($D$5:$D$504=D271)*(D271&lt;&gt;"")+($B$5:$B$504=B271)*(B271&lt;&gt;"")&gt;0))&gt;0,"БЛОК: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71" s="3" t="str">
        <f>IF(AND(B271="",C271="",E271=""),"",SUM($G$5:G271))</f>
        <v/>
      </c>
    </row>
    <row r="272" spans="1:10" x14ac:dyDescent="0.3">
      <c r="A272" s="4">
        <v>268</v>
      </c>
      <c r="B272" s="5"/>
      <c r="C272" s="6"/>
      <c r="D272" s="6"/>
      <c r="E272" s="7"/>
      <c r="F272" s="6"/>
      <c r="G272" s="3">
        <f t="shared" si="8"/>
        <v>0</v>
      </c>
      <c r="H272" s="3">
        <f t="shared" si="9"/>
        <v>0</v>
      </c>
      <c r="I272" s="4" t="str">
        <f>IF(AND(B272="",C272="",D272="",E272="",F272=""),"",IF(OR(B272="",C272="",E272=""),"БЛОК: нужны дата, тип операции и сумма",IF(N(E272)&lt;=0,"БЛОК: сумма должна быть больше нуля",IF(AND(H272&lt;&gt;0,F272=""),"БЛОК: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отделить",IF(AND(G272&lt;&gt;0,F272=""),"БЛОК: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нельзя",IF(AND(F272&lt;&gt;"",COUNTIF('Долг по актам'!$B$5:$B$34,F272)=0),"БЛОК: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договору")&gt;0)*($C$5:$C$504&lt;&gt;C272)*($E$5:$E$504=E272)*(($D$5:$D$504=D272)*(D272&lt;&gt;"")+($B$5:$B$504=B272)*(B272&lt;&gt;"")&gt;0))&gt;0,"БЛОК: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72" s="3" t="str">
        <f>IF(AND(B272="",C272="",E272=""),"",SUM($G$5:G272))</f>
        <v/>
      </c>
    </row>
    <row r="273" spans="1:10" x14ac:dyDescent="0.3">
      <c r="A273" s="4">
        <v>269</v>
      </c>
      <c r="B273" s="5"/>
      <c r="C273" s="6"/>
      <c r="D273" s="6"/>
      <c r="E273" s="7"/>
      <c r="F273" s="6"/>
      <c r="G273" s="3">
        <f t="shared" si="8"/>
        <v>0</v>
      </c>
      <c r="H273" s="3">
        <f t="shared" si="9"/>
        <v>0</v>
      </c>
      <c r="I273" s="4" t="str">
        <f>IF(AND(B273="",C273="",D273="",E273="",F273=""),"",IF(OR(B273="",C273="",E273=""),"БЛОК: нужны дата, тип операции и сумма",IF(N(E273)&lt;=0,"БЛОК: сумма должна быть больше нуля",IF(AND(H273&lt;&gt;0,F273=""),"БЛОК: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отделить",IF(AND(G273&lt;&gt;0,F273=""),"БЛОК: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нельзя",IF(AND(F273&lt;&gt;"",COUNTIF('Долг по актам'!$B$5:$B$34,F273)=0),"БЛОК: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договору")&gt;0)*($C$5:$C$504&lt;&gt;C273)*($E$5:$E$504=E273)*(($D$5:$D$504=D273)*(D273&lt;&gt;"")+($B$5:$B$504=B273)*(B273&lt;&gt;"")&gt;0))&gt;0,"БЛОК: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73" s="3" t="str">
        <f>IF(AND(B273="",C273="",E273=""),"",SUM($G$5:G273))</f>
        <v/>
      </c>
    </row>
    <row r="274" spans="1:10" x14ac:dyDescent="0.3">
      <c r="A274" s="4">
        <v>270</v>
      </c>
      <c r="B274" s="5"/>
      <c r="C274" s="6"/>
      <c r="D274" s="6"/>
      <c r="E274" s="7"/>
      <c r="F274" s="6"/>
      <c r="G274" s="3">
        <f t="shared" si="8"/>
        <v>0</v>
      </c>
      <c r="H274" s="3">
        <f t="shared" si="9"/>
        <v>0</v>
      </c>
      <c r="I274" s="4" t="str">
        <f>IF(AND(B274="",C274="",D274="",E274="",F274=""),"",IF(OR(B274="",C274="",E274=""),"БЛОК: нужны дата, тип операции и сумма",IF(N(E274)&lt;=0,"БЛОК: сумма должна быть больше нуля",IF(AND(H274&lt;&gt;0,F274=""),"БЛОК: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отделить",IF(AND(G274&lt;&gt;0,F274=""),"БЛОК: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нельзя",IF(AND(F274&lt;&gt;"",COUNTIF('Долг по актам'!$B$5:$B$34,F274)=0),"БЛОК: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договору")&gt;0)*($C$5:$C$504&lt;&gt;C274)*($E$5:$E$504=E274)*(($D$5:$D$504=D274)*(D274&lt;&gt;"")+($B$5:$B$504=B274)*(B274&lt;&gt;"")&gt;0))&gt;0,"БЛОК: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74" s="3" t="str">
        <f>IF(AND(B274="",C274="",E274=""),"",SUM($G$5:G274))</f>
        <v/>
      </c>
    </row>
    <row r="275" spans="1:10" x14ac:dyDescent="0.3">
      <c r="A275" s="4">
        <v>271</v>
      </c>
      <c r="B275" s="5"/>
      <c r="C275" s="6"/>
      <c r="D275" s="6"/>
      <c r="E275" s="7"/>
      <c r="F275" s="6"/>
      <c r="G275" s="3">
        <f t="shared" si="8"/>
        <v>0</v>
      </c>
      <c r="H275" s="3">
        <f t="shared" si="9"/>
        <v>0</v>
      </c>
      <c r="I275" s="4" t="str">
        <f>IF(AND(B275="",C275="",D275="",E275="",F275=""),"",IF(OR(B275="",C275="",E275=""),"БЛОК: нужны дата, тип операции и сумма",IF(N(E275)&lt;=0,"БЛОК: сумма должна быть больше нуля",IF(AND(H275&lt;&gt;0,F275=""),"БЛОК: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отделить",IF(AND(G275&lt;&gt;0,F275=""),"БЛОК: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нельзя",IF(AND(F275&lt;&gt;"",COUNTIF('Долг по актам'!$B$5:$B$34,F275)=0),"БЛОК: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договору")&gt;0)*($C$5:$C$504&lt;&gt;C275)*($E$5:$E$504=E275)*(($D$5:$D$504=D275)*(D275&lt;&gt;"")+($B$5:$B$504=B275)*(B275&lt;&gt;"")&gt;0))&gt;0,"БЛОК: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75" s="3" t="str">
        <f>IF(AND(B275="",C275="",E275=""),"",SUM($G$5:G275))</f>
        <v/>
      </c>
    </row>
    <row r="276" spans="1:10" x14ac:dyDescent="0.3">
      <c r="A276" s="4">
        <v>272</v>
      </c>
      <c r="B276" s="5"/>
      <c r="C276" s="6"/>
      <c r="D276" s="6"/>
      <c r="E276" s="7"/>
      <c r="F276" s="6"/>
      <c r="G276" s="3">
        <f t="shared" si="8"/>
        <v>0</v>
      </c>
      <c r="H276" s="3">
        <f t="shared" si="9"/>
        <v>0</v>
      </c>
      <c r="I276" s="4" t="str">
        <f>IF(AND(B276="",C276="",D276="",E276="",F276=""),"",IF(OR(B276="",C276="",E276=""),"БЛОК: нужны дата, тип операции и сумма",IF(N(E276)&lt;=0,"БЛОК: сумма должна быть больше нуля",IF(AND(H276&lt;&gt;0,F276=""),"БЛОК: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отделить",IF(AND(G276&lt;&gt;0,F276=""),"БЛОК: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нельзя",IF(AND(F276&lt;&gt;"",COUNTIF('Долг по актам'!$B$5:$B$34,F276)=0),"БЛОК: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договору")&gt;0)*($C$5:$C$504&lt;&gt;C276)*($E$5:$E$504=E276)*(($D$5:$D$504=D276)*(D276&lt;&gt;"")+($B$5:$B$504=B276)*(B276&lt;&gt;"")&gt;0))&gt;0,"БЛОК: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76" s="3" t="str">
        <f>IF(AND(B276="",C276="",E276=""),"",SUM($G$5:G276))</f>
        <v/>
      </c>
    </row>
    <row r="277" spans="1:10" x14ac:dyDescent="0.3">
      <c r="A277" s="4">
        <v>273</v>
      </c>
      <c r="B277" s="5"/>
      <c r="C277" s="6"/>
      <c r="D277" s="6"/>
      <c r="E277" s="7"/>
      <c r="F277" s="6"/>
      <c r="G277" s="3">
        <f t="shared" si="8"/>
        <v>0</v>
      </c>
      <c r="H277" s="3">
        <f t="shared" si="9"/>
        <v>0</v>
      </c>
      <c r="I277" s="4" t="str">
        <f>IF(AND(B277="",C277="",D277="",E277="",F277=""),"",IF(OR(B277="",C277="",E277=""),"БЛОК: нужны дата, тип операции и сумма",IF(N(E277)&lt;=0,"БЛОК: сумма должна быть больше нуля",IF(AND(H277&lt;&gt;0,F277=""),"БЛОК: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отделить",IF(AND(G277&lt;&gt;0,F277=""),"БЛОК: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нельзя",IF(AND(F277&lt;&gt;"",COUNTIF('Долг по актам'!$B$5:$B$34,F277)=0),"БЛОК: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договору")&gt;0)*($C$5:$C$504&lt;&gt;C277)*($E$5:$E$504=E277)*(($D$5:$D$504=D277)*(D277&lt;&gt;"")+($B$5:$B$504=B277)*(B277&lt;&gt;"")&gt;0))&gt;0,"БЛОК: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77" s="3" t="str">
        <f>IF(AND(B277="",C277="",E277=""),"",SUM($G$5:G277))</f>
        <v/>
      </c>
    </row>
    <row r="278" spans="1:10" x14ac:dyDescent="0.3">
      <c r="A278" s="4">
        <v>274</v>
      </c>
      <c r="B278" s="5"/>
      <c r="C278" s="6"/>
      <c r="D278" s="6"/>
      <c r="E278" s="7"/>
      <c r="F278" s="6"/>
      <c r="G278" s="3">
        <f t="shared" si="8"/>
        <v>0</v>
      </c>
      <c r="H278" s="3">
        <f t="shared" si="9"/>
        <v>0</v>
      </c>
      <c r="I278" s="4" t="str">
        <f>IF(AND(B278="",C278="",D278="",E278="",F278=""),"",IF(OR(B278="",C278="",E278=""),"БЛОК: нужны дата, тип операции и сумма",IF(N(E278)&lt;=0,"БЛОК: сумма должна быть больше нуля",IF(AND(H278&lt;&gt;0,F278=""),"БЛОК: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отделить",IF(AND(G278&lt;&gt;0,F278=""),"БЛОК: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нельзя",IF(AND(F278&lt;&gt;"",COUNTIF('Долг по актам'!$B$5:$B$34,F278)=0),"БЛОК: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договору")&gt;0)*($C$5:$C$504&lt;&gt;C278)*($E$5:$E$504=E278)*(($D$5:$D$504=D278)*(D278&lt;&gt;"")+($B$5:$B$504=B278)*(B278&lt;&gt;"")&gt;0))&gt;0,"БЛОК: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78" s="3" t="str">
        <f>IF(AND(B278="",C278="",E278=""),"",SUM($G$5:G278))</f>
        <v/>
      </c>
    </row>
    <row r="279" spans="1:10" x14ac:dyDescent="0.3">
      <c r="A279" s="4">
        <v>275</v>
      </c>
      <c r="B279" s="5"/>
      <c r="C279" s="6"/>
      <c r="D279" s="6"/>
      <c r="E279" s="7"/>
      <c r="F279" s="6"/>
      <c r="G279" s="3">
        <f t="shared" si="8"/>
        <v>0</v>
      </c>
      <c r="H279" s="3">
        <f t="shared" si="9"/>
        <v>0</v>
      </c>
      <c r="I279" s="4" t="str">
        <f>IF(AND(B279="",C279="",D279="",E279="",F279=""),"",IF(OR(B279="",C279="",E279=""),"БЛОК: нужны дата, тип операции и сумма",IF(N(E279)&lt;=0,"БЛОК: сумма должна быть больше нуля",IF(AND(H279&lt;&gt;0,F279=""),"БЛОК: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отделить",IF(AND(G279&lt;&gt;0,F279=""),"БЛОК: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нельзя",IF(AND(F279&lt;&gt;"",COUNTIF('Долг по актам'!$B$5:$B$34,F279)=0),"БЛОК: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договору")&gt;0)*($C$5:$C$504&lt;&gt;C279)*($E$5:$E$504=E279)*(($D$5:$D$504=D279)*(D279&lt;&gt;"")+($B$5:$B$504=B279)*(B279&lt;&gt;"")&gt;0))&gt;0,"БЛОК: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79" s="3" t="str">
        <f>IF(AND(B279="",C279="",E279=""),"",SUM($G$5:G279))</f>
        <v/>
      </c>
    </row>
    <row r="280" spans="1:10" x14ac:dyDescent="0.3">
      <c r="A280" s="4">
        <v>276</v>
      </c>
      <c r="B280" s="5"/>
      <c r="C280" s="6"/>
      <c r="D280" s="6"/>
      <c r="E280" s="7"/>
      <c r="F280" s="6"/>
      <c r="G280" s="3">
        <f t="shared" si="8"/>
        <v>0</v>
      </c>
      <c r="H280" s="3">
        <f t="shared" si="9"/>
        <v>0</v>
      </c>
      <c r="I280" s="4" t="str">
        <f>IF(AND(B280="",C280="",D280="",E280="",F280=""),"",IF(OR(B280="",C280="",E280=""),"БЛОК: нужны дата, тип операции и сумма",IF(N(E280)&lt;=0,"БЛОК: сумма должна быть больше нуля",IF(AND(H280&lt;&gt;0,F280=""),"БЛОК: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отделить",IF(AND(G280&lt;&gt;0,F280=""),"БЛОК: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нельзя",IF(AND(F280&lt;&gt;"",COUNTIF('Долг по актам'!$B$5:$B$34,F280)=0),"БЛОК: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договору")&gt;0)*($C$5:$C$504&lt;&gt;C280)*($E$5:$E$504=E280)*(($D$5:$D$504=D280)*(D280&lt;&gt;"")+($B$5:$B$504=B280)*(B280&lt;&gt;"")&gt;0))&gt;0,"БЛОК: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80" s="3" t="str">
        <f>IF(AND(B280="",C280="",E280=""),"",SUM($G$5:G280))</f>
        <v/>
      </c>
    </row>
    <row r="281" spans="1:10" x14ac:dyDescent="0.3">
      <c r="A281" s="4">
        <v>277</v>
      </c>
      <c r="B281" s="5"/>
      <c r="C281" s="6"/>
      <c r="D281" s="6"/>
      <c r="E281" s="7"/>
      <c r="F281" s="6"/>
      <c r="G281" s="3">
        <f t="shared" si="8"/>
        <v>0</v>
      </c>
      <c r="H281" s="3">
        <f t="shared" si="9"/>
        <v>0</v>
      </c>
      <c r="I281" s="4" t="str">
        <f>IF(AND(B281="",C281="",D281="",E281="",F281=""),"",IF(OR(B281="",C281="",E281=""),"БЛОК: нужны дата, тип операции и сумма",IF(N(E281)&lt;=0,"БЛОК: сумма должна быть больше нуля",IF(AND(H281&lt;&gt;0,F281=""),"БЛОК: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отделить",IF(AND(G281&lt;&gt;0,F281=""),"БЛОК: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нельзя",IF(AND(F281&lt;&gt;"",COUNTIF('Долг по актам'!$B$5:$B$34,F281)=0),"БЛОК: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договору")&gt;0)*($C$5:$C$504&lt;&gt;C281)*($E$5:$E$504=E281)*(($D$5:$D$504=D281)*(D281&lt;&gt;"")+($B$5:$B$504=B281)*(B281&lt;&gt;"")&gt;0))&gt;0,"БЛОК: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81" s="3" t="str">
        <f>IF(AND(B281="",C281="",E281=""),"",SUM($G$5:G281))</f>
        <v/>
      </c>
    </row>
    <row r="282" spans="1:10" x14ac:dyDescent="0.3">
      <c r="A282" s="4">
        <v>278</v>
      </c>
      <c r="B282" s="5"/>
      <c r="C282" s="6"/>
      <c r="D282" s="6"/>
      <c r="E282" s="7"/>
      <c r="F282" s="6"/>
      <c r="G282" s="3">
        <f t="shared" si="8"/>
        <v>0</v>
      </c>
      <c r="H282" s="3">
        <f t="shared" si="9"/>
        <v>0</v>
      </c>
      <c r="I282" s="4" t="str">
        <f>IF(AND(B282="",C282="",D282="",E282="",F282=""),"",IF(OR(B282="",C282="",E282=""),"БЛОК: нужны дата, тип операции и сумма",IF(N(E282)&lt;=0,"БЛОК: сумма должна быть больше нуля",IF(AND(H282&lt;&gt;0,F282=""),"БЛОК: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отделить",IF(AND(G282&lt;&gt;0,F282=""),"БЛОК: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нельзя",IF(AND(F282&lt;&gt;"",COUNTIF('Долг по актам'!$B$5:$B$34,F282)=0),"БЛОК: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договору")&gt;0)*($C$5:$C$504&lt;&gt;C282)*($E$5:$E$504=E282)*(($D$5:$D$504=D282)*(D282&lt;&gt;"")+($B$5:$B$504=B282)*(B282&lt;&gt;"")&gt;0))&gt;0,"БЛОК: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82" s="3" t="str">
        <f>IF(AND(B282="",C282="",E282=""),"",SUM($G$5:G282))</f>
        <v/>
      </c>
    </row>
    <row r="283" spans="1:10" x14ac:dyDescent="0.3">
      <c r="A283" s="4">
        <v>279</v>
      </c>
      <c r="B283" s="5"/>
      <c r="C283" s="6"/>
      <c r="D283" s="6"/>
      <c r="E283" s="7"/>
      <c r="F283" s="6"/>
      <c r="G283" s="3">
        <f t="shared" si="8"/>
        <v>0</v>
      </c>
      <c r="H283" s="3">
        <f t="shared" si="9"/>
        <v>0</v>
      </c>
      <c r="I283" s="4" t="str">
        <f>IF(AND(B283="",C283="",D283="",E283="",F283=""),"",IF(OR(B283="",C283="",E283=""),"БЛОК: нужны дата, тип операции и сумма",IF(N(E283)&lt;=0,"БЛОК: сумма должна быть больше нуля",IF(AND(H283&lt;&gt;0,F283=""),"БЛОК: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отделить",IF(AND(G283&lt;&gt;0,F283=""),"БЛОК: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нельзя",IF(AND(F283&lt;&gt;"",COUNTIF('Долг по актам'!$B$5:$B$34,F283)=0),"БЛОК: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договору")&gt;0)*($C$5:$C$504&lt;&gt;C283)*($E$5:$E$504=E283)*(($D$5:$D$504=D283)*(D283&lt;&gt;"")+($B$5:$B$504=B283)*(B283&lt;&gt;"")&gt;0))&gt;0,"БЛОК: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83" s="3" t="str">
        <f>IF(AND(B283="",C283="",E283=""),"",SUM($G$5:G283))</f>
        <v/>
      </c>
    </row>
    <row r="284" spans="1:10" x14ac:dyDescent="0.3">
      <c r="A284" s="4">
        <v>280</v>
      </c>
      <c r="B284" s="5"/>
      <c r="C284" s="6"/>
      <c r="D284" s="6"/>
      <c r="E284" s="7"/>
      <c r="F284" s="6"/>
      <c r="G284" s="3">
        <f t="shared" si="8"/>
        <v>0</v>
      </c>
      <c r="H284" s="3">
        <f t="shared" si="9"/>
        <v>0</v>
      </c>
      <c r="I284" s="4" t="str">
        <f>IF(AND(B284="",C284="",D284="",E284="",F284=""),"",IF(OR(B284="",C284="",E284=""),"БЛОК: нужны дата, тип операции и сумма",IF(N(E284)&lt;=0,"БЛОК: сумма должна быть больше нуля",IF(AND(H284&lt;&gt;0,F284=""),"БЛОК: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отделить",IF(AND(G284&lt;&gt;0,F284=""),"БЛОК: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нельзя",IF(AND(F284&lt;&gt;"",COUNTIF('Долг по актам'!$B$5:$B$34,F284)=0),"БЛОК: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договору")&gt;0)*($C$5:$C$504&lt;&gt;C284)*($E$5:$E$504=E284)*(($D$5:$D$504=D284)*(D284&lt;&gt;"")+($B$5:$B$504=B284)*(B284&lt;&gt;"")&gt;0))&gt;0,"БЛОК: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84" s="3" t="str">
        <f>IF(AND(B284="",C284="",E284=""),"",SUM($G$5:G284))</f>
        <v/>
      </c>
    </row>
    <row r="285" spans="1:10" x14ac:dyDescent="0.3">
      <c r="A285" s="4">
        <v>281</v>
      </c>
      <c r="B285" s="5"/>
      <c r="C285" s="6"/>
      <c r="D285" s="6"/>
      <c r="E285" s="7"/>
      <c r="F285" s="6"/>
      <c r="G285" s="3">
        <f t="shared" si="8"/>
        <v>0</v>
      </c>
      <c r="H285" s="3">
        <f t="shared" si="9"/>
        <v>0</v>
      </c>
      <c r="I285" s="4" t="str">
        <f>IF(AND(B285="",C285="",D285="",E285="",F285=""),"",IF(OR(B285="",C285="",E285=""),"БЛОК: нужны дата, тип операции и сумма",IF(N(E285)&lt;=0,"БЛОК: сумма должна быть больше нуля",IF(AND(H285&lt;&gt;0,F285=""),"БЛОК: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отделить",IF(AND(G285&lt;&gt;0,F285=""),"БЛОК: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нельзя",IF(AND(F285&lt;&gt;"",COUNTIF('Долг по актам'!$B$5:$B$34,F285)=0),"БЛОК: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договору")&gt;0)*($C$5:$C$504&lt;&gt;C285)*($E$5:$E$504=E285)*(($D$5:$D$504=D285)*(D285&lt;&gt;"")+($B$5:$B$504=B285)*(B285&lt;&gt;"")&gt;0))&gt;0,"БЛОК: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85" s="3" t="str">
        <f>IF(AND(B285="",C285="",E285=""),"",SUM($G$5:G285))</f>
        <v/>
      </c>
    </row>
    <row r="286" spans="1:10" x14ac:dyDescent="0.3">
      <c r="A286" s="4">
        <v>282</v>
      </c>
      <c r="B286" s="5"/>
      <c r="C286" s="6"/>
      <c r="D286" s="6"/>
      <c r="E286" s="7"/>
      <c r="F286" s="6"/>
      <c r="G286" s="3">
        <f t="shared" si="8"/>
        <v>0</v>
      </c>
      <c r="H286" s="3">
        <f t="shared" si="9"/>
        <v>0</v>
      </c>
      <c r="I286" s="4" t="str">
        <f>IF(AND(B286="",C286="",D286="",E286="",F286=""),"",IF(OR(B286="",C286="",E286=""),"БЛОК: нужны дата, тип операции и сумма",IF(N(E286)&lt;=0,"БЛОК: сумма должна быть больше нуля",IF(AND(H286&lt;&gt;0,F286=""),"БЛОК: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отделить",IF(AND(G286&lt;&gt;0,F286=""),"БЛОК: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нельзя",IF(AND(F286&lt;&gt;"",COUNTIF('Долг по актам'!$B$5:$B$34,F286)=0),"БЛОК: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договору")&gt;0)*($C$5:$C$504&lt;&gt;C286)*($E$5:$E$504=E286)*(($D$5:$D$504=D286)*(D286&lt;&gt;"")+($B$5:$B$504=B286)*(B286&lt;&gt;"")&gt;0))&gt;0,"БЛОК: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86" s="3" t="str">
        <f>IF(AND(B286="",C286="",E286=""),"",SUM($G$5:G286))</f>
        <v/>
      </c>
    </row>
    <row r="287" spans="1:10" x14ac:dyDescent="0.3">
      <c r="A287" s="4">
        <v>283</v>
      </c>
      <c r="B287" s="5"/>
      <c r="C287" s="6"/>
      <c r="D287" s="6"/>
      <c r="E287" s="7"/>
      <c r="F287" s="6"/>
      <c r="G287" s="3">
        <f t="shared" si="8"/>
        <v>0</v>
      </c>
      <c r="H287" s="3">
        <f t="shared" si="9"/>
        <v>0</v>
      </c>
      <c r="I287" s="4" t="str">
        <f>IF(AND(B287="",C287="",D287="",E287="",F287=""),"",IF(OR(B287="",C287="",E287=""),"БЛОК: нужны дата, тип операции и сумма",IF(N(E287)&lt;=0,"БЛОК: сумма должна быть больше нуля",IF(AND(H287&lt;&gt;0,F287=""),"БЛОК: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отделить",IF(AND(G287&lt;&gt;0,F287=""),"БЛОК: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нельзя",IF(AND(F287&lt;&gt;"",COUNTIF('Долг по актам'!$B$5:$B$34,F287)=0),"БЛОК: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договору")&gt;0)*($C$5:$C$504&lt;&gt;C287)*($E$5:$E$504=E287)*(($D$5:$D$504=D287)*(D287&lt;&gt;"")+($B$5:$B$504=B287)*(B287&lt;&gt;"")&gt;0))&gt;0,"БЛОК: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87" s="3" t="str">
        <f>IF(AND(B287="",C287="",E287=""),"",SUM($G$5:G287))</f>
        <v/>
      </c>
    </row>
    <row r="288" spans="1:10" x14ac:dyDescent="0.3">
      <c r="A288" s="4">
        <v>284</v>
      </c>
      <c r="B288" s="5"/>
      <c r="C288" s="6"/>
      <c r="D288" s="6"/>
      <c r="E288" s="7"/>
      <c r="F288" s="6"/>
      <c r="G288" s="3">
        <f t="shared" si="8"/>
        <v>0</v>
      </c>
      <c r="H288" s="3">
        <f t="shared" si="9"/>
        <v>0</v>
      </c>
      <c r="I288" s="4" t="str">
        <f>IF(AND(B288="",C288="",D288="",E288="",F288=""),"",IF(OR(B288="",C288="",E288=""),"БЛОК: нужны дата, тип операции и сумма",IF(N(E288)&lt;=0,"БЛОК: сумма должна быть больше нуля",IF(AND(H288&lt;&gt;0,F288=""),"БЛОК: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отделить",IF(AND(G288&lt;&gt;0,F288=""),"БЛОК: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нельзя",IF(AND(F288&lt;&gt;"",COUNTIF('Долг по актам'!$B$5:$B$34,F288)=0),"БЛОК: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договору")&gt;0)*($C$5:$C$504&lt;&gt;C288)*($E$5:$E$504=E288)*(($D$5:$D$504=D288)*(D288&lt;&gt;"")+($B$5:$B$504=B288)*(B288&lt;&gt;"")&gt;0))&gt;0,"БЛОК: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88" s="3" t="str">
        <f>IF(AND(B288="",C288="",E288=""),"",SUM($G$5:G288))</f>
        <v/>
      </c>
    </row>
    <row r="289" spans="1:10" x14ac:dyDescent="0.3">
      <c r="A289" s="4">
        <v>285</v>
      </c>
      <c r="B289" s="5"/>
      <c r="C289" s="6"/>
      <c r="D289" s="6"/>
      <c r="E289" s="7"/>
      <c r="F289" s="6"/>
      <c r="G289" s="3">
        <f t="shared" si="8"/>
        <v>0</v>
      </c>
      <c r="H289" s="3">
        <f t="shared" si="9"/>
        <v>0</v>
      </c>
      <c r="I289" s="4" t="str">
        <f>IF(AND(B289="",C289="",D289="",E289="",F289=""),"",IF(OR(B289="",C289="",E289=""),"БЛОК: нужны дата, тип операции и сумма",IF(N(E289)&lt;=0,"БЛОК: сумма должна быть больше нуля",IF(AND(H289&lt;&gt;0,F289=""),"БЛОК: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отделить",IF(AND(G289&lt;&gt;0,F289=""),"БЛОК: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нельзя",IF(AND(F289&lt;&gt;"",COUNTIF('Долг по актам'!$B$5:$B$34,F289)=0),"БЛОК: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договору")&gt;0)*($C$5:$C$504&lt;&gt;C289)*($E$5:$E$504=E289)*(($D$5:$D$504=D289)*(D289&lt;&gt;"")+($B$5:$B$504=B289)*(B289&lt;&gt;"")&gt;0))&gt;0,"БЛОК: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89" s="3" t="str">
        <f>IF(AND(B289="",C289="",E289=""),"",SUM($G$5:G289))</f>
        <v/>
      </c>
    </row>
    <row r="290" spans="1:10" x14ac:dyDescent="0.3">
      <c r="A290" s="4">
        <v>286</v>
      </c>
      <c r="B290" s="5"/>
      <c r="C290" s="6"/>
      <c r="D290" s="6"/>
      <c r="E290" s="7"/>
      <c r="F290" s="6"/>
      <c r="G290" s="3">
        <f t="shared" si="8"/>
        <v>0</v>
      </c>
      <c r="H290" s="3">
        <f t="shared" si="9"/>
        <v>0</v>
      </c>
      <c r="I290" s="4" t="str">
        <f>IF(AND(B290="",C290="",D290="",E290="",F290=""),"",IF(OR(B290="",C290="",E290=""),"БЛОК: нужны дата, тип операции и сумма",IF(N(E290)&lt;=0,"БЛОК: сумма должна быть больше нуля",IF(AND(H290&lt;&gt;0,F290=""),"БЛОК: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отделить",IF(AND(G290&lt;&gt;0,F290=""),"БЛОК: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нельзя",IF(AND(F290&lt;&gt;"",COUNTIF('Долг по актам'!$B$5:$B$34,F290)=0),"БЛОК: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договору")&gt;0)*($C$5:$C$504&lt;&gt;C290)*($E$5:$E$504=E290)*(($D$5:$D$504=D290)*(D290&lt;&gt;"")+($B$5:$B$504=B290)*(B290&lt;&gt;"")&gt;0))&gt;0,"БЛОК: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90" s="3" t="str">
        <f>IF(AND(B290="",C290="",E290=""),"",SUM($G$5:G290))</f>
        <v/>
      </c>
    </row>
    <row r="291" spans="1:10" x14ac:dyDescent="0.3">
      <c r="A291" s="4">
        <v>287</v>
      </c>
      <c r="B291" s="5"/>
      <c r="C291" s="6"/>
      <c r="D291" s="6"/>
      <c r="E291" s="7"/>
      <c r="F291" s="6"/>
      <c r="G291" s="3">
        <f t="shared" si="8"/>
        <v>0</v>
      </c>
      <c r="H291" s="3">
        <f t="shared" si="9"/>
        <v>0</v>
      </c>
      <c r="I291" s="4" t="str">
        <f>IF(AND(B291="",C291="",D291="",E291="",F291=""),"",IF(OR(B291="",C291="",E291=""),"БЛОК: нужны дата, тип операции и сумма",IF(N(E291)&lt;=0,"БЛОК: сумма должна быть больше нуля",IF(AND(H291&lt;&gt;0,F291=""),"БЛОК: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отделить",IF(AND(G291&lt;&gt;0,F291=""),"БЛОК: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нельзя",IF(AND(F291&lt;&gt;"",COUNTIF('Долг по актам'!$B$5:$B$34,F291)=0),"БЛОК: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договору")&gt;0)*($C$5:$C$504&lt;&gt;C291)*($E$5:$E$504=E291)*(($D$5:$D$504=D291)*(D291&lt;&gt;"")+($B$5:$B$504=B291)*(B291&lt;&gt;"")&gt;0))&gt;0,"БЛОК: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91" s="3" t="str">
        <f>IF(AND(B291="",C291="",E291=""),"",SUM($G$5:G291))</f>
        <v/>
      </c>
    </row>
    <row r="292" spans="1:10" x14ac:dyDescent="0.3">
      <c r="A292" s="4">
        <v>288</v>
      </c>
      <c r="B292" s="5"/>
      <c r="C292" s="6"/>
      <c r="D292" s="6"/>
      <c r="E292" s="7"/>
      <c r="F292" s="6"/>
      <c r="G292" s="3">
        <f t="shared" si="8"/>
        <v>0</v>
      </c>
      <c r="H292" s="3">
        <f t="shared" si="9"/>
        <v>0</v>
      </c>
      <c r="I292" s="4" t="str">
        <f>IF(AND(B292="",C292="",D292="",E292="",F292=""),"",IF(OR(B292="",C292="",E292=""),"БЛОК: нужны дата, тип операции и сумма",IF(N(E292)&lt;=0,"БЛОК: сумма должна быть больше нуля",IF(AND(H292&lt;&gt;0,F292=""),"БЛОК: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отделить",IF(AND(G292&lt;&gt;0,F292=""),"БЛОК: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нельзя",IF(AND(F292&lt;&gt;"",COUNTIF('Долг по актам'!$B$5:$B$34,F292)=0),"БЛОК: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договору")&gt;0)*($C$5:$C$504&lt;&gt;C292)*($E$5:$E$504=E292)*(($D$5:$D$504=D292)*(D292&lt;&gt;"")+($B$5:$B$504=B292)*(B292&lt;&gt;"")&gt;0))&gt;0,"БЛОК: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92" s="3" t="str">
        <f>IF(AND(B292="",C292="",E292=""),"",SUM($G$5:G292))</f>
        <v/>
      </c>
    </row>
    <row r="293" spans="1:10" x14ac:dyDescent="0.3">
      <c r="A293" s="4">
        <v>289</v>
      </c>
      <c r="B293" s="5"/>
      <c r="C293" s="6"/>
      <c r="D293" s="6"/>
      <c r="E293" s="7"/>
      <c r="F293" s="6"/>
      <c r="G293" s="3">
        <f t="shared" si="8"/>
        <v>0</v>
      </c>
      <c r="H293" s="3">
        <f t="shared" si="9"/>
        <v>0</v>
      </c>
      <c r="I293" s="4" t="str">
        <f>IF(AND(B293="",C293="",D293="",E293="",F293=""),"",IF(OR(B293="",C293="",E293=""),"БЛОК: нужны дата, тип операции и сумма",IF(N(E293)&lt;=0,"БЛОК: сумма должна быть больше нуля",IF(AND(H293&lt;&gt;0,F293=""),"БЛОК: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отделить",IF(AND(G293&lt;&gt;0,F293=""),"БЛОК: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нельзя",IF(AND(F293&lt;&gt;"",COUNTIF('Долг по актам'!$B$5:$B$34,F293)=0),"БЛОК: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договору")&gt;0)*($C$5:$C$504&lt;&gt;C293)*($E$5:$E$504=E293)*(($D$5:$D$504=D293)*(D293&lt;&gt;"")+($B$5:$B$504=B293)*(B293&lt;&gt;"")&gt;0))&gt;0,"БЛОК: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93" s="3" t="str">
        <f>IF(AND(B293="",C293="",E293=""),"",SUM($G$5:G293))</f>
        <v/>
      </c>
    </row>
    <row r="294" spans="1:10" x14ac:dyDescent="0.3">
      <c r="A294" s="4">
        <v>290</v>
      </c>
      <c r="B294" s="5"/>
      <c r="C294" s="6"/>
      <c r="D294" s="6"/>
      <c r="E294" s="7"/>
      <c r="F294" s="6"/>
      <c r="G294" s="3">
        <f t="shared" si="8"/>
        <v>0</v>
      </c>
      <c r="H294" s="3">
        <f t="shared" si="9"/>
        <v>0</v>
      </c>
      <c r="I294" s="4" t="str">
        <f>IF(AND(B294="",C294="",D294="",E294="",F294=""),"",IF(OR(B294="",C294="",E294=""),"БЛОК: нужны дата, тип операции и сумма",IF(N(E294)&lt;=0,"БЛОК: сумма должна быть больше нуля",IF(AND(H294&lt;&gt;0,F294=""),"БЛОК: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отделить",IF(AND(G294&lt;&gt;0,F294=""),"БЛОК: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нельзя",IF(AND(F294&lt;&gt;"",COUNTIF('Долг по актам'!$B$5:$B$34,F294)=0),"БЛОК: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договору")&gt;0)*($C$5:$C$504&lt;&gt;C294)*($E$5:$E$504=E294)*(($D$5:$D$504=D294)*(D294&lt;&gt;"")+($B$5:$B$504=B294)*(B294&lt;&gt;"")&gt;0))&gt;0,"БЛОК: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94" s="3" t="str">
        <f>IF(AND(B294="",C294="",E294=""),"",SUM($G$5:G294))</f>
        <v/>
      </c>
    </row>
    <row r="295" spans="1:10" x14ac:dyDescent="0.3">
      <c r="A295" s="4">
        <v>291</v>
      </c>
      <c r="B295" s="5"/>
      <c r="C295" s="6"/>
      <c r="D295" s="6"/>
      <c r="E295" s="7"/>
      <c r="F295" s="6"/>
      <c r="G295" s="3">
        <f t="shared" si="8"/>
        <v>0</v>
      </c>
      <c r="H295" s="3">
        <f t="shared" si="9"/>
        <v>0</v>
      </c>
      <c r="I295" s="4" t="str">
        <f>IF(AND(B295="",C295="",D295="",E295="",F295=""),"",IF(OR(B295="",C295="",E295=""),"БЛОК: нужны дата, тип операции и сумма",IF(N(E295)&lt;=0,"БЛОК: сумма должна быть больше нуля",IF(AND(H295&lt;&gt;0,F295=""),"БЛОК: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отделить",IF(AND(G295&lt;&gt;0,F295=""),"БЛОК: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нельзя",IF(AND(F295&lt;&gt;"",COUNTIF('Долг по актам'!$B$5:$B$34,F295)=0),"БЛОК: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договору")&gt;0)*($C$5:$C$504&lt;&gt;C295)*($E$5:$E$504=E295)*(($D$5:$D$504=D295)*(D295&lt;&gt;"")+($B$5:$B$504=B295)*(B295&lt;&gt;"")&gt;0))&gt;0,"БЛОК: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95" s="3" t="str">
        <f>IF(AND(B295="",C295="",E295=""),"",SUM($G$5:G295))</f>
        <v/>
      </c>
    </row>
    <row r="296" spans="1:10" x14ac:dyDescent="0.3">
      <c r="A296" s="4">
        <v>292</v>
      </c>
      <c r="B296" s="5"/>
      <c r="C296" s="6"/>
      <c r="D296" s="6"/>
      <c r="E296" s="7"/>
      <c r="F296" s="6"/>
      <c r="G296" s="3">
        <f t="shared" si="8"/>
        <v>0</v>
      </c>
      <c r="H296" s="3">
        <f t="shared" si="9"/>
        <v>0</v>
      </c>
      <c r="I296" s="4" t="str">
        <f>IF(AND(B296="",C296="",D296="",E296="",F296=""),"",IF(OR(B296="",C296="",E296=""),"БЛОК: нужны дата, тип операции и сумма",IF(N(E296)&lt;=0,"БЛОК: сумма должна быть больше нуля",IF(AND(H296&lt;&gt;0,F296=""),"БЛОК: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отделить",IF(AND(G296&lt;&gt;0,F296=""),"БЛОК: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нельзя",IF(AND(F296&lt;&gt;"",COUNTIF('Долг по актам'!$B$5:$B$34,F296)=0),"БЛОК: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договору")&gt;0)*($C$5:$C$504&lt;&gt;C296)*($E$5:$E$504=E296)*(($D$5:$D$504=D296)*(D296&lt;&gt;"")+($B$5:$B$504=B296)*(B296&lt;&gt;"")&gt;0))&gt;0,"БЛОК: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96" s="3" t="str">
        <f>IF(AND(B296="",C296="",E296=""),"",SUM($G$5:G296))</f>
        <v/>
      </c>
    </row>
    <row r="297" spans="1:10" x14ac:dyDescent="0.3">
      <c r="A297" s="4">
        <v>293</v>
      </c>
      <c r="B297" s="5"/>
      <c r="C297" s="6"/>
      <c r="D297" s="6"/>
      <c r="E297" s="7"/>
      <c r="F297" s="6"/>
      <c r="G297" s="3">
        <f t="shared" si="8"/>
        <v>0</v>
      </c>
      <c r="H297" s="3">
        <f t="shared" si="9"/>
        <v>0</v>
      </c>
      <c r="I297" s="4" t="str">
        <f>IF(AND(B297="",C297="",D297="",E297="",F297=""),"",IF(OR(B297="",C297="",E297=""),"БЛОК: нужны дата, тип операции и сумма",IF(N(E297)&lt;=0,"БЛОК: сумма должна быть больше нуля",IF(AND(H297&lt;&gt;0,F297=""),"БЛОК: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отделить",IF(AND(G297&lt;&gt;0,F297=""),"БЛОК: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нельзя",IF(AND(F297&lt;&gt;"",COUNTIF('Долг по актам'!$B$5:$B$34,F297)=0),"БЛОК: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договору")&gt;0)*($C$5:$C$504&lt;&gt;C297)*($E$5:$E$504=E297)*(($D$5:$D$504=D297)*(D297&lt;&gt;"")+($B$5:$B$504=B297)*(B297&lt;&gt;"")&gt;0))&gt;0,"БЛОК: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97" s="3" t="str">
        <f>IF(AND(B297="",C297="",E297=""),"",SUM($G$5:G297))</f>
        <v/>
      </c>
    </row>
    <row r="298" spans="1:10" x14ac:dyDescent="0.3">
      <c r="A298" s="4">
        <v>294</v>
      </c>
      <c r="B298" s="5"/>
      <c r="C298" s="6"/>
      <c r="D298" s="6"/>
      <c r="E298" s="7"/>
      <c r="F298" s="6"/>
      <c r="G298" s="3">
        <f t="shared" si="8"/>
        <v>0</v>
      </c>
      <c r="H298" s="3">
        <f t="shared" si="9"/>
        <v>0</v>
      </c>
      <c r="I298" s="4" t="str">
        <f>IF(AND(B298="",C298="",D298="",E298="",F298=""),"",IF(OR(B298="",C298="",E298=""),"БЛОК: нужны дата, тип операции и сумма",IF(N(E298)&lt;=0,"БЛОК: сумма должна быть больше нуля",IF(AND(H298&lt;&gt;0,F298=""),"БЛОК: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отделить",IF(AND(G298&lt;&gt;0,F298=""),"БЛОК: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нельзя",IF(AND(F298&lt;&gt;"",COUNTIF('Долг по актам'!$B$5:$B$34,F298)=0),"БЛОК: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договору")&gt;0)*($C$5:$C$504&lt;&gt;C298)*($E$5:$E$504=E298)*(($D$5:$D$504=D298)*(D298&lt;&gt;"")+($B$5:$B$504=B298)*(B298&lt;&gt;"")&gt;0))&gt;0,"БЛОК: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98" s="3" t="str">
        <f>IF(AND(B298="",C298="",E298=""),"",SUM($G$5:G298))</f>
        <v/>
      </c>
    </row>
    <row r="299" spans="1:10" x14ac:dyDescent="0.3">
      <c r="A299" s="4">
        <v>295</v>
      </c>
      <c r="B299" s="5"/>
      <c r="C299" s="6"/>
      <c r="D299" s="6"/>
      <c r="E299" s="7"/>
      <c r="F299" s="6"/>
      <c r="G299" s="3">
        <f t="shared" si="8"/>
        <v>0</v>
      </c>
      <c r="H299" s="3">
        <f t="shared" si="9"/>
        <v>0</v>
      </c>
      <c r="I299" s="4" t="str">
        <f>IF(AND(B299="",C299="",D299="",E299="",F299=""),"",IF(OR(B299="",C299="",E299=""),"БЛОК: нужны дата, тип операции и сумма",IF(N(E299)&lt;=0,"БЛОК: сумма должна быть больше нуля",IF(AND(H299&lt;&gt;0,F299=""),"БЛОК: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отделить",IF(AND(G299&lt;&gt;0,F299=""),"БЛОК: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нельзя",IF(AND(F299&lt;&gt;"",COUNTIF('Долг по актам'!$B$5:$B$34,F299)=0),"БЛОК: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договору")&gt;0)*($C$5:$C$504&lt;&gt;C299)*($E$5:$E$504=E299)*(($D$5:$D$504=D299)*(D299&lt;&gt;"")+($B$5:$B$504=B299)*(B299&lt;&gt;"")&gt;0))&gt;0,"БЛОК: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299" s="3" t="str">
        <f>IF(AND(B299="",C299="",E299=""),"",SUM($G$5:G299))</f>
        <v/>
      </c>
    </row>
    <row r="300" spans="1:10" x14ac:dyDescent="0.3">
      <c r="A300" s="4">
        <v>296</v>
      </c>
      <c r="B300" s="5"/>
      <c r="C300" s="6"/>
      <c r="D300" s="6"/>
      <c r="E300" s="7"/>
      <c r="F300" s="6"/>
      <c r="G300" s="3">
        <f t="shared" si="8"/>
        <v>0</v>
      </c>
      <c r="H300" s="3">
        <f t="shared" si="9"/>
        <v>0</v>
      </c>
      <c r="I300" s="4" t="str">
        <f>IF(AND(B300="",C300="",D300="",E300="",F300=""),"",IF(OR(B300="",C300="",E300=""),"БЛОК: нужны дата, тип операции и сумма",IF(N(E300)&lt;=0,"БЛОК: сумма должна быть больше нуля",IF(AND(H300&lt;&gt;0,F300=""),"БЛОК: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отделить",IF(AND(G300&lt;&gt;0,F300=""),"БЛОК: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нельзя",IF(AND(F300&lt;&gt;"",COUNTIF('Долг по актам'!$B$5:$B$34,F300)=0),"БЛОК: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договору")&gt;0)*($C$5:$C$504&lt;&gt;C300)*($E$5:$E$504=E300)*(($D$5:$D$504=D300)*(D300&lt;&gt;"")+($B$5:$B$504=B300)*(B300&lt;&gt;"")&gt;0))&gt;0,"БЛОК: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00" s="3" t="str">
        <f>IF(AND(B300="",C300="",E300=""),"",SUM($G$5:G300))</f>
        <v/>
      </c>
    </row>
    <row r="301" spans="1:10" x14ac:dyDescent="0.3">
      <c r="A301" s="4">
        <v>297</v>
      </c>
      <c r="B301" s="5"/>
      <c r="C301" s="6"/>
      <c r="D301" s="6"/>
      <c r="E301" s="7"/>
      <c r="F301" s="6"/>
      <c r="G301" s="3">
        <f t="shared" si="8"/>
        <v>0</v>
      </c>
      <c r="H301" s="3">
        <f t="shared" si="9"/>
        <v>0</v>
      </c>
      <c r="I301" s="4" t="str">
        <f>IF(AND(B301="",C301="",D301="",E301="",F301=""),"",IF(OR(B301="",C301="",E301=""),"БЛОК: нужны дата, тип операции и сумма",IF(N(E301)&lt;=0,"БЛОК: сумма должна быть больше нуля",IF(AND(H301&lt;&gt;0,F301=""),"БЛОК: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отделить",IF(AND(G301&lt;&gt;0,F301=""),"БЛОК: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нельзя",IF(AND(F301&lt;&gt;"",COUNTIF('Долг по актам'!$B$5:$B$34,F301)=0),"БЛОК: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договору")&gt;0)*($C$5:$C$504&lt;&gt;C301)*($E$5:$E$504=E301)*(($D$5:$D$504=D301)*(D301&lt;&gt;"")+($B$5:$B$504=B301)*(B301&lt;&gt;"")&gt;0))&gt;0,"БЛОК: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01" s="3" t="str">
        <f>IF(AND(B301="",C301="",E301=""),"",SUM($G$5:G301))</f>
        <v/>
      </c>
    </row>
    <row r="302" spans="1:10" x14ac:dyDescent="0.3">
      <c r="A302" s="4">
        <v>298</v>
      </c>
      <c r="B302" s="5"/>
      <c r="C302" s="6"/>
      <c r="D302" s="6"/>
      <c r="E302" s="7"/>
      <c r="F302" s="6"/>
      <c r="G302" s="3">
        <f t="shared" si="8"/>
        <v>0</v>
      </c>
      <c r="H302" s="3">
        <f t="shared" si="9"/>
        <v>0</v>
      </c>
      <c r="I302" s="4" t="str">
        <f>IF(AND(B302="",C302="",D302="",E302="",F302=""),"",IF(OR(B302="",C302="",E302=""),"БЛОК: нужны дата, тип операции и сумма",IF(N(E302)&lt;=0,"БЛОК: сумма должна быть больше нуля",IF(AND(H302&lt;&gt;0,F302=""),"БЛОК: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отделить",IF(AND(G302&lt;&gt;0,F302=""),"БЛОК: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нельзя",IF(AND(F302&lt;&gt;"",COUNTIF('Долг по актам'!$B$5:$B$34,F302)=0),"БЛОК: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договору")&gt;0)*($C$5:$C$504&lt;&gt;C302)*($E$5:$E$504=E302)*(($D$5:$D$504=D302)*(D302&lt;&gt;"")+($B$5:$B$504=B302)*(B302&lt;&gt;"")&gt;0))&gt;0,"БЛОК: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02" s="3" t="str">
        <f>IF(AND(B302="",C302="",E302=""),"",SUM($G$5:G302))</f>
        <v/>
      </c>
    </row>
    <row r="303" spans="1:10" x14ac:dyDescent="0.3">
      <c r="A303" s="4">
        <v>299</v>
      </c>
      <c r="B303" s="5"/>
      <c r="C303" s="6"/>
      <c r="D303" s="6"/>
      <c r="E303" s="7"/>
      <c r="F303" s="6"/>
      <c r="G303" s="3">
        <f t="shared" si="8"/>
        <v>0</v>
      </c>
      <c r="H303" s="3">
        <f t="shared" si="9"/>
        <v>0</v>
      </c>
      <c r="I303" s="4" t="str">
        <f>IF(AND(B303="",C303="",D303="",E303="",F303=""),"",IF(OR(B303="",C303="",E303=""),"БЛОК: нужны дата, тип операции и сумма",IF(N(E303)&lt;=0,"БЛОК: сумма должна быть больше нуля",IF(AND(H303&lt;&gt;0,F303=""),"БЛОК: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отделить",IF(AND(G303&lt;&gt;0,F303=""),"БЛОК: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нельзя",IF(AND(F303&lt;&gt;"",COUNTIF('Долг по актам'!$B$5:$B$34,F303)=0),"БЛОК: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договору")&gt;0)*($C$5:$C$504&lt;&gt;C303)*($E$5:$E$504=E303)*(($D$5:$D$504=D303)*(D303&lt;&gt;"")+($B$5:$B$504=B303)*(B303&lt;&gt;"")&gt;0))&gt;0,"БЛОК: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03" s="3" t="str">
        <f>IF(AND(B303="",C303="",E303=""),"",SUM($G$5:G303))</f>
        <v/>
      </c>
    </row>
    <row r="304" spans="1:10" x14ac:dyDescent="0.3">
      <c r="A304" s="4">
        <v>300</v>
      </c>
      <c r="B304" s="5"/>
      <c r="C304" s="6"/>
      <c r="D304" s="6"/>
      <c r="E304" s="7"/>
      <c r="F304" s="6"/>
      <c r="G304" s="3">
        <f t="shared" si="8"/>
        <v>0</v>
      </c>
      <c r="H304" s="3">
        <f t="shared" si="9"/>
        <v>0</v>
      </c>
      <c r="I304" s="4" t="str">
        <f>IF(AND(B304="",C304="",D304="",E304="",F304=""),"",IF(OR(B304="",C304="",E304=""),"БЛОК: нужны дата, тип операции и сумма",IF(N(E304)&lt;=0,"БЛОК: сумма должна быть больше нуля",IF(AND(H304&lt;&gt;0,F304=""),"БЛОК: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отделить",IF(AND(G304&lt;&gt;0,F304=""),"БЛОК: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нельзя",IF(AND(F304&lt;&gt;"",COUNTIF('Долг по актам'!$B$5:$B$34,F304)=0),"БЛОК: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договору")&gt;0)*($C$5:$C$504&lt;&gt;C304)*($E$5:$E$504=E304)*(($D$5:$D$504=D304)*(D304&lt;&gt;"")+($B$5:$B$504=B304)*(B304&lt;&gt;"")&gt;0))&gt;0,"БЛОК: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04" s="3" t="str">
        <f>IF(AND(B304="",C304="",E304=""),"",SUM($G$5:G304))</f>
        <v/>
      </c>
    </row>
    <row r="305" spans="1:10" x14ac:dyDescent="0.3">
      <c r="A305" s="4">
        <v>301</v>
      </c>
      <c r="B305" s="5"/>
      <c r="C305" s="6"/>
      <c r="D305" s="6"/>
      <c r="E305" s="7"/>
      <c r="F305" s="6"/>
      <c r="G305" s="3">
        <f t="shared" si="8"/>
        <v>0</v>
      </c>
      <c r="H305" s="3">
        <f t="shared" si="9"/>
        <v>0</v>
      </c>
      <c r="I305" s="4" t="str">
        <f>IF(AND(B305="",C305="",D305="",E305="",F305=""),"",IF(OR(B305="",C305="",E305=""),"БЛОК: нужны дата, тип операции и сумма",IF(N(E305)&lt;=0,"БЛОК: сумма должна быть больше нуля",IF(AND(H305&lt;&gt;0,F305=""),"БЛОК: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отделить",IF(AND(G305&lt;&gt;0,F305=""),"БЛОК: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нельзя",IF(AND(F305&lt;&gt;"",COUNTIF('Долг по актам'!$B$5:$B$34,F305)=0),"БЛОК: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договору")&gt;0)*($C$5:$C$504&lt;&gt;C305)*($E$5:$E$504=E305)*(($D$5:$D$504=D305)*(D305&lt;&gt;"")+($B$5:$B$504=B305)*(B305&lt;&gt;"")&gt;0))&gt;0,"БЛОК: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05" s="3" t="str">
        <f>IF(AND(B305="",C305="",E305=""),"",SUM($G$5:G305))</f>
        <v/>
      </c>
    </row>
    <row r="306" spans="1:10" x14ac:dyDescent="0.3">
      <c r="A306" s="4">
        <v>302</v>
      </c>
      <c r="B306" s="5"/>
      <c r="C306" s="6"/>
      <c r="D306" s="6"/>
      <c r="E306" s="7"/>
      <c r="F306" s="6"/>
      <c r="G306" s="3">
        <f t="shared" si="8"/>
        <v>0</v>
      </c>
      <c r="H306" s="3">
        <f t="shared" si="9"/>
        <v>0</v>
      </c>
      <c r="I306" s="4" t="str">
        <f>IF(AND(B306="",C306="",D306="",E306="",F306=""),"",IF(OR(B306="",C306="",E306=""),"БЛОК: нужны дата, тип операции и сумма",IF(N(E306)&lt;=0,"БЛОК: сумма должна быть больше нуля",IF(AND(H306&lt;&gt;0,F306=""),"БЛОК: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отделить",IF(AND(G306&lt;&gt;0,F306=""),"БЛОК: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нельзя",IF(AND(F306&lt;&gt;"",COUNTIF('Долг по актам'!$B$5:$B$34,F306)=0),"БЛОК: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договору")&gt;0)*($C$5:$C$504&lt;&gt;C306)*($E$5:$E$504=E306)*(($D$5:$D$504=D306)*(D306&lt;&gt;"")+($B$5:$B$504=B306)*(B306&lt;&gt;"")&gt;0))&gt;0,"БЛОК: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06" s="3" t="str">
        <f>IF(AND(B306="",C306="",E306=""),"",SUM($G$5:G306))</f>
        <v/>
      </c>
    </row>
    <row r="307" spans="1:10" x14ac:dyDescent="0.3">
      <c r="A307" s="4">
        <v>303</v>
      </c>
      <c r="B307" s="5"/>
      <c r="C307" s="6"/>
      <c r="D307" s="6"/>
      <c r="E307" s="7"/>
      <c r="F307" s="6"/>
      <c r="G307" s="3">
        <f t="shared" si="8"/>
        <v>0</v>
      </c>
      <c r="H307" s="3">
        <f t="shared" si="9"/>
        <v>0</v>
      </c>
      <c r="I307" s="4" t="str">
        <f>IF(AND(B307="",C307="",D307="",E307="",F307=""),"",IF(OR(B307="",C307="",E307=""),"БЛОК: нужны дата, тип операции и сумма",IF(N(E307)&lt;=0,"БЛОК: сумма должна быть больше нуля",IF(AND(H307&lt;&gt;0,F307=""),"БЛОК: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отделить",IF(AND(G307&lt;&gt;0,F307=""),"БЛОК: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нельзя",IF(AND(F307&lt;&gt;"",COUNTIF('Долг по актам'!$B$5:$B$34,F307)=0),"БЛОК: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договору")&gt;0)*($C$5:$C$504&lt;&gt;C307)*($E$5:$E$504=E307)*(($D$5:$D$504=D307)*(D307&lt;&gt;"")+($B$5:$B$504=B307)*(B307&lt;&gt;"")&gt;0))&gt;0,"БЛОК: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07" s="3" t="str">
        <f>IF(AND(B307="",C307="",E307=""),"",SUM($G$5:G307))</f>
        <v/>
      </c>
    </row>
    <row r="308" spans="1:10" x14ac:dyDescent="0.3">
      <c r="A308" s="4">
        <v>304</v>
      </c>
      <c r="B308" s="5"/>
      <c r="C308" s="6"/>
      <c r="D308" s="6"/>
      <c r="E308" s="7"/>
      <c r="F308" s="6"/>
      <c r="G308" s="3">
        <f t="shared" si="8"/>
        <v>0</v>
      </c>
      <c r="H308" s="3">
        <f t="shared" si="9"/>
        <v>0</v>
      </c>
      <c r="I308" s="4" t="str">
        <f>IF(AND(B308="",C308="",D308="",E308="",F308=""),"",IF(OR(B308="",C308="",E308=""),"БЛОК: нужны дата, тип операции и сумма",IF(N(E308)&lt;=0,"БЛОК: сумма должна быть больше нуля",IF(AND(H308&lt;&gt;0,F308=""),"БЛОК: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отделить",IF(AND(G308&lt;&gt;0,F308=""),"БЛОК: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нельзя",IF(AND(F308&lt;&gt;"",COUNTIF('Долг по актам'!$B$5:$B$34,F308)=0),"БЛОК: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договору")&gt;0)*($C$5:$C$504&lt;&gt;C308)*($E$5:$E$504=E308)*(($D$5:$D$504=D308)*(D308&lt;&gt;"")+($B$5:$B$504=B308)*(B308&lt;&gt;"")&gt;0))&gt;0,"БЛОК: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08" s="3" t="str">
        <f>IF(AND(B308="",C308="",E308=""),"",SUM($G$5:G308))</f>
        <v/>
      </c>
    </row>
    <row r="309" spans="1:10" x14ac:dyDescent="0.3">
      <c r="A309" s="4">
        <v>305</v>
      </c>
      <c r="B309" s="5"/>
      <c r="C309" s="6"/>
      <c r="D309" s="6"/>
      <c r="E309" s="7"/>
      <c r="F309" s="6"/>
      <c r="G309" s="3">
        <f t="shared" si="8"/>
        <v>0</v>
      </c>
      <c r="H309" s="3">
        <f t="shared" si="9"/>
        <v>0</v>
      </c>
      <c r="I309" s="4" t="str">
        <f>IF(AND(B309="",C309="",D309="",E309="",F309=""),"",IF(OR(B309="",C309="",E309=""),"БЛОК: нужны дата, тип операции и сумма",IF(N(E309)&lt;=0,"БЛОК: сумма должна быть больше нуля",IF(AND(H309&lt;&gt;0,F309=""),"БЛОК: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отделить",IF(AND(G309&lt;&gt;0,F309=""),"БЛОК: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нельзя",IF(AND(F309&lt;&gt;"",COUNTIF('Долг по актам'!$B$5:$B$34,F309)=0),"БЛОК: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договору")&gt;0)*($C$5:$C$504&lt;&gt;C309)*($E$5:$E$504=E309)*(($D$5:$D$504=D309)*(D309&lt;&gt;"")+($B$5:$B$504=B309)*(B309&lt;&gt;"")&gt;0))&gt;0,"БЛОК: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09" s="3" t="str">
        <f>IF(AND(B309="",C309="",E309=""),"",SUM($G$5:G309))</f>
        <v/>
      </c>
    </row>
    <row r="310" spans="1:10" x14ac:dyDescent="0.3">
      <c r="A310" s="4">
        <v>306</v>
      </c>
      <c r="B310" s="5"/>
      <c r="C310" s="6"/>
      <c r="D310" s="6"/>
      <c r="E310" s="7"/>
      <c r="F310" s="6"/>
      <c r="G310" s="3">
        <f t="shared" si="8"/>
        <v>0</v>
      </c>
      <c r="H310" s="3">
        <f t="shared" si="9"/>
        <v>0</v>
      </c>
      <c r="I310" s="4" t="str">
        <f>IF(AND(B310="",C310="",D310="",E310="",F310=""),"",IF(OR(B310="",C310="",E310=""),"БЛОК: нужны дата, тип операции и сумма",IF(N(E310)&lt;=0,"БЛОК: сумма должна быть больше нуля",IF(AND(H310&lt;&gt;0,F310=""),"БЛОК: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отделить",IF(AND(G310&lt;&gt;0,F310=""),"БЛОК: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нельзя",IF(AND(F310&lt;&gt;"",COUNTIF('Долг по актам'!$B$5:$B$34,F310)=0),"БЛОК: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договору")&gt;0)*($C$5:$C$504&lt;&gt;C310)*($E$5:$E$504=E310)*(($D$5:$D$504=D310)*(D310&lt;&gt;"")+($B$5:$B$504=B310)*(B310&lt;&gt;"")&gt;0))&gt;0,"БЛОК: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10" s="3" t="str">
        <f>IF(AND(B310="",C310="",E310=""),"",SUM($G$5:G310))</f>
        <v/>
      </c>
    </row>
    <row r="311" spans="1:10" x14ac:dyDescent="0.3">
      <c r="A311" s="4">
        <v>307</v>
      </c>
      <c r="B311" s="5"/>
      <c r="C311" s="6"/>
      <c r="D311" s="6"/>
      <c r="E311" s="7"/>
      <c r="F311" s="6"/>
      <c r="G311" s="3">
        <f t="shared" si="8"/>
        <v>0</v>
      </c>
      <c r="H311" s="3">
        <f t="shared" si="9"/>
        <v>0</v>
      </c>
      <c r="I311" s="4" t="str">
        <f>IF(AND(B311="",C311="",D311="",E311="",F311=""),"",IF(OR(B311="",C311="",E311=""),"БЛОК: нужны дата, тип операции и сумма",IF(N(E311)&lt;=0,"БЛОК: сумма должна быть больше нуля",IF(AND(H311&lt;&gt;0,F311=""),"БЛОК: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отделить",IF(AND(G311&lt;&gt;0,F311=""),"БЛОК: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нельзя",IF(AND(F311&lt;&gt;"",COUNTIF('Долг по актам'!$B$5:$B$34,F311)=0),"БЛОК: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договору")&gt;0)*($C$5:$C$504&lt;&gt;C311)*($E$5:$E$504=E311)*(($D$5:$D$504=D311)*(D311&lt;&gt;"")+($B$5:$B$504=B311)*(B311&lt;&gt;"")&gt;0))&gt;0,"БЛОК: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11" s="3" t="str">
        <f>IF(AND(B311="",C311="",E311=""),"",SUM($G$5:G311))</f>
        <v/>
      </c>
    </row>
    <row r="312" spans="1:10" x14ac:dyDescent="0.3">
      <c r="A312" s="4">
        <v>308</v>
      </c>
      <c r="B312" s="5"/>
      <c r="C312" s="6"/>
      <c r="D312" s="6"/>
      <c r="E312" s="7"/>
      <c r="F312" s="6"/>
      <c r="G312" s="3">
        <f t="shared" si="8"/>
        <v>0</v>
      </c>
      <c r="H312" s="3">
        <f t="shared" si="9"/>
        <v>0</v>
      </c>
      <c r="I312" s="4" t="str">
        <f>IF(AND(B312="",C312="",D312="",E312="",F312=""),"",IF(OR(B312="",C312="",E312=""),"БЛОК: нужны дата, тип операции и сумма",IF(N(E312)&lt;=0,"БЛОК: сумма должна быть больше нуля",IF(AND(H312&lt;&gt;0,F312=""),"БЛОК: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отделить",IF(AND(G312&lt;&gt;0,F312=""),"БЛОК: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нельзя",IF(AND(F312&lt;&gt;"",COUNTIF('Долг по актам'!$B$5:$B$34,F312)=0),"БЛОК: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договору")&gt;0)*($C$5:$C$504&lt;&gt;C312)*($E$5:$E$504=E312)*(($D$5:$D$504=D312)*(D312&lt;&gt;"")+($B$5:$B$504=B312)*(B312&lt;&gt;"")&gt;0))&gt;0,"БЛОК: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12" s="3" t="str">
        <f>IF(AND(B312="",C312="",E312=""),"",SUM($G$5:G312))</f>
        <v/>
      </c>
    </row>
    <row r="313" spans="1:10" x14ac:dyDescent="0.3">
      <c r="A313" s="4">
        <v>309</v>
      </c>
      <c r="B313" s="5"/>
      <c r="C313" s="6"/>
      <c r="D313" s="6"/>
      <c r="E313" s="7"/>
      <c r="F313" s="6"/>
      <c r="G313" s="3">
        <f t="shared" si="8"/>
        <v>0</v>
      </c>
      <c r="H313" s="3">
        <f t="shared" si="9"/>
        <v>0</v>
      </c>
      <c r="I313" s="4" t="str">
        <f>IF(AND(B313="",C313="",D313="",E313="",F313=""),"",IF(OR(B313="",C313="",E313=""),"БЛОК: нужны дата, тип операции и сумма",IF(N(E313)&lt;=0,"БЛОК: сумма должна быть больше нуля",IF(AND(H313&lt;&gt;0,F313=""),"БЛОК: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отделить",IF(AND(G313&lt;&gt;0,F313=""),"БЛОК: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нельзя",IF(AND(F313&lt;&gt;"",COUNTIF('Долг по актам'!$B$5:$B$34,F313)=0),"БЛОК: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договору")&gt;0)*($C$5:$C$504&lt;&gt;C313)*($E$5:$E$504=E313)*(($D$5:$D$504=D313)*(D313&lt;&gt;"")+($B$5:$B$504=B313)*(B313&lt;&gt;"")&gt;0))&gt;0,"БЛОК: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13" s="3" t="str">
        <f>IF(AND(B313="",C313="",E313=""),"",SUM($G$5:G313))</f>
        <v/>
      </c>
    </row>
    <row r="314" spans="1:10" x14ac:dyDescent="0.3">
      <c r="A314" s="4">
        <v>310</v>
      </c>
      <c r="B314" s="5"/>
      <c r="C314" s="6"/>
      <c r="D314" s="6"/>
      <c r="E314" s="7"/>
      <c r="F314" s="6"/>
      <c r="G314" s="3">
        <f t="shared" si="8"/>
        <v>0</v>
      </c>
      <c r="H314" s="3">
        <f t="shared" si="9"/>
        <v>0</v>
      </c>
      <c r="I314" s="4" t="str">
        <f>IF(AND(B314="",C314="",D314="",E314="",F314=""),"",IF(OR(B314="",C314="",E314=""),"БЛОК: нужны дата, тип операции и сумма",IF(N(E314)&lt;=0,"БЛОК: сумма должна быть больше нуля",IF(AND(H314&lt;&gt;0,F314=""),"БЛОК: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отделить",IF(AND(G314&lt;&gt;0,F314=""),"БЛОК: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нельзя",IF(AND(F314&lt;&gt;"",COUNTIF('Долг по актам'!$B$5:$B$34,F314)=0),"БЛОК: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договору")&gt;0)*($C$5:$C$504&lt;&gt;C314)*($E$5:$E$504=E314)*(($D$5:$D$504=D314)*(D314&lt;&gt;"")+($B$5:$B$504=B314)*(B314&lt;&gt;"")&gt;0))&gt;0,"БЛОК: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14" s="3" t="str">
        <f>IF(AND(B314="",C314="",E314=""),"",SUM($G$5:G314))</f>
        <v/>
      </c>
    </row>
    <row r="315" spans="1:10" x14ac:dyDescent="0.3">
      <c r="A315" s="4">
        <v>311</v>
      </c>
      <c r="B315" s="5"/>
      <c r="C315" s="6"/>
      <c r="D315" s="6"/>
      <c r="E315" s="7"/>
      <c r="F315" s="6"/>
      <c r="G315" s="3">
        <f t="shared" si="8"/>
        <v>0</v>
      </c>
      <c r="H315" s="3">
        <f t="shared" si="9"/>
        <v>0</v>
      </c>
      <c r="I315" s="4" t="str">
        <f>IF(AND(B315="",C315="",D315="",E315="",F315=""),"",IF(OR(B315="",C315="",E315=""),"БЛОК: нужны дата, тип операции и сумма",IF(N(E315)&lt;=0,"БЛОК: сумма должна быть больше нуля",IF(AND(H315&lt;&gt;0,F315=""),"БЛОК: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отделить",IF(AND(G315&lt;&gt;0,F315=""),"БЛОК: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нельзя",IF(AND(F315&lt;&gt;"",COUNTIF('Долг по актам'!$B$5:$B$34,F315)=0),"БЛОК: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договору")&gt;0)*($C$5:$C$504&lt;&gt;C315)*($E$5:$E$504=E315)*(($D$5:$D$504=D315)*(D315&lt;&gt;"")+($B$5:$B$504=B315)*(B315&lt;&gt;"")&gt;0))&gt;0,"БЛОК: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15" s="3" t="str">
        <f>IF(AND(B315="",C315="",E315=""),"",SUM($G$5:G315))</f>
        <v/>
      </c>
    </row>
    <row r="316" spans="1:10" x14ac:dyDescent="0.3">
      <c r="A316" s="4">
        <v>312</v>
      </c>
      <c r="B316" s="5"/>
      <c r="C316" s="6"/>
      <c r="D316" s="6"/>
      <c r="E316" s="7"/>
      <c r="F316" s="6"/>
      <c r="G316" s="3">
        <f t="shared" si="8"/>
        <v>0</v>
      </c>
      <c r="H316" s="3">
        <f t="shared" si="9"/>
        <v>0</v>
      </c>
      <c r="I316" s="4" t="str">
        <f>IF(AND(B316="",C316="",D316="",E316="",F316=""),"",IF(OR(B316="",C316="",E316=""),"БЛОК: нужны дата, тип операции и сумма",IF(N(E316)&lt;=0,"БЛОК: сумма должна быть больше нуля",IF(AND(H316&lt;&gt;0,F316=""),"БЛОК: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отделить",IF(AND(G316&lt;&gt;0,F316=""),"БЛОК: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нельзя",IF(AND(F316&lt;&gt;"",COUNTIF('Долг по актам'!$B$5:$B$34,F316)=0),"БЛОК: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договору")&gt;0)*($C$5:$C$504&lt;&gt;C316)*($E$5:$E$504=E316)*(($D$5:$D$504=D316)*(D316&lt;&gt;"")+($B$5:$B$504=B316)*(B316&lt;&gt;"")&gt;0))&gt;0,"БЛОК: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16" s="3" t="str">
        <f>IF(AND(B316="",C316="",E316=""),"",SUM($G$5:G316))</f>
        <v/>
      </c>
    </row>
    <row r="317" spans="1:10" x14ac:dyDescent="0.3">
      <c r="A317" s="4">
        <v>313</v>
      </c>
      <c r="B317" s="5"/>
      <c r="C317" s="6"/>
      <c r="D317" s="6"/>
      <c r="E317" s="7"/>
      <c r="F317" s="6"/>
      <c r="G317" s="3">
        <f t="shared" si="8"/>
        <v>0</v>
      </c>
      <c r="H317" s="3">
        <f t="shared" si="9"/>
        <v>0</v>
      </c>
      <c r="I317" s="4" t="str">
        <f>IF(AND(B317="",C317="",D317="",E317="",F317=""),"",IF(OR(B317="",C317="",E317=""),"БЛОК: нужны дата, тип операции и сумма",IF(N(E317)&lt;=0,"БЛОК: сумма должна быть больше нуля",IF(AND(H317&lt;&gt;0,F317=""),"БЛОК: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отделить",IF(AND(G317&lt;&gt;0,F317=""),"БЛОК: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нельзя",IF(AND(F317&lt;&gt;"",COUNTIF('Долг по актам'!$B$5:$B$34,F317)=0),"БЛОК: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договору")&gt;0)*($C$5:$C$504&lt;&gt;C317)*($E$5:$E$504=E317)*(($D$5:$D$504=D317)*(D317&lt;&gt;"")+($B$5:$B$504=B317)*(B317&lt;&gt;"")&gt;0))&gt;0,"БЛОК: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17" s="3" t="str">
        <f>IF(AND(B317="",C317="",E317=""),"",SUM($G$5:G317))</f>
        <v/>
      </c>
    </row>
    <row r="318" spans="1:10" x14ac:dyDescent="0.3">
      <c r="A318" s="4">
        <v>314</v>
      </c>
      <c r="B318" s="5"/>
      <c r="C318" s="6"/>
      <c r="D318" s="6"/>
      <c r="E318" s="7"/>
      <c r="F318" s="6"/>
      <c r="G318" s="3">
        <f t="shared" si="8"/>
        <v>0</v>
      </c>
      <c r="H318" s="3">
        <f t="shared" si="9"/>
        <v>0</v>
      </c>
      <c r="I318" s="4" t="str">
        <f>IF(AND(B318="",C318="",D318="",E318="",F318=""),"",IF(OR(B318="",C318="",E318=""),"БЛОК: нужны дата, тип операции и сумма",IF(N(E318)&lt;=0,"БЛОК: сумма должна быть больше нуля",IF(AND(H318&lt;&gt;0,F318=""),"БЛОК: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отделить",IF(AND(G318&lt;&gt;0,F318=""),"БЛОК: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нельзя",IF(AND(F318&lt;&gt;"",COUNTIF('Долг по актам'!$B$5:$B$34,F318)=0),"БЛОК: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договору")&gt;0)*($C$5:$C$504&lt;&gt;C318)*($E$5:$E$504=E318)*(($D$5:$D$504=D318)*(D318&lt;&gt;"")+($B$5:$B$504=B318)*(B318&lt;&gt;"")&gt;0))&gt;0,"БЛОК: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18" s="3" t="str">
        <f>IF(AND(B318="",C318="",E318=""),"",SUM($G$5:G318))</f>
        <v/>
      </c>
    </row>
    <row r="319" spans="1:10" x14ac:dyDescent="0.3">
      <c r="A319" s="4">
        <v>315</v>
      </c>
      <c r="B319" s="5"/>
      <c r="C319" s="6"/>
      <c r="D319" s="6"/>
      <c r="E319" s="7"/>
      <c r="F319" s="6"/>
      <c r="G319" s="3">
        <f t="shared" si="8"/>
        <v>0</v>
      </c>
      <c r="H319" s="3">
        <f t="shared" si="9"/>
        <v>0</v>
      </c>
      <c r="I319" s="4" t="str">
        <f>IF(AND(B319="",C319="",D319="",E319="",F319=""),"",IF(OR(B319="",C319="",E319=""),"БЛОК: нужны дата, тип операции и сумма",IF(N(E319)&lt;=0,"БЛОК: сумма должна быть больше нуля",IF(AND(H319&lt;&gt;0,F319=""),"БЛОК: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отделить",IF(AND(G319&lt;&gt;0,F319=""),"БЛОК: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нельзя",IF(AND(F319&lt;&gt;"",COUNTIF('Долг по актам'!$B$5:$B$34,F319)=0),"БЛОК: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договору")&gt;0)*($C$5:$C$504&lt;&gt;C319)*($E$5:$E$504=E319)*(($D$5:$D$504=D319)*(D319&lt;&gt;"")+($B$5:$B$504=B319)*(B319&lt;&gt;"")&gt;0))&gt;0,"БЛОК: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19" s="3" t="str">
        <f>IF(AND(B319="",C319="",E319=""),"",SUM($G$5:G319))</f>
        <v/>
      </c>
    </row>
    <row r="320" spans="1:10" x14ac:dyDescent="0.3">
      <c r="A320" s="4">
        <v>316</v>
      </c>
      <c r="B320" s="5"/>
      <c r="C320" s="6"/>
      <c r="D320" s="6"/>
      <c r="E320" s="7"/>
      <c r="F320" s="6"/>
      <c r="G320" s="3">
        <f t="shared" si="8"/>
        <v>0</v>
      </c>
      <c r="H320" s="3">
        <f t="shared" si="9"/>
        <v>0</v>
      </c>
      <c r="I320" s="4" t="str">
        <f>IF(AND(B320="",C320="",D320="",E320="",F320=""),"",IF(OR(B320="",C320="",E320=""),"БЛОК: нужны дата, тип операции и сумма",IF(N(E320)&lt;=0,"БЛОК: сумма должна быть больше нуля",IF(AND(H320&lt;&gt;0,F320=""),"БЛОК: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отделить",IF(AND(G320&lt;&gt;0,F320=""),"БЛОК: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нельзя",IF(AND(F320&lt;&gt;"",COUNTIF('Долг по актам'!$B$5:$B$34,F320)=0),"БЛОК: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договору")&gt;0)*($C$5:$C$504&lt;&gt;C320)*($E$5:$E$504=E320)*(($D$5:$D$504=D320)*(D320&lt;&gt;"")+($B$5:$B$504=B320)*(B320&lt;&gt;"")&gt;0))&gt;0,"БЛОК: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20" s="3" t="str">
        <f>IF(AND(B320="",C320="",E320=""),"",SUM($G$5:G320))</f>
        <v/>
      </c>
    </row>
    <row r="321" spans="1:10" x14ac:dyDescent="0.3">
      <c r="A321" s="4">
        <v>317</v>
      </c>
      <c r="B321" s="5"/>
      <c r="C321" s="6"/>
      <c r="D321" s="6"/>
      <c r="E321" s="7"/>
      <c r="F321" s="6"/>
      <c r="G321" s="3">
        <f t="shared" si="8"/>
        <v>0</v>
      </c>
      <c r="H321" s="3">
        <f t="shared" si="9"/>
        <v>0</v>
      </c>
      <c r="I321" s="4" t="str">
        <f>IF(AND(B321="",C321="",D321="",E321="",F321=""),"",IF(OR(B321="",C321="",E321=""),"БЛОК: нужны дата, тип операции и сумма",IF(N(E321)&lt;=0,"БЛОК: сумма должна быть больше нуля",IF(AND(H321&lt;&gt;0,F321=""),"БЛОК: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отделить",IF(AND(G321&lt;&gt;0,F321=""),"БЛОК: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нельзя",IF(AND(F321&lt;&gt;"",COUNTIF('Долг по актам'!$B$5:$B$34,F321)=0),"БЛОК: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договору")&gt;0)*($C$5:$C$504&lt;&gt;C321)*($E$5:$E$504=E321)*(($D$5:$D$504=D321)*(D321&lt;&gt;"")+($B$5:$B$504=B321)*(B321&lt;&gt;"")&gt;0))&gt;0,"БЛОК: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21" s="3" t="str">
        <f>IF(AND(B321="",C321="",E321=""),"",SUM($G$5:G321))</f>
        <v/>
      </c>
    </row>
    <row r="322" spans="1:10" x14ac:dyDescent="0.3">
      <c r="A322" s="4">
        <v>318</v>
      </c>
      <c r="B322" s="5"/>
      <c r="C322" s="6"/>
      <c r="D322" s="6"/>
      <c r="E322" s="7"/>
      <c r="F322" s="6"/>
      <c r="G322" s="3">
        <f t="shared" si="8"/>
        <v>0</v>
      </c>
      <c r="H322" s="3">
        <f t="shared" si="9"/>
        <v>0</v>
      </c>
      <c r="I322" s="4" t="str">
        <f>IF(AND(B322="",C322="",D322="",E322="",F322=""),"",IF(OR(B322="",C322="",E322=""),"БЛОК: нужны дата, тип операции и сумма",IF(N(E322)&lt;=0,"БЛОК: сумма должна быть больше нуля",IF(AND(H322&lt;&gt;0,F322=""),"БЛОК: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отделить",IF(AND(G322&lt;&gt;0,F322=""),"БЛОК: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нельзя",IF(AND(F322&lt;&gt;"",COUNTIF('Долг по актам'!$B$5:$B$34,F322)=0),"БЛОК: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договору")&gt;0)*($C$5:$C$504&lt;&gt;C322)*($E$5:$E$504=E322)*(($D$5:$D$504=D322)*(D322&lt;&gt;"")+($B$5:$B$504=B322)*(B322&lt;&gt;"")&gt;0))&gt;0,"БЛОК: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22" s="3" t="str">
        <f>IF(AND(B322="",C322="",E322=""),"",SUM($G$5:G322))</f>
        <v/>
      </c>
    </row>
    <row r="323" spans="1:10" x14ac:dyDescent="0.3">
      <c r="A323" s="4">
        <v>319</v>
      </c>
      <c r="B323" s="5"/>
      <c r="C323" s="6"/>
      <c r="D323" s="6"/>
      <c r="E323" s="7"/>
      <c r="F323" s="6"/>
      <c r="G323" s="3">
        <f t="shared" si="8"/>
        <v>0</v>
      </c>
      <c r="H323" s="3">
        <f t="shared" si="9"/>
        <v>0</v>
      </c>
      <c r="I323" s="4" t="str">
        <f>IF(AND(B323="",C323="",D323="",E323="",F323=""),"",IF(OR(B323="",C323="",E323=""),"БЛОК: нужны дата, тип операции и сумма",IF(N(E323)&lt;=0,"БЛОК: сумма должна быть больше нуля",IF(AND(H323&lt;&gt;0,F323=""),"БЛОК: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отделить",IF(AND(G323&lt;&gt;0,F323=""),"БЛОК: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нельзя",IF(AND(F323&lt;&gt;"",COUNTIF('Долг по актам'!$B$5:$B$34,F323)=0),"БЛОК: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договору")&gt;0)*($C$5:$C$504&lt;&gt;C323)*($E$5:$E$504=E323)*(($D$5:$D$504=D323)*(D323&lt;&gt;"")+($B$5:$B$504=B323)*(B323&lt;&gt;"")&gt;0))&gt;0,"БЛОК: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23" s="3" t="str">
        <f>IF(AND(B323="",C323="",E323=""),"",SUM($G$5:G323))</f>
        <v/>
      </c>
    </row>
    <row r="324" spans="1:10" x14ac:dyDescent="0.3">
      <c r="A324" s="4">
        <v>320</v>
      </c>
      <c r="B324" s="5"/>
      <c r="C324" s="6"/>
      <c r="D324" s="6"/>
      <c r="E324" s="7"/>
      <c r="F324" s="6"/>
      <c r="G324" s="3">
        <f t="shared" si="8"/>
        <v>0</v>
      </c>
      <c r="H324" s="3">
        <f t="shared" si="9"/>
        <v>0</v>
      </c>
      <c r="I324" s="4" t="str">
        <f>IF(AND(B324="",C324="",D324="",E324="",F324=""),"",IF(OR(B324="",C324="",E324=""),"БЛОК: нужны дата, тип операции и сумма",IF(N(E324)&lt;=0,"БЛОК: сумма должна быть больше нуля",IF(AND(H324&lt;&gt;0,F324=""),"БЛОК: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отделить",IF(AND(G324&lt;&gt;0,F324=""),"БЛОК: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нельзя",IF(AND(F324&lt;&gt;"",COUNTIF('Долг по актам'!$B$5:$B$34,F324)=0),"БЛОК: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договору")&gt;0)*($C$5:$C$504&lt;&gt;C324)*($E$5:$E$504=E324)*(($D$5:$D$504=D324)*(D324&lt;&gt;"")+($B$5:$B$504=B324)*(B324&lt;&gt;"")&gt;0))&gt;0,"БЛОК: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24" s="3" t="str">
        <f>IF(AND(B324="",C324="",E324=""),"",SUM($G$5:G324))</f>
        <v/>
      </c>
    </row>
    <row r="325" spans="1:10" x14ac:dyDescent="0.3">
      <c r="A325" s="4">
        <v>321</v>
      </c>
      <c r="B325" s="5"/>
      <c r="C325" s="6"/>
      <c r="D325" s="6"/>
      <c r="E325" s="7"/>
      <c r="F325" s="6"/>
      <c r="G325" s="3">
        <f t="shared" ref="G325:G388" si="10">IF(OR(C325="",E325=""),0,IF(C325="Начисление по акту",E325,IF(OR(C325="Оплата",C325="Зачёт аванса по договору"),-E325,IF(C325="Корректировка (подписана обеими сторонами)",E325,0))))</f>
        <v>0</v>
      </c>
      <c r="H325" s="3">
        <f t="shared" ref="H325:H388" si="11">IF(OR(C325="Удержание",C325="Зачёт встречного требования",C325="Неустойка заявлена",C325="Допработы без соглашения (спорно)"),N(E325),0)</f>
        <v>0</v>
      </c>
      <c r="I325" s="4" t="str">
        <f>IF(AND(B325="",C325="",D325="",E325="",F325=""),"",IF(OR(B325="",C325="",E325=""),"БЛОК: нужны дата, тип операции и сумма",IF(N(E325)&lt;=0,"БЛОК: сумма должна быть больше нуля",IF(AND(H325&lt;&gt;0,F325=""),"БЛОК: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отделить",IF(AND(G325&lt;&gt;0,F325=""),"БЛОК: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нельзя",IF(AND(F325&lt;&gt;"",COUNTIF('Долг по актам'!$B$5:$B$34,F325)=0),"БЛОК: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договору")&gt;0)*($C$5:$C$504&lt;&gt;C325)*($E$5:$E$504=E325)*(($D$5:$D$504=D325)*(D325&lt;&gt;"")+($B$5:$B$504=B325)*(B325&lt;&gt;"")&gt;0))&gt;0,"БЛОК: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25" s="3" t="str">
        <f>IF(AND(B325="",C325="",E325=""),"",SUM($G$5:G325))</f>
        <v/>
      </c>
    </row>
    <row r="326" spans="1:10" x14ac:dyDescent="0.3">
      <c r="A326" s="4">
        <v>322</v>
      </c>
      <c r="B326" s="5"/>
      <c r="C326" s="6"/>
      <c r="D326" s="6"/>
      <c r="E326" s="7"/>
      <c r="F326" s="6"/>
      <c r="G326" s="3">
        <f t="shared" si="10"/>
        <v>0</v>
      </c>
      <c r="H326" s="3">
        <f t="shared" si="11"/>
        <v>0</v>
      </c>
      <c r="I326" s="4" t="str">
        <f>IF(AND(B326="",C326="",D326="",E326="",F326=""),"",IF(OR(B326="",C326="",E326=""),"БЛОК: нужны дата, тип операции и сумма",IF(N(E326)&lt;=0,"БЛОК: сумма должна быть больше нуля",IF(AND(H326&lt;&gt;0,F326=""),"БЛОК: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отделить",IF(AND(G326&lt;&gt;0,F326=""),"БЛОК: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нельзя",IF(AND(F326&lt;&gt;"",COUNTIF('Долг по актам'!$B$5:$B$34,F326)=0),"БЛОК: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договору")&gt;0)*($C$5:$C$504&lt;&gt;C326)*($E$5:$E$504=E326)*(($D$5:$D$504=D326)*(D326&lt;&gt;"")+($B$5:$B$504=B326)*(B326&lt;&gt;"")&gt;0))&gt;0,"БЛОК: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26" s="3" t="str">
        <f>IF(AND(B326="",C326="",E326=""),"",SUM($G$5:G326))</f>
        <v/>
      </c>
    </row>
    <row r="327" spans="1:10" x14ac:dyDescent="0.3">
      <c r="A327" s="4">
        <v>323</v>
      </c>
      <c r="B327" s="5"/>
      <c r="C327" s="6"/>
      <c r="D327" s="6"/>
      <c r="E327" s="7"/>
      <c r="F327" s="6"/>
      <c r="G327" s="3">
        <f t="shared" si="10"/>
        <v>0</v>
      </c>
      <c r="H327" s="3">
        <f t="shared" si="11"/>
        <v>0</v>
      </c>
      <c r="I327" s="4" t="str">
        <f>IF(AND(B327="",C327="",D327="",E327="",F327=""),"",IF(OR(B327="",C327="",E327=""),"БЛОК: нужны дата, тип операции и сумма",IF(N(E327)&lt;=0,"БЛОК: сумма должна быть больше нуля",IF(AND(H327&lt;&gt;0,F327=""),"БЛОК: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отделить",IF(AND(G327&lt;&gt;0,F327=""),"БЛОК: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нельзя",IF(AND(F327&lt;&gt;"",COUNTIF('Долг по актам'!$B$5:$B$34,F327)=0),"БЛОК: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договору")&gt;0)*($C$5:$C$504&lt;&gt;C327)*($E$5:$E$504=E327)*(($D$5:$D$504=D327)*(D327&lt;&gt;"")+($B$5:$B$504=B327)*(B327&lt;&gt;"")&gt;0))&gt;0,"БЛОК: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27" s="3" t="str">
        <f>IF(AND(B327="",C327="",E327=""),"",SUM($G$5:G327))</f>
        <v/>
      </c>
    </row>
    <row r="328" spans="1:10" x14ac:dyDescent="0.3">
      <c r="A328" s="4">
        <v>324</v>
      </c>
      <c r="B328" s="5"/>
      <c r="C328" s="6"/>
      <c r="D328" s="6"/>
      <c r="E328" s="7"/>
      <c r="F328" s="6"/>
      <c r="G328" s="3">
        <f t="shared" si="10"/>
        <v>0</v>
      </c>
      <c r="H328" s="3">
        <f t="shared" si="11"/>
        <v>0</v>
      </c>
      <c r="I328" s="4" t="str">
        <f>IF(AND(B328="",C328="",D328="",E328="",F328=""),"",IF(OR(B328="",C328="",E328=""),"БЛОК: нужны дата, тип операции и сумма",IF(N(E328)&lt;=0,"БЛОК: сумма должна быть больше нуля",IF(AND(H328&lt;&gt;0,F328=""),"БЛОК: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отделить",IF(AND(G328&lt;&gt;0,F328=""),"БЛОК: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нельзя",IF(AND(F328&lt;&gt;"",COUNTIF('Долг по актам'!$B$5:$B$34,F328)=0),"БЛОК: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договору")&gt;0)*($C$5:$C$504&lt;&gt;C328)*($E$5:$E$504=E328)*(($D$5:$D$504=D328)*(D328&lt;&gt;"")+($B$5:$B$504=B328)*(B328&lt;&gt;"")&gt;0))&gt;0,"БЛОК: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28" s="3" t="str">
        <f>IF(AND(B328="",C328="",E328=""),"",SUM($G$5:G328))</f>
        <v/>
      </c>
    </row>
    <row r="329" spans="1:10" x14ac:dyDescent="0.3">
      <c r="A329" s="4">
        <v>325</v>
      </c>
      <c r="B329" s="5"/>
      <c r="C329" s="6"/>
      <c r="D329" s="6"/>
      <c r="E329" s="7"/>
      <c r="F329" s="6"/>
      <c r="G329" s="3">
        <f t="shared" si="10"/>
        <v>0</v>
      </c>
      <c r="H329" s="3">
        <f t="shared" si="11"/>
        <v>0</v>
      </c>
      <c r="I329" s="4" t="str">
        <f>IF(AND(B329="",C329="",D329="",E329="",F329=""),"",IF(OR(B329="",C329="",E329=""),"БЛОК: нужны дата, тип операции и сумма",IF(N(E329)&lt;=0,"БЛОК: сумма должна быть больше нуля",IF(AND(H329&lt;&gt;0,F329=""),"БЛОК: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отделить",IF(AND(G329&lt;&gt;0,F329=""),"БЛОК: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нельзя",IF(AND(F329&lt;&gt;"",COUNTIF('Долг по актам'!$B$5:$B$34,F329)=0),"БЛОК: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договору")&gt;0)*($C$5:$C$504&lt;&gt;C329)*($E$5:$E$504=E329)*(($D$5:$D$504=D329)*(D329&lt;&gt;"")+($B$5:$B$504=B329)*(B329&lt;&gt;"")&gt;0))&gt;0,"БЛОК: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29" s="3" t="str">
        <f>IF(AND(B329="",C329="",E329=""),"",SUM($G$5:G329))</f>
        <v/>
      </c>
    </row>
    <row r="330" spans="1:10" x14ac:dyDescent="0.3">
      <c r="A330" s="4">
        <v>326</v>
      </c>
      <c r="B330" s="5"/>
      <c r="C330" s="6"/>
      <c r="D330" s="6"/>
      <c r="E330" s="7"/>
      <c r="F330" s="6"/>
      <c r="G330" s="3">
        <f t="shared" si="10"/>
        <v>0</v>
      </c>
      <c r="H330" s="3">
        <f t="shared" si="11"/>
        <v>0</v>
      </c>
      <c r="I330" s="4" t="str">
        <f>IF(AND(B330="",C330="",D330="",E330="",F330=""),"",IF(OR(B330="",C330="",E330=""),"БЛОК: нужны дата, тип операции и сумма",IF(N(E330)&lt;=0,"БЛОК: сумма должна быть больше нуля",IF(AND(H330&lt;&gt;0,F330=""),"БЛОК: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отделить",IF(AND(G330&lt;&gt;0,F330=""),"БЛОК: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нельзя",IF(AND(F330&lt;&gt;"",COUNTIF('Долг по актам'!$B$5:$B$34,F330)=0),"БЛОК: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договору")&gt;0)*($C$5:$C$504&lt;&gt;C330)*($E$5:$E$504=E330)*(($D$5:$D$504=D330)*(D330&lt;&gt;"")+($B$5:$B$504=B330)*(B330&lt;&gt;"")&gt;0))&gt;0,"БЛОК: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30" s="3" t="str">
        <f>IF(AND(B330="",C330="",E330=""),"",SUM($G$5:G330))</f>
        <v/>
      </c>
    </row>
    <row r="331" spans="1:10" x14ac:dyDescent="0.3">
      <c r="A331" s="4">
        <v>327</v>
      </c>
      <c r="B331" s="5"/>
      <c r="C331" s="6"/>
      <c r="D331" s="6"/>
      <c r="E331" s="7"/>
      <c r="F331" s="6"/>
      <c r="G331" s="3">
        <f t="shared" si="10"/>
        <v>0</v>
      </c>
      <c r="H331" s="3">
        <f t="shared" si="11"/>
        <v>0</v>
      </c>
      <c r="I331" s="4" t="str">
        <f>IF(AND(B331="",C331="",D331="",E331="",F331=""),"",IF(OR(B331="",C331="",E331=""),"БЛОК: нужны дата, тип операции и сумма",IF(N(E331)&lt;=0,"БЛОК: сумма должна быть больше нуля",IF(AND(H331&lt;&gt;0,F331=""),"БЛОК: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отделить",IF(AND(G331&lt;&gt;0,F331=""),"БЛОК: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нельзя",IF(AND(F331&lt;&gt;"",COUNTIF('Долг по актам'!$B$5:$B$34,F331)=0),"БЛОК: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договору")&gt;0)*($C$5:$C$504&lt;&gt;C331)*($E$5:$E$504=E331)*(($D$5:$D$504=D331)*(D331&lt;&gt;"")+($B$5:$B$504=B331)*(B331&lt;&gt;"")&gt;0))&gt;0,"БЛОК: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31" s="3" t="str">
        <f>IF(AND(B331="",C331="",E331=""),"",SUM($G$5:G331))</f>
        <v/>
      </c>
    </row>
    <row r="332" spans="1:10" x14ac:dyDescent="0.3">
      <c r="A332" s="4">
        <v>328</v>
      </c>
      <c r="B332" s="5"/>
      <c r="C332" s="6"/>
      <c r="D332" s="6"/>
      <c r="E332" s="7"/>
      <c r="F332" s="6"/>
      <c r="G332" s="3">
        <f t="shared" si="10"/>
        <v>0</v>
      </c>
      <c r="H332" s="3">
        <f t="shared" si="11"/>
        <v>0</v>
      </c>
      <c r="I332" s="4" t="str">
        <f>IF(AND(B332="",C332="",D332="",E332="",F332=""),"",IF(OR(B332="",C332="",E332=""),"БЛОК: нужны дата, тип операции и сумма",IF(N(E332)&lt;=0,"БЛОК: сумма должна быть больше нуля",IF(AND(H332&lt;&gt;0,F332=""),"БЛОК: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отделить",IF(AND(G332&lt;&gt;0,F332=""),"БЛОК: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нельзя",IF(AND(F332&lt;&gt;"",COUNTIF('Долг по актам'!$B$5:$B$34,F332)=0),"БЛОК: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договору")&gt;0)*($C$5:$C$504&lt;&gt;C332)*($E$5:$E$504=E332)*(($D$5:$D$504=D332)*(D332&lt;&gt;"")+($B$5:$B$504=B332)*(B332&lt;&gt;"")&gt;0))&gt;0,"БЛОК: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32" s="3" t="str">
        <f>IF(AND(B332="",C332="",E332=""),"",SUM($G$5:G332))</f>
        <v/>
      </c>
    </row>
    <row r="333" spans="1:10" x14ac:dyDescent="0.3">
      <c r="A333" s="4">
        <v>329</v>
      </c>
      <c r="B333" s="5"/>
      <c r="C333" s="6"/>
      <c r="D333" s="6"/>
      <c r="E333" s="7"/>
      <c r="F333" s="6"/>
      <c r="G333" s="3">
        <f t="shared" si="10"/>
        <v>0</v>
      </c>
      <c r="H333" s="3">
        <f t="shared" si="11"/>
        <v>0</v>
      </c>
      <c r="I333" s="4" t="str">
        <f>IF(AND(B333="",C333="",D333="",E333="",F333=""),"",IF(OR(B333="",C333="",E333=""),"БЛОК: нужны дата, тип операции и сумма",IF(N(E333)&lt;=0,"БЛОК: сумма должна быть больше нуля",IF(AND(H333&lt;&gt;0,F333=""),"БЛОК: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отделить",IF(AND(G333&lt;&gt;0,F333=""),"БЛОК: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нельзя",IF(AND(F333&lt;&gt;"",COUNTIF('Долг по актам'!$B$5:$B$34,F333)=0),"БЛОК: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договору")&gt;0)*($C$5:$C$504&lt;&gt;C333)*($E$5:$E$504=E333)*(($D$5:$D$504=D333)*(D333&lt;&gt;"")+($B$5:$B$504=B333)*(B333&lt;&gt;"")&gt;0))&gt;0,"БЛОК: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33" s="3" t="str">
        <f>IF(AND(B333="",C333="",E333=""),"",SUM($G$5:G333))</f>
        <v/>
      </c>
    </row>
    <row r="334" spans="1:10" x14ac:dyDescent="0.3">
      <c r="A334" s="4">
        <v>330</v>
      </c>
      <c r="B334" s="5"/>
      <c r="C334" s="6"/>
      <c r="D334" s="6"/>
      <c r="E334" s="7"/>
      <c r="F334" s="6"/>
      <c r="G334" s="3">
        <f t="shared" si="10"/>
        <v>0</v>
      </c>
      <c r="H334" s="3">
        <f t="shared" si="11"/>
        <v>0</v>
      </c>
      <c r="I334" s="4" t="str">
        <f>IF(AND(B334="",C334="",D334="",E334="",F334=""),"",IF(OR(B334="",C334="",E334=""),"БЛОК: нужны дата, тип операции и сумма",IF(N(E334)&lt;=0,"БЛОК: сумма должна быть больше нуля",IF(AND(H334&lt;&gt;0,F334=""),"БЛОК: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отделить",IF(AND(G334&lt;&gt;0,F334=""),"БЛОК: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нельзя",IF(AND(F334&lt;&gt;"",COUNTIF('Долг по актам'!$B$5:$B$34,F334)=0),"БЛОК: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договору")&gt;0)*($C$5:$C$504&lt;&gt;C334)*($E$5:$E$504=E334)*(($D$5:$D$504=D334)*(D334&lt;&gt;"")+($B$5:$B$504=B334)*(B334&lt;&gt;"")&gt;0))&gt;0,"БЛОК: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34" s="3" t="str">
        <f>IF(AND(B334="",C334="",E334=""),"",SUM($G$5:G334))</f>
        <v/>
      </c>
    </row>
    <row r="335" spans="1:10" x14ac:dyDescent="0.3">
      <c r="A335" s="4">
        <v>331</v>
      </c>
      <c r="B335" s="5"/>
      <c r="C335" s="6"/>
      <c r="D335" s="6"/>
      <c r="E335" s="7"/>
      <c r="F335" s="6"/>
      <c r="G335" s="3">
        <f t="shared" si="10"/>
        <v>0</v>
      </c>
      <c r="H335" s="3">
        <f t="shared" si="11"/>
        <v>0</v>
      </c>
      <c r="I335" s="4" t="str">
        <f>IF(AND(B335="",C335="",D335="",E335="",F335=""),"",IF(OR(B335="",C335="",E335=""),"БЛОК: нужны дата, тип операции и сумма",IF(N(E335)&lt;=0,"БЛОК: сумма должна быть больше нуля",IF(AND(H335&lt;&gt;0,F335=""),"БЛОК: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отделить",IF(AND(G335&lt;&gt;0,F335=""),"БЛОК: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нельзя",IF(AND(F335&lt;&gt;"",COUNTIF('Долг по актам'!$B$5:$B$34,F335)=0),"БЛОК: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договору")&gt;0)*($C$5:$C$504&lt;&gt;C335)*($E$5:$E$504=E335)*(($D$5:$D$504=D335)*(D335&lt;&gt;"")+($B$5:$B$504=B335)*(B335&lt;&gt;"")&gt;0))&gt;0,"БЛОК: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35" s="3" t="str">
        <f>IF(AND(B335="",C335="",E335=""),"",SUM($G$5:G335))</f>
        <v/>
      </c>
    </row>
    <row r="336" spans="1:10" x14ac:dyDescent="0.3">
      <c r="A336" s="4">
        <v>332</v>
      </c>
      <c r="B336" s="5"/>
      <c r="C336" s="6"/>
      <c r="D336" s="6"/>
      <c r="E336" s="7"/>
      <c r="F336" s="6"/>
      <c r="G336" s="3">
        <f t="shared" si="10"/>
        <v>0</v>
      </c>
      <c r="H336" s="3">
        <f t="shared" si="11"/>
        <v>0</v>
      </c>
      <c r="I336" s="4" t="str">
        <f>IF(AND(B336="",C336="",D336="",E336="",F336=""),"",IF(OR(B336="",C336="",E336=""),"БЛОК: нужны дата, тип операции и сумма",IF(N(E336)&lt;=0,"БЛОК: сумма должна быть больше нуля",IF(AND(H336&lt;&gt;0,F336=""),"БЛОК: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отделить",IF(AND(G336&lt;&gt;0,F336=""),"БЛОК: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нельзя",IF(AND(F336&lt;&gt;"",COUNTIF('Долг по актам'!$B$5:$B$34,F336)=0),"БЛОК: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договору")&gt;0)*($C$5:$C$504&lt;&gt;C336)*($E$5:$E$504=E336)*(($D$5:$D$504=D336)*(D336&lt;&gt;"")+($B$5:$B$504=B336)*(B336&lt;&gt;"")&gt;0))&gt;0,"БЛОК: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36" s="3" t="str">
        <f>IF(AND(B336="",C336="",E336=""),"",SUM($G$5:G336))</f>
        <v/>
      </c>
    </row>
    <row r="337" spans="1:10" x14ac:dyDescent="0.3">
      <c r="A337" s="4">
        <v>333</v>
      </c>
      <c r="B337" s="5"/>
      <c r="C337" s="6"/>
      <c r="D337" s="6"/>
      <c r="E337" s="7"/>
      <c r="F337" s="6"/>
      <c r="G337" s="3">
        <f t="shared" si="10"/>
        <v>0</v>
      </c>
      <c r="H337" s="3">
        <f t="shared" si="11"/>
        <v>0</v>
      </c>
      <c r="I337" s="4" t="str">
        <f>IF(AND(B337="",C337="",D337="",E337="",F337=""),"",IF(OR(B337="",C337="",E337=""),"БЛОК: нужны дата, тип операции и сумма",IF(N(E337)&lt;=0,"БЛОК: сумма должна быть больше нуля",IF(AND(H337&lt;&gt;0,F337=""),"БЛОК: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отделить",IF(AND(G337&lt;&gt;0,F337=""),"БЛОК: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нельзя",IF(AND(F337&lt;&gt;"",COUNTIF('Долг по актам'!$B$5:$B$34,F337)=0),"БЛОК: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договору")&gt;0)*($C$5:$C$504&lt;&gt;C337)*($E$5:$E$504=E337)*(($D$5:$D$504=D337)*(D337&lt;&gt;"")+($B$5:$B$504=B337)*(B337&lt;&gt;"")&gt;0))&gt;0,"БЛОК: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37" s="3" t="str">
        <f>IF(AND(B337="",C337="",E337=""),"",SUM($G$5:G337))</f>
        <v/>
      </c>
    </row>
    <row r="338" spans="1:10" x14ac:dyDescent="0.3">
      <c r="A338" s="4">
        <v>334</v>
      </c>
      <c r="B338" s="5"/>
      <c r="C338" s="6"/>
      <c r="D338" s="6"/>
      <c r="E338" s="7"/>
      <c r="F338" s="6"/>
      <c r="G338" s="3">
        <f t="shared" si="10"/>
        <v>0</v>
      </c>
      <c r="H338" s="3">
        <f t="shared" si="11"/>
        <v>0</v>
      </c>
      <c r="I338" s="4" t="str">
        <f>IF(AND(B338="",C338="",D338="",E338="",F338=""),"",IF(OR(B338="",C338="",E338=""),"БЛОК: нужны дата, тип операции и сумма",IF(N(E338)&lt;=0,"БЛОК: сумма должна быть больше нуля",IF(AND(H338&lt;&gt;0,F338=""),"БЛОК: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отделить",IF(AND(G338&lt;&gt;0,F338=""),"БЛОК: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нельзя",IF(AND(F338&lt;&gt;"",COUNTIF('Долг по актам'!$B$5:$B$34,F338)=0),"БЛОК: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договору")&gt;0)*($C$5:$C$504&lt;&gt;C338)*($E$5:$E$504=E338)*(($D$5:$D$504=D338)*(D338&lt;&gt;"")+($B$5:$B$504=B338)*(B338&lt;&gt;"")&gt;0))&gt;0,"БЛОК: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38" s="3" t="str">
        <f>IF(AND(B338="",C338="",E338=""),"",SUM($G$5:G338))</f>
        <v/>
      </c>
    </row>
    <row r="339" spans="1:10" x14ac:dyDescent="0.3">
      <c r="A339" s="4">
        <v>335</v>
      </c>
      <c r="B339" s="5"/>
      <c r="C339" s="6"/>
      <c r="D339" s="6"/>
      <c r="E339" s="7"/>
      <c r="F339" s="6"/>
      <c r="G339" s="3">
        <f t="shared" si="10"/>
        <v>0</v>
      </c>
      <c r="H339" s="3">
        <f t="shared" si="11"/>
        <v>0</v>
      </c>
      <c r="I339" s="4" t="str">
        <f>IF(AND(B339="",C339="",D339="",E339="",F339=""),"",IF(OR(B339="",C339="",E339=""),"БЛОК: нужны дата, тип операции и сумма",IF(N(E339)&lt;=0,"БЛОК: сумма должна быть больше нуля",IF(AND(H339&lt;&gt;0,F339=""),"БЛОК: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отделить",IF(AND(G339&lt;&gt;0,F339=""),"БЛОК: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нельзя",IF(AND(F339&lt;&gt;"",COUNTIF('Долг по актам'!$B$5:$B$34,F339)=0),"БЛОК: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договору")&gt;0)*($C$5:$C$504&lt;&gt;C339)*($E$5:$E$504=E339)*(($D$5:$D$504=D339)*(D339&lt;&gt;"")+($B$5:$B$504=B339)*(B339&lt;&gt;"")&gt;0))&gt;0,"БЛОК: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39" s="3" t="str">
        <f>IF(AND(B339="",C339="",E339=""),"",SUM($G$5:G339))</f>
        <v/>
      </c>
    </row>
    <row r="340" spans="1:10" x14ac:dyDescent="0.3">
      <c r="A340" s="4">
        <v>336</v>
      </c>
      <c r="B340" s="5"/>
      <c r="C340" s="6"/>
      <c r="D340" s="6"/>
      <c r="E340" s="7"/>
      <c r="F340" s="6"/>
      <c r="G340" s="3">
        <f t="shared" si="10"/>
        <v>0</v>
      </c>
      <c r="H340" s="3">
        <f t="shared" si="11"/>
        <v>0</v>
      </c>
      <c r="I340" s="4" t="str">
        <f>IF(AND(B340="",C340="",D340="",E340="",F340=""),"",IF(OR(B340="",C340="",E340=""),"БЛОК: нужны дата, тип операции и сумма",IF(N(E340)&lt;=0,"БЛОК: сумма должна быть больше нуля",IF(AND(H340&lt;&gt;0,F340=""),"БЛОК: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отделить",IF(AND(G340&lt;&gt;0,F340=""),"БЛОК: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нельзя",IF(AND(F340&lt;&gt;"",COUNTIF('Долг по актам'!$B$5:$B$34,F340)=0),"БЛОК: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договору")&gt;0)*($C$5:$C$504&lt;&gt;C340)*($E$5:$E$504=E340)*(($D$5:$D$504=D340)*(D340&lt;&gt;"")+($B$5:$B$504=B340)*(B340&lt;&gt;"")&gt;0))&gt;0,"БЛОК: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40" s="3" t="str">
        <f>IF(AND(B340="",C340="",E340=""),"",SUM($G$5:G340))</f>
        <v/>
      </c>
    </row>
    <row r="341" spans="1:10" x14ac:dyDescent="0.3">
      <c r="A341" s="4">
        <v>337</v>
      </c>
      <c r="B341" s="5"/>
      <c r="C341" s="6"/>
      <c r="D341" s="6"/>
      <c r="E341" s="7"/>
      <c r="F341" s="6"/>
      <c r="G341" s="3">
        <f t="shared" si="10"/>
        <v>0</v>
      </c>
      <c r="H341" s="3">
        <f t="shared" si="11"/>
        <v>0</v>
      </c>
      <c r="I341" s="4" t="str">
        <f>IF(AND(B341="",C341="",D341="",E341="",F341=""),"",IF(OR(B341="",C341="",E341=""),"БЛОК: нужны дата, тип операции и сумма",IF(N(E341)&lt;=0,"БЛОК: сумма должна быть больше нуля",IF(AND(H341&lt;&gt;0,F341=""),"БЛОК: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отделить",IF(AND(G341&lt;&gt;0,F341=""),"БЛОК: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нельзя",IF(AND(F341&lt;&gt;"",COUNTIF('Долг по актам'!$B$5:$B$34,F341)=0),"БЛОК: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договору")&gt;0)*($C$5:$C$504&lt;&gt;C341)*($E$5:$E$504=E341)*(($D$5:$D$504=D341)*(D341&lt;&gt;"")+($B$5:$B$504=B341)*(B341&lt;&gt;"")&gt;0))&gt;0,"БЛОК: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41" s="3" t="str">
        <f>IF(AND(B341="",C341="",E341=""),"",SUM($G$5:G341))</f>
        <v/>
      </c>
    </row>
    <row r="342" spans="1:10" x14ac:dyDescent="0.3">
      <c r="A342" s="4">
        <v>338</v>
      </c>
      <c r="B342" s="5"/>
      <c r="C342" s="6"/>
      <c r="D342" s="6"/>
      <c r="E342" s="7"/>
      <c r="F342" s="6"/>
      <c r="G342" s="3">
        <f t="shared" si="10"/>
        <v>0</v>
      </c>
      <c r="H342" s="3">
        <f t="shared" si="11"/>
        <v>0</v>
      </c>
      <c r="I342" s="4" t="str">
        <f>IF(AND(B342="",C342="",D342="",E342="",F342=""),"",IF(OR(B342="",C342="",E342=""),"БЛОК: нужны дата, тип операции и сумма",IF(N(E342)&lt;=0,"БЛОК: сумма должна быть больше нуля",IF(AND(H342&lt;&gt;0,F342=""),"БЛОК: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отделить",IF(AND(G342&lt;&gt;0,F342=""),"БЛОК: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нельзя",IF(AND(F342&lt;&gt;"",COUNTIF('Долг по актам'!$B$5:$B$34,F342)=0),"БЛОК: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договору")&gt;0)*($C$5:$C$504&lt;&gt;C342)*($E$5:$E$504=E342)*(($D$5:$D$504=D342)*(D342&lt;&gt;"")+($B$5:$B$504=B342)*(B342&lt;&gt;"")&gt;0))&gt;0,"БЛОК: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42" s="3" t="str">
        <f>IF(AND(B342="",C342="",E342=""),"",SUM($G$5:G342))</f>
        <v/>
      </c>
    </row>
    <row r="343" spans="1:10" x14ac:dyDescent="0.3">
      <c r="A343" s="4">
        <v>339</v>
      </c>
      <c r="B343" s="5"/>
      <c r="C343" s="6"/>
      <c r="D343" s="6"/>
      <c r="E343" s="7"/>
      <c r="F343" s="6"/>
      <c r="G343" s="3">
        <f t="shared" si="10"/>
        <v>0</v>
      </c>
      <c r="H343" s="3">
        <f t="shared" si="11"/>
        <v>0</v>
      </c>
      <c r="I343" s="4" t="str">
        <f>IF(AND(B343="",C343="",D343="",E343="",F343=""),"",IF(OR(B343="",C343="",E343=""),"БЛОК: нужны дата, тип операции и сумма",IF(N(E343)&lt;=0,"БЛОК: сумма должна быть больше нуля",IF(AND(H343&lt;&gt;0,F343=""),"БЛОК: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отделить",IF(AND(G343&lt;&gt;0,F343=""),"БЛОК: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нельзя",IF(AND(F343&lt;&gt;"",COUNTIF('Долг по актам'!$B$5:$B$34,F343)=0),"БЛОК: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договору")&gt;0)*($C$5:$C$504&lt;&gt;C343)*($E$5:$E$504=E343)*(($D$5:$D$504=D343)*(D343&lt;&gt;"")+($B$5:$B$504=B343)*(B343&lt;&gt;"")&gt;0))&gt;0,"БЛОК: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43" s="3" t="str">
        <f>IF(AND(B343="",C343="",E343=""),"",SUM($G$5:G343))</f>
        <v/>
      </c>
    </row>
    <row r="344" spans="1:10" x14ac:dyDescent="0.3">
      <c r="A344" s="4">
        <v>340</v>
      </c>
      <c r="B344" s="5"/>
      <c r="C344" s="6"/>
      <c r="D344" s="6"/>
      <c r="E344" s="7"/>
      <c r="F344" s="6"/>
      <c r="G344" s="3">
        <f t="shared" si="10"/>
        <v>0</v>
      </c>
      <c r="H344" s="3">
        <f t="shared" si="11"/>
        <v>0</v>
      </c>
      <c r="I344" s="4" t="str">
        <f>IF(AND(B344="",C344="",D344="",E344="",F344=""),"",IF(OR(B344="",C344="",E344=""),"БЛОК: нужны дата, тип операции и сумма",IF(N(E344)&lt;=0,"БЛОК: сумма должна быть больше нуля",IF(AND(H344&lt;&gt;0,F344=""),"БЛОК: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отделить",IF(AND(G344&lt;&gt;0,F344=""),"БЛОК: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нельзя",IF(AND(F344&lt;&gt;"",COUNTIF('Долг по актам'!$B$5:$B$34,F344)=0),"БЛОК: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договору")&gt;0)*($C$5:$C$504&lt;&gt;C344)*($E$5:$E$504=E344)*(($D$5:$D$504=D344)*(D344&lt;&gt;"")+($B$5:$B$504=B344)*(B344&lt;&gt;"")&gt;0))&gt;0,"БЛОК: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44" s="3" t="str">
        <f>IF(AND(B344="",C344="",E344=""),"",SUM($G$5:G344))</f>
        <v/>
      </c>
    </row>
    <row r="345" spans="1:10" x14ac:dyDescent="0.3">
      <c r="A345" s="4">
        <v>341</v>
      </c>
      <c r="B345" s="5"/>
      <c r="C345" s="6"/>
      <c r="D345" s="6"/>
      <c r="E345" s="7"/>
      <c r="F345" s="6"/>
      <c r="G345" s="3">
        <f t="shared" si="10"/>
        <v>0</v>
      </c>
      <c r="H345" s="3">
        <f t="shared" si="11"/>
        <v>0</v>
      </c>
      <c r="I345" s="4" t="str">
        <f>IF(AND(B345="",C345="",D345="",E345="",F345=""),"",IF(OR(B345="",C345="",E345=""),"БЛОК: нужны дата, тип операции и сумма",IF(N(E345)&lt;=0,"БЛОК: сумма должна быть больше нуля",IF(AND(H345&lt;&gt;0,F345=""),"БЛОК: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отделить",IF(AND(G345&lt;&gt;0,F345=""),"БЛОК: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нельзя",IF(AND(F345&lt;&gt;"",COUNTIF('Долг по актам'!$B$5:$B$34,F345)=0),"БЛОК: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договору")&gt;0)*($C$5:$C$504&lt;&gt;C345)*($E$5:$E$504=E345)*(($D$5:$D$504=D345)*(D345&lt;&gt;"")+($B$5:$B$504=B345)*(B345&lt;&gt;"")&gt;0))&gt;0,"БЛОК: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45" s="3" t="str">
        <f>IF(AND(B345="",C345="",E345=""),"",SUM($G$5:G345))</f>
        <v/>
      </c>
    </row>
    <row r="346" spans="1:10" x14ac:dyDescent="0.3">
      <c r="A346" s="4">
        <v>342</v>
      </c>
      <c r="B346" s="5"/>
      <c r="C346" s="6"/>
      <c r="D346" s="6"/>
      <c r="E346" s="7"/>
      <c r="F346" s="6"/>
      <c r="G346" s="3">
        <f t="shared" si="10"/>
        <v>0</v>
      </c>
      <c r="H346" s="3">
        <f t="shared" si="11"/>
        <v>0</v>
      </c>
      <c r="I346" s="4" t="str">
        <f>IF(AND(B346="",C346="",D346="",E346="",F346=""),"",IF(OR(B346="",C346="",E346=""),"БЛОК: нужны дата, тип операции и сумма",IF(N(E346)&lt;=0,"БЛОК: сумма должна быть больше нуля",IF(AND(H346&lt;&gt;0,F346=""),"БЛОК: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отделить",IF(AND(G346&lt;&gt;0,F346=""),"БЛОК: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нельзя",IF(AND(F346&lt;&gt;"",COUNTIF('Долг по актам'!$B$5:$B$34,F346)=0),"БЛОК: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договору")&gt;0)*($C$5:$C$504&lt;&gt;C346)*($E$5:$E$504=E346)*(($D$5:$D$504=D346)*(D346&lt;&gt;"")+($B$5:$B$504=B346)*(B346&lt;&gt;"")&gt;0))&gt;0,"БЛОК: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46" s="3" t="str">
        <f>IF(AND(B346="",C346="",E346=""),"",SUM($G$5:G346))</f>
        <v/>
      </c>
    </row>
    <row r="347" spans="1:10" x14ac:dyDescent="0.3">
      <c r="A347" s="4">
        <v>343</v>
      </c>
      <c r="B347" s="5"/>
      <c r="C347" s="6"/>
      <c r="D347" s="6"/>
      <c r="E347" s="7"/>
      <c r="F347" s="6"/>
      <c r="G347" s="3">
        <f t="shared" si="10"/>
        <v>0</v>
      </c>
      <c r="H347" s="3">
        <f t="shared" si="11"/>
        <v>0</v>
      </c>
      <c r="I347" s="4" t="str">
        <f>IF(AND(B347="",C347="",D347="",E347="",F347=""),"",IF(OR(B347="",C347="",E347=""),"БЛОК: нужны дата, тип операции и сумма",IF(N(E347)&lt;=0,"БЛОК: сумма должна быть больше нуля",IF(AND(H347&lt;&gt;0,F347=""),"БЛОК: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отделить",IF(AND(G347&lt;&gt;0,F347=""),"БЛОК: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нельзя",IF(AND(F347&lt;&gt;"",COUNTIF('Долг по актам'!$B$5:$B$34,F347)=0),"БЛОК: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договору")&gt;0)*($C$5:$C$504&lt;&gt;C347)*($E$5:$E$504=E347)*(($D$5:$D$504=D347)*(D347&lt;&gt;"")+($B$5:$B$504=B347)*(B347&lt;&gt;"")&gt;0))&gt;0,"БЛОК: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47" s="3" t="str">
        <f>IF(AND(B347="",C347="",E347=""),"",SUM($G$5:G347))</f>
        <v/>
      </c>
    </row>
    <row r="348" spans="1:10" x14ac:dyDescent="0.3">
      <c r="A348" s="4">
        <v>344</v>
      </c>
      <c r="B348" s="5"/>
      <c r="C348" s="6"/>
      <c r="D348" s="6"/>
      <c r="E348" s="7"/>
      <c r="F348" s="6"/>
      <c r="G348" s="3">
        <f t="shared" si="10"/>
        <v>0</v>
      </c>
      <c r="H348" s="3">
        <f t="shared" si="11"/>
        <v>0</v>
      </c>
      <c r="I348" s="4" t="str">
        <f>IF(AND(B348="",C348="",D348="",E348="",F348=""),"",IF(OR(B348="",C348="",E348=""),"БЛОК: нужны дата, тип операции и сумма",IF(N(E348)&lt;=0,"БЛОК: сумма должна быть больше нуля",IF(AND(H348&lt;&gt;0,F348=""),"БЛОК: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отделить",IF(AND(G348&lt;&gt;0,F348=""),"БЛОК: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нельзя",IF(AND(F348&lt;&gt;"",COUNTIF('Долг по актам'!$B$5:$B$34,F348)=0),"БЛОК: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договору")&gt;0)*($C$5:$C$504&lt;&gt;C348)*($E$5:$E$504=E348)*(($D$5:$D$504=D348)*(D348&lt;&gt;"")+($B$5:$B$504=B348)*(B348&lt;&gt;"")&gt;0))&gt;0,"БЛОК: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48" s="3" t="str">
        <f>IF(AND(B348="",C348="",E348=""),"",SUM($G$5:G348))</f>
        <v/>
      </c>
    </row>
    <row r="349" spans="1:10" x14ac:dyDescent="0.3">
      <c r="A349" s="4">
        <v>345</v>
      </c>
      <c r="B349" s="5"/>
      <c r="C349" s="6"/>
      <c r="D349" s="6"/>
      <c r="E349" s="7"/>
      <c r="F349" s="6"/>
      <c r="G349" s="3">
        <f t="shared" si="10"/>
        <v>0</v>
      </c>
      <c r="H349" s="3">
        <f t="shared" si="11"/>
        <v>0</v>
      </c>
      <c r="I349" s="4" t="str">
        <f>IF(AND(B349="",C349="",D349="",E349="",F349=""),"",IF(OR(B349="",C349="",E349=""),"БЛОК: нужны дата, тип операции и сумма",IF(N(E349)&lt;=0,"БЛОК: сумма должна быть больше нуля",IF(AND(H349&lt;&gt;0,F349=""),"БЛОК: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отделить",IF(AND(G349&lt;&gt;0,F349=""),"БЛОК: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нельзя",IF(AND(F349&lt;&gt;"",COUNTIF('Долг по актам'!$B$5:$B$34,F349)=0),"БЛОК: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договору")&gt;0)*($C$5:$C$504&lt;&gt;C349)*($E$5:$E$504=E349)*(($D$5:$D$504=D349)*(D349&lt;&gt;"")+($B$5:$B$504=B349)*(B349&lt;&gt;"")&gt;0))&gt;0,"БЛОК: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49" s="3" t="str">
        <f>IF(AND(B349="",C349="",E349=""),"",SUM($G$5:G349))</f>
        <v/>
      </c>
    </row>
    <row r="350" spans="1:10" x14ac:dyDescent="0.3">
      <c r="A350" s="4">
        <v>346</v>
      </c>
      <c r="B350" s="5"/>
      <c r="C350" s="6"/>
      <c r="D350" s="6"/>
      <c r="E350" s="7"/>
      <c r="F350" s="6"/>
      <c r="G350" s="3">
        <f t="shared" si="10"/>
        <v>0</v>
      </c>
      <c r="H350" s="3">
        <f t="shared" si="11"/>
        <v>0</v>
      </c>
      <c r="I350" s="4" t="str">
        <f>IF(AND(B350="",C350="",D350="",E350="",F350=""),"",IF(OR(B350="",C350="",E350=""),"БЛОК: нужны дата, тип операции и сумма",IF(N(E350)&lt;=0,"БЛОК: сумма должна быть больше нуля",IF(AND(H350&lt;&gt;0,F350=""),"БЛОК: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отделить",IF(AND(G350&lt;&gt;0,F350=""),"БЛОК: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нельзя",IF(AND(F350&lt;&gt;"",COUNTIF('Долг по актам'!$B$5:$B$34,F350)=0),"БЛОК: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договору")&gt;0)*($C$5:$C$504&lt;&gt;C350)*($E$5:$E$504=E350)*(($D$5:$D$504=D350)*(D350&lt;&gt;"")+($B$5:$B$504=B350)*(B350&lt;&gt;"")&gt;0))&gt;0,"БЛОК: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50" s="3" t="str">
        <f>IF(AND(B350="",C350="",E350=""),"",SUM($G$5:G350))</f>
        <v/>
      </c>
    </row>
    <row r="351" spans="1:10" x14ac:dyDescent="0.3">
      <c r="A351" s="4">
        <v>347</v>
      </c>
      <c r="B351" s="5"/>
      <c r="C351" s="6"/>
      <c r="D351" s="6"/>
      <c r="E351" s="7"/>
      <c r="F351" s="6"/>
      <c r="G351" s="3">
        <f t="shared" si="10"/>
        <v>0</v>
      </c>
      <c r="H351" s="3">
        <f t="shared" si="11"/>
        <v>0</v>
      </c>
      <c r="I351" s="4" t="str">
        <f>IF(AND(B351="",C351="",D351="",E351="",F351=""),"",IF(OR(B351="",C351="",E351=""),"БЛОК: нужны дата, тип операции и сумма",IF(N(E351)&lt;=0,"БЛОК: сумма должна быть больше нуля",IF(AND(H351&lt;&gt;0,F351=""),"БЛОК: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отделить",IF(AND(G351&lt;&gt;0,F351=""),"БЛОК: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нельзя",IF(AND(F351&lt;&gt;"",COUNTIF('Долг по актам'!$B$5:$B$34,F351)=0),"БЛОК: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договору")&gt;0)*($C$5:$C$504&lt;&gt;C351)*($E$5:$E$504=E351)*(($D$5:$D$504=D351)*(D351&lt;&gt;"")+($B$5:$B$504=B351)*(B351&lt;&gt;"")&gt;0))&gt;0,"БЛОК: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51" s="3" t="str">
        <f>IF(AND(B351="",C351="",E351=""),"",SUM($G$5:G351))</f>
        <v/>
      </c>
    </row>
    <row r="352" spans="1:10" x14ac:dyDescent="0.3">
      <c r="A352" s="4">
        <v>348</v>
      </c>
      <c r="B352" s="5"/>
      <c r="C352" s="6"/>
      <c r="D352" s="6"/>
      <c r="E352" s="7"/>
      <c r="F352" s="6"/>
      <c r="G352" s="3">
        <f t="shared" si="10"/>
        <v>0</v>
      </c>
      <c r="H352" s="3">
        <f t="shared" si="11"/>
        <v>0</v>
      </c>
      <c r="I352" s="4" t="str">
        <f>IF(AND(B352="",C352="",D352="",E352="",F352=""),"",IF(OR(B352="",C352="",E352=""),"БЛОК: нужны дата, тип операции и сумма",IF(N(E352)&lt;=0,"БЛОК: сумма должна быть больше нуля",IF(AND(H352&lt;&gt;0,F352=""),"БЛОК: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отделить",IF(AND(G352&lt;&gt;0,F352=""),"БЛОК: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нельзя",IF(AND(F352&lt;&gt;"",COUNTIF('Долг по актам'!$B$5:$B$34,F352)=0),"БЛОК: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договору")&gt;0)*($C$5:$C$504&lt;&gt;C352)*($E$5:$E$504=E352)*(($D$5:$D$504=D352)*(D352&lt;&gt;"")+($B$5:$B$504=B352)*(B352&lt;&gt;"")&gt;0))&gt;0,"БЛОК: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52" s="3" t="str">
        <f>IF(AND(B352="",C352="",E352=""),"",SUM($G$5:G352))</f>
        <v/>
      </c>
    </row>
    <row r="353" spans="1:10" x14ac:dyDescent="0.3">
      <c r="A353" s="4">
        <v>349</v>
      </c>
      <c r="B353" s="5"/>
      <c r="C353" s="6"/>
      <c r="D353" s="6"/>
      <c r="E353" s="7"/>
      <c r="F353" s="6"/>
      <c r="G353" s="3">
        <f t="shared" si="10"/>
        <v>0</v>
      </c>
      <c r="H353" s="3">
        <f t="shared" si="11"/>
        <v>0</v>
      </c>
      <c r="I353" s="4" t="str">
        <f>IF(AND(B353="",C353="",D353="",E353="",F353=""),"",IF(OR(B353="",C353="",E353=""),"БЛОК: нужны дата, тип операции и сумма",IF(N(E353)&lt;=0,"БЛОК: сумма должна быть больше нуля",IF(AND(H353&lt;&gt;0,F353=""),"БЛОК: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отделить",IF(AND(G353&lt;&gt;0,F353=""),"БЛОК: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нельзя",IF(AND(F353&lt;&gt;"",COUNTIF('Долг по актам'!$B$5:$B$34,F353)=0),"БЛОК: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договору")&gt;0)*($C$5:$C$504&lt;&gt;C353)*($E$5:$E$504=E353)*(($D$5:$D$504=D353)*(D353&lt;&gt;"")+($B$5:$B$504=B353)*(B353&lt;&gt;"")&gt;0))&gt;0,"БЛОК: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53" s="3" t="str">
        <f>IF(AND(B353="",C353="",E353=""),"",SUM($G$5:G353))</f>
        <v/>
      </c>
    </row>
    <row r="354" spans="1:10" x14ac:dyDescent="0.3">
      <c r="A354" s="4">
        <v>350</v>
      </c>
      <c r="B354" s="5"/>
      <c r="C354" s="6"/>
      <c r="D354" s="6"/>
      <c r="E354" s="7"/>
      <c r="F354" s="6"/>
      <c r="G354" s="3">
        <f t="shared" si="10"/>
        <v>0</v>
      </c>
      <c r="H354" s="3">
        <f t="shared" si="11"/>
        <v>0</v>
      </c>
      <c r="I354" s="4" t="str">
        <f>IF(AND(B354="",C354="",D354="",E354="",F354=""),"",IF(OR(B354="",C354="",E354=""),"БЛОК: нужны дата, тип операции и сумма",IF(N(E354)&lt;=0,"БЛОК: сумма должна быть больше нуля",IF(AND(H354&lt;&gt;0,F354=""),"БЛОК: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отделить",IF(AND(G354&lt;&gt;0,F354=""),"БЛОК: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нельзя",IF(AND(F354&lt;&gt;"",COUNTIF('Долг по актам'!$B$5:$B$34,F354)=0),"БЛОК: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договору")&gt;0)*($C$5:$C$504&lt;&gt;C354)*($E$5:$E$504=E354)*(($D$5:$D$504=D354)*(D354&lt;&gt;"")+($B$5:$B$504=B354)*(B354&lt;&gt;"")&gt;0))&gt;0,"БЛОК: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54" s="3" t="str">
        <f>IF(AND(B354="",C354="",E354=""),"",SUM($G$5:G354))</f>
        <v/>
      </c>
    </row>
    <row r="355" spans="1:10" x14ac:dyDescent="0.3">
      <c r="A355" s="4">
        <v>351</v>
      </c>
      <c r="B355" s="5"/>
      <c r="C355" s="6"/>
      <c r="D355" s="6"/>
      <c r="E355" s="7"/>
      <c r="F355" s="6"/>
      <c r="G355" s="3">
        <f t="shared" si="10"/>
        <v>0</v>
      </c>
      <c r="H355" s="3">
        <f t="shared" si="11"/>
        <v>0</v>
      </c>
      <c r="I355" s="4" t="str">
        <f>IF(AND(B355="",C355="",D355="",E355="",F355=""),"",IF(OR(B355="",C355="",E355=""),"БЛОК: нужны дата, тип операции и сумма",IF(N(E355)&lt;=0,"БЛОК: сумма должна быть больше нуля",IF(AND(H355&lt;&gt;0,F355=""),"БЛОК: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отделить",IF(AND(G355&lt;&gt;0,F355=""),"БЛОК: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нельзя",IF(AND(F355&lt;&gt;"",COUNTIF('Долг по актам'!$B$5:$B$34,F355)=0),"БЛОК: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договору")&gt;0)*($C$5:$C$504&lt;&gt;C355)*($E$5:$E$504=E355)*(($D$5:$D$504=D355)*(D355&lt;&gt;"")+($B$5:$B$504=B355)*(B355&lt;&gt;"")&gt;0))&gt;0,"БЛОК: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55" s="3" t="str">
        <f>IF(AND(B355="",C355="",E355=""),"",SUM($G$5:G355))</f>
        <v/>
      </c>
    </row>
    <row r="356" spans="1:10" x14ac:dyDescent="0.3">
      <c r="A356" s="4">
        <v>352</v>
      </c>
      <c r="B356" s="5"/>
      <c r="C356" s="6"/>
      <c r="D356" s="6"/>
      <c r="E356" s="7"/>
      <c r="F356" s="6"/>
      <c r="G356" s="3">
        <f t="shared" si="10"/>
        <v>0</v>
      </c>
      <c r="H356" s="3">
        <f t="shared" si="11"/>
        <v>0</v>
      </c>
      <c r="I356" s="4" t="str">
        <f>IF(AND(B356="",C356="",D356="",E356="",F356=""),"",IF(OR(B356="",C356="",E356=""),"БЛОК: нужны дата, тип операции и сумма",IF(N(E356)&lt;=0,"БЛОК: сумма должна быть больше нуля",IF(AND(H356&lt;&gt;0,F356=""),"БЛОК: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отделить",IF(AND(G356&lt;&gt;0,F356=""),"БЛОК: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нельзя",IF(AND(F356&lt;&gt;"",COUNTIF('Долг по актам'!$B$5:$B$34,F356)=0),"БЛОК: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договору")&gt;0)*($C$5:$C$504&lt;&gt;C356)*($E$5:$E$504=E356)*(($D$5:$D$504=D356)*(D356&lt;&gt;"")+($B$5:$B$504=B356)*(B356&lt;&gt;"")&gt;0))&gt;0,"БЛОК: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56" s="3" t="str">
        <f>IF(AND(B356="",C356="",E356=""),"",SUM($G$5:G356))</f>
        <v/>
      </c>
    </row>
    <row r="357" spans="1:10" x14ac:dyDescent="0.3">
      <c r="A357" s="4">
        <v>353</v>
      </c>
      <c r="B357" s="5"/>
      <c r="C357" s="6"/>
      <c r="D357" s="6"/>
      <c r="E357" s="7"/>
      <c r="F357" s="6"/>
      <c r="G357" s="3">
        <f t="shared" si="10"/>
        <v>0</v>
      </c>
      <c r="H357" s="3">
        <f t="shared" si="11"/>
        <v>0</v>
      </c>
      <c r="I357" s="4" t="str">
        <f>IF(AND(B357="",C357="",D357="",E357="",F357=""),"",IF(OR(B357="",C357="",E357=""),"БЛОК: нужны дата, тип операции и сумма",IF(N(E357)&lt;=0,"БЛОК: сумма должна быть больше нуля",IF(AND(H357&lt;&gt;0,F357=""),"БЛОК: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отделить",IF(AND(G357&lt;&gt;0,F357=""),"БЛОК: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нельзя",IF(AND(F357&lt;&gt;"",COUNTIF('Долг по актам'!$B$5:$B$34,F357)=0),"БЛОК: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договору")&gt;0)*($C$5:$C$504&lt;&gt;C357)*($E$5:$E$504=E357)*(($D$5:$D$504=D357)*(D357&lt;&gt;"")+($B$5:$B$504=B357)*(B357&lt;&gt;"")&gt;0))&gt;0,"БЛОК: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57" s="3" t="str">
        <f>IF(AND(B357="",C357="",E357=""),"",SUM($G$5:G357))</f>
        <v/>
      </c>
    </row>
    <row r="358" spans="1:10" x14ac:dyDescent="0.3">
      <c r="A358" s="4">
        <v>354</v>
      </c>
      <c r="B358" s="5"/>
      <c r="C358" s="6"/>
      <c r="D358" s="6"/>
      <c r="E358" s="7"/>
      <c r="F358" s="6"/>
      <c r="G358" s="3">
        <f t="shared" si="10"/>
        <v>0</v>
      </c>
      <c r="H358" s="3">
        <f t="shared" si="11"/>
        <v>0</v>
      </c>
      <c r="I358" s="4" t="str">
        <f>IF(AND(B358="",C358="",D358="",E358="",F358=""),"",IF(OR(B358="",C358="",E358=""),"БЛОК: нужны дата, тип операции и сумма",IF(N(E358)&lt;=0,"БЛОК: сумма должна быть больше нуля",IF(AND(H358&lt;&gt;0,F358=""),"БЛОК: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отделить",IF(AND(G358&lt;&gt;0,F358=""),"БЛОК: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нельзя",IF(AND(F358&lt;&gt;"",COUNTIF('Долг по актам'!$B$5:$B$34,F358)=0),"БЛОК: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договору")&gt;0)*($C$5:$C$504&lt;&gt;C358)*($E$5:$E$504=E358)*(($D$5:$D$504=D358)*(D358&lt;&gt;"")+($B$5:$B$504=B358)*(B358&lt;&gt;"")&gt;0))&gt;0,"БЛОК: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58" s="3" t="str">
        <f>IF(AND(B358="",C358="",E358=""),"",SUM($G$5:G358))</f>
        <v/>
      </c>
    </row>
    <row r="359" spans="1:10" x14ac:dyDescent="0.3">
      <c r="A359" s="4">
        <v>355</v>
      </c>
      <c r="B359" s="5"/>
      <c r="C359" s="6"/>
      <c r="D359" s="6"/>
      <c r="E359" s="7"/>
      <c r="F359" s="6"/>
      <c r="G359" s="3">
        <f t="shared" si="10"/>
        <v>0</v>
      </c>
      <c r="H359" s="3">
        <f t="shared" si="11"/>
        <v>0</v>
      </c>
      <c r="I359" s="4" t="str">
        <f>IF(AND(B359="",C359="",D359="",E359="",F359=""),"",IF(OR(B359="",C359="",E359=""),"БЛОК: нужны дата, тип операции и сумма",IF(N(E359)&lt;=0,"БЛОК: сумма должна быть больше нуля",IF(AND(H359&lt;&gt;0,F359=""),"БЛОК: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отделить",IF(AND(G359&lt;&gt;0,F359=""),"БЛОК: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нельзя",IF(AND(F359&lt;&gt;"",COUNTIF('Долг по актам'!$B$5:$B$34,F359)=0),"БЛОК: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договору")&gt;0)*($C$5:$C$504&lt;&gt;C359)*($E$5:$E$504=E359)*(($D$5:$D$504=D359)*(D359&lt;&gt;"")+($B$5:$B$504=B359)*(B359&lt;&gt;"")&gt;0))&gt;0,"БЛОК: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59" s="3" t="str">
        <f>IF(AND(B359="",C359="",E359=""),"",SUM($G$5:G359))</f>
        <v/>
      </c>
    </row>
    <row r="360" spans="1:10" x14ac:dyDescent="0.3">
      <c r="A360" s="4">
        <v>356</v>
      </c>
      <c r="B360" s="5"/>
      <c r="C360" s="6"/>
      <c r="D360" s="6"/>
      <c r="E360" s="7"/>
      <c r="F360" s="6"/>
      <c r="G360" s="3">
        <f t="shared" si="10"/>
        <v>0</v>
      </c>
      <c r="H360" s="3">
        <f t="shared" si="11"/>
        <v>0</v>
      </c>
      <c r="I360" s="4" t="str">
        <f>IF(AND(B360="",C360="",D360="",E360="",F360=""),"",IF(OR(B360="",C360="",E360=""),"БЛОК: нужны дата, тип операции и сумма",IF(N(E360)&lt;=0,"БЛОК: сумма должна быть больше нуля",IF(AND(H360&lt;&gt;0,F360=""),"БЛОК: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отделить",IF(AND(G360&lt;&gt;0,F360=""),"БЛОК: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нельзя",IF(AND(F360&lt;&gt;"",COUNTIF('Долг по актам'!$B$5:$B$34,F360)=0),"БЛОК: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договору")&gt;0)*($C$5:$C$504&lt;&gt;C360)*($E$5:$E$504=E360)*(($D$5:$D$504=D360)*(D360&lt;&gt;"")+($B$5:$B$504=B360)*(B360&lt;&gt;"")&gt;0))&gt;0,"БЛОК: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60" s="3" t="str">
        <f>IF(AND(B360="",C360="",E360=""),"",SUM($G$5:G360))</f>
        <v/>
      </c>
    </row>
    <row r="361" spans="1:10" x14ac:dyDescent="0.3">
      <c r="A361" s="4">
        <v>357</v>
      </c>
      <c r="B361" s="5"/>
      <c r="C361" s="6"/>
      <c r="D361" s="6"/>
      <c r="E361" s="7"/>
      <c r="F361" s="6"/>
      <c r="G361" s="3">
        <f t="shared" si="10"/>
        <v>0</v>
      </c>
      <c r="H361" s="3">
        <f t="shared" si="11"/>
        <v>0</v>
      </c>
      <c r="I361" s="4" t="str">
        <f>IF(AND(B361="",C361="",D361="",E361="",F361=""),"",IF(OR(B361="",C361="",E361=""),"БЛОК: нужны дата, тип операции и сумма",IF(N(E361)&lt;=0,"БЛОК: сумма должна быть больше нуля",IF(AND(H361&lt;&gt;0,F361=""),"БЛОК: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отделить",IF(AND(G361&lt;&gt;0,F361=""),"БЛОК: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нельзя",IF(AND(F361&lt;&gt;"",COUNTIF('Долг по актам'!$B$5:$B$34,F361)=0),"БЛОК: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договору")&gt;0)*($C$5:$C$504&lt;&gt;C361)*($E$5:$E$504=E361)*(($D$5:$D$504=D361)*(D361&lt;&gt;"")+($B$5:$B$504=B361)*(B361&lt;&gt;"")&gt;0))&gt;0,"БЛОК: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61" s="3" t="str">
        <f>IF(AND(B361="",C361="",E361=""),"",SUM($G$5:G361))</f>
        <v/>
      </c>
    </row>
    <row r="362" spans="1:10" x14ac:dyDescent="0.3">
      <c r="A362" s="4">
        <v>358</v>
      </c>
      <c r="B362" s="5"/>
      <c r="C362" s="6"/>
      <c r="D362" s="6"/>
      <c r="E362" s="7"/>
      <c r="F362" s="6"/>
      <c r="G362" s="3">
        <f t="shared" si="10"/>
        <v>0</v>
      </c>
      <c r="H362" s="3">
        <f t="shared" si="11"/>
        <v>0</v>
      </c>
      <c r="I362" s="4" t="str">
        <f>IF(AND(B362="",C362="",D362="",E362="",F362=""),"",IF(OR(B362="",C362="",E362=""),"БЛОК: нужны дата, тип операции и сумма",IF(N(E362)&lt;=0,"БЛОК: сумма должна быть больше нуля",IF(AND(H362&lt;&gt;0,F362=""),"БЛОК: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отделить",IF(AND(G362&lt;&gt;0,F362=""),"БЛОК: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нельзя",IF(AND(F362&lt;&gt;"",COUNTIF('Долг по актам'!$B$5:$B$34,F362)=0),"БЛОК: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договору")&gt;0)*($C$5:$C$504&lt;&gt;C362)*($E$5:$E$504=E362)*(($D$5:$D$504=D362)*(D362&lt;&gt;"")+($B$5:$B$504=B362)*(B362&lt;&gt;"")&gt;0))&gt;0,"БЛОК: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62" s="3" t="str">
        <f>IF(AND(B362="",C362="",E362=""),"",SUM($G$5:G362))</f>
        <v/>
      </c>
    </row>
    <row r="363" spans="1:10" x14ac:dyDescent="0.3">
      <c r="A363" s="4">
        <v>359</v>
      </c>
      <c r="B363" s="5"/>
      <c r="C363" s="6"/>
      <c r="D363" s="6"/>
      <c r="E363" s="7"/>
      <c r="F363" s="6"/>
      <c r="G363" s="3">
        <f t="shared" si="10"/>
        <v>0</v>
      </c>
      <c r="H363" s="3">
        <f t="shared" si="11"/>
        <v>0</v>
      </c>
      <c r="I363" s="4" t="str">
        <f>IF(AND(B363="",C363="",D363="",E363="",F363=""),"",IF(OR(B363="",C363="",E363=""),"БЛОК: нужны дата, тип операции и сумма",IF(N(E363)&lt;=0,"БЛОК: сумма должна быть больше нуля",IF(AND(H363&lt;&gt;0,F363=""),"БЛОК: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отделить",IF(AND(G363&lt;&gt;0,F363=""),"БЛОК: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нельзя",IF(AND(F363&lt;&gt;"",COUNTIF('Долг по актам'!$B$5:$B$34,F363)=0),"БЛОК: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договору")&gt;0)*($C$5:$C$504&lt;&gt;C363)*($E$5:$E$504=E363)*(($D$5:$D$504=D363)*(D363&lt;&gt;"")+($B$5:$B$504=B363)*(B363&lt;&gt;"")&gt;0))&gt;0,"БЛОК: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63" s="3" t="str">
        <f>IF(AND(B363="",C363="",E363=""),"",SUM($G$5:G363))</f>
        <v/>
      </c>
    </row>
    <row r="364" spans="1:10" x14ac:dyDescent="0.3">
      <c r="A364" s="4">
        <v>360</v>
      </c>
      <c r="B364" s="5"/>
      <c r="C364" s="6"/>
      <c r="D364" s="6"/>
      <c r="E364" s="7"/>
      <c r="F364" s="6"/>
      <c r="G364" s="3">
        <f t="shared" si="10"/>
        <v>0</v>
      </c>
      <c r="H364" s="3">
        <f t="shared" si="11"/>
        <v>0</v>
      </c>
      <c r="I364" s="4" t="str">
        <f>IF(AND(B364="",C364="",D364="",E364="",F364=""),"",IF(OR(B364="",C364="",E364=""),"БЛОК: нужны дата, тип операции и сумма",IF(N(E364)&lt;=0,"БЛОК: сумма должна быть больше нуля",IF(AND(H364&lt;&gt;0,F364=""),"БЛОК: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отделить",IF(AND(G364&lt;&gt;0,F364=""),"БЛОК: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нельзя",IF(AND(F364&lt;&gt;"",COUNTIF('Долг по актам'!$B$5:$B$34,F364)=0),"БЛОК: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договору")&gt;0)*($C$5:$C$504&lt;&gt;C364)*($E$5:$E$504=E364)*(($D$5:$D$504=D364)*(D364&lt;&gt;"")+($B$5:$B$504=B364)*(B364&lt;&gt;"")&gt;0))&gt;0,"БЛОК: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64" s="3" t="str">
        <f>IF(AND(B364="",C364="",E364=""),"",SUM($G$5:G364))</f>
        <v/>
      </c>
    </row>
    <row r="365" spans="1:10" x14ac:dyDescent="0.3">
      <c r="A365" s="4">
        <v>361</v>
      </c>
      <c r="B365" s="5"/>
      <c r="C365" s="6"/>
      <c r="D365" s="6"/>
      <c r="E365" s="7"/>
      <c r="F365" s="6"/>
      <c r="G365" s="3">
        <f t="shared" si="10"/>
        <v>0</v>
      </c>
      <c r="H365" s="3">
        <f t="shared" si="11"/>
        <v>0</v>
      </c>
      <c r="I365" s="4" t="str">
        <f>IF(AND(B365="",C365="",D365="",E365="",F365=""),"",IF(OR(B365="",C365="",E365=""),"БЛОК: нужны дата, тип операции и сумма",IF(N(E365)&lt;=0,"БЛОК: сумма должна быть больше нуля",IF(AND(H365&lt;&gt;0,F365=""),"БЛОК: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отделить",IF(AND(G365&lt;&gt;0,F365=""),"БЛОК: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нельзя",IF(AND(F365&lt;&gt;"",COUNTIF('Долг по актам'!$B$5:$B$34,F365)=0),"БЛОК: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договору")&gt;0)*($C$5:$C$504&lt;&gt;C365)*($E$5:$E$504=E365)*(($D$5:$D$504=D365)*(D365&lt;&gt;"")+($B$5:$B$504=B365)*(B365&lt;&gt;"")&gt;0))&gt;0,"БЛОК: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65" s="3" t="str">
        <f>IF(AND(B365="",C365="",E365=""),"",SUM($G$5:G365))</f>
        <v/>
      </c>
    </row>
    <row r="366" spans="1:10" x14ac:dyDescent="0.3">
      <c r="A366" s="4">
        <v>362</v>
      </c>
      <c r="B366" s="5"/>
      <c r="C366" s="6"/>
      <c r="D366" s="6"/>
      <c r="E366" s="7"/>
      <c r="F366" s="6"/>
      <c r="G366" s="3">
        <f t="shared" si="10"/>
        <v>0</v>
      </c>
      <c r="H366" s="3">
        <f t="shared" si="11"/>
        <v>0</v>
      </c>
      <c r="I366" s="4" t="str">
        <f>IF(AND(B366="",C366="",D366="",E366="",F366=""),"",IF(OR(B366="",C366="",E366=""),"БЛОК: нужны дата, тип операции и сумма",IF(N(E366)&lt;=0,"БЛОК: сумма должна быть больше нуля",IF(AND(H366&lt;&gt;0,F366=""),"БЛОК: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отделить",IF(AND(G366&lt;&gt;0,F366=""),"БЛОК: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нельзя",IF(AND(F366&lt;&gt;"",COUNTIF('Долг по актам'!$B$5:$B$34,F366)=0),"БЛОК: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договору")&gt;0)*($C$5:$C$504&lt;&gt;C366)*($E$5:$E$504=E366)*(($D$5:$D$504=D366)*(D366&lt;&gt;"")+($B$5:$B$504=B366)*(B366&lt;&gt;"")&gt;0))&gt;0,"БЛОК: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66" s="3" t="str">
        <f>IF(AND(B366="",C366="",E366=""),"",SUM($G$5:G366))</f>
        <v/>
      </c>
    </row>
    <row r="367" spans="1:10" x14ac:dyDescent="0.3">
      <c r="A367" s="4">
        <v>363</v>
      </c>
      <c r="B367" s="5"/>
      <c r="C367" s="6"/>
      <c r="D367" s="6"/>
      <c r="E367" s="7"/>
      <c r="F367" s="6"/>
      <c r="G367" s="3">
        <f t="shared" si="10"/>
        <v>0</v>
      </c>
      <c r="H367" s="3">
        <f t="shared" si="11"/>
        <v>0</v>
      </c>
      <c r="I367" s="4" t="str">
        <f>IF(AND(B367="",C367="",D367="",E367="",F367=""),"",IF(OR(B367="",C367="",E367=""),"БЛОК: нужны дата, тип операции и сумма",IF(N(E367)&lt;=0,"БЛОК: сумма должна быть больше нуля",IF(AND(H367&lt;&gt;0,F367=""),"БЛОК: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отделить",IF(AND(G367&lt;&gt;0,F367=""),"БЛОК: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нельзя",IF(AND(F367&lt;&gt;"",COUNTIF('Долг по актам'!$B$5:$B$34,F367)=0),"БЛОК: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договору")&gt;0)*($C$5:$C$504&lt;&gt;C367)*($E$5:$E$504=E367)*(($D$5:$D$504=D367)*(D367&lt;&gt;"")+($B$5:$B$504=B367)*(B367&lt;&gt;"")&gt;0))&gt;0,"БЛОК: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67" s="3" t="str">
        <f>IF(AND(B367="",C367="",E367=""),"",SUM($G$5:G367))</f>
        <v/>
      </c>
    </row>
    <row r="368" spans="1:10" x14ac:dyDescent="0.3">
      <c r="A368" s="4">
        <v>364</v>
      </c>
      <c r="B368" s="5"/>
      <c r="C368" s="6"/>
      <c r="D368" s="6"/>
      <c r="E368" s="7"/>
      <c r="F368" s="6"/>
      <c r="G368" s="3">
        <f t="shared" si="10"/>
        <v>0</v>
      </c>
      <c r="H368" s="3">
        <f t="shared" si="11"/>
        <v>0</v>
      </c>
      <c r="I368" s="4" t="str">
        <f>IF(AND(B368="",C368="",D368="",E368="",F368=""),"",IF(OR(B368="",C368="",E368=""),"БЛОК: нужны дата, тип операции и сумма",IF(N(E368)&lt;=0,"БЛОК: сумма должна быть больше нуля",IF(AND(H368&lt;&gt;0,F368=""),"БЛОК: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отделить",IF(AND(G368&lt;&gt;0,F368=""),"БЛОК: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нельзя",IF(AND(F368&lt;&gt;"",COUNTIF('Долг по актам'!$B$5:$B$34,F368)=0),"БЛОК: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договору")&gt;0)*($C$5:$C$504&lt;&gt;C368)*($E$5:$E$504=E368)*(($D$5:$D$504=D368)*(D368&lt;&gt;"")+($B$5:$B$504=B368)*(B368&lt;&gt;"")&gt;0))&gt;0,"БЛОК: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68" s="3" t="str">
        <f>IF(AND(B368="",C368="",E368=""),"",SUM($G$5:G368))</f>
        <v/>
      </c>
    </row>
    <row r="369" spans="1:10" x14ac:dyDescent="0.3">
      <c r="A369" s="4">
        <v>365</v>
      </c>
      <c r="B369" s="5"/>
      <c r="C369" s="6"/>
      <c r="D369" s="6"/>
      <c r="E369" s="7"/>
      <c r="F369" s="6"/>
      <c r="G369" s="3">
        <f t="shared" si="10"/>
        <v>0</v>
      </c>
      <c r="H369" s="3">
        <f t="shared" si="11"/>
        <v>0</v>
      </c>
      <c r="I369" s="4" t="str">
        <f>IF(AND(B369="",C369="",D369="",E369="",F369=""),"",IF(OR(B369="",C369="",E369=""),"БЛОК: нужны дата, тип операции и сумма",IF(N(E369)&lt;=0,"БЛОК: сумма должна быть больше нуля",IF(AND(H369&lt;&gt;0,F369=""),"БЛОК: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отделить",IF(AND(G369&lt;&gt;0,F369=""),"БЛОК: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нельзя",IF(AND(F369&lt;&gt;"",COUNTIF('Долг по актам'!$B$5:$B$34,F369)=0),"БЛОК: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договору")&gt;0)*($C$5:$C$504&lt;&gt;C369)*($E$5:$E$504=E369)*(($D$5:$D$504=D369)*(D369&lt;&gt;"")+($B$5:$B$504=B369)*(B369&lt;&gt;"")&gt;0))&gt;0,"БЛОК: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69" s="3" t="str">
        <f>IF(AND(B369="",C369="",E369=""),"",SUM($G$5:G369))</f>
        <v/>
      </c>
    </row>
    <row r="370" spans="1:10" x14ac:dyDescent="0.3">
      <c r="A370" s="4">
        <v>366</v>
      </c>
      <c r="B370" s="5"/>
      <c r="C370" s="6"/>
      <c r="D370" s="6"/>
      <c r="E370" s="7"/>
      <c r="F370" s="6"/>
      <c r="G370" s="3">
        <f t="shared" si="10"/>
        <v>0</v>
      </c>
      <c r="H370" s="3">
        <f t="shared" si="11"/>
        <v>0</v>
      </c>
      <c r="I370" s="4" t="str">
        <f>IF(AND(B370="",C370="",D370="",E370="",F370=""),"",IF(OR(B370="",C370="",E370=""),"БЛОК: нужны дата, тип операции и сумма",IF(N(E370)&lt;=0,"БЛОК: сумма должна быть больше нуля",IF(AND(H370&lt;&gt;0,F370=""),"БЛОК: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отделить",IF(AND(G370&lt;&gt;0,F370=""),"БЛОК: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нельзя",IF(AND(F370&lt;&gt;"",COUNTIF('Долг по актам'!$B$5:$B$34,F370)=0),"БЛОК: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договору")&gt;0)*($C$5:$C$504&lt;&gt;C370)*($E$5:$E$504=E370)*(($D$5:$D$504=D370)*(D370&lt;&gt;"")+($B$5:$B$504=B370)*(B370&lt;&gt;"")&gt;0))&gt;0,"БЛОК: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70" s="3" t="str">
        <f>IF(AND(B370="",C370="",E370=""),"",SUM($G$5:G370))</f>
        <v/>
      </c>
    </row>
    <row r="371" spans="1:10" x14ac:dyDescent="0.3">
      <c r="A371" s="4">
        <v>367</v>
      </c>
      <c r="B371" s="5"/>
      <c r="C371" s="6"/>
      <c r="D371" s="6"/>
      <c r="E371" s="7"/>
      <c r="F371" s="6"/>
      <c r="G371" s="3">
        <f t="shared" si="10"/>
        <v>0</v>
      </c>
      <c r="H371" s="3">
        <f t="shared" si="11"/>
        <v>0</v>
      </c>
      <c r="I371" s="4" t="str">
        <f>IF(AND(B371="",C371="",D371="",E371="",F371=""),"",IF(OR(B371="",C371="",E371=""),"БЛОК: нужны дата, тип операции и сумма",IF(N(E371)&lt;=0,"БЛОК: сумма должна быть больше нуля",IF(AND(H371&lt;&gt;0,F371=""),"БЛОК: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отделить",IF(AND(G371&lt;&gt;0,F371=""),"БЛОК: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нельзя",IF(AND(F371&lt;&gt;"",COUNTIF('Долг по актам'!$B$5:$B$34,F371)=0),"БЛОК: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договору")&gt;0)*($C$5:$C$504&lt;&gt;C371)*($E$5:$E$504=E371)*(($D$5:$D$504=D371)*(D371&lt;&gt;"")+($B$5:$B$504=B371)*(B371&lt;&gt;"")&gt;0))&gt;0,"БЛОК: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71" s="3" t="str">
        <f>IF(AND(B371="",C371="",E371=""),"",SUM($G$5:G371))</f>
        <v/>
      </c>
    </row>
    <row r="372" spans="1:10" x14ac:dyDescent="0.3">
      <c r="A372" s="4">
        <v>368</v>
      </c>
      <c r="B372" s="5"/>
      <c r="C372" s="6"/>
      <c r="D372" s="6"/>
      <c r="E372" s="7"/>
      <c r="F372" s="6"/>
      <c r="G372" s="3">
        <f t="shared" si="10"/>
        <v>0</v>
      </c>
      <c r="H372" s="3">
        <f t="shared" si="11"/>
        <v>0</v>
      </c>
      <c r="I372" s="4" t="str">
        <f>IF(AND(B372="",C372="",D372="",E372="",F372=""),"",IF(OR(B372="",C372="",E372=""),"БЛОК: нужны дата, тип операции и сумма",IF(N(E372)&lt;=0,"БЛОК: сумма должна быть больше нуля",IF(AND(H372&lt;&gt;0,F372=""),"БЛОК: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отделить",IF(AND(G372&lt;&gt;0,F372=""),"БЛОК: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нельзя",IF(AND(F372&lt;&gt;"",COUNTIF('Долг по актам'!$B$5:$B$34,F372)=0),"БЛОК: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договору")&gt;0)*($C$5:$C$504&lt;&gt;C372)*($E$5:$E$504=E372)*(($D$5:$D$504=D372)*(D372&lt;&gt;"")+($B$5:$B$504=B372)*(B372&lt;&gt;"")&gt;0))&gt;0,"БЛОК: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72" s="3" t="str">
        <f>IF(AND(B372="",C372="",E372=""),"",SUM($G$5:G372))</f>
        <v/>
      </c>
    </row>
    <row r="373" spans="1:10" x14ac:dyDescent="0.3">
      <c r="A373" s="4">
        <v>369</v>
      </c>
      <c r="B373" s="5"/>
      <c r="C373" s="6"/>
      <c r="D373" s="6"/>
      <c r="E373" s="7"/>
      <c r="F373" s="6"/>
      <c r="G373" s="3">
        <f t="shared" si="10"/>
        <v>0</v>
      </c>
      <c r="H373" s="3">
        <f t="shared" si="11"/>
        <v>0</v>
      </c>
      <c r="I373" s="4" t="str">
        <f>IF(AND(B373="",C373="",D373="",E373="",F373=""),"",IF(OR(B373="",C373="",E373=""),"БЛОК: нужны дата, тип операции и сумма",IF(N(E373)&lt;=0,"БЛОК: сумма должна быть больше нуля",IF(AND(H373&lt;&gt;0,F373=""),"БЛОК: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отделить",IF(AND(G373&lt;&gt;0,F373=""),"БЛОК: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нельзя",IF(AND(F373&lt;&gt;"",COUNTIF('Долг по актам'!$B$5:$B$34,F373)=0),"БЛОК: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договору")&gt;0)*($C$5:$C$504&lt;&gt;C373)*($E$5:$E$504=E373)*(($D$5:$D$504=D373)*(D373&lt;&gt;"")+($B$5:$B$504=B373)*(B373&lt;&gt;"")&gt;0))&gt;0,"БЛОК: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73" s="3" t="str">
        <f>IF(AND(B373="",C373="",E373=""),"",SUM($G$5:G373))</f>
        <v/>
      </c>
    </row>
    <row r="374" spans="1:10" x14ac:dyDescent="0.3">
      <c r="A374" s="4">
        <v>370</v>
      </c>
      <c r="B374" s="5"/>
      <c r="C374" s="6"/>
      <c r="D374" s="6"/>
      <c r="E374" s="7"/>
      <c r="F374" s="6"/>
      <c r="G374" s="3">
        <f t="shared" si="10"/>
        <v>0</v>
      </c>
      <c r="H374" s="3">
        <f t="shared" si="11"/>
        <v>0</v>
      </c>
      <c r="I374" s="4" t="str">
        <f>IF(AND(B374="",C374="",D374="",E374="",F374=""),"",IF(OR(B374="",C374="",E374=""),"БЛОК: нужны дата, тип операции и сумма",IF(N(E374)&lt;=0,"БЛОК: сумма должна быть больше нуля",IF(AND(H374&lt;&gt;0,F374=""),"БЛОК: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отделить",IF(AND(G374&lt;&gt;0,F374=""),"БЛОК: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нельзя",IF(AND(F374&lt;&gt;"",COUNTIF('Долг по актам'!$B$5:$B$34,F374)=0),"БЛОК: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договору")&gt;0)*($C$5:$C$504&lt;&gt;C374)*($E$5:$E$504=E374)*(($D$5:$D$504=D374)*(D374&lt;&gt;"")+($B$5:$B$504=B374)*(B374&lt;&gt;"")&gt;0))&gt;0,"БЛОК: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74" s="3" t="str">
        <f>IF(AND(B374="",C374="",E374=""),"",SUM($G$5:G374))</f>
        <v/>
      </c>
    </row>
    <row r="375" spans="1:10" x14ac:dyDescent="0.3">
      <c r="A375" s="4">
        <v>371</v>
      </c>
      <c r="B375" s="5"/>
      <c r="C375" s="6"/>
      <c r="D375" s="6"/>
      <c r="E375" s="7"/>
      <c r="F375" s="6"/>
      <c r="G375" s="3">
        <f t="shared" si="10"/>
        <v>0</v>
      </c>
      <c r="H375" s="3">
        <f t="shared" si="11"/>
        <v>0</v>
      </c>
      <c r="I375" s="4" t="str">
        <f>IF(AND(B375="",C375="",D375="",E375="",F375=""),"",IF(OR(B375="",C375="",E375=""),"БЛОК: нужны дата, тип операции и сумма",IF(N(E375)&lt;=0,"БЛОК: сумма должна быть больше нуля",IF(AND(H375&lt;&gt;0,F375=""),"БЛОК: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отделить",IF(AND(G375&lt;&gt;0,F375=""),"БЛОК: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нельзя",IF(AND(F375&lt;&gt;"",COUNTIF('Долг по актам'!$B$5:$B$34,F375)=0),"БЛОК: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договору")&gt;0)*($C$5:$C$504&lt;&gt;C375)*($E$5:$E$504=E375)*(($D$5:$D$504=D375)*(D375&lt;&gt;"")+($B$5:$B$504=B375)*(B375&lt;&gt;"")&gt;0))&gt;0,"БЛОК: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75" s="3" t="str">
        <f>IF(AND(B375="",C375="",E375=""),"",SUM($G$5:G375))</f>
        <v/>
      </c>
    </row>
    <row r="376" spans="1:10" x14ac:dyDescent="0.3">
      <c r="A376" s="4">
        <v>372</v>
      </c>
      <c r="B376" s="5"/>
      <c r="C376" s="6"/>
      <c r="D376" s="6"/>
      <c r="E376" s="7"/>
      <c r="F376" s="6"/>
      <c r="G376" s="3">
        <f t="shared" si="10"/>
        <v>0</v>
      </c>
      <c r="H376" s="3">
        <f t="shared" si="11"/>
        <v>0</v>
      </c>
      <c r="I376" s="4" t="str">
        <f>IF(AND(B376="",C376="",D376="",E376="",F376=""),"",IF(OR(B376="",C376="",E376=""),"БЛОК: нужны дата, тип операции и сумма",IF(N(E376)&lt;=0,"БЛОК: сумма должна быть больше нуля",IF(AND(H376&lt;&gt;0,F376=""),"БЛОК: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отделить",IF(AND(G376&lt;&gt;0,F376=""),"БЛОК: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нельзя",IF(AND(F376&lt;&gt;"",COUNTIF('Долг по актам'!$B$5:$B$34,F376)=0),"БЛОК: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договору")&gt;0)*($C$5:$C$504&lt;&gt;C376)*($E$5:$E$504=E376)*(($D$5:$D$504=D376)*(D376&lt;&gt;"")+($B$5:$B$504=B376)*(B376&lt;&gt;"")&gt;0))&gt;0,"БЛОК: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76" s="3" t="str">
        <f>IF(AND(B376="",C376="",E376=""),"",SUM($G$5:G376))</f>
        <v/>
      </c>
    </row>
    <row r="377" spans="1:10" x14ac:dyDescent="0.3">
      <c r="A377" s="4">
        <v>373</v>
      </c>
      <c r="B377" s="5"/>
      <c r="C377" s="6"/>
      <c r="D377" s="6"/>
      <c r="E377" s="7"/>
      <c r="F377" s="6"/>
      <c r="G377" s="3">
        <f t="shared" si="10"/>
        <v>0</v>
      </c>
      <c r="H377" s="3">
        <f t="shared" si="11"/>
        <v>0</v>
      </c>
      <c r="I377" s="4" t="str">
        <f>IF(AND(B377="",C377="",D377="",E377="",F377=""),"",IF(OR(B377="",C377="",E377=""),"БЛОК: нужны дата, тип операции и сумма",IF(N(E377)&lt;=0,"БЛОК: сумма должна быть больше нуля",IF(AND(H377&lt;&gt;0,F377=""),"БЛОК: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отделить",IF(AND(G377&lt;&gt;0,F377=""),"БЛОК: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нельзя",IF(AND(F377&lt;&gt;"",COUNTIF('Долг по актам'!$B$5:$B$34,F377)=0),"БЛОК: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договору")&gt;0)*($C$5:$C$504&lt;&gt;C377)*($E$5:$E$504=E377)*(($D$5:$D$504=D377)*(D377&lt;&gt;"")+($B$5:$B$504=B377)*(B377&lt;&gt;"")&gt;0))&gt;0,"БЛОК: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77" s="3" t="str">
        <f>IF(AND(B377="",C377="",E377=""),"",SUM($G$5:G377))</f>
        <v/>
      </c>
    </row>
    <row r="378" spans="1:10" x14ac:dyDescent="0.3">
      <c r="A378" s="4">
        <v>374</v>
      </c>
      <c r="B378" s="5"/>
      <c r="C378" s="6"/>
      <c r="D378" s="6"/>
      <c r="E378" s="7"/>
      <c r="F378" s="6"/>
      <c r="G378" s="3">
        <f t="shared" si="10"/>
        <v>0</v>
      </c>
      <c r="H378" s="3">
        <f t="shared" si="11"/>
        <v>0</v>
      </c>
      <c r="I378" s="4" t="str">
        <f>IF(AND(B378="",C378="",D378="",E378="",F378=""),"",IF(OR(B378="",C378="",E378=""),"БЛОК: нужны дата, тип операции и сумма",IF(N(E378)&lt;=0,"БЛОК: сумма должна быть больше нуля",IF(AND(H378&lt;&gt;0,F378=""),"БЛОК: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отделить",IF(AND(G378&lt;&gt;0,F378=""),"БЛОК: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нельзя",IF(AND(F378&lt;&gt;"",COUNTIF('Долг по актам'!$B$5:$B$34,F378)=0),"БЛОК: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договору")&gt;0)*($C$5:$C$504&lt;&gt;C378)*($E$5:$E$504=E378)*(($D$5:$D$504=D378)*(D378&lt;&gt;"")+($B$5:$B$504=B378)*(B378&lt;&gt;"")&gt;0))&gt;0,"БЛОК: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78" s="3" t="str">
        <f>IF(AND(B378="",C378="",E378=""),"",SUM($G$5:G378))</f>
        <v/>
      </c>
    </row>
    <row r="379" spans="1:10" x14ac:dyDescent="0.3">
      <c r="A379" s="4">
        <v>375</v>
      </c>
      <c r="B379" s="5"/>
      <c r="C379" s="6"/>
      <c r="D379" s="6"/>
      <c r="E379" s="7"/>
      <c r="F379" s="6"/>
      <c r="G379" s="3">
        <f t="shared" si="10"/>
        <v>0</v>
      </c>
      <c r="H379" s="3">
        <f t="shared" si="11"/>
        <v>0</v>
      </c>
      <c r="I379" s="4" t="str">
        <f>IF(AND(B379="",C379="",D379="",E379="",F379=""),"",IF(OR(B379="",C379="",E379=""),"БЛОК: нужны дата, тип операции и сумма",IF(N(E379)&lt;=0,"БЛОК: сумма должна быть больше нуля",IF(AND(H379&lt;&gt;0,F379=""),"БЛОК: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отделить",IF(AND(G379&lt;&gt;0,F379=""),"БЛОК: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нельзя",IF(AND(F379&lt;&gt;"",COUNTIF('Долг по актам'!$B$5:$B$34,F379)=0),"БЛОК: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договору")&gt;0)*($C$5:$C$504&lt;&gt;C379)*($E$5:$E$504=E379)*(($D$5:$D$504=D379)*(D379&lt;&gt;"")+($B$5:$B$504=B379)*(B379&lt;&gt;"")&gt;0))&gt;0,"БЛОК: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79" s="3" t="str">
        <f>IF(AND(B379="",C379="",E379=""),"",SUM($G$5:G379))</f>
        <v/>
      </c>
    </row>
    <row r="380" spans="1:10" x14ac:dyDescent="0.3">
      <c r="A380" s="4">
        <v>376</v>
      </c>
      <c r="B380" s="5"/>
      <c r="C380" s="6"/>
      <c r="D380" s="6"/>
      <c r="E380" s="7"/>
      <c r="F380" s="6"/>
      <c r="G380" s="3">
        <f t="shared" si="10"/>
        <v>0</v>
      </c>
      <c r="H380" s="3">
        <f t="shared" si="11"/>
        <v>0</v>
      </c>
      <c r="I380" s="4" t="str">
        <f>IF(AND(B380="",C380="",D380="",E380="",F380=""),"",IF(OR(B380="",C380="",E380=""),"БЛОК: нужны дата, тип операции и сумма",IF(N(E380)&lt;=0,"БЛОК: сумма должна быть больше нуля",IF(AND(H380&lt;&gt;0,F380=""),"БЛОК: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отделить",IF(AND(G380&lt;&gt;0,F380=""),"БЛОК: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нельзя",IF(AND(F380&lt;&gt;"",COUNTIF('Долг по актам'!$B$5:$B$34,F380)=0),"БЛОК: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договору")&gt;0)*($C$5:$C$504&lt;&gt;C380)*($E$5:$E$504=E380)*(($D$5:$D$504=D380)*(D380&lt;&gt;"")+($B$5:$B$504=B380)*(B380&lt;&gt;"")&gt;0))&gt;0,"БЛОК: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80" s="3" t="str">
        <f>IF(AND(B380="",C380="",E380=""),"",SUM($G$5:G380))</f>
        <v/>
      </c>
    </row>
    <row r="381" spans="1:10" x14ac:dyDescent="0.3">
      <c r="A381" s="4">
        <v>377</v>
      </c>
      <c r="B381" s="5"/>
      <c r="C381" s="6"/>
      <c r="D381" s="6"/>
      <c r="E381" s="7"/>
      <c r="F381" s="6"/>
      <c r="G381" s="3">
        <f t="shared" si="10"/>
        <v>0</v>
      </c>
      <c r="H381" s="3">
        <f t="shared" si="11"/>
        <v>0</v>
      </c>
      <c r="I381" s="4" t="str">
        <f>IF(AND(B381="",C381="",D381="",E381="",F381=""),"",IF(OR(B381="",C381="",E381=""),"БЛОК: нужны дата, тип операции и сумма",IF(N(E381)&lt;=0,"БЛОК: сумма должна быть больше нуля",IF(AND(H381&lt;&gt;0,F381=""),"БЛОК: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отделить",IF(AND(G381&lt;&gt;0,F381=""),"БЛОК: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нельзя",IF(AND(F381&lt;&gt;"",COUNTIF('Долг по актам'!$B$5:$B$34,F381)=0),"БЛОК: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договору")&gt;0)*($C$5:$C$504&lt;&gt;C381)*($E$5:$E$504=E381)*(($D$5:$D$504=D381)*(D381&lt;&gt;"")+($B$5:$B$504=B381)*(B381&lt;&gt;"")&gt;0))&gt;0,"БЛОК: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81" s="3" t="str">
        <f>IF(AND(B381="",C381="",E381=""),"",SUM($G$5:G381))</f>
        <v/>
      </c>
    </row>
    <row r="382" spans="1:10" x14ac:dyDescent="0.3">
      <c r="A382" s="4">
        <v>378</v>
      </c>
      <c r="B382" s="5"/>
      <c r="C382" s="6"/>
      <c r="D382" s="6"/>
      <c r="E382" s="7"/>
      <c r="F382" s="6"/>
      <c r="G382" s="3">
        <f t="shared" si="10"/>
        <v>0</v>
      </c>
      <c r="H382" s="3">
        <f t="shared" si="11"/>
        <v>0</v>
      </c>
      <c r="I382" s="4" t="str">
        <f>IF(AND(B382="",C382="",D382="",E382="",F382=""),"",IF(OR(B382="",C382="",E382=""),"БЛОК: нужны дата, тип операции и сумма",IF(N(E382)&lt;=0,"БЛОК: сумма должна быть больше нуля",IF(AND(H382&lt;&gt;0,F382=""),"БЛОК: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отделить",IF(AND(G382&lt;&gt;0,F382=""),"БЛОК: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нельзя",IF(AND(F382&lt;&gt;"",COUNTIF('Долг по актам'!$B$5:$B$34,F382)=0),"БЛОК: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договору")&gt;0)*($C$5:$C$504&lt;&gt;C382)*($E$5:$E$504=E382)*(($D$5:$D$504=D382)*(D382&lt;&gt;"")+($B$5:$B$504=B382)*(B382&lt;&gt;"")&gt;0))&gt;0,"БЛОК: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82" s="3" t="str">
        <f>IF(AND(B382="",C382="",E382=""),"",SUM($G$5:G382))</f>
        <v/>
      </c>
    </row>
    <row r="383" spans="1:10" x14ac:dyDescent="0.3">
      <c r="A383" s="4">
        <v>379</v>
      </c>
      <c r="B383" s="5"/>
      <c r="C383" s="6"/>
      <c r="D383" s="6"/>
      <c r="E383" s="7"/>
      <c r="F383" s="6"/>
      <c r="G383" s="3">
        <f t="shared" si="10"/>
        <v>0</v>
      </c>
      <c r="H383" s="3">
        <f t="shared" si="11"/>
        <v>0</v>
      </c>
      <c r="I383" s="4" t="str">
        <f>IF(AND(B383="",C383="",D383="",E383="",F383=""),"",IF(OR(B383="",C383="",E383=""),"БЛОК: нужны дата, тип операции и сумма",IF(N(E383)&lt;=0,"БЛОК: сумма должна быть больше нуля",IF(AND(H383&lt;&gt;0,F383=""),"БЛОК: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отделить",IF(AND(G383&lt;&gt;0,F383=""),"БЛОК: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нельзя",IF(AND(F383&lt;&gt;"",COUNTIF('Долг по актам'!$B$5:$B$34,F383)=0),"БЛОК: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договору")&gt;0)*($C$5:$C$504&lt;&gt;C383)*($E$5:$E$504=E383)*(($D$5:$D$504=D383)*(D383&lt;&gt;"")+($B$5:$B$504=B383)*(B383&lt;&gt;"")&gt;0))&gt;0,"БЛОК: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83" s="3" t="str">
        <f>IF(AND(B383="",C383="",E383=""),"",SUM($G$5:G383))</f>
        <v/>
      </c>
    </row>
    <row r="384" spans="1:10" x14ac:dyDescent="0.3">
      <c r="A384" s="4">
        <v>380</v>
      </c>
      <c r="B384" s="5"/>
      <c r="C384" s="6"/>
      <c r="D384" s="6"/>
      <c r="E384" s="7"/>
      <c r="F384" s="6"/>
      <c r="G384" s="3">
        <f t="shared" si="10"/>
        <v>0</v>
      </c>
      <c r="H384" s="3">
        <f t="shared" si="11"/>
        <v>0</v>
      </c>
      <c r="I384" s="4" t="str">
        <f>IF(AND(B384="",C384="",D384="",E384="",F384=""),"",IF(OR(B384="",C384="",E384=""),"БЛОК: нужны дата, тип операции и сумма",IF(N(E384)&lt;=0,"БЛОК: сумма должна быть больше нуля",IF(AND(H384&lt;&gt;0,F384=""),"БЛОК: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отделить",IF(AND(G384&lt;&gt;0,F384=""),"БЛОК: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нельзя",IF(AND(F384&lt;&gt;"",COUNTIF('Долг по актам'!$B$5:$B$34,F384)=0),"БЛОК: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договору")&gt;0)*($C$5:$C$504&lt;&gt;C384)*($E$5:$E$504=E384)*(($D$5:$D$504=D384)*(D384&lt;&gt;"")+($B$5:$B$504=B384)*(B384&lt;&gt;"")&gt;0))&gt;0,"БЛОК: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84" s="3" t="str">
        <f>IF(AND(B384="",C384="",E384=""),"",SUM($G$5:G384))</f>
        <v/>
      </c>
    </row>
    <row r="385" spans="1:10" x14ac:dyDescent="0.3">
      <c r="A385" s="4">
        <v>381</v>
      </c>
      <c r="B385" s="5"/>
      <c r="C385" s="6"/>
      <c r="D385" s="6"/>
      <c r="E385" s="7"/>
      <c r="F385" s="6"/>
      <c r="G385" s="3">
        <f t="shared" si="10"/>
        <v>0</v>
      </c>
      <c r="H385" s="3">
        <f t="shared" si="11"/>
        <v>0</v>
      </c>
      <c r="I385" s="4" t="str">
        <f>IF(AND(B385="",C385="",D385="",E385="",F385=""),"",IF(OR(B385="",C385="",E385=""),"БЛОК: нужны дата, тип операции и сумма",IF(N(E385)&lt;=0,"БЛОК: сумма должна быть больше нуля",IF(AND(H385&lt;&gt;0,F385=""),"БЛОК: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отделить",IF(AND(G385&lt;&gt;0,F385=""),"БЛОК: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нельзя",IF(AND(F385&lt;&gt;"",COUNTIF('Долг по актам'!$B$5:$B$34,F385)=0),"БЛОК: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договору")&gt;0)*($C$5:$C$504&lt;&gt;C385)*($E$5:$E$504=E385)*(($D$5:$D$504=D385)*(D385&lt;&gt;"")+($B$5:$B$504=B385)*(B385&lt;&gt;"")&gt;0))&gt;0,"БЛОК: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85" s="3" t="str">
        <f>IF(AND(B385="",C385="",E385=""),"",SUM($G$5:G385))</f>
        <v/>
      </c>
    </row>
    <row r="386" spans="1:10" x14ac:dyDescent="0.3">
      <c r="A386" s="4">
        <v>382</v>
      </c>
      <c r="B386" s="5"/>
      <c r="C386" s="6"/>
      <c r="D386" s="6"/>
      <c r="E386" s="7"/>
      <c r="F386" s="6"/>
      <c r="G386" s="3">
        <f t="shared" si="10"/>
        <v>0</v>
      </c>
      <c r="H386" s="3">
        <f t="shared" si="11"/>
        <v>0</v>
      </c>
      <c r="I386" s="4" t="str">
        <f>IF(AND(B386="",C386="",D386="",E386="",F386=""),"",IF(OR(B386="",C386="",E386=""),"БЛОК: нужны дата, тип операции и сумма",IF(N(E386)&lt;=0,"БЛОК: сумма должна быть больше нуля",IF(AND(H386&lt;&gt;0,F386=""),"БЛОК: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отделить",IF(AND(G386&lt;&gt;0,F386=""),"БЛОК: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нельзя",IF(AND(F386&lt;&gt;"",COUNTIF('Долг по актам'!$B$5:$B$34,F386)=0),"БЛОК: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договору")&gt;0)*($C$5:$C$504&lt;&gt;C386)*($E$5:$E$504=E386)*(($D$5:$D$504=D386)*(D386&lt;&gt;"")+($B$5:$B$504=B386)*(B386&lt;&gt;"")&gt;0))&gt;0,"БЛОК: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86" s="3" t="str">
        <f>IF(AND(B386="",C386="",E386=""),"",SUM($G$5:G386))</f>
        <v/>
      </c>
    </row>
    <row r="387" spans="1:10" x14ac:dyDescent="0.3">
      <c r="A387" s="4">
        <v>383</v>
      </c>
      <c r="B387" s="5"/>
      <c r="C387" s="6"/>
      <c r="D387" s="6"/>
      <c r="E387" s="7"/>
      <c r="F387" s="6"/>
      <c r="G387" s="3">
        <f t="shared" si="10"/>
        <v>0</v>
      </c>
      <c r="H387" s="3">
        <f t="shared" si="11"/>
        <v>0</v>
      </c>
      <c r="I387" s="4" t="str">
        <f>IF(AND(B387="",C387="",D387="",E387="",F387=""),"",IF(OR(B387="",C387="",E387=""),"БЛОК: нужны дата, тип операции и сумма",IF(N(E387)&lt;=0,"БЛОК: сумма должна быть больше нуля",IF(AND(H387&lt;&gt;0,F387=""),"БЛОК: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отделить",IF(AND(G387&lt;&gt;0,F387=""),"БЛОК: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нельзя",IF(AND(F387&lt;&gt;"",COUNTIF('Долг по актам'!$B$5:$B$34,F387)=0),"БЛОК: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договору")&gt;0)*($C$5:$C$504&lt;&gt;C387)*($E$5:$E$504=E387)*(($D$5:$D$504=D387)*(D387&lt;&gt;"")+($B$5:$B$504=B387)*(B387&lt;&gt;"")&gt;0))&gt;0,"БЛОК: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87" s="3" t="str">
        <f>IF(AND(B387="",C387="",E387=""),"",SUM($G$5:G387))</f>
        <v/>
      </c>
    </row>
    <row r="388" spans="1:10" x14ac:dyDescent="0.3">
      <c r="A388" s="4">
        <v>384</v>
      </c>
      <c r="B388" s="5"/>
      <c r="C388" s="6"/>
      <c r="D388" s="6"/>
      <c r="E388" s="7"/>
      <c r="F388" s="6"/>
      <c r="G388" s="3">
        <f t="shared" si="10"/>
        <v>0</v>
      </c>
      <c r="H388" s="3">
        <f t="shared" si="11"/>
        <v>0</v>
      </c>
      <c r="I388" s="4" t="str">
        <f>IF(AND(B388="",C388="",D388="",E388="",F388=""),"",IF(OR(B388="",C388="",E388=""),"БЛОК: нужны дата, тип операции и сумма",IF(N(E388)&lt;=0,"БЛОК: сумма должна быть больше нуля",IF(AND(H388&lt;&gt;0,F388=""),"БЛОК: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отделить",IF(AND(G388&lt;&gt;0,F388=""),"БЛОК: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нельзя",IF(AND(F388&lt;&gt;"",COUNTIF('Долг по актам'!$B$5:$B$34,F388)=0),"БЛОК: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договору")&gt;0)*($C$5:$C$504&lt;&gt;C388)*($E$5:$E$504=E388)*(($D$5:$D$504=D388)*(D388&lt;&gt;"")+($B$5:$B$504=B388)*(B388&lt;&gt;"")&gt;0))&gt;0,"БЛОК: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88" s="3" t="str">
        <f>IF(AND(B388="",C388="",E388=""),"",SUM($G$5:G388))</f>
        <v/>
      </c>
    </row>
    <row r="389" spans="1:10" x14ac:dyDescent="0.3">
      <c r="A389" s="4">
        <v>385</v>
      </c>
      <c r="B389" s="5"/>
      <c r="C389" s="6"/>
      <c r="D389" s="6"/>
      <c r="E389" s="7"/>
      <c r="F389" s="6"/>
      <c r="G389" s="3">
        <f t="shared" ref="G389:G452" si="12">IF(OR(C389="",E389=""),0,IF(C389="Начисление по акту",E389,IF(OR(C389="Оплата",C389="Зачёт аванса по договору"),-E389,IF(C389="Корректировка (подписана обеими сторонами)",E389,0))))</f>
        <v>0</v>
      </c>
      <c r="H389" s="3">
        <f t="shared" ref="H389:H452" si="13">IF(OR(C389="Удержание",C389="Зачёт встречного требования",C389="Неустойка заявлена",C389="Допработы без соглашения (спорно)"),N(E389),0)</f>
        <v>0</v>
      </c>
      <c r="I389" s="4" t="str">
        <f>IF(AND(B389="",C389="",D389="",E389="",F389=""),"",IF(OR(B389="",C389="",E389=""),"БЛОК: нужны дата, тип операции и сумма",IF(N(E389)&lt;=0,"БЛОК: сумма должна быть больше нуля",IF(AND(H389&lt;&gt;0,F389=""),"БЛОК: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отделить",IF(AND(G389&lt;&gt;0,F389=""),"БЛОК: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нельзя",IF(AND(F389&lt;&gt;"",COUNTIF('Долг по актам'!$B$5:$B$34,F389)=0),"БЛОК: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договору")&gt;0)*($C$5:$C$504&lt;&gt;C389)*($E$5:$E$504=E389)*(($D$5:$D$504=D389)*(D389&lt;&gt;"")+($B$5:$B$504=B389)*(B389&lt;&gt;"")&gt;0))&gt;0,"БЛОК: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89" s="3" t="str">
        <f>IF(AND(B389="",C389="",E389=""),"",SUM($G$5:G389))</f>
        <v/>
      </c>
    </row>
    <row r="390" spans="1:10" x14ac:dyDescent="0.3">
      <c r="A390" s="4">
        <v>386</v>
      </c>
      <c r="B390" s="5"/>
      <c r="C390" s="6"/>
      <c r="D390" s="6"/>
      <c r="E390" s="7"/>
      <c r="F390" s="6"/>
      <c r="G390" s="3">
        <f t="shared" si="12"/>
        <v>0</v>
      </c>
      <c r="H390" s="3">
        <f t="shared" si="13"/>
        <v>0</v>
      </c>
      <c r="I390" s="4" t="str">
        <f>IF(AND(B390="",C390="",D390="",E390="",F390=""),"",IF(OR(B390="",C390="",E390=""),"БЛОК: нужны дата, тип операции и сумма",IF(N(E390)&lt;=0,"БЛОК: сумма должна быть больше нуля",IF(AND(H390&lt;&gt;0,F390=""),"БЛОК: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отделить",IF(AND(G390&lt;&gt;0,F390=""),"БЛОК: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нельзя",IF(AND(F390&lt;&gt;"",COUNTIF('Долг по актам'!$B$5:$B$34,F390)=0),"БЛОК: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договору")&gt;0)*($C$5:$C$504&lt;&gt;C390)*($E$5:$E$504=E390)*(($D$5:$D$504=D390)*(D390&lt;&gt;"")+($B$5:$B$504=B390)*(B390&lt;&gt;"")&gt;0))&gt;0,"БЛОК: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90" s="3" t="str">
        <f>IF(AND(B390="",C390="",E390=""),"",SUM($G$5:G390))</f>
        <v/>
      </c>
    </row>
    <row r="391" spans="1:10" x14ac:dyDescent="0.3">
      <c r="A391" s="4">
        <v>387</v>
      </c>
      <c r="B391" s="5"/>
      <c r="C391" s="6"/>
      <c r="D391" s="6"/>
      <c r="E391" s="7"/>
      <c r="F391" s="6"/>
      <c r="G391" s="3">
        <f t="shared" si="12"/>
        <v>0</v>
      </c>
      <c r="H391" s="3">
        <f t="shared" si="13"/>
        <v>0</v>
      </c>
      <c r="I391" s="4" t="str">
        <f>IF(AND(B391="",C391="",D391="",E391="",F391=""),"",IF(OR(B391="",C391="",E391=""),"БЛОК: нужны дата, тип операции и сумма",IF(N(E391)&lt;=0,"БЛОК: сумма должна быть больше нуля",IF(AND(H391&lt;&gt;0,F391=""),"БЛОК: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отделить",IF(AND(G391&lt;&gt;0,F391=""),"БЛОК: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нельзя",IF(AND(F391&lt;&gt;"",COUNTIF('Долг по актам'!$B$5:$B$34,F391)=0),"БЛОК: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договору")&gt;0)*($C$5:$C$504&lt;&gt;C391)*($E$5:$E$504=E391)*(($D$5:$D$504=D391)*(D391&lt;&gt;"")+($B$5:$B$504=B391)*(B391&lt;&gt;"")&gt;0))&gt;0,"БЛОК: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91" s="3" t="str">
        <f>IF(AND(B391="",C391="",E391=""),"",SUM($G$5:G391))</f>
        <v/>
      </c>
    </row>
    <row r="392" spans="1:10" x14ac:dyDescent="0.3">
      <c r="A392" s="4">
        <v>388</v>
      </c>
      <c r="B392" s="5"/>
      <c r="C392" s="6"/>
      <c r="D392" s="6"/>
      <c r="E392" s="7"/>
      <c r="F392" s="6"/>
      <c r="G392" s="3">
        <f t="shared" si="12"/>
        <v>0</v>
      </c>
      <c r="H392" s="3">
        <f t="shared" si="13"/>
        <v>0</v>
      </c>
      <c r="I392" s="4" t="str">
        <f>IF(AND(B392="",C392="",D392="",E392="",F392=""),"",IF(OR(B392="",C392="",E392=""),"БЛОК: нужны дата, тип операции и сумма",IF(N(E392)&lt;=0,"БЛОК: сумма должна быть больше нуля",IF(AND(H392&lt;&gt;0,F392=""),"БЛОК: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отделить",IF(AND(G392&lt;&gt;0,F392=""),"БЛОК: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нельзя",IF(AND(F392&lt;&gt;"",COUNTIF('Долг по актам'!$B$5:$B$34,F392)=0),"БЛОК: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договору")&gt;0)*($C$5:$C$504&lt;&gt;C392)*($E$5:$E$504=E392)*(($D$5:$D$504=D392)*(D392&lt;&gt;"")+($B$5:$B$504=B392)*(B392&lt;&gt;"")&gt;0))&gt;0,"БЛОК: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92" s="3" t="str">
        <f>IF(AND(B392="",C392="",E392=""),"",SUM($G$5:G392))</f>
        <v/>
      </c>
    </row>
    <row r="393" spans="1:10" x14ac:dyDescent="0.3">
      <c r="A393" s="4">
        <v>389</v>
      </c>
      <c r="B393" s="5"/>
      <c r="C393" s="6"/>
      <c r="D393" s="6"/>
      <c r="E393" s="7"/>
      <c r="F393" s="6"/>
      <c r="G393" s="3">
        <f t="shared" si="12"/>
        <v>0</v>
      </c>
      <c r="H393" s="3">
        <f t="shared" si="13"/>
        <v>0</v>
      </c>
      <c r="I393" s="4" t="str">
        <f>IF(AND(B393="",C393="",D393="",E393="",F393=""),"",IF(OR(B393="",C393="",E393=""),"БЛОК: нужны дата, тип операции и сумма",IF(N(E393)&lt;=0,"БЛОК: сумма должна быть больше нуля",IF(AND(H393&lt;&gt;0,F393=""),"БЛОК: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отделить",IF(AND(G393&lt;&gt;0,F393=""),"БЛОК: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нельзя",IF(AND(F393&lt;&gt;"",COUNTIF('Долг по актам'!$B$5:$B$34,F393)=0),"БЛОК: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договору")&gt;0)*($C$5:$C$504&lt;&gt;C393)*($E$5:$E$504=E393)*(($D$5:$D$504=D393)*(D393&lt;&gt;"")+($B$5:$B$504=B393)*(B393&lt;&gt;"")&gt;0))&gt;0,"БЛОК: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93" s="3" t="str">
        <f>IF(AND(B393="",C393="",E393=""),"",SUM($G$5:G393))</f>
        <v/>
      </c>
    </row>
    <row r="394" spans="1:10" x14ac:dyDescent="0.3">
      <c r="A394" s="4">
        <v>390</v>
      </c>
      <c r="B394" s="5"/>
      <c r="C394" s="6"/>
      <c r="D394" s="6"/>
      <c r="E394" s="7"/>
      <c r="F394" s="6"/>
      <c r="G394" s="3">
        <f t="shared" si="12"/>
        <v>0</v>
      </c>
      <c r="H394" s="3">
        <f t="shared" si="13"/>
        <v>0</v>
      </c>
      <c r="I394" s="4" t="str">
        <f>IF(AND(B394="",C394="",D394="",E394="",F394=""),"",IF(OR(B394="",C394="",E394=""),"БЛОК: нужны дата, тип операции и сумма",IF(N(E394)&lt;=0,"БЛОК: сумма должна быть больше нуля",IF(AND(H394&lt;&gt;0,F394=""),"БЛОК: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отделить",IF(AND(G394&lt;&gt;0,F394=""),"БЛОК: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нельзя",IF(AND(F394&lt;&gt;"",COUNTIF('Долг по актам'!$B$5:$B$34,F394)=0),"БЛОК: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договору")&gt;0)*($C$5:$C$504&lt;&gt;C394)*($E$5:$E$504=E394)*(($D$5:$D$504=D394)*(D394&lt;&gt;"")+($B$5:$B$504=B394)*(B394&lt;&gt;"")&gt;0))&gt;0,"БЛОК: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94" s="3" t="str">
        <f>IF(AND(B394="",C394="",E394=""),"",SUM($G$5:G394))</f>
        <v/>
      </c>
    </row>
    <row r="395" spans="1:10" x14ac:dyDescent="0.3">
      <c r="A395" s="4">
        <v>391</v>
      </c>
      <c r="B395" s="5"/>
      <c r="C395" s="6"/>
      <c r="D395" s="6"/>
      <c r="E395" s="7"/>
      <c r="F395" s="6"/>
      <c r="G395" s="3">
        <f t="shared" si="12"/>
        <v>0</v>
      </c>
      <c r="H395" s="3">
        <f t="shared" si="13"/>
        <v>0</v>
      </c>
      <c r="I395" s="4" t="str">
        <f>IF(AND(B395="",C395="",D395="",E395="",F395=""),"",IF(OR(B395="",C395="",E395=""),"БЛОК: нужны дата, тип операции и сумма",IF(N(E395)&lt;=0,"БЛОК: сумма должна быть больше нуля",IF(AND(H395&lt;&gt;0,F395=""),"БЛОК: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отделить",IF(AND(G395&lt;&gt;0,F395=""),"БЛОК: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нельзя",IF(AND(F395&lt;&gt;"",COUNTIF('Долг по актам'!$B$5:$B$34,F395)=0),"БЛОК: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договору")&gt;0)*($C$5:$C$504&lt;&gt;C395)*($E$5:$E$504=E395)*(($D$5:$D$504=D395)*(D395&lt;&gt;"")+($B$5:$B$504=B395)*(B395&lt;&gt;"")&gt;0))&gt;0,"БЛОК: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95" s="3" t="str">
        <f>IF(AND(B395="",C395="",E395=""),"",SUM($G$5:G395))</f>
        <v/>
      </c>
    </row>
    <row r="396" spans="1:10" x14ac:dyDescent="0.3">
      <c r="A396" s="4">
        <v>392</v>
      </c>
      <c r="B396" s="5"/>
      <c r="C396" s="6"/>
      <c r="D396" s="6"/>
      <c r="E396" s="7"/>
      <c r="F396" s="6"/>
      <c r="G396" s="3">
        <f t="shared" si="12"/>
        <v>0</v>
      </c>
      <c r="H396" s="3">
        <f t="shared" si="13"/>
        <v>0</v>
      </c>
      <c r="I396" s="4" t="str">
        <f>IF(AND(B396="",C396="",D396="",E396="",F396=""),"",IF(OR(B396="",C396="",E396=""),"БЛОК: нужны дата, тип операции и сумма",IF(N(E396)&lt;=0,"БЛОК: сумма должна быть больше нуля",IF(AND(H396&lt;&gt;0,F396=""),"БЛОК: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отделить",IF(AND(G396&lt;&gt;0,F396=""),"БЛОК: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нельзя",IF(AND(F396&lt;&gt;"",COUNTIF('Долг по актам'!$B$5:$B$34,F396)=0),"БЛОК: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договору")&gt;0)*($C$5:$C$504&lt;&gt;C396)*($E$5:$E$504=E396)*(($D$5:$D$504=D396)*(D396&lt;&gt;"")+($B$5:$B$504=B396)*(B396&lt;&gt;"")&gt;0))&gt;0,"БЛОК: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96" s="3" t="str">
        <f>IF(AND(B396="",C396="",E396=""),"",SUM($G$5:G396))</f>
        <v/>
      </c>
    </row>
    <row r="397" spans="1:10" x14ac:dyDescent="0.3">
      <c r="A397" s="4">
        <v>393</v>
      </c>
      <c r="B397" s="5"/>
      <c r="C397" s="6"/>
      <c r="D397" s="6"/>
      <c r="E397" s="7"/>
      <c r="F397" s="6"/>
      <c r="G397" s="3">
        <f t="shared" si="12"/>
        <v>0</v>
      </c>
      <c r="H397" s="3">
        <f t="shared" si="13"/>
        <v>0</v>
      </c>
      <c r="I397" s="4" t="str">
        <f>IF(AND(B397="",C397="",D397="",E397="",F397=""),"",IF(OR(B397="",C397="",E397=""),"БЛОК: нужны дата, тип операции и сумма",IF(N(E397)&lt;=0,"БЛОК: сумма должна быть больше нуля",IF(AND(H397&lt;&gt;0,F397=""),"БЛОК: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отделить",IF(AND(G397&lt;&gt;0,F397=""),"БЛОК: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нельзя",IF(AND(F397&lt;&gt;"",COUNTIF('Долг по актам'!$B$5:$B$34,F397)=0),"БЛОК: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договору")&gt;0)*($C$5:$C$504&lt;&gt;C397)*($E$5:$E$504=E397)*(($D$5:$D$504=D397)*(D397&lt;&gt;"")+($B$5:$B$504=B397)*(B397&lt;&gt;"")&gt;0))&gt;0,"БЛОК: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97" s="3" t="str">
        <f>IF(AND(B397="",C397="",E397=""),"",SUM($G$5:G397))</f>
        <v/>
      </c>
    </row>
    <row r="398" spans="1:10" x14ac:dyDescent="0.3">
      <c r="A398" s="4">
        <v>394</v>
      </c>
      <c r="B398" s="5"/>
      <c r="C398" s="6"/>
      <c r="D398" s="6"/>
      <c r="E398" s="7"/>
      <c r="F398" s="6"/>
      <c r="G398" s="3">
        <f t="shared" si="12"/>
        <v>0</v>
      </c>
      <c r="H398" s="3">
        <f t="shared" si="13"/>
        <v>0</v>
      </c>
      <c r="I398" s="4" t="str">
        <f>IF(AND(B398="",C398="",D398="",E398="",F398=""),"",IF(OR(B398="",C398="",E398=""),"БЛОК: нужны дата, тип операции и сумма",IF(N(E398)&lt;=0,"БЛОК: сумма должна быть больше нуля",IF(AND(H398&lt;&gt;0,F398=""),"БЛОК: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отделить",IF(AND(G398&lt;&gt;0,F398=""),"БЛОК: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нельзя",IF(AND(F398&lt;&gt;"",COUNTIF('Долг по актам'!$B$5:$B$34,F398)=0),"БЛОК: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договору")&gt;0)*($C$5:$C$504&lt;&gt;C398)*($E$5:$E$504=E398)*(($D$5:$D$504=D398)*(D398&lt;&gt;"")+($B$5:$B$504=B398)*(B398&lt;&gt;"")&gt;0))&gt;0,"БЛОК: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98" s="3" t="str">
        <f>IF(AND(B398="",C398="",E398=""),"",SUM($G$5:G398))</f>
        <v/>
      </c>
    </row>
    <row r="399" spans="1:10" x14ac:dyDescent="0.3">
      <c r="A399" s="4">
        <v>395</v>
      </c>
      <c r="B399" s="5"/>
      <c r="C399" s="6"/>
      <c r="D399" s="6"/>
      <c r="E399" s="7"/>
      <c r="F399" s="6"/>
      <c r="G399" s="3">
        <f t="shared" si="12"/>
        <v>0</v>
      </c>
      <c r="H399" s="3">
        <f t="shared" si="13"/>
        <v>0</v>
      </c>
      <c r="I399" s="4" t="str">
        <f>IF(AND(B399="",C399="",D399="",E399="",F399=""),"",IF(OR(B399="",C399="",E399=""),"БЛОК: нужны дата, тип операции и сумма",IF(N(E399)&lt;=0,"БЛОК: сумма должна быть больше нуля",IF(AND(H399&lt;&gt;0,F399=""),"БЛОК: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отделить",IF(AND(G399&lt;&gt;0,F399=""),"БЛОК: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нельзя",IF(AND(F399&lt;&gt;"",COUNTIF('Долг по актам'!$B$5:$B$34,F399)=0),"БЛОК: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договору")&gt;0)*($C$5:$C$504&lt;&gt;C399)*($E$5:$E$504=E399)*(($D$5:$D$504=D399)*(D399&lt;&gt;"")+($B$5:$B$504=B399)*(B399&lt;&gt;"")&gt;0))&gt;0,"БЛОК: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399" s="3" t="str">
        <f>IF(AND(B399="",C399="",E399=""),"",SUM($G$5:G399))</f>
        <v/>
      </c>
    </row>
    <row r="400" spans="1:10" x14ac:dyDescent="0.3">
      <c r="A400" s="4">
        <v>396</v>
      </c>
      <c r="B400" s="5"/>
      <c r="C400" s="6"/>
      <c r="D400" s="6"/>
      <c r="E400" s="7"/>
      <c r="F400" s="6"/>
      <c r="G400" s="3">
        <f t="shared" si="12"/>
        <v>0</v>
      </c>
      <c r="H400" s="3">
        <f t="shared" si="13"/>
        <v>0</v>
      </c>
      <c r="I400" s="4" t="str">
        <f>IF(AND(B400="",C400="",D400="",E400="",F400=""),"",IF(OR(B400="",C400="",E400=""),"БЛОК: нужны дата, тип операции и сумма",IF(N(E400)&lt;=0,"БЛОК: сумма должна быть больше нуля",IF(AND(H400&lt;&gt;0,F400=""),"БЛОК: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отделить",IF(AND(G400&lt;&gt;0,F400=""),"БЛОК: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нельзя",IF(AND(F400&lt;&gt;"",COUNTIF('Долг по актам'!$B$5:$B$34,F400)=0),"БЛОК: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договору")&gt;0)*($C$5:$C$504&lt;&gt;C400)*($E$5:$E$504=E400)*(($D$5:$D$504=D400)*(D400&lt;&gt;"")+($B$5:$B$504=B400)*(B400&lt;&gt;"")&gt;0))&gt;0,"БЛОК: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00" s="3" t="str">
        <f>IF(AND(B400="",C400="",E400=""),"",SUM($G$5:G400))</f>
        <v/>
      </c>
    </row>
    <row r="401" spans="1:10" x14ac:dyDescent="0.3">
      <c r="A401" s="4">
        <v>397</v>
      </c>
      <c r="B401" s="5"/>
      <c r="C401" s="6"/>
      <c r="D401" s="6"/>
      <c r="E401" s="7"/>
      <c r="F401" s="6"/>
      <c r="G401" s="3">
        <f t="shared" si="12"/>
        <v>0</v>
      </c>
      <c r="H401" s="3">
        <f t="shared" si="13"/>
        <v>0</v>
      </c>
      <c r="I401" s="4" t="str">
        <f>IF(AND(B401="",C401="",D401="",E401="",F401=""),"",IF(OR(B401="",C401="",E401=""),"БЛОК: нужны дата, тип операции и сумма",IF(N(E401)&lt;=0,"БЛОК: сумма должна быть больше нуля",IF(AND(H401&lt;&gt;0,F401=""),"БЛОК: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отделить",IF(AND(G401&lt;&gt;0,F401=""),"БЛОК: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нельзя",IF(AND(F401&lt;&gt;"",COUNTIF('Долг по актам'!$B$5:$B$34,F401)=0),"БЛОК: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договору")&gt;0)*($C$5:$C$504&lt;&gt;C401)*($E$5:$E$504=E401)*(($D$5:$D$504=D401)*(D401&lt;&gt;"")+($B$5:$B$504=B401)*(B401&lt;&gt;"")&gt;0))&gt;0,"БЛОК: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01" s="3" t="str">
        <f>IF(AND(B401="",C401="",E401=""),"",SUM($G$5:G401))</f>
        <v/>
      </c>
    </row>
    <row r="402" spans="1:10" x14ac:dyDescent="0.3">
      <c r="A402" s="4">
        <v>398</v>
      </c>
      <c r="B402" s="5"/>
      <c r="C402" s="6"/>
      <c r="D402" s="6"/>
      <c r="E402" s="7"/>
      <c r="F402" s="6"/>
      <c r="G402" s="3">
        <f t="shared" si="12"/>
        <v>0</v>
      </c>
      <c r="H402" s="3">
        <f t="shared" si="13"/>
        <v>0</v>
      </c>
      <c r="I402" s="4" t="str">
        <f>IF(AND(B402="",C402="",D402="",E402="",F402=""),"",IF(OR(B402="",C402="",E402=""),"БЛОК: нужны дата, тип операции и сумма",IF(N(E402)&lt;=0,"БЛОК: сумма должна быть больше нуля",IF(AND(H402&lt;&gt;0,F402=""),"БЛОК: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отделить",IF(AND(G402&lt;&gt;0,F402=""),"БЛОК: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нельзя",IF(AND(F402&lt;&gt;"",COUNTIF('Долг по актам'!$B$5:$B$34,F402)=0),"БЛОК: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договору")&gt;0)*($C$5:$C$504&lt;&gt;C402)*($E$5:$E$504=E402)*(($D$5:$D$504=D402)*(D402&lt;&gt;"")+($B$5:$B$504=B402)*(B402&lt;&gt;"")&gt;0))&gt;0,"БЛОК: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02" s="3" t="str">
        <f>IF(AND(B402="",C402="",E402=""),"",SUM($G$5:G402))</f>
        <v/>
      </c>
    </row>
    <row r="403" spans="1:10" x14ac:dyDescent="0.3">
      <c r="A403" s="4">
        <v>399</v>
      </c>
      <c r="B403" s="5"/>
      <c r="C403" s="6"/>
      <c r="D403" s="6"/>
      <c r="E403" s="7"/>
      <c r="F403" s="6"/>
      <c r="G403" s="3">
        <f t="shared" si="12"/>
        <v>0</v>
      </c>
      <c r="H403" s="3">
        <f t="shared" si="13"/>
        <v>0</v>
      </c>
      <c r="I403" s="4" t="str">
        <f>IF(AND(B403="",C403="",D403="",E403="",F403=""),"",IF(OR(B403="",C403="",E403=""),"БЛОК: нужны дата, тип операции и сумма",IF(N(E403)&lt;=0,"БЛОК: сумма должна быть больше нуля",IF(AND(H403&lt;&gt;0,F403=""),"БЛОК: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отделить",IF(AND(G403&lt;&gt;0,F403=""),"БЛОК: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нельзя",IF(AND(F403&lt;&gt;"",COUNTIF('Долг по актам'!$B$5:$B$34,F403)=0),"БЛОК: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договору")&gt;0)*($C$5:$C$504&lt;&gt;C403)*($E$5:$E$504=E403)*(($D$5:$D$504=D403)*(D403&lt;&gt;"")+($B$5:$B$504=B403)*(B403&lt;&gt;"")&gt;0))&gt;0,"БЛОК: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03" s="3" t="str">
        <f>IF(AND(B403="",C403="",E403=""),"",SUM($G$5:G403))</f>
        <v/>
      </c>
    </row>
    <row r="404" spans="1:10" x14ac:dyDescent="0.3">
      <c r="A404" s="4">
        <v>400</v>
      </c>
      <c r="B404" s="5"/>
      <c r="C404" s="6"/>
      <c r="D404" s="6"/>
      <c r="E404" s="7"/>
      <c r="F404" s="6"/>
      <c r="G404" s="3">
        <f t="shared" si="12"/>
        <v>0</v>
      </c>
      <c r="H404" s="3">
        <f t="shared" si="13"/>
        <v>0</v>
      </c>
      <c r="I404" s="4" t="str">
        <f>IF(AND(B404="",C404="",D404="",E404="",F404=""),"",IF(OR(B404="",C404="",E404=""),"БЛОК: нужны дата, тип операции и сумма",IF(N(E404)&lt;=0,"БЛОК: сумма должна быть больше нуля",IF(AND(H404&lt;&gt;0,F404=""),"БЛОК: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отделить",IF(AND(G404&lt;&gt;0,F404=""),"БЛОК: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нельзя",IF(AND(F404&lt;&gt;"",COUNTIF('Долг по актам'!$B$5:$B$34,F404)=0),"БЛОК: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договору")&gt;0)*($C$5:$C$504&lt;&gt;C404)*($E$5:$E$504=E404)*(($D$5:$D$504=D404)*(D404&lt;&gt;"")+($B$5:$B$504=B404)*(B404&lt;&gt;"")&gt;0))&gt;0,"БЛОК: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04" s="3" t="str">
        <f>IF(AND(B404="",C404="",E404=""),"",SUM($G$5:G404))</f>
        <v/>
      </c>
    </row>
    <row r="405" spans="1:10" x14ac:dyDescent="0.3">
      <c r="A405" s="4">
        <v>401</v>
      </c>
      <c r="B405" s="5"/>
      <c r="C405" s="6"/>
      <c r="D405" s="6"/>
      <c r="E405" s="7"/>
      <c r="F405" s="6"/>
      <c r="G405" s="3">
        <f t="shared" si="12"/>
        <v>0</v>
      </c>
      <c r="H405" s="3">
        <f t="shared" si="13"/>
        <v>0</v>
      </c>
      <c r="I405" s="4" t="str">
        <f>IF(AND(B405="",C405="",D405="",E405="",F405=""),"",IF(OR(B405="",C405="",E405=""),"БЛОК: нужны дата, тип операции и сумма",IF(N(E405)&lt;=0,"БЛОК: сумма должна быть больше нуля",IF(AND(H405&lt;&gt;0,F405=""),"БЛОК: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отделить",IF(AND(G405&lt;&gt;0,F405=""),"БЛОК: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нельзя",IF(AND(F405&lt;&gt;"",COUNTIF('Долг по актам'!$B$5:$B$34,F405)=0),"БЛОК: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договору")&gt;0)*($C$5:$C$504&lt;&gt;C405)*($E$5:$E$504=E405)*(($D$5:$D$504=D405)*(D405&lt;&gt;"")+($B$5:$B$504=B405)*(B405&lt;&gt;"")&gt;0))&gt;0,"БЛОК: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05" s="3" t="str">
        <f>IF(AND(B405="",C405="",E405=""),"",SUM($G$5:G405))</f>
        <v/>
      </c>
    </row>
    <row r="406" spans="1:10" x14ac:dyDescent="0.3">
      <c r="A406" s="4">
        <v>402</v>
      </c>
      <c r="B406" s="5"/>
      <c r="C406" s="6"/>
      <c r="D406" s="6"/>
      <c r="E406" s="7"/>
      <c r="F406" s="6"/>
      <c r="G406" s="3">
        <f t="shared" si="12"/>
        <v>0</v>
      </c>
      <c r="H406" s="3">
        <f t="shared" si="13"/>
        <v>0</v>
      </c>
      <c r="I406" s="4" t="str">
        <f>IF(AND(B406="",C406="",D406="",E406="",F406=""),"",IF(OR(B406="",C406="",E406=""),"БЛОК: нужны дата, тип операции и сумма",IF(N(E406)&lt;=0,"БЛОК: сумма должна быть больше нуля",IF(AND(H406&lt;&gt;0,F406=""),"БЛОК: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отделить",IF(AND(G406&lt;&gt;0,F406=""),"БЛОК: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нельзя",IF(AND(F406&lt;&gt;"",COUNTIF('Долг по актам'!$B$5:$B$34,F406)=0),"БЛОК: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договору")&gt;0)*($C$5:$C$504&lt;&gt;C406)*($E$5:$E$504=E406)*(($D$5:$D$504=D406)*(D406&lt;&gt;"")+($B$5:$B$504=B406)*(B406&lt;&gt;"")&gt;0))&gt;0,"БЛОК: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06" s="3" t="str">
        <f>IF(AND(B406="",C406="",E406=""),"",SUM($G$5:G406))</f>
        <v/>
      </c>
    </row>
    <row r="407" spans="1:10" x14ac:dyDescent="0.3">
      <c r="A407" s="4">
        <v>403</v>
      </c>
      <c r="B407" s="5"/>
      <c r="C407" s="6"/>
      <c r="D407" s="6"/>
      <c r="E407" s="7"/>
      <c r="F407" s="6"/>
      <c r="G407" s="3">
        <f t="shared" si="12"/>
        <v>0</v>
      </c>
      <c r="H407" s="3">
        <f t="shared" si="13"/>
        <v>0</v>
      </c>
      <c r="I407" s="4" t="str">
        <f>IF(AND(B407="",C407="",D407="",E407="",F407=""),"",IF(OR(B407="",C407="",E407=""),"БЛОК: нужны дата, тип операции и сумма",IF(N(E407)&lt;=0,"БЛОК: сумма должна быть больше нуля",IF(AND(H407&lt;&gt;0,F407=""),"БЛОК: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отделить",IF(AND(G407&lt;&gt;0,F407=""),"БЛОК: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нельзя",IF(AND(F407&lt;&gt;"",COUNTIF('Долг по актам'!$B$5:$B$34,F407)=0),"БЛОК: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договору")&gt;0)*($C$5:$C$504&lt;&gt;C407)*($E$5:$E$504=E407)*(($D$5:$D$504=D407)*(D407&lt;&gt;"")+($B$5:$B$504=B407)*(B407&lt;&gt;"")&gt;0))&gt;0,"БЛОК: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07" s="3" t="str">
        <f>IF(AND(B407="",C407="",E407=""),"",SUM($G$5:G407))</f>
        <v/>
      </c>
    </row>
    <row r="408" spans="1:10" x14ac:dyDescent="0.3">
      <c r="A408" s="4">
        <v>404</v>
      </c>
      <c r="B408" s="5"/>
      <c r="C408" s="6"/>
      <c r="D408" s="6"/>
      <c r="E408" s="7"/>
      <c r="F408" s="6"/>
      <c r="G408" s="3">
        <f t="shared" si="12"/>
        <v>0</v>
      </c>
      <c r="H408" s="3">
        <f t="shared" si="13"/>
        <v>0</v>
      </c>
      <c r="I408" s="4" t="str">
        <f>IF(AND(B408="",C408="",D408="",E408="",F408=""),"",IF(OR(B408="",C408="",E408=""),"БЛОК: нужны дата, тип операции и сумма",IF(N(E408)&lt;=0,"БЛОК: сумма должна быть больше нуля",IF(AND(H408&lt;&gt;0,F408=""),"БЛОК: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отделить",IF(AND(G408&lt;&gt;0,F408=""),"БЛОК: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нельзя",IF(AND(F408&lt;&gt;"",COUNTIF('Долг по актам'!$B$5:$B$34,F408)=0),"БЛОК: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договору")&gt;0)*($C$5:$C$504&lt;&gt;C408)*($E$5:$E$504=E408)*(($D$5:$D$504=D408)*(D408&lt;&gt;"")+($B$5:$B$504=B408)*(B408&lt;&gt;"")&gt;0))&gt;0,"БЛОК: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08" s="3" t="str">
        <f>IF(AND(B408="",C408="",E408=""),"",SUM($G$5:G408))</f>
        <v/>
      </c>
    </row>
    <row r="409" spans="1:10" x14ac:dyDescent="0.3">
      <c r="A409" s="4">
        <v>405</v>
      </c>
      <c r="B409" s="5"/>
      <c r="C409" s="6"/>
      <c r="D409" s="6"/>
      <c r="E409" s="7"/>
      <c r="F409" s="6"/>
      <c r="G409" s="3">
        <f t="shared" si="12"/>
        <v>0</v>
      </c>
      <c r="H409" s="3">
        <f t="shared" si="13"/>
        <v>0</v>
      </c>
      <c r="I409" s="4" t="str">
        <f>IF(AND(B409="",C409="",D409="",E409="",F409=""),"",IF(OR(B409="",C409="",E409=""),"БЛОК: нужны дата, тип операции и сумма",IF(N(E409)&lt;=0,"БЛОК: сумма должна быть больше нуля",IF(AND(H409&lt;&gt;0,F409=""),"БЛОК: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отделить",IF(AND(G409&lt;&gt;0,F409=""),"БЛОК: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нельзя",IF(AND(F409&lt;&gt;"",COUNTIF('Долг по актам'!$B$5:$B$34,F409)=0),"БЛОК: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договору")&gt;0)*($C$5:$C$504&lt;&gt;C409)*($E$5:$E$504=E409)*(($D$5:$D$504=D409)*(D409&lt;&gt;"")+($B$5:$B$504=B409)*(B409&lt;&gt;"")&gt;0))&gt;0,"БЛОК: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09" s="3" t="str">
        <f>IF(AND(B409="",C409="",E409=""),"",SUM($G$5:G409))</f>
        <v/>
      </c>
    </row>
    <row r="410" spans="1:10" x14ac:dyDescent="0.3">
      <c r="A410" s="4">
        <v>406</v>
      </c>
      <c r="B410" s="5"/>
      <c r="C410" s="6"/>
      <c r="D410" s="6"/>
      <c r="E410" s="7"/>
      <c r="F410" s="6"/>
      <c r="G410" s="3">
        <f t="shared" si="12"/>
        <v>0</v>
      </c>
      <c r="H410" s="3">
        <f t="shared" si="13"/>
        <v>0</v>
      </c>
      <c r="I410" s="4" t="str">
        <f>IF(AND(B410="",C410="",D410="",E410="",F410=""),"",IF(OR(B410="",C410="",E410=""),"БЛОК: нужны дата, тип операции и сумма",IF(N(E410)&lt;=0,"БЛОК: сумма должна быть больше нуля",IF(AND(H410&lt;&gt;0,F410=""),"БЛОК: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отделить",IF(AND(G410&lt;&gt;0,F410=""),"БЛОК: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нельзя",IF(AND(F410&lt;&gt;"",COUNTIF('Долг по актам'!$B$5:$B$34,F410)=0),"БЛОК: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договору")&gt;0)*($C$5:$C$504&lt;&gt;C410)*($E$5:$E$504=E410)*(($D$5:$D$504=D410)*(D410&lt;&gt;"")+($B$5:$B$504=B410)*(B410&lt;&gt;"")&gt;0))&gt;0,"БЛОК: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10" s="3" t="str">
        <f>IF(AND(B410="",C410="",E410=""),"",SUM($G$5:G410))</f>
        <v/>
      </c>
    </row>
    <row r="411" spans="1:10" x14ac:dyDescent="0.3">
      <c r="A411" s="4">
        <v>407</v>
      </c>
      <c r="B411" s="5"/>
      <c r="C411" s="6"/>
      <c r="D411" s="6"/>
      <c r="E411" s="7"/>
      <c r="F411" s="6"/>
      <c r="G411" s="3">
        <f t="shared" si="12"/>
        <v>0</v>
      </c>
      <c r="H411" s="3">
        <f t="shared" si="13"/>
        <v>0</v>
      </c>
      <c r="I411" s="4" t="str">
        <f>IF(AND(B411="",C411="",D411="",E411="",F411=""),"",IF(OR(B411="",C411="",E411=""),"БЛОК: нужны дата, тип операции и сумма",IF(N(E411)&lt;=0,"БЛОК: сумма должна быть больше нуля",IF(AND(H411&lt;&gt;0,F411=""),"БЛОК: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отделить",IF(AND(G411&lt;&gt;0,F411=""),"БЛОК: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нельзя",IF(AND(F411&lt;&gt;"",COUNTIF('Долг по актам'!$B$5:$B$34,F411)=0),"БЛОК: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договору")&gt;0)*($C$5:$C$504&lt;&gt;C411)*($E$5:$E$504=E411)*(($D$5:$D$504=D411)*(D411&lt;&gt;"")+($B$5:$B$504=B411)*(B411&lt;&gt;"")&gt;0))&gt;0,"БЛОК: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11" s="3" t="str">
        <f>IF(AND(B411="",C411="",E411=""),"",SUM($G$5:G411))</f>
        <v/>
      </c>
    </row>
    <row r="412" spans="1:10" x14ac:dyDescent="0.3">
      <c r="A412" s="4">
        <v>408</v>
      </c>
      <c r="B412" s="5"/>
      <c r="C412" s="6"/>
      <c r="D412" s="6"/>
      <c r="E412" s="7"/>
      <c r="F412" s="6"/>
      <c r="G412" s="3">
        <f t="shared" si="12"/>
        <v>0</v>
      </c>
      <c r="H412" s="3">
        <f t="shared" si="13"/>
        <v>0</v>
      </c>
      <c r="I412" s="4" t="str">
        <f>IF(AND(B412="",C412="",D412="",E412="",F412=""),"",IF(OR(B412="",C412="",E412=""),"БЛОК: нужны дата, тип операции и сумма",IF(N(E412)&lt;=0,"БЛОК: сумма должна быть больше нуля",IF(AND(H412&lt;&gt;0,F412=""),"БЛОК: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отделить",IF(AND(G412&lt;&gt;0,F412=""),"БЛОК: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нельзя",IF(AND(F412&lt;&gt;"",COUNTIF('Долг по актам'!$B$5:$B$34,F412)=0),"БЛОК: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договору")&gt;0)*($C$5:$C$504&lt;&gt;C412)*($E$5:$E$504=E412)*(($D$5:$D$504=D412)*(D412&lt;&gt;"")+($B$5:$B$504=B412)*(B412&lt;&gt;"")&gt;0))&gt;0,"БЛОК: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12" s="3" t="str">
        <f>IF(AND(B412="",C412="",E412=""),"",SUM($G$5:G412))</f>
        <v/>
      </c>
    </row>
    <row r="413" spans="1:10" x14ac:dyDescent="0.3">
      <c r="A413" s="4">
        <v>409</v>
      </c>
      <c r="B413" s="5"/>
      <c r="C413" s="6"/>
      <c r="D413" s="6"/>
      <c r="E413" s="7"/>
      <c r="F413" s="6"/>
      <c r="G413" s="3">
        <f t="shared" si="12"/>
        <v>0</v>
      </c>
      <c r="H413" s="3">
        <f t="shared" si="13"/>
        <v>0</v>
      </c>
      <c r="I413" s="4" t="str">
        <f>IF(AND(B413="",C413="",D413="",E413="",F413=""),"",IF(OR(B413="",C413="",E413=""),"БЛОК: нужны дата, тип операции и сумма",IF(N(E413)&lt;=0,"БЛОК: сумма должна быть больше нуля",IF(AND(H413&lt;&gt;0,F413=""),"БЛОК: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отделить",IF(AND(G413&lt;&gt;0,F413=""),"БЛОК: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нельзя",IF(AND(F413&lt;&gt;"",COUNTIF('Долг по актам'!$B$5:$B$34,F413)=0),"БЛОК: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договору")&gt;0)*($C$5:$C$504&lt;&gt;C413)*($E$5:$E$504=E413)*(($D$5:$D$504=D413)*(D413&lt;&gt;"")+($B$5:$B$504=B413)*(B413&lt;&gt;"")&gt;0))&gt;0,"БЛОК: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13" s="3" t="str">
        <f>IF(AND(B413="",C413="",E413=""),"",SUM($G$5:G413))</f>
        <v/>
      </c>
    </row>
    <row r="414" spans="1:10" x14ac:dyDescent="0.3">
      <c r="A414" s="4">
        <v>410</v>
      </c>
      <c r="B414" s="5"/>
      <c r="C414" s="6"/>
      <c r="D414" s="6"/>
      <c r="E414" s="7"/>
      <c r="F414" s="6"/>
      <c r="G414" s="3">
        <f t="shared" si="12"/>
        <v>0</v>
      </c>
      <c r="H414" s="3">
        <f t="shared" si="13"/>
        <v>0</v>
      </c>
      <c r="I414" s="4" t="str">
        <f>IF(AND(B414="",C414="",D414="",E414="",F414=""),"",IF(OR(B414="",C414="",E414=""),"БЛОК: нужны дата, тип операции и сумма",IF(N(E414)&lt;=0,"БЛОК: сумма должна быть больше нуля",IF(AND(H414&lt;&gt;0,F414=""),"БЛОК: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отделить",IF(AND(G414&lt;&gt;0,F414=""),"БЛОК: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нельзя",IF(AND(F414&lt;&gt;"",COUNTIF('Долг по актам'!$B$5:$B$34,F414)=0),"БЛОК: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договору")&gt;0)*($C$5:$C$504&lt;&gt;C414)*($E$5:$E$504=E414)*(($D$5:$D$504=D414)*(D414&lt;&gt;"")+($B$5:$B$504=B414)*(B414&lt;&gt;"")&gt;0))&gt;0,"БЛОК: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14" s="3" t="str">
        <f>IF(AND(B414="",C414="",E414=""),"",SUM($G$5:G414))</f>
        <v/>
      </c>
    </row>
    <row r="415" spans="1:10" x14ac:dyDescent="0.3">
      <c r="A415" s="4">
        <v>411</v>
      </c>
      <c r="B415" s="5"/>
      <c r="C415" s="6"/>
      <c r="D415" s="6"/>
      <c r="E415" s="7"/>
      <c r="F415" s="6"/>
      <c r="G415" s="3">
        <f t="shared" si="12"/>
        <v>0</v>
      </c>
      <c r="H415" s="3">
        <f t="shared" si="13"/>
        <v>0</v>
      </c>
      <c r="I415" s="4" t="str">
        <f>IF(AND(B415="",C415="",D415="",E415="",F415=""),"",IF(OR(B415="",C415="",E415=""),"БЛОК: нужны дата, тип операции и сумма",IF(N(E415)&lt;=0,"БЛОК: сумма должна быть больше нуля",IF(AND(H415&lt;&gt;0,F415=""),"БЛОК: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отделить",IF(AND(G415&lt;&gt;0,F415=""),"БЛОК: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нельзя",IF(AND(F415&lt;&gt;"",COUNTIF('Долг по актам'!$B$5:$B$34,F415)=0),"БЛОК: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договору")&gt;0)*($C$5:$C$504&lt;&gt;C415)*($E$5:$E$504=E415)*(($D$5:$D$504=D415)*(D415&lt;&gt;"")+($B$5:$B$504=B415)*(B415&lt;&gt;"")&gt;0))&gt;0,"БЛОК: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15" s="3" t="str">
        <f>IF(AND(B415="",C415="",E415=""),"",SUM($G$5:G415))</f>
        <v/>
      </c>
    </row>
    <row r="416" spans="1:10" x14ac:dyDescent="0.3">
      <c r="A416" s="4">
        <v>412</v>
      </c>
      <c r="B416" s="5"/>
      <c r="C416" s="6"/>
      <c r="D416" s="6"/>
      <c r="E416" s="7"/>
      <c r="F416" s="6"/>
      <c r="G416" s="3">
        <f t="shared" si="12"/>
        <v>0</v>
      </c>
      <c r="H416" s="3">
        <f t="shared" si="13"/>
        <v>0</v>
      </c>
      <c r="I416" s="4" t="str">
        <f>IF(AND(B416="",C416="",D416="",E416="",F416=""),"",IF(OR(B416="",C416="",E416=""),"БЛОК: нужны дата, тип операции и сумма",IF(N(E416)&lt;=0,"БЛОК: сумма должна быть больше нуля",IF(AND(H416&lt;&gt;0,F416=""),"БЛОК: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отделить",IF(AND(G416&lt;&gt;0,F416=""),"БЛОК: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нельзя",IF(AND(F416&lt;&gt;"",COUNTIF('Долг по актам'!$B$5:$B$34,F416)=0),"БЛОК: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договору")&gt;0)*($C$5:$C$504&lt;&gt;C416)*($E$5:$E$504=E416)*(($D$5:$D$504=D416)*(D416&lt;&gt;"")+($B$5:$B$504=B416)*(B416&lt;&gt;"")&gt;0))&gt;0,"БЛОК: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16" s="3" t="str">
        <f>IF(AND(B416="",C416="",E416=""),"",SUM($G$5:G416))</f>
        <v/>
      </c>
    </row>
    <row r="417" spans="1:10" x14ac:dyDescent="0.3">
      <c r="A417" s="4">
        <v>413</v>
      </c>
      <c r="B417" s="5"/>
      <c r="C417" s="6"/>
      <c r="D417" s="6"/>
      <c r="E417" s="7"/>
      <c r="F417" s="6"/>
      <c r="G417" s="3">
        <f t="shared" si="12"/>
        <v>0</v>
      </c>
      <c r="H417" s="3">
        <f t="shared" si="13"/>
        <v>0</v>
      </c>
      <c r="I417" s="4" t="str">
        <f>IF(AND(B417="",C417="",D417="",E417="",F417=""),"",IF(OR(B417="",C417="",E417=""),"БЛОК: нужны дата, тип операции и сумма",IF(N(E417)&lt;=0,"БЛОК: сумма должна быть больше нуля",IF(AND(H417&lt;&gt;0,F417=""),"БЛОК: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отделить",IF(AND(G417&lt;&gt;0,F417=""),"БЛОК: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нельзя",IF(AND(F417&lt;&gt;"",COUNTIF('Долг по актам'!$B$5:$B$34,F417)=0),"БЛОК: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договору")&gt;0)*($C$5:$C$504&lt;&gt;C417)*($E$5:$E$504=E417)*(($D$5:$D$504=D417)*(D417&lt;&gt;"")+($B$5:$B$504=B417)*(B417&lt;&gt;"")&gt;0))&gt;0,"БЛОК: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17" s="3" t="str">
        <f>IF(AND(B417="",C417="",E417=""),"",SUM($G$5:G417))</f>
        <v/>
      </c>
    </row>
    <row r="418" spans="1:10" x14ac:dyDescent="0.3">
      <c r="A418" s="4">
        <v>414</v>
      </c>
      <c r="B418" s="5"/>
      <c r="C418" s="6"/>
      <c r="D418" s="6"/>
      <c r="E418" s="7"/>
      <c r="F418" s="6"/>
      <c r="G418" s="3">
        <f t="shared" si="12"/>
        <v>0</v>
      </c>
      <c r="H418" s="3">
        <f t="shared" si="13"/>
        <v>0</v>
      </c>
      <c r="I418" s="4" t="str">
        <f>IF(AND(B418="",C418="",D418="",E418="",F418=""),"",IF(OR(B418="",C418="",E418=""),"БЛОК: нужны дата, тип операции и сумма",IF(N(E418)&lt;=0,"БЛОК: сумма должна быть больше нуля",IF(AND(H418&lt;&gt;0,F418=""),"БЛОК: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отделить",IF(AND(G418&lt;&gt;0,F418=""),"БЛОК: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нельзя",IF(AND(F418&lt;&gt;"",COUNTIF('Долг по актам'!$B$5:$B$34,F418)=0),"БЛОК: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договору")&gt;0)*($C$5:$C$504&lt;&gt;C418)*($E$5:$E$504=E418)*(($D$5:$D$504=D418)*(D418&lt;&gt;"")+($B$5:$B$504=B418)*(B418&lt;&gt;"")&gt;0))&gt;0,"БЛОК: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18" s="3" t="str">
        <f>IF(AND(B418="",C418="",E418=""),"",SUM($G$5:G418))</f>
        <v/>
      </c>
    </row>
    <row r="419" spans="1:10" x14ac:dyDescent="0.3">
      <c r="A419" s="4">
        <v>415</v>
      </c>
      <c r="B419" s="5"/>
      <c r="C419" s="6"/>
      <c r="D419" s="6"/>
      <c r="E419" s="7"/>
      <c r="F419" s="6"/>
      <c r="G419" s="3">
        <f t="shared" si="12"/>
        <v>0</v>
      </c>
      <c r="H419" s="3">
        <f t="shared" si="13"/>
        <v>0</v>
      </c>
      <c r="I419" s="4" t="str">
        <f>IF(AND(B419="",C419="",D419="",E419="",F419=""),"",IF(OR(B419="",C419="",E419=""),"БЛОК: нужны дата, тип операции и сумма",IF(N(E419)&lt;=0,"БЛОК: сумма должна быть больше нуля",IF(AND(H419&lt;&gt;0,F419=""),"БЛОК: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отделить",IF(AND(G419&lt;&gt;0,F419=""),"БЛОК: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нельзя",IF(AND(F419&lt;&gt;"",COUNTIF('Долг по актам'!$B$5:$B$34,F419)=0),"БЛОК: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договору")&gt;0)*($C$5:$C$504&lt;&gt;C419)*($E$5:$E$504=E419)*(($D$5:$D$504=D419)*(D419&lt;&gt;"")+($B$5:$B$504=B419)*(B419&lt;&gt;"")&gt;0))&gt;0,"БЛОК: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19" s="3" t="str">
        <f>IF(AND(B419="",C419="",E419=""),"",SUM($G$5:G419))</f>
        <v/>
      </c>
    </row>
    <row r="420" spans="1:10" x14ac:dyDescent="0.3">
      <c r="A420" s="4">
        <v>416</v>
      </c>
      <c r="B420" s="5"/>
      <c r="C420" s="6"/>
      <c r="D420" s="6"/>
      <c r="E420" s="7"/>
      <c r="F420" s="6"/>
      <c r="G420" s="3">
        <f t="shared" si="12"/>
        <v>0</v>
      </c>
      <c r="H420" s="3">
        <f t="shared" si="13"/>
        <v>0</v>
      </c>
      <c r="I420" s="4" t="str">
        <f>IF(AND(B420="",C420="",D420="",E420="",F420=""),"",IF(OR(B420="",C420="",E420=""),"БЛОК: нужны дата, тип операции и сумма",IF(N(E420)&lt;=0,"БЛОК: сумма должна быть больше нуля",IF(AND(H420&lt;&gt;0,F420=""),"БЛОК: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отделить",IF(AND(G420&lt;&gt;0,F420=""),"БЛОК: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нельзя",IF(AND(F420&lt;&gt;"",COUNTIF('Долг по актам'!$B$5:$B$34,F420)=0),"БЛОК: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договору")&gt;0)*($C$5:$C$504&lt;&gt;C420)*($E$5:$E$504=E420)*(($D$5:$D$504=D420)*(D420&lt;&gt;"")+($B$5:$B$504=B420)*(B420&lt;&gt;"")&gt;0))&gt;0,"БЛОК: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20" s="3" t="str">
        <f>IF(AND(B420="",C420="",E420=""),"",SUM($G$5:G420))</f>
        <v/>
      </c>
    </row>
    <row r="421" spans="1:10" x14ac:dyDescent="0.3">
      <c r="A421" s="4">
        <v>417</v>
      </c>
      <c r="B421" s="5"/>
      <c r="C421" s="6"/>
      <c r="D421" s="6"/>
      <c r="E421" s="7"/>
      <c r="F421" s="6"/>
      <c r="G421" s="3">
        <f t="shared" si="12"/>
        <v>0</v>
      </c>
      <c r="H421" s="3">
        <f t="shared" si="13"/>
        <v>0</v>
      </c>
      <c r="I421" s="4" t="str">
        <f>IF(AND(B421="",C421="",D421="",E421="",F421=""),"",IF(OR(B421="",C421="",E421=""),"БЛОК: нужны дата, тип операции и сумма",IF(N(E421)&lt;=0,"БЛОК: сумма должна быть больше нуля",IF(AND(H421&lt;&gt;0,F421=""),"БЛОК: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отделить",IF(AND(G421&lt;&gt;0,F421=""),"БЛОК: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нельзя",IF(AND(F421&lt;&gt;"",COUNTIF('Долг по актам'!$B$5:$B$34,F421)=0),"БЛОК: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договору")&gt;0)*($C$5:$C$504&lt;&gt;C421)*($E$5:$E$504=E421)*(($D$5:$D$504=D421)*(D421&lt;&gt;"")+($B$5:$B$504=B421)*(B421&lt;&gt;"")&gt;0))&gt;0,"БЛОК: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21" s="3" t="str">
        <f>IF(AND(B421="",C421="",E421=""),"",SUM($G$5:G421))</f>
        <v/>
      </c>
    </row>
    <row r="422" spans="1:10" x14ac:dyDescent="0.3">
      <c r="A422" s="4">
        <v>418</v>
      </c>
      <c r="B422" s="5"/>
      <c r="C422" s="6"/>
      <c r="D422" s="6"/>
      <c r="E422" s="7"/>
      <c r="F422" s="6"/>
      <c r="G422" s="3">
        <f t="shared" si="12"/>
        <v>0</v>
      </c>
      <c r="H422" s="3">
        <f t="shared" si="13"/>
        <v>0</v>
      </c>
      <c r="I422" s="4" t="str">
        <f>IF(AND(B422="",C422="",D422="",E422="",F422=""),"",IF(OR(B422="",C422="",E422=""),"БЛОК: нужны дата, тип операции и сумма",IF(N(E422)&lt;=0,"БЛОК: сумма должна быть больше нуля",IF(AND(H422&lt;&gt;0,F422=""),"БЛОК: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отделить",IF(AND(G422&lt;&gt;0,F422=""),"БЛОК: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нельзя",IF(AND(F422&lt;&gt;"",COUNTIF('Долг по актам'!$B$5:$B$34,F422)=0),"БЛОК: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договору")&gt;0)*($C$5:$C$504&lt;&gt;C422)*($E$5:$E$504=E422)*(($D$5:$D$504=D422)*(D422&lt;&gt;"")+($B$5:$B$504=B422)*(B422&lt;&gt;"")&gt;0))&gt;0,"БЛОК: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22" s="3" t="str">
        <f>IF(AND(B422="",C422="",E422=""),"",SUM($G$5:G422))</f>
        <v/>
      </c>
    </row>
    <row r="423" spans="1:10" x14ac:dyDescent="0.3">
      <c r="A423" s="4">
        <v>419</v>
      </c>
      <c r="B423" s="5"/>
      <c r="C423" s="6"/>
      <c r="D423" s="6"/>
      <c r="E423" s="7"/>
      <c r="F423" s="6"/>
      <c r="G423" s="3">
        <f t="shared" si="12"/>
        <v>0</v>
      </c>
      <c r="H423" s="3">
        <f t="shared" si="13"/>
        <v>0</v>
      </c>
      <c r="I423" s="4" t="str">
        <f>IF(AND(B423="",C423="",D423="",E423="",F423=""),"",IF(OR(B423="",C423="",E423=""),"БЛОК: нужны дата, тип операции и сумма",IF(N(E423)&lt;=0,"БЛОК: сумма должна быть больше нуля",IF(AND(H423&lt;&gt;0,F423=""),"БЛОК: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отделить",IF(AND(G423&lt;&gt;0,F423=""),"БЛОК: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нельзя",IF(AND(F423&lt;&gt;"",COUNTIF('Долг по актам'!$B$5:$B$34,F423)=0),"БЛОК: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договору")&gt;0)*($C$5:$C$504&lt;&gt;C423)*($E$5:$E$504=E423)*(($D$5:$D$504=D423)*(D423&lt;&gt;"")+($B$5:$B$504=B423)*(B423&lt;&gt;"")&gt;0))&gt;0,"БЛОК: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23" s="3" t="str">
        <f>IF(AND(B423="",C423="",E423=""),"",SUM($G$5:G423))</f>
        <v/>
      </c>
    </row>
    <row r="424" spans="1:10" x14ac:dyDescent="0.3">
      <c r="A424" s="4">
        <v>420</v>
      </c>
      <c r="B424" s="5"/>
      <c r="C424" s="6"/>
      <c r="D424" s="6"/>
      <c r="E424" s="7"/>
      <c r="F424" s="6"/>
      <c r="G424" s="3">
        <f t="shared" si="12"/>
        <v>0</v>
      </c>
      <c r="H424" s="3">
        <f t="shared" si="13"/>
        <v>0</v>
      </c>
      <c r="I424" s="4" t="str">
        <f>IF(AND(B424="",C424="",D424="",E424="",F424=""),"",IF(OR(B424="",C424="",E424=""),"БЛОК: нужны дата, тип операции и сумма",IF(N(E424)&lt;=0,"БЛОК: сумма должна быть больше нуля",IF(AND(H424&lt;&gt;0,F424=""),"БЛОК: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отделить",IF(AND(G424&lt;&gt;0,F424=""),"БЛОК: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нельзя",IF(AND(F424&lt;&gt;"",COUNTIF('Долг по актам'!$B$5:$B$34,F424)=0),"БЛОК: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договору")&gt;0)*($C$5:$C$504&lt;&gt;C424)*($E$5:$E$504=E424)*(($D$5:$D$504=D424)*(D424&lt;&gt;"")+($B$5:$B$504=B424)*(B424&lt;&gt;"")&gt;0))&gt;0,"БЛОК: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24" s="3" t="str">
        <f>IF(AND(B424="",C424="",E424=""),"",SUM($G$5:G424))</f>
        <v/>
      </c>
    </row>
    <row r="425" spans="1:10" x14ac:dyDescent="0.3">
      <c r="A425" s="4">
        <v>421</v>
      </c>
      <c r="B425" s="5"/>
      <c r="C425" s="6"/>
      <c r="D425" s="6"/>
      <c r="E425" s="7"/>
      <c r="F425" s="6"/>
      <c r="G425" s="3">
        <f t="shared" si="12"/>
        <v>0</v>
      </c>
      <c r="H425" s="3">
        <f t="shared" si="13"/>
        <v>0</v>
      </c>
      <c r="I425" s="4" t="str">
        <f>IF(AND(B425="",C425="",D425="",E425="",F425=""),"",IF(OR(B425="",C425="",E425=""),"БЛОК: нужны дата, тип операции и сумма",IF(N(E425)&lt;=0,"БЛОК: сумма должна быть больше нуля",IF(AND(H425&lt;&gt;0,F425=""),"БЛОК: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отделить",IF(AND(G425&lt;&gt;0,F425=""),"БЛОК: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нельзя",IF(AND(F425&lt;&gt;"",COUNTIF('Долг по актам'!$B$5:$B$34,F425)=0),"БЛОК: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договору")&gt;0)*($C$5:$C$504&lt;&gt;C425)*($E$5:$E$504=E425)*(($D$5:$D$504=D425)*(D425&lt;&gt;"")+($B$5:$B$504=B425)*(B425&lt;&gt;"")&gt;0))&gt;0,"БЛОК: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25" s="3" t="str">
        <f>IF(AND(B425="",C425="",E425=""),"",SUM($G$5:G425))</f>
        <v/>
      </c>
    </row>
    <row r="426" spans="1:10" x14ac:dyDescent="0.3">
      <c r="A426" s="4">
        <v>422</v>
      </c>
      <c r="B426" s="5"/>
      <c r="C426" s="6"/>
      <c r="D426" s="6"/>
      <c r="E426" s="7"/>
      <c r="F426" s="6"/>
      <c r="G426" s="3">
        <f t="shared" si="12"/>
        <v>0</v>
      </c>
      <c r="H426" s="3">
        <f t="shared" si="13"/>
        <v>0</v>
      </c>
      <c r="I426" s="4" t="str">
        <f>IF(AND(B426="",C426="",D426="",E426="",F426=""),"",IF(OR(B426="",C426="",E426=""),"БЛОК: нужны дата, тип операции и сумма",IF(N(E426)&lt;=0,"БЛОК: сумма должна быть больше нуля",IF(AND(H426&lt;&gt;0,F426=""),"БЛОК: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отделить",IF(AND(G426&lt;&gt;0,F426=""),"БЛОК: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нельзя",IF(AND(F426&lt;&gt;"",COUNTIF('Долг по актам'!$B$5:$B$34,F426)=0),"БЛОК: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договору")&gt;0)*($C$5:$C$504&lt;&gt;C426)*($E$5:$E$504=E426)*(($D$5:$D$504=D426)*(D426&lt;&gt;"")+($B$5:$B$504=B426)*(B426&lt;&gt;"")&gt;0))&gt;0,"БЛОК: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26" s="3" t="str">
        <f>IF(AND(B426="",C426="",E426=""),"",SUM($G$5:G426))</f>
        <v/>
      </c>
    </row>
    <row r="427" spans="1:10" x14ac:dyDescent="0.3">
      <c r="A427" s="4">
        <v>423</v>
      </c>
      <c r="B427" s="5"/>
      <c r="C427" s="6"/>
      <c r="D427" s="6"/>
      <c r="E427" s="7"/>
      <c r="F427" s="6"/>
      <c r="G427" s="3">
        <f t="shared" si="12"/>
        <v>0</v>
      </c>
      <c r="H427" s="3">
        <f t="shared" si="13"/>
        <v>0</v>
      </c>
      <c r="I427" s="4" t="str">
        <f>IF(AND(B427="",C427="",D427="",E427="",F427=""),"",IF(OR(B427="",C427="",E427=""),"БЛОК: нужны дата, тип операции и сумма",IF(N(E427)&lt;=0,"БЛОК: сумма должна быть больше нуля",IF(AND(H427&lt;&gt;0,F427=""),"БЛОК: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отделить",IF(AND(G427&lt;&gt;0,F427=""),"БЛОК: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нельзя",IF(AND(F427&lt;&gt;"",COUNTIF('Долг по актам'!$B$5:$B$34,F427)=0),"БЛОК: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договору")&gt;0)*($C$5:$C$504&lt;&gt;C427)*($E$5:$E$504=E427)*(($D$5:$D$504=D427)*(D427&lt;&gt;"")+($B$5:$B$504=B427)*(B427&lt;&gt;"")&gt;0))&gt;0,"БЛОК: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27" s="3" t="str">
        <f>IF(AND(B427="",C427="",E427=""),"",SUM($G$5:G427))</f>
        <v/>
      </c>
    </row>
    <row r="428" spans="1:10" x14ac:dyDescent="0.3">
      <c r="A428" s="4">
        <v>424</v>
      </c>
      <c r="B428" s="5"/>
      <c r="C428" s="6"/>
      <c r="D428" s="6"/>
      <c r="E428" s="7"/>
      <c r="F428" s="6"/>
      <c r="G428" s="3">
        <f t="shared" si="12"/>
        <v>0</v>
      </c>
      <c r="H428" s="3">
        <f t="shared" si="13"/>
        <v>0</v>
      </c>
      <c r="I428" s="4" t="str">
        <f>IF(AND(B428="",C428="",D428="",E428="",F428=""),"",IF(OR(B428="",C428="",E428=""),"БЛОК: нужны дата, тип операции и сумма",IF(N(E428)&lt;=0,"БЛОК: сумма должна быть больше нуля",IF(AND(H428&lt;&gt;0,F428=""),"БЛОК: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отделить",IF(AND(G428&lt;&gt;0,F428=""),"БЛОК: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нельзя",IF(AND(F428&lt;&gt;"",COUNTIF('Долг по актам'!$B$5:$B$34,F428)=0),"БЛОК: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договору")&gt;0)*($C$5:$C$504&lt;&gt;C428)*($E$5:$E$504=E428)*(($D$5:$D$504=D428)*(D428&lt;&gt;"")+($B$5:$B$504=B428)*(B428&lt;&gt;"")&gt;0))&gt;0,"БЛОК: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28" s="3" t="str">
        <f>IF(AND(B428="",C428="",E428=""),"",SUM($G$5:G428))</f>
        <v/>
      </c>
    </row>
    <row r="429" spans="1:10" x14ac:dyDescent="0.3">
      <c r="A429" s="4">
        <v>425</v>
      </c>
      <c r="B429" s="5"/>
      <c r="C429" s="6"/>
      <c r="D429" s="6"/>
      <c r="E429" s="7"/>
      <c r="F429" s="6"/>
      <c r="G429" s="3">
        <f t="shared" si="12"/>
        <v>0</v>
      </c>
      <c r="H429" s="3">
        <f t="shared" si="13"/>
        <v>0</v>
      </c>
      <c r="I429" s="4" t="str">
        <f>IF(AND(B429="",C429="",D429="",E429="",F429=""),"",IF(OR(B429="",C429="",E429=""),"БЛОК: нужны дата, тип операции и сумма",IF(N(E429)&lt;=0,"БЛОК: сумма должна быть больше нуля",IF(AND(H429&lt;&gt;0,F429=""),"БЛОК: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отделить",IF(AND(G429&lt;&gt;0,F429=""),"БЛОК: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нельзя",IF(AND(F429&lt;&gt;"",COUNTIF('Долг по актам'!$B$5:$B$34,F429)=0),"БЛОК: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договору")&gt;0)*($C$5:$C$504&lt;&gt;C429)*($E$5:$E$504=E429)*(($D$5:$D$504=D429)*(D429&lt;&gt;"")+($B$5:$B$504=B429)*(B429&lt;&gt;"")&gt;0))&gt;0,"БЛОК: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29" s="3" t="str">
        <f>IF(AND(B429="",C429="",E429=""),"",SUM($G$5:G429))</f>
        <v/>
      </c>
    </row>
    <row r="430" spans="1:10" x14ac:dyDescent="0.3">
      <c r="A430" s="4">
        <v>426</v>
      </c>
      <c r="B430" s="5"/>
      <c r="C430" s="6"/>
      <c r="D430" s="6"/>
      <c r="E430" s="7"/>
      <c r="F430" s="6"/>
      <c r="G430" s="3">
        <f t="shared" si="12"/>
        <v>0</v>
      </c>
      <c r="H430" s="3">
        <f t="shared" si="13"/>
        <v>0</v>
      </c>
      <c r="I430" s="4" t="str">
        <f>IF(AND(B430="",C430="",D430="",E430="",F430=""),"",IF(OR(B430="",C430="",E430=""),"БЛОК: нужны дата, тип операции и сумма",IF(N(E430)&lt;=0,"БЛОК: сумма должна быть больше нуля",IF(AND(H430&lt;&gt;0,F430=""),"БЛОК: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отделить",IF(AND(G430&lt;&gt;0,F430=""),"БЛОК: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нельзя",IF(AND(F430&lt;&gt;"",COUNTIF('Долг по актам'!$B$5:$B$34,F430)=0),"БЛОК: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договору")&gt;0)*($C$5:$C$504&lt;&gt;C430)*($E$5:$E$504=E430)*(($D$5:$D$504=D430)*(D430&lt;&gt;"")+($B$5:$B$504=B430)*(B430&lt;&gt;"")&gt;0))&gt;0,"БЛОК: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30" s="3" t="str">
        <f>IF(AND(B430="",C430="",E430=""),"",SUM($G$5:G430))</f>
        <v/>
      </c>
    </row>
    <row r="431" spans="1:10" x14ac:dyDescent="0.3">
      <c r="A431" s="4">
        <v>427</v>
      </c>
      <c r="B431" s="5"/>
      <c r="C431" s="6"/>
      <c r="D431" s="6"/>
      <c r="E431" s="7"/>
      <c r="F431" s="6"/>
      <c r="G431" s="3">
        <f t="shared" si="12"/>
        <v>0</v>
      </c>
      <c r="H431" s="3">
        <f t="shared" si="13"/>
        <v>0</v>
      </c>
      <c r="I431" s="4" t="str">
        <f>IF(AND(B431="",C431="",D431="",E431="",F431=""),"",IF(OR(B431="",C431="",E431=""),"БЛОК: нужны дата, тип операции и сумма",IF(N(E431)&lt;=0,"БЛОК: сумма должна быть больше нуля",IF(AND(H431&lt;&gt;0,F431=""),"БЛОК: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отделить",IF(AND(G431&lt;&gt;0,F431=""),"БЛОК: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нельзя",IF(AND(F431&lt;&gt;"",COUNTIF('Долг по актам'!$B$5:$B$34,F431)=0),"БЛОК: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договору")&gt;0)*($C$5:$C$504&lt;&gt;C431)*($E$5:$E$504=E431)*(($D$5:$D$504=D431)*(D431&lt;&gt;"")+($B$5:$B$504=B431)*(B431&lt;&gt;"")&gt;0))&gt;0,"БЛОК: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31" s="3" t="str">
        <f>IF(AND(B431="",C431="",E431=""),"",SUM($G$5:G431))</f>
        <v/>
      </c>
    </row>
    <row r="432" spans="1:10" x14ac:dyDescent="0.3">
      <c r="A432" s="4">
        <v>428</v>
      </c>
      <c r="B432" s="5"/>
      <c r="C432" s="6"/>
      <c r="D432" s="6"/>
      <c r="E432" s="7"/>
      <c r="F432" s="6"/>
      <c r="G432" s="3">
        <f t="shared" si="12"/>
        <v>0</v>
      </c>
      <c r="H432" s="3">
        <f t="shared" si="13"/>
        <v>0</v>
      </c>
      <c r="I432" s="4" t="str">
        <f>IF(AND(B432="",C432="",D432="",E432="",F432=""),"",IF(OR(B432="",C432="",E432=""),"БЛОК: нужны дата, тип операции и сумма",IF(N(E432)&lt;=0,"БЛОК: сумма должна быть больше нуля",IF(AND(H432&lt;&gt;0,F432=""),"БЛОК: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отделить",IF(AND(G432&lt;&gt;0,F432=""),"БЛОК: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нельзя",IF(AND(F432&lt;&gt;"",COUNTIF('Долг по актам'!$B$5:$B$34,F432)=0),"БЛОК: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договору")&gt;0)*($C$5:$C$504&lt;&gt;C432)*($E$5:$E$504=E432)*(($D$5:$D$504=D432)*(D432&lt;&gt;"")+($B$5:$B$504=B432)*(B432&lt;&gt;"")&gt;0))&gt;0,"БЛОК: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32" s="3" t="str">
        <f>IF(AND(B432="",C432="",E432=""),"",SUM($G$5:G432))</f>
        <v/>
      </c>
    </row>
    <row r="433" spans="1:10" x14ac:dyDescent="0.3">
      <c r="A433" s="4">
        <v>429</v>
      </c>
      <c r="B433" s="5"/>
      <c r="C433" s="6"/>
      <c r="D433" s="6"/>
      <c r="E433" s="7"/>
      <c r="F433" s="6"/>
      <c r="G433" s="3">
        <f t="shared" si="12"/>
        <v>0</v>
      </c>
      <c r="H433" s="3">
        <f t="shared" si="13"/>
        <v>0</v>
      </c>
      <c r="I433" s="4" t="str">
        <f>IF(AND(B433="",C433="",D433="",E433="",F433=""),"",IF(OR(B433="",C433="",E433=""),"БЛОК: нужны дата, тип операции и сумма",IF(N(E433)&lt;=0,"БЛОК: сумма должна быть больше нуля",IF(AND(H433&lt;&gt;0,F433=""),"БЛОК: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отделить",IF(AND(G433&lt;&gt;0,F433=""),"БЛОК: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нельзя",IF(AND(F433&lt;&gt;"",COUNTIF('Долг по актам'!$B$5:$B$34,F433)=0),"БЛОК: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договору")&gt;0)*($C$5:$C$504&lt;&gt;C433)*($E$5:$E$504=E433)*(($D$5:$D$504=D433)*(D433&lt;&gt;"")+($B$5:$B$504=B433)*(B433&lt;&gt;"")&gt;0))&gt;0,"БЛОК: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33" s="3" t="str">
        <f>IF(AND(B433="",C433="",E433=""),"",SUM($G$5:G433))</f>
        <v/>
      </c>
    </row>
    <row r="434" spans="1:10" x14ac:dyDescent="0.3">
      <c r="A434" s="4">
        <v>430</v>
      </c>
      <c r="B434" s="5"/>
      <c r="C434" s="6"/>
      <c r="D434" s="6"/>
      <c r="E434" s="7"/>
      <c r="F434" s="6"/>
      <c r="G434" s="3">
        <f t="shared" si="12"/>
        <v>0</v>
      </c>
      <c r="H434" s="3">
        <f t="shared" si="13"/>
        <v>0</v>
      </c>
      <c r="I434" s="4" t="str">
        <f>IF(AND(B434="",C434="",D434="",E434="",F434=""),"",IF(OR(B434="",C434="",E434=""),"БЛОК: нужны дата, тип операции и сумма",IF(N(E434)&lt;=0,"БЛОК: сумма должна быть больше нуля",IF(AND(H434&lt;&gt;0,F434=""),"БЛОК: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отделить",IF(AND(G434&lt;&gt;0,F434=""),"БЛОК: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нельзя",IF(AND(F434&lt;&gt;"",COUNTIF('Долг по актам'!$B$5:$B$34,F434)=0),"БЛОК: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договору")&gt;0)*($C$5:$C$504&lt;&gt;C434)*($E$5:$E$504=E434)*(($D$5:$D$504=D434)*(D434&lt;&gt;"")+($B$5:$B$504=B434)*(B434&lt;&gt;"")&gt;0))&gt;0,"БЛОК: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34" s="3" t="str">
        <f>IF(AND(B434="",C434="",E434=""),"",SUM($G$5:G434))</f>
        <v/>
      </c>
    </row>
    <row r="435" spans="1:10" x14ac:dyDescent="0.3">
      <c r="A435" s="4">
        <v>431</v>
      </c>
      <c r="B435" s="5"/>
      <c r="C435" s="6"/>
      <c r="D435" s="6"/>
      <c r="E435" s="7"/>
      <c r="F435" s="6"/>
      <c r="G435" s="3">
        <f t="shared" si="12"/>
        <v>0</v>
      </c>
      <c r="H435" s="3">
        <f t="shared" si="13"/>
        <v>0</v>
      </c>
      <c r="I435" s="4" t="str">
        <f>IF(AND(B435="",C435="",D435="",E435="",F435=""),"",IF(OR(B435="",C435="",E435=""),"БЛОК: нужны дата, тип операции и сумма",IF(N(E435)&lt;=0,"БЛОК: сумма должна быть больше нуля",IF(AND(H435&lt;&gt;0,F435=""),"БЛОК: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отделить",IF(AND(G435&lt;&gt;0,F435=""),"БЛОК: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нельзя",IF(AND(F435&lt;&gt;"",COUNTIF('Долг по актам'!$B$5:$B$34,F435)=0),"БЛОК: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договору")&gt;0)*($C$5:$C$504&lt;&gt;C435)*($E$5:$E$504=E435)*(($D$5:$D$504=D435)*(D435&lt;&gt;"")+($B$5:$B$504=B435)*(B435&lt;&gt;"")&gt;0))&gt;0,"БЛОК: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35" s="3" t="str">
        <f>IF(AND(B435="",C435="",E435=""),"",SUM($G$5:G435))</f>
        <v/>
      </c>
    </row>
    <row r="436" spans="1:10" x14ac:dyDescent="0.3">
      <c r="A436" s="4">
        <v>432</v>
      </c>
      <c r="B436" s="5"/>
      <c r="C436" s="6"/>
      <c r="D436" s="6"/>
      <c r="E436" s="7"/>
      <c r="F436" s="6"/>
      <c r="G436" s="3">
        <f t="shared" si="12"/>
        <v>0</v>
      </c>
      <c r="H436" s="3">
        <f t="shared" si="13"/>
        <v>0</v>
      </c>
      <c r="I436" s="4" t="str">
        <f>IF(AND(B436="",C436="",D436="",E436="",F436=""),"",IF(OR(B436="",C436="",E436=""),"БЛОК: нужны дата, тип операции и сумма",IF(N(E436)&lt;=0,"БЛОК: сумма должна быть больше нуля",IF(AND(H436&lt;&gt;0,F436=""),"БЛОК: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отделить",IF(AND(G436&lt;&gt;0,F436=""),"БЛОК: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нельзя",IF(AND(F436&lt;&gt;"",COUNTIF('Долг по актам'!$B$5:$B$34,F436)=0),"БЛОК: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договору")&gt;0)*($C$5:$C$504&lt;&gt;C436)*($E$5:$E$504=E436)*(($D$5:$D$504=D436)*(D436&lt;&gt;"")+($B$5:$B$504=B436)*(B436&lt;&gt;"")&gt;0))&gt;0,"БЛОК: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36" s="3" t="str">
        <f>IF(AND(B436="",C436="",E436=""),"",SUM($G$5:G436))</f>
        <v/>
      </c>
    </row>
    <row r="437" spans="1:10" x14ac:dyDescent="0.3">
      <c r="A437" s="4">
        <v>433</v>
      </c>
      <c r="B437" s="5"/>
      <c r="C437" s="6"/>
      <c r="D437" s="6"/>
      <c r="E437" s="7"/>
      <c r="F437" s="6"/>
      <c r="G437" s="3">
        <f t="shared" si="12"/>
        <v>0</v>
      </c>
      <c r="H437" s="3">
        <f t="shared" si="13"/>
        <v>0</v>
      </c>
      <c r="I437" s="4" t="str">
        <f>IF(AND(B437="",C437="",D437="",E437="",F437=""),"",IF(OR(B437="",C437="",E437=""),"БЛОК: нужны дата, тип операции и сумма",IF(N(E437)&lt;=0,"БЛОК: сумма должна быть больше нуля",IF(AND(H437&lt;&gt;0,F437=""),"БЛОК: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отделить",IF(AND(G437&lt;&gt;0,F437=""),"БЛОК: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нельзя",IF(AND(F437&lt;&gt;"",COUNTIF('Долг по актам'!$B$5:$B$34,F437)=0),"БЛОК: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договору")&gt;0)*($C$5:$C$504&lt;&gt;C437)*($E$5:$E$504=E437)*(($D$5:$D$504=D437)*(D437&lt;&gt;"")+($B$5:$B$504=B437)*(B437&lt;&gt;"")&gt;0))&gt;0,"БЛОК: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37" s="3" t="str">
        <f>IF(AND(B437="",C437="",E437=""),"",SUM($G$5:G437))</f>
        <v/>
      </c>
    </row>
    <row r="438" spans="1:10" x14ac:dyDescent="0.3">
      <c r="A438" s="4">
        <v>434</v>
      </c>
      <c r="B438" s="5"/>
      <c r="C438" s="6"/>
      <c r="D438" s="6"/>
      <c r="E438" s="7"/>
      <c r="F438" s="6"/>
      <c r="G438" s="3">
        <f t="shared" si="12"/>
        <v>0</v>
      </c>
      <c r="H438" s="3">
        <f t="shared" si="13"/>
        <v>0</v>
      </c>
      <c r="I438" s="4" t="str">
        <f>IF(AND(B438="",C438="",D438="",E438="",F438=""),"",IF(OR(B438="",C438="",E438=""),"БЛОК: нужны дата, тип операции и сумма",IF(N(E438)&lt;=0,"БЛОК: сумма должна быть больше нуля",IF(AND(H438&lt;&gt;0,F438=""),"БЛОК: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отделить",IF(AND(G438&lt;&gt;0,F438=""),"БЛОК: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нельзя",IF(AND(F438&lt;&gt;"",COUNTIF('Долг по актам'!$B$5:$B$34,F438)=0),"БЛОК: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договору")&gt;0)*($C$5:$C$504&lt;&gt;C438)*($E$5:$E$504=E438)*(($D$5:$D$504=D438)*(D438&lt;&gt;"")+($B$5:$B$504=B438)*(B438&lt;&gt;"")&gt;0))&gt;0,"БЛОК: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38" s="3" t="str">
        <f>IF(AND(B438="",C438="",E438=""),"",SUM($G$5:G438))</f>
        <v/>
      </c>
    </row>
    <row r="439" spans="1:10" x14ac:dyDescent="0.3">
      <c r="A439" s="4">
        <v>435</v>
      </c>
      <c r="B439" s="5"/>
      <c r="C439" s="6"/>
      <c r="D439" s="6"/>
      <c r="E439" s="7"/>
      <c r="F439" s="6"/>
      <c r="G439" s="3">
        <f t="shared" si="12"/>
        <v>0</v>
      </c>
      <c r="H439" s="3">
        <f t="shared" si="13"/>
        <v>0</v>
      </c>
      <c r="I439" s="4" t="str">
        <f>IF(AND(B439="",C439="",D439="",E439="",F439=""),"",IF(OR(B439="",C439="",E439=""),"БЛОК: нужны дата, тип операции и сумма",IF(N(E439)&lt;=0,"БЛОК: сумма должна быть больше нуля",IF(AND(H439&lt;&gt;0,F439=""),"БЛОК: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отделить",IF(AND(G439&lt;&gt;0,F439=""),"БЛОК: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нельзя",IF(AND(F439&lt;&gt;"",COUNTIF('Долг по актам'!$B$5:$B$34,F439)=0),"БЛОК: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договору")&gt;0)*($C$5:$C$504&lt;&gt;C439)*($E$5:$E$504=E439)*(($D$5:$D$504=D439)*(D439&lt;&gt;"")+($B$5:$B$504=B439)*(B439&lt;&gt;"")&gt;0))&gt;0,"БЛОК: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39" s="3" t="str">
        <f>IF(AND(B439="",C439="",E439=""),"",SUM($G$5:G439))</f>
        <v/>
      </c>
    </row>
    <row r="440" spans="1:10" x14ac:dyDescent="0.3">
      <c r="A440" s="4">
        <v>436</v>
      </c>
      <c r="B440" s="5"/>
      <c r="C440" s="6"/>
      <c r="D440" s="6"/>
      <c r="E440" s="7"/>
      <c r="F440" s="6"/>
      <c r="G440" s="3">
        <f t="shared" si="12"/>
        <v>0</v>
      </c>
      <c r="H440" s="3">
        <f t="shared" si="13"/>
        <v>0</v>
      </c>
      <c r="I440" s="4" t="str">
        <f>IF(AND(B440="",C440="",D440="",E440="",F440=""),"",IF(OR(B440="",C440="",E440=""),"БЛОК: нужны дата, тип операции и сумма",IF(N(E440)&lt;=0,"БЛОК: сумма должна быть больше нуля",IF(AND(H440&lt;&gt;0,F440=""),"БЛОК: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отделить",IF(AND(G440&lt;&gt;0,F440=""),"БЛОК: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нельзя",IF(AND(F440&lt;&gt;"",COUNTIF('Долг по актам'!$B$5:$B$34,F440)=0),"БЛОК: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договору")&gt;0)*($C$5:$C$504&lt;&gt;C440)*($E$5:$E$504=E440)*(($D$5:$D$504=D440)*(D440&lt;&gt;"")+($B$5:$B$504=B440)*(B440&lt;&gt;"")&gt;0))&gt;0,"БЛОК: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40" s="3" t="str">
        <f>IF(AND(B440="",C440="",E440=""),"",SUM($G$5:G440))</f>
        <v/>
      </c>
    </row>
    <row r="441" spans="1:10" x14ac:dyDescent="0.3">
      <c r="A441" s="4">
        <v>437</v>
      </c>
      <c r="B441" s="5"/>
      <c r="C441" s="6"/>
      <c r="D441" s="6"/>
      <c r="E441" s="7"/>
      <c r="F441" s="6"/>
      <c r="G441" s="3">
        <f t="shared" si="12"/>
        <v>0</v>
      </c>
      <c r="H441" s="3">
        <f t="shared" si="13"/>
        <v>0</v>
      </c>
      <c r="I441" s="4" t="str">
        <f>IF(AND(B441="",C441="",D441="",E441="",F441=""),"",IF(OR(B441="",C441="",E441=""),"БЛОК: нужны дата, тип операции и сумма",IF(N(E441)&lt;=0,"БЛОК: сумма должна быть больше нуля",IF(AND(H441&lt;&gt;0,F441=""),"БЛОК: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отделить",IF(AND(G441&lt;&gt;0,F441=""),"БЛОК: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нельзя",IF(AND(F441&lt;&gt;"",COUNTIF('Долг по актам'!$B$5:$B$34,F441)=0),"БЛОК: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договору")&gt;0)*($C$5:$C$504&lt;&gt;C441)*($E$5:$E$504=E441)*(($D$5:$D$504=D441)*(D441&lt;&gt;"")+($B$5:$B$504=B441)*(B441&lt;&gt;"")&gt;0))&gt;0,"БЛОК: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41" s="3" t="str">
        <f>IF(AND(B441="",C441="",E441=""),"",SUM($G$5:G441))</f>
        <v/>
      </c>
    </row>
    <row r="442" spans="1:10" x14ac:dyDescent="0.3">
      <c r="A442" s="4">
        <v>438</v>
      </c>
      <c r="B442" s="5"/>
      <c r="C442" s="6"/>
      <c r="D442" s="6"/>
      <c r="E442" s="7"/>
      <c r="F442" s="6"/>
      <c r="G442" s="3">
        <f t="shared" si="12"/>
        <v>0</v>
      </c>
      <c r="H442" s="3">
        <f t="shared" si="13"/>
        <v>0</v>
      </c>
      <c r="I442" s="4" t="str">
        <f>IF(AND(B442="",C442="",D442="",E442="",F442=""),"",IF(OR(B442="",C442="",E442=""),"БЛОК: нужны дата, тип операции и сумма",IF(N(E442)&lt;=0,"БЛОК: сумма должна быть больше нуля",IF(AND(H442&lt;&gt;0,F442=""),"БЛОК: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отделить",IF(AND(G442&lt;&gt;0,F442=""),"БЛОК: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нельзя",IF(AND(F442&lt;&gt;"",COUNTIF('Долг по актам'!$B$5:$B$34,F442)=0),"БЛОК: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договору")&gt;0)*($C$5:$C$504&lt;&gt;C442)*($E$5:$E$504=E442)*(($D$5:$D$504=D442)*(D442&lt;&gt;"")+($B$5:$B$504=B442)*(B442&lt;&gt;"")&gt;0))&gt;0,"БЛОК: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42" s="3" t="str">
        <f>IF(AND(B442="",C442="",E442=""),"",SUM($G$5:G442))</f>
        <v/>
      </c>
    </row>
    <row r="443" spans="1:10" x14ac:dyDescent="0.3">
      <c r="A443" s="4">
        <v>439</v>
      </c>
      <c r="B443" s="5"/>
      <c r="C443" s="6"/>
      <c r="D443" s="6"/>
      <c r="E443" s="7"/>
      <c r="F443" s="6"/>
      <c r="G443" s="3">
        <f t="shared" si="12"/>
        <v>0</v>
      </c>
      <c r="H443" s="3">
        <f t="shared" si="13"/>
        <v>0</v>
      </c>
      <c r="I443" s="4" t="str">
        <f>IF(AND(B443="",C443="",D443="",E443="",F443=""),"",IF(OR(B443="",C443="",E443=""),"БЛОК: нужны дата, тип операции и сумма",IF(N(E443)&lt;=0,"БЛОК: сумма должна быть больше нуля",IF(AND(H443&lt;&gt;0,F443=""),"БЛОК: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отделить",IF(AND(G443&lt;&gt;0,F443=""),"БЛОК: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нельзя",IF(AND(F443&lt;&gt;"",COUNTIF('Долг по актам'!$B$5:$B$34,F443)=0),"БЛОК: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договору")&gt;0)*($C$5:$C$504&lt;&gt;C443)*($E$5:$E$504=E443)*(($D$5:$D$504=D443)*(D443&lt;&gt;"")+($B$5:$B$504=B443)*(B443&lt;&gt;"")&gt;0))&gt;0,"БЛОК: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43" s="3" t="str">
        <f>IF(AND(B443="",C443="",E443=""),"",SUM($G$5:G443))</f>
        <v/>
      </c>
    </row>
    <row r="444" spans="1:10" x14ac:dyDescent="0.3">
      <c r="A444" s="4">
        <v>440</v>
      </c>
      <c r="B444" s="5"/>
      <c r="C444" s="6"/>
      <c r="D444" s="6"/>
      <c r="E444" s="7"/>
      <c r="F444" s="6"/>
      <c r="G444" s="3">
        <f t="shared" si="12"/>
        <v>0</v>
      </c>
      <c r="H444" s="3">
        <f t="shared" si="13"/>
        <v>0</v>
      </c>
      <c r="I444" s="4" t="str">
        <f>IF(AND(B444="",C444="",D444="",E444="",F444=""),"",IF(OR(B444="",C444="",E444=""),"БЛОК: нужны дата, тип операции и сумма",IF(N(E444)&lt;=0,"БЛОК: сумма должна быть больше нуля",IF(AND(H444&lt;&gt;0,F444=""),"БЛОК: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отделить",IF(AND(G444&lt;&gt;0,F444=""),"БЛОК: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нельзя",IF(AND(F444&lt;&gt;"",COUNTIF('Долг по актам'!$B$5:$B$34,F444)=0),"БЛОК: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договору")&gt;0)*($C$5:$C$504&lt;&gt;C444)*($E$5:$E$504=E444)*(($D$5:$D$504=D444)*(D444&lt;&gt;"")+($B$5:$B$504=B444)*(B444&lt;&gt;"")&gt;0))&gt;0,"БЛОК: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44" s="3" t="str">
        <f>IF(AND(B444="",C444="",E444=""),"",SUM($G$5:G444))</f>
        <v/>
      </c>
    </row>
    <row r="445" spans="1:10" x14ac:dyDescent="0.3">
      <c r="A445" s="4">
        <v>441</v>
      </c>
      <c r="B445" s="5"/>
      <c r="C445" s="6"/>
      <c r="D445" s="6"/>
      <c r="E445" s="7"/>
      <c r="F445" s="6"/>
      <c r="G445" s="3">
        <f t="shared" si="12"/>
        <v>0</v>
      </c>
      <c r="H445" s="3">
        <f t="shared" si="13"/>
        <v>0</v>
      </c>
      <c r="I445" s="4" t="str">
        <f>IF(AND(B445="",C445="",D445="",E445="",F445=""),"",IF(OR(B445="",C445="",E445=""),"БЛОК: нужны дата, тип операции и сумма",IF(N(E445)&lt;=0,"БЛОК: сумма должна быть больше нуля",IF(AND(H445&lt;&gt;0,F445=""),"БЛОК: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отделить",IF(AND(G445&lt;&gt;0,F445=""),"БЛОК: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нельзя",IF(AND(F445&lt;&gt;"",COUNTIF('Долг по актам'!$B$5:$B$34,F445)=0),"БЛОК: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договору")&gt;0)*($C$5:$C$504&lt;&gt;C445)*($E$5:$E$504=E445)*(($D$5:$D$504=D445)*(D445&lt;&gt;"")+($B$5:$B$504=B445)*(B445&lt;&gt;"")&gt;0))&gt;0,"БЛОК: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45" s="3" t="str">
        <f>IF(AND(B445="",C445="",E445=""),"",SUM($G$5:G445))</f>
        <v/>
      </c>
    </row>
    <row r="446" spans="1:10" x14ac:dyDescent="0.3">
      <c r="A446" s="4">
        <v>442</v>
      </c>
      <c r="B446" s="5"/>
      <c r="C446" s="6"/>
      <c r="D446" s="6"/>
      <c r="E446" s="7"/>
      <c r="F446" s="6"/>
      <c r="G446" s="3">
        <f t="shared" si="12"/>
        <v>0</v>
      </c>
      <c r="H446" s="3">
        <f t="shared" si="13"/>
        <v>0</v>
      </c>
      <c r="I446" s="4" t="str">
        <f>IF(AND(B446="",C446="",D446="",E446="",F446=""),"",IF(OR(B446="",C446="",E446=""),"БЛОК: нужны дата, тип операции и сумма",IF(N(E446)&lt;=0,"БЛОК: сумма должна быть больше нуля",IF(AND(H446&lt;&gt;0,F446=""),"БЛОК: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отделить",IF(AND(G446&lt;&gt;0,F446=""),"БЛОК: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нельзя",IF(AND(F446&lt;&gt;"",COUNTIF('Долг по актам'!$B$5:$B$34,F446)=0),"БЛОК: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договору")&gt;0)*($C$5:$C$504&lt;&gt;C446)*($E$5:$E$504=E446)*(($D$5:$D$504=D446)*(D446&lt;&gt;"")+($B$5:$B$504=B446)*(B446&lt;&gt;"")&gt;0))&gt;0,"БЛОК: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46" s="3" t="str">
        <f>IF(AND(B446="",C446="",E446=""),"",SUM($G$5:G446))</f>
        <v/>
      </c>
    </row>
    <row r="447" spans="1:10" x14ac:dyDescent="0.3">
      <c r="A447" s="4">
        <v>443</v>
      </c>
      <c r="B447" s="5"/>
      <c r="C447" s="6"/>
      <c r="D447" s="6"/>
      <c r="E447" s="7"/>
      <c r="F447" s="6"/>
      <c r="G447" s="3">
        <f t="shared" si="12"/>
        <v>0</v>
      </c>
      <c r="H447" s="3">
        <f t="shared" si="13"/>
        <v>0</v>
      </c>
      <c r="I447" s="4" t="str">
        <f>IF(AND(B447="",C447="",D447="",E447="",F447=""),"",IF(OR(B447="",C447="",E447=""),"БЛОК: нужны дата, тип операции и сумма",IF(N(E447)&lt;=0,"БЛОК: сумма должна быть больше нуля",IF(AND(H447&lt;&gt;0,F447=""),"БЛОК: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отделить",IF(AND(G447&lt;&gt;0,F447=""),"БЛОК: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нельзя",IF(AND(F447&lt;&gt;"",COUNTIF('Долг по актам'!$B$5:$B$34,F447)=0),"БЛОК: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договору")&gt;0)*($C$5:$C$504&lt;&gt;C447)*($E$5:$E$504=E447)*(($D$5:$D$504=D447)*(D447&lt;&gt;"")+($B$5:$B$504=B447)*(B447&lt;&gt;"")&gt;0))&gt;0,"БЛОК: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47" s="3" t="str">
        <f>IF(AND(B447="",C447="",E447=""),"",SUM($G$5:G447))</f>
        <v/>
      </c>
    </row>
    <row r="448" spans="1:10" x14ac:dyDescent="0.3">
      <c r="A448" s="4">
        <v>444</v>
      </c>
      <c r="B448" s="5"/>
      <c r="C448" s="6"/>
      <c r="D448" s="6"/>
      <c r="E448" s="7"/>
      <c r="F448" s="6"/>
      <c r="G448" s="3">
        <f t="shared" si="12"/>
        <v>0</v>
      </c>
      <c r="H448" s="3">
        <f t="shared" si="13"/>
        <v>0</v>
      </c>
      <c r="I448" s="4" t="str">
        <f>IF(AND(B448="",C448="",D448="",E448="",F448=""),"",IF(OR(B448="",C448="",E448=""),"БЛОК: нужны дата, тип операции и сумма",IF(N(E448)&lt;=0,"БЛОК: сумма должна быть больше нуля",IF(AND(H448&lt;&gt;0,F448=""),"БЛОК: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отделить",IF(AND(G448&lt;&gt;0,F448=""),"БЛОК: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нельзя",IF(AND(F448&lt;&gt;"",COUNTIF('Долг по актам'!$B$5:$B$34,F448)=0),"БЛОК: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договору")&gt;0)*($C$5:$C$504&lt;&gt;C448)*($E$5:$E$504=E448)*(($D$5:$D$504=D448)*(D448&lt;&gt;"")+($B$5:$B$504=B448)*(B448&lt;&gt;"")&gt;0))&gt;0,"БЛОК: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48" s="3" t="str">
        <f>IF(AND(B448="",C448="",E448=""),"",SUM($G$5:G448))</f>
        <v/>
      </c>
    </row>
    <row r="449" spans="1:10" x14ac:dyDescent="0.3">
      <c r="A449" s="4">
        <v>445</v>
      </c>
      <c r="B449" s="5"/>
      <c r="C449" s="6"/>
      <c r="D449" s="6"/>
      <c r="E449" s="7"/>
      <c r="F449" s="6"/>
      <c r="G449" s="3">
        <f t="shared" si="12"/>
        <v>0</v>
      </c>
      <c r="H449" s="3">
        <f t="shared" si="13"/>
        <v>0</v>
      </c>
      <c r="I449" s="4" t="str">
        <f>IF(AND(B449="",C449="",D449="",E449="",F449=""),"",IF(OR(B449="",C449="",E449=""),"БЛОК: нужны дата, тип операции и сумма",IF(N(E449)&lt;=0,"БЛОК: сумма должна быть больше нуля",IF(AND(H449&lt;&gt;0,F449=""),"БЛОК: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отделить",IF(AND(G449&lt;&gt;0,F449=""),"БЛОК: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нельзя",IF(AND(F449&lt;&gt;"",COUNTIF('Долг по актам'!$B$5:$B$34,F449)=0),"БЛОК: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договору")&gt;0)*($C$5:$C$504&lt;&gt;C449)*($E$5:$E$504=E449)*(($D$5:$D$504=D449)*(D449&lt;&gt;"")+($B$5:$B$504=B449)*(B449&lt;&gt;"")&gt;0))&gt;0,"БЛОК: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49" s="3" t="str">
        <f>IF(AND(B449="",C449="",E449=""),"",SUM($G$5:G449))</f>
        <v/>
      </c>
    </row>
    <row r="450" spans="1:10" x14ac:dyDescent="0.3">
      <c r="A450" s="4">
        <v>446</v>
      </c>
      <c r="B450" s="5"/>
      <c r="C450" s="6"/>
      <c r="D450" s="6"/>
      <c r="E450" s="7"/>
      <c r="F450" s="6"/>
      <c r="G450" s="3">
        <f t="shared" si="12"/>
        <v>0</v>
      </c>
      <c r="H450" s="3">
        <f t="shared" si="13"/>
        <v>0</v>
      </c>
      <c r="I450" s="4" t="str">
        <f>IF(AND(B450="",C450="",D450="",E450="",F450=""),"",IF(OR(B450="",C450="",E450=""),"БЛОК: нужны дата, тип операции и сумма",IF(N(E450)&lt;=0,"БЛОК: сумма должна быть больше нуля",IF(AND(H450&lt;&gt;0,F450=""),"БЛОК: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отделить",IF(AND(G450&lt;&gt;0,F450=""),"БЛОК: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нельзя",IF(AND(F450&lt;&gt;"",COUNTIF('Долг по актам'!$B$5:$B$34,F450)=0),"БЛОК: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договору")&gt;0)*($C$5:$C$504&lt;&gt;C450)*($E$5:$E$504=E450)*(($D$5:$D$504=D450)*(D450&lt;&gt;"")+($B$5:$B$504=B450)*(B450&lt;&gt;"")&gt;0))&gt;0,"БЛОК: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50" s="3" t="str">
        <f>IF(AND(B450="",C450="",E450=""),"",SUM($G$5:G450))</f>
        <v/>
      </c>
    </row>
    <row r="451" spans="1:10" x14ac:dyDescent="0.3">
      <c r="A451" s="4">
        <v>447</v>
      </c>
      <c r="B451" s="5"/>
      <c r="C451" s="6"/>
      <c r="D451" s="6"/>
      <c r="E451" s="7"/>
      <c r="F451" s="6"/>
      <c r="G451" s="3">
        <f t="shared" si="12"/>
        <v>0</v>
      </c>
      <c r="H451" s="3">
        <f t="shared" si="13"/>
        <v>0</v>
      </c>
      <c r="I451" s="4" t="str">
        <f>IF(AND(B451="",C451="",D451="",E451="",F451=""),"",IF(OR(B451="",C451="",E451=""),"БЛОК: нужны дата, тип операции и сумма",IF(N(E451)&lt;=0,"БЛОК: сумма должна быть больше нуля",IF(AND(H451&lt;&gt;0,F451=""),"БЛОК: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отделить",IF(AND(G451&lt;&gt;0,F451=""),"БЛОК: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нельзя",IF(AND(F451&lt;&gt;"",COUNTIF('Долг по актам'!$B$5:$B$34,F451)=0),"БЛОК: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договору")&gt;0)*($C$5:$C$504&lt;&gt;C451)*($E$5:$E$504=E451)*(($D$5:$D$504=D451)*(D451&lt;&gt;"")+($B$5:$B$504=B451)*(B451&lt;&gt;"")&gt;0))&gt;0,"БЛОК: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51" s="3" t="str">
        <f>IF(AND(B451="",C451="",E451=""),"",SUM($G$5:G451))</f>
        <v/>
      </c>
    </row>
    <row r="452" spans="1:10" x14ac:dyDescent="0.3">
      <c r="A452" s="4">
        <v>448</v>
      </c>
      <c r="B452" s="5"/>
      <c r="C452" s="6"/>
      <c r="D452" s="6"/>
      <c r="E452" s="7"/>
      <c r="F452" s="6"/>
      <c r="G452" s="3">
        <f t="shared" si="12"/>
        <v>0</v>
      </c>
      <c r="H452" s="3">
        <f t="shared" si="13"/>
        <v>0</v>
      </c>
      <c r="I452" s="4" t="str">
        <f>IF(AND(B452="",C452="",D452="",E452="",F452=""),"",IF(OR(B452="",C452="",E452=""),"БЛОК: нужны дата, тип операции и сумма",IF(N(E452)&lt;=0,"БЛОК: сумма должна быть больше нуля",IF(AND(H452&lt;&gt;0,F452=""),"БЛОК: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отделить",IF(AND(G452&lt;&gt;0,F452=""),"БЛОК: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нельзя",IF(AND(F452&lt;&gt;"",COUNTIF('Долг по актам'!$B$5:$B$34,F452)=0),"БЛОК: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договору")&gt;0)*($C$5:$C$504&lt;&gt;C452)*($E$5:$E$504=E452)*(($D$5:$D$504=D452)*(D452&lt;&gt;"")+($B$5:$B$504=B452)*(B452&lt;&gt;"")&gt;0))&gt;0,"БЛОК: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52" s="3" t="str">
        <f>IF(AND(B452="",C452="",E452=""),"",SUM($G$5:G452))</f>
        <v/>
      </c>
    </row>
    <row r="453" spans="1:10" x14ac:dyDescent="0.3">
      <c r="A453" s="4">
        <v>449</v>
      </c>
      <c r="B453" s="5"/>
      <c r="C453" s="6"/>
      <c r="D453" s="6"/>
      <c r="E453" s="7"/>
      <c r="F453" s="6"/>
      <c r="G453" s="3">
        <f t="shared" ref="G453:G504" si="14">IF(OR(C453="",E453=""),0,IF(C453="Начисление по акту",E453,IF(OR(C453="Оплата",C453="Зачёт аванса по договору"),-E453,IF(C453="Корректировка (подписана обеими сторонами)",E453,0))))</f>
        <v>0</v>
      </c>
      <c r="H453" s="3">
        <f t="shared" ref="H453:H504" si="15">IF(OR(C453="Удержание",C453="Зачёт встречного требования",C453="Неустойка заявлена",C453="Допработы без соглашения (спорно)"),N(E453),0)</f>
        <v>0</v>
      </c>
      <c r="I453" s="4" t="str">
        <f>IF(AND(B453="",C453="",D453="",E453="",F453=""),"",IF(OR(B453="",C453="",E453=""),"БЛОК: нужны дата, тип операции и сумма",IF(N(E453)&lt;=0,"БЛОК: сумма должна быть больше нуля",IF(AND(H453&lt;&gt;0,F453=""),"БЛОК: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отделить",IF(AND(G453&lt;&gt;0,F453=""),"БЛОК: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нельзя",IF(AND(F453&lt;&gt;"",COUNTIF('Долг по актам'!$B$5:$B$34,F453)=0),"БЛОК: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договору")&gt;0)*($C$5:$C$504&lt;&gt;C453)*($E$5:$E$504=E453)*(($D$5:$D$504=D453)*(D453&lt;&gt;"")+($B$5:$B$504=B453)*(B453&lt;&gt;"")&gt;0))&gt;0,"БЛОК: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53" s="3" t="str">
        <f>IF(AND(B453="",C453="",E453=""),"",SUM($G$5:G453))</f>
        <v/>
      </c>
    </row>
    <row r="454" spans="1:10" x14ac:dyDescent="0.3">
      <c r="A454" s="4">
        <v>450</v>
      </c>
      <c r="B454" s="5"/>
      <c r="C454" s="6"/>
      <c r="D454" s="6"/>
      <c r="E454" s="7"/>
      <c r="F454" s="6"/>
      <c r="G454" s="3">
        <f t="shared" si="14"/>
        <v>0</v>
      </c>
      <c r="H454" s="3">
        <f t="shared" si="15"/>
        <v>0</v>
      </c>
      <c r="I454" s="4" t="str">
        <f>IF(AND(B454="",C454="",D454="",E454="",F454=""),"",IF(OR(B454="",C454="",E454=""),"БЛОК: нужны дата, тип операции и сумма",IF(N(E454)&lt;=0,"БЛОК: сумма должна быть больше нуля",IF(AND(H454&lt;&gt;0,F454=""),"БЛОК: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отделить",IF(AND(G454&lt;&gt;0,F454=""),"БЛОК: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нельзя",IF(AND(F454&lt;&gt;"",COUNTIF('Долг по актам'!$B$5:$B$34,F454)=0),"БЛОК: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договору")&gt;0)*($C$5:$C$504&lt;&gt;C454)*($E$5:$E$504=E454)*(($D$5:$D$504=D454)*(D454&lt;&gt;"")+($B$5:$B$504=B454)*(B454&lt;&gt;"")&gt;0))&gt;0,"БЛОК: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54" s="3" t="str">
        <f>IF(AND(B454="",C454="",E454=""),"",SUM($G$5:G454))</f>
        <v/>
      </c>
    </row>
    <row r="455" spans="1:10" x14ac:dyDescent="0.3">
      <c r="A455" s="4">
        <v>451</v>
      </c>
      <c r="B455" s="5"/>
      <c r="C455" s="6"/>
      <c r="D455" s="6"/>
      <c r="E455" s="7"/>
      <c r="F455" s="6"/>
      <c r="G455" s="3">
        <f t="shared" si="14"/>
        <v>0</v>
      </c>
      <c r="H455" s="3">
        <f t="shared" si="15"/>
        <v>0</v>
      </c>
      <c r="I455" s="4" t="str">
        <f>IF(AND(B455="",C455="",D455="",E455="",F455=""),"",IF(OR(B455="",C455="",E455=""),"БЛОК: нужны дата, тип операции и сумма",IF(N(E455)&lt;=0,"БЛОК: сумма должна быть больше нуля",IF(AND(H455&lt;&gt;0,F455=""),"БЛОК: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отделить",IF(AND(G455&lt;&gt;0,F455=""),"БЛОК: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нельзя",IF(AND(F455&lt;&gt;"",COUNTIF('Долг по актам'!$B$5:$B$34,F455)=0),"БЛОК: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договору")&gt;0)*($C$5:$C$504&lt;&gt;C455)*($E$5:$E$504=E455)*(($D$5:$D$504=D455)*(D455&lt;&gt;"")+($B$5:$B$504=B455)*(B455&lt;&gt;"")&gt;0))&gt;0,"БЛОК: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55" s="3" t="str">
        <f>IF(AND(B455="",C455="",E455=""),"",SUM($G$5:G455))</f>
        <v/>
      </c>
    </row>
    <row r="456" spans="1:10" x14ac:dyDescent="0.3">
      <c r="A456" s="4">
        <v>452</v>
      </c>
      <c r="B456" s="5"/>
      <c r="C456" s="6"/>
      <c r="D456" s="6"/>
      <c r="E456" s="7"/>
      <c r="F456" s="6"/>
      <c r="G456" s="3">
        <f t="shared" si="14"/>
        <v>0</v>
      </c>
      <c r="H456" s="3">
        <f t="shared" si="15"/>
        <v>0</v>
      </c>
      <c r="I456" s="4" t="str">
        <f>IF(AND(B456="",C456="",D456="",E456="",F456=""),"",IF(OR(B456="",C456="",E456=""),"БЛОК: нужны дата, тип операции и сумма",IF(N(E456)&lt;=0,"БЛОК: сумма должна быть больше нуля",IF(AND(H456&lt;&gt;0,F456=""),"БЛОК: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отделить",IF(AND(G456&lt;&gt;0,F456=""),"БЛОК: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нельзя",IF(AND(F456&lt;&gt;"",COUNTIF('Долг по актам'!$B$5:$B$34,F456)=0),"БЛОК: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договору")&gt;0)*($C$5:$C$504&lt;&gt;C456)*($E$5:$E$504=E456)*(($D$5:$D$504=D456)*(D456&lt;&gt;"")+($B$5:$B$504=B456)*(B456&lt;&gt;"")&gt;0))&gt;0,"БЛОК: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56" s="3" t="str">
        <f>IF(AND(B456="",C456="",E456=""),"",SUM($G$5:G456))</f>
        <v/>
      </c>
    </row>
    <row r="457" spans="1:10" x14ac:dyDescent="0.3">
      <c r="A457" s="4">
        <v>453</v>
      </c>
      <c r="B457" s="5"/>
      <c r="C457" s="6"/>
      <c r="D457" s="6"/>
      <c r="E457" s="7"/>
      <c r="F457" s="6"/>
      <c r="G457" s="3">
        <f t="shared" si="14"/>
        <v>0</v>
      </c>
      <c r="H457" s="3">
        <f t="shared" si="15"/>
        <v>0</v>
      </c>
      <c r="I457" s="4" t="str">
        <f>IF(AND(B457="",C457="",D457="",E457="",F457=""),"",IF(OR(B457="",C457="",E457=""),"БЛОК: нужны дата, тип операции и сумма",IF(N(E457)&lt;=0,"БЛОК: сумма должна быть больше нуля",IF(AND(H457&lt;&gt;0,F457=""),"БЛОК: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отделить",IF(AND(G457&lt;&gt;0,F457=""),"БЛОК: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нельзя",IF(AND(F457&lt;&gt;"",COUNTIF('Долг по актам'!$B$5:$B$34,F457)=0),"БЛОК: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договору")&gt;0)*($C$5:$C$504&lt;&gt;C457)*($E$5:$E$504=E457)*(($D$5:$D$504=D457)*(D457&lt;&gt;"")+($B$5:$B$504=B457)*(B457&lt;&gt;"")&gt;0))&gt;0,"БЛОК: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57" s="3" t="str">
        <f>IF(AND(B457="",C457="",E457=""),"",SUM($G$5:G457))</f>
        <v/>
      </c>
    </row>
    <row r="458" spans="1:10" x14ac:dyDescent="0.3">
      <c r="A458" s="4">
        <v>454</v>
      </c>
      <c r="B458" s="5"/>
      <c r="C458" s="6"/>
      <c r="D458" s="6"/>
      <c r="E458" s="7"/>
      <c r="F458" s="6"/>
      <c r="G458" s="3">
        <f t="shared" si="14"/>
        <v>0</v>
      </c>
      <c r="H458" s="3">
        <f t="shared" si="15"/>
        <v>0</v>
      </c>
      <c r="I458" s="4" t="str">
        <f>IF(AND(B458="",C458="",D458="",E458="",F458=""),"",IF(OR(B458="",C458="",E458=""),"БЛОК: нужны дата, тип операции и сумма",IF(N(E458)&lt;=0,"БЛОК: сумма должна быть больше нуля",IF(AND(H458&lt;&gt;0,F458=""),"БЛОК: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отделить",IF(AND(G458&lt;&gt;0,F458=""),"БЛОК: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нельзя",IF(AND(F458&lt;&gt;"",COUNTIF('Долг по актам'!$B$5:$B$34,F458)=0),"БЛОК: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договору")&gt;0)*($C$5:$C$504&lt;&gt;C458)*($E$5:$E$504=E458)*(($D$5:$D$504=D458)*(D458&lt;&gt;"")+($B$5:$B$504=B458)*(B458&lt;&gt;"")&gt;0))&gt;0,"БЛОК: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58" s="3" t="str">
        <f>IF(AND(B458="",C458="",E458=""),"",SUM($G$5:G458))</f>
        <v/>
      </c>
    </row>
    <row r="459" spans="1:10" x14ac:dyDescent="0.3">
      <c r="A459" s="4">
        <v>455</v>
      </c>
      <c r="B459" s="5"/>
      <c r="C459" s="6"/>
      <c r="D459" s="6"/>
      <c r="E459" s="7"/>
      <c r="F459" s="6"/>
      <c r="G459" s="3">
        <f t="shared" si="14"/>
        <v>0</v>
      </c>
      <c r="H459" s="3">
        <f t="shared" si="15"/>
        <v>0</v>
      </c>
      <c r="I459" s="4" t="str">
        <f>IF(AND(B459="",C459="",D459="",E459="",F459=""),"",IF(OR(B459="",C459="",E459=""),"БЛОК: нужны дата, тип операции и сумма",IF(N(E459)&lt;=0,"БЛОК: сумма должна быть больше нуля",IF(AND(H459&lt;&gt;0,F459=""),"БЛОК: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отделить",IF(AND(G459&lt;&gt;0,F459=""),"БЛОК: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нельзя",IF(AND(F459&lt;&gt;"",COUNTIF('Долг по актам'!$B$5:$B$34,F459)=0),"БЛОК: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договору")&gt;0)*($C$5:$C$504&lt;&gt;C459)*($E$5:$E$504=E459)*(($D$5:$D$504=D459)*(D459&lt;&gt;"")+($B$5:$B$504=B459)*(B459&lt;&gt;"")&gt;0))&gt;0,"БЛОК: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59" s="3" t="str">
        <f>IF(AND(B459="",C459="",E459=""),"",SUM($G$5:G459))</f>
        <v/>
      </c>
    </row>
    <row r="460" spans="1:10" x14ac:dyDescent="0.3">
      <c r="A460" s="4">
        <v>456</v>
      </c>
      <c r="B460" s="5"/>
      <c r="C460" s="6"/>
      <c r="D460" s="6"/>
      <c r="E460" s="7"/>
      <c r="F460" s="6"/>
      <c r="G460" s="3">
        <f t="shared" si="14"/>
        <v>0</v>
      </c>
      <c r="H460" s="3">
        <f t="shared" si="15"/>
        <v>0</v>
      </c>
      <c r="I460" s="4" t="str">
        <f>IF(AND(B460="",C460="",D460="",E460="",F460=""),"",IF(OR(B460="",C460="",E460=""),"БЛОК: нужны дата, тип операции и сумма",IF(N(E460)&lt;=0,"БЛОК: сумма должна быть больше нуля",IF(AND(H460&lt;&gt;0,F460=""),"БЛОК: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отделить",IF(AND(G460&lt;&gt;0,F460=""),"БЛОК: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нельзя",IF(AND(F460&lt;&gt;"",COUNTIF('Долг по актам'!$B$5:$B$34,F460)=0),"БЛОК: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договору")&gt;0)*($C$5:$C$504&lt;&gt;C460)*($E$5:$E$504=E460)*(($D$5:$D$504=D460)*(D460&lt;&gt;"")+($B$5:$B$504=B460)*(B460&lt;&gt;"")&gt;0))&gt;0,"БЛОК: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60" s="3" t="str">
        <f>IF(AND(B460="",C460="",E460=""),"",SUM($G$5:G460))</f>
        <v/>
      </c>
    </row>
    <row r="461" spans="1:10" x14ac:dyDescent="0.3">
      <c r="A461" s="4">
        <v>457</v>
      </c>
      <c r="B461" s="5"/>
      <c r="C461" s="6"/>
      <c r="D461" s="6"/>
      <c r="E461" s="7"/>
      <c r="F461" s="6"/>
      <c r="G461" s="3">
        <f t="shared" si="14"/>
        <v>0</v>
      </c>
      <c r="H461" s="3">
        <f t="shared" si="15"/>
        <v>0</v>
      </c>
      <c r="I461" s="4" t="str">
        <f>IF(AND(B461="",C461="",D461="",E461="",F461=""),"",IF(OR(B461="",C461="",E461=""),"БЛОК: нужны дата, тип операции и сумма",IF(N(E461)&lt;=0,"БЛОК: сумма должна быть больше нуля",IF(AND(H461&lt;&gt;0,F461=""),"БЛОК: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отделить",IF(AND(G461&lt;&gt;0,F461=""),"БЛОК: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нельзя",IF(AND(F461&lt;&gt;"",COUNTIF('Долг по актам'!$B$5:$B$34,F461)=0),"БЛОК: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договору")&gt;0)*($C$5:$C$504&lt;&gt;C461)*($E$5:$E$504=E461)*(($D$5:$D$504=D461)*(D461&lt;&gt;"")+($B$5:$B$504=B461)*(B461&lt;&gt;"")&gt;0))&gt;0,"БЛОК: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61" s="3" t="str">
        <f>IF(AND(B461="",C461="",E461=""),"",SUM($G$5:G461))</f>
        <v/>
      </c>
    </row>
    <row r="462" spans="1:10" x14ac:dyDescent="0.3">
      <c r="A462" s="4">
        <v>458</v>
      </c>
      <c r="B462" s="5"/>
      <c r="C462" s="6"/>
      <c r="D462" s="6"/>
      <c r="E462" s="7"/>
      <c r="F462" s="6"/>
      <c r="G462" s="3">
        <f t="shared" si="14"/>
        <v>0</v>
      </c>
      <c r="H462" s="3">
        <f t="shared" si="15"/>
        <v>0</v>
      </c>
      <c r="I462" s="4" t="str">
        <f>IF(AND(B462="",C462="",D462="",E462="",F462=""),"",IF(OR(B462="",C462="",E462=""),"БЛОК: нужны дата, тип операции и сумма",IF(N(E462)&lt;=0,"БЛОК: сумма должна быть больше нуля",IF(AND(H462&lt;&gt;0,F462=""),"БЛОК: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отделить",IF(AND(G462&lt;&gt;0,F462=""),"БЛОК: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нельзя",IF(AND(F462&lt;&gt;"",COUNTIF('Долг по актам'!$B$5:$B$34,F462)=0),"БЛОК: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договору")&gt;0)*($C$5:$C$504&lt;&gt;C462)*($E$5:$E$504=E462)*(($D$5:$D$504=D462)*(D462&lt;&gt;"")+($B$5:$B$504=B462)*(B462&lt;&gt;"")&gt;0))&gt;0,"БЛОК: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62" s="3" t="str">
        <f>IF(AND(B462="",C462="",E462=""),"",SUM($G$5:G462))</f>
        <v/>
      </c>
    </row>
    <row r="463" spans="1:10" x14ac:dyDescent="0.3">
      <c r="A463" s="4">
        <v>459</v>
      </c>
      <c r="B463" s="5"/>
      <c r="C463" s="6"/>
      <c r="D463" s="6"/>
      <c r="E463" s="7"/>
      <c r="F463" s="6"/>
      <c r="G463" s="3">
        <f t="shared" si="14"/>
        <v>0</v>
      </c>
      <c r="H463" s="3">
        <f t="shared" si="15"/>
        <v>0</v>
      </c>
      <c r="I463" s="4" t="str">
        <f>IF(AND(B463="",C463="",D463="",E463="",F463=""),"",IF(OR(B463="",C463="",E463=""),"БЛОК: нужны дата, тип операции и сумма",IF(N(E463)&lt;=0,"БЛОК: сумма должна быть больше нуля",IF(AND(H463&lt;&gt;0,F463=""),"БЛОК: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отделить",IF(AND(G463&lt;&gt;0,F463=""),"БЛОК: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нельзя",IF(AND(F463&lt;&gt;"",COUNTIF('Долг по актам'!$B$5:$B$34,F463)=0),"БЛОК: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договору")&gt;0)*($C$5:$C$504&lt;&gt;C463)*($E$5:$E$504=E463)*(($D$5:$D$504=D463)*(D463&lt;&gt;"")+($B$5:$B$504=B463)*(B463&lt;&gt;"")&gt;0))&gt;0,"БЛОК: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63" s="3" t="str">
        <f>IF(AND(B463="",C463="",E463=""),"",SUM($G$5:G463))</f>
        <v/>
      </c>
    </row>
    <row r="464" spans="1:10" x14ac:dyDescent="0.3">
      <c r="A464" s="4">
        <v>460</v>
      </c>
      <c r="B464" s="5"/>
      <c r="C464" s="6"/>
      <c r="D464" s="6"/>
      <c r="E464" s="7"/>
      <c r="F464" s="6"/>
      <c r="G464" s="3">
        <f t="shared" si="14"/>
        <v>0</v>
      </c>
      <c r="H464" s="3">
        <f t="shared" si="15"/>
        <v>0</v>
      </c>
      <c r="I464" s="4" t="str">
        <f>IF(AND(B464="",C464="",D464="",E464="",F464=""),"",IF(OR(B464="",C464="",E464=""),"БЛОК: нужны дата, тип операции и сумма",IF(N(E464)&lt;=0,"БЛОК: сумма должна быть больше нуля",IF(AND(H464&lt;&gt;0,F464=""),"БЛОК: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отделить",IF(AND(G464&lt;&gt;0,F464=""),"БЛОК: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нельзя",IF(AND(F464&lt;&gt;"",COUNTIF('Долг по актам'!$B$5:$B$34,F464)=0),"БЛОК: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договору")&gt;0)*($C$5:$C$504&lt;&gt;C464)*($E$5:$E$504=E464)*(($D$5:$D$504=D464)*(D464&lt;&gt;"")+($B$5:$B$504=B464)*(B464&lt;&gt;"")&gt;0))&gt;0,"БЛОК: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64" s="3" t="str">
        <f>IF(AND(B464="",C464="",E464=""),"",SUM($G$5:G464))</f>
        <v/>
      </c>
    </row>
    <row r="465" spans="1:10" x14ac:dyDescent="0.3">
      <c r="A465" s="4">
        <v>461</v>
      </c>
      <c r="B465" s="5"/>
      <c r="C465" s="6"/>
      <c r="D465" s="6"/>
      <c r="E465" s="7"/>
      <c r="F465" s="6"/>
      <c r="G465" s="3">
        <f t="shared" si="14"/>
        <v>0</v>
      </c>
      <c r="H465" s="3">
        <f t="shared" si="15"/>
        <v>0</v>
      </c>
      <c r="I465" s="4" t="str">
        <f>IF(AND(B465="",C465="",D465="",E465="",F465=""),"",IF(OR(B465="",C465="",E465=""),"БЛОК: нужны дата, тип операции и сумма",IF(N(E465)&lt;=0,"БЛОК: сумма должна быть больше нуля",IF(AND(H465&lt;&gt;0,F465=""),"БЛОК: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отделить",IF(AND(G465&lt;&gt;0,F465=""),"БЛОК: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нельзя",IF(AND(F465&lt;&gt;"",COUNTIF('Долг по актам'!$B$5:$B$34,F465)=0),"БЛОК: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договору")&gt;0)*($C$5:$C$504&lt;&gt;C465)*($E$5:$E$504=E465)*(($D$5:$D$504=D465)*(D465&lt;&gt;"")+($B$5:$B$504=B465)*(B465&lt;&gt;"")&gt;0))&gt;0,"БЛОК: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65" s="3" t="str">
        <f>IF(AND(B465="",C465="",E465=""),"",SUM($G$5:G465))</f>
        <v/>
      </c>
    </row>
    <row r="466" spans="1:10" x14ac:dyDescent="0.3">
      <c r="A466" s="4">
        <v>462</v>
      </c>
      <c r="B466" s="5"/>
      <c r="C466" s="6"/>
      <c r="D466" s="6"/>
      <c r="E466" s="7"/>
      <c r="F466" s="6"/>
      <c r="G466" s="3">
        <f t="shared" si="14"/>
        <v>0</v>
      </c>
      <c r="H466" s="3">
        <f t="shared" si="15"/>
        <v>0</v>
      </c>
      <c r="I466" s="4" t="str">
        <f>IF(AND(B466="",C466="",D466="",E466="",F466=""),"",IF(OR(B466="",C466="",E466=""),"БЛОК: нужны дата, тип операции и сумма",IF(N(E466)&lt;=0,"БЛОК: сумма должна быть больше нуля",IF(AND(H466&lt;&gt;0,F466=""),"БЛОК: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отделить",IF(AND(G466&lt;&gt;0,F466=""),"БЛОК: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нельзя",IF(AND(F466&lt;&gt;"",COUNTIF('Долг по актам'!$B$5:$B$34,F466)=0),"БЛОК: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договору")&gt;0)*($C$5:$C$504&lt;&gt;C466)*($E$5:$E$504=E466)*(($D$5:$D$504=D466)*(D466&lt;&gt;"")+($B$5:$B$504=B466)*(B466&lt;&gt;"")&gt;0))&gt;0,"БЛОК: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66" s="3" t="str">
        <f>IF(AND(B466="",C466="",E466=""),"",SUM($G$5:G466))</f>
        <v/>
      </c>
    </row>
    <row r="467" spans="1:10" x14ac:dyDescent="0.3">
      <c r="A467" s="4">
        <v>463</v>
      </c>
      <c r="B467" s="5"/>
      <c r="C467" s="6"/>
      <c r="D467" s="6"/>
      <c r="E467" s="7"/>
      <c r="F467" s="6"/>
      <c r="G467" s="3">
        <f t="shared" si="14"/>
        <v>0</v>
      </c>
      <c r="H467" s="3">
        <f t="shared" si="15"/>
        <v>0</v>
      </c>
      <c r="I467" s="4" t="str">
        <f>IF(AND(B467="",C467="",D467="",E467="",F467=""),"",IF(OR(B467="",C467="",E467=""),"БЛОК: нужны дата, тип операции и сумма",IF(N(E467)&lt;=0,"БЛОК: сумма должна быть больше нуля",IF(AND(H467&lt;&gt;0,F467=""),"БЛОК: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отделить",IF(AND(G467&lt;&gt;0,F467=""),"БЛОК: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нельзя",IF(AND(F467&lt;&gt;"",COUNTIF('Долг по актам'!$B$5:$B$34,F467)=0),"БЛОК: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договору")&gt;0)*($C$5:$C$504&lt;&gt;C467)*($E$5:$E$504=E467)*(($D$5:$D$504=D467)*(D467&lt;&gt;"")+($B$5:$B$504=B467)*(B467&lt;&gt;"")&gt;0))&gt;0,"БЛОК: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67" s="3" t="str">
        <f>IF(AND(B467="",C467="",E467=""),"",SUM($G$5:G467))</f>
        <v/>
      </c>
    </row>
    <row r="468" spans="1:10" x14ac:dyDescent="0.3">
      <c r="A468" s="4">
        <v>464</v>
      </c>
      <c r="B468" s="5"/>
      <c r="C468" s="6"/>
      <c r="D468" s="6"/>
      <c r="E468" s="7"/>
      <c r="F468" s="6"/>
      <c r="G468" s="3">
        <f t="shared" si="14"/>
        <v>0</v>
      </c>
      <c r="H468" s="3">
        <f t="shared" si="15"/>
        <v>0</v>
      </c>
      <c r="I468" s="4" t="str">
        <f>IF(AND(B468="",C468="",D468="",E468="",F468=""),"",IF(OR(B468="",C468="",E468=""),"БЛОК: нужны дата, тип операции и сумма",IF(N(E468)&lt;=0,"БЛОК: сумма должна быть больше нуля",IF(AND(H468&lt;&gt;0,F468=""),"БЛОК: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отделить",IF(AND(G468&lt;&gt;0,F468=""),"БЛОК: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нельзя",IF(AND(F468&lt;&gt;"",COUNTIF('Долг по актам'!$B$5:$B$34,F468)=0),"БЛОК: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договору")&gt;0)*($C$5:$C$504&lt;&gt;C468)*($E$5:$E$504=E468)*(($D$5:$D$504=D468)*(D468&lt;&gt;"")+($B$5:$B$504=B468)*(B468&lt;&gt;"")&gt;0))&gt;0,"БЛОК: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68" s="3" t="str">
        <f>IF(AND(B468="",C468="",E468=""),"",SUM($G$5:G468))</f>
        <v/>
      </c>
    </row>
    <row r="469" spans="1:10" x14ac:dyDescent="0.3">
      <c r="A469" s="4">
        <v>465</v>
      </c>
      <c r="B469" s="5"/>
      <c r="C469" s="6"/>
      <c r="D469" s="6"/>
      <c r="E469" s="7"/>
      <c r="F469" s="6"/>
      <c r="G469" s="3">
        <f t="shared" si="14"/>
        <v>0</v>
      </c>
      <c r="H469" s="3">
        <f t="shared" si="15"/>
        <v>0</v>
      </c>
      <c r="I469" s="4" t="str">
        <f>IF(AND(B469="",C469="",D469="",E469="",F469=""),"",IF(OR(B469="",C469="",E469=""),"БЛОК: нужны дата, тип операции и сумма",IF(N(E469)&lt;=0,"БЛОК: сумма должна быть больше нуля",IF(AND(H469&lt;&gt;0,F469=""),"БЛОК: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отделить",IF(AND(G469&lt;&gt;0,F469=""),"БЛОК: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нельзя",IF(AND(F469&lt;&gt;"",COUNTIF('Долг по актам'!$B$5:$B$34,F469)=0),"БЛОК: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договору")&gt;0)*($C$5:$C$504&lt;&gt;C469)*($E$5:$E$504=E469)*(($D$5:$D$504=D469)*(D469&lt;&gt;"")+($B$5:$B$504=B469)*(B469&lt;&gt;"")&gt;0))&gt;0,"БЛОК: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69" s="3" t="str">
        <f>IF(AND(B469="",C469="",E469=""),"",SUM($G$5:G469))</f>
        <v/>
      </c>
    </row>
    <row r="470" spans="1:10" x14ac:dyDescent="0.3">
      <c r="A470" s="4">
        <v>466</v>
      </c>
      <c r="B470" s="5"/>
      <c r="C470" s="6"/>
      <c r="D470" s="6"/>
      <c r="E470" s="7"/>
      <c r="F470" s="6"/>
      <c r="G470" s="3">
        <f t="shared" si="14"/>
        <v>0</v>
      </c>
      <c r="H470" s="3">
        <f t="shared" si="15"/>
        <v>0</v>
      </c>
      <c r="I470" s="4" t="str">
        <f>IF(AND(B470="",C470="",D470="",E470="",F470=""),"",IF(OR(B470="",C470="",E470=""),"БЛОК: нужны дата, тип операции и сумма",IF(N(E470)&lt;=0,"БЛОК: сумма должна быть больше нуля",IF(AND(H470&lt;&gt;0,F470=""),"БЛОК: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отделить",IF(AND(G470&lt;&gt;0,F470=""),"БЛОК: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нельзя",IF(AND(F470&lt;&gt;"",COUNTIF('Долг по актам'!$B$5:$B$34,F470)=0),"БЛОК: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договору")&gt;0)*($C$5:$C$504&lt;&gt;C470)*($E$5:$E$504=E470)*(($D$5:$D$504=D470)*(D470&lt;&gt;"")+($B$5:$B$504=B470)*(B470&lt;&gt;"")&gt;0))&gt;0,"БЛОК: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70" s="3" t="str">
        <f>IF(AND(B470="",C470="",E470=""),"",SUM($G$5:G470))</f>
        <v/>
      </c>
    </row>
    <row r="471" spans="1:10" x14ac:dyDescent="0.3">
      <c r="A471" s="4">
        <v>467</v>
      </c>
      <c r="B471" s="5"/>
      <c r="C471" s="6"/>
      <c r="D471" s="6"/>
      <c r="E471" s="7"/>
      <c r="F471" s="6"/>
      <c r="G471" s="3">
        <f t="shared" si="14"/>
        <v>0</v>
      </c>
      <c r="H471" s="3">
        <f t="shared" si="15"/>
        <v>0</v>
      </c>
      <c r="I471" s="4" t="str">
        <f>IF(AND(B471="",C471="",D471="",E471="",F471=""),"",IF(OR(B471="",C471="",E471=""),"БЛОК: нужны дата, тип операции и сумма",IF(N(E471)&lt;=0,"БЛОК: сумма должна быть больше нуля",IF(AND(H471&lt;&gt;0,F471=""),"БЛОК: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отделить",IF(AND(G471&lt;&gt;0,F471=""),"БЛОК: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нельзя",IF(AND(F471&lt;&gt;"",COUNTIF('Долг по актам'!$B$5:$B$34,F471)=0),"БЛОК: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договору")&gt;0)*($C$5:$C$504&lt;&gt;C471)*($E$5:$E$504=E471)*(($D$5:$D$504=D471)*(D471&lt;&gt;"")+($B$5:$B$504=B471)*(B471&lt;&gt;"")&gt;0))&gt;0,"БЛОК: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71" s="3" t="str">
        <f>IF(AND(B471="",C471="",E471=""),"",SUM($G$5:G471))</f>
        <v/>
      </c>
    </row>
    <row r="472" spans="1:10" x14ac:dyDescent="0.3">
      <c r="A472" s="4">
        <v>468</v>
      </c>
      <c r="B472" s="5"/>
      <c r="C472" s="6"/>
      <c r="D472" s="6"/>
      <c r="E472" s="7"/>
      <c r="F472" s="6"/>
      <c r="G472" s="3">
        <f t="shared" si="14"/>
        <v>0</v>
      </c>
      <c r="H472" s="3">
        <f t="shared" si="15"/>
        <v>0</v>
      </c>
      <c r="I472" s="4" t="str">
        <f>IF(AND(B472="",C472="",D472="",E472="",F472=""),"",IF(OR(B472="",C472="",E472=""),"БЛОК: нужны дата, тип операции и сумма",IF(N(E472)&lt;=0,"БЛОК: сумма должна быть больше нуля",IF(AND(H472&lt;&gt;0,F472=""),"БЛОК: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отделить",IF(AND(G472&lt;&gt;0,F472=""),"БЛОК: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нельзя",IF(AND(F472&lt;&gt;"",COUNTIF('Долг по актам'!$B$5:$B$34,F472)=0),"БЛОК: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договору")&gt;0)*($C$5:$C$504&lt;&gt;C472)*($E$5:$E$504=E472)*(($D$5:$D$504=D472)*(D472&lt;&gt;"")+($B$5:$B$504=B472)*(B472&lt;&gt;"")&gt;0))&gt;0,"БЛОК: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72" s="3" t="str">
        <f>IF(AND(B472="",C472="",E472=""),"",SUM($G$5:G472))</f>
        <v/>
      </c>
    </row>
    <row r="473" spans="1:10" x14ac:dyDescent="0.3">
      <c r="A473" s="4">
        <v>469</v>
      </c>
      <c r="B473" s="5"/>
      <c r="C473" s="6"/>
      <c r="D473" s="6"/>
      <c r="E473" s="7"/>
      <c r="F473" s="6"/>
      <c r="G473" s="3">
        <f t="shared" si="14"/>
        <v>0</v>
      </c>
      <c r="H473" s="3">
        <f t="shared" si="15"/>
        <v>0</v>
      </c>
      <c r="I473" s="4" t="str">
        <f>IF(AND(B473="",C473="",D473="",E473="",F473=""),"",IF(OR(B473="",C473="",E473=""),"БЛОК: нужны дата, тип операции и сумма",IF(N(E473)&lt;=0,"БЛОК: сумма должна быть больше нуля",IF(AND(H473&lt;&gt;0,F473=""),"БЛОК: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отделить",IF(AND(G473&lt;&gt;0,F473=""),"БЛОК: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нельзя",IF(AND(F473&lt;&gt;"",COUNTIF('Долг по актам'!$B$5:$B$34,F473)=0),"БЛОК: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договору")&gt;0)*($C$5:$C$504&lt;&gt;C473)*($E$5:$E$504=E473)*(($D$5:$D$504=D473)*(D473&lt;&gt;"")+($B$5:$B$504=B473)*(B473&lt;&gt;"")&gt;0))&gt;0,"БЛОК: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73" s="3" t="str">
        <f>IF(AND(B473="",C473="",E473=""),"",SUM($G$5:G473))</f>
        <v/>
      </c>
    </row>
    <row r="474" spans="1:10" x14ac:dyDescent="0.3">
      <c r="A474" s="4">
        <v>470</v>
      </c>
      <c r="B474" s="5"/>
      <c r="C474" s="6"/>
      <c r="D474" s="6"/>
      <c r="E474" s="7"/>
      <c r="F474" s="6"/>
      <c r="G474" s="3">
        <f t="shared" si="14"/>
        <v>0</v>
      </c>
      <c r="H474" s="3">
        <f t="shared" si="15"/>
        <v>0</v>
      </c>
      <c r="I474" s="4" t="str">
        <f>IF(AND(B474="",C474="",D474="",E474="",F474=""),"",IF(OR(B474="",C474="",E474=""),"БЛОК: нужны дата, тип операции и сумма",IF(N(E474)&lt;=0,"БЛОК: сумма должна быть больше нуля",IF(AND(H474&lt;&gt;0,F474=""),"БЛОК: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отделить",IF(AND(G474&lt;&gt;0,F474=""),"БЛОК: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нельзя",IF(AND(F474&lt;&gt;"",COUNTIF('Долг по актам'!$B$5:$B$34,F474)=0),"БЛОК: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договору")&gt;0)*($C$5:$C$504&lt;&gt;C474)*($E$5:$E$504=E474)*(($D$5:$D$504=D474)*(D474&lt;&gt;"")+($B$5:$B$504=B474)*(B474&lt;&gt;"")&gt;0))&gt;0,"БЛОК: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74" s="3" t="str">
        <f>IF(AND(B474="",C474="",E474=""),"",SUM($G$5:G474))</f>
        <v/>
      </c>
    </row>
    <row r="475" spans="1:10" x14ac:dyDescent="0.3">
      <c r="A475" s="4">
        <v>471</v>
      </c>
      <c r="B475" s="5"/>
      <c r="C475" s="6"/>
      <c r="D475" s="6"/>
      <c r="E475" s="7"/>
      <c r="F475" s="6"/>
      <c r="G475" s="3">
        <f t="shared" si="14"/>
        <v>0</v>
      </c>
      <c r="H475" s="3">
        <f t="shared" si="15"/>
        <v>0</v>
      </c>
      <c r="I475" s="4" t="str">
        <f>IF(AND(B475="",C475="",D475="",E475="",F475=""),"",IF(OR(B475="",C475="",E475=""),"БЛОК: нужны дата, тип операции и сумма",IF(N(E475)&lt;=0,"БЛОК: сумма должна быть больше нуля",IF(AND(H475&lt;&gt;0,F475=""),"БЛОК: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отделить",IF(AND(G475&lt;&gt;0,F475=""),"БЛОК: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нельзя",IF(AND(F475&lt;&gt;"",COUNTIF('Долг по актам'!$B$5:$B$34,F475)=0),"БЛОК: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договору")&gt;0)*($C$5:$C$504&lt;&gt;C475)*($E$5:$E$504=E475)*(($D$5:$D$504=D475)*(D475&lt;&gt;"")+($B$5:$B$504=B475)*(B475&lt;&gt;"")&gt;0))&gt;0,"БЛОК: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75" s="3" t="str">
        <f>IF(AND(B475="",C475="",E475=""),"",SUM($G$5:G475))</f>
        <v/>
      </c>
    </row>
    <row r="476" spans="1:10" x14ac:dyDescent="0.3">
      <c r="A476" s="4">
        <v>472</v>
      </c>
      <c r="B476" s="5"/>
      <c r="C476" s="6"/>
      <c r="D476" s="6"/>
      <c r="E476" s="7"/>
      <c r="F476" s="6"/>
      <c r="G476" s="3">
        <f t="shared" si="14"/>
        <v>0</v>
      </c>
      <c r="H476" s="3">
        <f t="shared" si="15"/>
        <v>0</v>
      </c>
      <c r="I476" s="4" t="str">
        <f>IF(AND(B476="",C476="",D476="",E476="",F476=""),"",IF(OR(B476="",C476="",E476=""),"БЛОК: нужны дата, тип операции и сумма",IF(N(E476)&lt;=0,"БЛОК: сумма должна быть больше нуля",IF(AND(H476&lt;&gt;0,F476=""),"БЛОК: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отделить",IF(AND(G476&lt;&gt;0,F476=""),"БЛОК: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нельзя",IF(AND(F476&lt;&gt;"",COUNTIF('Долг по актам'!$B$5:$B$34,F476)=0),"БЛОК: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договору")&gt;0)*($C$5:$C$504&lt;&gt;C476)*($E$5:$E$504=E476)*(($D$5:$D$504=D476)*(D476&lt;&gt;"")+($B$5:$B$504=B476)*(B476&lt;&gt;"")&gt;0))&gt;0,"БЛОК: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76" s="3" t="str">
        <f>IF(AND(B476="",C476="",E476=""),"",SUM($G$5:G476))</f>
        <v/>
      </c>
    </row>
    <row r="477" spans="1:10" x14ac:dyDescent="0.3">
      <c r="A477" s="4">
        <v>473</v>
      </c>
      <c r="B477" s="5"/>
      <c r="C477" s="6"/>
      <c r="D477" s="6"/>
      <c r="E477" s="7"/>
      <c r="F477" s="6"/>
      <c r="G477" s="3">
        <f t="shared" si="14"/>
        <v>0</v>
      </c>
      <c r="H477" s="3">
        <f t="shared" si="15"/>
        <v>0</v>
      </c>
      <c r="I477" s="4" t="str">
        <f>IF(AND(B477="",C477="",D477="",E477="",F477=""),"",IF(OR(B477="",C477="",E477=""),"БЛОК: нужны дата, тип операции и сумма",IF(N(E477)&lt;=0,"БЛОК: сумма должна быть больше нуля",IF(AND(H477&lt;&gt;0,F477=""),"БЛОК: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отделить",IF(AND(G477&lt;&gt;0,F477=""),"БЛОК: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нельзя",IF(AND(F477&lt;&gt;"",COUNTIF('Долг по актам'!$B$5:$B$34,F477)=0),"БЛОК: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договору")&gt;0)*($C$5:$C$504&lt;&gt;C477)*($E$5:$E$504=E477)*(($D$5:$D$504=D477)*(D477&lt;&gt;"")+($B$5:$B$504=B477)*(B477&lt;&gt;"")&gt;0))&gt;0,"БЛОК: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77" s="3" t="str">
        <f>IF(AND(B477="",C477="",E477=""),"",SUM($G$5:G477))</f>
        <v/>
      </c>
    </row>
    <row r="478" spans="1:10" x14ac:dyDescent="0.3">
      <c r="A478" s="4">
        <v>474</v>
      </c>
      <c r="B478" s="5"/>
      <c r="C478" s="6"/>
      <c r="D478" s="6"/>
      <c r="E478" s="7"/>
      <c r="F478" s="6"/>
      <c r="G478" s="3">
        <f t="shared" si="14"/>
        <v>0</v>
      </c>
      <c r="H478" s="3">
        <f t="shared" si="15"/>
        <v>0</v>
      </c>
      <c r="I478" s="4" t="str">
        <f>IF(AND(B478="",C478="",D478="",E478="",F478=""),"",IF(OR(B478="",C478="",E478=""),"БЛОК: нужны дата, тип операции и сумма",IF(N(E478)&lt;=0,"БЛОК: сумма должна быть больше нуля",IF(AND(H478&lt;&gt;0,F478=""),"БЛОК: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отделить",IF(AND(G478&lt;&gt;0,F478=""),"БЛОК: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нельзя",IF(AND(F478&lt;&gt;"",COUNTIF('Долг по актам'!$B$5:$B$34,F478)=0),"БЛОК: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договору")&gt;0)*($C$5:$C$504&lt;&gt;C478)*($E$5:$E$504=E478)*(($D$5:$D$504=D478)*(D478&lt;&gt;"")+($B$5:$B$504=B478)*(B478&lt;&gt;"")&gt;0))&gt;0,"БЛОК: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78" s="3" t="str">
        <f>IF(AND(B478="",C478="",E478=""),"",SUM($G$5:G478))</f>
        <v/>
      </c>
    </row>
    <row r="479" spans="1:10" x14ac:dyDescent="0.3">
      <c r="A479" s="4">
        <v>475</v>
      </c>
      <c r="B479" s="5"/>
      <c r="C479" s="6"/>
      <c r="D479" s="6"/>
      <c r="E479" s="7"/>
      <c r="F479" s="6"/>
      <c r="G479" s="3">
        <f t="shared" si="14"/>
        <v>0</v>
      </c>
      <c r="H479" s="3">
        <f t="shared" si="15"/>
        <v>0</v>
      </c>
      <c r="I479" s="4" t="str">
        <f>IF(AND(B479="",C479="",D479="",E479="",F479=""),"",IF(OR(B479="",C479="",E479=""),"БЛОК: нужны дата, тип операции и сумма",IF(N(E479)&lt;=0,"БЛОК: сумма должна быть больше нуля",IF(AND(H479&lt;&gt;0,F479=""),"БЛОК: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отделить",IF(AND(G479&lt;&gt;0,F479=""),"БЛОК: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нельзя",IF(AND(F479&lt;&gt;"",COUNTIF('Долг по актам'!$B$5:$B$34,F479)=0),"БЛОК: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договору")&gt;0)*($C$5:$C$504&lt;&gt;C479)*($E$5:$E$504=E479)*(($D$5:$D$504=D479)*(D479&lt;&gt;"")+($B$5:$B$504=B479)*(B479&lt;&gt;"")&gt;0))&gt;0,"БЛОК: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79" s="3" t="str">
        <f>IF(AND(B479="",C479="",E479=""),"",SUM($G$5:G479))</f>
        <v/>
      </c>
    </row>
    <row r="480" spans="1:10" x14ac:dyDescent="0.3">
      <c r="A480" s="4">
        <v>476</v>
      </c>
      <c r="B480" s="5"/>
      <c r="C480" s="6"/>
      <c r="D480" s="6"/>
      <c r="E480" s="7"/>
      <c r="F480" s="6"/>
      <c r="G480" s="3">
        <f t="shared" si="14"/>
        <v>0</v>
      </c>
      <c r="H480" s="3">
        <f t="shared" si="15"/>
        <v>0</v>
      </c>
      <c r="I480" s="4" t="str">
        <f>IF(AND(B480="",C480="",D480="",E480="",F480=""),"",IF(OR(B480="",C480="",E480=""),"БЛОК: нужны дата, тип операции и сумма",IF(N(E480)&lt;=0,"БЛОК: сумма должна быть больше нуля",IF(AND(H480&lt;&gt;0,F480=""),"БЛОК: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отделить",IF(AND(G480&lt;&gt;0,F480=""),"БЛОК: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нельзя",IF(AND(F480&lt;&gt;"",COUNTIF('Долг по актам'!$B$5:$B$34,F480)=0),"БЛОК: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договору")&gt;0)*($C$5:$C$504&lt;&gt;C480)*($E$5:$E$504=E480)*(($D$5:$D$504=D480)*(D480&lt;&gt;"")+($B$5:$B$504=B480)*(B480&lt;&gt;"")&gt;0))&gt;0,"БЛОК: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80" s="3" t="str">
        <f>IF(AND(B480="",C480="",E480=""),"",SUM($G$5:G480))</f>
        <v/>
      </c>
    </row>
    <row r="481" spans="1:10" x14ac:dyDescent="0.3">
      <c r="A481" s="4">
        <v>477</v>
      </c>
      <c r="B481" s="5"/>
      <c r="C481" s="6"/>
      <c r="D481" s="6"/>
      <c r="E481" s="7"/>
      <c r="F481" s="6"/>
      <c r="G481" s="3">
        <f t="shared" si="14"/>
        <v>0</v>
      </c>
      <c r="H481" s="3">
        <f t="shared" si="15"/>
        <v>0</v>
      </c>
      <c r="I481" s="4" t="str">
        <f>IF(AND(B481="",C481="",D481="",E481="",F481=""),"",IF(OR(B481="",C481="",E481=""),"БЛОК: нужны дата, тип операции и сумма",IF(N(E481)&lt;=0,"БЛОК: сумма должна быть больше нуля",IF(AND(H481&lt;&gt;0,F481=""),"БЛОК: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отделить",IF(AND(G481&lt;&gt;0,F481=""),"БЛОК: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нельзя",IF(AND(F481&lt;&gt;"",COUNTIF('Долг по актам'!$B$5:$B$34,F481)=0),"БЛОК: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договору")&gt;0)*($C$5:$C$504&lt;&gt;C481)*($E$5:$E$504=E481)*(($D$5:$D$504=D481)*(D481&lt;&gt;"")+($B$5:$B$504=B481)*(B481&lt;&gt;"")&gt;0))&gt;0,"БЛОК: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81" s="3" t="str">
        <f>IF(AND(B481="",C481="",E481=""),"",SUM($G$5:G481))</f>
        <v/>
      </c>
    </row>
    <row r="482" spans="1:10" x14ac:dyDescent="0.3">
      <c r="A482" s="4">
        <v>478</v>
      </c>
      <c r="B482" s="5"/>
      <c r="C482" s="6"/>
      <c r="D482" s="6"/>
      <c r="E482" s="7"/>
      <c r="F482" s="6"/>
      <c r="G482" s="3">
        <f t="shared" si="14"/>
        <v>0</v>
      </c>
      <c r="H482" s="3">
        <f t="shared" si="15"/>
        <v>0</v>
      </c>
      <c r="I482" s="4" t="str">
        <f>IF(AND(B482="",C482="",D482="",E482="",F482=""),"",IF(OR(B482="",C482="",E482=""),"БЛОК: нужны дата, тип операции и сумма",IF(N(E482)&lt;=0,"БЛОК: сумма должна быть больше нуля",IF(AND(H482&lt;&gt;0,F482=""),"БЛОК: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отделить",IF(AND(G482&lt;&gt;0,F482=""),"БЛОК: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нельзя",IF(AND(F482&lt;&gt;"",COUNTIF('Долг по актам'!$B$5:$B$34,F482)=0),"БЛОК: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договору")&gt;0)*($C$5:$C$504&lt;&gt;C482)*($E$5:$E$504=E482)*(($D$5:$D$504=D482)*(D482&lt;&gt;"")+($B$5:$B$504=B482)*(B482&lt;&gt;"")&gt;0))&gt;0,"БЛОК: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82" s="3" t="str">
        <f>IF(AND(B482="",C482="",E482=""),"",SUM($G$5:G482))</f>
        <v/>
      </c>
    </row>
    <row r="483" spans="1:10" x14ac:dyDescent="0.3">
      <c r="A483" s="4">
        <v>479</v>
      </c>
      <c r="B483" s="5"/>
      <c r="C483" s="6"/>
      <c r="D483" s="6"/>
      <c r="E483" s="7"/>
      <c r="F483" s="6"/>
      <c r="G483" s="3">
        <f t="shared" si="14"/>
        <v>0</v>
      </c>
      <c r="H483" s="3">
        <f t="shared" si="15"/>
        <v>0</v>
      </c>
      <c r="I483" s="4" t="str">
        <f>IF(AND(B483="",C483="",D483="",E483="",F483=""),"",IF(OR(B483="",C483="",E483=""),"БЛОК: нужны дата, тип операции и сумма",IF(N(E483)&lt;=0,"БЛОК: сумма должна быть больше нуля",IF(AND(H483&lt;&gt;0,F483=""),"БЛОК: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отделить",IF(AND(G483&lt;&gt;0,F483=""),"БЛОК: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нельзя",IF(AND(F483&lt;&gt;"",COUNTIF('Долг по актам'!$B$5:$B$34,F483)=0),"БЛОК: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договору")&gt;0)*($C$5:$C$504&lt;&gt;C483)*($E$5:$E$504=E483)*(($D$5:$D$504=D483)*(D483&lt;&gt;"")+($B$5:$B$504=B483)*(B483&lt;&gt;"")&gt;0))&gt;0,"БЛОК: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83" s="3" t="str">
        <f>IF(AND(B483="",C483="",E483=""),"",SUM($G$5:G483))</f>
        <v/>
      </c>
    </row>
    <row r="484" spans="1:10" x14ac:dyDescent="0.3">
      <c r="A484" s="4">
        <v>480</v>
      </c>
      <c r="B484" s="5"/>
      <c r="C484" s="6"/>
      <c r="D484" s="6"/>
      <c r="E484" s="7"/>
      <c r="F484" s="6"/>
      <c r="G484" s="3">
        <f t="shared" si="14"/>
        <v>0</v>
      </c>
      <c r="H484" s="3">
        <f t="shared" si="15"/>
        <v>0</v>
      </c>
      <c r="I484" s="4" t="str">
        <f>IF(AND(B484="",C484="",D484="",E484="",F484=""),"",IF(OR(B484="",C484="",E484=""),"БЛОК: нужны дата, тип операции и сумма",IF(N(E484)&lt;=0,"БЛОК: сумма должна быть больше нуля",IF(AND(H484&lt;&gt;0,F484=""),"БЛОК: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отделить",IF(AND(G484&lt;&gt;0,F484=""),"БЛОК: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нельзя",IF(AND(F484&lt;&gt;"",COUNTIF('Долг по актам'!$B$5:$B$34,F484)=0),"БЛОК: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договору")&gt;0)*($C$5:$C$504&lt;&gt;C484)*($E$5:$E$504=E484)*(($D$5:$D$504=D484)*(D484&lt;&gt;"")+($B$5:$B$504=B484)*(B484&lt;&gt;"")&gt;0))&gt;0,"БЛОК: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84" s="3" t="str">
        <f>IF(AND(B484="",C484="",E484=""),"",SUM($G$5:G484))</f>
        <v/>
      </c>
    </row>
    <row r="485" spans="1:10" x14ac:dyDescent="0.3">
      <c r="A485" s="4">
        <v>481</v>
      </c>
      <c r="B485" s="5"/>
      <c r="C485" s="6"/>
      <c r="D485" s="6"/>
      <c r="E485" s="7"/>
      <c r="F485" s="6"/>
      <c r="G485" s="3">
        <f t="shared" si="14"/>
        <v>0</v>
      </c>
      <c r="H485" s="3">
        <f t="shared" si="15"/>
        <v>0</v>
      </c>
      <c r="I485" s="4" t="str">
        <f>IF(AND(B485="",C485="",D485="",E485="",F485=""),"",IF(OR(B485="",C485="",E485=""),"БЛОК: нужны дата, тип операции и сумма",IF(N(E485)&lt;=0,"БЛОК: сумма должна быть больше нуля",IF(AND(H485&lt;&gt;0,F485=""),"БЛОК: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отделить",IF(AND(G485&lt;&gt;0,F485=""),"БЛОК: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нельзя",IF(AND(F485&lt;&gt;"",COUNTIF('Долг по актам'!$B$5:$B$34,F485)=0),"БЛОК: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договору")&gt;0)*($C$5:$C$504&lt;&gt;C485)*($E$5:$E$504=E485)*(($D$5:$D$504=D485)*(D485&lt;&gt;"")+($B$5:$B$504=B485)*(B485&lt;&gt;"")&gt;0))&gt;0,"БЛОК: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85" s="3" t="str">
        <f>IF(AND(B485="",C485="",E485=""),"",SUM($G$5:G485))</f>
        <v/>
      </c>
    </row>
    <row r="486" spans="1:10" x14ac:dyDescent="0.3">
      <c r="A486" s="4">
        <v>482</v>
      </c>
      <c r="B486" s="5"/>
      <c r="C486" s="6"/>
      <c r="D486" s="6"/>
      <c r="E486" s="7"/>
      <c r="F486" s="6"/>
      <c r="G486" s="3">
        <f t="shared" si="14"/>
        <v>0</v>
      </c>
      <c r="H486" s="3">
        <f t="shared" si="15"/>
        <v>0</v>
      </c>
      <c r="I486" s="4" t="str">
        <f>IF(AND(B486="",C486="",D486="",E486="",F486=""),"",IF(OR(B486="",C486="",E486=""),"БЛОК: нужны дата, тип операции и сумма",IF(N(E486)&lt;=0,"БЛОК: сумма должна быть больше нуля",IF(AND(H486&lt;&gt;0,F486=""),"БЛОК: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отделить",IF(AND(G486&lt;&gt;0,F486=""),"БЛОК: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нельзя",IF(AND(F486&lt;&gt;"",COUNTIF('Долг по актам'!$B$5:$B$34,F486)=0),"БЛОК: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договору")&gt;0)*($C$5:$C$504&lt;&gt;C486)*($E$5:$E$504=E486)*(($D$5:$D$504=D486)*(D486&lt;&gt;"")+($B$5:$B$504=B486)*(B486&lt;&gt;"")&gt;0))&gt;0,"БЛОК: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86" s="3" t="str">
        <f>IF(AND(B486="",C486="",E486=""),"",SUM($G$5:G486))</f>
        <v/>
      </c>
    </row>
    <row r="487" spans="1:10" x14ac:dyDescent="0.3">
      <c r="A487" s="4">
        <v>483</v>
      </c>
      <c r="B487" s="5"/>
      <c r="C487" s="6"/>
      <c r="D487" s="6"/>
      <c r="E487" s="7"/>
      <c r="F487" s="6"/>
      <c r="G487" s="3">
        <f t="shared" si="14"/>
        <v>0</v>
      </c>
      <c r="H487" s="3">
        <f t="shared" si="15"/>
        <v>0</v>
      </c>
      <c r="I487" s="4" t="str">
        <f>IF(AND(B487="",C487="",D487="",E487="",F487=""),"",IF(OR(B487="",C487="",E487=""),"БЛОК: нужны дата, тип операции и сумма",IF(N(E487)&lt;=0,"БЛОК: сумма должна быть больше нуля",IF(AND(H487&lt;&gt;0,F487=""),"БЛОК: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отделить",IF(AND(G487&lt;&gt;0,F487=""),"БЛОК: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нельзя",IF(AND(F487&lt;&gt;"",COUNTIF('Долг по актам'!$B$5:$B$34,F487)=0),"БЛОК: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договору")&gt;0)*($C$5:$C$504&lt;&gt;C487)*($E$5:$E$504=E487)*(($D$5:$D$504=D487)*(D487&lt;&gt;"")+($B$5:$B$504=B487)*(B487&lt;&gt;"")&gt;0))&gt;0,"БЛОК: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87" s="3" t="str">
        <f>IF(AND(B487="",C487="",E487=""),"",SUM($G$5:G487))</f>
        <v/>
      </c>
    </row>
    <row r="488" spans="1:10" x14ac:dyDescent="0.3">
      <c r="A488" s="4">
        <v>484</v>
      </c>
      <c r="B488" s="5"/>
      <c r="C488" s="6"/>
      <c r="D488" s="6"/>
      <c r="E488" s="7"/>
      <c r="F488" s="6"/>
      <c r="G488" s="3">
        <f t="shared" si="14"/>
        <v>0</v>
      </c>
      <c r="H488" s="3">
        <f t="shared" si="15"/>
        <v>0</v>
      </c>
      <c r="I488" s="4" t="str">
        <f>IF(AND(B488="",C488="",D488="",E488="",F488=""),"",IF(OR(B488="",C488="",E488=""),"БЛОК: нужны дата, тип операции и сумма",IF(N(E488)&lt;=0,"БЛОК: сумма должна быть больше нуля",IF(AND(H488&lt;&gt;0,F488=""),"БЛОК: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отделить",IF(AND(G488&lt;&gt;0,F488=""),"БЛОК: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нельзя",IF(AND(F488&lt;&gt;"",COUNTIF('Долг по актам'!$B$5:$B$34,F488)=0),"БЛОК: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договору")&gt;0)*($C$5:$C$504&lt;&gt;C488)*($E$5:$E$504=E488)*(($D$5:$D$504=D488)*(D488&lt;&gt;"")+($B$5:$B$504=B488)*(B488&lt;&gt;"")&gt;0))&gt;0,"БЛОК: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88" s="3" t="str">
        <f>IF(AND(B488="",C488="",E488=""),"",SUM($G$5:G488))</f>
        <v/>
      </c>
    </row>
    <row r="489" spans="1:10" x14ac:dyDescent="0.3">
      <c r="A489" s="4">
        <v>485</v>
      </c>
      <c r="B489" s="5"/>
      <c r="C489" s="6"/>
      <c r="D489" s="6"/>
      <c r="E489" s="7"/>
      <c r="F489" s="6"/>
      <c r="G489" s="3">
        <f t="shared" si="14"/>
        <v>0</v>
      </c>
      <c r="H489" s="3">
        <f t="shared" si="15"/>
        <v>0</v>
      </c>
      <c r="I489" s="4" t="str">
        <f>IF(AND(B489="",C489="",D489="",E489="",F489=""),"",IF(OR(B489="",C489="",E489=""),"БЛОК: нужны дата, тип операции и сумма",IF(N(E489)&lt;=0,"БЛОК: сумма должна быть больше нуля",IF(AND(H489&lt;&gt;0,F489=""),"БЛОК: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отделить",IF(AND(G489&lt;&gt;0,F489=""),"БЛОК: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нельзя",IF(AND(F489&lt;&gt;"",COUNTIF('Долг по актам'!$B$5:$B$34,F489)=0),"БЛОК: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договору")&gt;0)*($C$5:$C$504&lt;&gt;C489)*($E$5:$E$504=E489)*(($D$5:$D$504=D489)*(D489&lt;&gt;"")+($B$5:$B$504=B489)*(B489&lt;&gt;"")&gt;0))&gt;0,"БЛОК: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89" s="3" t="str">
        <f>IF(AND(B489="",C489="",E489=""),"",SUM($G$5:G489))</f>
        <v/>
      </c>
    </row>
    <row r="490" spans="1:10" x14ac:dyDescent="0.3">
      <c r="A490" s="4">
        <v>486</v>
      </c>
      <c r="B490" s="5"/>
      <c r="C490" s="6"/>
      <c r="D490" s="6"/>
      <c r="E490" s="7"/>
      <c r="F490" s="6"/>
      <c r="G490" s="3">
        <f t="shared" si="14"/>
        <v>0</v>
      </c>
      <c r="H490" s="3">
        <f t="shared" si="15"/>
        <v>0</v>
      </c>
      <c r="I490" s="4" t="str">
        <f>IF(AND(B490="",C490="",D490="",E490="",F490=""),"",IF(OR(B490="",C490="",E490=""),"БЛОК: нужны дата, тип операции и сумма",IF(N(E490)&lt;=0,"БЛОК: сумма должна быть больше нуля",IF(AND(H490&lt;&gt;0,F490=""),"БЛОК: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отделить",IF(AND(G490&lt;&gt;0,F490=""),"БЛОК: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нельзя",IF(AND(F490&lt;&gt;"",COUNTIF('Долг по актам'!$B$5:$B$34,F490)=0),"БЛОК: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договору")&gt;0)*($C$5:$C$504&lt;&gt;C490)*($E$5:$E$504=E490)*(($D$5:$D$504=D490)*(D490&lt;&gt;"")+($B$5:$B$504=B490)*(B490&lt;&gt;"")&gt;0))&gt;0,"БЛОК: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90" s="3" t="str">
        <f>IF(AND(B490="",C490="",E490=""),"",SUM($G$5:G490))</f>
        <v/>
      </c>
    </row>
    <row r="491" spans="1:10" x14ac:dyDescent="0.3">
      <c r="A491" s="4">
        <v>487</v>
      </c>
      <c r="B491" s="5"/>
      <c r="C491" s="6"/>
      <c r="D491" s="6"/>
      <c r="E491" s="7"/>
      <c r="F491" s="6"/>
      <c r="G491" s="3">
        <f t="shared" si="14"/>
        <v>0</v>
      </c>
      <c r="H491" s="3">
        <f t="shared" si="15"/>
        <v>0</v>
      </c>
      <c r="I491" s="4" t="str">
        <f>IF(AND(B491="",C491="",D491="",E491="",F491=""),"",IF(OR(B491="",C491="",E491=""),"БЛОК: нужны дата, тип операции и сумма",IF(N(E491)&lt;=0,"БЛОК: сумма должна быть больше нуля",IF(AND(H491&lt;&gt;0,F491=""),"БЛОК: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отделить",IF(AND(G491&lt;&gt;0,F491=""),"БЛОК: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нельзя",IF(AND(F491&lt;&gt;"",COUNTIF('Долг по актам'!$B$5:$B$34,F491)=0),"БЛОК: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договору")&gt;0)*($C$5:$C$504&lt;&gt;C491)*($E$5:$E$504=E491)*(($D$5:$D$504=D491)*(D491&lt;&gt;"")+($B$5:$B$504=B491)*(B491&lt;&gt;"")&gt;0))&gt;0,"БЛОК: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91" s="3" t="str">
        <f>IF(AND(B491="",C491="",E491=""),"",SUM($G$5:G491))</f>
        <v/>
      </c>
    </row>
    <row r="492" spans="1:10" x14ac:dyDescent="0.3">
      <c r="A492" s="4">
        <v>488</v>
      </c>
      <c r="B492" s="5"/>
      <c r="C492" s="6"/>
      <c r="D492" s="6"/>
      <c r="E492" s="7"/>
      <c r="F492" s="6"/>
      <c r="G492" s="3">
        <f t="shared" si="14"/>
        <v>0</v>
      </c>
      <c r="H492" s="3">
        <f t="shared" si="15"/>
        <v>0</v>
      </c>
      <c r="I492" s="4" t="str">
        <f>IF(AND(B492="",C492="",D492="",E492="",F492=""),"",IF(OR(B492="",C492="",E492=""),"БЛОК: нужны дата, тип операции и сумма",IF(N(E492)&lt;=0,"БЛОК: сумма должна быть больше нуля",IF(AND(H492&lt;&gt;0,F492=""),"БЛОК: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отделить",IF(AND(G492&lt;&gt;0,F492=""),"БЛОК: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нельзя",IF(AND(F492&lt;&gt;"",COUNTIF('Долг по актам'!$B$5:$B$34,F492)=0),"БЛОК: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договору")&gt;0)*($C$5:$C$504&lt;&gt;C492)*($E$5:$E$504=E492)*(($D$5:$D$504=D492)*(D492&lt;&gt;"")+($B$5:$B$504=B492)*(B492&lt;&gt;"")&gt;0))&gt;0,"БЛОК: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92" s="3" t="str">
        <f>IF(AND(B492="",C492="",E492=""),"",SUM($G$5:G492))</f>
        <v/>
      </c>
    </row>
    <row r="493" spans="1:10" x14ac:dyDescent="0.3">
      <c r="A493" s="4">
        <v>489</v>
      </c>
      <c r="B493" s="5"/>
      <c r="C493" s="6"/>
      <c r="D493" s="6"/>
      <c r="E493" s="7"/>
      <c r="F493" s="6"/>
      <c r="G493" s="3">
        <f t="shared" si="14"/>
        <v>0</v>
      </c>
      <c r="H493" s="3">
        <f t="shared" si="15"/>
        <v>0</v>
      </c>
      <c r="I493" s="4" t="str">
        <f>IF(AND(B493="",C493="",D493="",E493="",F493=""),"",IF(OR(B493="",C493="",E493=""),"БЛОК: нужны дата, тип операции и сумма",IF(N(E493)&lt;=0,"БЛОК: сумма должна быть больше нуля",IF(AND(H493&lt;&gt;0,F493=""),"БЛОК: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отделить",IF(AND(G493&lt;&gt;0,F493=""),"БЛОК: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нельзя",IF(AND(F493&lt;&gt;"",COUNTIF('Долг по актам'!$B$5:$B$34,F493)=0),"БЛОК: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договору")&gt;0)*($C$5:$C$504&lt;&gt;C493)*($E$5:$E$504=E493)*(($D$5:$D$504=D493)*(D493&lt;&gt;"")+($B$5:$B$504=B493)*(B493&lt;&gt;"")&gt;0))&gt;0,"БЛОК: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93" s="3" t="str">
        <f>IF(AND(B493="",C493="",E493=""),"",SUM($G$5:G493))</f>
        <v/>
      </c>
    </row>
    <row r="494" spans="1:10" x14ac:dyDescent="0.3">
      <c r="A494" s="4">
        <v>490</v>
      </c>
      <c r="B494" s="5"/>
      <c r="C494" s="6"/>
      <c r="D494" s="6"/>
      <c r="E494" s="7"/>
      <c r="F494" s="6"/>
      <c r="G494" s="3">
        <f t="shared" si="14"/>
        <v>0</v>
      </c>
      <c r="H494" s="3">
        <f t="shared" si="15"/>
        <v>0</v>
      </c>
      <c r="I494" s="4" t="str">
        <f>IF(AND(B494="",C494="",D494="",E494="",F494=""),"",IF(OR(B494="",C494="",E494=""),"БЛОК: нужны дата, тип операции и сумма",IF(N(E494)&lt;=0,"БЛОК: сумма должна быть больше нуля",IF(AND(H494&lt;&gt;0,F494=""),"БЛОК: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отделить",IF(AND(G494&lt;&gt;0,F494=""),"БЛОК: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нельзя",IF(AND(F494&lt;&gt;"",COUNTIF('Долг по актам'!$B$5:$B$34,F494)=0),"БЛОК: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договору")&gt;0)*($C$5:$C$504&lt;&gt;C494)*($E$5:$E$504=E494)*(($D$5:$D$504=D494)*(D494&lt;&gt;"")+($B$5:$B$504=B494)*(B494&lt;&gt;"")&gt;0))&gt;0,"БЛОК: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94" s="3" t="str">
        <f>IF(AND(B494="",C494="",E494=""),"",SUM($G$5:G494))</f>
        <v/>
      </c>
    </row>
    <row r="495" spans="1:10" x14ac:dyDescent="0.3">
      <c r="A495" s="4">
        <v>491</v>
      </c>
      <c r="B495" s="5"/>
      <c r="C495" s="6"/>
      <c r="D495" s="6"/>
      <c r="E495" s="7"/>
      <c r="F495" s="6"/>
      <c r="G495" s="3">
        <f t="shared" si="14"/>
        <v>0</v>
      </c>
      <c r="H495" s="3">
        <f t="shared" si="15"/>
        <v>0</v>
      </c>
      <c r="I495" s="4" t="str">
        <f>IF(AND(B495="",C495="",D495="",E495="",F495=""),"",IF(OR(B495="",C495="",E495=""),"БЛОК: нужны дата, тип операции и сумма",IF(N(E495)&lt;=0,"БЛОК: сумма должна быть больше нуля",IF(AND(H495&lt;&gt;0,F495=""),"БЛОК: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отделить",IF(AND(G495&lt;&gt;0,F495=""),"БЛОК: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нельзя",IF(AND(F495&lt;&gt;"",COUNTIF('Долг по актам'!$B$5:$B$34,F495)=0),"БЛОК: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договору")&gt;0)*($C$5:$C$504&lt;&gt;C495)*($E$5:$E$504=E495)*(($D$5:$D$504=D495)*(D495&lt;&gt;"")+($B$5:$B$504=B495)*(B495&lt;&gt;"")&gt;0))&gt;0,"БЛОК: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95" s="3" t="str">
        <f>IF(AND(B495="",C495="",E495=""),"",SUM($G$5:G495))</f>
        <v/>
      </c>
    </row>
    <row r="496" spans="1:10" x14ac:dyDescent="0.3">
      <c r="A496" s="4">
        <v>492</v>
      </c>
      <c r="B496" s="5"/>
      <c r="C496" s="6"/>
      <c r="D496" s="6"/>
      <c r="E496" s="7"/>
      <c r="F496" s="6"/>
      <c r="G496" s="3">
        <f t="shared" si="14"/>
        <v>0</v>
      </c>
      <c r="H496" s="3">
        <f t="shared" si="15"/>
        <v>0</v>
      </c>
      <c r="I496" s="4" t="str">
        <f>IF(AND(B496="",C496="",D496="",E496="",F496=""),"",IF(OR(B496="",C496="",E496=""),"БЛОК: нужны дата, тип операции и сумма",IF(N(E496)&lt;=0,"БЛОК: сумма должна быть больше нуля",IF(AND(H496&lt;&gt;0,F496=""),"БЛОК: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отделить",IF(AND(G496&lt;&gt;0,F496=""),"БЛОК: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нельзя",IF(AND(F496&lt;&gt;"",COUNTIF('Долг по актам'!$B$5:$B$34,F496)=0),"БЛОК: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договору")&gt;0)*($C$5:$C$504&lt;&gt;C496)*($E$5:$E$504=E496)*(($D$5:$D$504=D496)*(D496&lt;&gt;"")+($B$5:$B$504=B496)*(B496&lt;&gt;"")&gt;0))&gt;0,"БЛОК: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96" s="3" t="str">
        <f>IF(AND(B496="",C496="",E496=""),"",SUM($G$5:G496))</f>
        <v/>
      </c>
    </row>
    <row r="497" spans="1:10" x14ac:dyDescent="0.3">
      <c r="A497" s="4">
        <v>493</v>
      </c>
      <c r="B497" s="5"/>
      <c r="C497" s="6"/>
      <c r="D497" s="6"/>
      <c r="E497" s="7"/>
      <c r="F497" s="6"/>
      <c r="G497" s="3">
        <f t="shared" si="14"/>
        <v>0</v>
      </c>
      <c r="H497" s="3">
        <f t="shared" si="15"/>
        <v>0</v>
      </c>
      <c r="I497" s="4" t="str">
        <f>IF(AND(B497="",C497="",D497="",E497="",F497=""),"",IF(OR(B497="",C497="",E497=""),"БЛОК: нужны дата, тип операции и сумма",IF(N(E497)&lt;=0,"БЛОК: сумма должна быть больше нуля",IF(AND(H497&lt;&gt;0,F497=""),"БЛОК: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отделить",IF(AND(G497&lt;&gt;0,F497=""),"БЛОК: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нельзя",IF(AND(F497&lt;&gt;"",COUNTIF('Долг по актам'!$B$5:$B$34,F497)=0),"БЛОК: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договору")&gt;0)*($C$5:$C$504&lt;&gt;C497)*($E$5:$E$504=E497)*(($D$5:$D$504=D497)*(D497&lt;&gt;"")+($B$5:$B$504=B497)*(B497&lt;&gt;"")&gt;0))&gt;0,"БЛОК: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97" s="3" t="str">
        <f>IF(AND(B497="",C497="",E497=""),"",SUM($G$5:G497))</f>
        <v/>
      </c>
    </row>
    <row r="498" spans="1:10" x14ac:dyDescent="0.3">
      <c r="A498" s="4">
        <v>494</v>
      </c>
      <c r="B498" s="5"/>
      <c r="C498" s="6"/>
      <c r="D498" s="6"/>
      <c r="E498" s="7"/>
      <c r="F498" s="6"/>
      <c r="G498" s="3">
        <f t="shared" si="14"/>
        <v>0</v>
      </c>
      <c r="H498" s="3">
        <f t="shared" si="15"/>
        <v>0</v>
      </c>
      <c r="I498" s="4" t="str">
        <f>IF(AND(B498="",C498="",D498="",E498="",F498=""),"",IF(OR(B498="",C498="",E498=""),"БЛОК: нужны дата, тип операции и сумма",IF(N(E498)&lt;=0,"БЛОК: сумма должна быть больше нуля",IF(AND(H498&lt;&gt;0,F498=""),"БЛОК: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отделить",IF(AND(G498&lt;&gt;0,F498=""),"БЛОК: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нельзя",IF(AND(F498&lt;&gt;"",COUNTIF('Долг по актам'!$B$5:$B$34,F498)=0),"БЛОК: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договору")&gt;0)*($C$5:$C$504&lt;&gt;C498)*($E$5:$E$504=E498)*(($D$5:$D$504=D498)*(D498&lt;&gt;"")+($B$5:$B$504=B498)*(B498&lt;&gt;"")&gt;0))&gt;0,"БЛОК: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98" s="3" t="str">
        <f>IF(AND(B498="",C498="",E498=""),"",SUM($G$5:G498))</f>
        <v/>
      </c>
    </row>
    <row r="499" spans="1:10" x14ac:dyDescent="0.3">
      <c r="A499" s="4">
        <v>495</v>
      </c>
      <c r="B499" s="5"/>
      <c r="C499" s="6"/>
      <c r="D499" s="6"/>
      <c r="E499" s="7"/>
      <c r="F499" s="6"/>
      <c r="G499" s="3">
        <f t="shared" si="14"/>
        <v>0</v>
      </c>
      <c r="H499" s="3">
        <f t="shared" si="15"/>
        <v>0</v>
      </c>
      <c r="I499" s="4" t="str">
        <f>IF(AND(B499="",C499="",D499="",E499="",F499=""),"",IF(OR(B499="",C499="",E499=""),"БЛОК: нужны дата, тип операции и сумма",IF(N(E499)&lt;=0,"БЛОК: сумма должна быть больше нуля",IF(AND(H499&lt;&gt;0,F499=""),"БЛОК: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отделить",IF(AND(G499&lt;&gt;0,F499=""),"БЛОК: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нельзя",IF(AND(F499&lt;&gt;"",COUNTIF('Долг по актам'!$B$5:$B$34,F499)=0),"БЛОК: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договору")&gt;0)*($C$5:$C$504&lt;&gt;C499)*($E$5:$E$504=E499)*(($D$5:$D$504=D499)*(D499&lt;&gt;"")+($B$5:$B$504=B499)*(B499&lt;&gt;"")&gt;0))&gt;0,"БЛОК: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499" s="3" t="str">
        <f>IF(AND(B499="",C499="",E499=""),"",SUM($G$5:G499))</f>
        <v/>
      </c>
    </row>
    <row r="500" spans="1:10" x14ac:dyDescent="0.3">
      <c r="A500" s="4">
        <v>496</v>
      </c>
      <c r="B500" s="5"/>
      <c r="C500" s="6"/>
      <c r="D500" s="6"/>
      <c r="E500" s="7"/>
      <c r="F500" s="6"/>
      <c r="G500" s="3">
        <f t="shared" si="14"/>
        <v>0</v>
      </c>
      <c r="H500" s="3">
        <f t="shared" si="15"/>
        <v>0</v>
      </c>
      <c r="I500" s="4" t="str">
        <f>IF(AND(B500="",C500="",D500="",E500="",F500=""),"",IF(OR(B500="",C500="",E500=""),"БЛОК: нужны дата, тип операции и сумма",IF(N(E500)&lt;=0,"БЛОК: сумма должна быть больше нуля",IF(AND(H500&lt;&gt;0,F500=""),"БЛОК: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отделить",IF(AND(G500&lt;&gt;0,F500=""),"БЛОК: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нельзя",IF(AND(F500&lt;&gt;"",COUNTIF('Долг по актам'!$B$5:$B$34,F500)=0),"БЛОК: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договору")&gt;0)*($C$5:$C$504&lt;&gt;C500)*($E$5:$E$504=E500)*(($D$5:$D$504=D500)*(D500&lt;&gt;"")+($B$5:$B$504=B500)*(B500&lt;&gt;"")&gt;0))&gt;0,"БЛОК: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500" s="3" t="str">
        <f>IF(AND(B500="",C500="",E500=""),"",SUM($G$5:G500))</f>
        <v/>
      </c>
    </row>
    <row r="501" spans="1:10" x14ac:dyDescent="0.3">
      <c r="A501" s="4">
        <v>497</v>
      </c>
      <c r="B501" s="5"/>
      <c r="C501" s="6"/>
      <c r="D501" s="6"/>
      <c r="E501" s="7"/>
      <c r="F501" s="6"/>
      <c r="G501" s="3">
        <f t="shared" si="14"/>
        <v>0</v>
      </c>
      <c r="H501" s="3">
        <f t="shared" si="15"/>
        <v>0</v>
      </c>
      <c r="I501" s="4" t="str">
        <f>IF(AND(B501="",C501="",D501="",E501="",F501=""),"",IF(OR(B501="",C501="",E501=""),"БЛОК: нужны дата, тип операции и сумма",IF(N(E501)&lt;=0,"БЛОК: сумма должна быть больше нуля",IF(AND(H501&lt;&gt;0,F501=""),"БЛОК: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отделить",IF(AND(G501&lt;&gt;0,F501=""),"БЛОК: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нельзя",IF(AND(F501&lt;&gt;"",COUNTIF('Долг по актам'!$B$5:$B$34,F501)=0),"БЛОК: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договору")&gt;0)*($C$5:$C$504&lt;&gt;C501)*($E$5:$E$504=E501)*(($D$5:$D$504=D501)*(D501&lt;&gt;"")+($B$5:$B$504=B501)*(B501&lt;&gt;"")&gt;0))&gt;0,"БЛОК: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501" s="3" t="str">
        <f>IF(AND(B501="",C501="",E501=""),"",SUM($G$5:G501))</f>
        <v/>
      </c>
    </row>
    <row r="502" spans="1:10" x14ac:dyDescent="0.3">
      <c r="A502" s="4">
        <v>498</v>
      </c>
      <c r="B502" s="5"/>
      <c r="C502" s="6"/>
      <c r="D502" s="6"/>
      <c r="E502" s="7"/>
      <c r="F502" s="6"/>
      <c r="G502" s="3">
        <f t="shared" si="14"/>
        <v>0</v>
      </c>
      <c r="H502" s="3">
        <f t="shared" si="15"/>
        <v>0</v>
      </c>
      <c r="I502" s="4" t="str">
        <f>IF(AND(B502="",C502="",D502="",E502="",F502=""),"",IF(OR(B502="",C502="",E502=""),"БЛОК: нужны дата, тип операции и сумма",IF(N(E502)&lt;=0,"БЛОК: сумма должна быть больше нуля",IF(AND(H502&lt;&gt;0,F502=""),"БЛОК: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отделить",IF(AND(G502&lt;&gt;0,F502=""),"БЛОК: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нельзя",IF(AND(F502&lt;&gt;"",COUNTIF('Долг по актам'!$B$5:$B$34,F502)=0),"БЛОК: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договору")&gt;0)*($C$5:$C$504&lt;&gt;C502)*($E$5:$E$504=E502)*(($D$5:$D$504=D502)*(D502&lt;&gt;"")+($B$5:$B$504=B502)*(B502&lt;&gt;"")&gt;0))&gt;0,"БЛОК: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502" s="3" t="str">
        <f>IF(AND(B502="",C502="",E502=""),"",SUM($G$5:G502))</f>
        <v/>
      </c>
    </row>
    <row r="503" spans="1:10" x14ac:dyDescent="0.3">
      <c r="A503" s="4">
        <v>499</v>
      </c>
      <c r="B503" s="5"/>
      <c r="C503" s="6"/>
      <c r="D503" s="6"/>
      <c r="E503" s="7"/>
      <c r="F503" s="6"/>
      <c r="G503" s="3">
        <f t="shared" si="14"/>
        <v>0</v>
      </c>
      <c r="H503" s="3">
        <f t="shared" si="15"/>
        <v>0</v>
      </c>
      <c r="I503" s="4" t="str">
        <f>IF(AND(B503="",C503="",D503="",E503="",F503=""),"",IF(OR(B503="",C503="",E503=""),"БЛОК: нужны дата, тип операции и сумма",IF(N(E503)&lt;=0,"БЛОК: сумма должна быть больше нуля",IF(AND(H503&lt;&gt;0,F503=""),"БЛОК: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отделить",IF(AND(G503&lt;&gt;0,F503=""),"БЛОК: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нельзя",IF(AND(F503&lt;&gt;"",COUNTIF('Долг по актам'!$B$5:$B$34,F503)=0),"БЛОК: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договору")&gt;0)*($C$5:$C$504&lt;&gt;C503)*($E$5:$E$504=E503)*(($D$5:$D$504=D503)*(D503&lt;&gt;"")+($B$5:$B$504=B503)*(B503&lt;&gt;"")&gt;0))&gt;0,"БЛОК: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503" s="3" t="str">
        <f>IF(AND(B503="",C503="",E503=""),"",SUM($G$5:G503))</f>
        <v/>
      </c>
    </row>
    <row r="504" spans="1:10" x14ac:dyDescent="0.3">
      <c r="A504" s="4">
        <v>500</v>
      </c>
      <c r="B504" s="5"/>
      <c r="C504" s="6"/>
      <c r="D504" s="6"/>
      <c r="E504" s="7"/>
      <c r="F504" s="6"/>
      <c r="G504" s="3">
        <f t="shared" si="14"/>
        <v>0</v>
      </c>
      <c r="H504" s="3">
        <f t="shared" si="15"/>
        <v>0</v>
      </c>
      <c r="I504" s="4" t="str">
        <f>IF(AND(B504="",C504="",D504="",E504="",F504=""),"",IF(OR(B504="",C504="",E504=""),"БЛОК: нужны дата, тип операции и сумма",IF(N(E504)&lt;=0,"БЛОК: сумма должна быть больше нуля",IF(AND(H504&lt;&gt;0,F504=""),"БЛОК: у спорной операции не указан акт — укажите акт, к которому относится удержание, зачёт, неустойка или допработы: без этого бесспорную часть по акту не отделить",IF(AND(G504&lt;&gt;0,F504=""),"БЛОК: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нельзя",IF(AND(F504&lt;&gt;"",COUNTIF('Долг по актам'!$B$5:$B$34,F504)=0),"БЛОК: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договору")&gt;0)*($C$5:$C$504&lt;&gt;C504)*($E$5:$E$504=E504)*(($D$5:$D$504=D504)*(D504&lt;&gt;"")+($B$5:$B$504=B504)*(B504&lt;&gt;"")&gt;0))&gt;0,"БЛОК: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операцию","ок")))))))</f>
        <v/>
      </c>
      <c r="J504" s="3" t="str">
        <f>IF(AND(B504="",C504="",E504=""),"",SUM($G$5:G504))</f>
        <v/>
      </c>
    </row>
  </sheetData>
  <mergeCells count="3">
    <mergeCell ref="L18:M24"/>
    <mergeCell ref="A1:J1"/>
    <mergeCell ref="A2:J2"/>
  </mergeCells>
  <dataValidations count="1">
    <dataValidation type="list" allowBlank="1" errorTitle="Недопустимое значение" error="Выберите значение из списка" sqref="C5:C504" xr:uid="{00000000-0002-0000-0000-000000000000}">
      <formula1>"Начисление по акту,Оплата,Зачёт аванса по договору,Корректировка (подписана обеими сторонами),Удержание,Зачёт встречного требования,Неустойка заявлена,Допработы без соглашения (спорно)"</formula1>
    </dataValidation>
  </dataValidations>
  <pageMargins left="0.75" right="0.75" top="1" bottom="1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34"/>
  <sheetViews>
    <sheetView workbookViewId="0">
      <pane ySplit="4" topLeftCell="A23" activePane="bottomLeft" state="frozen"/>
      <selection pane="bottomLeft" sqref="A1:O1"/>
    </sheetView>
  </sheetViews>
  <sheetFormatPr defaultRowHeight="14.4" x14ac:dyDescent="0.3"/>
  <cols>
    <col min="1" max="1" width="5" customWidth="1"/>
    <col min="2" max="2" width="18.88671875" customWidth="1"/>
    <col min="3" max="3" width="24" customWidth="1"/>
    <col min="4" max="4" width="18" customWidth="1"/>
    <col min="5" max="5" width="14" customWidth="1"/>
    <col min="6" max="9" width="18" customWidth="1"/>
    <col min="10" max="10" width="24" customWidth="1"/>
    <col min="11" max="11" width="20" customWidth="1"/>
    <col min="12" max="12" width="18" customWidth="1"/>
    <col min="13" max="13" width="24" customWidth="1"/>
    <col min="14" max="14" width="16.5546875" customWidth="1"/>
    <col min="15" max="15" width="20" customWidth="1"/>
    <col min="16" max="16" width="3" customWidth="1"/>
    <col min="17" max="17" width="52" customWidth="1"/>
    <col min="18" max="18" width="22" customWidth="1"/>
  </cols>
  <sheetData>
    <row r="1" spans="1:18" ht="18" customHeight="1" x14ac:dyDescent="0.3">
      <c r="A1" s="13" t="s">
        <v>25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8" ht="48" customHeight="1" x14ac:dyDescent="0.3">
      <c r="A2" s="14" t="s">
        <v>26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4" spans="1:18" ht="57.6" x14ac:dyDescent="0.3">
      <c r="A4" s="1" t="s">
        <v>2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33</v>
      </c>
      <c r="I4" s="1" t="s">
        <v>34</v>
      </c>
      <c r="J4" s="1" t="s">
        <v>35</v>
      </c>
      <c r="K4" s="1" t="s">
        <v>36</v>
      </c>
      <c r="L4" s="1" t="s">
        <v>37</v>
      </c>
      <c r="M4" s="1" t="s">
        <v>38</v>
      </c>
      <c r="N4" s="1" t="s">
        <v>39</v>
      </c>
      <c r="O4" s="1" t="s">
        <v>40</v>
      </c>
      <c r="Q4" s="2" t="s">
        <v>41</v>
      </c>
      <c r="R4" s="3">
        <f>COUNTIF(O5:O34,"да")</f>
        <v>0</v>
      </c>
    </row>
    <row r="5" spans="1:18" x14ac:dyDescent="0.3">
      <c r="A5" s="4">
        <v>1</v>
      </c>
      <c r="B5" s="6"/>
      <c r="C5" s="6"/>
      <c r="D5" s="5"/>
      <c r="E5" s="8" t="str">
        <f t="shared" ref="E5:E34" si="0">IF(ISNUMBER(D5),D5+1,"")</f>
        <v/>
      </c>
      <c r="F5" s="3" t="str">
        <f>IF(B5="","",SUMIFS(Взаиморасчёты!$E$5:$E$504,Взаиморасчёты!$C$5:$C$504,"Начисление по акту",Взаиморасчёты!$F$5:$F$504,B5)+SUMIFS(Взаиморасчёты!$E$5:$E$504,Взаиморасчёты!$C$5:$C$504,"Корректировка (подписана обеими сторонами)",Взаиморасчёты!$F$5:$F$504,B5))</f>
        <v/>
      </c>
      <c r="G5" s="3" t="str">
        <f>IF(OR(B5="",E5=""),"",SUMIFS(Взаиморасчёты!$E$5:$E$504,Взаиморасчёты!$C$5:$C$504,"Оплата",Взаиморасчёты!$F$5:$F$504,B5,Взаиморасчёты!$B$5:$B$504,"&lt;"&amp;E5)+SUMIFS(Взаиморасчёты!$E$5:$E$504,Взаиморасчёты!$C$5:$C$504,"Зачёт аванса по договору",Взаиморасчёты!$F$5:$F$504,B5,Взаиморасчёты!$B$5:$B$504,"&lt;"&amp;E5))</f>
        <v/>
      </c>
      <c r="H5" s="3" t="str">
        <f>IF(OR(B5="",E5=""),"",IF(NOT(ISNUMBER(Взаиморасчёты!$M$10)),"ЗАБЛОКИРОВАН",F5-G5))</f>
        <v/>
      </c>
      <c r="I5" s="3" t="str">
        <f>IF(B5="","",SUMIFS(Взаиморасчёты!$H$5:$H$504,Взаиморасчёты!$F$5:$F$504,B5))</f>
        <v/>
      </c>
      <c r="J5" s="3" t="str">
        <f t="shared" ref="J5:J34" si="1">IF(OR(B5="",E5=""),"",IF(OR(NOT(ISNUMBER(L5)),N(I5)&gt;N(L5)),"ЗАБЛОКИРОВАН",H5-I5))</f>
        <v/>
      </c>
      <c r="K5" s="3" t="str">
        <f>IF(OR(B5="",E5=""),"",SUMIFS(Взаиморасчёты!$E$5:$E$504,Взаиморасчёты!$C$5:$C$504,"Оплата",Взаиморасчёты!$F$5:$F$504,B5,Взаиморасчёты!$B$5:$B$504,"&gt;="&amp;E5)+SUMIFS(Взаиморасчёты!$E$5:$E$504,Взаиморасчёты!$C$5:$C$504,"Зачёт аванса по договору",Взаиморасчёты!$F$5:$F$504,B5,Взаиморасчёты!$B$5:$B$504,"&gt;="&amp;E5))</f>
        <v/>
      </c>
      <c r="L5" s="3" t="str">
        <f t="shared" ref="L5:L34" si="2">IF(OR(B5="",E5=""),"",IF(NOT(ISNUMBER(H5)),"ЗАБЛОКИРОВАН",H5-K5))</f>
        <v/>
      </c>
      <c r="M5" s="3" t="str">
        <f t="shared" ref="M5:M34" si="3">IF(OR(B5="",E5=""),"",IF(OR(NOT(ISNUMBER(L5)),N(I5)&gt;N(L5)),"ЗАБЛОКИРОВАН",L5-I5))</f>
        <v/>
      </c>
      <c r="N5" s="4" t="str">
        <f>IF(AND(B5="",C5="",D5=""),"",IF(B5="","БЛОК: нужен идентификатор акта — по нему распределяются оплаты",IF(COUNTIF($B$5:$B$34,B5)&gt;1,"БЛОК: идентификатор акта повторяется — оплату нельзя отнести однозначно",IF(NOT(ISNUMBER(D5)),"БЛОК: нужен последний день срока оплаты по этому акту",IF(COUNTIF(Взаиморасчёты!$F$5:$F$504,B5)=0,"БЛОК: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переносится",IF(N(H5)&lt;0,"БЛОК: до первого дня просрочки оплачено и зачтено больше, чем начислено по акту — проверьте распределение",IF(N(L5)&lt;0,"БЛОК: оплаты с первого дня просрочки больше долга на первый день просрочки — проверьте распределение",IF(N(I5)&gt;N(L5),"БЛОК: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5" s="4" t="str">
        <f t="shared" ref="O5:O34" si="4">IF(OR(B5="",N5&lt;&gt;"ок"),"",IF(N(J5)&gt;0,"да","нет: бесспорного долга на первый день просрочки нет"))</f>
        <v/>
      </c>
      <c r="Q5" s="2" t="s">
        <v>42</v>
      </c>
      <c r="R5" s="3">
        <f>COUNTIF(N5:N34,"БЛОК*")</f>
        <v>0</v>
      </c>
    </row>
    <row r="6" spans="1:18" x14ac:dyDescent="0.3">
      <c r="A6" s="4">
        <v>2</v>
      </c>
      <c r="B6" s="6"/>
      <c r="C6" s="6"/>
      <c r="D6" s="5"/>
      <c r="E6" s="8" t="str">
        <f t="shared" si="0"/>
        <v/>
      </c>
      <c r="F6" s="3" t="str">
        <f>IF(B6="","",SUMIFS(Взаиморасчёты!$E$5:$E$504,Взаиморасчёты!$C$5:$C$504,"Начисление по акту",Взаиморасчёты!$F$5:$F$504,B6)+SUMIFS(Взаиморасчёты!$E$5:$E$504,Взаиморасчёты!$C$5:$C$504,"Корректировка (подписана обеими сторонами)",Взаиморасчёты!$F$5:$F$504,B6))</f>
        <v/>
      </c>
      <c r="G6" s="3" t="str">
        <f>IF(OR(B6="",E6=""),"",SUMIFS(Взаиморасчёты!$E$5:$E$504,Взаиморасчёты!$C$5:$C$504,"Оплата",Взаиморасчёты!$F$5:$F$504,B6,Взаиморасчёты!$B$5:$B$504,"&lt;"&amp;E6)+SUMIFS(Взаиморасчёты!$E$5:$E$504,Взаиморасчёты!$C$5:$C$504,"Зачёт аванса по договору",Взаиморасчёты!$F$5:$F$504,B6,Взаиморасчёты!$B$5:$B$504,"&lt;"&amp;E6))</f>
        <v/>
      </c>
      <c r="H6" s="3" t="str">
        <f>IF(OR(B6="",E6=""),"",IF(NOT(ISNUMBER(Взаиморасчёты!$M$10)),"ЗАБЛОКИРОВАН",F6-G6))</f>
        <v/>
      </c>
      <c r="I6" s="3" t="str">
        <f>IF(B6="","",SUMIFS(Взаиморасчёты!$H$5:$H$504,Взаиморасчёты!$F$5:$F$504,B6))</f>
        <v/>
      </c>
      <c r="J6" s="3" t="str">
        <f t="shared" si="1"/>
        <v/>
      </c>
      <c r="K6" s="3" t="str">
        <f>IF(OR(B6="",E6=""),"",SUMIFS(Взаиморасчёты!$E$5:$E$504,Взаиморасчёты!$C$5:$C$504,"Оплата",Взаиморасчёты!$F$5:$F$504,B6,Взаиморасчёты!$B$5:$B$504,"&gt;="&amp;E6)+SUMIFS(Взаиморасчёты!$E$5:$E$504,Взаиморасчёты!$C$5:$C$504,"Зачёт аванса по договору",Взаиморасчёты!$F$5:$F$504,B6,Взаиморасчёты!$B$5:$B$504,"&gt;="&amp;E6))</f>
        <v/>
      </c>
      <c r="L6" s="3" t="str">
        <f t="shared" si="2"/>
        <v/>
      </c>
      <c r="M6" s="3" t="str">
        <f t="shared" si="3"/>
        <v/>
      </c>
      <c r="N6" s="4" t="str">
        <f>IF(AND(B6="",C6="",D6=""),"",IF(B6="","БЛОК: нужен идентификатор акта — по нему распределяются оплаты",IF(COUNTIF($B$5:$B$34,B6)&gt;1,"БЛОК: идентификатор акта повторяется — оплату нельзя отнести однозначно",IF(NOT(ISNUMBER(D6)),"БЛОК: нужен последний день срока оплаты по этому акту",IF(COUNTIF(Взаиморасчёты!$F$5:$F$504,B6)=0,"БЛОК: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переносится",IF(N(H6)&lt;0,"БЛОК: до первого дня просрочки оплачено и зачтено больше, чем начислено по акту — проверьте распределение",IF(N(L6)&lt;0,"БЛОК: оплаты с первого дня просрочки больше долга на первый день просрочки — проверьте распределение",IF(N(I6)&gt;N(L6),"БЛОК: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6" s="4" t="str">
        <f t="shared" si="4"/>
        <v/>
      </c>
      <c r="Q6" s="2" t="s">
        <v>43</v>
      </c>
      <c r="R6" s="3">
        <f>COUNTA(A35:O1000)</f>
        <v>0</v>
      </c>
    </row>
    <row r="7" spans="1:18" ht="28.8" x14ac:dyDescent="0.3">
      <c r="A7" s="4">
        <v>3</v>
      </c>
      <c r="B7" s="6"/>
      <c r="C7" s="6"/>
      <c r="D7" s="5"/>
      <c r="E7" s="8" t="str">
        <f t="shared" si="0"/>
        <v/>
      </c>
      <c r="F7" s="3" t="str">
        <f>IF(B7="","",SUMIFS(Взаиморасчёты!$E$5:$E$504,Взаиморасчёты!$C$5:$C$504,"Начисление по акту",Взаиморасчёты!$F$5:$F$504,B7)+SUMIFS(Взаиморасчёты!$E$5:$E$504,Взаиморасчёты!$C$5:$C$504,"Корректировка (подписана обеими сторонами)",Взаиморасчёты!$F$5:$F$504,B7))</f>
        <v/>
      </c>
      <c r="G7" s="3" t="str">
        <f>IF(OR(B7="",E7=""),"",SUMIFS(Взаиморасчёты!$E$5:$E$504,Взаиморасчёты!$C$5:$C$504,"Оплата",Взаиморасчёты!$F$5:$F$504,B7,Взаиморасчёты!$B$5:$B$504,"&lt;"&amp;E7)+SUMIFS(Взаиморасчёты!$E$5:$E$504,Взаиморасчёты!$C$5:$C$504,"Зачёт аванса по договору",Взаиморасчёты!$F$5:$F$504,B7,Взаиморасчёты!$B$5:$B$504,"&lt;"&amp;E7))</f>
        <v/>
      </c>
      <c r="H7" s="3" t="str">
        <f>IF(OR(B7="",E7=""),"",IF(NOT(ISNUMBER(Взаиморасчёты!$M$10)),"ЗАБЛОКИРОВАН",F7-G7))</f>
        <v/>
      </c>
      <c r="I7" s="3" t="str">
        <f>IF(B7="","",SUMIFS(Взаиморасчёты!$H$5:$H$504,Взаиморасчёты!$F$5:$F$504,B7))</f>
        <v/>
      </c>
      <c r="J7" s="3" t="str">
        <f t="shared" si="1"/>
        <v/>
      </c>
      <c r="K7" s="3" t="str">
        <f>IF(OR(B7="",E7=""),"",SUMIFS(Взаиморасчёты!$E$5:$E$504,Взаиморасчёты!$C$5:$C$504,"Оплата",Взаиморасчёты!$F$5:$F$504,B7,Взаиморасчёты!$B$5:$B$504,"&gt;="&amp;E7)+SUMIFS(Взаиморасчёты!$E$5:$E$504,Взаиморасчёты!$C$5:$C$504,"Зачёт аванса по договору",Взаиморасчёты!$F$5:$F$504,B7,Взаиморасчёты!$B$5:$B$504,"&gt;="&amp;E7))</f>
        <v/>
      </c>
      <c r="L7" s="3" t="str">
        <f t="shared" si="2"/>
        <v/>
      </c>
      <c r="M7" s="3" t="str">
        <f t="shared" si="3"/>
        <v/>
      </c>
      <c r="N7" s="4" t="str">
        <f>IF(AND(B7="",C7="",D7=""),"",IF(B7="","БЛОК: нужен идентификатор акта — по нему распределяются оплаты",IF(COUNTIF($B$5:$B$34,B7)&gt;1,"БЛОК: идентификатор акта повторяется — оплату нельзя отнести однозначно",IF(NOT(ISNUMBER(D7)),"БЛОК: нужен последний день срока оплаты по этому акту",IF(COUNTIF(Взаиморасчёты!$F$5:$F$504,B7)=0,"БЛОК: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переносится",IF(N(H7)&lt;0,"БЛОК: до первого дня просрочки оплачено и зачтено больше, чем начислено по акту — проверьте распределение",IF(N(L7)&lt;0,"БЛОК: оплаты с первого дня просрочки больше долга на первый день просрочки — проверьте распределение",IF(N(I7)&gt;N(L7),"БЛОК: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7" s="4" t="str">
        <f t="shared" si="4"/>
        <v/>
      </c>
      <c r="Q7" s="2" t="s">
        <v>44</v>
      </c>
      <c r="R7" s="3">
        <f>IF(OR(R5&gt;0,R6&gt;0),"ИТОГ ЗАБЛОКИРОВАН: см. колонку «Проверка»",SUMIF(O5:O34,"да",H5:H34))</f>
        <v>0</v>
      </c>
    </row>
    <row r="8" spans="1:18" x14ac:dyDescent="0.3">
      <c r="A8" s="4">
        <v>4</v>
      </c>
      <c r="B8" s="6"/>
      <c r="C8" s="6"/>
      <c r="D8" s="5"/>
      <c r="E8" s="8" t="str">
        <f t="shared" si="0"/>
        <v/>
      </c>
      <c r="F8" s="3" t="str">
        <f>IF(B8="","",SUMIFS(Взаиморасчёты!$E$5:$E$504,Взаиморасчёты!$C$5:$C$504,"Начисление по акту",Взаиморасчёты!$F$5:$F$504,B8)+SUMIFS(Взаиморасчёты!$E$5:$E$504,Взаиморасчёты!$C$5:$C$504,"Корректировка (подписана обеими сторонами)",Взаиморасчёты!$F$5:$F$504,B8))</f>
        <v/>
      </c>
      <c r="G8" s="3" t="str">
        <f>IF(OR(B8="",E8=""),"",SUMIFS(Взаиморасчёты!$E$5:$E$504,Взаиморасчёты!$C$5:$C$504,"Оплата",Взаиморасчёты!$F$5:$F$504,B8,Взаиморасчёты!$B$5:$B$504,"&lt;"&amp;E8)+SUMIFS(Взаиморасчёты!$E$5:$E$504,Взаиморасчёты!$C$5:$C$504,"Зачёт аванса по договору",Взаиморасчёты!$F$5:$F$504,B8,Взаиморасчёты!$B$5:$B$504,"&lt;"&amp;E8))</f>
        <v/>
      </c>
      <c r="H8" s="3" t="str">
        <f>IF(OR(B8="",E8=""),"",IF(NOT(ISNUMBER(Взаиморасчёты!$M$10)),"ЗАБЛОКИРОВАН",F8-G8))</f>
        <v/>
      </c>
      <c r="I8" s="3" t="str">
        <f>IF(B8="","",SUMIFS(Взаиморасчёты!$H$5:$H$504,Взаиморасчёты!$F$5:$F$504,B8))</f>
        <v/>
      </c>
      <c r="J8" s="3" t="str">
        <f t="shared" si="1"/>
        <v/>
      </c>
      <c r="K8" s="3" t="str">
        <f>IF(OR(B8="",E8=""),"",SUMIFS(Взаиморасчёты!$E$5:$E$504,Взаиморасчёты!$C$5:$C$504,"Оплата",Взаиморасчёты!$F$5:$F$504,B8,Взаиморасчёты!$B$5:$B$504,"&gt;="&amp;E8)+SUMIFS(Взаиморасчёты!$E$5:$E$504,Взаиморасчёты!$C$5:$C$504,"Зачёт аванса по договору",Взаиморасчёты!$F$5:$F$504,B8,Взаиморасчёты!$B$5:$B$504,"&gt;="&amp;E8))</f>
        <v/>
      </c>
      <c r="L8" s="3" t="str">
        <f t="shared" si="2"/>
        <v/>
      </c>
      <c r="M8" s="3" t="str">
        <f t="shared" si="3"/>
        <v/>
      </c>
      <c r="N8" s="4" t="str">
        <f>IF(AND(B8="",C8="",D8=""),"",IF(B8="","БЛОК: нужен идентификатор акта — по нему распределяются оплаты",IF(COUNTIF($B$5:$B$34,B8)&gt;1,"БЛОК: идентификатор акта повторяется — оплату нельзя отнести однозначно",IF(NOT(ISNUMBER(D8)),"БЛОК: нужен последний день срока оплаты по этому акту",IF(COUNTIF(Взаиморасчёты!$F$5:$F$504,B8)=0,"БЛОК: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переносится",IF(N(H8)&lt;0,"БЛОК: до первого дня просрочки оплачено и зачтено больше, чем начислено по акту — проверьте распределение",IF(N(L8)&lt;0,"БЛОК: оплаты с первого дня просрочки больше долга на первый день просрочки — проверьте распределение",IF(N(I8)&gt;N(L8),"БЛОК: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8" s="4" t="str">
        <f t="shared" si="4"/>
        <v/>
      </c>
      <c r="Q8" s="2" t="s">
        <v>45</v>
      </c>
      <c r="R8" s="3">
        <f>IF(OR(R5&gt;0,R6&gt;0),"ИТОГ ЗАБЛОКИРОВАН: см. колонку «Проверка»",SUMIF(O5:O34,"да",I5:I34))</f>
        <v>0</v>
      </c>
    </row>
    <row r="9" spans="1:18" ht="28.8" x14ac:dyDescent="0.3">
      <c r="A9" s="4">
        <v>5</v>
      </c>
      <c r="B9" s="6"/>
      <c r="C9" s="6"/>
      <c r="D9" s="5"/>
      <c r="E9" s="8" t="str">
        <f t="shared" si="0"/>
        <v/>
      </c>
      <c r="F9" s="3" t="str">
        <f>IF(B9="","",SUMIFS(Взаиморасчёты!$E$5:$E$504,Взаиморасчёты!$C$5:$C$504,"Начисление по акту",Взаиморасчёты!$F$5:$F$504,B9)+SUMIFS(Взаиморасчёты!$E$5:$E$504,Взаиморасчёты!$C$5:$C$504,"Корректировка (подписана обеими сторонами)",Взаиморасчёты!$F$5:$F$504,B9))</f>
        <v/>
      </c>
      <c r="G9" s="3" t="str">
        <f>IF(OR(B9="",E9=""),"",SUMIFS(Взаиморасчёты!$E$5:$E$504,Взаиморасчёты!$C$5:$C$504,"Оплата",Взаиморасчёты!$F$5:$F$504,B9,Взаиморасчёты!$B$5:$B$504,"&lt;"&amp;E9)+SUMIFS(Взаиморасчёты!$E$5:$E$504,Взаиморасчёты!$C$5:$C$504,"Зачёт аванса по договору",Взаиморасчёты!$F$5:$F$504,B9,Взаиморасчёты!$B$5:$B$504,"&lt;"&amp;E9))</f>
        <v/>
      </c>
      <c r="H9" s="3" t="str">
        <f>IF(OR(B9="",E9=""),"",IF(NOT(ISNUMBER(Взаиморасчёты!$M$10)),"ЗАБЛОКИРОВАН",F9-G9))</f>
        <v/>
      </c>
      <c r="I9" s="3" t="str">
        <f>IF(B9="","",SUMIFS(Взаиморасчёты!$H$5:$H$504,Взаиморасчёты!$F$5:$F$504,B9))</f>
        <v/>
      </c>
      <c r="J9" s="3" t="str">
        <f t="shared" si="1"/>
        <v/>
      </c>
      <c r="K9" s="3" t="str">
        <f>IF(OR(B9="",E9=""),"",SUMIFS(Взаиморасчёты!$E$5:$E$504,Взаиморасчёты!$C$5:$C$504,"Оплата",Взаиморасчёты!$F$5:$F$504,B9,Взаиморасчёты!$B$5:$B$504,"&gt;="&amp;E9)+SUMIFS(Взаиморасчёты!$E$5:$E$504,Взаиморасчёты!$C$5:$C$504,"Зачёт аванса по договору",Взаиморасчёты!$F$5:$F$504,B9,Взаиморасчёты!$B$5:$B$504,"&gt;="&amp;E9))</f>
        <v/>
      </c>
      <c r="L9" s="3" t="str">
        <f t="shared" si="2"/>
        <v/>
      </c>
      <c r="M9" s="3" t="str">
        <f t="shared" si="3"/>
        <v/>
      </c>
      <c r="N9" s="4" t="str">
        <f>IF(AND(B9="",C9="",D9=""),"",IF(B9="","БЛОК: нужен идентификатор акта — по нему распределяются оплаты",IF(COUNTIF($B$5:$B$34,B9)&gt;1,"БЛОК: идентификатор акта повторяется — оплату нельзя отнести однозначно",IF(NOT(ISNUMBER(D9)),"БЛОК: нужен последний день срока оплаты по этому акту",IF(COUNTIF(Взаиморасчёты!$F$5:$F$504,B9)=0,"БЛОК: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переносится",IF(N(H9)&lt;0,"БЛОК: до первого дня просрочки оплачено и зачтено больше, чем начислено по акту — проверьте распределение",IF(N(L9)&lt;0,"БЛОК: оплаты с первого дня просрочки больше долга на первый день просрочки — проверьте распределение",IF(N(I9)&gt;N(L9),"БЛОК: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9" s="4" t="str">
        <f t="shared" si="4"/>
        <v/>
      </c>
      <c r="Q9" s="2" t="s">
        <v>46</v>
      </c>
      <c r="R9" s="3">
        <f>IF(OR(R5&gt;0,R6&gt;0),"ИТОГ ЗАБЛОКИРОВАН: см. колонку «Проверка»",SUMIF(O5:O34,"да",J5:J34))</f>
        <v>0</v>
      </c>
    </row>
    <row r="10" spans="1:18" ht="28.8" x14ac:dyDescent="0.3">
      <c r="A10" s="4">
        <v>6</v>
      </c>
      <c r="B10" s="6"/>
      <c r="C10" s="6"/>
      <c r="D10" s="5"/>
      <c r="E10" s="8" t="str">
        <f t="shared" si="0"/>
        <v/>
      </c>
      <c r="F10" s="3" t="str">
        <f>IF(B10="","",SUMIFS(Взаиморасчёты!$E$5:$E$504,Взаиморасчёты!$C$5:$C$504,"Начисление по акту",Взаиморасчёты!$F$5:$F$504,B10)+SUMIFS(Взаиморасчёты!$E$5:$E$504,Взаиморасчёты!$C$5:$C$504,"Корректировка (подписана обеими сторонами)",Взаиморасчёты!$F$5:$F$504,B10))</f>
        <v/>
      </c>
      <c r="G10" s="3" t="str">
        <f>IF(OR(B10="",E10=""),"",SUMIFS(Взаиморасчёты!$E$5:$E$504,Взаиморасчёты!$C$5:$C$504,"Оплата",Взаиморасчёты!$F$5:$F$504,B10,Взаиморасчёты!$B$5:$B$504,"&lt;"&amp;E10)+SUMIFS(Взаиморасчёты!$E$5:$E$504,Взаиморасчёты!$C$5:$C$504,"Зачёт аванса по договору",Взаиморасчёты!$F$5:$F$504,B10,Взаиморасчёты!$B$5:$B$504,"&lt;"&amp;E10))</f>
        <v/>
      </c>
      <c r="H10" s="3" t="str">
        <f>IF(OR(B10="",E10=""),"",IF(NOT(ISNUMBER(Взаиморасчёты!$M$10)),"ЗАБЛОКИРОВАН",F10-G10))</f>
        <v/>
      </c>
      <c r="I10" s="3" t="str">
        <f>IF(B10="","",SUMIFS(Взаиморасчёты!$H$5:$H$504,Взаиморасчёты!$F$5:$F$504,B10))</f>
        <v/>
      </c>
      <c r="J10" s="3" t="str">
        <f t="shared" si="1"/>
        <v/>
      </c>
      <c r="K10" s="3" t="str">
        <f>IF(OR(B10="",E10=""),"",SUMIFS(Взаиморасчёты!$E$5:$E$504,Взаиморасчёты!$C$5:$C$504,"Оплата",Взаиморасчёты!$F$5:$F$504,B10,Взаиморасчёты!$B$5:$B$504,"&gt;="&amp;E10)+SUMIFS(Взаиморасчёты!$E$5:$E$504,Взаиморасчёты!$C$5:$C$504,"Зачёт аванса по договору",Взаиморасчёты!$F$5:$F$504,B10,Взаиморасчёты!$B$5:$B$504,"&gt;="&amp;E10))</f>
        <v/>
      </c>
      <c r="L10" s="3" t="str">
        <f t="shared" si="2"/>
        <v/>
      </c>
      <c r="M10" s="3" t="str">
        <f t="shared" si="3"/>
        <v/>
      </c>
      <c r="N10" s="4" t="str">
        <f>IF(AND(B10="",C10="",D10=""),"",IF(B10="","БЛОК: нужен идентификатор акта — по нему распределяются оплаты",IF(COUNTIF($B$5:$B$34,B10)&gt;1,"БЛОК: идентификатор акта повторяется — оплату нельзя отнести однозначно",IF(NOT(ISNUMBER(D10)),"БЛОК: нужен последний день срока оплаты по этому акту",IF(COUNTIF(Взаиморасчёты!$F$5:$F$504,B10)=0,"БЛОК: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переносится",IF(N(H10)&lt;0,"БЛОК: до первого дня просрочки оплачено и зачтено больше, чем начислено по акту — проверьте распределение",IF(N(L10)&lt;0,"БЛОК: оплаты с первого дня просрочки больше долга на первый день просрочки — проверьте распределение",IF(N(I10)&gt;N(L10),"БЛОК: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10" s="4" t="str">
        <f t="shared" si="4"/>
        <v/>
      </c>
      <c r="Q10" s="2" t="s">
        <v>47</v>
      </c>
      <c r="R10" s="3">
        <f>IF(OR(R5&gt;0,R6&gt;0),"ИТОГ ЗАБЛОКИРОВАН: см. колонку «Проверка»",SUMIF(O5:O34,"да",M5:M34))</f>
        <v>0</v>
      </c>
    </row>
    <row r="11" spans="1:18" x14ac:dyDescent="0.3">
      <c r="A11" s="4">
        <v>7</v>
      </c>
      <c r="B11" s="6"/>
      <c r="C11" s="6"/>
      <c r="D11" s="5"/>
      <c r="E11" s="8" t="str">
        <f t="shared" si="0"/>
        <v/>
      </c>
      <c r="F11" s="3" t="str">
        <f>IF(B11="","",SUMIFS(Взаиморасчёты!$E$5:$E$504,Взаиморасчёты!$C$5:$C$504,"Начисление по акту",Взаиморасчёты!$F$5:$F$504,B11)+SUMIFS(Взаиморасчёты!$E$5:$E$504,Взаиморасчёты!$C$5:$C$504,"Корректировка (подписана обеими сторонами)",Взаиморасчёты!$F$5:$F$504,B11))</f>
        <v/>
      </c>
      <c r="G11" s="3" t="str">
        <f>IF(OR(B11="",E11=""),"",SUMIFS(Взаиморасчёты!$E$5:$E$504,Взаиморасчёты!$C$5:$C$504,"Оплата",Взаиморасчёты!$F$5:$F$504,B11,Взаиморасчёты!$B$5:$B$504,"&lt;"&amp;E11)+SUMIFS(Взаиморасчёты!$E$5:$E$504,Взаиморасчёты!$C$5:$C$504,"Зачёт аванса по договору",Взаиморасчёты!$F$5:$F$504,B11,Взаиморасчёты!$B$5:$B$504,"&lt;"&amp;E11))</f>
        <v/>
      </c>
      <c r="H11" s="3" t="str">
        <f>IF(OR(B11="",E11=""),"",IF(NOT(ISNUMBER(Взаиморасчёты!$M$10)),"ЗАБЛОКИРОВАН",F11-G11))</f>
        <v/>
      </c>
      <c r="I11" s="3" t="str">
        <f>IF(B11="","",SUMIFS(Взаиморасчёты!$H$5:$H$504,Взаиморасчёты!$F$5:$F$504,B11))</f>
        <v/>
      </c>
      <c r="J11" s="3" t="str">
        <f t="shared" si="1"/>
        <v/>
      </c>
      <c r="K11" s="3" t="str">
        <f>IF(OR(B11="",E11=""),"",SUMIFS(Взаиморасчёты!$E$5:$E$504,Взаиморасчёты!$C$5:$C$504,"Оплата",Взаиморасчёты!$F$5:$F$504,B11,Взаиморасчёты!$B$5:$B$504,"&gt;="&amp;E11)+SUMIFS(Взаиморасчёты!$E$5:$E$504,Взаиморасчёты!$C$5:$C$504,"Зачёт аванса по договору",Взаиморасчёты!$F$5:$F$504,B11,Взаиморасчёты!$B$5:$B$504,"&gt;="&amp;E11))</f>
        <v/>
      </c>
      <c r="L11" s="3" t="str">
        <f t="shared" si="2"/>
        <v/>
      </c>
      <c r="M11" s="3" t="str">
        <f t="shared" si="3"/>
        <v/>
      </c>
      <c r="N11" s="4" t="str">
        <f>IF(AND(B11="",C11="",D11=""),"",IF(B11="","БЛОК: нужен идентификатор акта — по нему распределяются оплаты",IF(COUNTIF($B$5:$B$34,B11)&gt;1,"БЛОК: идентификатор акта повторяется — оплату нельзя отнести однозначно",IF(NOT(ISNUMBER(D11)),"БЛОК: нужен последний день срока оплаты по этому акту",IF(COUNTIF(Взаиморасчёты!$F$5:$F$504,B11)=0,"БЛОК: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переносится",IF(N(H11)&lt;0,"БЛОК: до первого дня просрочки оплачено и зачтено больше, чем начислено по акту — проверьте распределение",IF(N(L11)&lt;0,"БЛОК: оплаты с первого дня просрочки больше долга на первый день просрочки — проверьте распределение",IF(N(I11)&gt;N(L11),"БЛОК: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11" s="4" t="str">
        <f t="shared" si="4"/>
        <v/>
      </c>
    </row>
    <row r="12" spans="1:18" x14ac:dyDescent="0.3">
      <c r="A12" s="4">
        <v>8</v>
      </c>
      <c r="B12" s="6"/>
      <c r="C12" s="6"/>
      <c r="D12" s="5"/>
      <c r="E12" s="8" t="str">
        <f t="shared" si="0"/>
        <v/>
      </c>
      <c r="F12" s="3" t="str">
        <f>IF(B12="","",SUMIFS(Взаиморасчёты!$E$5:$E$504,Взаиморасчёты!$C$5:$C$504,"Начисление по акту",Взаиморасчёты!$F$5:$F$504,B12)+SUMIFS(Взаиморасчёты!$E$5:$E$504,Взаиморасчёты!$C$5:$C$504,"Корректировка (подписана обеими сторонами)",Взаиморасчёты!$F$5:$F$504,B12))</f>
        <v/>
      </c>
      <c r="G12" s="3" t="str">
        <f>IF(OR(B12="",E12=""),"",SUMIFS(Взаиморасчёты!$E$5:$E$504,Взаиморасчёты!$C$5:$C$504,"Оплата",Взаиморасчёты!$F$5:$F$504,B12,Взаиморасчёты!$B$5:$B$504,"&lt;"&amp;E12)+SUMIFS(Взаиморасчёты!$E$5:$E$504,Взаиморасчёты!$C$5:$C$504,"Зачёт аванса по договору",Взаиморасчёты!$F$5:$F$504,B12,Взаиморасчёты!$B$5:$B$504,"&lt;"&amp;E12))</f>
        <v/>
      </c>
      <c r="H12" s="3" t="str">
        <f>IF(OR(B12="",E12=""),"",IF(NOT(ISNUMBER(Взаиморасчёты!$M$10)),"ЗАБЛОКИРОВАН",F12-G12))</f>
        <v/>
      </c>
      <c r="I12" s="3" t="str">
        <f>IF(B12="","",SUMIFS(Взаиморасчёты!$H$5:$H$504,Взаиморасчёты!$F$5:$F$504,B12))</f>
        <v/>
      </c>
      <c r="J12" s="3" t="str">
        <f t="shared" si="1"/>
        <v/>
      </c>
      <c r="K12" s="3" t="str">
        <f>IF(OR(B12="",E12=""),"",SUMIFS(Взаиморасчёты!$E$5:$E$504,Взаиморасчёты!$C$5:$C$504,"Оплата",Взаиморасчёты!$F$5:$F$504,B12,Взаиморасчёты!$B$5:$B$504,"&gt;="&amp;E12)+SUMIFS(Взаиморасчёты!$E$5:$E$504,Взаиморасчёты!$C$5:$C$504,"Зачёт аванса по договору",Взаиморасчёты!$F$5:$F$504,B12,Взаиморасчёты!$B$5:$B$504,"&gt;="&amp;E12))</f>
        <v/>
      </c>
      <c r="L12" s="3" t="str">
        <f t="shared" si="2"/>
        <v/>
      </c>
      <c r="M12" s="3" t="str">
        <f t="shared" si="3"/>
        <v/>
      </c>
      <c r="N12" s="4" t="str">
        <f>IF(AND(B12="",C12="",D12=""),"",IF(B12="","БЛОК: нужен идентификатор акта — по нему распределяются оплаты",IF(COUNTIF($B$5:$B$34,B12)&gt;1,"БЛОК: идентификатор акта повторяется — оплату нельзя отнести однозначно",IF(NOT(ISNUMBER(D12)),"БЛОК: нужен последний день срока оплаты по этому акту",IF(COUNTIF(Взаиморасчёты!$F$5:$F$504,B12)=0,"БЛОК: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переносится",IF(N(H12)&lt;0,"БЛОК: до первого дня просрочки оплачено и зачтено больше, чем начислено по акту — проверьте распределение",IF(N(L12)&lt;0,"БЛОК: оплаты с первого дня просрочки больше долга на первый день просрочки — проверьте распределение",IF(N(I12)&gt;N(L12),"БЛОК: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12" s="4" t="str">
        <f t="shared" si="4"/>
        <v/>
      </c>
    </row>
    <row r="13" spans="1:18" x14ac:dyDescent="0.3">
      <c r="A13" s="4">
        <v>9</v>
      </c>
      <c r="B13" s="6"/>
      <c r="C13" s="6"/>
      <c r="D13" s="5"/>
      <c r="E13" s="8" t="str">
        <f t="shared" si="0"/>
        <v/>
      </c>
      <c r="F13" s="3" t="str">
        <f>IF(B13="","",SUMIFS(Взаиморасчёты!$E$5:$E$504,Взаиморасчёты!$C$5:$C$504,"Начисление по акту",Взаиморасчёты!$F$5:$F$504,B13)+SUMIFS(Взаиморасчёты!$E$5:$E$504,Взаиморасчёты!$C$5:$C$504,"Корректировка (подписана обеими сторонами)",Взаиморасчёты!$F$5:$F$504,B13))</f>
        <v/>
      </c>
      <c r="G13" s="3" t="str">
        <f>IF(OR(B13="",E13=""),"",SUMIFS(Взаиморасчёты!$E$5:$E$504,Взаиморасчёты!$C$5:$C$504,"Оплата",Взаиморасчёты!$F$5:$F$504,B13,Взаиморасчёты!$B$5:$B$504,"&lt;"&amp;E13)+SUMIFS(Взаиморасчёты!$E$5:$E$504,Взаиморасчёты!$C$5:$C$504,"Зачёт аванса по договору",Взаиморасчёты!$F$5:$F$504,B13,Взаиморасчёты!$B$5:$B$504,"&lt;"&amp;E13))</f>
        <v/>
      </c>
      <c r="H13" s="3" t="str">
        <f>IF(OR(B13="",E13=""),"",IF(NOT(ISNUMBER(Взаиморасчёты!$M$10)),"ЗАБЛОКИРОВАН",F13-G13))</f>
        <v/>
      </c>
      <c r="I13" s="3" t="str">
        <f>IF(B13="","",SUMIFS(Взаиморасчёты!$H$5:$H$504,Взаиморасчёты!$F$5:$F$504,B13))</f>
        <v/>
      </c>
      <c r="J13" s="3" t="str">
        <f t="shared" si="1"/>
        <v/>
      </c>
      <c r="K13" s="3" t="str">
        <f>IF(OR(B13="",E13=""),"",SUMIFS(Взаиморасчёты!$E$5:$E$504,Взаиморасчёты!$C$5:$C$504,"Оплата",Взаиморасчёты!$F$5:$F$504,B13,Взаиморасчёты!$B$5:$B$504,"&gt;="&amp;E13)+SUMIFS(Взаиморасчёты!$E$5:$E$504,Взаиморасчёты!$C$5:$C$504,"Зачёт аванса по договору",Взаиморасчёты!$F$5:$F$504,B13,Взаиморасчёты!$B$5:$B$504,"&gt;="&amp;E13))</f>
        <v/>
      </c>
      <c r="L13" s="3" t="str">
        <f t="shared" si="2"/>
        <v/>
      </c>
      <c r="M13" s="3" t="str">
        <f t="shared" si="3"/>
        <v/>
      </c>
      <c r="N13" s="4" t="str">
        <f>IF(AND(B13="",C13="",D13=""),"",IF(B13="","БЛОК: нужен идентификатор акта — по нему распределяются оплаты",IF(COUNTIF($B$5:$B$34,B13)&gt;1,"БЛОК: идентификатор акта повторяется — оплату нельзя отнести однозначно",IF(NOT(ISNUMBER(D13)),"БЛОК: нужен последний день срока оплаты по этому акту",IF(COUNTIF(Взаиморасчёты!$F$5:$F$504,B13)=0,"БЛОК: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переносится",IF(N(H13)&lt;0,"БЛОК: до первого дня просрочки оплачено и зачтено больше, чем начислено по акту — проверьте распределение",IF(N(L13)&lt;0,"БЛОК: оплаты с первого дня просрочки больше долга на первый день просрочки — проверьте распределение",IF(N(I13)&gt;N(L13),"БЛОК: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13" s="4" t="str">
        <f t="shared" si="4"/>
        <v/>
      </c>
    </row>
    <row r="14" spans="1:18" x14ac:dyDescent="0.3">
      <c r="A14" s="4">
        <v>10</v>
      </c>
      <c r="B14" s="6"/>
      <c r="C14" s="6"/>
      <c r="D14" s="5"/>
      <c r="E14" s="8" t="str">
        <f t="shared" si="0"/>
        <v/>
      </c>
      <c r="F14" s="3" t="str">
        <f>IF(B14="","",SUMIFS(Взаиморасчёты!$E$5:$E$504,Взаиморасчёты!$C$5:$C$504,"Начисление по акту",Взаиморасчёты!$F$5:$F$504,B14)+SUMIFS(Взаиморасчёты!$E$5:$E$504,Взаиморасчёты!$C$5:$C$504,"Корректировка (подписана обеими сторонами)",Взаиморасчёты!$F$5:$F$504,B14))</f>
        <v/>
      </c>
      <c r="G14" s="3" t="str">
        <f>IF(OR(B14="",E14=""),"",SUMIFS(Взаиморасчёты!$E$5:$E$504,Взаиморасчёты!$C$5:$C$504,"Оплата",Взаиморасчёты!$F$5:$F$504,B14,Взаиморасчёты!$B$5:$B$504,"&lt;"&amp;E14)+SUMIFS(Взаиморасчёты!$E$5:$E$504,Взаиморасчёты!$C$5:$C$504,"Зачёт аванса по договору",Взаиморасчёты!$F$5:$F$504,B14,Взаиморасчёты!$B$5:$B$504,"&lt;"&amp;E14))</f>
        <v/>
      </c>
      <c r="H14" s="3" t="str">
        <f>IF(OR(B14="",E14=""),"",IF(NOT(ISNUMBER(Взаиморасчёты!$M$10)),"ЗАБЛОКИРОВАН",F14-G14))</f>
        <v/>
      </c>
      <c r="I14" s="3" t="str">
        <f>IF(B14="","",SUMIFS(Взаиморасчёты!$H$5:$H$504,Взаиморасчёты!$F$5:$F$504,B14))</f>
        <v/>
      </c>
      <c r="J14" s="3" t="str">
        <f t="shared" si="1"/>
        <v/>
      </c>
      <c r="K14" s="3" t="str">
        <f>IF(OR(B14="",E14=""),"",SUMIFS(Взаиморасчёты!$E$5:$E$504,Взаиморасчёты!$C$5:$C$504,"Оплата",Взаиморасчёты!$F$5:$F$504,B14,Взаиморасчёты!$B$5:$B$504,"&gt;="&amp;E14)+SUMIFS(Взаиморасчёты!$E$5:$E$504,Взаиморасчёты!$C$5:$C$504,"Зачёт аванса по договору",Взаиморасчёты!$F$5:$F$504,B14,Взаиморасчёты!$B$5:$B$504,"&gt;="&amp;E14))</f>
        <v/>
      </c>
      <c r="L14" s="3" t="str">
        <f t="shared" si="2"/>
        <v/>
      </c>
      <c r="M14" s="3" t="str">
        <f t="shared" si="3"/>
        <v/>
      </c>
      <c r="N14" s="4" t="str">
        <f>IF(AND(B14="",C14="",D14=""),"",IF(B14="","БЛОК: нужен идентификатор акта — по нему распределяются оплаты",IF(COUNTIF($B$5:$B$34,B14)&gt;1,"БЛОК: идентификатор акта повторяется — оплату нельзя отнести однозначно",IF(NOT(ISNUMBER(D14)),"БЛОК: нужен последний день срока оплаты по этому акту",IF(COUNTIF(Взаиморасчёты!$F$5:$F$504,B14)=0,"БЛОК: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переносится",IF(N(H14)&lt;0,"БЛОК: до первого дня просрочки оплачено и зачтено больше, чем начислено по акту — проверьте распределение",IF(N(L14)&lt;0,"БЛОК: оплаты с первого дня просрочки больше долга на первый день просрочки — проверьте распределение",IF(N(I14)&gt;N(L14),"БЛОК: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14" s="4" t="str">
        <f t="shared" si="4"/>
        <v/>
      </c>
    </row>
    <row r="15" spans="1:18" x14ac:dyDescent="0.3">
      <c r="A15" s="4">
        <v>11</v>
      </c>
      <c r="B15" s="6"/>
      <c r="C15" s="6"/>
      <c r="D15" s="5"/>
      <c r="E15" s="8" t="str">
        <f t="shared" si="0"/>
        <v/>
      </c>
      <c r="F15" s="3" t="str">
        <f>IF(B15="","",SUMIFS(Взаиморасчёты!$E$5:$E$504,Взаиморасчёты!$C$5:$C$504,"Начисление по акту",Взаиморасчёты!$F$5:$F$504,B15)+SUMIFS(Взаиморасчёты!$E$5:$E$504,Взаиморасчёты!$C$5:$C$504,"Корректировка (подписана обеими сторонами)",Взаиморасчёты!$F$5:$F$504,B15))</f>
        <v/>
      </c>
      <c r="G15" s="3" t="str">
        <f>IF(OR(B15="",E15=""),"",SUMIFS(Взаиморасчёты!$E$5:$E$504,Взаиморасчёты!$C$5:$C$504,"Оплата",Взаиморасчёты!$F$5:$F$504,B15,Взаиморасчёты!$B$5:$B$504,"&lt;"&amp;E15)+SUMIFS(Взаиморасчёты!$E$5:$E$504,Взаиморасчёты!$C$5:$C$504,"Зачёт аванса по договору",Взаиморасчёты!$F$5:$F$504,B15,Взаиморасчёты!$B$5:$B$504,"&lt;"&amp;E15))</f>
        <v/>
      </c>
      <c r="H15" s="3" t="str">
        <f>IF(OR(B15="",E15=""),"",IF(NOT(ISNUMBER(Взаиморасчёты!$M$10)),"ЗАБЛОКИРОВАН",F15-G15))</f>
        <v/>
      </c>
      <c r="I15" s="3" t="str">
        <f>IF(B15="","",SUMIFS(Взаиморасчёты!$H$5:$H$504,Взаиморасчёты!$F$5:$F$504,B15))</f>
        <v/>
      </c>
      <c r="J15" s="3" t="str">
        <f t="shared" si="1"/>
        <v/>
      </c>
      <c r="K15" s="3" t="str">
        <f>IF(OR(B15="",E15=""),"",SUMIFS(Взаиморасчёты!$E$5:$E$504,Взаиморасчёты!$C$5:$C$504,"Оплата",Взаиморасчёты!$F$5:$F$504,B15,Взаиморасчёты!$B$5:$B$504,"&gt;="&amp;E15)+SUMIFS(Взаиморасчёты!$E$5:$E$504,Взаиморасчёты!$C$5:$C$504,"Зачёт аванса по договору",Взаиморасчёты!$F$5:$F$504,B15,Взаиморасчёты!$B$5:$B$504,"&gt;="&amp;E15))</f>
        <v/>
      </c>
      <c r="L15" s="3" t="str">
        <f t="shared" si="2"/>
        <v/>
      </c>
      <c r="M15" s="3" t="str">
        <f t="shared" si="3"/>
        <v/>
      </c>
      <c r="N15" s="4" t="str">
        <f>IF(AND(B15="",C15="",D15=""),"",IF(B15="","БЛОК: нужен идентификатор акта — по нему распределяются оплаты",IF(COUNTIF($B$5:$B$34,B15)&gt;1,"БЛОК: идентификатор акта повторяется — оплату нельзя отнести однозначно",IF(NOT(ISNUMBER(D15)),"БЛОК: нужен последний день срока оплаты по этому акту",IF(COUNTIF(Взаиморасчёты!$F$5:$F$504,B15)=0,"БЛОК: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переносится",IF(N(H15)&lt;0,"БЛОК: до первого дня просрочки оплачено и зачтено больше, чем начислено по акту — проверьте распределение",IF(N(L15)&lt;0,"БЛОК: оплаты с первого дня просрочки больше долга на первый день просрочки — проверьте распределение",IF(N(I15)&gt;N(L15),"БЛОК: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15" s="4" t="str">
        <f t="shared" si="4"/>
        <v/>
      </c>
    </row>
    <row r="16" spans="1:18" x14ac:dyDescent="0.3">
      <c r="A16" s="4">
        <v>12</v>
      </c>
      <c r="B16" s="6"/>
      <c r="C16" s="6"/>
      <c r="D16" s="5"/>
      <c r="E16" s="8" t="str">
        <f t="shared" si="0"/>
        <v/>
      </c>
      <c r="F16" s="3" t="str">
        <f>IF(B16="","",SUMIFS(Взаиморасчёты!$E$5:$E$504,Взаиморасчёты!$C$5:$C$504,"Начисление по акту",Взаиморасчёты!$F$5:$F$504,B16)+SUMIFS(Взаиморасчёты!$E$5:$E$504,Взаиморасчёты!$C$5:$C$504,"Корректировка (подписана обеими сторонами)",Взаиморасчёты!$F$5:$F$504,B16))</f>
        <v/>
      </c>
      <c r="G16" s="3" t="str">
        <f>IF(OR(B16="",E16=""),"",SUMIFS(Взаиморасчёты!$E$5:$E$504,Взаиморасчёты!$C$5:$C$504,"Оплата",Взаиморасчёты!$F$5:$F$504,B16,Взаиморасчёты!$B$5:$B$504,"&lt;"&amp;E16)+SUMIFS(Взаиморасчёты!$E$5:$E$504,Взаиморасчёты!$C$5:$C$504,"Зачёт аванса по договору",Взаиморасчёты!$F$5:$F$504,B16,Взаиморасчёты!$B$5:$B$504,"&lt;"&amp;E16))</f>
        <v/>
      </c>
      <c r="H16" s="3" t="str">
        <f>IF(OR(B16="",E16=""),"",IF(NOT(ISNUMBER(Взаиморасчёты!$M$10)),"ЗАБЛОКИРОВАН",F16-G16))</f>
        <v/>
      </c>
      <c r="I16" s="3" t="str">
        <f>IF(B16="","",SUMIFS(Взаиморасчёты!$H$5:$H$504,Взаиморасчёты!$F$5:$F$504,B16))</f>
        <v/>
      </c>
      <c r="J16" s="3" t="str">
        <f t="shared" si="1"/>
        <v/>
      </c>
      <c r="K16" s="3" t="str">
        <f>IF(OR(B16="",E16=""),"",SUMIFS(Взаиморасчёты!$E$5:$E$504,Взаиморасчёты!$C$5:$C$504,"Оплата",Взаиморасчёты!$F$5:$F$504,B16,Взаиморасчёты!$B$5:$B$504,"&gt;="&amp;E16)+SUMIFS(Взаиморасчёты!$E$5:$E$504,Взаиморасчёты!$C$5:$C$504,"Зачёт аванса по договору",Взаиморасчёты!$F$5:$F$504,B16,Взаиморасчёты!$B$5:$B$504,"&gt;="&amp;E16))</f>
        <v/>
      </c>
      <c r="L16" s="3" t="str">
        <f t="shared" si="2"/>
        <v/>
      </c>
      <c r="M16" s="3" t="str">
        <f t="shared" si="3"/>
        <v/>
      </c>
      <c r="N16" s="4" t="str">
        <f>IF(AND(B16="",C16="",D16=""),"",IF(B16="","БЛОК: нужен идентификатор акта — по нему распределяются оплаты",IF(COUNTIF($B$5:$B$34,B16)&gt;1,"БЛОК: идентификатор акта повторяется — оплату нельзя отнести однозначно",IF(NOT(ISNUMBER(D16)),"БЛОК: нужен последний день срока оплаты по этому акту",IF(COUNTIF(Взаиморасчёты!$F$5:$F$504,B16)=0,"БЛОК: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переносится",IF(N(H16)&lt;0,"БЛОК: до первого дня просрочки оплачено и зачтено больше, чем начислено по акту — проверьте распределение",IF(N(L16)&lt;0,"БЛОК: оплаты с первого дня просрочки больше долга на первый день просрочки — проверьте распределение",IF(N(I16)&gt;N(L16),"БЛОК: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16" s="4" t="str">
        <f t="shared" si="4"/>
        <v/>
      </c>
    </row>
    <row r="17" spans="1:15" x14ac:dyDescent="0.3">
      <c r="A17" s="4">
        <v>13</v>
      </c>
      <c r="B17" s="6"/>
      <c r="C17" s="6"/>
      <c r="D17" s="5"/>
      <c r="E17" s="8" t="str">
        <f t="shared" si="0"/>
        <v/>
      </c>
      <c r="F17" s="3" t="str">
        <f>IF(B17="","",SUMIFS(Взаиморасчёты!$E$5:$E$504,Взаиморасчёты!$C$5:$C$504,"Начисление по акту",Взаиморасчёты!$F$5:$F$504,B17)+SUMIFS(Взаиморасчёты!$E$5:$E$504,Взаиморасчёты!$C$5:$C$504,"Корректировка (подписана обеими сторонами)",Взаиморасчёты!$F$5:$F$504,B17))</f>
        <v/>
      </c>
      <c r="G17" s="3" t="str">
        <f>IF(OR(B17="",E17=""),"",SUMIFS(Взаиморасчёты!$E$5:$E$504,Взаиморасчёты!$C$5:$C$504,"Оплата",Взаиморасчёты!$F$5:$F$504,B17,Взаиморасчёты!$B$5:$B$504,"&lt;"&amp;E17)+SUMIFS(Взаиморасчёты!$E$5:$E$504,Взаиморасчёты!$C$5:$C$504,"Зачёт аванса по договору",Взаиморасчёты!$F$5:$F$504,B17,Взаиморасчёты!$B$5:$B$504,"&lt;"&amp;E17))</f>
        <v/>
      </c>
      <c r="H17" s="3" t="str">
        <f>IF(OR(B17="",E17=""),"",IF(NOT(ISNUMBER(Взаиморасчёты!$M$10)),"ЗАБЛОКИРОВАН",F17-G17))</f>
        <v/>
      </c>
      <c r="I17" s="3" t="str">
        <f>IF(B17="","",SUMIFS(Взаиморасчёты!$H$5:$H$504,Взаиморасчёты!$F$5:$F$504,B17))</f>
        <v/>
      </c>
      <c r="J17" s="3" t="str">
        <f t="shared" si="1"/>
        <v/>
      </c>
      <c r="K17" s="3" t="str">
        <f>IF(OR(B17="",E17=""),"",SUMIFS(Взаиморасчёты!$E$5:$E$504,Взаиморасчёты!$C$5:$C$504,"Оплата",Взаиморасчёты!$F$5:$F$504,B17,Взаиморасчёты!$B$5:$B$504,"&gt;="&amp;E17)+SUMIFS(Взаиморасчёты!$E$5:$E$504,Взаиморасчёты!$C$5:$C$504,"Зачёт аванса по договору",Взаиморасчёты!$F$5:$F$504,B17,Взаиморасчёты!$B$5:$B$504,"&gt;="&amp;E17))</f>
        <v/>
      </c>
      <c r="L17" s="3" t="str">
        <f t="shared" si="2"/>
        <v/>
      </c>
      <c r="M17" s="3" t="str">
        <f t="shared" si="3"/>
        <v/>
      </c>
      <c r="N17" s="4" t="str">
        <f>IF(AND(B17="",C17="",D17=""),"",IF(B17="","БЛОК: нужен идентификатор акта — по нему распределяются оплаты",IF(COUNTIF($B$5:$B$34,B17)&gt;1,"БЛОК: идентификатор акта повторяется — оплату нельзя отнести однозначно",IF(NOT(ISNUMBER(D17)),"БЛОК: нужен последний день срока оплаты по этому акту",IF(COUNTIF(Взаиморасчёты!$F$5:$F$504,B17)=0,"БЛОК: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переносится",IF(N(H17)&lt;0,"БЛОК: до первого дня просрочки оплачено и зачтено больше, чем начислено по акту — проверьте распределение",IF(N(L17)&lt;0,"БЛОК: оплаты с первого дня просрочки больше долга на первый день просрочки — проверьте распределение",IF(N(I17)&gt;N(L17),"БЛОК: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17" s="4" t="str">
        <f t="shared" si="4"/>
        <v/>
      </c>
    </row>
    <row r="18" spans="1:15" x14ac:dyDescent="0.3">
      <c r="A18" s="4">
        <v>14</v>
      </c>
      <c r="B18" s="6"/>
      <c r="C18" s="6"/>
      <c r="D18" s="5"/>
      <c r="E18" s="8" t="str">
        <f t="shared" si="0"/>
        <v/>
      </c>
      <c r="F18" s="3" t="str">
        <f>IF(B18="","",SUMIFS(Взаиморасчёты!$E$5:$E$504,Взаиморасчёты!$C$5:$C$504,"Начисление по акту",Взаиморасчёты!$F$5:$F$504,B18)+SUMIFS(Взаиморасчёты!$E$5:$E$504,Взаиморасчёты!$C$5:$C$504,"Корректировка (подписана обеими сторонами)",Взаиморасчёты!$F$5:$F$504,B18))</f>
        <v/>
      </c>
      <c r="G18" s="3" t="str">
        <f>IF(OR(B18="",E18=""),"",SUMIFS(Взаиморасчёты!$E$5:$E$504,Взаиморасчёты!$C$5:$C$504,"Оплата",Взаиморасчёты!$F$5:$F$504,B18,Взаиморасчёты!$B$5:$B$504,"&lt;"&amp;E18)+SUMIFS(Взаиморасчёты!$E$5:$E$504,Взаиморасчёты!$C$5:$C$504,"Зачёт аванса по договору",Взаиморасчёты!$F$5:$F$504,B18,Взаиморасчёты!$B$5:$B$504,"&lt;"&amp;E18))</f>
        <v/>
      </c>
      <c r="H18" s="3" t="str">
        <f>IF(OR(B18="",E18=""),"",IF(NOT(ISNUMBER(Взаиморасчёты!$M$10)),"ЗАБЛОКИРОВАН",F18-G18))</f>
        <v/>
      </c>
      <c r="I18" s="3" t="str">
        <f>IF(B18="","",SUMIFS(Взаиморасчёты!$H$5:$H$504,Взаиморасчёты!$F$5:$F$504,B18))</f>
        <v/>
      </c>
      <c r="J18" s="3" t="str">
        <f t="shared" si="1"/>
        <v/>
      </c>
      <c r="K18" s="3" t="str">
        <f>IF(OR(B18="",E18=""),"",SUMIFS(Взаиморасчёты!$E$5:$E$504,Взаиморасчёты!$C$5:$C$504,"Оплата",Взаиморасчёты!$F$5:$F$504,B18,Взаиморасчёты!$B$5:$B$504,"&gt;="&amp;E18)+SUMIFS(Взаиморасчёты!$E$5:$E$504,Взаиморасчёты!$C$5:$C$504,"Зачёт аванса по договору",Взаиморасчёты!$F$5:$F$504,B18,Взаиморасчёты!$B$5:$B$504,"&gt;="&amp;E18))</f>
        <v/>
      </c>
      <c r="L18" s="3" t="str">
        <f t="shared" si="2"/>
        <v/>
      </c>
      <c r="M18" s="3" t="str">
        <f t="shared" si="3"/>
        <v/>
      </c>
      <c r="N18" s="4" t="str">
        <f>IF(AND(B18="",C18="",D18=""),"",IF(B18="","БЛОК: нужен идентификатор акта — по нему распределяются оплаты",IF(COUNTIF($B$5:$B$34,B18)&gt;1,"БЛОК: идентификатор акта повторяется — оплату нельзя отнести однозначно",IF(NOT(ISNUMBER(D18)),"БЛОК: нужен последний день срока оплаты по этому акту",IF(COUNTIF(Взаиморасчёты!$F$5:$F$504,B18)=0,"БЛОК: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переносится",IF(N(H18)&lt;0,"БЛОК: до первого дня просрочки оплачено и зачтено больше, чем начислено по акту — проверьте распределение",IF(N(L18)&lt;0,"БЛОК: оплаты с первого дня просрочки больше долга на первый день просрочки — проверьте распределение",IF(N(I18)&gt;N(L18),"БЛОК: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18" s="4" t="str">
        <f t="shared" si="4"/>
        <v/>
      </c>
    </row>
    <row r="19" spans="1:15" x14ac:dyDescent="0.3">
      <c r="A19" s="4">
        <v>15</v>
      </c>
      <c r="B19" s="6"/>
      <c r="C19" s="6"/>
      <c r="D19" s="5"/>
      <c r="E19" s="8" t="str">
        <f t="shared" si="0"/>
        <v/>
      </c>
      <c r="F19" s="3" t="str">
        <f>IF(B19="","",SUMIFS(Взаиморасчёты!$E$5:$E$504,Взаиморасчёты!$C$5:$C$504,"Начисление по акту",Взаиморасчёты!$F$5:$F$504,B19)+SUMIFS(Взаиморасчёты!$E$5:$E$504,Взаиморасчёты!$C$5:$C$504,"Корректировка (подписана обеими сторонами)",Взаиморасчёты!$F$5:$F$504,B19))</f>
        <v/>
      </c>
      <c r="G19" s="3" t="str">
        <f>IF(OR(B19="",E19=""),"",SUMIFS(Взаиморасчёты!$E$5:$E$504,Взаиморасчёты!$C$5:$C$504,"Оплата",Взаиморасчёты!$F$5:$F$504,B19,Взаиморасчёты!$B$5:$B$504,"&lt;"&amp;E19)+SUMIFS(Взаиморасчёты!$E$5:$E$504,Взаиморасчёты!$C$5:$C$504,"Зачёт аванса по договору",Взаиморасчёты!$F$5:$F$504,B19,Взаиморасчёты!$B$5:$B$504,"&lt;"&amp;E19))</f>
        <v/>
      </c>
      <c r="H19" s="3" t="str">
        <f>IF(OR(B19="",E19=""),"",IF(NOT(ISNUMBER(Взаиморасчёты!$M$10)),"ЗАБЛОКИРОВАН",F19-G19))</f>
        <v/>
      </c>
      <c r="I19" s="3" t="str">
        <f>IF(B19="","",SUMIFS(Взаиморасчёты!$H$5:$H$504,Взаиморасчёты!$F$5:$F$504,B19))</f>
        <v/>
      </c>
      <c r="J19" s="3" t="str">
        <f t="shared" si="1"/>
        <v/>
      </c>
      <c r="K19" s="3" t="str">
        <f>IF(OR(B19="",E19=""),"",SUMIFS(Взаиморасчёты!$E$5:$E$504,Взаиморасчёты!$C$5:$C$504,"Оплата",Взаиморасчёты!$F$5:$F$504,B19,Взаиморасчёты!$B$5:$B$504,"&gt;="&amp;E19)+SUMIFS(Взаиморасчёты!$E$5:$E$504,Взаиморасчёты!$C$5:$C$504,"Зачёт аванса по договору",Взаиморасчёты!$F$5:$F$504,B19,Взаиморасчёты!$B$5:$B$504,"&gt;="&amp;E19))</f>
        <v/>
      </c>
      <c r="L19" s="3" t="str">
        <f t="shared" si="2"/>
        <v/>
      </c>
      <c r="M19" s="3" t="str">
        <f t="shared" si="3"/>
        <v/>
      </c>
      <c r="N19" s="4" t="str">
        <f>IF(AND(B19="",C19="",D19=""),"",IF(B19="","БЛОК: нужен идентификатор акта — по нему распределяются оплаты",IF(COUNTIF($B$5:$B$34,B19)&gt;1,"БЛОК: идентификатор акта повторяется — оплату нельзя отнести однозначно",IF(NOT(ISNUMBER(D19)),"БЛОК: нужен последний день срока оплаты по этому акту",IF(COUNTIF(Взаиморасчёты!$F$5:$F$504,B19)=0,"БЛОК: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переносится",IF(N(H19)&lt;0,"БЛОК: до первого дня просрочки оплачено и зачтено больше, чем начислено по акту — проверьте распределение",IF(N(L19)&lt;0,"БЛОК: оплаты с первого дня просрочки больше долга на первый день просрочки — проверьте распределение",IF(N(I19)&gt;N(L19),"БЛОК: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19" s="4" t="str">
        <f t="shared" si="4"/>
        <v/>
      </c>
    </row>
    <row r="20" spans="1:15" x14ac:dyDescent="0.3">
      <c r="A20" s="4">
        <v>16</v>
      </c>
      <c r="B20" s="6"/>
      <c r="C20" s="6"/>
      <c r="D20" s="5"/>
      <c r="E20" s="8" t="str">
        <f t="shared" si="0"/>
        <v/>
      </c>
      <c r="F20" s="3" t="str">
        <f>IF(B20="","",SUMIFS(Взаиморасчёты!$E$5:$E$504,Взаиморасчёты!$C$5:$C$504,"Начисление по акту",Взаиморасчёты!$F$5:$F$504,B20)+SUMIFS(Взаиморасчёты!$E$5:$E$504,Взаиморасчёты!$C$5:$C$504,"Корректировка (подписана обеими сторонами)",Взаиморасчёты!$F$5:$F$504,B20))</f>
        <v/>
      </c>
      <c r="G20" s="3" t="str">
        <f>IF(OR(B20="",E20=""),"",SUMIFS(Взаиморасчёты!$E$5:$E$504,Взаиморасчёты!$C$5:$C$504,"Оплата",Взаиморасчёты!$F$5:$F$504,B20,Взаиморасчёты!$B$5:$B$504,"&lt;"&amp;E20)+SUMIFS(Взаиморасчёты!$E$5:$E$504,Взаиморасчёты!$C$5:$C$504,"Зачёт аванса по договору",Взаиморасчёты!$F$5:$F$504,B20,Взаиморасчёты!$B$5:$B$504,"&lt;"&amp;E20))</f>
        <v/>
      </c>
      <c r="H20" s="3" t="str">
        <f>IF(OR(B20="",E20=""),"",IF(NOT(ISNUMBER(Взаиморасчёты!$M$10)),"ЗАБЛОКИРОВАН",F20-G20))</f>
        <v/>
      </c>
      <c r="I20" s="3" t="str">
        <f>IF(B20="","",SUMIFS(Взаиморасчёты!$H$5:$H$504,Взаиморасчёты!$F$5:$F$504,B20))</f>
        <v/>
      </c>
      <c r="J20" s="3" t="str">
        <f t="shared" si="1"/>
        <v/>
      </c>
      <c r="K20" s="3" t="str">
        <f>IF(OR(B20="",E20=""),"",SUMIFS(Взаиморасчёты!$E$5:$E$504,Взаиморасчёты!$C$5:$C$504,"Оплата",Взаиморасчёты!$F$5:$F$504,B20,Взаиморасчёты!$B$5:$B$504,"&gt;="&amp;E20)+SUMIFS(Взаиморасчёты!$E$5:$E$504,Взаиморасчёты!$C$5:$C$504,"Зачёт аванса по договору",Взаиморасчёты!$F$5:$F$504,B20,Взаиморасчёты!$B$5:$B$504,"&gt;="&amp;E20))</f>
        <v/>
      </c>
      <c r="L20" s="3" t="str">
        <f t="shared" si="2"/>
        <v/>
      </c>
      <c r="M20" s="3" t="str">
        <f t="shared" si="3"/>
        <v/>
      </c>
      <c r="N20" s="4" t="str">
        <f>IF(AND(B20="",C20="",D20=""),"",IF(B20="","БЛОК: нужен идентификатор акта — по нему распределяются оплаты",IF(COUNTIF($B$5:$B$34,B20)&gt;1,"БЛОК: идентификатор акта повторяется — оплату нельзя отнести однозначно",IF(NOT(ISNUMBER(D20)),"БЛОК: нужен последний день срока оплаты по этому акту",IF(COUNTIF(Взаиморасчёты!$F$5:$F$504,B20)=0,"БЛОК: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переносится",IF(N(H20)&lt;0,"БЛОК: до первого дня просрочки оплачено и зачтено больше, чем начислено по акту — проверьте распределение",IF(N(L20)&lt;0,"БЛОК: оплаты с первого дня просрочки больше долга на первый день просрочки — проверьте распределение",IF(N(I20)&gt;N(L20),"БЛОК: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20" s="4" t="str">
        <f t="shared" si="4"/>
        <v/>
      </c>
    </row>
    <row r="21" spans="1:15" x14ac:dyDescent="0.3">
      <c r="A21" s="4">
        <v>17</v>
      </c>
      <c r="B21" s="6"/>
      <c r="C21" s="6"/>
      <c r="D21" s="5"/>
      <c r="E21" s="8" t="str">
        <f t="shared" si="0"/>
        <v/>
      </c>
      <c r="F21" s="3" t="str">
        <f>IF(B21="","",SUMIFS(Взаиморасчёты!$E$5:$E$504,Взаиморасчёты!$C$5:$C$504,"Начисление по акту",Взаиморасчёты!$F$5:$F$504,B21)+SUMIFS(Взаиморасчёты!$E$5:$E$504,Взаиморасчёты!$C$5:$C$504,"Корректировка (подписана обеими сторонами)",Взаиморасчёты!$F$5:$F$504,B21))</f>
        <v/>
      </c>
      <c r="G21" s="3" t="str">
        <f>IF(OR(B21="",E21=""),"",SUMIFS(Взаиморасчёты!$E$5:$E$504,Взаиморасчёты!$C$5:$C$504,"Оплата",Взаиморасчёты!$F$5:$F$504,B21,Взаиморасчёты!$B$5:$B$504,"&lt;"&amp;E21)+SUMIFS(Взаиморасчёты!$E$5:$E$504,Взаиморасчёты!$C$5:$C$504,"Зачёт аванса по договору",Взаиморасчёты!$F$5:$F$504,B21,Взаиморасчёты!$B$5:$B$504,"&lt;"&amp;E21))</f>
        <v/>
      </c>
      <c r="H21" s="3" t="str">
        <f>IF(OR(B21="",E21=""),"",IF(NOT(ISNUMBER(Взаиморасчёты!$M$10)),"ЗАБЛОКИРОВАН",F21-G21))</f>
        <v/>
      </c>
      <c r="I21" s="3" t="str">
        <f>IF(B21="","",SUMIFS(Взаиморасчёты!$H$5:$H$504,Взаиморасчёты!$F$5:$F$504,B21))</f>
        <v/>
      </c>
      <c r="J21" s="3" t="str">
        <f t="shared" si="1"/>
        <v/>
      </c>
      <c r="K21" s="3" t="str">
        <f>IF(OR(B21="",E21=""),"",SUMIFS(Взаиморасчёты!$E$5:$E$504,Взаиморасчёты!$C$5:$C$504,"Оплата",Взаиморасчёты!$F$5:$F$504,B21,Взаиморасчёты!$B$5:$B$504,"&gt;="&amp;E21)+SUMIFS(Взаиморасчёты!$E$5:$E$504,Взаиморасчёты!$C$5:$C$504,"Зачёт аванса по договору",Взаиморасчёты!$F$5:$F$504,B21,Взаиморасчёты!$B$5:$B$504,"&gt;="&amp;E21))</f>
        <v/>
      </c>
      <c r="L21" s="3" t="str">
        <f t="shared" si="2"/>
        <v/>
      </c>
      <c r="M21" s="3" t="str">
        <f t="shared" si="3"/>
        <v/>
      </c>
      <c r="N21" s="4" t="str">
        <f>IF(AND(B21="",C21="",D21=""),"",IF(B21="","БЛОК: нужен идентификатор акта — по нему распределяются оплаты",IF(COUNTIF($B$5:$B$34,B21)&gt;1,"БЛОК: идентификатор акта повторяется — оплату нельзя отнести однозначно",IF(NOT(ISNUMBER(D21)),"БЛОК: нужен последний день срока оплаты по этому акту",IF(COUNTIF(Взаиморасчёты!$F$5:$F$504,B21)=0,"БЛОК: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переносится",IF(N(H21)&lt;0,"БЛОК: до первого дня просрочки оплачено и зачтено больше, чем начислено по акту — проверьте распределение",IF(N(L21)&lt;0,"БЛОК: оплаты с первого дня просрочки больше долга на первый день просрочки — проверьте распределение",IF(N(I21)&gt;N(L21),"БЛОК: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21" s="4" t="str">
        <f t="shared" si="4"/>
        <v/>
      </c>
    </row>
    <row r="22" spans="1:15" x14ac:dyDescent="0.3">
      <c r="A22" s="4">
        <v>18</v>
      </c>
      <c r="B22" s="6"/>
      <c r="C22" s="6"/>
      <c r="D22" s="5"/>
      <c r="E22" s="8" t="str">
        <f t="shared" si="0"/>
        <v/>
      </c>
      <c r="F22" s="3" t="str">
        <f>IF(B22="","",SUMIFS(Взаиморасчёты!$E$5:$E$504,Взаиморасчёты!$C$5:$C$504,"Начисление по акту",Взаиморасчёты!$F$5:$F$504,B22)+SUMIFS(Взаиморасчёты!$E$5:$E$504,Взаиморасчёты!$C$5:$C$504,"Корректировка (подписана обеими сторонами)",Взаиморасчёты!$F$5:$F$504,B22))</f>
        <v/>
      </c>
      <c r="G22" s="3" t="str">
        <f>IF(OR(B22="",E22=""),"",SUMIFS(Взаиморасчёты!$E$5:$E$504,Взаиморасчёты!$C$5:$C$504,"Оплата",Взаиморасчёты!$F$5:$F$504,B22,Взаиморасчёты!$B$5:$B$504,"&lt;"&amp;E22)+SUMIFS(Взаиморасчёты!$E$5:$E$504,Взаиморасчёты!$C$5:$C$504,"Зачёт аванса по договору",Взаиморасчёты!$F$5:$F$504,B22,Взаиморасчёты!$B$5:$B$504,"&lt;"&amp;E22))</f>
        <v/>
      </c>
      <c r="H22" s="3" t="str">
        <f>IF(OR(B22="",E22=""),"",IF(NOT(ISNUMBER(Взаиморасчёты!$M$10)),"ЗАБЛОКИРОВАН",F22-G22))</f>
        <v/>
      </c>
      <c r="I22" s="3" t="str">
        <f>IF(B22="","",SUMIFS(Взаиморасчёты!$H$5:$H$504,Взаиморасчёты!$F$5:$F$504,B22))</f>
        <v/>
      </c>
      <c r="J22" s="3" t="str">
        <f t="shared" si="1"/>
        <v/>
      </c>
      <c r="K22" s="3" t="str">
        <f>IF(OR(B22="",E22=""),"",SUMIFS(Взаиморасчёты!$E$5:$E$504,Взаиморасчёты!$C$5:$C$504,"Оплата",Взаиморасчёты!$F$5:$F$504,B22,Взаиморасчёты!$B$5:$B$504,"&gt;="&amp;E22)+SUMIFS(Взаиморасчёты!$E$5:$E$504,Взаиморасчёты!$C$5:$C$504,"Зачёт аванса по договору",Взаиморасчёты!$F$5:$F$504,B22,Взаиморасчёты!$B$5:$B$504,"&gt;="&amp;E22))</f>
        <v/>
      </c>
      <c r="L22" s="3" t="str">
        <f t="shared" si="2"/>
        <v/>
      </c>
      <c r="M22" s="3" t="str">
        <f t="shared" si="3"/>
        <v/>
      </c>
      <c r="N22" s="4" t="str">
        <f>IF(AND(B22="",C22="",D22=""),"",IF(B22="","БЛОК: нужен идентификатор акта — по нему распределяются оплаты",IF(COUNTIF($B$5:$B$34,B22)&gt;1,"БЛОК: идентификатор акта повторяется — оплату нельзя отнести однозначно",IF(NOT(ISNUMBER(D22)),"БЛОК: нужен последний день срока оплаты по этому акту",IF(COUNTIF(Взаиморасчёты!$F$5:$F$504,B22)=0,"БЛОК: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переносится",IF(N(H22)&lt;0,"БЛОК: до первого дня просрочки оплачено и зачтено больше, чем начислено по акту — проверьте распределение",IF(N(L22)&lt;0,"БЛОК: оплаты с первого дня просрочки больше долга на первый день просрочки — проверьте распределение",IF(N(I22)&gt;N(L22),"БЛОК: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22" s="4" t="str">
        <f t="shared" si="4"/>
        <v/>
      </c>
    </row>
    <row r="23" spans="1:15" x14ac:dyDescent="0.3">
      <c r="A23" s="4">
        <v>19</v>
      </c>
      <c r="B23" s="6"/>
      <c r="C23" s="6"/>
      <c r="D23" s="5"/>
      <c r="E23" s="8" t="str">
        <f t="shared" si="0"/>
        <v/>
      </c>
      <c r="F23" s="3" t="str">
        <f>IF(B23="","",SUMIFS(Взаиморасчёты!$E$5:$E$504,Взаиморасчёты!$C$5:$C$504,"Начисление по акту",Взаиморасчёты!$F$5:$F$504,B23)+SUMIFS(Взаиморасчёты!$E$5:$E$504,Взаиморасчёты!$C$5:$C$504,"Корректировка (подписана обеими сторонами)",Взаиморасчёты!$F$5:$F$504,B23))</f>
        <v/>
      </c>
      <c r="G23" s="3" t="str">
        <f>IF(OR(B23="",E23=""),"",SUMIFS(Взаиморасчёты!$E$5:$E$504,Взаиморасчёты!$C$5:$C$504,"Оплата",Взаиморасчёты!$F$5:$F$504,B23,Взаиморасчёты!$B$5:$B$504,"&lt;"&amp;E23)+SUMIFS(Взаиморасчёты!$E$5:$E$504,Взаиморасчёты!$C$5:$C$504,"Зачёт аванса по договору",Взаиморасчёты!$F$5:$F$504,B23,Взаиморасчёты!$B$5:$B$504,"&lt;"&amp;E23))</f>
        <v/>
      </c>
      <c r="H23" s="3" t="str">
        <f>IF(OR(B23="",E23=""),"",IF(NOT(ISNUMBER(Взаиморасчёты!$M$10)),"ЗАБЛОКИРОВАН",F23-G23))</f>
        <v/>
      </c>
      <c r="I23" s="3" t="str">
        <f>IF(B23="","",SUMIFS(Взаиморасчёты!$H$5:$H$504,Взаиморасчёты!$F$5:$F$504,B23))</f>
        <v/>
      </c>
      <c r="J23" s="3" t="str">
        <f t="shared" si="1"/>
        <v/>
      </c>
      <c r="K23" s="3" t="str">
        <f>IF(OR(B23="",E23=""),"",SUMIFS(Взаиморасчёты!$E$5:$E$504,Взаиморасчёты!$C$5:$C$504,"Оплата",Взаиморасчёты!$F$5:$F$504,B23,Взаиморасчёты!$B$5:$B$504,"&gt;="&amp;E23)+SUMIFS(Взаиморасчёты!$E$5:$E$504,Взаиморасчёты!$C$5:$C$504,"Зачёт аванса по договору",Взаиморасчёты!$F$5:$F$504,B23,Взаиморасчёты!$B$5:$B$504,"&gt;="&amp;E23))</f>
        <v/>
      </c>
      <c r="L23" s="3" t="str">
        <f t="shared" si="2"/>
        <v/>
      </c>
      <c r="M23" s="3" t="str">
        <f t="shared" si="3"/>
        <v/>
      </c>
      <c r="N23" s="4" t="str">
        <f>IF(AND(B23="",C23="",D23=""),"",IF(B23="","БЛОК: нужен идентификатор акта — по нему распределяются оплаты",IF(COUNTIF($B$5:$B$34,B23)&gt;1,"БЛОК: идентификатор акта повторяется — оплату нельзя отнести однозначно",IF(NOT(ISNUMBER(D23)),"БЛОК: нужен последний день срока оплаты по этому акту",IF(COUNTIF(Взаиморасчёты!$F$5:$F$504,B23)=0,"БЛОК: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переносится",IF(N(H23)&lt;0,"БЛОК: до первого дня просрочки оплачено и зачтено больше, чем начислено по акту — проверьте распределение",IF(N(L23)&lt;0,"БЛОК: оплаты с первого дня просрочки больше долга на первый день просрочки — проверьте распределение",IF(N(I23)&gt;N(L23),"БЛОК: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23" s="4" t="str">
        <f t="shared" si="4"/>
        <v/>
      </c>
    </row>
    <row r="24" spans="1:15" x14ac:dyDescent="0.3">
      <c r="A24" s="4">
        <v>20</v>
      </c>
      <c r="B24" s="6"/>
      <c r="C24" s="6"/>
      <c r="D24" s="5"/>
      <c r="E24" s="8" t="str">
        <f t="shared" si="0"/>
        <v/>
      </c>
      <c r="F24" s="3" t="str">
        <f>IF(B24="","",SUMIFS(Взаиморасчёты!$E$5:$E$504,Взаиморасчёты!$C$5:$C$504,"Начисление по акту",Взаиморасчёты!$F$5:$F$504,B24)+SUMIFS(Взаиморасчёты!$E$5:$E$504,Взаиморасчёты!$C$5:$C$504,"Корректировка (подписана обеими сторонами)",Взаиморасчёты!$F$5:$F$504,B24))</f>
        <v/>
      </c>
      <c r="G24" s="3" t="str">
        <f>IF(OR(B24="",E24=""),"",SUMIFS(Взаиморасчёты!$E$5:$E$504,Взаиморасчёты!$C$5:$C$504,"Оплата",Взаиморасчёты!$F$5:$F$504,B24,Взаиморасчёты!$B$5:$B$504,"&lt;"&amp;E24)+SUMIFS(Взаиморасчёты!$E$5:$E$504,Взаиморасчёты!$C$5:$C$504,"Зачёт аванса по договору",Взаиморасчёты!$F$5:$F$504,B24,Взаиморасчёты!$B$5:$B$504,"&lt;"&amp;E24))</f>
        <v/>
      </c>
      <c r="H24" s="3" t="str">
        <f>IF(OR(B24="",E24=""),"",IF(NOT(ISNUMBER(Взаиморасчёты!$M$10)),"ЗАБЛОКИРОВАН",F24-G24))</f>
        <v/>
      </c>
      <c r="I24" s="3" t="str">
        <f>IF(B24="","",SUMIFS(Взаиморасчёты!$H$5:$H$504,Взаиморасчёты!$F$5:$F$504,B24))</f>
        <v/>
      </c>
      <c r="J24" s="3" t="str">
        <f t="shared" si="1"/>
        <v/>
      </c>
      <c r="K24" s="3" t="str">
        <f>IF(OR(B24="",E24=""),"",SUMIFS(Взаиморасчёты!$E$5:$E$504,Взаиморасчёты!$C$5:$C$504,"Оплата",Взаиморасчёты!$F$5:$F$504,B24,Взаиморасчёты!$B$5:$B$504,"&gt;="&amp;E24)+SUMIFS(Взаиморасчёты!$E$5:$E$504,Взаиморасчёты!$C$5:$C$504,"Зачёт аванса по договору",Взаиморасчёты!$F$5:$F$504,B24,Взаиморасчёты!$B$5:$B$504,"&gt;="&amp;E24))</f>
        <v/>
      </c>
      <c r="L24" s="3" t="str">
        <f t="shared" si="2"/>
        <v/>
      </c>
      <c r="M24" s="3" t="str">
        <f t="shared" si="3"/>
        <v/>
      </c>
      <c r="N24" s="4" t="str">
        <f>IF(AND(B24="",C24="",D24=""),"",IF(B24="","БЛОК: нужен идентификатор акта — по нему распределяются оплаты",IF(COUNTIF($B$5:$B$34,B24)&gt;1,"БЛОК: идентификатор акта повторяется — оплату нельзя отнести однозначно",IF(NOT(ISNUMBER(D24)),"БЛОК: нужен последний день срока оплаты по этому акту",IF(COUNTIF(Взаиморасчёты!$F$5:$F$504,B24)=0,"БЛОК: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переносится",IF(N(H24)&lt;0,"БЛОК: до первого дня просрочки оплачено и зачтено больше, чем начислено по акту — проверьте распределение",IF(N(L24)&lt;0,"БЛОК: оплаты с первого дня просрочки больше долга на первый день просрочки — проверьте распределение",IF(N(I24)&gt;N(L24),"БЛОК: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24" s="4" t="str">
        <f t="shared" si="4"/>
        <v/>
      </c>
    </row>
    <row r="25" spans="1:15" x14ac:dyDescent="0.3">
      <c r="A25" s="4">
        <v>21</v>
      </c>
      <c r="B25" s="6"/>
      <c r="C25" s="6"/>
      <c r="D25" s="5"/>
      <c r="E25" s="8" t="str">
        <f t="shared" si="0"/>
        <v/>
      </c>
      <c r="F25" s="3" t="str">
        <f>IF(B25="","",SUMIFS(Взаиморасчёты!$E$5:$E$504,Взаиморасчёты!$C$5:$C$504,"Начисление по акту",Взаиморасчёты!$F$5:$F$504,B25)+SUMIFS(Взаиморасчёты!$E$5:$E$504,Взаиморасчёты!$C$5:$C$504,"Корректировка (подписана обеими сторонами)",Взаиморасчёты!$F$5:$F$504,B25))</f>
        <v/>
      </c>
      <c r="G25" s="3" t="str">
        <f>IF(OR(B25="",E25=""),"",SUMIFS(Взаиморасчёты!$E$5:$E$504,Взаиморасчёты!$C$5:$C$504,"Оплата",Взаиморасчёты!$F$5:$F$504,B25,Взаиморасчёты!$B$5:$B$504,"&lt;"&amp;E25)+SUMIFS(Взаиморасчёты!$E$5:$E$504,Взаиморасчёты!$C$5:$C$504,"Зачёт аванса по договору",Взаиморасчёты!$F$5:$F$504,B25,Взаиморасчёты!$B$5:$B$504,"&lt;"&amp;E25))</f>
        <v/>
      </c>
      <c r="H25" s="3" t="str">
        <f>IF(OR(B25="",E25=""),"",IF(NOT(ISNUMBER(Взаиморасчёты!$M$10)),"ЗАБЛОКИРОВАН",F25-G25))</f>
        <v/>
      </c>
      <c r="I25" s="3" t="str">
        <f>IF(B25="","",SUMIFS(Взаиморасчёты!$H$5:$H$504,Взаиморасчёты!$F$5:$F$504,B25))</f>
        <v/>
      </c>
      <c r="J25" s="3" t="str">
        <f t="shared" si="1"/>
        <v/>
      </c>
      <c r="K25" s="3" t="str">
        <f>IF(OR(B25="",E25=""),"",SUMIFS(Взаиморасчёты!$E$5:$E$504,Взаиморасчёты!$C$5:$C$504,"Оплата",Взаиморасчёты!$F$5:$F$504,B25,Взаиморасчёты!$B$5:$B$504,"&gt;="&amp;E25)+SUMIFS(Взаиморасчёты!$E$5:$E$504,Взаиморасчёты!$C$5:$C$504,"Зачёт аванса по договору",Взаиморасчёты!$F$5:$F$504,B25,Взаиморасчёты!$B$5:$B$504,"&gt;="&amp;E25))</f>
        <v/>
      </c>
      <c r="L25" s="3" t="str">
        <f t="shared" si="2"/>
        <v/>
      </c>
      <c r="M25" s="3" t="str">
        <f t="shared" si="3"/>
        <v/>
      </c>
      <c r="N25" s="4" t="str">
        <f>IF(AND(B25="",C25="",D25=""),"",IF(B25="","БЛОК: нужен идентификатор акта — по нему распределяются оплаты",IF(COUNTIF($B$5:$B$34,B25)&gt;1,"БЛОК: идентификатор акта повторяется — оплату нельзя отнести однозначно",IF(NOT(ISNUMBER(D25)),"БЛОК: нужен последний день срока оплаты по этому акту",IF(COUNTIF(Взаиморасчёты!$F$5:$F$504,B25)=0,"БЛОК: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переносится",IF(N(H25)&lt;0,"БЛОК: до первого дня просрочки оплачено и зачтено больше, чем начислено по акту — проверьте распределение",IF(N(L25)&lt;0,"БЛОК: оплаты с первого дня просрочки больше долга на первый день просрочки — проверьте распределение",IF(N(I25)&gt;N(L25),"БЛОК: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25" s="4" t="str">
        <f t="shared" si="4"/>
        <v/>
      </c>
    </row>
    <row r="26" spans="1:15" x14ac:dyDescent="0.3">
      <c r="A26" s="4">
        <v>22</v>
      </c>
      <c r="B26" s="6"/>
      <c r="C26" s="6"/>
      <c r="D26" s="5"/>
      <c r="E26" s="8" t="str">
        <f t="shared" si="0"/>
        <v/>
      </c>
      <c r="F26" s="3" t="str">
        <f>IF(B26="","",SUMIFS(Взаиморасчёты!$E$5:$E$504,Взаиморасчёты!$C$5:$C$504,"Начисление по акту",Взаиморасчёты!$F$5:$F$504,B26)+SUMIFS(Взаиморасчёты!$E$5:$E$504,Взаиморасчёты!$C$5:$C$504,"Корректировка (подписана обеими сторонами)",Взаиморасчёты!$F$5:$F$504,B26))</f>
        <v/>
      </c>
      <c r="G26" s="3" t="str">
        <f>IF(OR(B26="",E26=""),"",SUMIFS(Взаиморасчёты!$E$5:$E$504,Взаиморасчёты!$C$5:$C$504,"Оплата",Взаиморасчёты!$F$5:$F$504,B26,Взаиморасчёты!$B$5:$B$504,"&lt;"&amp;E26)+SUMIFS(Взаиморасчёты!$E$5:$E$504,Взаиморасчёты!$C$5:$C$504,"Зачёт аванса по договору",Взаиморасчёты!$F$5:$F$504,B26,Взаиморасчёты!$B$5:$B$504,"&lt;"&amp;E26))</f>
        <v/>
      </c>
      <c r="H26" s="3" t="str">
        <f>IF(OR(B26="",E26=""),"",IF(NOT(ISNUMBER(Взаиморасчёты!$M$10)),"ЗАБЛОКИРОВАН",F26-G26))</f>
        <v/>
      </c>
      <c r="I26" s="3" t="str">
        <f>IF(B26="","",SUMIFS(Взаиморасчёты!$H$5:$H$504,Взаиморасчёты!$F$5:$F$504,B26))</f>
        <v/>
      </c>
      <c r="J26" s="3" t="str">
        <f t="shared" si="1"/>
        <v/>
      </c>
      <c r="K26" s="3" t="str">
        <f>IF(OR(B26="",E26=""),"",SUMIFS(Взаиморасчёты!$E$5:$E$504,Взаиморасчёты!$C$5:$C$504,"Оплата",Взаиморасчёты!$F$5:$F$504,B26,Взаиморасчёты!$B$5:$B$504,"&gt;="&amp;E26)+SUMIFS(Взаиморасчёты!$E$5:$E$504,Взаиморасчёты!$C$5:$C$504,"Зачёт аванса по договору",Взаиморасчёты!$F$5:$F$504,B26,Взаиморасчёты!$B$5:$B$504,"&gt;="&amp;E26))</f>
        <v/>
      </c>
      <c r="L26" s="3" t="str">
        <f t="shared" si="2"/>
        <v/>
      </c>
      <c r="M26" s="3" t="str">
        <f t="shared" si="3"/>
        <v/>
      </c>
      <c r="N26" s="4" t="str">
        <f>IF(AND(B26="",C26="",D26=""),"",IF(B26="","БЛОК: нужен идентификатор акта — по нему распределяются оплаты",IF(COUNTIF($B$5:$B$34,B26)&gt;1,"БЛОК: идентификатор акта повторяется — оплату нельзя отнести однозначно",IF(NOT(ISNUMBER(D26)),"БЛОК: нужен последний день срока оплаты по этому акту",IF(COUNTIF(Взаиморасчёты!$F$5:$F$504,B26)=0,"БЛОК: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переносится",IF(N(H26)&lt;0,"БЛОК: до первого дня просрочки оплачено и зачтено больше, чем начислено по акту — проверьте распределение",IF(N(L26)&lt;0,"БЛОК: оплаты с первого дня просрочки больше долга на первый день просрочки — проверьте распределение",IF(N(I26)&gt;N(L26),"БЛОК: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26" s="4" t="str">
        <f t="shared" si="4"/>
        <v/>
      </c>
    </row>
    <row r="27" spans="1:15" x14ac:dyDescent="0.3">
      <c r="A27" s="4">
        <v>23</v>
      </c>
      <c r="B27" s="6"/>
      <c r="C27" s="6"/>
      <c r="D27" s="5"/>
      <c r="E27" s="8" t="str">
        <f t="shared" si="0"/>
        <v/>
      </c>
      <c r="F27" s="3" t="str">
        <f>IF(B27="","",SUMIFS(Взаиморасчёты!$E$5:$E$504,Взаиморасчёты!$C$5:$C$504,"Начисление по акту",Взаиморасчёты!$F$5:$F$504,B27)+SUMIFS(Взаиморасчёты!$E$5:$E$504,Взаиморасчёты!$C$5:$C$504,"Корректировка (подписана обеими сторонами)",Взаиморасчёты!$F$5:$F$504,B27))</f>
        <v/>
      </c>
      <c r="G27" s="3" t="str">
        <f>IF(OR(B27="",E27=""),"",SUMIFS(Взаиморасчёты!$E$5:$E$504,Взаиморасчёты!$C$5:$C$504,"Оплата",Взаиморасчёты!$F$5:$F$504,B27,Взаиморасчёты!$B$5:$B$504,"&lt;"&amp;E27)+SUMIFS(Взаиморасчёты!$E$5:$E$504,Взаиморасчёты!$C$5:$C$504,"Зачёт аванса по договору",Взаиморасчёты!$F$5:$F$504,B27,Взаиморасчёты!$B$5:$B$504,"&lt;"&amp;E27))</f>
        <v/>
      </c>
      <c r="H27" s="3" t="str">
        <f>IF(OR(B27="",E27=""),"",IF(NOT(ISNUMBER(Взаиморасчёты!$M$10)),"ЗАБЛОКИРОВАН",F27-G27))</f>
        <v/>
      </c>
      <c r="I27" s="3" t="str">
        <f>IF(B27="","",SUMIFS(Взаиморасчёты!$H$5:$H$504,Взаиморасчёты!$F$5:$F$504,B27))</f>
        <v/>
      </c>
      <c r="J27" s="3" t="str">
        <f t="shared" si="1"/>
        <v/>
      </c>
      <c r="K27" s="3" t="str">
        <f>IF(OR(B27="",E27=""),"",SUMIFS(Взаиморасчёты!$E$5:$E$504,Взаиморасчёты!$C$5:$C$504,"Оплата",Взаиморасчёты!$F$5:$F$504,B27,Взаиморасчёты!$B$5:$B$504,"&gt;="&amp;E27)+SUMIFS(Взаиморасчёты!$E$5:$E$504,Взаиморасчёты!$C$5:$C$504,"Зачёт аванса по договору",Взаиморасчёты!$F$5:$F$504,B27,Взаиморасчёты!$B$5:$B$504,"&gt;="&amp;E27))</f>
        <v/>
      </c>
      <c r="L27" s="3" t="str">
        <f t="shared" si="2"/>
        <v/>
      </c>
      <c r="M27" s="3" t="str">
        <f t="shared" si="3"/>
        <v/>
      </c>
      <c r="N27" s="4" t="str">
        <f>IF(AND(B27="",C27="",D27=""),"",IF(B27="","БЛОК: нужен идентификатор акта — по нему распределяются оплаты",IF(COUNTIF($B$5:$B$34,B27)&gt;1,"БЛОК: идентификатор акта повторяется — оплату нельзя отнести однозначно",IF(NOT(ISNUMBER(D27)),"БЛОК: нужен последний день срока оплаты по этому акту",IF(COUNTIF(Взаиморасчёты!$F$5:$F$504,B27)=0,"БЛОК: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переносится",IF(N(H27)&lt;0,"БЛОК: до первого дня просрочки оплачено и зачтено больше, чем начислено по акту — проверьте распределение",IF(N(L27)&lt;0,"БЛОК: оплаты с первого дня просрочки больше долга на первый день просрочки — проверьте распределение",IF(N(I27)&gt;N(L27),"БЛОК: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27" s="4" t="str">
        <f t="shared" si="4"/>
        <v/>
      </c>
    </row>
    <row r="28" spans="1:15" x14ac:dyDescent="0.3">
      <c r="A28" s="4">
        <v>24</v>
      </c>
      <c r="B28" s="6"/>
      <c r="C28" s="6"/>
      <c r="D28" s="5"/>
      <c r="E28" s="8" t="str">
        <f t="shared" si="0"/>
        <v/>
      </c>
      <c r="F28" s="3" t="str">
        <f>IF(B28="","",SUMIFS(Взаиморасчёты!$E$5:$E$504,Взаиморасчёты!$C$5:$C$504,"Начисление по акту",Взаиморасчёты!$F$5:$F$504,B28)+SUMIFS(Взаиморасчёты!$E$5:$E$504,Взаиморасчёты!$C$5:$C$504,"Корректировка (подписана обеими сторонами)",Взаиморасчёты!$F$5:$F$504,B28))</f>
        <v/>
      </c>
      <c r="G28" s="3" t="str">
        <f>IF(OR(B28="",E28=""),"",SUMIFS(Взаиморасчёты!$E$5:$E$504,Взаиморасчёты!$C$5:$C$504,"Оплата",Взаиморасчёты!$F$5:$F$504,B28,Взаиморасчёты!$B$5:$B$504,"&lt;"&amp;E28)+SUMIFS(Взаиморасчёты!$E$5:$E$504,Взаиморасчёты!$C$5:$C$504,"Зачёт аванса по договору",Взаиморасчёты!$F$5:$F$504,B28,Взаиморасчёты!$B$5:$B$504,"&lt;"&amp;E28))</f>
        <v/>
      </c>
      <c r="H28" s="3" t="str">
        <f>IF(OR(B28="",E28=""),"",IF(NOT(ISNUMBER(Взаиморасчёты!$M$10)),"ЗАБЛОКИРОВАН",F28-G28))</f>
        <v/>
      </c>
      <c r="I28" s="3" t="str">
        <f>IF(B28="","",SUMIFS(Взаиморасчёты!$H$5:$H$504,Взаиморасчёты!$F$5:$F$504,B28))</f>
        <v/>
      </c>
      <c r="J28" s="3" t="str">
        <f t="shared" si="1"/>
        <v/>
      </c>
      <c r="K28" s="3" t="str">
        <f>IF(OR(B28="",E28=""),"",SUMIFS(Взаиморасчёты!$E$5:$E$504,Взаиморасчёты!$C$5:$C$504,"Оплата",Взаиморасчёты!$F$5:$F$504,B28,Взаиморасчёты!$B$5:$B$504,"&gt;="&amp;E28)+SUMIFS(Взаиморасчёты!$E$5:$E$504,Взаиморасчёты!$C$5:$C$504,"Зачёт аванса по договору",Взаиморасчёты!$F$5:$F$504,B28,Взаиморасчёты!$B$5:$B$504,"&gt;="&amp;E28))</f>
        <v/>
      </c>
      <c r="L28" s="3" t="str">
        <f t="shared" si="2"/>
        <v/>
      </c>
      <c r="M28" s="3" t="str">
        <f t="shared" si="3"/>
        <v/>
      </c>
      <c r="N28" s="4" t="str">
        <f>IF(AND(B28="",C28="",D28=""),"",IF(B28="","БЛОК: нужен идентификатор акта — по нему распределяются оплаты",IF(COUNTIF($B$5:$B$34,B28)&gt;1,"БЛОК: идентификатор акта повторяется — оплату нельзя отнести однозначно",IF(NOT(ISNUMBER(D28)),"БЛОК: нужен последний день срока оплаты по этому акту",IF(COUNTIF(Взаиморасчёты!$F$5:$F$504,B28)=0,"БЛОК: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переносится",IF(N(H28)&lt;0,"БЛОК: до первого дня просрочки оплачено и зачтено больше, чем начислено по акту — проверьте распределение",IF(N(L28)&lt;0,"БЛОК: оплаты с первого дня просрочки больше долга на первый день просрочки — проверьте распределение",IF(N(I28)&gt;N(L28),"БЛОК: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28" s="4" t="str">
        <f t="shared" si="4"/>
        <v/>
      </c>
    </row>
    <row r="29" spans="1:15" x14ac:dyDescent="0.3">
      <c r="A29" s="4">
        <v>25</v>
      </c>
      <c r="B29" s="6"/>
      <c r="C29" s="6"/>
      <c r="D29" s="5"/>
      <c r="E29" s="8" t="str">
        <f t="shared" si="0"/>
        <v/>
      </c>
      <c r="F29" s="3" t="str">
        <f>IF(B29="","",SUMIFS(Взаиморасчёты!$E$5:$E$504,Взаиморасчёты!$C$5:$C$504,"Начисление по акту",Взаиморасчёты!$F$5:$F$504,B29)+SUMIFS(Взаиморасчёты!$E$5:$E$504,Взаиморасчёты!$C$5:$C$504,"Корректировка (подписана обеими сторонами)",Взаиморасчёты!$F$5:$F$504,B29))</f>
        <v/>
      </c>
      <c r="G29" s="3" t="str">
        <f>IF(OR(B29="",E29=""),"",SUMIFS(Взаиморасчёты!$E$5:$E$504,Взаиморасчёты!$C$5:$C$504,"Оплата",Взаиморасчёты!$F$5:$F$504,B29,Взаиморасчёты!$B$5:$B$504,"&lt;"&amp;E29)+SUMIFS(Взаиморасчёты!$E$5:$E$504,Взаиморасчёты!$C$5:$C$504,"Зачёт аванса по договору",Взаиморасчёты!$F$5:$F$504,B29,Взаиморасчёты!$B$5:$B$504,"&lt;"&amp;E29))</f>
        <v/>
      </c>
      <c r="H29" s="3" t="str">
        <f>IF(OR(B29="",E29=""),"",IF(NOT(ISNUMBER(Взаиморасчёты!$M$10)),"ЗАБЛОКИРОВАН",F29-G29))</f>
        <v/>
      </c>
      <c r="I29" s="3" t="str">
        <f>IF(B29="","",SUMIFS(Взаиморасчёты!$H$5:$H$504,Взаиморасчёты!$F$5:$F$504,B29))</f>
        <v/>
      </c>
      <c r="J29" s="3" t="str">
        <f t="shared" si="1"/>
        <v/>
      </c>
      <c r="K29" s="3" t="str">
        <f>IF(OR(B29="",E29=""),"",SUMIFS(Взаиморасчёты!$E$5:$E$504,Взаиморасчёты!$C$5:$C$504,"Оплата",Взаиморасчёты!$F$5:$F$504,B29,Взаиморасчёты!$B$5:$B$504,"&gt;="&amp;E29)+SUMIFS(Взаиморасчёты!$E$5:$E$504,Взаиморасчёты!$C$5:$C$504,"Зачёт аванса по договору",Взаиморасчёты!$F$5:$F$504,B29,Взаиморасчёты!$B$5:$B$504,"&gt;="&amp;E29))</f>
        <v/>
      </c>
      <c r="L29" s="3" t="str">
        <f t="shared" si="2"/>
        <v/>
      </c>
      <c r="M29" s="3" t="str">
        <f t="shared" si="3"/>
        <v/>
      </c>
      <c r="N29" s="4" t="str">
        <f>IF(AND(B29="",C29="",D29=""),"",IF(B29="","БЛОК: нужен идентификатор акта — по нему распределяются оплаты",IF(COUNTIF($B$5:$B$34,B29)&gt;1,"БЛОК: идентификатор акта повторяется — оплату нельзя отнести однозначно",IF(NOT(ISNUMBER(D29)),"БЛОК: нужен последний день срока оплаты по этому акту",IF(COUNTIF(Взаиморасчёты!$F$5:$F$504,B29)=0,"БЛОК: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переносится",IF(N(H29)&lt;0,"БЛОК: до первого дня просрочки оплачено и зачтено больше, чем начислено по акту — проверьте распределение",IF(N(L29)&lt;0,"БЛОК: оплаты с первого дня просрочки больше долга на первый день просрочки — проверьте распределение",IF(N(I29)&gt;N(L29),"БЛОК: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29" s="4" t="str">
        <f t="shared" si="4"/>
        <v/>
      </c>
    </row>
    <row r="30" spans="1:15" x14ac:dyDescent="0.3">
      <c r="A30" s="4">
        <v>26</v>
      </c>
      <c r="B30" s="6"/>
      <c r="C30" s="6"/>
      <c r="D30" s="5"/>
      <c r="E30" s="8" t="str">
        <f t="shared" si="0"/>
        <v/>
      </c>
      <c r="F30" s="3" t="str">
        <f>IF(B30="","",SUMIFS(Взаиморасчёты!$E$5:$E$504,Взаиморасчёты!$C$5:$C$504,"Начисление по акту",Взаиморасчёты!$F$5:$F$504,B30)+SUMIFS(Взаиморасчёты!$E$5:$E$504,Взаиморасчёты!$C$5:$C$504,"Корректировка (подписана обеими сторонами)",Взаиморасчёты!$F$5:$F$504,B30))</f>
        <v/>
      </c>
      <c r="G30" s="3" t="str">
        <f>IF(OR(B30="",E30=""),"",SUMIFS(Взаиморасчёты!$E$5:$E$504,Взаиморасчёты!$C$5:$C$504,"Оплата",Взаиморасчёты!$F$5:$F$504,B30,Взаиморасчёты!$B$5:$B$504,"&lt;"&amp;E30)+SUMIFS(Взаиморасчёты!$E$5:$E$504,Взаиморасчёты!$C$5:$C$504,"Зачёт аванса по договору",Взаиморасчёты!$F$5:$F$504,B30,Взаиморасчёты!$B$5:$B$504,"&lt;"&amp;E30))</f>
        <v/>
      </c>
      <c r="H30" s="3" t="str">
        <f>IF(OR(B30="",E30=""),"",IF(NOT(ISNUMBER(Взаиморасчёты!$M$10)),"ЗАБЛОКИРОВАН",F30-G30))</f>
        <v/>
      </c>
      <c r="I30" s="3" t="str">
        <f>IF(B30="","",SUMIFS(Взаиморасчёты!$H$5:$H$504,Взаиморасчёты!$F$5:$F$504,B30))</f>
        <v/>
      </c>
      <c r="J30" s="3" t="str">
        <f t="shared" si="1"/>
        <v/>
      </c>
      <c r="K30" s="3" t="str">
        <f>IF(OR(B30="",E30=""),"",SUMIFS(Взаиморасчёты!$E$5:$E$504,Взаиморасчёты!$C$5:$C$504,"Оплата",Взаиморасчёты!$F$5:$F$504,B30,Взаиморасчёты!$B$5:$B$504,"&gt;="&amp;E30)+SUMIFS(Взаиморасчёты!$E$5:$E$504,Взаиморасчёты!$C$5:$C$504,"Зачёт аванса по договору",Взаиморасчёты!$F$5:$F$504,B30,Взаиморасчёты!$B$5:$B$504,"&gt;="&amp;E30))</f>
        <v/>
      </c>
      <c r="L30" s="3" t="str">
        <f t="shared" si="2"/>
        <v/>
      </c>
      <c r="M30" s="3" t="str">
        <f t="shared" si="3"/>
        <v/>
      </c>
      <c r="N30" s="4" t="str">
        <f>IF(AND(B30="",C30="",D30=""),"",IF(B30="","БЛОК: нужен идентификатор акта — по нему распределяются оплаты",IF(COUNTIF($B$5:$B$34,B30)&gt;1,"БЛОК: идентификатор акта повторяется — оплату нельзя отнести однозначно",IF(NOT(ISNUMBER(D30)),"БЛОК: нужен последний день срока оплаты по этому акту",IF(COUNTIF(Взаиморасчёты!$F$5:$F$504,B30)=0,"БЛОК: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переносится",IF(N(H30)&lt;0,"БЛОК: до первого дня просрочки оплачено и зачтено больше, чем начислено по акту — проверьте распределение",IF(N(L30)&lt;0,"БЛОК: оплаты с первого дня просрочки больше долга на первый день просрочки — проверьте распределение",IF(N(I30)&gt;N(L30),"БЛОК: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30" s="4" t="str">
        <f t="shared" si="4"/>
        <v/>
      </c>
    </row>
    <row r="31" spans="1:15" x14ac:dyDescent="0.3">
      <c r="A31" s="4">
        <v>27</v>
      </c>
      <c r="B31" s="6"/>
      <c r="C31" s="6"/>
      <c r="D31" s="5"/>
      <c r="E31" s="8" t="str">
        <f t="shared" si="0"/>
        <v/>
      </c>
      <c r="F31" s="3" t="str">
        <f>IF(B31="","",SUMIFS(Взаиморасчёты!$E$5:$E$504,Взаиморасчёты!$C$5:$C$504,"Начисление по акту",Взаиморасчёты!$F$5:$F$504,B31)+SUMIFS(Взаиморасчёты!$E$5:$E$504,Взаиморасчёты!$C$5:$C$504,"Корректировка (подписана обеими сторонами)",Взаиморасчёты!$F$5:$F$504,B31))</f>
        <v/>
      </c>
      <c r="G31" s="3" t="str">
        <f>IF(OR(B31="",E31=""),"",SUMIFS(Взаиморасчёты!$E$5:$E$504,Взаиморасчёты!$C$5:$C$504,"Оплата",Взаиморасчёты!$F$5:$F$504,B31,Взаиморасчёты!$B$5:$B$504,"&lt;"&amp;E31)+SUMIFS(Взаиморасчёты!$E$5:$E$504,Взаиморасчёты!$C$5:$C$504,"Зачёт аванса по договору",Взаиморасчёты!$F$5:$F$504,B31,Взаиморасчёты!$B$5:$B$504,"&lt;"&amp;E31))</f>
        <v/>
      </c>
      <c r="H31" s="3" t="str">
        <f>IF(OR(B31="",E31=""),"",IF(NOT(ISNUMBER(Взаиморасчёты!$M$10)),"ЗАБЛОКИРОВАН",F31-G31))</f>
        <v/>
      </c>
      <c r="I31" s="3" t="str">
        <f>IF(B31="","",SUMIFS(Взаиморасчёты!$H$5:$H$504,Взаиморасчёты!$F$5:$F$504,B31))</f>
        <v/>
      </c>
      <c r="J31" s="3" t="str">
        <f t="shared" si="1"/>
        <v/>
      </c>
      <c r="K31" s="3" t="str">
        <f>IF(OR(B31="",E31=""),"",SUMIFS(Взаиморасчёты!$E$5:$E$504,Взаиморасчёты!$C$5:$C$504,"Оплата",Взаиморасчёты!$F$5:$F$504,B31,Взаиморасчёты!$B$5:$B$504,"&gt;="&amp;E31)+SUMIFS(Взаиморасчёты!$E$5:$E$504,Взаиморасчёты!$C$5:$C$504,"Зачёт аванса по договору",Взаиморасчёты!$F$5:$F$504,B31,Взаиморасчёты!$B$5:$B$504,"&gt;="&amp;E31))</f>
        <v/>
      </c>
      <c r="L31" s="3" t="str">
        <f t="shared" si="2"/>
        <v/>
      </c>
      <c r="M31" s="3" t="str">
        <f t="shared" si="3"/>
        <v/>
      </c>
      <c r="N31" s="4" t="str">
        <f>IF(AND(B31="",C31="",D31=""),"",IF(B31="","БЛОК: нужен идентификатор акта — по нему распределяются оплаты",IF(COUNTIF($B$5:$B$34,B31)&gt;1,"БЛОК: идентификатор акта повторяется — оплату нельзя отнести однозначно",IF(NOT(ISNUMBER(D31)),"БЛОК: нужен последний день срока оплаты по этому акту",IF(COUNTIF(Взаиморасчёты!$F$5:$F$504,B31)=0,"БЛОК: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переносится",IF(N(H31)&lt;0,"БЛОК: до первого дня просрочки оплачено и зачтено больше, чем начислено по акту — проверьте распределение",IF(N(L31)&lt;0,"БЛОК: оплаты с первого дня просрочки больше долга на первый день просрочки — проверьте распределение",IF(N(I31)&gt;N(L31),"БЛОК: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31" s="4" t="str">
        <f t="shared" si="4"/>
        <v/>
      </c>
    </row>
    <row r="32" spans="1:15" x14ac:dyDescent="0.3">
      <c r="A32" s="4">
        <v>28</v>
      </c>
      <c r="B32" s="6"/>
      <c r="C32" s="6"/>
      <c r="D32" s="5"/>
      <c r="E32" s="8" t="str">
        <f t="shared" si="0"/>
        <v/>
      </c>
      <c r="F32" s="3" t="str">
        <f>IF(B32="","",SUMIFS(Взаиморасчёты!$E$5:$E$504,Взаиморасчёты!$C$5:$C$504,"Начисление по акту",Взаиморасчёты!$F$5:$F$504,B32)+SUMIFS(Взаиморасчёты!$E$5:$E$504,Взаиморасчёты!$C$5:$C$504,"Корректировка (подписана обеими сторонами)",Взаиморасчёты!$F$5:$F$504,B32))</f>
        <v/>
      </c>
      <c r="G32" s="3" t="str">
        <f>IF(OR(B32="",E32=""),"",SUMIFS(Взаиморасчёты!$E$5:$E$504,Взаиморасчёты!$C$5:$C$504,"Оплата",Взаиморасчёты!$F$5:$F$504,B32,Взаиморасчёты!$B$5:$B$504,"&lt;"&amp;E32)+SUMIFS(Взаиморасчёты!$E$5:$E$504,Взаиморасчёты!$C$5:$C$504,"Зачёт аванса по договору",Взаиморасчёты!$F$5:$F$504,B32,Взаиморасчёты!$B$5:$B$504,"&lt;"&amp;E32))</f>
        <v/>
      </c>
      <c r="H32" s="3" t="str">
        <f>IF(OR(B32="",E32=""),"",IF(NOT(ISNUMBER(Взаиморасчёты!$M$10)),"ЗАБЛОКИРОВАН",F32-G32))</f>
        <v/>
      </c>
      <c r="I32" s="3" t="str">
        <f>IF(B32="","",SUMIFS(Взаиморасчёты!$H$5:$H$504,Взаиморасчёты!$F$5:$F$504,B32))</f>
        <v/>
      </c>
      <c r="J32" s="3" t="str">
        <f t="shared" si="1"/>
        <v/>
      </c>
      <c r="K32" s="3" t="str">
        <f>IF(OR(B32="",E32=""),"",SUMIFS(Взаиморасчёты!$E$5:$E$504,Взаиморасчёты!$C$5:$C$504,"Оплата",Взаиморасчёты!$F$5:$F$504,B32,Взаиморасчёты!$B$5:$B$504,"&gt;="&amp;E32)+SUMIFS(Взаиморасчёты!$E$5:$E$504,Взаиморасчёты!$C$5:$C$504,"Зачёт аванса по договору",Взаиморасчёты!$F$5:$F$504,B32,Взаиморасчёты!$B$5:$B$504,"&gt;="&amp;E32))</f>
        <v/>
      </c>
      <c r="L32" s="3" t="str">
        <f t="shared" si="2"/>
        <v/>
      </c>
      <c r="M32" s="3" t="str">
        <f t="shared" si="3"/>
        <v/>
      </c>
      <c r="N32" s="4" t="str">
        <f>IF(AND(B32="",C32="",D32=""),"",IF(B32="","БЛОК: нужен идентификатор акта — по нему распределяются оплаты",IF(COUNTIF($B$5:$B$34,B32)&gt;1,"БЛОК: идентификатор акта повторяется — оплату нельзя отнести однозначно",IF(NOT(ISNUMBER(D32)),"БЛОК: нужен последний день срока оплаты по этому акту",IF(COUNTIF(Взаиморасчёты!$F$5:$F$504,B32)=0,"БЛОК: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переносится",IF(N(H32)&lt;0,"БЛОК: до первого дня просрочки оплачено и зачтено больше, чем начислено по акту — проверьте распределение",IF(N(L32)&lt;0,"БЛОК: оплаты с первого дня просрочки больше долга на первый день просрочки — проверьте распределение",IF(N(I32)&gt;N(L32),"БЛОК: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32" s="4" t="str">
        <f t="shared" si="4"/>
        <v/>
      </c>
    </row>
    <row r="33" spans="1:15" x14ac:dyDescent="0.3">
      <c r="A33" s="4">
        <v>29</v>
      </c>
      <c r="B33" s="6"/>
      <c r="C33" s="6"/>
      <c r="D33" s="5"/>
      <c r="E33" s="8" t="str">
        <f t="shared" si="0"/>
        <v/>
      </c>
      <c r="F33" s="3" t="str">
        <f>IF(B33="","",SUMIFS(Взаиморасчёты!$E$5:$E$504,Взаиморасчёты!$C$5:$C$504,"Начисление по акту",Взаиморасчёты!$F$5:$F$504,B33)+SUMIFS(Взаиморасчёты!$E$5:$E$504,Взаиморасчёты!$C$5:$C$504,"Корректировка (подписана обеими сторонами)",Взаиморасчёты!$F$5:$F$504,B33))</f>
        <v/>
      </c>
      <c r="G33" s="3" t="str">
        <f>IF(OR(B33="",E33=""),"",SUMIFS(Взаиморасчёты!$E$5:$E$504,Взаиморасчёты!$C$5:$C$504,"Оплата",Взаиморасчёты!$F$5:$F$504,B33,Взаиморасчёты!$B$5:$B$504,"&lt;"&amp;E33)+SUMIFS(Взаиморасчёты!$E$5:$E$504,Взаиморасчёты!$C$5:$C$504,"Зачёт аванса по договору",Взаиморасчёты!$F$5:$F$504,B33,Взаиморасчёты!$B$5:$B$504,"&lt;"&amp;E33))</f>
        <v/>
      </c>
      <c r="H33" s="3" t="str">
        <f>IF(OR(B33="",E33=""),"",IF(NOT(ISNUMBER(Взаиморасчёты!$M$10)),"ЗАБЛОКИРОВАН",F33-G33))</f>
        <v/>
      </c>
      <c r="I33" s="3" t="str">
        <f>IF(B33="","",SUMIFS(Взаиморасчёты!$H$5:$H$504,Взаиморасчёты!$F$5:$F$504,B33))</f>
        <v/>
      </c>
      <c r="J33" s="3" t="str">
        <f t="shared" si="1"/>
        <v/>
      </c>
      <c r="K33" s="3" t="str">
        <f>IF(OR(B33="",E33=""),"",SUMIFS(Взаиморасчёты!$E$5:$E$504,Взаиморасчёты!$C$5:$C$504,"Оплата",Взаиморасчёты!$F$5:$F$504,B33,Взаиморасчёты!$B$5:$B$504,"&gt;="&amp;E33)+SUMIFS(Взаиморасчёты!$E$5:$E$504,Взаиморасчёты!$C$5:$C$504,"Зачёт аванса по договору",Взаиморасчёты!$F$5:$F$504,B33,Взаиморасчёты!$B$5:$B$504,"&gt;="&amp;E33))</f>
        <v/>
      </c>
      <c r="L33" s="3" t="str">
        <f t="shared" si="2"/>
        <v/>
      </c>
      <c r="M33" s="3" t="str">
        <f t="shared" si="3"/>
        <v/>
      </c>
      <c r="N33" s="4" t="str">
        <f>IF(AND(B33="",C33="",D33=""),"",IF(B33="","БЛОК: нужен идентификатор акта — по нему распределяются оплаты",IF(COUNTIF($B$5:$B$34,B33)&gt;1,"БЛОК: идентификатор акта повторяется — оплату нельзя отнести однозначно",IF(NOT(ISNUMBER(D33)),"БЛОК: нужен последний день срока оплаты по этому акту",IF(COUNTIF(Взаиморасчёты!$F$5:$F$504,B33)=0,"БЛОК: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переносится",IF(N(H33)&lt;0,"БЛОК: до первого дня просрочки оплачено и зачтено больше, чем начислено по акту — проверьте распределение",IF(N(L33)&lt;0,"БЛОК: оплаты с первого дня просрочки больше долга на первый день просрочки — проверьте распределение",IF(N(I33)&gt;N(L33),"БЛОК: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33" s="4" t="str">
        <f t="shared" si="4"/>
        <v/>
      </c>
    </row>
    <row r="34" spans="1:15" x14ac:dyDescent="0.3">
      <c r="A34" s="4">
        <v>30</v>
      </c>
      <c r="B34" s="6"/>
      <c r="C34" s="6"/>
      <c r="D34" s="5"/>
      <c r="E34" s="8" t="str">
        <f t="shared" si="0"/>
        <v/>
      </c>
      <c r="F34" s="3" t="str">
        <f>IF(B34="","",SUMIFS(Взаиморасчёты!$E$5:$E$504,Взаиморасчёты!$C$5:$C$504,"Начисление по акту",Взаиморасчёты!$F$5:$F$504,B34)+SUMIFS(Взаиморасчёты!$E$5:$E$504,Взаиморасчёты!$C$5:$C$504,"Корректировка (подписана обеими сторонами)",Взаиморасчёты!$F$5:$F$504,B34))</f>
        <v/>
      </c>
      <c r="G34" s="3" t="str">
        <f>IF(OR(B34="",E34=""),"",SUMIFS(Взаиморасчёты!$E$5:$E$504,Взаиморасчёты!$C$5:$C$504,"Оплата",Взаиморасчёты!$F$5:$F$504,B34,Взаиморасчёты!$B$5:$B$504,"&lt;"&amp;E34)+SUMIFS(Взаиморасчёты!$E$5:$E$504,Взаиморасчёты!$C$5:$C$504,"Зачёт аванса по договору",Взаиморасчёты!$F$5:$F$504,B34,Взаиморасчёты!$B$5:$B$504,"&lt;"&amp;E34))</f>
        <v/>
      </c>
      <c r="H34" s="3" t="str">
        <f>IF(OR(B34="",E34=""),"",IF(NOT(ISNUMBER(Взаиморасчёты!$M$10)),"ЗАБЛОКИРОВАН",F34-G34))</f>
        <v/>
      </c>
      <c r="I34" s="3" t="str">
        <f>IF(B34="","",SUMIFS(Взаиморасчёты!$H$5:$H$504,Взаиморасчёты!$F$5:$F$504,B34))</f>
        <v/>
      </c>
      <c r="J34" s="3" t="str">
        <f t="shared" si="1"/>
        <v/>
      </c>
      <c r="K34" s="3" t="str">
        <f>IF(OR(B34="",E34=""),"",SUMIFS(Взаиморасчёты!$E$5:$E$504,Взаиморасчёты!$C$5:$C$504,"Оплата",Взаиморасчёты!$F$5:$F$504,B34,Взаиморасчёты!$B$5:$B$504,"&gt;="&amp;E34)+SUMIFS(Взаиморасчёты!$E$5:$E$504,Взаиморасчёты!$C$5:$C$504,"Зачёт аванса по договору",Взаиморасчёты!$F$5:$F$504,B34,Взаиморасчёты!$B$5:$B$504,"&gt;="&amp;E34))</f>
        <v/>
      </c>
      <c r="L34" s="3" t="str">
        <f t="shared" si="2"/>
        <v/>
      </c>
      <c r="M34" s="3" t="str">
        <f t="shared" si="3"/>
        <v/>
      </c>
      <c r="N34" s="4" t="str">
        <f>IF(AND(B34="",C34="",D34=""),"",IF(B34="","БЛОК: нужен идентификатор акта — по нему распределяются оплаты",IF(COUNTIF($B$5:$B$34,B34)&gt;1,"БЛОК: идентификатор акта повторяется — оплату нельзя отнести однозначно",IF(NOT(ISNUMBER(D34)),"БЛОК: нужен последний день срока оплаты по этому акту",IF(COUNTIF(Взаиморасчёты!$F$5:$F$504,B34)=0,"БЛОК: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переносится",IF(N(H34)&lt;0,"БЛОК: до первого дня просрочки оплачено и зачтено больше, чем начислено по акту — проверьте распределение",IF(N(L34)&lt;0,"БЛОК: оплаты с первого дня просрочки больше долга на первый день просрочки — проверьте распределение",IF(N(I34)&gt;N(L34),"БЛОК: спорная часть по акту (колонка I) больше общего остатка по акту — проверьте суммы удержания, зачёта встречного требования, неустойки и допработ и акт, к которому они отнесены: бесспорная часть не может быть отрицательной","ок")))))))))</f>
        <v/>
      </c>
      <c r="O34" s="4" t="str">
        <f t="shared" si="4"/>
        <v/>
      </c>
    </row>
  </sheetData>
  <mergeCells count="2">
    <mergeCell ref="A1:O1"/>
    <mergeCell ref="A2:O2"/>
  </mergeCells>
  <pageMargins left="0.75" right="0.75" top="1" bottom="1" header="0.5" footer="0.5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51"/>
  <sheetViews>
    <sheetView topLeftCell="A16" workbookViewId="0">
      <selection sqref="A1:J1"/>
    </sheetView>
  </sheetViews>
  <sheetFormatPr defaultRowHeight="14.4" x14ac:dyDescent="0.3"/>
  <cols>
    <col min="1" max="1" width="5" customWidth="1"/>
    <col min="2" max="2" width="20" customWidth="1"/>
    <col min="3" max="3" width="24" customWidth="1"/>
    <col min="4" max="5" width="18" customWidth="1"/>
    <col min="6" max="7" width="20" customWidth="1"/>
    <col min="8" max="9" width="18" customWidth="1"/>
    <col min="10" max="10" width="30" customWidth="1"/>
  </cols>
  <sheetData>
    <row r="1" spans="1:10" ht="18" customHeight="1" x14ac:dyDescent="0.3">
      <c r="A1" s="13" t="s">
        <v>48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63" customHeight="1" x14ac:dyDescent="0.3">
      <c r="A2" s="14" t="s">
        <v>49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3">
      <c r="B3" s="9" t="s">
        <v>50</v>
      </c>
      <c r="C3" s="12" t="str">
        <f>IF(COUNTA('Долг по актам'!$B$5:$B$34)=0,"НЕ ГОТОВ: на листе «Долг по актам» нет ни одного акта",IF(NOT(ISNUMBER(Взаиморасчёты!$M$10)),"НЕ ГОТОВ: реестр «Взаиморасчёты» заблокирован (например, двойной учёт аванса или операция без акта) — исправьте строки с «БЛОК»",IF(COUNTIF('Долг по актам'!$N$5:$N$34,"БЛОК*")&gt;0,"НЕ ГОТОВ: на листе «Долг по актам» есть строки с «БЛОК» в колонке «Проверка»",IF(NOT(ISNUMBER(Взаиморасчёты!$M$12)),"НЕ ГОТОВ: бесспорная часть заблокирована — см. «Взаиморасчёты», свод",IF(ROUND(SUM(F13:F42)-Взаиморасчёты!$M$10,2)&lt;&gt;0,"НЕ ГОТОВ: сумма по актам не равна общему долгу реестра — проверьте, что все операции отнесены к актам этого листа","ГОТОВ")))))</f>
        <v>НЕ ГОТОВ: на листе «Долг по актам» нет ни одного акта</v>
      </c>
      <c r="D3" s="12"/>
      <c r="E3" s="12"/>
      <c r="F3" s="12"/>
      <c r="G3" s="12"/>
      <c r="H3" s="12"/>
      <c r="I3" s="12"/>
      <c r="J3" s="12"/>
    </row>
    <row r="5" spans="1:10" x14ac:dyDescent="0.3">
      <c r="B5" s="9" t="s">
        <v>51</v>
      </c>
      <c r="C5" s="16"/>
      <c r="D5" s="12"/>
      <c r="E5" s="12"/>
      <c r="F5" s="12"/>
      <c r="G5" s="12"/>
      <c r="H5" s="12"/>
      <c r="I5" s="12"/>
      <c r="J5" t="s">
        <v>52</v>
      </c>
    </row>
    <row r="6" spans="1:10" x14ac:dyDescent="0.3">
      <c r="B6" s="9" t="s">
        <v>53</v>
      </c>
      <c r="C6" s="16"/>
      <c r="D6" s="12"/>
      <c r="E6" s="12"/>
      <c r="F6" s="12"/>
      <c r="G6" s="12"/>
      <c r="H6" s="12"/>
      <c r="I6" s="12"/>
      <c r="J6" t="s">
        <v>52</v>
      </c>
    </row>
    <row r="7" spans="1:10" x14ac:dyDescent="0.3">
      <c r="B7" s="9" t="s">
        <v>54</v>
      </c>
      <c r="C7" s="16"/>
      <c r="D7" s="12"/>
      <c r="E7" s="12"/>
      <c r="F7" s="12"/>
      <c r="G7" s="12"/>
      <c r="H7" s="12"/>
      <c r="I7" s="12"/>
      <c r="J7" t="s">
        <v>55</v>
      </c>
    </row>
    <row r="8" spans="1:10" x14ac:dyDescent="0.3">
      <c r="B8" s="9" t="s">
        <v>56</v>
      </c>
      <c r="C8" s="15"/>
      <c r="D8" s="12"/>
      <c r="E8" s="12"/>
      <c r="F8" s="12"/>
      <c r="G8" s="12"/>
      <c r="H8" s="12"/>
      <c r="I8" s="12"/>
      <c r="J8" t="s">
        <v>57</v>
      </c>
    </row>
    <row r="10" spans="1:10" ht="33" customHeight="1" x14ac:dyDescent="0.3">
      <c r="A10" s="14" t="s">
        <v>58</v>
      </c>
      <c r="B10" s="12"/>
      <c r="C10" s="12"/>
      <c r="D10" s="12"/>
      <c r="E10" s="12"/>
      <c r="F10" s="12"/>
      <c r="G10" s="12"/>
      <c r="H10" s="12"/>
      <c r="I10" s="12"/>
      <c r="J10" s="12"/>
    </row>
    <row r="12" spans="1:10" ht="43.2" x14ac:dyDescent="0.3">
      <c r="A12" s="1" t="s">
        <v>2</v>
      </c>
      <c r="B12" s="1" t="s">
        <v>27</v>
      </c>
      <c r="C12" s="1" t="s">
        <v>28</v>
      </c>
      <c r="D12" s="1" t="s">
        <v>31</v>
      </c>
      <c r="E12" s="1" t="s">
        <v>59</v>
      </c>
      <c r="F12" s="1" t="s">
        <v>60</v>
      </c>
      <c r="G12" s="1" t="s">
        <v>61</v>
      </c>
      <c r="H12" s="1" t="s">
        <v>62</v>
      </c>
      <c r="I12" s="1" t="s">
        <v>63</v>
      </c>
      <c r="J12" s="1" t="s">
        <v>64</v>
      </c>
    </row>
    <row r="13" spans="1:10" x14ac:dyDescent="0.3">
      <c r="A13" s="4">
        <v>1</v>
      </c>
      <c r="B13" s="4" t="str">
        <f>IF('Долг по актам'!B5="","",'Долг по актам'!B5)</f>
        <v/>
      </c>
      <c r="C13" s="4" t="str">
        <f>IF('Долг по актам'!B5="","",'Долг по актам'!C5&amp;"")</f>
        <v/>
      </c>
      <c r="D13" s="3" t="str">
        <f>IF('Долг по актам'!B5="","",N('Долг по актам'!F5))</f>
        <v/>
      </c>
      <c r="E13" s="3" t="str">
        <f>IF('Долг по актам'!B5="","",IF(ISNUMBER('Долг по актам'!G5),'Долг по актам'!G5,0)+N('Долг по актам'!K5))</f>
        <v/>
      </c>
      <c r="F13" s="3" t="str">
        <f>IF(ISNUMBER('Долг по актам'!L5),'Долг по актам'!L5,"")</f>
        <v/>
      </c>
      <c r="G13" s="3" t="str">
        <f>IF('Долг по актам'!B5="","",N('Долг по актам'!I5))</f>
        <v/>
      </c>
      <c r="H13" s="3" t="str">
        <f>IF(ISNUMBER('Долг по актам'!M5),'Долг по актам'!M5,"")</f>
        <v/>
      </c>
      <c r="I13" s="7"/>
      <c r="J13" s="6"/>
    </row>
    <row r="14" spans="1:10" x14ac:dyDescent="0.3">
      <c r="A14" s="4">
        <v>2</v>
      </c>
      <c r="B14" s="4" t="str">
        <f>IF('Долг по актам'!B6="","",'Долг по актам'!B6)</f>
        <v/>
      </c>
      <c r="C14" s="4" t="str">
        <f>IF('Долг по актам'!B6="","",'Долг по актам'!C6&amp;"")</f>
        <v/>
      </c>
      <c r="D14" s="3" t="str">
        <f>IF('Долг по актам'!B6="","",N('Долг по актам'!F6))</f>
        <v/>
      </c>
      <c r="E14" s="3" t="str">
        <f>IF('Долг по актам'!B6="","",IF(ISNUMBER('Долг по актам'!G6),'Долг по актам'!G6,0)+N('Долг по актам'!K6))</f>
        <v/>
      </c>
      <c r="F14" s="3" t="str">
        <f>IF(ISNUMBER('Долг по актам'!L6),'Долг по актам'!L6,"")</f>
        <v/>
      </c>
      <c r="G14" s="3" t="str">
        <f>IF('Долг по актам'!B6="","",N('Долг по актам'!I6))</f>
        <v/>
      </c>
      <c r="H14" s="3" t="str">
        <f>IF(ISNUMBER('Долг по актам'!M6),'Долг по актам'!M6,"")</f>
        <v/>
      </c>
      <c r="I14" s="7"/>
      <c r="J14" s="6"/>
    </row>
    <row r="15" spans="1:10" x14ac:dyDescent="0.3">
      <c r="A15" s="4">
        <v>3</v>
      </c>
      <c r="B15" s="4" t="str">
        <f>IF('Долг по актам'!B7="","",'Долг по актам'!B7)</f>
        <v/>
      </c>
      <c r="C15" s="4" t="str">
        <f>IF('Долг по актам'!B7="","",'Долг по актам'!C7&amp;"")</f>
        <v/>
      </c>
      <c r="D15" s="3" t="str">
        <f>IF('Долг по актам'!B7="","",N('Долг по актам'!F7))</f>
        <v/>
      </c>
      <c r="E15" s="3" t="str">
        <f>IF('Долг по актам'!B7="","",IF(ISNUMBER('Долг по актам'!G7),'Долг по актам'!G7,0)+N('Долг по актам'!K7))</f>
        <v/>
      </c>
      <c r="F15" s="3" t="str">
        <f>IF(ISNUMBER('Долг по актам'!L7),'Долг по актам'!L7,"")</f>
        <v/>
      </c>
      <c r="G15" s="3" t="str">
        <f>IF('Долг по актам'!B7="","",N('Долг по актам'!I7))</f>
        <v/>
      </c>
      <c r="H15" s="3" t="str">
        <f>IF(ISNUMBER('Долг по актам'!M7),'Долг по актам'!M7,"")</f>
        <v/>
      </c>
      <c r="I15" s="7"/>
      <c r="J15" s="6"/>
    </row>
    <row r="16" spans="1:10" x14ac:dyDescent="0.3">
      <c r="A16" s="4">
        <v>4</v>
      </c>
      <c r="B16" s="4" t="str">
        <f>IF('Долг по актам'!B8="","",'Долг по актам'!B8)</f>
        <v/>
      </c>
      <c r="C16" s="4" t="str">
        <f>IF('Долг по актам'!B8="","",'Долг по актам'!C8&amp;"")</f>
        <v/>
      </c>
      <c r="D16" s="3" t="str">
        <f>IF('Долг по актам'!B8="","",N('Долг по актам'!F8))</f>
        <v/>
      </c>
      <c r="E16" s="3" t="str">
        <f>IF('Долг по актам'!B8="","",IF(ISNUMBER('Долг по актам'!G8),'Долг по актам'!G8,0)+N('Долг по актам'!K8))</f>
        <v/>
      </c>
      <c r="F16" s="3" t="str">
        <f>IF(ISNUMBER('Долг по актам'!L8),'Долг по актам'!L8,"")</f>
        <v/>
      </c>
      <c r="G16" s="3" t="str">
        <f>IF('Долг по актам'!B8="","",N('Долг по актам'!I8))</f>
        <v/>
      </c>
      <c r="H16" s="3" t="str">
        <f>IF(ISNUMBER('Долг по актам'!M8),'Долг по актам'!M8,"")</f>
        <v/>
      </c>
      <c r="I16" s="7"/>
      <c r="J16" s="6"/>
    </row>
    <row r="17" spans="1:10" x14ac:dyDescent="0.3">
      <c r="A17" s="4">
        <v>5</v>
      </c>
      <c r="B17" s="4" t="str">
        <f>IF('Долг по актам'!B9="","",'Долг по актам'!B9)</f>
        <v/>
      </c>
      <c r="C17" s="4" t="str">
        <f>IF('Долг по актам'!B9="","",'Долг по актам'!C9&amp;"")</f>
        <v/>
      </c>
      <c r="D17" s="3" t="str">
        <f>IF('Долг по актам'!B9="","",N('Долг по актам'!F9))</f>
        <v/>
      </c>
      <c r="E17" s="3" t="str">
        <f>IF('Долг по актам'!B9="","",IF(ISNUMBER('Долг по актам'!G9),'Долг по актам'!G9,0)+N('Долг по актам'!K9))</f>
        <v/>
      </c>
      <c r="F17" s="3" t="str">
        <f>IF(ISNUMBER('Долг по актам'!L9),'Долг по актам'!L9,"")</f>
        <v/>
      </c>
      <c r="G17" s="3" t="str">
        <f>IF('Долг по актам'!B9="","",N('Долг по актам'!I9))</f>
        <v/>
      </c>
      <c r="H17" s="3" t="str">
        <f>IF(ISNUMBER('Долг по актам'!M9),'Долг по актам'!M9,"")</f>
        <v/>
      </c>
      <c r="I17" s="7"/>
      <c r="J17" s="6"/>
    </row>
    <row r="18" spans="1:10" x14ac:dyDescent="0.3">
      <c r="A18" s="4">
        <v>6</v>
      </c>
      <c r="B18" s="4" t="str">
        <f>IF('Долг по актам'!B10="","",'Долг по актам'!B10)</f>
        <v/>
      </c>
      <c r="C18" s="4" t="str">
        <f>IF('Долг по актам'!B10="","",'Долг по актам'!C10&amp;"")</f>
        <v/>
      </c>
      <c r="D18" s="3" t="str">
        <f>IF('Долг по актам'!B10="","",N('Долг по актам'!F10))</f>
        <v/>
      </c>
      <c r="E18" s="3" t="str">
        <f>IF('Долг по актам'!B10="","",IF(ISNUMBER('Долг по актам'!G10),'Долг по актам'!G10,0)+N('Долг по актам'!K10))</f>
        <v/>
      </c>
      <c r="F18" s="3" t="str">
        <f>IF(ISNUMBER('Долг по актам'!L10),'Долг по актам'!L10,"")</f>
        <v/>
      </c>
      <c r="G18" s="3" t="str">
        <f>IF('Долг по актам'!B10="","",N('Долг по актам'!I10))</f>
        <v/>
      </c>
      <c r="H18" s="3" t="str">
        <f>IF(ISNUMBER('Долг по актам'!M10),'Долг по актам'!M10,"")</f>
        <v/>
      </c>
      <c r="I18" s="7"/>
      <c r="J18" s="6"/>
    </row>
    <row r="19" spans="1:10" x14ac:dyDescent="0.3">
      <c r="A19" s="4">
        <v>7</v>
      </c>
      <c r="B19" s="4" t="str">
        <f>IF('Долг по актам'!B11="","",'Долг по актам'!B11)</f>
        <v/>
      </c>
      <c r="C19" s="4" t="str">
        <f>IF('Долг по актам'!B11="","",'Долг по актам'!C11&amp;"")</f>
        <v/>
      </c>
      <c r="D19" s="3" t="str">
        <f>IF('Долг по актам'!B11="","",N('Долг по актам'!F11))</f>
        <v/>
      </c>
      <c r="E19" s="3" t="str">
        <f>IF('Долг по актам'!B11="","",IF(ISNUMBER('Долг по актам'!G11),'Долг по актам'!G11,0)+N('Долг по актам'!K11))</f>
        <v/>
      </c>
      <c r="F19" s="3" t="str">
        <f>IF(ISNUMBER('Долг по актам'!L11),'Долг по актам'!L11,"")</f>
        <v/>
      </c>
      <c r="G19" s="3" t="str">
        <f>IF('Долг по актам'!B11="","",N('Долг по актам'!I11))</f>
        <v/>
      </c>
      <c r="H19" s="3" t="str">
        <f>IF(ISNUMBER('Долг по актам'!M11),'Долг по актам'!M11,"")</f>
        <v/>
      </c>
      <c r="I19" s="7"/>
      <c r="J19" s="6"/>
    </row>
    <row r="20" spans="1:10" x14ac:dyDescent="0.3">
      <c r="A20" s="4">
        <v>8</v>
      </c>
      <c r="B20" s="4" t="str">
        <f>IF('Долг по актам'!B12="","",'Долг по актам'!B12)</f>
        <v/>
      </c>
      <c r="C20" s="4" t="str">
        <f>IF('Долг по актам'!B12="","",'Долг по актам'!C12&amp;"")</f>
        <v/>
      </c>
      <c r="D20" s="3" t="str">
        <f>IF('Долг по актам'!B12="","",N('Долг по актам'!F12))</f>
        <v/>
      </c>
      <c r="E20" s="3" t="str">
        <f>IF('Долг по актам'!B12="","",IF(ISNUMBER('Долг по актам'!G12),'Долг по актам'!G12,0)+N('Долг по актам'!K12))</f>
        <v/>
      </c>
      <c r="F20" s="3" t="str">
        <f>IF(ISNUMBER('Долг по актам'!L12),'Долг по актам'!L12,"")</f>
        <v/>
      </c>
      <c r="G20" s="3" t="str">
        <f>IF('Долг по актам'!B12="","",N('Долг по актам'!I12))</f>
        <v/>
      </c>
      <c r="H20" s="3" t="str">
        <f>IF(ISNUMBER('Долг по актам'!M12),'Долг по актам'!M12,"")</f>
        <v/>
      </c>
      <c r="I20" s="7"/>
      <c r="J20" s="6"/>
    </row>
    <row r="21" spans="1:10" x14ac:dyDescent="0.3">
      <c r="A21" s="4">
        <v>9</v>
      </c>
      <c r="B21" s="4" t="str">
        <f>IF('Долг по актам'!B13="","",'Долг по актам'!B13)</f>
        <v/>
      </c>
      <c r="C21" s="4" t="str">
        <f>IF('Долг по актам'!B13="","",'Долг по актам'!C13&amp;"")</f>
        <v/>
      </c>
      <c r="D21" s="3" t="str">
        <f>IF('Долг по актам'!B13="","",N('Долг по актам'!F13))</f>
        <v/>
      </c>
      <c r="E21" s="3" t="str">
        <f>IF('Долг по актам'!B13="","",IF(ISNUMBER('Долг по актам'!G13),'Долг по актам'!G13,0)+N('Долг по актам'!K13))</f>
        <v/>
      </c>
      <c r="F21" s="3" t="str">
        <f>IF(ISNUMBER('Долг по актам'!L13),'Долг по актам'!L13,"")</f>
        <v/>
      </c>
      <c r="G21" s="3" t="str">
        <f>IF('Долг по актам'!B13="","",N('Долг по актам'!I13))</f>
        <v/>
      </c>
      <c r="H21" s="3" t="str">
        <f>IF(ISNUMBER('Долг по актам'!M13),'Долг по актам'!M13,"")</f>
        <v/>
      </c>
      <c r="I21" s="7"/>
      <c r="J21" s="6"/>
    </row>
    <row r="22" spans="1:10" x14ac:dyDescent="0.3">
      <c r="A22" s="4">
        <v>10</v>
      </c>
      <c r="B22" s="4" t="str">
        <f>IF('Долг по актам'!B14="","",'Долг по актам'!B14)</f>
        <v/>
      </c>
      <c r="C22" s="4" t="str">
        <f>IF('Долг по актам'!B14="","",'Долг по актам'!C14&amp;"")</f>
        <v/>
      </c>
      <c r="D22" s="3" t="str">
        <f>IF('Долг по актам'!B14="","",N('Долг по актам'!F14))</f>
        <v/>
      </c>
      <c r="E22" s="3" t="str">
        <f>IF('Долг по актам'!B14="","",IF(ISNUMBER('Долг по актам'!G14),'Долг по актам'!G14,0)+N('Долг по актам'!K14))</f>
        <v/>
      </c>
      <c r="F22" s="3" t="str">
        <f>IF(ISNUMBER('Долг по актам'!L14),'Долг по актам'!L14,"")</f>
        <v/>
      </c>
      <c r="G22" s="3" t="str">
        <f>IF('Долг по актам'!B14="","",N('Долг по актам'!I14))</f>
        <v/>
      </c>
      <c r="H22" s="3" t="str">
        <f>IF(ISNUMBER('Долг по актам'!M14),'Долг по актам'!M14,"")</f>
        <v/>
      </c>
      <c r="I22" s="7"/>
      <c r="J22" s="6"/>
    </row>
    <row r="23" spans="1:10" x14ac:dyDescent="0.3">
      <c r="A23" s="4">
        <v>11</v>
      </c>
      <c r="B23" s="4" t="str">
        <f>IF('Долг по актам'!B15="","",'Долг по актам'!B15)</f>
        <v/>
      </c>
      <c r="C23" s="4" t="str">
        <f>IF('Долг по актам'!B15="","",'Долг по актам'!C15&amp;"")</f>
        <v/>
      </c>
      <c r="D23" s="3" t="str">
        <f>IF('Долг по актам'!B15="","",N('Долг по актам'!F15))</f>
        <v/>
      </c>
      <c r="E23" s="3" t="str">
        <f>IF('Долг по актам'!B15="","",IF(ISNUMBER('Долг по актам'!G15),'Долг по актам'!G15,0)+N('Долг по актам'!K15))</f>
        <v/>
      </c>
      <c r="F23" s="3" t="str">
        <f>IF(ISNUMBER('Долг по актам'!L15),'Долг по актам'!L15,"")</f>
        <v/>
      </c>
      <c r="G23" s="3" t="str">
        <f>IF('Долг по актам'!B15="","",N('Долг по актам'!I15))</f>
        <v/>
      </c>
      <c r="H23" s="3" t="str">
        <f>IF(ISNUMBER('Долг по актам'!M15),'Долг по актам'!M15,"")</f>
        <v/>
      </c>
      <c r="I23" s="7"/>
      <c r="J23" s="6"/>
    </row>
    <row r="24" spans="1:10" x14ac:dyDescent="0.3">
      <c r="A24" s="4">
        <v>12</v>
      </c>
      <c r="B24" s="4" t="str">
        <f>IF('Долг по актам'!B16="","",'Долг по актам'!B16)</f>
        <v/>
      </c>
      <c r="C24" s="4" t="str">
        <f>IF('Долг по актам'!B16="","",'Долг по актам'!C16&amp;"")</f>
        <v/>
      </c>
      <c r="D24" s="3" t="str">
        <f>IF('Долг по актам'!B16="","",N('Долг по актам'!F16))</f>
        <v/>
      </c>
      <c r="E24" s="3" t="str">
        <f>IF('Долг по актам'!B16="","",IF(ISNUMBER('Долг по актам'!G16),'Долг по актам'!G16,0)+N('Долг по актам'!K16))</f>
        <v/>
      </c>
      <c r="F24" s="3" t="str">
        <f>IF(ISNUMBER('Долг по актам'!L16),'Долг по актам'!L16,"")</f>
        <v/>
      </c>
      <c r="G24" s="3" t="str">
        <f>IF('Долг по актам'!B16="","",N('Долг по актам'!I16))</f>
        <v/>
      </c>
      <c r="H24" s="3" t="str">
        <f>IF(ISNUMBER('Долг по актам'!M16),'Долг по актам'!M16,"")</f>
        <v/>
      </c>
      <c r="I24" s="7"/>
      <c r="J24" s="6"/>
    </row>
    <row r="25" spans="1:10" x14ac:dyDescent="0.3">
      <c r="A25" s="4">
        <v>13</v>
      </c>
      <c r="B25" s="4" t="str">
        <f>IF('Долг по актам'!B17="","",'Долг по актам'!B17)</f>
        <v/>
      </c>
      <c r="C25" s="4" t="str">
        <f>IF('Долг по актам'!B17="","",'Долг по актам'!C17&amp;"")</f>
        <v/>
      </c>
      <c r="D25" s="3" t="str">
        <f>IF('Долг по актам'!B17="","",N('Долг по актам'!F17))</f>
        <v/>
      </c>
      <c r="E25" s="3" t="str">
        <f>IF('Долг по актам'!B17="","",IF(ISNUMBER('Долг по актам'!G17),'Долг по актам'!G17,0)+N('Долг по актам'!K17))</f>
        <v/>
      </c>
      <c r="F25" s="3" t="str">
        <f>IF(ISNUMBER('Долг по актам'!L17),'Долг по актам'!L17,"")</f>
        <v/>
      </c>
      <c r="G25" s="3" t="str">
        <f>IF('Долг по актам'!B17="","",N('Долг по актам'!I17))</f>
        <v/>
      </c>
      <c r="H25" s="3" t="str">
        <f>IF(ISNUMBER('Долг по актам'!M17),'Долг по актам'!M17,"")</f>
        <v/>
      </c>
      <c r="I25" s="7"/>
      <c r="J25" s="6"/>
    </row>
    <row r="26" spans="1:10" x14ac:dyDescent="0.3">
      <c r="A26" s="4">
        <v>14</v>
      </c>
      <c r="B26" s="4" t="str">
        <f>IF('Долг по актам'!B18="","",'Долг по актам'!B18)</f>
        <v/>
      </c>
      <c r="C26" s="4" t="str">
        <f>IF('Долг по актам'!B18="","",'Долг по актам'!C18&amp;"")</f>
        <v/>
      </c>
      <c r="D26" s="3" t="str">
        <f>IF('Долг по актам'!B18="","",N('Долг по актам'!F18))</f>
        <v/>
      </c>
      <c r="E26" s="3" t="str">
        <f>IF('Долг по актам'!B18="","",IF(ISNUMBER('Долг по актам'!G18),'Долг по актам'!G18,0)+N('Долг по актам'!K18))</f>
        <v/>
      </c>
      <c r="F26" s="3" t="str">
        <f>IF(ISNUMBER('Долг по актам'!L18),'Долг по актам'!L18,"")</f>
        <v/>
      </c>
      <c r="G26" s="3" t="str">
        <f>IF('Долг по актам'!B18="","",N('Долг по актам'!I18))</f>
        <v/>
      </c>
      <c r="H26" s="3" t="str">
        <f>IF(ISNUMBER('Долг по актам'!M18),'Долг по актам'!M18,"")</f>
        <v/>
      </c>
      <c r="I26" s="7"/>
      <c r="J26" s="6"/>
    </row>
    <row r="27" spans="1:10" x14ac:dyDescent="0.3">
      <c r="A27" s="4">
        <v>15</v>
      </c>
      <c r="B27" s="4" t="str">
        <f>IF('Долг по актам'!B19="","",'Долг по актам'!B19)</f>
        <v/>
      </c>
      <c r="C27" s="4" t="str">
        <f>IF('Долг по актам'!B19="","",'Долг по актам'!C19&amp;"")</f>
        <v/>
      </c>
      <c r="D27" s="3" t="str">
        <f>IF('Долг по актам'!B19="","",N('Долг по актам'!F19))</f>
        <v/>
      </c>
      <c r="E27" s="3" t="str">
        <f>IF('Долг по актам'!B19="","",IF(ISNUMBER('Долг по актам'!G19),'Долг по актам'!G19,0)+N('Долг по актам'!K19))</f>
        <v/>
      </c>
      <c r="F27" s="3" t="str">
        <f>IF(ISNUMBER('Долг по актам'!L19),'Долг по актам'!L19,"")</f>
        <v/>
      </c>
      <c r="G27" s="3" t="str">
        <f>IF('Долг по актам'!B19="","",N('Долг по актам'!I19))</f>
        <v/>
      </c>
      <c r="H27" s="3" t="str">
        <f>IF(ISNUMBER('Долг по актам'!M19),'Долг по актам'!M19,"")</f>
        <v/>
      </c>
      <c r="I27" s="7"/>
      <c r="J27" s="6"/>
    </row>
    <row r="28" spans="1:10" x14ac:dyDescent="0.3">
      <c r="A28" s="4">
        <v>16</v>
      </c>
      <c r="B28" s="4" t="str">
        <f>IF('Долг по актам'!B20="","",'Долг по актам'!B20)</f>
        <v/>
      </c>
      <c r="C28" s="4" t="str">
        <f>IF('Долг по актам'!B20="","",'Долг по актам'!C20&amp;"")</f>
        <v/>
      </c>
      <c r="D28" s="3" t="str">
        <f>IF('Долг по актам'!B20="","",N('Долг по актам'!F20))</f>
        <v/>
      </c>
      <c r="E28" s="3" t="str">
        <f>IF('Долг по актам'!B20="","",IF(ISNUMBER('Долг по актам'!G20),'Долг по актам'!G20,0)+N('Долг по актам'!K20))</f>
        <v/>
      </c>
      <c r="F28" s="3" t="str">
        <f>IF(ISNUMBER('Долг по актам'!L20),'Долг по актам'!L20,"")</f>
        <v/>
      </c>
      <c r="G28" s="3" t="str">
        <f>IF('Долг по актам'!B20="","",N('Долг по актам'!I20))</f>
        <v/>
      </c>
      <c r="H28" s="3" t="str">
        <f>IF(ISNUMBER('Долг по актам'!M20),'Долг по актам'!M20,"")</f>
        <v/>
      </c>
      <c r="I28" s="7"/>
      <c r="J28" s="6"/>
    </row>
    <row r="29" spans="1:10" x14ac:dyDescent="0.3">
      <c r="A29" s="4">
        <v>17</v>
      </c>
      <c r="B29" s="4" t="str">
        <f>IF('Долг по актам'!B21="","",'Долг по актам'!B21)</f>
        <v/>
      </c>
      <c r="C29" s="4" t="str">
        <f>IF('Долг по актам'!B21="","",'Долг по актам'!C21&amp;"")</f>
        <v/>
      </c>
      <c r="D29" s="3" t="str">
        <f>IF('Долг по актам'!B21="","",N('Долг по актам'!F21))</f>
        <v/>
      </c>
      <c r="E29" s="3" t="str">
        <f>IF('Долг по актам'!B21="","",IF(ISNUMBER('Долг по актам'!G21),'Долг по актам'!G21,0)+N('Долг по актам'!K21))</f>
        <v/>
      </c>
      <c r="F29" s="3" t="str">
        <f>IF(ISNUMBER('Долг по актам'!L21),'Долг по актам'!L21,"")</f>
        <v/>
      </c>
      <c r="G29" s="3" t="str">
        <f>IF('Долг по актам'!B21="","",N('Долг по актам'!I21))</f>
        <v/>
      </c>
      <c r="H29" s="3" t="str">
        <f>IF(ISNUMBER('Долг по актам'!M21),'Долг по актам'!M21,"")</f>
        <v/>
      </c>
      <c r="I29" s="7"/>
      <c r="J29" s="6"/>
    </row>
    <row r="30" spans="1:10" x14ac:dyDescent="0.3">
      <c r="A30" s="4">
        <v>18</v>
      </c>
      <c r="B30" s="4" t="str">
        <f>IF('Долг по актам'!B22="","",'Долг по актам'!B22)</f>
        <v/>
      </c>
      <c r="C30" s="4" t="str">
        <f>IF('Долг по актам'!B22="","",'Долг по актам'!C22&amp;"")</f>
        <v/>
      </c>
      <c r="D30" s="3" t="str">
        <f>IF('Долг по актам'!B22="","",N('Долг по актам'!F22))</f>
        <v/>
      </c>
      <c r="E30" s="3" t="str">
        <f>IF('Долг по актам'!B22="","",IF(ISNUMBER('Долг по актам'!G22),'Долг по актам'!G22,0)+N('Долг по актам'!K22))</f>
        <v/>
      </c>
      <c r="F30" s="3" t="str">
        <f>IF(ISNUMBER('Долг по актам'!L22),'Долг по актам'!L22,"")</f>
        <v/>
      </c>
      <c r="G30" s="3" t="str">
        <f>IF('Долг по актам'!B22="","",N('Долг по актам'!I22))</f>
        <v/>
      </c>
      <c r="H30" s="3" t="str">
        <f>IF(ISNUMBER('Долг по актам'!M22),'Долг по актам'!M22,"")</f>
        <v/>
      </c>
      <c r="I30" s="7"/>
      <c r="J30" s="6"/>
    </row>
    <row r="31" spans="1:10" x14ac:dyDescent="0.3">
      <c r="A31" s="4">
        <v>19</v>
      </c>
      <c r="B31" s="4" t="str">
        <f>IF('Долг по актам'!B23="","",'Долг по актам'!B23)</f>
        <v/>
      </c>
      <c r="C31" s="4" t="str">
        <f>IF('Долг по актам'!B23="","",'Долг по актам'!C23&amp;"")</f>
        <v/>
      </c>
      <c r="D31" s="3" t="str">
        <f>IF('Долг по актам'!B23="","",N('Долг по актам'!F23))</f>
        <v/>
      </c>
      <c r="E31" s="3" t="str">
        <f>IF('Долг по актам'!B23="","",IF(ISNUMBER('Долг по актам'!G23),'Долг по актам'!G23,0)+N('Долг по актам'!K23))</f>
        <v/>
      </c>
      <c r="F31" s="3" t="str">
        <f>IF(ISNUMBER('Долг по актам'!L23),'Долг по актам'!L23,"")</f>
        <v/>
      </c>
      <c r="G31" s="3" t="str">
        <f>IF('Долг по актам'!B23="","",N('Долг по актам'!I23))</f>
        <v/>
      </c>
      <c r="H31" s="3" t="str">
        <f>IF(ISNUMBER('Долг по актам'!M23),'Долг по актам'!M23,"")</f>
        <v/>
      </c>
      <c r="I31" s="7"/>
      <c r="J31" s="6"/>
    </row>
    <row r="32" spans="1:10" x14ac:dyDescent="0.3">
      <c r="A32" s="4">
        <v>20</v>
      </c>
      <c r="B32" s="4" t="str">
        <f>IF('Долг по актам'!B24="","",'Долг по актам'!B24)</f>
        <v/>
      </c>
      <c r="C32" s="4" t="str">
        <f>IF('Долг по актам'!B24="","",'Долг по актам'!C24&amp;"")</f>
        <v/>
      </c>
      <c r="D32" s="3" t="str">
        <f>IF('Долг по актам'!B24="","",N('Долг по актам'!F24))</f>
        <v/>
      </c>
      <c r="E32" s="3" t="str">
        <f>IF('Долг по актам'!B24="","",IF(ISNUMBER('Долг по актам'!G24),'Долг по актам'!G24,0)+N('Долг по актам'!K24))</f>
        <v/>
      </c>
      <c r="F32" s="3" t="str">
        <f>IF(ISNUMBER('Долг по актам'!L24),'Долг по актам'!L24,"")</f>
        <v/>
      </c>
      <c r="G32" s="3" t="str">
        <f>IF('Долг по актам'!B24="","",N('Долг по актам'!I24))</f>
        <v/>
      </c>
      <c r="H32" s="3" t="str">
        <f>IF(ISNUMBER('Долг по актам'!M24),'Долг по актам'!M24,"")</f>
        <v/>
      </c>
      <c r="I32" s="7"/>
      <c r="J32" s="6"/>
    </row>
    <row r="33" spans="1:10" x14ac:dyDescent="0.3">
      <c r="A33" s="4">
        <v>21</v>
      </c>
      <c r="B33" s="4" t="str">
        <f>IF('Долг по актам'!B25="","",'Долг по актам'!B25)</f>
        <v/>
      </c>
      <c r="C33" s="4" t="str">
        <f>IF('Долг по актам'!B25="","",'Долг по актам'!C25&amp;"")</f>
        <v/>
      </c>
      <c r="D33" s="3" t="str">
        <f>IF('Долг по актам'!B25="","",N('Долг по актам'!F25))</f>
        <v/>
      </c>
      <c r="E33" s="3" t="str">
        <f>IF('Долг по актам'!B25="","",IF(ISNUMBER('Долг по актам'!G25),'Долг по актам'!G25,0)+N('Долг по актам'!K25))</f>
        <v/>
      </c>
      <c r="F33" s="3" t="str">
        <f>IF(ISNUMBER('Долг по актам'!L25),'Долг по актам'!L25,"")</f>
        <v/>
      </c>
      <c r="G33" s="3" t="str">
        <f>IF('Долг по актам'!B25="","",N('Долг по актам'!I25))</f>
        <v/>
      </c>
      <c r="H33" s="3" t="str">
        <f>IF(ISNUMBER('Долг по актам'!M25),'Долг по актам'!M25,"")</f>
        <v/>
      </c>
      <c r="I33" s="7"/>
      <c r="J33" s="6"/>
    </row>
    <row r="34" spans="1:10" x14ac:dyDescent="0.3">
      <c r="A34" s="4">
        <v>22</v>
      </c>
      <c r="B34" s="4" t="str">
        <f>IF('Долг по актам'!B26="","",'Долг по актам'!B26)</f>
        <v/>
      </c>
      <c r="C34" s="4" t="str">
        <f>IF('Долг по актам'!B26="","",'Долг по актам'!C26&amp;"")</f>
        <v/>
      </c>
      <c r="D34" s="3" t="str">
        <f>IF('Долг по актам'!B26="","",N('Долг по актам'!F26))</f>
        <v/>
      </c>
      <c r="E34" s="3" t="str">
        <f>IF('Долг по актам'!B26="","",IF(ISNUMBER('Долг по актам'!G26),'Долг по актам'!G26,0)+N('Долг по актам'!K26))</f>
        <v/>
      </c>
      <c r="F34" s="3" t="str">
        <f>IF(ISNUMBER('Долг по актам'!L26),'Долг по актам'!L26,"")</f>
        <v/>
      </c>
      <c r="G34" s="3" t="str">
        <f>IF('Долг по актам'!B26="","",N('Долг по актам'!I26))</f>
        <v/>
      </c>
      <c r="H34" s="3" t="str">
        <f>IF(ISNUMBER('Долг по актам'!M26),'Долг по актам'!M26,"")</f>
        <v/>
      </c>
      <c r="I34" s="7"/>
      <c r="J34" s="6"/>
    </row>
    <row r="35" spans="1:10" x14ac:dyDescent="0.3">
      <c r="A35" s="4">
        <v>23</v>
      </c>
      <c r="B35" s="4" t="str">
        <f>IF('Долг по актам'!B27="","",'Долг по актам'!B27)</f>
        <v/>
      </c>
      <c r="C35" s="4" t="str">
        <f>IF('Долг по актам'!B27="","",'Долг по актам'!C27&amp;"")</f>
        <v/>
      </c>
      <c r="D35" s="3" t="str">
        <f>IF('Долг по актам'!B27="","",N('Долг по актам'!F27))</f>
        <v/>
      </c>
      <c r="E35" s="3" t="str">
        <f>IF('Долг по актам'!B27="","",IF(ISNUMBER('Долг по актам'!G27),'Долг по актам'!G27,0)+N('Долг по актам'!K27))</f>
        <v/>
      </c>
      <c r="F35" s="3" t="str">
        <f>IF(ISNUMBER('Долг по актам'!L27),'Долг по актам'!L27,"")</f>
        <v/>
      </c>
      <c r="G35" s="3" t="str">
        <f>IF('Долг по актам'!B27="","",N('Долг по актам'!I27))</f>
        <v/>
      </c>
      <c r="H35" s="3" t="str">
        <f>IF(ISNUMBER('Долг по актам'!M27),'Долг по актам'!M27,"")</f>
        <v/>
      </c>
      <c r="I35" s="7"/>
      <c r="J35" s="6"/>
    </row>
    <row r="36" spans="1:10" x14ac:dyDescent="0.3">
      <c r="A36" s="4">
        <v>24</v>
      </c>
      <c r="B36" s="4" t="str">
        <f>IF('Долг по актам'!B28="","",'Долг по актам'!B28)</f>
        <v/>
      </c>
      <c r="C36" s="4" t="str">
        <f>IF('Долг по актам'!B28="","",'Долг по актам'!C28&amp;"")</f>
        <v/>
      </c>
      <c r="D36" s="3" t="str">
        <f>IF('Долг по актам'!B28="","",N('Долг по актам'!F28))</f>
        <v/>
      </c>
      <c r="E36" s="3" t="str">
        <f>IF('Долг по актам'!B28="","",IF(ISNUMBER('Долг по актам'!G28),'Долг по актам'!G28,0)+N('Долг по актам'!K28))</f>
        <v/>
      </c>
      <c r="F36" s="3" t="str">
        <f>IF(ISNUMBER('Долг по актам'!L28),'Долг по актам'!L28,"")</f>
        <v/>
      </c>
      <c r="G36" s="3" t="str">
        <f>IF('Долг по актам'!B28="","",N('Долг по актам'!I28))</f>
        <v/>
      </c>
      <c r="H36" s="3" t="str">
        <f>IF(ISNUMBER('Долг по актам'!M28),'Долг по актам'!M28,"")</f>
        <v/>
      </c>
      <c r="I36" s="7"/>
      <c r="J36" s="6"/>
    </row>
    <row r="37" spans="1:10" x14ac:dyDescent="0.3">
      <c r="A37" s="4">
        <v>25</v>
      </c>
      <c r="B37" s="4" t="str">
        <f>IF('Долг по актам'!B29="","",'Долг по актам'!B29)</f>
        <v/>
      </c>
      <c r="C37" s="4" t="str">
        <f>IF('Долг по актам'!B29="","",'Долг по актам'!C29&amp;"")</f>
        <v/>
      </c>
      <c r="D37" s="3" t="str">
        <f>IF('Долг по актам'!B29="","",N('Долг по актам'!F29))</f>
        <v/>
      </c>
      <c r="E37" s="3" t="str">
        <f>IF('Долг по актам'!B29="","",IF(ISNUMBER('Долг по актам'!G29),'Долг по актам'!G29,0)+N('Долг по актам'!K29))</f>
        <v/>
      </c>
      <c r="F37" s="3" t="str">
        <f>IF(ISNUMBER('Долг по актам'!L29),'Долг по актам'!L29,"")</f>
        <v/>
      </c>
      <c r="G37" s="3" t="str">
        <f>IF('Долг по актам'!B29="","",N('Долг по актам'!I29))</f>
        <v/>
      </c>
      <c r="H37" s="3" t="str">
        <f>IF(ISNUMBER('Долг по актам'!M29),'Долг по актам'!M29,"")</f>
        <v/>
      </c>
      <c r="I37" s="7"/>
      <c r="J37" s="6"/>
    </row>
    <row r="38" spans="1:10" x14ac:dyDescent="0.3">
      <c r="A38" s="4">
        <v>26</v>
      </c>
      <c r="B38" s="4" t="str">
        <f>IF('Долг по актам'!B30="","",'Долг по актам'!B30)</f>
        <v/>
      </c>
      <c r="C38" s="4" t="str">
        <f>IF('Долг по актам'!B30="","",'Долг по актам'!C30&amp;"")</f>
        <v/>
      </c>
      <c r="D38" s="3" t="str">
        <f>IF('Долг по актам'!B30="","",N('Долг по актам'!F30))</f>
        <v/>
      </c>
      <c r="E38" s="3" t="str">
        <f>IF('Долг по актам'!B30="","",IF(ISNUMBER('Долг по актам'!G30),'Долг по актам'!G30,0)+N('Долг по актам'!K30))</f>
        <v/>
      </c>
      <c r="F38" s="3" t="str">
        <f>IF(ISNUMBER('Долг по актам'!L30),'Долг по актам'!L30,"")</f>
        <v/>
      </c>
      <c r="G38" s="3" t="str">
        <f>IF('Долг по актам'!B30="","",N('Долг по актам'!I30))</f>
        <v/>
      </c>
      <c r="H38" s="3" t="str">
        <f>IF(ISNUMBER('Долг по актам'!M30),'Долг по актам'!M30,"")</f>
        <v/>
      </c>
      <c r="I38" s="7"/>
      <c r="J38" s="6"/>
    </row>
    <row r="39" spans="1:10" x14ac:dyDescent="0.3">
      <c r="A39" s="4">
        <v>27</v>
      </c>
      <c r="B39" s="4" t="str">
        <f>IF('Долг по актам'!B31="","",'Долг по актам'!B31)</f>
        <v/>
      </c>
      <c r="C39" s="4" t="str">
        <f>IF('Долг по актам'!B31="","",'Долг по актам'!C31&amp;"")</f>
        <v/>
      </c>
      <c r="D39" s="3" t="str">
        <f>IF('Долг по актам'!B31="","",N('Долг по актам'!F31))</f>
        <v/>
      </c>
      <c r="E39" s="3" t="str">
        <f>IF('Долг по актам'!B31="","",IF(ISNUMBER('Долг по актам'!G31),'Долг по актам'!G31,0)+N('Долг по актам'!K31))</f>
        <v/>
      </c>
      <c r="F39" s="3" t="str">
        <f>IF(ISNUMBER('Долг по актам'!L31),'Долг по актам'!L31,"")</f>
        <v/>
      </c>
      <c r="G39" s="3" t="str">
        <f>IF('Долг по актам'!B31="","",N('Долг по актам'!I31))</f>
        <v/>
      </c>
      <c r="H39" s="3" t="str">
        <f>IF(ISNUMBER('Долг по актам'!M31),'Долг по актам'!M31,"")</f>
        <v/>
      </c>
      <c r="I39" s="7"/>
      <c r="J39" s="6"/>
    </row>
    <row r="40" spans="1:10" x14ac:dyDescent="0.3">
      <c r="A40" s="4">
        <v>28</v>
      </c>
      <c r="B40" s="4" t="str">
        <f>IF('Долг по актам'!B32="","",'Долг по актам'!B32)</f>
        <v/>
      </c>
      <c r="C40" s="4" t="str">
        <f>IF('Долг по актам'!B32="","",'Долг по актам'!C32&amp;"")</f>
        <v/>
      </c>
      <c r="D40" s="3" t="str">
        <f>IF('Долг по актам'!B32="","",N('Долг по актам'!F32))</f>
        <v/>
      </c>
      <c r="E40" s="3" t="str">
        <f>IF('Долг по актам'!B32="","",IF(ISNUMBER('Долг по актам'!G32),'Долг по актам'!G32,0)+N('Долг по актам'!K32))</f>
        <v/>
      </c>
      <c r="F40" s="3" t="str">
        <f>IF(ISNUMBER('Долг по актам'!L32),'Долг по актам'!L32,"")</f>
        <v/>
      </c>
      <c r="G40" s="3" t="str">
        <f>IF('Долг по актам'!B32="","",N('Долг по актам'!I32))</f>
        <v/>
      </c>
      <c r="H40" s="3" t="str">
        <f>IF(ISNUMBER('Долг по актам'!M32),'Долг по актам'!M32,"")</f>
        <v/>
      </c>
      <c r="I40" s="7"/>
      <c r="J40" s="6"/>
    </row>
    <row r="41" spans="1:10" x14ac:dyDescent="0.3">
      <c r="A41" s="4">
        <v>29</v>
      </c>
      <c r="B41" s="4" t="str">
        <f>IF('Долг по актам'!B33="","",'Долг по актам'!B33)</f>
        <v/>
      </c>
      <c r="C41" s="4" t="str">
        <f>IF('Долг по актам'!B33="","",'Долг по актам'!C33&amp;"")</f>
        <v/>
      </c>
      <c r="D41" s="3" t="str">
        <f>IF('Долг по актам'!B33="","",N('Долг по актам'!F33))</f>
        <v/>
      </c>
      <c r="E41" s="3" t="str">
        <f>IF('Долг по актам'!B33="","",IF(ISNUMBER('Долг по актам'!G33),'Долг по актам'!G33,0)+N('Долг по актам'!K33))</f>
        <v/>
      </c>
      <c r="F41" s="3" t="str">
        <f>IF(ISNUMBER('Долг по актам'!L33),'Долг по актам'!L33,"")</f>
        <v/>
      </c>
      <c r="G41" s="3" t="str">
        <f>IF('Долг по актам'!B33="","",N('Долг по актам'!I33))</f>
        <v/>
      </c>
      <c r="H41" s="3" t="str">
        <f>IF(ISNUMBER('Долг по актам'!M33),'Долг по актам'!M33,"")</f>
        <v/>
      </c>
      <c r="I41" s="7"/>
      <c r="J41" s="6"/>
    </row>
    <row r="42" spans="1:10" x14ac:dyDescent="0.3">
      <c r="A42" s="4">
        <v>30</v>
      </c>
      <c r="B42" s="4" t="str">
        <f>IF('Долг по актам'!B34="","",'Долг по актам'!B34)</f>
        <v/>
      </c>
      <c r="C42" s="4" t="str">
        <f>IF('Долг по актам'!B34="","",'Долг по актам'!C34&amp;"")</f>
        <v/>
      </c>
      <c r="D42" s="3" t="str">
        <f>IF('Долг по актам'!B34="","",N('Долг по актам'!F34))</f>
        <v/>
      </c>
      <c r="E42" s="3" t="str">
        <f>IF('Долг по актам'!B34="","",IF(ISNUMBER('Долг по актам'!G34),'Долг по актам'!G34,0)+N('Долг по актам'!K34))</f>
        <v/>
      </c>
      <c r="F42" s="3" t="str">
        <f>IF(ISNUMBER('Долг по актам'!L34),'Долг по актам'!L34,"")</f>
        <v/>
      </c>
      <c r="G42" s="3" t="str">
        <f>IF('Долг по актам'!B34="","",N('Долг по актам'!I34))</f>
        <v/>
      </c>
      <c r="H42" s="3" t="str">
        <f>IF(ISNUMBER('Долг по актам'!M34),'Долг по актам'!M34,"")</f>
        <v/>
      </c>
      <c r="I42" s="7"/>
      <c r="J42" s="6"/>
    </row>
    <row r="43" spans="1:10" x14ac:dyDescent="0.3">
      <c r="A43" s="4"/>
      <c r="B43" s="2" t="s">
        <v>65</v>
      </c>
      <c r="C43" s="4"/>
      <c r="D43" s="4"/>
      <c r="E43" s="4"/>
      <c r="F43" s="10" t="str">
        <f>IF($C$3="ГОТОВ",SUM(F13:F42),"НЕ ГОТОВ")</f>
        <v>НЕ ГОТОВ</v>
      </c>
      <c r="G43" s="10" t="str">
        <f>IF($C$3="ГОТОВ",SUM(G13:G42),"НЕ ГОТОВ")</f>
        <v>НЕ ГОТОВ</v>
      </c>
      <c r="H43" s="10" t="str">
        <f>IF($C$3="ГОТОВ",SUM(H13:H42),"НЕ ГОТОВ")</f>
        <v>НЕ ГОТОВ</v>
      </c>
      <c r="I43" s="3" t="str">
        <f>IF(COUNT(I13:I42)=0,"",SUM(I13:I42))</f>
        <v/>
      </c>
      <c r="J43" s="4"/>
    </row>
    <row r="45" spans="1:10" ht="31.95" customHeight="1" x14ac:dyDescent="0.3">
      <c r="A45" s="11" t="str">
        <f>IF($C$3&lt;&gt;"ГОТОВ",$C$3,"По данным Субподрядчика задолженность Заказчика составляет "&amp;FIXED(F43,2)&amp;" руб., в том числе оспаривается Заказчиком "&amp;FIXED(G43,2)&amp;" руб.; бесспорная часть — "&amp;FIXED(H43,2)&amp;" руб.")</f>
        <v>НЕ ГОТОВ: на листе «Долг по актам» нет ни одного акта</v>
      </c>
      <c r="B45" s="12"/>
      <c r="C45" s="12"/>
      <c r="D45" s="12"/>
      <c r="E45" s="12"/>
      <c r="F45" s="12"/>
      <c r="G45" s="12"/>
      <c r="H45" s="12"/>
      <c r="I45" s="12"/>
      <c r="J45" s="12"/>
    </row>
    <row r="46" spans="1:10" x14ac:dyDescent="0.3">
      <c r="A46" s="12" t="s">
        <v>66</v>
      </c>
      <c r="B46" s="12"/>
      <c r="C46" s="12"/>
      <c r="D46" s="12"/>
      <c r="E46" s="12"/>
      <c r="F46" s="12"/>
      <c r="G46" s="12"/>
      <c r="H46" s="12"/>
      <c r="I46" s="12"/>
      <c r="J46" s="12"/>
    </row>
    <row r="48" spans="1:10" x14ac:dyDescent="0.3">
      <c r="B48" s="9" t="s">
        <v>67</v>
      </c>
      <c r="G48" s="9" t="s">
        <v>68</v>
      </c>
    </row>
    <row r="49" spans="2:7" x14ac:dyDescent="0.3">
      <c r="B49" t="s">
        <v>69</v>
      </c>
      <c r="G49" t="s">
        <v>69</v>
      </c>
    </row>
    <row r="50" spans="2:7" x14ac:dyDescent="0.3">
      <c r="B50" t="s">
        <v>70</v>
      </c>
      <c r="G50" t="s">
        <v>70</v>
      </c>
    </row>
    <row r="51" spans="2:7" x14ac:dyDescent="0.3">
      <c r="B51" t="s">
        <v>71</v>
      </c>
      <c r="G51" t="s">
        <v>71</v>
      </c>
    </row>
  </sheetData>
  <mergeCells count="10">
    <mergeCell ref="C3:J3"/>
    <mergeCell ref="A45:J45"/>
    <mergeCell ref="A46:J46"/>
    <mergeCell ref="A1:J1"/>
    <mergeCell ref="C8:I8"/>
    <mergeCell ref="C6:I6"/>
    <mergeCell ref="C7:I7"/>
    <mergeCell ref="A2:J2"/>
    <mergeCell ref="A10:J10"/>
    <mergeCell ref="C5:I5"/>
  </mergeCells>
  <pageMargins left="0.75" right="0.75" top="1" bottom="1" header="0.5" footer="0.5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306"/>
  <sheetViews>
    <sheetView workbookViewId="0">
      <selection sqref="A1:K1"/>
    </sheetView>
  </sheetViews>
  <sheetFormatPr defaultRowHeight="14.4" x14ac:dyDescent="0.3"/>
  <cols>
    <col min="1" max="1" width="5" customWidth="1"/>
    <col min="2" max="2" width="32" customWidth="1"/>
    <col min="3" max="3" width="18" customWidth="1"/>
    <col min="4" max="4" width="8" customWidth="1"/>
    <col min="5" max="5" width="32" customWidth="1"/>
    <col min="6" max="6" width="30" customWidth="1"/>
    <col min="7" max="7" width="12" customWidth="1"/>
    <col min="8" max="8" width="24" customWidth="1"/>
    <col min="9" max="9" width="12" customWidth="1"/>
    <col min="10" max="10" width="30" customWidth="1"/>
    <col min="11" max="11" width="24" customWidth="1"/>
  </cols>
  <sheetData>
    <row r="1" spans="1:11" ht="18" customHeight="1" x14ac:dyDescent="0.3">
      <c r="A1" s="13" t="s">
        <v>72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33" customHeight="1" x14ac:dyDescent="0.3">
      <c r="A2" s="14" t="s">
        <v>73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4" spans="1:11" ht="28.8" x14ac:dyDescent="0.3">
      <c r="A4" s="1" t="s">
        <v>2</v>
      </c>
      <c r="B4" s="1" t="s">
        <v>74</v>
      </c>
      <c r="C4" s="1" t="s">
        <v>75</v>
      </c>
      <c r="D4" s="1" t="s">
        <v>76</v>
      </c>
      <c r="E4" s="1" t="s">
        <v>77</v>
      </c>
      <c r="F4" s="1" t="s">
        <v>78</v>
      </c>
      <c r="G4" s="1" t="s">
        <v>79</v>
      </c>
      <c r="H4" s="1" t="s">
        <v>80</v>
      </c>
      <c r="I4" s="1" t="s">
        <v>81</v>
      </c>
      <c r="J4" s="1" t="s">
        <v>82</v>
      </c>
      <c r="K4" s="1" t="s">
        <v>50</v>
      </c>
    </row>
    <row r="5" spans="1:11" x14ac:dyDescent="0.3">
      <c r="A5" s="4">
        <v>1</v>
      </c>
      <c r="B5" s="6"/>
      <c r="C5" s="6"/>
      <c r="D5" s="6"/>
      <c r="E5" s="6"/>
      <c r="F5" s="6"/>
      <c r="G5" s="5"/>
      <c r="H5" s="6"/>
      <c r="I5" s="5"/>
      <c r="J5" s="6"/>
      <c r="K5" s="4" t="str">
        <f t="shared" ref="K5:K68" si="0">IF(B5="","",IF(OR(F5="",G5=""),"НЕ ОТПРАВЛЕНО",IF(J5="","НЕТ ДОКАЗАТЕЛЬСТВА",IF(I5="","ОТПРАВЛЕНО, ЖДЁМ ПОЛУЧЕНИЯ","ПЕРЕДАНО"))))</f>
        <v/>
      </c>
    </row>
    <row r="6" spans="1:11" x14ac:dyDescent="0.3">
      <c r="A6" s="4">
        <v>2</v>
      </c>
      <c r="B6" s="6"/>
      <c r="C6" s="6"/>
      <c r="D6" s="6"/>
      <c r="E6" s="6"/>
      <c r="F6" s="6"/>
      <c r="G6" s="5"/>
      <c r="H6" s="6"/>
      <c r="I6" s="5"/>
      <c r="J6" s="6"/>
      <c r="K6" s="4" t="str">
        <f t="shared" si="0"/>
        <v/>
      </c>
    </row>
    <row r="7" spans="1:11" x14ac:dyDescent="0.3">
      <c r="A7" s="4">
        <v>3</v>
      </c>
      <c r="B7" s="6"/>
      <c r="C7" s="6"/>
      <c r="D7" s="6"/>
      <c r="E7" s="6"/>
      <c r="F7" s="6"/>
      <c r="G7" s="5"/>
      <c r="H7" s="6"/>
      <c r="I7" s="5"/>
      <c r="J7" s="6"/>
      <c r="K7" s="4" t="str">
        <f t="shared" si="0"/>
        <v/>
      </c>
    </row>
    <row r="8" spans="1:11" x14ac:dyDescent="0.3">
      <c r="A8" s="4">
        <v>4</v>
      </c>
      <c r="B8" s="6"/>
      <c r="C8" s="6"/>
      <c r="D8" s="6"/>
      <c r="E8" s="6"/>
      <c r="F8" s="6"/>
      <c r="G8" s="5"/>
      <c r="H8" s="6"/>
      <c r="I8" s="5"/>
      <c r="J8" s="6"/>
      <c r="K8" s="4" t="str">
        <f t="shared" si="0"/>
        <v/>
      </c>
    </row>
    <row r="9" spans="1:11" x14ac:dyDescent="0.3">
      <c r="A9" s="4">
        <v>5</v>
      </c>
      <c r="B9" s="6"/>
      <c r="C9" s="6"/>
      <c r="D9" s="6"/>
      <c r="E9" s="6"/>
      <c r="F9" s="6"/>
      <c r="G9" s="5"/>
      <c r="H9" s="6"/>
      <c r="I9" s="5"/>
      <c r="J9" s="6"/>
      <c r="K9" s="4" t="str">
        <f t="shared" si="0"/>
        <v/>
      </c>
    </row>
    <row r="10" spans="1:11" x14ac:dyDescent="0.3">
      <c r="A10" s="4">
        <v>6</v>
      </c>
      <c r="B10" s="6"/>
      <c r="C10" s="6"/>
      <c r="D10" s="6"/>
      <c r="E10" s="6"/>
      <c r="F10" s="6"/>
      <c r="G10" s="5"/>
      <c r="H10" s="6"/>
      <c r="I10" s="5"/>
      <c r="J10" s="6"/>
      <c r="K10" s="4" t="str">
        <f t="shared" si="0"/>
        <v/>
      </c>
    </row>
    <row r="11" spans="1:11" x14ac:dyDescent="0.3">
      <c r="A11" s="4">
        <v>7</v>
      </c>
      <c r="B11" s="6"/>
      <c r="C11" s="6"/>
      <c r="D11" s="6"/>
      <c r="E11" s="6"/>
      <c r="F11" s="6"/>
      <c r="G11" s="5"/>
      <c r="H11" s="6"/>
      <c r="I11" s="5"/>
      <c r="J11" s="6"/>
      <c r="K11" s="4" t="str">
        <f t="shared" si="0"/>
        <v/>
      </c>
    </row>
    <row r="12" spans="1:11" x14ac:dyDescent="0.3">
      <c r="A12" s="4">
        <v>8</v>
      </c>
      <c r="B12" s="6"/>
      <c r="C12" s="6"/>
      <c r="D12" s="6"/>
      <c r="E12" s="6"/>
      <c r="F12" s="6"/>
      <c r="G12" s="5"/>
      <c r="H12" s="6"/>
      <c r="I12" s="5"/>
      <c r="J12" s="6"/>
      <c r="K12" s="4" t="str">
        <f t="shared" si="0"/>
        <v/>
      </c>
    </row>
    <row r="13" spans="1:11" x14ac:dyDescent="0.3">
      <c r="A13" s="4">
        <v>9</v>
      </c>
      <c r="B13" s="6"/>
      <c r="C13" s="6"/>
      <c r="D13" s="6"/>
      <c r="E13" s="6"/>
      <c r="F13" s="6"/>
      <c r="G13" s="5"/>
      <c r="H13" s="6"/>
      <c r="I13" s="5"/>
      <c r="J13" s="6"/>
      <c r="K13" s="4" t="str">
        <f t="shared" si="0"/>
        <v/>
      </c>
    </row>
    <row r="14" spans="1:11" x14ac:dyDescent="0.3">
      <c r="A14" s="4">
        <v>10</v>
      </c>
      <c r="B14" s="6"/>
      <c r="C14" s="6"/>
      <c r="D14" s="6"/>
      <c r="E14" s="6"/>
      <c r="F14" s="6"/>
      <c r="G14" s="5"/>
      <c r="H14" s="6"/>
      <c r="I14" s="5"/>
      <c r="J14" s="6"/>
      <c r="K14" s="4" t="str">
        <f t="shared" si="0"/>
        <v/>
      </c>
    </row>
    <row r="15" spans="1:11" x14ac:dyDescent="0.3">
      <c r="A15" s="4">
        <v>11</v>
      </c>
      <c r="B15" s="6"/>
      <c r="C15" s="6"/>
      <c r="D15" s="6"/>
      <c r="E15" s="6"/>
      <c r="F15" s="6"/>
      <c r="G15" s="5"/>
      <c r="H15" s="6"/>
      <c r="I15" s="5"/>
      <c r="J15" s="6"/>
      <c r="K15" s="4" t="str">
        <f t="shared" si="0"/>
        <v/>
      </c>
    </row>
    <row r="16" spans="1:11" x14ac:dyDescent="0.3">
      <c r="A16" s="4">
        <v>12</v>
      </c>
      <c r="B16" s="6"/>
      <c r="C16" s="6"/>
      <c r="D16" s="6"/>
      <c r="E16" s="6"/>
      <c r="F16" s="6"/>
      <c r="G16" s="5"/>
      <c r="H16" s="6"/>
      <c r="I16" s="5"/>
      <c r="J16" s="6"/>
      <c r="K16" s="4" t="str">
        <f t="shared" si="0"/>
        <v/>
      </c>
    </row>
    <row r="17" spans="1:11" x14ac:dyDescent="0.3">
      <c r="A17" s="4">
        <v>13</v>
      </c>
      <c r="B17" s="6"/>
      <c r="C17" s="6"/>
      <c r="D17" s="6"/>
      <c r="E17" s="6"/>
      <c r="F17" s="6"/>
      <c r="G17" s="5"/>
      <c r="H17" s="6"/>
      <c r="I17" s="5"/>
      <c r="J17" s="6"/>
      <c r="K17" s="4" t="str">
        <f t="shared" si="0"/>
        <v/>
      </c>
    </row>
    <row r="18" spans="1:11" x14ac:dyDescent="0.3">
      <c r="A18" s="4">
        <v>14</v>
      </c>
      <c r="B18" s="6"/>
      <c r="C18" s="6"/>
      <c r="D18" s="6"/>
      <c r="E18" s="6"/>
      <c r="F18" s="6"/>
      <c r="G18" s="5"/>
      <c r="H18" s="6"/>
      <c r="I18" s="5"/>
      <c r="J18" s="6"/>
      <c r="K18" s="4" t="str">
        <f t="shared" si="0"/>
        <v/>
      </c>
    </row>
    <row r="19" spans="1:11" x14ac:dyDescent="0.3">
      <c r="A19" s="4">
        <v>15</v>
      </c>
      <c r="B19" s="6"/>
      <c r="C19" s="6"/>
      <c r="D19" s="6"/>
      <c r="E19" s="6"/>
      <c r="F19" s="6"/>
      <c r="G19" s="5"/>
      <c r="H19" s="6"/>
      <c r="I19" s="5"/>
      <c r="J19" s="6"/>
      <c r="K19" s="4" t="str">
        <f t="shared" si="0"/>
        <v/>
      </c>
    </row>
    <row r="20" spans="1:11" x14ac:dyDescent="0.3">
      <c r="A20" s="4">
        <v>16</v>
      </c>
      <c r="B20" s="6"/>
      <c r="C20" s="6"/>
      <c r="D20" s="6"/>
      <c r="E20" s="6"/>
      <c r="F20" s="6"/>
      <c r="G20" s="5"/>
      <c r="H20" s="6"/>
      <c r="I20" s="5"/>
      <c r="J20" s="6"/>
      <c r="K20" s="4" t="str">
        <f t="shared" si="0"/>
        <v/>
      </c>
    </row>
    <row r="21" spans="1:11" x14ac:dyDescent="0.3">
      <c r="A21" s="4">
        <v>17</v>
      </c>
      <c r="B21" s="6"/>
      <c r="C21" s="6"/>
      <c r="D21" s="6"/>
      <c r="E21" s="6"/>
      <c r="F21" s="6"/>
      <c r="G21" s="5"/>
      <c r="H21" s="6"/>
      <c r="I21" s="5"/>
      <c r="J21" s="6"/>
      <c r="K21" s="4" t="str">
        <f t="shared" si="0"/>
        <v/>
      </c>
    </row>
    <row r="22" spans="1:11" x14ac:dyDescent="0.3">
      <c r="A22" s="4">
        <v>18</v>
      </c>
      <c r="B22" s="6"/>
      <c r="C22" s="6"/>
      <c r="D22" s="6"/>
      <c r="E22" s="6"/>
      <c r="F22" s="6"/>
      <c r="G22" s="5"/>
      <c r="H22" s="6"/>
      <c r="I22" s="5"/>
      <c r="J22" s="6"/>
      <c r="K22" s="4" t="str">
        <f t="shared" si="0"/>
        <v/>
      </c>
    </row>
    <row r="23" spans="1:11" x14ac:dyDescent="0.3">
      <c r="A23" s="4">
        <v>19</v>
      </c>
      <c r="B23" s="6"/>
      <c r="C23" s="6"/>
      <c r="D23" s="6"/>
      <c r="E23" s="6"/>
      <c r="F23" s="6"/>
      <c r="G23" s="5"/>
      <c r="H23" s="6"/>
      <c r="I23" s="5"/>
      <c r="J23" s="6"/>
      <c r="K23" s="4" t="str">
        <f t="shared" si="0"/>
        <v/>
      </c>
    </row>
    <row r="24" spans="1:11" x14ac:dyDescent="0.3">
      <c r="A24" s="4">
        <v>20</v>
      </c>
      <c r="B24" s="6"/>
      <c r="C24" s="6"/>
      <c r="D24" s="6"/>
      <c r="E24" s="6"/>
      <c r="F24" s="6"/>
      <c r="G24" s="5"/>
      <c r="H24" s="6"/>
      <c r="I24" s="5"/>
      <c r="J24" s="6"/>
      <c r="K24" s="4" t="str">
        <f t="shared" si="0"/>
        <v/>
      </c>
    </row>
    <row r="25" spans="1:11" x14ac:dyDescent="0.3">
      <c r="A25" s="4">
        <v>21</v>
      </c>
      <c r="B25" s="6"/>
      <c r="C25" s="6"/>
      <c r="D25" s="6"/>
      <c r="E25" s="6"/>
      <c r="F25" s="6"/>
      <c r="G25" s="5"/>
      <c r="H25" s="6"/>
      <c r="I25" s="5"/>
      <c r="J25" s="6"/>
      <c r="K25" s="4" t="str">
        <f t="shared" si="0"/>
        <v/>
      </c>
    </row>
    <row r="26" spans="1:11" x14ac:dyDescent="0.3">
      <c r="A26" s="4">
        <v>22</v>
      </c>
      <c r="B26" s="6"/>
      <c r="C26" s="6"/>
      <c r="D26" s="6"/>
      <c r="E26" s="6"/>
      <c r="F26" s="6"/>
      <c r="G26" s="5"/>
      <c r="H26" s="6"/>
      <c r="I26" s="5"/>
      <c r="J26" s="6"/>
      <c r="K26" s="4" t="str">
        <f t="shared" si="0"/>
        <v/>
      </c>
    </row>
    <row r="27" spans="1:11" x14ac:dyDescent="0.3">
      <c r="A27" s="4">
        <v>23</v>
      </c>
      <c r="B27" s="6"/>
      <c r="C27" s="6"/>
      <c r="D27" s="6"/>
      <c r="E27" s="6"/>
      <c r="F27" s="6"/>
      <c r="G27" s="5"/>
      <c r="H27" s="6"/>
      <c r="I27" s="5"/>
      <c r="J27" s="6"/>
      <c r="K27" s="4" t="str">
        <f t="shared" si="0"/>
        <v/>
      </c>
    </row>
    <row r="28" spans="1:11" x14ac:dyDescent="0.3">
      <c r="A28" s="4">
        <v>24</v>
      </c>
      <c r="B28" s="6"/>
      <c r="C28" s="6"/>
      <c r="D28" s="6"/>
      <c r="E28" s="6"/>
      <c r="F28" s="6"/>
      <c r="G28" s="5"/>
      <c r="H28" s="6"/>
      <c r="I28" s="5"/>
      <c r="J28" s="6"/>
      <c r="K28" s="4" t="str">
        <f t="shared" si="0"/>
        <v/>
      </c>
    </row>
    <row r="29" spans="1:11" x14ac:dyDescent="0.3">
      <c r="A29" s="4">
        <v>25</v>
      </c>
      <c r="B29" s="6"/>
      <c r="C29" s="6"/>
      <c r="D29" s="6"/>
      <c r="E29" s="6"/>
      <c r="F29" s="6"/>
      <c r="G29" s="5"/>
      <c r="H29" s="6"/>
      <c r="I29" s="5"/>
      <c r="J29" s="6"/>
      <c r="K29" s="4" t="str">
        <f t="shared" si="0"/>
        <v/>
      </c>
    </row>
    <row r="30" spans="1:11" x14ac:dyDescent="0.3">
      <c r="A30" s="4">
        <v>26</v>
      </c>
      <c r="B30" s="6"/>
      <c r="C30" s="6"/>
      <c r="D30" s="6"/>
      <c r="E30" s="6"/>
      <c r="F30" s="6"/>
      <c r="G30" s="5"/>
      <c r="H30" s="6"/>
      <c r="I30" s="5"/>
      <c r="J30" s="6"/>
      <c r="K30" s="4" t="str">
        <f t="shared" si="0"/>
        <v/>
      </c>
    </row>
    <row r="31" spans="1:11" x14ac:dyDescent="0.3">
      <c r="A31" s="4">
        <v>27</v>
      </c>
      <c r="B31" s="6"/>
      <c r="C31" s="6"/>
      <c r="D31" s="6"/>
      <c r="E31" s="6"/>
      <c r="F31" s="6"/>
      <c r="G31" s="5"/>
      <c r="H31" s="6"/>
      <c r="I31" s="5"/>
      <c r="J31" s="6"/>
      <c r="K31" s="4" t="str">
        <f t="shared" si="0"/>
        <v/>
      </c>
    </row>
    <row r="32" spans="1:11" x14ac:dyDescent="0.3">
      <c r="A32" s="4">
        <v>28</v>
      </c>
      <c r="B32" s="6"/>
      <c r="C32" s="6"/>
      <c r="D32" s="6"/>
      <c r="E32" s="6"/>
      <c r="F32" s="6"/>
      <c r="G32" s="5"/>
      <c r="H32" s="6"/>
      <c r="I32" s="5"/>
      <c r="J32" s="6"/>
      <c r="K32" s="4" t="str">
        <f t="shared" si="0"/>
        <v/>
      </c>
    </row>
    <row r="33" spans="1:11" x14ac:dyDescent="0.3">
      <c r="A33" s="4">
        <v>29</v>
      </c>
      <c r="B33" s="6"/>
      <c r="C33" s="6"/>
      <c r="D33" s="6"/>
      <c r="E33" s="6"/>
      <c r="F33" s="6"/>
      <c r="G33" s="5"/>
      <c r="H33" s="6"/>
      <c r="I33" s="5"/>
      <c r="J33" s="6"/>
      <c r="K33" s="4" t="str">
        <f t="shared" si="0"/>
        <v/>
      </c>
    </row>
    <row r="34" spans="1:11" x14ac:dyDescent="0.3">
      <c r="A34" s="4">
        <v>30</v>
      </c>
      <c r="B34" s="6"/>
      <c r="C34" s="6"/>
      <c r="D34" s="6"/>
      <c r="E34" s="6"/>
      <c r="F34" s="6"/>
      <c r="G34" s="5"/>
      <c r="H34" s="6"/>
      <c r="I34" s="5"/>
      <c r="J34" s="6"/>
      <c r="K34" s="4" t="str">
        <f t="shared" si="0"/>
        <v/>
      </c>
    </row>
    <row r="35" spans="1:11" x14ac:dyDescent="0.3">
      <c r="A35" s="4">
        <v>31</v>
      </c>
      <c r="B35" s="6"/>
      <c r="C35" s="6"/>
      <c r="D35" s="6"/>
      <c r="E35" s="6"/>
      <c r="F35" s="6"/>
      <c r="G35" s="5"/>
      <c r="H35" s="6"/>
      <c r="I35" s="5"/>
      <c r="J35" s="6"/>
      <c r="K35" s="4" t="str">
        <f t="shared" si="0"/>
        <v/>
      </c>
    </row>
    <row r="36" spans="1:11" x14ac:dyDescent="0.3">
      <c r="A36" s="4">
        <v>32</v>
      </c>
      <c r="B36" s="6"/>
      <c r="C36" s="6"/>
      <c r="D36" s="6"/>
      <c r="E36" s="6"/>
      <c r="F36" s="6"/>
      <c r="G36" s="5"/>
      <c r="H36" s="6"/>
      <c r="I36" s="5"/>
      <c r="J36" s="6"/>
      <c r="K36" s="4" t="str">
        <f t="shared" si="0"/>
        <v/>
      </c>
    </row>
    <row r="37" spans="1:11" x14ac:dyDescent="0.3">
      <c r="A37" s="4">
        <v>33</v>
      </c>
      <c r="B37" s="6"/>
      <c r="C37" s="6"/>
      <c r="D37" s="6"/>
      <c r="E37" s="6"/>
      <c r="F37" s="6"/>
      <c r="G37" s="5"/>
      <c r="H37" s="6"/>
      <c r="I37" s="5"/>
      <c r="J37" s="6"/>
      <c r="K37" s="4" t="str">
        <f t="shared" si="0"/>
        <v/>
      </c>
    </row>
    <row r="38" spans="1:11" x14ac:dyDescent="0.3">
      <c r="A38" s="4">
        <v>34</v>
      </c>
      <c r="B38" s="6"/>
      <c r="C38" s="6"/>
      <c r="D38" s="6"/>
      <c r="E38" s="6"/>
      <c r="F38" s="6"/>
      <c r="G38" s="5"/>
      <c r="H38" s="6"/>
      <c r="I38" s="5"/>
      <c r="J38" s="6"/>
      <c r="K38" s="4" t="str">
        <f t="shared" si="0"/>
        <v/>
      </c>
    </row>
    <row r="39" spans="1:11" x14ac:dyDescent="0.3">
      <c r="A39" s="4">
        <v>35</v>
      </c>
      <c r="B39" s="6"/>
      <c r="C39" s="6"/>
      <c r="D39" s="6"/>
      <c r="E39" s="6"/>
      <c r="F39" s="6"/>
      <c r="G39" s="5"/>
      <c r="H39" s="6"/>
      <c r="I39" s="5"/>
      <c r="J39" s="6"/>
      <c r="K39" s="4" t="str">
        <f t="shared" si="0"/>
        <v/>
      </c>
    </row>
    <row r="40" spans="1:11" x14ac:dyDescent="0.3">
      <c r="A40" s="4">
        <v>36</v>
      </c>
      <c r="B40" s="6"/>
      <c r="C40" s="6"/>
      <c r="D40" s="6"/>
      <c r="E40" s="6"/>
      <c r="F40" s="6"/>
      <c r="G40" s="5"/>
      <c r="H40" s="6"/>
      <c r="I40" s="5"/>
      <c r="J40" s="6"/>
      <c r="K40" s="4" t="str">
        <f t="shared" si="0"/>
        <v/>
      </c>
    </row>
    <row r="41" spans="1:11" x14ac:dyDescent="0.3">
      <c r="A41" s="4">
        <v>37</v>
      </c>
      <c r="B41" s="6"/>
      <c r="C41" s="6"/>
      <c r="D41" s="6"/>
      <c r="E41" s="6"/>
      <c r="F41" s="6"/>
      <c r="G41" s="5"/>
      <c r="H41" s="6"/>
      <c r="I41" s="5"/>
      <c r="J41" s="6"/>
      <c r="K41" s="4" t="str">
        <f t="shared" si="0"/>
        <v/>
      </c>
    </row>
    <row r="42" spans="1:11" x14ac:dyDescent="0.3">
      <c r="A42" s="4">
        <v>38</v>
      </c>
      <c r="B42" s="6"/>
      <c r="C42" s="6"/>
      <c r="D42" s="6"/>
      <c r="E42" s="6"/>
      <c r="F42" s="6"/>
      <c r="G42" s="5"/>
      <c r="H42" s="6"/>
      <c r="I42" s="5"/>
      <c r="J42" s="6"/>
      <c r="K42" s="4" t="str">
        <f t="shared" si="0"/>
        <v/>
      </c>
    </row>
    <row r="43" spans="1:11" x14ac:dyDescent="0.3">
      <c r="A43" s="4">
        <v>39</v>
      </c>
      <c r="B43" s="6"/>
      <c r="C43" s="6"/>
      <c r="D43" s="6"/>
      <c r="E43" s="6"/>
      <c r="F43" s="6"/>
      <c r="G43" s="5"/>
      <c r="H43" s="6"/>
      <c r="I43" s="5"/>
      <c r="J43" s="6"/>
      <c r="K43" s="4" t="str">
        <f t="shared" si="0"/>
        <v/>
      </c>
    </row>
    <row r="44" spans="1:11" x14ac:dyDescent="0.3">
      <c r="A44" s="4">
        <v>40</v>
      </c>
      <c r="B44" s="6"/>
      <c r="C44" s="6"/>
      <c r="D44" s="6"/>
      <c r="E44" s="6"/>
      <c r="F44" s="6"/>
      <c r="G44" s="5"/>
      <c r="H44" s="6"/>
      <c r="I44" s="5"/>
      <c r="J44" s="6"/>
      <c r="K44" s="4" t="str">
        <f t="shared" si="0"/>
        <v/>
      </c>
    </row>
    <row r="45" spans="1:11" x14ac:dyDescent="0.3">
      <c r="A45" s="4">
        <v>41</v>
      </c>
      <c r="B45" s="6"/>
      <c r="C45" s="6"/>
      <c r="D45" s="6"/>
      <c r="E45" s="6"/>
      <c r="F45" s="6"/>
      <c r="G45" s="5"/>
      <c r="H45" s="6"/>
      <c r="I45" s="5"/>
      <c r="J45" s="6"/>
      <c r="K45" s="4" t="str">
        <f t="shared" si="0"/>
        <v/>
      </c>
    </row>
    <row r="46" spans="1:11" x14ac:dyDescent="0.3">
      <c r="A46" s="4">
        <v>42</v>
      </c>
      <c r="B46" s="6"/>
      <c r="C46" s="6"/>
      <c r="D46" s="6"/>
      <c r="E46" s="6"/>
      <c r="F46" s="6"/>
      <c r="G46" s="5"/>
      <c r="H46" s="6"/>
      <c r="I46" s="5"/>
      <c r="J46" s="6"/>
      <c r="K46" s="4" t="str">
        <f t="shared" si="0"/>
        <v/>
      </c>
    </row>
    <row r="47" spans="1:11" x14ac:dyDescent="0.3">
      <c r="A47" s="4">
        <v>43</v>
      </c>
      <c r="B47" s="6"/>
      <c r="C47" s="6"/>
      <c r="D47" s="6"/>
      <c r="E47" s="6"/>
      <c r="F47" s="6"/>
      <c r="G47" s="5"/>
      <c r="H47" s="6"/>
      <c r="I47" s="5"/>
      <c r="J47" s="6"/>
      <c r="K47" s="4" t="str">
        <f t="shared" si="0"/>
        <v/>
      </c>
    </row>
    <row r="48" spans="1:11" x14ac:dyDescent="0.3">
      <c r="A48" s="4">
        <v>44</v>
      </c>
      <c r="B48" s="6"/>
      <c r="C48" s="6"/>
      <c r="D48" s="6"/>
      <c r="E48" s="6"/>
      <c r="F48" s="6"/>
      <c r="G48" s="5"/>
      <c r="H48" s="6"/>
      <c r="I48" s="5"/>
      <c r="J48" s="6"/>
      <c r="K48" s="4" t="str">
        <f t="shared" si="0"/>
        <v/>
      </c>
    </row>
    <row r="49" spans="1:11" x14ac:dyDescent="0.3">
      <c r="A49" s="4">
        <v>45</v>
      </c>
      <c r="B49" s="6"/>
      <c r="C49" s="6"/>
      <c r="D49" s="6"/>
      <c r="E49" s="6"/>
      <c r="F49" s="6"/>
      <c r="G49" s="5"/>
      <c r="H49" s="6"/>
      <c r="I49" s="5"/>
      <c r="J49" s="6"/>
      <c r="K49" s="4" t="str">
        <f t="shared" si="0"/>
        <v/>
      </c>
    </row>
    <row r="50" spans="1:11" x14ac:dyDescent="0.3">
      <c r="A50" s="4">
        <v>46</v>
      </c>
      <c r="B50" s="6"/>
      <c r="C50" s="6"/>
      <c r="D50" s="6"/>
      <c r="E50" s="6"/>
      <c r="F50" s="6"/>
      <c r="G50" s="5"/>
      <c r="H50" s="6"/>
      <c r="I50" s="5"/>
      <c r="J50" s="6"/>
      <c r="K50" s="4" t="str">
        <f t="shared" si="0"/>
        <v/>
      </c>
    </row>
    <row r="51" spans="1:11" x14ac:dyDescent="0.3">
      <c r="A51" s="4">
        <v>47</v>
      </c>
      <c r="B51" s="6"/>
      <c r="C51" s="6"/>
      <c r="D51" s="6"/>
      <c r="E51" s="6"/>
      <c r="F51" s="6"/>
      <c r="G51" s="5"/>
      <c r="H51" s="6"/>
      <c r="I51" s="5"/>
      <c r="J51" s="6"/>
      <c r="K51" s="4" t="str">
        <f t="shared" si="0"/>
        <v/>
      </c>
    </row>
    <row r="52" spans="1:11" x14ac:dyDescent="0.3">
      <c r="A52" s="4">
        <v>48</v>
      </c>
      <c r="B52" s="6"/>
      <c r="C52" s="6"/>
      <c r="D52" s="6"/>
      <c r="E52" s="6"/>
      <c r="F52" s="6"/>
      <c r="G52" s="5"/>
      <c r="H52" s="6"/>
      <c r="I52" s="5"/>
      <c r="J52" s="6"/>
      <c r="K52" s="4" t="str">
        <f t="shared" si="0"/>
        <v/>
      </c>
    </row>
    <row r="53" spans="1:11" x14ac:dyDescent="0.3">
      <c r="A53" s="4">
        <v>49</v>
      </c>
      <c r="B53" s="6"/>
      <c r="C53" s="6"/>
      <c r="D53" s="6"/>
      <c r="E53" s="6"/>
      <c r="F53" s="6"/>
      <c r="G53" s="5"/>
      <c r="H53" s="6"/>
      <c r="I53" s="5"/>
      <c r="J53" s="6"/>
      <c r="K53" s="4" t="str">
        <f t="shared" si="0"/>
        <v/>
      </c>
    </row>
    <row r="54" spans="1:11" x14ac:dyDescent="0.3">
      <c r="A54" s="4">
        <v>50</v>
      </c>
      <c r="B54" s="6"/>
      <c r="C54" s="6"/>
      <c r="D54" s="6"/>
      <c r="E54" s="6"/>
      <c r="F54" s="6"/>
      <c r="G54" s="5"/>
      <c r="H54" s="6"/>
      <c r="I54" s="5"/>
      <c r="J54" s="6"/>
      <c r="K54" s="4" t="str">
        <f t="shared" si="0"/>
        <v/>
      </c>
    </row>
    <row r="55" spans="1:11" x14ac:dyDescent="0.3">
      <c r="A55" s="4">
        <v>51</v>
      </c>
      <c r="B55" s="6"/>
      <c r="C55" s="6"/>
      <c r="D55" s="6"/>
      <c r="E55" s="6"/>
      <c r="F55" s="6"/>
      <c r="G55" s="5"/>
      <c r="H55" s="6"/>
      <c r="I55" s="5"/>
      <c r="J55" s="6"/>
      <c r="K55" s="4" t="str">
        <f t="shared" si="0"/>
        <v/>
      </c>
    </row>
    <row r="56" spans="1:11" x14ac:dyDescent="0.3">
      <c r="A56" s="4">
        <v>52</v>
      </c>
      <c r="B56" s="6"/>
      <c r="C56" s="6"/>
      <c r="D56" s="6"/>
      <c r="E56" s="6"/>
      <c r="F56" s="6"/>
      <c r="G56" s="5"/>
      <c r="H56" s="6"/>
      <c r="I56" s="5"/>
      <c r="J56" s="6"/>
      <c r="K56" s="4" t="str">
        <f t="shared" si="0"/>
        <v/>
      </c>
    </row>
    <row r="57" spans="1:11" x14ac:dyDescent="0.3">
      <c r="A57" s="4">
        <v>53</v>
      </c>
      <c r="B57" s="6"/>
      <c r="C57" s="6"/>
      <c r="D57" s="6"/>
      <c r="E57" s="6"/>
      <c r="F57" s="6"/>
      <c r="G57" s="5"/>
      <c r="H57" s="6"/>
      <c r="I57" s="5"/>
      <c r="J57" s="6"/>
      <c r="K57" s="4" t="str">
        <f t="shared" si="0"/>
        <v/>
      </c>
    </row>
    <row r="58" spans="1:11" x14ac:dyDescent="0.3">
      <c r="A58" s="4">
        <v>54</v>
      </c>
      <c r="B58" s="6"/>
      <c r="C58" s="6"/>
      <c r="D58" s="6"/>
      <c r="E58" s="6"/>
      <c r="F58" s="6"/>
      <c r="G58" s="5"/>
      <c r="H58" s="6"/>
      <c r="I58" s="5"/>
      <c r="J58" s="6"/>
      <c r="K58" s="4" t="str">
        <f t="shared" si="0"/>
        <v/>
      </c>
    </row>
    <row r="59" spans="1:11" x14ac:dyDescent="0.3">
      <c r="A59" s="4">
        <v>55</v>
      </c>
      <c r="B59" s="6"/>
      <c r="C59" s="6"/>
      <c r="D59" s="6"/>
      <c r="E59" s="6"/>
      <c r="F59" s="6"/>
      <c r="G59" s="5"/>
      <c r="H59" s="6"/>
      <c r="I59" s="5"/>
      <c r="J59" s="6"/>
      <c r="K59" s="4" t="str">
        <f t="shared" si="0"/>
        <v/>
      </c>
    </row>
    <row r="60" spans="1:11" x14ac:dyDescent="0.3">
      <c r="A60" s="4">
        <v>56</v>
      </c>
      <c r="B60" s="6"/>
      <c r="C60" s="6"/>
      <c r="D60" s="6"/>
      <c r="E60" s="6"/>
      <c r="F60" s="6"/>
      <c r="G60" s="5"/>
      <c r="H60" s="6"/>
      <c r="I60" s="5"/>
      <c r="J60" s="6"/>
      <c r="K60" s="4" t="str">
        <f t="shared" si="0"/>
        <v/>
      </c>
    </row>
    <row r="61" spans="1:11" x14ac:dyDescent="0.3">
      <c r="A61" s="4">
        <v>57</v>
      </c>
      <c r="B61" s="6"/>
      <c r="C61" s="6"/>
      <c r="D61" s="6"/>
      <c r="E61" s="6"/>
      <c r="F61" s="6"/>
      <c r="G61" s="5"/>
      <c r="H61" s="6"/>
      <c r="I61" s="5"/>
      <c r="J61" s="6"/>
      <c r="K61" s="4" t="str">
        <f t="shared" si="0"/>
        <v/>
      </c>
    </row>
    <row r="62" spans="1:11" x14ac:dyDescent="0.3">
      <c r="A62" s="4">
        <v>58</v>
      </c>
      <c r="B62" s="6"/>
      <c r="C62" s="6"/>
      <c r="D62" s="6"/>
      <c r="E62" s="6"/>
      <c r="F62" s="6"/>
      <c r="G62" s="5"/>
      <c r="H62" s="6"/>
      <c r="I62" s="5"/>
      <c r="J62" s="6"/>
      <c r="K62" s="4" t="str">
        <f t="shared" si="0"/>
        <v/>
      </c>
    </row>
    <row r="63" spans="1:11" x14ac:dyDescent="0.3">
      <c r="A63" s="4">
        <v>59</v>
      </c>
      <c r="B63" s="6"/>
      <c r="C63" s="6"/>
      <c r="D63" s="6"/>
      <c r="E63" s="6"/>
      <c r="F63" s="6"/>
      <c r="G63" s="5"/>
      <c r="H63" s="6"/>
      <c r="I63" s="5"/>
      <c r="J63" s="6"/>
      <c r="K63" s="4" t="str">
        <f t="shared" si="0"/>
        <v/>
      </c>
    </row>
    <row r="64" spans="1:11" x14ac:dyDescent="0.3">
      <c r="A64" s="4">
        <v>60</v>
      </c>
      <c r="B64" s="6"/>
      <c r="C64" s="6"/>
      <c r="D64" s="6"/>
      <c r="E64" s="6"/>
      <c r="F64" s="6"/>
      <c r="G64" s="5"/>
      <c r="H64" s="6"/>
      <c r="I64" s="5"/>
      <c r="J64" s="6"/>
      <c r="K64" s="4" t="str">
        <f t="shared" si="0"/>
        <v/>
      </c>
    </row>
    <row r="65" spans="1:11" x14ac:dyDescent="0.3">
      <c r="A65" s="4">
        <v>61</v>
      </c>
      <c r="B65" s="6"/>
      <c r="C65" s="6"/>
      <c r="D65" s="6"/>
      <c r="E65" s="6"/>
      <c r="F65" s="6"/>
      <c r="G65" s="5"/>
      <c r="H65" s="6"/>
      <c r="I65" s="5"/>
      <c r="J65" s="6"/>
      <c r="K65" s="4" t="str">
        <f t="shared" si="0"/>
        <v/>
      </c>
    </row>
    <row r="66" spans="1:11" x14ac:dyDescent="0.3">
      <c r="A66" s="4">
        <v>62</v>
      </c>
      <c r="B66" s="6"/>
      <c r="C66" s="6"/>
      <c r="D66" s="6"/>
      <c r="E66" s="6"/>
      <c r="F66" s="6"/>
      <c r="G66" s="5"/>
      <c r="H66" s="6"/>
      <c r="I66" s="5"/>
      <c r="J66" s="6"/>
      <c r="K66" s="4" t="str">
        <f t="shared" si="0"/>
        <v/>
      </c>
    </row>
    <row r="67" spans="1:11" x14ac:dyDescent="0.3">
      <c r="A67" s="4">
        <v>63</v>
      </c>
      <c r="B67" s="6"/>
      <c r="C67" s="6"/>
      <c r="D67" s="6"/>
      <c r="E67" s="6"/>
      <c r="F67" s="6"/>
      <c r="G67" s="5"/>
      <c r="H67" s="6"/>
      <c r="I67" s="5"/>
      <c r="J67" s="6"/>
      <c r="K67" s="4" t="str">
        <f t="shared" si="0"/>
        <v/>
      </c>
    </row>
    <row r="68" spans="1:11" x14ac:dyDescent="0.3">
      <c r="A68" s="4">
        <v>64</v>
      </c>
      <c r="B68" s="6"/>
      <c r="C68" s="6"/>
      <c r="D68" s="6"/>
      <c r="E68" s="6"/>
      <c r="F68" s="6"/>
      <c r="G68" s="5"/>
      <c r="H68" s="6"/>
      <c r="I68" s="5"/>
      <c r="J68" s="6"/>
      <c r="K68" s="4" t="str">
        <f t="shared" si="0"/>
        <v/>
      </c>
    </row>
    <row r="69" spans="1:11" x14ac:dyDescent="0.3">
      <c r="A69" s="4">
        <v>65</v>
      </c>
      <c r="B69" s="6"/>
      <c r="C69" s="6"/>
      <c r="D69" s="6"/>
      <c r="E69" s="6"/>
      <c r="F69" s="6"/>
      <c r="G69" s="5"/>
      <c r="H69" s="6"/>
      <c r="I69" s="5"/>
      <c r="J69" s="6"/>
      <c r="K69" s="4" t="str">
        <f t="shared" ref="K69:K132" si="1">IF(B69="","",IF(OR(F69="",G69=""),"НЕ ОТПРАВЛЕНО",IF(J69="","НЕТ ДОКАЗАТЕЛЬСТВА",IF(I69="","ОТПРАВЛЕНО, ЖДЁМ ПОЛУЧЕНИЯ","ПЕРЕДАНО"))))</f>
        <v/>
      </c>
    </row>
    <row r="70" spans="1:11" x14ac:dyDescent="0.3">
      <c r="A70" s="4">
        <v>66</v>
      </c>
      <c r="B70" s="6"/>
      <c r="C70" s="6"/>
      <c r="D70" s="6"/>
      <c r="E70" s="6"/>
      <c r="F70" s="6"/>
      <c r="G70" s="5"/>
      <c r="H70" s="6"/>
      <c r="I70" s="5"/>
      <c r="J70" s="6"/>
      <c r="K70" s="4" t="str">
        <f t="shared" si="1"/>
        <v/>
      </c>
    </row>
    <row r="71" spans="1:11" x14ac:dyDescent="0.3">
      <c r="A71" s="4">
        <v>67</v>
      </c>
      <c r="B71" s="6"/>
      <c r="C71" s="6"/>
      <c r="D71" s="6"/>
      <c r="E71" s="6"/>
      <c r="F71" s="6"/>
      <c r="G71" s="5"/>
      <c r="H71" s="6"/>
      <c r="I71" s="5"/>
      <c r="J71" s="6"/>
      <c r="K71" s="4" t="str">
        <f t="shared" si="1"/>
        <v/>
      </c>
    </row>
    <row r="72" spans="1:11" x14ac:dyDescent="0.3">
      <c r="A72" s="4">
        <v>68</v>
      </c>
      <c r="B72" s="6"/>
      <c r="C72" s="6"/>
      <c r="D72" s="6"/>
      <c r="E72" s="6"/>
      <c r="F72" s="6"/>
      <c r="G72" s="5"/>
      <c r="H72" s="6"/>
      <c r="I72" s="5"/>
      <c r="J72" s="6"/>
      <c r="K72" s="4" t="str">
        <f t="shared" si="1"/>
        <v/>
      </c>
    </row>
    <row r="73" spans="1:11" x14ac:dyDescent="0.3">
      <c r="A73" s="4">
        <v>69</v>
      </c>
      <c r="B73" s="6"/>
      <c r="C73" s="6"/>
      <c r="D73" s="6"/>
      <c r="E73" s="6"/>
      <c r="F73" s="6"/>
      <c r="G73" s="5"/>
      <c r="H73" s="6"/>
      <c r="I73" s="5"/>
      <c r="J73" s="6"/>
      <c r="K73" s="4" t="str">
        <f t="shared" si="1"/>
        <v/>
      </c>
    </row>
    <row r="74" spans="1:11" x14ac:dyDescent="0.3">
      <c r="A74" s="4">
        <v>70</v>
      </c>
      <c r="B74" s="6"/>
      <c r="C74" s="6"/>
      <c r="D74" s="6"/>
      <c r="E74" s="6"/>
      <c r="F74" s="6"/>
      <c r="G74" s="5"/>
      <c r="H74" s="6"/>
      <c r="I74" s="5"/>
      <c r="J74" s="6"/>
      <c r="K74" s="4" t="str">
        <f t="shared" si="1"/>
        <v/>
      </c>
    </row>
    <row r="75" spans="1:11" x14ac:dyDescent="0.3">
      <c r="A75" s="4">
        <v>71</v>
      </c>
      <c r="B75" s="6"/>
      <c r="C75" s="6"/>
      <c r="D75" s="6"/>
      <c r="E75" s="6"/>
      <c r="F75" s="6"/>
      <c r="G75" s="5"/>
      <c r="H75" s="6"/>
      <c r="I75" s="5"/>
      <c r="J75" s="6"/>
      <c r="K75" s="4" t="str">
        <f t="shared" si="1"/>
        <v/>
      </c>
    </row>
    <row r="76" spans="1:11" x14ac:dyDescent="0.3">
      <c r="A76" s="4">
        <v>72</v>
      </c>
      <c r="B76" s="6"/>
      <c r="C76" s="6"/>
      <c r="D76" s="6"/>
      <c r="E76" s="6"/>
      <c r="F76" s="6"/>
      <c r="G76" s="5"/>
      <c r="H76" s="6"/>
      <c r="I76" s="5"/>
      <c r="J76" s="6"/>
      <c r="K76" s="4" t="str">
        <f t="shared" si="1"/>
        <v/>
      </c>
    </row>
    <row r="77" spans="1:11" x14ac:dyDescent="0.3">
      <c r="A77" s="4">
        <v>73</v>
      </c>
      <c r="B77" s="6"/>
      <c r="C77" s="6"/>
      <c r="D77" s="6"/>
      <c r="E77" s="6"/>
      <c r="F77" s="6"/>
      <c r="G77" s="5"/>
      <c r="H77" s="6"/>
      <c r="I77" s="5"/>
      <c r="J77" s="6"/>
      <c r="K77" s="4" t="str">
        <f t="shared" si="1"/>
        <v/>
      </c>
    </row>
    <row r="78" spans="1:11" x14ac:dyDescent="0.3">
      <c r="A78" s="4">
        <v>74</v>
      </c>
      <c r="B78" s="6"/>
      <c r="C78" s="6"/>
      <c r="D78" s="6"/>
      <c r="E78" s="6"/>
      <c r="F78" s="6"/>
      <c r="G78" s="5"/>
      <c r="H78" s="6"/>
      <c r="I78" s="5"/>
      <c r="J78" s="6"/>
      <c r="K78" s="4" t="str">
        <f t="shared" si="1"/>
        <v/>
      </c>
    </row>
    <row r="79" spans="1:11" x14ac:dyDescent="0.3">
      <c r="A79" s="4">
        <v>75</v>
      </c>
      <c r="B79" s="6"/>
      <c r="C79" s="6"/>
      <c r="D79" s="6"/>
      <c r="E79" s="6"/>
      <c r="F79" s="6"/>
      <c r="G79" s="5"/>
      <c r="H79" s="6"/>
      <c r="I79" s="5"/>
      <c r="J79" s="6"/>
      <c r="K79" s="4" t="str">
        <f t="shared" si="1"/>
        <v/>
      </c>
    </row>
    <row r="80" spans="1:11" x14ac:dyDescent="0.3">
      <c r="A80" s="4">
        <v>76</v>
      </c>
      <c r="B80" s="6"/>
      <c r="C80" s="6"/>
      <c r="D80" s="6"/>
      <c r="E80" s="6"/>
      <c r="F80" s="6"/>
      <c r="G80" s="5"/>
      <c r="H80" s="6"/>
      <c r="I80" s="5"/>
      <c r="J80" s="6"/>
      <c r="K80" s="4" t="str">
        <f t="shared" si="1"/>
        <v/>
      </c>
    </row>
    <row r="81" spans="1:11" x14ac:dyDescent="0.3">
      <c r="A81" s="4">
        <v>77</v>
      </c>
      <c r="B81" s="6"/>
      <c r="C81" s="6"/>
      <c r="D81" s="6"/>
      <c r="E81" s="6"/>
      <c r="F81" s="6"/>
      <c r="G81" s="5"/>
      <c r="H81" s="6"/>
      <c r="I81" s="5"/>
      <c r="J81" s="6"/>
      <c r="K81" s="4" t="str">
        <f t="shared" si="1"/>
        <v/>
      </c>
    </row>
    <row r="82" spans="1:11" x14ac:dyDescent="0.3">
      <c r="A82" s="4">
        <v>78</v>
      </c>
      <c r="B82" s="6"/>
      <c r="C82" s="6"/>
      <c r="D82" s="6"/>
      <c r="E82" s="6"/>
      <c r="F82" s="6"/>
      <c r="G82" s="5"/>
      <c r="H82" s="6"/>
      <c r="I82" s="5"/>
      <c r="J82" s="6"/>
      <c r="K82" s="4" t="str">
        <f t="shared" si="1"/>
        <v/>
      </c>
    </row>
    <row r="83" spans="1:11" x14ac:dyDescent="0.3">
      <c r="A83" s="4">
        <v>79</v>
      </c>
      <c r="B83" s="6"/>
      <c r="C83" s="6"/>
      <c r="D83" s="6"/>
      <c r="E83" s="6"/>
      <c r="F83" s="6"/>
      <c r="G83" s="5"/>
      <c r="H83" s="6"/>
      <c r="I83" s="5"/>
      <c r="J83" s="6"/>
      <c r="K83" s="4" t="str">
        <f t="shared" si="1"/>
        <v/>
      </c>
    </row>
    <row r="84" spans="1:11" x14ac:dyDescent="0.3">
      <c r="A84" s="4">
        <v>80</v>
      </c>
      <c r="B84" s="6"/>
      <c r="C84" s="6"/>
      <c r="D84" s="6"/>
      <c r="E84" s="6"/>
      <c r="F84" s="6"/>
      <c r="G84" s="5"/>
      <c r="H84" s="6"/>
      <c r="I84" s="5"/>
      <c r="J84" s="6"/>
      <c r="K84" s="4" t="str">
        <f t="shared" si="1"/>
        <v/>
      </c>
    </row>
    <row r="85" spans="1:11" x14ac:dyDescent="0.3">
      <c r="A85" s="4">
        <v>81</v>
      </c>
      <c r="B85" s="6"/>
      <c r="C85" s="6"/>
      <c r="D85" s="6"/>
      <c r="E85" s="6"/>
      <c r="F85" s="6"/>
      <c r="G85" s="5"/>
      <c r="H85" s="6"/>
      <c r="I85" s="5"/>
      <c r="J85" s="6"/>
      <c r="K85" s="4" t="str">
        <f t="shared" si="1"/>
        <v/>
      </c>
    </row>
    <row r="86" spans="1:11" x14ac:dyDescent="0.3">
      <c r="A86" s="4">
        <v>82</v>
      </c>
      <c r="B86" s="6"/>
      <c r="C86" s="6"/>
      <c r="D86" s="6"/>
      <c r="E86" s="6"/>
      <c r="F86" s="6"/>
      <c r="G86" s="5"/>
      <c r="H86" s="6"/>
      <c r="I86" s="5"/>
      <c r="J86" s="6"/>
      <c r="K86" s="4" t="str">
        <f t="shared" si="1"/>
        <v/>
      </c>
    </row>
    <row r="87" spans="1:11" x14ac:dyDescent="0.3">
      <c r="A87" s="4">
        <v>83</v>
      </c>
      <c r="B87" s="6"/>
      <c r="C87" s="6"/>
      <c r="D87" s="6"/>
      <c r="E87" s="6"/>
      <c r="F87" s="6"/>
      <c r="G87" s="5"/>
      <c r="H87" s="6"/>
      <c r="I87" s="5"/>
      <c r="J87" s="6"/>
      <c r="K87" s="4" t="str">
        <f t="shared" si="1"/>
        <v/>
      </c>
    </row>
    <row r="88" spans="1:11" x14ac:dyDescent="0.3">
      <c r="A88" s="4">
        <v>84</v>
      </c>
      <c r="B88" s="6"/>
      <c r="C88" s="6"/>
      <c r="D88" s="6"/>
      <c r="E88" s="6"/>
      <c r="F88" s="6"/>
      <c r="G88" s="5"/>
      <c r="H88" s="6"/>
      <c r="I88" s="5"/>
      <c r="J88" s="6"/>
      <c r="K88" s="4" t="str">
        <f t="shared" si="1"/>
        <v/>
      </c>
    </row>
    <row r="89" spans="1:11" x14ac:dyDescent="0.3">
      <c r="A89" s="4">
        <v>85</v>
      </c>
      <c r="B89" s="6"/>
      <c r="C89" s="6"/>
      <c r="D89" s="6"/>
      <c r="E89" s="6"/>
      <c r="F89" s="6"/>
      <c r="G89" s="5"/>
      <c r="H89" s="6"/>
      <c r="I89" s="5"/>
      <c r="J89" s="6"/>
      <c r="K89" s="4" t="str">
        <f t="shared" si="1"/>
        <v/>
      </c>
    </row>
    <row r="90" spans="1:11" x14ac:dyDescent="0.3">
      <c r="A90" s="4">
        <v>86</v>
      </c>
      <c r="B90" s="6"/>
      <c r="C90" s="6"/>
      <c r="D90" s="6"/>
      <c r="E90" s="6"/>
      <c r="F90" s="6"/>
      <c r="G90" s="5"/>
      <c r="H90" s="6"/>
      <c r="I90" s="5"/>
      <c r="J90" s="6"/>
      <c r="K90" s="4" t="str">
        <f t="shared" si="1"/>
        <v/>
      </c>
    </row>
    <row r="91" spans="1:11" x14ac:dyDescent="0.3">
      <c r="A91" s="4">
        <v>87</v>
      </c>
      <c r="B91" s="6"/>
      <c r="C91" s="6"/>
      <c r="D91" s="6"/>
      <c r="E91" s="6"/>
      <c r="F91" s="6"/>
      <c r="G91" s="5"/>
      <c r="H91" s="6"/>
      <c r="I91" s="5"/>
      <c r="J91" s="6"/>
      <c r="K91" s="4" t="str">
        <f t="shared" si="1"/>
        <v/>
      </c>
    </row>
    <row r="92" spans="1:11" x14ac:dyDescent="0.3">
      <c r="A92" s="4">
        <v>88</v>
      </c>
      <c r="B92" s="6"/>
      <c r="C92" s="6"/>
      <c r="D92" s="6"/>
      <c r="E92" s="6"/>
      <c r="F92" s="6"/>
      <c r="G92" s="5"/>
      <c r="H92" s="6"/>
      <c r="I92" s="5"/>
      <c r="J92" s="6"/>
      <c r="K92" s="4" t="str">
        <f t="shared" si="1"/>
        <v/>
      </c>
    </row>
    <row r="93" spans="1:11" x14ac:dyDescent="0.3">
      <c r="A93" s="4">
        <v>89</v>
      </c>
      <c r="B93" s="6"/>
      <c r="C93" s="6"/>
      <c r="D93" s="6"/>
      <c r="E93" s="6"/>
      <c r="F93" s="6"/>
      <c r="G93" s="5"/>
      <c r="H93" s="6"/>
      <c r="I93" s="5"/>
      <c r="J93" s="6"/>
      <c r="K93" s="4" t="str">
        <f t="shared" si="1"/>
        <v/>
      </c>
    </row>
    <row r="94" spans="1:11" x14ac:dyDescent="0.3">
      <c r="A94" s="4">
        <v>90</v>
      </c>
      <c r="B94" s="6"/>
      <c r="C94" s="6"/>
      <c r="D94" s="6"/>
      <c r="E94" s="6"/>
      <c r="F94" s="6"/>
      <c r="G94" s="5"/>
      <c r="H94" s="6"/>
      <c r="I94" s="5"/>
      <c r="J94" s="6"/>
      <c r="K94" s="4" t="str">
        <f t="shared" si="1"/>
        <v/>
      </c>
    </row>
    <row r="95" spans="1:11" x14ac:dyDescent="0.3">
      <c r="A95" s="4">
        <v>91</v>
      </c>
      <c r="B95" s="6"/>
      <c r="C95" s="6"/>
      <c r="D95" s="6"/>
      <c r="E95" s="6"/>
      <c r="F95" s="6"/>
      <c r="G95" s="5"/>
      <c r="H95" s="6"/>
      <c r="I95" s="5"/>
      <c r="J95" s="6"/>
      <c r="K95" s="4" t="str">
        <f t="shared" si="1"/>
        <v/>
      </c>
    </row>
    <row r="96" spans="1:11" x14ac:dyDescent="0.3">
      <c r="A96" s="4">
        <v>92</v>
      </c>
      <c r="B96" s="6"/>
      <c r="C96" s="6"/>
      <c r="D96" s="6"/>
      <c r="E96" s="6"/>
      <c r="F96" s="6"/>
      <c r="G96" s="5"/>
      <c r="H96" s="6"/>
      <c r="I96" s="5"/>
      <c r="J96" s="6"/>
      <c r="K96" s="4" t="str">
        <f t="shared" si="1"/>
        <v/>
      </c>
    </row>
    <row r="97" spans="1:11" x14ac:dyDescent="0.3">
      <c r="A97" s="4">
        <v>93</v>
      </c>
      <c r="B97" s="6"/>
      <c r="C97" s="6"/>
      <c r="D97" s="6"/>
      <c r="E97" s="6"/>
      <c r="F97" s="6"/>
      <c r="G97" s="5"/>
      <c r="H97" s="6"/>
      <c r="I97" s="5"/>
      <c r="J97" s="6"/>
      <c r="K97" s="4" t="str">
        <f t="shared" si="1"/>
        <v/>
      </c>
    </row>
    <row r="98" spans="1:11" x14ac:dyDescent="0.3">
      <c r="A98" s="4">
        <v>94</v>
      </c>
      <c r="B98" s="6"/>
      <c r="C98" s="6"/>
      <c r="D98" s="6"/>
      <c r="E98" s="6"/>
      <c r="F98" s="6"/>
      <c r="G98" s="5"/>
      <c r="H98" s="6"/>
      <c r="I98" s="5"/>
      <c r="J98" s="6"/>
      <c r="K98" s="4" t="str">
        <f t="shared" si="1"/>
        <v/>
      </c>
    </row>
    <row r="99" spans="1:11" x14ac:dyDescent="0.3">
      <c r="A99" s="4">
        <v>95</v>
      </c>
      <c r="B99" s="6"/>
      <c r="C99" s="6"/>
      <c r="D99" s="6"/>
      <c r="E99" s="6"/>
      <c r="F99" s="6"/>
      <c r="G99" s="5"/>
      <c r="H99" s="6"/>
      <c r="I99" s="5"/>
      <c r="J99" s="6"/>
      <c r="K99" s="4" t="str">
        <f t="shared" si="1"/>
        <v/>
      </c>
    </row>
    <row r="100" spans="1:11" x14ac:dyDescent="0.3">
      <c r="A100" s="4">
        <v>96</v>
      </c>
      <c r="B100" s="6"/>
      <c r="C100" s="6"/>
      <c r="D100" s="6"/>
      <c r="E100" s="6"/>
      <c r="F100" s="6"/>
      <c r="G100" s="5"/>
      <c r="H100" s="6"/>
      <c r="I100" s="5"/>
      <c r="J100" s="6"/>
      <c r="K100" s="4" t="str">
        <f t="shared" si="1"/>
        <v/>
      </c>
    </row>
    <row r="101" spans="1:11" x14ac:dyDescent="0.3">
      <c r="A101" s="4">
        <v>97</v>
      </c>
      <c r="B101" s="6"/>
      <c r="C101" s="6"/>
      <c r="D101" s="6"/>
      <c r="E101" s="6"/>
      <c r="F101" s="6"/>
      <c r="G101" s="5"/>
      <c r="H101" s="6"/>
      <c r="I101" s="5"/>
      <c r="J101" s="6"/>
      <c r="K101" s="4" t="str">
        <f t="shared" si="1"/>
        <v/>
      </c>
    </row>
    <row r="102" spans="1:11" x14ac:dyDescent="0.3">
      <c r="A102" s="4">
        <v>98</v>
      </c>
      <c r="B102" s="6"/>
      <c r="C102" s="6"/>
      <c r="D102" s="6"/>
      <c r="E102" s="6"/>
      <c r="F102" s="6"/>
      <c r="G102" s="5"/>
      <c r="H102" s="6"/>
      <c r="I102" s="5"/>
      <c r="J102" s="6"/>
      <c r="K102" s="4" t="str">
        <f t="shared" si="1"/>
        <v/>
      </c>
    </row>
    <row r="103" spans="1:11" x14ac:dyDescent="0.3">
      <c r="A103" s="4">
        <v>99</v>
      </c>
      <c r="B103" s="6"/>
      <c r="C103" s="6"/>
      <c r="D103" s="6"/>
      <c r="E103" s="6"/>
      <c r="F103" s="6"/>
      <c r="G103" s="5"/>
      <c r="H103" s="6"/>
      <c r="I103" s="5"/>
      <c r="J103" s="6"/>
      <c r="K103" s="4" t="str">
        <f t="shared" si="1"/>
        <v/>
      </c>
    </row>
    <row r="104" spans="1:11" x14ac:dyDescent="0.3">
      <c r="A104" s="4">
        <v>100</v>
      </c>
      <c r="B104" s="6"/>
      <c r="C104" s="6"/>
      <c r="D104" s="6"/>
      <c r="E104" s="6"/>
      <c r="F104" s="6"/>
      <c r="G104" s="5"/>
      <c r="H104" s="6"/>
      <c r="I104" s="5"/>
      <c r="J104" s="6"/>
      <c r="K104" s="4" t="str">
        <f t="shared" si="1"/>
        <v/>
      </c>
    </row>
    <row r="105" spans="1:11" x14ac:dyDescent="0.3">
      <c r="A105" s="4">
        <v>101</v>
      </c>
      <c r="B105" s="6"/>
      <c r="C105" s="6"/>
      <c r="D105" s="6"/>
      <c r="E105" s="6"/>
      <c r="F105" s="6"/>
      <c r="G105" s="5"/>
      <c r="H105" s="6"/>
      <c r="I105" s="5"/>
      <c r="J105" s="6"/>
      <c r="K105" s="4" t="str">
        <f t="shared" si="1"/>
        <v/>
      </c>
    </row>
    <row r="106" spans="1:11" x14ac:dyDescent="0.3">
      <c r="A106" s="4">
        <v>102</v>
      </c>
      <c r="B106" s="6"/>
      <c r="C106" s="6"/>
      <c r="D106" s="6"/>
      <c r="E106" s="6"/>
      <c r="F106" s="6"/>
      <c r="G106" s="5"/>
      <c r="H106" s="6"/>
      <c r="I106" s="5"/>
      <c r="J106" s="6"/>
      <c r="K106" s="4" t="str">
        <f t="shared" si="1"/>
        <v/>
      </c>
    </row>
    <row r="107" spans="1:11" x14ac:dyDescent="0.3">
      <c r="A107" s="4">
        <v>103</v>
      </c>
      <c r="B107" s="6"/>
      <c r="C107" s="6"/>
      <c r="D107" s="6"/>
      <c r="E107" s="6"/>
      <c r="F107" s="6"/>
      <c r="G107" s="5"/>
      <c r="H107" s="6"/>
      <c r="I107" s="5"/>
      <c r="J107" s="6"/>
      <c r="K107" s="4" t="str">
        <f t="shared" si="1"/>
        <v/>
      </c>
    </row>
    <row r="108" spans="1:11" x14ac:dyDescent="0.3">
      <c r="A108" s="4">
        <v>104</v>
      </c>
      <c r="B108" s="6"/>
      <c r="C108" s="6"/>
      <c r="D108" s="6"/>
      <c r="E108" s="6"/>
      <c r="F108" s="6"/>
      <c r="G108" s="5"/>
      <c r="H108" s="6"/>
      <c r="I108" s="5"/>
      <c r="J108" s="6"/>
      <c r="K108" s="4" t="str">
        <f t="shared" si="1"/>
        <v/>
      </c>
    </row>
    <row r="109" spans="1:11" x14ac:dyDescent="0.3">
      <c r="A109" s="4">
        <v>105</v>
      </c>
      <c r="B109" s="6"/>
      <c r="C109" s="6"/>
      <c r="D109" s="6"/>
      <c r="E109" s="6"/>
      <c r="F109" s="6"/>
      <c r="G109" s="5"/>
      <c r="H109" s="6"/>
      <c r="I109" s="5"/>
      <c r="J109" s="6"/>
      <c r="K109" s="4" t="str">
        <f t="shared" si="1"/>
        <v/>
      </c>
    </row>
    <row r="110" spans="1:11" x14ac:dyDescent="0.3">
      <c r="A110" s="4">
        <v>106</v>
      </c>
      <c r="B110" s="6"/>
      <c r="C110" s="6"/>
      <c r="D110" s="6"/>
      <c r="E110" s="6"/>
      <c r="F110" s="6"/>
      <c r="G110" s="5"/>
      <c r="H110" s="6"/>
      <c r="I110" s="5"/>
      <c r="J110" s="6"/>
      <c r="K110" s="4" t="str">
        <f t="shared" si="1"/>
        <v/>
      </c>
    </row>
    <row r="111" spans="1:11" x14ac:dyDescent="0.3">
      <c r="A111" s="4">
        <v>107</v>
      </c>
      <c r="B111" s="6"/>
      <c r="C111" s="6"/>
      <c r="D111" s="6"/>
      <c r="E111" s="6"/>
      <c r="F111" s="6"/>
      <c r="G111" s="5"/>
      <c r="H111" s="6"/>
      <c r="I111" s="5"/>
      <c r="J111" s="6"/>
      <c r="K111" s="4" t="str">
        <f t="shared" si="1"/>
        <v/>
      </c>
    </row>
    <row r="112" spans="1:11" x14ac:dyDescent="0.3">
      <c r="A112" s="4">
        <v>108</v>
      </c>
      <c r="B112" s="6"/>
      <c r="C112" s="6"/>
      <c r="D112" s="6"/>
      <c r="E112" s="6"/>
      <c r="F112" s="6"/>
      <c r="G112" s="5"/>
      <c r="H112" s="6"/>
      <c r="I112" s="5"/>
      <c r="J112" s="6"/>
      <c r="K112" s="4" t="str">
        <f t="shared" si="1"/>
        <v/>
      </c>
    </row>
    <row r="113" spans="1:11" x14ac:dyDescent="0.3">
      <c r="A113" s="4">
        <v>109</v>
      </c>
      <c r="B113" s="6"/>
      <c r="C113" s="6"/>
      <c r="D113" s="6"/>
      <c r="E113" s="6"/>
      <c r="F113" s="6"/>
      <c r="G113" s="5"/>
      <c r="H113" s="6"/>
      <c r="I113" s="5"/>
      <c r="J113" s="6"/>
      <c r="K113" s="4" t="str">
        <f t="shared" si="1"/>
        <v/>
      </c>
    </row>
    <row r="114" spans="1:11" x14ac:dyDescent="0.3">
      <c r="A114" s="4">
        <v>110</v>
      </c>
      <c r="B114" s="6"/>
      <c r="C114" s="6"/>
      <c r="D114" s="6"/>
      <c r="E114" s="6"/>
      <c r="F114" s="6"/>
      <c r="G114" s="5"/>
      <c r="H114" s="6"/>
      <c r="I114" s="5"/>
      <c r="J114" s="6"/>
      <c r="K114" s="4" t="str">
        <f t="shared" si="1"/>
        <v/>
      </c>
    </row>
    <row r="115" spans="1:11" x14ac:dyDescent="0.3">
      <c r="A115" s="4">
        <v>111</v>
      </c>
      <c r="B115" s="6"/>
      <c r="C115" s="6"/>
      <c r="D115" s="6"/>
      <c r="E115" s="6"/>
      <c r="F115" s="6"/>
      <c r="G115" s="5"/>
      <c r="H115" s="6"/>
      <c r="I115" s="5"/>
      <c r="J115" s="6"/>
      <c r="K115" s="4" t="str">
        <f t="shared" si="1"/>
        <v/>
      </c>
    </row>
    <row r="116" spans="1:11" x14ac:dyDescent="0.3">
      <c r="A116" s="4">
        <v>112</v>
      </c>
      <c r="B116" s="6"/>
      <c r="C116" s="6"/>
      <c r="D116" s="6"/>
      <c r="E116" s="6"/>
      <c r="F116" s="6"/>
      <c r="G116" s="5"/>
      <c r="H116" s="6"/>
      <c r="I116" s="5"/>
      <c r="J116" s="6"/>
      <c r="K116" s="4" t="str">
        <f t="shared" si="1"/>
        <v/>
      </c>
    </row>
    <row r="117" spans="1:11" x14ac:dyDescent="0.3">
      <c r="A117" s="4">
        <v>113</v>
      </c>
      <c r="B117" s="6"/>
      <c r="C117" s="6"/>
      <c r="D117" s="6"/>
      <c r="E117" s="6"/>
      <c r="F117" s="6"/>
      <c r="G117" s="5"/>
      <c r="H117" s="6"/>
      <c r="I117" s="5"/>
      <c r="J117" s="6"/>
      <c r="K117" s="4" t="str">
        <f t="shared" si="1"/>
        <v/>
      </c>
    </row>
    <row r="118" spans="1:11" x14ac:dyDescent="0.3">
      <c r="A118" s="4">
        <v>114</v>
      </c>
      <c r="B118" s="6"/>
      <c r="C118" s="6"/>
      <c r="D118" s="6"/>
      <c r="E118" s="6"/>
      <c r="F118" s="6"/>
      <c r="G118" s="5"/>
      <c r="H118" s="6"/>
      <c r="I118" s="5"/>
      <c r="J118" s="6"/>
      <c r="K118" s="4" t="str">
        <f t="shared" si="1"/>
        <v/>
      </c>
    </row>
    <row r="119" spans="1:11" x14ac:dyDescent="0.3">
      <c r="A119" s="4">
        <v>115</v>
      </c>
      <c r="B119" s="6"/>
      <c r="C119" s="6"/>
      <c r="D119" s="6"/>
      <c r="E119" s="6"/>
      <c r="F119" s="6"/>
      <c r="G119" s="5"/>
      <c r="H119" s="6"/>
      <c r="I119" s="5"/>
      <c r="J119" s="6"/>
      <c r="K119" s="4" t="str">
        <f t="shared" si="1"/>
        <v/>
      </c>
    </row>
    <row r="120" spans="1:11" x14ac:dyDescent="0.3">
      <c r="A120" s="4">
        <v>116</v>
      </c>
      <c r="B120" s="6"/>
      <c r="C120" s="6"/>
      <c r="D120" s="6"/>
      <c r="E120" s="6"/>
      <c r="F120" s="6"/>
      <c r="G120" s="5"/>
      <c r="H120" s="6"/>
      <c r="I120" s="5"/>
      <c r="J120" s="6"/>
      <c r="K120" s="4" t="str">
        <f t="shared" si="1"/>
        <v/>
      </c>
    </row>
    <row r="121" spans="1:11" x14ac:dyDescent="0.3">
      <c r="A121" s="4">
        <v>117</v>
      </c>
      <c r="B121" s="6"/>
      <c r="C121" s="6"/>
      <c r="D121" s="6"/>
      <c r="E121" s="6"/>
      <c r="F121" s="6"/>
      <c r="G121" s="5"/>
      <c r="H121" s="6"/>
      <c r="I121" s="5"/>
      <c r="J121" s="6"/>
      <c r="K121" s="4" t="str">
        <f t="shared" si="1"/>
        <v/>
      </c>
    </row>
    <row r="122" spans="1:11" x14ac:dyDescent="0.3">
      <c r="A122" s="4">
        <v>118</v>
      </c>
      <c r="B122" s="6"/>
      <c r="C122" s="6"/>
      <c r="D122" s="6"/>
      <c r="E122" s="6"/>
      <c r="F122" s="6"/>
      <c r="G122" s="5"/>
      <c r="H122" s="6"/>
      <c r="I122" s="5"/>
      <c r="J122" s="6"/>
      <c r="K122" s="4" t="str">
        <f t="shared" si="1"/>
        <v/>
      </c>
    </row>
    <row r="123" spans="1:11" x14ac:dyDescent="0.3">
      <c r="A123" s="4">
        <v>119</v>
      </c>
      <c r="B123" s="6"/>
      <c r="C123" s="6"/>
      <c r="D123" s="6"/>
      <c r="E123" s="6"/>
      <c r="F123" s="6"/>
      <c r="G123" s="5"/>
      <c r="H123" s="6"/>
      <c r="I123" s="5"/>
      <c r="J123" s="6"/>
      <c r="K123" s="4" t="str">
        <f t="shared" si="1"/>
        <v/>
      </c>
    </row>
    <row r="124" spans="1:11" x14ac:dyDescent="0.3">
      <c r="A124" s="4">
        <v>120</v>
      </c>
      <c r="B124" s="6"/>
      <c r="C124" s="6"/>
      <c r="D124" s="6"/>
      <c r="E124" s="6"/>
      <c r="F124" s="6"/>
      <c r="G124" s="5"/>
      <c r="H124" s="6"/>
      <c r="I124" s="5"/>
      <c r="J124" s="6"/>
      <c r="K124" s="4" t="str">
        <f t="shared" si="1"/>
        <v/>
      </c>
    </row>
    <row r="125" spans="1:11" x14ac:dyDescent="0.3">
      <c r="A125" s="4">
        <v>121</v>
      </c>
      <c r="B125" s="6"/>
      <c r="C125" s="6"/>
      <c r="D125" s="6"/>
      <c r="E125" s="6"/>
      <c r="F125" s="6"/>
      <c r="G125" s="5"/>
      <c r="H125" s="6"/>
      <c r="I125" s="5"/>
      <c r="J125" s="6"/>
      <c r="K125" s="4" t="str">
        <f t="shared" si="1"/>
        <v/>
      </c>
    </row>
    <row r="126" spans="1:11" x14ac:dyDescent="0.3">
      <c r="A126" s="4">
        <v>122</v>
      </c>
      <c r="B126" s="6"/>
      <c r="C126" s="6"/>
      <c r="D126" s="6"/>
      <c r="E126" s="6"/>
      <c r="F126" s="6"/>
      <c r="G126" s="5"/>
      <c r="H126" s="6"/>
      <c r="I126" s="5"/>
      <c r="J126" s="6"/>
      <c r="K126" s="4" t="str">
        <f t="shared" si="1"/>
        <v/>
      </c>
    </row>
    <row r="127" spans="1:11" x14ac:dyDescent="0.3">
      <c r="A127" s="4">
        <v>123</v>
      </c>
      <c r="B127" s="6"/>
      <c r="C127" s="6"/>
      <c r="D127" s="6"/>
      <c r="E127" s="6"/>
      <c r="F127" s="6"/>
      <c r="G127" s="5"/>
      <c r="H127" s="6"/>
      <c r="I127" s="5"/>
      <c r="J127" s="6"/>
      <c r="K127" s="4" t="str">
        <f t="shared" si="1"/>
        <v/>
      </c>
    </row>
    <row r="128" spans="1:11" x14ac:dyDescent="0.3">
      <c r="A128" s="4">
        <v>124</v>
      </c>
      <c r="B128" s="6"/>
      <c r="C128" s="6"/>
      <c r="D128" s="6"/>
      <c r="E128" s="6"/>
      <c r="F128" s="6"/>
      <c r="G128" s="5"/>
      <c r="H128" s="6"/>
      <c r="I128" s="5"/>
      <c r="J128" s="6"/>
      <c r="K128" s="4" t="str">
        <f t="shared" si="1"/>
        <v/>
      </c>
    </row>
    <row r="129" spans="1:11" x14ac:dyDescent="0.3">
      <c r="A129" s="4">
        <v>125</v>
      </c>
      <c r="B129" s="6"/>
      <c r="C129" s="6"/>
      <c r="D129" s="6"/>
      <c r="E129" s="6"/>
      <c r="F129" s="6"/>
      <c r="G129" s="5"/>
      <c r="H129" s="6"/>
      <c r="I129" s="5"/>
      <c r="J129" s="6"/>
      <c r="K129" s="4" t="str">
        <f t="shared" si="1"/>
        <v/>
      </c>
    </row>
    <row r="130" spans="1:11" x14ac:dyDescent="0.3">
      <c r="A130" s="4">
        <v>126</v>
      </c>
      <c r="B130" s="6"/>
      <c r="C130" s="6"/>
      <c r="D130" s="6"/>
      <c r="E130" s="6"/>
      <c r="F130" s="6"/>
      <c r="G130" s="5"/>
      <c r="H130" s="6"/>
      <c r="I130" s="5"/>
      <c r="J130" s="6"/>
      <c r="K130" s="4" t="str">
        <f t="shared" si="1"/>
        <v/>
      </c>
    </row>
    <row r="131" spans="1:11" x14ac:dyDescent="0.3">
      <c r="A131" s="4">
        <v>127</v>
      </c>
      <c r="B131" s="6"/>
      <c r="C131" s="6"/>
      <c r="D131" s="6"/>
      <c r="E131" s="6"/>
      <c r="F131" s="6"/>
      <c r="G131" s="5"/>
      <c r="H131" s="6"/>
      <c r="I131" s="5"/>
      <c r="J131" s="6"/>
      <c r="K131" s="4" t="str">
        <f t="shared" si="1"/>
        <v/>
      </c>
    </row>
    <row r="132" spans="1:11" x14ac:dyDescent="0.3">
      <c r="A132" s="4">
        <v>128</v>
      </c>
      <c r="B132" s="6"/>
      <c r="C132" s="6"/>
      <c r="D132" s="6"/>
      <c r="E132" s="6"/>
      <c r="F132" s="6"/>
      <c r="G132" s="5"/>
      <c r="H132" s="6"/>
      <c r="I132" s="5"/>
      <c r="J132" s="6"/>
      <c r="K132" s="4" t="str">
        <f t="shared" si="1"/>
        <v/>
      </c>
    </row>
    <row r="133" spans="1:11" x14ac:dyDescent="0.3">
      <c r="A133" s="4">
        <v>129</v>
      </c>
      <c r="B133" s="6"/>
      <c r="C133" s="6"/>
      <c r="D133" s="6"/>
      <c r="E133" s="6"/>
      <c r="F133" s="6"/>
      <c r="G133" s="5"/>
      <c r="H133" s="6"/>
      <c r="I133" s="5"/>
      <c r="J133" s="6"/>
      <c r="K133" s="4" t="str">
        <f t="shared" ref="K133:K196" si="2">IF(B133="","",IF(OR(F133="",G133=""),"НЕ ОТПРАВЛЕНО",IF(J133="","НЕТ ДОКАЗАТЕЛЬСТВА",IF(I133="","ОТПРАВЛЕНО, ЖДЁМ ПОЛУЧЕНИЯ","ПЕРЕДАНО"))))</f>
        <v/>
      </c>
    </row>
    <row r="134" spans="1:11" x14ac:dyDescent="0.3">
      <c r="A134" s="4">
        <v>130</v>
      </c>
      <c r="B134" s="6"/>
      <c r="C134" s="6"/>
      <c r="D134" s="6"/>
      <c r="E134" s="6"/>
      <c r="F134" s="6"/>
      <c r="G134" s="5"/>
      <c r="H134" s="6"/>
      <c r="I134" s="5"/>
      <c r="J134" s="6"/>
      <c r="K134" s="4" t="str">
        <f t="shared" si="2"/>
        <v/>
      </c>
    </row>
    <row r="135" spans="1:11" x14ac:dyDescent="0.3">
      <c r="A135" s="4">
        <v>131</v>
      </c>
      <c r="B135" s="6"/>
      <c r="C135" s="6"/>
      <c r="D135" s="6"/>
      <c r="E135" s="6"/>
      <c r="F135" s="6"/>
      <c r="G135" s="5"/>
      <c r="H135" s="6"/>
      <c r="I135" s="5"/>
      <c r="J135" s="6"/>
      <c r="K135" s="4" t="str">
        <f t="shared" si="2"/>
        <v/>
      </c>
    </row>
    <row r="136" spans="1:11" x14ac:dyDescent="0.3">
      <c r="A136" s="4">
        <v>132</v>
      </c>
      <c r="B136" s="6"/>
      <c r="C136" s="6"/>
      <c r="D136" s="6"/>
      <c r="E136" s="6"/>
      <c r="F136" s="6"/>
      <c r="G136" s="5"/>
      <c r="H136" s="6"/>
      <c r="I136" s="5"/>
      <c r="J136" s="6"/>
      <c r="K136" s="4" t="str">
        <f t="shared" si="2"/>
        <v/>
      </c>
    </row>
    <row r="137" spans="1:11" x14ac:dyDescent="0.3">
      <c r="A137" s="4">
        <v>133</v>
      </c>
      <c r="B137" s="6"/>
      <c r="C137" s="6"/>
      <c r="D137" s="6"/>
      <c r="E137" s="6"/>
      <c r="F137" s="6"/>
      <c r="G137" s="5"/>
      <c r="H137" s="6"/>
      <c r="I137" s="5"/>
      <c r="J137" s="6"/>
      <c r="K137" s="4" t="str">
        <f t="shared" si="2"/>
        <v/>
      </c>
    </row>
    <row r="138" spans="1:11" x14ac:dyDescent="0.3">
      <c r="A138" s="4">
        <v>134</v>
      </c>
      <c r="B138" s="6"/>
      <c r="C138" s="6"/>
      <c r="D138" s="6"/>
      <c r="E138" s="6"/>
      <c r="F138" s="6"/>
      <c r="G138" s="5"/>
      <c r="H138" s="6"/>
      <c r="I138" s="5"/>
      <c r="J138" s="6"/>
      <c r="K138" s="4" t="str">
        <f t="shared" si="2"/>
        <v/>
      </c>
    </row>
    <row r="139" spans="1:11" x14ac:dyDescent="0.3">
      <c r="A139" s="4">
        <v>135</v>
      </c>
      <c r="B139" s="6"/>
      <c r="C139" s="6"/>
      <c r="D139" s="6"/>
      <c r="E139" s="6"/>
      <c r="F139" s="6"/>
      <c r="G139" s="5"/>
      <c r="H139" s="6"/>
      <c r="I139" s="5"/>
      <c r="J139" s="6"/>
      <c r="K139" s="4" t="str">
        <f t="shared" si="2"/>
        <v/>
      </c>
    </row>
    <row r="140" spans="1:11" x14ac:dyDescent="0.3">
      <c r="A140" s="4">
        <v>136</v>
      </c>
      <c r="B140" s="6"/>
      <c r="C140" s="6"/>
      <c r="D140" s="6"/>
      <c r="E140" s="6"/>
      <c r="F140" s="6"/>
      <c r="G140" s="5"/>
      <c r="H140" s="6"/>
      <c r="I140" s="5"/>
      <c r="J140" s="6"/>
      <c r="K140" s="4" t="str">
        <f t="shared" si="2"/>
        <v/>
      </c>
    </row>
    <row r="141" spans="1:11" x14ac:dyDescent="0.3">
      <c r="A141" s="4">
        <v>137</v>
      </c>
      <c r="B141" s="6"/>
      <c r="C141" s="6"/>
      <c r="D141" s="6"/>
      <c r="E141" s="6"/>
      <c r="F141" s="6"/>
      <c r="G141" s="5"/>
      <c r="H141" s="6"/>
      <c r="I141" s="5"/>
      <c r="J141" s="6"/>
      <c r="K141" s="4" t="str">
        <f t="shared" si="2"/>
        <v/>
      </c>
    </row>
    <row r="142" spans="1:11" x14ac:dyDescent="0.3">
      <c r="A142" s="4">
        <v>138</v>
      </c>
      <c r="B142" s="6"/>
      <c r="C142" s="6"/>
      <c r="D142" s="6"/>
      <c r="E142" s="6"/>
      <c r="F142" s="6"/>
      <c r="G142" s="5"/>
      <c r="H142" s="6"/>
      <c r="I142" s="5"/>
      <c r="J142" s="6"/>
      <c r="K142" s="4" t="str">
        <f t="shared" si="2"/>
        <v/>
      </c>
    </row>
    <row r="143" spans="1:11" x14ac:dyDescent="0.3">
      <c r="A143" s="4">
        <v>139</v>
      </c>
      <c r="B143" s="6"/>
      <c r="C143" s="6"/>
      <c r="D143" s="6"/>
      <c r="E143" s="6"/>
      <c r="F143" s="6"/>
      <c r="G143" s="5"/>
      <c r="H143" s="6"/>
      <c r="I143" s="5"/>
      <c r="J143" s="6"/>
      <c r="K143" s="4" t="str">
        <f t="shared" si="2"/>
        <v/>
      </c>
    </row>
    <row r="144" spans="1:11" x14ac:dyDescent="0.3">
      <c r="A144" s="4">
        <v>140</v>
      </c>
      <c r="B144" s="6"/>
      <c r="C144" s="6"/>
      <c r="D144" s="6"/>
      <c r="E144" s="6"/>
      <c r="F144" s="6"/>
      <c r="G144" s="5"/>
      <c r="H144" s="6"/>
      <c r="I144" s="5"/>
      <c r="J144" s="6"/>
      <c r="K144" s="4" t="str">
        <f t="shared" si="2"/>
        <v/>
      </c>
    </row>
    <row r="145" spans="1:11" x14ac:dyDescent="0.3">
      <c r="A145" s="4">
        <v>141</v>
      </c>
      <c r="B145" s="6"/>
      <c r="C145" s="6"/>
      <c r="D145" s="6"/>
      <c r="E145" s="6"/>
      <c r="F145" s="6"/>
      <c r="G145" s="5"/>
      <c r="H145" s="6"/>
      <c r="I145" s="5"/>
      <c r="J145" s="6"/>
      <c r="K145" s="4" t="str">
        <f t="shared" si="2"/>
        <v/>
      </c>
    </row>
    <row r="146" spans="1:11" x14ac:dyDescent="0.3">
      <c r="A146" s="4">
        <v>142</v>
      </c>
      <c r="B146" s="6"/>
      <c r="C146" s="6"/>
      <c r="D146" s="6"/>
      <c r="E146" s="6"/>
      <c r="F146" s="6"/>
      <c r="G146" s="5"/>
      <c r="H146" s="6"/>
      <c r="I146" s="5"/>
      <c r="J146" s="6"/>
      <c r="K146" s="4" t="str">
        <f t="shared" si="2"/>
        <v/>
      </c>
    </row>
    <row r="147" spans="1:11" x14ac:dyDescent="0.3">
      <c r="A147" s="4">
        <v>143</v>
      </c>
      <c r="B147" s="6"/>
      <c r="C147" s="6"/>
      <c r="D147" s="6"/>
      <c r="E147" s="6"/>
      <c r="F147" s="6"/>
      <c r="G147" s="5"/>
      <c r="H147" s="6"/>
      <c r="I147" s="5"/>
      <c r="J147" s="6"/>
      <c r="K147" s="4" t="str">
        <f t="shared" si="2"/>
        <v/>
      </c>
    </row>
    <row r="148" spans="1:11" x14ac:dyDescent="0.3">
      <c r="A148" s="4">
        <v>144</v>
      </c>
      <c r="B148" s="6"/>
      <c r="C148" s="6"/>
      <c r="D148" s="6"/>
      <c r="E148" s="6"/>
      <c r="F148" s="6"/>
      <c r="G148" s="5"/>
      <c r="H148" s="6"/>
      <c r="I148" s="5"/>
      <c r="J148" s="6"/>
      <c r="K148" s="4" t="str">
        <f t="shared" si="2"/>
        <v/>
      </c>
    </row>
    <row r="149" spans="1:11" x14ac:dyDescent="0.3">
      <c r="A149" s="4">
        <v>145</v>
      </c>
      <c r="B149" s="6"/>
      <c r="C149" s="6"/>
      <c r="D149" s="6"/>
      <c r="E149" s="6"/>
      <c r="F149" s="6"/>
      <c r="G149" s="5"/>
      <c r="H149" s="6"/>
      <c r="I149" s="5"/>
      <c r="J149" s="6"/>
      <c r="K149" s="4" t="str">
        <f t="shared" si="2"/>
        <v/>
      </c>
    </row>
    <row r="150" spans="1:11" x14ac:dyDescent="0.3">
      <c r="A150" s="4">
        <v>146</v>
      </c>
      <c r="B150" s="6"/>
      <c r="C150" s="6"/>
      <c r="D150" s="6"/>
      <c r="E150" s="6"/>
      <c r="F150" s="6"/>
      <c r="G150" s="5"/>
      <c r="H150" s="6"/>
      <c r="I150" s="5"/>
      <c r="J150" s="6"/>
      <c r="K150" s="4" t="str">
        <f t="shared" si="2"/>
        <v/>
      </c>
    </row>
    <row r="151" spans="1:11" x14ac:dyDescent="0.3">
      <c r="A151" s="4">
        <v>147</v>
      </c>
      <c r="B151" s="6"/>
      <c r="C151" s="6"/>
      <c r="D151" s="6"/>
      <c r="E151" s="6"/>
      <c r="F151" s="6"/>
      <c r="G151" s="5"/>
      <c r="H151" s="6"/>
      <c r="I151" s="5"/>
      <c r="J151" s="6"/>
      <c r="K151" s="4" t="str">
        <f t="shared" si="2"/>
        <v/>
      </c>
    </row>
    <row r="152" spans="1:11" x14ac:dyDescent="0.3">
      <c r="A152" s="4">
        <v>148</v>
      </c>
      <c r="B152" s="6"/>
      <c r="C152" s="6"/>
      <c r="D152" s="6"/>
      <c r="E152" s="6"/>
      <c r="F152" s="6"/>
      <c r="G152" s="5"/>
      <c r="H152" s="6"/>
      <c r="I152" s="5"/>
      <c r="J152" s="6"/>
      <c r="K152" s="4" t="str">
        <f t="shared" si="2"/>
        <v/>
      </c>
    </row>
    <row r="153" spans="1:11" x14ac:dyDescent="0.3">
      <c r="A153" s="4">
        <v>149</v>
      </c>
      <c r="B153" s="6"/>
      <c r="C153" s="6"/>
      <c r="D153" s="6"/>
      <c r="E153" s="6"/>
      <c r="F153" s="6"/>
      <c r="G153" s="5"/>
      <c r="H153" s="6"/>
      <c r="I153" s="5"/>
      <c r="J153" s="6"/>
      <c r="K153" s="4" t="str">
        <f t="shared" si="2"/>
        <v/>
      </c>
    </row>
    <row r="154" spans="1:11" x14ac:dyDescent="0.3">
      <c r="A154" s="4">
        <v>150</v>
      </c>
      <c r="B154" s="6"/>
      <c r="C154" s="6"/>
      <c r="D154" s="6"/>
      <c r="E154" s="6"/>
      <c r="F154" s="6"/>
      <c r="G154" s="5"/>
      <c r="H154" s="6"/>
      <c r="I154" s="5"/>
      <c r="J154" s="6"/>
      <c r="K154" s="4" t="str">
        <f t="shared" si="2"/>
        <v/>
      </c>
    </row>
    <row r="155" spans="1:11" x14ac:dyDescent="0.3">
      <c r="A155" s="4">
        <v>151</v>
      </c>
      <c r="B155" s="6"/>
      <c r="C155" s="6"/>
      <c r="D155" s="6"/>
      <c r="E155" s="6"/>
      <c r="F155" s="6"/>
      <c r="G155" s="5"/>
      <c r="H155" s="6"/>
      <c r="I155" s="5"/>
      <c r="J155" s="6"/>
      <c r="K155" s="4" t="str">
        <f t="shared" si="2"/>
        <v/>
      </c>
    </row>
    <row r="156" spans="1:11" x14ac:dyDescent="0.3">
      <c r="A156" s="4">
        <v>152</v>
      </c>
      <c r="B156" s="6"/>
      <c r="C156" s="6"/>
      <c r="D156" s="6"/>
      <c r="E156" s="6"/>
      <c r="F156" s="6"/>
      <c r="G156" s="5"/>
      <c r="H156" s="6"/>
      <c r="I156" s="5"/>
      <c r="J156" s="6"/>
      <c r="K156" s="4" t="str">
        <f t="shared" si="2"/>
        <v/>
      </c>
    </row>
    <row r="157" spans="1:11" x14ac:dyDescent="0.3">
      <c r="A157" s="4">
        <v>153</v>
      </c>
      <c r="B157" s="6"/>
      <c r="C157" s="6"/>
      <c r="D157" s="6"/>
      <c r="E157" s="6"/>
      <c r="F157" s="6"/>
      <c r="G157" s="5"/>
      <c r="H157" s="6"/>
      <c r="I157" s="5"/>
      <c r="J157" s="6"/>
      <c r="K157" s="4" t="str">
        <f t="shared" si="2"/>
        <v/>
      </c>
    </row>
    <row r="158" spans="1:11" x14ac:dyDescent="0.3">
      <c r="A158" s="4">
        <v>154</v>
      </c>
      <c r="B158" s="6"/>
      <c r="C158" s="6"/>
      <c r="D158" s="6"/>
      <c r="E158" s="6"/>
      <c r="F158" s="6"/>
      <c r="G158" s="5"/>
      <c r="H158" s="6"/>
      <c r="I158" s="5"/>
      <c r="J158" s="6"/>
      <c r="K158" s="4" t="str">
        <f t="shared" si="2"/>
        <v/>
      </c>
    </row>
    <row r="159" spans="1:11" x14ac:dyDescent="0.3">
      <c r="A159" s="4">
        <v>155</v>
      </c>
      <c r="B159" s="6"/>
      <c r="C159" s="6"/>
      <c r="D159" s="6"/>
      <c r="E159" s="6"/>
      <c r="F159" s="6"/>
      <c r="G159" s="5"/>
      <c r="H159" s="6"/>
      <c r="I159" s="5"/>
      <c r="J159" s="6"/>
      <c r="K159" s="4" t="str">
        <f t="shared" si="2"/>
        <v/>
      </c>
    </row>
    <row r="160" spans="1:11" x14ac:dyDescent="0.3">
      <c r="A160" s="4">
        <v>156</v>
      </c>
      <c r="B160" s="6"/>
      <c r="C160" s="6"/>
      <c r="D160" s="6"/>
      <c r="E160" s="6"/>
      <c r="F160" s="6"/>
      <c r="G160" s="5"/>
      <c r="H160" s="6"/>
      <c r="I160" s="5"/>
      <c r="J160" s="6"/>
      <c r="K160" s="4" t="str">
        <f t="shared" si="2"/>
        <v/>
      </c>
    </row>
    <row r="161" spans="1:11" x14ac:dyDescent="0.3">
      <c r="A161" s="4">
        <v>157</v>
      </c>
      <c r="B161" s="6"/>
      <c r="C161" s="6"/>
      <c r="D161" s="6"/>
      <c r="E161" s="6"/>
      <c r="F161" s="6"/>
      <c r="G161" s="5"/>
      <c r="H161" s="6"/>
      <c r="I161" s="5"/>
      <c r="J161" s="6"/>
      <c r="K161" s="4" t="str">
        <f t="shared" si="2"/>
        <v/>
      </c>
    </row>
    <row r="162" spans="1:11" x14ac:dyDescent="0.3">
      <c r="A162" s="4">
        <v>158</v>
      </c>
      <c r="B162" s="6"/>
      <c r="C162" s="6"/>
      <c r="D162" s="6"/>
      <c r="E162" s="6"/>
      <c r="F162" s="6"/>
      <c r="G162" s="5"/>
      <c r="H162" s="6"/>
      <c r="I162" s="5"/>
      <c r="J162" s="6"/>
      <c r="K162" s="4" t="str">
        <f t="shared" si="2"/>
        <v/>
      </c>
    </row>
    <row r="163" spans="1:11" x14ac:dyDescent="0.3">
      <c r="A163" s="4">
        <v>159</v>
      </c>
      <c r="B163" s="6"/>
      <c r="C163" s="6"/>
      <c r="D163" s="6"/>
      <c r="E163" s="6"/>
      <c r="F163" s="6"/>
      <c r="G163" s="5"/>
      <c r="H163" s="6"/>
      <c r="I163" s="5"/>
      <c r="J163" s="6"/>
      <c r="K163" s="4" t="str">
        <f t="shared" si="2"/>
        <v/>
      </c>
    </row>
    <row r="164" spans="1:11" x14ac:dyDescent="0.3">
      <c r="A164" s="4">
        <v>160</v>
      </c>
      <c r="B164" s="6"/>
      <c r="C164" s="6"/>
      <c r="D164" s="6"/>
      <c r="E164" s="6"/>
      <c r="F164" s="6"/>
      <c r="G164" s="5"/>
      <c r="H164" s="6"/>
      <c r="I164" s="5"/>
      <c r="J164" s="6"/>
      <c r="K164" s="4" t="str">
        <f t="shared" si="2"/>
        <v/>
      </c>
    </row>
    <row r="165" spans="1:11" x14ac:dyDescent="0.3">
      <c r="A165" s="4">
        <v>161</v>
      </c>
      <c r="B165" s="6"/>
      <c r="C165" s="6"/>
      <c r="D165" s="6"/>
      <c r="E165" s="6"/>
      <c r="F165" s="6"/>
      <c r="G165" s="5"/>
      <c r="H165" s="6"/>
      <c r="I165" s="5"/>
      <c r="J165" s="6"/>
      <c r="K165" s="4" t="str">
        <f t="shared" si="2"/>
        <v/>
      </c>
    </row>
    <row r="166" spans="1:11" x14ac:dyDescent="0.3">
      <c r="A166" s="4">
        <v>162</v>
      </c>
      <c r="B166" s="6"/>
      <c r="C166" s="6"/>
      <c r="D166" s="6"/>
      <c r="E166" s="6"/>
      <c r="F166" s="6"/>
      <c r="G166" s="5"/>
      <c r="H166" s="6"/>
      <c r="I166" s="5"/>
      <c r="J166" s="6"/>
      <c r="K166" s="4" t="str">
        <f t="shared" si="2"/>
        <v/>
      </c>
    </row>
    <row r="167" spans="1:11" x14ac:dyDescent="0.3">
      <c r="A167" s="4">
        <v>163</v>
      </c>
      <c r="B167" s="6"/>
      <c r="C167" s="6"/>
      <c r="D167" s="6"/>
      <c r="E167" s="6"/>
      <c r="F167" s="6"/>
      <c r="G167" s="5"/>
      <c r="H167" s="6"/>
      <c r="I167" s="5"/>
      <c r="J167" s="6"/>
      <c r="K167" s="4" t="str">
        <f t="shared" si="2"/>
        <v/>
      </c>
    </row>
    <row r="168" spans="1:11" x14ac:dyDescent="0.3">
      <c r="A168" s="4">
        <v>164</v>
      </c>
      <c r="B168" s="6"/>
      <c r="C168" s="6"/>
      <c r="D168" s="6"/>
      <c r="E168" s="6"/>
      <c r="F168" s="6"/>
      <c r="G168" s="5"/>
      <c r="H168" s="6"/>
      <c r="I168" s="5"/>
      <c r="J168" s="6"/>
      <c r="K168" s="4" t="str">
        <f t="shared" si="2"/>
        <v/>
      </c>
    </row>
    <row r="169" spans="1:11" x14ac:dyDescent="0.3">
      <c r="A169" s="4">
        <v>165</v>
      </c>
      <c r="B169" s="6"/>
      <c r="C169" s="6"/>
      <c r="D169" s="6"/>
      <c r="E169" s="6"/>
      <c r="F169" s="6"/>
      <c r="G169" s="5"/>
      <c r="H169" s="6"/>
      <c r="I169" s="5"/>
      <c r="J169" s="6"/>
      <c r="K169" s="4" t="str">
        <f t="shared" si="2"/>
        <v/>
      </c>
    </row>
    <row r="170" spans="1:11" x14ac:dyDescent="0.3">
      <c r="A170" s="4">
        <v>166</v>
      </c>
      <c r="B170" s="6"/>
      <c r="C170" s="6"/>
      <c r="D170" s="6"/>
      <c r="E170" s="6"/>
      <c r="F170" s="6"/>
      <c r="G170" s="5"/>
      <c r="H170" s="6"/>
      <c r="I170" s="5"/>
      <c r="J170" s="6"/>
      <c r="K170" s="4" t="str">
        <f t="shared" si="2"/>
        <v/>
      </c>
    </row>
    <row r="171" spans="1:11" x14ac:dyDescent="0.3">
      <c r="A171" s="4">
        <v>167</v>
      </c>
      <c r="B171" s="6"/>
      <c r="C171" s="6"/>
      <c r="D171" s="6"/>
      <c r="E171" s="6"/>
      <c r="F171" s="6"/>
      <c r="G171" s="5"/>
      <c r="H171" s="6"/>
      <c r="I171" s="5"/>
      <c r="J171" s="6"/>
      <c r="K171" s="4" t="str">
        <f t="shared" si="2"/>
        <v/>
      </c>
    </row>
    <row r="172" spans="1:11" x14ac:dyDescent="0.3">
      <c r="A172" s="4">
        <v>168</v>
      </c>
      <c r="B172" s="6"/>
      <c r="C172" s="6"/>
      <c r="D172" s="6"/>
      <c r="E172" s="6"/>
      <c r="F172" s="6"/>
      <c r="G172" s="5"/>
      <c r="H172" s="6"/>
      <c r="I172" s="5"/>
      <c r="J172" s="6"/>
      <c r="K172" s="4" t="str">
        <f t="shared" si="2"/>
        <v/>
      </c>
    </row>
    <row r="173" spans="1:11" x14ac:dyDescent="0.3">
      <c r="A173" s="4">
        <v>169</v>
      </c>
      <c r="B173" s="6"/>
      <c r="C173" s="6"/>
      <c r="D173" s="6"/>
      <c r="E173" s="6"/>
      <c r="F173" s="6"/>
      <c r="G173" s="5"/>
      <c r="H173" s="6"/>
      <c r="I173" s="5"/>
      <c r="J173" s="6"/>
      <c r="K173" s="4" t="str">
        <f t="shared" si="2"/>
        <v/>
      </c>
    </row>
    <row r="174" spans="1:11" x14ac:dyDescent="0.3">
      <c r="A174" s="4">
        <v>170</v>
      </c>
      <c r="B174" s="6"/>
      <c r="C174" s="6"/>
      <c r="D174" s="6"/>
      <c r="E174" s="6"/>
      <c r="F174" s="6"/>
      <c r="G174" s="5"/>
      <c r="H174" s="6"/>
      <c r="I174" s="5"/>
      <c r="J174" s="6"/>
      <c r="K174" s="4" t="str">
        <f t="shared" si="2"/>
        <v/>
      </c>
    </row>
    <row r="175" spans="1:11" x14ac:dyDescent="0.3">
      <c r="A175" s="4">
        <v>171</v>
      </c>
      <c r="B175" s="6"/>
      <c r="C175" s="6"/>
      <c r="D175" s="6"/>
      <c r="E175" s="6"/>
      <c r="F175" s="6"/>
      <c r="G175" s="5"/>
      <c r="H175" s="6"/>
      <c r="I175" s="5"/>
      <c r="J175" s="6"/>
      <c r="K175" s="4" t="str">
        <f t="shared" si="2"/>
        <v/>
      </c>
    </row>
    <row r="176" spans="1:11" x14ac:dyDescent="0.3">
      <c r="A176" s="4">
        <v>172</v>
      </c>
      <c r="B176" s="6"/>
      <c r="C176" s="6"/>
      <c r="D176" s="6"/>
      <c r="E176" s="6"/>
      <c r="F176" s="6"/>
      <c r="G176" s="5"/>
      <c r="H176" s="6"/>
      <c r="I176" s="5"/>
      <c r="J176" s="6"/>
      <c r="K176" s="4" t="str">
        <f t="shared" si="2"/>
        <v/>
      </c>
    </row>
    <row r="177" spans="1:11" x14ac:dyDescent="0.3">
      <c r="A177" s="4">
        <v>173</v>
      </c>
      <c r="B177" s="6"/>
      <c r="C177" s="6"/>
      <c r="D177" s="6"/>
      <c r="E177" s="6"/>
      <c r="F177" s="6"/>
      <c r="G177" s="5"/>
      <c r="H177" s="6"/>
      <c r="I177" s="5"/>
      <c r="J177" s="6"/>
      <c r="K177" s="4" t="str">
        <f t="shared" si="2"/>
        <v/>
      </c>
    </row>
    <row r="178" spans="1:11" x14ac:dyDescent="0.3">
      <c r="A178" s="4">
        <v>174</v>
      </c>
      <c r="B178" s="6"/>
      <c r="C178" s="6"/>
      <c r="D178" s="6"/>
      <c r="E178" s="6"/>
      <c r="F178" s="6"/>
      <c r="G178" s="5"/>
      <c r="H178" s="6"/>
      <c r="I178" s="5"/>
      <c r="J178" s="6"/>
      <c r="K178" s="4" t="str">
        <f t="shared" si="2"/>
        <v/>
      </c>
    </row>
    <row r="179" spans="1:11" x14ac:dyDescent="0.3">
      <c r="A179" s="4">
        <v>175</v>
      </c>
      <c r="B179" s="6"/>
      <c r="C179" s="6"/>
      <c r="D179" s="6"/>
      <c r="E179" s="6"/>
      <c r="F179" s="6"/>
      <c r="G179" s="5"/>
      <c r="H179" s="6"/>
      <c r="I179" s="5"/>
      <c r="J179" s="6"/>
      <c r="K179" s="4" t="str">
        <f t="shared" si="2"/>
        <v/>
      </c>
    </row>
    <row r="180" spans="1:11" x14ac:dyDescent="0.3">
      <c r="A180" s="4">
        <v>176</v>
      </c>
      <c r="B180" s="6"/>
      <c r="C180" s="6"/>
      <c r="D180" s="6"/>
      <c r="E180" s="6"/>
      <c r="F180" s="6"/>
      <c r="G180" s="5"/>
      <c r="H180" s="6"/>
      <c r="I180" s="5"/>
      <c r="J180" s="6"/>
      <c r="K180" s="4" t="str">
        <f t="shared" si="2"/>
        <v/>
      </c>
    </row>
    <row r="181" spans="1:11" x14ac:dyDescent="0.3">
      <c r="A181" s="4">
        <v>177</v>
      </c>
      <c r="B181" s="6"/>
      <c r="C181" s="6"/>
      <c r="D181" s="6"/>
      <c r="E181" s="6"/>
      <c r="F181" s="6"/>
      <c r="G181" s="5"/>
      <c r="H181" s="6"/>
      <c r="I181" s="5"/>
      <c r="J181" s="6"/>
      <c r="K181" s="4" t="str">
        <f t="shared" si="2"/>
        <v/>
      </c>
    </row>
    <row r="182" spans="1:11" x14ac:dyDescent="0.3">
      <c r="A182" s="4">
        <v>178</v>
      </c>
      <c r="B182" s="6"/>
      <c r="C182" s="6"/>
      <c r="D182" s="6"/>
      <c r="E182" s="6"/>
      <c r="F182" s="6"/>
      <c r="G182" s="5"/>
      <c r="H182" s="6"/>
      <c r="I182" s="5"/>
      <c r="J182" s="6"/>
      <c r="K182" s="4" t="str">
        <f t="shared" si="2"/>
        <v/>
      </c>
    </row>
    <row r="183" spans="1:11" x14ac:dyDescent="0.3">
      <c r="A183" s="4">
        <v>179</v>
      </c>
      <c r="B183" s="6"/>
      <c r="C183" s="6"/>
      <c r="D183" s="6"/>
      <c r="E183" s="6"/>
      <c r="F183" s="6"/>
      <c r="G183" s="5"/>
      <c r="H183" s="6"/>
      <c r="I183" s="5"/>
      <c r="J183" s="6"/>
      <c r="K183" s="4" t="str">
        <f t="shared" si="2"/>
        <v/>
      </c>
    </row>
    <row r="184" spans="1:11" x14ac:dyDescent="0.3">
      <c r="A184" s="4">
        <v>180</v>
      </c>
      <c r="B184" s="6"/>
      <c r="C184" s="6"/>
      <c r="D184" s="6"/>
      <c r="E184" s="6"/>
      <c r="F184" s="6"/>
      <c r="G184" s="5"/>
      <c r="H184" s="6"/>
      <c r="I184" s="5"/>
      <c r="J184" s="6"/>
      <c r="K184" s="4" t="str">
        <f t="shared" si="2"/>
        <v/>
      </c>
    </row>
    <row r="185" spans="1:11" x14ac:dyDescent="0.3">
      <c r="A185" s="4">
        <v>181</v>
      </c>
      <c r="B185" s="6"/>
      <c r="C185" s="6"/>
      <c r="D185" s="6"/>
      <c r="E185" s="6"/>
      <c r="F185" s="6"/>
      <c r="G185" s="5"/>
      <c r="H185" s="6"/>
      <c r="I185" s="5"/>
      <c r="J185" s="6"/>
      <c r="K185" s="4" t="str">
        <f t="shared" si="2"/>
        <v/>
      </c>
    </row>
    <row r="186" spans="1:11" x14ac:dyDescent="0.3">
      <c r="A186" s="4">
        <v>182</v>
      </c>
      <c r="B186" s="6"/>
      <c r="C186" s="6"/>
      <c r="D186" s="6"/>
      <c r="E186" s="6"/>
      <c r="F186" s="6"/>
      <c r="G186" s="5"/>
      <c r="H186" s="6"/>
      <c r="I186" s="5"/>
      <c r="J186" s="6"/>
      <c r="K186" s="4" t="str">
        <f t="shared" si="2"/>
        <v/>
      </c>
    </row>
    <row r="187" spans="1:11" x14ac:dyDescent="0.3">
      <c r="A187" s="4">
        <v>183</v>
      </c>
      <c r="B187" s="6"/>
      <c r="C187" s="6"/>
      <c r="D187" s="6"/>
      <c r="E187" s="6"/>
      <c r="F187" s="6"/>
      <c r="G187" s="5"/>
      <c r="H187" s="6"/>
      <c r="I187" s="5"/>
      <c r="J187" s="6"/>
      <c r="K187" s="4" t="str">
        <f t="shared" si="2"/>
        <v/>
      </c>
    </row>
    <row r="188" spans="1:11" x14ac:dyDescent="0.3">
      <c r="A188" s="4">
        <v>184</v>
      </c>
      <c r="B188" s="6"/>
      <c r="C188" s="6"/>
      <c r="D188" s="6"/>
      <c r="E188" s="6"/>
      <c r="F188" s="6"/>
      <c r="G188" s="5"/>
      <c r="H188" s="6"/>
      <c r="I188" s="5"/>
      <c r="J188" s="6"/>
      <c r="K188" s="4" t="str">
        <f t="shared" si="2"/>
        <v/>
      </c>
    </row>
    <row r="189" spans="1:11" x14ac:dyDescent="0.3">
      <c r="A189" s="4">
        <v>185</v>
      </c>
      <c r="B189" s="6"/>
      <c r="C189" s="6"/>
      <c r="D189" s="6"/>
      <c r="E189" s="6"/>
      <c r="F189" s="6"/>
      <c r="G189" s="5"/>
      <c r="H189" s="6"/>
      <c r="I189" s="5"/>
      <c r="J189" s="6"/>
      <c r="K189" s="4" t="str">
        <f t="shared" si="2"/>
        <v/>
      </c>
    </row>
    <row r="190" spans="1:11" x14ac:dyDescent="0.3">
      <c r="A190" s="4">
        <v>186</v>
      </c>
      <c r="B190" s="6"/>
      <c r="C190" s="6"/>
      <c r="D190" s="6"/>
      <c r="E190" s="6"/>
      <c r="F190" s="6"/>
      <c r="G190" s="5"/>
      <c r="H190" s="6"/>
      <c r="I190" s="5"/>
      <c r="J190" s="6"/>
      <c r="K190" s="4" t="str">
        <f t="shared" si="2"/>
        <v/>
      </c>
    </row>
    <row r="191" spans="1:11" x14ac:dyDescent="0.3">
      <c r="A191" s="4">
        <v>187</v>
      </c>
      <c r="B191" s="6"/>
      <c r="C191" s="6"/>
      <c r="D191" s="6"/>
      <c r="E191" s="6"/>
      <c r="F191" s="6"/>
      <c r="G191" s="5"/>
      <c r="H191" s="6"/>
      <c r="I191" s="5"/>
      <c r="J191" s="6"/>
      <c r="K191" s="4" t="str">
        <f t="shared" si="2"/>
        <v/>
      </c>
    </row>
    <row r="192" spans="1:11" x14ac:dyDescent="0.3">
      <c r="A192" s="4">
        <v>188</v>
      </c>
      <c r="B192" s="6"/>
      <c r="C192" s="6"/>
      <c r="D192" s="6"/>
      <c r="E192" s="6"/>
      <c r="F192" s="6"/>
      <c r="G192" s="5"/>
      <c r="H192" s="6"/>
      <c r="I192" s="5"/>
      <c r="J192" s="6"/>
      <c r="K192" s="4" t="str">
        <f t="shared" si="2"/>
        <v/>
      </c>
    </row>
    <row r="193" spans="1:11" x14ac:dyDescent="0.3">
      <c r="A193" s="4">
        <v>189</v>
      </c>
      <c r="B193" s="6"/>
      <c r="C193" s="6"/>
      <c r="D193" s="6"/>
      <c r="E193" s="6"/>
      <c r="F193" s="6"/>
      <c r="G193" s="5"/>
      <c r="H193" s="6"/>
      <c r="I193" s="5"/>
      <c r="J193" s="6"/>
      <c r="K193" s="4" t="str">
        <f t="shared" si="2"/>
        <v/>
      </c>
    </row>
    <row r="194" spans="1:11" x14ac:dyDescent="0.3">
      <c r="A194" s="4">
        <v>190</v>
      </c>
      <c r="B194" s="6"/>
      <c r="C194" s="6"/>
      <c r="D194" s="6"/>
      <c r="E194" s="6"/>
      <c r="F194" s="6"/>
      <c r="G194" s="5"/>
      <c r="H194" s="6"/>
      <c r="I194" s="5"/>
      <c r="J194" s="6"/>
      <c r="K194" s="4" t="str">
        <f t="shared" si="2"/>
        <v/>
      </c>
    </row>
    <row r="195" spans="1:11" x14ac:dyDescent="0.3">
      <c r="A195" s="4">
        <v>191</v>
      </c>
      <c r="B195" s="6"/>
      <c r="C195" s="6"/>
      <c r="D195" s="6"/>
      <c r="E195" s="6"/>
      <c r="F195" s="6"/>
      <c r="G195" s="5"/>
      <c r="H195" s="6"/>
      <c r="I195" s="5"/>
      <c r="J195" s="6"/>
      <c r="K195" s="4" t="str">
        <f t="shared" si="2"/>
        <v/>
      </c>
    </row>
    <row r="196" spans="1:11" x14ac:dyDescent="0.3">
      <c r="A196" s="4">
        <v>192</v>
      </c>
      <c r="B196" s="6"/>
      <c r="C196" s="6"/>
      <c r="D196" s="6"/>
      <c r="E196" s="6"/>
      <c r="F196" s="6"/>
      <c r="G196" s="5"/>
      <c r="H196" s="6"/>
      <c r="I196" s="5"/>
      <c r="J196" s="6"/>
      <c r="K196" s="4" t="str">
        <f t="shared" si="2"/>
        <v/>
      </c>
    </row>
    <row r="197" spans="1:11" x14ac:dyDescent="0.3">
      <c r="A197" s="4">
        <v>193</v>
      </c>
      <c r="B197" s="6"/>
      <c r="C197" s="6"/>
      <c r="D197" s="6"/>
      <c r="E197" s="6"/>
      <c r="F197" s="6"/>
      <c r="G197" s="5"/>
      <c r="H197" s="6"/>
      <c r="I197" s="5"/>
      <c r="J197" s="6"/>
      <c r="K197" s="4" t="str">
        <f t="shared" ref="K197:K260" si="3">IF(B197="","",IF(OR(F197="",G197=""),"НЕ ОТПРАВЛЕНО",IF(J197="","НЕТ ДОКАЗАТЕЛЬСТВА",IF(I197="","ОТПРАВЛЕНО, ЖДЁМ ПОЛУЧЕНИЯ","ПЕРЕДАНО"))))</f>
        <v/>
      </c>
    </row>
    <row r="198" spans="1:11" x14ac:dyDescent="0.3">
      <c r="A198" s="4">
        <v>194</v>
      </c>
      <c r="B198" s="6"/>
      <c r="C198" s="6"/>
      <c r="D198" s="6"/>
      <c r="E198" s="6"/>
      <c r="F198" s="6"/>
      <c r="G198" s="5"/>
      <c r="H198" s="6"/>
      <c r="I198" s="5"/>
      <c r="J198" s="6"/>
      <c r="K198" s="4" t="str">
        <f t="shared" si="3"/>
        <v/>
      </c>
    </row>
    <row r="199" spans="1:11" x14ac:dyDescent="0.3">
      <c r="A199" s="4">
        <v>195</v>
      </c>
      <c r="B199" s="6"/>
      <c r="C199" s="6"/>
      <c r="D199" s="6"/>
      <c r="E199" s="6"/>
      <c r="F199" s="6"/>
      <c r="G199" s="5"/>
      <c r="H199" s="6"/>
      <c r="I199" s="5"/>
      <c r="J199" s="6"/>
      <c r="K199" s="4" t="str">
        <f t="shared" si="3"/>
        <v/>
      </c>
    </row>
    <row r="200" spans="1:11" x14ac:dyDescent="0.3">
      <c r="A200" s="4">
        <v>196</v>
      </c>
      <c r="B200" s="6"/>
      <c r="C200" s="6"/>
      <c r="D200" s="6"/>
      <c r="E200" s="6"/>
      <c r="F200" s="6"/>
      <c r="G200" s="5"/>
      <c r="H200" s="6"/>
      <c r="I200" s="5"/>
      <c r="J200" s="6"/>
      <c r="K200" s="4" t="str">
        <f t="shared" si="3"/>
        <v/>
      </c>
    </row>
    <row r="201" spans="1:11" x14ac:dyDescent="0.3">
      <c r="A201" s="4">
        <v>197</v>
      </c>
      <c r="B201" s="6"/>
      <c r="C201" s="6"/>
      <c r="D201" s="6"/>
      <c r="E201" s="6"/>
      <c r="F201" s="6"/>
      <c r="G201" s="5"/>
      <c r="H201" s="6"/>
      <c r="I201" s="5"/>
      <c r="J201" s="6"/>
      <c r="K201" s="4" t="str">
        <f t="shared" si="3"/>
        <v/>
      </c>
    </row>
    <row r="202" spans="1:11" x14ac:dyDescent="0.3">
      <c r="A202" s="4">
        <v>198</v>
      </c>
      <c r="B202" s="6"/>
      <c r="C202" s="6"/>
      <c r="D202" s="6"/>
      <c r="E202" s="6"/>
      <c r="F202" s="6"/>
      <c r="G202" s="5"/>
      <c r="H202" s="6"/>
      <c r="I202" s="5"/>
      <c r="J202" s="6"/>
      <c r="K202" s="4" t="str">
        <f t="shared" si="3"/>
        <v/>
      </c>
    </row>
    <row r="203" spans="1:11" x14ac:dyDescent="0.3">
      <c r="A203" s="4">
        <v>199</v>
      </c>
      <c r="B203" s="6"/>
      <c r="C203" s="6"/>
      <c r="D203" s="6"/>
      <c r="E203" s="6"/>
      <c r="F203" s="6"/>
      <c r="G203" s="5"/>
      <c r="H203" s="6"/>
      <c r="I203" s="5"/>
      <c r="J203" s="6"/>
      <c r="K203" s="4" t="str">
        <f t="shared" si="3"/>
        <v/>
      </c>
    </row>
    <row r="204" spans="1:11" x14ac:dyDescent="0.3">
      <c r="A204" s="4">
        <v>200</v>
      </c>
      <c r="B204" s="6"/>
      <c r="C204" s="6"/>
      <c r="D204" s="6"/>
      <c r="E204" s="6"/>
      <c r="F204" s="6"/>
      <c r="G204" s="5"/>
      <c r="H204" s="6"/>
      <c r="I204" s="5"/>
      <c r="J204" s="6"/>
      <c r="K204" s="4" t="str">
        <f t="shared" si="3"/>
        <v/>
      </c>
    </row>
    <row r="205" spans="1:11" x14ac:dyDescent="0.3">
      <c r="A205" s="4">
        <v>201</v>
      </c>
      <c r="B205" s="6"/>
      <c r="C205" s="6"/>
      <c r="D205" s="6"/>
      <c r="E205" s="6"/>
      <c r="F205" s="6"/>
      <c r="G205" s="5"/>
      <c r="H205" s="6"/>
      <c r="I205" s="5"/>
      <c r="J205" s="6"/>
      <c r="K205" s="4" t="str">
        <f t="shared" si="3"/>
        <v/>
      </c>
    </row>
    <row r="206" spans="1:11" x14ac:dyDescent="0.3">
      <c r="A206" s="4">
        <v>202</v>
      </c>
      <c r="B206" s="6"/>
      <c r="C206" s="6"/>
      <c r="D206" s="6"/>
      <c r="E206" s="6"/>
      <c r="F206" s="6"/>
      <c r="G206" s="5"/>
      <c r="H206" s="6"/>
      <c r="I206" s="5"/>
      <c r="J206" s="6"/>
      <c r="K206" s="4" t="str">
        <f t="shared" si="3"/>
        <v/>
      </c>
    </row>
    <row r="207" spans="1:11" x14ac:dyDescent="0.3">
      <c r="A207" s="4">
        <v>203</v>
      </c>
      <c r="B207" s="6"/>
      <c r="C207" s="6"/>
      <c r="D207" s="6"/>
      <c r="E207" s="6"/>
      <c r="F207" s="6"/>
      <c r="G207" s="5"/>
      <c r="H207" s="6"/>
      <c r="I207" s="5"/>
      <c r="J207" s="6"/>
      <c r="K207" s="4" t="str">
        <f t="shared" si="3"/>
        <v/>
      </c>
    </row>
    <row r="208" spans="1:11" x14ac:dyDescent="0.3">
      <c r="A208" s="4">
        <v>204</v>
      </c>
      <c r="B208" s="6"/>
      <c r="C208" s="6"/>
      <c r="D208" s="6"/>
      <c r="E208" s="6"/>
      <c r="F208" s="6"/>
      <c r="G208" s="5"/>
      <c r="H208" s="6"/>
      <c r="I208" s="5"/>
      <c r="J208" s="6"/>
      <c r="K208" s="4" t="str">
        <f t="shared" si="3"/>
        <v/>
      </c>
    </row>
    <row r="209" spans="1:11" x14ac:dyDescent="0.3">
      <c r="A209" s="4">
        <v>205</v>
      </c>
      <c r="B209" s="6"/>
      <c r="C209" s="6"/>
      <c r="D209" s="6"/>
      <c r="E209" s="6"/>
      <c r="F209" s="6"/>
      <c r="G209" s="5"/>
      <c r="H209" s="6"/>
      <c r="I209" s="5"/>
      <c r="J209" s="6"/>
      <c r="K209" s="4" t="str">
        <f t="shared" si="3"/>
        <v/>
      </c>
    </row>
    <row r="210" spans="1:11" x14ac:dyDescent="0.3">
      <c r="A210" s="4">
        <v>206</v>
      </c>
      <c r="B210" s="6"/>
      <c r="C210" s="6"/>
      <c r="D210" s="6"/>
      <c r="E210" s="6"/>
      <c r="F210" s="6"/>
      <c r="G210" s="5"/>
      <c r="H210" s="6"/>
      <c r="I210" s="5"/>
      <c r="J210" s="6"/>
      <c r="K210" s="4" t="str">
        <f t="shared" si="3"/>
        <v/>
      </c>
    </row>
    <row r="211" spans="1:11" x14ac:dyDescent="0.3">
      <c r="A211" s="4">
        <v>207</v>
      </c>
      <c r="B211" s="6"/>
      <c r="C211" s="6"/>
      <c r="D211" s="6"/>
      <c r="E211" s="6"/>
      <c r="F211" s="6"/>
      <c r="G211" s="5"/>
      <c r="H211" s="6"/>
      <c r="I211" s="5"/>
      <c r="J211" s="6"/>
      <c r="K211" s="4" t="str">
        <f t="shared" si="3"/>
        <v/>
      </c>
    </row>
    <row r="212" spans="1:11" x14ac:dyDescent="0.3">
      <c r="A212" s="4">
        <v>208</v>
      </c>
      <c r="B212" s="6"/>
      <c r="C212" s="6"/>
      <c r="D212" s="6"/>
      <c r="E212" s="6"/>
      <c r="F212" s="6"/>
      <c r="G212" s="5"/>
      <c r="H212" s="6"/>
      <c r="I212" s="5"/>
      <c r="J212" s="6"/>
      <c r="K212" s="4" t="str">
        <f t="shared" si="3"/>
        <v/>
      </c>
    </row>
    <row r="213" spans="1:11" x14ac:dyDescent="0.3">
      <c r="A213" s="4">
        <v>209</v>
      </c>
      <c r="B213" s="6"/>
      <c r="C213" s="6"/>
      <c r="D213" s="6"/>
      <c r="E213" s="6"/>
      <c r="F213" s="6"/>
      <c r="G213" s="5"/>
      <c r="H213" s="6"/>
      <c r="I213" s="5"/>
      <c r="J213" s="6"/>
      <c r="K213" s="4" t="str">
        <f t="shared" si="3"/>
        <v/>
      </c>
    </row>
    <row r="214" spans="1:11" x14ac:dyDescent="0.3">
      <c r="A214" s="4">
        <v>210</v>
      </c>
      <c r="B214" s="6"/>
      <c r="C214" s="6"/>
      <c r="D214" s="6"/>
      <c r="E214" s="6"/>
      <c r="F214" s="6"/>
      <c r="G214" s="5"/>
      <c r="H214" s="6"/>
      <c r="I214" s="5"/>
      <c r="J214" s="6"/>
      <c r="K214" s="4" t="str">
        <f t="shared" si="3"/>
        <v/>
      </c>
    </row>
    <row r="215" spans="1:11" x14ac:dyDescent="0.3">
      <c r="A215" s="4">
        <v>211</v>
      </c>
      <c r="B215" s="6"/>
      <c r="C215" s="6"/>
      <c r="D215" s="6"/>
      <c r="E215" s="6"/>
      <c r="F215" s="6"/>
      <c r="G215" s="5"/>
      <c r="H215" s="6"/>
      <c r="I215" s="5"/>
      <c r="J215" s="6"/>
      <c r="K215" s="4" t="str">
        <f t="shared" si="3"/>
        <v/>
      </c>
    </row>
    <row r="216" spans="1:11" x14ac:dyDescent="0.3">
      <c r="A216" s="4">
        <v>212</v>
      </c>
      <c r="B216" s="6"/>
      <c r="C216" s="6"/>
      <c r="D216" s="6"/>
      <c r="E216" s="6"/>
      <c r="F216" s="6"/>
      <c r="G216" s="5"/>
      <c r="H216" s="6"/>
      <c r="I216" s="5"/>
      <c r="J216" s="6"/>
      <c r="K216" s="4" t="str">
        <f t="shared" si="3"/>
        <v/>
      </c>
    </row>
    <row r="217" spans="1:11" x14ac:dyDescent="0.3">
      <c r="A217" s="4">
        <v>213</v>
      </c>
      <c r="B217" s="6"/>
      <c r="C217" s="6"/>
      <c r="D217" s="6"/>
      <c r="E217" s="6"/>
      <c r="F217" s="6"/>
      <c r="G217" s="5"/>
      <c r="H217" s="6"/>
      <c r="I217" s="5"/>
      <c r="J217" s="6"/>
      <c r="K217" s="4" t="str">
        <f t="shared" si="3"/>
        <v/>
      </c>
    </row>
    <row r="218" spans="1:11" x14ac:dyDescent="0.3">
      <c r="A218" s="4">
        <v>214</v>
      </c>
      <c r="B218" s="6"/>
      <c r="C218" s="6"/>
      <c r="D218" s="6"/>
      <c r="E218" s="6"/>
      <c r="F218" s="6"/>
      <c r="G218" s="5"/>
      <c r="H218" s="6"/>
      <c r="I218" s="5"/>
      <c r="J218" s="6"/>
      <c r="K218" s="4" t="str">
        <f t="shared" si="3"/>
        <v/>
      </c>
    </row>
    <row r="219" spans="1:11" x14ac:dyDescent="0.3">
      <c r="A219" s="4">
        <v>215</v>
      </c>
      <c r="B219" s="6"/>
      <c r="C219" s="6"/>
      <c r="D219" s="6"/>
      <c r="E219" s="6"/>
      <c r="F219" s="6"/>
      <c r="G219" s="5"/>
      <c r="H219" s="6"/>
      <c r="I219" s="5"/>
      <c r="J219" s="6"/>
      <c r="K219" s="4" t="str">
        <f t="shared" si="3"/>
        <v/>
      </c>
    </row>
    <row r="220" spans="1:11" x14ac:dyDescent="0.3">
      <c r="A220" s="4">
        <v>216</v>
      </c>
      <c r="B220" s="6"/>
      <c r="C220" s="6"/>
      <c r="D220" s="6"/>
      <c r="E220" s="6"/>
      <c r="F220" s="6"/>
      <c r="G220" s="5"/>
      <c r="H220" s="6"/>
      <c r="I220" s="5"/>
      <c r="J220" s="6"/>
      <c r="K220" s="4" t="str">
        <f t="shared" si="3"/>
        <v/>
      </c>
    </row>
    <row r="221" spans="1:11" x14ac:dyDescent="0.3">
      <c r="A221" s="4">
        <v>217</v>
      </c>
      <c r="B221" s="6"/>
      <c r="C221" s="6"/>
      <c r="D221" s="6"/>
      <c r="E221" s="6"/>
      <c r="F221" s="6"/>
      <c r="G221" s="5"/>
      <c r="H221" s="6"/>
      <c r="I221" s="5"/>
      <c r="J221" s="6"/>
      <c r="K221" s="4" t="str">
        <f t="shared" si="3"/>
        <v/>
      </c>
    </row>
    <row r="222" spans="1:11" x14ac:dyDescent="0.3">
      <c r="A222" s="4">
        <v>218</v>
      </c>
      <c r="B222" s="6"/>
      <c r="C222" s="6"/>
      <c r="D222" s="6"/>
      <c r="E222" s="6"/>
      <c r="F222" s="6"/>
      <c r="G222" s="5"/>
      <c r="H222" s="6"/>
      <c r="I222" s="5"/>
      <c r="J222" s="6"/>
      <c r="K222" s="4" t="str">
        <f t="shared" si="3"/>
        <v/>
      </c>
    </row>
    <row r="223" spans="1:11" x14ac:dyDescent="0.3">
      <c r="A223" s="4">
        <v>219</v>
      </c>
      <c r="B223" s="6"/>
      <c r="C223" s="6"/>
      <c r="D223" s="6"/>
      <c r="E223" s="6"/>
      <c r="F223" s="6"/>
      <c r="G223" s="5"/>
      <c r="H223" s="6"/>
      <c r="I223" s="5"/>
      <c r="J223" s="6"/>
      <c r="K223" s="4" t="str">
        <f t="shared" si="3"/>
        <v/>
      </c>
    </row>
    <row r="224" spans="1:11" x14ac:dyDescent="0.3">
      <c r="A224" s="4">
        <v>220</v>
      </c>
      <c r="B224" s="6"/>
      <c r="C224" s="6"/>
      <c r="D224" s="6"/>
      <c r="E224" s="6"/>
      <c r="F224" s="6"/>
      <c r="G224" s="5"/>
      <c r="H224" s="6"/>
      <c r="I224" s="5"/>
      <c r="J224" s="6"/>
      <c r="K224" s="4" t="str">
        <f t="shared" si="3"/>
        <v/>
      </c>
    </row>
    <row r="225" spans="1:11" x14ac:dyDescent="0.3">
      <c r="A225" s="4">
        <v>221</v>
      </c>
      <c r="B225" s="6"/>
      <c r="C225" s="6"/>
      <c r="D225" s="6"/>
      <c r="E225" s="6"/>
      <c r="F225" s="6"/>
      <c r="G225" s="5"/>
      <c r="H225" s="6"/>
      <c r="I225" s="5"/>
      <c r="J225" s="6"/>
      <c r="K225" s="4" t="str">
        <f t="shared" si="3"/>
        <v/>
      </c>
    </row>
    <row r="226" spans="1:11" x14ac:dyDescent="0.3">
      <c r="A226" s="4">
        <v>222</v>
      </c>
      <c r="B226" s="6"/>
      <c r="C226" s="6"/>
      <c r="D226" s="6"/>
      <c r="E226" s="6"/>
      <c r="F226" s="6"/>
      <c r="G226" s="5"/>
      <c r="H226" s="6"/>
      <c r="I226" s="5"/>
      <c r="J226" s="6"/>
      <c r="K226" s="4" t="str">
        <f t="shared" si="3"/>
        <v/>
      </c>
    </row>
    <row r="227" spans="1:11" x14ac:dyDescent="0.3">
      <c r="A227" s="4">
        <v>223</v>
      </c>
      <c r="B227" s="6"/>
      <c r="C227" s="6"/>
      <c r="D227" s="6"/>
      <c r="E227" s="6"/>
      <c r="F227" s="6"/>
      <c r="G227" s="5"/>
      <c r="H227" s="6"/>
      <c r="I227" s="5"/>
      <c r="J227" s="6"/>
      <c r="K227" s="4" t="str">
        <f t="shared" si="3"/>
        <v/>
      </c>
    </row>
    <row r="228" spans="1:11" x14ac:dyDescent="0.3">
      <c r="A228" s="4">
        <v>224</v>
      </c>
      <c r="B228" s="6"/>
      <c r="C228" s="6"/>
      <c r="D228" s="6"/>
      <c r="E228" s="6"/>
      <c r="F228" s="6"/>
      <c r="G228" s="5"/>
      <c r="H228" s="6"/>
      <c r="I228" s="5"/>
      <c r="J228" s="6"/>
      <c r="K228" s="4" t="str">
        <f t="shared" si="3"/>
        <v/>
      </c>
    </row>
    <row r="229" spans="1:11" x14ac:dyDescent="0.3">
      <c r="A229" s="4">
        <v>225</v>
      </c>
      <c r="B229" s="6"/>
      <c r="C229" s="6"/>
      <c r="D229" s="6"/>
      <c r="E229" s="6"/>
      <c r="F229" s="6"/>
      <c r="G229" s="5"/>
      <c r="H229" s="6"/>
      <c r="I229" s="5"/>
      <c r="J229" s="6"/>
      <c r="K229" s="4" t="str">
        <f t="shared" si="3"/>
        <v/>
      </c>
    </row>
    <row r="230" spans="1:11" x14ac:dyDescent="0.3">
      <c r="A230" s="4">
        <v>226</v>
      </c>
      <c r="B230" s="6"/>
      <c r="C230" s="6"/>
      <c r="D230" s="6"/>
      <c r="E230" s="6"/>
      <c r="F230" s="6"/>
      <c r="G230" s="5"/>
      <c r="H230" s="6"/>
      <c r="I230" s="5"/>
      <c r="J230" s="6"/>
      <c r="K230" s="4" t="str">
        <f t="shared" si="3"/>
        <v/>
      </c>
    </row>
    <row r="231" spans="1:11" x14ac:dyDescent="0.3">
      <c r="A231" s="4">
        <v>227</v>
      </c>
      <c r="B231" s="6"/>
      <c r="C231" s="6"/>
      <c r="D231" s="6"/>
      <c r="E231" s="6"/>
      <c r="F231" s="6"/>
      <c r="G231" s="5"/>
      <c r="H231" s="6"/>
      <c r="I231" s="5"/>
      <c r="J231" s="6"/>
      <c r="K231" s="4" t="str">
        <f t="shared" si="3"/>
        <v/>
      </c>
    </row>
    <row r="232" spans="1:11" x14ac:dyDescent="0.3">
      <c r="A232" s="4">
        <v>228</v>
      </c>
      <c r="B232" s="6"/>
      <c r="C232" s="6"/>
      <c r="D232" s="6"/>
      <c r="E232" s="6"/>
      <c r="F232" s="6"/>
      <c r="G232" s="5"/>
      <c r="H232" s="6"/>
      <c r="I232" s="5"/>
      <c r="J232" s="6"/>
      <c r="K232" s="4" t="str">
        <f t="shared" si="3"/>
        <v/>
      </c>
    </row>
    <row r="233" spans="1:11" x14ac:dyDescent="0.3">
      <c r="A233" s="4">
        <v>229</v>
      </c>
      <c r="B233" s="6"/>
      <c r="C233" s="6"/>
      <c r="D233" s="6"/>
      <c r="E233" s="6"/>
      <c r="F233" s="6"/>
      <c r="G233" s="5"/>
      <c r="H233" s="6"/>
      <c r="I233" s="5"/>
      <c r="J233" s="6"/>
      <c r="K233" s="4" t="str">
        <f t="shared" si="3"/>
        <v/>
      </c>
    </row>
    <row r="234" spans="1:11" x14ac:dyDescent="0.3">
      <c r="A234" s="4">
        <v>230</v>
      </c>
      <c r="B234" s="6"/>
      <c r="C234" s="6"/>
      <c r="D234" s="6"/>
      <c r="E234" s="6"/>
      <c r="F234" s="6"/>
      <c r="G234" s="5"/>
      <c r="H234" s="6"/>
      <c r="I234" s="5"/>
      <c r="J234" s="6"/>
      <c r="K234" s="4" t="str">
        <f t="shared" si="3"/>
        <v/>
      </c>
    </row>
    <row r="235" spans="1:11" x14ac:dyDescent="0.3">
      <c r="A235" s="4">
        <v>231</v>
      </c>
      <c r="B235" s="6"/>
      <c r="C235" s="6"/>
      <c r="D235" s="6"/>
      <c r="E235" s="6"/>
      <c r="F235" s="6"/>
      <c r="G235" s="5"/>
      <c r="H235" s="6"/>
      <c r="I235" s="5"/>
      <c r="J235" s="6"/>
      <c r="K235" s="4" t="str">
        <f t="shared" si="3"/>
        <v/>
      </c>
    </row>
    <row r="236" spans="1:11" x14ac:dyDescent="0.3">
      <c r="A236" s="4">
        <v>232</v>
      </c>
      <c r="B236" s="6"/>
      <c r="C236" s="6"/>
      <c r="D236" s="6"/>
      <c r="E236" s="6"/>
      <c r="F236" s="6"/>
      <c r="G236" s="5"/>
      <c r="H236" s="6"/>
      <c r="I236" s="5"/>
      <c r="J236" s="6"/>
      <c r="K236" s="4" t="str">
        <f t="shared" si="3"/>
        <v/>
      </c>
    </row>
    <row r="237" spans="1:11" x14ac:dyDescent="0.3">
      <c r="A237" s="4">
        <v>233</v>
      </c>
      <c r="B237" s="6"/>
      <c r="C237" s="6"/>
      <c r="D237" s="6"/>
      <c r="E237" s="6"/>
      <c r="F237" s="6"/>
      <c r="G237" s="5"/>
      <c r="H237" s="6"/>
      <c r="I237" s="5"/>
      <c r="J237" s="6"/>
      <c r="K237" s="4" t="str">
        <f t="shared" si="3"/>
        <v/>
      </c>
    </row>
    <row r="238" spans="1:11" x14ac:dyDescent="0.3">
      <c r="A238" s="4">
        <v>234</v>
      </c>
      <c r="B238" s="6"/>
      <c r="C238" s="6"/>
      <c r="D238" s="6"/>
      <c r="E238" s="6"/>
      <c r="F238" s="6"/>
      <c r="G238" s="5"/>
      <c r="H238" s="6"/>
      <c r="I238" s="5"/>
      <c r="J238" s="6"/>
      <c r="K238" s="4" t="str">
        <f t="shared" si="3"/>
        <v/>
      </c>
    </row>
    <row r="239" spans="1:11" x14ac:dyDescent="0.3">
      <c r="A239" s="4">
        <v>235</v>
      </c>
      <c r="B239" s="6"/>
      <c r="C239" s="6"/>
      <c r="D239" s="6"/>
      <c r="E239" s="6"/>
      <c r="F239" s="6"/>
      <c r="G239" s="5"/>
      <c r="H239" s="6"/>
      <c r="I239" s="5"/>
      <c r="J239" s="6"/>
      <c r="K239" s="4" t="str">
        <f t="shared" si="3"/>
        <v/>
      </c>
    </row>
    <row r="240" spans="1:11" x14ac:dyDescent="0.3">
      <c r="A240" s="4">
        <v>236</v>
      </c>
      <c r="B240" s="6"/>
      <c r="C240" s="6"/>
      <c r="D240" s="6"/>
      <c r="E240" s="6"/>
      <c r="F240" s="6"/>
      <c r="G240" s="5"/>
      <c r="H240" s="6"/>
      <c r="I240" s="5"/>
      <c r="J240" s="6"/>
      <c r="K240" s="4" t="str">
        <f t="shared" si="3"/>
        <v/>
      </c>
    </row>
    <row r="241" spans="1:11" x14ac:dyDescent="0.3">
      <c r="A241" s="4">
        <v>237</v>
      </c>
      <c r="B241" s="6"/>
      <c r="C241" s="6"/>
      <c r="D241" s="6"/>
      <c r="E241" s="6"/>
      <c r="F241" s="6"/>
      <c r="G241" s="5"/>
      <c r="H241" s="6"/>
      <c r="I241" s="5"/>
      <c r="J241" s="6"/>
      <c r="K241" s="4" t="str">
        <f t="shared" si="3"/>
        <v/>
      </c>
    </row>
    <row r="242" spans="1:11" x14ac:dyDescent="0.3">
      <c r="A242" s="4">
        <v>238</v>
      </c>
      <c r="B242" s="6"/>
      <c r="C242" s="6"/>
      <c r="D242" s="6"/>
      <c r="E242" s="6"/>
      <c r="F242" s="6"/>
      <c r="G242" s="5"/>
      <c r="H242" s="6"/>
      <c r="I242" s="5"/>
      <c r="J242" s="6"/>
      <c r="K242" s="4" t="str">
        <f t="shared" si="3"/>
        <v/>
      </c>
    </row>
    <row r="243" spans="1:11" x14ac:dyDescent="0.3">
      <c r="A243" s="4">
        <v>239</v>
      </c>
      <c r="B243" s="6"/>
      <c r="C243" s="6"/>
      <c r="D243" s="6"/>
      <c r="E243" s="6"/>
      <c r="F243" s="6"/>
      <c r="G243" s="5"/>
      <c r="H243" s="6"/>
      <c r="I243" s="5"/>
      <c r="J243" s="6"/>
      <c r="K243" s="4" t="str">
        <f t="shared" si="3"/>
        <v/>
      </c>
    </row>
    <row r="244" spans="1:11" x14ac:dyDescent="0.3">
      <c r="A244" s="4">
        <v>240</v>
      </c>
      <c r="B244" s="6"/>
      <c r="C244" s="6"/>
      <c r="D244" s="6"/>
      <c r="E244" s="6"/>
      <c r="F244" s="6"/>
      <c r="G244" s="5"/>
      <c r="H244" s="6"/>
      <c r="I244" s="5"/>
      <c r="J244" s="6"/>
      <c r="K244" s="4" t="str">
        <f t="shared" si="3"/>
        <v/>
      </c>
    </row>
    <row r="245" spans="1:11" x14ac:dyDescent="0.3">
      <c r="A245" s="4">
        <v>241</v>
      </c>
      <c r="B245" s="6"/>
      <c r="C245" s="6"/>
      <c r="D245" s="6"/>
      <c r="E245" s="6"/>
      <c r="F245" s="6"/>
      <c r="G245" s="5"/>
      <c r="H245" s="6"/>
      <c r="I245" s="5"/>
      <c r="J245" s="6"/>
      <c r="K245" s="4" t="str">
        <f t="shared" si="3"/>
        <v/>
      </c>
    </row>
    <row r="246" spans="1:11" x14ac:dyDescent="0.3">
      <c r="A246" s="4">
        <v>242</v>
      </c>
      <c r="B246" s="6"/>
      <c r="C246" s="6"/>
      <c r="D246" s="6"/>
      <c r="E246" s="6"/>
      <c r="F246" s="6"/>
      <c r="G246" s="5"/>
      <c r="H246" s="6"/>
      <c r="I246" s="5"/>
      <c r="J246" s="6"/>
      <c r="K246" s="4" t="str">
        <f t="shared" si="3"/>
        <v/>
      </c>
    </row>
    <row r="247" spans="1:11" x14ac:dyDescent="0.3">
      <c r="A247" s="4">
        <v>243</v>
      </c>
      <c r="B247" s="6"/>
      <c r="C247" s="6"/>
      <c r="D247" s="6"/>
      <c r="E247" s="6"/>
      <c r="F247" s="6"/>
      <c r="G247" s="5"/>
      <c r="H247" s="6"/>
      <c r="I247" s="5"/>
      <c r="J247" s="6"/>
      <c r="K247" s="4" t="str">
        <f t="shared" si="3"/>
        <v/>
      </c>
    </row>
    <row r="248" spans="1:11" x14ac:dyDescent="0.3">
      <c r="A248" s="4">
        <v>244</v>
      </c>
      <c r="B248" s="6"/>
      <c r="C248" s="6"/>
      <c r="D248" s="6"/>
      <c r="E248" s="6"/>
      <c r="F248" s="6"/>
      <c r="G248" s="5"/>
      <c r="H248" s="6"/>
      <c r="I248" s="5"/>
      <c r="J248" s="6"/>
      <c r="K248" s="4" t="str">
        <f t="shared" si="3"/>
        <v/>
      </c>
    </row>
    <row r="249" spans="1:11" x14ac:dyDescent="0.3">
      <c r="A249" s="4">
        <v>245</v>
      </c>
      <c r="B249" s="6"/>
      <c r="C249" s="6"/>
      <c r="D249" s="6"/>
      <c r="E249" s="6"/>
      <c r="F249" s="6"/>
      <c r="G249" s="5"/>
      <c r="H249" s="6"/>
      <c r="I249" s="5"/>
      <c r="J249" s="6"/>
      <c r="K249" s="4" t="str">
        <f t="shared" si="3"/>
        <v/>
      </c>
    </row>
    <row r="250" spans="1:11" x14ac:dyDescent="0.3">
      <c r="A250" s="4">
        <v>246</v>
      </c>
      <c r="B250" s="6"/>
      <c r="C250" s="6"/>
      <c r="D250" s="6"/>
      <c r="E250" s="6"/>
      <c r="F250" s="6"/>
      <c r="G250" s="5"/>
      <c r="H250" s="6"/>
      <c r="I250" s="5"/>
      <c r="J250" s="6"/>
      <c r="K250" s="4" t="str">
        <f t="shared" si="3"/>
        <v/>
      </c>
    </row>
    <row r="251" spans="1:11" x14ac:dyDescent="0.3">
      <c r="A251" s="4">
        <v>247</v>
      </c>
      <c r="B251" s="6"/>
      <c r="C251" s="6"/>
      <c r="D251" s="6"/>
      <c r="E251" s="6"/>
      <c r="F251" s="6"/>
      <c r="G251" s="5"/>
      <c r="H251" s="6"/>
      <c r="I251" s="5"/>
      <c r="J251" s="6"/>
      <c r="K251" s="4" t="str">
        <f t="shared" si="3"/>
        <v/>
      </c>
    </row>
    <row r="252" spans="1:11" x14ac:dyDescent="0.3">
      <c r="A252" s="4">
        <v>248</v>
      </c>
      <c r="B252" s="6"/>
      <c r="C252" s="6"/>
      <c r="D252" s="6"/>
      <c r="E252" s="6"/>
      <c r="F252" s="6"/>
      <c r="G252" s="5"/>
      <c r="H252" s="6"/>
      <c r="I252" s="5"/>
      <c r="J252" s="6"/>
      <c r="K252" s="4" t="str">
        <f t="shared" si="3"/>
        <v/>
      </c>
    </row>
    <row r="253" spans="1:11" x14ac:dyDescent="0.3">
      <c r="A253" s="4">
        <v>249</v>
      </c>
      <c r="B253" s="6"/>
      <c r="C253" s="6"/>
      <c r="D253" s="6"/>
      <c r="E253" s="6"/>
      <c r="F253" s="6"/>
      <c r="G253" s="5"/>
      <c r="H253" s="6"/>
      <c r="I253" s="5"/>
      <c r="J253" s="6"/>
      <c r="K253" s="4" t="str">
        <f t="shared" si="3"/>
        <v/>
      </c>
    </row>
    <row r="254" spans="1:11" x14ac:dyDescent="0.3">
      <c r="A254" s="4">
        <v>250</v>
      </c>
      <c r="B254" s="6"/>
      <c r="C254" s="6"/>
      <c r="D254" s="6"/>
      <c r="E254" s="6"/>
      <c r="F254" s="6"/>
      <c r="G254" s="5"/>
      <c r="H254" s="6"/>
      <c r="I254" s="5"/>
      <c r="J254" s="6"/>
      <c r="K254" s="4" t="str">
        <f t="shared" si="3"/>
        <v/>
      </c>
    </row>
    <row r="255" spans="1:11" x14ac:dyDescent="0.3">
      <c r="A255" s="4">
        <v>251</v>
      </c>
      <c r="B255" s="6"/>
      <c r="C255" s="6"/>
      <c r="D255" s="6"/>
      <c r="E255" s="6"/>
      <c r="F255" s="6"/>
      <c r="G255" s="5"/>
      <c r="H255" s="6"/>
      <c r="I255" s="5"/>
      <c r="J255" s="6"/>
      <c r="K255" s="4" t="str">
        <f t="shared" si="3"/>
        <v/>
      </c>
    </row>
    <row r="256" spans="1:11" x14ac:dyDescent="0.3">
      <c r="A256" s="4">
        <v>252</v>
      </c>
      <c r="B256" s="6"/>
      <c r="C256" s="6"/>
      <c r="D256" s="6"/>
      <c r="E256" s="6"/>
      <c r="F256" s="6"/>
      <c r="G256" s="5"/>
      <c r="H256" s="6"/>
      <c r="I256" s="5"/>
      <c r="J256" s="6"/>
      <c r="K256" s="4" t="str">
        <f t="shared" si="3"/>
        <v/>
      </c>
    </row>
    <row r="257" spans="1:11" x14ac:dyDescent="0.3">
      <c r="A257" s="4">
        <v>253</v>
      </c>
      <c r="B257" s="6"/>
      <c r="C257" s="6"/>
      <c r="D257" s="6"/>
      <c r="E257" s="6"/>
      <c r="F257" s="6"/>
      <c r="G257" s="5"/>
      <c r="H257" s="6"/>
      <c r="I257" s="5"/>
      <c r="J257" s="6"/>
      <c r="K257" s="4" t="str">
        <f t="shared" si="3"/>
        <v/>
      </c>
    </row>
    <row r="258" spans="1:11" x14ac:dyDescent="0.3">
      <c r="A258" s="4">
        <v>254</v>
      </c>
      <c r="B258" s="6"/>
      <c r="C258" s="6"/>
      <c r="D258" s="6"/>
      <c r="E258" s="6"/>
      <c r="F258" s="6"/>
      <c r="G258" s="5"/>
      <c r="H258" s="6"/>
      <c r="I258" s="5"/>
      <c r="J258" s="6"/>
      <c r="K258" s="4" t="str">
        <f t="shared" si="3"/>
        <v/>
      </c>
    </row>
    <row r="259" spans="1:11" x14ac:dyDescent="0.3">
      <c r="A259" s="4">
        <v>255</v>
      </c>
      <c r="B259" s="6"/>
      <c r="C259" s="6"/>
      <c r="D259" s="6"/>
      <c r="E259" s="6"/>
      <c r="F259" s="6"/>
      <c r="G259" s="5"/>
      <c r="H259" s="6"/>
      <c r="I259" s="5"/>
      <c r="J259" s="6"/>
      <c r="K259" s="4" t="str">
        <f t="shared" si="3"/>
        <v/>
      </c>
    </row>
    <row r="260" spans="1:11" x14ac:dyDescent="0.3">
      <c r="A260" s="4">
        <v>256</v>
      </c>
      <c r="B260" s="6"/>
      <c r="C260" s="6"/>
      <c r="D260" s="6"/>
      <c r="E260" s="6"/>
      <c r="F260" s="6"/>
      <c r="G260" s="5"/>
      <c r="H260" s="6"/>
      <c r="I260" s="5"/>
      <c r="J260" s="6"/>
      <c r="K260" s="4" t="str">
        <f t="shared" si="3"/>
        <v/>
      </c>
    </row>
    <row r="261" spans="1:11" x14ac:dyDescent="0.3">
      <c r="A261" s="4">
        <v>257</v>
      </c>
      <c r="B261" s="6"/>
      <c r="C261" s="6"/>
      <c r="D261" s="6"/>
      <c r="E261" s="6"/>
      <c r="F261" s="6"/>
      <c r="G261" s="5"/>
      <c r="H261" s="6"/>
      <c r="I261" s="5"/>
      <c r="J261" s="6"/>
      <c r="K261" s="4" t="str">
        <f t="shared" ref="K261:K324" si="4">IF(B261="","",IF(OR(F261="",G261=""),"НЕ ОТПРАВЛЕНО",IF(J261="","НЕТ ДОКАЗАТЕЛЬСТВА",IF(I261="","ОТПРАВЛЕНО, ЖДЁМ ПОЛУЧЕНИЯ","ПЕРЕДАНО"))))</f>
        <v/>
      </c>
    </row>
    <row r="262" spans="1:11" x14ac:dyDescent="0.3">
      <c r="A262" s="4">
        <v>258</v>
      </c>
      <c r="B262" s="6"/>
      <c r="C262" s="6"/>
      <c r="D262" s="6"/>
      <c r="E262" s="6"/>
      <c r="F262" s="6"/>
      <c r="G262" s="5"/>
      <c r="H262" s="6"/>
      <c r="I262" s="5"/>
      <c r="J262" s="6"/>
      <c r="K262" s="4" t="str">
        <f t="shared" si="4"/>
        <v/>
      </c>
    </row>
    <row r="263" spans="1:11" x14ac:dyDescent="0.3">
      <c r="A263" s="4">
        <v>259</v>
      </c>
      <c r="B263" s="6"/>
      <c r="C263" s="6"/>
      <c r="D263" s="6"/>
      <c r="E263" s="6"/>
      <c r="F263" s="6"/>
      <c r="G263" s="5"/>
      <c r="H263" s="6"/>
      <c r="I263" s="5"/>
      <c r="J263" s="6"/>
      <c r="K263" s="4" t="str">
        <f t="shared" si="4"/>
        <v/>
      </c>
    </row>
    <row r="264" spans="1:11" x14ac:dyDescent="0.3">
      <c r="A264" s="4">
        <v>260</v>
      </c>
      <c r="B264" s="6"/>
      <c r="C264" s="6"/>
      <c r="D264" s="6"/>
      <c r="E264" s="6"/>
      <c r="F264" s="6"/>
      <c r="G264" s="5"/>
      <c r="H264" s="6"/>
      <c r="I264" s="5"/>
      <c r="J264" s="6"/>
      <c r="K264" s="4" t="str">
        <f t="shared" si="4"/>
        <v/>
      </c>
    </row>
    <row r="265" spans="1:11" x14ac:dyDescent="0.3">
      <c r="A265" s="4">
        <v>261</v>
      </c>
      <c r="B265" s="6"/>
      <c r="C265" s="6"/>
      <c r="D265" s="6"/>
      <c r="E265" s="6"/>
      <c r="F265" s="6"/>
      <c r="G265" s="5"/>
      <c r="H265" s="6"/>
      <c r="I265" s="5"/>
      <c r="J265" s="6"/>
      <c r="K265" s="4" t="str">
        <f t="shared" si="4"/>
        <v/>
      </c>
    </row>
    <row r="266" spans="1:11" x14ac:dyDescent="0.3">
      <c r="A266" s="4">
        <v>262</v>
      </c>
      <c r="B266" s="6"/>
      <c r="C266" s="6"/>
      <c r="D266" s="6"/>
      <c r="E266" s="6"/>
      <c r="F266" s="6"/>
      <c r="G266" s="5"/>
      <c r="H266" s="6"/>
      <c r="I266" s="5"/>
      <c r="J266" s="6"/>
      <c r="K266" s="4" t="str">
        <f t="shared" si="4"/>
        <v/>
      </c>
    </row>
    <row r="267" spans="1:11" x14ac:dyDescent="0.3">
      <c r="A267" s="4">
        <v>263</v>
      </c>
      <c r="B267" s="6"/>
      <c r="C267" s="6"/>
      <c r="D267" s="6"/>
      <c r="E267" s="6"/>
      <c r="F267" s="6"/>
      <c r="G267" s="5"/>
      <c r="H267" s="6"/>
      <c r="I267" s="5"/>
      <c r="J267" s="6"/>
      <c r="K267" s="4" t="str">
        <f t="shared" si="4"/>
        <v/>
      </c>
    </row>
    <row r="268" spans="1:11" x14ac:dyDescent="0.3">
      <c r="A268" s="4">
        <v>264</v>
      </c>
      <c r="B268" s="6"/>
      <c r="C268" s="6"/>
      <c r="D268" s="6"/>
      <c r="E268" s="6"/>
      <c r="F268" s="6"/>
      <c r="G268" s="5"/>
      <c r="H268" s="6"/>
      <c r="I268" s="5"/>
      <c r="J268" s="6"/>
      <c r="K268" s="4" t="str">
        <f t="shared" si="4"/>
        <v/>
      </c>
    </row>
    <row r="269" spans="1:11" x14ac:dyDescent="0.3">
      <c r="A269" s="4">
        <v>265</v>
      </c>
      <c r="B269" s="6"/>
      <c r="C269" s="6"/>
      <c r="D269" s="6"/>
      <c r="E269" s="6"/>
      <c r="F269" s="6"/>
      <c r="G269" s="5"/>
      <c r="H269" s="6"/>
      <c r="I269" s="5"/>
      <c r="J269" s="6"/>
      <c r="K269" s="4" t="str">
        <f t="shared" si="4"/>
        <v/>
      </c>
    </row>
    <row r="270" spans="1:11" x14ac:dyDescent="0.3">
      <c r="A270" s="4">
        <v>266</v>
      </c>
      <c r="B270" s="6"/>
      <c r="C270" s="6"/>
      <c r="D270" s="6"/>
      <c r="E270" s="6"/>
      <c r="F270" s="6"/>
      <c r="G270" s="5"/>
      <c r="H270" s="6"/>
      <c r="I270" s="5"/>
      <c r="J270" s="6"/>
      <c r="K270" s="4" t="str">
        <f t="shared" si="4"/>
        <v/>
      </c>
    </row>
    <row r="271" spans="1:11" x14ac:dyDescent="0.3">
      <c r="A271" s="4">
        <v>267</v>
      </c>
      <c r="B271" s="6"/>
      <c r="C271" s="6"/>
      <c r="D271" s="6"/>
      <c r="E271" s="6"/>
      <c r="F271" s="6"/>
      <c r="G271" s="5"/>
      <c r="H271" s="6"/>
      <c r="I271" s="5"/>
      <c r="J271" s="6"/>
      <c r="K271" s="4" t="str">
        <f t="shared" si="4"/>
        <v/>
      </c>
    </row>
    <row r="272" spans="1:11" x14ac:dyDescent="0.3">
      <c r="A272" s="4">
        <v>268</v>
      </c>
      <c r="B272" s="6"/>
      <c r="C272" s="6"/>
      <c r="D272" s="6"/>
      <c r="E272" s="6"/>
      <c r="F272" s="6"/>
      <c r="G272" s="5"/>
      <c r="H272" s="6"/>
      <c r="I272" s="5"/>
      <c r="J272" s="6"/>
      <c r="K272" s="4" t="str">
        <f t="shared" si="4"/>
        <v/>
      </c>
    </row>
    <row r="273" spans="1:11" x14ac:dyDescent="0.3">
      <c r="A273" s="4">
        <v>269</v>
      </c>
      <c r="B273" s="6"/>
      <c r="C273" s="6"/>
      <c r="D273" s="6"/>
      <c r="E273" s="6"/>
      <c r="F273" s="6"/>
      <c r="G273" s="5"/>
      <c r="H273" s="6"/>
      <c r="I273" s="5"/>
      <c r="J273" s="6"/>
      <c r="K273" s="4" t="str">
        <f t="shared" si="4"/>
        <v/>
      </c>
    </row>
    <row r="274" spans="1:11" x14ac:dyDescent="0.3">
      <c r="A274" s="4">
        <v>270</v>
      </c>
      <c r="B274" s="6"/>
      <c r="C274" s="6"/>
      <c r="D274" s="6"/>
      <c r="E274" s="6"/>
      <c r="F274" s="6"/>
      <c r="G274" s="5"/>
      <c r="H274" s="6"/>
      <c r="I274" s="5"/>
      <c r="J274" s="6"/>
      <c r="K274" s="4" t="str">
        <f t="shared" si="4"/>
        <v/>
      </c>
    </row>
    <row r="275" spans="1:11" x14ac:dyDescent="0.3">
      <c r="A275" s="4">
        <v>271</v>
      </c>
      <c r="B275" s="6"/>
      <c r="C275" s="6"/>
      <c r="D275" s="6"/>
      <c r="E275" s="6"/>
      <c r="F275" s="6"/>
      <c r="G275" s="5"/>
      <c r="H275" s="6"/>
      <c r="I275" s="5"/>
      <c r="J275" s="6"/>
      <c r="K275" s="4" t="str">
        <f t="shared" si="4"/>
        <v/>
      </c>
    </row>
    <row r="276" spans="1:11" x14ac:dyDescent="0.3">
      <c r="A276" s="4">
        <v>272</v>
      </c>
      <c r="B276" s="6"/>
      <c r="C276" s="6"/>
      <c r="D276" s="6"/>
      <c r="E276" s="6"/>
      <c r="F276" s="6"/>
      <c r="G276" s="5"/>
      <c r="H276" s="6"/>
      <c r="I276" s="5"/>
      <c r="J276" s="6"/>
      <c r="K276" s="4" t="str">
        <f t="shared" si="4"/>
        <v/>
      </c>
    </row>
    <row r="277" spans="1:11" x14ac:dyDescent="0.3">
      <c r="A277" s="4">
        <v>273</v>
      </c>
      <c r="B277" s="6"/>
      <c r="C277" s="6"/>
      <c r="D277" s="6"/>
      <c r="E277" s="6"/>
      <c r="F277" s="6"/>
      <c r="G277" s="5"/>
      <c r="H277" s="6"/>
      <c r="I277" s="5"/>
      <c r="J277" s="6"/>
      <c r="K277" s="4" t="str">
        <f t="shared" si="4"/>
        <v/>
      </c>
    </row>
    <row r="278" spans="1:11" x14ac:dyDescent="0.3">
      <c r="A278" s="4">
        <v>274</v>
      </c>
      <c r="B278" s="6"/>
      <c r="C278" s="6"/>
      <c r="D278" s="6"/>
      <c r="E278" s="6"/>
      <c r="F278" s="6"/>
      <c r="G278" s="5"/>
      <c r="H278" s="6"/>
      <c r="I278" s="5"/>
      <c r="J278" s="6"/>
      <c r="K278" s="4" t="str">
        <f t="shared" si="4"/>
        <v/>
      </c>
    </row>
    <row r="279" spans="1:11" x14ac:dyDescent="0.3">
      <c r="A279" s="4">
        <v>275</v>
      </c>
      <c r="B279" s="6"/>
      <c r="C279" s="6"/>
      <c r="D279" s="6"/>
      <c r="E279" s="6"/>
      <c r="F279" s="6"/>
      <c r="G279" s="5"/>
      <c r="H279" s="6"/>
      <c r="I279" s="5"/>
      <c r="J279" s="6"/>
      <c r="K279" s="4" t="str">
        <f t="shared" si="4"/>
        <v/>
      </c>
    </row>
    <row r="280" spans="1:11" x14ac:dyDescent="0.3">
      <c r="A280" s="4">
        <v>276</v>
      </c>
      <c r="B280" s="6"/>
      <c r="C280" s="6"/>
      <c r="D280" s="6"/>
      <c r="E280" s="6"/>
      <c r="F280" s="6"/>
      <c r="G280" s="5"/>
      <c r="H280" s="6"/>
      <c r="I280" s="5"/>
      <c r="J280" s="6"/>
      <c r="K280" s="4" t="str">
        <f t="shared" si="4"/>
        <v/>
      </c>
    </row>
    <row r="281" spans="1:11" x14ac:dyDescent="0.3">
      <c r="A281" s="4">
        <v>277</v>
      </c>
      <c r="B281" s="6"/>
      <c r="C281" s="6"/>
      <c r="D281" s="6"/>
      <c r="E281" s="6"/>
      <c r="F281" s="6"/>
      <c r="G281" s="5"/>
      <c r="H281" s="6"/>
      <c r="I281" s="5"/>
      <c r="J281" s="6"/>
      <c r="K281" s="4" t="str">
        <f t="shared" si="4"/>
        <v/>
      </c>
    </row>
    <row r="282" spans="1:11" x14ac:dyDescent="0.3">
      <c r="A282" s="4">
        <v>278</v>
      </c>
      <c r="B282" s="6"/>
      <c r="C282" s="6"/>
      <c r="D282" s="6"/>
      <c r="E282" s="6"/>
      <c r="F282" s="6"/>
      <c r="G282" s="5"/>
      <c r="H282" s="6"/>
      <c r="I282" s="5"/>
      <c r="J282" s="6"/>
      <c r="K282" s="4" t="str">
        <f t="shared" si="4"/>
        <v/>
      </c>
    </row>
    <row r="283" spans="1:11" x14ac:dyDescent="0.3">
      <c r="A283" s="4">
        <v>279</v>
      </c>
      <c r="B283" s="6"/>
      <c r="C283" s="6"/>
      <c r="D283" s="6"/>
      <c r="E283" s="6"/>
      <c r="F283" s="6"/>
      <c r="G283" s="5"/>
      <c r="H283" s="6"/>
      <c r="I283" s="5"/>
      <c r="J283" s="6"/>
      <c r="K283" s="4" t="str">
        <f t="shared" si="4"/>
        <v/>
      </c>
    </row>
    <row r="284" spans="1:11" x14ac:dyDescent="0.3">
      <c r="A284" s="4">
        <v>280</v>
      </c>
      <c r="B284" s="6"/>
      <c r="C284" s="6"/>
      <c r="D284" s="6"/>
      <c r="E284" s="6"/>
      <c r="F284" s="6"/>
      <c r="G284" s="5"/>
      <c r="H284" s="6"/>
      <c r="I284" s="5"/>
      <c r="J284" s="6"/>
      <c r="K284" s="4" t="str">
        <f t="shared" si="4"/>
        <v/>
      </c>
    </row>
    <row r="285" spans="1:11" x14ac:dyDescent="0.3">
      <c r="A285" s="4">
        <v>281</v>
      </c>
      <c r="B285" s="6"/>
      <c r="C285" s="6"/>
      <c r="D285" s="6"/>
      <c r="E285" s="6"/>
      <c r="F285" s="6"/>
      <c r="G285" s="5"/>
      <c r="H285" s="6"/>
      <c r="I285" s="5"/>
      <c r="J285" s="6"/>
      <c r="K285" s="4" t="str">
        <f t="shared" si="4"/>
        <v/>
      </c>
    </row>
    <row r="286" spans="1:11" x14ac:dyDescent="0.3">
      <c r="A286" s="4">
        <v>282</v>
      </c>
      <c r="B286" s="6"/>
      <c r="C286" s="6"/>
      <c r="D286" s="6"/>
      <c r="E286" s="6"/>
      <c r="F286" s="6"/>
      <c r="G286" s="5"/>
      <c r="H286" s="6"/>
      <c r="I286" s="5"/>
      <c r="J286" s="6"/>
      <c r="K286" s="4" t="str">
        <f t="shared" si="4"/>
        <v/>
      </c>
    </row>
    <row r="287" spans="1:11" x14ac:dyDescent="0.3">
      <c r="A287" s="4">
        <v>283</v>
      </c>
      <c r="B287" s="6"/>
      <c r="C287" s="6"/>
      <c r="D287" s="6"/>
      <c r="E287" s="6"/>
      <c r="F287" s="6"/>
      <c r="G287" s="5"/>
      <c r="H287" s="6"/>
      <c r="I287" s="5"/>
      <c r="J287" s="6"/>
      <c r="K287" s="4" t="str">
        <f t="shared" si="4"/>
        <v/>
      </c>
    </row>
    <row r="288" spans="1:11" x14ac:dyDescent="0.3">
      <c r="A288" s="4">
        <v>284</v>
      </c>
      <c r="B288" s="6"/>
      <c r="C288" s="6"/>
      <c r="D288" s="6"/>
      <c r="E288" s="6"/>
      <c r="F288" s="6"/>
      <c r="G288" s="5"/>
      <c r="H288" s="6"/>
      <c r="I288" s="5"/>
      <c r="J288" s="6"/>
      <c r="K288" s="4" t="str">
        <f t="shared" si="4"/>
        <v/>
      </c>
    </row>
    <row r="289" spans="1:11" x14ac:dyDescent="0.3">
      <c r="A289" s="4">
        <v>285</v>
      </c>
      <c r="B289" s="6"/>
      <c r="C289" s="6"/>
      <c r="D289" s="6"/>
      <c r="E289" s="6"/>
      <c r="F289" s="6"/>
      <c r="G289" s="5"/>
      <c r="H289" s="6"/>
      <c r="I289" s="5"/>
      <c r="J289" s="6"/>
      <c r="K289" s="4" t="str">
        <f t="shared" si="4"/>
        <v/>
      </c>
    </row>
    <row r="290" spans="1:11" x14ac:dyDescent="0.3">
      <c r="A290" s="4">
        <v>286</v>
      </c>
      <c r="B290" s="6"/>
      <c r="C290" s="6"/>
      <c r="D290" s="6"/>
      <c r="E290" s="6"/>
      <c r="F290" s="6"/>
      <c r="G290" s="5"/>
      <c r="H290" s="6"/>
      <c r="I290" s="5"/>
      <c r="J290" s="6"/>
      <c r="K290" s="4" t="str">
        <f t="shared" si="4"/>
        <v/>
      </c>
    </row>
    <row r="291" spans="1:11" x14ac:dyDescent="0.3">
      <c r="A291" s="4">
        <v>287</v>
      </c>
      <c r="B291" s="6"/>
      <c r="C291" s="6"/>
      <c r="D291" s="6"/>
      <c r="E291" s="6"/>
      <c r="F291" s="6"/>
      <c r="G291" s="5"/>
      <c r="H291" s="6"/>
      <c r="I291" s="5"/>
      <c r="J291" s="6"/>
      <c r="K291" s="4" t="str">
        <f t="shared" si="4"/>
        <v/>
      </c>
    </row>
    <row r="292" spans="1:11" x14ac:dyDescent="0.3">
      <c r="A292" s="4">
        <v>288</v>
      </c>
      <c r="B292" s="6"/>
      <c r="C292" s="6"/>
      <c r="D292" s="6"/>
      <c r="E292" s="6"/>
      <c r="F292" s="6"/>
      <c r="G292" s="5"/>
      <c r="H292" s="6"/>
      <c r="I292" s="5"/>
      <c r="J292" s="6"/>
      <c r="K292" s="4" t="str">
        <f t="shared" si="4"/>
        <v/>
      </c>
    </row>
    <row r="293" spans="1:11" x14ac:dyDescent="0.3">
      <c r="A293" s="4">
        <v>289</v>
      </c>
      <c r="B293" s="6"/>
      <c r="C293" s="6"/>
      <c r="D293" s="6"/>
      <c r="E293" s="6"/>
      <c r="F293" s="6"/>
      <c r="G293" s="5"/>
      <c r="H293" s="6"/>
      <c r="I293" s="5"/>
      <c r="J293" s="6"/>
      <c r="K293" s="4" t="str">
        <f t="shared" si="4"/>
        <v/>
      </c>
    </row>
    <row r="294" spans="1:11" x14ac:dyDescent="0.3">
      <c r="A294" s="4">
        <v>290</v>
      </c>
      <c r="B294" s="6"/>
      <c r="C294" s="6"/>
      <c r="D294" s="6"/>
      <c r="E294" s="6"/>
      <c r="F294" s="6"/>
      <c r="G294" s="5"/>
      <c r="H294" s="6"/>
      <c r="I294" s="5"/>
      <c r="J294" s="6"/>
      <c r="K294" s="4" t="str">
        <f t="shared" si="4"/>
        <v/>
      </c>
    </row>
    <row r="295" spans="1:11" x14ac:dyDescent="0.3">
      <c r="A295" s="4">
        <v>291</v>
      </c>
      <c r="B295" s="6"/>
      <c r="C295" s="6"/>
      <c r="D295" s="6"/>
      <c r="E295" s="6"/>
      <c r="F295" s="6"/>
      <c r="G295" s="5"/>
      <c r="H295" s="6"/>
      <c r="I295" s="5"/>
      <c r="J295" s="6"/>
      <c r="K295" s="4" t="str">
        <f t="shared" si="4"/>
        <v/>
      </c>
    </row>
    <row r="296" spans="1:11" x14ac:dyDescent="0.3">
      <c r="A296" s="4">
        <v>292</v>
      </c>
      <c r="B296" s="6"/>
      <c r="C296" s="6"/>
      <c r="D296" s="6"/>
      <c r="E296" s="6"/>
      <c r="F296" s="6"/>
      <c r="G296" s="5"/>
      <c r="H296" s="6"/>
      <c r="I296" s="5"/>
      <c r="J296" s="6"/>
      <c r="K296" s="4" t="str">
        <f t="shared" si="4"/>
        <v/>
      </c>
    </row>
    <row r="297" spans="1:11" x14ac:dyDescent="0.3">
      <c r="A297" s="4">
        <v>293</v>
      </c>
      <c r="B297" s="6"/>
      <c r="C297" s="6"/>
      <c r="D297" s="6"/>
      <c r="E297" s="6"/>
      <c r="F297" s="6"/>
      <c r="G297" s="5"/>
      <c r="H297" s="6"/>
      <c r="I297" s="5"/>
      <c r="J297" s="6"/>
      <c r="K297" s="4" t="str">
        <f t="shared" si="4"/>
        <v/>
      </c>
    </row>
    <row r="298" spans="1:11" x14ac:dyDescent="0.3">
      <c r="A298" s="4">
        <v>294</v>
      </c>
      <c r="B298" s="6"/>
      <c r="C298" s="6"/>
      <c r="D298" s="6"/>
      <c r="E298" s="6"/>
      <c r="F298" s="6"/>
      <c r="G298" s="5"/>
      <c r="H298" s="6"/>
      <c r="I298" s="5"/>
      <c r="J298" s="6"/>
      <c r="K298" s="4" t="str">
        <f t="shared" si="4"/>
        <v/>
      </c>
    </row>
    <row r="299" spans="1:11" x14ac:dyDescent="0.3">
      <c r="A299" s="4">
        <v>295</v>
      </c>
      <c r="B299" s="6"/>
      <c r="C299" s="6"/>
      <c r="D299" s="6"/>
      <c r="E299" s="6"/>
      <c r="F299" s="6"/>
      <c r="G299" s="5"/>
      <c r="H299" s="6"/>
      <c r="I299" s="5"/>
      <c r="J299" s="6"/>
      <c r="K299" s="4" t="str">
        <f t="shared" si="4"/>
        <v/>
      </c>
    </row>
    <row r="300" spans="1:11" x14ac:dyDescent="0.3">
      <c r="A300" s="4">
        <v>296</v>
      </c>
      <c r="B300" s="6"/>
      <c r="C300" s="6"/>
      <c r="D300" s="6"/>
      <c r="E300" s="6"/>
      <c r="F300" s="6"/>
      <c r="G300" s="5"/>
      <c r="H300" s="6"/>
      <c r="I300" s="5"/>
      <c r="J300" s="6"/>
      <c r="K300" s="4" t="str">
        <f t="shared" si="4"/>
        <v/>
      </c>
    </row>
    <row r="301" spans="1:11" x14ac:dyDescent="0.3">
      <c r="A301" s="4">
        <v>297</v>
      </c>
      <c r="B301" s="6"/>
      <c r="C301" s="6"/>
      <c r="D301" s="6"/>
      <c r="E301" s="6"/>
      <c r="F301" s="6"/>
      <c r="G301" s="5"/>
      <c r="H301" s="6"/>
      <c r="I301" s="5"/>
      <c r="J301" s="6"/>
      <c r="K301" s="4" t="str">
        <f t="shared" si="4"/>
        <v/>
      </c>
    </row>
    <row r="302" spans="1:11" x14ac:dyDescent="0.3">
      <c r="A302" s="4">
        <v>298</v>
      </c>
      <c r="B302" s="6"/>
      <c r="C302" s="6"/>
      <c r="D302" s="6"/>
      <c r="E302" s="6"/>
      <c r="F302" s="6"/>
      <c r="G302" s="5"/>
      <c r="H302" s="6"/>
      <c r="I302" s="5"/>
      <c r="J302" s="6"/>
      <c r="K302" s="4" t="str">
        <f t="shared" si="4"/>
        <v/>
      </c>
    </row>
    <row r="303" spans="1:11" x14ac:dyDescent="0.3">
      <c r="A303" s="4">
        <v>299</v>
      </c>
      <c r="B303" s="6"/>
      <c r="C303" s="6"/>
      <c r="D303" s="6"/>
      <c r="E303" s="6"/>
      <c r="F303" s="6"/>
      <c r="G303" s="5"/>
      <c r="H303" s="6"/>
      <c r="I303" s="5"/>
      <c r="J303" s="6"/>
      <c r="K303" s="4" t="str">
        <f t="shared" si="4"/>
        <v/>
      </c>
    </row>
    <row r="304" spans="1:11" x14ac:dyDescent="0.3">
      <c r="A304" s="4">
        <v>300</v>
      </c>
      <c r="B304" s="6"/>
      <c r="C304" s="6"/>
      <c r="D304" s="6"/>
      <c r="E304" s="6"/>
      <c r="F304" s="6"/>
      <c r="G304" s="5"/>
      <c r="H304" s="6"/>
      <c r="I304" s="5"/>
      <c r="J304" s="6"/>
      <c r="K304" s="4" t="str">
        <f t="shared" si="4"/>
        <v/>
      </c>
    </row>
    <row r="306" spans="2:11" x14ac:dyDescent="0.3">
      <c r="B306" t="s">
        <v>83</v>
      </c>
      <c r="K306">
        <f>COUNTIF(K5:K304,"НЕТ ДОКАЗАТЕЛЬСТВА")</f>
        <v>0</v>
      </c>
    </row>
  </sheetData>
  <mergeCells count="2">
    <mergeCell ref="A2:K2"/>
    <mergeCell ref="A1:K1"/>
  </mergeCells>
  <dataValidations count="1">
    <dataValidation type="list" allowBlank="1" errorTitle="Недопустимое значение" error="Выберите значение из списка" sqref="F5:F304" xr:uid="{00000000-0002-0000-0300-000000000000}">
      <formula1>"Нарочно с отметкой о получении,Почта: ценное письмо с описью и уведомлением,ЭДО,Электронная почта по договору,Курьерская служба с описью"</formula1>
    </dataValidation>
  </dataValidations>
  <pageMargins left="0.75" right="0.75" top="1" bottom="1" header="0.5" footer="0.5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56"/>
  <sheetViews>
    <sheetView tabSelected="1" topLeftCell="A19" workbookViewId="0">
      <selection sqref="A1:I1"/>
    </sheetView>
  </sheetViews>
  <sheetFormatPr defaultRowHeight="14.4" x14ac:dyDescent="0.3"/>
  <cols>
    <col min="1" max="1" width="5" customWidth="1"/>
    <col min="2" max="2" width="40" customWidth="1"/>
    <col min="3" max="3" width="18" customWidth="1"/>
    <col min="4" max="4" width="8" customWidth="1"/>
    <col min="5" max="5" width="14" customWidth="1"/>
    <col min="6" max="7" width="12" customWidth="1"/>
    <col min="8" max="8" width="30" customWidth="1"/>
    <col min="9" max="9" width="8" customWidth="1"/>
  </cols>
  <sheetData>
    <row r="1" spans="1:9" ht="18" customHeight="1" x14ac:dyDescent="0.3">
      <c r="A1" s="13" t="s">
        <v>84</v>
      </c>
      <c r="B1" s="12"/>
      <c r="C1" s="12"/>
      <c r="D1" s="12"/>
      <c r="E1" s="12"/>
      <c r="F1" s="12"/>
      <c r="G1" s="12"/>
      <c r="H1" s="12"/>
      <c r="I1" s="12"/>
    </row>
    <row r="2" spans="1:9" ht="48" customHeight="1" x14ac:dyDescent="0.3">
      <c r="A2" s="14" t="s">
        <v>85</v>
      </c>
      <c r="B2" s="12"/>
      <c r="C2" s="12"/>
      <c r="D2" s="12"/>
      <c r="E2" s="12"/>
      <c r="F2" s="12"/>
      <c r="G2" s="12"/>
      <c r="H2" s="12"/>
      <c r="I2" s="12"/>
    </row>
    <row r="4" spans="1:9" ht="28.8" x14ac:dyDescent="0.3">
      <c r="A4" s="1" t="s">
        <v>2</v>
      </c>
      <c r="B4" s="1" t="s">
        <v>74</v>
      </c>
      <c r="C4" s="1" t="s">
        <v>86</v>
      </c>
      <c r="D4" s="1" t="s">
        <v>76</v>
      </c>
      <c r="E4" s="1" t="s">
        <v>87</v>
      </c>
      <c r="F4" s="1" t="s">
        <v>88</v>
      </c>
      <c r="G4" s="1" t="s">
        <v>89</v>
      </c>
      <c r="H4" s="1" t="s">
        <v>90</v>
      </c>
      <c r="I4" s="1" t="s">
        <v>91</v>
      </c>
    </row>
    <row r="5" spans="1:9" x14ac:dyDescent="0.3">
      <c r="A5" s="4">
        <v>1</v>
      </c>
      <c r="B5" s="6" t="s">
        <v>92</v>
      </c>
      <c r="C5" s="6"/>
      <c r="D5" s="6"/>
      <c r="E5" s="6"/>
      <c r="F5" s="6"/>
      <c r="G5" s="6"/>
      <c r="H5" s="6"/>
      <c r="I5" s="6"/>
    </row>
    <row r="6" spans="1:9" x14ac:dyDescent="0.3">
      <c r="A6" s="4">
        <v>2</v>
      </c>
      <c r="B6" s="6" t="s">
        <v>93</v>
      </c>
      <c r="C6" s="6"/>
      <c r="D6" s="6"/>
      <c r="E6" s="6"/>
      <c r="F6" s="6"/>
      <c r="G6" s="6"/>
      <c r="H6" s="6"/>
      <c r="I6" s="6"/>
    </row>
    <row r="7" spans="1:9" x14ac:dyDescent="0.3">
      <c r="A7" s="4">
        <v>3</v>
      </c>
      <c r="B7" s="6" t="s">
        <v>94</v>
      </c>
      <c r="C7" s="6"/>
      <c r="D7" s="6"/>
      <c r="E7" s="6"/>
      <c r="F7" s="6"/>
      <c r="G7" s="6"/>
      <c r="H7" s="6"/>
      <c r="I7" s="6"/>
    </row>
    <row r="8" spans="1:9" x14ac:dyDescent="0.3">
      <c r="A8" s="4">
        <v>4</v>
      </c>
      <c r="B8" s="6" t="s">
        <v>95</v>
      </c>
      <c r="C8" s="6"/>
      <c r="D8" s="6"/>
      <c r="E8" s="6"/>
      <c r="F8" s="6"/>
      <c r="G8" s="6"/>
      <c r="H8" s="6"/>
      <c r="I8" s="6"/>
    </row>
    <row r="9" spans="1:9" x14ac:dyDescent="0.3">
      <c r="A9" s="4">
        <v>5</v>
      </c>
      <c r="B9" s="6" t="s">
        <v>96</v>
      </c>
      <c r="C9" s="6"/>
      <c r="D9" s="6"/>
      <c r="E9" s="6"/>
      <c r="F9" s="6"/>
      <c r="G9" s="6"/>
      <c r="H9" s="6"/>
      <c r="I9" s="6"/>
    </row>
    <row r="10" spans="1:9" x14ac:dyDescent="0.3">
      <c r="A10" s="4">
        <v>6</v>
      </c>
      <c r="B10" s="6" t="s">
        <v>97</v>
      </c>
      <c r="C10" s="6"/>
      <c r="D10" s="6"/>
      <c r="E10" s="6"/>
      <c r="F10" s="6"/>
      <c r="G10" s="6"/>
      <c r="H10" s="6"/>
      <c r="I10" s="6"/>
    </row>
    <row r="11" spans="1:9" x14ac:dyDescent="0.3">
      <c r="A11" s="4">
        <v>7</v>
      </c>
      <c r="B11" s="6" t="s">
        <v>98</v>
      </c>
      <c r="C11" s="6"/>
      <c r="D11" s="6"/>
      <c r="E11" s="6"/>
      <c r="F11" s="6"/>
      <c r="G11" s="6"/>
      <c r="H11" s="6"/>
      <c r="I11" s="6"/>
    </row>
    <row r="12" spans="1:9" x14ac:dyDescent="0.3">
      <c r="A12" s="4">
        <v>8</v>
      </c>
      <c r="B12" s="6" t="s">
        <v>99</v>
      </c>
      <c r="C12" s="6"/>
      <c r="D12" s="6"/>
      <c r="E12" s="6"/>
      <c r="F12" s="6"/>
      <c r="G12" s="6"/>
      <c r="H12" s="6"/>
      <c r="I12" s="6"/>
    </row>
    <row r="13" spans="1:9" ht="28.8" x14ac:dyDescent="0.3">
      <c r="A13" s="4">
        <v>9</v>
      </c>
      <c r="B13" s="6" t="s">
        <v>100</v>
      </c>
      <c r="C13" s="6"/>
      <c r="D13" s="6"/>
      <c r="E13" s="6"/>
      <c r="F13" s="6"/>
      <c r="G13" s="6"/>
      <c r="H13" s="6"/>
      <c r="I13" s="6"/>
    </row>
    <row r="14" spans="1:9" x14ac:dyDescent="0.3">
      <c r="A14" s="4">
        <v>10</v>
      </c>
      <c r="B14" s="6" t="s">
        <v>101</v>
      </c>
      <c r="C14" s="6"/>
      <c r="D14" s="6"/>
      <c r="E14" s="6"/>
      <c r="F14" s="6"/>
      <c r="G14" s="6"/>
      <c r="H14" s="6"/>
      <c r="I14" s="6"/>
    </row>
    <row r="15" spans="1:9" x14ac:dyDescent="0.3">
      <c r="A15" s="4">
        <v>11</v>
      </c>
      <c r="B15" s="6" t="s">
        <v>102</v>
      </c>
      <c r="C15" s="6"/>
      <c r="D15" s="6"/>
      <c r="E15" s="6"/>
      <c r="F15" s="6"/>
      <c r="G15" s="6"/>
      <c r="H15" s="6"/>
      <c r="I15" s="6"/>
    </row>
    <row r="16" spans="1:9" ht="28.8" x14ac:dyDescent="0.3">
      <c r="A16" s="4">
        <v>12</v>
      </c>
      <c r="B16" s="6" t="s">
        <v>103</v>
      </c>
      <c r="C16" s="6"/>
      <c r="D16" s="6"/>
      <c r="E16" s="6"/>
      <c r="F16" s="6"/>
      <c r="G16" s="6"/>
      <c r="H16" s="6"/>
      <c r="I16" s="6"/>
    </row>
    <row r="17" spans="1:9" ht="28.8" x14ac:dyDescent="0.3">
      <c r="A17" s="4">
        <v>13</v>
      </c>
      <c r="B17" s="6" t="s">
        <v>104</v>
      </c>
      <c r="C17" s="6"/>
      <c r="D17" s="6"/>
      <c r="E17" s="6"/>
      <c r="F17" s="6"/>
      <c r="G17" s="6"/>
      <c r="H17" s="6"/>
      <c r="I17" s="6"/>
    </row>
    <row r="18" spans="1:9" x14ac:dyDescent="0.3">
      <c r="A18" s="4">
        <v>14</v>
      </c>
      <c r="B18" s="6" t="s">
        <v>105</v>
      </c>
      <c r="C18" s="6"/>
      <c r="D18" s="6"/>
      <c r="E18" s="6"/>
      <c r="F18" s="6"/>
      <c r="G18" s="6"/>
      <c r="H18" s="6"/>
      <c r="I18" s="6"/>
    </row>
    <row r="19" spans="1:9" x14ac:dyDescent="0.3">
      <c r="A19" s="4">
        <v>15</v>
      </c>
      <c r="B19" s="6" t="s">
        <v>106</v>
      </c>
      <c r="C19" s="6"/>
      <c r="D19" s="6"/>
      <c r="E19" s="6"/>
      <c r="F19" s="6"/>
      <c r="G19" s="6"/>
      <c r="H19" s="6"/>
      <c r="I19" s="6"/>
    </row>
    <row r="20" spans="1:9" x14ac:dyDescent="0.3">
      <c r="A20" s="4">
        <v>16</v>
      </c>
      <c r="B20" s="6" t="s">
        <v>107</v>
      </c>
      <c r="C20" s="6"/>
      <c r="D20" s="6"/>
      <c r="E20" s="6"/>
      <c r="F20" s="6"/>
      <c r="G20" s="6"/>
      <c r="H20" s="6"/>
      <c r="I20" s="6"/>
    </row>
    <row r="21" spans="1:9" x14ac:dyDescent="0.3">
      <c r="A21" s="4">
        <v>17</v>
      </c>
      <c r="B21" s="6" t="s">
        <v>108</v>
      </c>
      <c r="C21" s="6"/>
      <c r="D21" s="6"/>
      <c r="E21" s="6"/>
      <c r="F21" s="6"/>
      <c r="G21" s="6"/>
      <c r="H21" s="6"/>
      <c r="I21" s="6"/>
    </row>
    <row r="22" spans="1:9" x14ac:dyDescent="0.3">
      <c r="A22" s="4">
        <v>18</v>
      </c>
      <c r="B22" s="6" t="s">
        <v>109</v>
      </c>
      <c r="C22" s="6"/>
      <c r="D22" s="6"/>
      <c r="E22" s="6"/>
      <c r="F22" s="6"/>
      <c r="G22" s="6"/>
      <c r="H22" s="6"/>
      <c r="I22" s="6"/>
    </row>
    <row r="23" spans="1:9" x14ac:dyDescent="0.3">
      <c r="A23" s="4">
        <v>19</v>
      </c>
      <c r="B23" s="6"/>
      <c r="C23" s="6"/>
      <c r="D23" s="6"/>
      <c r="E23" s="6"/>
      <c r="F23" s="6"/>
      <c r="G23" s="6"/>
      <c r="H23" s="6"/>
      <c r="I23" s="6"/>
    </row>
    <row r="24" spans="1:9" x14ac:dyDescent="0.3">
      <c r="A24" s="4">
        <v>20</v>
      </c>
      <c r="B24" s="6"/>
      <c r="C24" s="6"/>
      <c r="D24" s="6"/>
      <c r="E24" s="6"/>
      <c r="F24" s="6"/>
      <c r="G24" s="6"/>
      <c r="H24" s="6"/>
      <c r="I24" s="6"/>
    </row>
    <row r="25" spans="1:9" x14ac:dyDescent="0.3">
      <c r="A25" s="4">
        <v>21</v>
      </c>
      <c r="B25" s="6"/>
      <c r="C25" s="6"/>
      <c r="D25" s="6"/>
      <c r="E25" s="6"/>
      <c r="F25" s="6"/>
      <c r="G25" s="6"/>
      <c r="H25" s="6"/>
      <c r="I25" s="6"/>
    </row>
    <row r="26" spans="1:9" x14ac:dyDescent="0.3">
      <c r="A26" s="4">
        <v>22</v>
      </c>
      <c r="B26" s="6"/>
      <c r="C26" s="6"/>
      <c r="D26" s="6"/>
      <c r="E26" s="6"/>
      <c r="F26" s="6"/>
      <c r="G26" s="6"/>
      <c r="H26" s="6"/>
      <c r="I26" s="6"/>
    </row>
    <row r="27" spans="1:9" x14ac:dyDescent="0.3">
      <c r="A27" s="4">
        <v>23</v>
      </c>
      <c r="B27" s="6"/>
      <c r="C27" s="6"/>
      <c r="D27" s="6"/>
      <c r="E27" s="6"/>
      <c r="F27" s="6"/>
      <c r="G27" s="6"/>
      <c r="H27" s="6"/>
      <c r="I27" s="6"/>
    </row>
    <row r="28" spans="1:9" x14ac:dyDescent="0.3">
      <c r="A28" s="4">
        <v>24</v>
      </c>
      <c r="B28" s="6"/>
      <c r="C28" s="6"/>
      <c r="D28" s="6"/>
      <c r="E28" s="6"/>
      <c r="F28" s="6"/>
      <c r="G28" s="6"/>
      <c r="H28" s="6"/>
      <c r="I28" s="6"/>
    </row>
    <row r="29" spans="1:9" x14ac:dyDescent="0.3">
      <c r="A29" s="4">
        <v>25</v>
      </c>
      <c r="B29" s="6"/>
      <c r="C29" s="6"/>
      <c r="D29" s="6"/>
      <c r="E29" s="6"/>
      <c r="F29" s="6"/>
      <c r="G29" s="6"/>
      <c r="H29" s="6"/>
      <c r="I29" s="6"/>
    </row>
    <row r="30" spans="1:9" x14ac:dyDescent="0.3">
      <c r="A30" s="4">
        <v>26</v>
      </c>
      <c r="B30" s="6"/>
      <c r="C30" s="6"/>
      <c r="D30" s="6"/>
      <c r="E30" s="6"/>
      <c r="F30" s="6"/>
      <c r="G30" s="6"/>
      <c r="H30" s="6"/>
      <c r="I30" s="6"/>
    </row>
    <row r="31" spans="1:9" x14ac:dyDescent="0.3">
      <c r="A31" s="4">
        <v>27</v>
      </c>
      <c r="B31" s="6"/>
      <c r="C31" s="6"/>
      <c r="D31" s="6"/>
      <c r="E31" s="6"/>
      <c r="F31" s="6"/>
      <c r="G31" s="6"/>
      <c r="H31" s="6"/>
      <c r="I31" s="6"/>
    </row>
    <row r="32" spans="1:9" x14ac:dyDescent="0.3">
      <c r="A32" s="4">
        <v>28</v>
      </c>
      <c r="B32" s="6"/>
      <c r="C32" s="6"/>
      <c r="D32" s="6"/>
      <c r="E32" s="6"/>
      <c r="F32" s="6"/>
      <c r="G32" s="6"/>
      <c r="H32" s="6"/>
      <c r="I32" s="6"/>
    </row>
    <row r="33" spans="1:9" x14ac:dyDescent="0.3">
      <c r="A33" s="4">
        <v>29</v>
      </c>
      <c r="B33" s="6"/>
      <c r="C33" s="6"/>
      <c r="D33" s="6"/>
      <c r="E33" s="6"/>
      <c r="F33" s="6"/>
      <c r="G33" s="6"/>
      <c r="H33" s="6"/>
      <c r="I33" s="6"/>
    </row>
    <row r="34" spans="1:9" x14ac:dyDescent="0.3">
      <c r="A34" s="4">
        <v>30</v>
      </c>
      <c r="B34" s="6"/>
      <c r="C34" s="6"/>
      <c r="D34" s="6"/>
      <c r="E34" s="6"/>
      <c r="F34" s="6"/>
      <c r="G34" s="6"/>
      <c r="H34" s="6"/>
      <c r="I34" s="6"/>
    </row>
    <row r="35" spans="1:9" x14ac:dyDescent="0.3">
      <c r="A35" s="4">
        <v>31</v>
      </c>
      <c r="B35" s="6"/>
      <c r="C35" s="6"/>
      <c r="D35" s="6"/>
      <c r="E35" s="6"/>
      <c r="F35" s="6"/>
      <c r="G35" s="6"/>
      <c r="H35" s="6"/>
      <c r="I35" s="6"/>
    </row>
    <row r="36" spans="1:9" x14ac:dyDescent="0.3">
      <c r="A36" s="4">
        <v>32</v>
      </c>
      <c r="B36" s="6"/>
      <c r="C36" s="6"/>
      <c r="D36" s="6"/>
      <c r="E36" s="6"/>
      <c r="F36" s="6"/>
      <c r="G36" s="6"/>
      <c r="H36" s="6"/>
      <c r="I36" s="6"/>
    </row>
    <row r="37" spans="1:9" x14ac:dyDescent="0.3">
      <c r="A37" s="4">
        <v>33</v>
      </c>
      <c r="B37" s="6"/>
      <c r="C37" s="6"/>
      <c r="D37" s="6"/>
      <c r="E37" s="6"/>
      <c r="F37" s="6"/>
      <c r="G37" s="6"/>
      <c r="H37" s="6"/>
      <c r="I37" s="6"/>
    </row>
    <row r="38" spans="1:9" x14ac:dyDescent="0.3">
      <c r="A38" s="4">
        <v>34</v>
      </c>
      <c r="B38" s="6"/>
      <c r="C38" s="6"/>
      <c r="D38" s="6"/>
      <c r="E38" s="6"/>
      <c r="F38" s="6"/>
      <c r="G38" s="6"/>
      <c r="H38" s="6"/>
      <c r="I38" s="6"/>
    </row>
    <row r="39" spans="1:9" x14ac:dyDescent="0.3">
      <c r="A39" s="4">
        <v>35</v>
      </c>
      <c r="B39" s="6"/>
      <c r="C39" s="6"/>
      <c r="D39" s="6"/>
      <c r="E39" s="6"/>
      <c r="F39" s="6"/>
      <c r="G39" s="6"/>
      <c r="H39" s="6"/>
      <c r="I39" s="6"/>
    </row>
    <row r="40" spans="1:9" x14ac:dyDescent="0.3">
      <c r="A40" s="4">
        <v>36</v>
      </c>
      <c r="B40" s="6"/>
      <c r="C40" s="6"/>
      <c r="D40" s="6"/>
      <c r="E40" s="6"/>
      <c r="F40" s="6"/>
      <c r="G40" s="6"/>
      <c r="H40" s="6"/>
      <c r="I40" s="6"/>
    </row>
    <row r="41" spans="1:9" x14ac:dyDescent="0.3">
      <c r="A41" s="4">
        <v>37</v>
      </c>
      <c r="B41" s="6"/>
      <c r="C41" s="6"/>
      <c r="D41" s="6"/>
      <c r="E41" s="6"/>
      <c r="F41" s="6"/>
      <c r="G41" s="6"/>
      <c r="H41" s="6"/>
      <c r="I41" s="6"/>
    </row>
    <row r="42" spans="1:9" x14ac:dyDescent="0.3">
      <c r="A42" s="4">
        <v>38</v>
      </c>
      <c r="B42" s="6"/>
      <c r="C42" s="6"/>
      <c r="D42" s="6"/>
      <c r="E42" s="6"/>
      <c r="F42" s="6"/>
      <c r="G42" s="6"/>
      <c r="H42" s="6"/>
      <c r="I42" s="6"/>
    </row>
    <row r="43" spans="1:9" x14ac:dyDescent="0.3">
      <c r="A43" s="4">
        <v>39</v>
      </c>
      <c r="B43" s="6"/>
      <c r="C43" s="6"/>
      <c r="D43" s="6"/>
      <c r="E43" s="6"/>
      <c r="F43" s="6"/>
      <c r="G43" s="6"/>
      <c r="H43" s="6"/>
      <c r="I43" s="6"/>
    </row>
    <row r="44" spans="1:9" x14ac:dyDescent="0.3">
      <c r="A44" s="4">
        <v>40</v>
      </c>
      <c r="B44" s="6"/>
      <c r="C44" s="6"/>
      <c r="D44" s="6"/>
      <c r="E44" s="6"/>
      <c r="F44" s="6"/>
      <c r="G44" s="6"/>
      <c r="H44" s="6"/>
      <c r="I44" s="6"/>
    </row>
    <row r="45" spans="1:9" x14ac:dyDescent="0.3">
      <c r="A45" s="4">
        <v>41</v>
      </c>
      <c r="B45" s="6"/>
      <c r="C45" s="6"/>
      <c r="D45" s="6"/>
      <c r="E45" s="6"/>
      <c r="F45" s="6"/>
      <c r="G45" s="6"/>
      <c r="H45" s="6"/>
      <c r="I45" s="6"/>
    </row>
    <row r="46" spans="1:9" x14ac:dyDescent="0.3">
      <c r="A46" s="4">
        <v>42</v>
      </c>
      <c r="B46" s="6"/>
      <c r="C46" s="6"/>
      <c r="D46" s="6"/>
      <c r="E46" s="6"/>
      <c r="F46" s="6"/>
      <c r="G46" s="6"/>
      <c r="H46" s="6"/>
      <c r="I46" s="6"/>
    </row>
    <row r="47" spans="1:9" x14ac:dyDescent="0.3">
      <c r="A47" s="4">
        <v>43</v>
      </c>
      <c r="B47" s="6"/>
      <c r="C47" s="6"/>
      <c r="D47" s="6"/>
      <c r="E47" s="6"/>
      <c r="F47" s="6"/>
      <c r="G47" s="6"/>
      <c r="H47" s="6"/>
      <c r="I47" s="6"/>
    </row>
    <row r="48" spans="1:9" x14ac:dyDescent="0.3">
      <c r="A48" s="4">
        <v>44</v>
      </c>
      <c r="B48" s="6"/>
      <c r="C48" s="6"/>
      <c r="D48" s="6"/>
      <c r="E48" s="6"/>
      <c r="F48" s="6"/>
      <c r="G48" s="6"/>
      <c r="H48" s="6"/>
      <c r="I48" s="6"/>
    </row>
    <row r="49" spans="1:9" x14ac:dyDescent="0.3">
      <c r="A49" s="4">
        <v>45</v>
      </c>
      <c r="B49" s="6"/>
      <c r="C49" s="6"/>
      <c r="D49" s="6"/>
      <c r="E49" s="6"/>
      <c r="F49" s="6"/>
      <c r="G49" s="6"/>
      <c r="H49" s="6"/>
      <c r="I49" s="6"/>
    </row>
    <row r="50" spans="1:9" x14ac:dyDescent="0.3">
      <c r="A50" s="4">
        <v>46</v>
      </c>
      <c r="B50" s="6"/>
      <c r="C50" s="6"/>
      <c r="D50" s="6"/>
      <c r="E50" s="6"/>
      <c r="F50" s="6"/>
      <c r="G50" s="6"/>
      <c r="H50" s="6"/>
      <c r="I50" s="6"/>
    </row>
    <row r="51" spans="1:9" x14ac:dyDescent="0.3">
      <c r="A51" s="4">
        <v>47</v>
      </c>
      <c r="B51" s="6"/>
      <c r="C51" s="6"/>
      <c r="D51" s="6"/>
      <c r="E51" s="6"/>
      <c r="F51" s="6"/>
      <c r="G51" s="6"/>
      <c r="H51" s="6"/>
      <c r="I51" s="6"/>
    </row>
    <row r="52" spans="1:9" x14ac:dyDescent="0.3">
      <c r="A52" s="4">
        <v>48</v>
      </c>
      <c r="B52" s="6"/>
      <c r="C52" s="6"/>
      <c r="D52" s="6"/>
      <c r="E52" s="6"/>
      <c r="F52" s="6"/>
      <c r="G52" s="6"/>
      <c r="H52" s="6"/>
      <c r="I52" s="6"/>
    </row>
    <row r="53" spans="1:9" x14ac:dyDescent="0.3">
      <c r="A53" s="4">
        <v>49</v>
      </c>
      <c r="B53" s="6"/>
      <c r="C53" s="6"/>
      <c r="D53" s="6"/>
      <c r="E53" s="6"/>
      <c r="F53" s="6"/>
      <c r="G53" s="6"/>
      <c r="H53" s="6"/>
      <c r="I53" s="6"/>
    </row>
    <row r="54" spans="1:9" x14ac:dyDescent="0.3">
      <c r="A54" s="4">
        <v>50</v>
      </c>
      <c r="B54" s="6"/>
      <c r="C54" s="6"/>
      <c r="D54" s="6"/>
      <c r="E54" s="6"/>
      <c r="F54" s="6"/>
      <c r="G54" s="6"/>
      <c r="H54" s="6"/>
      <c r="I54" s="6"/>
    </row>
    <row r="56" spans="1:9" x14ac:dyDescent="0.3">
      <c r="B56" t="s">
        <v>110</v>
      </c>
      <c r="I56">
        <f>COUNTIFS(G5:G54,"Да",I5:I54,"&lt;&gt;Да")</f>
        <v>0</v>
      </c>
    </row>
  </sheetData>
  <mergeCells count="2">
    <mergeCell ref="A1:I1"/>
    <mergeCell ref="A2:I2"/>
  </mergeCells>
  <dataValidations count="2">
    <dataValidation type="list" allowBlank="1" errorTitle="Недопустимое значение" error="Выберите значение из списка" sqref="E5:E54" xr:uid="{00000000-0002-0000-0400-000000000000}">
      <formula1>"Копия,Оригинал,Электронный образ"</formula1>
    </dataValidation>
    <dataValidation type="list" allowBlank="1" errorTitle="Недопустимое значение" error="Выберите значение из списка" sqref="F5:G54 I5:I54" xr:uid="{00000000-0002-0000-0400-000001000000}">
      <formula1>"Да,Нет"</formula1>
    </dataValidation>
  </dataValidations>
  <pageMargins left="0.75" right="0.75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Взаиморасчёты</vt:lpstr>
      <vt:lpstr>Долг по актам</vt:lpstr>
      <vt:lpstr>Акт сверки</vt:lpstr>
      <vt:lpstr>Реестр передачи</vt:lpstr>
      <vt:lpstr>Реестр приложений</vt:lpstr>
      <vt:lpstr>'Акт сверки'!Заголовки_для_печати</vt:lpstr>
      <vt:lpstr>'Акт сверки'!Область_печати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Маржа в бетоне</dc:creator>
  <cp:lastModifiedBy>Бушланов Денис Михайлович</cp:lastModifiedBy>
  <dcterms:created xsi:type="dcterms:W3CDTF">2026-09-27T00:00:00Z</dcterms:created>
  <dcterms:modified xsi:type="dcterms:W3CDTF">2026-10-05T05:55:58Z</dcterms:modified>
</cp:coreProperties>
</file>