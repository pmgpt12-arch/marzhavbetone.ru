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b2-v1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H19" i="1" s="1"/>
  <c r="G18" i="1"/>
  <c r="I18" i="1" s="1"/>
  <c r="G17" i="1"/>
  <c r="H17" i="1" s="1"/>
  <c r="G16" i="1"/>
  <c r="I16" i="1" s="1"/>
  <c r="G15" i="1"/>
  <c r="H15" i="1" s="1"/>
  <c r="G14" i="1"/>
  <c r="I14" i="1" s="1"/>
  <c r="G13" i="1"/>
  <c r="H13" i="1" s="1"/>
  <c r="G12" i="1"/>
  <c r="I12" i="1" s="1"/>
  <c r="G11" i="1"/>
  <c r="H11" i="1" s="1"/>
  <c r="G10" i="1"/>
  <c r="I10" i="1" s="1"/>
  <c r="G9" i="1"/>
  <c r="I5" i="1" l="1"/>
  <c r="I13" i="1"/>
  <c r="H12" i="1"/>
  <c r="H16" i="1"/>
  <c r="H10" i="1"/>
  <c r="H14" i="1"/>
  <c r="H18" i="1"/>
  <c r="I9" i="1"/>
  <c r="H9" i="1" s="1"/>
  <c r="I17" i="1"/>
  <c r="D5" i="1"/>
  <c r="F5" i="1"/>
  <c r="I11" i="1"/>
  <c r="I15" i="1"/>
  <c r="I19" i="1"/>
  <c r="C5" i="1"/>
  <c r="G5" i="1"/>
  <c r="H20" i="1"/>
  <c r="E5" i="1"/>
  <c r="H5" i="1" l="1"/>
</calcChain>
</file>

<file path=xl/sharedStrings.xml><?xml version="1.0" encoding="utf-8"?>
<sst xmlns="http://schemas.openxmlformats.org/spreadsheetml/2006/main" count="48" uniqueCount="44">
  <si>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</si>
  <si>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</si>
  <si>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</si>
  <si>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</si>
  <si>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</si>
  <si>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</si>
  <si>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</si>
  <si>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</si>
  <si>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</si>
  <si>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</si>
  <si>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</si>
  <si>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</si>
  <si>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</si>
  <si>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</si>
  <si>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</si>
  <si>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</si>
  <si>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</si>
  <si>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</si>
  <si>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</si>
  <si>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</si>
  <si>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</si>
  <si>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</si>
  <si>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</si>
  <si>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</si>
  <si>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</si>
  <si>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</si>
  <si>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</si>
  <si>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</si>
  <si>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</si>
  <si>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</si>
  <si>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</si>
  <si>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</si>
  <si>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</si>
  <si>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</si>
  <si>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 подтверждены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</si>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</sst>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1.95" customHeight="1">
      <c r="A3" s="2" t="s">
        <v>2</v>
      </c>
      <c r="B3" s="4"/>
      <c r="C3" s="11" t="s">
        <v>3</v>
      </c>
      <c r="D3" s="11"/>
      <c r="E3" s="11"/>
      <c r="F3" s="11"/>
      <c r="G3" s="11"/>
      <c r="H3" s="11"/>
      <c r="I3" s="11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 t="str">
        <f>IF(COUNTBLANK($G$9:$G$20)=12,"НЕТ ДАННЫХ",IF(NOT(COUNT($G$9:$G$20)+COUNTBLANK($G$9:$G$20)=12),"ПРОВЕРЬТЕ РЕЕСТР",SUM(C9:C20)))</f>
        <v>НЕТ ДАННЫХ</v>
      </c>
      <c r="D5" s="8" t="str">
        <f>IF(COUNTBLANK($G$9:$G$20)=12,"НЕТ ДАННЫХ",IF(NOT(COUNT($G$9:$G$20)+COUNTBLANK($G$9:$G$20)=12),"ПРОВЕРЬТЕ РЕЕСТР",SUM(D9:D20)))</f>
        <v>НЕТ ДАННЫХ</v>
      </c>
      <c r="E5" s="8" t="str">
        <f>IF(COUNTBLANK($G$9:$G$20)=12,"НЕТ ДАННЫХ",IF(NOT(COUNT($G$9:$G$20)+COUNTBLANK($G$9:$G$20)=12),"ПРОВЕРЬТЕ РЕЕСТР",SUM(E9:E20)))</f>
        <v>НЕТ ДАННЫХ</v>
      </c>
      <c r="F5" s="8" t="str">
        <f>IF(COUNTBLANK($G$9:$G$20)=12,"НЕТ ДАННЫХ",IF(NOT(COUNT($G$9:$G$20)+COUNTBLANK($G$9:$G$20)=12),"ПРОВЕРЬТЕ РЕЕСТР",SUM(F9:F20)))</f>
        <v>НЕТ ДАННЫХ</v>
      </c>
      <c r="G5" s="8" t="str">
        <f>IF(COUNTBLANK($G$9:$G$20)=12,"НЕТ ДАННЫХ",IF(NOT(COUNT($G$9:$G$20)+COUNTBLANK($G$9:$G$20)=12),"ПРОВЕРЬТЕ РЕЕСТР",SUM(G9:G20)))</f>
        <v>НЕТ ДАННЫХ</v>
      </c>
      <c r="H5" s="8" t="str">
        <f>IF(COUNTBLANK($G$9:$G$20)=12,"НЕТ ДАННЫХ",IF(COUNT($H$9:$H$20)+COUNTBLANK($H$9:$H$20)&lt;&gt;12,"ПРОВЕРЬТЕ УСЛОВИЯ",SUM(H9:H20)))</f>
        <v>НЕТ ДАННЫХ</v>
      </c>
      <c r="I5" s="9" t="str">
        <f>IF(COUNTBLANK($G$9:$G$20)=12,"НЕТ ДАННЫХ",12-COUNTBLANK(G9:G20))</f>
        <v>НЕТ ДАННЫХ</v>
      </c>
    </row>
    <row r="6" spans="1:9" ht="18" customHeight="1">
      <c r="A6" s="11" t="s">
        <v>11</v>
      </c>
      <c r="B6" s="11"/>
      <c r="C6" s="11"/>
      <c r="D6" s="11"/>
      <c r="E6" s="11"/>
      <c r="F6" s="11"/>
      <c r="G6" s="11"/>
      <c r="H6" s="11"/>
      <c r="I6" s="11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/>
      <c r="C9" s="5"/>
      <c r="D9" s="5"/>
      <c r="E9" s="5"/>
      <c r="F9" s="5"/>
      <c r="G9" s="6" t="str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/>
      </c>
      <c r="H9" s="6" t="str">
        <f t="shared" ref="H9:H20" si="0">IF(AND(ISTEXT(G9),G9=""),"",IF(NOT(ISNUMBER(G9)),G9,IF(OR(I9="К ВОЗВРАТУ",G9=0),G9,IF(OR(I9="СРОК НЕ НАСТУПИЛ",I9="УСЛОВИЯ НЕ ВЫПОЛНЕНЫ"),0,I9))))</f>
        <v/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/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2" t="s">
        <v>18</v>
      </c>
      <c r="B22" s="12"/>
      <c r="C22" s="12"/>
      <c r="D22" s="12"/>
      <c r="E22" s="12"/>
      <c r="F22" s="12"/>
      <c r="G22" s="12"/>
      <c r="H22" s="12"/>
      <c r="I22" s="12"/>
    </row>
    <row r="23" spans="1:9" ht="21.95" customHeight="1">
      <c r="A23" s="12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ht="21.95" customHeight="1">
      <c r="A24" s="12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ht="21.95" customHeight="1">
      <c r="A25" s="12" t="s">
        <v>21</v>
      </c>
      <c r="B25" s="12"/>
      <c r="C25" s="12"/>
      <c r="D25" s="12"/>
      <c r="E25" s="12"/>
      <c r="F25" s="12"/>
      <c r="G25" s="12"/>
      <c r="H25" s="12"/>
      <c r="I25" s="12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.95" customHeight="1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.95" customHeight="1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1.95" customHeight="1">
      <c r="A4" s="11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1" t="s">
        <v>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/>
      <c r="C9" s="3"/>
      <c r="D9" s="4"/>
      <c r="E9" s="3"/>
      <c r="F9" s="4"/>
      <c r="G9" s="4"/>
      <c r="H9" s="3"/>
      <c r="I9" s="3"/>
      <c r="J9" s="4"/>
      <c r="K9" s="3"/>
      <c r="L9" s="3"/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B22:M22"/>
    <mergeCell ref="B23:M23"/>
    <mergeCell ref="B24:M24"/>
    <mergeCell ref="B25:M25"/>
    <mergeCell ref="B26:M26"/>
    <mergeCell ref="A1:M1"/>
    <mergeCell ref="A2:M2"/>
    <mergeCell ref="A3:M3"/>
    <mergeCell ref="A4:M4"/>
    <mergeCell ref="A6:M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2026-10-23T05:31:44Z</cp:lastPrinted>
  <dcterms:created xsi:type="dcterms:W3CDTF">2026-10-23T05:31:45Z</dcterms:created>
  <dcterms:modified xsi:type="dcterms:W3CDTF">2026-10-23T05:31:45Z</dcterms:modified>
</cp:coreProperties>
</file>