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3-excel-final-blank-v3-20261023\"/>
    </mc:Choice>
  </mc:AlternateContent>
  <bookViews>
    <workbookView xWindow="0" yWindow="0" windowWidth="19710" windowHeight="6810"/>
  </bookViews>
  <sheets>
    <sheet name="Реестр удержаний" sheetId="1" r:id="rId1"/>
    <sheet name="Условия возврата" sheetId="2" r:id="rId2"/>
  </sheets>
  <definedNames>
    <definedName name="Print_Area" localSheetId="0">'Реестр удержаний'!$A$1:$I$25</definedName>
    <definedName name="Print_Area" localSheetId="1">'Условия возврата'!$A$1:$M$26</definedName>
  </definedNames>
  <calcPr calcId="162913" forceFullCalc="1"/>
</workbook>
</file>

<file path=xl/calcChain.xml><?xml version="1.0" encoding="utf-8"?>
<calcChain xmlns="http://schemas.openxmlformats.org/spreadsheetml/2006/main">
  <c r="G20" i="1" l="1"/>
  <c r="I20" i="1" s="1"/>
  <c r="G19" i="1"/>
  <c r="H19" i="1" s="1"/>
  <c r="G18" i="1"/>
  <c r="H18" i="1" s="1"/>
  <c r="G17" i="1"/>
  <c r="H17" i="1" s="1"/>
  <c r="G16" i="1"/>
  <c r="I16" i="1" s="1"/>
  <c r="G15" i="1"/>
  <c r="H15" i="1" s="1"/>
  <c r="G14" i="1"/>
  <c r="H14" i="1" s="1"/>
  <c r="G13" i="1"/>
  <c r="H13" i="1" s="1"/>
  <c r="G12" i="1"/>
  <c r="I12" i="1" s="1"/>
  <c r="G11" i="1"/>
  <c r="H11" i="1" s="1"/>
  <c r="G10" i="1"/>
  <c r="H10" i="1" s="1"/>
  <c r="G9" i="1"/>
  <c r="G5" i="1" l="1"/>
  <c r="I13" i="1"/>
  <c r="I10" i="1"/>
  <c r="I17" i="1"/>
  <c r="I14" i="1"/>
  <c r="H9" i="1"/>
  <c r="C5" i="1"/>
  <c r="I9" i="1"/>
  <c r="I18" i="1"/>
  <c r="D5" i="1"/>
  <c r="H5" i="1"/>
  <c r="H12" i="1"/>
  <c r="E5" i="1"/>
  <c r="F5" i="1"/>
  <c r="I11" i="1"/>
  <c r="I15" i="1"/>
  <c r="I19" i="1"/>
  <c r="H20" i="1"/>
  <c r="H16" i="1"/>
  <c r="I5" i="1"/>
</calcChain>
</file>

<file path=xl/sharedStrings.xml><?xml version="1.0" encoding="utf-8"?>
<sst xmlns="http://schemas.openxmlformats.org/spreadsheetml/2006/main" count="48" uniqueCount="44">
  <si>
    <t>Гарантийное удержание по объекту</t>
  </si>
  <si>
    <t>Остаток удержания и сумма к возврату проверяются раздельно. Все суммы в рублях.</t>
  </si>
  <si>
    <t>На:</t>
  </si>
  <si>
    <t>Сверяйте суммы, даты погашений и условия возврата на эту дату.</t>
  </si>
  <si>
    <t>Сумма актов</t>
  </si>
  <si>
    <t>Удержано всего</t>
  </si>
  <si>
    <t>Возвращено деньгами</t>
  </si>
  <si>
    <t>Иное погашение</t>
  </si>
  <si>
    <t>Остаток удержания</t>
  </si>
  <si>
    <t>К возврату на дату</t>
  </si>
  <si>
    <t>Актов в реестре</t>
  </si>
  <si>
    <t>Заполняйте светлые поля. G:I — формулы. Подтверждения и сроки — на листе «Условия возврата».</t>
  </si>
  <si>
    <t>№</t>
  </si>
  <si>
    <t>Акт номер и дата</t>
  </si>
  <si>
    <t>Сумма акта</t>
  </si>
  <si>
    <t>Удержано до погашений</t>
  </si>
  <si>
    <t>Остаток</t>
  </si>
  <si>
    <t>Готовность к возврату</t>
  </si>
  <si>
    <t>D — удержано до возвратов; E — денежные возвраты; F — иное подтверждённое погашение. Каждая операция учитывается один раз.</t>
  </si>
  <si>
    <t>Не включайте одну операцию одновременно в E и F. Спорные списания не принимаются автоматически как погашение.</t>
  </si>
  <si>
    <t>Остаток G не равен сумме к возврату H при ненаступившем или неподтверждённом сроке. При споре проверьте условия.</t>
  </si>
  <si>
    <t>До 12 актов. Порядок, пример и письмо — файлы 01 и 04. Поддержка: nastoronepodryadchika@yandex.ru.</t>
  </si>
  <si>
    <t>Условия и подтверждения возврата</t>
  </si>
  <si>
    <t>Строки соответствуют тем же актам на первом листе. Перепишите условие дословно; подтвердите событие, срок и документы.</t>
  </si>
  <si>
    <t>J — дата последнего денежного возврата, M — дата иного подтверждённого погашения. В K укажите документы и распределение сумм.</t>
  </si>
  <si>
    <t>Крайний день G вводится после проверки договора и календаря. Сам реестр не назначает универсальный срок возврата.</t>
  </si>
  <si>
    <t>При первичном требовании оставьте F пустой: срок ещё не запущен. После доставки внесите F и проверенную дату G.</t>
  </si>
  <si>
    <t>Пункт удержания и возврата</t>
  </si>
  <si>
    <t>Событие и документ</t>
  </si>
  <si>
    <t>Дата события</t>
  </si>
  <si>
    <t>Возврат</t>
  </si>
  <si>
    <t>Доставлено требование</t>
  </si>
  <si>
    <t>Крайний день возврата</t>
  </si>
  <si>
    <t>Срок и его основание</t>
  </si>
  <si>
    <t>Условия: да/нет/спор</t>
  </si>
  <si>
    <t>Денежный возврат дата</t>
  </si>
  <si>
    <t>Подтверждения сумм</t>
  </si>
  <si>
    <t>Письма ответы и примечания</t>
  </si>
  <si>
    <t>Иное погашение дата</t>
  </si>
  <si>
    <t>ГК РФ ст. 327.1 — условие исполнения</t>
  </si>
  <si>
    <t>ГК РФ ст. 314 — определение срока исполнения</t>
  </si>
  <si>
    <t>ГК РФ ст. 165.1 — доставка сообщений</t>
  </si>
  <si>
    <t>ГК РФ ст. 410 — условия зачёта</t>
  </si>
  <si>
    <t>ГК РФ ст. 411 — ограничения зачёта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</si>
</sst>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1"/>
      <name val="Carlito"/>
    </font>
    <font>
      <sz val="11"/>
      <color rgb="FF252A30"/>
      <name val="Arial"/>
    </font>
    <font>
      <b/>
      <sz val="15"/>
      <color rgb="FF000000"/>
      <name val="Arial"/>
    </font>
    <font>
      <b/>
      <sz val="10.5"/>
      <color rgb="FFFFFFFF"/>
      <name val="Arial"/>
    </font>
    <font>
      <b/>
      <sz val="11"/>
      <color rgb="FF252A30"/>
      <name val="Arial"/>
    </font>
    <font>
      <sz val="10"/>
      <color rgb="FF252A30"/>
      <name val="Arial"/>
    </font>
    <font>
      <sz val="11"/>
      <color rgb="FF72552B"/>
      <name val="Arial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4">
    <xf numFmtId="0" fontId="0" fillId="0" borderId="0" xfId="0"/>
    <xf numFmtId="0" fontId="3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3" borderId="0" xfId="1" applyNumberFormat="1" applyFont="1" applyFill="1" applyBorder="1" applyAlignment="1">
      <alignment vertical="center" wrapText="1"/>
    </xf>
    <xf numFmtId="164" fontId="1" fillId="3" borderId="0" xfId="1" applyNumberFormat="1" applyFont="1" applyFill="1" applyBorder="1" applyAlignment="1">
      <alignment vertical="center" wrapText="1"/>
    </xf>
    <xf numFmtId="4" fontId="1" fillId="3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4" fontId="4" fillId="4" borderId="0" xfId="1" applyNumberFormat="1" applyFont="1" applyFill="1" applyBorder="1" applyAlignment="1">
      <alignment vertical="center" wrapText="1"/>
    </xf>
    <xf numFmtId="0" fontId="4" fillId="4" borderId="0" xfId="1" applyNumberFormat="1" applyFont="1" applyFill="1" applyBorder="1" applyAlignment="1">
      <alignment vertical="center" wrapText="1"/>
    </xf>
    <xf numFmtId="0" fontId="2" fillId="0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5" fillId="0" borderId="0" xfId="1" applyNumberFormat="1" applyFont="1" applyFill="1" applyBorder="1" applyAlignment="1">
      <alignment vertical="center" wrapText="1"/>
    </xf>
    <xf numFmtId="0" fontId="6" fillId="0" borderId="0" xfId="1" applyNumberFormat="1" applyFont="1" applyFill="1" applyBorder="1" applyAlignment="1">
      <alignment vertical="center" wrapText="1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1996a193f316d0ef7da6d50cf44745feeda864f1/" TargetMode="External"/><Relationship Id="rId2" Type="http://schemas.openxmlformats.org/officeDocument/2006/relationships/hyperlink" Target="https://www.consultant.ru/document/cons_doc_LAW_5142/3a7d3c1ca588deb50bc9bc8bde5576afc732f9a2/" TargetMode="External"/><Relationship Id="rId1" Type="http://schemas.openxmlformats.org/officeDocument/2006/relationships/hyperlink" Target="https://www.consultant.ru/document/cons_doc_LAW_5142/e3361788dae66ff36dddf6d8d07ce518d1f097f0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consultant.ru/document/cons_doc_LAW_5142/8b64baebe684327db892d518687befdccd241cc8/" TargetMode="External"/><Relationship Id="rId4" Type="http://schemas.openxmlformats.org/officeDocument/2006/relationships/hyperlink" Target="https://www.consultant.ru/document/cons_doc_LAW_5142/ce09e59d11f3a60c30a1601c0f6c7cceb9835df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I25"/>
  <sheetViews>
    <sheetView showGridLines="0" tabSelected="1" workbookViewId="0">
      <pane ySplit="8" topLeftCell="A9" activePane="bottomLeft" state="frozen"/>
      <selection pane="bottomLeft" sqref="A1:I1"/>
    </sheetView>
  </sheetViews>
  <sheetFormatPr defaultRowHeight="14.25"/>
  <cols>
    <col min="1" max="1" width="4" customWidth="1"/>
    <col min="2" max="2" width="22" customWidth="1"/>
    <col min="3" max="3" width="15" customWidth="1"/>
    <col min="4" max="7" width="16" customWidth="1"/>
    <col min="8" max="8" width="17" customWidth="1"/>
    <col min="9" max="9" width="27" customWidth="1"/>
  </cols>
  <sheetData>
    <row r="1" spans="1:9" ht="24" customHeight="1">
      <c r="A1" s="10" t="s">
        <v>0</v>
      </c>
      <c r="B1" s="10"/>
      <c r="C1" s="10"/>
      <c r="D1" s="10"/>
      <c r="E1" s="10"/>
      <c r="F1" s="10"/>
      <c r="G1" s="10"/>
      <c r="H1" s="10"/>
      <c r="I1" s="10"/>
    </row>
    <row r="2" spans="1:9" ht="18" customHeight="1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21.95" customHeight="1">
      <c r="A3" s="2" t="s">
        <v>2</v>
      </c>
      <c r="B3" s="4"/>
      <c r="C3" s="11" t="s">
        <v>3</v>
      </c>
      <c r="D3" s="11"/>
      <c r="E3" s="11"/>
      <c r="F3" s="11"/>
      <c r="G3" s="11"/>
      <c r="H3" s="11"/>
      <c r="I3" s="11"/>
    </row>
    <row r="4" spans="1:9" ht="32.1" customHeight="1">
      <c r="A4" s="2"/>
      <c r="B4" s="2"/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</row>
    <row r="5" spans="1:9" ht="27.95" customHeight="1">
      <c r="A5" s="2"/>
      <c r="B5" s="2"/>
      <c r="C5" s="8" t="str">
        <f>IF(COUNTBLANK($G$9:$G$20)=12,"НЕТ ДАННЫХ",IF(NOT(COUNT($G$9:$G$20)+COUNTBLANK($G$9:$G$20)=12),"ПРОВЕРЬТЕ РЕЕСТР",SUM(C9:C20)))</f>
        <v>НЕТ ДАННЫХ</v>
      </c>
      <c r="D5" s="8" t="str">
        <f>IF(COUNTBLANK($G$9:$G$20)=12,"НЕТ ДАННЫХ",IF(NOT(COUNT($G$9:$G$20)+COUNTBLANK($G$9:$G$20)=12),"ПРОВЕРЬТЕ РЕЕСТР",SUM(D9:D20)))</f>
        <v>НЕТ ДАННЫХ</v>
      </c>
      <c r="E5" s="8" t="str">
        <f>IF(COUNTBLANK($G$9:$G$20)=12,"НЕТ ДАННЫХ",IF(NOT(COUNT($G$9:$G$20)+COUNTBLANK($G$9:$G$20)=12),"ПРОВЕРЬТЕ РЕЕСТР",SUM(E9:E20)))</f>
        <v>НЕТ ДАННЫХ</v>
      </c>
      <c r="F5" s="8" t="str">
        <f>IF(COUNTBLANK($G$9:$G$20)=12,"НЕТ ДАННЫХ",IF(NOT(COUNT($G$9:$G$20)+COUNTBLANK($G$9:$G$20)=12),"ПРОВЕРЬТЕ РЕЕСТР",SUM(F9:F20)))</f>
        <v>НЕТ ДАННЫХ</v>
      </c>
      <c r="G5" s="8" t="str">
        <f>IF(COUNTBLANK($G$9:$G$20)=12,"НЕТ ДАННЫХ",IF(NOT(COUNT($G$9:$G$20)+COUNTBLANK($G$9:$G$20)=12),"ПРОВЕРЬТЕ РЕЕСТР",SUM(G9:G20)))</f>
        <v>НЕТ ДАННЫХ</v>
      </c>
      <c r="H5" s="8" t="str">
        <f>IF(COUNTBLANK($G$9:$G$20)=12,"НЕТ ДАННЫХ",IF(COUNT($H$9:$H$20)+COUNTBLANK($H$9:$H$20)&lt;&gt;12,"ПРОВЕРЬТЕ УСЛОВИЯ",SUM(H9:H20)))</f>
        <v>НЕТ ДАННЫХ</v>
      </c>
      <c r="I5" s="9" t="str">
        <f>IF(COUNTBLANK($G$9:$G$20)=12,"НЕТ ДАННЫХ",12-COUNTBLANK(G9:G20))</f>
        <v>НЕТ ДАННЫХ</v>
      </c>
    </row>
    <row r="6" spans="1:9" ht="18" customHeight="1">
      <c r="A6" s="11" t="s">
        <v>11</v>
      </c>
      <c r="B6" s="11"/>
      <c r="C6" s="11"/>
      <c r="D6" s="11"/>
      <c r="E6" s="11"/>
      <c r="F6" s="11"/>
      <c r="G6" s="11"/>
      <c r="H6" s="11"/>
      <c r="I6" s="11"/>
    </row>
    <row r="7" spans="1:9" ht="3.95" customHeight="1">
      <c r="A7" s="2"/>
      <c r="B7" s="2"/>
      <c r="C7" s="2"/>
      <c r="D7" s="2"/>
      <c r="E7" s="2"/>
      <c r="F7" s="2"/>
      <c r="G7" s="2"/>
      <c r="H7" s="2"/>
      <c r="I7" s="2"/>
    </row>
    <row r="8" spans="1:9" ht="39.950000000000003" customHeight="1">
      <c r="A8" s="1" t="s">
        <v>12</v>
      </c>
      <c r="B8" s="1" t="s">
        <v>13</v>
      </c>
      <c r="C8" s="1" t="s">
        <v>14</v>
      </c>
      <c r="D8" s="1" t="s">
        <v>15</v>
      </c>
      <c r="E8" s="1" t="s">
        <v>6</v>
      </c>
      <c r="F8" s="1" t="s">
        <v>7</v>
      </c>
      <c r="G8" s="1" t="s">
        <v>16</v>
      </c>
      <c r="H8" s="1" t="s">
        <v>9</v>
      </c>
      <c r="I8" s="1" t="s">
        <v>17</v>
      </c>
    </row>
    <row r="9" spans="1:9" ht="24" customHeight="1">
      <c r="A9" s="2">
        <v>1</v>
      </c>
      <c r="B9" s="3"/>
      <c r="C9" s="5"/>
      <c r="D9" s="5"/>
      <c r="E9" s="5"/>
      <c r="F9" s="5"/>
      <c r="G9" s="6" t="str">
        <f>IF(COUNTA(B9:F9)+COUNTA('Условия возврата'!B9:'Условия возврата'!M9)=0,"",IF(NOT(IF(ISNUMBER($B$3),AND($B$3&gt;=1,$B$3&lt;=2958465,MOD($B$3,1)=0),FALSE)),"ДАТА РАСЧЁТА",IF(OR(B9="",LEN(TRIM(B9&amp;""))=0),"УКАЖИТЕ АКТ",IF(COUNTIFS($B$9:$B$20,B9)&gt;1,"ПОВТОР АКТА",IF(NOT(AND(IF(ISNUMBER(C9),AND(C9&gt;=0,ROUND(C9,2)=C9),FALSE),IF(ISNUMBER(D9),AND(D9&gt;=0,ROUND(D9,2)=D9),FALSE),IF(ISNUMBER(E9),AND(E9&gt;=0,ROUND(E9,2)=E9),FALSE),IF(ISNUMBER(F9),AND(F9&gt;=0,ROUND(F9,2)=F9),FALSE))),"ПРОВЕРЬТЕ СУММЫ",IF(D9&gt;C9,"УДЕРЖАНО &gt; АКТА",IF(SUM(E9:F9)&gt;D9,"ПОГАШЕНО &gt; УДЕРЖАНО",IF(AND(E9&gt;0,NOT(AND(IF(ISNUMBER('Условия возврата'!J9),AND('Условия возврата'!J9&gt;=1,'Условия возврата'!J9&lt;=2958465,MOD('Условия возврата'!J9,1)=0),FALSE),'Условия возврата'!J9&lt;=$B$3,'Условия возврата'!K9&lt;&gt;""))),"ВОЗВРАТ: ДАННЫЕ",IF(AND(F9&gt;0,NOT(AND(IF(ISNUMBER('Условия возврата'!M9),AND('Условия возврата'!M9&gt;=1,'Условия возврата'!M9&lt;=2958465,MOD('Условия возврата'!M9,1)=0),FALSE),'Условия возврата'!M9&lt;=$B$3,'Условия возврата'!K9&lt;&gt;""))),"ПОГАШЕНИЕ: ДАННЫЕ",ROUND(D9-SUM(E9:F9),2))))))))))</f>
        <v/>
      </c>
      <c r="H9" s="6" t="str">
        <f t="shared" ref="H9:H20" si="0">IF(AND(ISTEXT(G9),G9=""),"",IF(NOT(ISNUMBER(G9)),G9,IF(OR(I9="К ВОЗВРАТУ",G9=0),G9,IF(OR(I9="СРОК НЕ НАСТУПИЛ",I9="УСЛОВИЯ НЕ ВЫПОЛНЕНЫ"),0,I9))))</f>
        <v/>
      </c>
      <c r="I9" s="7" t="str">
        <f>IF(AND(ISTEXT(G9),G9=""),"",IF(NOT(ISNUMBER(G9)),G9,IF(G9=0,IF(D9=0,"УДЕРЖАНИЯ НЕТ","ПОГАШЕНО ПОЛНОСТЬЮ"),IF('Условия возврата'!I9="нет","УСЛОВИЯ НЕ ВЫПОЛНЕНЫ",IF('Условия возврата'!I9="спор","СПОРНЫЕ УСЛОВИЯ",IF('Условия возврата'!I9&lt;&gt;"да","ПОДТВЕРДИТЕ УСЛОВИЯ",IF(OR('Условия возврата'!B9="",'Условия возврата'!C9="",'Условия возврата'!H9=""),"ОСНОВАНИЕ И СРОК",IF(NOT(AND(IF(ISNUMBER('Условия возврата'!D9),AND('Условия возврата'!D9&gt;=1,'Условия возврата'!D9&lt;=2958465,MOD('Условия возврата'!D9,1)=0),FALSE),'Условия возврата'!D9&lt;=$B$3)),"ПОДТВЕРДИТЕ СОБЫТИЕ",IF(AND('Условия возврата'!E9&lt;&gt;"автоматически",'Условия возврата'!E9&lt;&gt;"по требованию"),"ВИД ВОЗВРАТА",IF(AND('Условия возврата'!E9="по требованию",'Условия возврата'!F9=""),"НАПРАВЬТЕ ТРЕБОВАНИЕ",IF(AND('Условия возврата'!E9="по требованию",NOT(AND(IF(ISNUMBER('Условия возврата'!F9),AND('Условия возврата'!F9&gt;=1,'Условия возврата'!F9&lt;=2958465,MOD('Условия возврата'!F9,1)=0),FALSE),'Условия возврата'!F9&lt;=$B$3))),"ПОДТВЕРДИТЕ ДОСТАВКУ",IF(NOT(AND(IF(ISNUMBER('Условия возврата'!G9),AND('Условия возврата'!G9&gt;=1,'Условия возврата'!G9&lt;=2958465,MOD('Условия возврата'!G9,1)=0),FALSE),'Условия возврата'!G9&gt;='Условия возврата'!D9,IF('Условия возврата'!E9="по требованию",'Условия возврата'!G9&gt;='Условия возврата'!F9,TRUE))),"ПОДТВЕРДИТЕ СРОК",IF('Условия возврата'!G9&gt;$B$3,"СРОК НЕ НАСТУПИЛ","К ВОЗВРАТУ")))))))))))))</f>
        <v/>
      </c>
    </row>
    <row r="10" spans="1:9" ht="24" customHeight="1">
      <c r="A10" s="2">
        <v>2</v>
      </c>
      <c r="B10" s="3"/>
      <c r="C10" s="5"/>
      <c r="D10" s="5"/>
      <c r="E10" s="5"/>
      <c r="F10" s="5"/>
      <c r="G10" s="6" t="str">
        <f>IF(COUNTA(B10:F10)+COUNTA('Условия возврата'!B10:'Условия возврата'!M10)=0,"",IF(NOT(IF(ISNUMBER($B$3),AND($B$3&gt;=1,$B$3&lt;=2958465,MOD($B$3,1)=0),FALSE)),"ДАТА РАСЧЁТА",IF(OR(B10="",LEN(TRIM(B10&amp;""))=0),"УКАЖИТЕ АКТ",IF(COUNTIFS($B$9:$B$20,B10)&gt;1,"ПОВТОР АКТА",IF(NOT(AND(IF(ISNUMBER(C10),AND(C10&gt;=0,ROUND(C10,2)=C10),FALSE),IF(ISNUMBER(D10),AND(D10&gt;=0,ROUND(D10,2)=D10),FALSE),IF(ISNUMBER(E10),AND(E10&gt;=0,ROUND(E10,2)=E10),FALSE),IF(ISNUMBER(F10),AND(F10&gt;=0,ROUND(F10,2)=F10),FALSE))),"ПРОВЕРЬТЕ СУММЫ",IF(D10&gt;C10,"УДЕРЖАНО &gt; АКТА",IF(SUM(E10:F10)&gt;D10,"ПОГАШЕНО &gt; УДЕРЖАНО",IF(AND(E10&gt;0,NOT(AND(IF(ISNUMBER('Условия возврата'!J10),AND('Условия возврата'!J10&gt;=1,'Условия возврата'!J10&lt;=2958465,MOD('Условия возврата'!J10,1)=0),FALSE),'Условия возврата'!J10&lt;=$B$3,'Условия возврата'!K10&lt;&gt;""))),"ВОЗВРАТ: ДАННЫЕ",IF(AND(F10&gt;0,NOT(AND(IF(ISNUMBER('Условия возврата'!M10),AND('Условия возврата'!M10&gt;=1,'Условия возврата'!M10&lt;=2958465,MOD('Условия возврата'!M10,1)=0),FALSE),'Условия возврата'!M10&lt;=$B$3,'Условия возврата'!K10&lt;&gt;""))),"ПОГАШЕНИЕ: ДАННЫЕ",ROUND(D10-SUM(E10:F10),2))))))))))</f>
        <v/>
      </c>
      <c r="H10" s="6" t="str">
        <f t="shared" si="0"/>
        <v/>
      </c>
      <c r="I10" s="7" t="str">
        <f>IF(AND(ISTEXT(G10),G10=""),"",IF(NOT(ISNUMBER(G10)),G10,IF(G10=0,IF(D10=0,"УДЕРЖАНИЯ НЕТ","ПОГАШЕНО ПОЛНОСТЬЮ"),IF('Условия возврата'!I10="нет","УСЛОВИЯ НЕ ВЫПОЛНЕНЫ",IF('Условия возврата'!I10="спор","СПОРНЫЕ УСЛОВИЯ",IF('Условия возврата'!I10&lt;&gt;"да","ПОДТВЕРДИТЕ УСЛОВИЯ",IF(OR('Условия возврата'!B10="",'Условия возврата'!C10="",'Условия возврата'!H10=""),"ОСНОВАНИЕ И СРОК",IF(NOT(AND(IF(ISNUMBER('Условия возврата'!D10),AND('Условия возврата'!D10&gt;=1,'Условия возврата'!D10&lt;=2958465,MOD('Условия возврата'!D10,1)=0),FALSE),'Условия возврата'!D10&lt;=$B$3)),"ПОДТВЕРДИТЕ СОБЫТИЕ",IF(AND('Условия возврата'!E10&lt;&gt;"автоматически",'Условия возврата'!E10&lt;&gt;"по требованию"),"ВИД ВОЗВРАТА",IF(AND('Условия возврата'!E10="по требованию",'Условия возврата'!F10=""),"НАПРАВЬТЕ ТРЕБОВАНИЕ",IF(AND('Условия возврата'!E10="по требованию",NOT(AND(IF(ISNUMBER('Условия возврата'!F10),AND('Условия возврата'!F10&gt;=1,'Условия возврата'!F10&lt;=2958465,MOD('Условия возврата'!F10,1)=0),FALSE),'Условия возврата'!F10&lt;=$B$3))),"ПОДТВЕРДИТЕ ДОСТАВКУ",IF(NOT(AND(IF(ISNUMBER('Условия возврата'!G10),AND('Условия возврата'!G10&gt;=1,'Условия возврата'!G10&lt;=2958465,MOD('Условия возврата'!G10,1)=0),FALSE),'Условия возврата'!G10&gt;='Условия возврата'!D10,IF('Условия возврата'!E10="по требованию",'Условия возврата'!G10&gt;='Условия возврата'!F10,TRUE))),"ПОДТВЕРДИТЕ СРОК",IF('Условия возврата'!G10&gt;$B$3,"СРОК НЕ НАСТУПИЛ","К ВОЗВРАТУ")))))))))))))</f>
        <v/>
      </c>
    </row>
    <row r="11" spans="1:9" ht="24" customHeight="1">
      <c r="A11" s="2">
        <v>3</v>
      </c>
      <c r="B11" s="3"/>
      <c r="C11" s="5"/>
      <c r="D11" s="5"/>
      <c r="E11" s="5"/>
      <c r="F11" s="5"/>
      <c r="G11" s="6" t="str">
        <f>IF(COUNTA(B11:F11)+COUNTA('Условия возврата'!B11:'Условия возврата'!M11)=0,"",IF(NOT(IF(ISNUMBER($B$3),AND($B$3&gt;=1,$B$3&lt;=2958465,MOD($B$3,1)=0),FALSE)),"ДАТА РАСЧЁТА",IF(OR(B11="",LEN(TRIM(B11&amp;""))=0),"УКАЖИТЕ АКТ",IF(COUNTIFS($B$9:$B$20,B11)&gt;1,"ПОВТОР АКТА",IF(NOT(AND(IF(ISNUMBER(C11),AND(C11&gt;=0,ROUND(C11,2)=C11),FALSE),IF(ISNUMBER(D11),AND(D11&gt;=0,ROUND(D11,2)=D11),FALSE),IF(ISNUMBER(E11),AND(E11&gt;=0,ROUND(E11,2)=E11),FALSE),IF(ISNUMBER(F11),AND(F11&gt;=0,ROUND(F11,2)=F11),FALSE))),"ПРОВЕРЬТЕ СУММЫ",IF(D11&gt;C11,"УДЕРЖАНО &gt; АКТА",IF(SUM(E11:F11)&gt;D11,"ПОГАШЕНО &gt; УДЕРЖАНО",IF(AND(E11&gt;0,NOT(AND(IF(ISNUMBER('Условия возврата'!J11),AND('Условия возврата'!J11&gt;=1,'Условия возврата'!J11&lt;=2958465,MOD('Условия возврата'!J11,1)=0),FALSE),'Условия возврата'!J11&lt;=$B$3,'Условия возврата'!K11&lt;&gt;""))),"ВОЗВРАТ: ДАННЫЕ",IF(AND(F11&gt;0,NOT(AND(IF(ISNUMBER('Условия возврата'!M11),AND('Условия возврата'!M11&gt;=1,'Условия возврата'!M11&lt;=2958465,MOD('Условия возврата'!M11,1)=0),FALSE),'Условия возврата'!M11&lt;=$B$3,'Условия возврата'!K11&lt;&gt;""))),"ПОГАШЕНИЕ: ДАННЫЕ",ROUND(D11-SUM(E11:F11),2))))))))))</f>
        <v/>
      </c>
      <c r="H11" s="6" t="str">
        <f t="shared" si="0"/>
        <v/>
      </c>
      <c r="I11" s="7" t="str">
        <f>IF(AND(ISTEXT(G11),G11=""),"",IF(NOT(ISNUMBER(G11)),G11,IF(G11=0,IF(D11=0,"УДЕРЖАНИЯ НЕТ","ПОГАШЕНО ПОЛНОСТЬЮ"),IF('Условия возврата'!I11="нет","УСЛОВИЯ НЕ ВЫПОЛНЕНЫ",IF('Условия возврата'!I11="спор","СПОРНЫЕ УСЛОВИЯ",IF('Условия возврата'!I11&lt;&gt;"да","ПОДТВЕРДИТЕ УСЛОВИЯ",IF(OR('Условия возврата'!B11="",'Условия возврата'!C11="",'Условия возврата'!H11=""),"ОСНОВАНИЕ И СРОК",IF(NOT(AND(IF(ISNUMBER('Условия возврата'!D11),AND('Условия возврата'!D11&gt;=1,'Условия возврата'!D11&lt;=2958465,MOD('Условия возврата'!D11,1)=0),FALSE),'Условия возврата'!D11&lt;=$B$3)),"ПОДТВЕРДИТЕ СОБЫТИЕ",IF(AND('Условия возврата'!E11&lt;&gt;"автоматически",'Условия возврата'!E11&lt;&gt;"по требованию"),"ВИД ВОЗВРАТА",IF(AND('Условия возврата'!E11="по требованию",'Условия возврата'!F11=""),"НАПРАВЬТЕ ТРЕБОВАНИЕ",IF(AND('Условия возврата'!E11="по требованию",NOT(AND(IF(ISNUMBER('Условия возврата'!F11),AND('Условия возврата'!F11&gt;=1,'Условия возврата'!F11&lt;=2958465,MOD('Условия возврата'!F11,1)=0),FALSE),'Условия возврата'!F11&lt;=$B$3))),"ПОДТВЕРДИТЕ ДОСТАВКУ",IF(NOT(AND(IF(ISNUMBER('Условия возврата'!G11),AND('Условия возврата'!G11&gt;=1,'Условия возврата'!G11&lt;=2958465,MOD('Условия возврата'!G11,1)=0),FALSE),'Условия возврата'!G11&gt;='Условия возврата'!D11,IF('Условия возврата'!E11="по требованию",'Условия возврата'!G11&gt;='Условия возврата'!F11,TRUE))),"ПОДТВЕРДИТЕ СРОК",IF('Условия возврата'!G11&gt;$B$3,"СРОК НЕ НАСТУПИЛ","К ВОЗВРАТУ")))))))))))))</f>
        <v/>
      </c>
    </row>
    <row r="12" spans="1:9" ht="24" customHeight="1">
      <c r="A12" s="2">
        <v>4</v>
      </c>
      <c r="B12" s="3"/>
      <c r="C12" s="5"/>
      <c r="D12" s="5"/>
      <c r="E12" s="5"/>
      <c r="F12" s="5"/>
      <c r="G12" s="6" t="str">
        <f>IF(COUNTA(B12:F12)+COUNTA('Условия возврата'!B12:'Условия возврата'!M12)=0,"",IF(NOT(IF(ISNUMBER($B$3),AND($B$3&gt;=1,$B$3&lt;=2958465,MOD($B$3,1)=0),FALSE)),"ДАТА РАСЧЁТА",IF(OR(B12="",LEN(TRIM(B12&amp;""))=0),"УКАЖИТЕ АКТ",IF(COUNTIFS($B$9:$B$20,B12)&gt;1,"ПОВТОР АКТА",IF(NOT(AND(IF(ISNUMBER(C12),AND(C12&gt;=0,ROUND(C12,2)=C12),FALSE),IF(ISNUMBER(D12),AND(D12&gt;=0,ROUND(D12,2)=D12),FALSE),IF(ISNUMBER(E12),AND(E12&gt;=0,ROUND(E12,2)=E12),FALSE),IF(ISNUMBER(F12),AND(F12&gt;=0,ROUND(F12,2)=F12),FALSE))),"ПРОВЕРЬТЕ СУММЫ",IF(D12&gt;C12,"УДЕРЖАНО &gt; АКТА",IF(SUM(E12:F12)&gt;D12,"ПОГАШЕНО &gt; УДЕРЖАНО",IF(AND(E12&gt;0,NOT(AND(IF(ISNUMBER('Условия возврата'!J12),AND('Условия возврата'!J12&gt;=1,'Условия возврата'!J12&lt;=2958465,MOD('Условия возврата'!J12,1)=0),FALSE),'Условия возврата'!J12&lt;=$B$3,'Условия возврата'!K12&lt;&gt;""))),"ВОЗВРАТ: ДАННЫЕ",IF(AND(F12&gt;0,NOT(AND(IF(ISNUMBER('Условия возврата'!M12),AND('Условия возврата'!M12&gt;=1,'Условия возврата'!M12&lt;=2958465,MOD('Условия возврата'!M12,1)=0),FALSE),'Условия возврата'!M12&lt;=$B$3,'Условия возврата'!K12&lt;&gt;""))),"ПОГАШЕНИЕ: ДАННЫЕ",ROUND(D12-SUM(E12:F12),2))))))))))</f>
        <v/>
      </c>
      <c r="H12" s="6" t="str">
        <f t="shared" si="0"/>
        <v/>
      </c>
      <c r="I12" s="7" t="str">
        <f>IF(AND(ISTEXT(G12),G12=""),"",IF(NOT(ISNUMBER(G12)),G12,IF(G12=0,IF(D12=0,"УДЕРЖАНИЯ НЕТ","ПОГАШЕНО ПОЛНОСТЬЮ"),IF('Условия возврата'!I12="нет","УСЛОВИЯ НЕ ВЫПОЛНЕНЫ",IF('Условия возврата'!I12="спор","СПОРНЫЕ УСЛОВИЯ",IF('Условия возврата'!I12&lt;&gt;"да","ПОДТВЕРДИТЕ УСЛОВИЯ",IF(OR('Условия возврата'!B12="",'Условия возврата'!C12="",'Условия возврата'!H12=""),"ОСНОВАНИЕ И СРОК",IF(NOT(AND(IF(ISNUMBER('Условия возврата'!D12),AND('Условия возврата'!D12&gt;=1,'Условия возврата'!D12&lt;=2958465,MOD('Условия возврата'!D12,1)=0),FALSE),'Условия возврата'!D12&lt;=$B$3)),"ПОДТВЕРДИТЕ СОБЫТИЕ",IF(AND('Условия возврата'!E12&lt;&gt;"автоматически",'Условия возврата'!E12&lt;&gt;"по требованию"),"ВИД ВОЗВРАТА",IF(AND('Условия возврата'!E12="по требованию",'Условия возврата'!F12=""),"НАПРАВЬТЕ ТРЕБОВАНИЕ",IF(AND('Условия возврата'!E12="по требованию",NOT(AND(IF(ISNUMBER('Условия возврата'!F12),AND('Условия возврата'!F12&gt;=1,'Условия возврата'!F12&lt;=2958465,MOD('Условия возврата'!F12,1)=0),FALSE),'Условия возврата'!F12&lt;=$B$3))),"ПОДТВЕРДИТЕ ДОСТАВКУ",IF(NOT(AND(IF(ISNUMBER('Условия возврата'!G12),AND('Условия возврата'!G12&gt;=1,'Условия возврата'!G12&lt;=2958465,MOD('Условия возврата'!G12,1)=0),FALSE),'Условия возврата'!G12&gt;='Условия возврата'!D12,IF('Условия возврата'!E12="по требованию",'Условия возврата'!G12&gt;='Условия возврата'!F12,TRUE))),"ПОДТВЕРДИТЕ СРОК",IF('Условия возврата'!G12&gt;$B$3,"СРОК НЕ НАСТУПИЛ","К ВОЗВРАТУ")))))))))))))</f>
        <v/>
      </c>
    </row>
    <row r="13" spans="1:9" ht="24" customHeight="1">
      <c r="A13" s="2">
        <v>5</v>
      </c>
      <c r="B13" s="3"/>
      <c r="C13" s="5"/>
      <c r="D13" s="5"/>
      <c r="E13" s="5"/>
      <c r="F13" s="5"/>
      <c r="G13" s="6" t="str">
        <f>IF(COUNTA(B13:F13)+COUNTA('Условия возврата'!B13:'Условия возврата'!M13)=0,"",IF(NOT(IF(ISNUMBER($B$3),AND($B$3&gt;=1,$B$3&lt;=2958465,MOD($B$3,1)=0),FALSE)),"ДАТА РАСЧЁТА",IF(OR(B13="",LEN(TRIM(B13&amp;""))=0),"УКАЖИТЕ АКТ",IF(COUNTIFS($B$9:$B$20,B13)&gt;1,"ПОВТОР АКТА",IF(NOT(AND(IF(ISNUMBER(C13),AND(C13&gt;=0,ROUND(C13,2)=C13),FALSE),IF(ISNUMBER(D13),AND(D13&gt;=0,ROUND(D13,2)=D13),FALSE),IF(ISNUMBER(E13),AND(E13&gt;=0,ROUND(E13,2)=E13),FALSE),IF(ISNUMBER(F13),AND(F13&gt;=0,ROUND(F13,2)=F13),FALSE))),"ПРОВЕРЬТЕ СУММЫ",IF(D13&gt;C13,"УДЕРЖАНО &gt; АКТА",IF(SUM(E13:F13)&gt;D13,"ПОГАШЕНО &gt; УДЕРЖАНО",IF(AND(E13&gt;0,NOT(AND(IF(ISNUMBER('Условия возврата'!J13),AND('Условия возврата'!J13&gt;=1,'Условия возврата'!J13&lt;=2958465,MOD('Условия возврата'!J13,1)=0),FALSE),'Условия возврата'!J13&lt;=$B$3,'Условия возврата'!K13&lt;&gt;""))),"ВОЗВРАТ: ДАННЫЕ",IF(AND(F13&gt;0,NOT(AND(IF(ISNUMBER('Условия возврата'!M13),AND('Условия возврата'!M13&gt;=1,'Условия возврата'!M13&lt;=2958465,MOD('Условия возврата'!M13,1)=0),FALSE),'Условия возврата'!M13&lt;=$B$3,'Условия возврата'!K13&lt;&gt;""))),"ПОГАШЕНИЕ: ДАННЫЕ",ROUND(D13-SUM(E13:F13),2))))))))))</f>
        <v/>
      </c>
      <c r="H13" s="6" t="str">
        <f t="shared" si="0"/>
        <v/>
      </c>
      <c r="I13" s="7" t="str">
        <f>IF(AND(ISTEXT(G13),G13=""),"",IF(NOT(ISNUMBER(G13)),G13,IF(G13=0,IF(D13=0,"УДЕРЖАНИЯ НЕТ","ПОГАШЕНО ПОЛНОСТЬЮ"),IF('Условия возврата'!I13="нет","УСЛОВИЯ НЕ ВЫПОЛНЕНЫ",IF('Условия возврата'!I13="спор","СПОРНЫЕ УСЛОВИЯ",IF('Условия возврата'!I13&lt;&gt;"да","ПОДТВЕРДИТЕ УСЛОВИЯ",IF(OR('Условия возврата'!B13="",'Условия возврата'!C13="",'Условия возврата'!H13=""),"ОСНОВАНИЕ И СРОК",IF(NOT(AND(IF(ISNUMBER('Условия возврата'!D13),AND('Условия возврата'!D13&gt;=1,'Условия возврата'!D13&lt;=2958465,MOD('Условия возврата'!D13,1)=0),FALSE),'Условия возврата'!D13&lt;=$B$3)),"ПОДТВЕРДИТЕ СОБЫТИЕ",IF(AND('Условия возврата'!E13&lt;&gt;"автоматически",'Условия возврата'!E13&lt;&gt;"по требованию"),"ВИД ВОЗВРАТА",IF(AND('Условия возврата'!E13="по требованию",'Условия возврата'!F13=""),"НАПРАВЬТЕ ТРЕБОВАНИЕ",IF(AND('Условия возврата'!E13="по требованию",NOT(AND(IF(ISNUMBER('Условия возврата'!F13),AND('Условия возврата'!F13&gt;=1,'Условия возврата'!F13&lt;=2958465,MOD('Условия возврата'!F13,1)=0),FALSE),'Условия возврата'!F13&lt;=$B$3))),"ПОДТВЕРДИТЕ ДОСТАВКУ",IF(NOT(AND(IF(ISNUMBER('Условия возврата'!G13),AND('Условия возврата'!G13&gt;=1,'Условия возврата'!G13&lt;=2958465,MOD('Условия возврата'!G13,1)=0),FALSE),'Условия возврата'!G13&gt;='Условия возврата'!D13,IF('Условия возврата'!E13="по требованию",'Условия возврата'!G13&gt;='Условия возврата'!F13,TRUE))),"ПОДТВЕРДИТЕ СРОК",IF('Условия возврата'!G13&gt;$B$3,"СРОК НЕ НАСТУПИЛ","К ВОЗВРАТУ")))))))))))))</f>
        <v/>
      </c>
    </row>
    <row r="14" spans="1:9" ht="24" customHeight="1">
      <c r="A14" s="2">
        <v>6</v>
      </c>
      <c r="B14" s="3"/>
      <c r="C14" s="5"/>
      <c r="D14" s="5"/>
      <c r="E14" s="5"/>
      <c r="F14" s="5"/>
      <c r="G14" s="6" t="str">
        <f>IF(COUNTA(B14:F14)+COUNTA('Условия возврата'!B14:'Условия возврата'!M14)=0,"",IF(NOT(IF(ISNUMBER($B$3),AND($B$3&gt;=1,$B$3&lt;=2958465,MOD($B$3,1)=0),FALSE)),"ДАТА РАСЧЁТА",IF(OR(B14="",LEN(TRIM(B14&amp;""))=0),"УКАЖИТЕ АКТ",IF(COUNTIFS($B$9:$B$20,B14)&gt;1,"ПОВТОР АКТА",IF(NOT(AND(IF(ISNUMBER(C14),AND(C14&gt;=0,ROUND(C14,2)=C14),FALSE),IF(ISNUMBER(D14),AND(D14&gt;=0,ROUND(D14,2)=D14),FALSE),IF(ISNUMBER(E14),AND(E14&gt;=0,ROUND(E14,2)=E14),FALSE),IF(ISNUMBER(F14),AND(F14&gt;=0,ROUND(F14,2)=F14),FALSE))),"ПРОВЕРЬТЕ СУММЫ",IF(D14&gt;C14,"УДЕРЖАНО &gt; АКТА",IF(SUM(E14:F14)&gt;D14,"ПОГАШЕНО &gt; УДЕРЖАНО",IF(AND(E14&gt;0,NOT(AND(IF(ISNUMBER('Условия возврата'!J14),AND('Условия возврата'!J14&gt;=1,'Условия возврата'!J14&lt;=2958465,MOD('Условия возврата'!J14,1)=0),FALSE),'Условия возврата'!J14&lt;=$B$3,'Условия возврата'!K14&lt;&gt;""))),"ВОЗВРАТ: ДАННЫЕ",IF(AND(F14&gt;0,NOT(AND(IF(ISNUMBER('Условия возврата'!M14),AND('Условия возврата'!M14&gt;=1,'Условия возврата'!M14&lt;=2958465,MOD('Условия возврата'!M14,1)=0),FALSE),'Условия возврата'!M14&lt;=$B$3,'Условия возврата'!K14&lt;&gt;""))),"ПОГАШЕНИЕ: ДАННЫЕ",ROUND(D14-SUM(E14:F14),2))))))))))</f>
        <v/>
      </c>
      <c r="H14" s="6" t="str">
        <f t="shared" si="0"/>
        <v/>
      </c>
      <c r="I14" s="7" t="str">
        <f>IF(AND(ISTEXT(G14),G14=""),"",IF(NOT(ISNUMBER(G14)),G14,IF(G14=0,IF(D14=0,"УДЕРЖАНИЯ НЕТ","ПОГАШЕНО ПОЛНОСТЬЮ"),IF('Условия возврата'!I14="нет","УСЛОВИЯ НЕ ВЫПОЛНЕНЫ",IF('Условия возврата'!I14="спор","СПОРНЫЕ УСЛОВИЯ",IF('Условия возврата'!I14&lt;&gt;"да","ПОДТВЕРДИТЕ УСЛОВИЯ",IF(OR('Условия возврата'!B14="",'Условия возврата'!C14="",'Условия возврата'!H14=""),"ОСНОВАНИЕ И СРОК",IF(NOT(AND(IF(ISNUMBER('Условия возврата'!D14),AND('Условия возврата'!D14&gt;=1,'Условия возврата'!D14&lt;=2958465,MOD('Условия возврата'!D14,1)=0),FALSE),'Условия возврата'!D14&lt;=$B$3)),"ПОДТВЕРДИТЕ СОБЫТИЕ",IF(AND('Условия возврата'!E14&lt;&gt;"автоматически",'Условия возврата'!E14&lt;&gt;"по требованию"),"ВИД ВОЗВРАТА",IF(AND('Условия возврата'!E14="по требованию",'Условия возврата'!F14=""),"НАПРАВЬТЕ ТРЕБОВАНИЕ",IF(AND('Условия возврата'!E14="по требованию",NOT(AND(IF(ISNUMBER('Условия возврата'!F14),AND('Условия возврата'!F14&gt;=1,'Условия возврата'!F14&lt;=2958465,MOD('Условия возврата'!F14,1)=0),FALSE),'Условия возврата'!F14&lt;=$B$3))),"ПОДТВЕРДИТЕ ДОСТАВКУ",IF(NOT(AND(IF(ISNUMBER('Условия возврата'!G14),AND('Условия возврата'!G14&gt;=1,'Условия возврата'!G14&lt;=2958465,MOD('Условия возврата'!G14,1)=0),FALSE),'Условия возврата'!G14&gt;='Условия возврата'!D14,IF('Условия возврата'!E14="по требованию",'Условия возврата'!G14&gt;='Условия возврата'!F14,TRUE))),"ПОДТВЕРДИТЕ СРОК",IF('Условия возврата'!G14&gt;$B$3,"СРОК НЕ НАСТУПИЛ","К ВОЗВРАТУ")))))))))))))</f>
        <v/>
      </c>
    </row>
    <row r="15" spans="1:9" ht="24" customHeight="1">
      <c r="A15" s="2">
        <v>7</v>
      </c>
      <c r="B15" s="3"/>
      <c r="C15" s="5"/>
      <c r="D15" s="5"/>
      <c r="E15" s="5"/>
      <c r="F15" s="5"/>
      <c r="G15" s="6" t="str">
        <f>IF(COUNTA(B15:F15)+COUNTA('Условия возврата'!B15:'Условия возврата'!M15)=0,"",IF(NOT(IF(ISNUMBER($B$3),AND($B$3&gt;=1,$B$3&lt;=2958465,MOD($B$3,1)=0),FALSE)),"ДАТА РАСЧЁТА",IF(OR(B15="",LEN(TRIM(B15&amp;""))=0),"УКАЖИТЕ АКТ",IF(COUNTIFS($B$9:$B$20,B15)&gt;1,"ПОВТОР АКТА",IF(NOT(AND(IF(ISNUMBER(C15),AND(C15&gt;=0,ROUND(C15,2)=C15),FALSE),IF(ISNUMBER(D15),AND(D15&gt;=0,ROUND(D15,2)=D15),FALSE),IF(ISNUMBER(E15),AND(E15&gt;=0,ROUND(E15,2)=E15),FALSE),IF(ISNUMBER(F15),AND(F15&gt;=0,ROUND(F15,2)=F15),FALSE))),"ПРОВЕРЬТЕ СУММЫ",IF(D15&gt;C15,"УДЕРЖАНО &gt; АКТА",IF(SUM(E15:F15)&gt;D15,"ПОГАШЕНО &gt; УДЕРЖАНО",IF(AND(E15&gt;0,NOT(AND(IF(ISNUMBER('Условия возврата'!J15),AND('Условия возврата'!J15&gt;=1,'Условия возврата'!J15&lt;=2958465,MOD('Условия возврата'!J15,1)=0),FALSE),'Условия возврата'!J15&lt;=$B$3,'Условия возврата'!K15&lt;&gt;""))),"ВОЗВРАТ: ДАННЫЕ",IF(AND(F15&gt;0,NOT(AND(IF(ISNUMBER('Условия возврата'!M15),AND('Условия возврата'!M15&gt;=1,'Условия возврата'!M15&lt;=2958465,MOD('Условия возврата'!M15,1)=0),FALSE),'Условия возврата'!M15&lt;=$B$3,'Условия возврата'!K15&lt;&gt;""))),"ПОГАШЕНИЕ: ДАННЫЕ",ROUND(D15-SUM(E15:F15),2))))))))))</f>
        <v/>
      </c>
      <c r="H15" s="6" t="str">
        <f t="shared" si="0"/>
        <v/>
      </c>
      <c r="I15" s="7" t="str">
        <f>IF(AND(ISTEXT(G15),G15=""),"",IF(NOT(ISNUMBER(G15)),G15,IF(G15=0,IF(D15=0,"УДЕРЖАНИЯ НЕТ","ПОГАШЕНО ПОЛНОСТЬЮ"),IF('Условия возврата'!I15="нет","УСЛОВИЯ НЕ ВЫПОЛНЕНЫ",IF('Условия возврата'!I15="спор","СПОРНЫЕ УСЛОВИЯ",IF('Условия возврата'!I15&lt;&gt;"да","ПОДТВЕРДИТЕ УСЛОВИЯ",IF(OR('Условия возврата'!B15="",'Условия возврата'!C15="",'Условия возврата'!H15=""),"ОСНОВАНИЕ И СРОК",IF(NOT(AND(IF(ISNUMBER('Условия возврата'!D15),AND('Условия возврата'!D15&gt;=1,'Условия возврата'!D15&lt;=2958465,MOD('Условия возврата'!D15,1)=0),FALSE),'Условия возврата'!D15&lt;=$B$3)),"ПОДТВЕРДИТЕ СОБЫТИЕ",IF(AND('Условия возврата'!E15&lt;&gt;"автоматически",'Условия возврата'!E15&lt;&gt;"по требованию"),"ВИД ВОЗВРАТА",IF(AND('Условия возврата'!E15="по требованию",'Условия возврата'!F15=""),"НАПРАВЬТЕ ТРЕБОВАНИЕ",IF(AND('Условия возврата'!E15="по требованию",NOT(AND(IF(ISNUMBER('Условия возврата'!F15),AND('Условия возврата'!F15&gt;=1,'Условия возврата'!F15&lt;=2958465,MOD('Условия возврата'!F15,1)=0),FALSE),'Условия возврата'!F15&lt;=$B$3))),"ПОДТВЕРДИТЕ ДОСТАВКУ",IF(NOT(AND(IF(ISNUMBER('Условия возврата'!G15),AND('Условия возврата'!G15&gt;=1,'Условия возврата'!G15&lt;=2958465,MOD('Условия возврата'!G15,1)=0),FALSE),'Условия возврата'!G15&gt;='Условия возврата'!D15,IF('Условия возврата'!E15="по требованию",'Условия возврата'!G15&gt;='Условия возврата'!F15,TRUE))),"ПОДТВЕРДИТЕ СРОК",IF('Условия возврата'!G15&gt;$B$3,"СРОК НЕ НАСТУПИЛ","К ВОЗВРАТУ")))))))))))))</f>
        <v/>
      </c>
    </row>
    <row r="16" spans="1:9" ht="24" customHeight="1">
      <c r="A16" s="2">
        <v>8</v>
      </c>
      <c r="B16" s="3"/>
      <c r="C16" s="5"/>
      <c r="D16" s="5"/>
      <c r="E16" s="5"/>
      <c r="F16" s="5"/>
      <c r="G16" s="6" t="str">
        <f>IF(COUNTA(B16:F16)+COUNTA('Условия возврата'!B16:'Условия возврата'!M16)=0,"",IF(NOT(IF(ISNUMBER($B$3),AND($B$3&gt;=1,$B$3&lt;=2958465,MOD($B$3,1)=0),FALSE)),"ДАТА РАСЧЁТА",IF(OR(B16="",LEN(TRIM(B16&amp;""))=0),"УКАЖИТЕ АКТ",IF(COUNTIFS($B$9:$B$20,B16)&gt;1,"ПОВТОР АКТА",IF(NOT(AND(IF(ISNUMBER(C16),AND(C16&gt;=0,ROUND(C16,2)=C16),FALSE),IF(ISNUMBER(D16),AND(D16&gt;=0,ROUND(D16,2)=D16),FALSE),IF(ISNUMBER(E16),AND(E16&gt;=0,ROUND(E16,2)=E16),FALSE),IF(ISNUMBER(F16),AND(F16&gt;=0,ROUND(F16,2)=F16),FALSE))),"ПРОВЕРЬТЕ СУММЫ",IF(D16&gt;C16,"УДЕРЖАНО &gt; АКТА",IF(SUM(E16:F16)&gt;D16,"ПОГАШЕНО &gt; УДЕРЖАНО",IF(AND(E16&gt;0,NOT(AND(IF(ISNUMBER('Условия возврата'!J16),AND('Условия возврата'!J16&gt;=1,'Условия возврата'!J16&lt;=2958465,MOD('Условия возврата'!J16,1)=0),FALSE),'Условия возврата'!J16&lt;=$B$3,'Условия возврата'!K16&lt;&gt;""))),"ВОЗВРАТ: ДАННЫЕ",IF(AND(F16&gt;0,NOT(AND(IF(ISNUMBER('Условия возврата'!M16),AND('Условия возврата'!M16&gt;=1,'Условия возврата'!M16&lt;=2958465,MOD('Условия возврата'!M16,1)=0),FALSE),'Условия возврата'!M16&lt;=$B$3,'Условия возврата'!K16&lt;&gt;""))),"ПОГАШЕНИЕ: ДАННЫЕ",ROUND(D16-SUM(E16:F16),2))))))))))</f>
        <v/>
      </c>
      <c r="H16" s="6" t="str">
        <f t="shared" si="0"/>
        <v/>
      </c>
      <c r="I16" s="7" t="str">
        <f>IF(AND(ISTEXT(G16),G16=""),"",IF(NOT(ISNUMBER(G16)),G16,IF(G16=0,IF(D16=0,"УДЕРЖАНИЯ НЕТ","ПОГАШЕНО ПОЛНОСТЬЮ"),IF('Условия возврата'!I16="нет","УСЛОВИЯ НЕ ВЫПОЛНЕНЫ",IF('Условия возврата'!I16="спор","СПОРНЫЕ УСЛОВИЯ",IF('Условия возврата'!I16&lt;&gt;"да","ПОДТВЕРДИТЕ УСЛОВИЯ",IF(OR('Условия возврата'!B16="",'Условия возврата'!C16="",'Условия возврата'!H16=""),"ОСНОВАНИЕ И СРОК",IF(NOT(AND(IF(ISNUMBER('Условия возврата'!D16),AND('Условия возврата'!D16&gt;=1,'Условия возврата'!D16&lt;=2958465,MOD('Условия возврата'!D16,1)=0),FALSE),'Условия возврата'!D16&lt;=$B$3)),"ПОДТВЕРДИТЕ СОБЫТИЕ",IF(AND('Условия возврата'!E16&lt;&gt;"автоматически",'Условия возврата'!E16&lt;&gt;"по требованию"),"ВИД ВОЗВРАТА",IF(AND('Условия возврата'!E16="по требованию",'Условия возврата'!F16=""),"НАПРАВЬТЕ ТРЕБОВАНИЕ",IF(AND('Условия возврата'!E16="по требованию",NOT(AND(IF(ISNUMBER('Условия возврата'!F16),AND('Условия возврата'!F16&gt;=1,'Условия возврата'!F16&lt;=2958465,MOD('Условия возврата'!F16,1)=0),FALSE),'Условия возврата'!F16&lt;=$B$3))),"ПОДТВЕРДИТЕ ДОСТАВКУ",IF(NOT(AND(IF(ISNUMBER('Условия возврата'!G16),AND('Условия возврата'!G16&gt;=1,'Условия возврата'!G16&lt;=2958465,MOD('Условия возврата'!G16,1)=0),FALSE),'Условия возврата'!G16&gt;='Условия возврата'!D16,IF('Условия возврата'!E16="по требованию",'Условия возврата'!G16&gt;='Условия возврата'!F16,TRUE))),"ПОДТВЕРДИТЕ СРОК",IF('Условия возврата'!G16&gt;$B$3,"СРОК НЕ НАСТУПИЛ","К ВОЗВРАТУ")))))))))))))</f>
        <v/>
      </c>
    </row>
    <row r="17" spans="1:9" ht="24" customHeight="1">
      <c r="A17" s="2">
        <v>9</v>
      </c>
      <c r="B17" s="3"/>
      <c r="C17" s="5"/>
      <c r="D17" s="5"/>
      <c r="E17" s="5"/>
      <c r="F17" s="5"/>
      <c r="G17" s="6" t="str">
        <f>IF(COUNTA(B17:F17)+COUNTA('Условия возврата'!B17:'Условия возврата'!M17)=0,"",IF(NOT(IF(ISNUMBER($B$3),AND($B$3&gt;=1,$B$3&lt;=2958465,MOD($B$3,1)=0),FALSE)),"ДАТА РАСЧЁТА",IF(OR(B17="",LEN(TRIM(B17&amp;""))=0),"УКАЖИТЕ АКТ",IF(COUNTIFS($B$9:$B$20,B17)&gt;1,"ПОВТОР АКТА",IF(NOT(AND(IF(ISNUMBER(C17),AND(C17&gt;=0,ROUND(C17,2)=C17),FALSE),IF(ISNUMBER(D17),AND(D17&gt;=0,ROUND(D17,2)=D17),FALSE),IF(ISNUMBER(E17),AND(E17&gt;=0,ROUND(E17,2)=E17),FALSE),IF(ISNUMBER(F17),AND(F17&gt;=0,ROUND(F17,2)=F17),FALSE))),"ПРОВЕРЬТЕ СУММЫ",IF(D17&gt;C17,"УДЕРЖАНО &gt; АКТА",IF(SUM(E17:F17)&gt;D17,"ПОГАШЕНО &gt; УДЕРЖАНО",IF(AND(E17&gt;0,NOT(AND(IF(ISNUMBER('Условия возврата'!J17),AND('Условия возврата'!J17&gt;=1,'Условия возврата'!J17&lt;=2958465,MOD('Условия возврата'!J17,1)=0),FALSE),'Условия возврата'!J17&lt;=$B$3,'Условия возврата'!K17&lt;&gt;""))),"ВОЗВРАТ: ДАННЫЕ",IF(AND(F17&gt;0,NOT(AND(IF(ISNUMBER('Условия возврата'!M17),AND('Условия возврата'!M17&gt;=1,'Условия возврата'!M17&lt;=2958465,MOD('Условия возврата'!M17,1)=0),FALSE),'Условия возврата'!M17&lt;=$B$3,'Условия возврата'!K17&lt;&gt;""))),"ПОГАШЕНИЕ: ДАННЫЕ",ROUND(D17-SUM(E17:F17),2))))))))))</f>
        <v/>
      </c>
      <c r="H17" s="6" t="str">
        <f t="shared" si="0"/>
        <v/>
      </c>
      <c r="I17" s="7" t="str">
        <f>IF(AND(ISTEXT(G17),G17=""),"",IF(NOT(ISNUMBER(G17)),G17,IF(G17=0,IF(D17=0,"УДЕРЖАНИЯ НЕТ","ПОГАШЕНО ПОЛНОСТЬЮ"),IF('Условия возврата'!I17="нет","УСЛОВИЯ НЕ ВЫПОЛНЕНЫ",IF('Условия возврата'!I17="спор","СПОРНЫЕ УСЛОВИЯ",IF('Условия возврата'!I17&lt;&gt;"да","ПОДТВЕРДИТЕ УСЛОВИЯ",IF(OR('Условия возврата'!B17="",'Условия возврата'!C17="",'Условия возврата'!H17=""),"ОСНОВАНИЕ И СРОК",IF(NOT(AND(IF(ISNUMBER('Условия возврата'!D17),AND('Условия возврата'!D17&gt;=1,'Условия возврата'!D17&lt;=2958465,MOD('Условия возврата'!D17,1)=0),FALSE),'Условия возврата'!D17&lt;=$B$3)),"ПОДТВЕРДИТЕ СОБЫТИЕ",IF(AND('Условия возврата'!E17&lt;&gt;"автоматически",'Условия возврата'!E17&lt;&gt;"по требованию"),"ВИД ВОЗВРАТА",IF(AND('Условия возврата'!E17="по требованию",'Условия возврата'!F17=""),"НАПРАВЬТЕ ТРЕБОВАНИЕ",IF(AND('Условия возврата'!E17="по требованию",NOT(AND(IF(ISNUMBER('Условия возврата'!F17),AND('Условия возврата'!F17&gt;=1,'Условия возврата'!F17&lt;=2958465,MOD('Условия возврата'!F17,1)=0),FALSE),'Условия возврата'!F17&lt;=$B$3))),"ПОДТВЕРДИТЕ ДОСТАВКУ",IF(NOT(AND(IF(ISNUMBER('Условия возврата'!G17),AND('Условия возврата'!G17&gt;=1,'Условия возврата'!G17&lt;=2958465,MOD('Условия возврата'!G17,1)=0),FALSE),'Условия возврата'!G17&gt;='Условия возврата'!D17,IF('Условия возврата'!E17="по требованию",'Условия возврата'!G17&gt;='Условия возврата'!F17,TRUE))),"ПОДТВЕРДИТЕ СРОК",IF('Условия возврата'!G17&gt;$B$3,"СРОК НЕ НАСТУПИЛ","К ВОЗВРАТУ")))))))))))))</f>
        <v/>
      </c>
    </row>
    <row r="18" spans="1:9" ht="24" customHeight="1">
      <c r="A18" s="2">
        <v>10</v>
      </c>
      <c r="B18" s="3"/>
      <c r="C18" s="5"/>
      <c r="D18" s="5"/>
      <c r="E18" s="5"/>
      <c r="F18" s="5"/>
      <c r="G18" s="6" t="str">
        <f>IF(COUNTA(B18:F18)+COUNTA('Условия возврата'!B18:'Условия возврата'!M18)=0,"",IF(NOT(IF(ISNUMBER($B$3),AND($B$3&gt;=1,$B$3&lt;=2958465,MOD($B$3,1)=0),FALSE)),"ДАТА РАСЧЁТА",IF(OR(B18="",LEN(TRIM(B18&amp;""))=0),"УКАЖИТЕ АКТ",IF(COUNTIFS($B$9:$B$20,B18)&gt;1,"ПОВТОР АКТА",IF(NOT(AND(IF(ISNUMBER(C18),AND(C18&gt;=0,ROUND(C18,2)=C18),FALSE),IF(ISNUMBER(D18),AND(D18&gt;=0,ROUND(D18,2)=D18),FALSE),IF(ISNUMBER(E18),AND(E18&gt;=0,ROUND(E18,2)=E18),FALSE),IF(ISNUMBER(F18),AND(F18&gt;=0,ROUND(F18,2)=F18),FALSE))),"ПРОВЕРЬТЕ СУММЫ",IF(D18&gt;C18,"УДЕРЖАНО &gt; АКТА",IF(SUM(E18:F18)&gt;D18,"ПОГАШЕНО &gt; УДЕРЖАНО",IF(AND(E18&gt;0,NOT(AND(IF(ISNUMBER('Условия возврата'!J18),AND('Условия возврата'!J18&gt;=1,'Условия возврата'!J18&lt;=2958465,MOD('Условия возврата'!J18,1)=0),FALSE),'Условия возврата'!J18&lt;=$B$3,'Условия возврата'!K18&lt;&gt;""))),"ВОЗВРАТ: ДАННЫЕ",IF(AND(F18&gt;0,NOT(AND(IF(ISNUMBER('Условия возврата'!M18),AND('Условия возврата'!M18&gt;=1,'Условия возврата'!M18&lt;=2958465,MOD('Условия возврата'!M18,1)=0),FALSE),'Условия возврата'!M18&lt;=$B$3,'Условия возврата'!K18&lt;&gt;""))),"ПОГАШЕНИЕ: ДАННЫЕ",ROUND(D18-SUM(E18:F18),2))))))))))</f>
        <v/>
      </c>
      <c r="H18" s="6" t="str">
        <f t="shared" si="0"/>
        <v/>
      </c>
      <c r="I18" s="7" t="str">
        <f>IF(AND(ISTEXT(G18),G18=""),"",IF(NOT(ISNUMBER(G18)),G18,IF(G18=0,IF(D18=0,"УДЕРЖАНИЯ НЕТ","ПОГАШЕНО ПОЛНОСТЬЮ"),IF('Условия возврата'!I18="нет","УСЛОВИЯ НЕ ВЫПОЛНЕНЫ",IF('Условия возврата'!I18="спор","СПОРНЫЕ УСЛОВИЯ",IF('Условия возврата'!I18&lt;&gt;"да","ПОДТВЕРДИТЕ УСЛОВИЯ",IF(OR('Условия возврата'!B18="",'Условия возврата'!C18="",'Условия возврата'!H18=""),"ОСНОВАНИЕ И СРОК",IF(NOT(AND(IF(ISNUMBER('Условия возврата'!D18),AND('Условия возврата'!D18&gt;=1,'Условия возврата'!D18&lt;=2958465,MOD('Условия возврата'!D18,1)=0),FALSE),'Условия возврата'!D18&lt;=$B$3)),"ПОДТВЕРДИТЕ СОБЫТИЕ",IF(AND('Условия возврата'!E18&lt;&gt;"автоматически",'Условия возврата'!E18&lt;&gt;"по требованию"),"ВИД ВОЗВРАТА",IF(AND('Условия возврата'!E18="по требованию",'Условия возврата'!F18=""),"НАПРАВЬТЕ ТРЕБОВАНИЕ",IF(AND('Условия возврата'!E18="по требованию",NOT(AND(IF(ISNUMBER('Условия возврата'!F18),AND('Условия возврата'!F18&gt;=1,'Условия возврата'!F18&lt;=2958465,MOD('Условия возврата'!F18,1)=0),FALSE),'Условия возврата'!F18&lt;=$B$3))),"ПОДТВЕРДИТЕ ДОСТАВКУ",IF(NOT(AND(IF(ISNUMBER('Условия возврата'!G18),AND('Условия возврата'!G18&gt;=1,'Условия возврата'!G18&lt;=2958465,MOD('Условия возврата'!G18,1)=0),FALSE),'Условия возврата'!G18&gt;='Условия возврата'!D18,IF('Условия возврата'!E18="по требованию",'Условия возврата'!G18&gt;='Условия возврата'!F18,TRUE))),"ПОДТВЕРДИТЕ СРОК",IF('Условия возврата'!G18&gt;$B$3,"СРОК НЕ НАСТУПИЛ","К ВОЗВРАТУ")))))))))))))</f>
        <v/>
      </c>
    </row>
    <row r="19" spans="1:9" ht="24" customHeight="1">
      <c r="A19" s="2">
        <v>11</v>
      </c>
      <c r="B19" s="3"/>
      <c r="C19" s="5"/>
      <c r="D19" s="5"/>
      <c r="E19" s="5"/>
      <c r="F19" s="5"/>
      <c r="G19" s="6" t="str">
        <f>IF(COUNTA(B19:F19)+COUNTA('Условия возврата'!B19:'Условия возврата'!M19)=0,"",IF(NOT(IF(ISNUMBER($B$3),AND($B$3&gt;=1,$B$3&lt;=2958465,MOD($B$3,1)=0),FALSE)),"ДАТА РАСЧЁТА",IF(OR(B19="",LEN(TRIM(B19&amp;""))=0),"УКАЖИТЕ АКТ",IF(COUNTIFS($B$9:$B$20,B19)&gt;1,"ПОВТОР АКТА",IF(NOT(AND(IF(ISNUMBER(C19),AND(C19&gt;=0,ROUND(C19,2)=C19),FALSE),IF(ISNUMBER(D19),AND(D19&gt;=0,ROUND(D19,2)=D19),FALSE),IF(ISNUMBER(E19),AND(E19&gt;=0,ROUND(E19,2)=E19),FALSE),IF(ISNUMBER(F19),AND(F19&gt;=0,ROUND(F19,2)=F19),FALSE))),"ПРОВЕРЬТЕ СУММЫ",IF(D19&gt;C19,"УДЕРЖАНО &gt; АКТА",IF(SUM(E19:F19)&gt;D19,"ПОГАШЕНО &gt; УДЕРЖАНО",IF(AND(E19&gt;0,NOT(AND(IF(ISNUMBER('Условия возврата'!J19),AND('Условия возврата'!J19&gt;=1,'Условия возврата'!J19&lt;=2958465,MOD('Условия возврата'!J19,1)=0),FALSE),'Условия возврата'!J19&lt;=$B$3,'Условия возврата'!K19&lt;&gt;""))),"ВОЗВРАТ: ДАННЫЕ",IF(AND(F19&gt;0,NOT(AND(IF(ISNUMBER('Условия возврата'!M19),AND('Условия возврата'!M19&gt;=1,'Условия возврата'!M19&lt;=2958465,MOD('Условия возврата'!M19,1)=0),FALSE),'Условия возврата'!M19&lt;=$B$3,'Условия возврата'!K19&lt;&gt;""))),"ПОГАШЕНИЕ: ДАННЫЕ",ROUND(D19-SUM(E19:F19),2))))))))))</f>
        <v/>
      </c>
      <c r="H19" s="6" t="str">
        <f t="shared" si="0"/>
        <v/>
      </c>
      <c r="I19" s="7" t="str">
        <f>IF(AND(ISTEXT(G19),G19=""),"",IF(NOT(ISNUMBER(G19)),G19,IF(G19=0,IF(D19=0,"УДЕРЖАНИЯ НЕТ","ПОГАШЕНО ПОЛНОСТЬЮ"),IF('Условия возврата'!I19="нет","УСЛОВИЯ НЕ ВЫПОЛНЕНЫ",IF('Условия возврата'!I19="спор","СПОРНЫЕ УСЛОВИЯ",IF('Условия возврата'!I19&lt;&gt;"да","ПОДТВЕРДИТЕ УСЛОВИЯ",IF(OR('Условия возврата'!B19="",'Условия возврата'!C19="",'Условия возврата'!H19=""),"ОСНОВАНИЕ И СРОК",IF(NOT(AND(IF(ISNUMBER('Условия возврата'!D19),AND('Условия возврата'!D19&gt;=1,'Условия возврата'!D19&lt;=2958465,MOD('Условия возврата'!D19,1)=0),FALSE),'Условия возврата'!D19&lt;=$B$3)),"ПОДТВЕРДИТЕ СОБЫТИЕ",IF(AND('Условия возврата'!E19&lt;&gt;"автоматически",'Условия возврата'!E19&lt;&gt;"по требованию"),"ВИД ВОЗВРАТА",IF(AND('Условия возврата'!E19="по требованию",'Условия возврата'!F19=""),"НАПРАВЬТЕ ТРЕБОВАНИЕ",IF(AND('Условия возврата'!E19="по требованию",NOT(AND(IF(ISNUMBER('Условия возврата'!F19),AND('Условия возврата'!F19&gt;=1,'Условия возврата'!F19&lt;=2958465,MOD('Условия возврата'!F19,1)=0),FALSE),'Условия возврата'!F19&lt;=$B$3))),"ПОДТВЕРДИТЕ ДОСТАВКУ",IF(NOT(AND(IF(ISNUMBER('Условия возврата'!G19),AND('Условия возврата'!G19&gt;=1,'Условия возврата'!G19&lt;=2958465,MOD('Условия возврата'!G19,1)=0),FALSE),'Условия возврата'!G19&gt;='Условия возврата'!D19,IF('Условия возврата'!E19="по требованию",'Условия возврата'!G19&gt;='Условия возврата'!F19,TRUE))),"ПОДТВЕРДИТЕ СРОК",IF('Условия возврата'!G19&gt;$B$3,"СРОК НЕ НАСТУПИЛ","К ВОЗВРАТУ")))))))))))))</f>
        <v/>
      </c>
    </row>
    <row r="20" spans="1:9" ht="24" customHeight="1">
      <c r="A20" s="2">
        <v>12</v>
      </c>
      <c r="B20" s="3"/>
      <c r="C20" s="5"/>
      <c r="D20" s="5"/>
      <c r="E20" s="5"/>
      <c r="F20" s="5"/>
      <c r="G20" s="6" t="str">
        <f>IF(COUNTA(B20:F20)+COUNTA('Условия возврата'!B20:'Условия возврата'!M20)=0,"",IF(NOT(IF(ISNUMBER($B$3),AND($B$3&gt;=1,$B$3&lt;=2958465,MOD($B$3,1)=0),FALSE)),"ДАТА РАСЧЁТА",IF(OR(B20="",LEN(TRIM(B20&amp;""))=0),"УКАЖИТЕ АКТ",IF(COUNTIFS($B$9:$B$20,B20)&gt;1,"ПОВТОР АКТА",IF(NOT(AND(IF(ISNUMBER(C20),AND(C20&gt;=0,ROUND(C20,2)=C20),FALSE),IF(ISNUMBER(D20),AND(D20&gt;=0,ROUND(D20,2)=D20),FALSE),IF(ISNUMBER(E20),AND(E20&gt;=0,ROUND(E20,2)=E20),FALSE),IF(ISNUMBER(F20),AND(F20&gt;=0,ROUND(F20,2)=F20),FALSE))),"ПРОВЕРЬТЕ СУММЫ",IF(D20&gt;C20,"УДЕРЖАНО &gt; АКТА",IF(SUM(E20:F20)&gt;D20,"ПОГАШЕНО &gt; УДЕРЖАНО",IF(AND(E20&gt;0,NOT(AND(IF(ISNUMBER('Условия возврата'!J20),AND('Условия возврата'!J20&gt;=1,'Условия возврата'!J20&lt;=2958465,MOD('Условия возврата'!J20,1)=0),FALSE),'Условия возврата'!J20&lt;=$B$3,'Условия возврата'!K20&lt;&gt;""))),"ВОЗВРАТ: ДАННЫЕ",IF(AND(F20&gt;0,NOT(AND(IF(ISNUMBER('Условия возврата'!M20),AND('Условия возврата'!M20&gt;=1,'Условия возврата'!M20&lt;=2958465,MOD('Условия возврата'!M20,1)=0),FALSE),'Условия возврата'!M20&lt;=$B$3,'Условия возврата'!K20&lt;&gt;""))),"ПОГАШЕНИЕ: ДАННЫЕ",ROUND(D20-SUM(E20:F20),2))))))))))</f>
        <v/>
      </c>
      <c r="H20" s="6" t="str">
        <f t="shared" si="0"/>
        <v/>
      </c>
      <c r="I20" s="7" t="str">
        <f>IF(AND(ISTEXT(G20),G20=""),"",IF(NOT(ISNUMBER(G20)),G20,IF(G20=0,IF(D20=0,"УДЕРЖАНИЯ НЕТ","ПОГАШЕНО ПОЛНОСТЬЮ"),IF('Условия возврата'!I20="нет","УСЛОВИЯ НЕ ВЫПОЛНЕНЫ",IF('Условия возврата'!I20="спор","СПОРНЫЕ УСЛОВИЯ",IF('Условия возврата'!I20&lt;&gt;"да","ПОДТВЕРДИТЕ УСЛОВИЯ",IF(OR('Условия возврата'!B20="",'Условия возврата'!C20="",'Условия возврата'!H20=""),"ОСНОВАНИЕ И СРОК",IF(NOT(AND(IF(ISNUMBER('Условия возврата'!D20),AND('Условия возврата'!D20&gt;=1,'Условия возврата'!D20&lt;=2958465,MOD('Условия возврата'!D20,1)=0),FALSE),'Условия возврата'!D20&lt;=$B$3)),"ПОДТВЕРДИТЕ СОБЫТИЕ",IF(AND('Условия возврата'!E20&lt;&gt;"автоматически",'Условия возврата'!E20&lt;&gt;"по требованию"),"ВИД ВОЗВРАТА",IF(AND('Условия возврата'!E20="по требованию",'Условия возврата'!F20=""),"НАПРАВЬТЕ ТРЕБОВАНИЕ",IF(AND('Условия возврата'!E20="по требованию",NOT(AND(IF(ISNUMBER('Условия возврата'!F20),AND('Условия возврата'!F20&gt;=1,'Условия возврата'!F20&lt;=2958465,MOD('Условия возврата'!F20,1)=0),FALSE),'Условия возврата'!F20&lt;=$B$3))),"ПОДТВЕРДИТЕ ДОСТАВКУ",IF(NOT(AND(IF(ISNUMBER('Условия возврата'!G20),AND('Условия возврата'!G20&gt;=1,'Условия возврата'!G20&lt;=2958465,MOD('Условия возврата'!G20,1)=0),FALSE),'Условия возврата'!G20&gt;='Условия возврата'!D20,IF('Условия возврата'!E20="по требованию",'Условия возврата'!G20&gt;='Условия возврата'!F20,TRUE))),"ПОДТВЕРДИТЕ СРОК",IF('Условия возврата'!G20&gt;$B$3,"СРОК НЕ НАСТУПИЛ","К ВОЗВРАТУ")))))))))))))</f>
        <v/>
      </c>
    </row>
    <row r="21" spans="1:9" ht="6" customHeight="1">
      <c r="A21" s="2"/>
      <c r="B21" s="2"/>
      <c r="C21" s="2"/>
      <c r="D21" s="2"/>
      <c r="E21" s="2"/>
      <c r="F21" s="2"/>
      <c r="G21" s="2"/>
      <c r="H21" s="2"/>
      <c r="I21" s="2"/>
    </row>
    <row r="22" spans="1:9" ht="21.95" customHeight="1">
      <c r="A22" s="12" t="s">
        <v>18</v>
      </c>
      <c r="B22" s="12"/>
      <c r="C22" s="12"/>
      <c r="D22" s="12"/>
      <c r="E22" s="12"/>
      <c r="F22" s="12"/>
      <c r="G22" s="12"/>
      <c r="H22" s="12"/>
      <c r="I22" s="12"/>
    </row>
    <row r="23" spans="1:9" ht="21.95" customHeight="1">
      <c r="A23" s="12" t="s">
        <v>19</v>
      </c>
      <c r="B23" s="12"/>
      <c r="C23" s="12"/>
      <c r="D23" s="12"/>
      <c r="E23" s="12"/>
      <c r="F23" s="12"/>
      <c r="G23" s="12"/>
      <c r="H23" s="12"/>
      <c r="I23" s="12"/>
    </row>
    <row r="24" spans="1:9" ht="21.95" customHeight="1">
      <c r="A24" s="12" t="s">
        <v>20</v>
      </c>
      <c r="B24" s="12"/>
      <c r="C24" s="12"/>
      <c r="D24" s="12"/>
      <c r="E24" s="12"/>
      <c r="F24" s="12"/>
      <c r="G24" s="12"/>
      <c r="H24" s="12"/>
      <c r="I24" s="12"/>
    </row>
    <row r="25" spans="1:9" ht="21.95" customHeight="1">
      <c r="A25" s="12" t="s">
        <v>21</v>
      </c>
      <c r="B25" s="12"/>
      <c r="C25" s="12"/>
      <c r="D25" s="12"/>
      <c r="E25" s="12"/>
      <c r="F25" s="12"/>
      <c r="G25" s="12"/>
      <c r="H25" s="12"/>
      <c r="I25" s="12"/>
    </row>
  </sheetData>
  <mergeCells count="8">
    <mergeCell ref="A23:I23"/>
    <mergeCell ref="A24:I24"/>
    <mergeCell ref="A25:I25"/>
    <mergeCell ref="A1:I1"/>
    <mergeCell ref="A2:I2"/>
    <mergeCell ref="C3:I3"/>
    <mergeCell ref="A6:I6"/>
    <mergeCell ref="A22:I22"/>
  </mergeCells>
  <printOptions horizontalCentered="1"/>
  <pageMargins left="0.25" right="0.25" top="0.3" bottom="0.3" header="0.1" footer="0.1"/>
  <pageSetup paperSize="9" scale="8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M26"/>
  <sheetViews>
    <sheetView showGridLines="0" workbookViewId="0">
      <pane ySplit="8" topLeftCell="A9" activePane="bottomLeft" state="frozen"/>
      <selection pane="bottomLeft"/>
    </sheetView>
  </sheetViews>
  <sheetFormatPr defaultRowHeight="14.25"/>
  <cols>
    <col min="1" max="1" width="4" customWidth="1"/>
    <col min="2" max="2" width="18" customWidth="1"/>
    <col min="3" max="3" width="24" customWidth="1"/>
    <col min="4" max="4" width="13" customWidth="1"/>
    <col min="5" max="5" width="17" customWidth="1"/>
    <col min="6" max="7" width="14" customWidth="1"/>
    <col min="8" max="8" width="20" customWidth="1"/>
    <col min="9" max="9" width="13" customWidth="1"/>
    <col min="10" max="10" width="14" customWidth="1"/>
    <col min="11" max="11" width="24" customWidth="1"/>
    <col min="12" max="12" width="22" customWidth="1"/>
    <col min="13" max="13" width="14" customWidth="1"/>
  </cols>
  <sheetData>
    <row r="1" spans="1:13" ht="24" customHeight="1">
      <c r="A1" s="10" t="s">
        <v>22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1.95" customHeight="1">
      <c r="A2" s="11" t="s">
        <v>23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1.95" customHeight="1">
      <c r="A3" s="11" t="s">
        <v>24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21.95" customHeight="1">
      <c r="A4" s="11" t="s">
        <v>25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3.9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21.95" customHeight="1">
      <c r="A6" s="11" t="s">
        <v>26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</row>
    <row r="7" spans="1:13" ht="3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ht="51.95" customHeight="1">
      <c r="A8" s="1" t="s">
        <v>12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</row>
    <row r="9" spans="1:13" ht="44.1" customHeight="1">
      <c r="A9" s="2">
        <v>1</v>
      </c>
      <c r="B9" s="3"/>
      <c r="C9" s="3"/>
      <c r="D9" s="4"/>
      <c r="E9" s="3"/>
      <c r="F9" s="4"/>
      <c r="G9" s="4"/>
      <c r="H9" s="3"/>
      <c r="I9" s="3"/>
      <c r="J9" s="4"/>
      <c r="K9" s="3"/>
      <c r="L9" s="3"/>
      <c r="M9" s="4"/>
    </row>
    <row r="10" spans="1:13" ht="44.1" customHeight="1">
      <c r="A10" s="2">
        <v>2</v>
      </c>
      <c r="B10" s="3"/>
      <c r="C10" s="3"/>
      <c r="D10" s="4"/>
      <c r="E10" s="3"/>
      <c r="F10" s="4"/>
      <c r="G10" s="4"/>
      <c r="H10" s="3"/>
      <c r="I10" s="3"/>
      <c r="J10" s="4"/>
      <c r="K10" s="3"/>
      <c r="L10" s="3"/>
      <c r="M10" s="4"/>
    </row>
    <row r="11" spans="1:13" ht="44.1" customHeight="1">
      <c r="A11" s="2">
        <v>3</v>
      </c>
      <c r="B11" s="3"/>
      <c r="C11" s="3"/>
      <c r="D11" s="4"/>
      <c r="E11" s="3"/>
      <c r="F11" s="4"/>
      <c r="G11" s="4"/>
      <c r="H11" s="3"/>
      <c r="I11" s="3"/>
      <c r="J11" s="4"/>
      <c r="K11" s="3"/>
      <c r="L11" s="3"/>
      <c r="M11" s="4"/>
    </row>
    <row r="12" spans="1:13" ht="44.1" customHeight="1">
      <c r="A12" s="2">
        <v>4</v>
      </c>
      <c r="B12" s="3"/>
      <c r="C12" s="3"/>
      <c r="D12" s="4"/>
      <c r="E12" s="3"/>
      <c r="F12" s="4"/>
      <c r="G12" s="4"/>
      <c r="H12" s="3"/>
      <c r="I12" s="3"/>
      <c r="J12" s="4"/>
      <c r="K12" s="3"/>
      <c r="L12" s="3"/>
      <c r="M12" s="4"/>
    </row>
    <row r="13" spans="1:13" ht="44.1" customHeight="1">
      <c r="A13" s="2">
        <v>5</v>
      </c>
      <c r="B13" s="3"/>
      <c r="C13" s="3"/>
      <c r="D13" s="4"/>
      <c r="E13" s="3"/>
      <c r="F13" s="4"/>
      <c r="G13" s="4"/>
      <c r="H13" s="3"/>
      <c r="I13" s="3"/>
      <c r="J13" s="4"/>
      <c r="K13" s="3"/>
      <c r="L13" s="3"/>
      <c r="M13" s="4"/>
    </row>
    <row r="14" spans="1:13" ht="44.1" customHeight="1">
      <c r="A14" s="2">
        <v>6</v>
      </c>
      <c r="B14" s="3"/>
      <c r="C14" s="3"/>
      <c r="D14" s="4"/>
      <c r="E14" s="3"/>
      <c r="F14" s="4"/>
      <c r="G14" s="4"/>
      <c r="H14" s="3"/>
      <c r="I14" s="3"/>
      <c r="J14" s="4"/>
      <c r="K14" s="3"/>
      <c r="L14" s="3"/>
      <c r="M14" s="4"/>
    </row>
    <row r="15" spans="1:13" ht="44.1" customHeight="1">
      <c r="A15" s="2">
        <v>7</v>
      </c>
      <c r="B15" s="3"/>
      <c r="C15" s="3"/>
      <c r="D15" s="4"/>
      <c r="E15" s="3"/>
      <c r="F15" s="4"/>
      <c r="G15" s="4"/>
      <c r="H15" s="3"/>
      <c r="I15" s="3"/>
      <c r="J15" s="4"/>
      <c r="K15" s="3"/>
      <c r="L15" s="3"/>
      <c r="M15" s="4"/>
    </row>
    <row r="16" spans="1:13" ht="44.1" customHeight="1">
      <c r="A16" s="2">
        <v>8</v>
      </c>
      <c r="B16" s="3"/>
      <c r="C16" s="3"/>
      <c r="D16" s="4"/>
      <c r="E16" s="3"/>
      <c r="F16" s="4"/>
      <c r="G16" s="4"/>
      <c r="H16" s="3"/>
      <c r="I16" s="3"/>
      <c r="J16" s="4"/>
      <c r="K16" s="3"/>
      <c r="L16" s="3"/>
      <c r="M16" s="4"/>
    </row>
    <row r="17" spans="1:13" ht="44.1" customHeight="1">
      <c r="A17" s="2">
        <v>9</v>
      </c>
      <c r="B17" s="3"/>
      <c r="C17" s="3"/>
      <c r="D17" s="4"/>
      <c r="E17" s="3"/>
      <c r="F17" s="4"/>
      <c r="G17" s="4"/>
      <c r="H17" s="3"/>
      <c r="I17" s="3"/>
      <c r="J17" s="4"/>
      <c r="K17" s="3"/>
      <c r="L17" s="3"/>
      <c r="M17" s="4"/>
    </row>
    <row r="18" spans="1:13" ht="44.1" customHeight="1">
      <c r="A18" s="2">
        <v>10</v>
      </c>
      <c r="B18" s="3"/>
      <c r="C18" s="3"/>
      <c r="D18" s="4"/>
      <c r="E18" s="3"/>
      <c r="F18" s="4"/>
      <c r="G18" s="4"/>
      <c r="H18" s="3"/>
      <c r="I18" s="3"/>
      <c r="J18" s="4"/>
      <c r="K18" s="3"/>
      <c r="L18" s="3"/>
      <c r="M18" s="4"/>
    </row>
    <row r="19" spans="1:13" ht="44.1" customHeight="1">
      <c r="A19" s="2">
        <v>11</v>
      </c>
      <c r="B19" s="3"/>
      <c r="C19" s="3"/>
      <c r="D19" s="4"/>
      <c r="E19" s="3"/>
      <c r="F19" s="4"/>
      <c r="G19" s="4"/>
      <c r="H19" s="3"/>
      <c r="I19" s="3"/>
      <c r="J19" s="4"/>
      <c r="K19" s="3"/>
      <c r="L19" s="3"/>
      <c r="M19" s="4"/>
    </row>
    <row r="20" spans="1:13" ht="44.1" customHeight="1">
      <c r="A20" s="2">
        <v>12</v>
      </c>
      <c r="B20" s="3"/>
      <c r="C20" s="3"/>
      <c r="D20" s="4"/>
      <c r="E20" s="3"/>
      <c r="F20" s="4"/>
      <c r="G20" s="4"/>
      <c r="H20" s="3"/>
      <c r="I20" s="3"/>
      <c r="J20" s="4"/>
      <c r="K20" s="3"/>
      <c r="L20" s="3"/>
      <c r="M20" s="4"/>
    </row>
    <row r="21" spans="1:13" ht="6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20.100000000000001" customHeight="1">
      <c r="A22" s="2">
        <v>1</v>
      </c>
      <c r="B22" s="13" t="s">
        <v>39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 ht="20.100000000000001" customHeight="1">
      <c r="A23" s="2">
        <v>2</v>
      </c>
      <c r="B23" s="13" t="s">
        <v>40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>
      <c r="A24" s="2">
        <v>3</v>
      </c>
      <c r="B24" s="13" t="s">
        <v>41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ht="20.100000000000001" customHeight="1">
      <c r="A25" s="2">
        <v>4</v>
      </c>
      <c r="B25" s="13" t="s">
        <v>42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>
      <c r="A26" s="2">
        <v>5</v>
      </c>
      <c r="B26" s="13" t="s">
        <v>43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</sheetData>
  <mergeCells count="10">
    <mergeCell ref="B22:M22"/>
    <mergeCell ref="B23:M23"/>
    <mergeCell ref="B24:M24"/>
    <mergeCell ref="B25:M25"/>
    <mergeCell ref="B26:M26"/>
    <mergeCell ref="A1:M1"/>
    <mergeCell ref="A2:M2"/>
    <mergeCell ref="A3:M3"/>
    <mergeCell ref="A4:M4"/>
    <mergeCell ref="A6:M6"/>
  </mergeCells>
  <dataValidations count="2">
    <dataValidation type="list" sqref="E9:E20">
      <formula1>"автоматически,по требованию"</formula1>
    </dataValidation>
    <dataValidation type="list" sqref="I9:I20">
      <formula1>"да,нет,спор"</formula1>
    </dataValidation>
  </dataValidations>
  <hyperlinks>
    <hyperlink ref="B22" r:id="rId1"/>
    <hyperlink ref="B23" r:id="rId2"/>
    <hyperlink ref="B24" r:id="rId3"/>
    <hyperlink ref="B25" r:id="rId4"/>
    <hyperlink ref="B26" r:id="rId5"/>
  </hyperlinks>
  <printOptions horizontalCentered="1"/>
  <pageMargins left="0.25" right="0.25" top="0.3" bottom="0.3" header="0.1" footer="0.1"/>
  <pageSetup paperSize="8" scale="89" orientation="landscape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Реестр удержаний</vt:lpstr>
      <vt:lpstr>Условия возврата</vt:lpstr>
      <vt:lpstr>'Реестр удержаний'!Print_Area</vt:lpstr>
      <vt:lpstr>'Условия возврата'!Print_Area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2026-10-23T05:49:29Z</cp:lastPrinted>
  <dcterms:created xsi:type="dcterms:W3CDTF">2026-10-23T05:49:30Z</dcterms:created>
  <dcterms:modified xsi:type="dcterms:W3CDTF">2026-10-23T05:49:30Z</dcterms:modified>
</cp:coreProperties>
</file>