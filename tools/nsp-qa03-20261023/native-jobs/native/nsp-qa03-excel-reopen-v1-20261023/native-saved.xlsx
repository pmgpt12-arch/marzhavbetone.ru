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b3c-v2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H18" i="1" s="1"/>
  <c r="G17" i="1"/>
  <c r="I17" i="1" s="1"/>
  <c r="G16" i="1"/>
  <c r="I16" i="1" s="1"/>
  <c r="G15" i="1"/>
  <c r="H15" i="1" s="1"/>
  <c r="G14" i="1"/>
  <c r="H14" i="1" s="1"/>
  <c r="G13" i="1"/>
  <c r="H13" i="1" s="1"/>
  <c r="G12" i="1"/>
  <c r="I12" i="1" s="1"/>
  <c r="G11" i="1"/>
  <c r="H11" i="1" s="1"/>
  <c r="G10" i="1"/>
  <c r="H10" i="1" s="1"/>
  <c r="G9" i="1"/>
  <c r="I9" i="1" s="1"/>
  <c r="H9" i="1" l="1"/>
  <c r="I13" i="1"/>
  <c r="I18" i="1"/>
  <c r="I14" i="1"/>
  <c r="H17" i="1"/>
  <c r="I10" i="1"/>
  <c r="C5" i="1"/>
  <c r="H16" i="1"/>
  <c r="E5" i="1"/>
  <c r="F5" i="1"/>
  <c r="I11" i="1"/>
  <c r="I15" i="1"/>
  <c r="I19" i="1"/>
  <c r="H12" i="1"/>
  <c r="H5" i="1" s="1"/>
  <c r="H20" i="1"/>
  <c r="G5" i="1"/>
  <c r="D5" i="1"/>
  <c r="I5" i="1"/>
</calcChain>
</file>

<file path=xl/sharedStrings.xml><?xml version="1.0" encoding="utf-8"?>
<sst xmlns="http://schemas.openxmlformats.org/spreadsheetml/2006/main" count="56" uniqueCount="52">
  <si>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</si>
  <si>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</si>
  <si>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</si>
  <si>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</si>
  <si>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</si>
  <si>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</si>
  <si>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</si>
  <si>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</si>
  <si>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</si>
  <si>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</si>
  <si>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</si>
  <si>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</si>
  <si>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</si>
  <si>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</si>
  <si>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</si>
  <si>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</si>
  <si>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</si>
  <si>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</si>
  <si>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</si>
  <si>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</si>
  <si>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</si>
  <si>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</si>
  <si>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</si>
  <si>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</si>
  <si>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</si>
  <si>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</si>
  <si>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</si>
  <si>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</si>
  <si>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</si>
  <si>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</si>
  <si>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</si>
  <si>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</si>
  <si>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</si>
  <si>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</si>
  <si>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</si>
  <si>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</si>
  <si>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</si>
  <si>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</si>
  <si>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</si>
  <si>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</si>
  <si>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</si>
  <si>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</si>
  <si>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</si>
  <si>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</si>
  <si>
    <t>КС-2 №1 от 15.10.2025</t>
  </si>
  <si>
    <t>п. 8.1 и 8.2 договора</t>
  </si>
  <si>
    <t>Истечение гарантии. Акт №1 от 15.10.2025</t>
  </si>
  <si>
    <t>автоматически</t>
  </si>
  <si>
    <t>5 рабочих дней после события</t>
  </si>
  <si>
    <t>да</t>
  </si>
  <si>
    <t>ПП №2 от 20.10.2026</t>
  </si>
  <si>
    <t>Ответ и доставка по договорному каналу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</si>
</sst>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>
        <v>46318</v>
      </c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>
        <f>IF(COUNTBLANK($G$9:$G$20)=12,"НЕТ ДАННЫХ",IF(NOT(COUNT($G$9:$G$20)+COUNTBLANK($G$9:$G$20)=12),"ПРОВЕРЬТЕ РЕЕСТР",SUM(C9:C20)))</f>
        <v>1000000</v>
      </c>
      <c r="D5" s="8">
        <f>IF(COUNTBLANK($G$9:$G$20)=12,"НЕТ ДАННЫХ",IF(NOT(COUNT($G$9:$G$20)+COUNTBLANK($G$9:$G$20)=12),"ПРОВЕРЬТЕ РЕЕСТР",SUM(D9:D20)))</f>
        <v>100000</v>
      </c>
      <c r="E5" s="8">
        <f>IF(COUNTBLANK($G$9:$G$20)=12,"НЕТ ДАННЫХ",IF(NOT(COUNT($G$9:$G$20)+COUNTBLANK($G$9:$G$20)=12),"ПРОВЕРЬТЕ РЕЕСТР",SUM(E9:E20)))</f>
        <v>20000</v>
      </c>
      <c r="F5" s="8">
        <f>IF(COUNTBLANK($G$9:$G$20)=12,"НЕТ ДАННЫХ",IF(NOT(COUNT($G$9:$G$20)+COUNTBLANK($G$9:$G$20)=12),"ПРОВЕРЬТЕ РЕЕСТР",SUM(F9:F20)))</f>
        <v>0</v>
      </c>
      <c r="G5" s="8">
        <f>IF(COUNTBLANK($G$9:$G$20)=12,"НЕТ ДАННЫХ",IF(NOT(COUNT($G$9:$G$20)+COUNTBLANK($G$9:$G$20)=12),"ПРОВЕРЬТЕ РЕЕСТР",SUM(G9:G20)))</f>
        <v>80000</v>
      </c>
      <c r="H5" s="8">
        <f>IF(COUNTBLANK($G$9:$G$20)=12,"НЕТ ДАННЫХ",IF(COUNT($H$9:$H$20)+COUNTBLANK($H$9:$H$20)&lt;&gt;12,"ПРОВЕРЬТЕ УСЛОВИЯ",SUM(H9:H20)))</f>
        <v>80000</v>
      </c>
      <c r="I5" s="9">
        <f>IF(COUNTBLANK($G$9:$G$20)=12,"НЕТ ДАННЫХ",12-COUNTBLANK(G9:G20))</f>
        <v>1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 t="s">
        <v>44</v>
      </c>
      <c r="C9" s="5">
        <v>1000000</v>
      </c>
      <c r="D9" s="5">
        <v>100000</v>
      </c>
      <c r="E9" s="5">
        <v>20000</v>
      </c>
      <c r="F9" s="5">
        <v>0</v>
      </c>
      <c r="G9" s="6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>80000</v>
      </c>
      <c r="H9" s="6">
        <f t="shared" ref="H9:H20" si="0">IF(AND(ISTEXT(G9),G9=""),"",IF(NOT(ISNUMBER(G9)),G9,IF(OR(I9="К ВОЗВРАТУ",G9=0),G9,IF(OR(I9="СРОК НЕ НАСТУПИЛ",I9="УСЛОВИЯ НЕ ВЫПОЛНЕНЫ"),0,I9))))</f>
        <v>80000</v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>К ВОЗВРАТУ</v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 t="s">
        <v>45</v>
      </c>
      <c r="C9" s="3" t="s">
        <v>46</v>
      </c>
      <c r="D9" s="4">
        <v>46310</v>
      </c>
      <c r="E9" s="3" t="s">
        <v>47</v>
      </c>
      <c r="F9" s="4"/>
      <c r="G9" s="4">
        <v>46317</v>
      </c>
      <c r="H9" s="3" t="s">
        <v>48</v>
      </c>
      <c r="I9" s="3" t="s">
        <v>49</v>
      </c>
      <c r="J9" s="4">
        <v>46315</v>
      </c>
      <c r="K9" s="3" t="s">
        <v>50</v>
      </c>
      <c r="L9" s="3" t="s">
        <v>51</v>
      </c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2026-10-23T05:40:18Z</cp:lastPrinted>
  <dcterms:created xsi:type="dcterms:W3CDTF">2026-10-23T05:40:18Z</dcterms:created>
  <dcterms:modified xsi:type="dcterms:W3CDTF">2026-10-23T05:40:18Z</dcterms:modified>
</cp:coreProperties>
</file>