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77aefb678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 удержаний" sheetId="1" r:id="Re1ad3da001d44f2e"/>
    <x:sheet xmlns:r="http://schemas.openxmlformats.org/officeDocument/2006/relationships" name="Условия возврата" sheetId="2" r:id="Re637f7abb51f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"/>
  </x:numFmts>
  <x:fonts count="7">
    <x:font>
      <x:sz val="11"/>
      <x:name val="Carlito"/>
    </x:font>
    <x:font>
      <x:sz val="11"/>
      <x:color rgb="FF252A30"/>
      <x:name val="Arial"/>
    </x:font>
    <x:font>
      <x:b/>
      <x:sz val="15"/>
      <x:color rgb="FF000000"/>
      <x:name val="Arial"/>
    </x:font>
    <x:font>
      <x:b/>
      <x:sz val="10.5"/>
      <x:color rgb="FFFFFFFF"/>
      <x:name val="Arial"/>
    </x:font>
    <x:font>
      <x:b/>
      <x:sz val="11"/>
      <x:color rgb="FF252A30"/>
      <x:name val="Arial"/>
    </x:font>
    <x:font>
      <x:sz val="10"/>
      <x:color rgb="FF252A30"/>
      <x:name val="Arial"/>
    </x:font>
    <x:font>
      <x:sz val="11"/>
      <x:color rgb="FF72552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2A30"/>
      </x:patternFill>
    </x:fill>
    <x:fill>
      <x:patternFill patternType="solid">
        <x:fgColor rgb="FFFFF2CC"/>
      </x:patternFill>
    </x:fill>
    <x:fill>
      <x:patternFill patternType="solid">
        <x:fgColor rgb="FFF2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a450824f8468f" /><Relationship Type="http://schemas.openxmlformats.org/officeDocument/2006/relationships/theme" Target="/xl/theme/theme1.xml" Id="Rbaa0af373e4648c6" /><Relationship Type="http://schemas.openxmlformats.org/officeDocument/2006/relationships/sharedStrings" Target="/xl/sharedStrings.xml" Id="Rca59ad9d5afa4244" /><Relationship Type="http://schemas.openxmlformats.org/officeDocument/2006/relationships/worksheet" Target="/xl/worksheets/sheet1.xml" Id="Re1ad3da001d44f2e" /><Relationship Type="http://schemas.openxmlformats.org/officeDocument/2006/relationships/worksheet" Target="/xl/worksheets/sheet2.xml" Id="Re637f7abb51f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2A3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22" hidden="0" customWidth="1"/>
    <x:col min="3" max="3" width="1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27" hidden="0" customWidth="1"/>
  </x:cols>
  <x:sheetData>
    <x:row r="1" ht="24" customHeight="1">
      <x:c r="A1" s="7" t="str">
        <x:v>Гарантийное удержание по объекту</x:v>
      </x:c>
      <x:c r="B1" s="7"/>
      <x:c r="C1" s="7"/>
      <x:c r="D1" s="7"/>
      <x:c r="E1" s="7"/>
      <x:c r="F1" s="7"/>
      <x:c r="G1" s="7"/>
      <x:c r="H1" s="7"/>
      <x:c r="I1" s="7"/>
    </x:row>
    <x:row r="2" ht="18" customHeight="1">
      <x:c r="A2" s="8" t="str">
        <x:v>Остаток удержания и сумма к возврату проверяются раздельно. Все суммы в рублях.</x:v>
      </x:c>
      <x:c r="B2" s="8"/>
      <x:c r="C2" s="8"/>
      <x:c r="D2" s="8"/>
      <x:c r="E2" s="8"/>
      <x:c r="F2" s="8"/>
      <x:c r="G2" s="8"/>
      <x:c r="H2" s="8"/>
      <x:c r="I2" s="8"/>
    </x:row>
    <x:row r="3" ht="22" customHeight="1">
      <x:c r="A3" s="8" t="str">
        <x:v>На:</x:v>
      </x:c>
      <x:c r="B3" s="10"/>
      <x:c r="C3" s="8" t="str">
        <x:v>Сверяйте суммы, даты погашений и условия возврата на эту дату.</x:v>
      </x:c>
      <x:c r="D3" s="8"/>
      <x:c r="E3" s="8"/>
      <x:c r="F3" s="8"/>
      <x:c r="G3" s="8"/>
      <x:c r="H3" s="8"/>
      <x:c r="I3" s="8"/>
    </x:row>
    <x:row r="4" ht="32" customHeight="1">
      <x:c r="A4" s="8"/>
      <x:c r="B4" s="8"/>
      <x:c r="C4" s="8" t="str">
        <x:v>Сумма актов</x:v>
      </x:c>
      <x:c r="D4" s="8" t="str">
        <x:v>Удержано всего</x:v>
      </x:c>
      <x:c r="E4" s="8" t="str">
        <x:v>Возвращено деньгами</x:v>
      </x:c>
      <x:c r="F4" s="8" t="str">
        <x:v>Иное погашение</x:v>
      </x:c>
      <x:c r="G4" s="8" t="str">
        <x:v>Остаток удержания</x:v>
      </x:c>
      <x:c r="H4" s="8" t="str">
        <x:v>К возврату на дату</x:v>
      </x:c>
      <x:c r="I4" s="8" t="str">
        <x:v>Актов в реестре</x:v>
      </x:c>
    </x:row>
    <x:row r="5" ht="28" customHeight="1">
      <x:c r="A5" s="8"/>
      <x:c r="B5" s="8"/>
      <x:c r="C5" s="15" t="str">
        <x:f>IF(COUNTBLANK($G$9:$G$20)=12,"НЕТ ДАННЫХ",IF(NOT(COUNT($G$9:$G$20)+COUNTBLANK($G$9:$G$20)=12),"ПРОВЕРЬТЕ РЕЕСТР",SUM(C9:C20)))</x:f>
        <x:v>НЕТ ДАННЫХ</x:v>
      </x:c>
      <x:c r="D5" s="15" t="str">
        <x:f>IF(COUNTBLANK($G$9:$G$20)=12,"НЕТ ДАННЫХ",IF(NOT(COUNT($G$9:$G$20)+COUNTBLANK($G$9:$G$20)=12),"ПРОВЕРЬТЕ РЕЕСТР",SUM(D9:D20)))</x:f>
        <x:v>НЕТ ДАННЫХ</x:v>
      </x:c>
      <x:c r="E5" s="15" t="str">
        <x:f>IF(COUNTBLANK($G$9:$G$20)=12,"НЕТ ДАННЫХ",IF(NOT(COUNT($G$9:$G$20)+COUNTBLANK($G$9:$G$20)=12),"ПРОВЕРЬТЕ РЕЕСТР",SUM(E9:E20)))</x:f>
        <x:v>НЕТ ДАННЫХ</x:v>
      </x:c>
      <x:c r="F5" s="15" t="str">
        <x:f>IF(COUNTBLANK($G$9:$G$20)=12,"НЕТ ДАННЫХ",IF(NOT(COUNT($G$9:$G$20)+COUNTBLANK($G$9:$G$20)=12),"ПРОВЕРЬТЕ РЕЕСТР",SUM(F9:F20)))</x:f>
        <x:v>НЕТ ДАННЫХ</x:v>
      </x:c>
      <x:c r="G5" s="15" t="str">
        <x:f>IF(COUNTBLANK($G$9:$G$20)=12,"НЕТ ДАННЫХ",IF(NOT(COUNT($G$9:$G$20)+COUNTBLANK($G$9:$G$20)=12),"ПРОВЕРЬТЕ РЕЕСТР",SUM(G9:G20)))</x:f>
        <x:v>НЕТ ДАННЫХ</x:v>
      </x:c>
      <x:c r="H5" s="15" t="str">
        <x:f>IF(COUNTBLANK($G$9:$G$20)=12,"НЕТ ДАННЫХ",IF(COUNT($H$9:$H$20)+COUNTBLANK($H$9:$H$20)&lt;&gt;12,"ПРОВЕРЬТЕ УСЛОВИЯ",SUM(H9:H20)))</x:f>
        <x:v>НЕТ ДАННЫХ</x:v>
      </x:c>
      <x:c r="I5" s="16" t="str">
        <x:f>IF(COUNTBLANK($G$9:$G$20)=12,"НЕТ ДАННЫХ",12-COUNTBLANK(G9:G20))</x:f>
        <x:v>НЕТ ДАННЫХ</x:v>
      </x:c>
    </x:row>
    <x:row r="6" ht="18" customHeight="1">
      <x:c r="A6" s="8" t="str">
        <x:v>Заполняйте светлые поля. G:I — формулы. Подтверждения и сроки — на листе «Условия возврата».</x:v>
      </x:c>
      <x:c r="B6" s="8"/>
      <x:c r="C6" s="8"/>
      <x:c r="D6" s="8"/>
      <x:c r="E6" s="8"/>
      <x:c r="F6" s="8"/>
      <x:c r="G6" s="8"/>
      <x:c r="H6" s="8"/>
      <x:c r="I6" s="8"/>
    </x:row>
    <x:row r="7" ht="4" customHeight="1">
      <x:c r="A7" s="8"/>
      <x:c r="B7" s="8"/>
      <x:c r="C7" s="8"/>
      <x:c r="D7" s="8"/>
      <x:c r="E7" s="8"/>
      <x:c r="F7" s="8"/>
      <x:c r="G7" s="8"/>
      <x:c r="H7" s="8"/>
      <x:c r="I7" s="8"/>
    </x:row>
    <x:row r="8" ht="40" customHeight="1">
      <x:c r="A8" s="6" t="str">
        <x:v>№</x:v>
      </x:c>
      <x:c r="B8" s="6" t="str">
        <x:v>Акт номер и дата</x:v>
      </x:c>
      <x:c r="C8" s="6" t="str">
        <x:v>Сумма акта</x:v>
      </x:c>
      <x:c r="D8" s="6" t="str">
        <x:v>Удержано до погашений</x:v>
      </x:c>
      <x:c r="E8" s="6" t="str">
        <x:v>Возвращено деньгами</x:v>
      </x:c>
      <x:c r="F8" s="6" t="str">
        <x:v>Иное погашение</x:v>
      </x:c>
      <x:c r="G8" s="6" t="str">
        <x:v>Остаток</x:v>
      </x:c>
      <x:c r="H8" s="6" t="str">
        <x:v>К возврату на дату</x:v>
      </x:c>
      <x:c r="I8" s="6" t="str">
        <x:v>Готовность к возврату</x:v>
      </x:c>
    </x:row>
    <x:row r="9" ht="24" customHeight="1">
      <x:c r="A9" s="8" t="n">
        <x:v>1</x:v>
      </x:c>
      <x:c r="B9" s="9"/>
      <x:c r="C9" s="11"/>
      <x:c r="D9" s="11"/>
      <x:c r="E9" s="11"/>
      <x:c r="F9" s="11"/>
      <x:c r="G9" s="13" t="str">
        <x: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x:f>
      </x:c>
      <x:c r="H9" s="13" t="str">
        <x:f>IF(AND(ISTEXT(G9),G9=""),"",IF(NOT(ISNUMBER(G9)),G9,IF(OR(I9="К ВОЗВРАТУ",G9=0),G9,IF(OR(I9="СРОК НЕ НАСТУПИЛ",I9="УСЛОВИЯ НЕ ВЫПОЛНЕНЫ"),0,I9))))</x:f>
      </x:c>
      <x:c r="I9" s="14" t="str">
        <x: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x:f>
      </x:c>
    </x:row>
    <x:row r="10" ht="24" customHeight="1">
      <x:c r="A10" s="8" t="n">
        <x:v>2</x:v>
      </x:c>
      <x:c r="B10" s="9"/>
      <x:c r="C10" s="11"/>
      <x:c r="D10" s="11"/>
      <x:c r="E10" s="11"/>
      <x:c r="F10" s="11"/>
      <x:c r="G10" s="13" t="str">
        <x: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x:f>
      </x:c>
      <x:c r="H10" s="13" t="str">
        <x:f>IF(AND(ISTEXT(G10),G10=""),"",IF(NOT(ISNUMBER(G10)),G10,IF(OR(I10="К ВОЗВРАТУ",G10=0),G10,IF(OR(I10="СРОК НЕ НАСТУПИЛ",I10="УСЛОВИЯ НЕ ВЫПОЛНЕНЫ"),0,I10))))</x:f>
      </x:c>
      <x:c r="I10" s="14" t="str">
        <x: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x:f>
      </x:c>
    </x:row>
    <x:row r="11" ht="24" customHeight="1">
      <x:c r="A11" s="8" t="n">
        <x:v>3</x:v>
      </x:c>
      <x:c r="B11" s="9"/>
      <x:c r="C11" s="11"/>
      <x:c r="D11" s="11"/>
      <x:c r="E11" s="11"/>
      <x:c r="F11" s="11"/>
      <x:c r="G11" s="13" t="str">
        <x: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x:f>
      </x:c>
      <x:c r="H11" s="13" t="str">
        <x:f>IF(AND(ISTEXT(G11),G11=""),"",IF(NOT(ISNUMBER(G11)),G11,IF(OR(I11="К ВОЗВРАТУ",G11=0),G11,IF(OR(I11="СРОК НЕ НАСТУПИЛ",I11="УСЛОВИЯ НЕ ВЫПОЛНЕНЫ"),0,I11))))</x:f>
      </x:c>
      <x:c r="I11" s="14" t="str">
        <x: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x:f>
      </x:c>
    </x:row>
    <x:row r="12" ht="24" customHeight="1">
      <x:c r="A12" s="8" t="n">
        <x:v>4</x:v>
      </x:c>
      <x:c r="B12" s="9"/>
      <x:c r="C12" s="11"/>
      <x:c r="D12" s="11"/>
      <x:c r="E12" s="11"/>
      <x:c r="F12" s="11"/>
      <x:c r="G12" s="13" t="str">
        <x: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x:f>
      </x:c>
      <x:c r="H12" s="13" t="str">
        <x:f>IF(AND(ISTEXT(G12),G12=""),"",IF(NOT(ISNUMBER(G12)),G12,IF(OR(I12="К ВОЗВРАТУ",G12=0),G12,IF(OR(I12="СРОК НЕ НАСТУПИЛ",I12="УСЛОВИЯ НЕ ВЫПОЛНЕНЫ"),0,I12))))</x:f>
      </x:c>
      <x:c r="I12" s="14" t="str">
        <x: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x:f>
      </x:c>
    </x:row>
    <x:row r="13" ht="24" customHeight="1">
      <x:c r="A13" s="8" t="n">
        <x:v>5</x:v>
      </x:c>
      <x:c r="B13" s="9"/>
      <x:c r="C13" s="11"/>
      <x:c r="D13" s="11"/>
      <x:c r="E13" s="11"/>
      <x:c r="F13" s="11"/>
      <x:c r="G13" s="13" t="str">
        <x: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x:f>
      </x:c>
      <x:c r="H13" s="13" t="str">
        <x:f>IF(AND(ISTEXT(G13),G13=""),"",IF(NOT(ISNUMBER(G13)),G13,IF(OR(I13="К ВОЗВРАТУ",G13=0),G13,IF(OR(I13="СРОК НЕ НАСТУПИЛ",I13="УСЛОВИЯ НЕ ВЫПОЛНЕНЫ"),0,I13))))</x:f>
      </x:c>
      <x:c r="I13" s="14" t="str">
        <x: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x:f>
      </x:c>
    </x:row>
    <x:row r="14" ht="24" customHeight="1">
      <x:c r="A14" s="8" t="n">
        <x:v>6</x:v>
      </x:c>
      <x:c r="B14" s="9"/>
      <x:c r="C14" s="11"/>
      <x:c r="D14" s="11"/>
      <x:c r="E14" s="11"/>
      <x:c r="F14" s="11"/>
      <x:c r="G14" s="13" t="str">
        <x: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x:f>
      </x:c>
      <x:c r="H14" s="13" t="str">
        <x:f>IF(AND(ISTEXT(G14),G14=""),"",IF(NOT(ISNUMBER(G14)),G14,IF(OR(I14="К ВОЗВРАТУ",G14=0),G14,IF(OR(I14="СРОК НЕ НАСТУПИЛ",I14="УСЛОВИЯ НЕ ВЫПОЛНЕНЫ"),0,I14))))</x:f>
      </x:c>
      <x:c r="I14" s="14" t="str">
        <x: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x:f>
      </x:c>
    </x:row>
    <x:row r="15" ht="24" customHeight="1">
      <x:c r="A15" s="8" t="n">
        <x:v>7</x:v>
      </x:c>
      <x:c r="B15" s="9"/>
      <x:c r="C15" s="11"/>
      <x:c r="D15" s="11"/>
      <x:c r="E15" s="11"/>
      <x:c r="F15" s="11"/>
      <x:c r="G15" s="13" t="str">
        <x: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x:f>
      </x:c>
      <x:c r="H15" s="13" t="str">
        <x:f>IF(AND(ISTEXT(G15),G15=""),"",IF(NOT(ISNUMBER(G15)),G15,IF(OR(I15="К ВОЗВРАТУ",G15=0),G15,IF(OR(I15="СРОК НЕ НАСТУПИЛ",I15="УСЛОВИЯ НЕ ВЫПОЛНЕНЫ"),0,I15))))</x:f>
      </x:c>
      <x:c r="I15" s="14" t="str">
        <x: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x:f>
      </x:c>
    </x:row>
    <x:row r="16" ht="24" customHeight="1">
      <x:c r="A16" s="8" t="n">
        <x:v>8</x:v>
      </x:c>
      <x:c r="B16" s="9"/>
      <x:c r="C16" s="11"/>
      <x:c r="D16" s="11"/>
      <x:c r="E16" s="11"/>
      <x:c r="F16" s="11"/>
      <x:c r="G16" s="13" t="str">
        <x: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x:f>
      </x:c>
      <x:c r="H16" s="13" t="str">
        <x:f>IF(AND(ISTEXT(G16),G16=""),"",IF(NOT(ISNUMBER(G16)),G16,IF(OR(I16="К ВОЗВРАТУ",G16=0),G16,IF(OR(I16="СРОК НЕ НАСТУПИЛ",I16="УСЛОВИЯ НЕ ВЫПОЛНЕНЫ"),0,I16))))</x:f>
      </x:c>
      <x:c r="I16" s="14" t="str">
        <x: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x:f>
      </x:c>
    </x:row>
    <x:row r="17" ht="24" customHeight="1">
      <x:c r="A17" s="8" t="n">
        <x:v>9</x:v>
      </x:c>
      <x:c r="B17" s="9"/>
      <x:c r="C17" s="11"/>
      <x:c r="D17" s="11"/>
      <x:c r="E17" s="11"/>
      <x:c r="F17" s="11"/>
      <x:c r="G17" s="13" t="str">
        <x: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x:f>
      </x:c>
      <x:c r="H17" s="13" t="str">
        <x:f>IF(AND(ISTEXT(G17),G17=""),"",IF(NOT(ISNUMBER(G17)),G17,IF(OR(I17="К ВОЗВРАТУ",G17=0),G17,IF(OR(I17="СРОК НЕ НАСТУПИЛ",I17="УСЛОВИЯ НЕ ВЫПОЛНЕНЫ"),0,I17))))</x:f>
      </x:c>
      <x:c r="I17" s="14" t="str">
        <x: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x:f>
      </x:c>
    </x:row>
    <x:row r="18" ht="24" customHeight="1">
      <x:c r="A18" s="8" t="n">
        <x:v>10</x:v>
      </x:c>
      <x:c r="B18" s="9"/>
      <x:c r="C18" s="11"/>
      <x:c r="D18" s="11"/>
      <x:c r="E18" s="11"/>
      <x:c r="F18" s="11"/>
      <x:c r="G18" s="13" t="str">
        <x: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x:f>
      </x:c>
      <x:c r="H18" s="13" t="str">
        <x:f>IF(AND(ISTEXT(G18),G18=""),"",IF(NOT(ISNUMBER(G18)),G18,IF(OR(I18="К ВОЗВРАТУ",G18=0),G18,IF(OR(I18="СРОК НЕ НАСТУПИЛ",I18="УСЛОВИЯ НЕ ВЫПОЛНЕНЫ"),0,I18))))</x:f>
      </x:c>
      <x:c r="I18" s="14" t="str">
        <x: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x:f>
      </x:c>
    </x:row>
    <x:row r="19" ht="24" customHeight="1">
      <x:c r="A19" s="8" t="n">
        <x:v>11</x:v>
      </x:c>
      <x:c r="B19" s="9"/>
      <x:c r="C19" s="11"/>
      <x:c r="D19" s="11"/>
      <x:c r="E19" s="11"/>
      <x:c r="F19" s="11"/>
      <x:c r="G19" s="13" t="str">
        <x: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x:f>
      </x:c>
      <x:c r="H19" s="13" t="str">
        <x:f>IF(AND(ISTEXT(G19),G19=""),"",IF(NOT(ISNUMBER(G19)),G19,IF(OR(I19="К ВОЗВРАТУ",G19=0),G19,IF(OR(I19="СРОК НЕ НАСТУПИЛ",I19="УСЛОВИЯ НЕ ВЫПОЛНЕНЫ"),0,I19))))</x:f>
      </x:c>
      <x:c r="I19" s="14" t="str">
        <x: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x:f>
      </x:c>
    </x:row>
    <x:row r="20" ht="24" customHeight="1">
      <x:c r="A20" s="8" t="n">
        <x:v>12</x:v>
      </x:c>
      <x:c r="B20" s="9"/>
      <x:c r="C20" s="11"/>
      <x:c r="D20" s="11"/>
      <x:c r="E20" s="11"/>
      <x:c r="F20" s="11"/>
      <x:c r="G20" s="13" t="str">
        <x: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x:f>
      </x:c>
      <x:c r="H20" s="13" t="str">
        <x:f>IF(AND(ISTEXT(G20),G20=""),"",IF(NOT(ISNUMBER(G20)),G20,IF(OR(I20="К ВОЗВРАТУ",G20=0),G20,IF(OR(I20="СРОК НЕ НАСТУПИЛ",I20="УСЛОВИЯ НЕ ВЫПОЛНЕНЫ"),0,I20))))</x:f>
      </x:c>
      <x:c r="I20" s="14" t="str">
        <x: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x:f>
      </x:c>
    </x:row>
    <x:row r="21" ht="6" customHeight="1">
      <x:c r="A21" s="8"/>
      <x:c r="B21" s="8"/>
      <x:c r="C21" s="8"/>
      <x:c r="D21" s="8"/>
      <x:c r="E21" s="8"/>
      <x:c r="F21" s="8"/>
      <x:c r="G21" s="8"/>
      <x:c r="H21" s="8"/>
      <x:c r="I21" s="8"/>
    </x:row>
    <x:row r="22" ht="22" customHeight="1">
      <x:c r="A22" s="17" t="str">
        <x:v>D — удержано до возвратов; E — денежные возвраты; F — иное подтверждённое погашение. Каждая операция учитывается один раз.</x:v>
      </x:c>
      <x:c r="B22" s="17"/>
      <x:c r="C22" s="17"/>
      <x:c r="D22" s="17"/>
      <x:c r="E22" s="17"/>
      <x:c r="F22" s="17"/>
      <x:c r="G22" s="17"/>
      <x:c r="H22" s="17"/>
      <x:c r="I22" s="17"/>
    </x:row>
    <x:row r="23" ht="22" customHeight="1">
      <x:c r="A23" s="17" t="str">
        <x:v>Не включайте одну операцию одновременно в E и F. Спорные списания не принимаются автоматически как погашение.</x:v>
      </x:c>
      <x:c r="B23" s="17"/>
      <x:c r="C23" s="17"/>
      <x:c r="D23" s="17"/>
      <x:c r="E23" s="17"/>
      <x:c r="F23" s="17"/>
      <x:c r="G23" s="17"/>
      <x:c r="H23" s="17"/>
      <x:c r="I23" s="17"/>
    </x:row>
    <x:row r="24" ht="22" customHeight="1">
      <x:c r="A24" s="17" t="str">
        <x:v>Остаток G не равен сумме к возврату H при ненаступившем или неподтверждённом сроке. При споре проверьте условия.</x:v>
      </x:c>
      <x:c r="B24" s="17"/>
      <x:c r="C24" s="17"/>
      <x:c r="D24" s="17"/>
      <x:c r="E24" s="17"/>
      <x:c r="F24" s="17"/>
      <x:c r="G24" s="17"/>
      <x:c r="H24" s="17"/>
      <x:c r="I24" s="17"/>
    </x:row>
    <x:row r="25" ht="22" customHeight="1">
      <x:c r="A25" s="17" t="str">
        <x:v>До 12 актов. Порядок, пример и письмо — файлы 01 и 04. Поддержка: nastoronepodryadchika@yandex.ru.</x:v>
      </x:c>
      <x:c r="B25" s="17"/>
      <x:c r="C25" s="17"/>
      <x:c r="D25" s="17"/>
      <x:c r="E25" s="17"/>
      <x:c r="F25" s="17"/>
      <x:c r="G25" s="17"/>
      <x:c r="H25" s="17"/>
      <x:c r="I25" s="17"/>
    </x:row>
  </x:sheetData>
  <x:mergeCells>
    <x:mergeCell ref="A1:I1"/>
    <x:mergeCell ref="A2:I2"/>
    <x:mergeCell ref="C3:I3"/>
    <x:mergeCell ref="A6:I6"/>
    <x:mergeCell ref="A22:I22"/>
    <x:mergeCell ref="A23:I23"/>
    <x:mergeCell ref="A24:I24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2A3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4" hidden="0" customWidth="1"/>
    <x:col min="2" max="2" width="18" hidden="0" customWidth="1"/>
    <x:col min="3" max="3" width="24" hidden="0" customWidth="1"/>
    <x:col min="4" max="4" width="13" hidden="0" customWidth="1"/>
    <x:col min="5" max="5" width="17" hidden="0" customWidth="1"/>
    <x:col min="6" max="6" width="14" hidden="0" customWidth="1"/>
    <x:col min="7" max="7" width="14" hidden="0" customWidth="1"/>
    <x:col min="8" max="8" width="20" hidden="0" customWidth="1"/>
    <x:col min="9" max="9" width="13" hidden="0" customWidth="1"/>
    <x:col min="10" max="10" width="14" hidden="0" customWidth="1"/>
    <x:col min="11" max="11" width="24" hidden="0" customWidth="1"/>
    <x:col min="12" max="12" width="22" hidden="0" customWidth="1"/>
    <x:col min="13" max="13" width="14" hidden="0" customWidth="1"/>
  </x:cols>
  <x:sheetData>
    <x:row r="1" ht="24" customHeight="1">
      <x:c r="A1" s="7" t="str">
        <x:v>Условия и подтверждения возврата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2" customHeight="1">
      <x:c r="A2" s="8" t="str">
        <x:v>Строки соответствуют тем же актам на первом листе. Перепишите условие дословно; подтвердите событие, срок и документы.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2" customHeight="1">
      <x:c r="A3" s="8" t="str">
        <x:v>J — дата последнего денежного возврата, M — дата иного подтверждённого погашения. В K укажите документы и распределение сумм.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22" customHeight="1">
      <x:c r="A4" s="8" t="str">
        <x:v>Крайний день G вводится после проверки договора и календаря. Сам реестр не назначает универсальный срок возврата.</x:v>
      </x:c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</x:row>
    <x:row r="5" ht="4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 ht="22" customHeight="1">
      <x:c r="A6" s="8" t="str">
        <x:v>При первичном требовании оставьте F пустой: срок ещё не запущен. После доставки внесите F и проверенную дату G.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</x:row>
    <x:row r="7" ht="4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 ht="52" customHeight="1">
      <x:c r="A8" s="6" t="str">
        <x:v>№</x:v>
      </x:c>
      <x:c r="B8" s="6" t="str">
        <x:v>Пункт удержания и возврата</x:v>
      </x:c>
      <x:c r="C8" s="6" t="str">
        <x:v>Событие и документ</x:v>
      </x:c>
      <x:c r="D8" s="6" t="str">
        <x:v>Дата события</x:v>
      </x:c>
      <x:c r="E8" s="6" t="str">
        <x:v>Возврат</x:v>
      </x:c>
      <x:c r="F8" s="6" t="str">
        <x:v>Доставлено требование</x:v>
      </x:c>
      <x:c r="G8" s="6" t="str">
        <x:v>Крайний день возврата</x:v>
      </x:c>
      <x:c r="H8" s="6" t="str">
        <x:v>Срок и его основание</x:v>
      </x:c>
      <x:c r="I8" s="6" t="str">
        <x:v>Условия: да/нет/спор</x:v>
      </x:c>
      <x:c r="J8" s="6" t="str">
        <x:v>Денежный возврат дата</x:v>
      </x:c>
      <x:c r="K8" s="6" t="str">
        <x:v>Подтверждения сумм</x:v>
      </x:c>
      <x:c r="L8" s="6" t="str">
        <x:v>Письма ответы и примечания</x:v>
      </x:c>
      <x:c r="M8" s="6" t="str">
        <x:v>Иное погашение дата</x:v>
      </x:c>
    </x:row>
    <x:row r="9" ht="44" customHeight="1">
      <x:c r="A9" s="8" t="n">
        <x:v>1</x:v>
      </x:c>
      <x:c r="B9" s="9"/>
      <x:c r="C9" s="9"/>
      <x:c r="D9" s="10"/>
      <x:c r="E9" s="9"/>
      <x:c r="F9" s="10"/>
      <x:c r="G9" s="10"/>
      <x:c r="H9" s="9"/>
      <x:c r="I9" s="9"/>
      <x:c r="J9" s="10"/>
      <x:c r="K9" s="9"/>
      <x:c r="L9" s="9"/>
      <x:c r="M9" s="10"/>
    </x:row>
    <x:row r="10" ht="44" customHeight="1">
      <x:c r="A10" s="8" t="n">
        <x:v>2</x:v>
      </x:c>
      <x:c r="B10" s="9"/>
      <x:c r="C10" s="9"/>
      <x:c r="D10" s="10"/>
      <x:c r="E10" s="9"/>
      <x:c r="F10" s="10"/>
      <x:c r="G10" s="10"/>
      <x:c r="H10" s="9"/>
      <x:c r="I10" s="9"/>
      <x:c r="J10" s="10"/>
      <x:c r="K10" s="9"/>
      <x:c r="L10" s="9"/>
      <x:c r="M10" s="10"/>
    </x:row>
    <x:row r="11" ht="44" customHeight="1">
      <x:c r="A11" s="8" t="n">
        <x:v>3</x:v>
      </x:c>
      <x:c r="B11" s="9"/>
      <x:c r="C11" s="9"/>
      <x:c r="D11" s="10"/>
      <x:c r="E11" s="9"/>
      <x:c r="F11" s="10"/>
      <x:c r="G11" s="10"/>
      <x:c r="H11" s="9"/>
      <x:c r="I11" s="9"/>
      <x:c r="J11" s="10"/>
      <x:c r="K11" s="9"/>
      <x:c r="L11" s="9"/>
      <x:c r="M11" s="10"/>
    </x:row>
    <x:row r="12" ht="44" customHeight="1">
      <x:c r="A12" s="8" t="n">
        <x:v>4</x:v>
      </x:c>
      <x:c r="B12" s="9"/>
      <x:c r="C12" s="9"/>
      <x:c r="D12" s="10"/>
      <x:c r="E12" s="9"/>
      <x:c r="F12" s="10"/>
      <x:c r="G12" s="10"/>
      <x:c r="H12" s="9"/>
      <x:c r="I12" s="9"/>
      <x:c r="J12" s="10"/>
      <x:c r="K12" s="9"/>
      <x:c r="L12" s="9"/>
      <x:c r="M12" s="10"/>
    </x:row>
    <x:row r="13" ht="44" customHeight="1">
      <x:c r="A13" s="8" t="n">
        <x:v>5</x:v>
      </x:c>
      <x:c r="B13" s="9"/>
      <x:c r="C13" s="9"/>
      <x:c r="D13" s="10"/>
      <x:c r="E13" s="9"/>
      <x:c r="F13" s="10"/>
      <x:c r="G13" s="10"/>
      <x:c r="H13" s="9"/>
      <x:c r="I13" s="9"/>
      <x:c r="J13" s="10"/>
      <x:c r="K13" s="9"/>
      <x:c r="L13" s="9"/>
      <x:c r="M13" s="10"/>
    </x:row>
    <x:row r="14" ht="44" customHeight="1">
      <x:c r="A14" s="8" t="n">
        <x:v>6</x:v>
      </x:c>
      <x:c r="B14" s="9"/>
      <x:c r="C14" s="9"/>
      <x:c r="D14" s="10"/>
      <x:c r="E14" s="9"/>
      <x:c r="F14" s="10"/>
      <x:c r="G14" s="10"/>
      <x:c r="H14" s="9"/>
      <x:c r="I14" s="9"/>
      <x:c r="J14" s="10"/>
      <x:c r="K14" s="9"/>
      <x:c r="L14" s="9"/>
      <x:c r="M14" s="10"/>
    </x:row>
    <x:row r="15" ht="44" customHeight="1">
      <x:c r="A15" s="8" t="n">
        <x:v>7</x:v>
      </x:c>
      <x:c r="B15" s="9"/>
      <x:c r="C15" s="9"/>
      <x:c r="D15" s="10"/>
      <x:c r="E15" s="9"/>
      <x:c r="F15" s="10"/>
      <x:c r="G15" s="10"/>
      <x:c r="H15" s="9"/>
      <x:c r="I15" s="9"/>
      <x:c r="J15" s="10"/>
      <x:c r="K15" s="9"/>
      <x:c r="L15" s="9"/>
      <x:c r="M15" s="10"/>
    </x:row>
    <x:row r="16" ht="44" customHeight="1">
      <x:c r="A16" s="8" t="n">
        <x:v>8</x:v>
      </x:c>
      <x:c r="B16" s="9"/>
      <x:c r="C16" s="9"/>
      <x:c r="D16" s="10"/>
      <x:c r="E16" s="9"/>
      <x:c r="F16" s="10"/>
      <x:c r="G16" s="10"/>
      <x:c r="H16" s="9"/>
      <x:c r="I16" s="9"/>
      <x:c r="J16" s="10"/>
      <x:c r="K16" s="9"/>
      <x:c r="L16" s="9"/>
      <x:c r="M16" s="10"/>
    </x:row>
    <x:row r="17" ht="44" customHeight="1">
      <x:c r="A17" s="8" t="n">
        <x:v>9</x:v>
      </x:c>
      <x:c r="B17" s="9"/>
      <x:c r="C17" s="9"/>
      <x:c r="D17" s="10"/>
      <x:c r="E17" s="9"/>
      <x:c r="F17" s="10"/>
      <x:c r="G17" s="10"/>
      <x:c r="H17" s="9"/>
      <x:c r="I17" s="9"/>
      <x:c r="J17" s="10"/>
      <x:c r="K17" s="9"/>
      <x:c r="L17" s="9"/>
      <x:c r="M17" s="10"/>
    </x:row>
    <x:row r="18" ht="44" customHeight="1">
      <x:c r="A18" s="8" t="n">
        <x:v>10</x:v>
      </x:c>
      <x:c r="B18" s="9"/>
      <x:c r="C18" s="9"/>
      <x:c r="D18" s="10"/>
      <x:c r="E18" s="9"/>
      <x:c r="F18" s="10"/>
      <x:c r="G18" s="10"/>
      <x:c r="H18" s="9"/>
      <x:c r="I18" s="9"/>
      <x:c r="J18" s="10"/>
      <x:c r="K18" s="9"/>
      <x:c r="L18" s="9"/>
      <x:c r="M18" s="10"/>
    </x:row>
    <x:row r="19" ht="44" customHeight="1">
      <x:c r="A19" s="8" t="n">
        <x:v>11</x:v>
      </x:c>
      <x:c r="B19" s="9"/>
      <x:c r="C19" s="9"/>
      <x:c r="D19" s="10"/>
      <x:c r="E19" s="9"/>
      <x:c r="F19" s="10"/>
      <x:c r="G19" s="10"/>
      <x:c r="H19" s="9"/>
      <x:c r="I19" s="9"/>
      <x:c r="J19" s="10"/>
      <x:c r="K19" s="9"/>
      <x:c r="L19" s="9"/>
      <x:c r="M19" s="10"/>
    </x:row>
    <x:row r="20" ht="44" customHeight="1">
      <x:c r="A20" s="8" t="n">
        <x:v>12</x:v>
      </x:c>
      <x:c r="B20" s="9"/>
      <x:c r="C20" s="9"/>
      <x:c r="D20" s="10"/>
      <x:c r="E20" s="9"/>
      <x:c r="F20" s="10"/>
      <x:c r="G20" s="10"/>
      <x:c r="H20" s="9"/>
      <x:c r="I20" s="9"/>
      <x:c r="J20" s="10"/>
      <x:c r="K20" s="9"/>
      <x:c r="L20" s="9"/>
      <x:c r="M20" s="10"/>
    </x:row>
    <x:row r="21" ht="6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</x:row>
    <x:row r="22" ht="20" customHeight="1">
      <x:c r="A22" s="8" t="n">
        <x:v>1</x:v>
      </x:c>
      <x:c r="B22" s="18" t="str">
        <x:v>ГК РФ ст. 327.1 — условие исполнения</x:v>
      </x:c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</x:row>
    <x:row r="23" ht="20" customHeight="1">
      <x:c r="A23" s="8" t="n">
        <x:v>2</x:v>
      </x:c>
      <x:c r="B23" s="18" t="str">
        <x:v>ГК РФ ст. 314 — определение срока исполнения</x:v>
      </x:c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 ht="20" customHeight="1">
      <x:c r="A24" s="8" t="n">
        <x:v>3</x:v>
      </x:c>
      <x:c r="B24" s="18" t="str">
        <x:v>ГК РФ ст. 165.1 — доставка сообщений</x:v>
      </x:c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 ht="20" customHeight="1">
      <x:c r="A25" s="8" t="n">
        <x:v>4</x:v>
      </x:c>
      <x:c r="B25" s="18" t="str">
        <x:v>ГК РФ ст. 410 — условия зачёта</x:v>
      </x:c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 ht="20" customHeight="1">
      <x:c r="A26" s="8" t="n">
        <x:v>5</x:v>
      </x:c>
      <x:c r="B26" s="18" t="str">
        <x:v>ГК РФ ст. 411 — ограничения зачёта</x:v>
      </x:c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</x:sheetData>
  <x:mergeCells>
    <x:mergeCell ref="A1:M1"/>
    <x:mergeCell ref="A2:M2"/>
    <x:mergeCell ref="A3:M3"/>
    <x:mergeCell ref="A4:M4"/>
    <x:mergeCell ref="A6:M6"/>
    <x:mergeCell ref="B22:M22"/>
    <x:mergeCell ref="B23:M23"/>
    <x:mergeCell ref="B24:M24"/>
    <x:mergeCell ref="B25:M25"/>
    <x:mergeCell ref="B26:M26"/>
  </x:mergeCells>
  <x:dataValidations count="2">
    <x:dataValidation type="list" sqref="E9:E20">
      <x:formula1>"автоматически,по требованию"</x:formula1>
    </x:dataValidation>
    <x:dataValidation type="list" sqref="I9:I20">
      <x:formula1>"да,нет,спор"</x:formula1>
    </x:dataValidation>
  </x:dataValidations>
  <x:pageMargins left="0.7" right="0.7" top="0.75" bottom="0.75" header="0.3" footer="0.3"/>
</x:worksheet>
</file>