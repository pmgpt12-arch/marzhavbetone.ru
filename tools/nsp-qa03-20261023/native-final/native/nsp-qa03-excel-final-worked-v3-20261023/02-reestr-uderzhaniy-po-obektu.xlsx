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77aefb67846b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естр удержаний" sheetId="1" r:id="Re1ad3da001d44f2e"/>
    <sheet name="Условия возврата" sheetId="2" r:id="Re637f7abb51f4d3c"/>
  </sheets>
  <definedNames>
    <definedName name="_xlnm.Print_Area" localSheetId="0">'Реестр удержаний'!$A$1:$I$25</definedName>
    <definedName name="_xlnm.Print_Area" localSheetId="1">'Условия возврата'!$A$1:$M$26</definedName>
  </definedName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7">
    <x:font>
      <x:sz val="11"/>
      <x:name val="Carlito"/>
    </x:font>
    <x:font>
      <x:sz val="11"/>
      <x:color rgb="FF252A30"/>
      <x:name val="Arial"/>
    </x:font>
    <x:font>
      <x:b/>
      <x:sz val="15"/>
      <x:color rgb="FF000000"/>
      <x:name val="Arial"/>
    </x:font>
    <x:font>
      <x:b/>
      <x:sz val="10.5"/>
      <x:color rgb="FFFFFFFF"/>
      <x:name val="Arial"/>
    </x:font>
    <x:font>
      <x:b/>
      <x:sz val="11"/>
      <x:color rgb="FF252A30"/>
      <x:name val="Arial"/>
    </x:font>
    <x:font>
      <x:sz val="10"/>
      <x:color rgb="FF252A30"/>
      <x:name val="Arial"/>
    </x:font>
    <x:font>
      <x:sz val="11"/>
      <x:color rgb="FF7255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2A30"/>
      </x:patternFill>
    </x:fill>
    <x:fill>
      <x:patternFill patternType="solid">
        <x:fgColor rgb="FFFFF2CC"/>
      </x:patternFill>
    </x:fill>
    <x:fill>
      <x:patternFill patternType="solid">
        <x:fgColor rgb="FFF2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a450824f8468f" /><Relationship Type="http://schemas.openxmlformats.org/officeDocument/2006/relationships/theme" Target="/xl/theme/theme1.xml" Id="Rbaa0af373e4648c6" /><Relationship Type="http://schemas.openxmlformats.org/officeDocument/2006/relationships/sharedStrings" Target="/xl/sharedStrings.xml" Id="Rca59ad9d5afa4244" /><Relationship Type="http://schemas.openxmlformats.org/officeDocument/2006/relationships/worksheet" Target="/xl/worksheets/sheet1.xml" Id="Re1ad3da001d44f2e" /><Relationship Type="http://schemas.openxmlformats.org/officeDocument/2006/relationships/worksheet" Target="/xl/worksheets/sheet2.xml" Id="Re637f7abb51f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Id="qa03link1" Type="http://schemas.openxmlformats.org/officeDocument/2006/relationships/hyperlink" Target="https://www.consultant.ru/document/cons_doc_LAW_5142/e3361788dae66ff36dddf6d8d07ce518d1f097f0/" TargetMode="External" /><ns0:Relationship Id="qa03link2" Type="http://schemas.openxmlformats.org/officeDocument/2006/relationships/hyperlink" Target="https://www.consultant.ru/document/cons_doc_LAW_5142/3a7d3c1ca588deb50bc9bc8bde5576afc732f9a2/" TargetMode="External" /><ns0:Relationship Id="qa03link3" Type="http://schemas.openxmlformats.org/officeDocument/2006/relationships/hyperlink" Target="https://www.consultant.ru/document/cons_doc_LAW_5142/1996a193f316d0ef7da6d50cf44745feeda864f1/" TargetMode="External" /><ns0:Relationship Id="qa03link4" Type="http://schemas.openxmlformats.org/officeDocument/2006/relationships/hyperlink" Target="https://www.consultant.ru/document/cons_doc_LAW_5142/ce09e59d11f3a60c30a1601c0f6c7cceb9835dfa/" TargetMode="External" /><ns0:Relationship Id="qa03link5" Type="http://schemas.openxmlformats.org/officeDocument/2006/relationships/hyperlink" Target="https://www.consultant.ru/document/cons_doc_LAW_5142/8b64baebe684327db892d518687befdccd241cc8/" TargetMode="External" /></ns0:Relationships>
</file>

<file path=xl/worksheets/sheet1.xml><?xml version="1.0" encoding="utf-8"?>
<worksheet xmlns="http://schemas.openxmlformats.org/spreadsheetml/2006/main">
  <sheetPr>
    <tabColor rgb="FF252A30"/>
    <pageSetUpPr fitToPage="1" autoPageBreaks="0"/>
  </sheetPr>
  <sheetViews>
    <sheetView showGridLines="0" workbookViewId="0">
      <pane ySplit="8" topLeftCell="A9" activePane="bottomLeft" state="frozen"/>
    </sheetView>
  </sheetViews>
  <sheetFormatPr defaultRowHeight="15"/>
  <cols>
    <col min="1" max="1" width="4" hidden="0" customWidth="1"/>
    <col min="2" max="2" width="22" hidden="0" customWidth="1"/>
    <col min="3" max="3" width="15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7" hidden="0" customWidth="1"/>
    <col min="9" max="9" width="27" hidden="0" customWidth="1"/>
  </cols>
  <sheetData>
    <row r="1" ht="24" customHeight="1">
      <c r="A1" s="7" t="str">
        <v>Гарантийное удержание по объекту</v>
      </c>
      <c r="B1" s="7"/>
      <c r="C1" s="7"/>
      <c r="D1" s="7"/>
      <c r="E1" s="7"/>
      <c r="F1" s="7"/>
      <c r="G1" s="7"/>
      <c r="H1" s="7"/>
      <c r="I1" s="7"/>
    </row>
    <row r="2" ht="18" customHeight="1">
      <c r="A2" s="8" t="str">
        <v>Остаток удержания и сумма к возврату проверяются раздельно. Все суммы в рублях.</v>
      </c>
      <c r="B2" s="8"/>
      <c r="C2" s="8"/>
      <c r="D2" s="8"/>
      <c r="E2" s="8"/>
      <c r="F2" s="8"/>
      <c r="G2" s="8"/>
      <c r="H2" s="8"/>
      <c r="I2" s="8"/>
    </row>
    <row r="3" ht="22" customHeight="1">
      <c r="A3" s="8" t="str">
        <v>На:</v>
      </c>
      <c r="B3" s="10"/>
      <c r="C3" s="8" t="str">
        <v>Сверяйте суммы, даты погашений и условия возврата на эту дату.</v>
      </c>
      <c r="D3" s="8"/>
      <c r="E3" s="8"/>
      <c r="F3" s="8"/>
      <c r="G3" s="8"/>
      <c r="H3" s="8"/>
      <c r="I3" s="8"/>
    </row>
    <row r="4" ht="32" customHeight="1">
      <c r="A4" s="8"/>
      <c r="B4" s="8"/>
      <c r="C4" s="8" t="str">
        <v>Сумма актов</v>
      </c>
      <c r="D4" s="8" t="str">
        <v>Удержано всего</v>
      </c>
      <c r="E4" s="8" t="str">
        <v>Возвращено деньгами</v>
      </c>
      <c r="F4" s="8" t="str">
        <v>Иное погашение</v>
      </c>
      <c r="G4" s="8" t="str">
        <v>Остаток удержания</v>
      </c>
      <c r="H4" s="8" t="str">
        <v>К возврату на дату</v>
      </c>
      <c r="I4" s="8" t="str">
        <v>Актов в реестре</v>
      </c>
    </row>
    <row r="5" ht="28" customHeight="1">
      <c r="A5" s="8"/>
      <c r="B5" s="8"/>
      <c r="C5" s="15" t="str">
        <f>IF(COUNTBLANK($G$9:$G$20)=12,"НЕТ ДАННЫХ",IF(NOT(COUNT($G$9:$G$20)+COUNTBLANK($G$9:$G$20)=12),"ПРОВЕРЬТЕ РЕЕСТР",SUM(C9:C20)))</f>
        <v>НЕТ ДАННЫХ</v>
      </c>
      <c r="D5" s="15" t="str">
        <f>IF(COUNTBLANK($G$9:$G$20)=12,"НЕТ ДАННЫХ",IF(NOT(COUNT($G$9:$G$20)+COUNTBLANK($G$9:$G$20)=12),"ПРОВЕРЬТЕ РЕЕСТР",SUM(D9:D20)))</f>
        <v>НЕТ ДАННЫХ</v>
      </c>
      <c r="E5" s="15" t="str">
        <f>IF(COUNTBLANK($G$9:$G$20)=12,"НЕТ ДАННЫХ",IF(NOT(COUNT($G$9:$G$20)+COUNTBLANK($G$9:$G$20)=12),"ПРОВЕРЬТЕ РЕЕСТР",SUM(E9:E20)))</f>
        <v>НЕТ ДАННЫХ</v>
      </c>
      <c r="F5" s="15" t="str">
        <f>IF(COUNTBLANK($G$9:$G$20)=12,"НЕТ ДАННЫХ",IF(NOT(COUNT($G$9:$G$20)+COUNTBLANK($G$9:$G$20)=12),"ПРОВЕРЬТЕ РЕЕСТР",SUM(F9:F20)))</f>
        <v>НЕТ ДАННЫХ</v>
      </c>
      <c r="G5" s="15" t="str">
        <f>IF(COUNTBLANK($G$9:$G$20)=12,"НЕТ ДАННЫХ",IF(NOT(COUNT($G$9:$G$20)+COUNTBLANK($G$9:$G$20)=12),"ПРОВЕРЬТЕ РЕЕСТР",SUM(G9:G20)))</f>
        <v>НЕТ ДАННЫХ</v>
      </c>
      <c r="H5" s="15" t="str">
        <f>IF(COUNTBLANK($G$9:$G$20)=12,"НЕТ ДАННЫХ",IF(COUNT($H$9:$H$20)+COUNTBLANK($H$9:$H$20)&lt;&gt;12,"ПРОВЕРЬТЕ УСЛОВИЯ",SUM(H9:H20)))</f>
        <v>НЕТ ДАННЫХ</v>
      </c>
      <c r="I5" s="16" t="str">
        <f>IF(COUNTBLANK($G$9:$G$20)=12,"НЕТ ДАННЫХ",12-COUNTBLANK(G9:G20))</f>
        <v>НЕТ ДАННЫХ</v>
      </c>
    </row>
    <row r="6" ht="18" customHeight="1">
      <c r="A6" s="8" t="str">
        <v>Заполняйте светлые поля. G:I — формулы. Подтверждения и сроки — на листе «Условия возврата».</v>
      </c>
      <c r="B6" s="8"/>
      <c r="C6" s="8"/>
      <c r="D6" s="8"/>
      <c r="E6" s="8"/>
      <c r="F6" s="8"/>
      <c r="G6" s="8"/>
      <c r="H6" s="8"/>
      <c r="I6" s="8"/>
    </row>
    <row r="7" ht="4" customHeight="1">
      <c r="A7" s="8"/>
      <c r="B7" s="8"/>
      <c r="C7" s="8"/>
      <c r="D7" s="8"/>
      <c r="E7" s="8"/>
      <c r="F7" s="8"/>
      <c r="G7" s="8"/>
      <c r="H7" s="8"/>
      <c r="I7" s="8"/>
    </row>
    <row r="8" ht="40" customHeight="1">
      <c r="A8" s="6" t="str">
        <v>№</v>
      </c>
      <c r="B8" s="6" t="str">
        <v>Акт номер и дата</v>
      </c>
      <c r="C8" s="6" t="str">
        <v>Сумма акта</v>
      </c>
      <c r="D8" s="6" t="str">
        <v>Удержано до погашений</v>
      </c>
      <c r="E8" s="6" t="str">
        <v>Возвращено деньгами</v>
      </c>
      <c r="F8" s="6" t="str">
        <v>Иное погашение</v>
      </c>
      <c r="G8" s="6" t="str">
        <v>Остаток</v>
      </c>
      <c r="H8" s="6" t="str">
        <v>К возврату на дату</v>
      </c>
      <c r="I8" s="6" t="str">
        <v>Готовность к возврату</v>
      </c>
    </row>
    <row r="9" ht="24" customHeight="1">
      <c r="A9" s="8" t="n">
        <v>1</v>
      </c>
      <c r="B9" s="9"/>
      <c r="C9" s="11"/>
      <c r="D9" s="11"/>
      <c r="E9" s="11"/>
      <c r="F9" s="11"/>
      <c r="G9" s="13" t="str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</c>
      <c r="H9" s="13" t="str">
        <f>IF(AND(ISTEXT(G9),G9=""),"",IF(NOT(ISNUMBER(G9)),G9,IF(OR(I9="К ВОЗВРАТУ",G9=0),G9,IF(OR(I9="СРОК НЕ НАСТУПИЛ",I9="УСЛОВИЯ НЕ ВЫПОЛНЕНЫ"),0,I9))))</f>
      </c>
      <c r="I9" s="14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</c>
    </row>
    <row r="10" ht="24" customHeight="1">
      <c r="A10" s="8" t="n">
        <v>2</v>
      </c>
      <c r="B10" s="9"/>
      <c r="C10" s="11"/>
      <c r="D10" s="11"/>
      <c r="E10" s="11"/>
      <c r="F10" s="11"/>
      <c r="G10" s="13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</c>
      <c r="H10" s="13" t="str">
        <f>IF(AND(ISTEXT(G10),G10=""),"",IF(NOT(ISNUMBER(G10)),G10,IF(OR(I10="К ВОЗВРАТУ",G10=0),G10,IF(OR(I10="СРОК НЕ НАСТУПИЛ",I10="УСЛОВИЯ НЕ ВЫПОЛНЕНЫ"),0,I10))))</f>
      </c>
      <c r="I10" s="14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</c>
    </row>
    <row r="11" ht="24" customHeight="1">
      <c r="A11" s="8" t="n">
        <v>3</v>
      </c>
      <c r="B11" s="9"/>
      <c r="C11" s="11"/>
      <c r="D11" s="11"/>
      <c r="E11" s="11"/>
      <c r="F11" s="11"/>
      <c r="G11" s="13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</c>
      <c r="H11" s="13" t="str">
        <f>IF(AND(ISTEXT(G11),G11=""),"",IF(NOT(ISNUMBER(G11)),G11,IF(OR(I11="К ВОЗВРАТУ",G11=0),G11,IF(OR(I11="СРОК НЕ НАСТУПИЛ",I11="УСЛОВИЯ НЕ ВЫПОЛНЕНЫ"),0,I11))))</f>
      </c>
      <c r="I11" s="14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</c>
    </row>
    <row r="12" ht="24" customHeight="1">
      <c r="A12" s="8" t="n">
        <v>4</v>
      </c>
      <c r="B12" s="9"/>
      <c r="C12" s="11"/>
      <c r="D12" s="11"/>
      <c r="E12" s="11"/>
      <c r="F12" s="11"/>
      <c r="G12" s="13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</c>
      <c r="H12" s="13" t="str">
        <f>IF(AND(ISTEXT(G12),G12=""),"",IF(NOT(ISNUMBER(G12)),G12,IF(OR(I12="К ВОЗВРАТУ",G12=0),G12,IF(OR(I12="СРОК НЕ НАСТУПИЛ",I12="УСЛОВИЯ НЕ ВЫПОЛНЕНЫ"),0,I12))))</f>
      </c>
      <c r="I12" s="14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</c>
    </row>
    <row r="13" ht="24" customHeight="1">
      <c r="A13" s="8" t="n">
        <v>5</v>
      </c>
      <c r="B13" s="9"/>
      <c r="C13" s="11"/>
      <c r="D13" s="11"/>
      <c r="E13" s="11"/>
      <c r="F13" s="11"/>
      <c r="G13" s="13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</c>
      <c r="H13" s="13" t="str">
        <f>IF(AND(ISTEXT(G13),G13=""),"",IF(NOT(ISNUMBER(G13)),G13,IF(OR(I13="К ВОЗВРАТУ",G13=0),G13,IF(OR(I13="СРОК НЕ НАСТУПИЛ",I13="УСЛОВИЯ НЕ ВЫПОЛНЕНЫ"),0,I13))))</f>
      </c>
      <c r="I13" s="14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</c>
    </row>
    <row r="14" ht="24" customHeight="1">
      <c r="A14" s="8" t="n">
        <v>6</v>
      </c>
      <c r="B14" s="9"/>
      <c r="C14" s="11"/>
      <c r="D14" s="11"/>
      <c r="E14" s="11"/>
      <c r="F14" s="11"/>
      <c r="G14" s="13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</c>
      <c r="H14" s="13" t="str">
        <f>IF(AND(ISTEXT(G14),G14=""),"",IF(NOT(ISNUMBER(G14)),G14,IF(OR(I14="К ВОЗВРАТУ",G14=0),G14,IF(OR(I14="СРОК НЕ НАСТУПИЛ",I14="УСЛОВИЯ НЕ ВЫПОЛНЕНЫ"),0,I14))))</f>
      </c>
      <c r="I14" s="14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</c>
    </row>
    <row r="15" ht="24" customHeight="1">
      <c r="A15" s="8" t="n">
        <v>7</v>
      </c>
      <c r="B15" s="9"/>
      <c r="C15" s="11"/>
      <c r="D15" s="11"/>
      <c r="E15" s="11"/>
      <c r="F15" s="11"/>
      <c r="G15" s="13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</c>
      <c r="H15" s="13" t="str">
        <f>IF(AND(ISTEXT(G15),G15=""),"",IF(NOT(ISNUMBER(G15)),G15,IF(OR(I15="К ВОЗВРАТУ",G15=0),G15,IF(OR(I15="СРОК НЕ НАСТУПИЛ",I15="УСЛОВИЯ НЕ ВЫПОЛНЕНЫ"),0,I15))))</f>
      </c>
      <c r="I15" s="14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</c>
    </row>
    <row r="16" ht="24" customHeight="1">
      <c r="A16" s="8" t="n">
        <v>8</v>
      </c>
      <c r="B16" s="9"/>
      <c r="C16" s="11"/>
      <c r="D16" s="11"/>
      <c r="E16" s="11"/>
      <c r="F16" s="11"/>
      <c r="G16" s="13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</c>
      <c r="H16" s="13" t="str">
        <f>IF(AND(ISTEXT(G16),G16=""),"",IF(NOT(ISNUMBER(G16)),G16,IF(OR(I16="К ВОЗВРАТУ",G16=0),G16,IF(OR(I16="СРОК НЕ НАСТУПИЛ",I16="УСЛОВИЯ НЕ ВЫПОЛНЕНЫ"),0,I16))))</f>
      </c>
      <c r="I16" s="14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</c>
    </row>
    <row r="17" ht="24" customHeight="1">
      <c r="A17" s="8" t="n">
        <v>9</v>
      </c>
      <c r="B17" s="9"/>
      <c r="C17" s="11"/>
      <c r="D17" s="11"/>
      <c r="E17" s="11"/>
      <c r="F17" s="11"/>
      <c r="G17" s="13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</c>
      <c r="H17" s="13" t="str">
        <f>IF(AND(ISTEXT(G17),G17=""),"",IF(NOT(ISNUMBER(G17)),G17,IF(OR(I17="К ВОЗВРАТУ",G17=0),G17,IF(OR(I17="СРОК НЕ НАСТУПИЛ",I17="УСЛОВИЯ НЕ ВЫПОЛНЕНЫ"),0,I17))))</f>
      </c>
      <c r="I17" s="14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</c>
    </row>
    <row r="18" ht="24" customHeight="1">
      <c r="A18" s="8" t="n">
        <v>10</v>
      </c>
      <c r="B18" s="9"/>
      <c r="C18" s="11"/>
      <c r="D18" s="11"/>
      <c r="E18" s="11"/>
      <c r="F18" s="11"/>
      <c r="G18" s="13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</c>
      <c r="H18" s="13" t="str">
        <f>IF(AND(ISTEXT(G18),G18=""),"",IF(NOT(ISNUMBER(G18)),G18,IF(OR(I18="К ВОЗВРАТУ",G18=0),G18,IF(OR(I18="СРОК НЕ НАСТУПИЛ",I18="УСЛОВИЯ НЕ ВЫПОЛНЕНЫ"),0,I18))))</f>
      </c>
      <c r="I18" s="14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</c>
    </row>
    <row r="19" ht="24" customHeight="1">
      <c r="A19" s="8" t="n">
        <v>11</v>
      </c>
      <c r="B19" s="9"/>
      <c r="C19" s="11"/>
      <c r="D19" s="11"/>
      <c r="E19" s="11"/>
      <c r="F19" s="11"/>
      <c r="G19" s="13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</c>
      <c r="H19" s="13" t="str">
        <f>IF(AND(ISTEXT(G19),G19=""),"",IF(NOT(ISNUMBER(G19)),G19,IF(OR(I19="К ВОЗВРАТУ",G19=0),G19,IF(OR(I19="СРОК НЕ НАСТУПИЛ",I19="УСЛОВИЯ НЕ ВЫПОЛНЕНЫ"),0,I19))))</f>
      </c>
      <c r="I19" s="14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</c>
    </row>
    <row r="20" ht="24" customHeight="1">
      <c r="A20" s="8" t="n">
        <v>12</v>
      </c>
      <c r="B20" s="9"/>
      <c r="C20" s="11"/>
      <c r="D20" s="11"/>
      <c r="E20" s="11"/>
      <c r="F20" s="11"/>
      <c r="G20" s="13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</c>
      <c r="H20" s="13" t="str">
        <f>IF(AND(ISTEXT(G20),G20=""),"",IF(NOT(ISNUMBER(G20)),G20,IF(OR(I20="К ВОЗВРАТУ",G20=0),G20,IF(OR(I20="СРОК НЕ НАСТУПИЛ",I20="УСЛОВИЯ НЕ ВЫПОЛНЕНЫ"),0,I20))))</f>
      </c>
      <c r="I20" s="14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</c>
    </row>
    <row r="21" ht="6" customHeight="1">
      <c r="A21" s="8"/>
      <c r="B21" s="8"/>
      <c r="C21" s="8"/>
      <c r="D21" s="8"/>
      <c r="E21" s="8"/>
      <c r="F21" s="8"/>
      <c r="G21" s="8"/>
      <c r="H21" s="8"/>
      <c r="I21" s="8"/>
    </row>
    <row r="22" ht="22" customHeight="1">
      <c r="A22" s="17" t="str">
        <v>D — удержано до возвратов; E — денежные возвраты; F — иное подтверждённое погашение. Каждая операция учитывается один раз.</v>
      </c>
      <c r="B22" s="17"/>
      <c r="C22" s="17"/>
      <c r="D22" s="17"/>
      <c r="E22" s="17"/>
      <c r="F22" s="17"/>
      <c r="G22" s="17"/>
      <c r="H22" s="17"/>
      <c r="I22" s="17"/>
    </row>
    <row r="23" ht="22" customHeight="1">
      <c r="A23" s="17" t="str">
        <v>Не включайте одну операцию одновременно в E и F. Спорные списания не принимаются автоматически как погашение.</v>
      </c>
      <c r="B23" s="17"/>
      <c r="C23" s="17"/>
      <c r="D23" s="17"/>
      <c r="E23" s="17"/>
      <c r="F23" s="17"/>
      <c r="G23" s="17"/>
      <c r="H23" s="17"/>
      <c r="I23" s="17"/>
    </row>
    <row r="24" ht="22" customHeight="1">
      <c r="A24" s="17" t="str">
        <v>Остаток G не равен сумме к возврату H при ненаступившем или неподтверждённом сроке. При споре проверьте условия.</v>
      </c>
      <c r="B24" s="17"/>
      <c r="C24" s="17"/>
      <c r="D24" s="17"/>
      <c r="E24" s="17"/>
      <c r="F24" s="17"/>
      <c r="G24" s="17"/>
      <c r="H24" s="17"/>
      <c r="I24" s="17"/>
    </row>
    <row r="25" ht="22" customHeight="1">
      <c r="A25" s="17" t="str">
        <v>До 12 актов. Порядок, пример и письмо — файлы 01 и 04. Поддержка: nastoronepodryadchika@yandex.ru.</v>
      </c>
      <c r="B25" s="17"/>
      <c r="C25" s="17"/>
      <c r="D25" s="17"/>
      <c r="E25" s="17"/>
      <c r="F25" s="17"/>
      <c r="G25" s="17"/>
      <c r="H25" s="17"/>
      <c r="I25" s="17"/>
    </row>
  </sheetData>
  <mergeCells>
    <mergeCell ref="A1:I1"/>
    <mergeCell ref="A2:I2"/>
    <mergeCell ref="C3:I3"/>
    <mergeCell ref="A6:I6"/>
    <mergeCell ref="A22:I22"/>
    <mergeCell ref="A23:I23"/>
    <mergeCell ref="A24:I24"/>
    <mergeCell ref="A25:I25"/>
  </mergeCells>
  <printOptions horizontalCentered="1"/>
  <pageMargins left="0.25" right="0.25" top="0.3" bottom="0.3" header="0.1" footer="0.1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2A30"/>
    <pageSetUpPr fitToPage="1" autoPageBreaks="0"/>
  </sheetPr>
  <sheetViews>
    <sheetView showGridLines="0" workbookViewId="0">
      <pane ySplit="8" topLeftCell="A9" activePane="bottomLeft" state="frozen"/>
    </sheetView>
  </sheetViews>
  <sheetFormatPr defaultRowHeight="15"/>
  <cols>
    <col min="1" max="1" width="4" hidden="0" customWidth="1"/>
    <col min="2" max="2" width="18" hidden="0" customWidth="1"/>
    <col min="3" max="3" width="24" hidden="0" customWidth="1"/>
    <col min="4" max="4" width="13" hidden="0" customWidth="1"/>
    <col min="5" max="5" width="17" hidden="0" customWidth="1"/>
    <col min="6" max="6" width="14" hidden="0" customWidth="1"/>
    <col min="7" max="7" width="14" hidden="0" customWidth="1"/>
    <col min="8" max="8" width="20" hidden="0" customWidth="1"/>
    <col min="9" max="9" width="13" hidden="0" customWidth="1"/>
    <col min="10" max="10" width="14" hidden="0" customWidth="1"/>
    <col min="11" max="11" width="24" hidden="0" customWidth="1"/>
    <col min="12" max="12" width="22" hidden="0" customWidth="1"/>
    <col min="13" max="13" width="14" hidden="0" customWidth="1"/>
  </cols>
  <sheetData>
    <row r="1" ht="24" customHeight="1">
      <c r="A1" s="7" t="str">
        <v>Условия и подтверждения возврата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22" customHeight="1">
      <c r="A2" s="8" t="str">
        <v>Строки соответствуют тем же актам на первом листе. Перепишите условие дословно; подтвердите событие, срок и документы.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2" customHeight="1">
      <c r="A3" s="8" t="str">
        <v>J — дата последнего денежного возврата, M — дата иного подтверждённого погашения. В K укажите документы и распределение сумм.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ht="22" customHeight="1">
      <c r="A4" s="8" t="str">
        <v>Крайний день G вводится после проверки договора и календаря. Сам реестр не назначает универсальный срок возврата.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ht="4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22" customHeight="1">
      <c r="A6" s="8" t="str">
        <v>При первичном требовании оставьте F пустой: срок ещё не запущен. После доставки внесите F и проверенную дату G.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ht="4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52" customHeight="1">
      <c r="A8" s="6" t="str">
        <v>№</v>
      </c>
      <c r="B8" s="6" t="str">
        <v>Пункт удержания и возврата</v>
      </c>
      <c r="C8" s="6" t="str">
        <v>Событие и документ</v>
      </c>
      <c r="D8" s="6" t="str">
        <v>Дата события</v>
      </c>
      <c r="E8" s="6" t="str">
        <v>Возврат</v>
      </c>
      <c r="F8" s="6" t="str">
        <v>Доставлено требование</v>
      </c>
      <c r="G8" s="6" t="str">
        <v>Крайний день возврата</v>
      </c>
      <c r="H8" s="6" t="str">
        <v>Срок и его основание</v>
      </c>
      <c r="I8" s="6" t="str">
        <v>Условия: да/нет/спор</v>
      </c>
      <c r="J8" s="6" t="str">
        <v>Денежный возврат дата</v>
      </c>
      <c r="K8" s="6" t="str">
        <v>Подтверждения сумм</v>
      </c>
      <c r="L8" s="6" t="str">
        <v>Письма ответы и примечания</v>
      </c>
      <c r="M8" s="6" t="str">
        <v>Иное погашение дата</v>
      </c>
    </row>
    <row r="9" ht="44" customHeight="1">
      <c r="A9" s="8" t="n">
        <v>1</v>
      </c>
      <c r="B9" s="9"/>
      <c r="C9" s="9"/>
      <c r="D9" s="10"/>
      <c r="E9" s="9"/>
      <c r="F9" s="10"/>
      <c r="G9" s="10"/>
      <c r="H9" s="9"/>
      <c r="I9" s="9"/>
      <c r="J9" s="10"/>
      <c r="K9" s="9"/>
      <c r="L9" s="9"/>
      <c r="M9" s="10"/>
    </row>
    <row r="10" ht="44" customHeight="1">
      <c r="A10" s="8" t="n">
        <v>2</v>
      </c>
      <c r="B10" s="9"/>
      <c r="C10" s="9"/>
      <c r="D10" s="10"/>
      <c r="E10" s="9"/>
      <c r="F10" s="10"/>
      <c r="G10" s="10"/>
      <c r="H10" s="9"/>
      <c r="I10" s="9"/>
      <c r="J10" s="10"/>
      <c r="K10" s="9"/>
      <c r="L10" s="9"/>
      <c r="M10" s="10"/>
    </row>
    <row r="11" ht="44" customHeight="1">
      <c r="A11" s="8" t="n">
        <v>3</v>
      </c>
      <c r="B11" s="9"/>
      <c r="C11" s="9"/>
      <c r="D11" s="10"/>
      <c r="E11" s="9"/>
      <c r="F11" s="10"/>
      <c r="G11" s="10"/>
      <c r="H11" s="9"/>
      <c r="I11" s="9"/>
      <c r="J11" s="10"/>
      <c r="K11" s="9"/>
      <c r="L11" s="9"/>
      <c r="M11" s="10"/>
    </row>
    <row r="12" ht="44" customHeight="1">
      <c r="A12" s="8" t="n">
        <v>4</v>
      </c>
      <c r="B12" s="9"/>
      <c r="C12" s="9"/>
      <c r="D12" s="10"/>
      <c r="E12" s="9"/>
      <c r="F12" s="10"/>
      <c r="G12" s="10"/>
      <c r="H12" s="9"/>
      <c r="I12" s="9"/>
      <c r="J12" s="10"/>
      <c r="K12" s="9"/>
      <c r="L12" s="9"/>
      <c r="M12" s="10"/>
    </row>
    <row r="13" ht="44" customHeight="1">
      <c r="A13" s="8" t="n">
        <v>5</v>
      </c>
      <c r="B13" s="9"/>
      <c r="C13" s="9"/>
      <c r="D13" s="10"/>
      <c r="E13" s="9"/>
      <c r="F13" s="10"/>
      <c r="G13" s="10"/>
      <c r="H13" s="9"/>
      <c r="I13" s="9"/>
      <c r="J13" s="10"/>
      <c r="K13" s="9"/>
      <c r="L13" s="9"/>
      <c r="M13" s="10"/>
    </row>
    <row r="14" ht="44" customHeight="1">
      <c r="A14" s="8" t="n">
        <v>6</v>
      </c>
      <c r="B14" s="9"/>
      <c r="C14" s="9"/>
      <c r="D14" s="10"/>
      <c r="E14" s="9"/>
      <c r="F14" s="10"/>
      <c r="G14" s="10"/>
      <c r="H14" s="9"/>
      <c r="I14" s="9"/>
      <c r="J14" s="10"/>
      <c r="K14" s="9"/>
      <c r="L14" s="9"/>
      <c r="M14" s="10"/>
    </row>
    <row r="15" ht="44" customHeight="1">
      <c r="A15" s="8" t="n">
        <v>7</v>
      </c>
      <c r="B15" s="9"/>
      <c r="C15" s="9"/>
      <c r="D15" s="10"/>
      <c r="E15" s="9"/>
      <c r="F15" s="10"/>
      <c r="G15" s="10"/>
      <c r="H15" s="9"/>
      <c r="I15" s="9"/>
      <c r="J15" s="10"/>
      <c r="K15" s="9"/>
      <c r="L15" s="9"/>
      <c r="M15" s="10"/>
    </row>
    <row r="16" ht="44" customHeight="1">
      <c r="A16" s="8" t="n">
        <v>8</v>
      </c>
      <c r="B16" s="9"/>
      <c r="C16" s="9"/>
      <c r="D16" s="10"/>
      <c r="E16" s="9"/>
      <c r="F16" s="10"/>
      <c r="G16" s="10"/>
      <c r="H16" s="9"/>
      <c r="I16" s="9"/>
      <c r="J16" s="10"/>
      <c r="K16" s="9"/>
      <c r="L16" s="9"/>
      <c r="M16" s="10"/>
    </row>
    <row r="17" ht="44" customHeight="1">
      <c r="A17" s="8" t="n">
        <v>9</v>
      </c>
      <c r="B17" s="9"/>
      <c r="C17" s="9"/>
      <c r="D17" s="10"/>
      <c r="E17" s="9"/>
      <c r="F17" s="10"/>
      <c r="G17" s="10"/>
      <c r="H17" s="9"/>
      <c r="I17" s="9"/>
      <c r="J17" s="10"/>
      <c r="K17" s="9"/>
      <c r="L17" s="9"/>
      <c r="M17" s="10"/>
    </row>
    <row r="18" ht="44" customHeight="1">
      <c r="A18" s="8" t="n">
        <v>10</v>
      </c>
      <c r="B18" s="9"/>
      <c r="C18" s="9"/>
      <c r="D18" s="10"/>
      <c r="E18" s="9"/>
      <c r="F18" s="10"/>
      <c r="G18" s="10"/>
      <c r="H18" s="9"/>
      <c r="I18" s="9"/>
      <c r="J18" s="10"/>
      <c r="K18" s="9"/>
      <c r="L18" s="9"/>
      <c r="M18" s="10"/>
    </row>
    <row r="19" ht="44" customHeight="1">
      <c r="A19" s="8" t="n">
        <v>11</v>
      </c>
      <c r="B19" s="9"/>
      <c r="C19" s="9"/>
      <c r="D19" s="10"/>
      <c r="E19" s="9"/>
      <c r="F19" s="10"/>
      <c r="G19" s="10"/>
      <c r="H19" s="9"/>
      <c r="I19" s="9"/>
      <c r="J19" s="10"/>
      <c r="K19" s="9"/>
      <c r="L19" s="9"/>
      <c r="M19" s="10"/>
    </row>
    <row r="20" ht="44" customHeight="1">
      <c r="A20" s="8" t="n">
        <v>12</v>
      </c>
      <c r="B20" s="9"/>
      <c r="C20" s="9"/>
      <c r="D20" s="10"/>
      <c r="E20" s="9"/>
      <c r="F20" s="10"/>
      <c r="G20" s="10"/>
      <c r="H20" s="9"/>
      <c r="I20" s="9"/>
      <c r="J20" s="10"/>
      <c r="K20" s="9"/>
      <c r="L20" s="9"/>
      <c r="M20" s="10"/>
    </row>
    <row r="21" ht="6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ht="20" customHeight="1">
      <c r="A22" s="8" t="n">
        <v>1</v>
      </c>
      <c r="B22" s="18" t="str">
        <v>ГК РФ ст. 327.1 — условие исполнения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ht="20" customHeight="1">
      <c r="A23" s="8" t="n">
        <v>2</v>
      </c>
      <c r="B23" s="18" t="str">
        <v>ГК РФ ст. 314 — определение срока исполнения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ht="20" customHeight="1">
      <c r="A24" s="8" t="n">
        <v>3</v>
      </c>
      <c r="B24" s="18" t="str">
        <v>ГК РФ ст. 165.1 — доставка сообщений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ht="20" customHeight="1">
      <c r="A25" s="8" t="n">
        <v>4</v>
      </c>
      <c r="B25" s="18" t="str">
        <v>ГК РФ ст. 410 — условия зачёта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ht="20" customHeight="1">
      <c r="A26" s="8" t="n">
        <v>5</v>
      </c>
      <c r="B26" s="18" t="str">
        <v>ГК РФ ст. 411 — ограничения зачёта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</sheetData>
  <mergeCells>
    <mergeCell ref="A1:M1"/>
    <mergeCell ref="A2:M2"/>
    <mergeCell ref="A3:M3"/>
    <mergeCell ref="A4:M4"/>
    <mergeCell ref="A6:M6"/>
    <mergeCell ref="B22:M22"/>
    <mergeCell ref="B23:M23"/>
    <mergeCell ref="B24:M24"/>
    <mergeCell ref="B25:M25"/>
    <mergeCell ref="B26:M2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:id="qa03link1" ref="B22"/>
    <hyperlink r:id="qa03link2" ref="B23"/>
    <hyperlink r:id="qa03link3" ref="B24"/>
    <hyperlink r:id="qa03link4" ref="B25"/>
    <hyperlink r:id="qa03link5" ref="B26"/>
  </hyperlinks>
  <printOptions horizontalCentered="1"/>
  <pageMargins left="0.25" right="0.25" top="0.3" bottom="0.3" header="0.1" footer="0.1"/>
  <pageSetup paperSize="8" orientation="landscape" fitToWidth="1" fitToHeight="1"/>
</worksheet>
</file>