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асчёт требования" sheetId="1" state="visible" r:id="rId1"/>
  </sheets>
  <definedNames>
    <definedName name="_xlnm.Print_Area" localSheetId="0">'Расчёт требования'!$A$1:$H$42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##"/>
    <numFmt numFmtId="165" formatCode="DD.MM.YYYY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sz val="11"/>
    </font>
    <font>
      <b val="1"/>
    </font>
    <font>
      <b val="1"/>
      <color rgb="00C00000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vertical="center" wrapText="1"/>
    </xf>
    <xf numFmtId="4" fontId="0" fillId="2" borderId="1" pivotButton="0" quotePrefix="0" xfId="0"/>
    <xf numFmtId="4" fontId="3" fillId="0" borderId="1" pivotButton="0" quotePrefix="0" xfId="0"/>
    <xf numFmtId="0" fontId="4" fillId="0" borderId="0" applyAlignment="1" pivotButton="0" quotePrefix="0" xfId="0">
      <alignment vertical="center" wrapText="1"/>
    </xf>
    <xf numFmtId="164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1" fontId="0" fillId="0" borderId="1" pivotButton="0" quotePrefix="0" xfId="0"/>
    <xf numFmtId="165" fontId="0" fillId="2" borderId="1" pivotButton="0" quotePrefix="0" xfId="0"/>
    <xf numFmtId="4" fontId="0" fillId="0" borderId="1" pivotButton="0" quotePrefix="0" xfId="0"/>
    <xf numFmtId="49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2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15" customWidth="1" min="5" max="5"/>
    <col width="14" customWidth="1" min="6" max="6"/>
    <col width="16" customWidth="1" min="7" max="7"/>
    <col width="34" customWidth="1" min="8" max="8"/>
  </cols>
  <sheetData>
    <row r="1">
      <c r="A1" s="1" t="inlineStr">
        <is>
          <t>РАСЧЁТ СУММ ТРЕБОВАНИЯ К ЗАКАЗЧИКУ</t>
        </is>
      </c>
    </row>
    <row r="2" ht="48" customHeight="1">
      <c r="A2" s="2" t="inlineStr">
        <is>
          <t>Вводите данные только в жёлтые ячейки. Суммы — в рублях. Ставка — числом процентов: 0,05 % в день вводится как 0,05, 16 % годовых — как 16. Даты — ДД.ММ.ГГГГ; первый и последний день периода входят в число дней. Период с другой базой или ставкой — отдельной строкой. Если в столбце «Проверка» есть сообщение, сумма по этой строке и итог раздела не считаются.</t>
        </is>
      </c>
    </row>
    <row r="4">
      <c r="A4" s="3" t="inlineStr">
        <is>
          <t>1. НЕОПЛАЧЕННАЯ СУММА</t>
        </is>
      </c>
    </row>
    <row r="5">
      <c r="A5" s="4" t="inlineStr">
        <is>
          <t>Сумма по КС-2 (по всем актам спора), руб.</t>
        </is>
      </c>
      <c r="G5" s="5" t="n"/>
    </row>
    <row r="6">
      <c r="A6" s="4" t="inlineStr">
        <is>
          <t>Фактически оплачено, руб.</t>
        </is>
      </c>
      <c r="G6" s="5" t="n"/>
    </row>
    <row r="7">
      <c r="A7" s="4" t="inlineStr">
        <is>
          <t>Неоплачено по КС-2, руб.</t>
        </is>
      </c>
      <c r="G7" s="6">
        <f>IF(OR(H7&lt;&gt;"",G5=""),"",G5-G6)</f>
        <v/>
      </c>
      <c r="H7" s="7">
        <f>IF(AND(G5="",G6=""),"",IF(OR(G5="",G6=""),"Заполните обе суммы: по КС-2 и оплату",IF(OR(NOT(ISNUMBER(G5)),NOT(ISNUMBER(G6))),"Введите суммы числом",IF(OR(G5&lt;0,G6&lt;0),"Сумма меньше нуля — проверьте ввод",IF(G6&gt;G5,"Оплачено больше суммы по КС-2 — проверьте ввод","")))))</f>
        <v/>
      </c>
    </row>
    <row r="8">
      <c r="A8" s="4" t="inlineStr">
        <is>
          <t>из них удержание, срок возврата которого по договору ещё не наступил, руб. (если такого нет — оставьте пустым)</t>
        </is>
      </c>
      <c r="G8" s="5" t="n"/>
      <c r="H8" s="7">
        <f>IF(G8="","",IF(NOT(ISNUMBER(G8)),"Введите сумму числом",IF(G8&lt;0,"Сумма меньше нуля — проверьте ввод",IF(AND(ISNUMBER(G7),G8&gt;G7),"Удержание больше неоплаченной суммы — проверьте ввод",""))))</f>
        <v/>
      </c>
    </row>
    <row r="9">
      <c r="A9" s="4" t="inlineStr">
        <is>
          <t>Неоплачено без такого удержания, руб.</t>
        </is>
      </c>
      <c r="G9" s="6">
        <f>IF(OR(NOT(ISNUMBER(G7)),H8&lt;&gt;""),"",G7-IF(G8="",0,G8))</f>
        <v/>
      </c>
    </row>
    <row r="11">
      <c r="A11" s="3" t="inlineStr">
        <is>
          <t>2. НЕУСТОЙКА ПО ДОГОВОРУ — заполните тот вид, который записан в договоре</t>
        </is>
      </c>
    </row>
    <row r="12">
      <c r="A12" s="4" t="inlineStr">
        <is>
          <t>2.1. Штраф в твёрдой сумме, руб.</t>
        </is>
      </c>
      <c r="G12" s="5" t="n"/>
      <c r="H12" s="7">
        <f>IF(G12="","",IF(NOT(ISNUMBER(G12)),"Введите сумму числом",IF(G12&lt;0,"Сумма меньше нуля — проверьте ввод","")))</f>
        <v/>
      </c>
    </row>
    <row r="13">
      <c r="A13" s="4" t="inlineStr">
        <is>
          <t>2.2. Штраф в процентах от суммы (разовый): сумма, от которой он считается, руб.</t>
        </is>
      </c>
      <c r="G13" s="5" t="n"/>
    </row>
    <row r="14">
      <c r="A14" s="4" t="inlineStr">
        <is>
          <t>процент штрафа, % (5 % вводится как 5)</t>
        </is>
      </c>
      <c r="G14" s="8" t="n"/>
    </row>
    <row r="15">
      <c r="A15" s="4" t="inlineStr">
        <is>
          <t>сумма штрафа, руб.</t>
        </is>
      </c>
      <c r="G15" s="6">
        <f>IF(OR(H15&lt;&gt;"",G13=""),"",G13*G14/100)</f>
        <v/>
      </c>
      <c r="H15" s="7">
        <f>IF(AND(G13="",G14=""),"",IF(OR(G13="",G14=""),"Заполните сумму и процент штрафа",IF(OR(NOT(ISNUMBER(G13)),NOT(ISNUMBER(G14))),"Введите сумму и процент числом",IF(OR(G13&lt;0,G14&lt;0),"Сумма или процент меньше нуля — проверьте ввод",""))))</f>
        <v/>
      </c>
    </row>
    <row r="16">
      <c r="A16" s="3" t="inlineStr">
        <is>
          <t>2.3. Пени за каждый день просрочки: база × ставка в день / 100 × дни</t>
        </is>
      </c>
    </row>
    <row r="17">
      <c r="A17" s="9" t="inlineStr">
        <is>
          <t>№</t>
        </is>
      </c>
      <c r="B17" s="9" t="inlineStr">
        <is>
          <t>Начало</t>
        </is>
      </c>
      <c r="C17" s="9" t="inlineStr">
        <is>
          <t>Окончание</t>
        </is>
      </c>
      <c r="D17" s="9" t="inlineStr">
        <is>
          <t>Дней</t>
        </is>
      </c>
      <c r="E17" s="9" t="inlineStr">
        <is>
          <t>База, руб.</t>
        </is>
      </c>
      <c r="F17" s="9" t="inlineStr">
        <is>
          <t>Ставка, % в день</t>
        </is>
      </c>
      <c r="G17" s="9" t="inlineStr">
        <is>
          <t>Сумма, руб.</t>
        </is>
      </c>
      <c r="H17" s="9" t="inlineStr">
        <is>
          <t>Проверка</t>
        </is>
      </c>
    </row>
    <row r="18">
      <c r="A18" s="10" t="n">
        <v>1</v>
      </c>
      <c r="B18" s="11" t="n"/>
      <c r="C18" s="11" t="n"/>
      <c r="D18" s="10">
        <f>IF(OR(H18&lt;&gt;"",B18=""),"",C18-B18+1)</f>
        <v/>
      </c>
      <c r="E18" s="5" t="n"/>
      <c r="F18" s="8" t="n"/>
      <c r="G18" s="12">
        <f>IF(OR(H18&lt;&gt;"",B18=""),"",E18*F18/100*D18)</f>
        <v/>
      </c>
      <c r="H18" s="13">
        <f>IF(AND(B18="",C18="",E18="",F18=""),"",IF(OR(B18="",C18="",E18="",F18=""),"Заполните все поля строки: начало, окончание, базу и ставку",IF(OR(NOT(ISNUMBER(B18)),NOT(ISNUMBER(C18)),NOT(ISNUMBER(E18)),NOT(ISNUMBER(F18))),"Даты и суммы вводятся числом, даты — ДД.ММ.ГГГГ",IF(C18&lt;B18,"Окончание раньше начала — проверьте даты",IF(OR(E18&lt;0,F18&lt;0),"База или ставка меньше нуля — проверьте ввод","")))))</f>
        <v/>
      </c>
    </row>
    <row r="19">
      <c r="A19" s="10" t="n">
        <v>2</v>
      </c>
      <c r="B19" s="11" t="n"/>
      <c r="C19" s="11" t="n"/>
      <c r="D19" s="10">
        <f>IF(OR(H19&lt;&gt;"",B19=""),"",C19-B19+1)</f>
        <v/>
      </c>
      <c r="E19" s="5" t="n"/>
      <c r="F19" s="8" t="n"/>
      <c r="G19" s="12">
        <f>IF(OR(H19&lt;&gt;"",B19=""),"",E19*F19/100*D19)</f>
        <v/>
      </c>
      <c r="H19" s="13">
        <f>IF(AND(B19="",C19="",E19="",F19=""),"",IF(OR(B19="",C19="",E19="",F19=""),"Заполните все поля строки: начало, окончание, базу и ставку",IF(OR(NOT(ISNUMBER(B19)),NOT(ISNUMBER(C19)),NOT(ISNUMBER(E19)),NOT(ISNUMBER(F19))),"Даты и суммы вводятся числом, даты — ДД.ММ.ГГГГ",IF(C19&lt;B19,"Окончание раньше начала — проверьте даты",IF(OR(E19&lt;0,F19&lt;0),"База или ставка меньше нуля — проверьте ввод","")))))</f>
        <v/>
      </c>
    </row>
    <row r="20">
      <c r="A20" s="10" t="n">
        <v>3</v>
      </c>
      <c r="B20" s="11" t="n"/>
      <c r="C20" s="11" t="n"/>
      <c r="D20" s="10">
        <f>IF(OR(H20&lt;&gt;"",B20=""),"",C20-B20+1)</f>
        <v/>
      </c>
      <c r="E20" s="5" t="n"/>
      <c r="F20" s="8" t="n"/>
      <c r="G20" s="12">
        <f>IF(OR(H20&lt;&gt;"",B20=""),"",E20*F20/100*D20)</f>
        <v/>
      </c>
      <c r="H20" s="13">
        <f>IF(AND(B20="",C20="",E20="",F20=""),"",IF(OR(B20="",C20="",E20="",F20=""),"Заполните все поля строки: начало, окончание, базу и ставку",IF(OR(NOT(ISNUMBER(B20)),NOT(ISNUMBER(C20)),NOT(ISNUMBER(E20)),NOT(ISNUMBER(F20))),"Даты и суммы вводятся числом, даты — ДД.ММ.ГГГГ",IF(C20&lt;B20,"Окончание раньше начала — проверьте даты",IF(OR(E20&lt;0,F20&lt;0),"База или ставка меньше нуля — проверьте ввод","")))))</f>
        <v/>
      </c>
    </row>
    <row r="21">
      <c r="A21" s="10" t="n">
        <v>4</v>
      </c>
      <c r="B21" s="11" t="n"/>
      <c r="C21" s="11" t="n"/>
      <c r="D21" s="10">
        <f>IF(OR(H21&lt;&gt;"",B21=""),"",C21-B21+1)</f>
        <v/>
      </c>
      <c r="E21" s="5" t="n"/>
      <c r="F21" s="8" t="n"/>
      <c r="G21" s="12">
        <f>IF(OR(H21&lt;&gt;"",B21=""),"",E21*F21/100*D21)</f>
        <v/>
      </c>
      <c r="H21" s="13">
        <f>IF(AND(B21="",C21="",E21="",F21=""),"",IF(OR(B21="",C21="",E21="",F21=""),"Заполните все поля строки: начало, окончание, базу и ставку",IF(OR(NOT(ISNUMBER(B21)),NOT(ISNUMBER(C21)),NOT(ISNUMBER(E21)),NOT(ISNUMBER(F21))),"Даты и суммы вводятся числом, даты — ДД.ММ.ГГГГ",IF(C21&lt;B21,"Окончание раньше начала — проверьте даты",IF(OR(E21&lt;0,F21&lt;0),"База или ставка меньше нуля — проверьте ввод","")))))</f>
        <v/>
      </c>
    </row>
    <row r="22">
      <c r="A22" s="10" t="n">
        <v>5</v>
      </c>
      <c r="B22" s="11" t="n"/>
      <c r="C22" s="11" t="n"/>
      <c r="D22" s="10">
        <f>IF(OR(H22&lt;&gt;"",B22=""),"",C22-B22+1)</f>
        <v/>
      </c>
      <c r="E22" s="5" t="n"/>
      <c r="F22" s="8" t="n"/>
      <c r="G22" s="12">
        <f>IF(OR(H22&lt;&gt;"",B22=""),"",E22*F22/100*D22)</f>
        <v/>
      </c>
      <c r="H22" s="13">
        <f>IF(AND(B22="",C22="",E22="",F22=""),"",IF(OR(B22="",C22="",E22="",F22=""),"Заполните все поля строки: начало, окончание, базу и ставку",IF(OR(NOT(ISNUMBER(B22)),NOT(ISNUMBER(C22)),NOT(ISNUMBER(E22)),NOT(ISNUMBER(F22))),"Даты и суммы вводятся числом, даты — ДД.ММ.ГГГГ",IF(C22&lt;B22,"Окончание раньше начала — проверьте даты",IF(OR(E22&lt;0,F22&lt;0),"База или ставка меньше нуля — проверьте ввод","")))))</f>
        <v/>
      </c>
    </row>
    <row r="23">
      <c r="A23" s="4" t="inlineStr">
        <is>
          <t>Итого пени, руб.</t>
        </is>
      </c>
      <c r="G23" s="6">
        <f>IF(SUMPRODUCT(--(LEN(H18:H22)&gt;0))&gt;0,"",SUM(G18:G22))</f>
        <v/>
      </c>
      <c r="H23" s="7">
        <f>IF(SUMPRODUCT(--(LEN(H18:H22)&gt;0))&gt;0,"Итог не считается: исправьте строки с сообщением","")</f>
        <v/>
      </c>
    </row>
    <row r="25">
      <c r="A25" s="3" t="inlineStr">
        <is>
          <t>3. ПРОЦЕНТЫ ПО СТ. 395 ГК РФ: база × ключевая ставка / 100 / 365 × дни</t>
        </is>
      </c>
    </row>
    <row r="26">
      <c r="A26" s="9" t="inlineStr">
        <is>
          <t>№</t>
        </is>
      </c>
      <c r="B26" s="9" t="inlineStr">
        <is>
          <t>Начало</t>
        </is>
      </c>
      <c r="C26" s="9" t="inlineStr">
        <is>
          <t>Окончание</t>
        </is>
      </c>
      <c r="D26" s="9" t="inlineStr">
        <is>
          <t>Дней</t>
        </is>
      </c>
      <c r="E26" s="9" t="inlineStr">
        <is>
          <t>База, руб.</t>
        </is>
      </c>
      <c r="F26" s="9" t="inlineStr">
        <is>
          <t>Ключевая ставка, % годовых</t>
        </is>
      </c>
      <c r="G26" s="9" t="inlineStr">
        <is>
          <t>Сумма, руб.</t>
        </is>
      </c>
      <c r="H26" s="9" t="inlineStr">
        <is>
          <t>Проверка</t>
        </is>
      </c>
    </row>
    <row r="27">
      <c r="A27" s="10" t="n">
        <v>1</v>
      </c>
      <c r="B27" s="11" t="n"/>
      <c r="C27" s="11" t="n"/>
      <c r="D27" s="10">
        <f>IF(OR(H27&lt;&gt;"",B27=""),"",C27-B27+1)</f>
        <v/>
      </c>
      <c r="E27" s="5" t="n"/>
      <c r="F27" s="8" t="n"/>
      <c r="G27" s="12">
        <f>IF(OR(H27&lt;&gt;"",B27=""),"",E27*F27/100/365*D27)</f>
        <v/>
      </c>
      <c r="H27" s="13">
        <f>IF(AND(B27="",C27="",E27="",F27=""),"",IF(OR(B27="",C27="",E27="",F27=""),"Заполните все поля строки: начало, окончание, базу и ставку",IF(OR(NOT(ISNUMBER(B27)),NOT(ISNUMBER(C27)),NOT(ISNUMBER(E27)),NOT(ISNUMBER(F27))),"Даты и суммы вводятся числом, даты — ДД.ММ.ГГГГ",IF(C27&lt;B27,"Окончание раньше начала — проверьте даты",IF(OR(E27&lt;0,F27&lt;0),"База или ставка меньше нуля — проверьте ввод","")))))</f>
        <v/>
      </c>
    </row>
    <row r="28">
      <c r="A28" s="10" t="n">
        <v>2</v>
      </c>
      <c r="B28" s="11" t="n"/>
      <c r="C28" s="11" t="n"/>
      <c r="D28" s="10">
        <f>IF(OR(H28&lt;&gt;"",B28=""),"",C28-B28+1)</f>
        <v/>
      </c>
      <c r="E28" s="5" t="n"/>
      <c r="F28" s="8" t="n"/>
      <c r="G28" s="12">
        <f>IF(OR(H28&lt;&gt;"",B28=""),"",E28*F28/100/365*D28)</f>
        <v/>
      </c>
      <c r="H28" s="13">
        <f>IF(AND(B28="",C28="",E28="",F28=""),"",IF(OR(B28="",C28="",E28="",F28=""),"Заполните все поля строки: начало, окончание, базу и ставку",IF(OR(NOT(ISNUMBER(B28)),NOT(ISNUMBER(C28)),NOT(ISNUMBER(E28)),NOT(ISNUMBER(F28))),"Даты и суммы вводятся числом, даты — ДД.ММ.ГГГГ",IF(C28&lt;B28,"Окончание раньше начала — проверьте даты",IF(OR(E28&lt;0,F28&lt;0),"База или ставка меньше нуля — проверьте ввод","")))))</f>
        <v/>
      </c>
    </row>
    <row r="29">
      <c r="A29" s="10" t="n">
        <v>3</v>
      </c>
      <c r="B29" s="11" t="n"/>
      <c r="C29" s="11" t="n"/>
      <c r="D29" s="10">
        <f>IF(OR(H29&lt;&gt;"",B29=""),"",C29-B29+1)</f>
        <v/>
      </c>
      <c r="E29" s="5" t="n"/>
      <c r="F29" s="8" t="n"/>
      <c r="G29" s="12">
        <f>IF(OR(H29&lt;&gt;"",B29=""),"",E29*F29/100/365*D29)</f>
        <v/>
      </c>
      <c r="H29" s="13">
        <f>IF(AND(B29="",C29="",E29="",F29=""),"",IF(OR(B29="",C29="",E29="",F29=""),"Заполните все поля строки: начало, окончание, базу и ставку",IF(OR(NOT(ISNUMBER(B29)),NOT(ISNUMBER(C29)),NOT(ISNUMBER(E29)),NOT(ISNUMBER(F29))),"Даты и суммы вводятся числом, даты — ДД.ММ.ГГГГ",IF(C29&lt;B29,"Окончание раньше начала — проверьте даты",IF(OR(E29&lt;0,F29&lt;0),"База или ставка меньше нуля — проверьте ввод","")))))</f>
        <v/>
      </c>
    </row>
    <row r="30">
      <c r="A30" s="10" t="n">
        <v>4</v>
      </c>
      <c r="B30" s="11" t="n"/>
      <c r="C30" s="11" t="n"/>
      <c r="D30" s="10">
        <f>IF(OR(H30&lt;&gt;"",B30=""),"",C30-B30+1)</f>
        <v/>
      </c>
      <c r="E30" s="5" t="n"/>
      <c r="F30" s="8" t="n"/>
      <c r="G30" s="12">
        <f>IF(OR(H30&lt;&gt;"",B30=""),"",E30*F30/100/365*D30)</f>
        <v/>
      </c>
      <c r="H30" s="13">
        <f>IF(AND(B30="",C30="",E30="",F30=""),"",IF(OR(B30="",C30="",E30="",F30=""),"Заполните все поля строки: начало, окончание, базу и ставку",IF(OR(NOT(ISNUMBER(B30)),NOT(ISNUMBER(C30)),NOT(ISNUMBER(E30)),NOT(ISNUMBER(F30))),"Даты и суммы вводятся числом, даты — ДД.ММ.ГГГГ",IF(C30&lt;B30,"Окончание раньше начала — проверьте даты",IF(OR(E30&lt;0,F30&lt;0),"База или ставка меньше нуля — проверьте ввод","")))))</f>
        <v/>
      </c>
    </row>
    <row r="31">
      <c r="A31" s="10" t="n">
        <v>5</v>
      </c>
      <c r="B31" s="11" t="n"/>
      <c r="C31" s="11" t="n"/>
      <c r="D31" s="10">
        <f>IF(OR(H31&lt;&gt;"",B31=""),"",C31-B31+1)</f>
        <v/>
      </c>
      <c r="E31" s="5" t="n"/>
      <c r="F31" s="8" t="n"/>
      <c r="G31" s="12">
        <f>IF(OR(H31&lt;&gt;"",B31=""),"",E31*F31/100/365*D31)</f>
        <v/>
      </c>
      <c r="H31" s="13">
        <f>IF(AND(B31="",C31="",E31="",F31=""),"",IF(OR(B31="",C31="",E31="",F31=""),"Заполните все поля строки: начало, окончание, базу и ставку",IF(OR(NOT(ISNUMBER(B31)),NOT(ISNUMBER(C31)),NOT(ISNUMBER(E31)),NOT(ISNUMBER(F31))),"Даты и суммы вводятся числом, даты — ДД.ММ.ГГГГ",IF(C31&lt;B31,"Окончание раньше начала — проверьте даты",IF(OR(E31&lt;0,F31&lt;0),"База или ставка меньше нуля — проверьте ввод","")))))</f>
        <v/>
      </c>
    </row>
    <row r="32">
      <c r="A32" s="4" t="inlineStr">
        <is>
          <t>Итого проценты, руб.</t>
        </is>
      </c>
      <c r="G32" s="6">
        <f>IF(SUMPRODUCT(--(LEN(H27:H31)&gt;0))&gt;0,"",SUM(G27:G31))</f>
        <v/>
      </c>
      <c r="H32" s="7">
        <f>IF(SUMPRODUCT(--(LEN(H27:H31)&gt;0))&gt;0,"Итог не считается: исправьте строки с сообщением","")</f>
        <v/>
      </c>
    </row>
    <row r="34">
      <c r="A34" s="3" t="inlineStr">
        <is>
          <t>4. СВОДКА — суммы показаны раздельно</t>
        </is>
      </c>
    </row>
    <row r="35" ht="32" customHeight="1">
      <c r="A35" s="2" t="inlineStr">
        <is>
          <t>Общая сумма этих строк не выводится: какие из них и от какой суммы включать в требование, определяется договором и законом. Перенесите в претензию только те строки, основание которых проверено.</t>
        </is>
      </c>
    </row>
    <row r="36">
      <c r="A36" s="4" t="inlineStr">
        <is>
          <t>Неоплачено по КС-2, руб.</t>
        </is>
      </c>
      <c r="G36" s="6">
        <f>IF(ISNUMBER(G7),G7,"")</f>
        <v/>
      </c>
      <c r="H36" s="7">
        <f>IF(H7&lt;&gt;"","Ошибка ввода — см. раздел 1","")</f>
        <v/>
      </c>
    </row>
    <row r="37">
      <c r="A37" s="4" t="inlineStr">
        <is>
          <t>из них удержание, срок возврата которого по договору ещё не наступил, руб.</t>
        </is>
      </c>
      <c r="G37" s="6">
        <f>IF(AND(ISNUMBER(G7),H8=""),IF(G8="",0,G8),"")</f>
        <v/>
      </c>
      <c r="H37" s="7">
        <f>IF(OR(H7&lt;&gt;"",H8&lt;&gt;""),"Ошибка ввода — см. раздел 1","")</f>
        <v/>
      </c>
    </row>
    <row r="38">
      <c r="A38" s="4" t="inlineStr">
        <is>
          <t>Неоплачено без такого удержания, руб.</t>
        </is>
      </c>
      <c r="G38" s="6">
        <f>IF(ISNUMBER(G9),G9,"")</f>
        <v/>
      </c>
      <c r="H38" s="7">
        <f>IF(OR(H7&lt;&gt;"",H8&lt;&gt;""),"Ошибка ввода — см. раздел 1","")</f>
        <v/>
      </c>
    </row>
    <row r="39">
      <c r="A39" s="4" t="inlineStr">
        <is>
          <t>Штраф в твёрдой сумме, руб.</t>
        </is>
      </c>
      <c r="G39" s="6">
        <f>IF(OR(G12="",H12&lt;&gt;""),"",G12)</f>
        <v/>
      </c>
      <c r="H39" s="7">
        <f>IF(H12&lt;&gt;"","Ошибка ввода — см. раздел 2","")</f>
        <v/>
      </c>
    </row>
    <row r="40">
      <c r="A40" s="4" t="inlineStr">
        <is>
          <t>Штраф в процентах, руб.</t>
        </is>
      </c>
      <c r="G40" s="6">
        <f>IF(ISNUMBER(G15),G15,"")</f>
        <v/>
      </c>
      <c r="H40" s="7">
        <f>IF(H15&lt;&gt;"","Ошибка ввода — см. раздел 2","")</f>
        <v/>
      </c>
    </row>
    <row r="41">
      <c r="A41" s="4" t="inlineStr">
        <is>
          <t>Пени, руб.</t>
        </is>
      </c>
      <c r="G41" s="6">
        <f>IF(ISNUMBER(G23),G23,"")</f>
        <v/>
      </c>
      <c r="H41" s="7">
        <f>IF(H23&lt;&gt;"","Ошибка ввода — см. раздел 2","")</f>
        <v/>
      </c>
    </row>
    <row r="42">
      <c r="A42" s="4" t="inlineStr">
        <is>
          <t>Проценты по ст. 395 ГК РФ, руб.</t>
        </is>
      </c>
      <c r="G42" s="6">
        <f>IF(ISNUMBER(G32),G32,"")</f>
        <v/>
      </c>
      <c r="H42" s="7">
        <f>IF(H32&lt;&gt;"","Ошибка ввода — см. раздел 3","")</f>
        <v/>
      </c>
    </row>
  </sheetData>
  <mergeCells count="26">
    <mergeCell ref="A41:F41"/>
    <mergeCell ref="A37:F37"/>
    <mergeCell ref="A11:H11"/>
    <mergeCell ref="A12:F12"/>
    <mergeCell ref="A1:H1"/>
    <mergeCell ref="A42:F42"/>
    <mergeCell ref="A14:F14"/>
    <mergeCell ref="A25:H25"/>
    <mergeCell ref="A5:F5"/>
    <mergeCell ref="A16:H16"/>
    <mergeCell ref="A23:F23"/>
    <mergeCell ref="A32:F32"/>
    <mergeCell ref="A8:F8"/>
    <mergeCell ref="A38:F38"/>
    <mergeCell ref="A13:F13"/>
    <mergeCell ref="A2:H2"/>
    <mergeCell ref="A9:F9"/>
    <mergeCell ref="A40:F40"/>
    <mergeCell ref="A39:F39"/>
    <mergeCell ref="A15:F15"/>
    <mergeCell ref="A4:H4"/>
    <mergeCell ref="A35:H35"/>
    <mergeCell ref="A36:F36"/>
    <mergeCell ref="A6:F6"/>
    <mergeCell ref="A7:F7"/>
    <mergeCell ref="A34:H34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2026-09-28T00:00:00Z</dcterms:created>
  <dcterms:modified xmlns:dcterms="http://purl.org/dc/terms/" xmlns:xsi="http://www.w3.org/2001/XMLSchema-instance" xsi:type="dcterms:W3CDTF">2026-09-28T00:00:00Z</dcterms:modified>
</cp:coreProperties>
</file>