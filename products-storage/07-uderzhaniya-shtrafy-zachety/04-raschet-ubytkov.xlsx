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лькулятор убытков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08080"/>
      <sz val="9"/>
    </font>
    <font>
      <b val="1"/>
      <color theme="1"/>
      <sz val="11"/>
    </font>
    <font>
      <color rgb="000000FF"/>
    </font>
    <font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FF00"/>
        <bgColor rgb="00FFF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0" fontId="0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5" customWidth="1" min="3" max="3"/>
    <col width="18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РАСЧЕТ</t>
        </is>
      </c>
      <c r="D1" s="1" t="inlineStr">
        <is>
          <t>ИТОГО</t>
        </is>
      </c>
    </row>
    <row r="2">
      <c r="A2" t="inlineStr">
        <is>
          <t>Сумма по КС-2</t>
        </is>
      </c>
      <c r="D2">
        <f>B2</f>
        <v/>
      </c>
    </row>
    <row r="3">
      <c r="A3" t="inlineStr">
        <is>
          <t>Фактически оплачено</t>
        </is>
      </c>
      <c r="D3">
        <f>B3</f>
        <v/>
      </c>
    </row>
    <row r="4">
      <c r="A4" t="inlineStr">
        <is>
          <t>Удержано</t>
        </is>
      </c>
      <c r="D4">
        <f>B4</f>
        <v/>
      </c>
    </row>
    <row r="5">
      <c r="A5" s="4" t="inlineStr">
        <is>
          <t>Ключевая ставка Банка России, % годовых</t>
        </is>
      </c>
      <c r="B5" s="5" t="n"/>
      <c r="C5" s="6" t="inlineStr">
        <is>
          <t>Ключевая ставка Банка России на дату расчёта — cbr.ru, раздел «Ключевая ставка». Вводите годовой процент числом: например, 16 — не 0,16</t>
        </is>
      </c>
    </row>
    <row r="6">
      <c r="A6" t="inlineStr">
        <is>
          <t>УБЫТКИ:</t>
        </is>
      </c>
    </row>
    <row r="7">
      <c r="A7" t="inlineStr">
        <is>
          <t>Проценты по ст. 395 ГК РФ</t>
        </is>
      </c>
      <c r="C7">
        <f>IF($B$5="","",B7*$B$5/100/365*D9)</f>
        <v/>
      </c>
      <c r="D7">
        <f>C7</f>
        <v/>
      </c>
    </row>
    <row r="8">
      <c r="A8" t="inlineStr">
        <is>
          <t>Неустойка по договору (%/день)</t>
        </is>
      </c>
      <c r="C8">
        <f>B8*D9</f>
        <v/>
      </c>
      <c r="D8">
        <f>C8</f>
        <v/>
      </c>
    </row>
    <row r="9">
      <c r="A9" t="inlineStr">
        <is>
          <t>Дни просрочки</t>
        </is>
      </c>
      <c r="D9">
        <f>IF(AND(B2&lt;&gt;"",B3&lt;&gt;""),B9,0)</f>
        <v/>
      </c>
    </row>
    <row r="10"/>
    <row r="11">
      <c r="A11" t="inlineStr">
        <is>
          <t>ИТОГО к взысканию:</t>
        </is>
      </c>
      <c r="D11">
        <f>D2-D3+C7+C8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2026-07-23T17:54:42Z</dcterms:created>
  <dcterms:modified xsi:type="dcterms:W3CDTF">2026-07-30T20:27:39Z</dcterms:modified>
</cp:coreProperties>
</file>