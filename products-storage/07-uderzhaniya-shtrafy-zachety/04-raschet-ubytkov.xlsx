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асчёт требования" sheetId="1" state="visible" r:id="rId1"/>
  </sheets>
  <definedNames>
    <definedName name="_xlnm.Print_Area" localSheetId="0">'Расчёт требования'!$A$1:$G$38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##"/>
    <numFmt numFmtId="165" formatCode="DD.MM.YYYY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  <sz val="11"/>
    </font>
    <font>
      <b val="1"/>
    </font>
    <font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0" fillId="0" borderId="0" applyAlignment="1" pivotButton="0" quotePrefix="0" xfId="0">
      <alignment vertical="center" wrapText="1"/>
    </xf>
    <xf numFmtId="4" fontId="0" fillId="2" borderId="1" pivotButton="0" quotePrefix="0" xfId="0"/>
    <xf numFmtId="4" fontId="3" fillId="0" borderId="1" pivotButton="0" quotePrefix="0" xfId="0"/>
    <xf numFmtId="164" fontId="0" fillId="2" borderId="1" pivotButton="0" quotePrefix="0" xfId="0"/>
    <xf numFmtId="0" fontId="4" fillId="3" borderId="1" applyAlignment="1" pivotButton="0" quotePrefix="0" xfId="0">
      <alignment horizontal="center" vertical="center" wrapText="1"/>
    </xf>
    <xf numFmtId="1" fontId="0" fillId="0" borderId="1" pivotButton="0" quotePrefix="0" xfId="0"/>
    <xf numFmtId="165" fontId="0" fillId="2" borderId="1" pivotButton="0" quotePrefix="0" xfId="0"/>
    <xf numFmtId="4" fontId="0" fillId="0" borderId="1" pivotButton="0" quotePrefix="0" xfId="0"/>
    <xf numFmtId="0" fontId="3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workbookViewId="0">
      <selection activeCell="A1" sqref="A1"/>
    </sheetView>
  </sheetViews>
  <sheetFormatPr baseColWidth="8" defaultRowHeight="15"/>
  <cols>
    <col width="6" customWidth="1" min="1" max="1"/>
    <col width="13" customWidth="1" min="2" max="2"/>
    <col width="13" customWidth="1" min="3" max="3"/>
    <col width="8" customWidth="1" min="4" max="4"/>
    <col width="17" customWidth="1" min="5" max="5"/>
    <col width="15" customWidth="1" min="6" max="6"/>
    <col width="18" customWidth="1" min="7" max="7"/>
  </cols>
  <sheetData>
    <row r="1">
      <c r="A1" s="1" t="inlineStr">
        <is>
          <t>РАСЧЁТ СУММЫ ТРЕБОВАНИЯ К ЗАКАЗЧИКУ</t>
        </is>
      </c>
    </row>
    <row r="2" ht="45" customHeight="1">
      <c r="A2" s="2" t="inlineStr">
        <is>
          <t>Вводите данные только в жёлтые ячейки. Суммы — в рублях. Ставка — числом процентов: 0,05 % в день вводится как 0,05, 16 % годовых — как 16. Даты — ДД.ММ.ГГГГ; первый и последний день периода входят в число дней. Период с другой базой или ставкой — отдельной строкой.</t>
        </is>
      </c>
    </row>
    <row r="4">
      <c r="A4" s="3" t="inlineStr">
        <is>
          <t>1. ОСНОВНОЙ ДОЛГ</t>
        </is>
      </c>
    </row>
    <row r="5">
      <c r="A5" s="4" t="inlineStr">
        <is>
          <t>Сумма по КС-2 (по всем актам спора), руб.</t>
        </is>
      </c>
      <c r="G5" s="5" t="n"/>
    </row>
    <row r="6">
      <c r="A6" s="4" t="inlineStr">
        <is>
          <t>Фактически оплачено, руб.</t>
        </is>
      </c>
      <c r="G6" s="5" t="n"/>
    </row>
    <row r="7">
      <c r="A7" s="4" t="inlineStr">
        <is>
          <t>Из неоплаченного: удержание, срок возврата которого по договору ещё не наступил, руб.</t>
        </is>
      </c>
      <c r="G7" s="5" t="n"/>
    </row>
    <row r="8">
      <c r="A8" s="4" t="inlineStr">
        <is>
          <t>Основной долг к требованию, руб.</t>
        </is>
      </c>
      <c r="G8" s="6">
        <f>G5-G6-G7</f>
        <v/>
      </c>
    </row>
    <row r="10">
      <c r="A10" s="3" t="inlineStr">
        <is>
          <t>2. НЕУСТОЙКА ПО ДОГОВОРУ — заполните тот вид, который записан в договоре</t>
        </is>
      </c>
    </row>
    <row r="11">
      <c r="A11" s="4" t="inlineStr">
        <is>
          <t>2.1. Штраф в твёрдой сумме, руб.</t>
        </is>
      </c>
      <c r="G11" s="5" t="n"/>
    </row>
    <row r="12">
      <c r="A12" s="4" t="inlineStr">
        <is>
          <t>2.2. Штраф в процентах от суммы (разовый): сумма, от которой он считается, руб.</t>
        </is>
      </c>
      <c r="G12" s="5" t="n"/>
    </row>
    <row r="13">
      <c r="A13" s="4" t="inlineStr">
        <is>
          <t>процент штрафа, % (5 % вводится как 5)</t>
        </is>
      </c>
      <c r="G13" s="7" t="n"/>
    </row>
    <row r="14">
      <c r="A14" s="4" t="inlineStr">
        <is>
          <t>сумма штрафа, руб.</t>
        </is>
      </c>
      <c r="G14" s="6">
        <f>G12*G13/100</f>
        <v/>
      </c>
    </row>
    <row r="15">
      <c r="A15" s="3" t="inlineStr">
        <is>
          <t>2.3. Пени за каждый день просрочки: база × ставка в день / 100 × дни</t>
        </is>
      </c>
    </row>
    <row r="16">
      <c r="A16" s="8" t="inlineStr">
        <is>
          <t>№</t>
        </is>
      </c>
      <c r="B16" s="8" t="inlineStr">
        <is>
          <t>Начало</t>
        </is>
      </c>
      <c r="C16" s="8" t="inlineStr">
        <is>
          <t>Окончание</t>
        </is>
      </c>
      <c r="D16" s="8" t="inlineStr">
        <is>
          <t>Дней</t>
        </is>
      </c>
      <c r="E16" s="8" t="inlineStr">
        <is>
          <t>База, руб.</t>
        </is>
      </c>
      <c r="F16" s="8" t="inlineStr">
        <is>
          <t>Ставка, % в день</t>
        </is>
      </c>
      <c r="G16" s="8" t="inlineStr">
        <is>
          <t>Сумма, руб.</t>
        </is>
      </c>
    </row>
    <row r="17">
      <c r="A17" s="9" t="n">
        <v>1</v>
      </c>
      <c r="B17" s="10" t="n"/>
      <c r="C17" s="10" t="n"/>
      <c r="D17" s="9">
        <f>IF(AND(ISNUMBER(B17),ISNUMBER(C17)),C17-B17+1,0)</f>
        <v/>
      </c>
      <c r="E17" s="5" t="n"/>
      <c r="F17" s="7" t="n"/>
      <c r="G17" s="11">
        <f>E17*F17/100*D17</f>
        <v/>
      </c>
    </row>
    <row r="18">
      <c r="A18" s="9" t="n">
        <v>2</v>
      </c>
      <c r="B18" s="10" t="n"/>
      <c r="C18" s="10" t="n"/>
      <c r="D18" s="9">
        <f>IF(AND(ISNUMBER(B18),ISNUMBER(C18)),C18-B18+1,0)</f>
        <v/>
      </c>
      <c r="E18" s="5" t="n"/>
      <c r="F18" s="7" t="n"/>
      <c r="G18" s="11">
        <f>E18*F18/100*D18</f>
        <v/>
      </c>
    </row>
    <row r="19">
      <c r="A19" s="9" t="n">
        <v>3</v>
      </c>
      <c r="B19" s="10" t="n"/>
      <c r="C19" s="10" t="n"/>
      <c r="D19" s="9">
        <f>IF(AND(ISNUMBER(B19),ISNUMBER(C19)),C19-B19+1,0)</f>
        <v/>
      </c>
      <c r="E19" s="5" t="n"/>
      <c r="F19" s="7" t="n"/>
      <c r="G19" s="11">
        <f>E19*F19/100*D19</f>
        <v/>
      </c>
    </row>
    <row r="20">
      <c r="A20" s="9" t="n">
        <v>4</v>
      </c>
      <c r="B20" s="10" t="n"/>
      <c r="C20" s="10" t="n"/>
      <c r="D20" s="9">
        <f>IF(AND(ISNUMBER(B20),ISNUMBER(C20)),C20-B20+1,0)</f>
        <v/>
      </c>
      <c r="E20" s="5" t="n"/>
      <c r="F20" s="7" t="n"/>
      <c r="G20" s="11">
        <f>E20*F20/100*D20</f>
        <v/>
      </c>
    </row>
    <row r="21">
      <c r="A21" s="9" t="n">
        <v>5</v>
      </c>
      <c r="B21" s="10" t="n"/>
      <c r="C21" s="10" t="n"/>
      <c r="D21" s="9">
        <f>IF(AND(ISNUMBER(B21),ISNUMBER(C21)),C21-B21+1,0)</f>
        <v/>
      </c>
      <c r="E21" s="5" t="n"/>
      <c r="F21" s="7" t="n"/>
      <c r="G21" s="11">
        <f>E21*F21/100*D21</f>
        <v/>
      </c>
    </row>
    <row r="22">
      <c r="A22" s="4" t="inlineStr">
        <is>
          <t>Итого пени, руб.</t>
        </is>
      </c>
      <c r="G22" s="6">
        <f>SUM(G17:G21)</f>
        <v/>
      </c>
    </row>
    <row r="23">
      <c r="A23" s="4" t="inlineStr">
        <is>
          <t>Итого неустойка (2.1 + 2.2 + 2.3), руб.</t>
        </is>
      </c>
      <c r="G23" s="6">
        <f>G11+G14+G22</f>
        <v/>
      </c>
    </row>
    <row r="25">
      <c r="A25" s="3" t="inlineStr">
        <is>
          <t>3. ПРОЦЕНТЫ ПО СТ. 395 ГК РФ: база × ключевая ставка / 100 / 365 × дни</t>
        </is>
      </c>
    </row>
    <row r="26">
      <c r="A26" s="8" t="inlineStr">
        <is>
          <t>№</t>
        </is>
      </c>
      <c r="B26" s="8" t="inlineStr">
        <is>
          <t>Начало</t>
        </is>
      </c>
      <c r="C26" s="8" t="inlineStr">
        <is>
          <t>Окончание</t>
        </is>
      </c>
      <c r="D26" s="8" t="inlineStr">
        <is>
          <t>Дней</t>
        </is>
      </c>
      <c r="E26" s="8" t="inlineStr">
        <is>
          <t>База, руб.</t>
        </is>
      </c>
      <c r="F26" s="8" t="inlineStr">
        <is>
          <t>Ключевая ставка, % годовых</t>
        </is>
      </c>
      <c r="G26" s="8" t="inlineStr">
        <is>
          <t>Сумма, руб.</t>
        </is>
      </c>
    </row>
    <row r="27">
      <c r="A27" s="9" t="n">
        <v>1</v>
      </c>
      <c r="B27" s="10" t="n"/>
      <c r="C27" s="10" t="n"/>
      <c r="D27" s="9">
        <f>IF(AND(ISNUMBER(B27),ISNUMBER(C27)),C27-B27+1,0)</f>
        <v/>
      </c>
      <c r="E27" s="5" t="n"/>
      <c r="F27" s="7" t="n"/>
      <c r="G27" s="11">
        <f>E27*F27/100/365*D27</f>
        <v/>
      </c>
    </row>
    <row r="28">
      <c r="A28" s="9" t="n">
        <v>2</v>
      </c>
      <c r="B28" s="10" t="n"/>
      <c r="C28" s="10" t="n"/>
      <c r="D28" s="9">
        <f>IF(AND(ISNUMBER(B28),ISNUMBER(C28)),C28-B28+1,0)</f>
        <v/>
      </c>
      <c r="E28" s="5" t="n"/>
      <c r="F28" s="7" t="n"/>
      <c r="G28" s="11">
        <f>E28*F28/100/365*D28</f>
        <v/>
      </c>
    </row>
    <row r="29">
      <c r="A29" s="9" t="n">
        <v>3</v>
      </c>
      <c r="B29" s="10" t="n"/>
      <c r="C29" s="10" t="n"/>
      <c r="D29" s="9">
        <f>IF(AND(ISNUMBER(B29),ISNUMBER(C29)),C29-B29+1,0)</f>
        <v/>
      </c>
      <c r="E29" s="5" t="n"/>
      <c r="F29" s="7" t="n"/>
      <c r="G29" s="11">
        <f>E29*F29/100/365*D29</f>
        <v/>
      </c>
    </row>
    <row r="30">
      <c r="A30" s="9" t="n">
        <v>4</v>
      </c>
      <c r="B30" s="10" t="n"/>
      <c r="C30" s="10" t="n"/>
      <c r="D30" s="9">
        <f>IF(AND(ISNUMBER(B30),ISNUMBER(C30)),C30-B30+1,0)</f>
        <v/>
      </c>
      <c r="E30" s="5" t="n"/>
      <c r="F30" s="7" t="n"/>
      <c r="G30" s="11">
        <f>E30*F30/100/365*D30</f>
        <v/>
      </c>
    </row>
    <row r="31">
      <c r="A31" s="9" t="n">
        <v>5</v>
      </c>
      <c r="B31" s="10" t="n"/>
      <c r="C31" s="10" t="n"/>
      <c r="D31" s="9">
        <f>IF(AND(ISNUMBER(B31),ISNUMBER(C31)),C31-B31+1,0)</f>
        <v/>
      </c>
      <c r="E31" s="5" t="n"/>
      <c r="F31" s="7" t="n"/>
      <c r="G31" s="11">
        <f>E31*F31/100/365*D31</f>
        <v/>
      </c>
    </row>
    <row r="32">
      <c r="A32" s="4" t="inlineStr">
        <is>
          <t>Итого проценты, руб.</t>
        </is>
      </c>
      <c r="G32" s="6">
        <f>SUM(G27:G31)</f>
        <v/>
      </c>
    </row>
    <row r="34">
      <c r="A34" s="3" t="inlineStr">
        <is>
          <t>4. ИТОГО</t>
        </is>
      </c>
    </row>
    <row r="35">
      <c r="A35" s="4" t="inlineStr">
        <is>
          <t>Основной долг, руб.</t>
        </is>
      </c>
      <c r="G35" s="6">
        <f>G8</f>
        <v/>
      </c>
    </row>
    <row r="36">
      <c r="A36" s="4" t="inlineStr">
        <is>
          <t>Неустойка по договору, руб.</t>
        </is>
      </c>
      <c r="G36" s="6">
        <f>G23</f>
        <v/>
      </c>
    </row>
    <row r="37">
      <c r="A37" s="4" t="inlineStr">
        <is>
          <t>Проценты по ст. 395 ГК РФ, руб.</t>
        </is>
      </c>
      <c r="G37" s="6">
        <f>G32</f>
        <v/>
      </c>
    </row>
    <row r="38">
      <c r="A38" s="12" t="inlineStr">
        <is>
          <t>ИТОГО к взысканию, руб.</t>
        </is>
      </c>
      <c r="G38" s="6">
        <f>G35+G36+G37</f>
        <v/>
      </c>
    </row>
  </sheetData>
  <mergeCells count="22">
    <mergeCell ref="A37:F37"/>
    <mergeCell ref="A4:G4"/>
    <mergeCell ref="A12:F12"/>
    <mergeCell ref="A10:G10"/>
    <mergeCell ref="A14:F14"/>
    <mergeCell ref="A5:F5"/>
    <mergeCell ref="A23:F23"/>
    <mergeCell ref="A32:F32"/>
    <mergeCell ref="A34:G34"/>
    <mergeCell ref="A8:F8"/>
    <mergeCell ref="A22:F22"/>
    <mergeCell ref="A15:G15"/>
    <mergeCell ref="A35:F35"/>
    <mergeCell ref="A38:F38"/>
    <mergeCell ref="A1:G1"/>
    <mergeCell ref="A13:F13"/>
    <mergeCell ref="A25:G25"/>
    <mergeCell ref="A11:F11"/>
    <mergeCell ref="A36:F36"/>
    <mergeCell ref="A6:F6"/>
    <mergeCell ref="A2:G2"/>
    <mergeCell ref="A7:F7"/>
  </mergeCells>
  <pageMargins left="0.75" right="0.75" top="1" bottom="1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2026-09-28T00:00:00Z</dcterms:created>
  <dcterms:modified xmlns:dcterms="http://purl.org/dc/terms/" xmlns:xsi="http://www.w3.org/2001/XMLSchema-instance" xsi:type="dcterms:W3CDTF">2026-09-28T00:00:00Z</dcterms:modified>
</cp:coreProperties>
</file>