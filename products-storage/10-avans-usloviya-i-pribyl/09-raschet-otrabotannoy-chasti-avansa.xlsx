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Договор и аванс" sheetId="2" state="visible" r:id="rId2"/>
    <sheet xmlns:r="http://schemas.openxmlformats.org/officeDocument/2006/relationships" name="Выполнено" sheetId="3" state="visible" r:id="rId3"/>
    <sheet xmlns:r="http://schemas.openxmlformats.org/officeDocument/2006/relationships" name="Встречное" sheetId="4" state="visible" r:id="rId4"/>
    <sheet xmlns:r="http://schemas.openxmlformats.org/officeDocument/2006/relationships" name="Сальдо" sheetId="5" state="visible" r:id="rId5"/>
    <sheet xmlns:r="http://schemas.openxmlformats.org/officeDocument/2006/relationships" name="Акт сверки" sheetId="6" state="visible" r:id="rId6"/>
    <sheet xmlns:r="http://schemas.openxmlformats.org/officeDocument/2006/relationships" name="Пример заполнения" sheetId="7" state="visible" r:id="rId7"/>
  </sheets>
  <definedNames>
    <definedName name="_xlnm.Print_Area" localSheetId="0">'Как читать'!$A$1:$A$26</definedName>
    <definedName name="_xlnm.Print_Area" localSheetId="1">'Договор и аванс'!$A$1:$C$29</definedName>
    <definedName name="_xlnm.Print_Area" localSheetId="2">'Выполнено'!$A$1:$L$57</definedName>
    <definedName name="_xlnm.Print_Titles" localSheetId="2">'Выполнено'!$1:$5</definedName>
    <definedName name="_xlnm.Print_Area" localSheetId="3">'Встречное'!$A$1:$G$41</definedName>
    <definedName name="_xlnm.Print_Titles" localSheetId="3">'Встречное'!$1:$5</definedName>
    <definedName name="_xlnm.Print_Area" localSheetId="4">'Сальдо'!$A$1:$C$44</definedName>
    <definedName name="_xlnm.Print_Titles" localSheetId="4">'Сальдо'!$1:$3</definedName>
    <definedName name="_xlnm.Print_Area" localSheetId="5">'Акт сверки'!$A$6:$D$23</definedName>
    <definedName name="_xlnm.Print_Area" localSheetId="6">'Пример заполнения'!$A$1:$C$25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%"/>
  </numFmts>
  <fonts count="8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1"/>
    </font>
    <font>
      <name val="Times New Roman"/>
      <sz val="11"/>
    </font>
    <font>
      <name val="Times New Roman"/>
      <i val="1"/>
      <color rgb="00595959"/>
      <sz val="10"/>
    </font>
    <font>
      <name val="Times New Roman"/>
      <color rgb="000000FF"/>
      <sz val="11"/>
    </font>
    <font>
      <name val="Times New Roman"/>
      <color rgb="00008000"/>
      <sz val="11"/>
    </font>
    <font>
      <name val="Times New Roman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AF1F8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4" fontId="5" fillId="3" borderId="1" pivotButton="0" quotePrefix="0" xfId="0"/>
    <xf numFmtId="164" fontId="5" fillId="3" borderId="1" pivotButton="0" quotePrefix="0" xfId="0"/>
    <xf numFmtId="0" fontId="5" fillId="3" borderId="1" pivotButton="0" quotePrefix="0" xfId="0"/>
    <xf numFmtId="4" fontId="6" fillId="4" borderId="1" pivotButton="0" quotePrefix="0" xfId="0"/>
    <xf numFmtId="165" fontId="6" fillId="4" borderId="1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4" pivotButton="0" quotePrefix="0" xfId="0"/>
    <xf numFmtId="0" fontId="4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4" fontId="3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4" borderId="1" pivotButton="0" quotePrefix="0" xfId="0"/>
    <xf numFmtId="4" fontId="3" fillId="4" borderId="1" pivotButton="0" quotePrefix="0" xfId="0"/>
    <xf numFmtId="4" fontId="2" fillId="4" borderId="1" pivotButton="0" quotePrefix="0" xfId="0"/>
    <xf numFmtId="0" fontId="6" fillId="4" borderId="1" pivotButton="0" quotePrefix="0" xfId="0"/>
    <xf numFmtId="0" fontId="7" fillId="4" borderId="1" pivotButton="0" quotePrefix="0" xfId="0"/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4" fontId="3" fillId="0" borderId="1" pivotButton="0" quotePrefix="0" xfId="0"/>
    <xf numFmtId="4" fontId="6" fillId="0" borderId="1" pivotButton="0" quotePrefix="0" xfId="0"/>
    <xf numFmtId="0" fontId="3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pivotButton="0" quotePrefix="0" xfId="0" applyAlignment="1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19" customHeight="1">
      <c r="A1" s="1" t="inlineStr">
        <is>
          <t>Расчёт отработанной части аванса и сальдо расчётов</t>
        </is>
      </c>
    </row>
    <row r="3" ht="19" customHeight="1">
      <c r="A3" s="2" t="inlineStr">
        <is>
          <t>Результат расчёта: аванс, стоимость работ, оплаты и расчётное сальдо.</t>
        </is>
      </c>
    </row>
    <row r="4" ht="19" customHeight="1">
      <c r="A4" s="3" t="inlineStr">
        <is>
          <t>Запишите фактические суммы аванса, выполненных работ и оплат. Сопоставьте их с требованием о возврате.</t>
        </is>
      </c>
    </row>
    <row r="5" ht="19" customHeight="1">
      <c r="A5" s="3" t="inlineStr">
        <is>
          <t>Каждую сумму подтвердите платежом, актом и реквизитами передачи; разделяйте подписанные и односторонние документы.</t>
        </is>
      </c>
    </row>
    <row r="6" ht="19" customHeight="1">
      <c r="A6" s="3" t="inlineStr">
        <is>
          <t>Внесите данные в исходные листы, затем сверьте сальдо и подготовьте проект акта сверки.</t>
        </is>
      </c>
    </row>
    <row r="7" ht="19" customHeight="1">
      <c r="A7" s="2" t="inlineStr">
        <is>
          <t>Отдельные требования и основания</t>
        </is>
      </c>
    </row>
    <row r="8" ht="33" customHeight="1">
      <c r="A8" s="3" t="inlineStr">
        <is>
          <t>Основание прекращения договора и спорные суммы фиксируйте по документам; перед ответом проверьте договорный порядок.</t>
        </is>
      </c>
    </row>
    <row r="9" ht="19" customHeight="1">
      <c r="A9" s="3" t="inlineStr">
        <is>
          <t>Проценты, неустойку и убытки рассчитывайте отдельно с собственными основаниями и периодами.</t>
        </is>
      </c>
    </row>
    <row r="10" ht="19" customHeight="1">
      <c r="A10" s="2" t="inlineStr">
        <is>
          <t>Порядок работы</t>
        </is>
      </c>
    </row>
    <row r="11" ht="33" customHeight="1">
      <c r="A11" s="3" t="inlineStr">
        <is>
          <t xml:space="preserve">1. На листе «Договор и аванс» укажите реквизиты, цену договора, фактически полученный аванс и сведения о требовании возврата.</t>
        </is>
      </c>
    </row>
    <row r="12" ht="33" customHeight="1">
      <c r="A12" s="3" t="inlineStr">
        <is>
          <t>2. Заполните документ, номер, стоимость и статус каждого акта. Оплаты и погашение аванса укажите числами; отсутствие — 0. Для неподписанных актов подтвердите передачу.</t>
        </is>
      </c>
    </row>
    <row r="13" ht="33" customHeight="1">
      <c r="A13" s="3" t="inlineStr">
        <is>
          <t xml:space="preserve">3. На листе «Встречное» укажите документально подтверждённые материалы, расходы и удержания. Исключите повторное включение сумм, учтённых в реестре актов.</t>
        </is>
      </c>
    </row>
    <row r="14" ht="33" customHeight="1">
      <c r="A14" s="3" t="inlineStr">
        <is>
          <t>4. Исправьте строки «ОШИБКА» и «НЕ ЗАПОЛНЕНО». При неполных данных итог сальдо и итоговая запись акта сверки не выводятся.</t>
        </is>
      </c>
    </row>
    <row r="15" ht="19" customHeight="1">
      <c r="A15" s="3" t="inlineStr">
        <is>
          <t xml:space="preserve">5. Лист «Акт сверки» формируется по данным расчёта. Изменения сумм вносите в соответствующие исходные листы.</t>
        </is>
      </c>
    </row>
    <row r="16" ht="19" customHeight="1">
      <c r="A16" s="2" t="inlineStr">
        <is>
          <t>Цвета</t>
        </is>
      </c>
    </row>
    <row r="17" ht="33" customHeight="1">
      <c r="A17" s="3" t="inlineStr">
        <is>
          <t xml:space="preserve">Жёлтая заливка обозначает поля ввода. Синий шрифт — исходные значения, чёрный — формулы, зелёный — ссылки на другие листы. Расчётные ячейки сохраняйте без изменения.</t>
        </is>
      </c>
    </row>
    <row r="18" ht="19" customHeight="1">
      <c r="A18" s="2" t="inlineStr">
        <is>
          <t>Контроль перед подписанием сверки</t>
        </is>
      </c>
    </row>
    <row r="19" ht="19" customHeight="1">
      <c r="A19" s="3" t="inlineStr">
        <is>
          <t>Частичная денежная оплата уменьшает остаток каждого акта. Отсутствие подписи не меняется от оплаты; правовое основание требования проверьте отдельно.</t>
        </is>
      </c>
    </row>
    <row r="20" ht="19" customHeight="1">
      <c r="A20" s="2" t="inlineStr">
        <is>
          <t xml:space="preserve">Оформление односторонних актов</t>
        </is>
      </c>
    </row>
    <row r="21" ht="47" customHeight="1">
      <c r="A21" s="3" t="inlineStr">
        <is>
          <t xml:space="preserve">Разграничивайте статусы «подписан односторонне» и «передан, не подписан». По пункту 4 статьи 753 ГК РФ при отказе одной стороны от подписания в акте делается отметка об этом, после чего акт подписывает другая сторона. Проверьте документы об извещении, передаче и причинах отказа.</t>
        </is>
      </c>
    </row>
    <row r="22" ht="19" customHeight="1">
      <c r="A22" s="3" t="inlineStr">
        <is>
          <t>Односторонние акты выделяйте отдельно; проверяйте их направление, отказ и основания возражений.</t>
        </is>
      </c>
    </row>
    <row r="23" ht="19" customHeight="1">
      <c r="A23" s="2" t="inlineStr">
        <is>
          <t xml:space="preserve">Проверка правового основания</t>
        </is>
      </c>
    </row>
    <row r="24" ht="19" customHeight="1">
      <c r="A24" s="3" t="inlineStr">
        <is>
          <t>Сопоставьте основание прекращения договора с соответствующими условиями договора и применимыми нормами.</t>
        </is>
      </c>
    </row>
    <row r="25" ht="19" customHeight="1">
      <c r="A25" s="3" t="inlineStr">
        <is>
          <t>Проверьте условия договора об отказе, объёме работ и расходах по первичным документам.</t>
        </is>
      </c>
    </row>
    <row r="26" ht="19" customHeight="1">
      <c r="A26" s="3" t="inlineStr">
        <is>
          <t>Срок ответа берите из договора и полученного требования. Сохраните доказательства направления ответа.</t>
        </is>
      </c>
    </row>
  </sheetData>
  <mergeCells count="8">
    <mergeCell ref="A18"/>
    <mergeCell ref="A3"/>
    <mergeCell ref="A7"/>
    <mergeCell ref="A20"/>
    <mergeCell ref="A16"/>
    <mergeCell ref="A10"/>
    <mergeCell ref="A1"/>
    <mergeCell ref="A23"/>
  </mergeCells>
  <pageMargins left="0.75" right="0.75" top="1" bottom="1" header="0.5" footer="0.5"/>
  <pageSetup orientation="landscape" paperSize="9" fitToHeight="0" fitToWidth="1"/>
  <rowBreaks count="1" manualBreakCount="1">
    <brk id="15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46" customWidth="1" min="3" max="3"/>
  </cols>
  <sheetData>
    <row r="1" ht="22" customHeight="1">
      <c r="A1" s="1" t="inlineStr">
        <is>
          <t>Договор, аванс и предъявленное требование</t>
        </is>
      </c>
    </row>
    <row r="3" ht="30" customHeight="1">
      <c r="A3" s="4" t="inlineStr">
        <is>
          <t xml:space="preserve">Укажите фактически полученный аванс по платёжным поручениям и банковским выпискам. Сумму, предусмотренную договором, сопоставьте с фактическими поступлениями.</t>
        </is>
      </c>
    </row>
    <row r="5" ht="30" customHeight="1">
      <c r="A5" s="3" t="inlineStr">
        <is>
          <t>Цена работ по договору с учётом всех допсоглашений</t>
        </is>
      </c>
      <c r="B5" s="5" t="n"/>
      <c r="C5" s="4" t="inlineStr">
        <is>
          <t>договор и все допсоглашения на изменение цены</t>
        </is>
      </c>
    </row>
    <row r="6" ht="30" customHeight="1">
      <c r="A6" s="3" t="inlineStr">
        <is>
          <t>Аванс получен всего</t>
        </is>
      </c>
      <c r="B6" s="5" t="n"/>
      <c r="C6" s="4" t="inlineStr">
        <is>
          <t>платёжные поручения с назначением «аванс». Складывайте все, включая доплаты</t>
        </is>
      </c>
    </row>
    <row r="7" ht="30" customHeight="1">
      <c r="A7" s="3" t="inlineStr">
        <is>
          <t>Дата последнего платежа аванса</t>
        </is>
      </c>
      <c r="B7" s="6" t="n"/>
      <c r="C7" s="4" t="inlineStr">
        <is>
          <t>платёжное поручение</t>
        </is>
      </c>
    </row>
    <row r="8" ht="30" customHeight="1">
      <c r="A8" s="3" t="inlineStr">
        <is>
          <t>Основание прекращения договора</t>
        </is>
      </c>
      <c r="B8" s="7" t="n"/>
      <c r="C8" s="4" t="inlineStr">
        <is>
          <t>выберите из списка по документу: уведомление, соглашение, решение суда</t>
        </is>
      </c>
    </row>
    <row r="9" ht="90" customHeight="1">
      <c r="A9" s="3" t="inlineStr">
        <is>
          <t>Дата, с которой договор считается прекращённым</t>
        </is>
      </c>
      <c r="B9" s="6" t="n"/>
      <c r="C9" s="4" t="inlineStr">
        <is>
          <t xml:space="preserve">Дата прекращения по уведомлению, соглашению или судебному акту. При наличии спора отдельно зафиксируйте позиции сторон и подтверждающие документы.</t>
        </is>
      </c>
    </row>
    <row r="10" ht="30" customHeight="1">
      <c r="A10" s="3" t="inlineStr">
        <is>
          <t>Дата получения требования о возврате</t>
        </is>
      </c>
      <c r="B10" s="6" t="n"/>
      <c r="C10" s="4" t="inlineStr">
        <is>
          <t>конверт, отчёт об отслеживании, входящий штамп, дата письма на почте</t>
        </is>
      </c>
    </row>
    <row r="11" ht="30" customHeight="1">
      <c r="A11" s="3" t="inlineStr">
        <is>
          <t>Сумма, которую требуют вернуть</t>
        </is>
      </c>
      <c r="B11" s="5" t="n"/>
      <c r="C11" s="4" t="inlineStr">
        <is>
          <t>текст требования</t>
        </is>
      </c>
    </row>
    <row r="12" ht="60" customHeight="1">
      <c r="A12" s="3" t="inlineStr">
        <is>
          <t>Срок ответа на требование</t>
        </is>
      </c>
      <c r="B12" s="7" t="n"/>
      <c r="C12" s="4" t="inlineStr">
        <is>
          <t xml:space="preserve">Срок по договору и полученному требованию. Укажите источник, порядок исчисления и контрольную дату ответа.</t>
        </is>
      </c>
    </row>
    <row r="15">
      <c r="A15" s="2" t="inlineStr">
        <is>
          <t>Считается по листам «Выполнено» и «Встречное»</t>
        </is>
      </c>
    </row>
    <row r="16" ht="48" customHeight="1">
      <c r="A16" s="3" t="inlineStr">
        <is>
          <t xml:space="preserve">Погашение аванса подписанными обеими сторонами актами</t>
        </is>
      </c>
      <c r="B16" s="8">
        <f>SUMIFS('Выполнено'!I6:I45,'Выполнено'!F6:F45,"подписан обеими сторонами")</f>
        <v/>
      </c>
      <c r="C16" s="4" t="inlineStr">
        <is>
          <t xml:space="preserve">сумма колонки «Погашение аванса» по актам со статусом «подписан обеими сторонами»</t>
        </is>
      </c>
    </row>
    <row r="17" ht="72" customHeight="1">
      <c r="A17" s="3" t="inlineStr">
        <is>
          <t>Аванс, не закрытый двусторонними актами</t>
        </is>
      </c>
      <c r="B17" s="8">
        <f>IF(OR(NOT(ISNUMBER(B6)),NOT(ISNUMBER(B16))),"",MAX(0,B6-B16))</f>
        <v/>
      </c>
      <c r="C17" s="4" t="inlineStr">
        <is>
          <t xml:space="preserve">Разница между полученным авансом и суммой его погашения по двусторонним актам. Основание и размер возврата проверяются по договору, документам исполнения и прекращения.</t>
        </is>
      </c>
    </row>
    <row r="18" ht="48" customHeight="1">
      <c r="A18" s="3" t="inlineStr">
        <is>
          <t>Доля аванса, оставшаяся неотработанной</t>
        </is>
      </c>
      <c r="B18" s="9">
        <f>IFERROR(B17/B6,"")</f>
        <v/>
      </c>
      <c r="C18" s="4" t="inlineStr">
        <is>
          <t xml:space="preserve">Сопоставьте показатель с фактическим выполнением и документами о его сдаче.</t>
        </is>
      </c>
    </row>
    <row r="19">
      <c r="A19" s="10" t="inlineStr">
        <is>
          <t>Проверка заполнения</t>
        </is>
      </c>
      <c r="B19" s="11">
        <f>IF(OR(LEN(B5)=0,LEN(B6)=0,LEN(B8)=0,LEN(B11)=0),"НЕ ЗАПОЛНЕНО: цена, аванс, основание и сумма требования",IF(OR(NOT(ISNUMBER(B5)),NOT(ISNUMBER(B6)),NOT(ISNUMBER(B11))),"ОШИБКА: суммы договора должны быть числами",IF(OR(B5&lt;=0,B6&lt;0,B11&lt;0),"ОШИБКА: проверьте знак и величину сумм",IF(COUNTIF($A$22:$A$27,B8)&lt;&gt;1,"ОШИБКА: выберите основание из справочника",IF(B6&gt;B5,"ПРОВЕРЬТЕ: аванс больше цены договора","заполнено")))))</f>
        <v/>
      </c>
      <c r="C19" s="12" t="n"/>
    </row>
    <row r="21">
      <c r="A21" s="13" t="inlineStr">
        <is>
          <t>Справочник оснований прекращения договора</t>
        </is>
      </c>
    </row>
    <row r="22">
      <c r="A22" s="13" t="inlineStr">
        <is>
          <t>генподрядчик отказался от исполнения, о наших нарушениях не заявлено</t>
        </is>
      </c>
    </row>
    <row r="23">
      <c r="A23" s="13" t="inlineStr">
        <is>
          <t>генподрядчик отказался от исполнения, ссылаясь на наши нарушения</t>
        </is>
      </c>
    </row>
    <row r="24">
      <c r="A24" s="13" t="inlineStr">
        <is>
          <t>договор расторгнут по решению суда</t>
        </is>
      </c>
    </row>
    <row r="25">
      <c r="A25" s="13" t="inlineStr">
        <is>
          <t>мы отказались от исполнения</t>
        </is>
      </c>
    </row>
    <row r="26">
      <c r="A26" s="13" t="inlineStr">
        <is>
          <t>соглашение сторон</t>
        </is>
      </c>
    </row>
    <row r="27">
      <c r="A27" s="13" t="inlineStr">
        <is>
          <t>договор не расторгнут, требование заявлено</t>
        </is>
      </c>
    </row>
    <row r="29" ht="40" customHeight="1">
      <c r="A29" s="4" t="inlineStr">
        <is>
          <t>Основание прекращения перепишите из документа с номером и датой; отдельно проверьте спорные встречные суммы.</t>
        </is>
      </c>
    </row>
  </sheetData>
  <mergeCells count="5">
    <mergeCell ref="A1:C1"/>
    <mergeCell ref="B19:C19"/>
    <mergeCell ref="A3:C3"/>
    <mergeCell ref="A29:C29"/>
    <mergeCell ref="A15:C15"/>
  </mergeCells>
  <dataValidations count="1">
    <dataValidation type="list" errorStyle="stop" allowBlank="0" showDropDown="0" showErrorMessage="1" errorTitle="Проверка ввода" error="Выберите основание из справочника." sqref="B8">
      <formula1>$A$22:$A$27</formula1>
    </dataValidation>
  </dataValidations>
  <pageMargins left="0.75" right="0.75" top="1" bottom="1" header="0.5" footer="0.5"/>
  <pageSetup orientation="landscape" paperSize="9" fitToHeight="0" fitToWidth="1"/>
  <rowBreaks count="1" manualBreakCount="1">
    <brk id="14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5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20" customWidth="1" min="4" max="4"/>
    <col width="15" customWidth="1" min="5" max="5"/>
    <col width="24" customWidth="1" min="6" max="6"/>
    <col width="14" customWidth="1" min="7" max="7"/>
    <col width="26" customWidth="1" min="8" max="8"/>
    <col width="15" customWidth="1" min="9" max="9"/>
    <col width="15" customWidth="1" min="10" max="10"/>
    <col width="15" customWidth="1" min="11" max="11"/>
    <col width="34" customWidth="1" min="12" max="12"/>
    <col min="14" max="14" width="48" hidden="0" customWidth="1"/>
  </cols>
  <sheetData>
    <row r="1" ht="22" customHeight="1">
      <c r="A1" s="1" t="inlineStr">
        <is>
          <t xml:space="preserve">Реестр актов выполненных работ</t>
        </is>
      </c>
      <c r="N1" t="inlineStr">
        <is>
          <t>Справочник статусов актов</t>
        </is>
      </c>
    </row>
    <row r="2">
      <c r="N2" t="inlineStr">
        <is>
          <t>подписан обеими сторонами</t>
        </is>
      </c>
    </row>
    <row r="3" ht="44" customHeight="1">
      <c r="A3" s="4" t="inlineStr">
        <is>
          <t>Запишите документ, номер, стоимость и выберите статус из списка. Погашение аванса и денежную оплату укажите числами; при отсутствии — 0. Для неподписанных и односторонних актов нужны дата и подтверждение передачи.</t>
        </is>
      </c>
      <c r="N3" t="inlineStr">
        <is>
          <t>передан, не подписан</t>
        </is>
      </c>
    </row>
    <row r="4">
      <c r="N4" t="inlineStr">
        <is>
          <t>подписан односторонне</t>
        </is>
      </c>
    </row>
    <row r="5" ht="32" customHeight="1">
      <c r="A5" s="14" t="inlineStr">
        <is>
          <t>№</t>
        </is>
      </c>
      <c r="B5" s="14" t="inlineStr">
        <is>
          <t>Документ</t>
        </is>
      </c>
      <c r="C5" s="14" t="inlineStr">
        <is>
          <t>№ и дата</t>
        </is>
      </c>
      <c r="D5" s="14" t="inlineStr">
        <is>
          <t>Период работ</t>
        </is>
      </c>
      <c r="E5" s="14" t="inlineStr">
        <is>
          <t>Стоимость по акту</t>
        </is>
      </c>
      <c r="F5" s="14" t="inlineStr">
        <is>
          <t>Статус</t>
        </is>
      </c>
      <c r="G5" s="14" t="inlineStr">
        <is>
          <t>Дата передачи</t>
        </is>
      </c>
      <c r="H5" s="14" t="inlineStr">
        <is>
          <t>Чем подтверждена передача</t>
        </is>
      </c>
      <c r="I5" s="14" t="inlineStr">
        <is>
          <t xml:space="preserve">Погашение аванса</t>
        </is>
      </c>
      <c r="J5" s="14" t="inlineStr">
        <is>
          <t>Оплачено деньгами</t>
        </is>
      </c>
      <c r="K5" s="14" t="inlineStr">
        <is>
          <t>Не оплачено</t>
        </is>
      </c>
      <c r="L5" s="14" t="inlineStr">
        <is>
          <t>Проверка</t>
        </is>
      </c>
      <c r="N5" t="inlineStr">
        <is>
          <t>получен мотивированный отказ</t>
        </is>
      </c>
    </row>
    <row r="6" ht="45" customHeight="1">
      <c r="A6" s="15">
        <f>IF(C6="","",ROW()-5)</f>
        <v/>
      </c>
      <c r="B6" s="16" t="n"/>
      <c r="C6" s="16" t="n"/>
      <c r="D6" s="16" t="n"/>
      <c r="E6" s="17" t="n"/>
      <c r="F6" s="16" t="n"/>
      <c r="G6" s="18" t="n"/>
      <c r="H6" s="16" t="n"/>
      <c r="I6" s="17" t="n"/>
      <c r="J6" s="17" t="n"/>
      <c r="K6" s="19">
        <f>IF(L6="строка заполнена",ROUND(E6-I6-J6,2),"")</f>
        <v/>
      </c>
      <c r="L6" s="15">
        <f>IF(COUNTA(B6:J6)=0,"",IF(OR(LEN(B6)=0,LEN(C6)=0,LEN(E6)=0,LEN(F6)=0,LEN(I6)=0,LEN(J6)=0),"НЕ ЗАПОЛНЕНО: документ, номер, стоимость, статус и оплаты (ноль числом)",IF(COUNTIF($N$2:$N$5,F6)&lt;&gt;1,"ОШИБКА: неизвестный статус акта",IF(OR(NOT(ISNUMBER(E6)),NOT(ISNUMBER(I6)),NOT(ISNUMBER(J6))),"ОШИБКА: стоимость и оплаты должны быть числами",IF(OR(E6&lt;0,I6&lt;0,J6&lt;0),"ОШИБКА: отрицательная сумма",IF(I6+J6&gt;E6+0.01,"ОШИБКА: погашение аванса и оплата превышают стоимость акта.",IF(AND(F6&lt;&gt;"подписан обеими сторонами",I6&gt;0),"ОШИБКА: погашение аванса отнесено к акту, не подписанному обеими сторонами.",IF(AND(F6&lt;&gt;"подписан обеими сторонами",OR(LEN(G6)=0,LEN(H6)=0)),"НЕ ЗАПОЛНЕНО: дата и подтверждение передачи акта",IF(AND(F6&lt;&gt;"подписан обеими сторонами",OR(NOT(ISNUMBER(G6)),G6&lt;=0)),"ОШИБКА: дата передачи должна быть датой Excel","строка заполнена")))))))))</f>
        <v/>
      </c>
    </row>
    <row r="7" ht="45" customHeight="1">
      <c r="A7" s="15">
        <f>IF(C7="","",ROW()-5)</f>
        <v/>
      </c>
      <c r="B7" s="16" t="n"/>
      <c r="C7" s="16" t="n"/>
      <c r="D7" s="16" t="n"/>
      <c r="E7" s="17" t="n"/>
      <c r="F7" s="16" t="n"/>
      <c r="G7" s="18" t="n"/>
      <c r="H7" s="16" t="n"/>
      <c r="I7" s="17" t="n"/>
      <c r="J7" s="17" t="n"/>
      <c r="K7" s="19">
        <f>IF(L7="строка заполнена",ROUND(E7-I7-J7,2),"")</f>
        <v/>
      </c>
      <c r="L7" s="15">
        <f>IF(COUNTA(B7:J7)=0,"",IF(OR(LEN(B7)=0,LEN(C7)=0,LEN(E7)=0,LEN(F7)=0,LEN(I7)=0,LEN(J7)=0),"НЕ ЗАПОЛНЕНО: документ, номер, стоимость, статус и оплаты (ноль числом)",IF(COUNTIF($N$2:$N$5,F7)&lt;&gt;1,"ОШИБКА: неизвестный статус акта",IF(OR(NOT(ISNUMBER(E7)),NOT(ISNUMBER(I7)),NOT(ISNUMBER(J7))),"ОШИБКА: стоимость и оплаты должны быть числами",IF(OR(E7&lt;0,I7&lt;0,J7&lt;0),"ОШИБКА: отрицательная сумма",IF(I7+J7&gt;E7+0.01,"ОШИБКА: погашение аванса и оплата превышают стоимость акта.",IF(AND(F7&lt;&gt;"подписан обеими сторонами",I7&gt;0),"ОШИБКА: погашение аванса отнесено к акту, не подписанному обеими сторонами.",IF(AND(F7&lt;&gt;"подписан обеими сторонами",OR(LEN(G7)=0,LEN(H7)=0)),"НЕ ЗАПОЛНЕНО: дата и подтверждение передачи акта",IF(AND(F7&lt;&gt;"подписан обеими сторонами",OR(NOT(ISNUMBER(G7)),G7&lt;=0)),"ОШИБКА: дата передачи должна быть датой Excel","строка заполнена")))))))))</f>
        <v/>
      </c>
    </row>
    <row r="8" ht="45" customHeight="1">
      <c r="A8" s="15">
        <f>IF(C8="","",ROW()-5)</f>
        <v/>
      </c>
      <c r="B8" s="16" t="n"/>
      <c r="C8" s="16" t="n"/>
      <c r="D8" s="16" t="n"/>
      <c r="E8" s="17" t="n"/>
      <c r="F8" s="16" t="n"/>
      <c r="G8" s="18" t="n"/>
      <c r="H8" s="16" t="n"/>
      <c r="I8" s="17" t="n"/>
      <c r="J8" s="17" t="n"/>
      <c r="K8" s="19">
        <f>IF(L8="строка заполнена",ROUND(E8-I8-J8,2),"")</f>
        <v/>
      </c>
      <c r="L8" s="15">
        <f>IF(COUNTA(B8:J8)=0,"",IF(OR(LEN(B8)=0,LEN(C8)=0,LEN(E8)=0,LEN(F8)=0,LEN(I8)=0,LEN(J8)=0),"НЕ ЗАПОЛНЕНО: документ, номер, стоимость, статус и оплаты (ноль числом)",IF(COUNTIF($N$2:$N$5,F8)&lt;&gt;1,"ОШИБКА: неизвестный статус акта",IF(OR(NOT(ISNUMBER(E8)),NOT(ISNUMBER(I8)),NOT(ISNUMBER(J8))),"ОШИБКА: стоимость и оплаты должны быть числами",IF(OR(E8&lt;0,I8&lt;0,J8&lt;0),"ОШИБКА: отрицательная сумма",IF(I8+J8&gt;E8+0.01,"ОШИБКА: погашение аванса и оплата превышают стоимость акта.",IF(AND(F8&lt;&gt;"подписан обеими сторонами",I8&gt;0),"ОШИБКА: погашение аванса отнесено к акту, не подписанному обеими сторонами.",IF(AND(F8&lt;&gt;"подписан обеими сторонами",OR(LEN(G8)=0,LEN(H8)=0)),"НЕ ЗАПОЛНЕНО: дата и подтверждение передачи акта",IF(AND(F8&lt;&gt;"подписан обеими сторонами",OR(NOT(ISNUMBER(G8)),G8&lt;=0)),"ОШИБКА: дата передачи должна быть датой Excel","строка заполнена")))))))))</f>
        <v/>
      </c>
    </row>
    <row r="9" ht="45" customHeight="1">
      <c r="A9" s="15">
        <f>IF(C9="","",ROW()-5)</f>
        <v/>
      </c>
      <c r="B9" s="16" t="n"/>
      <c r="C9" s="16" t="n"/>
      <c r="D9" s="16" t="n"/>
      <c r="E9" s="17" t="n"/>
      <c r="F9" s="16" t="n"/>
      <c r="G9" s="18" t="n"/>
      <c r="H9" s="16" t="n"/>
      <c r="I9" s="17" t="n"/>
      <c r="J9" s="17" t="n"/>
      <c r="K9" s="19">
        <f>IF(L9="строка заполнена",ROUND(E9-I9-J9,2),"")</f>
        <v/>
      </c>
      <c r="L9" s="15">
        <f>IF(COUNTA(B9:J9)=0,"",IF(OR(LEN(B9)=0,LEN(C9)=0,LEN(E9)=0,LEN(F9)=0,LEN(I9)=0,LEN(J9)=0),"НЕ ЗАПОЛНЕНО: документ, номер, стоимость, статус и оплаты (ноль числом)",IF(COUNTIF($N$2:$N$5,F9)&lt;&gt;1,"ОШИБКА: неизвестный статус акта",IF(OR(NOT(ISNUMBER(E9)),NOT(ISNUMBER(I9)),NOT(ISNUMBER(J9))),"ОШИБКА: стоимость и оплаты должны быть числами",IF(OR(E9&lt;0,I9&lt;0,J9&lt;0),"ОШИБКА: отрицательная сумма",IF(I9+J9&gt;E9+0.01,"ОШИБКА: погашение аванса и оплата превышают стоимость акта.",IF(AND(F9&lt;&gt;"подписан обеими сторонами",I9&gt;0),"ОШИБКА: погашение аванса отнесено к акту, не подписанному обеими сторонами.",IF(AND(F9&lt;&gt;"подписан обеими сторонами",OR(LEN(G9)=0,LEN(H9)=0)),"НЕ ЗАПОЛНЕНО: дата и подтверждение передачи акта",IF(AND(F9&lt;&gt;"подписан обеими сторонами",OR(NOT(ISNUMBER(G9)),G9&lt;=0)),"ОШИБКА: дата передачи должна быть датой Excel","строка заполнена")))))))))</f>
        <v/>
      </c>
    </row>
    <row r="10" ht="45" customHeight="1">
      <c r="A10" s="15">
        <f>IF(C10="","",ROW()-5)</f>
        <v/>
      </c>
      <c r="B10" s="16" t="n"/>
      <c r="C10" s="16" t="n"/>
      <c r="D10" s="16" t="n"/>
      <c r="E10" s="17" t="n"/>
      <c r="F10" s="16" t="n"/>
      <c r="G10" s="18" t="n"/>
      <c r="H10" s="16" t="n"/>
      <c r="I10" s="17" t="n"/>
      <c r="J10" s="17" t="n"/>
      <c r="K10" s="19">
        <f>IF(L10="строка заполнена",ROUND(E10-I10-J10,2),"")</f>
        <v/>
      </c>
      <c r="L10" s="15">
        <f>IF(COUNTA(B10:J10)=0,"",IF(OR(LEN(B10)=0,LEN(C10)=0,LEN(E10)=0,LEN(F10)=0,LEN(I10)=0,LEN(J10)=0),"НЕ ЗАПОЛНЕНО: документ, номер, стоимость, статус и оплаты (ноль числом)",IF(COUNTIF($N$2:$N$5,F10)&lt;&gt;1,"ОШИБКА: неизвестный статус акта",IF(OR(NOT(ISNUMBER(E10)),NOT(ISNUMBER(I10)),NOT(ISNUMBER(J10))),"ОШИБКА: стоимость и оплаты должны быть числами",IF(OR(E10&lt;0,I10&lt;0,J10&lt;0),"ОШИБКА: отрицательная сумма",IF(I10+J10&gt;E10+0.01,"ОШИБКА: погашение аванса и оплата превышают стоимость акта.",IF(AND(F10&lt;&gt;"подписан обеими сторонами",I10&gt;0),"ОШИБКА: погашение аванса отнесено к акту, не подписанному обеими сторонами.",IF(AND(F10&lt;&gt;"подписан обеими сторонами",OR(LEN(G10)=0,LEN(H10)=0)),"НЕ ЗАПОЛНЕНО: дата и подтверждение передачи акта",IF(AND(F10&lt;&gt;"подписан обеими сторонами",OR(NOT(ISNUMBER(G10)),G10&lt;=0)),"ОШИБКА: дата передачи должна быть датой Excel","строка заполнена")))))))))</f>
        <v/>
      </c>
    </row>
    <row r="11" ht="45" customHeight="1">
      <c r="A11" s="15">
        <f>IF(C11="","",ROW()-5)</f>
        <v/>
      </c>
      <c r="B11" s="16" t="n"/>
      <c r="C11" s="16" t="n"/>
      <c r="D11" s="16" t="n"/>
      <c r="E11" s="17" t="n"/>
      <c r="F11" s="16" t="n"/>
      <c r="G11" s="18" t="n"/>
      <c r="H11" s="16" t="n"/>
      <c r="I11" s="17" t="n"/>
      <c r="J11" s="17" t="n"/>
      <c r="K11" s="19">
        <f>IF(L11="строка заполнена",ROUND(E11-I11-J11,2),"")</f>
        <v/>
      </c>
      <c r="L11" s="15">
        <f>IF(COUNTA(B11:J11)=0,"",IF(OR(LEN(B11)=0,LEN(C11)=0,LEN(E11)=0,LEN(F11)=0,LEN(I11)=0,LEN(J11)=0),"НЕ ЗАПОЛНЕНО: документ, номер, стоимость, статус и оплаты (ноль числом)",IF(COUNTIF($N$2:$N$5,F11)&lt;&gt;1,"ОШИБКА: неизвестный статус акта",IF(OR(NOT(ISNUMBER(E11)),NOT(ISNUMBER(I11)),NOT(ISNUMBER(J11))),"ОШИБКА: стоимость и оплаты должны быть числами",IF(OR(E11&lt;0,I11&lt;0,J11&lt;0),"ОШИБКА: отрицательная сумма",IF(I11+J11&gt;E11+0.01,"ОШИБКА: погашение аванса и оплата превышают стоимость акта.",IF(AND(F11&lt;&gt;"подписан обеими сторонами",I11&gt;0),"ОШИБКА: погашение аванса отнесено к акту, не подписанному обеими сторонами.",IF(AND(F11&lt;&gt;"подписан обеими сторонами",OR(LEN(G11)=0,LEN(H11)=0)),"НЕ ЗАПОЛНЕНО: дата и подтверждение передачи акта",IF(AND(F11&lt;&gt;"подписан обеими сторонами",OR(NOT(ISNUMBER(G11)),G11&lt;=0)),"ОШИБКА: дата передачи должна быть датой Excel","строка заполнена")))))))))</f>
        <v/>
      </c>
    </row>
    <row r="12" ht="45" customHeight="1">
      <c r="A12" s="15">
        <f>IF(C12="","",ROW()-5)</f>
        <v/>
      </c>
      <c r="B12" s="16" t="n"/>
      <c r="C12" s="16" t="n"/>
      <c r="D12" s="16" t="n"/>
      <c r="E12" s="17" t="n"/>
      <c r="F12" s="16" t="n"/>
      <c r="G12" s="18" t="n"/>
      <c r="H12" s="16" t="n"/>
      <c r="I12" s="17" t="n"/>
      <c r="J12" s="17" t="n"/>
      <c r="K12" s="19">
        <f>IF(L12="строка заполнена",ROUND(E12-I12-J12,2),"")</f>
        <v/>
      </c>
      <c r="L12" s="15">
        <f>IF(COUNTA(B12:J12)=0,"",IF(OR(LEN(B12)=0,LEN(C12)=0,LEN(E12)=0,LEN(F12)=0,LEN(I12)=0,LEN(J12)=0),"НЕ ЗАПОЛНЕНО: документ, номер, стоимость, статус и оплаты (ноль числом)",IF(COUNTIF($N$2:$N$5,F12)&lt;&gt;1,"ОШИБКА: неизвестный статус акта",IF(OR(NOT(ISNUMBER(E12)),NOT(ISNUMBER(I12)),NOT(ISNUMBER(J12))),"ОШИБКА: стоимость и оплаты должны быть числами",IF(OR(E12&lt;0,I12&lt;0,J12&lt;0),"ОШИБКА: отрицательная сумма",IF(I12+J12&gt;E12+0.01,"ОШИБКА: погашение аванса и оплата превышают стоимость акта.",IF(AND(F12&lt;&gt;"подписан обеими сторонами",I12&gt;0),"ОШИБКА: погашение аванса отнесено к акту, не подписанному обеими сторонами.",IF(AND(F12&lt;&gt;"подписан обеими сторонами",OR(LEN(G12)=0,LEN(H12)=0)),"НЕ ЗАПОЛНЕНО: дата и подтверждение передачи акта",IF(AND(F12&lt;&gt;"подписан обеими сторонами",OR(NOT(ISNUMBER(G12)),G12&lt;=0)),"ОШИБКА: дата передачи должна быть датой Excel","строка заполнена")))))))))</f>
        <v/>
      </c>
    </row>
    <row r="13" ht="45" customHeight="1">
      <c r="A13" s="15">
        <f>IF(C13="","",ROW()-5)</f>
        <v/>
      </c>
      <c r="B13" s="16" t="n"/>
      <c r="C13" s="16" t="n"/>
      <c r="D13" s="16" t="n"/>
      <c r="E13" s="17" t="n"/>
      <c r="F13" s="16" t="n"/>
      <c r="G13" s="18" t="n"/>
      <c r="H13" s="16" t="n"/>
      <c r="I13" s="17" t="n"/>
      <c r="J13" s="17" t="n"/>
      <c r="K13" s="19">
        <f>IF(L13="строка заполнена",ROUND(E13-I13-J13,2),"")</f>
        <v/>
      </c>
      <c r="L13" s="15">
        <f>IF(COUNTA(B13:J13)=0,"",IF(OR(LEN(B13)=0,LEN(C13)=0,LEN(E13)=0,LEN(F13)=0,LEN(I13)=0,LEN(J13)=0),"НЕ ЗАПОЛНЕНО: документ, номер, стоимость, статус и оплаты (ноль числом)",IF(COUNTIF($N$2:$N$5,F13)&lt;&gt;1,"ОШИБКА: неизвестный статус акта",IF(OR(NOT(ISNUMBER(E13)),NOT(ISNUMBER(I13)),NOT(ISNUMBER(J13))),"ОШИБКА: стоимость и оплаты должны быть числами",IF(OR(E13&lt;0,I13&lt;0,J13&lt;0),"ОШИБКА: отрицательная сумма",IF(I13+J13&gt;E13+0.01,"ОШИБКА: погашение аванса и оплата превышают стоимость акта.",IF(AND(F13&lt;&gt;"подписан обеими сторонами",I13&gt;0),"ОШИБКА: погашение аванса отнесено к акту, не подписанному обеими сторонами.",IF(AND(F13&lt;&gt;"подписан обеими сторонами",OR(LEN(G13)=0,LEN(H13)=0)),"НЕ ЗАПОЛНЕНО: дата и подтверждение передачи акта",IF(AND(F13&lt;&gt;"подписан обеими сторонами",OR(NOT(ISNUMBER(G13)),G13&lt;=0)),"ОШИБКА: дата передачи должна быть датой Excel","строка заполнена")))))))))</f>
        <v/>
      </c>
    </row>
    <row r="14" ht="45" customHeight="1">
      <c r="A14" s="15">
        <f>IF(C14="","",ROW()-5)</f>
        <v/>
      </c>
      <c r="B14" s="16" t="n"/>
      <c r="C14" s="16" t="n"/>
      <c r="D14" s="16" t="n"/>
      <c r="E14" s="17" t="n"/>
      <c r="F14" s="16" t="n"/>
      <c r="G14" s="18" t="n"/>
      <c r="H14" s="16" t="n"/>
      <c r="I14" s="17" t="n"/>
      <c r="J14" s="17" t="n"/>
      <c r="K14" s="19">
        <f>IF(L14="строка заполнена",ROUND(E14-I14-J14,2),"")</f>
        <v/>
      </c>
      <c r="L14" s="15">
        <f>IF(COUNTA(B14:J14)=0,"",IF(OR(LEN(B14)=0,LEN(C14)=0,LEN(E14)=0,LEN(F14)=0,LEN(I14)=0,LEN(J14)=0),"НЕ ЗАПОЛНЕНО: документ, номер, стоимость, статус и оплаты (ноль числом)",IF(COUNTIF($N$2:$N$5,F14)&lt;&gt;1,"ОШИБКА: неизвестный статус акта",IF(OR(NOT(ISNUMBER(E14)),NOT(ISNUMBER(I14)),NOT(ISNUMBER(J14))),"ОШИБКА: стоимость и оплаты должны быть числами",IF(OR(E14&lt;0,I14&lt;0,J14&lt;0),"ОШИБКА: отрицательная сумма",IF(I14+J14&gt;E14+0.01,"ОШИБКА: погашение аванса и оплата превышают стоимость акта.",IF(AND(F14&lt;&gt;"подписан обеими сторонами",I14&gt;0),"ОШИБКА: погашение аванса отнесено к акту, не подписанному обеими сторонами.",IF(AND(F14&lt;&gt;"подписан обеими сторонами",OR(LEN(G14)=0,LEN(H14)=0)),"НЕ ЗАПОЛНЕНО: дата и подтверждение передачи акта",IF(AND(F14&lt;&gt;"подписан обеими сторонами",OR(NOT(ISNUMBER(G14)),G14&lt;=0)),"ОШИБКА: дата передачи должна быть датой Excel","строка заполнена")))))))))</f>
        <v/>
      </c>
    </row>
    <row r="15" ht="45" customHeight="1">
      <c r="A15" s="15">
        <f>IF(C15="","",ROW()-5)</f>
        <v/>
      </c>
      <c r="B15" s="16" t="n"/>
      <c r="C15" s="16" t="n"/>
      <c r="D15" s="16" t="n"/>
      <c r="E15" s="17" t="n"/>
      <c r="F15" s="16" t="n"/>
      <c r="G15" s="18" t="n"/>
      <c r="H15" s="16" t="n"/>
      <c r="I15" s="17" t="n"/>
      <c r="J15" s="17" t="n"/>
      <c r="K15" s="19">
        <f>IF(L15="строка заполнена",ROUND(E15-I15-J15,2),"")</f>
        <v/>
      </c>
      <c r="L15" s="15">
        <f>IF(COUNTA(B15:J15)=0,"",IF(OR(LEN(B15)=0,LEN(C15)=0,LEN(E15)=0,LEN(F15)=0,LEN(I15)=0,LEN(J15)=0),"НЕ ЗАПОЛНЕНО: документ, номер, стоимость, статус и оплаты (ноль числом)",IF(COUNTIF($N$2:$N$5,F15)&lt;&gt;1,"ОШИБКА: неизвестный статус акта",IF(OR(NOT(ISNUMBER(E15)),NOT(ISNUMBER(I15)),NOT(ISNUMBER(J15))),"ОШИБКА: стоимость и оплаты должны быть числами",IF(OR(E15&lt;0,I15&lt;0,J15&lt;0),"ОШИБКА: отрицательная сумма",IF(I15+J15&gt;E15+0.01,"ОШИБКА: погашение аванса и оплата превышают стоимость акта.",IF(AND(F15&lt;&gt;"подписан обеими сторонами",I15&gt;0),"ОШИБКА: погашение аванса отнесено к акту, не подписанному обеими сторонами.",IF(AND(F15&lt;&gt;"подписан обеими сторонами",OR(LEN(G15)=0,LEN(H15)=0)),"НЕ ЗАПОЛНЕНО: дата и подтверждение передачи акта",IF(AND(F15&lt;&gt;"подписан обеими сторонами",OR(NOT(ISNUMBER(G15)),G15&lt;=0)),"ОШИБКА: дата передачи должна быть датой Excel","строка заполнена")))))))))</f>
        <v/>
      </c>
    </row>
    <row r="16" ht="45" customHeight="1">
      <c r="A16" s="15">
        <f>IF(C16="","",ROW()-5)</f>
        <v/>
      </c>
      <c r="B16" s="16" t="n"/>
      <c r="C16" s="16" t="n"/>
      <c r="D16" s="16" t="n"/>
      <c r="E16" s="17" t="n"/>
      <c r="F16" s="16" t="n"/>
      <c r="G16" s="18" t="n"/>
      <c r="H16" s="16" t="n"/>
      <c r="I16" s="17" t="n"/>
      <c r="J16" s="17" t="n"/>
      <c r="K16" s="19">
        <f>IF(L16="строка заполнена",ROUND(E16-I16-J16,2),"")</f>
        <v/>
      </c>
      <c r="L16" s="15">
        <f>IF(COUNTA(B16:J16)=0,"",IF(OR(LEN(B16)=0,LEN(C16)=0,LEN(E16)=0,LEN(F16)=0,LEN(I16)=0,LEN(J16)=0),"НЕ ЗАПОЛНЕНО: документ, номер, стоимость, статус и оплаты (ноль числом)",IF(COUNTIF($N$2:$N$5,F16)&lt;&gt;1,"ОШИБКА: неизвестный статус акта",IF(OR(NOT(ISNUMBER(E16)),NOT(ISNUMBER(I16)),NOT(ISNUMBER(J16))),"ОШИБКА: стоимость и оплаты должны быть числами",IF(OR(E16&lt;0,I16&lt;0,J16&lt;0),"ОШИБКА: отрицательная сумма",IF(I16+J16&gt;E16+0.01,"ОШИБКА: погашение аванса и оплата превышают стоимость акта.",IF(AND(F16&lt;&gt;"подписан обеими сторонами",I16&gt;0),"ОШИБКА: погашение аванса отнесено к акту, не подписанному обеими сторонами.",IF(AND(F16&lt;&gt;"подписан обеими сторонами",OR(LEN(G16)=0,LEN(H16)=0)),"НЕ ЗАПОЛНЕНО: дата и подтверждение передачи акта",IF(AND(F16&lt;&gt;"подписан обеими сторонами",OR(NOT(ISNUMBER(G16)),G16&lt;=0)),"ОШИБКА: дата передачи должна быть датой Excel","строка заполнена")))))))))</f>
        <v/>
      </c>
    </row>
    <row r="17" ht="45" customHeight="1">
      <c r="A17" s="15">
        <f>IF(C17="","",ROW()-5)</f>
        <v/>
      </c>
      <c r="B17" s="16" t="n"/>
      <c r="C17" s="16" t="n"/>
      <c r="D17" s="16" t="n"/>
      <c r="E17" s="17" t="n"/>
      <c r="F17" s="16" t="n"/>
      <c r="G17" s="18" t="n"/>
      <c r="H17" s="16" t="n"/>
      <c r="I17" s="17" t="n"/>
      <c r="J17" s="17" t="n"/>
      <c r="K17" s="19">
        <f>IF(L17="строка заполнена",ROUND(E17-I17-J17,2),"")</f>
        <v/>
      </c>
      <c r="L17" s="15">
        <f>IF(COUNTA(B17:J17)=0,"",IF(OR(LEN(B17)=0,LEN(C17)=0,LEN(E17)=0,LEN(F17)=0,LEN(I17)=0,LEN(J17)=0),"НЕ ЗАПОЛНЕНО: документ, номер, стоимость, статус и оплаты (ноль числом)",IF(COUNTIF($N$2:$N$5,F17)&lt;&gt;1,"ОШИБКА: неизвестный статус акта",IF(OR(NOT(ISNUMBER(E17)),NOT(ISNUMBER(I17)),NOT(ISNUMBER(J17))),"ОШИБКА: стоимость и оплаты должны быть числами",IF(OR(E17&lt;0,I17&lt;0,J17&lt;0),"ОШИБКА: отрицательная сумма",IF(I17+J17&gt;E17+0.01,"ОШИБКА: погашение аванса и оплата превышают стоимость акта.",IF(AND(F17&lt;&gt;"подписан обеими сторонами",I17&gt;0),"ОШИБКА: погашение аванса отнесено к акту, не подписанному обеими сторонами.",IF(AND(F17&lt;&gt;"подписан обеими сторонами",OR(LEN(G17)=0,LEN(H17)=0)),"НЕ ЗАПОЛНЕНО: дата и подтверждение передачи акта",IF(AND(F17&lt;&gt;"подписан обеими сторонами",OR(NOT(ISNUMBER(G17)),G17&lt;=0)),"ОШИБКА: дата передачи должна быть датой Excel","строка заполнена")))))))))</f>
        <v/>
      </c>
    </row>
    <row r="18" ht="45" customHeight="1">
      <c r="A18" s="15">
        <f>IF(C18="","",ROW()-5)</f>
        <v/>
      </c>
      <c r="B18" s="16" t="n"/>
      <c r="C18" s="16" t="n"/>
      <c r="D18" s="16" t="n"/>
      <c r="E18" s="17" t="n"/>
      <c r="F18" s="16" t="n"/>
      <c r="G18" s="18" t="n"/>
      <c r="H18" s="16" t="n"/>
      <c r="I18" s="17" t="n"/>
      <c r="J18" s="17" t="n"/>
      <c r="K18" s="19">
        <f>IF(L18="строка заполнена",ROUND(E18-I18-J18,2),"")</f>
        <v/>
      </c>
      <c r="L18" s="15">
        <f>IF(COUNTA(B18:J18)=0,"",IF(OR(LEN(B18)=0,LEN(C18)=0,LEN(E18)=0,LEN(F18)=0,LEN(I18)=0,LEN(J18)=0),"НЕ ЗАПОЛНЕНО: документ, номер, стоимость, статус и оплаты (ноль числом)",IF(COUNTIF($N$2:$N$5,F18)&lt;&gt;1,"ОШИБКА: неизвестный статус акта",IF(OR(NOT(ISNUMBER(E18)),NOT(ISNUMBER(I18)),NOT(ISNUMBER(J18))),"ОШИБКА: стоимость и оплаты должны быть числами",IF(OR(E18&lt;0,I18&lt;0,J18&lt;0),"ОШИБКА: отрицательная сумма",IF(I18+J18&gt;E18+0.01,"ОШИБКА: погашение аванса и оплата превышают стоимость акта.",IF(AND(F18&lt;&gt;"подписан обеими сторонами",I18&gt;0),"ОШИБКА: погашение аванса отнесено к акту, не подписанному обеими сторонами.",IF(AND(F18&lt;&gt;"подписан обеими сторонами",OR(LEN(G18)=0,LEN(H18)=0)),"НЕ ЗАПОЛНЕНО: дата и подтверждение передачи акта",IF(AND(F18&lt;&gt;"подписан обеими сторонами",OR(NOT(ISNUMBER(G18)),G18&lt;=0)),"ОШИБКА: дата передачи должна быть датой Excel","строка заполнена")))))))))</f>
        <v/>
      </c>
    </row>
    <row r="19" ht="45" customHeight="1">
      <c r="A19" s="15">
        <f>IF(C19="","",ROW()-5)</f>
        <v/>
      </c>
      <c r="B19" s="16" t="n"/>
      <c r="C19" s="16" t="n"/>
      <c r="D19" s="16" t="n"/>
      <c r="E19" s="17" t="n"/>
      <c r="F19" s="16" t="n"/>
      <c r="G19" s="18" t="n"/>
      <c r="H19" s="16" t="n"/>
      <c r="I19" s="17" t="n"/>
      <c r="J19" s="17" t="n"/>
      <c r="K19" s="19">
        <f>IF(L19="строка заполнена",ROUND(E19-I19-J19,2),"")</f>
        <v/>
      </c>
      <c r="L19" s="15">
        <f>IF(COUNTA(B19:J19)=0,"",IF(OR(LEN(B19)=0,LEN(C19)=0,LEN(E19)=0,LEN(F19)=0,LEN(I19)=0,LEN(J19)=0),"НЕ ЗАПОЛНЕНО: документ, номер, стоимость, статус и оплаты (ноль числом)",IF(COUNTIF($N$2:$N$5,F19)&lt;&gt;1,"ОШИБКА: неизвестный статус акта",IF(OR(NOT(ISNUMBER(E19)),NOT(ISNUMBER(I19)),NOT(ISNUMBER(J19))),"ОШИБКА: стоимость и оплаты должны быть числами",IF(OR(E19&lt;0,I19&lt;0,J19&lt;0),"ОШИБКА: отрицательная сумма",IF(I19+J19&gt;E19+0.01,"ОШИБКА: погашение аванса и оплата превышают стоимость акта.",IF(AND(F19&lt;&gt;"подписан обеими сторонами",I19&gt;0),"ОШИБКА: погашение аванса отнесено к акту, не подписанному обеими сторонами.",IF(AND(F19&lt;&gt;"подписан обеими сторонами",OR(LEN(G19)=0,LEN(H19)=0)),"НЕ ЗАПОЛНЕНО: дата и подтверждение передачи акта",IF(AND(F19&lt;&gt;"подписан обеими сторонами",OR(NOT(ISNUMBER(G19)),G19&lt;=0)),"ОШИБКА: дата передачи должна быть датой Excel","строка заполнена")))))))))</f>
        <v/>
      </c>
    </row>
    <row r="20" ht="45" customHeight="1">
      <c r="A20" s="15">
        <f>IF(C20="","",ROW()-5)</f>
        <v/>
      </c>
      <c r="B20" s="16" t="n"/>
      <c r="C20" s="16" t="n"/>
      <c r="D20" s="16" t="n"/>
      <c r="E20" s="17" t="n"/>
      <c r="F20" s="16" t="n"/>
      <c r="G20" s="18" t="n"/>
      <c r="H20" s="16" t="n"/>
      <c r="I20" s="17" t="n"/>
      <c r="J20" s="17" t="n"/>
      <c r="K20" s="19">
        <f>IF(L20="строка заполнена",ROUND(E20-I20-J20,2),"")</f>
        <v/>
      </c>
      <c r="L20" s="15">
        <f>IF(COUNTA(B20:J20)=0,"",IF(OR(LEN(B20)=0,LEN(C20)=0,LEN(E20)=0,LEN(F20)=0,LEN(I20)=0,LEN(J20)=0),"НЕ ЗАПОЛНЕНО: документ, номер, стоимость, статус и оплаты (ноль числом)",IF(COUNTIF($N$2:$N$5,F20)&lt;&gt;1,"ОШИБКА: неизвестный статус акта",IF(OR(NOT(ISNUMBER(E20)),NOT(ISNUMBER(I20)),NOT(ISNUMBER(J20))),"ОШИБКА: стоимость и оплаты должны быть числами",IF(OR(E20&lt;0,I20&lt;0,J20&lt;0),"ОШИБКА: отрицательная сумма",IF(I20+J20&gt;E20+0.01,"ОШИБКА: погашение аванса и оплата превышают стоимость акта.",IF(AND(F20&lt;&gt;"подписан обеими сторонами",I20&gt;0),"ОШИБКА: погашение аванса отнесено к акту, не подписанному обеими сторонами.",IF(AND(F20&lt;&gt;"подписан обеими сторонами",OR(LEN(G20)=0,LEN(H20)=0)),"НЕ ЗАПОЛНЕНО: дата и подтверждение передачи акта",IF(AND(F20&lt;&gt;"подписан обеими сторонами",OR(NOT(ISNUMBER(G20)),G20&lt;=0)),"ОШИБКА: дата передачи должна быть датой Excel","строка заполнена")))))))))</f>
        <v/>
      </c>
    </row>
    <row r="21" ht="45" customHeight="1">
      <c r="A21" s="15">
        <f>IF(C21="","",ROW()-5)</f>
        <v/>
      </c>
      <c r="B21" s="16" t="n"/>
      <c r="C21" s="16" t="n"/>
      <c r="D21" s="16" t="n"/>
      <c r="E21" s="17" t="n"/>
      <c r="F21" s="16" t="n"/>
      <c r="G21" s="18" t="n"/>
      <c r="H21" s="16" t="n"/>
      <c r="I21" s="17" t="n"/>
      <c r="J21" s="17" t="n"/>
      <c r="K21" s="19">
        <f>IF(L21="строка заполнена",ROUND(E21-I21-J21,2),"")</f>
        <v/>
      </c>
      <c r="L21" s="15">
        <f>IF(COUNTA(B21:J21)=0,"",IF(OR(LEN(B21)=0,LEN(C21)=0,LEN(E21)=0,LEN(F21)=0,LEN(I21)=0,LEN(J21)=0),"НЕ ЗАПОЛНЕНО: документ, номер, стоимость, статус и оплаты (ноль числом)",IF(COUNTIF($N$2:$N$5,F21)&lt;&gt;1,"ОШИБКА: неизвестный статус акта",IF(OR(NOT(ISNUMBER(E21)),NOT(ISNUMBER(I21)),NOT(ISNUMBER(J21))),"ОШИБКА: стоимость и оплаты должны быть числами",IF(OR(E21&lt;0,I21&lt;0,J21&lt;0),"ОШИБКА: отрицательная сумма",IF(I21+J21&gt;E21+0.01,"ОШИБКА: погашение аванса и оплата превышают стоимость акта.",IF(AND(F21&lt;&gt;"подписан обеими сторонами",I21&gt;0),"ОШИБКА: погашение аванса отнесено к акту, не подписанному обеими сторонами.",IF(AND(F21&lt;&gt;"подписан обеими сторонами",OR(LEN(G21)=0,LEN(H21)=0)),"НЕ ЗАПОЛНЕНО: дата и подтверждение передачи акта",IF(AND(F21&lt;&gt;"подписан обеими сторонами",OR(NOT(ISNUMBER(G21)),G21&lt;=0)),"ОШИБКА: дата передачи должна быть датой Excel","строка заполнена")))))))))</f>
        <v/>
      </c>
    </row>
    <row r="22" ht="45" customHeight="1">
      <c r="A22" s="15">
        <f>IF(C22="","",ROW()-5)</f>
        <v/>
      </c>
      <c r="B22" s="16" t="n"/>
      <c r="C22" s="16" t="n"/>
      <c r="D22" s="16" t="n"/>
      <c r="E22" s="17" t="n"/>
      <c r="F22" s="16" t="n"/>
      <c r="G22" s="18" t="n"/>
      <c r="H22" s="16" t="n"/>
      <c r="I22" s="17" t="n"/>
      <c r="J22" s="17" t="n"/>
      <c r="K22" s="19">
        <f>IF(L22="строка заполнена",ROUND(E22-I22-J22,2),"")</f>
        <v/>
      </c>
      <c r="L22" s="15">
        <f>IF(COUNTA(B22:J22)=0,"",IF(OR(LEN(B22)=0,LEN(C22)=0,LEN(E22)=0,LEN(F22)=0,LEN(I22)=0,LEN(J22)=0),"НЕ ЗАПОЛНЕНО: документ, номер, стоимость, статус и оплаты (ноль числом)",IF(COUNTIF($N$2:$N$5,F22)&lt;&gt;1,"ОШИБКА: неизвестный статус акта",IF(OR(NOT(ISNUMBER(E22)),NOT(ISNUMBER(I22)),NOT(ISNUMBER(J22))),"ОШИБКА: стоимость и оплаты должны быть числами",IF(OR(E22&lt;0,I22&lt;0,J22&lt;0),"ОШИБКА: отрицательная сумма",IF(I22+J22&gt;E22+0.01,"ОШИБКА: погашение аванса и оплата превышают стоимость акта.",IF(AND(F22&lt;&gt;"подписан обеими сторонами",I22&gt;0),"ОШИБКА: погашение аванса отнесено к акту, не подписанному обеими сторонами.",IF(AND(F22&lt;&gt;"подписан обеими сторонами",OR(LEN(G22)=0,LEN(H22)=0)),"НЕ ЗАПОЛНЕНО: дата и подтверждение передачи акта",IF(AND(F22&lt;&gt;"подписан обеими сторонами",OR(NOT(ISNUMBER(G22)),G22&lt;=0)),"ОШИБКА: дата передачи должна быть датой Excel","строка заполнена")))))))))</f>
        <v/>
      </c>
    </row>
    <row r="23" ht="45" customHeight="1">
      <c r="A23" s="15">
        <f>IF(C23="","",ROW()-5)</f>
        <v/>
      </c>
      <c r="B23" s="16" t="n"/>
      <c r="C23" s="16" t="n"/>
      <c r="D23" s="16" t="n"/>
      <c r="E23" s="17" t="n"/>
      <c r="F23" s="16" t="n"/>
      <c r="G23" s="18" t="n"/>
      <c r="H23" s="16" t="n"/>
      <c r="I23" s="17" t="n"/>
      <c r="J23" s="17" t="n"/>
      <c r="K23" s="19">
        <f>IF(L23="строка заполнена",ROUND(E23-I23-J23,2),"")</f>
        <v/>
      </c>
      <c r="L23" s="15">
        <f>IF(COUNTA(B23:J23)=0,"",IF(OR(LEN(B23)=0,LEN(C23)=0,LEN(E23)=0,LEN(F23)=0,LEN(I23)=0,LEN(J23)=0),"НЕ ЗАПОЛНЕНО: документ, номер, стоимость, статус и оплаты (ноль числом)",IF(COUNTIF($N$2:$N$5,F23)&lt;&gt;1,"ОШИБКА: неизвестный статус акта",IF(OR(NOT(ISNUMBER(E23)),NOT(ISNUMBER(I23)),NOT(ISNUMBER(J23))),"ОШИБКА: стоимость и оплаты должны быть числами",IF(OR(E23&lt;0,I23&lt;0,J23&lt;0),"ОШИБКА: отрицательная сумма",IF(I23+J23&gt;E23+0.01,"ОШИБКА: погашение аванса и оплата превышают стоимость акта.",IF(AND(F23&lt;&gt;"подписан обеими сторонами",I23&gt;0),"ОШИБКА: погашение аванса отнесено к акту, не подписанному обеими сторонами.",IF(AND(F23&lt;&gt;"подписан обеими сторонами",OR(LEN(G23)=0,LEN(H23)=0)),"НЕ ЗАПОЛНЕНО: дата и подтверждение передачи акта",IF(AND(F23&lt;&gt;"подписан обеими сторонами",OR(NOT(ISNUMBER(G23)),G23&lt;=0)),"ОШИБКА: дата передачи должна быть датой Excel","строка заполнена")))))))))</f>
        <v/>
      </c>
    </row>
    <row r="24" ht="45" customHeight="1">
      <c r="A24" s="15">
        <f>IF(C24="","",ROW()-5)</f>
        <v/>
      </c>
      <c r="B24" s="16" t="n"/>
      <c r="C24" s="16" t="n"/>
      <c r="D24" s="16" t="n"/>
      <c r="E24" s="17" t="n"/>
      <c r="F24" s="16" t="n"/>
      <c r="G24" s="18" t="n"/>
      <c r="H24" s="16" t="n"/>
      <c r="I24" s="17" t="n"/>
      <c r="J24" s="17" t="n"/>
      <c r="K24" s="19">
        <f>IF(L24="строка заполнена",ROUND(E24-I24-J24,2),"")</f>
        <v/>
      </c>
      <c r="L24" s="15">
        <f>IF(COUNTA(B24:J24)=0,"",IF(OR(LEN(B24)=0,LEN(C24)=0,LEN(E24)=0,LEN(F24)=0,LEN(I24)=0,LEN(J24)=0),"НЕ ЗАПОЛНЕНО: документ, номер, стоимость, статус и оплаты (ноль числом)",IF(COUNTIF($N$2:$N$5,F24)&lt;&gt;1,"ОШИБКА: неизвестный статус акта",IF(OR(NOT(ISNUMBER(E24)),NOT(ISNUMBER(I24)),NOT(ISNUMBER(J24))),"ОШИБКА: стоимость и оплаты должны быть числами",IF(OR(E24&lt;0,I24&lt;0,J24&lt;0),"ОШИБКА: отрицательная сумма",IF(I24+J24&gt;E24+0.01,"ОШИБКА: погашение аванса и оплата превышают стоимость акта.",IF(AND(F24&lt;&gt;"подписан обеими сторонами",I24&gt;0),"ОШИБКА: погашение аванса отнесено к акту, не подписанному обеими сторонами.",IF(AND(F24&lt;&gt;"подписан обеими сторонами",OR(LEN(G24)=0,LEN(H24)=0)),"НЕ ЗАПОЛНЕНО: дата и подтверждение передачи акта",IF(AND(F24&lt;&gt;"подписан обеими сторонами",OR(NOT(ISNUMBER(G24)),G24&lt;=0)),"ОШИБКА: дата передачи должна быть датой Excel","строка заполнена")))))))))</f>
        <v/>
      </c>
    </row>
    <row r="25" ht="45" customHeight="1">
      <c r="A25" s="15">
        <f>IF(C25="","",ROW()-5)</f>
        <v/>
      </c>
      <c r="B25" s="16" t="n"/>
      <c r="C25" s="16" t="n"/>
      <c r="D25" s="16" t="n"/>
      <c r="E25" s="17" t="n"/>
      <c r="F25" s="16" t="n"/>
      <c r="G25" s="18" t="n"/>
      <c r="H25" s="16" t="n"/>
      <c r="I25" s="17" t="n"/>
      <c r="J25" s="17" t="n"/>
      <c r="K25" s="19">
        <f>IF(L25="строка заполнена",ROUND(E25-I25-J25,2),"")</f>
        <v/>
      </c>
      <c r="L25" s="15">
        <f>IF(COUNTA(B25:J25)=0,"",IF(OR(LEN(B25)=0,LEN(C25)=0,LEN(E25)=0,LEN(F25)=0,LEN(I25)=0,LEN(J25)=0),"НЕ ЗАПОЛНЕНО: документ, номер, стоимость, статус и оплаты (ноль числом)",IF(COUNTIF($N$2:$N$5,F25)&lt;&gt;1,"ОШИБКА: неизвестный статус акта",IF(OR(NOT(ISNUMBER(E25)),NOT(ISNUMBER(I25)),NOT(ISNUMBER(J25))),"ОШИБКА: стоимость и оплаты должны быть числами",IF(OR(E25&lt;0,I25&lt;0,J25&lt;0),"ОШИБКА: отрицательная сумма",IF(I25+J25&gt;E25+0.01,"ОШИБКА: погашение аванса и оплата превышают стоимость акта.",IF(AND(F25&lt;&gt;"подписан обеими сторонами",I25&gt;0),"ОШИБКА: погашение аванса отнесено к акту, не подписанному обеими сторонами.",IF(AND(F25&lt;&gt;"подписан обеими сторонами",OR(LEN(G25)=0,LEN(H25)=0)),"НЕ ЗАПОЛНЕНО: дата и подтверждение передачи акта",IF(AND(F25&lt;&gt;"подписан обеими сторонами",OR(NOT(ISNUMBER(G25)),G25&lt;=0)),"ОШИБКА: дата передачи должна быть датой Excel","строка заполнена")))))))))</f>
        <v/>
      </c>
    </row>
    <row r="26" ht="45" customHeight="1">
      <c r="A26" s="15">
        <f>IF(C26="","",ROW()-5)</f>
        <v/>
      </c>
      <c r="B26" s="16" t="n"/>
      <c r="C26" s="16" t="n"/>
      <c r="D26" s="16" t="n"/>
      <c r="E26" s="17" t="n"/>
      <c r="F26" s="16" t="n"/>
      <c r="G26" s="18" t="n"/>
      <c r="H26" s="16" t="n"/>
      <c r="I26" s="17" t="n"/>
      <c r="J26" s="17" t="n"/>
      <c r="K26" s="19">
        <f>IF(L26="строка заполнена",ROUND(E26-I26-J26,2),"")</f>
        <v/>
      </c>
      <c r="L26" s="15">
        <f>IF(COUNTA(B26:J26)=0,"",IF(OR(LEN(B26)=0,LEN(C26)=0,LEN(E26)=0,LEN(F26)=0,LEN(I26)=0,LEN(J26)=0),"НЕ ЗАПОЛНЕНО: документ, номер, стоимость, статус и оплаты (ноль числом)",IF(COUNTIF($N$2:$N$5,F26)&lt;&gt;1,"ОШИБКА: неизвестный статус акта",IF(OR(NOT(ISNUMBER(E26)),NOT(ISNUMBER(I26)),NOT(ISNUMBER(J26))),"ОШИБКА: стоимость и оплаты должны быть числами",IF(OR(E26&lt;0,I26&lt;0,J26&lt;0),"ОШИБКА: отрицательная сумма",IF(I26+J26&gt;E26+0.01,"ОШИБКА: погашение аванса и оплата превышают стоимость акта.",IF(AND(F26&lt;&gt;"подписан обеими сторонами",I26&gt;0),"ОШИБКА: погашение аванса отнесено к акту, не подписанному обеими сторонами.",IF(AND(F26&lt;&gt;"подписан обеими сторонами",OR(LEN(G26)=0,LEN(H26)=0)),"НЕ ЗАПОЛНЕНО: дата и подтверждение передачи акта",IF(AND(F26&lt;&gt;"подписан обеими сторонами",OR(NOT(ISNUMBER(G26)),G26&lt;=0)),"ОШИБКА: дата передачи должна быть датой Excel","строка заполнена")))))))))</f>
        <v/>
      </c>
    </row>
    <row r="27" ht="45" customHeight="1">
      <c r="A27" s="15">
        <f>IF(C27="","",ROW()-5)</f>
        <v/>
      </c>
      <c r="B27" s="16" t="n"/>
      <c r="C27" s="16" t="n"/>
      <c r="D27" s="16" t="n"/>
      <c r="E27" s="17" t="n"/>
      <c r="F27" s="16" t="n"/>
      <c r="G27" s="18" t="n"/>
      <c r="H27" s="16" t="n"/>
      <c r="I27" s="17" t="n"/>
      <c r="J27" s="17" t="n"/>
      <c r="K27" s="19">
        <f>IF(L27="строка заполнена",ROUND(E27-I27-J27,2),"")</f>
        <v/>
      </c>
      <c r="L27" s="15">
        <f>IF(COUNTA(B27:J27)=0,"",IF(OR(LEN(B27)=0,LEN(C27)=0,LEN(E27)=0,LEN(F27)=0,LEN(I27)=0,LEN(J27)=0),"НЕ ЗАПОЛНЕНО: документ, номер, стоимость, статус и оплаты (ноль числом)",IF(COUNTIF($N$2:$N$5,F27)&lt;&gt;1,"ОШИБКА: неизвестный статус акта",IF(OR(NOT(ISNUMBER(E27)),NOT(ISNUMBER(I27)),NOT(ISNUMBER(J27))),"ОШИБКА: стоимость и оплаты должны быть числами",IF(OR(E27&lt;0,I27&lt;0,J27&lt;0),"ОШИБКА: отрицательная сумма",IF(I27+J27&gt;E27+0.01,"ОШИБКА: погашение аванса и оплата превышают стоимость акта.",IF(AND(F27&lt;&gt;"подписан обеими сторонами",I27&gt;0),"ОШИБКА: погашение аванса отнесено к акту, не подписанному обеими сторонами.",IF(AND(F27&lt;&gt;"подписан обеими сторонами",OR(LEN(G27)=0,LEN(H27)=0)),"НЕ ЗАПОЛНЕНО: дата и подтверждение передачи акта",IF(AND(F27&lt;&gt;"подписан обеими сторонами",OR(NOT(ISNUMBER(G27)),G27&lt;=0)),"ОШИБКА: дата передачи должна быть датой Excel","строка заполнена")))))))))</f>
        <v/>
      </c>
    </row>
    <row r="28" ht="45" customHeight="1">
      <c r="A28" s="15">
        <f>IF(C28="","",ROW()-5)</f>
        <v/>
      </c>
      <c r="B28" s="16" t="n"/>
      <c r="C28" s="16" t="n"/>
      <c r="D28" s="16" t="n"/>
      <c r="E28" s="17" t="n"/>
      <c r="F28" s="16" t="n"/>
      <c r="G28" s="18" t="n"/>
      <c r="H28" s="16" t="n"/>
      <c r="I28" s="17" t="n"/>
      <c r="J28" s="17" t="n"/>
      <c r="K28" s="19">
        <f>IF(L28="строка заполнена",ROUND(E28-I28-J28,2),"")</f>
        <v/>
      </c>
      <c r="L28" s="15">
        <f>IF(COUNTA(B28:J28)=0,"",IF(OR(LEN(B28)=0,LEN(C28)=0,LEN(E28)=0,LEN(F28)=0,LEN(I28)=0,LEN(J28)=0),"НЕ ЗАПОЛНЕНО: документ, номер, стоимость, статус и оплаты (ноль числом)",IF(COUNTIF($N$2:$N$5,F28)&lt;&gt;1,"ОШИБКА: неизвестный статус акта",IF(OR(NOT(ISNUMBER(E28)),NOT(ISNUMBER(I28)),NOT(ISNUMBER(J28))),"ОШИБКА: стоимость и оплаты должны быть числами",IF(OR(E28&lt;0,I28&lt;0,J28&lt;0),"ОШИБКА: отрицательная сумма",IF(I28+J28&gt;E28+0.01,"ОШИБКА: погашение аванса и оплата превышают стоимость акта.",IF(AND(F28&lt;&gt;"подписан обеими сторонами",I28&gt;0),"ОШИБКА: погашение аванса отнесено к акту, не подписанному обеими сторонами.",IF(AND(F28&lt;&gt;"подписан обеими сторонами",OR(LEN(G28)=0,LEN(H28)=0)),"НЕ ЗАПОЛНЕНО: дата и подтверждение передачи акта",IF(AND(F28&lt;&gt;"подписан обеими сторонами",OR(NOT(ISNUMBER(G28)),G28&lt;=0)),"ОШИБКА: дата передачи должна быть датой Excel","строка заполнена")))))))))</f>
        <v/>
      </c>
    </row>
    <row r="29" ht="45" customHeight="1">
      <c r="A29" s="15">
        <f>IF(C29="","",ROW()-5)</f>
        <v/>
      </c>
      <c r="B29" s="16" t="n"/>
      <c r="C29" s="16" t="n"/>
      <c r="D29" s="16" t="n"/>
      <c r="E29" s="17" t="n"/>
      <c r="F29" s="16" t="n"/>
      <c r="G29" s="18" t="n"/>
      <c r="H29" s="16" t="n"/>
      <c r="I29" s="17" t="n"/>
      <c r="J29" s="17" t="n"/>
      <c r="K29" s="19">
        <f>IF(L29="строка заполнена",ROUND(E29-I29-J29,2),"")</f>
        <v/>
      </c>
      <c r="L29" s="15">
        <f>IF(COUNTA(B29:J29)=0,"",IF(OR(LEN(B29)=0,LEN(C29)=0,LEN(E29)=0,LEN(F29)=0,LEN(I29)=0,LEN(J29)=0),"НЕ ЗАПОЛНЕНО: документ, номер, стоимость, статус и оплаты (ноль числом)",IF(COUNTIF($N$2:$N$5,F29)&lt;&gt;1,"ОШИБКА: неизвестный статус акта",IF(OR(NOT(ISNUMBER(E29)),NOT(ISNUMBER(I29)),NOT(ISNUMBER(J29))),"ОШИБКА: стоимость и оплаты должны быть числами",IF(OR(E29&lt;0,I29&lt;0,J29&lt;0),"ОШИБКА: отрицательная сумма",IF(I29+J29&gt;E29+0.01,"ОШИБКА: погашение аванса и оплата превышают стоимость акта.",IF(AND(F29&lt;&gt;"подписан обеими сторонами",I29&gt;0),"ОШИБКА: погашение аванса отнесено к акту, не подписанному обеими сторонами.",IF(AND(F29&lt;&gt;"подписан обеими сторонами",OR(LEN(G29)=0,LEN(H29)=0)),"НЕ ЗАПОЛНЕНО: дата и подтверждение передачи акта",IF(AND(F29&lt;&gt;"подписан обеими сторонами",OR(NOT(ISNUMBER(G29)),G29&lt;=0)),"ОШИБКА: дата передачи должна быть датой Excel","строка заполнена")))))))))</f>
        <v/>
      </c>
    </row>
    <row r="30" ht="45" customHeight="1">
      <c r="A30" s="15">
        <f>IF(C30="","",ROW()-5)</f>
        <v/>
      </c>
      <c r="B30" s="16" t="n"/>
      <c r="C30" s="16" t="n"/>
      <c r="D30" s="16" t="n"/>
      <c r="E30" s="17" t="n"/>
      <c r="F30" s="16" t="n"/>
      <c r="G30" s="18" t="n"/>
      <c r="H30" s="16" t="n"/>
      <c r="I30" s="17" t="n"/>
      <c r="J30" s="17" t="n"/>
      <c r="K30" s="19">
        <f>IF(L30="строка заполнена",ROUND(E30-I30-J30,2),"")</f>
        <v/>
      </c>
      <c r="L30" s="15">
        <f>IF(COUNTA(B30:J30)=0,"",IF(OR(LEN(B30)=0,LEN(C30)=0,LEN(E30)=0,LEN(F30)=0,LEN(I30)=0,LEN(J30)=0),"НЕ ЗАПОЛНЕНО: документ, номер, стоимость, статус и оплаты (ноль числом)",IF(COUNTIF($N$2:$N$5,F30)&lt;&gt;1,"ОШИБКА: неизвестный статус акта",IF(OR(NOT(ISNUMBER(E30)),NOT(ISNUMBER(I30)),NOT(ISNUMBER(J30))),"ОШИБКА: стоимость и оплаты должны быть числами",IF(OR(E30&lt;0,I30&lt;0,J30&lt;0),"ОШИБКА: отрицательная сумма",IF(I30+J30&gt;E30+0.01,"ОШИБКА: погашение аванса и оплата превышают стоимость акта.",IF(AND(F30&lt;&gt;"подписан обеими сторонами",I30&gt;0),"ОШИБКА: погашение аванса отнесено к акту, не подписанному обеими сторонами.",IF(AND(F30&lt;&gt;"подписан обеими сторонами",OR(LEN(G30)=0,LEN(H30)=0)),"НЕ ЗАПОЛНЕНО: дата и подтверждение передачи акта",IF(AND(F30&lt;&gt;"подписан обеими сторонами",OR(NOT(ISNUMBER(G30)),G30&lt;=0)),"ОШИБКА: дата передачи должна быть датой Excel","строка заполнена")))))))))</f>
        <v/>
      </c>
    </row>
    <row r="31" ht="45" customHeight="1">
      <c r="A31" s="15">
        <f>IF(C31="","",ROW()-5)</f>
        <v/>
      </c>
      <c r="B31" s="16" t="n"/>
      <c r="C31" s="16" t="n"/>
      <c r="D31" s="16" t="n"/>
      <c r="E31" s="17" t="n"/>
      <c r="F31" s="16" t="n"/>
      <c r="G31" s="18" t="n"/>
      <c r="H31" s="16" t="n"/>
      <c r="I31" s="17" t="n"/>
      <c r="J31" s="17" t="n"/>
      <c r="K31" s="19">
        <f>IF(L31="строка заполнена",ROUND(E31-I31-J31,2),"")</f>
        <v/>
      </c>
      <c r="L31" s="15">
        <f>IF(COUNTA(B31:J31)=0,"",IF(OR(LEN(B31)=0,LEN(C31)=0,LEN(E31)=0,LEN(F31)=0,LEN(I31)=0,LEN(J31)=0),"НЕ ЗАПОЛНЕНО: документ, номер, стоимость, статус и оплаты (ноль числом)",IF(COUNTIF($N$2:$N$5,F31)&lt;&gt;1,"ОШИБКА: неизвестный статус акта",IF(OR(NOT(ISNUMBER(E31)),NOT(ISNUMBER(I31)),NOT(ISNUMBER(J31))),"ОШИБКА: стоимость и оплаты должны быть числами",IF(OR(E31&lt;0,I31&lt;0,J31&lt;0),"ОШИБКА: отрицательная сумма",IF(I31+J31&gt;E31+0.01,"ОШИБКА: погашение аванса и оплата превышают стоимость акта.",IF(AND(F31&lt;&gt;"подписан обеими сторонами",I31&gt;0),"ОШИБКА: погашение аванса отнесено к акту, не подписанному обеими сторонами.",IF(AND(F31&lt;&gt;"подписан обеими сторонами",OR(LEN(G31)=0,LEN(H31)=0)),"НЕ ЗАПОЛНЕНО: дата и подтверждение передачи акта",IF(AND(F31&lt;&gt;"подписан обеими сторонами",OR(NOT(ISNUMBER(G31)),G31&lt;=0)),"ОШИБКА: дата передачи должна быть датой Excel","строка заполнена")))))))))</f>
        <v/>
      </c>
    </row>
    <row r="32" ht="45" customHeight="1">
      <c r="A32" s="15">
        <f>IF(C32="","",ROW()-5)</f>
        <v/>
      </c>
      <c r="B32" s="16" t="n"/>
      <c r="C32" s="16" t="n"/>
      <c r="D32" s="16" t="n"/>
      <c r="E32" s="17" t="n"/>
      <c r="F32" s="16" t="n"/>
      <c r="G32" s="18" t="n"/>
      <c r="H32" s="16" t="n"/>
      <c r="I32" s="17" t="n"/>
      <c r="J32" s="17" t="n"/>
      <c r="K32" s="19">
        <f>IF(L32="строка заполнена",ROUND(E32-I32-J32,2),"")</f>
        <v/>
      </c>
      <c r="L32" s="15">
        <f>IF(COUNTA(B32:J32)=0,"",IF(OR(LEN(B32)=0,LEN(C32)=0,LEN(E32)=0,LEN(F32)=0,LEN(I32)=0,LEN(J32)=0),"НЕ ЗАПОЛНЕНО: документ, номер, стоимость, статус и оплаты (ноль числом)",IF(COUNTIF($N$2:$N$5,F32)&lt;&gt;1,"ОШИБКА: неизвестный статус акта",IF(OR(NOT(ISNUMBER(E32)),NOT(ISNUMBER(I32)),NOT(ISNUMBER(J32))),"ОШИБКА: стоимость и оплаты должны быть числами",IF(OR(E32&lt;0,I32&lt;0,J32&lt;0),"ОШИБКА: отрицательная сумма",IF(I32+J32&gt;E32+0.01,"ОШИБКА: погашение аванса и оплата превышают стоимость акта.",IF(AND(F32&lt;&gt;"подписан обеими сторонами",I32&gt;0),"ОШИБКА: погашение аванса отнесено к акту, не подписанному обеими сторонами.",IF(AND(F32&lt;&gt;"подписан обеими сторонами",OR(LEN(G32)=0,LEN(H32)=0)),"НЕ ЗАПОЛНЕНО: дата и подтверждение передачи акта",IF(AND(F32&lt;&gt;"подписан обеими сторонами",OR(NOT(ISNUMBER(G32)),G32&lt;=0)),"ОШИБКА: дата передачи должна быть датой Excel","строка заполнена")))))))))</f>
        <v/>
      </c>
    </row>
    <row r="33" ht="45" customHeight="1">
      <c r="A33" s="15">
        <f>IF(C33="","",ROW()-5)</f>
        <v/>
      </c>
      <c r="B33" s="16" t="n"/>
      <c r="C33" s="16" t="n"/>
      <c r="D33" s="16" t="n"/>
      <c r="E33" s="17" t="n"/>
      <c r="F33" s="16" t="n"/>
      <c r="G33" s="18" t="n"/>
      <c r="H33" s="16" t="n"/>
      <c r="I33" s="17" t="n"/>
      <c r="J33" s="17" t="n"/>
      <c r="K33" s="19">
        <f>IF(L33="строка заполнена",ROUND(E33-I33-J33,2),"")</f>
        <v/>
      </c>
      <c r="L33" s="15">
        <f>IF(COUNTA(B33:J33)=0,"",IF(OR(LEN(B33)=0,LEN(C33)=0,LEN(E33)=0,LEN(F33)=0,LEN(I33)=0,LEN(J33)=0),"НЕ ЗАПОЛНЕНО: документ, номер, стоимость, статус и оплаты (ноль числом)",IF(COUNTIF($N$2:$N$5,F33)&lt;&gt;1,"ОШИБКА: неизвестный статус акта",IF(OR(NOT(ISNUMBER(E33)),NOT(ISNUMBER(I33)),NOT(ISNUMBER(J33))),"ОШИБКА: стоимость и оплаты должны быть числами",IF(OR(E33&lt;0,I33&lt;0,J33&lt;0),"ОШИБКА: отрицательная сумма",IF(I33+J33&gt;E33+0.01,"ОШИБКА: погашение аванса и оплата превышают стоимость акта.",IF(AND(F33&lt;&gt;"подписан обеими сторонами",I33&gt;0),"ОШИБКА: погашение аванса отнесено к акту, не подписанному обеими сторонами.",IF(AND(F33&lt;&gt;"подписан обеими сторонами",OR(LEN(G33)=0,LEN(H33)=0)),"НЕ ЗАПОЛНЕНО: дата и подтверждение передачи акта",IF(AND(F33&lt;&gt;"подписан обеими сторонами",OR(NOT(ISNUMBER(G33)),G33&lt;=0)),"ОШИБКА: дата передачи должна быть датой Excel","строка заполнена")))))))))</f>
        <v/>
      </c>
    </row>
    <row r="34" ht="45" customHeight="1">
      <c r="A34" s="15">
        <f>IF(C34="","",ROW()-5)</f>
        <v/>
      </c>
      <c r="B34" s="16" t="n"/>
      <c r="C34" s="16" t="n"/>
      <c r="D34" s="16" t="n"/>
      <c r="E34" s="17" t="n"/>
      <c r="F34" s="16" t="n"/>
      <c r="G34" s="18" t="n"/>
      <c r="H34" s="16" t="n"/>
      <c r="I34" s="17" t="n"/>
      <c r="J34" s="17" t="n"/>
      <c r="K34" s="19">
        <f>IF(L34="строка заполнена",ROUND(E34-I34-J34,2),"")</f>
        <v/>
      </c>
      <c r="L34" s="15">
        <f>IF(COUNTA(B34:J34)=0,"",IF(OR(LEN(B34)=0,LEN(C34)=0,LEN(E34)=0,LEN(F34)=0,LEN(I34)=0,LEN(J34)=0),"НЕ ЗАПОЛНЕНО: документ, номер, стоимость, статус и оплаты (ноль числом)",IF(COUNTIF($N$2:$N$5,F34)&lt;&gt;1,"ОШИБКА: неизвестный статус акта",IF(OR(NOT(ISNUMBER(E34)),NOT(ISNUMBER(I34)),NOT(ISNUMBER(J34))),"ОШИБКА: стоимость и оплаты должны быть числами",IF(OR(E34&lt;0,I34&lt;0,J34&lt;0),"ОШИБКА: отрицательная сумма",IF(I34+J34&gt;E34+0.01,"ОШИБКА: погашение аванса и оплата превышают стоимость акта.",IF(AND(F34&lt;&gt;"подписан обеими сторонами",I34&gt;0),"ОШИБКА: погашение аванса отнесено к акту, не подписанному обеими сторонами.",IF(AND(F34&lt;&gt;"подписан обеими сторонами",OR(LEN(G34)=0,LEN(H34)=0)),"НЕ ЗАПОЛНЕНО: дата и подтверждение передачи акта",IF(AND(F34&lt;&gt;"подписан обеими сторонами",OR(NOT(ISNUMBER(G34)),G34&lt;=0)),"ОШИБКА: дата передачи должна быть датой Excel","строка заполнена")))))))))</f>
        <v/>
      </c>
    </row>
    <row r="35" ht="45" customHeight="1">
      <c r="A35" s="15">
        <f>IF(C35="","",ROW()-5)</f>
        <v/>
      </c>
      <c r="B35" s="16" t="n"/>
      <c r="C35" s="16" t="n"/>
      <c r="D35" s="16" t="n"/>
      <c r="E35" s="17" t="n"/>
      <c r="F35" s="16" t="n"/>
      <c r="G35" s="18" t="n"/>
      <c r="H35" s="16" t="n"/>
      <c r="I35" s="17" t="n"/>
      <c r="J35" s="17" t="n"/>
      <c r="K35" s="19">
        <f>IF(L35="строка заполнена",ROUND(E35-I35-J35,2),"")</f>
        <v/>
      </c>
      <c r="L35" s="15">
        <f>IF(COUNTA(B35:J35)=0,"",IF(OR(LEN(B35)=0,LEN(C35)=0,LEN(E35)=0,LEN(F35)=0,LEN(I35)=0,LEN(J35)=0),"НЕ ЗАПОЛНЕНО: документ, номер, стоимость, статус и оплаты (ноль числом)",IF(COUNTIF($N$2:$N$5,F35)&lt;&gt;1,"ОШИБКА: неизвестный статус акта",IF(OR(NOT(ISNUMBER(E35)),NOT(ISNUMBER(I35)),NOT(ISNUMBER(J35))),"ОШИБКА: стоимость и оплаты должны быть числами",IF(OR(E35&lt;0,I35&lt;0,J35&lt;0),"ОШИБКА: отрицательная сумма",IF(I35+J35&gt;E35+0.01,"ОШИБКА: погашение аванса и оплата превышают стоимость акта.",IF(AND(F35&lt;&gt;"подписан обеими сторонами",I35&gt;0),"ОШИБКА: погашение аванса отнесено к акту, не подписанному обеими сторонами.",IF(AND(F35&lt;&gt;"подписан обеими сторонами",OR(LEN(G35)=0,LEN(H35)=0)),"НЕ ЗАПОЛНЕНО: дата и подтверждение передачи акта",IF(AND(F35&lt;&gt;"подписан обеими сторонами",OR(NOT(ISNUMBER(G35)),G35&lt;=0)),"ОШИБКА: дата передачи должна быть датой Excel","строка заполнена")))))))))</f>
        <v/>
      </c>
    </row>
    <row r="36" ht="45" customHeight="1">
      <c r="A36" s="15">
        <f>IF(C36="","",ROW()-5)</f>
        <v/>
      </c>
      <c r="B36" s="16" t="n"/>
      <c r="C36" s="16" t="n"/>
      <c r="D36" s="16" t="n"/>
      <c r="E36" s="17" t="n"/>
      <c r="F36" s="16" t="n"/>
      <c r="G36" s="18" t="n"/>
      <c r="H36" s="16" t="n"/>
      <c r="I36" s="17" t="n"/>
      <c r="J36" s="17" t="n"/>
      <c r="K36" s="19">
        <f>IF(L36="строка заполнена",ROUND(E36-I36-J36,2),"")</f>
        <v/>
      </c>
      <c r="L36" s="15">
        <f>IF(COUNTA(B36:J36)=0,"",IF(OR(LEN(B36)=0,LEN(C36)=0,LEN(E36)=0,LEN(F36)=0,LEN(I36)=0,LEN(J36)=0),"НЕ ЗАПОЛНЕНО: документ, номер, стоимость, статус и оплаты (ноль числом)",IF(COUNTIF($N$2:$N$5,F36)&lt;&gt;1,"ОШИБКА: неизвестный статус акта",IF(OR(NOT(ISNUMBER(E36)),NOT(ISNUMBER(I36)),NOT(ISNUMBER(J36))),"ОШИБКА: стоимость и оплаты должны быть числами",IF(OR(E36&lt;0,I36&lt;0,J36&lt;0),"ОШИБКА: отрицательная сумма",IF(I36+J36&gt;E36+0.01,"ОШИБКА: погашение аванса и оплата превышают стоимость акта.",IF(AND(F36&lt;&gt;"подписан обеими сторонами",I36&gt;0),"ОШИБКА: погашение аванса отнесено к акту, не подписанному обеими сторонами.",IF(AND(F36&lt;&gt;"подписан обеими сторонами",OR(LEN(G36)=0,LEN(H36)=0)),"НЕ ЗАПОЛНЕНО: дата и подтверждение передачи акта",IF(AND(F36&lt;&gt;"подписан обеими сторонами",OR(NOT(ISNUMBER(G36)),G36&lt;=0)),"ОШИБКА: дата передачи должна быть датой Excel","строка заполнена")))))))))</f>
        <v/>
      </c>
    </row>
    <row r="37" ht="45" customHeight="1">
      <c r="A37" s="15">
        <f>IF(C37="","",ROW()-5)</f>
        <v/>
      </c>
      <c r="B37" s="16" t="n"/>
      <c r="C37" s="16" t="n"/>
      <c r="D37" s="16" t="n"/>
      <c r="E37" s="17" t="n"/>
      <c r="F37" s="16" t="n"/>
      <c r="G37" s="18" t="n"/>
      <c r="H37" s="16" t="n"/>
      <c r="I37" s="17" t="n"/>
      <c r="J37" s="17" t="n"/>
      <c r="K37" s="19">
        <f>IF(L37="строка заполнена",ROUND(E37-I37-J37,2),"")</f>
        <v/>
      </c>
      <c r="L37" s="15">
        <f>IF(COUNTA(B37:J37)=0,"",IF(OR(LEN(B37)=0,LEN(C37)=0,LEN(E37)=0,LEN(F37)=0,LEN(I37)=0,LEN(J37)=0),"НЕ ЗАПОЛНЕНО: документ, номер, стоимость, статус и оплаты (ноль числом)",IF(COUNTIF($N$2:$N$5,F37)&lt;&gt;1,"ОШИБКА: неизвестный статус акта",IF(OR(NOT(ISNUMBER(E37)),NOT(ISNUMBER(I37)),NOT(ISNUMBER(J37))),"ОШИБКА: стоимость и оплаты должны быть числами",IF(OR(E37&lt;0,I37&lt;0,J37&lt;0),"ОШИБКА: отрицательная сумма",IF(I37+J37&gt;E37+0.01,"ОШИБКА: погашение аванса и оплата превышают стоимость акта.",IF(AND(F37&lt;&gt;"подписан обеими сторонами",I37&gt;0),"ОШИБКА: погашение аванса отнесено к акту, не подписанному обеими сторонами.",IF(AND(F37&lt;&gt;"подписан обеими сторонами",OR(LEN(G37)=0,LEN(H37)=0)),"НЕ ЗАПОЛНЕНО: дата и подтверждение передачи акта",IF(AND(F37&lt;&gt;"подписан обеими сторонами",OR(NOT(ISNUMBER(G37)),G37&lt;=0)),"ОШИБКА: дата передачи должна быть датой Excel","строка заполнена")))))))))</f>
        <v/>
      </c>
    </row>
    <row r="38" ht="45" customHeight="1">
      <c r="A38" s="15">
        <f>IF(C38="","",ROW()-5)</f>
        <v/>
      </c>
      <c r="B38" s="16" t="n"/>
      <c r="C38" s="16" t="n"/>
      <c r="D38" s="16" t="n"/>
      <c r="E38" s="17" t="n"/>
      <c r="F38" s="16" t="n"/>
      <c r="G38" s="18" t="n"/>
      <c r="H38" s="16" t="n"/>
      <c r="I38" s="17" t="n"/>
      <c r="J38" s="17" t="n"/>
      <c r="K38" s="19">
        <f>IF(L38="строка заполнена",ROUND(E38-I38-J38,2),"")</f>
        <v/>
      </c>
      <c r="L38" s="15">
        <f>IF(COUNTA(B38:J38)=0,"",IF(OR(LEN(B38)=0,LEN(C38)=0,LEN(E38)=0,LEN(F38)=0,LEN(I38)=0,LEN(J38)=0),"НЕ ЗАПОЛНЕНО: документ, номер, стоимость, статус и оплаты (ноль числом)",IF(COUNTIF($N$2:$N$5,F38)&lt;&gt;1,"ОШИБКА: неизвестный статус акта",IF(OR(NOT(ISNUMBER(E38)),NOT(ISNUMBER(I38)),NOT(ISNUMBER(J38))),"ОШИБКА: стоимость и оплаты должны быть числами",IF(OR(E38&lt;0,I38&lt;0,J38&lt;0),"ОШИБКА: отрицательная сумма",IF(I38+J38&gt;E38+0.01,"ОШИБКА: погашение аванса и оплата превышают стоимость акта.",IF(AND(F38&lt;&gt;"подписан обеими сторонами",I38&gt;0),"ОШИБКА: погашение аванса отнесено к акту, не подписанному обеими сторонами.",IF(AND(F38&lt;&gt;"подписан обеими сторонами",OR(LEN(G38)=0,LEN(H38)=0)),"НЕ ЗАПОЛНЕНО: дата и подтверждение передачи акта",IF(AND(F38&lt;&gt;"подписан обеими сторонами",OR(NOT(ISNUMBER(G38)),G38&lt;=0)),"ОШИБКА: дата передачи должна быть датой Excel","строка заполнена")))))))))</f>
        <v/>
      </c>
    </row>
    <row r="39" ht="45" customHeight="1">
      <c r="A39" s="15">
        <f>IF(C39="","",ROW()-5)</f>
        <v/>
      </c>
      <c r="B39" s="16" t="n"/>
      <c r="C39" s="16" t="n"/>
      <c r="D39" s="16" t="n"/>
      <c r="E39" s="17" t="n"/>
      <c r="F39" s="16" t="n"/>
      <c r="G39" s="18" t="n"/>
      <c r="H39" s="16" t="n"/>
      <c r="I39" s="17" t="n"/>
      <c r="J39" s="17" t="n"/>
      <c r="K39" s="19">
        <f>IF(L39="строка заполнена",ROUND(E39-I39-J39,2),"")</f>
        <v/>
      </c>
      <c r="L39" s="15">
        <f>IF(COUNTA(B39:J39)=0,"",IF(OR(LEN(B39)=0,LEN(C39)=0,LEN(E39)=0,LEN(F39)=0,LEN(I39)=0,LEN(J39)=0),"НЕ ЗАПОЛНЕНО: документ, номер, стоимость, статус и оплаты (ноль числом)",IF(COUNTIF($N$2:$N$5,F39)&lt;&gt;1,"ОШИБКА: неизвестный статус акта",IF(OR(NOT(ISNUMBER(E39)),NOT(ISNUMBER(I39)),NOT(ISNUMBER(J39))),"ОШИБКА: стоимость и оплаты должны быть числами",IF(OR(E39&lt;0,I39&lt;0,J39&lt;0),"ОШИБКА: отрицательная сумма",IF(I39+J39&gt;E39+0.01,"ОШИБКА: погашение аванса и оплата превышают стоимость акта.",IF(AND(F39&lt;&gt;"подписан обеими сторонами",I39&gt;0),"ОШИБКА: погашение аванса отнесено к акту, не подписанному обеими сторонами.",IF(AND(F39&lt;&gt;"подписан обеими сторонами",OR(LEN(G39)=0,LEN(H39)=0)),"НЕ ЗАПОЛНЕНО: дата и подтверждение передачи акта",IF(AND(F39&lt;&gt;"подписан обеими сторонами",OR(NOT(ISNUMBER(G39)),G39&lt;=0)),"ОШИБКА: дата передачи должна быть датой Excel","строка заполнена")))))))))</f>
        <v/>
      </c>
    </row>
    <row r="40" ht="45" customHeight="1">
      <c r="A40" s="15">
        <f>IF(C40="","",ROW()-5)</f>
        <v/>
      </c>
      <c r="B40" s="16" t="n"/>
      <c r="C40" s="16" t="n"/>
      <c r="D40" s="16" t="n"/>
      <c r="E40" s="17" t="n"/>
      <c r="F40" s="16" t="n"/>
      <c r="G40" s="18" t="n"/>
      <c r="H40" s="16" t="n"/>
      <c r="I40" s="17" t="n"/>
      <c r="J40" s="17" t="n"/>
      <c r="K40" s="19">
        <f>IF(L40="строка заполнена",ROUND(E40-I40-J40,2),"")</f>
        <v/>
      </c>
      <c r="L40" s="15">
        <f>IF(COUNTA(B40:J40)=0,"",IF(OR(LEN(B40)=0,LEN(C40)=0,LEN(E40)=0,LEN(F40)=0,LEN(I40)=0,LEN(J40)=0),"НЕ ЗАПОЛНЕНО: документ, номер, стоимость, статус и оплаты (ноль числом)",IF(COUNTIF($N$2:$N$5,F40)&lt;&gt;1,"ОШИБКА: неизвестный статус акта",IF(OR(NOT(ISNUMBER(E40)),NOT(ISNUMBER(I40)),NOT(ISNUMBER(J40))),"ОШИБКА: стоимость и оплаты должны быть числами",IF(OR(E40&lt;0,I40&lt;0,J40&lt;0),"ОШИБКА: отрицательная сумма",IF(I40+J40&gt;E40+0.01,"ОШИБКА: погашение аванса и оплата превышают стоимость акта.",IF(AND(F40&lt;&gt;"подписан обеими сторонами",I40&gt;0),"ОШИБКА: погашение аванса отнесено к акту, не подписанному обеими сторонами.",IF(AND(F40&lt;&gt;"подписан обеими сторонами",OR(LEN(G40)=0,LEN(H40)=0)),"НЕ ЗАПОЛНЕНО: дата и подтверждение передачи акта",IF(AND(F40&lt;&gt;"подписан обеими сторонами",OR(NOT(ISNUMBER(G40)),G40&lt;=0)),"ОШИБКА: дата передачи должна быть датой Excel","строка заполнена")))))))))</f>
        <v/>
      </c>
    </row>
    <row r="41" ht="45" customHeight="1">
      <c r="A41" s="15">
        <f>IF(C41="","",ROW()-5)</f>
        <v/>
      </c>
      <c r="B41" s="16" t="n"/>
      <c r="C41" s="16" t="n"/>
      <c r="D41" s="16" t="n"/>
      <c r="E41" s="17" t="n"/>
      <c r="F41" s="16" t="n"/>
      <c r="G41" s="18" t="n"/>
      <c r="H41" s="16" t="n"/>
      <c r="I41" s="17" t="n"/>
      <c r="J41" s="17" t="n"/>
      <c r="K41" s="19">
        <f>IF(L41="строка заполнена",ROUND(E41-I41-J41,2),"")</f>
        <v/>
      </c>
      <c r="L41" s="15">
        <f>IF(COUNTA(B41:J41)=0,"",IF(OR(LEN(B41)=0,LEN(C41)=0,LEN(E41)=0,LEN(F41)=0,LEN(I41)=0,LEN(J41)=0),"НЕ ЗАПОЛНЕНО: документ, номер, стоимость, статус и оплаты (ноль числом)",IF(COUNTIF($N$2:$N$5,F41)&lt;&gt;1,"ОШИБКА: неизвестный статус акта",IF(OR(NOT(ISNUMBER(E41)),NOT(ISNUMBER(I41)),NOT(ISNUMBER(J41))),"ОШИБКА: стоимость и оплаты должны быть числами",IF(OR(E41&lt;0,I41&lt;0,J41&lt;0),"ОШИБКА: отрицательная сумма",IF(I41+J41&gt;E41+0.01,"ОШИБКА: погашение аванса и оплата превышают стоимость акта.",IF(AND(F41&lt;&gt;"подписан обеими сторонами",I41&gt;0),"ОШИБКА: погашение аванса отнесено к акту, не подписанному обеими сторонами.",IF(AND(F41&lt;&gt;"подписан обеими сторонами",OR(LEN(G41)=0,LEN(H41)=0)),"НЕ ЗАПОЛНЕНО: дата и подтверждение передачи акта",IF(AND(F41&lt;&gt;"подписан обеими сторонами",OR(NOT(ISNUMBER(G41)),G41&lt;=0)),"ОШИБКА: дата передачи должна быть датой Excel","строка заполнена")))))))))</f>
        <v/>
      </c>
    </row>
    <row r="42" ht="45" customHeight="1">
      <c r="A42" s="15">
        <f>IF(C42="","",ROW()-5)</f>
        <v/>
      </c>
      <c r="B42" s="16" t="n"/>
      <c r="C42" s="16" t="n"/>
      <c r="D42" s="16" t="n"/>
      <c r="E42" s="17" t="n"/>
      <c r="F42" s="16" t="n"/>
      <c r="G42" s="18" t="n"/>
      <c r="H42" s="16" t="n"/>
      <c r="I42" s="17" t="n"/>
      <c r="J42" s="17" t="n"/>
      <c r="K42" s="19">
        <f>IF(L42="строка заполнена",ROUND(E42-I42-J42,2),"")</f>
        <v/>
      </c>
      <c r="L42" s="15">
        <f>IF(COUNTA(B42:J42)=0,"",IF(OR(LEN(B42)=0,LEN(C42)=0,LEN(E42)=0,LEN(F42)=0,LEN(I42)=0,LEN(J42)=0),"НЕ ЗАПОЛНЕНО: документ, номер, стоимость, статус и оплаты (ноль числом)",IF(COUNTIF($N$2:$N$5,F42)&lt;&gt;1,"ОШИБКА: неизвестный статус акта",IF(OR(NOT(ISNUMBER(E42)),NOT(ISNUMBER(I42)),NOT(ISNUMBER(J42))),"ОШИБКА: стоимость и оплаты должны быть числами",IF(OR(E42&lt;0,I42&lt;0,J42&lt;0),"ОШИБКА: отрицательная сумма",IF(I42+J42&gt;E42+0.01,"ОШИБКА: погашение аванса и оплата превышают стоимость акта.",IF(AND(F42&lt;&gt;"подписан обеими сторонами",I42&gt;0),"ОШИБКА: погашение аванса отнесено к акту, не подписанному обеими сторонами.",IF(AND(F42&lt;&gt;"подписан обеими сторонами",OR(LEN(G42)=0,LEN(H42)=0)),"НЕ ЗАПОЛНЕНО: дата и подтверждение передачи акта",IF(AND(F42&lt;&gt;"подписан обеими сторонами",OR(NOT(ISNUMBER(G42)),G42&lt;=0)),"ОШИБКА: дата передачи должна быть датой Excel","строка заполнена")))))))))</f>
        <v/>
      </c>
    </row>
    <row r="43" ht="45" customHeight="1">
      <c r="A43" s="15">
        <f>IF(C43="","",ROW()-5)</f>
        <v/>
      </c>
      <c r="B43" s="16" t="n"/>
      <c r="C43" s="16" t="n"/>
      <c r="D43" s="16" t="n"/>
      <c r="E43" s="17" t="n"/>
      <c r="F43" s="16" t="n"/>
      <c r="G43" s="18" t="n"/>
      <c r="H43" s="16" t="n"/>
      <c r="I43" s="17" t="n"/>
      <c r="J43" s="17" t="n"/>
      <c r="K43" s="19">
        <f>IF(L43="строка заполнена",ROUND(E43-I43-J43,2),"")</f>
        <v/>
      </c>
      <c r="L43" s="15">
        <f>IF(COUNTA(B43:J43)=0,"",IF(OR(LEN(B43)=0,LEN(C43)=0,LEN(E43)=0,LEN(F43)=0,LEN(I43)=0,LEN(J43)=0),"НЕ ЗАПОЛНЕНО: документ, номер, стоимость, статус и оплаты (ноль числом)",IF(COUNTIF($N$2:$N$5,F43)&lt;&gt;1,"ОШИБКА: неизвестный статус акта",IF(OR(NOT(ISNUMBER(E43)),NOT(ISNUMBER(I43)),NOT(ISNUMBER(J43))),"ОШИБКА: стоимость и оплаты должны быть числами",IF(OR(E43&lt;0,I43&lt;0,J43&lt;0),"ОШИБКА: отрицательная сумма",IF(I43+J43&gt;E43+0.01,"ОШИБКА: погашение аванса и оплата превышают стоимость акта.",IF(AND(F43&lt;&gt;"подписан обеими сторонами",I43&gt;0),"ОШИБКА: погашение аванса отнесено к акту, не подписанному обеими сторонами.",IF(AND(F43&lt;&gt;"подписан обеими сторонами",OR(LEN(G43)=0,LEN(H43)=0)),"НЕ ЗАПОЛНЕНО: дата и подтверждение передачи акта",IF(AND(F43&lt;&gt;"подписан обеими сторонами",OR(NOT(ISNUMBER(G43)),G43&lt;=0)),"ОШИБКА: дата передачи должна быть датой Excel","строка заполнена")))))))))</f>
        <v/>
      </c>
    </row>
    <row r="44" ht="45" customHeight="1">
      <c r="A44" s="15">
        <f>IF(C44="","",ROW()-5)</f>
        <v/>
      </c>
      <c r="B44" s="16" t="n"/>
      <c r="C44" s="16" t="n"/>
      <c r="D44" s="16" t="n"/>
      <c r="E44" s="17" t="n"/>
      <c r="F44" s="16" t="n"/>
      <c r="G44" s="18" t="n"/>
      <c r="H44" s="16" t="n"/>
      <c r="I44" s="17" t="n"/>
      <c r="J44" s="17" t="n"/>
      <c r="K44" s="19">
        <f>IF(L44="строка заполнена",ROUND(E44-I44-J44,2),"")</f>
        <v/>
      </c>
      <c r="L44" s="15">
        <f>IF(COUNTA(B44:J44)=0,"",IF(OR(LEN(B44)=0,LEN(C44)=0,LEN(E44)=0,LEN(F44)=0,LEN(I44)=0,LEN(J44)=0),"НЕ ЗАПОЛНЕНО: документ, номер, стоимость, статус и оплаты (ноль числом)",IF(COUNTIF($N$2:$N$5,F44)&lt;&gt;1,"ОШИБКА: неизвестный статус акта",IF(OR(NOT(ISNUMBER(E44)),NOT(ISNUMBER(I44)),NOT(ISNUMBER(J44))),"ОШИБКА: стоимость и оплаты должны быть числами",IF(OR(E44&lt;0,I44&lt;0,J44&lt;0),"ОШИБКА: отрицательная сумма",IF(I44+J44&gt;E44+0.01,"ОШИБКА: погашение аванса и оплата превышают стоимость акта.",IF(AND(F44&lt;&gt;"подписан обеими сторонами",I44&gt;0),"ОШИБКА: погашение аванса отнесено к акту, не подписанному обеими сторонами.",IF(AND(F44&lt;&gt;"подписан обеими сторонами",OR(LEN(G44)=0,LEN(H44)=0)),"НЕ ЗАПОЛНЕНО: дата и подтверждение передачи акта",IF(AND(F44&lt;&gt;"подписан обеими сторонами",OR(NOT(ISNUMBER(G44)),G44&lt;=0)),"ОШИБКА: дата передачи должна быть датой Excel","строка заполнена")))))))))</f>
        <v/>
      </c>
    </row>
    <row r="45" ht="45" customHeight="1">
      <c r="A45" s="15">
        <f>IF(C45="","",ROW()-5)</f>
        <v/>
      </c>
      <c r="B45" s="16" t="n"/>
      <c r="C45" s="16" t="n"/>
      <c r="D45" s="16" t="n"/>
      <c r="E45" s="17" t="n"/>
      <c r="F45" s="16" t="n"/>
      <c r="G45" s="18" t="n"/>
      <c r="H45" s="16" t="n"/>
      <c r="I45" s="17" t="n"/>
      <c r="J45" s="17" t="n"/>
      <c r="K45" s="19">
        <f>IF(L45="строка заполнена",ROUND(E45-I45-J45,2),"")</f>
        <v/>
      </c>
      <c r="L45" s="15">
        <f>IF(COUNTA(B45:J45)=0,"",IF(OR(LEN(B45)=0,LEN(C45)=0,LEN(E45)=0,LEN(F45)=0,LEN(I45)=0,LEN(J45)=0),"НЕ ЗАПОЛНЕНО: документ, номер, стоимость, статус и оплаты (ноль числом)",IF(COUNTIF($N$2:$N$5,F45)&lt;&gt;1,"ОШИБКА: неизвестный статус акта",IF(OR(NOT(ISNUMBER(E45)),NOT(ISNUMBER(I45)),NOT(ISNUMBER(J45))),"ОШИБКА: стоимость и оплаты должны быть числами",IF(OR(E45&lt;0,I45&lt;0,J45&lt;0),"ОШИБКА: отрицательная сумма",IF(I45+J45&gt;E45+0.01,"ОШИБКА: погашение аванса и оплата превышают стоимость акта.",IF(AND(F45&lt;&gt;"подписан обеими сторонами",I45&gt;0),"ОШИБКА: погашение аванса отнесено к акту, не подписанному обеими сторонами.",IF(AND(F45&lt;&gt;"подписан обеими сторонами",OR(LEN(G45)=0,LEN(H45)=0)),"НЕ ЗАПОЛНЕНО: дата и подтверждение передачи акта",IF(AND(F45&lt;&gt;"подписан обеими сторонами",OR(NOT(ISNUMBER(G45)),G45&lt;=0)),"ОШИБКА: дата передачи должна быть датой Excel","строка заполнена")))))))))</f>
        <v/>
      </c>
    </row>
    <row r="46">
      <c r="A46" s="2" t="inlineStr">
        <is>
          <t>Итоги</t>
        </is>
      </c>
    </row>
    <row r="47">
      <c r="A47" s="20" t="inlineStr">
        <is>
          <t>Всего актов внесено</t>
        </is>
      </c>
      <c r="E47" s="21">
        <f>COUNTIF(E6:E45,"&gt;0")</f>
        <v/>
      </c>
    </row>
    <row r="48">
      <c r="A48" s="20" t="inlineStr">
        <is>
          <t>Стоимость по актам, подписанным обеими сторонами</t>
        </is>
      </c>
      <c r="E48" s="22">
        <f>SUMIF(F6:F45,"подписан обеими сторонами",E6:E45)</f>
        <v/>
      </c>
    </row>
    <row r="49">
      <c r="A49" s="20" t="inlineStr">
        <is>
          <t>Стоимость по актам переданным, но не подписанным</t>
        </is>
      </c>
      <c r="E49" s="22">
        <f>SUMIF(F6:F45,"передан, не подписан",E6:E45)</f>
        <v/>
      </c>
    </row>
    <row r="50">
      <c r="A50" s="20" t="inlineStr">
        <is>
          <t>Стоимость по актам, подписанным односторонне</t>
        </is>
      </c>
      <c r="E50" s="22">
        <f>SUMIF(F6:F45,"подписан односторонне",E6:E45)</f>
        <v/>
      </c>
    </row>
    <row r="51">
      <c r="A51" s="20" t="inlineStr">
        <is>
          <t>Стоимость по актам, на которые получен мотивированный отказ</t>
        </is>
      </c>
      <c r="E51" s="22">
        <f>SUMIF(F6:F45,"получен мотивированный отказ",E6:E45)</f>
        <v/>
      </c>
    </row>
    <row r="52">
      <c r="A52" s="20" t="inlineStr">
        <is>
          <t xml:space="preserve">Погашение аванса подписанными актами</t>
        </is>
      </c>
      <c r="E52" s="22">
        <f>SUMIFS(I6:I45,F6:F45,"подписан обеими сторонами")</f>
        <v/>
      </c>
    </row>
    <row r="53">
      <c r="A53" s="20" t="inlineStr">
        <is>
          <t>Оплачено деньгами по всем актам</t>
        </is>
      </c>
      <c r="E53" s="22">
        <f>SUM(J6:J45)</f>
        <v/>
      </c>
    </row>
    <row r="54">
      <c r="A54" s="20" t="inlineStr">
        <is>
          <t>Не оплачено по подписанным актам</t>
        </is>
      </c>
      <c r="E54" s="22">
        <f>SUMIFS(K6:K45,F6:F45,"подписан обеими сторонами")</f>
        <v/>
      </c>
    </row>
    <row r="55">
      <c r="A55" s="20" t="inlineStr">
        <is>
          <t>Строк с ошибками или незаполненными данными</t>
        </is>
      </c>
      <c r="E55" s="21">
        <f>SUMPRODUCT(--(LEFT(L6:L45,6)="ОШИБКА"))+SUMPRODUCT(--(LEFT(L6:L45,12)="НЕ ЗАПОЛНЕНО"))</f>
        <v/>
      </c>
    </row>
    <row r="57" ht="60" customHeight="1">
      <c r="A57" s="4" t="inlineStr">
        <is>
          <t>Не оплачено = стоимость − погашение аванса − денежная оплата. Незавершённая строка блокирует итог сальдо; её данные нужно проверить, а не удалять из расчёта.</t>
        </is>
      </c>
    </row>
  </sheetData>
  <mergeCells count="13">
    <mergeCell ref="A57:L57"/>
    <mergeCell ref="A49:D49"/>
    <mergeCell ref="A53:D53"/>
    <mergeCell ref="A50:D50"/>
    <mergeCell ref="A48:D48"/>
    <mergeCell ref="A1:L1"/>
    <mergeCell ref="A46:L46"/>
    <mergeCell ref="A54:D54"/>
    <mergeCell ref="A55:D55"/>
    <mergeCell ref="A52:D52"/>
    <mergeCell ref="A51:D51"/>
    <mergeCell ref="A3:L3"/>
    <mergeCell ref="A47:D47"/>
  </mergeCells>
  <dataValidations count="1">
    <dataValidation type="list" errorStyle="stop" allowBlank="0" showDropDown="0" showErrorMessage="1" errorTitle="Статус акта" error="Выберите один из четырёх статусов списка." sqref="F6:F45">
      <formula1>$N$2:$N$5</formula1>
    </dataValidation>
  </dataValidations>
  <pageMargins left="0.75" right="0.75" top="1" bottom="1" header="0.5" footer="0.5"/>
  <pageSetup orientation="landscape" paperSize="8" fitToHeight="0" fitToWidth="1"/>
  <rowBreaks count="0" manualBreakCoun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16" customWidth="1" min="4" max="4"/>
    <col width="32" customWidth="1" min="5" max="5"/>
    <col width="16" customWidth="1" min="6" max="6"/>
    <col width="34" customWidth="1" min="7" max="7"/>
  </cols>
  <sheetData>
    <row r="1" ht="22" customHeight="1">
      <c r="A1" s="1" t="inlineStr">
        <is>
          <t xml:space="preserve">Реестр документально подтверждённых встречных сумм</t>
        </is>
      </c>
    </row>
    <row r="3" ht="44" customHeight="1">
      <c r="A3" s="4" t="inlineStr">
        <is>
          <t xml:space="preserve">Включайте документально подтверждённые материалы, расходы и удержания. Сопоставьте каждую позицию с реестром актов и исключите повторный учёт. Укажите основание, сумму и реквизиты подтверждающего документа.</t>
        </is>
      </c>
    </row>
    <row r="5" ht="48" customHeight="1">
      <c r="A5" s="14" t="inlineStr">
        <is>
          <t>№</t>
        </is>
      </c>
      <c r="B5" s="14" t="inlineStr">
        <is>
          <t>Основание</t>
        </is>
      </c>
      <c r="C5" s="14" t="inlineStr">
        <is>
          <t>Что именно</t>
        </is>
      </c>
      <c r="D5" s="14" t="inlineStr">
        <is>
          <t>Сумма</t>
        </is>
      </c>
      <c r="E5" s="14" t="inlineStr">
        <is>
          <t>Чем подтверждено</t>
        </is>
      </c>
      <c r="F5" s="14" t="inlineStr">
        <is>
          <t>Документ подписан второй стороной</t>
        </is>
      </c>
      <c r="G5" s="14" t="inlineStr">
        <is>
          <t>Проверка</t>
        </is>
      </c>
    </row>
    <row r="6" ht="45" customHeight="1">
      <c r="A6" s="15">
        <f>IF(C6="","",ROW()-5)</f>
        <v/>
      </c>
      <c r="B6" s="16" t="n"/>
      <c r="C6" s="16" t="n"/>
      <c r="D6" s="17" t="n"/>
      <c r="E6" s="16" t="n"/>
      <c r="F6" s="16" t="n"/>
      <c r="G6" s="15">
        <f>IF(COUNTA(B6:F6)=0,"",IF(OR(LEN(B6)=0,LEN(C6)=0,LEN(D6)=0,LEN(E6)=0,LEN(F6)=0),"НЕ ЗАПОЛНЕНО: основание, описание, сумма, документ и подпись",IF(NOT(OR(B6="материалы переданы генподрядчику",B6="материалы и оборудование остались на объекте",B6="затраты на мобилизацию и демобилизацию",B6="гарантийное удержание из оплаченных актов",B6="иное")),"ОШИБКА: неизвестное основание встречной суммы",IF(NOT(ISNUMBER(D6)),"ОШИБКА: сумма должна быть числом",IF(D6&lt;0,"ОШИБКА: отрицательная сумма",IF(AND(F6&lt;&gt;"да",F6&lt;&gt;"нет"),"ОШИБКА: подпись — выберите да или нет",IF(F6="нет","ПРОВЕРЬТЕ: самостоятельное основание и доказательства","строка заполнена")))))))</f>
        <v/>
      </c>
    </row>
    <row r="7" ht="45" customHeight="1">
      <c r="A7" s="15">
        <f>IF(C7="","",ROW()-5)</f>
        <v/>
      </c>
      <c r="B7" s="16" t="n"/>
      <c r="C7" s="16" t="n"/>
      <c r="D7" s="17" t="n"/>
      <c r="E7" s="16" t="n"/>
      <c r="F7" s="16" t="n"/>
      <c r="G7" s="15">
        <f>IF(COUNTA(B7:F7)=0,"",IF(OR(LEN(B7)=0,LEN(C7)=0,LEN(D7)=0,LEN(E7)=0,LEN(F7)=0),"НЕ ЗАПОЛНЕНО: основание, описание, сумма, документ и подпись",IF(NOT(OR(B7="материалы переданы генподрядчику",B7="материалы и оборудование остались на объекте",B7="затраты на мобилизацию и демобилизацию",B7="гарантийное удержание из оплаченных актов",B7="иное")),"ОШИБКА: неизвестное основание встречной суммы",IF(NOT(ISNUMBER(D7)),"ОШИБКА: сумма должна быть числом",IF(D7&lt;0,"ОШИБКА: отрицательная сумма",IF(AND(F7&lt;&gt;"да",F7&lt;&gt;"нет"),"ОШИБКА: подпись — выберите да или нет",IF(F7="нет","ПРОВЕРЬТЕ: самостоятельное основание и доказательства","строка заполнена")))))))</f>
        <v/>
      </c>
    </row>
    <row r="8" ht="45" customHeight="1">
      <c r="A8" s="15">
        <f>IF(C8="","",ROW()-5)</f>
        <v/>
      </c>
      <c r="B8" s="16" t="n"/>
      <c r="C8" s="16" t="n"/>
      <c r="D8" s="17" t="n"/>
      <c r="E8" s="16" t="n"/>
      <c r="F8" s="16" t="n"/>
      <c r="G8" s="15">
        <f>IF(COUNTA(B8:F8)=0,"",IF(OR(LEN(B8)=0,LEN(C8)=0,LEN(D8)=0,LEN(E8)=0,LEN(F8)=0),"НЕ ЗАПОЛНЕНО: основание, описание, сумма, документ и подпись",IF(NOT(OR(B8="материалы переданы генподрядчику",B8="материалы и оборудование остались на объекте",B8="затраты на мобилизацию и демобилизацию",B8="гарантийное удержание из оплаченных актов",B8="иное")),"ОШИБКА: неизвестное основание встречной суммы",IF(NOT(ISNUMBER(D8)),"ОШИБКА: сумма должна быть числом",IF(D8&lt;0,"ОШИБКА: отрицательная сумма",IF(AND(F8&lt;&gt;"да",F8&lt;&gt;"нет"),"ОШИБКА: подпись — выберите да или нет",IF(F8="нет","ПРОВЕРЬТЕ: самостоятельное основание и доказательства","строка заполнена")))))))</f>
        <v/>
      </c>
    </row>
    <row r="9" ht="45" customHeight="1">
      <c r="A9" s="15">
        <f>IF(C9="","",ROW()-5)</f>
        <v/>
      </c>
      <c r="B9" s="16" t="n"/>
      <c r="C9" s="16" t="n"/>
      <c r="D9" s="17" t="n"/>
      <c r="E9" s="16" t="n"/>
      <c r="F9" s="16" t="n"/>
      <c r="G9" s="15">
        <f>IF(COUNTA(B9:F9)=0,"",IF(OR(LEN(B9)=0,LEN(C9)=0,LEN(D9)=0,LEN(E9)=0,LEN(F9)=0),"НЕ ЗАПОЛНЕНО: основание, описание, сумма, документ и подпись",IF(NOT(OR(B9="материалы переданы генподрядчику",B9="материалы и оборудование остались на объекте",B9="затраты на мобилизацию и демобилизацию",B9="гарантийное удержание из оплаченных актов",B9="иное")),"ОШИБКА: неизвестное основание встречной суммы",IF(NOT(ISNUMBER(D9)),"ОШИБКА: сумма должна быть числом",IF(D9&lt;0,"ОШИБКА: отрицательная сумма",IF(AND(F9&lt;&gt;"да",F9&lt;&gt;"нет"),"ОШИБКА: подпись — выберите да или нет",IF(F9="нет","ПРОВЕРЬТЕ: самостоятельное основание и доказательства","строка заполнена")))))))</f>
        <v/>
      </c>
    </row>
    <row r="10" ht="45" customHeight="1">
      <c r="A10" s="15">
        <f>IF(C10="","",ROW()-5)</f>
        <v/>
      </c>
      <c r="B10" s="16" t="n"/>
      <c r="C10" s="16" t="n"/>
      <c r="D10" s="17" t="n"/>
      <c r="E10" s="16" t="n"/>
      <c r="F10" s="16" t="n"/>
      <c r="G10" s="15">
        <f>IF(COUNTA(B10:F10)=0,"",IF(OR(LEN(B10)=0,LEN(C10)=0,LEN(D10)=0,LEN(E10)=0,LEN(F10)=0),"НЕ ЗАПОЛНЕНО: основание, описание, сумма, документ и подпись",IF(NOT(OR(B10="материалы переданы генподрядчику",B10="материалы и оборудование остались на объекте",B10="затраты на мобилизацию и демобилизацию",B10="гарантийное удержание из оплаченных актов",B10="иное")),"ОШИБКА: неизвестное основание встречной суммы",IF(NOT(ISNUMBER(D10)),"ОШИБКА: сумма должна быть числом",IF(D10&lt;0,"ОШИБКА: отрицательная сумма",IF(AND(F10&lt;&gt;"да",F10&lt;&gt;"нет"),"ОШИБКА: подпись — выберите да или нет",IF(F10="нет","ПРОВЕРЬТЕ: самостоятельное основание и доказательства","строка заполнена")))))))</f>
        <v/>
      </c>
    </row>
    <row r="11" ht="45" customHeight="1">
      <c r="A11" s="15">
        <f>IF(C11="","",ROW()-5)</f>
        <v/>
      </c>
      <c r="B11" s="16" t="n"/>
      <c r="C11" s="16" t="n"/>
      <c r="D11" s="17" t="n"/>
      <c r="E11" s="16" t="n"/>
      <c r="F11" s="16" t="n"/>
      <c r="G11" s="15">
        <f>IF(COUNTA(B11:F11)=0,"",IF(OR(LEN(B11)=0,LEN(C11)=0,LEN(D11)=0,LEN(E11)=0,LEN(F11)=0),"НЕ ЗАПОЛНЕНО: основание, описание, сумма, документ и подпись",IF(NOT(OR(B11="материалы переданы генподрядчику",B11="материалы и оборудование остались на объекте",B11="затраты на мобилизацию и демобилизацию",B11="гарантийное удержание из оплаченных актов",B11="иное")),"ОШИБКА: неизвестное основание встречной суммы",IF(NOT(ISNUMBER(D11)),"ОШИБКА: сумма должна быть числом",IF(D11&lt;0,"ОШИБКА: отрицательная сумма",IF(AND(F11&lt;&gt;"да",F11&lt;&gt;"нет"),"ОШИБКА: подпись — выберите да или нет",IF(F11="нет","ПРОВЕРЬТЕ: самостоятельное основание и доказательства","строка заполнена")))))))</f>
        <v/>
      </c>
    </row>
    <row r="12" ht="45" customHeight="1">
      <c r="A12" s="15">
        <f>IF(C12="","",ROW()-5)</f>
        <v/>
      </c>
      <c r="B12" s="16" t="n"/>
      <c r="C12" s="16" t="n"/>
      <c r="D12" s="17" t="n"/>
      <c r="E12" s="16" t="n"/>
      <c r="F12" s="16" t="n"/>
      <c r="G12" s="15">
        <f>IF(COUNTA(B12:F12)=0,"",IF(OR(LEN(B12)=0,LEN(C12)=0,LEN(D12)=0,LEN(E12)=0,LEN(F12)=0),"НЕ ЗАПОЛНЕНО: основание, описание, сумма, документ и подпись",IF(NOT(OR(B12="материалы переданы генподрядчику",B12="материалы и оборудование остались на объекте",B12="затраты на мобилизацию и демобилизацию",B12="гарантийное удержание из оплаченных актов",B12="иное")),"ОШИБКА: неизвестное основание встречной суммы",IF(NOT(ISNUMBER(D12)),"ОШИБКА: сумма должна быть числом",IF(D12&lt;0,"ОШИБКА: отрицательная сумма",IF(AND(F12&lt;&gt;"да",F12&lt;&gt;"нет"),"ОШИБКА: подпись — выберите да или нет",IF(F12="нет","ПРОВЕРЬТЕ: самостоятельное основание и доказательства","строка заполнена")))))))</f>
        <v/>
      </c>
    </row>
    <row r="13" ht="45" customHeight="1">
      <c r="A13" s="15">
        <f>IF(C13="","",ROW()-5)</f>
        <v/>
      </c>
      <c r="B13" s="16" t="n"/>
      <c r="C13" s="16" t="n"/>
      <c r="D13" s="17" t="n"/>
      <c r="E13" s="16" t="n"/>
      <c r="F13" s="16" t="n"/>
      <c r="G13" s="15">
        <f>IF(COUNTA(B13:F13)=0,"",IF(OR(LEN(B13)=0,LEN(C13)=0,LEN(D13)=0,LEN(E13)=0,LEN(F13)=0),"НЕ ЗАПОЛНЕНО: основание, описание, сумма, документ и подпись",IF(NOT(OR(B13="материалы переданы генподрядчику",B13="материалы и оборудование остались на объекте",B13="затраты на мобилизацию и демобилизацию",B13="гарантийное удержание из оплаченных актов",B13="иное")),"ОШИБКА: неизвестное основание встречной суммы",IF(NOT(ISNUMBER(D13)),"ОШИБКА: сумма должна быть числом",IF(D13&lt;0,"ОШИБКА: отрицательная сумма",IF(AND(F13&lt;&gt;"да",F13&lt;&gt;"нет"),"ОШИБКА: подпись — выберите да или нет",IF(F13="нет","ПРОВЕРЬТЕ: самостоятельное основание и доказательства","строка заполнена")))))))</f>
        <v/>
      </c>
    </row>
    <row r="14" ht="45" customHeight="1">
      <c r="A14" s="15">
        <f>IF(C14="","",ROW()-5)</f>
        <v/>
      </c>
      <c r="B14" s="16" t="n"/>
      <c r="C14" s="16" t="n"/>
      <c r="D14" s="17" t="n"/>
      <c r="E14" s="16" t="n"/>
      <c r="F14" s="16" t="n"/>
      <c r="G14" s="15">
        <f>IF(COUNTA(B14:F14)=0,"",IF(OR(LEN(B14)=0,LEN(C14)=0,LEN(D14)=0,LEN(E14)=0,LEN(F14)=0),"НЕ ЗАПОЛНЕНО: основание, описание, сумма, документ и подпись",IF(NOT(OR(B14="материалы переданы генподрядчику",B14="материалы и оборудование остались на объекте",B14="затраты на мобилизацию и демобилизацию",B14="гарантийное удержание из оплаченных актов",B14="иное")),"ОШИБКА: неизвестное основание встречной суммы",IF(NOT(ISNUMBER(D14)),"ОШИБКА: сумма должна быть числом",IF(D14&lt;0,"ОШИБКА: отрицательная сумма",IF(AND(F14&lt;&gt;"да",F14&lt;&gt;"нет"),"ОШИБКА: подпись — выберите да или нет",IF(F14="нет","ПРОВЕРЬТЕ: самостоятельное основание и доказательства","строка заполнена")))))))</f>
        <v/>
      </c>
    </row>
    <row r="15" ht="45" customHeight="1">
      <c r="A15" s="15">
        <f>IF(C15="","",ROW()-5)</f>
        <v/>
      </c>
      <c r="B15" s="16" t="n"/>
      <c r="C15" s="16" t="n"/>
      <c r="D15" s="17" t="n"/>
      <c r="E15" s="16" t="n"/>
      <c r="F15" s="16" t="n"/>
      <c r="G15" s="15">
        <f>IF(COUNTA(B15:F15)=0,"",IF(OR(LEN(B15)=0,LEN(C15)=0,LEN(D15)=0,LEN(E15)=0,LEN(F15)=0),"НЕ ЗАПОЛНЕНО: основание, описание, сумма, документ и подпись",IF(NOT(OR(B15="материалы переданы генподрядчику",B15="материалы и оборудование остались на объекте",B15="затраты на мобилизацию и демобилизацию",B15="гарантийное удержание из оплаченных актов",B15="иное")),"ОШИБКА: неизвестное основание встречной суммы",IF(NOT(ISNUMBER(D15)),"ОШИБКА: сумма должна быть числом",IF(D15&lt;0,"ОШИБКА: отрицательная сумма",IF(AND(F15&lt;&gt;"да",F15&lt;&gt;"нет"),"ОШИБКА: подпись — выберите да или нет",IF(F15="нет","ПРОВЕРЬТЕ: самостоятельное основание и доказательства","строка заполнена")))))))</f>
        <v/>
      </c>
    </row>
    <row r="16" ht="45" customHeight="1">
      <c r="A16" s="15">
        <f>IF(C16="","",ROW()-5)</f>
        <v/>
      </c>
      <c r="B16" s="16" t="n"/>
      <c r="C16" s="16" t="n"/>
      <c r="D16" s="17" t="n"/>
      <c r="E16" s="16" t="n"/>
      <c r="F16" s="16" t="n"/>
      <c r="G16" s="15">
        <f>IF(COUNTA(B16:F16)=0,"",IF(OR(LEN(B16)=0,LEN(C16)=0,LEN(D16)=0,LEN(E16)=0,LEN(F16)=0),"НЕ ЗАПОЛНЕНО: основание, описание, сумма, документ и подпись",IF(NOT(OR(B16="материалы переданы генподрядчику",B16="материалы и оборудование остались на объекте",B16="затраты на мобилизацию и демобилизацию",B16="гарантийное удержание из оплаченных актов",B16="иное")),"ОШИБКА: неизвестное основание встречной суммы",IF(NOT(ISNUMBER(D16)),"ОШИБКА: сумма должна быть числом",IF(D16&lt;0,"ОШИБКА: отрицательная сумма",IF(AND(F16&lt;&gt;"да",F16&lt;&gt;"нет"),"ОШИБКА: подпись — выберите да или нет",IF(F16="нет","ПРОВЕРЬТЕ: самостоятельное основание и доказательства","строка заполнена")))))))</f>
        <v/>
      </c>
    </row>
    <row r="17" ht="45" customHeight="1">
      <c r="A17" s="15">
        <f>IF(C17="","",ROW()-5)</f>
        <v/>
      </c>
      <c r="B17" s="16" t="n"/>
      <c r="C17" s="16" t="n"/>
      <c r="D17" s="17" t="n"/>
      <c r="E17" s="16" t="n"/>
      <c r="F17" s="16" t="n"/>
      <c r="G17" s="15">
        <f>IF(COUNTA(B17:F17)=0,"",IF(OR(LEN(B17)=0,LEN(C17)=0,LEN(D17)=0,LEN(E17)=0,LEN(F17)=0),"НЕ ЗАПОЛНЕНО: основание, описание, сумма, документ и подпись",IF(NOT(OR(B17="материалы переданы генподрядчику",B17="материалы и оборудование остались на объекте",B17="затраты на мобилизацию и демобилизацию",B17="гарантийное удержание из оплаченных актов",B17="иное")),"ОШИБКА: неизвестное основание встречной суммы",IF(NOT(ISNUMBER(D17)),"ОШИБКА: сумма должна быть числом",IF(D17&lt;0,"ОШИБКА: отрицательная сумма",IF(AND(F17&lt;&gt;"да",F17&lt;&gt;"нет"),"ОШИБКА: подпись — выберите да или нет",IF(F17="нет","ПРОВЕРЬТЕ: самостоятельное основание и доказательства","строка заполнена")))))))</f>
        <v/>
      </c>
    </row>
    <row r="18" ht="45" customHeight="1">
      <c r="A18" s="15">
        <f>IF(C18="","",ROW()-5)</f>
        <v/>
      </c>
      <c r="B18" s="16" t="n"/>
      <c r="C18" s="16" t="n"/>
      <c r="D18" s="17" t="n"/>
      <c r="E18" s="16" t="n"/>
      <c r="F18" s="16" t="n"/>
      <c r="G18" s="15">
        <f>IF(COUNTA(B18:F18)=0,"",IF(OR(LEN(B18)=0,LEN(C18)=0,LEN(D18)=0,LEN(E18)=0,LEN(F18)=0),"НЕ ЗАПОЛНЕНО: основание, описание, сумма, документ и подпись",IF(NOT(OR(B18="материалы переданы генподрядчику",B18="материалы и оборудование остались на объекте",B18="затраты на мобилизацию и демобилизацию",B18="гарантийное удержание из оплаченных актов",B18="иное")),"ОШИБКА: неизвестное основание встречной суммы",IF(NOT(ISNUMBER(D18)),"ОШИБКА: сумма должна быть числом",IF(D18&lt;0,"ОШИБКА: отрицательная сумма",IF(AND(F18&lt;&gt;"да",F18&lt;&gt;"нет"),"ОШИБКА: подпись — выберите да или нет",IF(F18="нет","ПРОВЕРЬТЕ: самостоятельное основание и доказательства","строка заполнена")))))))</f>
        <v/>
      </c>
    </row>
    <row r="19" ht="45" customHeight="1">
      <c r="A19" s="15">
        <f>IF(C19="","",ROW()-5)</f>
        <v/>
      </c>
      <c r="B19" s="16" t="n"/>
      <c r="C19" s="16" t="n"/>
      <c r="D19" s="17" t="n"/>
      <c r="E19" s="16" t="n"/>
      <c r="F19" s="16" t="n"/>
      <c r="G19" s="15">
        <f>IF(COUNTA(B19:F19)=0,"",IF(OR(LEN(B19)=0,LEN(C19)=0,LEN(D19)=0,LEN(E19)=0,LEN(F19)=0),"НЕ ЗАПОЛНЕНО: основание, описание, сумма, документ и подпись",IF(NOT(OR(B19="материалы переданы генподрядчику",B19="материалы и оборудование остались на объекте",B19="затраты на мобилизацию и демобилизацию",B19="гарантийное удержание из оплаченных актов",B19="иное")),"ОШИБКА: неизвестное основание встречной суммы",IF(NOT(ISNUMBER(D19)),"ОШИБКА: сумма должна быть числом",IF(D19&lt;0,"ОШИБКА: отрицательная сумма",IF(AND(F19&lt;&gt;"да",F19&lt;&gt;"нет"),"ОШИБКА: подпись — выберите да или нет",IF(F19="нет","ПРОВЕРЬТЕ: самостоятельное основание и доказательства","строка заполнена")))))))</f>
        <v/>
      </c>
    </row>
    <row r="20" ht="45" customHeight="1">
      <c r="A20" s="15">
        <f>IF(C20="","",ROW()-5)</f>
        <v/>
      </c>
      <c r="B20" s="16" t="n"/>
      <c r="C20" s="16" t="n"/>
      <c r="D20" s="17" t="n"/>
      <c r="E20" s="16" t="n"/>
      <c r="F20" s="16" t="n"/>
      <c r="G20" s="15">
        <f>IF(COUNTA(B20:F20)=0,"",IF(OR(LEN(B20)=0,LEN(C20)=0,LEN(D20)=0,LEN(E20)=0,LEN(F20)=0),"НЕ ЗАПОЛНЕНО: основание, описание, сумма, документ и подпись",IF(NOT(OR(B20="материалы переданы генподрядчику",B20="материалы и оборудование остались на объекте",B20="затраты на мобилизацию и демобилизацию",B20="гарантийное удержание из оплаченных актов",B20="иное")),"ОШИБКА: неизвестное основание встречной суммы",IF(NOT(ISNUMBER(D20)),"ОШИБКА: сумма должна быть числом",IF(D20&lt;0,"ОШИБКА: отрицательная сумма",IF(AND(F20&lt;&gt;"да",F20&lt;&gt;"нет"),"ОШИБКА: подпись — выберите да или нет",IF(F20="нет","ПРОВЕРЬТЕ: самостоятельное основание и доказательства","строка заполнена")))))))</f>
        <v/>
      </c>
    </row>
    <row r="21" ht="45" customHeight="1">
      <c r="A21" s="15">
        <f>IF(C21="","",ROW()-5)</f>
        <v/>
      </c>
      <c r="B21" s="16" t="n"/>
      <c r="C21" s="16" t="n"/>
      <c r="D21" s="17" t="n"/>
      <c r="E21" s="16" t="n"/>
      <c r="F21" s="16" t="n"/>
      <c r="G21" s="15">
        <f>IF(COUNTA(B21:F21)=0,"",IF(OR(LEN(B21)=0,LEN(C21)=0,LEN(D21)=0,LEN(E21)=0,LEN(F21)=0),"НЕ ЗАПОЛНЕНО: основание, описание, сумма, документ и подпись",IF(NOT(OR(B21="материалы переданы генподрядчику",B21="материалы и оборудование остались на объекте",B21="затраты на мобилизацию и демобилизацию",B21="гарантийное удержание из оплаченных актов",B21="иное")),"ОШИБКА: неизвестное основание встречной суммы",IF(NOT(ISNUMBER(D21)),"ОШИБКА: сумма должна быть числом",IF(D21&lt;0,"ОШИБКА: отрицательная сумма",IF(AND(F21&lt;&gt;"да",F21&lt;&gt;"нет"),"ОШИБКА: подпись — выберите да или нет",IF(F21="нет","ПРОВЕРЬТЕ: самостоятельное основание и доказательства","строка заполнена")))))))</f>
        <v/>
      </c>
    </row>
    <row r="22" ht="45" customHeight="1">
      <c r="A22" s="15">
        <f>IF(C22="","",ROW()-5)</f>
        <v/>
      </c>
      <c r="B22" s="16" t="n"/>
      <c r="C22" s="16" t="n"/>
      <c r="D22" s="17" t="n"/>
      <c r="E22" s="16" t="n"/>
      <c r="F22" s="16" t="n"/>
      <c r="G22" s="15">
        <f>IF(COUNTA(B22:F22)=0,"",IF(OR(LEN(B22)=0,LEN(C22)=0,LEN(D22)=0,LEN(E22)=0,LEN(F22)=0),"НЕ ЗАПОЛНЕНО: основание, описание, сумма, документ и подпись",IF(NOT(OR(B22="материалы переданы генподрядчику",B22="материалы и оборудование остались на объекте",B22="затраты на мобилизацию и демобилизацию",B22="гарантийное удержание из оплаченных актов",B22="иное")),"ОШИБКА: неизвестное основание встречной суммы",IF(NOT(ISNUMBER(D22)),"ОШИБКА: сумма должна быть числом",IF(D22&lt;0,"ОШИБКА: отрицательная сумма",IF(AND(F22&lt;&gt;"да",F22&lt;&gt;"нет"),"ОШИБКА: подпись — выберите да или нет",IF(F22="нет","ПРОВЕРЬТЕ: самостоятельное основание и доказательства","строка заполнена")))))))</f>
        <v/>
      </c>
    </row>
    <row r="23" ht="45" customHeight="1">
      <c r="A23" s="15">
        <f>IF(C23="","",ROW()-5)</f>
        <v/>
      </c>
      <c r="B23" s="16" t="n"/>
      <c r="C23" s="16" t="n"/>
      <c r="D23" s="17" t="n"/>
      <c r="E23" s="16" t="n"/>
      <c r="F23" s="16" t="n"/>
      <c r="G23" s="15">
        <f>IF(COUNTA(B23:F23)=0,"",IF(OR(LEN(B23)=0,LEN(C23)=0,LEN(D23)=0,LEN(E23)=0,LEN(F23)=0),"НЕ ЗАПОЛНЕНО: основание, описание, сумма, документ и подпись",IF(NOT(OR(B23="материалы переданы генподрядчику",B23="материалы и оборудование остались на объекте",B23="затраты на мобилизацию и демобилизацию",B23="гарантийное удержание из оплаченных актов",B23="иное")),"ОШИБКА: неизвестное основание встречной суммы",IF(NOT(ISNUMBER(D23)),"ОШИБКА: сумма должна быть числом",IF(D23&lt;0,"ОШИБКА: отрицательная сумма",IF(AND(F23&lt;&gt;"да",F23&lt;&gt;"нет"),"ОШИБКА: подпись — выберите да или нет",IF(F23="нет","ПРОВЕРЬТЕ: самостоятельное основание и доказательства","строка заполнена")))))))</f>
        <v/>
      </c>
    </row>
    <row r="24" ht="45" customHeight="1">
      <c r="A24" s="15">
        <f>IF(C24="","",ROW()-5)</f>
        <v/>
      </c>
      <c r="B24" s="16" t="n"/>
      <c r="C24" s="16" t="n"/>
      <c r="D24" s="17" t="n"/>
      <c r="E24" s="16" t="n"/>
      <c r="F24" s="16" t="n"/>
      <c r="G24" s="15">
        <f>IF(COUNTA(B24:F24)=0,"",IF(OR(LEN(B24)=0,LEN(C24)=0,LEN(D24)=0,LEN(E24)=0,LEN(F24)=0),"НЕ ЗАПОЛНЕНО: основание, описание, сумма, документ и подпись",IF(NOT(OR(B24="материалы переданы генподрядчику",B24="материалы и оборудование остались на объекте",B24="затраты на мобилизацию и демобилизацию",B24="гарантийное удержание из оплаченных актов",B24="иное")),"ОШИБКА: неизвестное основание встречной суммы",IF(NOT(ISNUMBER(D24)),"ОШИБКА: сумма должна быть числом",IF(D24&lt;0,"ОШИБКА: отрицательная сумма",IF(AND(F24&lt;&gt;"да",F24&lt;&gt;"нет"),"ОШИБКА: подпись — выберите да или нет",IF(F24="нет","ПРОВЕРЬТЕ: самостоятельное основание и доказательства","строка заполнена")))))))</f>
        <v/>
      </c>
    </row>
    <row r="25" ht="45" customHeight="1">
      <c r="A25" s="15">
        <f>IF(C25="","",ROW()-5)</f>
        <v/>
      </c>
      <c r="B25" s="16" t="n"/>
      <c r="C25" s="16" t="n"/>
      <c r="D25" s="17" t="n"/>
      <c r="E25" s="16" t="n"/>
      <c r="F25" s="16" t="n"/>
      <c r="G25" s="15">
        <f>IF(COUNTA(B25:F25)=0,"",IF(OR(LEN(B25)=0,LEN(C25)=0,LEN(D25)=0,LEN(E25)=0,LEN(F25)=0),"НЕ ЗАПОЛНЕНО: основание, описание, сумма, документ и подпись",IF(NOT(OR(B25="материалы переданы генподрядчику",B25="материалы и оборудование остались на объекте",B25="затраты на мобилизацию и демобилизацию",B25="гарантийное удержание из оплаченных актов",B25="иное")),"ОШИБКА: неизвестное основание встречной суммы",IF(NOT(ISNUMBER(D25)),"ОШИБКА: сумма должна быть числом",IF(D25&lt;0,"ОШИБКА: отрицательная сумма",IF(AND(F25&lt;&gt;"да",F25&lt;&gt;"нет"),"ОШИБКА: подпись — выберите да или нет",IF(F25="нет","ПРОВЕРЬТЕ: самостоятельное основание и доказательства","строка заполнена")))))))</f>
        <v/>
      </c>
    </row>
    <row r="26" ht="45" customHeight="1">
      <c r="A26" s="15">
        <f>IF(C26="","",ROW()-5)</f>
        <v/>
      </c>
      <c r="B26" s="16" t="n"/>
      <c r="C26" s="16" t="n"/>
      <c r="D26" s="17" t="n"/>
      <c r="E26" s="16" t="n"/>
      <c r="F26" s="16" t="n"/>
      <c r="G26" s="15">
        <f>IF(COUNTA(B26:F26)=0,"",IF(OR(LEN(B26)=0,LEN(C26)=0,LEN(D26)=0,LEN(E26)=0,LEN(F26)=0),"НЕ ЗАПОЛНЕНО: основание, описание, сумма, документ и подпись",IF(NOT(OR(B26="материалы переданы генподрядчику",B26="материалы и оборудование остались на объекте",B26="затраты на мобилизацию и демобилизацию",B26="гарантийное удержание из оплаченных актов",B26="иное")),"ОШИБКА: неизвестное основание встречной суммы",IF(NOT(ISNUMBER(D26)),"ОШИБКА: сумма должна быть числом",IF(D26&lt;0,"ОШИБКА: отрицательная сумма",IF(AND(F26&lt;&gt;"да",F26&lt;&gt;"нет"),"ОШИБКА: подпись — выберите да или нет",IF(F26="нет","ПРОВЕРЬТЕ: самостоятельное основание и доказательства","строка заполнена")))))))</f>
        <v/>
      </c>
    </row>
    <row r="27" ht="45" customHeight="1">
      <c r="A27" s="15">
        <f>IF(C27="","",ROW()-5)</f>
        <v/>
      </c>
      <c r="B27" s="16" t="n"/>
      <c r="C27" s="16" t="n"/>
      <c r="D27" s="17" t="n"/>
      <c r="E27" s="16" t="n"/>
      <c r="F27" s="16" t="n"/>
      <c r="G27" s="15">
        <f>IF(COUNTA(B27:F27)=0,"",IF(OR(LEN(B27)=0,LEN(C27)=0,LEN(D27)=0,LEN(E27)=0,LEN(F27)=0),"НЕ ЗАПОЛНЕНО: основание, описание, сумма, документ и подпись",IF(NOT(OR(B27="материалы переданы генподрядчику",B27="материалы и оборудование остались на объекте",B27="затраты на мобилизацию и демобилизацию",B27="гарантийное удержание из оплаченных актов",B27="иное")),"ОШИБКА: неизвестное основание встречной суммы",IF(NOT(ISNUMBER(D27)),"ОШИБКА: сумма должна быть числом",IF(D27&lt;0,"ОШИБКА: отрицательная сумма",IF(AND(F27&lt;&gt;"да",F27&lt;&gt;"нет"),"ОШИБКА: подпись — выберите да или нет",IF(F27="нет","ПРОВЕРЬТЕ: самостоятельное основание и доказательства","строка заполнена")))))))</f>
        <v/>
      </c>
    </row>
    <row r="28" ht="45" customHeight="1">
      <c r="A28" s="15">
        <f>IF(C28="","",ROW()-5)</f>
        <v/>
      </c>
      <c r="B28" s="16" t="n"/>
      <c r="C28" s="16" t="n"/>
      <c r="D28" s="17" t="n"/>
      <c r="E28" s="16" t="n"/>
      <c r="F28" s="16" t="n"/>
      <c r="G28" s="15">
        <f>IF(COUNTA(B28:F28)=0,"",IF(OR(LEN(B28)=0,LEN(C28)=0,LEN(D28)=0,LEN(E28)=0,LEN(F28)=0),"НЕ ЗАПОЛНЕНО: основание, описание, сумма, документ и подпись",IF(NOT(OR(B28="материалы переданы генподрядчику",B28="материалы и оборудование остались на объекте",B28="затраты на мобилизацию и демобилизацию",B28="гарантийное удержание из оплаченных актов",B28="иное")),"ОШИБКА: неизвестное основание встречной суммы",IF(NOT(ISNUMBER(D28)),"ОШИБКА: сумма должна быть числом",IF(D28&lt;0,"ОШИБКА: отрицательная сумма",IF(AND(F28&lt;&gt;"да",F28&lt;&gt;"нет"),"ОШИБКА: подпись — выберите да или нет",IF(F28="нет","ПРОВЕРЬТЕ: самостоятельное основание и доказательства","строка заполнена")))))))</f>
        <v/>
      </c>
    </row>
    <row r="29" ht="45" customHeight="1">
      <c r="A29" s="15">
        <f>IF(C29="","",ROW()-5)</f>
        <v/>
      </c>
      <c r="B29" s="16" t="n"/>
      <c r="C29" s="16" t="n"/>
      <c r="D29" s="17" t="n"/>
      <c r="E29" s="16" t="n"/>
      <c r="F29" s="16" t="n"/>
      <c r="G29" s="15">
        <f>IF(COUNTA(B29:F29)=0,"",IF(OR(LEN(B29)=0,LEN(C29)=0,LEN(D29)=0,LEN(E29)=0,LEN(F29)=0),"НЕ ЗАПОЛНЕНО: основание, описание, сумма, документ и подпись",IF(NOT(OR(B29="материалы переданы генподрядчику",B29="материалы и оборудование остались на объекте",B29="затраты на мобилизацию и демобилизацию",B29="гарантийное удержание из оплаченных актов",B29="иное")),"ОШИБКА: неизвестное основание встречной суммы",IF(NOT(ISNUMBER(D29)),"ОШИБКА: сумма должна быть числом",IF(D29&lt;0,"ОШИБКА: отрицательная сумма",IF(AND(F29&lt;&gt;"да",F29&lt;&gt;"нет"),"ОШИБКА: подпись — выберите да или нет",IF(F29="нет","ПРОВЕРЬТЕ: самостоятельное основание и доказательства","строка заполнена")))))))</f>
        <v/>
      </c>
    </row>
    <row r="30" ht="45" customHeight="1">
      <c r="A30" s="15">
        <f>IF(C30="","",ROW()-5)</f>
        <v/>
      </c>
      <c r="B30" s="16" t="n"/>
      <c r="C30" s="16" t="n"/>
      <c r="D30" s="17" t="n"/>
      <c r="E30" s="16" t="n"/>
      <c r="F30" s="16" t="n"/>
      <c r="G30" s="15">
        <f>IF(COUNTA(B30:F30)=0,"",IF(OR(LEN(B30)=0,LEN(C30)=0,LEN(D30)=0,LEN(E30)=0,LEN(F30)=0),"НЕ ЗАПОЛНЕНО: основание, описание, сумма, документ и подпись",IF(NOT(OR(B30="материалы переданы генподрядчику",B30="материалы и оборудование остались на объекте",B30="затраты на мобилизацию и демобилизацию",B30="гарантийное удержание из оплаченных актов",B30="иное")),"ОШИБКА: неизвестное основание встречной суммы",IF(NOT(ISNUMBER(D30)),"ОШИБКА: сумма должна быть числом",IF(D30&lt;0,"ОШИБКА: отрицательная сумма",IF(AND(F30&lt;&gt;"да",F30&lt;&gt;"нет"),"ОШИБКА: подпись — выберите да или нет",IF(F30="нет","ПРОВЕРЬТЕ: самостоятельное основание и доказательства","строка заполнена")))))))</f>
        <v/>
      </c>
    </row>
    <row r="31">
      <c r="A31" s="2" t="inlineStr">
        <is>
          <t>Итоги по основаниям</t>
        </is>
      </c>
    </row>
    <row r="32">
      <c r="A32" s="20" t="inlineStr">
        <is>
          <t>материалы переданы генподрядчику</t>
        </is>
      </c>
      <c r="D32" s="22">
        <f>SUMIF(B6:B30,"материалы переданы генподрядчику",D6:D30)</f>
        <v/>
      </c>
    </row>
    <row r="33">
      <c r="A33" s="20" t="inlineStr">
        <is>
          <t>материалы и оборудование остались на объекте</t>
        </is>
      </c>
      <c r="D33" s="22">
        <f>SUMIF(B6:B30,"материалы и оборудование остались на объекте",D6:D30)</f>
        <v/>
      </c>
    </row>
    <row r="34">
      <c r="A34" s="20" t="inlineStr">
        <is>
          <t>затраты на мобилизацию и демобилизацию</t>
        </is>
      </c>
      <c r="D34" s="22">
        <f>SUMIF(B6:B30,"затраты на мобилизацию и демобилизацию",D6:D30)</f>
        <v/>
      </c>
    </row>
    <row r="35">
      <c r="A35" s="20" t="inlineStr">
        <is>
          <t>гарантийное удержание из оплаченных актов</t>
        </is>
      </c>
      <c r="D35" s="22">
        <f>SUMIF(B6:B30,"гарантийное удержание из оплаченных актов",D6:D30)</f>
        <v/>
      </c>
    </row>
    <row r="36">
      <c r="A36" s="20" t="inlineStr">
        <is>
          <t>иное</t>
        </is>
      </c>
      <c r="D36" s="22">
        <f>SUMIF(B6:B30,"иное",D6:D30)</f>
        <v/>
      </c>
    </row>
    <row r="37">
      <c r="A37" s="10" t="inlineStr">
        <is>
          <t>Итого заявляется встречного</t>
        </is>
      </c>
      <c r="D37" s="23">
        <f>SUM(D6:D30)</f>
        <v/>
      </c>
    </row>
    <row r="38">
      <c r="A38" s="10" t="inlineStr">
        <is>
          <t>Строк с ошибками или незаполненными данными</t>
        </is>
      </c>
      <c r="D38" s="21">
        <f>SUMPRODUCT(--(LEFT(G6:G30,6)="ОШИБКА"))+SUMPRODUCT(--(LEFT(G6:G30,12)="НЕ ЗАПОЛНЕНО"))</f>
        <v/>
      </c>
    </row>
    <row r="40" ht="30" customHeight="1">
      <c r="A40" s="4" t="inlineStr">
        <is>
          <t xml:space="preserve">По гарантийному удержанию укажите сумму, основание, договорное условие и срок возврата. Сверьте, что эта сумма не учтена повторно в задолженности по актам. Если срок возврата не наступил, отразите это в расчёте и ответе на требование.</t>
        </is>
      </c>
    </row>
    <row r="41" ht="30" customHeight="1">
      <c r="A41" s="4" t="inlineStr">
        <is>
          <t>Для затрат на объект приложите первичные документы и отдельно проверьте договорное основание их включения в расчёт.</t>
        </is>
      </c>
    </row>
  </sheetData>
  <mergeCells count="12">
    <mergeCell ref="A33:C33"/>
    <mergeCell ref="A36:C36"/>
    <mergeCell ref="A1:G1"/>
    <mergeCell ref="A40:G40"/>
    <mergeCell ref="A31:G31"/>
    <mergeCell ref="A32:C32"/>
    <mergeCell ref="A3:G3"/>
    <mergeCell ref="A37:C37"/>
    <mergeCell ref="A34:C34"/>
    <mergeCell ref="A35:C35"/>
    <mergeCell ref="A41:G41"/>
    <mergeCell ref="A38:C38"/>
  </mergeCells>
  <dataValidations count="2">
    <dataValidation type="list" errorStyle="stop" allowBlank="0" showDropDown="0" showErrorMessage="1" errorTitle="Проверка ввода" error="Выберите основание встречной суммы." sqref="B6:B30">
      <formula1>"материалы переданы генподрядчику,материалы и оборудование остались на объекте,затраты на мобилизацию и демобилизацию,гарантийное удержание из оплаченных актов,иное"</formula1>
    </dataValidation>
    <dataValidation type="list" errorStyle="stop" allowBlank="0" showDropDown="0" showErrorMessage="1" errorTitle="Проверка ввода" error="Выберите да или нет." sqref="F6:F30">
      <formula1>"да,нет"</formula1>
    </dataValidation>
  </dataValidations>
  <pageMargins left="0.75" right="0.75" top="1" bottom="1" header="0.5" footer="0.5"/>
  <pageSetup orientation="landscape" paperSize="8" fitToHeight="0" fitToWidth="1"/>
  <rowBreaks count="2" manualBreakCount="2">
    <brk id="15" min="0" max="16383" man="1"/>
    <brk id="25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44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48" customWidth="1" min="3" max="3"/>
  </cols>
  <sheetData>
    <row r="1" ht="22" customHeight="1">
      <c r="A1" s="1" t="inlineStr">
        <is>
          <t>Сальдо расчётов по договору</t>
        </is>
      </c>
    </row>
    <row r="3" ht="26" customHeight="1">
      <c r="A3" s="4" t="inlineStr">
        <is>
          <t>Если расчёт не завершён, итог не выводится. Исправьте ошибки и пустые обязательные поля. Правовое основание каждой заявляемой суммы проверяйте отдельно.</t>
        </is>
      </c>
    </row>
    <row r="5">
      <c r="A5" s="2" t="inlineStr">
        <is>
          <t>Поступило от генподрядчика</t>
        </is>
      </c>
    </row>
    <row r="6" ht="30" customHeight="1">
      <c r="A6" s="3" t="inlineStr">
        <is>
          <t>Аванс получен всего</t>
        </is>
      </c>
      <c r="B6" s="8">
        <f>'Договор и аванс'!B6</f>
        <v/>
      </c>
      <c r="C6" s="4" t="inlineStr">
        <is>
          <t>лист «Договор и аванс»</t>
        </is>
      </c>
    </row>
    <row r="7" ht="30" customHeight="1">
      <c r="A7" s="3" t="inlineStr">
        <is>
          <t>Оплачено деньгами по актам</t>
        </is>
      </c>
      <c r="B7" s="8">
        <f>SUM('Выполнено'!J6:J45)</f>
        <v/>
      </c>
      <c r="C7" s="4" t="inlineStr">
        <is>
          <t>лист «Выполнено», колонка «Оплачено деньгами», все строки</t>
        </is>
      </c>
    </row>
    <row r="8" ht="30" customHeight="1">
      <c r="A8" s="20" t="inlineStr">
        <is>
          <t>Итого поступило</t>
        </is>
      </c>
      <c r="B8" s="23">
        <f>IF(AND(ISNUMBER(B6),ISNUMBER(B7)),ROUND(B6+B7,2),"")</f>
        <v/>
      </c>
      <c r="C8" s="4" t="inlineStr"/>
    </row>
    <row r="10">
      <c r="A10" s="2" t="inlineStr">
        <is>
          <t>Принято работ</t>
        </is>
      </c>
    </row>
    <row r="11" ht="30" customHeight="1">
      <c r="A11" s="3" t="inlineStr">
        <is>
          <t>Стоимость работ по актам, подписанным обеими сторонами</t>
        </is>
      </c>
      <c r="B11" s="8">
        <f>SUMIF('Выполнено'!F6:F45,"подписан обеими сторонами",'Выполнено'!E6:E45)</f>
        <v/>
      </c>
      <c r="C11" s="4" t="inlineStr">
        <is>
          <t>часть выполненного, подтверждённая обеими сторонами</t>
        </is>
      </c>
    </row>
    <row r="12" ht="30" customHeight="1">
      <c r="A12" s="3" t="inlineStr">
        <is>
          <t xml:space="preserve">В том числе погашение аванса</t>
        </is>
      </c>
      <c r="B12" s="8">
        <f>SUMIFS('Выполнено'!I6:I45,'Выполнено'!F6:F45,"подписан обеими сторонами")</f>
        <v/>
      </c>
      <c r="C12" s="4" t="inlineStr"/>
    </row>
    <row r="13" ht="30" customHeight="1">
      <c r="A13" s="3" t="inlineStr">
        <is>
          <t>в том числе оплачено деньгами</t>
        </is>
      </c>
      <c r="B13" s="8">
        <f>SUMIFS('Выполнено'!J6:J45,'Выполнено'!F6:F45,"подписан обеими сторонами")</f>
        <v/>
      </c>
      <c r="C13" s="4" t="inlineStr"/>
    </row>
    <row r="14" ht="30" customHeight="1">
      <c r="A14" s="3" t="inlineStr">
        <is>
          <t>не оплачено по подписанным актам</t>
        </is>
      </c>
      <c r="B14" s="8">
        <f>ROUND(B11-B12-B13,2)</f>
        <v/>
      </c>
      <c r="C14" s="4" t="inlineStr">
        <is>
          <t>задолженность генподрядчика перед вами по документам, подписанным обеими сторонами</t>
        </is>
      </c>
    </row>
    <row r="16">
      <c r="A16" s="2" t="inlineStr">
        <is>
          <t>Не закрытая актами часть</t>
        </is>
      </c>
    </row>
    <row r="17" ht="60" customHeight="1">
      <c r="A17" s="20" t="inlineStr">
        <is>
          <t>Аванс, не закрытый двусторонними актами</t>
        </is>
      </c>
      <c r="B17" s="23">
        <f>'Договор и аванс'!B17</f>
        <v/>
      </c>
      <c r="C17" s="4" t="inlineStr">
        <is>
          <t xml:space="preserve">Разница между фактически полученным авансом и его погашением по двусторонним актам. Сопоставьте её с основанием и размером требования о возврате.</t>
        </is>
      </c>
    </row>
    <row r="19">
      <c r="A19" s="2" t="inlineStr">
        <is>
          <t xml:space="preserve">Документально подтверждённые встречные суммы</t>
        </is>
      </c>
    </row>
    <row r="20" ht="30" customHeight="1">
      <c r="A20" s="3" t="inlineStr">
        <is>
          <t>Неоплаченный остаток: акты переданы, не подписаны</t>
        </is>
      </c>
      <c r="B20" s="8">
        <f>SUMIF('Выполнено'!F6:F45,"передан, не подписан",'Выполнено'!K6:K45)</f>
        <v/>
      </c>
      <c r="C20" s="4" t="inlineStr">
        <is>
          <t>Стоимость за вычетом отнесённой денежной оплаты. Проверьте объём, передачу и основание требования.</t>
        </is>
      </c>
    </row>
    <row r="21" ht="60" customHeight="1">
      <c r="A21" s="3" t="inlineStr">
        <is>
          <t>Неоплаченный остаток: односторонние акты</t>
        </is>
      </c>
      <c r="B21" s="8">
        <f>SUMIF('Выполнено'!F6:F45,"подписан односторонне",'Выполнено'!K6:K45)</f>
        <v/>
      </c>
      <c r="C21" s="4" t="inlineStr">
        <is>
          <t>Стоимость за вычетом отнесённой денежной оплаты. Статус акта и основания по п. 4 ст. 753 ГК РФ проверяются отдельно.</t>
        </is>
      </c>
    </row>
    <row r="22" ht="30" customHeight="1">
      <c r="A22" s="3" t="inlineStr">
        <is>
          <t>Материалы и оборудование</t>
        </is>
      </c>
      <c r="B22" s="8">
        <f>SUMIF('Встречное'!B6:B30,"материалы переданы генподрядчику",'Встречное'!D6:D30)+SUMIF('Встречное'!B6:B30,"материалы и оборудование остались на объекте",'Встречное'!D6:D30)</f>
        <v/>
      </c>
      <c r="C22" s="4" t="inlineStr"/>
    </row>
    <row r="23" ht="48" customHeight="1">
      <c r="A23" s="3" t="inlineStr">
        <is>
          <t>Затраты на мобилизацию и демобилизацию</t>
        </is>
      </c>
      <c r="B23" s="8">
        <f>SUMIF('Встречное'!B6:B30,"затраты на мобилизацию и демобилизацию",'Встречное'!D6:D30)</f>
        <v/>
      </c>
      <c r="C23" s="4" t="inlineStr">
        <is>
          <t xml:space="preserve">Проверьте основание прекращения договора и документы о фактически понесённых расходах.</t>
        </is>
      </c>
    </row>
    <row r="24" ht="48" customHeight="1">
      <c r="A24" s="3" t="inlineStr">
        <is>
          <t>Гарантийное удержание из оплаченных актов</t>
        </is>
      </c>
      <c r="B24" s="8">
        <f>SUMIF('Встречное'!B6:B30,"гарантийное удержание из оплаченных актов",'Встречное'!D6:D30)</f>
        <v/>
      </c>
      <c r="C24" s="4" t="inlineStr">
        <is>
          <t xml:space="preserve">Укажите договорное основание, событие и срок возврата удержания.</t>
        </is>
      </c>
    </row>
    <row r="25" ht="30" customHeight="1">
      <c r="A25" s="3" t="inlineStr">
        <is>
          <t>Иное</t>
        </is>
      </c>
      <c r="B25" s="8">
        <f>SUMIF('Встречное'!B6:B30,"иное",'Встречное'!D6:D30)</f>
        <v/>
      </c>
      <c r="C25" s="4" t="inlineStr"/>
    </row>
    <row r="26" ht="30" customHeight="1">
      <c r="A26" s="3" t="inlineStr">
        <is>
          <t>Задолженность по принятым и не оплаченным работам</t>
        </is>
      </c>
      <c r="B26" s="8">
        <f>B14</f>
        <v/>
      </c>
      <c r="C26" s="4" t="inlineStr">
        <is>
          <t>из блока «Принято работ»</t>
        </is>
      </c>
    </row>
    <row r="27" ht="30" customHeight="1">
      <c r="A27" s="20" t="inlineStr">
        <is>
          <t>Итого заявляется против возврата</t>
        </is>
      </c>
      <c r="B27" s="23">
        <f>ROUND(SUM(B20:B26),2)</f>
        <v/>
      </c>
      <c r="C27" s="4" t="inlineStr"/>
    </row>
    <row r="29">
      <c r="A29" s="2" t="inlineStr">
        <is>
          <t>Итог</t>
        </is>
      </c>
    </row>
    <row r="30" ht="30" customHeight="1">
      <c r="A30" s="3" t="inlineStr">
        <is>
          <t>Требуют вернуть</t>
        </is>
      </c>
      <c r="B30" s="8">
        <f>'Договор и аванс'!B11</f>
        <v/>
      </c>
      <c r="C30" s="4" t="inlineStr">
        <is>
          <t>из требования</t>
        </is>
      </c>
    </row>
    <row r="31" ht="48" customHeight="1">
      <c r="A31" s="20" t="inlineStr">
        <is>
          <t>Не закрыто двусторонними актами</t>
        </is>
      </c>
      <c r="B31" s="23">
        <f>B17</f>
        <v/>
      </c>
      <c r="C31" s="4" t="inlineStr">
        <is>
          <t xml:space="preserve">Проверьте основание возврата с учётом условий прекращения и фактического исполнения договора.</t>
        </is>
      </c>
    </row>
    <row r="32" ht="72" customHeight="1">
      <c r="A32" s="20" t="inlineStr">
        <is>
          <t>Сальдо с учётом заявленного встречного</t>
        </is>
      </c>
      <c r="B32" s="23">
        <f>IF('Договор и аванс'!B19&lt;&gt;"заполнено","",IF(OR('Выполнено'!E55&gt;0,'Встречное'!D38&gt;0,B12&gt;B6+0.01,B37&lt;&gt;"Расхождений не выявлено"),"",ROUND(B17-B27,2)))</f>
        <v/>
      </c>
      <c r="C32" s="4" t="inlineStr">
        <is>
          <t xml:space="preserve">Положительное сальдо — расчётная сумма к возврату; отрицательное — расчётная задолженность перед Субподрядчиком. Каждую встречную сумму подтвердите документами.</t>
        </is>
      </c>
    </row>
    <row r="33" ht="30" customHeight="1">
      <c r="A33" s="3" t="inlineStr">
        <is>
          <t>Направление сальдо</t>
        </is>
      </c>
      <c r="B33" s="24">
        <f>IF(NOT(ISNUMBER(B32)),"Расчёт не завершён",IF(B32&gt;0,"к возврату генподрядчику",IF(B32&lt;0,"К оплате Субподрядчику","ноль")))</f>
        <v/>
      </c>
      <c r="C33" s="4" t="inlineStr"/>
    </row>
    <row r="34" ht="30" customHeight="1">
      <c r="A34" s="3" t="inlineStr">
        <is>
          <t>Расхождение между требованием и незакрытой частью</t>
        </is>
      </c>
      <c r="B34" s="8">
        <f>IF(AND(ISNUMBER(B30),ISNUMBER(B31)),ROUND(B30-B31,2),"")</f>
        <v/>
      </c>
      <c r="C34" s="4" t="inlineStr">
        <is>
          <t xml:space="preserve">Разница между заявленным требованием и авансом, не погашенным по двусторонним актам.</t>
        </is>
      </c>
    </row>
    <row r="36">
      <c r="A36" s="2" t="inlineStr">
        <is>
          <t>Проверки</t>
        </is>
      </c>
    </row>
    <row r="37" ht="90" customHeight="1">
      <c r="A37" s="3" t="inlineStr">
        <is>
          <t>Сальдо сходится двумя способами</t>
        </is>
      </c>
      <c r="B37" s="25">
        <f>IFERROR(IF(ABS(ROUND(B6+B7-B11-SUMIF('Выполнено'!F6:F45,"передан, не подписан",'Выполнено'!E6:E45)-SUMIF('Выполнено'!F6:F45,"подписан односторонне",'Выполнено'!E6:E45)-SUM(B22:B25),2)-ROUND(B17-B27,2))&lt;0.01,"Расхождений не выявлено","ПРОВЕРЬТЕ: отнесение оплат и погашение аванса"),"ПРОВЕРЬТЕ: числовые исходные данные")</f>
        <v/>
      </c>
      <c r="C37" s="4" t="inlineStr">
        <is>
          <t>Сверка поступлений, стоимости включённых актов и встречных сумм. Платежи по исключённым актам и погашение сверх аванса требуют разбора.</t>
        </is>
      </c>
    </row>
    <row r="38" ht="32" customHeight="1">
      <c r="A38" s="3" t="inlineStr">
        <is>
          <t>Ошибки в реестре «Выполнено»</t>
        </is>
      </c>
      <c r="B38" s="25">
        <f>IF('Выполнено'!E55=0,"нет","ПРОВЕРЬТЕ: незавершённых/ошибочных строк — "&amp;'Выполнено'!E55)</f>
        <v/>
      </c>
      <c r="C38" s="4" t="inlineStr">
        <is>
          <t>колонка «Проверка» на листе «Выполнено»</t>
        </is>
      </c>
    </row>
    <row r="39" ht="32" customHeight="1">
      <c r="A39" s="3" t="inlineStr">
        <is>
          <t>Ошибки в реестре «Встречное»</t>
        </is>
      </c>
      <c r="B39" s="25">
        <f>IF('Встречное'!D38=0,"нет","ПРОВЕРЬТЕ: незавершённых/ошибочных строк — "&amp;'Встречное'!D38)</f>
        <v/>
      </c>
      <c r="C39" s="4" t="inlineStr">
        <is>
          <t xml:space="preserve">Укажите подтверждающий документ для каждой включённой суммы.</t>
        </is>
      </c>
    </row>
    <row r="40" ht="32" customHeight="1">
      <c r="A40" s="3" t="inlineStr">
        <is>
          <t>Заполнение листа «Договор и аванс»</t>
        </is>
      </c>
      <c r="B40" s="25">
        <f>'Договор и аванс'!B19</f>
        <v/>
      </c>
      <c r="C40" s="4" t="inlineStr"/>
    </row>
    <row r="41" ht="60" customHeight="1">
      <c r="A41" s="3" t="inlineStr">
        <is>
          <t>Требование больше полученного аванса</t>
        </is>
      </c>
      <c r="B41" s="25">
        <f>IF(B30&gt;B6+0.01,"ПРОВЕРЬТЕ: сумма требования превышает полученный аванс.","нет")</f>
      </c>
      <c r="C41" s="4" t="inlineStr">
        <is>
          <t xml:space="preserve">Сверьте размер требования с фактически полученным авансом и составом поступлений.</t>
        </is>
      </c>
    </row>
    <row r="42" ht="60" customHeight="1">
      <c r="A42" s="3" t="inlineStr">
        <is>
          <t>Есть акты, переданные без подтверждения передачи</t>
        </is>
      </c>
      <c r="B42" s="25">
        <f>IF(COUNTIFS('Выполнено'!F6:F45,"передан, не подписан",'Выполнено'!H6:H45,"")=0,"нет","ПРОВЕРЬТЕ: неподписанных актов без доказательства передачи — "&amp;COUNTIFS('Выполнено'!F6:F45,"передан, не подписан",'Выполнено'!H6:H45,""))</f>
        <v/>
      </c>
      <c r="C42" s="4" t="inlineStr">
        <is>
          <t xml:space="preserve">Подтвердите передачу актов описью, квитанцией ЭДО, почтовыми документами или отметкой получателя.</t>
        </is>
      </c>
    </row>
    <row r="44" ht="46" customHeight="1">
      <c r="A44" s="4" t="inlineStr">
        <is>
          <t xml:space="preserve">Сопоставьте расчётное сальдо с требованием второй стороны. По каждому расхождению укажите сумму, основание и подтверждающий документ. Разделите согласованные позиции и спорные требования для подготовки ответа.</t>
        </is>
      </c>
    </row>
  </sheetData>
  <mergeCells count="9">
    <mergeCell ref="A10:C10"/>
    <mergeCell ref="A19:C19"/>
    <mergeCell ref="A36:C36"/>
    <mergeCell ref="A44:C44"/>
    <mergeCell ref="A1:C1"/>
    <mergeCell ref="A5:C5"/>
    <mergeCell ref="A3:C3"/>
    <mergeCell ref="A29:C29"/>
    <mergeCell ref="A16:C16"/>
  </mergeCells>
  <pageMargins left="0.75" right="0.75" top="1" bottom="1" header="0.5" footer="0.5"/>
  <pageSetup orientation="landscape" paperSize="9" fitToHeight="0" fitToWidth="1"/>
  <rowBreaks count="3" manualBreakCount="3">
    <brk id="18" min="0" max="16383" man="1"/>
    <brk id="28" min="0" max="16383" man="1"/>
    <brk id="35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40" customWidth="1" min="4" max="4"/>
  </cols>
  <sheetData>
    <row r="1" ht="22" customHeight="1">
      <c r="A1" s="1" t="inlineStr">
        <is>
          <t>Акт сверки взаимных расчётов — печатная форма</t>
        </is>
      </c>
    </row>
    <row r="3" ht="30" customHeight="1">
      <c r="A3" s="4" t="inlineStr">
        <is>
          <t xml:space="preserve">Показатели акта сверки связаны с исходными листами. Исправления сумм вносите в соответствующий реестр, затем повторно проверьте итоговую форму.</t>
        </is>
      </c>
    </row>
    <row r="4" ht="30" customHeight="1">
      <c r="A4" s="26" t="inlineStr">
        <is>
          <t>Подписывайте акт сверки после сопоставления актов и платежей с расчётом обеих сторон.</t>
        </is>
      </c>
    </row>
    <row r="6">
      <c r="A6" s="27" t="inlineStr">
        <is>
          <t>АКТ СВЕРКИ ВЗАИМНЫХ РАСЧЁТОВ</t>
        </is>
      </c>
    </row>
    <row r="7">
      <c r="A7" s="28" t="inlineStr">
        <is>
          <t>по договору субподряда № ________ от __________ по состоянию на __________</t>
        </is>
      </c>
    </row>
    <row r="8" ht="36" customHeight="1">
      <c r="A8" s="33" t="inlineStr">
        <is>
          <t xml:space="preserve">Субподрядчик: {{НАИМЕНОВАНИЕ_СУБПОДРЯДЧИКА}}. Генподрядчик: {{НАИМЕНОВАНИЕ_ГЕНПОДРЯДЧИКА}}.</t>
        </is>
      </c>
    </row>
    <row r="9">
      <c r="A9" s="10" t="inlineStr">
        <is>
          <t>По данным Субподрядчика</t>
        </is>
      </c>
    </row>
    <row r="10" ht="32" customHeight="1">
      <c r="A10" s="14" t="inlineStr">
        <is>
          <t>Основание</t>
        </is>
      </c>
      <c r="B10" s="14" t="inlineStr">
        <is>
          <t>Дебет (за генподрядчиком)</t>
        </is>
      </c>
      <c r="C10" s="14" t="inlineStr">
        <is>
          <t>Кредит (за субподрядчиком)</t>
        </is>
      </c>
      <c r="D10" s="14" t="inlineStr">
        <is>
          <t xml:space="preserve">Подтверждающие документы</t>
        </is>
      </c>
    </row>
    <row r="11" ht="28" customHeight="1">
      <c r="A11" s="3" t="inlineStr">
        <is>
          <t>Сальдо на начало расчётов</t>
        </is>
      </c>
      <c r="B11" s="29" t="n">
        <v>0</v>
      </c>
      <c r="C11" s="29" t="n">
        <v>0</v>
      </c>
      <c r="D11" s="4" t="inlineStr">
        <is>
          <t xml:space="preserve">{{ОСНОВАНИЕ_НАЧАЛЬНОГО_САЛЬДО}}</t>
        </is>
      </c>
    </row>
    <row r="12" ht="28" customHeight="1">
      <c r="A12" s="3" t="inlineStr">
        <is>
          <t>Работы приняты по актам, подписанным обеими сторонами</t>
        </is>
      </c>
      <c r="B12" s="30">
        <f>'Сальдо'!B11</f>
        <v/>
      </c>
      <c r="C12" s="29" t="n">
        <v>0</v>
      </c>
      <c r="D12" s="4" t="inlineStr">
        <is>
          <t xml:space="preserve">{{НОМЕРА_ДАТЫ_АКТОВ}}</t>
        </is>
      </c>
    </row>
    <row r="13" ht="28" customHeight="1">
      <c r="A13" s="3" t="inlineStr">
        <is>
          <t>Получен аванс</t>
        </is>
      </c>
      <c r="B13" s="29" t="n">
        <v>0</v>
      </c>
      <c r="C13" s="30">
        <f>'Сальдо'!B6</f>
        <v/>
      </c>
      <c r="D13" s="4" t="inlineStr">
        <is>
          <t xml:space="preserve">{{ПЛАТЕЖИ_АВАНСА}}</t>
        </is>
      </c>
    </row>
    <row r="14" ht="28" customHeight="1">
      <c r="A14" s="3" t="inlineStr">
        <is>
          <t>Оплачено деньгами по актам</t>
        </is>
      </c>
      <c r="B14" s="29" t="n">
        <v>0</v>
      </c>
      <c r="C14" s="30">
        <f>'Сальдо'!B7</f>
        <v/>
      </c>
      <c r="D14" s="4" t="inlineStr">
        <is>
          <t xml:space="preserve">{{ПЛАТЕЖИ_ЗА_РАБОТЫ}}</t>
        </is>
      </c>
    </row>
    <row r="15">
      <c r="A15" s="10" t="inlineStr">
        <is>
          <t>Обороты за период</t>
        </is>
      </c>
      <c r="B15" s="23">
        <f>ROUND(SUM(B11:B14),2)</f>
        <v/>
      </c>
      <c r="C15" s="23">
        <f>ROUND(SUM(C11:C14),2)</f>
        <v/>
      </c>
    </row>
    <row r="16" ht="36.0" customHeight="1">
      <c r="A16" s="10" t="inlineStr">
        <is>
          <t>Сальдо на конец периода</t>
        </is>
      </c>
      <c r="B16" s="23">
        <f>IF(NOT(ISNUMBER('Сальдо'!B32)),"",ROUND(B15-C15,2))</f>
        <v/>
      </c>
      <c r="D16" s="4" t="inlineStr">
        <is>
          <t xml:space="preserve">Положительное сальдо — задолженность Генподрядчика перед Субподрядчиком; отрицательное — задолженность Субподрядчика.</t>
        </is>
      </c>
    </row>
    <row r="18" ht="32" customHeight="1">
      <c r="A18" s="3">
        <f>IF(NOT(ISNUMBER(B16)),"Расчёт не завершён: проверьте исходные данные",IF(B16&lt;0,"По данным Субподрядчика на указанную дату за Субподрядчиком числится задолженность в размере, руб.:","По данным Субподрядчика на указанную дату за Генподрядчиком числится задолженность в размере, руб.:"))</f>
        <v/>
      </c>
      <c r="D18" s="23">
        <f>IF(NOT(ISNUMBER(B16)),"",ROUND(MAX(B16,-B16),2))</f>
        <v/>
      </c>
    </row>
    <row r="19" ht="46" customHeight="1">
      <c r="A19" s="3" t="inlineStr">
        <is>
          <t>Отдельно, вне сальдо настоящего акта, Субподрядчик заявляет о наличии выполненных и переданных работ, акты по которым Генподрядчиком не подписаны, а также о затратах и удержаниях, перечисленных в приложении к настоящему акту. Настоящий акт составлен по данным одной стороны и не является признанием сумм, в нём не отражённых.</t>
        </is>
      </c>
    </row>
    <row r="21" ht="42" customHeight="1">
      <c r="A21" s="33" t="inlineStr">
        <is>
          <t xml:space="preserve">От Субподрядчика
{{ДОЛЖНОСТЬ_ФИО_ПОЛНОМОЧИЯ}}</t>
        </is>
      </c>
      <c r="C21" s="33" t="inlineStr">
        <is>
          <t xml:space="preserve">От Генподрядчика
{{ДОЛЖНОСТЬ_ФИО_ПОЛНОМОЧИЯ}}</t>
        </is>
      </c>
    </row>
    <row r="22">
      <c r="A22" s="31" t="inlineStr">
        <is>
          <t>_______________ / ______________ /</t>
        </is>
      </c>
      <c r="C22" s="31" t="inlineStr">
        <is>
          <t>_______________ / ______________ /</t>
        </is>
      </c>
    </row>
    <row r="23">
      <c r="A23" s="31" t="inlineStr">
        <is>
          <t>М.П.</t>
        </is>
      </c>
      <c r="C23" s="31" t="inlineStr">
        <is>
          <t>М.П.</t>
        </is>
      </c>
    </row>
    <row r="25" ht="44" customHeight="1">
      <c r="A25" s="4" t="inlineStr">
        <is>
          <t xml:space="preserve">Направьте акт по согласованному договорному каналу. Сохраните подписанный экземпляр, подтверждение направления, получения и ответ второй стороны.</t>
        </is>
      </c>
    </row>
  </sheetData>
  <mergeCells count="11">
    <mergeCell ref="A1:D1"/>
    <mergeCell ref="A6:D6"/>
    <mergeCell ref="A4:D4"/>
    <mergeCell ref="A3:D3"/>
    <mergeCell ref="A18:C18"/>
    <mergeCell ref="A7:D7"/>
    <mergeCell ref="A25:D25"/>
    <mergeCell ref="A19:D19"/>
    <mergeCell ref="A8:D8"/>
    <mergeCell ref="A21:B21"/>
    <mergeCell ref="C21:D2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60" customWidth="1" min="3" max="3"/>
  </cols>
  <sheetData>
    <row r="1" ht="22" customHeight="1">
      <c r="A1" s="1" t="inlineStr">
        <is>
          <t>Пример заполнения — цифры условные</t>
        </is>
      </c>
    </row>
    <row r="3" ht="34" customHeight="1">
      <c r="A3" s="4" t="inlineStr">
        <is>
          <t xml:space="preserve">Учебный пример отражает порядок заполнения. Рабочий расчёт составьте по документам исполнения договора и платежам.</t>
        </is>
      </c>
    </row>
    <row r="5">
      <c r="A5" s="2" t="inlineStr">
        <is>
          <t>Лист «Договор и аванс»</t>
        </is>
      </c>
    </row>
    <row r="6" ht="28" customHeight="1">
      <c r="A6" s="3" t="inlineStr">
        <is>
          <t>Цена работ по договору</t>
        </is>
      </c>
      <c r="B6" s="32" t="inlineStr">
        <is>
          <t>12 000 000,00</t>
        </is>
      </c>
    </row>
    <row r="7" ht="28" customHeight="1">
      <c r="A7" s="3" t="inlineStr">
        <is>
          <t>Аванс получен всего</t>
        </is>
      </c>
      <c r="B7" s="32" t="inlineStr">
        <is>
          <t>3 600 000,00</t>
        </is>
      </c>
    </row>
    <row r="8" ht="40" customHeight="1">
      <c r="A8" s="3" t="inlineStr">
        <is>
          <t>Основание прекращения договора</t>
        </is>
      </c>
      <c r="B8" s="32" t="inlineStr">
        <is>
          <t xml:space="preserve">Отказ Генподрядчика от исполнения договора; нарушения Субподрядчика в уведомлении не указаны.</t>
        </is>
      </c>
    </row>
    <row r="9" ht="28" customHeight="1">
      <c r="A9" s="3" t="inlineStr">
        <is>
          <t>Сумма, которую требуют вернуть</t>
        </is>
      </c>
      <c r="B9" s="32" t="inlineStr">
        <is>
          <t>3 600 000,00</t>
        </is>
      </c>
    </row>
    <row r="10" ht="46" customHeight="1">
      <c r="A10" s="4" t="inlineStr">
        <is>
          <t xml:space="preserve">Заявленное требование о возврате сопоставляется с выполнением, погашением аванса и документально подтверждёнными встречными суммами.</t>
        </is>
      </c>
    </row>
    <row r="11">
      <c r="A11" s="2" t="inlineStr">
        <is>
          <t>Лист «Выполнено»</t>
        </is>
      </c>
    </row>
    <row r="12" ht="36" customHeight="1">
      <c r="A12" s="3" t="inlineStr">
        <is>
          <t>КС-2 № 1, подписан обеими сторонами</t>
        </is>
      </c>
      <c r="B12" s="32" t="inlineStr">
        <is>
          <t xml:space="preserve">Стоимость 2 000 000,00; погашение аванса 600 000,00; оплата 1 400 000,00.</t>
        </is>
      </c>
    </row>
    <row r="13" ht="36" customHeight="1">
      <c r="A13" s="3" t="inlineStr">
        <is>
          <t>КС-2 № 2, подписан обеими сторонами</t>
        </is>
      </c>
      <c r="B13" s="32" t="inlineStr">
        <is>
          <t xml:space="preserve">Стоимость 1 500 000,00; погашение аванса 450 000,00; оплата 950 000,00.</t>
        </is>
      </c>
    </row>
    <row r="14" ht="36" customHeight="1">
      <c r="A14" s="3" t="inlineStr">
        <is>
          <t>КС-2 № 3, передан, не подписан</t>
        </is>
      </c>
      <c r="B14" s="32" t="inlineStr">
        <is>
          <t xml:space="preserve">Стоимость 1 100 000,00; передача подтверждена описью и почтовым идентификатором.</t>
        </is>
      </c>
    </row>
    <row r="15">
      <c r="A15" s="2" t="inlineStr">
        <is>
          <t>Лист «Встречное»</t>
        </is>
      </c>
    </row>
    <row r="16" ht="36" customHeight="1">
      <c r="A16" s="3" t="inlineStr">
        <is>
          <t>Материалы оставлены на объекте</t>
        </is>
      </c>
      <c r="B16" s="32" t="inlineStr">
        <is>
          <t>480 000,00, накладная подписана прорабом генподрядчика</t>
        </is>
      </c>
    </row>
    <row r="17" ht="28" customHeight="1">
      <c r="A17" s="3" t="inlineStr">
        <is>
          <t>Гарантийное удержание из оплаченных актов</t>
        </is>
      </c>
      <c r="B17" s="32" t="inlineStr">
        <is>
          <t>175 000,00</t>
        </is>
      </c>
    </row>
    <row r="18">
      <c r="A18" s="2" t="inlineStr">
        <is>
          <t xml:space="preserve">Расчётные показатели листа «Сальдо»</t>
        </is>
      </c>
    </row>
    <row r="19" ht="28" customHeight="1">
      <c r="A19" s="3" t="inlineStr">
        <is>
          <t xml:space="preserve">Погашение аванса по двусторонним актам</t>
        </is>
      </c>
      <c r="B19" s="32" t="inlineStr">
        <is>
          <t>1 050 000,00</t>
        </is>
      </c>
    </row>
    <row r="20" ht="28" customHeight="1">
      <c r="A20" s="3" t="inlineStr">
        <is>
          <t>Аванс, не закрытый двусторонними актами</t>
        </is>
      </c>
      <c r="B20" s="32" t="inlineStr">
        <is>
          <t>2 550 000,00</t>
        </is>
      </c>
    </row>
    <row r="21" ht="28" customHeight="1">
      <c r="A21" s="3" t="inlineStr">
        <is>
          <t>Не оплачено по подписанным актам</t>
        </is>
      </c>
      <c r="B21" s="32" t="inlineStr">
        <is>
          <t>100 000,00</t>
        </is>
      </c>
    </row>
    <row r="22" ht="36" customHeight="1">
      <c r="A22" s="3" t="inlineStr">
        <is>
          <t>Итого заявляется против возврата</t>
        </is>
      </c>
      <c r="B22" s="32" t="inlineStr">
        <is>
          <t>1 100 000 + 480 000 + 175 000 + 100 000 = 1 855 000,00</t>
        </is>
      </c>
    </row>
    <row r="23" ht="28" customHeight="1">
      <c r="A23" s="3" t="inlineStr">
        <is>
          <t>Сальдо с учётом заявленного встречного</t>
        </is>
      </c>
      <c r="B23" s="32" t="inlineStr">
        <is>
          <t>695 000,00 к возврату</t>
        </is>
      </c>
    </row>
    <row r="24" ht="28" customHeight="1">
      <c r="A24" s="3" t="inlineStr">
        <is>
          <t>Расхождение между требованием и незакрытой частью</t>
        </is>
      </c>
      <c r="B24" s="32" t="inlineStr">
        <is>
          <t>1 050 000,00</t>
        </is>
      </c>
    </row>
    <row r="25" ht="46" customHeight="1">
      <c r="A25" s="4" t="inlineStr">
        <is>
          <t>Расхождение расчётов переносите в ответ с приложением актов и платежей.</t>
        </is>
      </c>
    </row>
  </sheetData>
  <mergeCells count="23">
    <mergeCell ref="A25:C25"/>
    <mergeCell ref="B16:C16"/>
    <mergeCell ref="B7:C7"/>
    <mergeCell ref="A18:C18"/>
    <mergeCell ref="B22:C22"/>
    <mergeCell ref="A3:C3"/>
    <mergeCell ref="B12:C12"/>
    <mergeCell ref="B21:C21"/>
    <mergeCell ref="A5:C5"/>
    <mergeCell ref="B23:C23"/>
    <mergeCell ref="B14:C14"/>
    <mergeCell ref="B17:C17"/>
    <mergeCell ref="B8:C8"/>
    <mergeCell ref="A10:C10"/>
    <mergeCell ref="B13:C13"/>
    <mergeCell ref="B19:C19"/>
    <mergeCell ref="A15:C15"/>
    <mergeCell ref="B9:C9"/>
    <mergeCell ref="B6:C6"/>
    <mergeCell ref="B24:C24"/>
    <mergeCell ref="A11:C11"/>
    <mergeCell ref="A1:C1"/>
    <mergeCell ref="B20:C20"/>
  </mergeCells>
  <pageMargins left="0.75" right="0.75" top="1" bottom="1" header="0.5" footer="0.5"/>
  <pageSetup orientation="landscape" paperSize="9" fitToHeight="0" fitToWidth="1"/>
  <rowBreaks count="1" manualBreakCount="1">
    <brk id="14" min="0" max="16383" man="1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2026-08-01T13:38:30Z</dcterms:created>
  <dcterms:modified xmlns:dcterms="http://purl.org/dc/terms/" xmlns:xsi="http://www.w3.org/2001/XMLSchema-instance" xsi:type="dcterms:W3CDTF">2026-10-18T04:19:35Z</dcterms:modified>
</cp:coreProperties>
</file>