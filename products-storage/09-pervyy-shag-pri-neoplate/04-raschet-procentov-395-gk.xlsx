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95959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color rgb="00C00000"/>
      <sz val="10"/>
    </font>
    <font>
      <name val="Times New Roman"/>
      <color rgb="00008000"/>
      <sz val="11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3" fillId="3" borderId="1" applyAlignment="1" pivotButton="0" quotePrefix="0" xfId="0">
      <alignment vertical="center" wrapText="1"/>
    </xf>
    <xf numFmtId="0" fontId="5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0" fontId="6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3" fillId="0" borderId="1" pivotButton="0" quotePrefix="0" xfId="0"/>
    <xf numFmtId="4" fontId="7" fillId="0" borderId="1" pivotButton="0" quotePrefix="0" xfId="0"/>
    <xf numFmtId="164" fontId="7" fillId="0" borderId="1" pivotButton="0" quotePrefix="0" xfId="0"/>
    <xf numFmtId="1" fontId="7" fillId="0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>
      <c r="A2" s="2" t="inlineStr">
        <is>
          <t>Заполните жёлтые ячейки. Синим — то, что вводите вы; чёрным — то, что считают формулы. Ничего, кроме жёлтых ячеек, менять не нужно.</t>
        </is>
      </c>
    </row>
    <row r="4">
      <c r="A4" s="3" t="inlineStr">
        <is>
          <t>Сумма долга, руб.</t>
        </is>
      </c>
      <c r="B4" s="4" t="n"/>
      <c r="C4" s="5" t="inlineStr">
        <is>
          <t>Из претензии. За вычетом авансов и частичных оплат на дату начала расчёта.</t>
        </is>
      </c>
    </row>
    <row r="5">
      <c r="A5" s="3" t="inlineStr">
        <is>
          <t>Дата начала просрочки</t>
        </is>
      </c>
      <c r="B5" s="6" t="n"/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/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46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64" customHeight="1">
      <c r="A47" s="5" t="inlineStr">
        <is>
          <t>Частичная оплата по ст. 319 ГК РФ гасит сначала издержки, затем проценты и только потом основной долг. Отступить от этой очерёдности можно соглашением сторон; одностороннее указание в платёжном поручении соглашением не является и очерёдность не меняет. Порядок такой: есть допустимое соглашение — считайте по нему; соглашения нет — по ст. 319 ГК РФ. Если однородных обязательств несколько, выбор погашаемого — отдельный вопрос, и его решают не здесь. Эта таблица уменьшает базу долга на сумму оплаты с её даты, то есть считает по простому варианту: если очерёдность имеет значение для вашего спора, расчёт надо корректировать с юристом.</t>
        </is>
      </c>
    </row>
  </sheetData>
  <mergeCells count="2">
    <mergeCell ref="A9:C9"/>
    <mergeCell ref="A47:C4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2" t="inlineStr">
        <is>
          <t>Заполняются только жёлтые колонки A и B: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      </is>
      </c>
    </row>
    <row r="3">
      <c r="A3" s="9" t="inlineStr">
        <is>
          <t>Начало периода</t>
        </is>
      </c>
      <c r="B3" s="9" t="inlineStr">
        <is>
          <t>Конец периода</t>
        </is>
      </c>
      <c r="C3" s="9" t="inlineStr">
        <is>
          <t>Дней в периоде</t>
        </is>
      </c>
      <c r="D3" s="9" t="inlineStr">
        <is>
          <t>База долга, руб.</t>
        </is>
      </c>
      <c r="E3" s="9" t="inlineStr">
        <is>
          <t>Ставка, % годовых</t>
        </is>
      </c>
      <c r="F3" s="9" t="inlineStr">
        <is>
          <t>Дней в году</t>
        </is>
      </c>
      <c r="G3" s="9" t="inlineStr">
        <is>
          <t>Проценты за период, руб.</t>
        </is>
      </c>
      <c r="H3" s="9" t="inlineStr">
        <is>
          <t>Проверка</t>
        </is>
      </c>
    </row>
    <row r="4">
      <c r="A4" s="6" t="n"/>
      <c r="B4" s="6" t="n"/>
      <c r="C4" s="10">
        <f>IF(OR($A4="",$B4=""),"",$B4-$A4+1)</f>
        <v/>
      </c>
      <c r="D4" s="11">
        <f>IF($A4="","",'Входные данные'!$B$4-SUMIF('Входные данные'!$A$35:$A$44,"&lt;="&amp;$A4,'Входные данные'!$B$35:$B$44))</f>
        <v/>
      </c>
      <c r="E4" s="12">
        <f>IF($A4="","",IFERROR(INDEX('Входные данные'!$B$12:$B$31,MATCH($A4,'Входные данные'!$A$12:$A$31,1)),""))</f>
        <v/>
      </c>
      <c r="F4" s="10">
        <f>IF($A4="","",IF(DAY(DATE(YEAR($A4),2,29))=29,366,365))</f>
        <v/>
      </c>
      <c r="G4" s="11">
        <f>IF(OR($A4="",$E4="",$C4=""),"",ROUND($D4*$E4/100*$C4/$F4,2))</f>
        <v/>
      </c>
      <c r="H4" s="13">
        <f>IF($A4="","",IF(YEAR($A4)&lt;&gt;YEAR($B4),"Период пересекает 31 декабря — разбейте на две строки",IF($B4&lt;$A4,"Конец периода раньше начала",IF($E4="","Ставка на эту дату не найдена: дополните таблицу ставок",""))))</f>
        <v/>
      </c>
    </row>
    <row r="5">
      <c r="A5" s="6" t="n"/>
      <c r="B5" s="6" t="n"/>
      <c r="C5" s="10">
        <f>IF(OR($A5="",$B5=""),"",$B5-$A5+1)</f>
        <v/>
      </c>
      <c r="D5" s="11">
        <f>IF($A5="","",'Входные данные'!$B$4-SUMIF('Входные данные'!$A$35:$A$44,"&lt;="&amp;$A5,'Входные данные'!$B$35:$B$44))</f>
        <v/>
      </c>
      <c r="E5" s="12">
        <f>IF($A5="","",IFERROR(INDEX('Входные данные'!$B$12:$B$31,MATCH($A5,'Входные данные'!$A$12:$A$31,1)),""))</f>
        <v/>
      </c>
      <c r="F5" s="10">
        <f>IF($A5="","",IF(DAY(DATE(YEAR($A5),2,29))=29,366,365))</f>
        <v/>
      </c>
      <c r="G5" s="11">
        <f>IF(OR($A5="",$E5="",$C5=""),"",ROUND($D5*$E5/100*$C5/$F5,2))</f>
        <v/>
      </c>
      <c r="H5" s="13">
        <f>IF($A5="","",IF(YEAR($A5)&lt;&gt;YEAR($B5),"Период пересекает 31 декабря — разбейте на две строки",IF($B5&lt;$A5,"Конец периода раньше начала",IF($E5="","Ставка на эту дату не найдена: дополните таблицу ставок",""))))</f>
        <v/>
      </c>
    </row>
    <row r="6">
      <c r="A6" s="6" t="n"/>
      <c r="B6" s="6" t="n"/>
      <c r="C6" s="10">
        <f>IF(OR($A6="",$B6=""),"",$B6-$A6+1)</f>
        <v/>
      </c>
      <c r="D6" s="11">
        <f>IF($A6="","",'Входные данные'!$B$4-SUMIF('Входные данные'!$A$35:$A$44,"&lt;="&amp;$A6,'Входные данные'!$B$35:$B$44))</f>
        <v/>
      </c>
      <c r="E6" s="12">
        <f>IF($A6="","",IFERROR(INDEX('Входные данные'!$B$12:$B$31,MATCH($A6,'Входные данные'!$A$12:$A$31,1)),""))</f>
        <v/>
      </c>
      <c r="F6" s="10">
        <f>IF($A6="","",IF(DAY(DATE(YEAR($A6),2,29))=29,366,365))</f>
        <v/>
      </c>
      <c r="G6" s="11">
        <f>IF(OR($A6="",$E6="",$C6=""),"",ROUND($D6*$E6/100*$C6/$F6,2))</f>
        <v/>
      </c>
      <c r="H6" s="13">
        <f>IF($A6="","",IF(YEAR($A6)&lt;&gt;YEAR($B6),"Период пересекает 31 декабря — разбейте на две строки",IF($B6&lt;$A6,"Конец периода раньше начала",IF($E6="","Ставка на эту дату не найдена: дополните таблицу ставок",""))))</f>
        <v/>
      </c>
    </row>
    <row r="7">
      <c r="A7" s="6" t="n"/>
      <c r="B7" s="6" t="n"/>
      <c r="C7" s="10">
        <f>IF(OR($A7="",$B7=""),"",$B7-$A7+1)</f>
        <v/>
      </c>
      <c r="D7" s="11">
        <f>IF($A7="","",'Входные данные'!$B$4-SUMIF('Входные данные'!$A$35:$A$44,"&lt;="&amp;$A7,'Входные данные'!$B$35:$B$44))</f>
        <v/>
      </c>
      <c r="E7" s="12">
        <f>IF($A7="","",IFERROR(INDEX('Входные данные'!$B$12:$B$31,MATCH($A7,'Входные данные'!$A$12:$A$31,1)),""))</f>
        <v/>
      </c>
      <c r="F7" s="10">
        <f>IF($A7="","",IF(DAY(DATE(YEAR($A7),2,29))=29,366,365))</f>
        <v/>
      </c>
      <c r="G7" s="11">
        <f>IF(OR($A7="",$E7="",$C7=""),"",ROUND($D7*$E7/100*$C7/$F7,2))</f>
        <v/>
      </c>
      <c r="H7" s="13">
        <f>IF($A7="","",IF(YEAR($A7)&lt;&gt;YEAR($B7),"Период пересекает 31 декабря — разбейте на две строки",IF($B7&lt;$A7,"Конец периода раньше начала",IF($E7="","Ставка на эту дату не найдена: дополните таблицу ставок",""))))</f>
        <v/>
      </c>
    </row>
    <row r="8">
      <c r="A8" s="6" t="n"/>
      <c r="B8" s="6" t="n"/>
      <c r="C8" s="10">
        <f>IF(OR($A8="",$B8=""),"",$B8-$A8+1)</f>
        <v/>
      </c>
      <c r="D8" s="11">
        <f>IF($A8="","",'Входные данные'!$B$4-SUMIF('Входные данные'!$A$35:$A$44,"&lt;="&amp;$A8,'Входные данные'!$B$35:$B$44))</f>
        <v/>
      </c>
      <c r="E8" s="12">
        <f>IF($A8="","",IFERROR(INDEX('Входные данные'!$B$12:$B$31,MATCH($A8,'Входные данные'!$A$12:$A$31,1)),""))</f>
        <v/>
      </c>
      <c r="F8" s="10">
        <f>IF($A8="","",IF(DAY(DATE(YEAR($A8),2,29))=29,366,365))</f>
        <v/>
      </c>
      <c r="G8" s="11">
        <f>IF(OR($A8="",$E8="",$C8=""),"",ROUND($D8*$E8/100*$C8/$F8,2))</f>
        <v/>
      </c>
      <c r="H8" s="13">
        <f>IF($A8="","",IF(YEAR($A8)&lt;&gt;YEAR($B8),"Период пересекает 31 декабря — разбейте на две строки",IF($B8&lt;$A8,"Конец периода раньше начала",IF($E8="","Ставка на эту дату не найдена: дополните таблицу ставок",""))))</f>
        <v/>
      </c>
    </row>
    <row r="9">
      <c r="A9" s="6" t="n"/>
      <c r="B9" s="6" t="n"/>
      <c r="C9" s="10">
        <f>IF(OR($A9="",$B9=""),"",$B9-$A9+1)</f>
        <v/>
      </c>
      <c r="D9" s="11">
        <f>IF($A9="","",'Входные данные'!$B$4-SUMIF('Входные данные'!$A$35:$A$44,"&lt;="&amp;$A9,'Входные данные'!$B$35:$B$44))</f>
        <v/>
      </c>
      <c r="E9" s="12">
        <f>IF($A9="","",IFERROR(INDEX('Входные данные'!$B$12:$B$31,MATCH($A9,'Входные данные'!$A$12:$A$31,1)),""))</f>
        <v/>
      </c>
      <c r="F9" s="10">
        <f>IF($A9="","",IF(DAY(DATE(YEAR($A9),2,29))=29,366,365))</f>
        <v/>
      </c>
      <c r="G9" s="11">
        <f>IF(OR($A9="",$E9="",$C9=""),"",ROUND($D9*$E9/100*$C9/$F9,2))</f>
        <v/>
      </c>
      <c r="H9" s="13">
        <f>IF($A9="","",IF(YEAR($A9)&lt;&gt;YEAR($B9),"Период пересекает 31 декабря — разбейте на две строки",IF($B9&lt;$A9,"Конец периода раньше начала",IF($E9="","Ставка на эту дату не найдена: дополните таблицу ставок",""))))</f>
        <v/>
      </c>
    </row>
    <row r="10">
      <c r="A10" s="6" t="n"/>
      <c r="B10" s="6" t="n"/>
      <c r="C10" s="10">
        <f>IF(OR($A10="",$B10=""),"",$B10-$A10+1)</f>
        <v/>
      </c>
      <c r="D10" s="11">
        <f>IF($A10="","",'Входные данные'!$B$4-SUMIF('Входные данные'!$A$35:$A$44,"&lt;="&amp;$A10,'Входные данные'!$B$35:$B$44))</f>
        <v/>
      </c>
      <c r="E10" s="12">
        <f>IF($A10="","",IFERROR(INDEX('Входные данные'!$B$12:$B$31,MATCH($A10,'Входные данные'!$A$12:$A$31,1)),""))</f>
        <v/>
      </c>
      <c r="F10" s="10">
        <f>IF($A10="","",IF(DAY(DATE(YEAR($A10),2,29))=29,366,365))</f>
        <v/>
      </c>
      <c r="G10" s="11">
        <f>IF(OR($A10="",$E10="",$C10=""),"",ROUND($D10*$E10/100*$C10/$F10,2))</f>
        <v/>
      </c>
      <c r="H10" s="13">
        <f>IF($A10="","",IF(YEAR($A10)&lt;&gt;YEAR($B10),"Период пересекает 31 декабря — разбейте на две строки",IF($B10&lt;$A10,"Конец периода раньше начала",IF($E10="","Ставка на эту дату не найдена: дополните таблицу ставок",""))))</f>
        <v/>
      </c>
    </row>
    <row r="11">
      <c r="A11" s="6" t="n"/>
      <c r="B11" s="6" t="n"/>
      <c r="C11" s="10">
        <f>IF(OR($A11="",$B11=""),"",$B11-$A11+1)</f>
        <v/>
      </c>
      <c r="D11" s="11">
        <f>IF($A11="","",'Входные данные'!$B$4-SUMIF('Входные данные'!$A$35:$A$44,"&lt;="&amp;$A11,'Входные данные'!$B$35:$B$44))</f>
        <v/>
      </c>
      <c r="E11" s="12">
        <f>IF($A11="","",IFERROR(INDEX('Входные данные'!$B$12:$B$31,MATCH($A11,'Входные данные'!$A$12:$A$31,1)),""))</f>
        <v/>
      </c>
      <c r="F11" s="10">
        <f>IF($A11="","",IF(DAY(DATE(YEAR($A11),2,29))=29,366,365))</f>
        <v/>
      </c>
      <c r="G11" s="11">
        <f>IF(OR($A11="",$E11="",$C11=""),"",ROUND($D11*$E11/100*$C11/$F11,2))</f>
        <v/>
      </c>
      <c r="H11" s="13">
        <f>IF($A11="","",IF(YEAR($A11)&lt;&gt;YEAR($B11),"Период пересекает 31 декабря — разбейте на две строки",IF($B11&lt;$A11,"Конец периода раньше начала",IF($E11="","Ставка на эту дату не найдена: дополните таблицу ставок",""))))</f>
        <v/>
      </c>
    </row>
    <row r="12">
      <c r="A12" s="6" t="n"/>
      <c r="B12" s="6" t="n"/>
      <c r="C12" s="10">
        <f>IF(OR($A12="",$B12=""),"",$B12-$A12+1)</f>
        <v/>
      </c>
      <c r="D12" s="11">
        <f>IF($A12="","",'Входные данные'!$B$4-SUMIF('Входные данные'!$A$35:$A$44,"&lt;="&amp;$A12,'Входные данные'!$B$35:$B$44))</f>
        <v/>
      </c>
      <c r="E12" s="12">
        <f>IF($A12="","",IFERROR(INDEX('Входные данные'!$B$12:$B$31,MATCH($A12,'Входные данные'!$A$12:$A$31,1)),""))</f>
        <v/>
      </c>
      <c r="F12" s="10">
        <f>IF($A12="","",IF(DAY(DATE(YEAR($A12),2,29))=29,366,365))</f>
        <v/>
      </c>
      <c r="G12" s="11">
        <f>IF(OR($A12="",$E12="",$C12=""),"",ROUND($D12*$E12/100*$C12/$F12,2))</f>
        <v/>
      </c>
      <c r="H12" s="13">
        <f>IF($A12="","",IF(YEAR($A12)&lt;&gt;YEAR($B12),"Период пересекает 31 декабря — разбейте на две строки",IF($B12&lt;$A12,"Конец периода раньше начала",IF($E12="","Ставка на эту дату не найдена: дополните таблицу ставок",""))))</f>
        <v/>
      </c>
    </row>
    <row r="13">
      <c r="A13" s="6" t="n"/>
      <c r="B13" s="6" t="n"/>
      <c r="C13" s="10">
        <f>IF(OR($A13="",$B13=""),"",$B13-$A13+1)</f>
        <v/>
      </c>
      <c r="D13" s="11">
        <f>IF($A13="","",'Входные данные'!$B$4-SUMIF('Входные данные'!$A$35:$A$44,"&lt;="&amp;$A13,'Входные данные'!$B$35:$B$44))</f>
        <v/>
      </c>
      <c r="E13" s="12">
        <f>IF($A13="","",IFERROR(INDEX('Входные данные'!$B$12:$B$31,MATCH($A13,'Входные данные'!$A$12:$A$31,1)),""))</f>
        <v/>
      </c>
      <c r="F13" s="10">
        <f>IF($A13="","",IF(DAY(DATE(YEAR($A13),2,29))=29,366,365))</f>
        <v/>
      </c>
      <c r="G13" s="11">
        <f>IF(OR($A13="",$E13="",$C13=""),"",ROUND($D13*$E13/100*$C13/$F13,2))</f>
        <v/>
      </c>
      <c r="H13" s="13">
        <f>IF($A13="","",IF(YEAR($A13)&lt;&gt;YEAR($B13),"Период пересекает 31 декабря — разбейте на две строки",IF($B13&lt;$A13,"Конец периода раньше начала",IF($E13="","Ставка на эту дату не найдена: дополните таблицу ставок",""))))</f>
        <v/>
      </c>
    </row>
    <row r="14">
      <c r="A14" s="6" t="n"/>
      <c r="B14" s="6" t="n"/>
      <c r="C14" s="10">
        <f>IF(OR($A14="",$B14=""),"",$B14-$A14+1)</f>
        <v/>
      </c>
      <c r="D14" s="11">
        <f>IF($A14="","",'Входные данные'!$B$4-SUMIF('Входные данные'!$A$35:$A$44,"&lt;="&amp;$A14,'Входные данные'!$B$35:$B$44))</f>
        <v/>
      </c>
      <c r="E14" s="12">
        <f>IF($A14="","",IFERROR(INDEX('Входные данные'!$B$12:$B$31,MATCH($A14,'Входные данные'!$A$12:$A$31,1)),""))</f>
        <v/>
      </c>
      <c r="F14" s="10">
        <f>IF($A14="","",IF(DAY(DATE(YEAR($A14),2,29))=29,366,365))</f>
        <v/>
      </c>
      <c r="G14" s="11">
        <f>IF(OR($A14="",$E14="",$C14=""),"",ROUND($D14*$E14/100*$C14/$F14,2))</f>
        <v/>
      </c>
      <c r="H14" s="13">
        <f>IF($A14="","",IF(YEAR($A14)&lt;&gt;YEAR($B14),"Период пересекает 31 декабря — разбейте на две строки",IF($B14&lt;$A14,"Конец периода раньше начала",IF($E14="","Ставка на эту дату не найдена: дополните таблицу ставок",""))))</f>
        <v/>
      </c>
    </row>
    <row r="15">
      <c r="A15" s="6" t="n"/>
      <c r="B15" s="6" t="n"/>
      <c r="C15" s="10">
        <f>IF(OR($A15="",$B15=""),"",$B15-$A15+1)</f>
        <v/>
      </c>
      <c r="D15" s="11">
        <f>IF($A15="","",'Входные данные'!$B$4-SUMIF('Входные данные'!$A$35:$A$44,"&lt;="&amp;$A15,'Входные данные'!$B$35:$B$44))</f>
        <v/>
      </c>
      <c r="E15" s="12">
        <f>IF($A15="","",IFERROR(INDEX('Входные данные'!$B$12:$B$31,MATCH($A15,'Входные данные'!$A$12:$A$31,1)),""))</f>
        <v/>
      </c>
      <c r="F15" s="10">
        <f>IF($A15="","",IF(DAY(DATE(YEAR($A15),2,29))=29,366,365))</f>
        <v/>
      </c>
      <c r="G15" s="11">
        <f>IF(OR($A15="",$E15="",$C15=""),"",ROUND($D15*$E15/100*$C15/$F15,2))</f>
        <v/>
      </c>
      <c r="H15" s="13">
        <f>IF($A15="","",IF(YEAR($A15)&lt;&gt;YEAR($B15),"Период пересекает 31 декабря — разбейте на две строки",IF($B15&lt;$A15,"Конец периода раньше начала",IF($E15="","Ставка на эту дату не найдена: дополните таблицу ставок",""))))</f>
        <v/>
      </c>
    </row>
    <row r="16">
      <c r="A16" s="6" t="n"/>
      <c r="B16" s="6" t="n"/>
      <c r="C16" s="10">
        <f>IF(OR($A16="",$B16=""),"",$B16-$A16+1)</f>
        <v/>
      </c>
      <c r="D16" s="11">
        <f>IF($A16="","",'Входные данные'!$B$4-SUMIF('Входные данные'!$A$35:$A$44,"&lt;="&amp;$A16,'Входные данные'!$B$35:$B$44))</f>
        <v/>
      </c>
      <c r="E16" s="12">
        <f>IF($A16="","",IFERROR(INDEX('Входные данные'!$B$12:$B$31,MATCH($A16,'Входные данные'!$A$12:$A$31,1)),""))</f>
        <v/>
      </c>
      <c r="F16" s="10">
        <f>IF($A16="","",IF(DAY(DATE(YEAR($A16),2,29))=29,366,365))</f>
        <v/>
      </c>
      <c r="G16" s="11">
        <f>IF(OR($A16="",$E16="",$C16=""),"",ROUND($D16*$E16/100*$C16/$F16,2))</f>
        <v/>
      </c>
      <c r="H16" s="13">
        <f>IF($A16="","",IF(YEAR($A16)&lt;&gt;YEAR($B16),"Период пересекает 31 декабря — разбейте на две строки",IF($B16&lt;$A16,"Конец периода раньше начала",IF($E16="","Ставка на эту дату не найдена: дополните таблицу ставок",""))))</f>
        <v/>
      </c>
    </row>
    <row r="17">
      <c r="A17" s="6" t="n"/>
      <c r="B17" s="6" t="n"/>
      <c r="C17" s="10">
        <f>IF(OR($A17="",$B17=""),"",$B17-$A17+1)</f>
        <v/>
      </c>
      <c r="D17" s="11">
        <f>IF($A17="","",'Входные данные'!$B$4-SUMIF('Входные данные'!$A$35:$A$44,"&lt;="&amp;$A17,'Входные данные'!$B$35:$B$44))</f>
        <v/>
      </c>
      <c r="E17" s="12">
        <f>IF($A17="","",IFERROR(INDEX('Входные данные'!$B$12:$B$31,MATCH($A17,'Входные данные'!$A$12:$A$31,1)),""))</f>
        <v/>
      </c>
      <c r="F17" s="10">
        <f>IF($A17="","",IF(DAY(DATE(YEAR($A17),2,29))=29,366,365))</f>
        <v/>
      </c>
      <c r="G17" s="11">
        <f>IF(OR($A17="",$E17="",$C17=""),"",ROUND($D17*$E17/100*$C17/$F17,2))</f>
        <v/>
      </c>
      <c r="H17" s="13">
        <f>IF($A17="","",IF(YEAR($A17)&lt;&gt;YEAR($B17),"Период пересекает 31 декабря — разбейте на две строки",IF($B17&lt;$A17,"Конец периода раньше начала",IF($E17="","Ставка на эту дату не найдена: дополните таблицу ставок",""))))</f>
        <v/>
      </c>
    </row>
    <row r="18">
      <c r="A18" s="6" t="n"/>
      <c r="B18" s="6" t="n"/>
      <c r="C18" s="10">
        <f>IF(OR($A18="",$B18=""),"",$B18-$A18+1)</f>
        <v/>
      </c>
      <c r="D18" s="11">
        <f>IF($A18="","",'Входные данные'!$B$4-SUMIF('Входные данные'!$A$35:$A$44,"&lt;="&amp;$A18,'Входные данные'!$B$35:$B$44))</f>
        <v/>
      </c>
      <c r="E18" s="12">
        <f>IF($A18="","",IFERROR(INDEX('Входные данные'!$B$12:$B$31,MATCH($A18,'Входные данные'!$A$12:$A$31,1)),""))</f>
        <v/>
      </c>
      <c r="F18" s="10">
        <f>IF($A18="","",IF(DAY(DATE(YEAR($A18),2,29))=29,366,365))</f>
        <v/>
      </c>
      <c r="G18" s="11">
        <f>IF(OR($A18="",$E18="",$C18=""),"",ROUND($D18*$E18/100*$C18/$F18,2))</f>
        <v/>
      </c>
      <c r="H18" s="13">
        <f>IF($A18="","",IF(YEAR($A18)&lt;&gt;YEAR($B18),"Период пересекает 31 декабря — разбейте на две строки",IF($B18&lt;$A18,"Конец периода раньше начала",IF($E18="","Ставка на эту дату не найдена: дополните таблицу ставок",""))))</f>
        <v/>
      </c>
    </row>
    <row r="19">
      <c r="A19" s="6" t="n"/>
      <c r="B19" s="6" t="n"/>
      <c r="C19" s="10">
        <f>IF(OR($A19="",$B19=""),"",$B19-$A19+1)</f>
        <v/>
      </c>
      <c r="D19" s="11">
        <f>IF($A19="","",'Входные данные'!$B$4-SUMIF('Входные данные'!$A$35:$A$44,"&lt;="&amp;$A19,'Входные данные'!$B$35:$B$44))</f>
        <v/>
      </c>
      <c r="E19" s="12">
        <f>IF($A19="","",IFERROR(INDEX('Входные данные'!$B$12:$B$31,MATCH($A19,'Входные данные'!$A$12:$A$31,1)),""))</f>
        <v/>
      </c>
      <c r="F19" s="10">
        <f>IF($A19="","",IF(DAY(DATE(YEAR($A19),2,29))=29,366,365))</f>
        <v/>
      </c>
      <c r="G19" s="11">
        <f>IF(OR($A19="",$E19="",$C19=""),"",ROUND($D19*$E19/100*$C19/$F19,2))</f>
        <v/>
      </c>
      <c r="H19" s="13">
        <f>IF($A19="","",IF(YEAR($A19)&lt;&gt;YEAR($B19),"Период пересекает 31 декабря — разбейте на две строки",IF($B19&lt;$A19,"Конец периода раньше начала",IF($E19="","Ставка на эту дату не найдена: дополните таблицу ставок",""))))</f>
        <v/>
      </c>
    </row>
    <row r="20">
      <c r="A20" s="6" t="n"/>
      <c r="B20" s="6" t="n"/>
      <c r="C20" s="10">
        <f>IF(OR($A20="",$B20=""),"",$B20-$A20+1)</f>
        <v/>
      </c>
      <c r="D20" s="11">
        <f>IF($A20="","",'Входные данные'!$B$4-SUMIF('Входные данные'!$A$35:$A$44,"&lt;="&amp;$A20,'Входные данные'!$B$35:$B$44))</f>
        <v/>
      </c>
      <c r="E20" s="12">
        <f>IF($A20="","",IFERROR(INDEX('Входные данные'!$B$12:$B$31,MATCH($A20,'Входные данные'!$A$12:$A$31,1)),""))</f>
        <v/>
      </c>
      <c r="F20" s="10">
        <f>IF($A20="","",IF(DAY(DATE(YEAR($A20),2,29))=29,366,365))</f>
        <v/>
      </c>
      <c r="G20" s="11">
        <f>IF(OR($A20="",$E20="",$C20=""),"",ROUND($D20*$E20/100*$C20/$F20,2))</f>
        <v/>
      </c>
      <c r="H20" s="13">
        <f>IF($A20="","",IF(YEAR($A20)&lt;&gt;YEAR($B20),"Период пересекает 31 декабря — разбейте на две строки",IF($B20&lt;$A20,"Конец периода раньше начала",IF($E20="","Ставка на эту дату не найдена: дополните таблицу ставок",""))))</f>
        <v/>
      </c>
    </row>
    <row r="21">
      <c r="A21" s="6" t="n"/>
      <c r="B21" s="6" t="n"/>
      <c r="C21" s="10">
        <f>IF(OR($A21="",$B21=""),"",$B21-$A21+1)</f>
        <v/>
      </c>
      <c r="D21" s="11">
        <f>IF($A21="","",'Входные данные'!$B$4-SUMIF('Входные данные'!$A$35:$A$44,"&lt;="&amp;$A21,'Входные данные'!$B$35:$B$44))</f>
        <v/>
      </c>
      <c r="E21" s="12">
        <f>IF($A21="","",IFERROR(INDEX('Входные данные'!$B$12:$B$31,MATCH($A21,'Входные данные'!$A$12:$A$31,1)),""))</f>
        <v/>
      </c>
      <c r="F21" s="10">
        <f>IF($A21="","",IF(DAY(DATE(YEAR($A21),2,29))=29,366,365))</f>
        <v/>
      </c>
      <c r="G21" s="11">
        <f>IF(OR($A21="",$E21="",$C21=""),"",ROUND($D21*$E21/100*$C21/$F21,2))</f>
        <v/>
      </c>
      <c r="H21" s="13">
        <f>IF($A21="","",IF(YEAR($A21)&lt;&gt;YEAR($B21),"Период пересекает 31 декабря — разбейте на две строки",IF($B21&lt;$A21,"Конец периода раньше начала",IF($E21="","Ставка на эту дату не найдена: дополните таблицу ставок",""))))</f>
        <v/>
      </c>
    </row>
    <row r="22">
      <c r="A22" s="6" t="n"/>
      <c r="B22" s="6" t="n"/>
      <c r="C22" s="10">
        <f>IF(OR($A22="",$B22=""),"",$B22-$A22+1)</f>
        <v/>
      </c>
      <c r="D22" s="11">
        <f>IF($A22="","",'Входные данные'!$B$4-SUMIF('Входные данные'!$A$35:$A$44,"&lt;="&amp;$A22,'Входные данные'!$B$35:$B$44))</f>
        <v/>
      </c>
      <c r="E22" s="12">
        <f>IF($A22="","",IFERROR(INDEX('Входные данные'!$B$12:$B$31,MATCH($A22,'Входные данные'!$A$12:$A$31,1)),""))</f>
        <v/>
      </c>
      <c r="F22" s="10">
        <f>IF($A22="","",IF(DAY(DATE(YEAR($A22),2,29))=29,366,365))</f>
        <v/>
      </c>
      <c r="G22" s="11">
        <f>IF(OR($A22="",$E22="",$C22=""),"",ROUND($D22*$E22/100*$C22/$F22,2))</f>
        <v/>
      </c>
      <c r="H22" s="13">
        <f>IF($A22="","",IF(YEAR($A22)&lt;&gt;YEAR($B22),"Период пересекает 31 декабря — разбейте на две строки",IF($B22&lt;$A22,"Конец периода раньше начала",IF($E22="","Ставка на эту дату не найдена: дополните таблицу ставок",""))))</f>
        <v/>
      </c>
    </row>
    <row r="23">
      <c r="A23" s="6" t="n"/>
      <c r="B23" s="6" t="n"/>
      <c r="C23" s="10">
        <f>IF(OR($A23="",$B23=""),"",$B23-$A23+1)</f>
        <v/>
      </c>
      <c r="D23" s="11">
        <f>IF($A23="","",'Входные данные'!$B$4-SUMIF('Входные данные'!$A$35:$A$44,"&lt;="&amp;$A23,'Входные данные'!$B$35:$B$44))</f>
        <v/>
      </c>
      <c r="E23" s="12">
        <f>IF($A23="","",IFERROR(INDEX('Входные данные'!$B$12:$B$31,MATCH($A23,'Входные данные'!$A$12:$A$31,1)),""))</f>
        <v/>
      </c>
      <c r="F23" s="10">
        <f>IF($A23="","",IF(DAY(DATE(YEAR($A23),2,29))=29,366,365))</f>
        <v/>
      </c>
      <c r="G23" s="11">
        <f>IF(OR($A23="",$E23="",$C23=""),"",ROUND($D23*$E23/100*$C23/$F23,2))</f>
        <v/>
      </c>
      <c r="H23" s="13">
        <f>IF($A23="","",IF(YEAR($A23)&lt;&gt;YEAR($B23),"Период пересекает 31 декабря — разбейте на две строки",IF($B23&lt;$A23,"Конец периода раньше начала",IF($E23="","Ставка на эту дату не найдена: дополните таблицу ставок",""))))</f>
        <v/>
      </c>
    </row>
    <row r="24">
      <c r="A24" s="6" t="n"/>
      <c r="B24" s="6" t="n"/>
      <c r="C24" s="10">
        <f>IF(OR($A24="",$B24=""),"",$B24-$A24+1)</f>
        <v/>
      </c>
      <c r="D24" s="11">
        <f>IF($A24="","",'Входные данные'!$B$4-SUMIF('Входные данные'!$A$35:$A$44,"&lt;="&amp;$A24,'Входные данные'!$B$35:$B$44))</f>
        <v/>
      </c>
      <c r="E24" s="12">
        <f>IF($A24="","",IFERROR(INDEX('Входные данные'!$B$12:$B$31,MATCH($A24,'Входные данные'!$A$12:$A$31,1)),""))</f>
        <v/>
      </c>
      <c r="F24" s="10">
        <f>IF($A24="","",IF(DAY(DATE(YEAR($A24),2,29))=29,366,365))</f>
        <v/>
      </c>
      <c r="G24" s="11">
        <f>IF(OR($A24="",$E24="",$C24=""),"",ROUND($D24*$E24/100*$C24/$F24,2))</f>
        <v/>
      </c>
      <c r="H24" s="13">
        <f>IF($A24="","",IF(YEAR($A24)&lt;&gt;YEAR($B24),"Период пересекает 31 декабря — разбейте на две строки",IF($B24&lt;$A24,"Конец периода раньше начала",IF($E24="","Ставка на эту дату не найдена: дополните таблицу ставок",""))))</f>
        <v/>
      </c>
    </row>
    <row r="25">
      <c r="A25" s="6" t="n"/>
      <c r="B25" s="6" t="n"/>
      <c r="C25" s="10">
        <f>IF(OR($A25="",$B25=""),"",$B25-$A25+1)</f>
        <v/>
      </c>
      <c r="D25" s="11">
        <f>IF($A25="","",'Входные данные'!$B$4-SUMIF('Входные данные'!$A$35:$A$44,"&lt;="&amp;$A25,'Входные данные'!$B$35:$B$44))</f>
        <v/>
      </c>
      <c r="E25" s="12">
        <f>IF($A25="","",IFERROR(INDEX('Входные данные'!$B$12:$B$31,MATCH($A25,'Входные данные'!$A$12:$A$31,1)),""))</f>
        <v/>
      </c>
      <c r="F25" s="10">
        <f>IF($A25="","",IF(DAY(DATE(YEAR($A25),2,29))=29,366,365))</f>
        <v/>
      </c>
      <c r="G25" s="11">
        <f>IF(OR($A25="",$E25="",$C25=""),"",ROUND($D25*$E25/100*$C25/$F25,2))</f>
        <v/>
      </c>
      <c r="H25" s="13">
        <f>IF($A25="","",IF(YEAR($A25)&lt;&gt;YEAR($B25),"Период пересекает 31 декабря — разбейте на две строки",IF($B25&lt;$A25,"Конец периода раньше начала",IF($E25="","Ставка на эту дату не найдена: дополните таблицу ставок",""))))</f>
        <v/>
      </c>
    </row>
    <row r="26">
      <c r="A26" s="6" t="n"/>
      <c r="B26" s="6" t="n"/>
      <c r="C26" s="10">
        <f>IF(OR($A26="",$B26=""),"",$B26-$A26+1)</f>
        <v/>
      </c>
      <c r="D26" s="11">
        <f>IF($A26="","",'Входные данные'!$B$4-SUMIF('Входные данные'!$A$35:$A$44,"&lt;="&amp;$A26,'Входные данные'!$B$35:$B$44))</f>
        <v/>
      </c>
      <c r="E26" s="12">
        <f>IF($A26="","",IFERROR(INDEX('Входные данные'!$B$12:$B$31,MATCH($A26,'Входные данные'!$A$12:$A$31,1)),""))</f>
        <v/>
      </c>
      <c r="F26" s="10">
        <f>IF($A26="","",IF(DAY(DATE(YEAR($A26),2,29))=29,366,365))</f>
        <v/>
      </c>
      <c r="G26" s="11">
        <f>IF(OR($A26="",$E26="",$C26=""),"",ROUND($D26*$E26/100*$C26/$F26,2))</f>
        <v/>
      </c>
      <c r="H26" s="13">
        <f>IF($A26="","",IF(YEAR($A26)&lt;&gt;YEAR($B26),"Период пересекает 31 декабря — разбейте на две строки",IF($B26&lt;$A26,"Конец периода раньше начала",IF($E26="","Ставка на эту дату не найдена: дополните таблицу ставок",""))))</f>
        <v/>
      </c>
    </row>
    <row r="27">
      <c r="A27" s="6" t="n"/>
      <c r="B27" s="6" t="n"/>
      <c r="C27" s="10">
        <f>IF(OR($A27="",$B27=""),"",$B27-$A27+1)</f>
        <v/>
      </c>
      <c r="D27" s="11">
        <f>IF($A27="","",'Входные данные'!$B$4-SUMIF('Входные данные'!$A$35:$A$44,"&lt;="&amp;$A27,'Входные данные'!$B$35:$B$44))</f>
        <v/>
      </c>
      <c r="E27" s="12">
        <f>IF($A27="","",IFERROR(INDEX('Входные данные'!$B$12:$B$31,MATCH($A27,'Входные данные'!$A$12:$A$31,1)),""))</f>
        <v/>
      </c>
      <c r="F27" s="10">
        <f>IF($A27="","",IF(DAY(DATE(YEAR($A27),2,29))=29,366,365))</f>
        <v/>
      </c>
      <c r="G27" s="11">
        <f>IF(OR($A27="",$E27="",$C27=""),"",ROUND($D27*$E27/100*$C27/$F27,2))</f>
        <v/>
      </c>
      <c r="H27" s="13">
        <f>IF($A27="","",IF(YEAR($A27)&lt;&gt;YEAR($B27),"Период пересекает 31 декабря — разбейте на две строки",IF($B27&lt;$A27,"Конец периода раньше начала",IF($E27="","Ставка на эту дату не найдена: дополните таблицу ставок",""))))</f>
        <v/>
      </c>
    </row>
    <row r="28">
      <c r="A28" s="6" t="n"/>
      <c r="B28" s="6" t="n"/>
      <c r="C28" s="10">
        <f>IF(OR($A28="",$B28=""),"",$B28-$A28+1)</f>
        <v/>
      </c>
      <c r="D28" s="11">
        <f>IF($A28="","",'Входные данные'!$B$4-SUMIF('Входные данные'!$A$35:$A$44,"&lt;="&amp;$A28,'Входные данные'!$B$35:$B$44))</f>
        <v/>
      </c>
      <c r="E28" s="12">
        <f>IF($A28="","",IFERROR(INDEX('Входные данные'!$B$12:$B$31,MATCH($A28,'Входные данные'!$A$12:$A$31,1)),""))</f>
        <v/>
      </c>
      <c r="F28" s="10">
        <f>IF($A28="","",IF(DAY(DATE(YEAR($A28),2,29))=29,366,365))</f>
        <v/>
      </c>
      <c r="G28" s="11">
        <f>IF(OR($A28="",$E28="",$C28=""),"",ROUND($D28*$E28/100*$C28/$F28,2))</f>
        <v/>
      </c>
      <c r="H28" s="13">
        <f>IF($A28="","",IF(YEAR($A28)&lt;&gt;YEAR($B28),"Период пересекает 31 декабря — разбейте на две строки",IF($B28&lt;$A28,"Конец периода раньше начала",IF($E28="","Ставка на эту дату не найдена: дополните таблицу ставок",""))))</f>
        <v/>
      </c>
    </row>
    <row r="29">
      <c r="A29" s="6" t="n"/>
      <c r="B29" s="6" t="n"/>
      <c r="C29" s="10">
        <f>IF(OR($A29="",$B29=""),"",$B29-$A29+1)</f>
        <v/>
      </c>
      <c r="D29" s="11">
        <f>IF($A29="","",'Входные данные'!$B$4-SUMIF('Входные данные'!$A$35:$A$44,"&lt;="&amp;$A29,'Входные данные'!$B$35:$B$44))</f>
        <v/>
      </c>
      <c r="E29" s="12">
        <f>IF($A29="","",IFERROR(INDEX('Входные данные'!$B$12:$B$31,MATCH($A29,'Входные данные'!$A$12:$A$31,1)),""))</f>
        <v/>
      </c>
      <c r="F29" s="10">
        <f>IF($A29="","",IF(DAY(DATE(YEAR($A29),2,29))=29,366,365))</f>
        <v/>
      </c>
      <c r="G29" s="11">
        <f>IF(OR($A29="",$E29="",$C29=""),"",ROUND($D29*$E29/100*$C29/$F29,2))</f>
        <v/>
      </c>
      <c r="H29" s="13">
        <f>IF($A29="","",IF(YEAR($A29)&lt;&gt;YEAR($B29),"Период пересекает 31 декабря — разбейте на две строки",IF($B29&lt;$A29,"Конец периода раньше начала",IF($E29="","Ставка на эту дату не найдена: дополните таблицу ставок",""))))</f>
        <v/>
      </c>
    </row>
    <row r="30">
      <c r="A30" s="6" t="n"/>
      <c r="B30" s="6" t="n"/>
      <c r="C30" s="10">
        <f>IF(OR($A30="",$B30=""),"",$B30-$A30+1)</f>
        <v/>
      </c>
      <c r="D30" s="11">
        <f>IF($A30="","",'Входные данные'!$B$4-SUMIF('Входные данные'!$A$35:$A$44,"&lt;="&amp;$A30,'Входные данные'!$B$35:$B$44))</f>
        <v/>
      </c>
      <c r="E30" s="12">
        <f>IF($A30="","",IFERROR(INDEX('Входные данные'!$B$12:$B$31,MATCH($A30,'Входные данные'!$A$12:$A$31,1)),""))</f>
        <v/>
      </c>
      <c r="F30" s="10">
        <f>IF($A30="","",IF(DAY(DATE(YEAR($A30),2,29))=29,366,365))</f>
        <v/>
      </c>
      <c r="G30" s="11">
        <f>IF(OR($A30="",$E30="",$C30=""),"",ROUND($D30*$E30/100*$C30/$F30,2))</f>
        <v/>
      </c>
      <c r="H30" s="13">
        <f>IF($A30="","",IF(YEAR($A30)&lt;&gt;YEAR($B30),"Период пересекает 31 декабря — разбейте на две строки",IF($B30&lt;$A30,"Конец периода раньше начала",IF($E30="","Ставка на эту дату не найдена: дополните таблицу ставок",""))))</f>
        <v/>
      </c>
    </row>
    <row r="31">
      <c r="A31" s="6" t="n"/>
      <c r="B31" s="6" t="n"/>
      <c r="C31" s="10">
        <f>IF(OR($A31="",$B31=""),"",$B31-$A31+1)</f>
        <v/>
      </c>
      <c r="D31" s="11">
        <f>IF($A31="","",'Входные данные'!$B$4-SUMIF('Входные данные'!$A$35:$A$44,"&lt;="&amp;$A31,'Входные данные'!$B$35:$B$44))</f>
        <v/>
      </c>
      <c r="E31" s="12">
        <f>IF($A31="","",IFERROR(INDEX('Входные данные'!$B$12:$B$31,MATCH($A31,'Входные данные'!$A$12:$A$31,1)),""))</f>
        <v/>
      </c>
      <c r="F31" s="10">
        <f>IF($A31="","",IF(DAY(DATE(YEAR($A31),2,29))=29,366,365))</f>
        <v/>
      </c>
      <c r="G31" s="11">
        <f>IF(OR($A31="",$E31="",$C31=""),"",ROUND($D31*$E31/100*$C31/$F31,2))</f>
        <v/>
      </c>
      <c r="H31" s="13">
        <f>IF($A31="","",IF(YEAR($A31)&lt;&gt;YEAR($B31),"Период пересекает 31 декабря — разбейте на две строки",IF($B31&lt;$A31,"Конец периода раньше начала",IF($E31="","Ставка на эту дату не найдена: дополните таблицу ставок",""))))</f>
        <v/>
      </c>
    </row>
    <row r="32">
      <c r="A32" s="6" t="n"/>
      <c r="B32" s="6" t="n"/>
      <c r="C32" s="10">
        <f>IF(OR($A32="",$B32=""),"",$B32-$A32+1)</f>
        <v/>
      </c>
      <c r="D32" s="11">
        <f>IF($A32="","",'Входные данные'!$B$4-SUMIF('Входные данные'!$A$35:$A$44,"&lt;="&amp;$A32,'Входные данные'!$B$35:$B$44))</f>
        <v/>
      </c>
      <c r="E32" s="12">
        <f>IF($A32="","",IFERROR(INDEX('Входные данные'!$B$12:$B$31,MATCH($A32,'Входные данные'!$A$12:$A$31,1)),""))</f>
        <v/>
      </c>
      <c r="F32" s="10">
        <f>IF($A32="","",IF(DAY(DATE(YEAR($A32),2,29))=29,366,365))</f>
        <v/>
      </c>
      <c r="G32" s="11">
        <f>IF(OR($A32="",$E32="",$C32=""),"",ROUND($D32*$E32/100*$C32/$F32,2))</f>
        <v/>
      </c>
      <c r="H32" s="13">
        <f>IF($A32="","",IF(YEAR($A32)&lt;&gt;YEAR($B32),"Период пересекает 31 декабря — разбейте на две строки",IF($B32&lt;$A32,"Конец периода раньше начала",IF($E32="","Ставка на эту дату не найдена: дополните таблицу ставок",""))))</f>
        <v/>
      </c>
    </row>
    <row r="33">
      <c r="A33" s="6" t="n"/>
      <c r="B33" s="6" t="n"/>
      <c r="C33" s="10">
        <f>IF(OR($A33="",$B33=""),"",$B33-$A33+1)</f>
        <v/>
      </c>
      <c r="D33" s="11">
        <f>IF($A33="","",'Входные данные'!$B$4-SUMIF('Входные данные'!$A$35:$A$44,"&lt;="&amp;$A33,'Входные данные'!$B$35:$B$44))</f>
        <v/>
      </c>
      <c r="E33" s="12">
        <f>IF($A33="","",IFERROR(INDEX('Входные данные'!$B$12:$B$31,MATCH($A33,'Входные данные'!$A$12:$A$31,1)),""))</f>
        <v/>
      </c>
      <c r="F33" s="10">
        <f>IF($A33="","",IF(DAY(DATE(YEAR($A33),2,29))=29,366,365))</f>
        <v/>
      </c>
      <c r="G33" s="11">
        <f>IF(OR($A33="",$E33="",$C33=""),"",ROUND($D33*$E33/100*$C33/$F33,2))</f>
        <v/>
      </c>
      <c r="H33" s="13">
        <f>IF($A33="","",IF(YEAR($A33)&lt;&gt;YEAR($B33),"Период пересекает 31 декабря — разбейте на две строки",IF($B33&lt;$A33,"Конец периода раньше начала",IF($E33="","Ставка на эту дату не найдена: дополните таблицу ставок",""))))</f>
        <v/>
      </c>
    </row>
    <row r="34">
      <c r="A34" s="6" t="n"/>
      <c r="B34" s="6" t="n"/>
      <c r="C34" s="10">
        <f>IF(OR($A34="",$B34=""),"",$B34-$A34+1)</f>
        <v/>
      </c>
      <c r="D34" s="11">
        <f>IF($A34="","",'Входные данные'!$B$4-SUMIF('Входные данные'!$A$35:$A$44,"&lt;="&amp;$A34,'Входные данные'!$B$35:$B$44))</f>
        <v/>
      </c>
      <c r="E34" s="12">
        <f>IF($A34="","",IFERROR(INDEX('Входные данные'!$B$12:$B$31,MATCH($A34,'Входные данные'!$A$12:$A$31,1)),""))</f>
        <v/>
      </c>
      <c r="F34" s="10">
        <f>IF($A34="","",IF(DAY(DATE(YEAR($A34),2,29))=29,366,365))</f>
        <v/>
      </c>
      <c r="G34" s="11">
        <f>IF(OR($A34="",$E34="",$C34=""),"",ROUND($D34*$E34/100*$C34/$F34,2))</f>
        <v/>
      </c>
      <c r="H34" s="13">
        <f>IF($A34="","",IF(YEAR($A34)&lt;&gt;YEAR($B34),"Период пересекает 31 декабря — разбейте на две строки",IF($B34&lt;$A34,"Конец периода раньше начала",IF($E34="","Ставка на эту дату не найдена: дополните таблицу ставок",""))))</f>
        <v/>
      </c>
    </row>
    <row r="35">
      <c r="A35" s="6" t="n"/>
      <c r="B35" s="6" t="n"/>
      <c r="C35" s="10">
        <f>IF(OR($A35="",$B35=""),"",$B35-$A35+1)</f>
        <v/>
      </c>
      <c r="D35" s="11">
        <f>IF($A35="","",'Входные данные'!$B$4-SUMIF('Входные данные'!$A$35:$A$44,"&lt;="&amp;$A35,'Входные данные'!$B$35:$B$44))</f>
        <v/>
      </c>
      <c r="E35" s="12">
        <f>IF($A35="","",IFERROR(INDEX('Входные данные'!$B$12:$B$31,MATCH($A35,'Входные данные'!$A$12:$A$31,1)),""))</f>
        <v/>
      </c>
      <c r="F35" s="10">
        <f>IF($A35="","",IF(DAY(DATE(YEAR($A35),2,29))=29,366,365))</f>
        <v/>
      </c>
      <c r="G35" s="11">
        <f>IF(OR($A35="",$E35="",$C35=""),"",ROUND($D35*$E35/100*$C35/$F35,2))</f>
        <v/>
      </c>
      <c r="H35" s="13">
        <f>IF($A35="","",IF(YEAR($A35)&lt;&gt;YEAR($B35),"Период пересекает 31 декабря — разбейте на две строки",IF($B35&lt;$A35,"Конец периода раньше начала",IF($E35="","Ставка на эту дату не найдена: дополните таблицу ставок",""))))</f>
        <v/>
      </c>
    </row>
    <row r="36">
      <c r="A36" s="6" t="n"/>
      <c r="B36" s="6" t="n"/>
      <c r="C36" s="10">
        <f>IF(OR($A36="",$B36=""),"",$B36-$A36+1)</f>
        <v/>
      </c>
      <c r="D36" s="11">
        <f>IF($A36="","",'Входные данные'!$B$4-SUMIF('Входные данные'!$A$35:$A$44,"&lt;="&amp;$A36,'Входные данные'!$B$35:$B$44))</f>
        <v/>
      </c>
      <c r="E36" s="12">
        <f>IF($A36="","",IFERROR(INDEX('Входные данные'!$B$12:$B$31,MATCH($A36,'Входные данные'!$A$12:$A$31,1)),""))</f>
        <v/>
      </c>
      <c r="F36" s="10">
        <f>IF($A36="","",IF(DAY(DATE(YEAR($A36),2,29))=29,366,365))</f>
        <v/>
      </c>
      <c r="G36" s="11">
        <f>IF(OR($A36="",$E36="",$C36=""),"",ROUND($D36*$E36/100*$C36/$F36,2))</f>
        <v/>
      </c>
      <c r="H36" s="13">
        <f>IF($A36="","",IF(YEAR($A36)&lt;&gt;YEAR($B36),"Период пересекает 31 декабря — разбейте на две строки",IF($B36&lt;$A36,"Конец периода раньше начала",IF($E36="","Ставка на эту дату не найдена: дополните таблицу ставок",""))))</f>
        <v/>
      </c>
    </row>
    <row r="37">
      <c r="A37" s="6" t="n"/>
      <c r="B37" s="6" t="n"/>
      <c r="C37" s="10">
        <f>IF(OR($A37="",$B37=""),"",$B37-$A37+1)</f>
        <v/>
      </c>
      <c r="D37" s="11">
        <f>IF($A37="","",'Входные данные'!$B$4-SUMIF('Входные данные'!$A$35:$A$44,"&lt;="&amp;$A37,'Входные данные'!$B$35:$B$44))</f>
        <v/>
      </c>
      <c r="E37" s="12">
        <f>IF($A37="","",IFERROR(INDEX('Входные данные'!$B$12:$B$31,MATCH($A37,'Входные данные'!$A$12:$A$31,1)),""))</f>
        <v/>
      </c>
      <c r="F37" s="10">
        <f>IF($A37="","",IF(DAY(DATE(YEAR($A37),2,29))=29,366,365))</f>
        <v/>
      </c>
      <c r="G37" s="11">
        <f>IF(OR($A37="",$E37="",$C37=""),"",ROUND($D37*$E37/100*$C37/$F37,2))</f>
        <v/>
      </c>
      <c r="H37" s="13">
        <f>IF($A37="","",IF(YEAR($A37)&lt;&gt;YEAR($B37),"Период пересекает 31 декабря — разбейте на две строки",IF($B37&lt;$A37,"Конец периода раньше начала",IF($E37="","Ставка на эту дату не найдена: дополните таблицу ставок",""))))</f>
        <v/>
      </c>
    </row>
    <row r="38">
      <c r="A38" s="6" t="n"/>
      <c r="B38" s="6" t="n"/>
      <c r="C38" s="10">
        <f>IF(OR($A38="",$B38=""),"",$B38-$A38+1)</f>
        <v/>
      </c>
      <c r="D38" s="11">
        <f>IF($A38="","",'Входные данные'!$B$4-SUMIF('Входные данные'!$A$35:$A$44,"&lt;="&amp;$A38,'Входные данные'!$B$35:$B$44))</f>
        <v/>
      </c>
      <c r="E38" s="12">
        <f>IF($A38="","",IFERROR(INDEX('Входные данные'!$B$12:$B$31,MATCH($A38,'Входные данные'!$A$12:$A$31,1)),""))</f>
        <v/>
      </c>
      <c r="F38" s="10">
        <f>IF($A38="","",IF(DAY(DATE(YEAR($A38),2,29))=29,366,365))</f>
        <v/>
      </c>
      <c r="G38" s="11">
        <f>IF(OR($A38="",$E38="",$C38=""),"",ROUND($D38*$E38/100*$C38/$F38,2))</f>
        <v/>
      </c>
      <c r="H38" s="13">
        <f>IF($A38="","",IF(YEAR($A38)&lt;&gt;YEAR($B38),"Период пересекает 31 декабря — разбейте на две строки",IF($B38&lt;$A38,"Конец периода раньше начала",IF($E38="","Ставка на эту дату не найдена: дополните таблицу ставок",""))))</f>
        <v/>
      </c>
    </row>
    <row r="39">
      <c r="A39" s="6" t="n"/>
      <c r="B39" s="6" t="n"/>
      <c r="C39" s="10">
        <f>IF(OR($A39="",$B39=""),"",$B39-$A39+1)</f>
        <v/>
      </c>
      <c r="D39" s="11">
        <f>IF($A39="","",'Входные данные'!$B$4-SUMIF('Входные данные'!$A$35:$A$44,"&lt;="&amp;$A39,'Входные данные'!$B$35:$B$44))</f>
        <v/>
      </c>
      <c r="E39" s="12">
        <f>IF($A39="","",IFERROR(INDEX('Входные данные'!$B$12:$B$31,MATCH($A39,'Входные данные'!$A$12:$A$31,1)),""))</f>
        <v/>
      </c>
      <c r="F39" s="10">
        <f>IF($A39="","",IF(DAY(DATE(YEAR($A39),2,29))=29,366,365))</f>
        <v/>
      </c>
      <c r="G39" s="11">
        <f>IF(OR($A39="",$E39="",$C39=""),"",ROUND($D39*$E39/100*$C39/$F39,2))</f>
        <v/>
      </c>
      <c r="H39" s="13">
        <f>IF($A39="","",IF(YEAR($A39)&lt;&gt;YEAR($B39),"Период пересекает 31 декабря — разбейте на две строки",IF($B39&lt;$A39,"Конец периода раньше начала",IF($E39="","Ставка на эту дату не найдена: дополните таблицу ставок",""))))</f>
        <v/>
      </c>
    </row>
    <row r="40">
      <c r="A40" s="6" t="n"/>
      <c r="B40" s="6" t="n"/>
      <c r="C40" s="10">
        <f>IF(OR($A40="",$B40=""),"",$B40-$A40+1)</f>
        <v/>
      </c>
      <c r="D40" s="11">
        <f>IF($A40="","",'Входные данные'!$B$4-SUMIF('Входные данные'!$A$35:$A$44,"&lt;="&amp;$A40,'Входные данные'!$B$35:$B$44))</f>
        <v/>
      </c>
      <c r="E40" s="12">
        <f>IF($A40="","",IFERROR(INDEX('Входные данные'!$B$12:$B$31,MATCH($A40,'Входные данные'!$A$12:$A$31,1)),""))</f>
        <v/>
      </c>
      <c r="F40" s="10">
        <f>IF($A40="","",IF(DAY(DATE(YEAR($A40),2,29))=29,366,365))</f>
        <v/>
      </c>
      <c r="G40" s="11">
        <f>IF(OR($A40="",$E40="",$C40=""),"",ROUND($D40*$E40/100*$C40/$F40,2))</f>
        <v/>
      </c>
      <c r="H40" s="13">
        <f>IF($A40="","",IF(YEAR($A40)&lt;&gt;YEAR($B40),"Период пересекает 31 декабря — разбейте на две строки",IF($B40&lt;$A40,"Конец периода раньше начала",IF($E40="","Ставка на эту дату не найдена: дополните таблицу ставок",""))))</f>
        <v/>
      </c>
    </row>
    <row r="41">
      <c r="A41" s="6" t="n"/>
      <c r="B41" s="6" t="n"/>
      <c r="C41" s="10">
        <f>IF(OR($A41="",$B41=""),"",$B41-$A41+1)</f>
        <v/>
      </c>
      <c r="D41" s="11">
        <f>IF($A41="","",'Входные данные'!$B$4-SUMIF('Входные данные'!$A$35:$A$44,"&lt;="&amp;$A41,'Входные данные'!$B$35:$B$44))</f>
        <v/>
      </c>
      <c r="E41" s="12">
        <f>IF($A41="","",IFERROR(INDEX('Входные данные'!$B$12:$B$31,MATCH($A41,'Входные данные'!$A$12:$A$31,1)),""))</f>
        <v/>
      </c>
      <c r="F41" s="10">
        <f>IF($A41="","",IF(DAY(DATE(YEAR($A41),2,29))=29,366,365))</f>
        <v/>
      </c>
      <c r="G41" s="11">
        <f>IF(OR($A41="",$E41="",$C41=""),"",ROUND($D41*$E41/100*$C41/$F41,2))</f>
        <v/>
      </c>
      <c r="H41" s="13">
        <f>IF($A41="","",IF(YEAR($A41)&lt;&gt;YEAR($B41),"Период пересекает 31 декабря — разбейте на две строки",IF($B41&lt;$A41,"Конец периода раньше начала",IF($E41="","Ставка на эту дату не найдена: дополните таблицу ставок",""))))</f>
        <v/>
      </c>
    </row>
    <row r="42">
      <c r="A42" s="6" t="n"/>
      <c r="B42" s="6" t="n"/>
      <c r="C42" s="10">
        <f>IF(OR($A42="",$B42=""),"",$B42-$A42+1)</f>
        <v/>
      </c>
      <c r="D42" s="11">
        <f>IF($A42="","",'Входные данные'!$B$4-SUMIF('Входные данные'!$A$35:$A$44,"&lt;="&amp;$A42,'Входные данные'!$B$35:$B$44))</f>
        <v/>
      </c>
      <c r="E42" s="12">
        <f>IF($A42="","",IFERROR(INDEX('Входные данные'!$B$12:$B$31,MATCH($A42,'Входные данные'!$A$12:$A$31,1)),""))</f>
        <v/>
      </c>
      <c r="F42" s="10">
        <f>IF($A42="","",IF(DAY(DATE(YEAR($A42),2,29))=29,366,365))</f>
        <v/>
      </c>
      <c r="G42" s="11">
        <f>IF(OR($A42="",$E42="",$C42=""),"",ROUND($D42*$E42/100*$C42/$F42,2))</f>
        <v/>
      </c>
      <c r="H42" s="13">
        <f>IF($A42="","",IF(YEAR($A42)&lt;&gt;YEAR($B42),"Период пересекает 31 декабря — разбейте на две строки",IF($B42&lt;$A42,"Конец периода раньше начала",IF($E42="","Ставка на эту дату не найдена: дополните таблицу ставок",""))))</f>
        <v/>
      </c>
    </row>
    <row r="43">
      <c r="A43" s="6" t="n"/>
      <c r="B43" s="6" t="n"/>
      <c r="C43" s="10">
        <f>IF(OR($A43="",$B43=""),"",$B43-$A43+1)</f>
        <v/>
      </c>
      <c r="D43" s="11">
        <f>IF($A43="","",'Входные данные'!$B$4-SUMIF('Входные данные'!$A$35:$A$44,"&lt;="&amp;$A43,'Входные данные'!$B$35:$B$44))</f>
        <v/>
      </c>
      <c r="E43" s="12">
        <f>IF($A43="","",IFERROR(INDEX('Входные данные'!$B$12:$B$31,MATCH($A43,'Входные данные'!$A$12:$A$31,1)),""))</f>
        <v/>
      </c>
      <c r="F43" s="10">
        <f>IF($A43="","",IF(DAY(DATE(YEAR($A43),2,29))=29,366,365))</f>
        <v/>
      </c>
      <c r="G43" s="11">
        <f>IF(OR($A43="",$E43="",$C43=""),"",ROUND($D43*$E43/100*$C43/$F43,2))</f>
        <v/>
      </c>
      <c r="H43" s="13">
        <f>IF($A43="","",IF(YEAR($A43)&lt;&gt;YEAR($B43),"Период пересекает 31 декабря — разбейте на две строки",IF($B43&lt;$A43,"Конец периода раньше начала",IF($E43="","Ставка на эту дату не найдена: дополните таблицу ставок",""))))</f>
        <v/>
      </c>
    </row>
    <row r="45">
      <c r="F45" s="14" t="inlineStr">
        <is>
          <t>Проценты по ст. 395 ГК РФ, всего:</t>
        </is>
      </c>
      <c r="G45" s="15">
        <f>ROUND(SUM($G$4:$G$43),2)</f>
        <v/>
      </c>
    </row>
    <row r="46">
      <c r="F46" s="14" t="inlineStr">
        <is>
          <t>Долг плюс проценты:</t>
        </is>
      </c>
      <c r="G46" s="15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для вашего спора знаменатель принципиален, сверьте его с юристом по действующей практике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любым публичным калькулятором процентов по ст. 395 ГК РФ — например, в справочно-правовой системе. Расхождение больше копеек на округлении означает ошибку в разбивке периодов, а не в калькуляторе. Колонка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>
      <c r="A2" s="2" t="inlineStr">
        <is>
      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6" t="inlineStr">
        <is>
          <t>Сумма долга на начало расчёта, руб.</t>
        </is>
      </c>
      <c r="B4" s="17">
        <f>'Входные данные'!$B$4</f>
        <v/>
      </c>
    </row>
    <row r="5">
      <c r="A5" s="16" t="inlineStr">
        <is>
          <t>Учтено частичных оплат, руб.</t>
        </is>
      </c>
      <c r="B5" s="17">
        <f>ROUND(SUM('Входные данные'!$B$35:$B$44),2)</f>
        <v/>
      </c>
    </row>
    <row r="6">
      <c r="A6" s="16" t="inlineStr">
        <is>
          <t>Основной долг к взысканию, руб.</t>
        </is>
      </c>
      <c r="B6" s="17">
        <f>ROUND('Входные данные'!$B$4-SUM('Входные данные'!$B$35:$B$44),2)</f>
        <v/>
      </c>
    </row>
    <row r="7">
      <c r="A7" s="16" t="inlineStr">
        <is>
          <t>Период начисления с</t>
        </is>
      </c>
      <c r="B7" s="18">
        <f>'Входные данные'!$B$5</f>
        <v/>
      </c>
    </row>
    <row r="8">
      <c r="A8" s="16" t="inlineStr">
        <is>
          <t>Период начисления по</t>
        </is>
      </c>
      <c r="B8" s="18">
        <f>'Входные данные'!$B$6</f>
        <v/>
      </c>
    </row>
    <row r="9">
      <c r="A9" s="16" t="inlineStr">
        <is>
          <t>Всего дней просрочки</t>
        </is>
      </c>
      <c r="B9" s="19">
        <f>IF(OR('Входные данные'!$B$5="",'Входные данные'!$B$6=""),"",'Входные данные'!$B$6-'Входные данные'!$B$5+1)</f>
        <v/>
      </c>
    </row>
    <row r="10">
      <c r="A10" s="16" t="inlineStr">
        <is>
          <t>Проценты по ст. 395 ГК РФ, руб.</t>
        </is>
      </c>
      <c r="B10" s="17">
        <f>'Расчёт'!$G$45</f>
        <v/>
      </c>
    </row>
    <row r="11">
      <c r="A11" s="16" t="inlineStr">
        <is>
          <t>Итого к взысканию, руб.</t>
        </is>
      </c>
      <c r="B11" s="17">
        <f>'Расчёт'!$G$46</f>
        <v/>
      </c>
    </row>
    <row r="12">
      <c r="A12" s="3" t="inlineStr">
        <is>
          <t>Фраза для документа</t>
        </is>
      </c>
    </row>
    <row r="13">
      <c r="A13" s="20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Что это не заменяет</t>
        </is>
      </c>
    </row>
    <row r="16" ht="46" customHeight="1">
      <c r="A16" s="5" t="inlineStr">
        <is>
          <t>— Выбор между процентами по ст. 395 и договорной неустойкой. Если договором установлена неустойка за просрочку оплаты, по общему правилу взыскивается она (п. 4 ст. 395 ГК РФ) — выбор согласуйте с юристом.</t>
        </is>
      </c>
    </row>
    <row r="17" ht="46" customHeight="1">
      <c r="A17" s="5" t="inlineStr">
        <is>
          <t>— Учёт мораторных периодов, банкротства должника и иных оснований приостановки начисления. При таких обстоятельствах расчёт корректирует юрист.</t>
        </is>
      </c>
    </row>
    <row r="18" ht="46" customHeight="1">
      <c r="A18" s="5" t="inlineStr">
        <is>
          <t>— Заключение специалиста. Суд проверяет расчёт сам; эта таблица — рабочий инструмент истца, а не доказательство само по себе.</t>
        </is>
      </c>
    </row>
    <row r="19" ht="46" customHeight="1">
      <c r="A19" s="5" t="inlineStr">
        <is>
          <t>— Юридическую консультацию и вычитку юристом. Порядок расчёта сверен с текстом действующих норм 16.08.2026: нормативная сверка сопоставляет формулировки и порядок со статьями закона и правовой позиции по вашему спору не оценивает.</t>
        </is>
      </c>
    </row>
  </sheetData>
  <mergeCells count="5">
    <mergeCell ref="A16:B16"/>
    <mergeCell ref="A19:B19"/>
    <mergeCell ref="A13:B13"/>
    <mergeCell ref="A17:B17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1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0" t="inlineStr">
        <is>
          <t>Сумма долга, руб.</t>
        </is>
      </c>
      <c r="B5" s="22" t="inlineStr">
        <is>
          <t>1 250 000,00</t>
        </is>
      </c>
    </row>
    <row r="6">
      <c r="A6" s="20" t="inlineStr">
        <is>
          <t>Дата начала просрочки</t>
        </is>
      </c>
      <c r="B6" s="22" t="inlineStr">
        <is>
          <t>15.03.2026</t>
        </is>
      </c>
    </row>
    <row r="7">
      <c r="A7" s="20" t="inlineStr">
        <is>
          <t>Дата окончания расчёта</t>
        </is>
      </c>
      <c r="B7" s="22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2" t="inlineStr">
        <is>
          <t>15.03.2026</t>
        </is>
      </c>
      <c r="B11" s="22" t="inlineStr">
        <is>
          <t>условная 1</t>
        </is>
      </c>
    </row>
    <row r="12">
      <c r="A12" s="22" t="inlineStr">
        <is>
          <t>28.04.2026</t>
        </is>
      </c>
      <c r="B12" s="22" t="inlineStr">
        <is>
          <t>условная 2</t>
        </is>
      </c>
    </row>
    <row r="14">
      <c r="A14" s="3" t="inlineStr">
        <is>
          <t>Строки листа «Расчёт»</t>
        </is>
      </c>
    </row>
    <row r="15">
      <c r="A15" s="7" t="inlineStr">
        <is>
          <t>Начало периода</t>
        </is>
      </c>
      <c r="B15" s="7" t="inlineStr">
        <is>
          <t>Конец периода</t>
        </is>
      </c>
      <c r="C15" s="7" t="inlineStr">
        <is>
          <t>Дней в периоде</t>
        </is>
      </c>
      <c r="D15" s="7" t="inlineStr">
        <is>
          <t>База долга, руб.</t>
        </is>
      </c>
      <c r="E15" s="7" t="inlineStr">
        <is>
          <t>Ставка, % годовых</t>
        </is>
      </c>
      <c r="F15" s="7" t="inlineStr">
        <is>
          <t>Дней в году</t>
        </is>
      </c>
      <c r="G15" s="7" t="inlineStr">
        <is>
          <t>Проценты за период, руб.</t>
        </is>
      </c>
      <c r="H15" s="7" t="inlineStr">
        <is>
          <t>Проверка</t>
        </is>
      </c>
    </row>
    <row r="16">
      <c r="A16" s="23" t="inlineStr">
        <is>
          <t>15.03.2026</t>
        </is>
      </c>
      <c r="B16" s="23" t="inlineStr">
        <is>
          <t>27.04.2026</t>
        </is>
      </c>
      <c r="C16" s="24" t="inlineStr">
        <is>
          <t>считается</t>
        </is>
      </c>
      <c r="D16" s="24" t="inlineStr">
        <is>
          <t>считается</t>
        </is>
      </c>
      <c r="E16" s="24" t="inlineStr">
        <is>
          <t>подставится</t>
        </is>
      </c>
      <c r="F16" s="24" t="inlineStr">
        <is>
          <t>считается</t>
        </is>
      </c>
      <c r="G16" s="24" t="inlineStr">
        <is>
          <t>считается</t>
        </is>
      </c>
      <c r="H16" s="24" t="inlineStr">
        <is>
          <t>пусто, если всё верно</t>
        </is>
      </c>
    </row>
    <row r="17">
      <c r="A17" s="23" t="inlineStr">
        <is>
          <t>28.04.2026</t>
        </is>
      </c>
      <c r="B17" s="23" t="inlineStr">
        <is>
          <t>30.07.2026</t>
        </is>
      </c>
      <c r="C17" s="24" t="inlineStr">
        <is>
          <t>считается</t>
        </is>
      </c>
      <c r="D17" s="24" t="inlineStr">
        <is>
          <t>считается</t>
        </is>
      </c>
      <c r="E17" s="24" t="inlineStr">
        <is>
          <t>подставится</t>
        </is>
      </c>
      <c r="F17" s="24" t="inlineStr">
        <is>
          <t>считается</t>
        </is>
      </c>
      <c r="G17" s="24" t="inlineStr">
        <is>
          <t>считается</t>
        </is>
      </c>
      <c r="H17" s="24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      </is>
      </c>
    </row>
  </sheetData>
  <mergeCells count="2">
    <mergeCell ref="A19:H19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2026-09-20T06:21:42Z</dcterms:created>
  <dcterms:modified xmlns:dcterms="http://purl.org/dc/terms/" xmlns:xsi="http://www.w3.org/2001/XMLSchema-instance" xsi:type="dcterms:W3CDTF">2026-09-20T06:21:42Z</dcterms:modified>
</cp:coreProperties>
</file>