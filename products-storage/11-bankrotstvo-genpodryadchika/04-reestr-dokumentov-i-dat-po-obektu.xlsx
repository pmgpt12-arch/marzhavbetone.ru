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ъект и должник" sheetId="1" state="visible" r:id="rId1"/>
    <sheet name="Реестр документов" sheetId="2" state="visible" r:id="rId2"/>
    <sheet name="Итоги" sheetId="3" state="visible" r:id="rId3"/>
    <sheet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color rgb="00C00000"/>
      <sz val="10"/>
    </font>
    <font>
      <name val="Times New Roman"/>
      <b val="1"/>
      <color rgb="00C00000"/>
      <sz val="11"/>
    </font>
    <font>
      <name val="Times New Roman"/>
      <sz val="11"/>
    </font>
    <font>
      <name val="Times New Roman"/>
      <color rgb="00008000"/>
      <sz val="11"/>
    </font>
    <font>
      <name val="Times New Roman"/>
      <i val="1"/>
      <color rgb="00C00000"/>
      <sz val="10"/>
    </font>
  </fonts>
  <fills count="5">
    <fill>
      <patternFill/>
    </fill>
    <fill>
      <patternFill patternType="gray125"/>
    </fill>
    <fill>
      <patternFill patternType="solid">
        <fgColor rgb="00FFF2CC"/>
      </patternFill>
    </fill>
    <fill>
      <patternFill patternType="solid">
        <fgColor rgb="00FCE4E4"/>
      </patternFill>
    </fill>
    <fill>
      <patternFill patternType="solid">
        <fgColor rgb="00E7E6E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0" applyAlignment="1" pivotButton="0" quotePrefix="0" xfId="0">
      <alignment vertical="top" wrapText="1"/>
    </xf>
    <xf numFmtId="164" fontId="4" fillId="2" borderId="1" pivotButton="0" quotePrefix="0" xfId="0"/>
    <xf numFmtId="0" fontId="5" fillId="0" borderId="0" applyAlignment="1" pivotButton="0" quotePrefix="0" xfId="0">
      <alignment vertical="top" wrapText="1"/>
    </xf>
    <xf numFmtId="0" fontId="6" fillId="3" borderId="1" pivotButton="0" quotePrefix="0" xfId="0"/>
    <xf numFmtId="0" fontId="0" fillId="0" borderId="4" pivotButton="0" quotePrefix="0" xfId="0"/>
    <xf numFmtId="0" fontId="3" fillId="4" borderId="1" applyAlignment="1" pivotButton="0" quotePrefix="0" xfId="0">
      <alignment vertical="center" wrapText="1"/>
    </xf>
    <xf numFmtId="0" fontId="7" fillId="0" borderId="1" pivotButton="0" quotePrefix="0" xfId="0"/>
    <xf numFmtId="4" fontId="4" fillId="2" borderId="1" pivotButton="0" quotePrefix="0" xfId="0"/>
    <xf numFmtId="0" fontId="5" fillId="0" borderId="1" pivotButton="0" quotePrefix="0" xfId="0"/>
    <xf numFmtId="0" fontId="3" fillId="0" borderId="1" pivotButton="0" quotePrefix="0" xfId="0"/>
    <xf numFmtId="1" fontId="8" fillId="0" borderId="1" pivotButton="0" quotePrefix="0" xfId="0"/>
    <xf numFmtId="4" fontId="8" fillId="0" borderId="1" pivotButton="0" quotePrefix="0" xfId="0"/>
    <xf numFmtId="0" fontId="9" fillId="0" borderId="0" pivotButton="0" quotePrefix="0" xfId="0"/>
    <xf numFmtId="0" fontId="7" fillId="0" borderId="0" pivotButton="0" quotePrefix="0" xfId="0"/>
    <xf numFmtId="0" fontId="4"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Маржа в бетоне</author>
  </authors>
  <commentList>
    <comment ref="B14" authorId="0" shapeId="0">
      <text>
        <t>Дата принятия заявления, а не дата введения процедуры. Это разные даты, и путаница между ними меняет вывод по каждому акту.</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6" customWidth="1" min="1" max="1"/>
    <col width="28" customWidth="1" min="2" max="2"/>
    <col width="72" customWidth="1" min="3" max="3"/>
  </cols>
  <sheetData>
    <row r="1">
      <c r="A1" s="1" t="inlineStr">
        <is>
          <t>Объект, должник и дата, к которой всё должно быть готово</t>
        </is>
      </c>
    </row>
    <row r="2">
      <c r="A2" s="2" t="inlineStr">
        <is>
          <t>Заполните жёлтые ячейки. Синим — то, что вводите вы; чёрным — то, что считают формулы. Сведения берите из судебного акта и из публикации, а не из пересказа.</t>
        </is>
      </c>
    </row>
    <row r="4">
      <c r="A4" s="3" t="inlineStr">
        <is>
          <t>Ваш объект и договор</t>
        </is>
      </c>
    </row>
    <row r="5">
      <c r="A5" s="3" t="inlineStr">
        <is>
          <t>Объект</t>
        </is>
      </c>
      <c r="B5" s="4" t="n"/>
      <c r="C5" s="5" t="inlineStr">
        <is>
          <t>Наименование и адрес объекта строительства</t>
        </is>
      </c>
    </row>
    <row r="6">
      <c r="A6" s="3" t="inlineStr">
        <is>
          <t>Договор субподряда № и дата</t>
        </is>
      </c>
      <c r="B6" s="4" t="n"/>
      <c r="C6" s="5" t="inlineStr">
        <is>
          <t>Титульный лист договора</t>
        </is>
      </c>
    </row>
    <row r="7">
      <c r="A7" s="3" t="inlineStr">
        <is>
          <t>Наименование должника (генподрядчика)</t>
        </is>
      </c>
      <c r="B7" s="4" t="n"/>
      <c r="C7" s="5" t="inlineStr">
        <is>
          <t>Полное наименование по ЕГРЮЛ</t>
        </is>
      </c>
    </row>
    <row r="8">
      <c r="A8" s="3" t="inlineStr">
        <is>
          <t>ИНН должника</t>
        </is>
      </c>
      <c r="B8" s="4" t="n"/>
      <c r="C8" s="5" t="inlineStr">
        <is>
          <t>По нему ставится наблюдение в источниках</t>
        </is>
      </c>
    </row>
    <row r="9">
      <c r="A9" s="3" t="inlineStr">
        <is>
          <t>ОГРН должника</t>
        </is>
      </c>
      <c r="B9" s="4" t="n"/>
      <c r="C9" s="5" t="inlineStr">
        <is>
          <t>Выписка ЕГРЮЛ</t>
        </is>
      </c>
    </row>
    <row r="11">
      <c r="A11" s="3" t="inlineStr">
        <is>
          <t>Дело о банкротстве</t>
        </is>
      </c>
    </row>
    <row r="12">
      <c r="A12" s="3" t="inlineStr">
        <is>
          <t>Номер дела о банкротстве</t>
        </is>
      </c>
      <c r="B12" s="4" t="n"/>
      <c r="C12" s="5" t="inlineStr">
        <is>
          <t>Из карточки дела kad.arbitr.ru</t>
        </is>
      </c>
    </row>
    <row r="13">
      <c r="A13" s="3" t="inlineStr">
        <is>
          <t>Арбитражный суд, рассматривающий дело</t>
        </is>
      </c>
      <c r="B13" s="4" t="n"/>
      <c r="C13" s="5" t="inlineStr">
        <is>
          <t>Из судебного акта</t>
        </is>
      </c>
    </row>
    <row r="14">
      <c r="A14" s="3" t="inlineStr">
        <is>
          <t>Дата принятия судом заявления о признании банкротом</t>
        </is>
      </c>
      <c r="B14" s="6" t="n"/>
      <c r="C14" s="5" t="inlineStr">
        <is>
          <t>Ключевая дата для деления требований на реестровые и текущие (ст. 5 Закона о банкротстве). Лист «Реестр документов» сравнивает с ней дату каждого документа</t>
        </is>
      </c>
    </row>
    <row r="15">
      <c r="A15" s="3" t="inlineStr">
        <is>
          <t>Введённая процедура</t>
        </is>
      </c>
      <c r="B15" s="4" t="n"/>
      <c r="C15" s="5" t="inlineStr">
        <is>
          <t>Наблюдение, внешнее управление, конкурсное производство — как названо в судебном акте</t>
        </is>
      </c>
    </row>
    <row r="16">
      <c r="A16" s="3" t="inlineStr">
        <is>
          <t>Дата введения процедуры</t>
        </is>
      </c>
      <c r="B16" s="6" t="n"/>
      <c r="C16" s="5" t="inlineStr">
        <is>
          <t>Из судебного акта</t>
        </is>
      </c>
    </row>
    <row r="17">
      <c r="A17" s="3" t="inlineStr">
        <is>
          <t>Дата публикации сведений</t>
        </is>
      </c>
      <c r="B17" s="6" t="n"/>
      <c r="C17" s="5" t="inlineStr">
        <is>
          <t>От неё считается срок заявления требования. Сохраните саму публикацию</t>
        </is>
      </c>
    </row>
    <row r="18">
      <c r="A18" s="3" t="inlineStr">
        <is>
          <t>Источник публикации и ссылка</t>
        </is>
      </c>
      <c r="B18" s="4" t="n"/>
      <c r="C18" s="5" t="inlineStr">
        <is>
          <t>ЕФРСБ (bankrot.fedresurs.ru) либо официальное издание. Укажите номер сообщения или ссылку</t>
        </is>
      </c>
    </row>
    <row r="20">
      <c r="A20" s="3" t="inlineStr">
        <is>
          <t>Срок заявления требования — проверяете вы, а не файл</t>
        </is>
      </c>
    </row>
    <row r="21" ht="78" customHeight="1">
      <c r="A21" s="7" t="inlineStr">
        <is>
          <t>Числа срока в этом файле нет намеренно. Срок зависит от процедуры (наблюдение — ст. 71, внешнее управление — ст. 100, конкурсное производство — ст. 142 Закона о банкротстве), считается от даты публикации и меняется вместе с редакцией закона. Формула, прибавляющая зашитое число дней, устарела бы молча и при этом выглядела бы точной. Проверьте действующую редакцию названной статьи, отсчитайте срок от даты публикации, запишите полученную дату ниже и подтвердите её у юриста.</t>
        </is>
      </c>
    </row>
    <row r="23">
      <c r="A23" s="3" t="inlineStr">
        <is>
          <t>Норма, по которой проверен срок</t>
        </is>
      </c>
      <c r="B23" s="4" t="n"/>
      <c r="C23" s="5" t="inlineStr">
        <is>
          <t>Например: ст. 71 Закона о банкротстве, редакция на дату проверки</t>
        </is>
      </c>
    </row>
    <row r="24">
      <c r="A24" s="3" t="inlineStr">
        <is>
          <t>Дата, до которой требование должно быть заявлено</t>
        </is>
      </c>
      <c r="B24" s="6" t="n"/>
      <c r="C24" s="5" t="inlineStr">
        <is>
          <t>Ваша запись по результату проверки. Поставьте напоминание заметно раньше этой даты</t>
        </is>
      </c>
    </row>
    <row r="25">
      <c r="A25" s="3" t="inlineStr">
        <is>
          <t>Кем и когда проверен срок</t>
        </is>
      </c>
      <c r="B25" s="4" t="n"/>
      <c r="C25" s="5" t="inlineStr">
        <is>
          <t>Фамилия и дата. «Проверено» без фамилии не выполняется</t>
        </is>
      </c>
    </row>
    <row r="27">
      <c r="A27" s="3" t="inlineStr">
        <is>
          <t>Проверка</t>
        </is>
      </c>
      <c r="B27" s="8">
        <f>IF($B$24="","срок не проверен — заполните строки 23–25",IF($B$25="","дата записана, но не указано, кем и когда проверена",IF($B$24&lt;TODAY(),"дата по вашей записи прошла — файл «Что делать, если срок пропущен» и юрист сегодня","дней до вашей даты: "&amp;($B$24-TODAY()))))</f>
        <v/>
      </c>
      <c r="C27" s="9" t="n"/>
    </row>
    <row r="29">
      <c r="A29" s="3" t="inlineStr">
        <is>
          <t>Арбитражный управляющий</t>
        </is>
      </c>
    </row>
    <row r="30">
      <c r="A30" s="3" t="inlineStr">
        <is>
          <t>Фамилия, имя, отчество</t>
        </is>
      </c>
      <c r="B30" s="4" t="n"/>
      <c r="C30" s="5" t="inlineStr">
        <is>
          <t>Из публикации сведений</t>
        </is>
      </c>
    </row>
    <row r="31">
      <c r="A31" s="3" t="inlineStr">
        <is>
          <t>Адрес для корреспонденции</t>
        </is>
      </c>
      <c r="B31" s="4" t="n"/>
      <c r="C31" s="5" t="inlineStr">
        <is>
          <t>Адрес, указанный в публикации. Письмо по другому адресу — это письмо, которое вы не направили</t>
        </is>
      </c>
    </row>
    <row r="32">
      <c r="A32" s="3" t="inlineStr">
        <is>
          <t>Электронная почта</t>
        </is>
      </c>
      <c r="B32" s="4" t="n"/>
      <c r="C32" s="5" t="inlineStr">
        <is>
          <t>Если указана в публикации</t>
        </is>
      </c>
    </row>
    <row r="33">
      <c r="A33" s="3" t="inlineStr">
        <is>
          <t>Саморегулируемая организация</t>
        </is>
      </c>
      <c r="B33" s="4" t="n"/>
      <c r="C33" s="5" t="inlineStr">
        <is>
          <t>Из публикации сведений</t>
        </is>
      </c>
    </row>
    <row r="35">
      <c r="A35" s="3" t="inlineStr">
        <is>
          <t>Что этот лист не решает</t>
        </is>
      </c>
    </row>
    <row r="36" ht="60" customHeight="1">
      <c r="A36" s="5" t="inlineStr">
        <is>
          <t>Квалификацию требования — реестровое или текущий платёж — файл не делает и сделать не может: момент возникновения обязательства по оплате не всегда совпадает с датой акта. Колонка «Период» на листе реестра расставляет документы по датам, чтобы юристу было с чем работать, и не более того.</t>
        </is>
      </c>
    </row>
    <row r="38">
      <c r="A38" s="3" t="inlineStr">
        <is>
          <t>Прочитайте до того, как заполнять</t>
        </is>
      </c>
    </row>
    <row r="39" ht="90" customHeight="1">
      <c r="A39" s="5" t="inlineStr">
        <is>
          <t>Это рабочая таблица, а не юридическая консультация и не гарантия включения требования в реестр. Она приводит документы и даты в порядок — решения по ним принимает юрист по вашему делу. Пропущенный срок восстанавливается не всегда, а требование, поданное с ошибкой, теряет очередь. Сроков и ставок числом в файле нет намеренно: они меняются вместе с редакцией закона, а скачанная книга не обновляется — каждую дату вы проверяете сами на дату заполнения и подтверждаете у юриста.</t>
        </is>
      </c>
    </row>
  </sheetData>
  <mergeCells count="5">
    <mergeCell ref="A36:C36"/>
    <mergeCell ref="A21:C21"/>
    <mergeCell ref="A39:C39"/>
    <mergeCell ref="B27:C27"/>
    <mergeCell ref="A2:C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0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14" customWidth="1" min="3" max="3"/>
    <col width="15" customWidth="1" min="4" max="4"/>
    <col width="16" customWidth="1" min="5" max="5"/>
    <col width="14" customWidth="1" min="6" max="6"/>
    <col width="14" customWidth="1" min="7" max="7"/>
    <col width="18" customWidth="1" min="8" max="8"/>
    <col width="24" customWidth="1" min="9" max="9"/>
    <col width="22" customWidth="1" min="10" max="10"/>
    <col width="12" customWidth="1" min="11" max="11"/>
    <col width="22" customWidth="1" min="12" max="12"/>
    <col width="44" customWidth="1" min="13" max="13"/>
  </cols>
  <sheetData>
    <row r="1">
      <c r="A1" s="1" t="inlineStr">
        <is>
          <t>Хронология: что подписано, когда направлено, чем подтверждается</t>
        </is>
      </c>
    </row>
    <row r="2">
      <c r="A2" s="2" t="inlineStr">
        <is>
          <t>Жёлтые колонки заполняете вы, по одной строке на документ. Колонки «Период» и «Проверка» считаются сами. Заполняйте по ходу работ: в день публикации сведений времени на археологию уже не будет.</t>
        </is>
      </c>
    </row>
    <row r="3">
      <c r="A3" s="10" t="inlineStr">
        <is>
          <t>№</t>
        </is>
      </c>
      <c r="B3" s="10" t="inlineStr">
        <is>
          <t>Тип документа</t>
        </is>
      </c>
      <c r="C3" s="10" t="inlineStr">
        <is>
          <t>Номер</t>
        </is>
      </c>
      <c r="D3" s="10" t="inlineStr">
        <is>
          <t>Дата документа</t>
        </is>
      </c>
      <c r="E3" s="10" t="inlineStr">
        <is>
          <t>Сумма, руб.</t>
        </is>
      </c>
      <c r="F3" s="10" t="inlineStr">
        <is>
          <t>Подписан обеими сторонами</t>
        </is>
      </c>
      <c r="G3" s="10" t="inlineStr">
        <is>
          <t>Направлен: дата</t>
        </is>
      </c>
      <c r="H3" s="10" t="inlineStr">
        <is>
          <t>Способ направления</t>
        </is>
      </c>
      <c r="I3" s="10" t="inlineStr">
        <is>
          <t>Подтверждение направления</t>
        </is>
      </c>
      <c r="J3" s="10" t="inlineStr">
        <is>
          <t>Где лежит оригинал</t>
        </is>
      </c>
      <c r="K3" s="10" t="inlineStr">
        <is>
          <t>Копия в пакет</t>
        </is>
      </c>
      <c r="L3" s="10" t="inlineStr">
        <is>
          <t>Период</t>
        </is>
      </c>
      <c r="M3" s="10" t="inlineStr">
        <is>
          <t>Проверка</t>
        </is>
      </c>
    </row>
    <row r="4">
      <c r="A4" s="11">
        <f>IF($B4="","",ROW()-3)</f>
        <v/>
      </c>
      <c r="B4" s="4" t="n"/>
      <c r="C4" s="4" t="n"/>
      <c r="D4" s="6" t="n"/>
      <c r="E4" s="12" t="n"/>
      <c r="F4" s="4" t="n"/>
      <c r="G4" s="6" t="n"/>
      <c r="H4" s="4" t="n"/>
      <c r="I4" s="4" t="n"/>
      <c r="J4" s="4" t="n"/>
      <c r="K4" s="4" t="n"/>
      <c r="L4" s="11">
        <f>IF($D4="","",IF('Объект и должник'!$B$14="","дата принятия заявления не заполнена",IF($D4&lt;'Объект и должник'!$B$14,"до принятия заявления","после принятия заявления")))</f>
        <v/>
      </c>
      <c r="M4" s="13">
        <f>IF($B4="","",IF(AND($E4&gt;0,LOWER($F4)&lt;&gt;"да"),"сумма есть, подписи обеих сторон нет — отдельно обсудите с юристом",IF(AND($G4&lt;&gt;"",$I4=""),"направлено, но подтверждение направления не указано",IF($K4="","отметьте, идёт ли копия в пакет",IF($L4="после принятия заявления","после принятия заявления — возможно текущий платёж (ст. 5), к юристу","")))))</f>
        <v/>
      </c>
    </row>
    <row r="5">
      <c r="A5" s="11">
        <f>IF($B5="","",ROW()-3)</f>
        <v/>
      </c>
      <c r="B5" s="4" t="n"/>
      <c r="C5" s="4" t="n"/>
      <c r="D5" s="6" t="n"/>
      <c r="E5" s="12" t="n"/>
      <c r="F5" s="4" t="n"/>
      <c r="G5" s="6" t="n"/>
      <c r="H5" s="4" t="n"/>
      <c r="I5" s="4" t="n"/>
      <c r="J5" s="4" t="n"/>
      <c r="K5" s="4" t="n"/>
      <c r="L5" s="11">
        <f>IF($D5="","",IF('Объект и должник'!$B$14="","дата принятия заявления не заполнена",IF($D5&lt;'Объект и должник'!$B$14,"до принятия заявления","после принятия заявления")))</f>
        <v/>
      </c>
      <c r="M5" s="13">
        <f>IF($B5="","",IF(AND($E5&gt;0,LOWER($F5)&lt;&gt;"да"),"сумма есть, подписи обеих сторон нет — отдельно обсудите с юристом",IF(AND($G5&lt;&gt;"",$I5=""),"направлено, но подтверждение направления не указано",IF($K5="","отметьте, идёт ли копия в пакет",IF($L5="после принятия заявления","после принятия заявления — возможно текущий платёж (ст. 5), к юристу","")))))</f>
        <v/>
      </c>
    </row>
    <row r="6">
      <c r="A6" s="11">
        <f>IF($B6="","",ROW()-3)</f>
        <v/>
      </c>
      <c r="B6" s="4" t="n"/>
      <c r="C6" s="4" t="n"/>
      <c r="D6" s="6" t="n"/>
      <c r="E6" s="12" t="n"/>
      <c r="F6" s="4" t="n"/>
      <c r="G6" s="6" t="n"/>
      <c r="H6" s="4" t="n"/>
      <c r="I6" s="4" t="n"/>
      <c r="J6" s="4" t="n"/>
      <c r="K6" s="4" t="n"/>
      <c r="L6" s="11">
        <f>IF($D6="","",IF('Объект и должник'!$B$14="","дата принятия заявления не заполнена",IF($D6&lt;'Объект и должник'!$B$14,"до принятия заявления","после принятия заявления")))</f>
        <v/>
      </c>
      <c r="M6" s="13">
        <f>IF($B6="","",IF(AND($E6&gt;0,LOWER($F6)&lt;&gt;"да"),"сумма есть, подписи обеих сторон нет — отдельно обсудите с юристом",IF(AND($G6&lt;&gt;"",$I6=""),"направлено, но подтверждение направления не указано",IF($K6="","отметьте, идёт ли копия в пакет",IF($L6="после принятия заявления","после принятия заявления — возможно текущий платёж (ст. 5), к юристу","")))))</f>
        <v/>
      </c>
    </row>
    <row r="7">
      <c r="A7" s="11">
        <f>IF($B7="","",ROW()-3)</f>
        <v/>
      </c>
      <c r="B7" s="4" t="n"/>
      <c r="C7" s="4" t="n"/>
      <c r="D7" s="6" t="n"/>
      <c r="E7" s="12" t="n"/>
      <c r="F7" s="4" t="n"/>
      <c r="G7" s="6" t="n"/>
      <c r="H7" s="4" t="n"/>
      <c r="I7" s="4" t="n"/>
      <c r="J7" s="4" t="n"/>
      <c r="K7" s="4" t="n"/>
      <c r="L7" s="11">
        <f>IF($D7="","",IF('Объект и должник'!$B$14="","дата принятия заявления не заполнена",IF($D7&lt;'Объект и должник'!$B$14,"до принятия заявления","после принятия заявления")))</f>
        <v/>
      </c>
      <c r="M7" s="13">
        <f>IF($B7="","",IF(AND($E7&gt;0,LOWER($F7)&lt;&gt;"да"),"сумма есть, подписи обеих сторон нет — отдельно обсудите с юристом",IF(AND($G7&lt;&gt;"",$I7=""),"направлено, но подтверждение направления не указано",IF($K7="","отметьте, идёт ли копия в пакет",IF($L7="после принятия заявления","после принятия заявления — возможно текущий платёж (ст. 5), к юристу","")))))</f>
        <v/>
      </c>
    </row>
    <row r="8">
      <c r="A8" s="11">
        <f>IF($B8="","",ROW()-3)</f>
        <v/>
      </c>
      <c r="B8" s="4" t="n"/>
      <c r="C8" s="4" t="n"/>
      <c r="D8" s="6" t="n"/>
      <c r="E8" s="12" t="n"/>
      <c r="F8" s="4" t="n"/>
      <c r="G8" s="6" t="n"/>
      <c r="H8" s="4" t="n"/>
      <c r="I8" s="4" t="n"/>
      <c r="J8" s="4" t="n"/>
      <c r="K8" s="4" t="n"/>
      <c r="L8" s="11">
        <f>IF($D8="","",IF('Объект и должник'!$B$14="","дата принятия заявления не заполнена",IF($D8&lt;'Объект и должник'!$B$14,"до принятия заявления","после принятия заявления")))</f>
        <v/>
      </c>
      <c r="M8" s="13">
        <f>IF($B8="","",IF(AND($E8&gt;0,LOWER($F8)&lt;&gt;"да"),"сумма есть, подписи обеих сторон нет — отдельно обсудите с юристом",IF(AND($G8&lt;&gt;"",$I8=""),"направлено, но подтверждение направления не указано",IF($K8="","отметьте, идёт ли копия в пакет",IF($L8="после принятия заявления","после принятия заявления — возможно текущий платёж (ст. 5), к юристу","")))))</f>
        <v/>
      </c>
    </row>
    <row r="9">
      <c r="A9" s="11">
        <f>IF($B9="","",ROW()-3)</f>
        <v/>
      </c>
      <c r="B9" s="4" t="n"/>
      <c r="C9" s="4" t="n"/>
      <c r="D9" s="6" t="n"/>
      <c r="E9" s="12" t="n"/>
      <c r="F9" s="4" t="n"/>
      <c r="G9" s="6" t="n"/>
      <c r="H9" s="4" t="n"/>
      <c r="I9" s="4" t="n"/>
      <c r="J9" s="4" t="n"/>
      <c r="K9" s="4" t="n"/>
      <c r="L9" s="11">
        <f>IF($D9="","",IF('Объект и должник'!$B$14="","дата принятия заявления не заполнена",IF($D9&lt;'Объект и должник'!$B$14,"до принятия заявления","после принятия заявления")))</f>
        <v/>
      </c>
      <c r="M9" s="13">
        <f>IF($B9="","",IF(AND($E9&gt;0,LOWER($F9)&lt;&gt;"да"),"сумма есть, подписи обеих сторон нет — отдельно обсудите с юристом",IF(AND($G9&lt;&gt;"",$I9=""),"направлено, но подтверждение направления не указано",IF($K9="","отметьте, идёт ли копия в пакет",IF($L9="после принятия заявления","после принятия заявления — возможно текущий платёж (ст. 5), к юристу","")))))</f>
        <v/>
      </c>
    </row>
    <row r="10">
      <c r="A10" s="11">
        <f>IF($B10="","",ROW()-3)</f>
        <v/>
      </c>
      <c r="B10" s="4" t="n"/>
      <c r="C10" s="4" t="n"/>
      <c r="D10" s="6" t="n"/>
      <c r="E10" s="12" t="n"/>
      <c r="F10" s="4" t="n"/>
      <c r="G10" s="6" t="n"/>
      <c r="H10" s="4" t="n"/>
      <c r="I10" s="4" t="n"/>
      <c r="J10" s="4" t="n"/>
      <c r="K10" s="4" t="n"/>
      <c r="L10" s="11">
        <f>IF($D10="","",IF('Объект и должник'!$B$14="","дата принятия заявления не заполнена",IF($D10&lt;'Объект и должник'!$B$14,"до принятия заявления","после принятия заявления")))</f>
        <v/>
      </c>
      <c r="M10" s="13">
        <f>IF($B10="","",IF(AND($E10&gt;0,LOWER($F10)&lt;&gt;"да"),"сумма есть, подписи обеих сторон нет — отдельно обсудите с юристом",IF(AND($G10&lt;&gt;"",$I10=""),"направлено, но подтверждение направления не указано",IF($K10="","отметьте, идёт ли копия в пакет",IF($L10="после принятия заявления","после принятия заявления — возможно текущий платёж (ст. 5), к юристу","")))))</f>
        <v/>
      </c>
    </row>
    <row r="11">
      <c r="A11" s="11">
        <f>IF($B11="","",ROW()-3)</f>
        <v/>
      </c>
      <c r="B11" s="4" t="n"/>
      <c r="C11" s="4" t="n"/>
      <c r="D11" s="6" t="n"/>
      <c r="E11" s="12" t="n"/>
      <c r="F11" s="4" t="n"/>
      <c r="G11" s="6" t="n"/>
      <c r="H11" s="4" t="n"/>
      <c r="I11" s="4" t="n"/>
      <c r="J11" s="4" t="n"/>
      <c r="K11" s="4" t="n"/>
      <c r="L11" s="11">
        <f>IF($D11="","",IF('Объект и должник'!$B$14="","дата принятия заявления не заполнена",IF($D11&lt;'Объект и должник'!$B$14,"до принятия заявления","после принятия заявления")))</f>
        <v/>
      </c>
      <c r="M11" s="13">
        <f>IF($B11="","",IF(AND($E11&gt;0,LOWER($F11)&lt;&gt;"да"),"сумма есть, подписи обеих сторон нет — отдельно обсудите с юристом",IF(AND($G11&lt;&gt;"",$I11=""),"направлено, но подтверждение направления не указано",IF($K11="","отметьте, идёт ли копия в пакет",IF($L11="после принятия заявления","после принятия заявления — возможно текущий платёж (ст. 5), к юристу","")))))</f>
        <v/>
      </c>
    </row>
    <row r="12">
      <c r="A12" s="11">
        <f>IF($B12="","",ROW()-3)</f>
        <v/>
      </c>
      <c r="B12" s="4" t="n"/>
      <c r="C12" s="4" t="n"/>
      <c r="D12" s="6" t="n"/>
      <c r="E12" s="12" t="n"/>
      <c r="F12" s="4" t="n"/>
      <c r="G12" s="6" t="n"/>
      <c r="H12" s="4" t="n"/>
      <c r="I12" s="4" t="n"/>
      <c r="J12" s="4" t="n"/>
      <c r="K12" s="4" t="n"/>
      <c r="L12" s="11">
        <f>IF($D12="","",IF('Объект и должник'!$B$14="","дата принятия заявления не заполнена",IF($D12&lt;'Объект и должник'!$B$14,"до принятия заявления","после принятия заявления")))</f>
        <v/>
      </c>
      <c r="M12" s="13">
        <f>IF($B12="","",IF(AND($E12&gt;0,LOWER($F12)&lt;&gt;"да"),"сумма есть, подписи обеих сторон нет — отдельно обсудите с юристом",IF(AND($G12&lt;&gt;"",$I12=""),"направлено, но подтверждение направления не указано",IF($K12="","отметьте, идёт ли копия в пакет",IF($L12="после принятия заявления","после принятия заявления — возможно текущий платёж (ст. 5), к юристу","")))))</f>
        <v/>
      </c>
    </row>
    <row r="13">
      <c r="A13" s="11">
        <f>IF($B13="","",ROW()-3)</f>
        <v/>
      </c>
      <c r="B13" s="4" t="n"/>
      <c r="C13" s="4" t="n"/>
      <c r="D13" s="6" t="n"/>
      <c r="E13" s="12" t="n"/>
      <c r="F13" s="4" t="n"/>
      <c r="G13" s="6" t="n"/>
      <c r="H13" s="4" t="n"/>
      <c r="I13" s="4" t="n"/>
      <c r="J13" s="4" t="n"/>
      <c r="K13" s="4" t="n"/>
      <c r="L13" s="11">
        <f>IF($D13="","",IF('Объект и должник'!$B$14="","дата принятия заявления не заполнена",IF($D13&lt;'Объект и должник'!$B$14,"до принятия заявления","после принятия заявления")))</f>
        <v/>
      </c>
      <c r="M13" s="13">
        <f>IF($B13="","",IF(AND($E13&gt;0,LOWER($F13)&lt;&gt;"да"),"сумма есть, подписи обеих сторон нет — отдельно обсудите с юристом",IF(AND($G13&lt;&gt;"",$I13=""),"направлено, но подтверждение направления не указано",IF($K13="","отметьте, идёт ли копия в пакет",IF($L13="после принятия заявления","после принятия заявления — возможно текущий платёж (ст. 5), к юристу","")))))</f>
        <v/>
      </c>
    </row>
    <row r="14">
      <c r="A14" s="11">
        <f>IF($B14="","",ROW()-3)</f>
        <v/>
      </c>
      <c r="B14" s="4" t="n"/>
      <c r="C14" s="4" t="n"/>
      <c r="D14" s="6" t="n"/>
      <c r="E14" s="12" t="n"/>
      <c r="F14" s="4" t="n"/>
      <c r="G14" s="6" t="n"/>
      <c r="H14" s="4" t="n"/>
      <c r="I14" s="4" t="n"/>
      <c r="J14" s="4" t="n"/>
      <c r="K14" s="4" t="n"/>
      <c r="L14" s="11">
        <f>IF($D14="","",IF('Объект и должник'!$B$14="","дата принятия заявления не заполнена",IF($D14&lt;'Объект и должник'!$B$14,"до принятия заявления","после принятия заявления")))</f>
        <v/>
      </c>
      <c r="M14" s="13">
        <f>IF($B14="","",IF(AND($E14&gt;0,LOWER($F14)&lt;&gt;"да"),"сумма есть, подписи обеих сторон нет — отдельно обсудите с юристом",IF(AND($G14&lt;&gt;"",$I14=""),"направлено, но подтверждение направления не указано",IF($K14="","отметьте, идёт ли копия в пакет",IF($L14="после принятия заявления","после принятия заявления — возможно текущий платёж (ст. 5), к юристу","")))))</f>
        <v/>
      </c>
    </row>
    <row r="15">
      <c r="A15" s="11">
        <f>IF($B15="","",ROW()-3)</f>
        <v/>
      </c>
      <c r="B15" s="4" t="n"/>
      <c r="C15" s="4" t="n"/>
      <c r="D15" s="6" t="n"/>
      <c r="E15" s="12" t="n"/>
      <c r="F15" s="4" t="n"/>
      <c r="G15" s="6" t="n"/>
      <c r="H15" s="4" t="n"/>
      <c r="I15" s="4" t="n"/>
      <c r="J15" s="4" t="n"/>
      <c r="K15" s="4" t="n"/>
      <c r="L15" s="11">
        <f>IF($D15="","",IF('Объект и должник'!$B$14="","дата принятия заявления не заполнена",IF($D15&lt;'Объект и должник'!$B$14,"до принятия заявления","после принятия заявления")))</f>
        <v/>
      </c>
      <c r="M15" s="13">
        <f>IF($B15="","",IF(AND($E15&gt;0,LOWER($F15)&lt;&gt;"да"),"сумма есть, подписи обеих сторон нет — отдельно обсудите с юристом",IF(AND($G15&lt;&gt;"",$I15=""),"направлено, но подтверждение направления не указано",IF($K15="","отметьте, идёт ли копия в пакет",IF($L15="после принятия заявления","после принятия заявления — возможно текущий платёж (ст. 5), к юристу","")))))</f>
        <v/>
      </c>
    </row>
    <row r="16">
      <c r="A16" s="11">
        <f>IF($B16="","",ROW()-3)</f>
        <v/>
      </c>
      <c r="B16" s="4" t="n"/>
      <c r="C16" s="4" t="n"/>
      <c r="D16" s="6" t="n"/>
      <c r="E16" s="12" t="n"/>
      <c r="F16" s="4" t="n"/>
      <c r="G16" s="6" t="n"/>
      <c r="H16" s="4" t="n"/>
      <c r="I16" s="4" t="n"/>
      <c r="J16" s="4" t="n"/>
      <c r="K16" s="4" t="n"/>
      <c r="L16" s="11">
        <f>IF($D16="","",IF('Объект и должник'!$B$14="","дата принятия заявления не заполнена",IF($D16&lt;'Объект и должник'!$B$14,"до принятия заявления","после принятия заявления")))</f>
        <v/>
      </c>
      <c r="M16" s="13">
        <f>IF($B16="","",IF(AND($E16&gt;0,LOWER($F16)&lt;&gt;"да"),"сумма есть, подписи обеих сторон нет — отдельно обсудите с юристом",IF(AND($G16&lt;&gt;"",$I16=""),"направлено, но подтверждение направления не указано",IF($K16="","отметьте, идёт ли копия в пакет",IF($L16="после принятия заявления","после принятия заявления — возможно текущий платёж (ст. 5), к юристу","")))))</f>
        <v/>
      </c>
    </row>
    <row r="17">
      <c r="A17" s="11">
        <f>IF($B17="","",ROW()-3)</f>
        <v/>
      </c>
      <c r="B17" s="4" t="n"/>
      <c r="C17" s="4" t="n"/>
      <c r="D17" s="6" t="n"/>
      <c r="E17" s="12" t="n"/>
      <c r="F17" s="4" t="n"/>
      <c r="G17" s="6" t="n"/>
      <c r="H17" s="4" t="n"/>
      <c r="I17" s="4" t="n"/>
      <c r="J17" s="4" t="n"/>
      <c r="K17" s="4" t="n"/>
      <c r="L17" s="11">
        <f>IF($D17="","",IF('Объект и должник'!$B$14="","дата принятия заявления не заполнена",IF($D17&lt;'Объект и должник'!$B$14,"до принятия заявления","после принятия заявления")))</f>
        <v/>
      </c>
      <c r="M17" s="13">
        <f>IF($B17="","",IF(AND($E17&gt;0,LOWER($F17)&lt;&gt;"да"),"сумма есть, подписи обеих сторон нет — отдельно обсудите с юристом",IF(AND($G17&lt;&gt;"",$I17=""),"направлено, но подтверждение направления не указано",IF($K17="","отметьте, идёт ли копия в пакет",IF($L17="после принятия заявления","после принятия заявления — возможно текущий платёж (ст. 5), к юристу","")))))</f>
        <v/>
      </c>
    </row>
    <row r="18">
      <c r="A18" s="11">
        <f>IF($B18="","",ROW()-3)</f>
        <v/>
      </c>
      <c r="B18" s="4" t="n"/>
      <c r="C18" s="4" t="n"/>
      <c r="D18" s="6" t="n"/>
      <c r="E18" s="12" t="n"/>
      <c r="F18" s="4" t="n"/>
      <c r="G18" s="6" t="n"/>
      <c r="H18" s="4" t="n"/>
      <c r="I18" s="4" t="n"/>
      <c r="J18" s="4" t="n"/>
      <c r="K18" s="4" t="n"/>
      <c r="L18" s="11">
        <f>IF($D18="","",IF('Объект и должник'!$B$14="","дата принятия заявления не заполнена",IF($D18&lt;'Объект и должник'!$B$14,"до принятия заявления","после принятия заявления")))</f>
        <v/>
      </c>
      <c r="M18" s="13">
        <f>IF($B18="","",IF(AND($E18&gt;0,LOWER($F18)&lt;&gt;"да"),"сумма есть, подписи обеих сторон нет — отдельно обсудите с юристом",IF(AND($G18&lt;&gt;"",$I18=""),"направлено, но подтверждение направления не указано",IF($K18="","отметьте, идёт ли копия в пакет",IF($L18="после принятия заявления","после принятия заявления — возможно текущий платёж (ст. 5), к юристу","")))))</f>
        <v/>
      </c>
    </row>
    <row r="19">
      <c r="A19" s="11">
        <f>IF($B19="","",ROW()-3)</f>
        <v/>
      </c>
      <c r="B19" s="4" t="n"/>
      <c r="C19" s="4" t="n"/>
      <c r="D19" s="6" t="n"/>
      <c r="E19" s="12" t="n"/>
      <c r="F19" s="4" t="n"/>
      <c r="G19" s="6" t="n"/>
      <c r="H19" s="4" t="n"/>
      <c r="I19" s="4" t="n"/>
      <c r="J19" s="4" t="n"/>
      <c r="K19" s="4" t="n"/>
      <c r="L19" s="11">
        <f>IF($D19="","",IF('Объект и должник'!$B$14="","дата принятия заявления не заполнена",IF($D19&lt;'Объект и должник'!$B$14,"до принятия заявления","после принятия заявления")))</f>
        <v/>
      </c>
      <c r="M19" s="13">
        <f>IF($B19="","",IF(AND($E19&gt;0,LOWER($F19)&lt;&gt;"да"),"сумма есть, подписи обеих сторон нет — отдельно обсудите с юристом",IF(AND($G19&lt;&gt;"",$I19=""),"направлено, но подтверждение направления не указано",IF($K19="","отметьте, идёт ли копия в пакет",IF($L19="после принятия заявления","после принятия заявления — возможно текущий платёж (ст. 5), к юристу","")))))</f>
        <v/>
      </c>
    </row>
    <row r="20">
      <c r="A20" s="11">
        <f>IF($B20="","",ROW()-3)</f>
        <v/>
      </c>
      <c r="B20" s="4" t="n"/>
      <c r="C20" s="4" t="n"/>
      <c r="D20" s="6" t="n"/>
      <c r="E20" s="12" t="n"/>
      <c r="F20" s="4" t="n"/>
      <c r="G20" s="6" t="n"/>
      <c r="H20" s="4" t="n"/>
      <c r="I20" s="4" t="n"/>
      <c r="J20" s="4" t="n"/>
      <c r="K20" s="4" t="n"/>
      <c r="L20" s="11">
        <f>IF($D20="","",IF('Объект и должник'!$B$14="","дата принятия заявления не заполнена",IF($D20&lt;'Объект и должник'!$B$14,"до принятия заявления","после принятия заявления")))</f>
        <v/>
      </c>
      <c r="M20" s="13">
        <f>IF($B20="","",IF(AND($E20&gt;0,LOWER($F20)&lt;&gt;"да"),"сумма есть, подписи обеих сторон нет — отдельно обсудите с юристом",IF(AND($G20&lt;&gt;"",$I20=""),"направлено, но подтверждение направления не указано",IF($K20="","отметьте, идёт ли копия в пакет",IF($L20="после принятия заявления","после принятия заявления — возможно текущий платёж (ст. 5), к юристу","")))))</f>
        <v/>
      </c>
    </row>
    <row r="21">
      <c r="A21" s="11">
        <f>IF($B21="","",ROW()-3)</f>
        <v/>
      </c>
      <c r="B21" s="4" t="n"/>
      <c r="C21" s="4" t="n"/>
      <c r="D21" s="6" t="n"/>
      <c r="E21" s="12" t="n"/>
      <c r="F21" s="4" t="n"/>
      <c r="G21" s="6" t="n"/>
      <c r="H21" s="4" t="n"/>
      <c r="I21" s="4" t="n"/>
      <c r="J21" s="4" t="n"/>
      <c r="K21" s="4" t="n"/>
      <c r="L21" s="11">
        <f>IF($D21="","",IF('Объект и должник'!$B$14="","дата принятия заявления не заполнена",IF($D21&lt;'Объект и должник'!$B$14,"до принятия заявления","после принятия заявления")))</f>
        <v/>
      </c>
      <c r="M21" s="13">
        <f>IF($B21="","",IF(AND($E21&gt;0,LOWER($F21)&lt;&gt;"да"),"сумма есть, подписи обеих сторон нет — отдельно обсудите с юристом",IF(AND($G21&lt;&gt;"",$I21=""),"направлено, но подтверждение направления не указано",IF($K21="","отметьте, идёт ли копия в пакет",IF($L21="после принятия заявления","после принятия заявления — возможно текущий платёж (ст. 5), к юристу","")))))</f>
        <v/>
      </c>
    </row>
    <row r="22">
      <c r="A22" s="11">
        <f>IF($B22="","",ROW()-3)</f>
        <v/>
      </c>
      <c r="B22" s="4" t="n"/>
      <c r="C22" s="4" t="n"/>
      <c r="D22" s="6" t="n"/>
      <c r="E22" s="12" t="n"/>
      <c r="F22" s="4" t="n"/>
      <c r="G22" s="6" t="n"/>
      <c r="H22" s="4" t="n"/>
      <c r="I22" s="4" t="n"/>
      <c r="J22" s="4" t="n"/>
      <c r="K22" s="4" t="n"/>
      <c r="L22" s="11">
        <f>IF($D22="","",IF('Объект и должник'!$B$14="","дата принятия заявления не заполнена",IF($D22&lt;'Объект и должник'!$B$14,"до принятия заявления","после принятия заявления")))</f>
        <v/>
      </c>
      <c r="M22" s="13">
        <f>IF($B22="","",IF(AND($E22&gt;0,LOWER($F22)&lt;&gt;"да"),"сумма есть, подписи обеих сторон нет — отдельно обсудите с юристом",IF(AND($G22&lt;&gt;"",$I22=""),"направлено, но подтверждение направления не указано",IF($K22="","отметьте, идёт ли копия в пакет",IF($L22="после принятия заявления","после принятия заявления — возможно текущий платёж (ст. 5), к юристу","")))))</f>
        <v/>
      </c>
    </row>
    <row r="23">
      <c r="A23" s="11">
        <f>IF($B23="","",ROW()-3)</f>
        <v/>
      </c>
      <c r="B23" s="4" t="n"/>
      <c r="C23" s="4" t="n"/>
      <c r="D23" s="6" t="n"/>
      <c r="E23" s="12" t="n"/>
      <c r="F23" s="4" t="n"/>
      <c r="G23" s="6" t="n"/>
      <c r="H23" s="4" t="n"/>
      <c r="I23" s="4" t="n"/>
      <c r="J23" s="4" t="n"/>
      <c r="K23" s="4" t="n"/>
      <c r="L23" s="11">
        <f>IF($D23="","",IF('Объект и должник'!$B$14="","дата принятия заявления не заполнена",IF($D23&lt;'Объект и должник'!$B$14,"до принятия заявления","после принятия заявления")))</f>
        <v/>
      </c>
      <c r="M23" s="13">
        <f>IF($B23="","",IF(AND($E23&gt;0,LOWER($F23)&lt;&gt;"да"),"сумма есть, подписи обеих сторон нет — отдельно обсудите с юристом",IF(AND($G23&lt;&gt;"",$I23=""),"направлено, но подтверждение направления не указано",IF($K23="","отметьте, идёт ли копия в пакет",IF($L23="после принятия заявления","после принятия заявления — возможно текущий платёж (ст. 5), к юристу","")))))</f>
        <v/>
      </c>
    </row>
    <row r="24">
      <c r="A24" s="11">
        <f>IF($B24="","",ROW()-3)</f>
        <v/>
      </c>
      <c r="B24" s="4" t="n"/>
      <c r="C24" s="4" t="n"/>
      <c r="D24" s="6" t="n"/>
      <c r="E24" s="12" t="n"/>
      <c r="F24" s="4" t="n"/>
      <c r="G24" s="6" t="n"/>
      <c r="H24" s="4" t="n"/>
      <c r="I24" s="4" t="n"/>
      <c r="J24" s="4" t="n"/>
      <c r="K24" s="4" t="n"/>
      <c r="L24" s="11">
        <f>IF($D24="","",IF('Объект и должник'!$B$14="","дата принятия заявления не заполнена",IF($D24&lt;'Объект и должник'!$B$14,"до принятия заявления","после принятия заявления")))</f>
        <v/>
      </c>
      <c r="M24" s="13">
        <f>IF($B24="","",IF(AND($E24&gt;0,LOWER($F24)&lt;&gt;"да"),"сумма есть, подписи обеих сторон нет — отдельно обсудите с юристом",IF(AND($G24&lt;&gt;"",$I24=""),"направлено, но подтверждение направления не указано",IF($K24="","отметьте, идёт ли копия в пакет",IF($L24="после принятия заявления","после принятия заявления — возможно текущий платёж (ст. 5), к юристу","")))))</f>
        <v/>
      </c>
    </row>
    <row r="25">
      <c r="A25" s="11">
        <f>IF($B25="","",ROW()-3)</f>
        <v/>
      </c>
      <c r="B25" s="4" t="n"/>
      <c r="C25" s="4" t="n"/>
      <c r="D25" s="6" t="n"/>
      <c r="E25" s="12" t="n"/>
      <c r="F25" s="4" t="n"/>
      <c r="G25" s="6" t="n"/>
      <c r="H25" s="4" t="n"/>
      <c r="I25" s="4" t="n"/>
      <c r="J25" s="4" t="n"/>
      <c r="K25" s="4" t="n"/>
      <c r="L25" s="11">
        <f>IF($D25="","",IF('Объект и должник'!$B$14="","дата принятия заявления не заполнена",IF($D25&lt;'Объект и должник'!$B$14,"до принятия заявления","после принятия заявления")))</f>
        <v/>
      </c>
      <c r="M25" s="13">
        <f>IF($B25="","",IF(AND($E25&gt;0,LOWER($F25)&lt;&gt;"да"),"сумма есть, подписи обеих сторон нет — отдельно обсудите с юристом",IF(AND($G25&lt;&gt;"",$I25=""),"направлено, но подтверждение направления не указано",IF($K25="","отметьте, идёт ли копия в пакет",IF($L25="после принятия заявления","после принятия заявления — возможно текущий платёж (ст. 5), к юристу","")))))</f>
        <v/>
      </c>
    </row>
    <row r="26">
      <c r="A26" s="11">
        <f>IF($B26="","",ROW()-3)</f>
        <v/>
      </c>
      <c r="B26" s="4" t="n"/>
      <c r="C26" s="4" t="n"/>
      <c r="D26" s="6" t="n"/>
      <c r="E26" s="12" t="n"/>
      <c r="F26" s="4" t="n"/>
      <c r="G26" s="6" t="n"/>
      <c r="H26" s="4" t="n"/>
      <c r="I26" s="4" t="n"/>
      <c r="J26" s="4" t="n"/>
      <c r="K26" s="4" t="n"/>
      <c r="L26" s="11">
        <f>IF($D26="","",IF('Объект и должник'!$B$14="","дата принятия заявления не заполнена",IF($D26&lt;'Объект и должник'!$B$14,"до принятия заявления","после принятия заявления")))</f>
        <v/>
      </c>
      <c r="M26" s="13">
        <f>IF($B26="","",IF(AND($E26&gt;0,LOWER($F26)&lt;&gt;"да"),"сумма есть, подписи обеих сторон нет — отдельно обсудите с юристом",IF(AND($G26&lt;&gt;"",$I26=""),"направлено, но подтверждение направления не указано",IF($K26="","отметьте, идёт ли копия в пакет",IF($L26="после принятия заявления","после принятия заявления — возможно текущий платёж (ст. 5), к юристу","")))))</f>
        <v/>
      </c>
    </row>
    <row r="27">
      <c r="A27" s="11">
        <f>IF($B27="","",ROW()-3)</f>
        <v/>
      </c>
      <c r="B27" s="4" t="n"/>
      <c r="C27" s="4" t="n"/>
      <c r="D27" s="6" t="n"/>
      <c r="E27" s="12" t="n"/>
      <c r="F27" s="4" t="n"/>
      <c r="G27" s="6" t="n"/>
      <c r="H27" s="4" t="n"/>
      <c r="I27" s="4" t="n"/>
      <c r="J27" s="4" t="n"/>
      <c r="K27" s="4" t="n"/>
      <c r="L27" s="11">
        <f>IF($D27="","",IF('Объект и должник'!$B$14="","дата принятия заявления не заполнена",IF($D27&lt;'Объект и должник'!$B$14,"до принятия заявления","после принятия заявления")))</f>
        <v/>
      </c>
      <c r="M27" s="13">
        <f>IF($B27="","",IF(AND($E27&gt;0,LOWER($F27)&lt;&gt;"да"),"сумма есть, подписи обеих сторон нет — отдельно обсудите с юристом",IF(AND($G27&lt;&gt;"",$I27=""),"направлено, но подтверждение направления не указано",IF($K27="","отметьте, идёт ли копия в пакет",IF($L27="после принятия заявления","после принятия заявления — возможно текущий платёж (ст. 5), к юристу","")))))</f>
        <v/>
      </c>
    </row>
    <row r="28">
      <c r="A28" s="11">
        <f>IF($B28="","",ROW()-3)</f>
        <v/>
      </c>
      <c r="B28" s="4" t="n"/>
      <c r="C28" s="4" t="n"/>
      <c r="D28" s="6" t="n"/>
      <c r="E28" s="12" t="n"/>
      <c r="F28" s="4" t="n"/>
      <c r="G28" s="6" t="n"/>
      <c r="H28" s="4" t="n"/>
      <c r="I28" s="4" t="n"/>
      <c r="J28" s="4" t="n"/>
      <c r="K28" s="4" t="n"/>
      <c r="L28" s="11">
        <f>IF($D28="","",IF('Объект и должник'!$B$14="","дата принятия заявления не заполнена",IF($D28&lt;'Объект и должник'!$B$14,"до принятия заявления","после принятия заявления")))</f>
        <v/>
      </c>
      <c r="M28" s="13">
        <f>IF($B28="","",IF(AND($E28&gt;0,LOWER($F28)&lt;&gt;"да"),"сумма есть, подписи обеих сторон нет — отдельно обсудите с юристом",IF(AND($G28&lt;&gt;"",$I28=""),"направлено, но подтверждение направления не указано",IF($K28="","отметьте, идёт ли копия в пакет",IF($L28="после принятия заявления","после принятия заявления — возможно текущий платёж (ст. 5), к юристу","")))))</f>
        <v/>
      </c>
    </row>
    <row r="29">
      <c r="A29" s="11">
        <f>IF($B29="","",ROW()-3)</f>
        <v/>
      </c>
      <c r="B29" s="4" t="n"/>
      <c r="C29" s="4" t="n"/>
      <c r="D29" s="6" t="n"/>
      <c r="E29" s="12" t="n"/>
      <c r="F29" s="4" t="n"/>
      <c r="G29" s="6" t="n"/>
      <c r="H29" s="4" t="n"/>
      <c r="I29" s="4" t="n"/>
      <c r="J29" s="4" t="n"/>
      <c r="K29" s="4" t="n"/>
      <c r="L29" s="11">
        <f>IF($D29="","",IF('Объект и должник'!$B$14="","дата принятия заявления не заполнена",IF($D29&lt;'Объект и должник'!$B$14,"до принятия заявления","после принятия заявления")))</f>
        <v/>
      </c>
      <c r="M29" s="13">
        <f>IF($B29="","",IF(AND($E29&gt;0,LOWER($F29)&lt;&gt;"да"),"сумма есть, подписи обеих сторон нет — отдельно обсудите с юристом",IF(AND($G29&lt;&gt;"",$I29=""),"направлено, но подтверждение направления не указано",IF($K29="","отметьте, идёт ли копия в пакет",IF($L29="после принятия заявления","после принятия заявления — возможно текущий платёж (ст. 5), к юристу","")))))</f>
        <v/>
      </c>
    </row>
    <row r="30">
      <c r="A30" s="11">
        <f>IF($B30="","",ROW()-3)</f>
        <v/>
      </c>
      <c r="B30" s="4" t="n"/>
      <c r="C30" s="4" t="n"/>
      <c r="D30" s="6" t="n"/>
      <c r="E30" s="12" t="n"/>
      <c r="F30" s="4" t="n"/>
      <c r="G30" s="6" t="n"/>
      <c r="H30" s="4" t="n"/>
      <c r="I30" s="4" t="n"/>
      <c r="J30" s="4" t="n"/>
      <c r="K30" s="4" t="n"/>
      <c r="L30" s="11">
        <f>IF($D30="","",IF('Объект и должник'!$B$14="","дата принятия заявления не заполнена",IF($D30&lt;'Объект и должник'!$B$14,"до принятия заявления","после принятия заявления")))</f>
        <v/>
      </c>
      <c r="M30" s="13">
        <f>IF($B30="","",IF(AND($E30&gt;0,LOWER($F30)&lt;&gt;"да"),"сумма есть, подписи обеих сторон нет — отдельно обсудите с юристом",IF(AND($G30&lt;&gt;"",$I30=""),"направлено, но подтверждение направления не указано",IF($K30="","отметьте, идёт ли копия в пакет",IF($L30="после принятия заявления","после принятия заявления — возможно текущий платёж (ст. 5), к юристу","")))))</f>
        <v/>
      </c>
    </row>
    <row r="31">
      <c r="A31" s="11">
        <f>IF($B31="","",ROW()-3)</f>
        <v/>
      </c>
      <c r="B31" s="4" t="n"/>
      <c r="C31" s="4" t="n"/>
      <c r="D31" s="6" t="n"/>
      <c r="E31" s="12" t="n"/>
      <c r="F31" s="4" t="n"/>
      <c r="G31" s="6" t="n"/>
      <c r="H31" s="4" t="n"/>
      <c r="I31" s="4" t="n"/>
      <c r="J31" s="4" t="n"/>
      <c r="K31" s="4" t="n"/>
      <c r="L31" s="11">
        <f>IF($D31="","",IF('Объект и должник'!$B$14="","дата принятия заявления не заполнена",IF($D31&lt;'Объект и должник'!$B$14,"до принятия заявления","после принятия заявления")))</f>
        <v/>
      </c>
      <c r="M31" s="13">
        <f>IF($B31="","",IF(AND($E31&gt;0,LOWER($F31)&lt;&gt;"да"),"сумма есть, подписи обеих сторон нет — отдельно обсудите с юристом",IF(AND($G31&lt;&gt;"",$I31=""),"направлено, но подтверждение направления не указано",IF($K31="","отметьте, идёт ли копия в пакет",IF($L31="после принятия заявления","после принятия заявления — возможно текущий платёж (ст. 5), к юристу","")))))</f>
        <v/>
      </c>
    </row>
    <row r="32">
      <c r="A32" s="11">
        <f>IF($B32="","",ROW()-3)</f>
        <v/>
      </c>
      <c r="B32" s="4" t="n"/>
      <c r="C32" s="4" t="n"/>
      <c r="D32" s="6" t="n"/>
      <c r="E32" s="12" t="n"/>
      <c r="F32" s="4" t="n"/>
      <c r="G32" s="6" t="n"/>
      <c r="H32" s="4" t="n"/>
      <c r="I32" s="4" t="n"/>
      <c r="J32" s="4" t="n"/>
      <c r="K32" s="4" t="n"/>
      <c r="L32" s="11">
        <f>IF($D32="","",IF('Объект и должник'!$B$14="","дата принятия заявления не заполнена",IF($D32&lt;'Объект и должник'!$B$14,"до принятия заявления","после принятия заявления")))</f>
        <v/>
      </c>
      <c r="M32" s="13">
        <f>IF($B32="","",IF(AND($E32&gt;0,LOWER($F32)&lt;&gt;"да"),"сумма есть, подписи обеих сторон нет — отдельно обсудите с юристом",IF(AND($G32&lt;&gt;"",$I32=""),"направлено, но подтверждение направления не указано",IF($K32="","отметьте, идёт ли копия в пакет",IF($L32="после принятия заявления","после принятия заявления — возможно текущий платёж (ст. 5), к юристу","")))))</f>
        <v/>
      </c>
    </row>
    <row r="33">
      <c r="A33" s="11">
        <f>IF($B33="","",ROW()-3)</f>
        <v/>
      </c>
      <c r="B33" s="4" t="n"/>
      <c r="C33" s="4" t="n"/>
      <c r="D33" s="6" t="n"/>
      <c r="E33" s="12" t="n"/>
      <c r="F33" s="4" t="n"/>
      <c r="G33" s="6" t="n"/>
      <c r="H33" s="4" t="n"/>
      <c r="I33" s="4" t="n"/>
      <c r="J33" s="4" t="n"/>
      <c r="K33" s="4" t="n"/>
      <c r="L33" s="11">
        <f>IF($D33="","",IF('Объект и должник'!$B$14="","дата принятия заявления не заполнена",IF($D33&lt;'Объект и должник'!$B$14,"до принятия заявления","после принятия заявления")))</f>
        <v/>
      </c>
      <c r="M33" s="13">
        <f>IF($B33="","",IF(AND($E33&gt;0,LOWER($F33)&lt;&gt;"да"),"сумма есть, подписи обеих сторон нет — отдельно обсудите с юристом",IF(AND($G33&lt;&gt;"",$I33=""),"направлено, но подтверждение направления не указано",IF($K33="","отметьте, идёт ли копия в пакет",IF($L33="после принятия заявления","после принятия заявления — возможно текущий платёж (ст. 5), к юристу","")))))</f>
        <v/>
      </c>
    </row>
    <row r="34">
      <c r="A34" s="11">
        <f>IF($B34="","",ROW()-3)</f>
        <v/>
      </c>
      <c r="B34" s="4" t="n"/>
      <c r="C34" s="4" t="n"/>
      <c r="D34" s="6" t="n"/>
      <c r="E34" s="12" t="n"/>
      <c r="F34" s="4" t="n"/>
      <c r="G34" s="6" t="n"/>
      <c r="H34" s="4" t="n"/>
      <c r="I34" s="4" t="n"/>
      <c r="J34" s="4" t="n"/>
      <c r="K34" s="4" t="n"/>
      <c r="L34" s="11">
        <f>IF($D34="","",IF('Объект и должник'!$B$14="","дата принятия заявления не заполнена",IF($D34&lt;'Объект и должник'!$B$14,"до принятия заявления","после принятия заявления")))</f>
        <v/>
      </c>
      <c r="M34" s="13">
        <f>IF($B34="","",IF(AND($E34&gt;0,LOWER($F34)&lt;&gt;"да"),"сумма есть, подписи обеих сторон нет — отдельно обсудите с юристом",IF(AND($G34&lt;&gt;"",$I34=""),"направлено, но подтверждение направления не указано",IF($K34="","отметьте, идёт ли копия в пакет",IF($L34="после принятия заявления","после принятия заявления — возможно текущий платёж (ст. 5), к юристу","")))))</f>
        <v/>
      </c>
    </row>
    <row r="35">
      <c r="A35" s="11">
        <f>IF($B35="","",ROW()-3)</f>
        <v/>
      </c>
      <c r="B35" s="4" t="n"/>
      <c r="C35" s="4" t="n"/>
      <c r="D35" s="6" t="n"/>
      <c r="E35" s="12" t="n"/>
      <c r="F35" s="4" t="n"/>
      <c r="G35" s="6" t="n"/>
      <c r="H35" s="4" t="n"/>
      <c r="I35" s="4" t="n"/>
      <c r="J35" s="4" t="n"/>
      <c r="K35" s="4" t="n"/>
      <c r="L35" s="11">
        <f>IF($D35="","",IF('Объект и должник'!$B$14="","дата принятия заявления не заполнена",IF($D35&lt;'Объект и должник'!$B$14,"до принятия заявления","после принятия заявления")))</f>
        <v/>
      </c>
      <c r="M35" s="13">
        <f>IF($B35="","",IF(AND($E35&gt;0,LOWER($F35)&lt;&gt;"да"),"сумма есть, подписи обеих сторон нет — отдельно обсудите с юристом",IF(AND($G35&lt;&gt;"",$I35=""),"направлено, но подтверждение направления не указано",IF($K35="","отметьте, идёт ли копия в пакет",IF($L35="после принятия заявления","после принятия заявления — возможно текущий платёж (ст. 5), к юристу","")))))</f>
        <v/>
      </c>
    </row>
    <row r="36">
      <c r="A36" s="11">
        <f>IF($B36="","",ROW()-3)</f>
        <v/>
      </c>
      <c r="B36" s="4" t="n"/>
      <c r="C36" s="4" t="n"/>
      <c r="D36" s="6" t="n"/>
      <c r="E36" s="12" t="n"/>
      <c r="F36" s="4" t="n"/>
      <c r="G36" s="6" t="n"/>
      <c r="H36" s="4" t="n"/>
      <c r="I36" s="4" t="n"/>
      <c r="J36" s="4" t="n"/>
      <c r="K36" s="4" t="n"/>
      <c r="L36" s="11">
        <f>IF($D36="","",IF('Объект и должник'!$B$14="","дата принятия заявления не заполнена",IF($D36&lt;'Объект и должник'!$B$14,"до принятия заявления","после принятия заявления")))</f>
        <v/>
      </c>
      <c r="M36" s="13">
        <f>IF($B36="","",IF(AND($E36&gt;0,LOWER($F36)&lt;&gt;"да"),"сумма есть, подписи обеих сторон нет — отдельно обсудите с юристом",IF(AND($G36&lt;&gt;"",$I36=""),"направлено, но подтверждение направления не указано",IF($K36="","отметьте, идёт ли копия в пакет",IF($L36="после принятия заявления","после принятия заявления — возможно текущий платёж (ст. 5), к юристу","")))))</f>
        <v/>
      </c>
    </row>
    <row r="37">
      <c r="A37" s="11">
        <f>IF($B37="","",ROW()-3)</f>
        <v/>
      </c>
      <c r="B37" s="4" t="n"/>
      <c r="C37" s="4" t="n"/>
      <c r="D37" s="6" t="n"/>
      <c r="E37" s="12" t="n"/>
      <c r="F37" s="4" t="n"/>
      <c r="G37" s="6" t="n"/>
      <c r="H37" s="4" t="n"/>
      <c r="I37" s="4" t="n"/>
      <c r="J37" s="4" t="n"/>
      <c r="K37" s="4" t="n"/>
      <c r="L37" s="11">
        <f>IF($D37="","",IF('Объект и должник'!$B$14="","дата принятия заявления не заполнена",IF($D37&lt;'Объект и должник'!$B$14,"до принятия заявления","после принятия заявления")))</f>
        <v/>
      </c>
      <c r="M37" s="13">
        <f>IF($B37="","",IF(AND($E37&gt;0,LOWER($F37)&lt;&gt;"да"),"сумма есть, подписи обеих сторон нет — отдельно обсудите с юристом",IF(AND($G37&lt;&gt;"",$I37=""),"направлено, но подтверждение направления не указано",IF($K37="","отметьте, идёт ли копия в пакет",IF($L37="после принятия заявления","после принятия заявления — возможно текущий платёж (ст. 5), к юристу","")))))</f>
        <v/>
      </c>
    </row>
    <row r="38">
      <c r="A38" s="11">
        <f>IF($B38="","",ROW()-3)</f>
        <v/>
      </c>
      <c r="B38" s="4" t="n"/>
      <c r="C38" s="4" t="n"/>
      <c r="D38" s="6" t="n"/>
      <c r="E38" s="12" t="n"/>
      <c r="F38" s="4" t="n"/>
      <c r="G38" s="6" t="n"/>
      <c r="H38" s="4" t="n"/>
      <c r="I38" s="4" t="n"/>
      <c r="J38" s="4" t="n"/>
      <c r="K38" s="4" t="n"/>
      <c r="L38" s="11">
        <f>IF($D38="","",IF('Объект и должник'!$B$14="","дата принятия заявления не заполнена",IF($D38&lt;'Объект и должник'!$B$14,"до принятия заявления","после принятия заявления")))</f>
        <v/>
      </c>
      <c r="M38" s="13">
        <f>IF($B38="","",IF(AND($E38&gt;0,LOWER($F38)&lt;&gt;"да"),"сумма есть, подписи обеих сторон нет — отдельно обсудите с юристом",IF(AND($G38&lt;&gt;"",$I38=""),"направлено, но подтверждение направления не указано",IF($K38="","отметьте, идёт ли копия в пакет",IF($L38="после принятия заявления","после принятия заявления — возможно текущий платёж (ст. 5), к юристу","")))))</f>
        <v/>
      </c>
    </row>
    <row r="39">
      <c r="A39" s="11">
        <f>IF($B39="","",ROW()-3)</f>
        <v/>
      </c>
      <c r="B39" s="4" t="n"/>
      <c r="C39" s="4" t="n"/>
      <c r="D39" s="6" t="n"/>
      <c r="E39" s="12" t="n"/>
      <c r="F39" s="4" t="n"/>
      <c r="G39" s="6" t="n"/>
      <c r="H39" s="4" t="n"/>
      <c r="I39" s="4" t="n"/>
      <c r="J39" s="4" t="n"/>
      <c r="K39" s="4" t="n"/>
      <c r="L39" s="11">
        <f>IF($D39="","",IF('Объект и должник'!$B$14="","дата принятия заявления не заполнена",IF($D39&lt;'Объект и должник'!$B$14,"до принятия заявления","после принятия заявления")))</f>
        <v/>
      </c>
      <c r="M39" s="13">
        <f>IF($B39="","",IF(AND($E39&gt;0,LOWER($F39)&lt;&gt;"да"),"сумма есть, подписи обеих сторон нет — отдельно обсудите с юристом",IF(AND($G39&lt;&gt;"",$I39=""),"направлено, но подтверждение направления не указано",IF($K39="","отметьте, идёт ли копия в пакет",IF($L39="после принятия заявления","после принятия заявления — возможно текущий платёж (ст. 5), к юристу","")))))</f>
        <v/>
      </c>
    </row>
    <row r="40">
      <c r="A40" s="11">
        <f>IF($B40="","",ROW()-3)</f>
        <v/>
      </c>
      <c r="B40" s="4" t="n"/>
      <c r="C40" s="4" t="n"/>
      <c r="D40" s="6" t="n"/>
      <c r="E40" s="12" t="n"/>
      <c r="F40" s="4" t="n"/>
      <c r="G40" s="6" t="n"/>
      <c r="H40" s="4" t="n"/>
      <c r="I40" s="4" t="n"/>
      <c r="J40" s="4" t="n"/>
      <c r="K40" s="4" t="n"/>
      <c r="L40" s="11">
        <f>IF($D40="","",IF('Объект и должник'!$B$14="","дата принятия заявления не заполнена",IF($D40&lt;'Объект и должник'!$B$14,"до принятия заявления","после принятия заявления")))</f>
        <v/>
      </c>
      <c r="M40" s="13">
        <f>IF($B40="","",IF(AND($E40&gt;0,LOWER($F40)&lt;&gt;"да"),"сумма есть, подписи обеих сторон нет — отдельно обсудите с юристом",IF(AND($G40&lt;&gt;"",$I40=""),"направлено, но подтверждение направления не указано",IF($K40="","отметьте, идёт ли копия в пакет",IF($L40="после принятия заявления","после принятия заявления — возможно текущий платёж (ст. 5), к юристу","")))))</f>
        <v/>
      </c>
    </row>
    <row r="41">
      <c r="A41" s="11">
        <f>IF($B41="","",ROW()-3)</f>
        <v/>
      </c>
      <c r="B41" s="4" t="n"/>
      <c r="C41" s="4" t="n"/>
      <c r="D41" s="6" t="n"/>
      <c r="E41" s="12" t="n"/>
      <c r="F41" s="4" t="n"/>
      <c r="G41" s="6" t="n"/>
      <c r="H41" s="4" t="n"/>
      <c r="I41" s="4" t="n"/>
      <c r="J41" s="4" t="n"/>
      <c r="K41" s="4" t="n"/>
      <c r="L41" s="11">
        <f>IF($D41="","",IF('Объект и должник'!$B$14="","дата принятия заявления не заполнена",IF($D41&lt;'Объект и должник'!$B$14,"до принятия заявления","после принятия заявления")))</f>
        <v/>
      </c>
      <c r="M41" s="13">
        <f>IF($B41="","",IF(AND($E41&gt;0,LOWER($F41)&lt;&gt;"да"),"сумма есть, подписи обеих сторон нет — отдельно обсудите с юристом",IF(AND($G41&lt;&gt;"",$I41=""),"направлено, но подтверждение направления не указано",IF($K41="","отметьте, идёт ли копия в пакет",IF($L41="после принятия заявления","после принятия заявления — возможно текущий платёж (ст. 5), к юристу","")))))</f>
        <v/>
      </c>
    </row>
    <row r="42">
      <c r="A42" s="11">
        <f>IF($B42="","",ROW()-3)</f>
        <v/>
      </c>
      <c r="B42" s="4" t="n"/>
      <c r="C42" s="4" t="n"/>
      <c r="D42" s="6" t="n"/>
      <c r="E42" s="12" t="n"/>
      <c r="F42" s="4" t="n"/>
      <c r="G42" s="6" t="n"/>
      <c r="H42" s="4" t="n"/>
      <c r="I42" s="4" t="n"/>
      <c r="J42" s="4" t="n"/>
      <c r="K42" s="4" t="n"/>
      <c r="L42" s="11">
        <f>IF($D42="","",IF('Объект и должник'!$B$14="","дата принятия заявления не заполнена",IF($D42&lt;'Объект и должник'!$B$14,"до принятия заявления","после принятия заявления")))</f>
        <v/>
      </c>
      <c r="M42" s="13">
        <f>IF($B42="","",IF(AND($E42&gt;0,LOWER($F42)&lt;&gt;"да"),"сумма есть, подписи обеих сторон нет — отдельно обсудите с юристом",IF(AND($G42&lt;&gt;"",$I42=""),"направлено, но подтверждение направления не указано",IF($K42="","отметьте, идёт ли копия в пакет",IF($L42="после принятия заявления","после принятия заявления — возможно текущий платёж (ст. 5), к юристу","")))))</f>
        <v/>
      </c>
    </row>
    <row r="43">
      <c r="A43" s="11">
        <f>IF($B43="","",ROW()-3)</f>
        <v/>
      </c>
      <c r="B43" s="4" t="n"/>
      <c r="C43" s="4" t="n"/>
      <c r="D43" s="6" t="n"/>
      <c r="E43" s="12" t="n"/>
      <c r="F43" s="4" t="n"/>
      <c r="G43" s="6" t="n"/>
      <c r="H43" s="4" t="n"/>
      <c r="I43" s="4" t="n"/>
      <c r="J43" s="4" t="n"/>
      <c r="K43" s="4" t="n"/>
      <c r="L43" s="11">
        <f>IF($D43="","",IF('Объект и должник'!$B$14="","дата принятия заявления не заполнена",IF($D43&lt;'Объект и должник'!$B$14,"до принятия заявления","после принятия заявления")))</f>
        <v/>
      </c>
      <c r="M43" s="13">
        <f>IF($B43="","",IF(AND($E43&gt;0,LOWER($F43)&lt;&gt;"да"),"сумма есть, подписи обеих сторон нет — отдельно обсудите с юристом",IF(AND($G43&lt;&gt;"",$I43=""),"направлено, но подтверждение направления не указано",IF($K43="","отметьте, идёт ли копия в пакет",IF($L43="после принятия заявления","после принятия заявления — возможно текущий платёж (ст. 5), к юристу","")))))</f>
        <v/>
      </c>
    </row>
    <row r="44">
      <c r="A44" s="11">
        <f>IF($B44="","",ROW()-3)</f>
        <v/>
      </c>
      <c r="B44" s="4" t="n"/>
      <c r="C44" s="4" t="n"/>
      <c r="D44" s="6" t="n"/>
      <c r="E44" s="12" t="n"/>
      <c r="F44" s="4" t="n"/>
      <c r="G44" s="6" t="n"/>
      <c r="H44" s="4" t="n"/>
      <c r="I44" s="4" t="n"/>
      <c r="J44" s="4" t="n"/>
      <c r="K44" s="4" t="n"/>
      <c r="L44" s="11">
        <f>IF($D44="","",IF('Объект и должник'!$B$14="","дата принятия заявления не заполнена",IF($D44&lt;'Объект и должник'!$B$14,"до принятия заявления","после принятия заявления")))</f>
        <v/>
      </c>
      <c r="M44" s="13">
        <f>IF($B44="","",IF(AND($E44&gt;0,LOWER($F44)&lt;&gt;"да"),"сумма есть, подписи обеих сторон нет — отдельно обсудите с юристом",IF(AND($G44&lt;&gt;"",$I44=""),"направлено, но подтверждение направления не указано",IF($K44="","отметьте, идёт ли копия в пакет",IF($L44="после принятия заявления","после принятия заявления — возможно текущий платёж (ст. 5), к юристу","")))))</f>
        <v/>
      </c>
    </row>
    <row r="45">
      <c r="A45" s="11">
        <f>IF($B45="","",ROW()-3)</f>
        <v/>
      </c>
      <c r="B45" s="4" t="n"/>
      <c r="C45" s="4" t="n"/>
      <c r="D45" s="6" t="n"/>
      <c r="E45" s="12" t="n"/>
      <c r="F45" s="4" t="n"/>
      <c r="G45" s="6" t="n"/>
      <c r="H45" s="4" t="n"/>
      <c r="I45" s="4" t="n"/>
      <c r="J45" s="4" t="n"/>
      <c r="K45" s="4" t="n"/>
      <c r="L45" s="11">
        <f>IF($D45="","",IF('Объект и должник'!$B$14="","дата принятия заявления не заполнена",IF($D45&lt;'Объект и должник'!$B$14,"до принятия заявления","после принятия заявления")))</f>
        <v/>
      </c>
      <c r="M45" s="13">
        <f>IF($B45="","",IF(AND($E45&gt;0,LOWER($F45)&lt;&gt;"да"),"сумма есть, подписи обеих сторон нет — отдельно обсудите с юристом",IF(AND($G45&lt;&gt;"",$I45=""),"направлено, но подтверждение направления не указано",IF($K45="","отметьте, идёт ли копия в пакет",IF($L45="после принятия заявления","после принятия заявления — возможно текущий платёж (ст. 5), к юристу","")))))</f>
        <v/>
      </c>
    </row>
    <row r="46">
      <c r="A46" s="11">
        <f>IF($B46="","",ROW()-3)</f>
        <v/>
      </c>
      <c r="B46" s="4" t="n"/>
      <c r="C46" s="4" t="n"/>
      <c r="D46" s="6" t="n"/>
      <c r="E46" s="12" t="n"/>
      <c r="F46" s="4" t="n"/>
      <c r="G46" s="6" t="n"/>
      <c r="H46" s="4" t="n"/>
      <c r="I46" s="4" t="n"/>
      <c r="J46" s="4" t="n"/>
      <c r="K46" s="4" t="n"/>
      <c r="L46" s="11">
        <f>IF($D46="","",IF('Объект и должник'!$B$14="","дата принятия заявления не заполнена",IF($D46&lt;'Объект и должник'!$B$14,"до принятия заявления","после принятия заявления")))</f>
        <v/>
      </c>
      <c r="M46" s="13">
        <f>IF($B46="","",IF(AND($E46&gt;0,LOWER($F46)&lt;&gt;"да"),"сумма есть, подписи обеих сторон нет — отдельно обсудите с юристом",IF(AND($G46&lt;&gt;"",$I46=""),"направлено, но подтверждение направления не указано",IF($K46="","отметьте, идёт ли копия в пакет",IF($L46="после принятия заявления","после принятия заявления — возможно текущий платёж (ст. 5), к юристу","")))))</f>
        <v/>
      </c>
    </row>
    <row r="47">
      <c r="A47" s="11">
        <f>IF($B47="","",ROW()-3)</f>
        <v/>
      </c>
      <c r="B47" s="4" t="n"/>
      <c r="C47" s="4" t="n"/>
      <c r="D47" s="6" t="n"/>
      <c r="E47" s="12" t="n"/>
      <c r="F47" s="4" t="n"/>
      <c r="G47" s="6" t="n"/>
      <c r="H47" s="4" t="n"/>
      <c r="I47" s="4" t="n"/>
      <c r="J47" s="4" t="n"/>
      <c r="K47" s="4" t="n"/>
      <c r="L47" s="11">
        <f>IF($D47="","",IF('Объект и должник'!$B$14="","дата принятия заявления не заполнена",IF($D47&lt;'Объект и должник'!$B$14,"до принятия заявления","после принятия заявления")))</f>
        <v/>
      </c>
      <c r="M47" s="13">
        <f>IF($B47="","",IF(AND($E47&gt;0,LOWER($F47)&lt;&gt;"да"),"сумма есть, подписи обеих сторон нет — отдельно обсудите с юристом",IF(AND($G47&lt;&gt;"",$I47=""),"направлено, но подтверждение направления не указано",IF($K47="","отметьте, идёт ли копия в пакет",IF($L47="после принятия заявления","после принятия заявления — возможно текущий платёж (ст. 5), к юристу","")))))</f>
        <v/>
      </c>
    </row>
    <row r="48">
      <c r="A48" s="11">
        <f>IF($B48="","",ROW()-3)</f>
        <v/>
      </c>
      <c r="B48" s="4" t="n"/>
      <c r="C48" s="4" t="n"/>
      <c r="D48" s="6" t="n"/>
      <c r="E48" s="12" t="n"/>
      <c r="F48" s="4" t="n"/>
      <c r="G48" s="6" t="n"/>
      <c r="H48" s="4" t="n"/>
      <c r="I48" s="4" t="n"/>
      <c r="J48" s="4" t="n"/>
      <c r="K48" s="4" t="n"/>
      <c r="L48" s="11">
        <f>IF($D48="","",IF('Объект и должник'!$B$14="","дата принятия заявления не заполнена",IF($D48&lt;'Объект и должник'!$B$14,"до принятия заявления","после принятия заявления")))</f>
        <v/>
      </c>
      <c r="M48" s="13">
        <f>IF($B48="","",IF(AND($E48&gt;0,LOWER($F48)&lt;&gt;"да"),"сумма есть, подписи обеих сторон нет — отдельно обсудите с юристом",IF(AND($G48&lt;&gt;"",$I48=""),"направлено, но подтверждение направления не указано",IF($K48="","отметьте, идёт ли копия в пакет",IF($L48="после принятия заявления","после принятия заявления — возможно текущий платёж (ст. 5), к юристу","")))))</f>
        <v/>
      </c>
    </row>
    <row r="49">
      <c r="A49" s="11">
        <f>IF($B49="","",ROW()-3)</f>
        <v/>
      </c>
      <c r="B49" s="4" t="n"/>
      <c r="C49" s="4" t="n"/>
      <c r="D49" s="6" t="n"/>
      <c r="E49" s="12" t="n"/>
      <c r="F49" s="4" t="n"/>
      <c r="G49" s="6" t="n"/>
      <c r="H49" s="4" t="n"/>
      <c r="I49" s="4" t="n"/>
      <c r="J49" s="4" t="n"/>
      <c r="K49" s="4" t="n"/>
      <c r="L49" s="11">
        <f>IF($D49="","",IF('Объект и должник'!$B$14="","дата принятия заявления не заполнена",IF($D49&lt;'Объект и должник'!$B$14,"до принятия заявления","после принятия заявления")))</f>
        <v/>
      </c>
      <c r="M49" s="13">
        <f>IF($B49="","",IF(AND($E49&gt;0,LOWER($F49)&lt;&gt;"да"),"сумма есть, подписи обеих сторон нет — отдельно обсудите с юристом",IF(AND($G49&lt;&gt;"",$I49=""),"направлено, но подтверждение направления не указано",IF($K49="","отметьте, идёт ли копия в пакет",IF($L49="после принятия заявления","после принятия заявления — возможно текущий платёж (ст. 5), к юристу","")))))</f>
        <v/>
      </c>
    </row>
    <row r="50">
      <c r="A50" s="11">
        <f>IF($B50="","",ROW()-3)</f>
        <v/>
      </c>
      <c r="B50" s="4" t="n"/>
      <c r="C50" s="4" t="n"/>
      <c r="D50" s="6" t="n"/>
      <c r="E50" s="12" t="n"/>
      <c r="F50" s="4" t="n"/>
      <c r="G50" s="6" t="n"/>
      <c r="H50" s="4" t="n"/>
      <c r="I50" s="4" t="n"/>
      <c r="J50" s="4" t="n"/>
      <c r="K50" s="4" t="n"/>
      <c r="L50" s="11">
        <f>IF($D50="","",IF('Объект и должник'!$B$14="","дата принятия заявления не заполнена",IF($D50&lt;'Объект и должник'!$B$14,"до принятия заявления","после принятия заявления")))</f>
        <v/>
      </c>
      <c r="M50" s="13">
        <f>IF($B50="","",IF(AND($E50&gt;0,LOWER($F50)&lt;&gt;"да"),"сумма есть, подписи обеих сторон нет — отдельно обсудите с юристом",IF(AND($G50&lt;&gt;"",$I50=""),"направлено, но подтверждение направления не указано",IF($K50="","отметьте, идёт ли копия в пакет",IF($L50="после принятия заявления","после принятия заявления — возможно текущий платёж (ст. 5), к юристу","")))))</f>
        <v/>
      </c>
    </row>
    <row r="51">
      <c r="A51" s="11">
        <f>IF($B51="","",ROW()-3)</f>
        <v/>
      </c>
      <c r="B51" s="4" t="n"/>
      <c r="C51" s="4" t="n"/>
      <c r="D51" s="6" t="n"/>
      <c r="E51" s="12" t="n"/>
      <c r="F51" s="4" t="n"/>
      <c r="G51" s="6" t="n"/>
      <c r="H51" s="4" t="n"/>
      <c r="I51" s="4" t="n"/>
      <c r="J51" s="4" t="n"/>
      <c r="K51" s="4" t="n"/>
      <c r="L51" s="11">
        <f>IF($D51="","",IF('Объект и должник'!$B$14="","дата принятия заявления не заполнена",IF($D51&lt;'Объект и должник'!$B$14,"до принятия заявления","после принятия заявления")))</f>
        <v/>
      </c>
      <c r="M51" s="13">
        <f>IF($B51="","",IF(AND($E51&gt;0,LOWER($F51)&lt;&gt;"да"),"сумма есть, подписи обеих сторон нет — отдельно обсудите с юристом",IF(AND($G51&lt;&gt;"",$I51=""),"направлено, но подтверждение направления не указано",IF($K51="","отметьте, идёт ли копия в пакет",IF($L51="после принятия заявления","после принятия заявления — возможно текущий платёж (ст. 5), к юристу","")))))</f>
        <v/>
      </c>
    </row>
    <row r="52">
      <c r="A52" s="11">
        <f>IF($B52="","",ROW()-3)</f>
        <v/>
      </c>
      <c r="B52" s="4" t="n"/>
      <c r="C52" s="4" t="n"/>
      <c r="D52" s="6" t="n"/>
      <c r="E52" s="12" t="n"/>
      <c r="F52" s="4" t="n"/>
      <c r="G52" s="6" t="n"/>
      <c r="H52" s="4" t="n"/>
      <c r="I52" s="4" t="n"/>
      <c r="J52" s="4" t="n"/>
      <c r="K52" s="4" t="n"/>
      <c r="L52" s="11">
        <f>IF($D52="","",IF('Объект и должник'!$B$14="","дата принятия заявления не заполнена",IF($D52&lt;'Объект и должник'!$B$14,"до принятия заявления","после принятия заявления")))</f>
        <v/>
      </c>
      <c r="M52" s="13">
        <f>IF($B52="","",IF(AND($E52&gt;0,LOWER($F52)&lt;&gt;"да"),"сумма есть, подписи обеих сторон нет — отдельно обсудите с юристом",IF(AND($G52&lt;&gt;"",$I52=""),"направлено, но подтверждение направления не указано",IF($K52="","отметьте, идёт ли копия в пакет",IF($L52="после принятия заявления","после принятия заявления — возможно текущий платёж (ст. 5), к юристу","")))))</f>
        <v/>
      </c>
    </row>
    <row r="53">
      <c r="A53" s="11">
        <f>IF($B53="","",ROW()-3)</f>
        <v/>
      </c>
      <c r="B53" s="4" t="n"/>
      <c r="C53" s="4" t="n"/>
      <c r="D53" s="6" t="n"/>
      <c r="E53" s="12" t="n"/>
      <c r="F53" s="4" t="n"/>
      <c r="G53" s="6" t="n"/>
      <c r="H53" s="4" t="n"/>
      <c r="I53" s="4" t="n"/>
      <c r="J53" s="4" t="n"/>
      <c r="K53" s="4" t="n"/>
      <c r="L53" s="11">
        <f>IF($D53="","",IF('Объект и должник'!$B$14="","дата принятия заявления не заполнена",IF($D53&lt;'Объект и должник'!$B$14,"до принятия заявления","после принятия заявления")))</f>
        <v/>
      </c>
      <c r="M53" s="13">
        <f>IF($B53="","",IF(AND($E53&gt;0,LOWER($F53)&lt;&gt;"да"),"сумма есть, подписи обеих сторон нет — отдельно обсудите с юристом",IF(AND($G53&lt;&gt;"",$I53=""),"направлено, но подтверждение направления не указано",IF($K53="","отметьте, идёт ли копия в пакет",IF($L53="после принятия заявления","после принятия заявления — возможно текущий платёж (ст. 5), к юристу","")))))</f>
        <v/>
      </c>
    </row>
    <row r="54">
      <c r="A54" s="11">
        <f>IF($B54="","",ROW()-3)</f>
        <v/>
      </c>
      <c r="B54" s="4" t="n"/>
      <c r="C54" s="4" t="n"/>
      <c r="D54" s="6" t="n"/>
      <c r="E54" s="12" t="n"/>
      <c r="F54" s="4" t="n"/>
      <c r="G54" s="6" t="n"/>
      <c r="H54" s="4" t="n"/>
      <c r="I54" s="4" t="n"/>
      <c r="J54" s="4" t="n"/>
      <c r="K54" s="4" t="n"/>
      <c r="L54" s="11">
        <f>IF($D54="","",IF('Объект и должник'!$B$14="","дата принятия заявления не заполнена",IF($D54&lt;'Объект и должник'!$B$14,"до принятия заявления","после принятия заявления")))</f>
        <v/>
      </c>
      <c r="M54" s="13">
        <f>IF($B54="","",IF(AND($E54&gt;0,LOWER($F54)&lt;&gt;"да"),"сумма есть, подписи обеих сторон нет — отдельно обсудите с юристом",IF(AND($G54&lt;&gt;"",$I54=""),"направлено, но подтверждение направления не указано",IF($K54="","отметьте, идёт ли копия в пакет",IF($L54="после принятия заявления","после принятия заявления — возможно текущий платёж (ст. 5), к юристу","")))))</f>
        <v/>
      </c>
    </row>
    <row r="55">
      <c r="A55" s="11">
        <f>IF($B55="","",ROW()-3)</f>
        <v/>
      </c>
      <c r="B55" s="4" t="n"/>
      <c r="C55" s="4" t="n"/>
      <c r="D55" s="6" t="n"/>
      <c r="E55" s="12" t="n"/>
      <c r="F55" s="4" t="n"/>
      <c r="G55" s="6" t="n"/>
      <c r="H55" s="4" t="n"/>
      <c r="I55" s="4" t="n"/>
      <c r="J55" s="4" t="n"/>
      <c r="K55" s="4" t="n"/>
      <c r="L55" s="11">
        <f>IF($D55="","",IF('Объект и должник'!$B$14="","дата принятия заявления не заполнена",IF($D55&lt;'Объект и должник'!$B$14,"до принятия заявления","после принятия заявления")))</f>
        <v/>
      </c>
      <c r="M55" s="13">
        <f>IF($B55="","",IF(AND($E55&gt;0,LOWER($F55)&lt;&gt;"да"),"сумма есть, подписи обеих сторон нет — отдельно обсудите с юристом",IF(AND($G55&lt;&gt;"",$I55=""),"направлено, но подтверждение направления не указано",IF($K55="","отметьте, идёт ли копия в пакет",IF($L55="после принятия заявления","после принятия заявления — возможно текущий платёж (ст. 5), к юристу","")))))</f>
        <v/>
      </c>
    </row>
    <row r="56">
      <c r="A56" s="11">
        <f>IF($B56="","",ROW()-3)</f>
        <v/>
      </c>
      <c r="B56" s="4" t="n"/>
      <c r="C56" s="4" t="n"/>
      <c r="D56" s="6" t="n"/>
      <c r="E56" s="12" t="n"/>
      <c r="F56" s="4" t="n"/>
      <c r="G56" s="6" t="n"/>
      <c r="H56" s="4" t="n"/>
      <c r="I56" s="4" t="n"/>
      <c r="J56" s="4" t="n"/>
      <c r="K56" s="4" t="n"/>
      <c r="L56" s="11">
        <f>IF($D56="","",IF('Объект и должник'!$B$14="","дата принятия заявления не заполнена",IF($D56&lt;'Объект и должник'!$B$14,"до принятия заявления","после принятия заявления")))</f>
        <v/>
      </c>
      <c r="M56" s="13">
        <f>IF($B56="","",IF(AND($E56&gt;0,LOWER($F56)&lt;&gt;"да"),"сумма есть, подписи обеих сторон нет — отдельно обсудите с юристом",IF(AND($G56&lt;&gt;"",$I56=""),"направлено, но подтверждение направления не указано",IF($K56="","отметьте, идёт ли копия в пакет",IF($L56="после принятия заявления","после принятия заявления — возможно текущий платёж (ст. 5), к юристу","")))))</f>
        <v/>
      </c>
    </row>
    <row r="57">
      <c r="A57" s="11">
        <f>IF($B57="","",ROW()-3)</f>
        <v/>
      </c>
      <c r="B57" s="4" t="n"/>
      <c r="C57" s="4" t="n"/>
      <c r="D57" s="6" t="n"/>
      <c r="E57" s="12" t="n"/>
      <c r="F57" s="4" t="n"/>
      <c r="G57" s="6" t="n"/>
      <c r="H57" s="4" t="n"/>
      <c r="I57" s="4" t="n"/>
      <c r="J57" s="4" t="n"/>
      <c r="K57" s="4" t="n"/>
      <c r="L57" s="11">
        <f>IF($D57="","",IF('Объект и должник'!$B$14="","дата принятия заявления не заполнена",IF($D57&lt;'Объект и должник'!$B$14,"до принятия заявления","после принятия заявления")))</f>
        <v/>
      </c>
      <c r="M57" s="13">
        <f>IF($B57="","",IF(AND($E57&gt;0,LOWER($F57)&lt;&gt;"да"),"сумма есть, подписи обеих сторон нет — отдельно обсудите с юристом",IF(AND($G57&lt;&gt;"",$I57=""),"направлено, но подтверждение направления не указано",IF($K57="","отметьте, идёт ли копия в пакет",IF($L57="после принятия заявления","после принятия заявления — возможно текущий платёж (ст. 5), к юристу","")))))</f>
        <v/>
      </c>
    </row>
    <row r="58">
      <c r="A58" s="11">
        <f>IF($B58="","",ROW()-3)</f>
        <v/>
      </c>
      <c r="B58" s="4" t="n"/>
      <c r="C58" s="4" t="n"/>
      <c r="D58" s="6" t="n"/>
      <c r="E58" s="12" t="n"/>
      <c r="F58" s="4" t="n"/>
      <c r="G58" s="6" t="n"/>
      <c r="H58" s="4" t="n"/>
      <c r="I58" s="4" t="n"/>
      <c r="J58" s="4" t="n"/>
      <c r="K58" s="4" t="n"/>
      <c r="L58" s="11">
        <f>IF($D58="","",IF('Объект и должник'!$B$14="","дата принятия заявления не заполнена",IF($D58&lt;'Объект и должник'!$B$14,"до принятия заявления","после принятия заявления")))</f>
        <v/>
      </c>
      <c r="M58" s="13">
        <f>IF($B58="","",IF(AND($E58&gt;0,LOWER($F58)&lt;&gt;"да"),"сумма есть, подписи обеих сторон нет — отдельно обсудите с юристом",IF(AND($G58&lt;&gt;"",$I58=""),"направлено, но подтверждение направления не указано",IF($K58="","отметьте, идёт ли копия в пакет",IF($L58="после принятия заявления","после принятия заявления — возможно текущий платёж (ст. 5), к юристу","")))))</f>
        <v/>
      </c>
    </row>
    <row r="59">
      <c r="A59" s="11">
        <f>IF($B59="","",ROW()-3)</f>
        <v/>
      </c>
      <c r="B59" s="4" t="n"/>
      <c r="C59" s="4" t="n"/>
      <c r="D59" s="6" t="n"/>
      <c r="E59" s="12" t="n"/>
      <c r="F59" s="4" t="n"/>
      <c r="G59" s="6" t="n"/>
      <c r="H59" s="4" t="n"/>
      <c r="I59" s="4" t="n"/>
      <c r="J59" s="4" t="n"/>
      <c r="K59" s="4" t="n"/>
      <c r="L59" s="11">
        <f>IF($D59="","",IF('Объект и должник'!$B$14="","дата принятия заявления не заполнена",IF($D59&lt;'Объект и должник'!$B$14,"до принятия заявления","после принятия заявления")))</f>
        <v/>
      </c>
      <c r="M59" s="13">
        <f>IF($B59="","",IF(AND($E59&gt;0,LOWER($F59)&lt;&gt;"да"),"сумма есть, подписи обеих сторон нет — отдельно обсудите с юристом",IF(AND($G59&lt;&gt;"",$I59=""),"направлено, но подтверждение направления не указано",IF($K59="","отметьте, идёт ли копия в пакет",IF($L59="после принятия заявления","после принятия заявления — возможно текущий платёж (ст. 5), к юристу","")))))</f>
        <v/>
      </c>
    </row>
    <row r="60">
      <c r="A60" s="11">
        <f>IF($B60="","",ROW()-3)</f>
        <v/>
      </c>
      <c r="B60" s="4" t="n"/>
      <c r="C60" s="4" t="n"/>
      <c r="D60" s="6" t="n"/>
      <c r="E60" s="12" t="n"/>
      <c r="F60" s="4" t="n"/>
      <c r="G60" s="6" t="n"/>
      <c r="H60" s="4" t="n"/>
      <c r="I60" s="4" t="n"/>
      <c r="J60" s="4" t="n"/>
      <c r="K60" s="4" t="n"/>
      <c r="L60" s="11">
        <f>IF($D60="","",IF('Объект и должник'!$B$14="","дата принятия заявления не заполнена",IF($D60&lt;'Объект и должник'!$B$14,"до принятия заявления","после принятия заявления")))</f>
        <v/>
      </c>
      <c r="M60" s="13">
        <f>IF($B60="","",IF(AND($E60&gt;0,LOWER($F60)&lt;&gt;"да"),"сумма есть, подписи обеих сторон нет — отдельно обсудите с юристом",IF(AND($G60&lt;&gt;"",$I60=""),"направлено, но подтверждение направления не указано",IF($K60="","отметьте, идёт ли копия в пакет",IF($L60="после принятия заявления","после принятия заявления — возможно текущий платёж (ст. 5), к юристу","")))))</f>
        <v/>
      </c>
    </row>
    <row r="61">
      <c r="A61" s="11">
        <f>IF($B61="","",ROW()-3)</f>
        <v/>
      </c>
      <c r="B61" s="4" t="n"/>
      <c r="C61" s="4" t="n"/>
      <c r="D61" s="6" t="n"/>
      <c r="E61" s="12" t="n"/>
      <c r="F61" s="4" t="n"/>
      <c r="G61" s="6" t="n"/>
      <c r="H61" s="4" t="n"/>
      <c r="I61" s="4" t="n"/>
      <c r="J61" s="4" t="n"/>
      <c r="K61" s="4" t="n"/>
      <c r="L61" s="11">
        <f>IF($D61="","",IF('Объект и должник'!$B$14="","дата принятия заявления не заполнена",IF($D61&lt;'Объект и должник'!$B$14,"до принятия заявления","после принятия заявления")))</f>
        <v/>
      </c>
      <c r="M61" s="13">
        <f>IF($B61="","",IF(AND($E61&gt;0,LOWER($F61)&lt;&gt;"да"),"сумма есть, подписи обеих сторон нет — отдельно обсудите с юристом",IF(AND($G61&lt;&gt;"",$I61=""),"направлено, но подтверждение направления не указано",IF($K61="","отметьте, идёт ли копия в пакет",IF($L61="после принятия заявления","после принятия заявления — возможно текущий платёж (ст. 5), к юристу","")))))</f>
        <v/>
      </c>
    </row>
    <row r="62">
      <c r="A62" s="11">
        <f>IF($B62="","",ROW()-3)</f>
        <v/>
      </c>
      <c r="B62" s="4" t="n"/>
      <c r="C62" s="4" t="n"/>
      <c r="D62" s="6" t="n"/>
      <c r="E62" s="12" t="n"/>
      <c r="F62" s="4" t="n"/>
      <c r="G62" s="6" t="n"/>
      <c r="H62" s="4" t="n"/>
      <c r="I62" s="4" t="n"/>
      <c r="J62" s="4" t="n"/>
      <c r="K62" s="4" t="n"/>
      <c r="L62" s="11">
        <f>IF($D62="","",IF('Объект и должник'!$B$14="","дата принятия заявления не заполнена",IF($D62&lt;'Объект и должник'!$B$14,"до принятия заявления","после принятия заявления")))</f>
        <v/>
      </c>
      <c r="M62" s="13">
        <f>IF($B62="","",IF(AND($E62&gt;0,LOWER($F62)&lt;&gt;"да"),"сумма есть, подписи обеих сторон нет — отдельно обсудите с юристом",IF(AND($G62&lt;&gt;"",$I62=""),"направлено, но подтверждение направления не указано",IF($K62="","отметьте, идёт ли копия в пакет",IF($L62="после принятия заявления","после принятия заявления — возможно текущий платёж (ст. 5), к юристу","")))))</f>
        <v/>
      </c>
    </row>
    <row r="63">
      <c r="A63" s="11">
        <f>IF($B63="","",ROW()-3)</f>
        <v/>
      </c>
      <c r="B63" s="4" t="n"/>
      <c r="C63" s="4" t="n"/>
      <c r="D63" s="6" t="n"/>
      <c r="E63" s="12" t="n"/>
      <c r="F63" s="4" t="n"/>
      <c r="G63" s="6" t="n"/>
      <c r="H63" s="4" t="n"/>
      <c r="I63" s="4" t="n"/>
      <c r="J63" s="4" t="n"/>
      <c r="K63" s="4" t="n"/>
      <c r="L63" s="11">
        <f>IF($D63="","",IF('Объект и должник'!$B$14="","дата принятия заявления не заполнена",IF($D63&lt;'Объект и должник'!$B$14,"до принятия заявления","после принятия заявления")))</f>
        <v/>
      </c>
      <c r="M63" s="13">
        <f>IF($B63="","",IF(AND($E63&gt;0,LOWER($F63)&lt;&gt;"да"),"сумма есть, подписи обеих сторон нет — отдельно обсудите с юристом",IF(AND($G63&lt;&gt;"",$I63=""),"направлено, но подтверждение направления не указано",IF($K63="","отметьте, идёт ли копия в пакет",IF($L63="после принятия заявления","после принятия заявления — возможно текущий платёж (ст. 5), к юристу","")))))</f>
        <v/>
      </c>
    </row>
    <row r="64">
      <c r="A64" s="11">
        <f>IF($B64="","",ROW()-3)</f>
        <v/>
      </c>
      <c r="B64" s="4" t="n"/>
      <c r="C64" s="4" t="n"/>
      <c r="D64" s="6" t="n"/>
      <c r="E64" s="12" t="n"/>
      <c r="F64" s="4" t="n"/>
      <c r="G64" s="6" t="n"/>
      <c r="H64" s="4" t="n"/>
      <c r="I64" s="4" t="n"/>
      <c r="J64" s="4" t="n"/>
      <c r="K64" s="4" t="n"/>
      <c r="L64" s="11">
        <f>IF($D64="","",IF('Объект и должник'!$B$14="","дата принятия заявления не заполнена",IF($D64&lt;'Объект и должник'!$B$14,"до принятия заявления","после принятия заявления")))</f>
        <v/>
      </c>
      <c r="M64" s="13">
        <f>IF($B64="","",IF(AND($E64&gt;0,LOWER($F64)&lt;&gt;"да"),"сумма есть, подписи обеих сторон нет — отдельно обсудите с юристом",IF(AND($G64&lt;&gt;"",$I64=""),"направлено, но подтверждение направления не указано",IF($K64="","отметьте, идёт ли копия в пакет",IF($L64="после принятия заявления","после принятия заявления — возможно текущий платёж (ст. 5), к юристу","")))))</f>
        <v/>
      </c>
    </row>
    <row r="65">
      <c r="A65" s="11">
        <f>IF($B65="","",ROW()-3)</f>
        <v/>
      </c>
      <c r="B65" s="4" t="n"/>
      <c r="C65" s="4" t="n"/>
      <c r="D65" s="6" t="n"/>
      <c r="E65" s="12" t="n"/>
      <c r="F65" s="4" t="n"/>
      <c r="G65" s="6" t="n"/>
      <c r="H65" s="4" t="n"/>
      <c r="I65" s="4" t="n"/>
      <c r="J65" s="4" t="n"/>
      <c r="K65" s="4" t="n"/>
      <c r="L65" s="11">
        <f>IF($D65="","",IF('Объект и должник'!$B$14="","дата принятия заявления не заполнена",IF($D65&lt;'Объект и должник'!$B$14,"до принятия заявления","после принятия заявления")))</f>
        <v/>
      </c>
      <c r="M65" s="13">
        <f>IF($B65="","",IF(AND($E65&gt;0,LOWER($F65)&lt;&gt;"да"),"сумма есть, подписи обеих сторон нет — отдельно обсудите с юристом",IF(AND($G65&lt;&gt;"",$I65=""),"направлено, но подтверждение направления не указано",IF($K65="","отметьте, идёт ли копия в пакет",IF($L65="после принятия заявления","после принятия заявления — возможно текущий платёж (ст. 5), к юристу","")))))</f>
        <v/>
      </c>
    </row>
    <row r="66">
      <c r="A66" s="11">
        <f>IF($B66="","",ROW()-3)</f>
        <v/>
      </c>
      <c r="B66" s="4" t="n"/>
      <c r="C66" s="4" t="n"/>
      <c r="D66" s="6" t="n"/>
      <c r="E66" s="12" t="n"/>
      <c r="F66" s="4" t="n"/>
      <c r="G66" s="6" t="n"/>
      <c r="H66" s="4" t="n"/>
      <c r="I66" s="4" t="n"/>
      <c r="J66" s="4" t="n"/>
      <c r="K66" s="4" t="n"/>
      <c r="L66" s="11">
        <f>IF($D66="","",IF('Объект и должник'!$B$14="","дата принятия заявления не заполнена",IF($D66&lt;'Объект и должник'!$B$14,"до принятия заявления","после принятия заявления")))</f>
        <v/>
      </c>
      <c r="M66" s="13">
        <f>IF($B66="","",IF(AND($E66&gt;0,LOWER($F66)&lt;&gt;"да"),"сумма есть, подписи обеих сторон нет — отдельно обсудите с юристом",IF(AND($G66&lt;&gt;"",$I66=""),"направлено, но подтверждение направления не указано",IF($K66="","отметьте, идёт ли копия в пакет",IF($L66="после принятия заявления","после принятия заявления — возможно текущий платёж (ст. 5), к юристу","")))))</f>
        <v/>
      </c>
    </row>
    <row r="67">
      <c r="A67" s="11">
        <f>IF($B67="","",ROW()-3)</f>
        <v/>
      </c>
      <c r="B67" s="4" t="n"/>
      <c r="C67" s="4" t="n"/>
      <c r="D67" s="6" t="n"/>
      <c r="E67" s="12" t="n"/>
      <c r="F67" s="4" t="n"/>
      <c r="G67" s="6" t="n"/>
      <c r="H67" s="4" t="n"/>
      <c r="I67" s="4" t="n"/>
      <c r="J67" s="4" t="n"/>
      <c r="K67" s="4" t="n"/>
      <c r="L67" s="11">
        <f>IF($D67="","",IF('Объект и должник'!$B$14="","дата принятия заявления не заполнена",IF($D67&lt;'Объект и должник'!$B$14,"до принятия заявления","после принятия заявления")))</f>
        <v/>
      </c>
      <c r="M67" s="13">
        <f>IF($B67="","",IF(AND($E67&gt;0,LOWER($F67)&lt;&gt;"да"),"сумма есть, подписи обеих сторон нет — отдельно обсудите с юристом",IF(AND($G67&lt;&gt;"",$I67=""),"направлено, но подтверждение направления не указано",IF($K67="","отметьте, идёт ли копия в пакет",IF($L67="после принятия заявления","после принятия заявления — возможно текущий платёж (ст. 5), к юристу","")))))</f>
        <v/>
      </c>
    </row>
    <row r="68">
      <c r="A68" s="11">
        <f>IF($B68="","",ROW()-3)</f>
        <v/>
      </c>
      <c r="B68" s="4" t="n"/>
      <c r="C68" s="4" t="n"/>
      <c r="D68" s="6" t="n"/>
      <c r="E68" s="12" t="n"/>
      <c r="F68" s="4" t="n"/>
      <c r="G68" s="6" t="n"/>
      <c r="H68" s="4" t="n"/>
      <c r="I68" s="4" t="n"/>
      <c r="J68" s="4" t="n"/>
      <c r="K68" s="4" t="n"/>
      <c r="L68" s="11">
        <f>IF($D68="","",IF('Объект и должник'!$B$14="","дата принятия заявления не заполнена",IF($D68&lt;'Объект и должник'!$B$14,"до принятия заявления","после принятия заявления")))</f>
        <v/>
      </c>
      <c r="M68" s="13">
        <f>IF($B68="","",IF(AND($E68&gt;0,LOWER($F68)&lt;&gt;"да"),"сумма есть, подписи обеих сторон нет — отдельно обсудите с юристом",IF(AND($G68&lt;&gt;"",$I68=""),"направлено, но подтверждение направления не указано",IF($K68="","отметьте, идёт ли копия в пакет",IF($L68="после принятия заявления","после принятия заявления — возможно текущий платёж (ст. 5), к юристу","")))))</f>
        <v/>
      </c>
    </row>
    <row r="69">
      <c r="A69" s="11">
        <f>IF($B69="","",ROW()-3)</f>
        <v/>
      </c>
      <c r="B69" s="4" t="n"/>
      <c r="C69" s="4" t="n"/>
      <c r="D69" s="6" t="n"/>
      <c r="E69" s="12" t="n"/>
      <c r="F69" s="4" t="n"/>
      <c r="G69" s="6" t="n"/>
      <c r="H69" s="4" t="n"/>
      <c r="I69" s="4" t="n"/>
      <c r="J69" s="4" t="n"/>
      <c r="K69" s="4" t="n"/>
      <c r="L69" s="11">
        <f>IF($D69="","",IF('Объект и должник'!$B$14="","дата принятия заявления не заполнена",IF($D69&lt;'Объект и должник'!$B$14,"до принятия заявления","после принятия заявления")))</f>
        <v/>
      </c>
      <c r="M69" s="13">
        <f>IF($B69="","",IF(AND($E69&gt;0,LOWER($F69)&lt;&gt;"да"),"сумма есть, подписи обеих сторон нет — отдельно обсудите с юристом",IF(AND($G69&lt;&gt;"",$I69=""),"направлено, но подтверждение направления не указано",IF($K69="","отметьте, идёт ли копия в пакет",IF($L69="после принятия заявления","после принятия заявления — возможно текущий платёж (ст. 5), к юристу","")))))</f>
        <v/>
      </c>
    </row>
    <row r="70">
      <c r="A70" s="11">
        <f>IF($B70="","",ROW()-3)</f>
        <v/>
      </c>
      <c r="B70" s="4" t="n"/>
      <c r="C70" s="4" t="n"/>
      <c r="D70" s="6" t="n"/>
      <c r="E70" s="12" t="n"/>
      <c r="F70" s="4" t="n"/>
      <c r="G70" s="6" t="n"/>
      <c r="H70" s="4" t="n"/>
      <c r="I70" s="4" t="n"/>
      <c r="J70" s="4" t="n"/>
      <c r="K70" s="4" t="n"/>
      <c r="L70" s="11">
        <f>IF($D70="","",IF('Объект и должник'!$B$14="","дата принятия заявления не заполнена",IF($D70&lt;'Объект и должник'!$B$14,"до принятия заявления","после принятия заявления")))</f>
        <v/>
      </c>
      <c r="M70" s="13">
        <f>IF($B70="","",IF(AND($E70&gt;0,LOWER($F70)&lt;&gt;"да"),"сумма есть, подписи обеих сторон нет — отдельно обсудите с юристом",IF(AND($G70&lt;&gt;"",$I70=""),"направлено, но подтверждение направления не указано",IF($K70="","отметьте, идёт ли копия в пакет",IF($L70="после принятия заявления","после принятия заявления — возможно текущий платёж (ст. 5), к юристу","")))))</f>
        <v/>
      </c>
    </row>
    <row r="71">
      <c r="A71" s="11">
        <f>IF($B71="","",ROW()-3)</f>
        <v/>
      </c>
      <c r="B71" s="4" t="n"/>
      <c r="C71" s="4" t="n"/>
      <c r="D71" s="6" t="n"/>
      <c r="E71" s="12" t="n"/>
      <c r="F71" s="4" t="n"/>
      <c r="G71" s="6" t="n"/>
      <c r="H71" s="4" t="n"/>
      <c r="I71" s="4" t="n"/>
      <c r="J71" s="4" t="n"/>
      <c r="K71" s="4" t="n"/>
      <c r="L71" s="11">
        <f>IF($D71="","",IF('Объект и должник'!$B$14="","дата принятия заявления не заполнена",IF($D71&lt;'Объект и должник'!$B$14,"до принятия заявления","после принятия заявления")))</f>
        <v/>
      </c>
      <c r="M71" s="13">
        <f>IF($B71="","",IF(AND($E71&gt;0,LOWER($F71)&lt;&gt;"да"),"сумма есть, подписи обеих сторон нет — отдельно обсудите с юристом",IF(AND($G71&lt;&gt;"",$I71=""),"направлено, но подтверждение направления не указано",IF($K71="","отметьте, идёт ли копия в пакет",IF($L71="после принятия заявления","после принятия заявления — возможно текущий платёж (ст. 5), к юристу","")))))</f>
        <v/>
      </c>
    </row>
    <row r="72">
      <c r="A72" s="11">
        <f>IF($B72="","",ROW()-3)</f>
        <v/>
      </c>
      <c r="B72" s="4" t="n"/>
      <c r="C72" s="4" t="n"/>
      <c r="D72" s="6" t="n"/>
      <c r="E72" s="12" t="n"/>
      <c r="F72" s="4" t="n"/>
      <c r="G72" s="6" t="n"/>
      <c r="H72" s="4" t="n"/>
      <c r="I72" s="4" t="n"/>
      <c r="J72" s="4" t="n"/>
      <c r="K72" s="4" t="n"/>
      <c r="L72" s="11">
        <f>IF($D72="","",IF('Объект и должник'!$B$14="","дата принятия заявления не заполнена",IF($D72&lt;'Объект и должник'!$B$14,"до принятия заявления","после принятия заявления")))</f>
        <v/>
      </c>
      <c r="M72" s="13">
        <f>IF($B72="","",IF(AND($E72&gt;0,LOWER($F72)&lt;&gt;"да"),"сумма есть, подписи обеих сторон нет — отдельно обсудите с юристом",IF(AND($G72&lt;&gt;"",$I72=""),"направлено, но подтверждение направления не указано",IF($K72="","отметьте, идёт ли копия в пакет",IF($L72="после принятия заявления","после принятия заявления — возможно текущий платёж (ст. 5), к юристу","")))))</f>
        <v/>
      </c>
    </row>
    <row r="73">
      <c r="A73" s="11">
        <f>IF($B73="","",ROW()-3)</f>
        <v/>
      </c>
      <c r="B73" s="4" t="n"/>
      <c r="C73" s="4" t="n"/>
      <c r="D73" s="6" t="n"/>
      <c r="E73" s="12" t="n"/>
      <c r="F73" s="4" t="n"/>
      <c r="G73" s="6" t="n"/>
      <c r="H73" s="4" t="n"/>
      <c r="I73" s="4" t="n"/>
      <c r="J73" s="4" t="n"/>
      <c r="K73" s="4" t="n"/>
      <c r="L73" s="11">
        <f>IF($D73="","",IF('Объект и должник'!$B$14="","дата принятия заявления не заполнена",IF($D73&lt;'Объект и должник'!$B$14,"до принятия заявления","после принятия заявления")))</f>
        <v/>
      </c>
      <c r="M73" s="13">
        <f>IF($B73="","",IF(AND($E73&gt;0,LOWER($F73)&lt;&gt;"да"),"сумма есть, подписи обеих сторон нет — отдельно обсудите с юристом",IF(AND($G73&lt;&gt;"",$I73=""),"направлено, но подтверждение направления не указано",IF($K73="","отметьте, идёт ли копия в пакет",IF($L73="после принятия заявления","после принятия заявления — возможно текущий платёж (ст. 5), к юристу","")))))</f>
        <v/>
      </c>
    </row>
    <row r="74">
      <c r="A74" s="11">
        <f>IF($B74="","",ROW()-3)</f>
        <v/>
      </c>
      <c r="B74" s="4" t="n"/>
      <c r="C74" s="4" t="n"/>
      <c r="D74" s="6" t="n"/>
      <c r="E74" s="12" t="n"/>
      <c r="F74" s="4" t="n"/>
      <c r="G74" s="6" t="n"/>
      <c r="H74" s="4" t="n"/>
      <c r="I74" s="4" t="n"/>
      <c r="J74" s="4" t="n"/>
      <c r="K74" s="4" t="n"/>
      <c r="L74" s="11">
        <f>IF($D74="","",IF('Объект и должник'!$B$14="","дата принятия заявления не заполнена",IF($D74&lt;'Объект и должник'!$B$14,"до принятия заявления","после принятия заявления")))</f>
        <v/>
      </c>
      <c r="M74" s="13">
        <f>IF($B74="","",IF(AND($E74&gt;0,LOWER($F74)&lt;&gt;"да"),"сумма есть, подписи обеих сторон нет — отдельно обсудите с юристом",IF(AND($G74&lt;&gt;"",$I74=""),"направлено, но подтверждение направления не указано",IF($K74="","отметьте, идёт ли копия в пакет",IF($L74="после принятия заявления","после принятия заявления — возможно текущий платёж (ст. 5), к юристу","")))))</f>
        <v/>
      </c>
    </row>
    <row r="75">
      <c r="A75" s="11">
        <f>IF($B75="","",ROW()-3)</f>
        <v/>
      </c>
      <c r="B75" s="4" t="n"/>
      <c r="C75" s="4" t="n"/>
      <c r="D75" s="6" t="n"/>
      <c r="E75" s="12" t="n"/>
      <c r="F75" s="4" t="n"/>
      <c r="G75" s="6" t="n"/>
      <c r="H75" s="4" t="n"/>
      <c r="I75" s="4" t="n"/>
      <c r="J75" s="4" t="n"/>
      <c r="K75" s="4" t="n"/>
      <c r="L75" s="11">
        <f>IF($D75="","",IF('Объект и должник'!$B$14="","дата принятия заявления не заполнена",IF($D75&lt;'Объект и должник'!$B$14,"до принятия заявления","после принятия заявления")))</f>
        <v/>
      </c>
      <c r="M75" s="13">
        <f>IF($B75="","",IF(AND($E75&gt;0,LOWER($F75)&lt;&gt;"да"),"сумма есть, подписи обеих сторон нет — отдельно обсудите с юристом",IF(AND($G75&lt;&gt;"",$I75=""),"направлено, но подтверждение направления не указано",IF($K75="","отметьте, идёт ли копия в пакет",IF($L75="после принятия заявления","после принятия заявления — возможно текущий платёж (ст. 5), к юристу","")))))</f>
        <v/>
      </c>
    </row>
    <row r="76">
      <c r="A76" s="11">
        <f>IF($B76="","",ROW()-3)</f>
        <v/>
      </c>
      <c r="B76" s="4" t="n"/>
      <c r="C76" s="4" t="n"/>
      <c r="D76" s="6" t="n"/>
      <c r="E76" s="12" t="n"/>
      <c r="F76" s="4" t="n"/>
      <c r="G76" s="6" t="n"/>
      <c r="H76" s="4" t="n"/>
      <c r="I76" s="4" t="n"/>
      <c r="J76" s="4" t="n"/>
      <c r="K76" s="4" t="n"/>
      <c r="L76" s="11">
        <f>IF($D76="","",IF('Объект и должник'!$B$14="","дата принятия заявления не заполнена",IF($D76&lt;'Объект и должник'!$B$14,"до принятия заявления","после принятия заявления")))</f>
        <v/>
      </c>
      <c r="M76" s="13">
        <f>IF($B76="","",IF(AND($E76&gt;0,LOWER($F76)&lt;&gt;"да"),"сумма есть, подписи обеих сторон нет — отдельно обсудите с юристом",IF(AND($G76&lt;&gt;"",$I76=""),"направлено, но подтверждение направления не указано",IF($K76="","отметьте, идёт ли копия в пакет",IF($L76="после принятия заявления","после принятия заявления — возможно текущий платёж (ст. 5), к юристу","")))))</f>
        <v/>
      </c>
    </row>
    <row r="77">
      <c r="A77" s="11">
        <f>IF($B77="","",ROW()-3)</f>
        <v/>
      </c>
      <c r="B77" s="4" t="n"/>
      <c r="C77" s="4" t="n"/>
      <c r="D77" s="6" t="n"/>
      <c r="E77" s="12" t="n"/>
      <c r="F77" s="4" t="n"/>
      <c r="G77" s="6" t="n"/>
      <c r="H77" s="4" t="n"/>
      <c r="I77" s="4" t="n"/>
      <c r="J77" s="4" t="n"/>
      <c r="K77" s="4" t="n"/>
      <c r="L77" s="11">
        <f>IF($D77="","",IF('Объект и должник'!$B$14="","дата принятия заявления не заполнена",IF($D77&lt;'Объект и должник'!$B$14,"до принятия заявления","после принятия заявления")))</f>
        <v/>
      </c>
      <c r="M77" s="13">
        <f>IF($B77="","",IF(AND($E77&gt;0,LOWER($F77)&lt;&gt;"да"),"сумма есть, подписи обеих сторон нет — отдельно обсудите с юристом",IF(AND($G77&lt;&gt;"",$I77=""),"направлено, но подтверждение направления не указано",IF($K77="","отметьте, идёт ли копия в пакет",IF($L77="после принятия заявления","после принятия заявления — возможно текущий платёж (ст. 5), к юристу","")))))</f>
        <v/>
      </c>
    </row>
    <row r="78">
      <c r="A78" s="11">
        <f>IF($B78="","",ROW()-3)</f>
        <v/>
      </c>
      <c r="B78" s="4" t="n"/>
      <c r="C78" s="4" t="n"/>
      <c r="D78" s="6" t="n"/>
      <c r="E78" s="12" t="n"/>
      <c r="F78" s="4" t="n"/>
      <c r="G78" s="6" t="n"/>
      <c r="H78" s="4" t="n"/>
      <c r="I78" s="4" t="n"/>
      <c r="J78" s="4" t="n"/>
      <c r="K78" s="4" t="n"/>
      <c r="L78" s="11">
        <f>IF($D78="","",IF('Объект и должник'!$B$14="","дата принятия заявления не заполнена",IF($D78&lt;'Объект и должник'!$B$14,"до принятия заявления","после принятия заявления")))</f>
        <v/>
      </c>
      <c r="M78" s="13">
        <f>IF($B78="","",IF(AND($E78&gt;0,LOWER($F78)&lt;&gt;"да"),"сумма есть, подписи обеих сторон нет — отдельно обсудите с юристом",IF(AND($G78&lt;&gt;"",$I78=""),"направлено, но подтверждение направления не указано",IF($K78="","отметьте, идёт ли копия в пакет",IF($L78="после принятия заявления","после принятия заявления — возможно текущий платёж (ст. 5), к юристу","")))))</f>
        <v/>
      </c>
    </row>
    <row r="79">
      <c r="A79" s="11">
        <f>IF($B79="","",ROW()-3)</f>
        <v/>
      </c>
      <c r="B79" s="4" t="n"/>
      <c r="C79" s="4" t="n"/>
      <c r="D79" s="6" t="n"/>
      <c r="E79" s="12" t="n"/>
      <c r="F79" s="4" t="n"/>
      <c r="G79" s="6" t="n"/>
      <c r="H79" s="4" t="n"/>
      <c r="I79" s="4" t="n"/>
      <c r="J79" s="4" t="n"/>
      <c r="K79" s="4" t="n"/>
      <c r="L79" s="11">
        <f>IF($D79="","",IF('Объект и должник'!$B$14="","дата принятия заявления не заполнена",IF($D79&lt;'Объект и должник'!$B$14,"до принятия заявления","после принятия заявления")))</f>
        <v/>
      </c>
      <c r="M79" s="13">
        <f>IF($B79="","",IF(AND($E79&gt;0,LOWER($F79)&lt;&gt;"да"),"сумма есть, подписи обеих сторон нет — отдельно обсудите с юристом",IF(AND($G79&lt;&gt;"",$I79=""),"направлено, но подтверждение направления не указано",IF($K79="","отметьте, идёт ли копия в пакет",IF($L79="после принятия заявления","после принятия заявления — возможно текущий платёж (ст. 5), к юристу","")))))</f>
        <v/>
      </c>
    </row>
    <row r="80">
      <c r="A80" s="11">
        <f>IF($B80="","",ROW()-3)</f>
        <v/>
      </c>
      <c r="B80" s="4" t="n"/>
      <c r="C80" s="4" t="n"/>
      <c r="D80" s="6" t="n"/>
      <c r="E80" s="12" t="n"/>
      <c r="F80" s="4" t="n"/>
      <c r="G80" s="6" t="n"/>
      <c r="H80" s="4" t="n"/>
      <c r="I80" s="4" t="n"/>
      <c r="J80" s="4" t="n"/>
      <c r="K80" s="4" t="n"/>
      <c r="L80" s="11">
        <f>IF($D80="","",IF('Объект и должник'!$B$14="","дата принятия заявления не заполнена",IF($D80&lt;'Объект и должник'!$B$14,"до принятия заявления","после принятия заявления")))</f>
        <v/>
      </c>
      <c r="M80" s="13">
        <f>IF($B80="","",IF(AND($E80&gt;0,LOWER($F80)&lt;&gt;"да"),"сумма есть, подписи обеих сторон нет — отдельно обсудите с юристом",IF(AND($G80&lt;&gt;"",$I80=""),"направлено, но подтверждение направления не указано",IF($K80="","отметьте, идёт ли копия в пакет",IF($L80="после принятия заявления","после принятия заявления — возможно текущий платёж (ст. 5), к юристу","")))))</f>
        <v/>
      </c>
    </row>
    <row r="81">
      <c r="A81" s="11">
        <f>IF($B81="","",ROW()-3)</f>
        <v/>
      </c>
      <c r="B81" s="4" t="n"/>
      <c r="C81" s="4" t="n"/>
      <c r="D81" s="6" t="n"/>
      <c r="E81" s="12" t="n"/>
      <c r="F81" s="4" t="n"/>
      <c r="G81" s="6" t="n"/>
      <c r="H81" s="4" t="n"/>
      <c r="I81" s="4" t="n"/>
      <c r="J81" s="4" t="n"/>
      <c r="K81" s="4" t="n"/>
      <c r="L81" s="11">
        <f>IF($D81="","",IF('Объект и должник'!$B$14="","дата принятия заявления не заполнена",IF($D81&lt;'Объект и должник'!$B$14,"до принятия заявления","после принятия заявления")))</f>
        <v/>
      </c>
      <c r="M81" s="13">
        <f>IF($B81="","",IF(AND($E81&gt;0,LOWER($F81)&lt;&gt;"да"),"сумма есть, подписи обеих сторон нет — отдельно обсудите с юристом",IF(AND($G81&lt;&gt;"",$I81=""),"направлено, но подтверждение направления не указано",IF($K81="","отметьте, идёт ли копия в пакет",IF($L81="после принятия заявления","после принятия заявления — возможно текущий платёж (ст. 5), к юристу","")))))</f>
        <v/>
      </c>
    </row>
    <row r="82">
      <c r="A82" s="11">
        <f>IF($B82="","",ROW()-3)</f>
        <v/>
      </c>
      <c r="B82" s="4" t="n"/>
      <c r="C82" s="4" t="n"/>
      <c r="D82" s="6" t="n"/>
      <c r="E82" s="12" t="n"/>
      <c r="F82" s="4" t="n"/>
      <c r="G82" s="6" t="n"/>
      <c r="H82" s="4" t="n"/>
      <c r="I82" s="4" t="n"/>
      <c r="J82" s="4" t="n"/>
      <c r="K82" s="4" t="n"/>
      <c r="L82" s="11">
        <f>IF($D82="","",IF('Объект и должник'!$B$14="","дата принятия заявления не заполнена",IF($D82&lt;'Объект и должник'!$B$14,"до принятия заявления","после принятия заявления")))</f>
        <v/>
      </c>
      <c r="M82" s="13">
        <f>IF($B82="","",IF(AND($E82&gt;0,LOWER($F82)&lt;&gt;"да"),"сумма есть, подписи обеих сторон нет — отдельно обсудите с юристом",IF(AND($G82&lt;&gt;"",$I82=""),"направлено, но подтверждение направления не указано",IF($K82="","отметьте, идёт ли копия в пакет",IF($L82="после принятия заявления","после принятия заявления — возможно текущий платёж (ст. 5), к юристу","")))))</f>
        <v/>
      </c>
    </row>
    <row r="83">
      <c r="A83" s="11">
        <f>IF($B83="","",ROW()-3)</f>
        <v/>
      </c>
      <c r="B83" s="4" t="n"/>
      <c r="C83" s="4" t="n"/>
      <c r="D83" s="6" t="n"/>
      <c r="E83" s="12" t="n"/>
      <c r="F83" s="4" t="n"/>
      <c r="G83" s="6" t="n"/>
      <c r="H83" s="4" t="n"/>
      <c r="I83" s="4" t="n"/>
      <c r="J83" s="4" t="n"/>
      <c r="K83" s="4" t="n"/>
      <c r="L83" s="11">
        <f>IF($D83="","",IF('Объект и должник'!$B$14="","дата принятия заявления не заполнена",IF($D83&lt;'Объект и должник'!$B$14,"до принятия заявления","после принятия заявления")))</f>
        <v/>
      </c>
      <c r="M83" s="13">
        <f>IF($B83="","",IF(AND($E83&gt;0,LOWER($F83)&lt;&gt;"да"),"сумма есть, подписи обеих сторон нет — отдельно обсудите с юристом",IF(AND($G83&lt;&gt;"",$I83=""),"направлено, но подтверждение направления не указано",IF($K83="","отметьте, идёт ли копия в пакет",IF($L83="после принятия заявления","после принятия заявления — возможно текущий платёж (ст. 5), к юристу","")))))</f>
        <v/>
      </c>
    </row>
    <row r="84">
      <c r="A84" s="11">
        <f>IF($B84="","",ROW()-3)</f>
        <v/>
      </c>
      <c r="B84" s="4" t="n"/>
      <c r="C84" s="4" t="n"/>
      <c r="D84" s="6" t="n"/>
      <c r="E84" s="12" t="n"/>
      <c r="F84" s="4" t="n"/>
      <c r="G84" s="6" t="n"/>
      <c r="H84" s="4" t="n"/>
      <c r="I84" s="4" t="n"/>
      <c r="J84" s="4" t="n"/>
      <c r="K84" s="4" t="n"/>
      <c r="L84" s="11">
        <f>IF($D84="","",IF('Объект и должник'!$B$14="","дата принятия заявления не заполнена",IF($D84&lt;'Объект и должник'!$B$14,"до принятия заявления","после принятия заявления")))</f>
        <v/>
      </c>
      <c r="M84" s="13">
        <f>IF($B84="","",IF(AND($E84&gt;0,LOWER($F84)&lt;&gt;"да"),"сумма есть, подписи обеих сторон нет — отдельно обсудите с юристом",IF(AND($G84&lt;&gt;"",$I84=""),"направлено, но подтверждение направления не указано",IF($K84="","отметьте, идёт ли копия в пакет",IF($L84="после принятия заявления","после принятия заявления — возможно текущий платёж (ст. 5), к юристу","")))))</f>
        <v/>
      </c>
    </row>
    <row r="85">
      <c r="A85" s="11">
        <f>IF($B85="","",ROW()-3)</f>
        <v/>
      </c>
      <c r="B85" s="4" t="n"/>
      <c r="C85" s="4" t="n"/>
      <c r="D85" s="6" t="n"/>
      <c r="E85" s="12" t="n"/>
      <c r="F85" s="4" t="n"/>
      <c r="G85" s="6" t="n"/>
      <c r="H85" s="4" t="n"/>
      <c r="I85" s="4" t="n"/>
      <c r="J85" s="4" t="n"/>
      <c r="K85" s="4" t="n"/>
      <c r="L85" s="11">
        <f>IF($D85="","",IF('Объект и должник'!$B$14="","дата принятия заявления не заполнена",IF($D85&lt;'Объект и должник'!$B$14,"до принятия заявления","после принятия заявления")))</f>
        <v/>
      </c>
      <c r="M85" s="13">
        <f>IF($B85="","",IF(AND($E85&gt;0,LOWER($F85)&lt;&gt;"да"),"сумма есть, подписи обеих сторон нет — отдельно обсудите с юристом",IF(AND($G85&lt;&gt;"",$I85=""),"направлено, но подтверждение направления не указано",IF($K85="","отметьте, идёт ли копия в пакет",IF($L85="после принятия заявления","после принятия заявления — возможно текущий платёж (ст. 5), к юристу","")))))</f>
        <v/>
      </c>
    </row>
    <row r="86">
      <c r="A86" s="11">
        <f>IF($B86="","",ROW()-3)</f>
        <v/>
      </c>
      <c r="B86" s="4" t="n"/>
      <c r="C86" s="4" t="n"/>
      <c r="D86" s="6" t="n"/>
      <c r="E86" s="12" t="n"/>
      <c r="F86" s="4" t="n"/>
      <c r="G86" s="6" t="n"/>
      <c r="H86" s="4" t="n"/>
      <c r="I86" s="4" t="n"/>
      <c r="J86" s="4" t="n"/>
      <c r="K86" s="4" t="n"/>
      <c r="L86" s="11">
        <f>IF($D86="","",IF('Объект и должник'!$B$14="","дата принятия заявления не заполнена",IF($D86&lt;'Объект и должник'!$B$14,"до принятия заявления","после принятия заявления")))</f>
        <v/>
      </c>
      <c r="M86" s="13">
        <f>IF($B86="","",IF(AND($E86&gt;0,LOWER($F86)&lt;&gt;"да"),"сумма есть, подписи обеих сторон нет — отдельно обсудите с юристом",IF(AND($G86&lt;&gt;"",$I86=""),"направлено, но подтверждение направления не указано",IF($K86="","отметьте, идёт ли копия в пакет",IF($L86="после принятия заявления","после принятия заявления — возможно текущий платёж (ст. 5), к юристу","")))))</f>
        <v/>
      </c>
    </row>
    <row r="87">
      <c r="A87" s="11">
        <f>IF($B87="","",ROW()-3)</f>
        <v/>
      </c>
      <c r="B87" s="4" t="n"/>
      <c r="C87" s="4" t="n"/>
      <c r="D87" s="6" t="n"/>
      <c r="E87" s="12" t="n"/>
      <c r="F87" s="4" t="n"/>
      <c r="G87" s="6" t="n"/>
      <c r="H87" s="4" t="n"/>
      <c r="I87" s="4" t="n"/>
      <c r="J87" s="4" t="n"/>
      <c r="K87" s="4" t="n"/>
      <c r="L87" s="11">
        <f>IF($D87="","",IF('Объект и должник'!$B$14="","дата принятия заявления не заполнена",IF($D87&lt;'Объект и должник'!$B$14,"до принятия заявления","после принятия заявления")))</f>
        <v/>
      </c>
      <c r="M87" s="13">
        <f>IF($B87="","",IF(AND($E87&gt;0,LOWER($F87)&lt;&gt;"да"),"сумма есть, подписи обеих сторон нет — отдельно обсудите с юристом",IF(AND($G87&lt;&gt;"",$I87=""),"направлено, но подтверждение направления не указано",IF($K87="","отметьте, идёт ли копия в пакет",IF($L87="после принятия заявления","после принятия заявления — возможно текущий платёж (ст. 5), к юристу","")))))</f>
        <v/>
      </c>
    </row>
    <row r="88">
      <c r="A88" s="11">
        <f>IF($B88="","",ROW()-3)</f>
        <v/>
      </c>
      <c r="B88" s="4" t="n"/>
      <c r="C88" s="4" t="n"/>
      <c r="D88" s="6" t="n"/>
      <c r="E88" s="12" t="n"/>
      <c r="F88" s="4" t="n"/>
      <c r="G88" s="6" t="n"/>
      <c r="H88" s="4" t="n"/>
      <c r="I88" s="4" t="n"/>
      <c r="J88" s="4" t="n"/>
      <c r="K88" s="4" t="n"/>
      <c r="L88" s="11">
        <f>IF($D88="","",IF('Объект и должник'!$B$14="","дата принятия заявления не заполнена",IF($D88&lt;'Объект и должник'!$B$14,"до принятия заявления","после принятия заявления")))</f>
        <v/>
      </c>
      <c r="M88" s="13">
        <f>IF($B88="","",IF(AND($E88&gt;0,LOWER($F88)&lt;&gt;"да"),"сумма есть, подписи обеих сторон нет — отдельно обсудите с юристом",IF(AND($G88&lt;&gt;"",$I88=""),"направлено, но подтверждение направления не указано",IF($K88="","отметьте, идёт ли копия в пакет",IF($L88="после принятия заявления","после принятия заявления — возможно текущий платёж (ст. 5), к юристу","")))))</f>
        <v/>
      </c>
    </row>
    <row r="89">
      <c r="A89" s="11">
        <f>IF($B89="","",ROW()-3)</f>
        <v/>
      </c>
      <c r="B89" s="4" t="n"/>
      <c r="C89" s="4" t="n"/>
      <c r="D89" s="6" t="n"/>
      <c r="E89" s="12" t="n"/>
      <c r="F89" s="4" t="n"/>
      <c r="G89" s="6" t="n"/>
      <c r="H89" s="4" t="n"/>
      <c r="I89" s="4" t="n"/>
      <c r="J89" s="4" t="n"/>
      <c r="K89" s="4" t="n"/>
      <c r="L89" s="11">
        <f>IF($D89="","",IF('Объект и должник'!$B$14="","дата принятия заявления не заполнена",IF($D89&lt;'Объект и должник'!$B$14,"до принятия заявления","после принятия заявления")))</f>
        <v/>
      </c>
      <c r="M89" s="13">
        <f>IF($B89="","",IF(AND($E89&gt;0,LOWER($F89)&lt;&gt;"да"),"сумма есть, подписи обеих сторон нет — отдельно обсудите с юристом",IF(AND($G89&lt;&gt;"",$I89=""),"направлено, но подтверждение направления не указано",IF($K89="","отметьте, идёт ли копия в пакет",IF($L89="после принятия заявления","после принятия заявления — возможно текущий платёж (ст. 5), к юристу","")))))</f>
        <v/>
      </c>
    </row>
    <row r="90">
      <c r="A90" s="11">
        <f>IF($B90="","",ROW()-3)</f>
        <v/>
      </c>
      <c r="B90" s="4" t="n"/>
      <c r="C90" s="4" t="n"/>
      <c r="D90" s="6" t="n"/>
      <c r="E90" s="12" t="n"/>
      <c r="F90" s="4" t="n"/>
      <c r="G90" s="6" t="n"/>
      <c r="H90" s="4" t="n"/>
      <c r="I90" s="4" t="n"/>
      <c r="J90" s="4" t="n"/>
      <c r="K90" s="4" t="n"/>
      <c r="L90" s="11">
        <f>IF($D90="","",IF('Объект и должник'!$B$14="","дата принятия заявления не заполнена",IF($D90&lt;'Объект и должник'!$B$14,"до принятия заявления","после принятия заявления")))</f>
        <v/>
      </c>
      <c r="M90" s="13">
        <f>IF($B90="","",IF(AND($E90&gt;0,LOWER($F90)&lt;&gt;"да"),"сумма есть, подписи обеих сторон нет — отдельно обсудите с юристом",IF(AND($G90&lt;&gt;"",$I90=""),"направлено, но подтверждение направления не указано",IF($K90="","отметьте, идёт ли копия в пакет",IF($L90="после принятия заявления","после принятия заявления — возможно текущий платёж (ст. 5), к юристу","")))))</f>
        <v/>
      </c>
    </row>
    <row r="91">
      <c r="A91" s="11">
        <f>IF($B91="","",ROW()-3)</f>
        <v/>
      </c>
      <c r="B91" s="4" t="n"/>
      <c r="C91" s="4" t="n"/>
      <c r="D91" s="6" t="n"/>
      <c r="E91" s="12" t="n"/>
      <c r="F91" s="4" t="n"/>
      <c r="G91" s="6" t="n"/>
      <c r="H91" s="4" t="n"/>
      <c r="I91" s="4" t="n"/>
      <c r="J91" s="4" t="n"/>
      <c r="K91" s="4" t="n"/>
      <c r="L91" s="11">
        <f>IF($D91="","",IF('Объект и должник'!$B$14="","дата принятия заявления не заполнена",IF($D91&lt;'Объект и должник'!$B$14,"до принятия заявления","после принятия заявления")))</f>
        <v/>
      </c>
      <c r="M91" s="13">
        <f>IF($B91="","",IF(AND($E91&gt;0,LOWER($F91)&lt;&gt;"да"),"сумма есть, подписи обеих сторон нет — отдельно обсудите с юристом",IF(AND($G91&lt;&gt;"",$I91=""),"направлено, но подтверждение направления не указано",IF($K91="","отметьте, идёт ли копия в пакет",IF($L91="после принятия заявления","после принятия заявления — возможно текущий платёж (ст. 5), к юристу","")))))</f>
        <v/>
      </c>
    </row>
    <row r="92">
      <c r="A92" s="11">
        <f>IF($B92="","",ROW()-3)</f>
        <v/>
      </c>
      <c r="B92" s="4" t="n"/>
      <c r="C92" s="4" t="n"/>
      <c r="D92" s="6" t="n"/>
      <c r="E92" s="12" t="n"/>
      <c r="F92" s="4" t="n"/>
      <c r="G92" s="6" t="n"/>
      <c r="H92" s="4" t="n"/>
      <c r="I92" s="4" t="n"/>
      <c r="J92" s="4" t="n"/>
      <c r="K92" s="4" t="n"/>
      <c r="L92" s="11">
        <f>IF($D92="","",IF('Объект и должник'!$B$14="","дата принятия заявления не заполнена",IF($D92&lt;'Объект и должник'!$B$14,"до принятия заявления","после принятия заявления")))</f>
        <v/>
      </c>
      <c r="M92" s="13">
        <f>IF($B92="","",IF(AND($E92&gt;0,LOWER($F92)&lt;&gt;"да"),"сумма есть, подписи обеих сторон нет — отдельно обсудите с юристом",IF(AND($G92&lt;&gt;"",$I92=""),"направлено, но подтверждение направления не указано",IF($K92="","отметьте, идёт ли копия в пакет",IF($L92="после принятия заявления","после принятия заявления — возможно текущий платёж (ст. 5), к юристу","")))))</f>
        <v/>
      </c>
    </row>
    <row r="93">
      <c r="A93" s="11">
        <f>IF($B93="","",ROW()-3)</f>
        <v/>
      </c>
      <c r="B93" s="4" t="n"/>
      <c r="C93" s="4" t="n"/>
      <c r="D93" s="6" t="n"/>
      <c r="E93" s="12" t="n"/>
      <c r="F93" s="4" t="n"/>
      <c r="G93" s="6" t="n"/>
      <c r="H93" s="4" t="n"/>
      <c r="I93" s="4" t="n"/>
      <c r="J93" s="4" t="n"/>
      <c r="K93" s="4" t="n"/>
      <c r="L93" s="11">
        <f>IF($D93="","",IF('Объект и должник'!$B$14="","дата принятия заявления не заполнена",IF($D93&lt;'Объект и должник'!$B$14,"до принятия заявления","после принятия заявления")))</f>
        <v/>
      </c>
      <c r="M93" s="13">
        <f>IF($B93="","",IF(AND($E93&gt;0,LOWER($F93)&lt;&gt;"да"),"сумма есть, подписи обеих сторон нет — отдельно обсудите с юристом",IF(AND($G93&lt;&gt;"",$I93=""),"направлено, но подтверждение направления не указано",IF($K93="","отметьте, идёт ли копия в пакет",IF($L93="после принятия заявления","после принятия заявления — возможно текущий платёж (ст. 5), к юристу","")))))</f>
        <v/>
      </c>
    </row>
    <row r="94">
      <c r="A94" s="11">
        <f>IF($B94="","",ROW()-3)</f>
        <v/>
      </c>
      <c r="B94" s="4" t="n"/>
      <c r="C94" s="4" t="n"/>
      <c r="D94" s="6" t="n"/>
      <c r="E94" s="12" t="n"/>
      <c r="F94" s="4" t="n"/>
      <c r="G94" s="6" t="n"/>
      <c r="H94" s="4" t="n"/>
      <c r="I94" s="4" t="n"/>
      <c r="J94" s="4" t="n"/>
      <c r="K94" s="4" t="n"/>
      <c r="L94" s="11">
        <f>IF($D94="","",IF('Объект и должник'!$B$14="","дата принятия заявления не заполнена",IF($D94&lt;'Объект и должник'!$B$14,"до принятия заявления","после принятия заявления")))</f>
        <v/>
      </c>
      <c r="M94" s="13">
        <f>IF($B94="","",IF(AND($E94&gt;0,LOWER($F94)&lt;&gt;"да"),"сумма есть, подписи обеих сторон нет — отдельно обсудите с юристом",IF(AND($G94&lt;&gt;"",$I94=""),"направлено, но подтверждение направления не указано",IF($K94="","отметьте, идёт ли копия в пакет",IF($L94="после принятия заявления","после принятия заявления — возможно текущий платёж (ст. 5), к юристу","")))))</f>
        <v/>
      </c>
    </row>
    <row r="95">
      <c r="A95" s="11">
        <f>IF($B95="","",ROW()-3)</f>
        <v/>
      </c>
      <c r="B95" s="4" t="n"/>
      <c r="C95" s="4" t="n"/>
      <c r="D95" s="6" t="n"/>
      <c r="E95" s="12" t="n"/>
      <c r="F95" s="4" t="n"/>
      <c r="G95" s="6" t="n"/>
      <c r="H95" s="4" t="n"/>
      <c r="I95" s="4" t="n"/>
      <c r="J95" s="4" t="n"/>
      <c r="K95" s="4" t="n"/>
      <c r="L95" s="11">
        <f>IF($D95="","",IF('Объект и должник'!$B$14="","дата принятия заявления не заполнена",IF($D95&lt;'Объект и должник'!$B$14,"до принятия заявления","после принятия заявления")))</f>
        <v/>
      </c>
      <c r="M95" s="13">
        <f>IF($B95="","",IF(AND($E95&gt;0,LOWER($F95)&lt;&gt;"да"),"сумма есть, подписи обеих сторон нет — отдельно обсудите с юристом",IF(AND($G95&lt;&gt;"",$I95=""),"направлено, но подтверждение направления не указано",IF($K95="","отметьте, идёт ли копия в пакет",IF($L95="после принятия заявления","после принятия заявления — возможно текущий платёж (ст. 5), к юристу","")))))</f>
        <v/>
      </c>
    </row>
    <row r="96">
      <c r="A96" s="11">
        <f>IF($B96="","",ROW()-3)</f>
        <v/>
      </c>
      <c r="B96" s="4" t="n"/>
      <c r="C96" s="4" t="n"/>
      <c r="D96" s="6" t="n"/>
      <c r="E96" s="12" t="n"/>
      <c r="F96" s="4" t="n"/>
      <c r="G96" s="6" t="n"/>
      <c r="H96" s="4" t="n"/>
      <c r="I96" s="4" t="n"/>
      <c r="J96" s="4" t="n"/>
      <c r="K96" s="4" t="n"/>
      <c r="L96" s="11">
        <f>IF($D96="","",IF('Объект и должник'!$B$14="","дата принятия заявления не заполнена",IF($D96&lt;'Объект и должник'!$B$14,"до принятия заявления","после принятия заявления")))</f>
        <v/>
      </c>
      <c r="M96" s="13">
        <f>IF($B96="","",IF(AND($E96&gt;0,LOWER($F96)&lt;&gt;"да"),"сумма есть, подписи обеих сторон нет — отдельно обсудите с юристом",IF(AND($G96&lt;&gt;"",$I96=""),"направлено, но подтверждение направления не указано",IF($K96="","отметьте, идёт ли копия в пакет",IF($L96="после принятия заявления","после принятия заявления — возможно текущий платёж (ст. 5), к юристу","")))))</f>
        <v/>
      </c>
    </row>
    <row r="97">
      <c r="A97" s="11">
        <f>IF($B97="","",ROW()-3)</f>
        <v/>
      </c>
      <c r="B97" s="4" t="n"/>
      <c r="C97" s="4" t="n"/>
      <c r="D97" s="6" t="n"/>
      <c r="E97" s="12" t="n"/>
      <c r="F97" s="4" t="n"/>
      <c r="G97" s="6" t="n"/>
      <c r="H97" s="4" t="n"/>
      <c r="I97" s="4" t="n"/>
      <c r="J97" s="4" t="n"/>
      <c r="K97" s="4" t="n"/>
      <c r="L97" s="11">
        <f>IF($D97="","",IF('Объект и должник'!$B$14="","дата принятия заявления не заполнена",IF($D97&lt;'Объект и должник'!$B$14,"до принятия заявления","после принятия заявления")))</f>
        <v/>
      </c>
      <c r="M97" s="13">
        <f>IF($B97="","",IF(AND($E97&gt;0,LOWER($F97)&lt;&gt;"да"),"сумма есть, подписи обеих сторон нет — отдельно обсудите с юристом",IF(AND($G97&lt;&gt;"",$I97=""),"направлено, но подтверждение направления не указано",IF($K97="","отметьте, идёт ли копия в пакет",IF($L97="после принятия заявления","после принятия заявления — возможно текущий платёж (ст. 5), к юристу","")))))</f>
        <v/>
      </c>
    </row>
    <row r="98">
      <c r="A98" s="11">
        <f>IF($B98="","",ROW()-3)</f>
        <v/>
      </c>
      <c r="B98" s="4" t="n"/>
      <c r="C98" s="4" t="n"/>
      <c r="D98" s="6" t="n"/>
      <c r="E98" s="12" t="n"/>
      <c r="F98" s="4" t="n"/>
      <c r="G98" s="6" t="n"/>
      <c r="H98" s="4" t="n"/>
      <c r="I98" s="4" t="n"/>
      <c r="J98" s="4" t="n"/>
      <c r="K98" s="4" t="n"/>
      <c r="L98" s="11">
        <f>IF($D98="","",IF('Объект и должник'!$B$14="","дата принятия заявления не заполнена",IF($D98&lt;'Объект и должник'!$B$14,"до принятия заявления","после принятия заявления")))</f>
        <v/>
      </c>
      <c r="M98" s="13">
        <f>IF($B98="","",IF(AND($E98&gt;0,LOWER($F98)&lt;&gt;"да"),"сумма есть, подписи обеих сторон нет — отдельно обсудите с юристом",IF(AND($G98&lt;&gt;"",$I98=""),"направлено, но подтверждение направления не указано",IF($K98="","отметьте, идёт ли копия в пакет",IF($L98="после принятия заявления","после принятия заявления — возможно текущий платёж (ст. 5), к юристу","")))))</f>
        <v/>
      </c>
    </row>
    <row r="99">
      <c r="A99" s="11">
        <f>IF($B99="","",ROW()-3)</f>
        <v/>
      </c>
      <c r="B99" s="4" t="n"/>
      <c r="C99" s="4" t="n"/>
      <c r="D99" s="6" t="n"/>
      <c r="E99" s="12" t="n"/>
      <c r="F99" s="4" t="n"/>
      <c r="G99" s="6" t="n"/>
      <c r="H99" s="4" t="n"/>
      <c r="I99" s="4" t="n"/>
      <c r="J99" s="4" t="n"/>
      <c r="K99" s="4" t="n"/>
      <c r="L99" s="11">
        <f>IF($D99="","",IF('Объект и должник'!$B$14="","дата принятия заявления не заполнена",IF($D99&lt;'Объект и должник'!$B$14,"до принятия заявления","после принятия заявления")))</f>
        <v/>
      </c>
      <c r="M99" s="13">
        <f>IF($B99="","",IF(AND($E99&gt;0,LOWER($F99)&lt;&gt;"да"),"сумма есть, подписи обеих сторон нет — отдельно обсудите с юристом",IF(AND($G99&lt;&gt;"",$I99=""),"направлено, но подтверждение направления не указано",IF($K99="","отметьте, идёт ли копия в пакет",IF($L99="после принятия заявления","после принятия заявления — возможно текущий платёж (ст. 5), к юристу","")))))</f>
        <v/>
      </c>
    </row>
    <row r="100">
      <c r="A100" s="11">
        <f>IF($B100="","",ROW()-3)</f>
        <v/>
      </c>
      <c r="B100" s="4" t="n"/>
      <c r="C100" s="4" t="n"/>
      <c r="D100" s="6" t="n"/>
      <c r="E100" s="12" t="n"/>
      <c r="F100" s="4" t="n"/>
      <c r="G100" s="6" t="n"/>
      <c r="H100" s="4" t="n"/>
      <c r="I100" s="4" t="n"/>
      <c r="J100" s="4" t="n"/>
      <c r="K100" s="4" t="n"/>
      <c r="L100" s="11">
        <f>IF($D100="","",IF('Объект и должник'!$B$14="","дата принятия заявления не заполнена",IF($D100&lt;'Объект и должник'!$B$14,"до принятия заявления","после принятия заявления")))</f>
        <v/>
      </c>
      <c r="M100" s="13">
        <f>IF($B100="","",IF(AND($E100&gt;0,LOWER($F100)&lt;&gt;"да"),"сумма есть, подписи обеих сторон нет — отдельно обсудите с юристом",IF(AND($G100&lt;&gt;"",$I100=""),"направлено, но подтверждение направления не указано",IF($K100="","отметьте, идёт ли копия в пакет",IF($L100="после принятия заявления","после принятия заявления — возможно текущий платёж (ст. 5), к юристу","")))))</f>
        <v/>
      </c>
    </row>
    <row r="101">
      <c r="A101" s="11">
        <f>IF($B101="","",ROW()-3)</f>
        <v/>
      </c>
      <c r="B101" s="4" t="n"/>
      <c r="C101" s="4" t="n"/>
      <c r="D101" s="6" t="n"/>
      <c r="E101" s="12" t="n"/>
      <c r="F101" s="4" t="n"/>
      <c r="G101" s="6" t="n"/>
      <c r="H101" s="4" t="n"/>
      <c r="I101" s="4" t="n"/>
      <c r="J101" s="4" t="n"/>
      <c r="K101" s="4" t="n"/>
      <c r="L101" s="11">
        <f>IF($D101="","",IF('Объект и должник'!$B$14="","дата принятия заявления не заполнена",IF($D101&lt;'Объект и должник'!$B$14,"до принятия заявления","после принятия заявления")))</f>
        <v/>
      </c>
      <c r="M101" s="13">
        <f>IF($B101="","",IF(AND($E101&gt;0,LOWER($F101)&lt;&gt;"да"),"сумма есть, подписи обеих сторон нет — отдельно обсудите с юристом",IF(AND($G101&lt;&gt;"",$I101=""),"направлено, но подтверждение направления не указано",IF($K101="","отметьте, идёт ли копия в пакет",IF($L101="после принятия заявления","после принятия заявления — возможно текущий платёж (ст. 5), к юристу","")))))</f>
        <v/>
      </c>
    </row>
    <row r="102">
      <c r="A102" s="11">
        <f>IF($B102="","",ROW()-3)</f>
        <v/>
      </c>
      <c r="B102" s="4" t="n"/>
      <c r="C102" s="4" t="n"/>
      <c r="D102" s="6" t="n"/>
      <c r="E102" s="12" t="n"/>
      <c r="F102" s="4" t="n"/>
      <c r="G102" s="6" t="n"/>
      <c r="H102" s="4" t="n"/>
      <c r="I102" s="4" t="n"/>
      <c r="J102" s="4" t="n"/>
      <c r="K102" s="4" t="n"/>
      <c r="L102" s="11">
        <f>IF($D102="","",IF('Объект и должник'!$B$14="","дата принятия заявления не заполнена",IF($D102&lt;'Объект и должник'!$B$14,"до принятия заявления","после принятия заявления")))</f>
        <v/>
      </c>
      <c r="M102" s="13">
        <f>IF($B102="","",IF(AND($E102&gt;0,LOWER($F102)&lt;&gt;"да"),"сумма есть, подписи обеих сторон нет — отдельно обсудите с юристом",IF(AND($G102&lt;&gt;"",$I102=""),"направлено, но подтверждение направления не указано",IF($K102="","отметьте, идёт ли копия в пакет",IF($L102="после принятия заявления","после принятия заявления — возможно текущий платёж (ст. 5), к юристу","")))))</f>
        <v/>
      </c>
    </row>
    <row r="103">
      <c r="A103" s="11">
        <f>IF($B103="","",ROW()-3)</f>
        <v/>
      </c>
      <c r="B103" s="4" t="n"/>
      <c r="C103" s="4" t="n"/>
      <c r="D103" s="6" t="n"/>
      <c r="E103" s="12" t="n"/>
      <c r="F103" s="4" t="n"/>
      <c r="G103" s="6" t="n"/>
      <c r="H103" s="4" t="n"/>
      <c r="I103" s="4" t="n"/>
      <c r="J103" s="4" t="n"/>
      <c r="K103" s="4" t="n"/>
      <c r="L103" s="11">
        <f>IF($D103="","",IF('Объект и должник'!$B$14="","дата принятия заявления не заполнена",IF($D103&lt;'Объект и должник'!$B$14,"до принятия заявления","после принятия заявления")))</f>
        <v/>
      </c>
      <c r="M103" s="13">
        <f>IF($B103="","",IF(AND($E103&gt;0,LOWER($F103)&lt;&gt;"да"),"сумма есть, подписи обеих сторон нет — отдельно обсудите с юристом",IF(AND($G103&lt;&gt;"",$I103=""),"направлено, но подтверждение направления не указано",IF($K103="","отметьте, идёт ли копия в пакет",IF($L103="после принятия заявления","после принятия заявления — возможно текущий платёж (ст. 5), к юристу","")))))</f>
        <v/>
      </c>
    </row>
    <row r="104">
      <c r="A104" s="11">
        <f>IF($B104="","",ROW()-3)</f>
        <v/>
      </c>
      <c r="B104" s="4" t="n"/>
      <c r="C104" s="4" t="n"/>
      <c r="D104" s="6" t="n"/>
      <c r="E104" s="12" t="n"/>
      <c r="F104" s="4" t="n"/>
      <c r="G104" s="6" t="n"/>
      <c r="H104" s="4" t="n"/>
      <c r="I104" s="4" t="n"/>
      <c r="J104" s="4" t="n"/>
      <c r="K104" s="4" t="n"/>
      <c r="L104" s="11">
        <f>IF($D104="","",IF('Объект и должник'!$B$14="","дата принятия заявления не заполнена",IF($D104&lt;'Объект и должник'!$B$14,"до принятия заявления","после принятия заявления")))</f>
        <v/>
      </c>
      <c r="M104" s="13">
        <f>IF($B104="","",IF(AND($E104&gt;0,LOWER($F104)&lt;&gt;"да"),"сумма есть, подписи обеих сторон нет — отдельно обсудите с юристом",IF(AND($G104&lt;&gt;"",$I104=""),"направлено, но подтверждение направления не указано",IF($K104="","отметьте, идёт ли копия в пакет",IF($L104="после принятия заявления","после принятия заявления — возможно текущий платёж (ст. 5), к юристу","")))))</f>
        <v/>
      </c>
    </row>
    <row r="105">
      <c r="A105" s="11">
        <f>IF($B105="","",ROW()-3)</f>
        <v/>
      </c>
      <c r="B105" s="4" t="n"/>
      <c r="C105" s="4" t="n"/>
      <c r="D105" s="6" t="n"/>
      <c r="E105" s="12" t="n"/>
      <c r="F105" s="4" t="n"/>
      <c r="G105" s="6" t="n"/>
      <c r="H105" s="4" t="n"/>
      <c r="I105" s="4" t="n"/>
      <c r="J105" s="4" t="n"/>
      <c r="K105" s="4" t="n"/>
      <c r="L105" s="11">
        <f>IF($D105="","",IF('Объект и должник'!$B$14="","дата принятия заявления не заполнена",IF($D105&lt;'Объект и должник'!$B$14,"до принятия заявления","после принятия заявления")))</f>
        <v/>
      </c>
      <c r="M105" s="13">
        <f>IF($B105="","",IF(AND($E105&gt;0,LOWER($F105)&lt;&gt;"да"),"сумма есть, подписи обеих сторон нет — отдельно обсудите с юристом",IF(AND($G105&lt;&gt;"",$I105=""),"направлено, но подтверждение направления не указано",IF($K105="","отметьте, идёт ли копия в пакет",IF($L105="после принятия заявления","после принятия заявления — возможно текущий платёж (ст. 5), к юристу","")))))</f>
        <v/>
      </c>
    </row>
    <row r="106">
      <c r="A106" s="11">
        <f>IF($B106="","",ROW()-3)</f>
        <v/>
      </c>
      <c r="B106" s="4" t="n"/>
      <c r="C106" s="4" t="n"/>
      <c r="D106" s="6" t="n"/>
      <c r="E106" s="12" t="n"/>
      <c r="F106" s="4" t="n"/>
      <c r="G106" s="6" t="n"/>
      <c r="H106" s="4" t="n"/>
      <c r="I106" s="4" t="n"/>
      <c r="J106" s="4" t="n"/>
      <c r="K106" s="4" t="n"/>
      <c r="L106" s="11">
        <f>IF($D106="","",IF('Объект и должник'!$B$14="","дата принятия заявления не заполнена",IF($D106&lt;'Объект и должник'!$B$14,"до принятия заявления","после принятия заявления")))</f>
        <v/>
      </c>
      <c r="M106" s="13">
        <f>IF($B106="","",IF(AND($E106&gt;0,LOWER($F106)&lt;&gt;"да"),"сумма есть, подписи обеих сторон нет — отдельно обсудите с юристом",IF(AND($G106&lt;&gt;"",$I106=""),"направлено, но подтверждение направления не указано",IF($K106="","отметьте, идёт ли копия в пакет",IF($L106="после принятия заявления","после принятия заявления — возможно текущий платёж (ст. 5), к юристу","")))))</f>
        <v/>
      </c>
    </row>
    <row r="107">
      <c r="A107" s="11">
        <f>IF($B107="","",ROW()-3)</f>
        <v/>
      </c>
      <c r="B107" s="4" t="n"/>
      <c r="C107" s="4" t="n"/>
      <c r="D107" s="6" t="n"/>
      <c r="E107" s="12" t="n"/>
      <c r="F107" s="4" t="n"/>
      <c r="G107" s="6" t="n"/>
      <c r="H107" s="4" t="n"/>
      <c r="I107" s="4" t="n"/>
      <c r="J107" s="4" t="n"/>
      <c r="K107" s="4" t="n"/>
      <c r="L107" s="11">
        <f>IF($D107="","",IF('Объект и должник'!$B$14="","дата принятия заявления не заполнена",IF($D107&lt;'Объект и должник'!$B$14,"до принятия заявления","после принятия заявления")))</f>
        <v/>
      </c>
      <c r="M107" s="13">
        <f>IF($B107="","",IF(AND($E107&gt;0,LOWER($F107)&lt;&gt;"да"),"сумма есть, подписи обеих сторон нет — отдельно обсудите с юристом",IF(AND($G107&lt;&gt;"",$I107=""),"направлено, но подтверждение направления не указано",IF($K107="","отметьте, идёт ли копия в пакет",IF($L107="после принятия заявления","после принятия заявления — возможно текущий платёж (ст. 5), к юристу","")))))</f>
        <v/>
      </c>
    </row>
    <row r="108">
      <c r="A108" s="11">
        <f>IF($B108="","",ROW()-3)</f>
        <v/>
      </c>
      <c r="B108" s="4" t="n"/>
      <c r="C108" s="4" t="n"/>
      <c r="D108" s="6" t="n"/>
      <c r="E108" s="12" t="n"/>
      <c r="F108" s="4" t="n"/>
      <c r="G108" s="6" t="n"/>
      <c r="H108" s="4" t="n"/>
      <c r="I108" s="4" t="n"/>
      <c r="J108" s="4" t="n"/>
      <c r="K108" s="4" t="n"/>
      <c r="L108" s="11">
        <f>IF($D108="","",IF('Объект и должник'!$B$14="","дата принятия заявления не заполнена",IF($D108&lt;'Объект и должник'!$B$14,"до принятия заявления","после принятия заявления")))</f>
        <v/>
      </c>
      <c r="M108" s="13">
        <f>IF($B108="","",IF(AND($E108&gt;0,LOWER($F108)&lt;&gt;"да"),"сумма есть, подписи обеих сторон нет — отдельно обсудите с юристом",IF(AND($G108&lt;&gt;"",$I108=""),"направлено, но подтверждение направления не указано",IF($K108="","отметьте, идёт ли копия в пакет",IF($L108="после принятия заявления","после принятия заявления — возможно текущий платёж (ст. 5), к юристу","")))))</f>
        <v/>
      </c>
    </row>
    <row r="109">
      <c r="A109" s="11">
        <f>IF($B109="","",ROW()-3)</f>
        <v/>
      </c>
      <c r="B109" s="4" t="n"/>
      <c r="C109" s="4" t="n"/>
      <c r="D109" s="6" t="n"/>
      <c r="E109" s="12" t="n"/>
      <c r="F109" s="4" t="n"/>
      <c r="G109" s="6" t="n"/>
      <c r="H109" s="4" t="n"/>
      <c r="I109" s="4" t="n"/>
      <c r="J109" s="4" t="n"/>
      <c r="K109" s="4" t="n"/>
      <c r="L109" s="11">
        <f>IF($D109="","",IF('Объект и должник'!$B$14="","дата принятия заявления не заполнена",IF($D109&lt;'Объект и должник'!$B$14,"до принятия заявления","после принятия заявления")))</f>
        <v/>
      </c>
      <c r="M109" s="13">
        <f>IF($B109="","",IF(AND($E109&gt;0,LOWER($F109)&lt;&gt;"да"),"сумма есть, подписи обеих сторон нет — отдельно обсудите с юристом",IF(AND($G109&lt;&gt;"",$I109=""),"направлено, но подтверждение направления не указано",IF($K109="","отметьте, идёт ли копия в пакет",IF($L109="после принятия заявления","после принятия заявления — возможно текущий платёж (ст. 5), к юристу","")))))</f>
        <v/>
      </c>
    </row>
    <row r="110">
      <c r="A110" s="11">
        <f>IF($B110="","",ROW()-3)</f>
        <v/>
      </c>
      <c r="B110" s="4" t="n"/>
      <c r="C110" s="4" t="n"/>
      <c r="D110" s="6" t="n"/>
      <c r="E110" s="12" t="n"/>
      <c r="F110" s="4" t="n"/>
      <c r="G110" s="6" t="n"/>
      <c r="H110" s="4" t="n"/>
      <c r="I110" s="4" t="n"/>
      <c r="J110" s="4" t="n"/>
      <c r="K110" s="4" t="n"/>
      <c r="L110" s="11">
        <f>IF($D110="","",IF('Объект и должник'!$B$14="","дата принятия заявления не заполнена",IF($D110&lt;'Объект и должник'!$B$14,"до принятия заявления","после принятия заявления")))</f>
        <v/>
      </c>
      <c r="M110" s="13">
        <f>IF($B110="","",IF(AND($E110&gt;0,LOWER($F110)&lt;&gt;"да"),"сумма есть, подписи обеих сторон нет — отдельно обсудите с юристом",IF(AND($G110&lt;&gt;"",$I110=""),"направлено, но подтверждение направления не указано",IF($K110="","отметьте, идёт ли копия в пакет",IF($L110="после принятия заявления","после принятия заявления — возможно текущий платёж (ст. 5), к юристу","")))))</f>
        <v/>
      </c>
    </row>
    <row r="111">
      <c r="A111" s="11">
        <f>IF($B111="","",ROW()-3)</f>
        <v/>
      </c>
      <c r="B111" s="4" t="n"/>
      <c r="C111" s="4" t="n"/>
      <c r="D111" s="6" t="n"/>
      <c r="E111" s="12" t="n"/>
      <c r="F111" s="4" t="n"/>
      <c r="G111" s="6" t="n"/>
      <c r="H111" s="4" t="n"/>
      <c r="I111" s="4" t="n"/>
      <c r="J111" s="4" t="n"/>
      <c r="K111" s="4" t="n"/>
      <c r="L111" s="11">
        <f>IF($D111="","",IF('Объект и должник'!$B$14="","дата принятия заявления не заполнена",IF($D111&lt;'Объект и должник'!$B$14,"до принятия заявления","после принятия заявления")))</f>
        <v/>
      </c>
      <c r="M111" s="13">
        <f>IF($B111="","",IF(AND($E111&gt;0,LOWER($F111)&lt;&gt;"да"),"сумма есть, подписи обеих сторон нет — отдельно обсудите с юристом",IF(AND($G111&lt;&gt;"",$I111=""),"направлено, но подтверждение направления не указано",IF($K111="","отметьте, идёт ли копия в пакет",IF($L111="после принятия заявления","после принятия заявления — возможно текущий платёж (ст. 5), к юристу","")))))</f>
        <v/>
      </c>
    </row>
    <row r="112">
      <c r="A112" s="11">
        <f>IF($B112="","",ROW()-3)</f>
        <v/>
      </c>
      <c r="B112" s="4" t="n"/>
      <c r="C112" s="4" t="n"/>
      <c r="D112" s="6" t="n"/>
      <c r="E112" s="12" t="n"/>
      <c r="F112" s="4" t="n"/>
      <c r="G112" s="6" t="n"/>
      <c r="H112" s="4" t="n"/>
      <c r="I112" s="4" t="n"/>
      <c r="J112" s="4" t="n"/>
      <c r="K112" s="4" t="n"/>
      <c r="L112" s="11">
        <f>IF($D112="","",IF('Объект и должник'!$B$14="","дата принятия заявления не заполнена",IF($D112&lt;'Объект и должник'!$B$14,"до принятия заявления","после принятия заявления")))</f>
        <v/>
      </c>
      <c r="M112" s="13">
        <f>IF($B112="","",IF(AND($E112&gt;0,LOWER($F112)&lt;&gt;"да"),"сумма есть, подписи обеих сторон нет — отдельно обсудите с юристом",IF(AND($G112&lt;&gt;"",$I112=""),"направлено, но подтверждение направления не указано",IF($K112="","отметьте, идёт ли копия в пакет",IF($L112="после принятия заявления","после принятия заявления — возможно текущий платёж (ст. 5), к юристу","")))))</f>
        <v/>
      </c>
    </row>
    <row r="113">
      <c r="A113" s="11">
        <f>IF($B113="","",ROW()-3)</f>
        <v/>
      </c>
      <c r="B113" s="4" t="n"/>
      <c r="C113" s="4" t="n"/>
      <c r="D113" s="6" t="n"/>
      <c r="E113" s="12" t="n"/>
      <c r="F113" s="4" t="n"/>
      <c r="G113" s="6" t="n"/>
      <c r="H113" s="4" t="n"/>
      <c r="I113" s="4" t="n"/>
      <c r="J113" s="4" t="n"/>
      <c r="K113" s="4" t="n"/>
      <c r="L113" s="11">
        <f>IF($D113="","",IF('Объект и должник'!$B$14="","дата принятия заявления не заполнена",IF($D113&lt;'Объект и должник'!$B$14,"до принятия заявления","после принятия заявления")))</f>
        <v/>
      </c>
      <c r="M113" s="13">
        <f>IF($B113="","",IF(AND($E113&gt;0,LOWER($F113)&lt;&gt;"да"),"сумма есть, подписи обеих сторон нет — отдельно обсудите с юристом",IF(AND($G113&lt;&gt;"",$I113=""),"направлено, но подтверждение направления не указано",IF($K113="","отметьте, идёт ли копия в пакет",IF($L113="после принятия заявления","после принятия заявления — возможно текущий платёж (ст. 5), к юристу","")))))</f>
        <v/>
      </c>
    </row>
    <row r="114">
      <c r="A114" s="11">
        <f>IF($B114="","",ROW()-3)</f>
        <v/>
      </c>
      <c r="B114" s="4" t="n"/>
      <c r="C114" s="4" t="n"/>
      <c r="D114" s="6" t="n"/>
      <c r="E114" s="12" t="n"/>
      <c r="F114" s="4" t="n"/>
      <c r="G114" s="6" t="n"/>
      <c r="H114" s="4" t="n"/>
      <c r="I114" s="4" t="n"/>
      <c r="J114" s="4" t="n"/>
      <c r="K114" s="4" t="n"/>
      <c r="L114" s="11">
        <f>IF($D114="","",IF('Объект и должник'!$B$14="","дата принятия заявления не заполнена",IF($D114&lt;'Объект и должник'!$B$14,"до принятия заявления","после принятия заявления")))</f>
        <v/>
      </c>
      <c r="M114" s="13">
        <f>IF($B114="","",IF(AND($E114&gt;0,LOWER($F114)&lt;&gt;"да"),"сумма есть, подписи обеих сторон нет — отдельно обсудите с юристом",IF(AND($G114&lt;&gt;"",$I114=""),"направлено, но подтверждение направления не указано",IF($K114="","отметьте, идёт ли копия в пакет",IF($L114="после принятия заявления","после принятия заявления — возможно текущий платёж (ст. 5), к юристу","")))))</f>
        <v/>
      </c>
    </row>
    <row r="115">
      <c r="A115" s="11">
        <f>IF($B115="","",ROW()-3)</f>
        <v/>
      </c>
      <c r="B115" s="4" t="n"/>
      <c r="C115" s="4" t="n"/>
      <c r="D115" s="6" t="n"/>
      <c r="E115" s="12" t="n"/>
      <c r="F115" s="4" t="n"/>
      <c r="G115" s="6" t="n"/>
      <c r="H115" s="4" t="n"/>
      <c r="I115" s="4" t="n"/>
      <c r="J115" s="4" t="n"/>
      <c r="K115" s="4" t="n"/>
      <c r="L115" s="11">
        <f>IF($D115="","",IF('Объект и должник'!$B$14="","дата принятия заявления не заполнена",IF($D115&lt;'Объект и должник'!$B$14,"до принятия заявления","после принятия заявления")))</f>
        <v/>
      </c>
      <c r="M115" s="13">
        <f>IF($B115="","",IF(AND($E115&gt;0,LOWER($F115)&lt;&gt;"да"),"сумма есть, подписи обеих сторон нет — отдельно обсудите с юристом",IF(AND($G115&lt;&gt;"",$I115=""),"направлено, но подтверждение направления не указано",IF($K115="","отметьте, идёт ли копия в пакет",IF($L115="после принятия заявления","после принятия заявления — возможно текущий платёж (ст. 5), к юристу","")))))</f>
        <v/>
      </c>
    </row>
    <row r="116">
      <c r="A116" s="11">
        <f>IF($B116="","",ROW()-3)</f>
        <v/>
      </c>
      <c r="B116" s="4" t="n"/>
      <c r="C116" s="4" t="n"/>
      <c r="D116" s="6" t="n"/>
      <c r="E116" s="12" t="n"/>
      <c r="F116" s="4" t="n"/>
      <c r="G116" s="6" t="n"/>
      <c r="H116" s="4" t="n"/>
      <c r="I116" s="4" t="n"/>
      <c r="J116" s="4" t="n"/>
      <c r="K116" s="4" t="n"/>
      <c r="L116" s="11">
        <f>IF($D116="","",IF('Объект и должник'!$B$14="","дата принятия заявления не заполнена",IF($D116&lt;'Объект и должник'!$B$14,"до принятия заявления","после принятия заявления")))</f>
        <v/>
      </c>
      <c r="M116" s="13">
        <f>IF($B116="","",IF(AND($E116&gt;0,LOWER($F116)&lt;&gt;"да"),"сумма есть, подписи обеих сторон нет — отдельно обсудите с юристом",IF(AND($G116&lt;&gt;"",$I116=""),"направлено, но подтверждение направления не указано",IF($K116="","отметьте, идёт ли копия в пакет",IF($L116="после принятия заявления","после принятия заявления — возможно текущий платёж (ст. 5), к юристу","")))))</f>
        <v/>
      </c>
    </row>
    <row r="117">
      <c r="A117" s="11">
        <f>IF($B117="","",ROW()-3)</f>
        <v/>
      </c>
      <c r="B117" s="4" t="n"/>
      <c r="C117" s="4" t="n"/>
      <c r="D117" s="6" t="n"/>
      <c r="E117" s="12" t="n"/>
      <c r="F117" s="4" t="n"/>
      <c r="G117" s="6" t="n"/>
      <c r="H117" s="4" t="n"/>
      <c r="I117" s="4" t="n"/>
      <c r="J117" s="4" t="n"/>
      <c r="K117" s="4" t="n"/>
      <c r="L117" s="11">
        <f>IF($D117="","",IF('Объект и должник'!$B$14="","дата принятия заявления не заполнена",IF($D117&lt;'Объект и должник'!$B$14,"до принятия заявления","после принятия заявления")))</f>
        <v/>
      </c>
      <c r="M117" s="13">
        <f>IF($B117="","",IF(AND($E117&gt;0,LOWER($F117)&lt;&gt;"да"),"сумма есть, подписи обеих сторон нет — отдельно обсудите с юристом",IF(AND($G117&lt;&gt;"",$I117=""),"направлено, но подтверждение направления не указано",IF($K117="","отметьте, идёт ли копия в пакет",IF($L117="после принятия заявления","после принятия заявления — возможно текущий платёж (ст. 5), к юристу","")))))</f>
        <v/>
      </c>
    </row>
    <row r="118">
      <c r="A118" s="11">
        <f>IF($B118="","",ROW()-3)</f>
        <v/>
      </c>
      <c r="B118" s="4" t="n"/>
      <c r="C118" s="4" t="n"/>
      <c r="D118" s="6" t="n"/>
      <c r="E118" s="12" t="n"/>
      <c r="F118" s="4" t="n"/>
      <c r="G118" s="6" t="n"/>
      <c r="H118" s="4" t="n"/>
      <c r="I118" s="4" t="n"/>
      <c r="J118" s="4" t="n"/>
      <c r="K118" s="4" t="n"/>
      <c r="L118" s="11">
        <f>IF($D118="","",IF('Объект и должник'!$B$14="","дата принятия заявления не заполнена",IF($D118&lt;'Объект и должник'!$B$14,"до принятия заявления","после принятия заявления")))</f>
        <v/>
      </c>
      <c r="M118" s="13">
        <f>IF($B118="","",IF(AND($E118&gt;0,LOWER($F118)&lt;&gt;"да"),"сумма есть, подписи обеих сторон нет — отдельно обсудите с юристом",IF(AND($G118&lt;&gt;"",$I118=""),"направлено, но подтверждение направления не указано",IF($K118="","отметьте, идёт ли копия в пакет",IF($L118="после принятия заявления","после принятия заявления — возможно текущий платёж (ст. 5), к юристу","")))))</f>
        <v/>
      </c>
    </row>
    <row r="119">
      <c r="A119" s="11">
        <f>IF($B119="","",ROW()-3)</f>
        <v/>
      </c>
      <c r="B119" s="4" t="n"/>
      <c r="C119" s="4" t="n"/>
      <c r="D119" s="6" t="n"/>
      <c r="E119" s="12" t="n"/>
      <c r="F119" s="4" t="n"/>
      <c r="G119" s="6" t="n"/>
      <c r="H119" s="4" t="n"/>
      <c r="I119" s="4" t="n"/>
      <c r="J119" s="4" t="n"/>
      <c r="K119" s="4" t="n"/>
      <c r="L119" s="11">
        <f>IF($D119="","",IF('Объект и должник'!$B$14="","дата принятия заявления не заполнена",IF($D119&lt;'Объект и должник'!$B$14,"до принятия заявления","после принятия заявления")))</f>
        <v/>
      </c>
      <c r="M119" s="13">
        <f>IF($B119="","",IF(AND($E119&gt;0,LOWER($F119)&lt;&gt;"да"),"сумма есть, подписи обеих сторон нет — отдельно обсудите с юристом",IF(AND($G119&lt;&gt;"",$I119=""),"направлено, но подтверждение направления не указано",IF($K119="","отметьте, идёт ли копия в пакет",IF($L119="после принятия заявления","после принятия заявления — возможно текущий платёж (ст. 5), к юристу","")))))</f>
        <v/>
      </c>
    </row>
    <row r="120">
      <c r="A120" s="11">
        <f>IF($B120="","",ROW()-3)</f>
        <v/>
      </c>
      <c r="B120" s="4" t="n"/>
      <c r="C120" s="4" t="n"/>
      <c r="D120" s="6" t="n"/>
      <c r="E120" s="12" t="n"/>
      <c r="F120" s="4" t="n"/>
      <c r="G120" s="6" t="n"/>
      <c r="H120" s="4" t="n"/>
      <c r="I120" s="4" t="n"/>
      <c r="J120" s="4" t="n"/>
      <c r="K120" s="4" t="n"/>
      <c r="L120" s="11">
        <f>IF($D120="","",IF('Объект и должник'!$B$14="","дата принятия заявления не заполнена",IF($D120&lt;'Объект и должник'!$B$14,"до принятия заявления","после принятия заявления")))</f>
        <v/>
      </c>
      <c r="M120" s="13">
        <f>IF($B120="","",IF(AND($E120&gt;0,LOWER($F120)&lt;&gt;"да"),"сумма есть, подписи обеих сторон нет — отдельно обсудите с юристом",IF(AND($G120&lt;&gt;"",$I120=""),"направлено, но подтверждение направления не указано",IF($K120="","отметьте, идёт ли копия в пакет",IF($L120="после принятия заявления","после принятия заявления — возможно текущий платёж (ст. 5), к юристу","")))))</f>
        <v/>
      </c>
    </row>
    <row r="121">
      <c r="A121" s="11">
        <f>IF($B121="","",ROW()-3)</f>
        <v/>
      </c>
      <c r="B121" s="4" t="n"/>
      <c r="C121" s="4" t="n"/>
      <c r="D121" s="6" t="n"/>
      <c r="E121" s="12" t="n"/>
      <c r="F121" s="4" t="n"/>
      <c r="G121" s="6" t="n"/>
      <c r="H121" s="4" t="n"/>
      <c r="I121" s="4" t="n"/>
      <c r="J121" s="4" t="n"/>
      <c r="K121" s="4" t="n"/>
      <c r="L121" s="11">
        <f>IF($D121="","",IF('Объект и должник'!$B$14="","дата принятия заявления не заполнена",IF($D121&lt;'Объект и должник'!$B$14,"до принятия заявления","после принятия заявления")))</f>
        <v/>
      </c>
      <c r="M121" s="13">
        <f>IF($B121="","",IF(AND($E121&gt;0,LOWER($F121)&lt;&gt;"да"),"сумма есть, подписи обеих сторон нет — отдельно обсудите с юристом",IF(AND($G121&lt;&gt;"",$I121=""),"направлено, но подтверждение направления не указано",IF($K121="","отметьте, идёт ли копия в пакет",IF($L121="после принятия заявления","после принятия заявления — возможно текущий платёж (ст. 5), к юристу","")))))</f>
        <v/>
      </c>
    </row>
    <row r="122">
      <c r="A122" s="11">
        <f>IF($B122="","",ROW()-3)</f>
        <v/>
      </c>
      <c r="B122" s="4" t="n"/>
      <c r="C122" s="4" t="n"/>
      <c r="D122" s="6" t="n"/>
      <c r="E122" s="12" t="n"/>
      <c r="F122" s="4" t="n"/>
      <c r="G122" s="6" t="n"/>
      <c r="H122" s="4" t="n"/>
      <c r="I122" s="4" t="n"/>
      <c r="J122" s="4" t="n"/>
      <c r="K122" s="4" t="n"/>
      <c r="L122" s="11">
        <f>IF($D122="","",IF('Объект и должник'!$B$14="","дата принятия заявления не заполнена",IF($D122&lt;'Объект и должник'!$B$14,"до принятия заявления","после принятия заявления")))</f>
        <v/>
      </c>
      <c r="M122" s="13">
        <f>IF($B122="","",IF(AND($E122&gt;0,LOWER($F122)&lt;&gt;"да"),"сумма есть, подписи обеих сторон нет — отдельно обсудите с юристом",IF(AND($G122&lt;&gt;"",$I122=""),"направлено, но подтверждение направления не указано",IF($K122="","отметьте, идёт ли копия в пакет",IF($L122="после принятия заявления","после принятия заявления — возможно текущий платёж (ст. 5), к юристу","")))))</f>
        <v/>
      </c>
    </row>
    <row r="123">
      <c r="A123" s="11">
        <f>IF($B123="","",ROW()-3)</f>
        <v/>
      </c>
      <c r="B123" s="4" t="n"/>
      <c r="C123" s="4" t="n"/>
      <c r="D123" s="6" t="n"/>
      <c r="E123" s="12" t="n"/>
      <c r="F123" s="4" t="n"/>
      <c r="G123" s="6" t="n"/>
      <c r="H123" s="4" t="n"/>
      <c r="I123" s="4" t="n"/>
      <c r="J123" s="4" t="n"/>
      <c r="K123" s="4" t="n"/>
      <c r="L123" s="11">
        <f>IF($D123="","",IF('Объект и должник'!$B$14="","дата принятия заявления не заполнена",IF($D123&lt;'Объект и должник'!$B$14,"до принятия заявления","после принятия заявления")))</f>
        <v/>
      </c>
      <c r="M123" s="13">
        <f>IF($B123="","",IF(AND($E123&gt;0,LOWER($F123)&lt;&gt;"да"),"сумма есть, подписи обеих сторон нет — отдельно обсудите с юристом",IF(AND($G123&lt;&gt;"",$I123=""),"направлено, но подтверждение направления не указано",IF($K123="","отметьте, идёт ли копия в пакет",IF($L123="после принятия заявления","после принятия заявления — возможно текущий платёж (ст. 5), к юристу","")))))</f>
        <v/>
      </c>
    </row>
    <row r="124">
      <c r="A124" s="11">
        <f>IF($B124="","",ROW()-3)</f>
        <v/>
      </c>
      <c r="B124" s="4" t="n"/>
      <c r="C124" s="4" t="n"/>
      <c r="D124" s="6" t="n"/>
      <c r="E124" s="12" t="n"/>
      <c r="F124" s="4" t="n"/>
      <c r="G124" s="6" t="n"/>
      <c r="H124" s="4" t="n"/>
      <c r="I124" s="4" t="n"/>
      <c r="J124" s="4" t="n"/>
      <c r="K124" s="4" t="n"/>
      <c r="L124" s="11">
        <f>IF($D124="","",IF('Объект и должник'!$B$14="","дата принятия заявления не заполнена",IF($D124&lt;'Объект и должник'!$B$14,"до принятия заявления","после принятия заявления")))</f>
        <v/>
      </c>
      <c r="M124" s="13">
        <f>IF($B124="","",IF(AND($E124&gt;0,LOWER($F124)&lt;&gt;"да"),"сумма есть, подписи обеих сторон нет — отдельно обсудите с юристом",IF(AND($G124&lt;&gt;"",$I124=""),"направлено, но подтверждение направления не указано",IF($K124="","отметьте, идёт ли копия в пакет",IF($L124="после принятия заявления","после принятия заявления — возможно текущий платёж (ст. 5), к юристу","")))))</f>
        <v/>
      </c>
    </row>
    <row r="125">
      <c r="A125" s="11">
        <f>IF($B125="","",ROW()-3)</f>
        <v/>
      </c>
      <c r="B125" s="4" t="n"/>
      <c r="C125" s="4" t="n"/>
      <c r="D125" s="6" t="n"/>
      <c r="E125" s="12" t="n"/>
      <c r="F125" s="4" t="n"/>
      <c r="G125" s="6" t="n"/>
      <c r="H125" s="4" t="n"/>
      <c r="I125" s="4" t="n"/>
      <c r="J125" s="4" t="n"/>
      <c r="K125" s="4" t="n"/>
      <c r="L125" s="11">
        <f>IF($D125="","",IF('Объект и должник'!$B$14="","дата принятия заявления не заполнена",IF($D125&lt;'Объект и должник'!$B$14,"до принятия заявления","после принятия заявления")))</f>
        <v/>
      </c>
      <c r="M125" s="13">
        <f>IF($B125="","",IF(AND($E125&gt;0,LOWER($F125)&lt;&gt;"да"),"сумма есть, подписи обеих сторон нет — отдельно обсудите с юристом",IF(AND($G125&lt;&gt;"",$I125=""),"направлено, но подтверждение направления не указано",IF($K125="","отметьте, идёт ли копия в пакет",IF($L125="после принятия заявления","после принятия заявления — возможно текущий платёж (ст. 5), к юристу","")))))</f>
        <v/>
      </c>
    </row>
    <row r="126">
      <c r="A126" s="11">
        <f>IF($B126="","",ROW()-3)</f>
        <v/>
      </c>
      <c r="B126" s="4" t="n"/>
      <c r="C126" s="4" t="n"/>
      <c r="D126" s="6" t="n"/>
      <c r="E126" s="12" t="n"/>
      <c r="F126" s="4" t="n"/>
      <c r="G126" s="6" t="n"/>
      <c r="H126" s="4" t="n"/>
      <c r="I126" s="4" t="n"/>
      <c r="J126" s="4" t="n"/>
      <c r="K126" s="4" t="n"/>
      <c r="L126" s="11">
        <f>IF($D126="","",IF('Объект и должник'!$B$14="","дата принятия заявления не заполнена",IF($D126&lt;'Объект и должник'!$B$14,"до принятия заявления","после принятия заявления")))</f>
        <v/>
      </c>
      <c r="M126" s="13">
        <f>IF($B126="","",IF(AND($E126&gt;0,LOWER($F126)&lt;&gt;"да"),"сумма есть, подписи обеих сторон нет — отдельно обсудите с юристом",IF(AND($G126&lt;&gt;"",$I126=""),"направлено, но подтверждение направления не указано",IF($K126="","отметьте, идёт ли копия в пакет",IF($L126="после принятия заявления","после принятия заявления — возможно текущий платёж (ст. 5), к юристу","")))))</f>
        <v/>
      </c>
    </row>
    <row r="127">
      <c r="A127" s="11">
        <f>IF($B127="","",ROW()-3)</f>
        <v/>
      </c>
      <c r="B127" s="4" t="n"/>
      <c r="C127" s="4" t="n"/>
      <c r="D127" s="6" t="n"/>
      <c r="E127" s="12" t="n"/>
      <c r="F127" s="4" t="n"/>
      <c r="G127" s="6" t="n"/>
      <c r="H127" s="4" t="n"/>
      <c r="I127" s="4" t="n"/>
      <c r="J127" s="4" t="n"/>
      <c r="K127" s="4" t="n"/>
      <c r="L127" s="11">
        <f>IF($D127="","",IF('Объект и должник'!$B$14="","дата принятия заявления не заполнена",IF($D127&lt;'Объект и должник'!$B$14,"до принятия заявления","после принятия заявления")))</f>
        <v/>
      </c>
      <c r="M127" s="13">
        <f>IF($B127="","",IF(AND($E127&gt;0,LOWER($F127)&lt;&gt;"да"),"сумма есть, подписи обеих сторон нет — отдельно обсудите с юристом",IF(AND($G127&lt;&gt;"",$I127=""),"направлено, но подтверждение направления не указано",IF($K127="","отметьте, идёт ли копия в пакет",IF($L127="после принятия заявления","после принятия заявления — возможно текущий платёж (ст. 5), к юристу","")))))</f>
        <v/>
      </c>
    </row>
    <row r="128">
      <c r="A128" s="11">
        <f>IF($B128="","",ROW()-3)</f>
        <v/>
      </c>
      <c r="B128" s="4" t="n"/>
      <c r="C128" s="4" t="n"/>
      <c r="D128" s="6" t="n"/>
      <c r="E128" s="12" t="n"/>
      <c r="F128" s="4" t="n"/>
      <c r="G128" s="6" t="n"/>
      <c r="H128" s="4" t="n"/>
      <c r="I128" s="4" t="n"/>
      <c r="J128" s="4" t="n"/>
      <c r="K128" s="4" t="n"/>
      <c r="L128" s="11">
        <f>IF($D128="","",IF('Объект и должник'!$B$14="","дата принятия заявления не заполнена",IF($D128&lt;'Объект и должник'!$B$14,"до принятия заявления","после принятия заявления")))</f>
        <v/>
      </c>
      <c r="M128" s="13">
        <f>IF($B128="","",IF(AND($E128&gt;0,LOWER($F128)&lt;&gt;"да"),"сумма есть, подписи обеих сторон нет — отдельно обсудите с юристом",IF(AND($G128&lt;&gt;"",$I128=""),"направлено, но подтверждение направления не указано",IF($K128="","отметьте, идёт ли копия в пакет",IF($L128="после принятия заявления","после принятия заявления — возможно текущий платёж (ст. 5), к юристу","")))))</f>
        <v/>
      </c>
    </row>
    <row r="129">
      <c r="A129" s="11">
        <f>IF($B129="","",ROW()-3)</f>
        <v/>
      </c>
      <c r="B129" s="4" t="n"/>
      <c r="C129" s="4" t="n"/>
      <c r="D129" s="6" t="n"/>
      <c r="E129" s="12" t="n"/>
      <c r="F129" s="4" t="n"/>
      <c r="G129" s="6" t="n"/>
      <c r="H129" s="4" t="n"/>
      <c r="I129" s="4" t="n"/>
      <c r="J129" s="4" t="n"/>
      <c r="K129" s="4" t="n"/>
      <c r="L129" s="11">
        <f>IF($D129="","",IF('Объект и должник'!$B$14="","дата принятия заявления не заполнена",IF($D129&lt;'Объект и должник'!$B$14,"до принятия заявления","после принятия заявления")))</f>
        <v/>
      </c>
      <c r="M129" s="13">
        <f>IF($B129="","",IF(AND($E129&gt;0,LOWER($F129)&lt;&gt;"да"),"сумма есть, подписи обеих сторон нет — отдельно обсудите с юристом",IF(AND($G129&lt;&gt;"",$I129=""),"направлено, но подтверждение направления не указано",IF($K129="","отметьте, идёт ли копия в пакет",IF($L129="после принятия заявления","после принятия заявления — возможно текущий платёж (ст. 5), к юристу","")))))</f>
        <v/>
      </c>
    </row>
    <row r="130">
      <c r="A130" s="11">
        <f>IF($B130="","",ROW()-3)</f>
        <v/>
      </c>
      <c r="B130" s="4" t="n"/>
      <c r="C130" s="4" t="n"/>
      <c r="D130" s="6" t="n"/>
      <c r="E130" s="12" t="n"/>
      <c r="F130" s="4" t="n"/>
      <c r="G130" s="6" t="n"/>
      <c r="H130" s="4" t="n"/>
      <c r="I130" s="4" t="n"/>
      <c r="J130" s="4" t="n"/>
      <c r="K130" s="4" t="n"/>
      <c r="L130" s="11">
        <f>IF($D130="","",IF('Объект и должник'!$B$14="","дата принятия заявления не заполнена",IF($D130&lt;'Объект и должник'!$B$14,"до принятия заявления","после принятия заявления")))</f>
        <v/>
      </c>
      <c r="M130" s="13">
        <f>IF($B130="","",IF(AND($E130&gt;0,LOWER($F130)&lt;&gt;"да"),"сумма есть, подписи обеих сторон нет — отдельно обсудите с юристом",IF(AND($G130&lt;&gt;"",$I130=""),"направлено, но подтверждение направления не указано",IF($K130="","отметьте, идёт ли копия в пакет",IF($L130="после принятия заявления","после принятия заявления — возможно текущий платёж (ст. 5), к юристу","")))))</f>
        <v/>
      </c>
    </row>
    <row r="131">
      <c r="A131" s="11">
        <f>IF($B131="","",ROW()-3)</f>
        <v/>
      </c>
      <c r="B131" s="4" t="n"/>
      <c r="C131" s="4" t="n"/>
      <c r="D131" s="6" t="n"/>
      <c r="E131" s="12" t="n"/>
      <c r="F131" s="4" t="n"/>
      <c r="G131" s="6" t="n"/>
      <c r="H131" s="4" t="n"/>
      <c r="I131" s="4" t="n"/>
      <c r="J131" s="4" t="n"/>
      <c r="K131" s="4" t="n"/>
      <c r="L131" s="11">
        <f>IF($D131="","",IF('Объект и должник'!$B$14="","дата принятия заявления не заполнена",IF($D131&lt;'Объект и должник'!$B$14,"до принятия заявления","после принятия заявления")))</f>
        <v/>
      </c>
      <c r="M131" s="13">
        <f>IF($B131="","",IF(AND($E131&gt;0,LOWER($F131)&lt;&gt;"да"),"сумма есть, подписи обеих сторон нет — отдельно обсудите с юристом",IF(AND($G131&lt;&gt;"",$I131=""),"направлено, но подтверждение направления не указано",IF($K131="","отметьте, идёт ли копия в пакет",IF($L131="после принятия заявления","после принятия заявления — возможно текущий платёж (ст. 5), к юристу","")))))</f>
        <v/>
      </c>
    </row>
    <row r="132">
      <c r="A132" s="11">
        <f>IF($B132="","",ROW()-3)</f>
        <v/>
      </c>
      <c r="B132" s="4" t="n"/>
      <c r="C132" s="4" t="n"/>
      <c r="D132" s="6" t="n"/>
      <c r="E132" s="12" t="n"/>
      <c r="F132" s="4" t="n"/>
      <c r="G132" s="6" t="n"/>
      <c r="H132" s="4" t="n"/>
      <c r="I132" s="4" t="n"/>
      <c r="J132" s="4" t="n"/>
      <c r="K132" s="4" t="n"/>
      <c r="L132" s="11">
        <f>IF($D132="","",IF('Объект и должник'!$B$14="","дата принятия заявления не заполнена",IF($D132&lt;'Объект и должник'!$B$14,"до принятия заявления","после принятия заявления")))</f>
        <v/>
      </c>
      <c r="M132" s="13">
        <f>IF($B132="","",IF(AND($E132&gt;0,LOWER($F132)&lt;&gt;"да"),"сумма есть, подписи обеих сторон нет — отдельно обсудите с юристом",IF(AND($G132&lt;&gt;"",$I132=""),"направлено, но подтверждение направления не указано",IF($K132="","отметьте, идёт ли копия в пакет",IF($L132="после принятия заявления","после принятия заявления — возможно текущий платёж (ст. 5), к юристу","")))))</f>
        <v/>
      </c>
    </row>
    <row r="133">
      <c r="A133" s="11">
        <f>IF($B133="","",ROW()-3)</f>
        <v/>
      </c>
      <c r="B133" s="4" t="n"/>
      <c r="C133" s="4" t="n"/>
      <c r="D133" s="6" t="n"/>
      <c r="E133" s="12" t="n"/>
      <c r="F133" s="4" t="n"/>
      <c r="G133" s="6" t="n"/>
      <c r="H133" s="4" t="n"/>
      <c r="I133" s="4" t="n"/>
      <c r="J133" s="4" t="n"/>
      <c r="K133" s="4" t="n"/>
      <c r="L133" s="11">
        <f>IF($D133="","",IF('Объект и должник'!$B$14="","дата принятия заявления не заполнена",IF($D133&lt;'Объект и должник'!$B$14,"до принятия заявления","после принятия заявления")))</f>
        <v/>
      </c>
      <c r="M133" s="13">
        <f>IF($B133="","",IF(AND($E133&gt;0,LOWER($F133)&lt;&gt;"да"),"сумма есть, подписи обеих сторон нет — отдельно обсудите с юристом",IF(AND($G133&lt;&gt;"",$I133=""),"направлено, но подтверждение направления не указано",IF($K133="","отметьте, идёт ли копия в пакет",IF($L133="после принятия заявления","после принятия заявления — возможно текущий платёж (ст. 5), к юристу","")))))</f>
        <v/>
      </c>
    </row>
    <row r="134">
      <c r="A134" s="11">
        <f>IF($B134="","",ROW()-3)</f>
        <v/>
      </c>
      <c r="B134" s="4" t="n"/>
      <c r="C134" s="4" t="n"/>
      <c r="D134" s="6" t="n"/>
      <c r="E134" s="12" t="n"/>
      <c r="F134" s="4" t="n"/>
      <c r="G134" s="6" t="n"/>
      <c r="H134" s="4" t="n"/>
      <c r="I134" s="4" t="n"/>
      <c r="J134" s="4" t="n"/>
      <c r="K134" s="4" t="n"/>
      <c r="L134" s="11">
        <f>IF($D134="","",IF('Объект и должник'!$B$14="","дата принятия заявления не заполнена",IF($D134&lt;'Объект и должник'!$B$14,"до принятия заявления","после принятия заявления")))</f>
        <v/>
      </c>
      <c r="M134" s="13">
        <f>IF($B134="","",IF(AND($E134&gt;0,LOWER($F134)&lt;&gt;"да"),"сумма есть, подписи обеих сторон нет — отдельно обсудите с юристом",IF(AND($G134&lt;&gt;"",$I134=""),"направлено, но подтверждение направления не указано",IF($K134="","отметьте, идёт ли копия в пакет",IF($L134="после принятия заявления","после принятия заявления — возможно текущий платёж (ст. 5), к юристу","")))))</f>
        <v/>
      </c>
    </row>
    <row r="135">
      <c r="A135" s="11">
        <f>IF($B135="","",ROW()-3)</f>
        <v/>
      </c>
      <c r="B135" s="4" t="n"/>
      <c r="C135" s="4" t="n"/>
      <c r="D135" s="6" t="n"/>
      <c r="E135" s="12" t="n"/>
      <c r="F135" s="4" t="n"/>
      <c r="G135" s="6" t="n"/>
      <c r="H135" s="4" t="n"/>
      <c r="I135" s="4" t="n"/>
      <c r="J135" s="4" t="n"/>
      <c r="K135" s="4" t="n"/>
      <c r="L135" s="11">
        <f>IF($D135="","",IF('Объект и должник'!$B$14="","дата принятия заявления не заполнена",IF($D135&lt;'Объект и должник'!$B$14,"до принятия заявления","после принятия заявления")))</f>
        <v/>
      </c>
      <c r="M135" s="13">
        <f>IF($B135="","",IF(AND($E135&gt;0,LOWER($F135)&lt;&gt;"да"),"сумма есть, подписи обеих сторон нет — отдельно обсудите с юристом",IF(AND($G135&lt;&gt;"",$I135=""),"направлено, но подтверждение направления не указано",IF($K135="","отметьте, идёт ли копия в пакет",IF($L135="после принятия заявления","после принятия заявления — возможно текущий платёж (ст. 5), к юристу","")))))</f>
        <v/>
      </c>
    </row>
    <row r="136">
      <c r="A136" s="11">
        <f>IF($B136="","",ROW()-3)</f>
        <v/>
      </c>
      <c r="B136" s="4" t="n"/>
      <c r="C136" s="4" t="n"/>
      <c r="D136" s="6" t="n"/>
      <c r="E136" s="12" t="n"/>
      <c r="F136" s="4" t="n"/>
      <c r="G136" s="6" t="n"/>
      <c r="H136" s="4" t="n"/>
      <c r="I136" s="4" t="n"/>
      <c r="J136" s="4" t="n"/>
      <c r="K136" s="4" t="n"/>
      <c r="L136" s="11">
        <f>IF($D136="","",IF('Объект и должник'!$B$14="","дата принятия заявления не заполнена",IF($D136&lt;'Объект и должник'!$B$14,"до принятия заявления","после принятия заявления")))</f>
        <v/>
      </c>
      <c r="M136" s="13">
        <f>IF($B136="","",IF(AND($E136&gt;0,LOWER($F136)&lt;&gt;"да"),"сумма есть, подписи обеих сторон нет — отдельно обсудите с юристом",IF(AND($G136&lt;&gt;"",$I136=""),"направлено, но подтверждение направления не указано",IF($K136="","отметьте, идёт ли копия в пакет",IF($L136="после принятия заявления","после принятия заявления — возможно текущий платёж (ст. 5), к юристу","")))))</f>
        <v/>
      </c>
    </row>
    <row r="137">
      <c r="A137" s="11">
        <f>IF($B137="","",ROW()-3)</f>
        <v/>
      </c>
      <c r="B137" s="4" t="n"/>
      <c r="C137" s="4" t="n"/>
      <c r="D137" s="6" t="n"/>
      <c r="E137" s="12" t="n"/>
      <c r="F137" s="4" t="n"/>
      <c r="G137" s="6" t="n"/>
      <c r="H137" s="4" t="n"/>
      <c r="I137" s="4" t="n"/>
      <c r="J137" s="4" t="n"/>
      <c r="K137" s="4" t="n"/>
      <c r="L137" s="11">
        <f>IF($D137="","",IF('Объект и должник'!$B$14="","дата принятия заявления не заполнена",IF($D137&lt;'Объект и должник'!$B$14,"до принятия заявления","после принятия заявления")))</f>
        <v/>
      </c>
      <c r="M137" s="13">
        <f>IF($B137="","",IF(AND($E137&gt;0,LOWER($F137)&lt;&gt;"да"),"сумма есть, подписи обеих сторон нет — отдельно обсудите с юристом",IF(AND($G137&lt;&gt;"",$I137=""),"направлено, но подтверждение направления не указано",IF($K137="","отметьте, идёт ли копия в пакет",IF($L137="после принятия заявления","после принятия заявления — возможно текущий платёж (ст. 5), к юристу","")))))</f>
        <v/>
      </c>
    </row>
    <row r="138">
      <c r="A138" s="11">
        <f>IF($B138="","",ROW()-3)</f>
        <v/>
      </c>
      <c r="B138" s="4" t="n"/>
      <c r="C138" s="4" t="n"/>
      <c r="D138" s="6" t="n"/>
      <c r="E138" s="12" t="n"/>
      <c r="F138" s="4" t="n"/>
      <c r="G138" s="6" t="n"/>
      <c r="H138" s="4" t="n"/>
      <c r="I138" s="4" t="n"/>
      <c r="J138" s="4" t="n"/>
      <c r="K138" s="4" t="n"/>
      <c r="L138" s="11">
        <f>IF($D138="","",IF('Объект и должник'!$B$14="","дата принятия заявления не заполнена",IF($D138&lt;'Объект и должник'!$B$14,"до принятия заявления","после принятия заявления")))</f>
        <v/>
      </c>
      <c r="M138" s="13">
        <f>IF($B138="","",IF(AND($E138&gt;0,LOWER($F138)&lt;&gt;"да"),"сумма есть, подписи обеих сторон нет — отдельно обсудите с юристом",IF(AND($G138&lt;&gt;"",$I138=""),"направлено, но подтверждение направления не указано",IF($K138="","отметьте, идёт ли копия в пакет",IF($L138="после принятия заявления","после принятия заявления — возможно текущий платёж (ст. 5), к юристу","")))))</f>
        <v/>
      </c>
    </row>
    <row r="139">
      <c r="A139" s="11">
        <f>IF($B139="","",ROW()-3)</f>
        <v/>
      </c>
      <c r="B139" s="4" t="n"/>
      <c r="C139" s="4" t="n"/>
      <c r="D139" s="6" t="n"/>
      <c r="E139" s="12" t="n"/>
      <c r="F139" s="4" t="n"/>
      <c r="G139" s="6" t="n"/>
      <c r="H139" s="4" t="n"/>
      <c r="I139" s="4" t="n"/>
      <c r="J139" s="4" t="n"/>
      <c r="K139" s="4" t="n"/>
      <c r="L139" s="11">
        <f>IF($D139="","",IF('Объект и должник'!$B$14="","дата принятия заявления не заполнена",IF($D139&lt;'Объект и должник'!$B$14,"до принятия заявления","после принятия заявления")))</f>
        <v/>
      </c>
      <c r="M139" s="13">
        <f>IF($B139="","",IF(AND($E139&gt;0,LOWER($F139)&lt;&gt;"да"),"сумма есть, подписи обеих сторон нет — отдельно обсудите с юристом",IF(AND($G139&lt;&gt;"",$I139=""),"направлено, но подтверждение направления не указано",IF($K139="","отметьте, идёт ли копия в пакет",IF($L139="после принятия заявления","после принятия заявления — возможно текущий платёж (ст. 5), к юристу","")))))</f>
        <v/>
      </c>
    </row>
    <row r="140">
      <c r="A140" s="11">
        <f>IF($B140="","",ROW()-3)</f>
        <v/>
      </c>
      <c r="B140" s="4" t="n"/>
      <c r="C140" s="4" t="n"/>
      <c r="D140" s="6" t="n"/>
      <c r="E140" s="12" t="n"/>
      <c r="F140" s="4" t="n"/>
      <c r="G140" s="6" t="n"/>
      <c r="H140" s="4" t="n"/>
      <c r="I140" s="4" t="n"/>
      <c r="J140" s="4" t="n"/>
      <c r="K140" s="4" t="n"/>
      <c r="L140" s="11">
        <f>IF($D140="","",IF('Объект и должник'!$B$14="","дата принятия заявления не заполнена",IF($D140&lt;'Объект и должник'!$B$14,"до принятия заявления","после принятия заявления")))</f>
        <v/>
      </c>
      <c r="M140" s="13">
        <f>IF($B140="","",IF(AND($E140&gt;0,LOWER($F140)&lt;&gt;"да"),"сумма есть, подписи обеих сторон нет — отдельно обсудите с юристом",IF(AND($G140&lt;&gt;"",$I140=""),"направлено, но подтверждение направления не указано",IF($K140="","отметьте, идёт ли копия в пакет",IF($L140="после принятия заявления","после принятия заявления — возможно текущий платёж (ст. 5), к юристу","")))))</f>
        <v/>
      </c>
    </row>
    <row r="141">
      <c r="A141" s="11">
        <f>IF($B141="","",ROW()-3)</f>
        <v/>
      </c>
      <c r="B141" s="4" t="n"/>
      <c r="C141" s="4" t="n"/>
      <c r="D141" s="6" t="n"/>
      <c r="E141" s="12" t="n"/>
      <c r="F141" s="4" t="n"/>
      <c r="G141" s="6" t="n"/>
      <c r="H141" s="4" t="n"/>
      <c r="I141" s="4" t="n"/>
      <c r="J141" s="4" t="n"/>
      <c r="K141" s="4" t="n"/>
      <c r="L141" s="11">
        <f>IF($D141="","",IF('Объект и должник'!$B$14="","дата принятия заявления не заполнена",IF($D141&lt;'Объект и должник'!$B$14,"до принятия заявления","после принятия заявления")))</f>
        <v/>
      </c>
      <c r="M141" s="13">
        <f>IF($B141="","",IF(AND($E141&gt;0,LOWER($F141)&lt;&gt;"да"),"сумма есть, подписи обеих сторон нет — отдельно обсудите с юристом",IF(AND($G141&lt;&gt;"",$I141=""),"направлено, но подтверждение направления не указано",IF($K141="","отметьте, идёт ли копия в пакет",IF($L141="после принятия заявления","после принятия заявления — возможно текущий платёж (ст. 5), к юристу","")))))</f>
        <v/>
      </c>
    </row>
    <row r="142">
      <c r="A142" s="11">
        <f>IF($B142="","",ROW()-3)</f>
        <v/>
      </c>
      <c r="B142" s="4" t="n"/>
      <c r="C142" s="4" t="n"/>
      <c r="D142" s="6" t="n"/>
      <c r="E142" s="12" t="n"/>
      <c r="F142" s="4" t="n"/>
      <c r="G142" s="6" t="n"/>
      <c r="H142" s="4" t="n"/>
      <c r="I142" s="4" t="n"/>
      <c r="J142" s="4" t="n"/>
      <c r="K142" s="4" t="n"/>
      <c r="L142" s="11">
        <f>IF($D142="","",IF('Объект и должник'!$B$14="","дата принятия заявления не заполнена",IF($D142&lt;'Объект и должник'!$B$14,"до принятия заявления","после принятия заявления")))</f>
        <v/>
      </c>
      <c r="M142" s="13">
        <f>IF($B142="","",IF(AND($E142&gt;0,LOWER($F142)&lt;&gt;"да"),"сумма есть, подписи обеих сторон нет — отдельно обсудите с юристом",IF(AND($G142&lt;&gt;"",$I142=""),"направлено, но подтверждение направления не указано",IF($K142="","отметьте, идёт ли копия в пакет",IF($L142="после принятия заявления","после принятия заявления — возможно текущий платёж (ст. 5), к юристу","")))))</f>
        <v/>
      </c>
    </row>
    <row r="143">
      <c r="A143" s="11">
        <f>IF($B143="","",ROW()-3)</f>
        <v/>
      </c>
      <c r="B143" s="4" t="n"/>
      <c r="C143" s="4" t="n"/>
      <c r="D143" s="6" t="n"/>
      <c r="E143" s="12" t="n"/>
      <c r="F143" s="4" t="n"/>
      <c r="G143" s="6" t="n"/>
      <c r="H143" s="4" t="n"/>
      <c r="I143" s="4" t="n"/>
      <c r="J143" s="4" t="n"/>
      <c r="K143" s="4" t="n"/>
      <c r="L143" s="11">
        <f>IF($D143="","",IF('Объект и должник'!$B$14="","дата принятия заявления не заполнена",IF($D143&lt;'Объект и должник'!$B$14,"до принятия заявления","после принятия заявления")))</f>
        <v/>
      </c>
      <c r="M143" s="13">
        <f>IF($B143="","",IF(AND($E143&gt;0,LOWER($F143)&lt;&gt;"да"),"сумма есть, подписи обеих сторон нет — отдельно обсудите с юристом",IF(AND($G143&lt;&gt;"",$I143=""),"направлено, но подтверждение направления не указано",IF($K143="","отметьте, идёт ли копия в пакет",IF($L143="после принятия заявления","после принятия заявления — возможно текущий платёж (ст. 5), к юристу","")))))</f>
        <v/>
      </c>
    </row>
    <row r="144">
      <c r="A144" s="11">
        <f>IF($B144="","",ROW()-3)</f>
        <v/>
      </c>
      <c r="B144" s="4" t="n"/>
      <c r="C144" s="4" t="n"/>
      <c r="D144" s="6" t="n"/>
      <c r="E144" s="12" t="n"/>
      <c r="F144" s="4" t="n"/>
      <c r="G144" s="6" t="n"/>
      <c r="H144" s="4" t="n"/>
      <c r="I144" s="4" t="n"/>
      <c r="J144" s="4" t="n"/>
      <c r="K144" s="4" t="n"/>
      <c r="L144" s="11">
        <f>IF($D144="","",IF('Объект и должник'!$B$14="","дата принятия заявления не заполнена",IF($D144&lt;'Объект и должник'!$B$14,"до принятия заявления","после принятия заявления")))</f>
        <v/>
      </c>
      <c r="M144" s="13">
        <f>IF($B144="","",IF(AND($E144&gt;0,LOWER($F144)&lt;&gt;"да"),"сумма есть, подписи обеих сторон нет — отдельно обсудите с юристом",IF(AND($G144&lt;&gt;"",$I144=""),"направлено, но подтверждение направления не указано",IF($K144="","отметьте, идёт ли копия в пакет",IF($L144="после принятия заявления","после принятия заявления — возможно текущий платёж (ст. 5), к юристу","")))))</f>
        <v/>
      </c>
    </row>
    <row r="145">
      <c r="A145" s="11">
        <f>IF($B145="","",ROW()-3)</f>
        <v/>
      </c>
      <c r="B145" s="4" t="n"/>
      <c r="C145" s="4" t="n"/>
      <c r="D145" s="6" t="n"/>
      <c r="E145" s="12" t="n"/>
      <c r="F145" s="4" t="n"/>
      <c r="G145" s="6" t="n"/>
      <c r="H145" s="4" t="n"/>
      <c r="I145" s="4" t="n"/>
      <c r="J145" s="4" t="n"/>
      <c r="K145" s="4" t="n"/>
      <c r="L145" s="11">
        <f>IF($D145="","",IF('Объект и должник'!$B$14="","дата принятия заявления не заполнена",IF($D145&lt;'Объект и должник'!$B$14,"до принятия заявления","после принятия заявления")))</f>
        <v/>
      </c>
      <c r="M145" s="13">
        <f>IF($B145="","",IF(AND($E145&gt;0,LOWER($F145)&lt;&gt;"да"),"сумма есть, подписи обеих сторон нет — отдельно обсудите с юристом",IF(AND($G145&lt;&gt;"",$I145=""),"направлено, но подтверждение направления не указано",IF($K145="","отметьте, идёт ли копия в пакет",IF($L145="после принятия заявления","после принятия заявления — возможно текущий платёж (ст. 5), к юристу","")))))</f>
        <v/>
      </c>
    </row>
    <row r="146">
      <c r="A146" s="11">
        <f>IF($B146="","",ROW()-3)</f>
        <v/>
      </c>
      <c r="B146" s="4" t="n"/>
      <c r="C146" s="4" t="n"/>
      <c r="D146" s="6" t="n"/>
      <c r="E146" s="12" t="n"/>
      <c r="F146" s="4" t="n"/>
      <c r="G146" s="6" t="n"/>
      <c r="H146" s="4" t="n"/>
      <c r="I146" s="4" t="n"/>
      <c r="J146" s="4" t="n"/>
      <c r="K146" s="4" t="n"/>
      <c r="L146" s="11">
        <f>IF($D146="","",IF('Объект и должник'!$B$14="","дата принятия заявления не заполнена",IF($D146&lt;'Объект и должник'!$B$14,"до принятия заявления","после принятия заявления")))</f>
        <v/>
      </c>
      <c r="M146" s="13">
        <f>IF($B146="","",IF(AND($E146&gt;0,LOWER($F146)&lt;&gt;"да"),"сумма есть, подписи обеих сторон нет — отдельно обсудите с юристом",IF(AND($G146&lt;&gt;"",$I146=""),"направлено, но подтверждение направления не указано",IF($K146="","отметьте, идёт ли копия в пакет",IF($L146="после принятия заявления","после принятия заявления — возможно текущий платёж (ст. 5), к юристу","")))))</f>
        <v/>
      </c>
    </row>
    <row r="147">
      <c r="A147" s="11">
        <f>IF($B147="","",ROW()-3)</f>
        <v/>
      </c>
      <c r="B147" s="4" t="n"/>
      <c r="C147" s="4" t="n"/>
      <c r="D147" s="6" t="n"/>
      <c r="E147" s="12" t="n"/>
      <c r="F147" s="4" t="n"/>
      <c r="G147" s="6" t="n"/>
      <c r="H147" s="4" t="n"/>
      <c r="I147" s="4" t="n"/>
      <c r="J147" s="4" t="n"/>
      <c r="K147" s="4" t="n"/>
      <c r="L147" s="11">
        <f>IF($D147="","",IF('Объект и должник'!$B$14="","дата принятия заявления не заполнена",IF($D147&lt;'Объект и должник'!$B$14,"до принятия заявления","после принятия заявления")))</f>
        <v/>
      </c>
      <c r="M147" s="13">
        <f>IF($B147="","",IF(AND($E147&gt;0,LOWER($F147)&lt;&gt;"да"),"сумма есть, подписи обеих сторон нет — отдельно обсудите с юристом",IF(AND($G147&lt;&gt;"",$I147=""),"направлено, но подтверждение направления не указано",IF($K147="","отметьте, идёт ли копия в пакет",IF($L147="после принятия заявления","после принятия заявления — возможно текущий платёж (ст. 5), к юристу","")))))</f>
        <v/>
      </c>
    </row>
    <row r="148">
      <c r="A148" s="11">
        <f>IF($B148="","",ROW()-3)</f>
        <v/>
      </c>
      <c r="B148" s="4" t="n"/>
      <c r="C148" s="4" t="n"/>
      <c r="D148" s="6" t="n"/>
      <c r="E148" s="12" t="n"/>
      <c r="F148" s="4" t="n"/>
      <c r="G148" s="6" t="n"/>
      <c r="H148" s="4" t="n"/>
      <c r="I148" s="4" t="n"/>
      <c r="J148" s="4" t="n"/>
      <c r="K148" s="4" t="n"/>
      <c r="L148" s="11">
        <f>IF($D148="","",IF('Объект и должник'!$B$14="","дата принятия заявления не заполнена",IF($D148&lt;'Объект и должник'!$B$14,"до принятия заявления","после принятия заявления")))</f>
        <v/>
      </c>
      <c r="M148" s="13">
        <f>IF($B148="","",IF(AND($E148&gt;0,LOWER($F148)&lt;&gt;"да"),"сумма есть, подписи обеих сторон нет — отдельно обсудите с юристом",IF(AND($G148&lt;&gt;"",$I148=""),"направлено, но подтверждение направления не указано",IF($K148="","отметьте, идёт ли копия в пакет",IF($L148="после принятия заявления","после принятия заявления — возможно текущий платёж (ст. 5), к юристу","")))))</f>
        <v/>
      </c>
    </row>
    <row r="149">
      <c r="A149" s="11">
        <f>IF($B149="","",ROW()-3)</f>
        <v/>
      </c>
      <c r="B149" s="4" t="n"/>
      <c r="C149" s="4" t="n"/>
      <c r="D149" s="6" t="n"/>
      <c r="E149" s="12" t="n"/>
      <c r="F149" s="4" t="n"/>
      <c r="G149" s="6" t="n"/>
      <c r="H149" s="4" t="n"/>
      <c r="I149" s="4" t="n"/>
      <c r="J149" s="4" t="n"/>
      <c r="K149" s="4" t="n"/>
      <c r="L149" s="11">
        <f>IF($D149="","",IF('Объект и должник'!$B$14="","дата принятия заявления не заполнена",IF($D149&lt;'Объект и должник'!$B$14,"до принятия заявления","после принятия заявления")))</f>
        <v/>
      </c>
      <c r="M149" s="13">
        <f>IF($B149="","",IF(AND($E149&gt;0,LOWER($F149)&lt;&gt;"да"),"сумма есть, подписи обеих сторон нет — отдельно обсудите с юристом",IF(AND($G149&lt;&gt;"",$I149=""),"направлено, но подтверждение направления не указано",IF($K149="","отметьте, идёт ли копия в пакет",IF($L149="после принятия заявления","после принятия заявления — возможно текущий платёж (ст. 5), к юристу","")))))</f>
        <v/>
      </c>
    </row>
    <row r="150">
      <c r="A150" s="11">
        <f>IF($B150="","",ROW()-3)</f>
        <v/>
      </c>
      <c r="B150" s="4" t="n"/>
      <c r="C150" s="4" t="n"/>
      <c r="D150" s="6" t="n"/>
      <c r="E150" s="12" t="n"/>
      <c r="F150" s="4" t="n"/>
      <c r="G150" s="6" t="n"/>
      <c r="H150" s="4" t="n"/>
      <c r="I150" s="4" t="n"/>
      <c r="J150" s="4" t="n"/>
      <c r="K150" s="4" t="n"/>
      <c r="L150" s="11">
        <f>IF($D150="","",IF('Объект и должник'!$B$14="","дата принятия заявления не заполнена",IF($D150&lt;'Объект и должник'!$B$14,"до принятия заявления","после принятия заявления")))</f>
        <v/>
      </c>
      <c r="M150" s="13">
        <f>IF($B150="","",IF(AND($E150&gt;0,LOWER($F150)&lt;&gt;"да"),"сумма есть, подписи обеих сторон нет — отдельно обсудите с юристом",IF(AND($G150&lt;&gt;"",$I150=""),"направлено, но подтверждение направления не указано",IF($K150="","отметьте, идёт ли копия в пакет",IF($L150="после принятия заявления","после принятия заявления — возможно текущий платёж (ст. 5), к юристу","")))))</f>
        <v/>
      </c>
    </row>
    <row r="151">
      <c r="A151" s="11">
        <f>IF($B151="","",ROW()-3)</f>
        <v/>
      </c>
      <c r="B151" s="4" t="n"/>
      <c r="C151" s="4" t="n"/>
      <c r="D151" s="6" t="n"/>
      <c r="E151" s="12" t="n"/>
      <c r="F151" s="4" t="n"/>
      <c r="G151" s="6" t="n"/>
      <c r="H151" s="4" t="n"/>
      <c r="I151" s="4" t="n"/>
      <c r="J151" s="4" t="n"/>
      <c r="K151" s="4" t="n"/>
      <c r="L151" s="11">
        <f>IF($D151="","",IF('Объект и должник'!$B$14="","дата принятия заявления не заполнена",IF($D151&lt;'Объект и должник'!$B$14,"до принятия заявления","после принятия заявления")))</f>
        <v/>
      </c>
      <c r="M151" s="13">
        <f>IF($B151="","",IF(AND($E151&gt;0,LOWER($F151)&lt;&gt;"да"),"сумма есть, подписи обеих сторон нет — отдельно обсудите с юристом",IF(AND($G151&lt;&gt;"",$I151=""),"направлено, но подтверждение направления не указано",IF($K151="","отметьте, идёт ли копия в пакет",IF($L151="после принятия заявления","после принятия заявления — возможно текущий платёж (ст. 5), к юристу","")))))</f>
        <v/>
      </c>
    </row>
    <row r="152">
      <c r="A152" s="11">
        <f>IF($B152="","",ROW()-3)</f>
        <v/>
      </c>
      <c r="B152" s="4" t="n"/>
      <c r="C152" s="4" t="n"/>
      <c r="D152" s="6" t="n"/>
      <c r="E152" s="12" t="n"/>
      <c r="F152" s="4" t="n"/>
      <c r="G152" s="6" t="n"/>
      <c r="H152" s="4" t="n"/>
      <c r="I152" s="4" t="n"/>
      <c r="J152" s="4" t="n"/>
      <c r="K152" s="4" t="n"/>
      <c r="L152" s="11">
        <f>IF($D152="","",IF('Объект и должник'!$B$14="","дата принятия заявления не заполнена",IF($D152&lt;'Объект и должник'!$B$14,"до принятия заявления","после принятия заявления")))</f>
        <v/>
      </c>
      <c r="M152" s="13">
        <f>IF($B152="","",IF(AND($E152&gt;0,LOWER($F152)&lt;&gt;"да"),"сумма есть, подписи обеих сторон нет — отдельно обсудите с юристом",IF(AND($G152&lt;&gt;"",$I152=""),"направлено, но подтверждение направления не указано",IF($K152="","отметьте, идёт ли копия в пакет",IF($L152="после принятия заявления","после принятия заявления — возможно текущий платёж (ст. 5), к юристу","")))))</f>
        <v/>
      </c>
    </row>
    <row r="153">
      <c r="A153" s="11">
        <f>IF($B153="","",ROW()-3)</f>
        <v/>
      </c>
      <c r="B153" s="4" t="n"/>
      <c r="C153" s="4" t="n"/>
      <c r="D153" s="6" t="n"/>
      <c r="E153" s="12" t="n"/>
      <c r="F153" s="4" t="n"/>
      <c r="G153" s="6" t="n"/>
      <c r="H153" s="4" t="n"/>
      <c r="I153" s="4" t="n"/>
      <c r="J153" s="4" t="n"/>
      <c r="K153" s="4" t="n"/>
      <c r="L153" s="11">
        <f>IF($D153="","",IF('Объект и должник'!$B$14="","дата принятия заявления не заполнена",IF($D153&lt;'Объект и должник'!$B$14,"до принятия заявления","после принятия заявления")))</f>
        <v/>
      </c>
      <c r="M153" s="13">
        <f>IF($B153="","",IF(AND($E153&gt;0,LOWER($F153)&lt;&gt;"да"),"сумма есть, подписи обеих сторон нет — отдельно обсудите с юристом",IF(AND($G153&lt;&gt;"",$I153=""),"направлено, но подтверждение направления не указано",IF($K153="","отметьте, идёт ли копия в пакет",IF($L153="после принятия заявления","после принятия заявления — возможно текущий платёж (ст. 5), к юристу","")))))</f>
        <v/>
      </c>
    </row>
    <row r="154">
      <c r="A154" s="11">
        <f>IF($B154="","",ROW()-3)</f>
        <v/>
      </c>
      <c r="B154" s="4" t="n"/>
      <c r="C154" s="4" t="n"/>
      <c r="D154" s="6" t="n"/>
      <c r="E154" s="12" t="n"/>
      <c r="F154" s="4" t="n"/>
      <c r="G154" s="6" t="n"/>
      <c r="H154" s="4" t="n"/>
      <c r="I154" s="4" t="n"/>
      <c r="J154" s="4" t="n"/>
      <c r="K154" s="4" t="n"/>
      <c r="L154" s="11">
        <f>IF($D154="","",IF('Объект и должник'!$B$14="","дата принятия заявления не заполнена",IF($D154&lt;'Объект и должник'!$B$14,"до принятия заявления","после принятия заявления")))</f>
        <v/>
      </c>
      <c r="M154" s="13">
        <f>IF($B154="","",IF(AND($E154&gt;0,LOWER($F154)&lt;&gt;"да"),"сумма есть, подписи обеих сторон нет — отдельно обсудите с юристом",IF(AND($G154&lt;&gt;"",$I154=""),"направлено, но подтверждение направления не указано",IF($K154="","отметьте, идёт ли копия в пакет",IF($L154="после принятия заявления","после принятия заявления — возможно текущий платёж (ст. 5), к юристу","")))))</f>
        <v/>
      </c>
    </row>
    <row r="155">
      <c r="A155" s="11">
        <f>IF($B155="","",ROW()-3)</f>
        <v/>
      </c>
      <c r="B155" s="4" t="n"/>
      <c r="C155" s="4" t="n"/>
      <c r="D155" s="6" t="n"/>
      <c r="E155" s="12" t="n"/>
      <c r="F155" s="4" t="n"/>
      <c r="G155" s="6" t="n"/>
      <c r="H155" s="4" t="n"/>
      <c r="I155" s="4" t="n"/>
      <c r="J155" s="4" t="n"/>
      <c r="K155" s="4" t="n"/>
      <c r="L155" s="11">
        <f>IF($D155="","",IF('Объект и должник'!$B$14="","дата принятия заявления не заполнена",IF($D155&lt;'Объект и должник'!$B$14,"до принятия заявления","после принятия заявления")))</f>
        <v/>
      </c>
      <c r="M155" s="13">
        <f>IF($B155="","",IF(AND($E155&gt;0,LOWER($F155)&lt;&gt;"да"),"сумма есть, подписи обеих сторон нет — отдельно обсудите с юристом",IF(AND($G155&lt;&gt;"",$I155=""),"направлено, но подтверждение направления не указано",IF($K155="","отметьте, идёт ли копия в пакет",IF($L155="после принятия заявления","после принятия заявления — возможно текущий платёж (ст. 5), к юристу","")))))</f>
        <v/>
      </c>
    </row>
    <row r="156">
      <c r="A156" s="11">
        <f>IF($B156="","",ROW()-3)</f>
        <v/>
      </c>
      <c r="B156" s="4" t="n"/>
      <c r="C156" s="4" t="n"/>
      <c r="D156" s="6" t="n"/>
      <c r="E156" s="12" t="n"/>
      <c r="F156" s="4" t="n"/>
      <c r="G156" s="6" t="n"/>
      <c r="H156" s="4" t="n"/>
      <c r="I156" s="4" t="n"/>
      <c r="J156" s="4" t="n"/>
      <c r="K156" s="4" t="n"/>
      <c r="L156" s="11">
        <f>IF($D156="","",IF('Объект и должник'!$B$14="","дата принятия заявления не заполнена",IF($D156&lt;'Объект и должник'!$B$14,"до принятия заявления","после принятия заявления")))</f>
        <v/>
      </c>
      <c r="M156" s="13">
        <f>IF($B156="","",IF(AND($E156&gt;0,LOWER($F156)&lt;&gt;"да"),"сумма есть, подписи обеих сторон нет — отдельно обсудите с юристом",IF(AND($G156&lt;&gt;"",$I156=""),"направлено, но подтверждение направления не указано",IF($K156="","отметьте, идёт ли копия в пакет",IF($L156="после принятия заявления","после принятия заявления — возможно текущий платёж (ст. 5), к юристу","")))))</f>
        <v/>
      </c>
    </row>
    <row r="157">
      <c r="A157" s="11">
        <f>IF($B157="","",ROW()-3)</f>
        <v/>
      </c>
      <c r="B157" s="4" t="n"/>
      <c r="C157" s="4" t="n"/>
      <c r="D157" s="6" t="n"/>
      <c r="E157" s="12" t="n"/>
      <c r="F157" s="4" t="n"/>
      <c r="G157" s="6" t="n"/>
      <c r="H157" s="4" t="n"/>
      <c r="I157" s="4" t="n"/>
      <c r="J157" s="4" t="n"/>
      <c r="K157" s="4" t="n"/>
      <c r="L157" s="11">
        <f>IF($D157="","",IF('Объект и должник'!$B$14="","дата принятия заявления не заполнена",IF($D157&lt;'Объект и должник'!$B$14,"до принятия заявления","после принятия заявления")))</f>
        <v/>
      </c>
      <c r="M157" s="13">
        <f>IF($B157="","",IF(AND($E157&gt;0,LOWER($F157)&lt;&gt;"да"),"сумма есть, подписи обеих сторон нет — отдельно обсудите с юристом",IF(AND($G157&lt;&gt;"",$I157=""),"направлено, но подтверждение направления не указано",IF($K157="","отметьте, идёт ли копия в пакет",IF($L157="после принятия заявления","после принятия заявления — возможно текущий платёж (ст. 5), к юристу","")))))</f>
        <v/>
      </c>
    </row>
    <row r="158">
      <c r="A158" s="11">
        <f>IF($B158="","",ROW()-3)</f>
        <v/>
      </c>
      <c r="B158" s="4" t="n"/>
      <c r="C158" s="4" t="n"/>
      <c r="D158" s="6" t="n"/>
      <c r="E158" s="12" t="n"/>
      <c r="F158" s="4" t="n"/>
      <c r="G158" s="6" t="n"/>
      <c r="H158" s="4" t="n"/>
      <c r="I158" s="4" t="n"/>
      <c r="J158" s="4" t="n"/>
      <c r="K158" s="4" t="n"/>
      <c r="L158" s="11">
        <f>IF($D158="","",IF('Объект и должник'!$B$14="","дата принятия заявления не заполнена",IF($D158&lt;'Объект и должник'!$B$14,"до принятия заявления","после принятия заявления")))</f>
        <v/>
      </c>
      <c r="M158" s="13">
        <f>IF($B158="","",IF(AND($E158&gt;0,LOWER($F158)&lt;&gt;"да"),"сумма есть, подписи обеих сторон нет — отдельно обсудите с юристом",IF(AND($G158&lt;&gt;"",$I158=""),"направлено, но подтверждение направления не указано",IF($K158="","отметьте, идёт ли копия в пакет",IF($L158="после принятия заявления","после принятия заявления — возможно текущий платёж (ст. 5), к юристу","")))))</f>
        <v/>
      </c>
    </row>
    <row r="159">
      <c r="A159" s="11">
        <f>IF($B159="","",ROW()-3)</f>
        <v/>
      </c>
      <c r="B159" s="4" t="n"/>
      <c r="C159" s="4" t="n"/>
      <c r="D159" s="6" t="n"/>
      <c r="E159" s="12" t="n"/>
      <c r="F159" s="4" t="n"/>
      <c r="G159" s="6" t="n"/>
      <c r="H159" s="4" t="n"/>
      <c r="I159" s="4" t="n"/>
      <c r="J159" s="4" t="n"/>
      <c r="K159" s="4" t="n"/>
      <c r="L159" s="11">
        <f>IF($D159="","",IF('Объект и должник'!$B$14="","дата принятия заявления не заполнена",IF($D159&lt;'Объект и должник'!$B$14,"до принятия заявления","после принятия заявления")))</f>
        <v/>
      </c>
      <c r="M159" s="13">
        <f>IF($B159="","",IF(AND($E159&gt;0,LOWER($F159)&lt;&gt;"да"),"сумма есть, подписи обеих сторон нет — отдельно обсудите с юристом",IF(AND($G159&lt;&gt;"",$I159=""),"направлено, но подтверждение направления не указано",IF($K159="","отметьте, идёт ли копия в пакет",IF($L159="после принятия заявления","после принятия заявления — возможно текущий платёж (ст. 5), к юристу","")))))</f>
        <v/>
      </c>
    </row>
    <row r="160">
      <c r="A160" s="11">
        <f>IF($B160="","",ROW()-3)</f>
        <v/>
      </c>
      <c r="B160" s="4" t="n"/>
      <c r="C160" s="4" t="n"/>
      <c r="D160" s="6" t="n"/>
      <c r="E160" s="12" t="n"/>
      <c r="F160" s="4" t="n"/>
      <c r="G160" s="6" t="n"/>
      <c r="H160" s="4" t="n"/>
      <c r="I160" s="4" t="n"/>
      <c r="J160" s="4" t="n"/>
      <c r="K160" s="4" t="n"/>
      <c r="L160" s="11">
        <f>IF($D160="","",IF('Объект и должник'!$B$14="","дата принятия заявления не заполнена",IF($D160&lt;'Объект и должник'!$B$14,"до принятия заявления","после принятия заявления")))</f>
        <v/>
      </c>
      <c r="M160" s="13">
        <f>IF($B160="","",IF(AND($E160&gt;0,LOWER($F160)&lt;&gt;"да"),"сумма есть, подписи обеих сторон нет — отдельно обсудите с юристом",IF(AND($G160&lt;&gt;"",$I160=""),"направлено, но подтверждение направления не указано",IF($K160="","отметьте, идёт ли копия в пакет",IF($L160="после принятия заявления","после принятия заявления — возможно текущий платёж (ст. 5), к юристу","")))))</f>
        <v/>
      </c>
    </row>
    <row r="161">
      <c r="A161" s="11">
        <f>IF($B161="","",ROW()-3)</f>
        <v/>
      </c>
      <c r="B161" s="4" t="n"/>
      <c r="C161" s="4" t="n"/>
      <c r="D161" s="6" t="n"/>
      <c r="E161" s="12" t="n"/>
      <c r="F161" s="4" t="n"/>
      <c r="G161" s="6" t="n"/>
      <c r="H161" s="4" t="n"/>
      <c r="I161" s="4" t="n"/>
      <c r="J161" s="4" t="n"/>
      <c r="K161" s="4" t="n"/>
      <c r="L161" s="11">
        <f>IF($D161="","",IF('Объект и должник'!$B$14="","дата принятия заявления не заполнена",IF($D161&lt;'Объект и должник'!$B$14,"до принятия заявления","после принятия заявления")))</f>
        <v/>
      </c>
      <c r="M161" s="13">
        <f>IF($B161="","",IF(AND($E161&gt;0,LOWER($F161)&lt;&gt;"да"),"сумма есть, подписи обеих сторон нет — отдельно обсудите с юристом",IF(AND($G161&lt;&gt;"",$I161=""),"направлено, но подтверждение направления не указано",IF($K161="","отметьте, идёт ли копия в пакет",IF($L161="после принятия заявления","после принятия заявления — возможно текущий платёж (ст. 5), к юристу","")))))</f>
        <v/>
      </c>
    </row>
    <row r="162">
      <c r="A162" s="11">
        <f>IF($B162="","",ROW()-3)</f>
        <v/>
      </c>
      <c r="B162" s="4" t="n"/>
      <c r="C162" s="4" t="n"/>
      <c r="D162" s="6" t="n"/>
      <c r="E162" s="12" t="n"/>
      <c r="F162" s="4" t="n"/>
      <c r="G162" s="6" t="n"/>
      <c r="H162" s="4" t="n"/>
      <c r="I162" s="4" t="n"/>
      <c r="J162" s="4" t="n"/>
      <c r="K162" s="4" t="n"/>
      <c r="L162" s="11">
        <f>IF($D162="","",IF('Объект и должник'!$B$14="","дата принятия заявления не заполнена",IF($D162&lt;'Объект и должник'!$B$14,"до принятия заявления","после принятия заявления")))</f>
        <v/>
      </c>
      <c r="M162" s="13">
        <f>IF($B162="","",IF(AND($E162&gt;0,LOWER($F162)&lt;&gt;"да"),"сумма есть, подписи обеих сторон нет — отдельно обсудите с юристом",IF(AND($G162&lt;&gt;"",$I162=""),"направлено, но подтверждение направления не указано",IF($K162="","отметьте, идёт ли копия в пакет",IF($L162="после принятия заявления","после принятия заявления — возможно текущий платёж (ст. 5), к юристу","")))))</f>
        <v/>
      </c>
    </row>
    <row r="163">
      <c r="A163" s="11">
        <f>IF($B163="","",ROW()-3)</f>
        <v/>
      </c>
      <c r="B163" s="4" t="n"/>
      <c r="C163" s="4" t="n"/>
      <c r="D163" s="6" t="n"/>
      <c r="E163" s="12" t="n"/>
      <c r="F163" s="4" t="n"/>
      <c r="G163" s="6" t="n"/>
      <c r="H163" s="4" t="n"/>
      <c r="I163" s="4" t="n"/>
      <c r="J163" s="4" t="n"/>
      <c r="K163" s="4" t="n"/>
      <c r="L163" s="11">
        <f>IF($D163="","",IF('Объект и должник'!$B$14="","дата принятия заявления не заполнена",IF($D163&lt;'Объект и должник'!$B$14,"до принятия заявления","после принятия заявления")))</f>
        <v/>
      </c>
      <c r="M163" s="13">
        <f>IF($B163="","",IF(AND($E163&gt;0,LOWER($F163)&lt;&gt;"да"),"сумма есть, подписи обеих сторон нет — отдельно обсудите с юристом",IF(AND($G163&lt;&gt;"",$I163=""),"направлено, но подтверждение направления не указано",IF($K163="","отметьте, идёт ли копия в пакет",IF($L163="после принятия заявления","после принятия заявления — возможно текущий платёж (ст. 5), к юристу","")))))</f>
        <v/>
      </c>
    </row>
    <row r="164">
      <c r="A164" s="11">
        <f>IF($B164="","",ROW()-3)</f>
        <v/>
      </c>
      <c r="B164" s="4" t="n"/>
      <c r="C164" s="4" t="n"/>
      <c r="D164" s="6" t="n"/>
      <c r="E164" s="12" t="n"/>
      <c r="F164" s="4" t="n"/>
      <c r="G164" s="6" t="n"/>
      <c r="H164" s="4" t="n"/>
      <c r="I164" s="4" t="n"/>
      <c r="J164" s="4" t="n"/>
      <c r="K164" s="4" t="n"/>
      <c r="L164" s="11">
        <f>IF($D164="","",IF('Объект и должник'!$B$14="","дата принятия заявления не заполнена",IF($D164&lt;'Объект и должник'!$B$14,"до принятия заявления","после принятия заявления")))</f>
        <v/>
      </c>
      <c r="M164" s="13">
        <f>IF($B164="","",IF(AND($E164&gt;0,LOWER($F164)&lt;&gt;"да"),"сумма есть, подписи обеих сторон нет — отдельно обсудите с юристом",IF(AND($G164&lt;&gt;"",$I164=""),"направлено, но подтверждение направления не указано",IF($K164="","отметьте, идёт ли копия в пакет",IF($L164="после принятия заявления","после принятия заявления — возможно текущий платёж (ст. 5), к юристу","")))))</f>
        <v/>
      </c>
    </row>
    <row r="165">
      <c r="A165" s="11">
        <f>IF($B165="","",ROW()-3)</f>
        <v/>
      </c>
      <c r="B165" s="4" t="n"/>
      <c r="C165" s="4" t="n"/>
      <c r="D165" s="6" t="n"/>
      <c r="E165" s="12" t="n"/>
      <c r="F165" s="4" t="n"/>
      <c r="G165" s="6" t="n"/>
      <c r="H165" s="4" t="n"/>
      <c r="I165" s="4" t="n"/>
      <c r="J165" s="4" t="n"/>
      <c r="K165" s="4" t="n"/>
      <c r="L165" s="11">
        <f>IF($D165="","",IF('Объект и должник'!$B$14="","дата принятия заявления не заполнена",IF($D165&lt;'Объект и должник'!$B$14,"до принятия заявления","после принятия заявления")))</f>
        <v/>
      </c>
      <c r="M165" s="13">
        <f>IF($B165="","",IF(AND($E165&gt;0,LOWER($F165)&lt;&gt;"да"),"сумма есть, подписи обеих сторон нет — отдельно обсудите с юристом",IF(AND($G165&lt;&gt;"",$I165=""),"направлено, но подтверждение направления не указано",IF($K165="","отметьте, идёт ли копия в пакет",IF($L165="после принятия заявления","после принятия заявления — возможно текущий платёж (ст. 5), к юристу","")))))</f>
        <v/>
      </c>
    </row>
    <row r="166">
      <c r="A166" s="11">
        <f>IF($B166="","",ROW()-3)</f>
        <v/>
      </c>
      <c r="B166" s="4" t="n"/>
      <c r="C166" s="4" t="n"/>
      <c r="D166" s="6" t="n"/>
      <c r="E166" s="12" t="n"/>
      <c r="F166" s="4" t="n"/>
      <c r="G166" s="6" t="n"/>
      <c r="H166" s="4" t="n"/>
      <c r="I166" s="4" t="n"/>
      <c r="J166" s="4" t="n"/>
      <c r="K166" s="4" t="n"/>
      <c r="L166" s="11">
        <f>IF($D166="","",IF('Объект и должник'!$B$14="","дата принятия заявления не заполнена",IF($D166&lt;'Объект и должник'!$B$14,"до принятия заявления","после принятия заявления")))</f>
        <v/>
      </c>
      <c r="M166" s="13">
        <f>IF($B166="","",IF(AND($E166&gt;0,LOWER($F166)&lt;&gt;"да"),"сумма есть, подписи обеих сторон нет — отдельно обсудите с юристом",IF(AND($G166&lt;&gt;"",$I166=""),"направлено, но подтверждение направления не указано",IF($K166="","отметьте, идёт ли копия в пакет",IF($L166="после принятия заявления","после принятия заявления — возможно текущий платёж (ст. 5), к юристу","")))))</f>
        <v/>
      </c>
    </row>
    <row r="167">
      <c r="A167" s="11">
        <f>IF($B167="","",ROW()-3)</f>
        <v/>
      </c>
      <c r="B167" s="4" t="n"/>
      <c r="C167" s="4" t="n"/>
      <c r="D167" s="6" t="n"/>
      <c r="E167" s="12" t="n"/>
      <c r="F167" s="4" t="n"/>
      <c r="G167" s="6" t="n"/>
      <c r="H167" s="4" t="n"/>
      <c r="I167" s="4" t="n"/>
      <c r="J167" s="4" t="n"/>
      <c r="K167" s="4" t="n"/>
      <c r="L167" s="11">
        <f>IF($D167="","",IF('Объект и должник'!$B$14="","дата принятия заявления не заполнена",IF($D167&lt;'Объект и должник'!$B$14,"до принятия заявления","после принятия заявления")))</f>
        <v/>
      </c>
      <c r="M167" s="13">
        <f>IF($B167="","",IF(AND($E167&gt;0,LOWER($F167)&lt;&gt;"да"),"сумма есть, подписи обеих сторон нет — отдельно обсудите с юристом",IF(AND($G167&lt;&gt;"",$I167=""),"направлено, но подтверждение направления не указано",IF($K167="","отметьте, идёт ли копия в пакет",IF($L167="после принятия заявления","после принятия заявления — возможно текущий платёж (ст. 5), к юристу","")))))</f>
        <v/>
      </c>
    </row>
    <row r="168">
      <c r="A168" s="11">
        <f>IF($B168="","",ROW()-3)</f>
        <v/>
      </c>
      <c r="B168" s="4" t="n"/>
      <c r="C168" s="4" t="n"/>
      <c r="D168" s="6" t="n"/>
      <c r="E168" s="12" t="n"/>
      <c r="F168" s="4" t="n"/>
      <c r="G168" s="6" t="n"/>
      <c r="H168" s="4" t="n"/>
      <c r="I168" s="4" t="n"/>
      <c r="J168" s="4" t="n"/>
      <c r="K168" s="4" t="n"/>
      <c r="L168" s="11">
        <f>IF($D168="","",IF('Объект и должник'!$B$14="","дата принятия заявления не заполнена",IF($D168&lt;'Объект и должник'!$B$14,"до принятия заявления","после принятия заявления")))</f>
        <v/>
      </c>
      <c r="M168" s="13">
        <f>IF($B168="","",IF(AND($E168&gt;0,LOWER($F168)&lt;&gt;"да"),"сумма есть, подписи обеих сторон нет — отдельно обсудите с юристом",IF(AND($G168&lt;&gt;"",$I168=""),"направлено, но подтверждение направления не указано",IF($K168="","отметьте, идёт ли копия в пакет",IF($L168="после принятия заявления","после принятия заявления — возможно текущий платёж (ст. 5), к юристу","")))))</f>
        <v/>
      </c>
    </row>
    <row r="169">
      <c r="A169" s="11">
        <f>IF($B169="","",ROW()-3)</f>
        <v/>
      </c>
      <c r="B169" s="4" t="n"/>
      <c r="C169" s="4" t="n"/>
      <c r="D169" s="6" t="n"/>
      <c r="E169" s="12" t="n"/>
      <c r="F169" s="4" t="n"/>
      <c r="G169" s="6" t="n"/>
      <c r="H169" s="4" t="n"/>
      <c r="I169" s="4" t="n"/>
      <c r="J169" s="4" t="n"/>
      <c r="K169" s="4" t="n"/>
      <c r="L169" s="11">
        <f>IF($D169="","",IF('Объект и должник'!$B$14="","дата принятия заявления не заполнена",IF($D169&lt;'Объект и должник'!$B$14,"до принятия заявления","после принятия заявления")))</f>
        <v/>
      </c>
      <c r="M169" s="13">
        <f>IF($B169="","",IF(AND($E169&gt;0,LOWER($F169)&lt;&gt;"да"),"сумма есть, подписи обеих сторон нет — отдельно обсудите с юристом",IF(AND($G169&lt;&gt;"",$I169=""),"направлено, но подтверждение направления не указано",IF($K169="","отметьте, идёт ли копия в пакет",IF($L169="после принятия заявления","после принятия заявления — возможно текущий платёж (ст. 5), к юристу","")))))</f>
        <v/>
      </c>
    </row>
    <row r="170">
      <c r="A170" s="11">
        <f>IF($B170="","",ROW()-3)</f>
        <v/>
      </c>
      <c r="B170" s="4" t="n"/>
      <c r="C170" s="4" t="n"/>
      <c r="D170" s="6" t="n"/>
      <c r="E170" s="12" t="n"/>
      <c r="F170" s="4" t="n"/>
      <c r="G170" s="6" t="n"/>
      <c r="H170" s="4" t="n"/>
      <c r="I170" s="4" t="n"/>
      <c r="J170" s="4" t="n"/>
      <c r="K170" s="4" t="n"/>
      <c r="L170" s="11">
        <f>IF($D170="","",IF('Объект и должник'!$B$14="","дата принятия заявления не заполнена",IF($D170&lt;'Объект и должник'!$B$14,"до принятия заявления","после принятия заявления")))</f>
        <v/>
      </c>
      <c r="M170" s="13">
        <f>IF($B170="","",IF(AND($E170&gt;0,LOWER($F170)&lt;&gt;"да"),"сумма есть, подписи обеих сторон нет — отдельно обсудите с юристом",IF(AND($G170&lt;&gt;"",$I170=""),"направлено, но подтверждение направления не указано",IF($K170="","отметьте, идёт ли копия в пакет",IF($L170="после принятия заявления","после принятия заявления — возможно текущий платёж (ст. 5), к юристу","")))))</f>
        <v/>
      </c>
    </row>
    <row r="171">
      <c r="A171" s="11">
        <f>IF($B171="","",ROW()-3)</f>
        <v/>
      </c>
      <c r="B171" s="4" t="n"/>
      <c r="C171" s="4" t="n"/>
      <c r="D171" s="6" t="n"/>
      <c r="E171" s="12" t="n"/>
      <c r="F171" s="4" t="n"/>
      <c r="G171" s="6" t="n"/>
      <c r="H171" s="4" t="n"/>
      <c r="I171" s="4" t="n"/>
      <c r="J171" s="4" t="n"/>
      <c r="K171" s="4" t="n"/>
      <c r="L171" s="11">
        <f>IF($D171="","",IF('Объект и должник'!$B$14="","дата принятия заявления не заполнена",IF($D171&lt;'Объект и должник'!$B$14,"до принятия заявления","после принятия заявления")))</f>
        <v/>
      </c>
      <c r="M171" s="13">
        <f>IF($B171="","",IF(AND($E171&gt;0,LOWER($F171)&lt;&gt;"да"),"сумма есть, подписи обеих сторон нет — отдельно обсудите с юристом",IF(AND($G171&lt;&gt;"",$I171=""),"направлено, но подтверждение направления не указано",IF($K171="","отметьте, идёт ли копия в пакет",IF($L171="после принятия заявления","после принятия заявления — возможно текущий платёж (ст. 5), к юристу","")))))</f>
        <v/>
      </c>
    </row>
    <row r="172">
      <c r="A172" s="11">
        <f>IF($B172="","",ROW()-3)</f>
        <v/>
      </c>
      <c r="B172" s="4" t="n"/>
      <c r="C172" s="4" t="n"/>
      <c r="D172" s="6" t="n"/>
      <c r="E172" s="12" t="n"/>
      <c r="F172" s="4" t="n"/>
      <c r="G172" s="6" t="n"/>
      <c r="H172" s="4" t="n"/>
      <c r="I172" s="4" t="n"/>
      <c r="J172" s="4" t="n"/>
      <c r="K172" s="4" t="n"/>
      <c r="L172" s="11">
        <f>IF($D172="","",IF('Объект и должник'!$B$14="","дата принятия заявления не заполнена",IF($D172&lt;'Объект и должник'!$B$14,"до принятия заявления","после принятия заявления")))</f>
        <v/>
      </c>
      <c r="M172" s="13">
        <f>IF($B172="","",IF(AND($E172&gt;0,LOWER($F172)&lt;&gt;"да"),"сумма есть, подписи обеих сторон нет — отдельно обсудите с юристом",IF(AND($G172&lt;&gt;"",$I172=""),"направлено, но подтверждение направления не указано",IF($K172="","отметьте, идёт ли копия в пакет",IF($L172="после принятия заявления","после принятия заявления — возможно текущий платёж (ст. 5), к юристу","")))))</f>
        <v/>
      </c>
    </row>
    <row r="173">
      <c r="A173" s="11">
        <f>IF($B173="","",ROW()-3)</f>
        <v/>
      </c>
      <c r="B173" s="4" t="n"/>
      <c r="C173" s="4" t="n"/>
      <c r="D173" s="6" t="n"/>
      <c r="E173" s="12" t="n"/>
      <c r="F173" s="4" t="n"/>
      <c r="G173" s="6" t="n"/>
      <c r="H173" s="4" t="n"/>
      <c r="I173" s="4" t="n"/>
      <c r="J173" s="4" t="n"/>
      <c r="K173" s="4" t="n"/>
      <c r="L173" s="11">
        <f>IF($D173="","",IF('Объект и должник'!$B$14="","дата принятия заявления не заполнена",IF($D173&lt;'Объект и должник'!$B$14,"до принятия заявления","после принятия заявления")))</f>
        <v/>
      </c>
      <c r="M173" s="13">
        <f>IF($B173="","",IF(AND($E173&gt;0,LOWER($F173)&lt;&gt;"да"),"сумма есть, подписи обеих сторон нет — отдельно обсудите с юристом",IF(AND($G173&lt;&gt;"",$I173=""),"направлено, но подтверждение направления не указано",IF($K173="","отметьте, идёт ли копия в пакет",IF($L173="после принятия заявления","после принятия заявления — возможно текущий платёж (ст. 5), к юристу","")))))</f>
        <v/>
      </c>
    </row>
    <row r="174">
      <c r="A174" s="11">
        <f>IF($B174="","",ROW()-3)</f>
        <v/>
      </c>
      <c r="B174" s="4" t="n"/>
      <c r="C174" s="4" t="n"/>
      <c r="D174" s="6" t="n"/>
      <c r="E174" s="12" t="n"/>
      <c r="F174" s="4" t="n"/>
      <c r="G174" s="6" t="n"/>
      <c r="H174" s="4" t="n"/>
      <c r="I174" s="4" t="n"/>
      <c r="J174" s="4" t="n"/>
      <c r="K174" s="4" t="n"/>
      <c r="L174" s="11">
        <f>IF($D174="","",IF('Объект и должник'!$B$14="","дата принятия заявления не заполнена",IF($D174&lt;'Объект и должник'!$B$14,"до принятия заявления","после принятия заявления")))</f>
        <v/>
      </c>
      <c r="M174" s="13">
        <f>IF($B174="","",IF(AND($E174&gt;0,LOWER($F174)&lt;&gt;"да"),"сумма есть, подписи обеих сторон нет — отдельно обсудите с юристом",IF(AND($G174&lt;&gt;"",$I174=""),"направлено, но подтверждение направления не указано",IF($K174="","отметьте, идёт ли копия в пакет",IF($L174="после принятия заявления","после принятия заявления — возможно текущий платёж (ст. 5), к юристу","")))))</f>
        <v/>
      </c>
    </row>
    <row r="175">
      <c r="A175" s="11">
        <f>IF($B175="","",ROW()-3)</f>
        <v/>
      </c>
      <c r="B175" s="4" t="n"/>
      <c r="C175" s="4" t="n"/>
      <c r="D175" s="6" t="n"/>
      <c r="E175" s="12" t="n"/>
      <c r="F175" s="4" t="n"/>
      <c r="G175" s="6" t="n"/>
      <c r="H175" s="4" t="n"/>
      <c r="I175" s="4" t="n"/>
      <c r="J175" s="4" t="n"/>
      <c r="K175" s="4" t="n"/>
      <c r="L175" s="11">
        <f>IF($D175="","",IF('Объект и должник'!$B$14="","дата принятия заявления не заполнена",IF($D175&lt;'Объект и должник'!$B$14,"до принятия заявления","после принятия заявления")))</f>
        <v/>
      </c>
      <c r="M175" s="13">
        <f>IF($B175="","",IF(AND($E175&gt;0,LOWER($F175)&lt;&gt;"да"),"сумма есть, подписи обеих сторон нет — отдельно обсудите с юристом",IF(AND($G175&lt;&gt;"",$I175=""),"направлено, но подтверждение направления не указано",IF($K175="","отметьте, идёт ли копия в пакет",IF($L175="после принятия заявления","после принятия заявления — возможно текущий платёж (ст. 5), к юристу","")))))</f>
        <v/>
      </c>
    </row>
    <row r="176">
      <c r="A176" s="11">
        <f>IF($B176="","",ROW()-3)</f>
        <v/>
      </c>
      <c r="B176" s="4" t="n"/>
      <c r="C176" s="4" t="n"/>
      <c r="D176" s="6" t="n"/>
      <c r="E176" s="12" t="n"/>
      <c r="F176" s="4" t="n"/>
      <c r="G176" s="6" t="n"/>
      <c r="H176" s="4" t="n"/>
      <c r="I176" s="4" t="n"/>
      <c r="J176" s="4" t="n"/>
      <c r="K176" s="4" t="n"/>
      <c r="L176" s="11">
        <f>IF($D176="","",IF('Объект и должник'!$B$14="","дата принятия заявления не заполнена",IF($D176&lt;'Объект и должник'!$B$14,"до принятия заявления","после принятия заявления")))</f>
        <v/>
      </c>
      <c r="M176" s="13">
        <f>IF($B176="","",IF(AND($E176&gt;0,LOWER($F176)&lt;&gt;"да"),"сумма есть, подписи обеих сторон нет — отдельно обсудите с юристом",IF(AND($G176&lt;&gt;"",$I176=""),"направлено, но подтверждение направления не указано",IF($K176="","отметьте, идёт ли копия в пакет",IF($L176="после принятия заявления","после принятия заявления — возможно текущий платёж (ст. 5), к юристу","")))))</f>
        <v/>
      </c>
    </row>
    <row r="177">
      <c r="A177" s="11">
        <f>IF($B177="","",ROW()-3)</f>
        <v/>
      </c>
      <c r="B177" s="4" t="n"/>
      <c r="C177" s="4" t="n"/>
      <c r="D177" s="6" t="n"/>
      <c r="E177" s="12" t="n"/>
      <c r="F177" s="4" t="n"/>
      <c r="G177" s="6" t="n"/>
      <c r="H177" s="4" t="n"/>
      <c r="I177" s="4" t="n"/>
      <c r="J177" s="4" t="n"/>
      <c r="K177" s="4" t="n"/>
      <c r="L177" s="11">
        <f>IF($D177="","",IF('Объект и должник'!$B$14="","дата принятия заявления не заполнена",IF($D177&lt;'Объект и должник'!$B$14,"до принятия заявления","после принятия заявления")))</f>
        <v/>
      </c>
      <c r="M177" s="13">
        <f>IF($B177="","",IF(AND($E177&gt;0,LOWER($F177)&lt;&gt;"да"),"сумма есть, подписи обеих сторон нет — отдельно обсудите с юристом",IF(AND($G177&lt;&gt;"",$I177=""),"направлено, но подтверждение направления не указано",IF($K177="","отметьте, идёт ли копия в пакет",IF($L177="после принятия заявления","после принятия заявления — возможно текущий платёж (ст. 5), к юристу","")))))</f>
        <v/>
      </c>
    </row>
    <row r="178">
      <c r="A178" s="11">
        <f>IF($B178="","",ROW()-3)</f>
        <v/>
      </c>
      <c r="B178" s="4" t="n"/>
      <c r="C178" s="4" t="n"/>
      <c r="D178" s="6" t="n"/>
      <c r="E178" s="12" t="n"/>
      <c r="F178" s="4" t="n"/>
      <c r="G178" s="6" t="n"/>
      <c r="H178" s="4" t="n"/>
      <c r="I178" s="4" t="n"/>
      <c r="J178" s="4" t="n"/>
      <c r="K178" s="4" t="n"/>
      <c r="L178" s="11">
        <f>IF($D178="","",IF('Объект и должник'!$B$14="","дата принятия заявления не заполнена",IF($D178&lt;'Объект и должник'!$B$14,"до принятия заявления","после принятия заявления")))</f>
        <v/>
      </c>
      <c r="M178" s="13">
        <f>IF($B178="","",IF(AND($E178&gt;0,LOWER($F178)&lt;&gt;"да"),"сумма есть, подписи обеих сторон нет — отдельно обсудите с юристом",IF(AND($G178&lt;&gt;"",$I178=""),"направлено, но подтверждение направления не указано",IF($K178="","отметьте, идёт ли копия в пакет",IF($L178="после принятия заявления","после принятия заявления — возможно текущий платёж (ст. 5), к юристу","")))))</f>
        <v/>
      </c>
    </row>
    <row r="179">
      <c r="A179" s="11">
        <f>IF($B179="","",ROW()-3)</f>
        <v/>
      </c>
      <c r="B179" s="4" t="n"/>
      <c r="C179" s="4" t="n"/>
      <c r="D179" s="6" t="n"/>
      <c r="E179" s="12" t="n"/>
      <c r="F179" s="4" t="n"/>
      <c r="G179" s="6" t="n"/>
      <c r="H179" s="4" t="n"/>
      <c r="I179" s="4" t="n"/>
      <c r="J179" s="4" t="n"/>
      <c r="K179" s="4" t="n"/>
      <c r="L179" s="11">
        <f>IF($D179="","",IF('Объект и должник'!$B$14="","дата принятия заявления не заполнена",IF($D179&lt;'Объект и должник'!$B$14,"до принятия заявления","после принятия заявления")))</f>
        <v/>
      </c>
      <c r="M179" s="13">
        <f>IF($B179="","",IF(AND($E179&gt;0,LOWER($F179)&lt;&gt;"да"),"сумма есть, подписи обеих сторон нет — отдельно обсудите с юристом",IF(AND($G179&lt;&gt;"",$I179=""),"направлено, но подтверждение направления не указано",IF($K179="","отметьте, идёт ли копия в пакет",IF($L179="после принятия заявления","после принятия заявления — возможно текущий платёж (ст. 5), к юристу","")))))</f>
        <v/>
      </c>
    </row>
    <row r="180">
      <c r="A180" s="11">
        <f>IF($B180="","",ROW()-3)</f>
        <v/>
      </c>
      <c r="B180" s="4" t="n"/>
      <c r="C180" s="4" t="n"/>
      <c r="D180" s="6" t="n"/>
      <c r="E180" s="12" t="n"/>
      <c r="F180" s="4" t="n"/>
      <c r="G180" s="6" t="n"/>
      <c r="H180" s="4" t="n"/>
      <c r="I180" s="4" t="n"/>
      <c r="J180" s="4" t="n"/>
      <c r="K180" s="4" t="n"/>
      <c r="L180" s="11">
        <f>IF($D180="","",IF('Объект и должник'!$B$14="","дата принятия заявления не заполнена",IF($D180&lt;'Объект и должник'!$B$14,"до принятия заявления","после принятия заявления")))</f>
        <v/>
      </c>
      <c r="M180" s="13">
        <f>IF($B180="","",IF(AND($E180&gt;0,LOWER($F180)&lt;&gt;"да"),"сумма есть, подписи обеих сторон нет — отдельно обсудите с юристом",IF(AND($G180&lt;&gt;"",$I180=""),"направлено, но подтверждение направления не указано",IF($K180="","отметьте, идёт ли копия в пакет",IF($L180="после принятия заявления","после принятия заявления — возможно текущий платёж (ст. 5), к юристу","")))))</f>
        <v/>
      </c>
    </row>
    <row r="181">
      <c r="A181" s="11">
        <f>IF($B181="","",ROW()-3)</f>
        <v/>
      </c>
      <c r="B181" s="4" t="n"/>
      <c r="C181" s="4" t="n"/>
      <c r="D181" s="6" t="n"/>
      <c r="E181" s="12" t="n"/>
      <c r="F181" s="4" t="n"/>
      <c r="G181" s="6" t="n"/>
      <c r="H181" s="4" t="n"/>
      <c r="I181" s="4" t="n"/>
      <c r="J181" s="4" t="n"/>
      <c r="K181" s="4" t="n"/>
      <c r="L181" s="11">
        <f>IF($D181="","",IF('Объект и должник'!$B$14="","дата принятия заявления не заполнена",IF($D181&lt;'Объект и должник'!$B$14,"до принятия заявления","после принятия заявления")))</f>
        <v/>
      </c>
      <c r="M181" s="13">
        <f>IF($B181="","",IF(AND($E181&gt;0,LOWER($F181)&lt;&gt;"да"),"сумма есть, подписи обеих сторон нет — отдельно обсудите с юристом",IF(AND($G181&lt;&gt;"",$I181=""),"направлено, но подтверждение направления не указано",IF($K181="","отметьте, идёт ли копия в пакет",IF($L181="после принятия заявления","после принятия заявления — возможно текущий платёж (ст. 5), к юристу","")))))</f>
        <v/>
      </c>
    </row>
    <row r="182">
      <c r="A182" s="11">
        <f>IF($B182="","",ROW()-3)</f>
        <v/>
      </c>
      <c r="B182" s="4" t="n"/>
      <c r="C182" s="4" t="n"/>
      <c r="D182" s="6" t="n"/>
      <c r="E182" s="12" t="n"/>
      <c r="F182" s="4" t="n"/>
      <c r="G182" s="6" t="n"/>
      <c r="H182" s="4" t="n"/>
      <c r="I182" s="4" t="n"/>
      <c r="J182" s="4" t="n"/>
      <c r="K182" s="4" t="n"/>
      <c r="L182" s="11">
        <f>IF($D182="","",IF('Объект и должник'!$B$14="","дата принятия заявления не заполнена",IF($D182&lt;'Объект и должник'!$B$14,"до принятия заявления","после принятия заявления")))</f>
        <v/>
      </c>
      <c r="M182" s="13">
        <f>IF($B182="","",IF(AND($E182&gt;0,LOWER($F182)&lt;&gt;"да"),"сумма есть, подписи обеих сторон нет — отдельно обсудите с юристом",IF(AND($G182&lt;&gt;"",$I182=""),"направлено, но подтверждение направления не указано",IF($K182="","отметьте, идёт ли копия в пакет",IF($L182="после принятия заявления","после принятия заявления — возможно текущий платёж (ст. 5), к юристу","")))))</f>
        <v/>
      </c>
    </row>
    <row r="183">
      <c r="A183" s="11">
        <f>IF($B183="","",ROW()-3)</f>
        <v/>
      </c>
      <c r="B183" s="4" t="n"/>
      <c r="C183" s="4" t="n"/>
      <c r="D183" s="6" t="n"/>
      <c r="E183" s="12" t="n"/>
      <c r="F183" s="4" t="n"/>
      <c r="G183" s="6" t="n"/>
      <c r="H183" s="4" t="n"/>
      <c r="I183" s="4" t="n"/>
      <c r="J183" s="4" t="n"/>
      <c r="K183" s="4" t="n"/>
      <c r="L183" s="11">
        <f>IF($D183="","",IF('Объект и должник'!$B$14="","дата принятия заявления не заполнена",IF($D183&lt;'Объект и должник'!$B$14,"до принятия заявления","после принятия заявления")))</f>
        <v/>
      </c>
      <c r="M183" s="13">
        <f>IF($B183="","",IF(AND($E183&gt;0,LOWER($F183)&lt;&gt;"да"),"сумма есть, подписи обеих сторон нет — отдельно обсудите с юристом",IF(AND($G183&lt;&gt;"",$I183=""),"направлено, но подтверждение направления не указано",IF($K183="","отметьте, идёт ли копия в пакет",IF($L183="после принятия заявления","после принятия заявления — возможно текущий платёж (ст. 5), к юристу","")))))</f>
        <v/>
      </c>
    </row>
    <row r="184">
      <c r="A184" s="11">
        <f>IF($B184="","",ROW()-3)</f>
        <v/>
      </c>
      <c r="B184" s="4" t="n"/>
      <c r="C184" s="4" t="n"/>
      <c r="D184" s="6" t="n"/>
      <c r="E184" s="12" t="n"/>
      <c r="F184" s="4" t="n"/>
      <c r="G184" s="6" t="n"/>
      <c r="H184" s="4" t="n"/>
      <c r="I184" s="4" t="n"/>
      <c r="J184" s="4" t="n"/>
      <c r="K184" s="4" t="n"/>
      <c r="L184" s="11">
        <f>IF($D184="","",IF('Объект и должник'!$B$14="","дата принятия заявления не заполнена",IF($D184&lt;'Объект и должник'!$B$14,"до принятия заявления","после принятия заявления")))</f>
        <v/>
      </c>
      <c r="M184" s="13">
        <f>IF($B184="","",IF(AND($E184&gt;0,LOWER($F184)&lt;&gt;"да"),"сумма есть, подписи обеих сторон нет — отдельно обсудите с юристом",IF(AND($G184&lt;&gt;"",$I184=""),"направлено, но подтверждение направления не указано",IF($K184="","отметьте, идёт ли копия в пакет",IF($L184="после принятия заявления","после принятия заявления — возможно текущий платёж (ст. 5), к юристу","")))))</f>
        <v/>
      </c>
    </row>
    <row r="185">
      <c r="A185" s="11">
        <f>IF($B185="","",ROW()-3)</f>
        <v/>
      </c>
      <c r="B185" s="4" t="n"/>
      <c r="C185" s="4" t="n"/>
      <c r="D185" s="6" t="n"/>
      <c r="E185" s="12" t="n"/>
      <c r="F185" s="4" t="n"/>
      <c r="G185" s="6" t="n"/>
      <c r="H185" s="4" t="n"/>
      <c r="I185" s="4" t="n"/>
      <c r="J185" s="4" t="n"/>
      <c r="K185" s="4" t="n"/>
      <c r="L185" s="11">
        <f>IF($D185="","",IF('Объект и должник'!$B$14="","дата принятия заявления не заполнена",IF($D185&lt;'Объект и должник'!$B$14,"до принятия заявления","после принятия заявления")))</f>
        <v/>
      </c>
      <c r="M185" s="13">
        <f>IF($B185="","",IF(AND($E185&gt;0,LOWER($F185)&lt;&gt;"да"),"сумма есть, подписи обеих сторон нет — отдельно обсудите с юристом",IF(AND($G185&lt;&gt;"",$I185=""),"направлено, но подтверждение направления не указано",IF($K185="","отметьте, идёт ли копия в пакет",IF($L185="после принятия заявления","после принятия заявления — возможно текущий платёж (ст. 5), к юристу","")))))</f>
        <v/>
      </c>
    </row>
    <row r="186">
      <c r="A186" s="11">
        <f>IF($B186="","",ROW()-3)</f>
        <v/>
      </c>
      <c r="B186" s="4" t="n"/>
      <c r="C186" s="4" t="n"/>
      <c r="D186" s="6" t="n"/>
      <c r="E186" s="12" t="n"/>
      <c r="F186" s="4" t="n"/>
      <c r="G186" s="6" t="n"/>
      <c r="H186" s="4" t="n"/>
      <c r="I186" s="4" t="n"/>
      <c r="J186" s="4" t="n"/>
      <c r="K186" s="4" t="n"/>
      <c r="L186" s="11">
        <f>IF($D186="","",IF('Объект и должник'!$B$14="","дата принятия заявления не заполнена",IF($D186&lt;'Объект и должник'!$B$14,"до принятия заявления","после принятия заявления")))</f>
        <v/>
      </c>
      <c r="M186" s="13">
        <f>IF($B186="","",IF(AND($E186&gt;0,LOWER($F186)&lt;&gt;"да"),"сумма есть, подписи обеих сторон нет — отдельно обсудите с юристом",IF(AND($G186&lt;&gt;"",$I186=""),"направлено, но подтверждение направления не указано",IF($K186="","отметьте, идёт ли копия в пакет",IF($L186="после принятия заявления","после принятия заявления — возможно текущий платёж (ст. 5), к юристу","")))))</f>
        <v/>
      </c>
    </row>
    <row r="187">
      <c r="A187" s="11">
        <f>IF($B187="","",ROW()-3)</f>
        <v/>
      </c>
      <c r="B187" s="4" t="n"/>
      <c r="C187" s="4" t="n"/>
      <c r="D187" s="6" t="n"/>
      <c r="E187" s="12" t="n"/>
      <c r="F187" s="4" t="n"/>
      <c r="G187" s="6" t="n"/>
      <c r="H187" s="4" t="n"/>
      <c r="I187" s="4" t="n"/>
      <c r="J187" s="4" t="n"/>
      <c r="K187" s="4" t="n"/>
      <c r="L187" s="11">
        <f>IF($D187="","",IF('Объект и должник'!$B$14="","дата принятия заявления не заполнена",IF($D187&lt;'Объект и должник'!$B$14,"до принятия заявления","после принятия заявления")))</f>
        <v/>
      </c>
      <c r="M187" s="13">
        <f>IF($B187="","",IF(AND($E187&gt;0,LOWER($F187)&lt;&gt;"да"),"сумма есть, подписи обеих сторон нет — отдельно обсудите с юристом",IF(AND($G187&lt;&gt;"",$I187=""),"направлено, но подтверждение направления не указано",IF($K187="","отметьте, идёт ли копия в пакет",IF($L187="после принятия заявления","после принятия заявления — возможно текущий платёж (ст. 5), к юристу","")))))</f>
        <v/>
      </c>
    </row>
    <row r="188">
      <c r="A188" s="11">
        <f>IF($B188="","",ROW()-3)</f>
        <v/>
      </c>
      <c r="B188" s="4" t="n"/>
      <c r="C188" s="4" t="n"/>
      <c r="D188" s="6" t="n"/>
      <c r="E188" s="12" t="n"/>
      <c r="F188" s="4" t="n"/>
      <c r="G188" s="6" t="n"/>
      <c r="H188" s="4" t="n"/>
      <c r="I188" s="4" t="n"/>
      <c r="J188" s="4" t="n"/>
      <c r="K188" s="4" t="n"/>
      <c r="L188" s="11">
        <f>IF($D188="","",IF('Объект и должник'!$B$14="","дата принятия заявления не заполнена",IF($D188&lt;'Объект и должник'!$B$14,"до принятия заявления","после принятия заявления")))</f>
        <v/>
      </c>
      <c r="M188" s="13">
        <f>IF($B188="","",IF(AND($E188&gt;0,LOWER($F188)&lt;&gt;"да"),"сумма есть, подписи обеих сторон нет — отдельно обсудите с юристом",IF(AND($G188&lt;&gt;"",$I188=""),"направлено, но подтверждение направления не указано",IF($K188="","отметьте, идёт ли копия в пакет",IF($L188="после принятия заявления","после принятия заявления — возможно текущий платёж (ст. 5), к юристу","")))))</f>
        <v/>
      </c>
    </row>
    <row r="189">
      <c r="A189" s="11">
        <f>IF($B189="","",ROW()-3)</f>
        <v/>
      </c>
      <c r="B189" s="4" t="n"/>
      <c r="C189" s="4" t="n"/>
      <c r="D189" s="6" t="n"/>
      <c r="E189" s="12" t="n"/>
      <c r="F189" s="4" t="n"/>
      <c r="G189" s="6" t="n"/>
      <c r="H189" s="4" t="n"/>
      <c r="I189" s="4" t="n"/>
      <c r="J189" s="4" t="n"/>
      <c r="K189" s="4" t="n"/>
      <c r="L189" s="11">
        <f>IF($D189="","",IF('Объект и должник'!$B$14="","дата принятия заявления не заполнена",IF($D189&lt;'Объект и должник'!$B$14,"до принятия заявления","после принятия заявления")))</f>
        <v/>
      </c>
      <c r="M189" s="13">
        <f>IF($B189="","",IF(AND($E189&gt;0,LOWER($F189)&lt;&gt;"да"),"сумма есть, подписи обеих сторон нет — отдельно обсудите с юристом",IF(AND($G189&lt;&gt;"",$I189=""),"направлено, но подтверждение направления не указано",IF($K189="","отметьте, идёт ли копия в пакет",IF($L189="после принятия заявления","после принятия заявления — возможно текущий платёж (ст. 5), к юристу","")))))</f>
        <v/>
      </c>
    </row>
    <row r="190">
      <c r="A190" s="11">
        <f>IF($B190="","",ROW()-3)</f>
        <v/>
      </c>
      <c r="B190" s="4" t="n"/>
      <c r="C190" s="4" t="n"/>
      <c r="D190" s="6" t="n"/>
      <c r="E190" s="12" t="n"/>
      <c r="F190" s="4" t="n"/>
      <c r="G190" s="6" t="n"/>
      <c r="H190" s="4" t="n"/>
      <c r="I190" s="4" t="n"/>
      <c r="J190" s="4" t="n"/>
      <c r="K190" s="4" t="n"/>
      <c r="L190" s="11">
        <f>IF($D190="","",IF('Объект и должник'!$B$14="","дата принятия заявления не заполнена",IF($D190&lt;'Объект и должник'!$B$14,"до принятия заявления","после принятия заявления")))</f>
        <v/>
      </c>
      <c r="M190" s="13">
        <f>IF($B190="","",IF(AND($E190&gt;0,LOWER($F190)&lt;&gt;"да"),"сумма есть, подписи обеих сторон нет — отдельно обсудите с юристом",IF(AND($G190&lt;&gt;"",$I190=""),"направлено, но подтверждение направления не указано",IF($K190="","отметьте, идёт ли копия в пакет",IF($L190="после принятия заявления","после принятия заявления — возможно текущий платёж (ст. 5), к юристу","")))))</f>
        <v/>
      </c>
    </row>
    <row r="191">
      <c r="A191" s="11">
        <f>IF($B191="","",ROW()-3)</f>
        <v/>
      </c>
      <c r="B191" s="4" t="n"/>
      <c r="C191" s="4" t="n"/>
      <c r="D191" s="6" t="n"/>
      <c r="E191" s="12" t="n"/>
      <c r="F191" s="4" t="n"/>
      <c r="G191" s="6" t="n"/>
      <c r="H191" s="4" t="n"/>
      <c r="I191" s="4" t="n"/>
      <c r="J191" s="4" t="n"/>
      <c r="K191" s="4" t="n"/>
      <c r="L191" s="11">
        <f>IF($D191="","",IF('Объект и должник'!$B$14="","дата принятия заявления не заполнена",IF($D191&lt;'Объект и должник'!$B$14,"до принятия заявления","после принятия заявления")))</f>
        <v/>
      </c>
      <c r="M191" s="13">
        <f>IF($B191="","",IF(AND($E191&gt;0,LOWER($F191)&lt;&gt;"да"),"сумма есть, подписи обеих сторон нет — отдельно обсудите с юристом",IF(AND($G191&lt;&gt;"",$I191=""),"направлено, но подтверждение направления не указано",IF($K191="","отметьте, идёт ли копия в пакет",IF($L191="после принятия заявления","после принятия заявления — возможно текущий платёж (ст. 5), к юристу","")))))</f>
        <v/>
      </c>
    </row>
    <row r="192">
      <c r="A192" s="11">
        <f>IF($B192="","",ROW()-3)</f>
        <v/>
      </c>
      <c r="B192" s="4" t="n"/>
      <c r="C192" s="4" t="n"/>
      <c r="D192" s="6" t="n"/>
      <c r="E192" s="12" t="n"/>
      <c r="F192" s="4" t="n"/>
      <c r="G192" s="6" t="n"/>
      <c r="H192" s="4" t="n"/>
      <c r="I192" s="4" t="n"/>
      <c r="J192" s="4" t="n"/>
      <c r="K192" s="4" t="n"/>
      <c r="L192" s="11">
        <f>IF($D192="","",IF('Объект и должник'!$B$14="","дата принятия заявления не заполнена",IF($D192&lt;'Объект и должник'!$B$14,"до принятия заявления","после принятия заявления")))</f>
        <v/>
      </c>
      <c r="M192" s="13">
        <f>IF($B192="","",IF(AND($E192&gt;0,LOWER($F192)&lt;&gt;"да"),"сумма есть, подписи обеих сторон нет — отдельно обсудите с юристом",IF(AND($G192&lt;&gt;"",$I192=""),"направлено, но подтверждение направления не указано",IF($K192="","отметьте, идёт ли копия в пакет",IF($L192="после принятия заявления","после принятия заявления — возможно текущий платёж (ст. 5), к юристу","")))))</f>
        <v/>
      </c>
    </row>
    <row r="193">
      <c r="A193" s="11">
        <f>IF($B193="","",ROW()-3)</f>
        <v/>
      </c>
      <c r="B193" s="4" t="n"/>
      <c r="C193" s="4" t="n"/>
      <c r="D193" s="6" t="n"/>
      <c r="E193" s="12" t="n"/>
      <c r="F193" s="4" t="n"/>
      <c r="G193" s="6" t="n"/>
      <c r="H193" s="4" t="n"/>
      <c r="I193" s="4" t="n"/>
      <c r="J193" s="4" t="n"/>
      <c r="K193" s="4" t="n"/>
      <c r="L193" s="11">
        <f>IF($D193="","",IF('Объект и должник'!$B$14="","дата принятия заявления не заполнена",IF($D193&lt;'Объект и должник'!$B$14,"до принятия заявления","после принятия заявления")))</f>
        <v/>
      </c>
      <c r="M193" s="13">
        <f>IF($B193="","",IF(AND($E193&gt;0,LOWER($F193)&lt;&gt;"да"),"сумма есть, подписи обеих сторон нет — отдельно обсудите с юристом",IF(AND($G193&lt;&gt;"",$I193=""),"направлено, но подтверждение направления не указано",IF($K193="","отметьте, идёт ли копия в пакет",IF($L193="после принятия заявления","после принятия заявления — возможно текущий платёж (ст. 5), к юристу","")))))</f>
        <v/>
      </c>
    </row>
    <row r="194">
      <c r="A194" s="11">
        <f>IF($B194="","",ROW()-3)</f>
        <v/>
      </c>
      <c r="B194" s="4" t="n"/>
      <c r="C194" s="4" t="n"/>
      <c r="D194" s="6" t="n"/>
      <c r="E194" s="12" t="n"/>
      <c r="F194" s="4" t="n"/>
      <c r="G194" s="6" t="n"/>
      <c r="H194" s="4" t="n"/>
      <c r="I194" s="4" t="n"/>
      <c r="J194" s="4" t="n"/>
      <c r="K194" s="4" t="n"/>
      <c r="L194" s="11">
        <f>IF($D194="","",IF('Объект и должник'!$B$14="","дата принятия заявления не заполнена",IF($D194&lt;'Объект и должник'!$B$14,"до принятия заявления","после принятия заявления")))</f>
        <v/>
      </c>
      <c r="M194" s="13">
        <f>IF($B194="","",IF(AND($E194&gt;0,LOWER($F194)&lt;&gt;"да"),"сумма есть, подписи обеих сторон нет — отдельно обсудите с юристом",IF(AND($G194&lt;&gt;"",$I194=""),"направлено, но подтверждение направления не указано",IF($K194="","отметьте, идёт ли копия в пакет",IF($L194="после принятия заявления","после принятия заявления — возможно текущий платёж (ст. 5), к юристу","")))))</f>
        <v/>
      </c>
    </row>
    <row r="195">
      <c r="A195" s="11">
        <f>IF($B195="","",ROW()-3)</f>
        <v/>
      </c>
      <c r="B195" s="4" t="n"/>
      <c r="C195" s="4" t="n"/>
      <c r="D195" s="6" t="n"/>
      <c r="E195" s="12" t="n"/>
      <c r="F195" s="4" t="n"/>
      <c r="G195" s="6" t="n"/>
      <c r="H195" s="4" t="n"/>
      <c r="I195" s="4" t="n"/>
      <c r="J195" s="4" t="n"/>
      <c r="K195" s="4" t="n"/>
      <c r="L195" s="11">
        <f>IF($D195="","",IF('Объект и должник'!$B$14="","дата принятия заявления не заполнена",IF($D195&lt;'Объект и должник'!$B$14,"до принятия заявления","после принятия заявления")))</f>
        <v/>
      </c>
      <c r="M195" s="13">
        <f>IF($B195="","",IF(AND($E195&gt;0,LOWER($F195)&lt;&gt;"да"),"сумма есть, подписи обеих сторон нет — отдельно обсудите с юристом",IF(AND($G195&lt;&gt;"",$I195=""),"направлено, но подтверждение направления не указано",IF($K195="","отметьте, идёт ли копия в пакет",IF($L195="после принятия заявления","после принятия заявления — возможно текущий платёж (ст. 5), к юристу","")))))</f>
        <v/>
      </c>
    </row>
    <row r="196">
      <c r="A196" s="11">
        <f>IF($B196="","",ROW()-3)</f>
        <v/>
      </c>
      <c r="B196" s="4" t="n"/>
      <c r="C196" s="4" t="n"/>
      <c r="D196" s="6" t="n"/>
      <c r="E196" s="12" t="n"/>
      <c r="F196" s="4" t="n"/>
      <c r="G196" s="6" t="n"/>
      <c r="H196" s="4" t="n"/>
      <c r="I196" s="4" t="n"/>
      <c r="J196" s="4" t="n"/>
      <c r="K196" s="4" t="n"/>
      <c r="L196" s="11">
        <f>IF($D196="","",IF('Объект и должник'!$B$14="","дата принятия заявления не заполнена",IF($D196&lt;'Объект и должник'!$B$14,"до принятия заявления","после принятия заявления")))</f>
        <v/>
      </c>
      <c r="M196" s="13">
        <f>IF($B196="","",IF(AND($E196&gt;0,LOWER($F196)&lt;&gt;"да"),"сумма есть, подписи обеих сторон нет — отдельно обсудите с юристом",IF(AND($G196&lt;&gt;"",$I196=""),"направлено, но подтверждение направления не указано",IF($K196="","отметьте, идёт ли копия в пакет",IF($L196="после принятия заявления","после принятия заявления — возможно текущий платёж (ст. 5), к юристу","")))))</f>
        <v/>
      </c>
    </row>
    <row r="197">
      <c r="A197" s="11">
        <f>IF($B197="","",ROW()-3)</f>
        <v/>
      </c>
      <c r="B197" s="4" t="n"/>
      <c r="C197" s="4" t="n"/>
      <c r="D197" s="6" t="n"/>
      <c r="E197" s="12" t="n"/>
      <c r="F197" s="4" t="n"/>
      <c r="G197" s="6" t="n"/>
      <c r="H197" s="4" t="n"/>
      <c r="I197" s="4" t="n"/>
      <c r="J197" s="4" t="n"/>
      <c r="K197" s="4" t="n"/>
      <c r="L197" s="11">
        <f>IF($D197="","",IF('Объект и должник'!$B$14="","дата принятия заявления не заполнена",IF($D197&lt;'Объект и должник'!$B$14,"до принятия заявления","после принятия заявления")))</f>
        <v/>
      </c>
      <c r="M197" s="13">
        <f>IF($B197="","",IF(AND($E197&gt;0,LOWER($F197)&lt;&gt;"да"),"сумма есть, подписи обеих сторон нет — отдельно обсудите с юристом",IF(AND($G197&lt;&gt;"",$I197=""),"направлено, но подтверждение направления не указано",IF($K197="","отметьте, идёт ли копия в пакет",IF($L197="после принятия заявления","после принятия заявления — возможно текущий платёж (ст. 5), к юристу","")))))</f>
        <v/>
      </c>
    </row>
    <row r="198">
      <c r="A198" s="11">
        <f>IF($B198="","",ROW()-3)</f>
        <v/>
      </c>
      <c r="B198" s="4" t="n"/>
      <c r="C198" s="4" t="n"/>
      <c r="D198" s="6" t="n"/>
      <c r="E198" s="12" t="n"/>
      <c r="F198" s="4" t="n"/>
      <c r="G198" s="6" t="n"/>
      <c r="H198" s="4" t="n"/>
      <c r="I198" s="4" t="n"/>
      <c r="J198" s="4" t="n"/>
      <c r="K198" s="4" t="n"/>
      <c r="L198" s="11">
        <f>IF($D198="","",IF('Объект и должник'!$B$14="","дата принятия заявления не заполнена",IF($D198&lt;'Объект и должник'!$B$14,"до принятия заявления","после принятия заявления")))</f>
        <v/>
      </c>
      <c r="M198" s="13">
        <f>IF($B198="","",IF(AND($E198&gt;0,LOWER($F198)&lt;&gt;"да"),"сумма есть, подписи обеих сторон нет — отдельно обсудите с юристом",IF(AND($G198&lt;&gt;"",$I198=""),"направлено, но подтверждение направления не указано",IF($K198="","отметьте, идёт ли копия в пакет",IF($L198="после принятия заявления","после принятия заявления — возможно текущий платёж (ст. 5), к юристу","")))))</f>
        <v/>
      </c>
    </row>
    <row r="199">
      <c r="A199" s="11">
        <f>IF($B199="","",ROW()-3)</f>
        <v/>
      </c>
      <c r="B199" s="4" t="n"/>
      <c r="C199" s="4" t="n"/>
      <c r="D199" s="6" t="n"/>
      <c r="E199" s="12" t="n"/>
      <c r="F199" s="4" t="n"/>
      <c r="G199" s="6" t="n"/>
      <c r="H199" s="4" t="n"/>
      <c r="I199" s="4" t="n"/>
      <c r="J199" s="4" t="n"/>
      <c r="K199" s="4" t="n"/>
      <c r="L199" s="11">
        <f>IF($D199="","",IF('Объект и должник'!$B$14="","дата принятия заявления не заполнена",IF($D199&lt;'Объект и должник'!$B$14,"до принятия заявления","после принятия заявления")))</f>
        <v/>
      </c>
      <c r="M199" s="13">
        <f>IF($B199="","",IF(AND($E199&gt;0,LOWER($F199)&lt;&gt;"да"),"сумма есть, подписи обеих сторон нет — отдельно обсудите с юристом",IF(AND($G199&lt;&gt;"",$I199=""),"направлено, но подтверждение направления не указано",IF($K199="","отметьте, идёт ли копия в пакет",IF($L199="после принятия заявления","после принятия заявления — возможно текущий платёж (ст. 5), к юристу","")))))</f>
        <v/>
      </c>
    </row>
    <row r="200">
      <c r="A200" s="11">
        <f>IF($B200="","",ROW()-3)</f>
        <v/>
      </c>
      <c r="B200" s="4" t="n"/>
      <c r="C200" s="4" t="n"/>
      <c r="D200" s="6" t="n"/>
      <c r="E200" s="12" t="n"/>
      <c r="F200" s="4" t="n"/>
      <c r="G200" s="6" t="n"/>
      <c r="H200" s="4" t="n"/>
      <c r="I200" s="4" t="n"/>
      <c r="J200" s="4" t="n"/>
      <c r="K200" s="4" t="n"/>
      <c r="L200" s="11">
        <f>IF($D200="","",IF('Объект и должник'!$B$14="","дата принятия заявления не заполнена",IF($D200&lt;'Объект и должник'!$B$14,"до принятия заявления","после принятия заявления")))</f>
        <v/>
      </c>
      <c r="M200" s="13">
        <f>IF($B200="","",IF(AND($E200&gt;0,LOWER($F200)&lt;&gt;"да"),"сумма есть, подписи обеих сторон нет — отдельно обсудите с юристом",IF(AND($G200&lt;&gt;"",$I200=""),"направлено, но подтверждение направления не указано",IF($K200="","отметьте, идёт ли копия в пакет",IF($L200="после принятия заявления","после принятия заявления — возможно текущий платёж (ст. 5), к юристу","")))))</f>
        <v/>
      </c>
    </row>
    <row r="201">
      <c r="A201" s="11">
        <f>IF($B201="","",ROW()-3)</f>
        <v/>
      </c>
      <c r="B201" s="4" t="n"/>
      <c r="C201" s="4" t="n"/>
      <c r="D201" s="6" t="n"/>
      <c r="E201" s="12" t="n"/>
      <c r="F201" s="4" t="n"/>
      <c r="G201" s="6" t="n"/>
      <c r="H201" s="4" t="n"/>
      <c r="I201" s="4" t="n"/>
      <c r="J201" s="4" t="n"/>
      <c r="K201" s="4" t="n"/>
      <c r="L201" s="11">
        <f>IF($D201="","",IF('Объект и должник'!$B$14="","дата принятия заявления не заполнена",IF($D201&lt;'Объект и должник'!$B$14,"до принятия заявления","после принятия заявления")))</f>
        <v/>
      </c>
      <c r="M201" s="13">
        <f>IF($B201="","",IF(AND($E201&gt;0,LOWER($F201)&lt;&gt;"да"),"сумма есть, подписи обеих сторон нет — отдельно обсудите с юристом",IF(AND($G201&lt;&gt;"",$I201=""),"направлено, но подтверждение направления не указано",IF($K201="","отметьте, идёт ли копия в пакет",IF($L201="после принятия заявления","после принятия заявления — возможно текущий платёж (ст. 5), к юристу","")))))</f>
        <v/>
      </c>
    </row>
    <row r="202">
      <c r="A202" s="11">
        <f>IF($B202="","",ROW()-3)</f>
        <v/>
      </c>
      <c r="B202" s="4" t="n"/>
      <c r="C202" s="4" t="n"/>
      <c r="D202" s="6" t="n"/>
      <c r="E202" s="12" t="n"/>
      <c r="F202" s="4" t="n"/>
      <c r="G202" s="6" t="n"/>
      <c r="H202" s="4" t="n"/>
      <c r="I202" s="4" t="n"/>
      <c r="J202" s="4" t="n"/>
      <c r="K202" s="4" t="n"/>
      <c r="L202" s="11">
        <f>IF($D202="","",IF('Объект и должник'!$B$14="","дата принятия заявления не заполнена",IF($D202&lt;'Объект и должник'!$B$14,"до принятия заявления","после принятия заявления")))</f>
        <v/>
      </c>
      <c r="M202" s="13">
        <f>IF($B202="","",IF(AND($E202&gt;0,LOWER($F202)&lt;&gt;"да"),"сумма есть, подписи обеих сторон нет — отдельно обсудите с юристом",IF(AND($G202&lt;&gt;"",$I202=""),"направлено, но подтверждение направления не указано",IF($K202="","отметьте, идёт ли копия в пакет",IF($L202="после принятия заявления","после принятия заявления — возможно текущий платёж (ст. 5), к юристу","")))))</f>
        <v/>
      </c>
    </row>
    <row r="203">
      <c r="A203" s="11">
        <f>IF($B203="","",ROW()-3)</f>
        <v/>
      </c>
      <c r="B203" s="4" t="n"/>
      <c r="C203" s="4" t="n"/>
      <c r="D203" s="6" t="n"/>
      <c r="E203" s="12" t="n"/>
      <c r="F203" s="4" t="n"/>
      <c r="G203" s="6" t="n"/>
      <c r="H203" s="4" t="n"/>
      <c r="I203" s="4" t="n"/>
      <c r="J203" s="4" t="n"/>
      <c r="K203" s="4" t="n"/>
      <c r="L203" s="11">
        <f>IF($D203="","",IF('Объект и должник'!$B$14="","дата принятия заявления не заполнена",IF($D203&lt;'Объект и должник'!$B$14,"до принятия заявления","после принятия заявления")))</f>
        <v/>
      </c>
      <c r="M203" s="13">
        <f>IF($B203="","",IF(AND($E203&gt;0,LOWER($F203)&lt;&gt;"да"),"сумма есть, подписи обеих сторон нет — отдельно обсудите с юристом",IF(AND($G203&lt;&gt;"",$I203=""),"направлено, но подтверждение направления не указано",IF($K203="","отметьте, идёт ли копия в пакет",IF($L203="после принятия заявления","после принятия заявления — возможно текущий платёж (ст. 5), к юристу","")))))</f>
        <v/>
      </c>
    </row>
    <row r="205" ht="46" customHeight="1">
      <c r="A205" s="5" t="inlineStr">
        <is>
          <t>Колонка «Проверка» должна быть пустой во всех заполненных строках. Непустая строка — это не запрет подавать, а вопрос, ответ на который лучше знать до подачи, а не после.</t>
        </is>
      </c>
    </row>
  </sheetData>
  <mergeCells count="2">
    <mergeCell ref="A2:M2"/>
    <mergeCell ref="A205:M205"/>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1" error="Введите «да» или «нет»" type="list">
      <formula1>"да,нет"</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56" customWidth="1" min="1" max="1"/>
    <col width="24" customWidth="1" min="2" max="2"/>
    <col width="66" customWidth="1" min="3" max="3"/>
  </cols>
  <sheetData>
    <row r="1">
      <c r="A1" s="1" t="inlineStr">
        <is>
          <t>Итоги: что собрано и что осталось</t>
        </is>
      </c>
    </row>
    <row r="2">
      <c r="A2" s="2" t="inlineStr">
        <is>
          <t>Считается по листу «Реестр документов». Ничего вводить не нужно.</t>
        </is>
      </c>
    </row>
    <row r="4">
      <c r="A4" s="14" t="inlineStr">
        <is>
          <t>Строк заполнено</t>
        </is>
      </c>
      <c r="B4" s="15">
        <f>SUMPRODUCT(--(LEN('Реестр документов'!$B$4:$B$203)&gt;0))</f>
        <v/>
      </c>
      <c r="C4" s="5" t="inlineStr">
        <is>
          <t>Каждая строка — один документ</t>
        </is>
      </c>
    </row>
    <row r="5">
      <c r="A5" s="14" t="inlineStr">
        <is>
          <t>Отмечено «копия в пакет»</t>
        </is>
      </c>
      <c r="B5" s="15">
        <f>COUNTIF('Реестр документов'!$K$4:$K$203,"да")</f>
        <v/>
      </c>
      <c r="C5" s="5" t="inlineStr">
        <is>
          <t>Сверяйте с файлом «Перечень пакета для заявления требования»</t>
        </is>
      </c>
    </row>
    <row r="6">
      <c r="A6" s="14" t="inlineStr">
        <is>
          <t>Сумма по документам до принятия заявления, руб.</t>
        </is>
      </c>
      <c r="B6" s="16">
        <f>ROUND(SUMIF('Реестр документов'!$L$4:$L$203,"до принятия заявления",'Реестр документов'!$E$4:$E$203),2)</f>
        <v/>
      </c>
      <c r="C6" s="5" t="inlineStr">
        <is>
          <t>Рабочий ориентир по реестровой части, а не размер требования</t>
        </is>
      </c>
    </row>
    <row r="7">
      <c r="A7" s="14" t="inlineStr">
        <is>
          <t>Сумма по документам после принятия заявления, руб.</t>
        </is>
      </c>
      <c r="B7" s="16">
        <f>ROUND(SUMIF('Реестр документов'!$L$4:$L$203,"после принятия заявления",'Реестр документов'!$E$4:$E$203),2)</f>
        <v/>
      </c>
      <c r="C7" s="5" t="inlineStr">
        <is>
          <t>Возможно, текущие платежи (ст. 5 Закона о банкротстве). Квалифицирует юрист</t>
        </is>
      </c>
    </row>
    <row r="8">
      <c r="A8" s="14" t="inlineStr">
        <is>
          <t>Сумма по документам, отмеченным в пакет, руб.</t>
        </is>
      </c>
      <c r="B8" s="16">
        <f>ROUND(SUMIF('Реестр документов'!$K$4:$K$203,"да",'Реестр документов'!$E$4:$E$203),2)</f>
        <v/>
      </c>
      <c r="C8" s="5" t="inlineStr">
        <is>
          <t>Проверьте, что она сходится с вашим расчётом требования</t>
        </is>
      </c>
    </row>
    <row r="9">
      <c r="A9" s="14" t="inlineStr">
        <is>
          <t>Строк с непустой колонкой «Проверка»</t>
        </is>
      </c>
      <c r="B9" s="15">
        <f>SUMPRODUCT(--(LEN('Реестр документов'!$M$4:$M$203)&gt;0))</f>
        <v/>
      </c>
      <c r="C9" s="5" t="inlineStr">
        <is>
          <t>Должно быть ноль. Каждая непустая строка — вопрос, который лучше закрыть до подачи</t>
        </is>
      </c>
    </row>
    <row r="10">
      <c r="A10" s="14" t="inlineStr">
        <is>
          <t>Направлено, но подтверждение не указано</t>
        </is>
      </c>
      <c r="B10" s="15">
        <f>SUMPRODUCT(--(LEN('Реестр документов'!$G$4:$G$203)&gt;0),--(LEN('Реестр документов'!$I$4:$I$203)=0))</f>
        <v/>
      </c>
      <c r="C10" s="5" t="inlineStr">
        <is>
          <t>Письмо без подтверждения отправки доказательством не является</t>
        </is>
      </c>
    </row>
    <row r="13">
      <c r="A13" s="3" t="inlineStr">
        <is>
          <t>Срок</t>
        </is>
      </c>
      <c r="B13" s="8">
        <f>'Объект и должник'!$B$27</f>
        <v/>
      </c>
      <c r="C13" s="9" t="n"/>
    </row>
    <row r="15">
      <c r="A15" s="3" t="inlineStr">
        <is>
          <t>Что эти суммы не означают</t>
        </is>
      </c>
    </row>
    <row r="16" ht="46" customHeight="1">
      <c r="A16" s="5" t="inlineStr">
        <is>
          <t>— Не размер требования. Требование считается отдельно, и основной долг учитывается отдельно от финансовых санкций (ст. 137 Закона о банкротстве). Сумма из этого файла — рабочий ориентир, чтобы сверить, всё ли учтено.</t>
        </is>
      </c>
    </row>
    <row r="17" ht="46" customHeight="1">
      <c r="A17" s="5" t="inlineStr">
        <is>
          <t>— Не сумму, которую вы получите. Включение в реестр даёт право на долю в том, что удастся собрать, а не платёж. В банкротстве требование чаще удовлетворяется частично или не удовлетворяется вовсе.</t>
        </is>
      </c>
    </row>
    <row r="18" ht="46" customHeight="1">
      <c r="A18" s="5" t="inlineStr">
        <is>
          <t>— Не квалификацию требований. Деление по дате принятия заявления сделано, чтобы было с чем идти к юристу; момент возникновения обязательства не всегда совпадает с датой документа.</t>
        </is>
      </c>
    </row>
    <row r="19" ht="46" customHeight="1">
      <c r="A19" s="5" t="inlineStr">
        <is>
          <t>— Не заменяет заявление. Требование включается в реестр по судебному акту, а не по письму управляющему и не по заполненной таблице.</t>
        </is>
      </c>
    </row>
  </sheetData>
  <mergeCells count="5">
    <mergeCell ref="B13:C13"/>
    <mergeCell ref="A19:C19"/>
    <mergeCell ref="A17:C17"/>
    <mergeCell ref="A18:C18"/>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30" customWidth="1" min="1" max="1"/>
    <col width="14" customWidth="1" min="2" max="2"/>
    <col width="12" customWidth="1" min="3" max="3"/>
    <col width="14" customWidth="1" min="4" max="4"/>
    <col width="16" customWidth="1" min="5" max="5"/>
    <col width="14" customWidth="1" min="6" max="6"/>
    <col width="14" customWidth="1" min="7" max="7"/>
    <col width="16" customWidth="1" min="8" max="8"/>
    <col width="24" customWidth="1" min="9" max="9"/>
    <col width="20" customWidth="1" min="10" max="10"/>
    <col width="12" customWidth="1" min="11" max="11"/>
    <col width="22" customWidth="1" min="12" max="12"/>
    <col width="40" customWidth="1" min="13" max="13"/>
  </cols>
  <sheetData>
    <row r="1">
      <c r="A1" s="1" t="inlineStr">
        <is>
          <t>Пример: как выглядят заполненные строки</t>
        </is>
      </c>
    </row>
    <row r="2">
      <c r="A2" s="17" t="inlineStr">
        <is>
          <t>Здесь показан формат ввода, а не ваш случай. Наименования, номера и даты вымышленные. Ничего отсюда не переносите в свой файл и тем более в документы.</t>
        </is>
      </c>
    </row>
    <row r="4">
      <c r="A4" s="3" t="inlineStr">
        <is>
          <t>Лист «Объект и должник»</t>
        </is>
      </c>
    </row>
    <row r="5">
      <c r="A5" s="18" t="inlineStr">
        <is>
          <t>Наименование должника (генподрядчика)</t>
        </is>
      </c>
      <c r="B5" s="19" t="inlineStr">
        <is>
          <t>ООО «Условный генподрядчик»</t>
        </is>
      </c>
    </row>
    <row r="6">
      <c r="A6" s="18" t="inlineStr">
        <is>
          <t>Дата принятия судом заявления о признании банкротом</t>
        </is>
      </c>
      <c r="B6" s="19" t="inlineStr">
        <is>
          <t>12.02.2026</t>
        </is>
      </c>
    </row>
    <row r="7">
      <c r="A7" s="18" t="inlineStr">
        <is>
          <t>Введённая процедура</t>
        </is>
      </c>
      <c r="B7" s="19" t="inlineStr">
        <is>
          <t>наблюдение</t>
        </is>
      </c>
    </row>
    <row r="8">
      <c r="A8" s="18" t="inlineStr">
        <is>
          <t>Дата публикации сведений</t>
        </is>
      </c>
      <c r="B8" s="19" t="inlineStr">
        <is>
          <t>05.03.2026</t>
        </is>
      </c>
    </row>
    <row r="9">
      <c r="A9" s="18" t="inlineStr">
        <is>
          <t>Норма, по которой проверен срок</t>
        </is>
      </c>
      <c r="B9" s="19" t="inlineStr">
        <is>
          <t>ст. 71 Закона о банкротстве, редакция на дату проверки</t>
        </is>
      </c>
    </row>
    <row r="10">
      <c r="A10" s="18" t="inlineStr">
        <is>
          <t>Дата, до которой требование должно быть заявлено</t>
        </is>
      </c>
      <c r="B10" s="19" t="inlineStr">
        <is>
          <t>дата, полученная вашей проверкой</t>
        </is>
      </c>
    </row>
    <row r="11">
      <c r="A11" s="18" t="inlineStr">
        <is>
          <t>Кем и когда проверен срок</t>
        </is>
      </c>
      <c r="B11" s="19" t="inlineStr">
        <is>
          <t>Иванов И. И., 06.03.2026</t>
        </is>
      </c>
    </row>
    <row r="13" ht="46" customHeight="1">
      <c r="A13" s="7" t="inlineStr">
        <is>
          <t>Обратите внимание: в строке «Дата, до которой требование должно быть заявлено» в примере стоит не число, а описание. Число сюда ставите вы по результату проверки действующей редакции — готового значения нет ни в примере, ни в формулах.</t>
        </is>
      </c>
    </row>
    <row r="15">
      <c r="A15" s="3" t="inlineStr">
        <is>
          <t>Лист «Реестр документов»</t>
        </is>
      </c>
    </row>
    <row r="16">
      <c r="A16" s="10" t="inlineStr">
        <is>
          <t>№</t>
        </is>
      </c>
      <c r="B16" s="10" t="inlineStr">
        <is>
          <t>Тип документа</t>
        </is>
      </c>
      <c r="C16" s="10" t="inlineStr">
        <is>
          <t>Номер</t>
        </is>
      </c>
      <c r="D16" s="10" t="inlineStr">
        <is>
          <t>Дата документа</t>
        </is>
      </c>
      <c r="E16" s="10" t="inlineStr">
        <is>
          <t>Сумма, руб.</t>
        </is>
      </c>
      <c r="F16" s="10" t="inlineStr">
        <is>
          <t>Подписан обеими сторонами</t>
        </is>
      </c>
      <c r="G16" s="10" t="inlineStr">
        <is>
          <t>Направлен: дата</t>
        </is>
      </c>
      <c r="H16" s="10" t="inlineStr">
        <is>
          <t>Способ направления</t>
        </is>
      </c>
      <c r="I16" s="10" t="inlineStr">
        <is>
          <t>Подтверждение направления</t>
        </is>
      </c>
      <c r="J16" s="10" t="inlineStr">
        <is>
          <t>Где лежит оригинал</t>
        </is>
      </c>
      <c r="K16" s="10" t="inlineStr">
        <is>
          <t>Копия в пакет</t>
        </is>
      </c>
      <c r="L16" s="10" t="inlineStr">
        <is>
          <t>Период</t>
        </is>
      </c>
      <c r="M16" s="10" t="inlineStr">
        <is>
          <t>Проверка</t>
        </is>
      </c>
    </row>
    <row r="17">
      <c r="A17" s="20" t="inlineStr">
        <is>
          <t>1</t>
        </is>
      </c>
      <c r="B17" s="20" t="inlineStr">
        <is>
          <t>Договор субподряда</t>
        </is>
      </c>
      <c r="C17" s="20" t="inlineStr">
        <is>
          <t>СП-14</t>
        </is>
      </c>
      <c r="D17" s="20" t="inlineStr">
        <is>
          <t>11.06.2025</t>
        </is>
      </c>
      <c r="E17" s="20" t="inlineStr"/>
      <c r="F17" s="20" t="inlineStr">
        <is>
          <t>да</t>
        </is>
      </c>
      <c r="G17" s="20" t="inlineStr"/>
      <c r="H17" s="20" t="inlineStr"/>
      <c r="I17" s="20" t="inlineStr"/>
      <c r="J17" s="20" t="inlineStr">
        <is>
          <t>папка «Договоры», оригинал</t>
        </is>
      </c>
      <c r="K17" s="20" t="inlineStr">
        <is>
          <t>да</t>
        </is>
      </c>
      <c r="L17" s="21" t="inlineStr">
        <is>
          <t>считается</t>
        </is>
      </c>
      <c r="M17" s="21" t="inlineStr">
        <is>
          <t>считается</t>
        </is>
      </c>
    </row>
    <row r="18">
      <c r="A18" s="20" t="inlineStr">
        <is>
          <t>2</t>
        </is>
      </c>
      <c r="B18" s="20" t="inlineStr">
        <is>
          <t>Акт КС-2</t>
        </is>
      </c>
      <c r="C18" s="20" t="inlineStr">
        <is>
          <t>3</t>
        </is>
      </c>
      <c r="D18" s="20" t="inlineStr">
        <is>
          <t>31.10.2025</t>
        </is>
      </c>
      <c r="E18" s="20" t="inlineStr">
        <is>
          <t>1 250 000,00</t>
        </is>
      </c>
      <c r="F18" s="20" t="inlineStr">
        <is>
          <t>да</t>
        </is>
      </c>
      <c r="G18" s="20" t="inlineStr"/>
      <c r="H18" s="20" t="inlineStr"/>
      <c r="I18" s="20" t="inlineStr"/>
      <c r="J18" s="20" t="inlineStr">
        <is>
          <t>папка объекта</t>
        </is>
      </c>
      <c r="K18" s="20" t="inlineStr">
        <is>
          <t>да</t>
        </is>
      </c>
      <c r="L18" s="21" t="inlineStr">
        <is>
          <t>считается</t>
        </is>
      </c>
      <c r="M18" s="21" t="inlineStr">
        <is>
          <t>считается</t>
        </is>
      </c>
    </row>
    <row r="19">
      <c r="A19" s="20" t="inlineStr">
        <is>
          <t>3</t>
        </is>
      </c>
      <c r="B19" s="20" t="inlineStr">
        <is>
          <t>Претензия</t>
        </is>
      </c>
      <c r="C19" s="20" t="inlineStr">
        <is>
          <t>48</t>
        </is>
      </c>
      <c r="D19" s="20" t="inlineStr">
        <is>
          <t>20.01.2026</t>
        </is>
      </c>
      <c r="E19" s="20" t="inlineStr"/>
      <c r="F19" s="20" t="inlineStr">
        <is>
          <t>нет</t>
        </is>
      </c>
      <c r="G19" s="20" t="inlineStr">
        <is>
          <t>21.01.2026</t>
        </is>
      </c>
      <c r="H19" s="20" t="inlineStr">
        <is>
          <t>ценное письмо с описью</t>
        </is>
      </c>
      <c r="I19" s="20" t="inlineStr">
        <is>
          <t>опись, трек 000000000000</t>
        </is>
      </c>
      <c r="J19" s="20" t="inlineStr">
        <is>
          <t>папка «Переписка»</t>
        </is>
      </c>
      <c r="K19" s="20" t="inlineStr">
        <is>
          <t>да</t>
        </is>
      </c>
      <c r="L19" s="21" t="inlineStr">
        <is>
          <t>считается</t>
        </is>
      </c>
      <c r="M19" s="21" t="inlineStr">
        <is>
          <t>считается</t>
        </is>
      </c>
    </row>
    <row r="20">
      <c r="A20" s="20" t="inlineStr">
        <is>
          <t>4</t>
        </is>
      </c>
      <c r="B20" s="20" t="inlineStr">
        <is>
          <t>Акт КС-2</t>
        </is>
      </c>
      <c r="C20" s="20" t="inlineStr">
        <is>
          <t>5</t>
        </is>
      </c>
      <c r="D20" s="20" t="inlineStr">
        <is>
          <t>28.02.2026</t>
        </is>
      </c>
      <c r="E20" s="20" t="inlineStr">
        <is>
          <t>410 000,00</t>
        </is>
      </c>
      <c r="F20" s="20" t="inlineStr">
        <is>
          <t>да</t>
        </is>
      </c>
      <c r="G20" s="20" t="inlineStr"/>
      <c r="H20" s="20" t="inlineStr"/>
      <c r="I20" s="20" t="inlineStr"/>
      <c r="J20" s="20" t="inlineStr">
        <is>
          <t>папка объекта</t>
        </is>
      </c>
      <c r="K20" s="20" t="inlineStr">
        <is>
          <t>да</t>
        </is>
      </c>
      <c r="L20" s="21" t="inlineStr">
        <is>
          <t>считается</t>
        </is>
      </c>
      <c r="M20" s="21" t="inlineStr">
        <is>
          <t>считается</t>
        </is>
      </c>
    </row>
    <row r="22" ht="46" customHeight="1">
      <c r="A22" s="5" t="inlineStr">
        <is>
          <t>Четвёртая строка примера датирована позже даты принятия заявления из примера выше — колонка «Период» отметит её как «после принятия заявления», а «Проверка» напомнит, что это возможный текущий платёж (ст. 5 Закона о банкротстве) и что квалифицирует его юрист, а не таблица.</t>
        </is>
      </c>
    </row>
  </sheetData>
  <mergeCells count="10">
    <mergeCell ref="A13:M13"/>
    <mergeCell ref="B9:E9"/>
    <mergeCell ref="B8:E8"/>
    <mergeCell ref="B6:E6"/>
    <mergeCell ref="A22:M22"/>
    <mergeCell ref="B7:E7"/>
    <mergeCell ref="B11:E11"/>
    <mergeCell ref="B5:E5"/>
    <mergeCell ref="B10:E10"/>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2026-07-31T07:27:20Z</dcterms:created>
  <dcterms:modified xsi:type="dcterms:W3CDTF">2026-07-31T07:27:20Z</dcterms:modified>
</cp:coreProperties>
</file>