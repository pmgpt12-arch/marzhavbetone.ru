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3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гасит сначала издержки, затем проценты и только потом основной долг. Отступить от этой очерёдности можно соглашением сторон; одностороннее указание в платёжном поручении соглашением не является и очерёдность не меняет. Порядок такой: есть допустимое соглашение — считайте по нему; соглашения нет — по ст. 319 ГК РФ. Если однородных обязательств несколько, выбор погашаемого — отдельный вопрос, и его решают не здесь. Эта таблица уменьшает базу долга на сумму оплаты с её даты, то есть считает по простому варианту: если очерёдность имеет значение для вашего спора, расчёт надо корректировать с юристом.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данные'!$A$35:$A$44,"&lt;="&amp;$A4,'Входные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начала",IF($E4="","Ставка на эту дату не найдена: дополните таблицу ставок",""))))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данные'!$A$35:$A$44,"&lt;="&amp;$A5,'Входные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начала",IF($E5="","Ставка на эту дату не найдена: дополните таблицу ставок",""))))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данные'!$A$35:$A$44,"&lt;="&amp;$A6,'Входные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начала",IF($E6="","Ставка на эту дату не найдена: дополните таблицу ставок",""))))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данные'!$A$35:$A$44,"&lt;="&amp;$A7,'Входные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начала",IF($E7="","Ставка на эту дату не найдена: дополните таблицу ставок",""))))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данные'!$A$35:$A$44,"&lt;="&amp;$A8,'Входные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начала",IF($E8="","Ставка на эту дату не найдена: дополните таблицу ставок",""))))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данные'!$A$35:$A$44,"&lt;="&amp;$A9,'Входные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начала",IF($E9="","Ставка на эту дату не найдена: дополните таблицу ставок",""))))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данные'!$A$35:$A$44,"&lt;="&amp;$A10,'Входные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начала",IF($E10="","Ставка на эту дату не найдена: дополните таблицу ставок",""))))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данные'!$A$35:$A$44,"&lt;="&amp;$A11,'Входные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начала",IF($E11="","Ставка на эту дату не найдена: дополните таблицу ставок",""))))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данные'!$A$35:$A$44,"&lt;="&amp;$A12,'Входные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начала",IF($E12="","Ставка на эту дату не найдена: дополните таблицу ставок",""))))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данные'!$A$35:$A$44,"&lt;="&amp;$A13,'Входные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начала",IF($E13="","Ставка на эту дату не найдена: дополните таблицу ставок",""))))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данные'!$A$35:$A$44,"&lt;="&amp;$A14,'Входные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начала",IF($E14="","Ставка на эту дату не найдена: дополните таблицу ставок",""))))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данные'!$A$35:$A$44,"&lt;="&amp;$A15,'Входные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начала",IF($E15="","Ставка на эту дату не найдена: дополните таблицу ставок",""))))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данные'!$A$35:$A$44,"&lt;="&amp;$A16,'Входные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начала",IF($E16="","Ставка на эту дату не найдена: дополните таблицу ставок",""))))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данные'!$A$35:$A$44,"&lt;="&amp;$A17,'Входные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начала",IF($E17="","Ставка на эту дату не найдена: дополните таблицу ставок",""))))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данные'!$A$35:$A$44,"&lt;="&amp;$A18,'Входные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начала",IF($E18="","Ставка на эту дату не найдена: дополните таблицу ставок",""))))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данные'!$A$35:$A$44,"&lt;="&amp;$A19,'Входные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начала",IF($E19="","Ставка на эту дату не найдена: дополните таблицу ставок",""))))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данные'!$A$35:$A$44,"&lt;="&amp;$A20,'Входные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начала",IF($E20="","Ставка на эту дату не найдена: дополните таблицу ставок",""))))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данные'!$A$35:$A$44,"&lt;="&amp;$A21,'Входные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начала",IF($E21="","Ставка на эту дату не найдена: дополните таблицу ставок",""))))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данные'!$A$35:$A$44,"&lt;="&amp;$A22,'Входные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начала",IF($E22="","Ставка на эту дату не найдена: дополните таблицу ставок",""))))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данные'!$A$35:$A$44,"&lt;="&amp;$A23,'Входные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начала",IF($E23="","Ставка на эту дату не найдена: дополните таблицу ставок",""))))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данные'!$A$35:$A$44,"&lt;="&amp;$A24,'Входные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начала",IF($E24="","Ставка на эту дату не найдена: дополните таблицу ставок",""))))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данные'!$A$35:$A$44,"&lt;="&amp;$A25,'Входные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начала",IF($E25="","Ставка на эту дату не найдена: дополните таблицу ставок",""))))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данные'!$A$35:$A$44,"&lt;="&amp;$A26,'Входные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начала",IF($E26="","Ставка на эту дату не найдена: дополните таблицу ставок",""))))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данные'!$A$35:$A$44,"&lt;="&amp;$A27,'Входные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начала",IF($E27="","Ставка на эту дату не найдена: дополните таблицу ставок",""))))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данные'!$A$35:$A$44,"&lt;="&amp;$A28,'Входные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начала",IF($E28="","Ставка на эту дату не найдена: дополните таблицу ставок",""))))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данные'!$A$35:$A$44,"&lt;="&amp;$A29,'Входные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начала",IF($E29="","Ставка на эту дату не найдена: дополните таблицу ставок",""))))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данные'!$A$35:$A$44,"&lt;="&amp;$A30,'Входные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начала",IF($E30="","Ставка на эту дату не найдена: дополните таблицу ставок",""))))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данные'!$A$35:$A$44,"&lt;="&amp;$A31,'Входные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начала",IF($E31="","Ставка на эту дату не найдена: дополните таблицу ставок",""))))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данные'!$A$35:$A$44,"&lt;="&amp;$A32,'Входные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начала",IF($E32="","Ставка на эту дату не найдена: дополните таблицу ставок",""))))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данные'!$A$35:$A$44,"&lt;="&amp;$A33,'Входные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начала",IF($E33="","Ставка на эту дату не найдена: дополните таблицу ставок",""))))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данные'!$A$35:$A$44,"&lt;="&amp;$A34,'Входные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начала",IF($E34="","Ставка на эту дату не найдена: дополните таблицу ставок",""))))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данные'!$A$35:$A$44,"&lt;="&amp;$A35,'Входные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начала",IF($E35="","Ставка на эту дату не найдена: дополните таблицу ставок",""))))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данные'!$A$35:$A$44,"&lt;="&amp;$A36,'Входные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начала",IF($E36="","Ставка на эту дату не найдена: дополните таблицу ставок",""))))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данные'!$A$35:$A$44,"&lt;="&amp;$A37,'Входные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начала",IF($E37="","Ставка на эту дату не найдена: дополните таблицу ставок",""))))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данные'!$A$35:$A$44,"&lt;="&amp;$A38,'Входные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начала",IF($E38="","Ставка на эту дату не найдена: дополните таблицу ставок",""))))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данные'!$A$35:$A$44,"&lt;="&amp;$A39,'Входные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начала",IF($E39="","Ставка на эту дату не найдена: дополните таблицу ставок",""))))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данные'!$A$35:$A$44,"&lt;="&amp;$A40,'Входные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начала",IF($E40="","Ставка на эту дату не найдена: дополните таблицу ставок",""))))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данные'!$A$35:$A$44,"&lt;="&amp;$A41,'Входные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начала",IF($E41="","Ставка на эту дату не найдена: дополните таблицу ставок",""))))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данные'!$A$35:$A$44,"&lt;="&amp;$A42,'Входные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начала",IF($E42="","Ставка на эту дату не найдена: дополните таблицу ставок",""))))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данные'!$A$35:$A$44,"&lt;="&amp;$A43,'Входные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начала",IF($E43="","Ставка на эту дату не найдена: дополните таблицу ставок",""))))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</row>
    <row r="46">
      <c r="F46" s="14" t="inlineStr">
        <is>
          <t>Долг плюс проценты:</t>
        </is>
      </c>
      <c r="G46" s="15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6" t="inlineStr">
        <is>
          <t>Сумма долга на начало расчёта, руб.</t>
        </is>
      </c>
      <c r="B4" s="17">
        <f>'Входные данные'!$B$4</f>
        <v/>
      </c>
    </row>
    <row r="5">
      <c r="A5" s="16" t="inlineStr">
        <is>
          <t>Учтено частичных оплат, руб.</t>
        </is>
      </c>
      <c r="B5" s="17">
        <f>ROUND(SUM('Входные данные'!$B$35:$B$44),2)</f>
        <v/>
      </c>
    </row>
    <row r="6">
      <c r="A6" s="16" t="inlineStr">
        <is>
          <t>Основной долг к взысканию, руб.</t>
        </is>
      </c>
      <c r="B6" s="17">
        <f>ROUND('Входные данные'!$B$4-SUM('Входные данные'!$B$35:$B$44),2)</f>
        <v/>
      </c>
    </row>
    <row r="7">
      <c r="A7" s="16" t="inlineStr">
        <is>
          <t>Период начисления с</t>
        </is>
      </c>
      <c r="B7" s="18">
        <f>'Входные данные'!$B$5</f>
        <v/>
      </c>
    </row>
    <row r="8">
      <c r="A8" s="16" t="inlineStr">
        <is>
          <t>Период начисления по</t>
        </is>
      </c>
      <c r="B8" s="18">
        <f>'Входные данные'!$B$6</f>
        <v/>
      </c>
    </row>
    <row r="9">
      <c r="A9" s="16" t="inlineStr">
        <is>
          <t>Всего дней просрочки</t>
        </is>
      </c>
      <c r="B9" s="19">
        <f>IF(OR('Входные данные'!$B$5="",'Входные данные'!$B$6=""),"",'Входные данные'!$B$6-'Входные данные'!$B$5+1)</f>
        <v/>
      </c>
    </row>
    <row r="10">
      <c r="A10" s="16" t="inlineStr">
        <is>
          <t>Проценты по ст. 395 ГК РФ, руб.</t>
        </is>
      </c>
      <c r="B10" s="17">
        <f>'Расчёт'!$G$45</f>
        <v/>
      </c>
    </row>
    <row r="11">
      <c r="A11" s="16" t="inlineStr">
        <is>
          <t>Итого к взысканию, руб.</t>
        </is>
      </c>
      <c r="B11" s="17">
        <f>'Расчёт'!$G$46</f>
        <v/>
      </c>
    </row>
    <row r="12">
      <c r="A12" s="3" t="inlineStr">
        <is>
          <t>Фраза для документа</t>
        </is>
      </c>
    </row>
    <row r="13">
      <c r="A13" s="20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Юридическую консультацию и вычитку юристом. Порядок расчёта сверен с текстом действующих норм 15.08.2026: нормативная сверка сопоставляет формулировки и порядок со статьями закона и правовой позиции по вашему спору не оценивает.</t>
        </is>
      </c>
    </row>
  </sheetData>
  <mergeCells count="5">
    <mergeCell ref="A16:B16"/>
    <mergeCell ref="A19:B19"/>
    <mergeCell ref="A13:B13"/>
    <mergeCell ref="A17:B17"/>
    <mergeCell ref="A18:B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1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0" t="inlineStr">
        <is>
          <t>Сумма долга, руб.</t>
        </is>
      </c>
      <c r="B5" s="22" t="inlineStr">
        <is>
          <t>1 250 000,00</t>
        </is>
      </c>
    </row>
    <row r="6">
      <c r="A6" s="20" t="inlineStr">
        <is>
          <t>Дата начала просрочки</t>
        </is>
      </c>
      <c r="B6" s="22" t="inlineStr">
        <is>
          <t>15.03.2026</t>
        </is>
      </c>
    </row>
    <row r="7">
      <c r="A7" s="20" t="inlineStr">
        <is>
          <t>Дата окончания расчёта</t>
        </is>
      </c>
      <c r="B7" s="22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2" t="inlineStr">
        <is>
          <t>15.03.2026</t>
        </is>
      </c>
      <c r="B11" s="22" t="inlineStr">
        <is>
          <t>условная 1</t>
        </is>
      </c>
    </row>
    <row r="12">
      <c r="A12" s="22" t="inlineStr">
        <is>
          <t>28.04.2026</t>
        </is>
      </c>
      <c r="B12" s="22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3" t="inlineStr">
        <is>
          <t>15.03.2026</t>
        </is>
      </c>
      <c r="B16" s="23" t="inlineStr">
        <is>
          <t>27.04.2026</t>
        </is>
      </c>
      <c r="C16" s="24" t="inlineStr">
        <is>
          <t>считается</t>
        </is>
      </c>
      <c r="D16" s="24" t="inlineStr">
        <is>
          <t>считается</t>
        </is>
      </c>
      <c r="E16" s="24" t="inlineStr">
        <is>
          <t>подставится</t>
        </is>
      </c>
      <c r="F16" s="24" t="inlineStr">
        <is>
          <t>считается</t>
        </is>
      </c>
      <c r="G16" s="24" t="inlineStr">
        <is>
          <t>считается</t>
        </is>
      </c>
      <c r="H16" s="24" t="inlineStr">
        <is>
          <t>пусто, если всё верно</t>
        </is>
      </c>
    </row>
    <row r="17">
      <c r="A17" s="23" t="inlineStr">
        <is>
          <t>28.04.2026</t>
        </is>
      </c>
      <c r="B17" s="23" t="inlineStr">
        <is>
          <t>30.07.2026</t>
        </is>
      </c>
      <c r="C17" s="24" t="inlineStr">
        <is>
          <t>считается</t>
        </is>
      </c>
      <c r="D17" s="24" t="inlineStr">
        <is>
          <t>считается</t>
        </is>
      </c>
      <c r="E17" s="24" t="inlineStr">
        <is>
          <t>подставится</t>
        </is>
      </c>
      <c r="F17" s="24" t="inlineStr">
        <is>
          <t>считается</t>
        </is>
      </c>
      <c r="G17" s="24" t="inlineStr">
        <is>
          <t>считается</t>
        </is>
      </c>
      <c r="H17" s="24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2026-08-16T06:56:24Z</dcterms:created>
  <dcterms:modified xmlns:dcterms="http://purl.org/dc/terms/" xmlns:xsi="http://www.w3.org/2001/XMLSchema-instance" xsi:type="dcterms:W3CDTF">2026-08-16T06:56:24Z</dcterms:modified>
</cp:coreProperties>
</file>